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лиенты" sheetId="1" state="visible" r:id="rId3"/>
    <sheet name="Заказы" sheetId="2" state="visible" r:id="rId4"/>
    <sheet name="Состав заказов" sheetId="3" state="visible" r:id="rId5"/>
    <sheet name="Меню" sheetId="4" state="visible" r:id="rId6"/>
  </sheets>
  <definedNames>
    <definedName function="false" hidden="true" localSheetId="2" name="_xlnm._FilterDatabase" vbProcedure="false">'Состав заказов'!$A$1:$M$1995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<sst xmlns="http://schemas.openxmlformats.org/spreadsheetml/2006/main" count="10020" uniqueCount="1984">
  <si>
    <t xml:space="preserve">Код клиента</t>
  </si>
  <si>
    <t xml:space="preserve">Фамилия</t>
  </si>
  <si>
    <t xml:space="preserve">Имя</t>
  </si>
  <si>
    <t xml:space="preserve">Отчество</t>
  </si>
  <si>
    <t xml:space="preserve">Место жительства</t>
  </si>
  <si>
    <t xml:space="preserve">Суханов</t>
  </si>
  <si>
    <t xml:space="preserve">Август</t>
  </si>
  <si>
    <t xml:space="preserve">Феликсович</t>
  </si>
  <si>
    <t xml:space="preserve">г. Крымск</t>
  </si>
  <si>
    <t xml:space="preserve">Кудряшова</t>
  </si>
  <si>
    <t xml:space="preserve">Ульяна</t>
  </si>
  <si>
    <t xml:space="preserve">Семеновна</t>
  </si>
  <si>
    <t xml:space="preserve">г. Саяногорск</t>
  </si>
  <si>
    <t xml:space="preserve">Блинов</t>
  </si>
  <si>
    <t xml:space="preserve">Константин</t>
  </si>
  <si>
    <t xml:space="preserve">Фадеевич</t>
  </si>
  <si>
    <t xml:space="preserve">г. Бобров</t>
  </si>
  <si>
    <t xml:space="preserve">Васильев</t>
  </si>
  <si>
    <t xml:space="preserve">Силантий</t>
  </si>
  <si>
    <t xml:space="preserve">Гаврилович</t>
  </si>
  <si>
    <t xml:space="preserve">г. Грайворон</t>
  </si>
  <si>
    <t xml:space="preserve">Комиссарова</t>
  </si>
  <si>
    <t xml:space="preserve">Майя</t>
  </si>
  <si>
    <t xml:space="preserve">Тимуровна</t>
  </si>
  <si>
    <t xml:space="preserve">г. Благодарный</t>
  </si>
  <si>
    <t xml:space="preserve">Рябов</t>
  </si>
  <si>
    <t xml:space="preserve">Агафон</t>
  </si>
  <si>
    <t xml:space="preserve">Чеславович</t>
  </si>
  <si>
    <t xml:space="preserve">г. Калининград</t>
  </si>
  <si>
    <t xml:space="preserve">Меркушева</t>
  </si>
  <si>
    <t xml:space="preserve">Алевтина</t>
  </si>
  <si>
    <t xml:space="preserve">Леонидовна</t>
  </si>
  <si>
    <t xml:space="preserve">г. Сергач</t>
  </si>
  <si>
    <t xml:space="preserve">Уварова</t>
  </si>
  <si>
    <t xml:space="preserve">Лукия</t>
  </si>
  <si>
    <t xml:space="preserve">Вадимовна</t>
  </si>
  <si>
    <t xml:space="preserve">г. Приморск</t>
  </si>
  <si>
    <t xml:space="preserve">Петухов</t>
  </si>
  <si>
    <t xml:space="preserve">Якуб</t>
  </si>
  <si>
    <t xml:space="preserve">Афанасьевич</t>
  </si>
  <si>
    <t xml:space="preserve">г. Шелехов</t>
  </si>
  <si>
    <t xml:space="preserve">Макаров</t>
  </si>
  <si>
    <t xml:space="preserve">Милий</t>
  </si>
  <si>
    <t xml:space="preserve">Феодосьевич</t>
  </si>
  <si>
    <t xml:space="preserve">г. Москва</t>
  </si>
  <si>
    <t xml:space="preserve">Горбачев</t>
  </si>
  <si>
    <t xml:space="preserve">Нифонт</t>
  </si>
  <si>
    <t xml:space="preserve">Теймуразович</t>
  </si>
  <si>
    <t xml:space="preserve">г. Мезень</t>
  </si>
  <si>
    <t xml:space="preserve">Хохлов</t>
  </si>
  <si>
    <t xml:space="preserve">Галактион</t>
  </si>
  <si>
    <t xml:space="preserve">Всеволодович</t>
  </si>
  <si>
    <t xml:space="preserve">г. Орёл</t>
  </si>
  <si>
    <t xml:space="preserve">Мишин</t>
  </si>
  <si>
    <t xml:space="preserve">Сократ</t>
  </si>
  <si>
    <t xml:space="preserve">г. Мензелинск</t>
  </si>
  <si>
    <t xml:space="preserve">Капустина</t>
  </si>
  <si>
    <t xml:space="preserve">Вероника</t>
  </si>
  <si>
    <t xml:space="preserve">Даниловна</t>
  </si>
  <si>
    <t xml:space="preserve">г. Севск</t>
  </si>
  <si>
    <t xml:space="preserve">Ермаков</t>
  </si>
  <si>
    <t xml:space="preserve">Лучезар</t>
  </si>
  <si>
    <t xml:space="preserve">Юлианович</t>
  </si>
  <si>
    <t xml:space="preserve">г. Североморск</t>
  </si>
  <si>
    <t xml:space="preserve">Филатов</t>
  </si>
  <si>
    <t xml:space="preserve">Рубен</t>
  </si>
  <si>
    <t xml:space="preserve">г. Можга</t>
  </si>
  <si>
    <t xml:space="preserve">Щербаков</t>
  </si>
  <si>
    <t xml:space="preserve">Анисим</t>
  </si>
  <si>
    <t xml:space="preserve">Тихонович</t>
  </si>
  <si>
    <t xml:space="preserve">г. Соликамск</t>
  </si>
  <si>
    <t xml:space="preserve">Колобова</t>
  </si>
  <si>
    <t xml:space="preserve">Ольга</t>
  </si>
  <si>
    <t xml:space="preserve">Геннадьевна</t>
  </si>
  <si>
    <t xml:space="preserve">г. Костерёво</t>
  </si>
  <si>
    <t xml:space="preserve">Цветкова</t>
  </si>
  <si>
    <t xml:space="preserve">Ирина</t>
  </si>
  <si>
    <t xml:space="preserve">г. Тогучин</t>
  </si>
  <si>
    <t xml:space="preserve">Никифор</t>
  </si>
  <si>
    <t xml:space="preserve">Даниилович</t>
  </si>
  <si>
    <t xml:space="preserve">Шилов</t>
  </si>
  <si>
    <t xml:space="preserve">Тихон</t>
  </si>
  <si>
    <t xml:space="preserve">Якубович</t>
  </si>
  <si>
    <t xml:space="preserve">г. Валдай</t>
  </si>
  <si>
    <t xml:space="preserve">Костин</t>
  </si>
  <si>
    <t xml:space="preserve">Никандр</t>
  </si>
  <si>
    <t xml:space="preserve">Юльевич</t>
  </si>
  <si>
    <t xml:space="preserve">г. Сельцо</t>
  </si>
  <si>
    <t xml:space="preserve">Князева</t>
  </si>
  <si>
    <t xml:space="preserve">Фаина</t>
  </si>
  <si>
    <t xml:space="preserve">Ивановна</t>
  </si>
  <si>
    <t xml:space="preserve">г. Тейково</t>
  </si>
  <si>
    <t xml:space="preserve">Анисимов</t>
  </si>
  <si>
    <t xml:space="preserve">Клавдий</t>
  </si>
  <si>
    <t xml:space="preserve">Архипович</t>
  </si>
  <si>
    <t xml:space="preserve">г. Тихвин</t>
  </si>
  <si>
    <t xml:space="preserve">Потапов</t>
  </si>
  <si>
    <t xml:space="preserve">Ануфриевич</t>
  </si>
  <si>
    <t xml:space="preserve">г. Чайковский</t>
  </si>
  <si>
    <t xml:space="preserve">Ефремов</t>
  </si>
  <si>
    <t xml:space="preserve">Иннокентий</t>
  </si>
  <si>
    <t xml:space="preserve">Артёмович</t>
  </si>
  <si>
    <t xml:space="preserve">г. Киреевск</t>
  </si>
  <si>
    <t xml:space="preserve">Тарасов</t>
  </si>
  <si>
    <t xml:space="preserve">Фирс</t>
  </si>
  <si>
    <t xml:space="preserve">Ерофеевич</t>
  </si>
  <si>
    <t xml:space="preserve">г. Называевск</t>
  </si>
  <si>
    <t xml:space="preserve">Новиков</t>
  </si>
  <si>
    <t xml:space="preserve">Владислав</t>
  </si>
  <si>
    <t xml:space="preserve">Игнатьевич</t>
  </si>
  <si>
    <t xml:space="preserve">г. Омск</t>
  </si>
  <si>
    <t xml:space="preserve">Данилова</t>
  </si>
  <si>
    <t xml:space="preserve">Мария</t>
  </si>
  <si>
    <t xml:space="preserve">Владиславовна</t>
  </si>
  <si>
    <t xml:space="preserve">г. Краснослободск</t>
  </si>
  <si>
    <t xml:space="preserve">Лыткина</t>
  </si>
  <si>
    <t xml:space="preserve">Алина</t>
  </si>
  <si>
    <t xml:space="preserve">Одинцова</t>
  </si>
  <si>
    <t xml:space="preserve">Лариса</t>
  </si>
  <si>
    <t xml:space="preserve">Алексеевна</t>
  </si>
  <si>
    <t xml:space="preserve">г. Пикалёво</t>
  </si>
  <si>
    <t xml:space="preserve">Калинина</t>
  </si>
  <si>
    <t xml:space="preserve">Раиса</t>
  </si>
  <si>
    <t xml:space="preserve">Макаровна</t>
  </si>
  <si>
    <t xml:space="preserve">г. Троицк</t>
  </si>
  <si>
    <t xml:space="preserve">Гущина</t>
  </si>
  <si>
    <t xml:space="preserve">Ангелина</t>
  </si>
  <si>
    <t xml:space="preserve">г. Челябинск</t>
  </si>
  <si>
    <t xml:space="preserve">Пахомова</t>
  </si>
  <si>
    <t xml:space="preserve">Надежда</t>
  </si>
  <si>
    <t xml:space="preserve">Николаевна</t>
  </si>
  <si>
    <t xml:space="preserve">г. Сургут</t>
  </si>
  <si>
    <t xml:space="preserve">Попова</t>
  </si>
  <si>
    <t xml:space="preserve">Виктория</t>
  </si>
  <si>
    <t xml:space="preserve">Аркадьевна</t>
  </si>
  <si>
    <t xml:space="preserve">г. Михайловск</t>
  </si>
  <si>
    <t xml:space="preserve">Белозерова</t>
  </si>
  <si>
    <t xml:space="preserve">Анатольевна</t>
  </si>
  <si>
    <t xml:space="preserve">г. Одинцово</t>
  </si>
  <si>
    <t xml:space="preserve">Стрелков</t>
  </si>
  <si>
    <t xml:space="preserve">Савелий</t>
  </si>
  <si>
    <t xml:space="preserve">Елисеевич</t>
  </si>
  <si>
    <t xml:space="preserve">г. Волжск</t>
  </si>
  <si>
    <t xml:space="preserve">Макарова</t>
  </si>
  <si>
    <t xml:space="preserve">Юлия</t>
  </si>
  <si>
    <t xml:space="preserve">Архиповна</t>
  </si>
  <si>
    <t xml:space="preserve">г. Новосиль</t>
  </si>
  <si>
    <t xml:space="preserve">Никитин</t>
  </si>
  <si>
    <t xml:space="preserve">Варлаам</t>
  </si>
  <si>
    <t xml:space="preserve">Ильясович</t>
  </si>
  <si>
    <t xml:space="preserve">г. Сим</t>
  </si>
  <si>
    <t xml:space="preserve">Соколов</t>
  </si>
  <si>
    <t xml:space="preserve">Виталий</t>
  </si>
  <si>
    <t xml:space="preserve">Дьячкова</t>
  </si>
  <si>
    <t xml:space="preserve">Наталья</t>
  </si>
  <si>
    <t xml:space="preserve">Матвеевна</t>
  </si>
  <si>
    <t xml:space="preserve">г. Чусовой</t>
  </si>
  <si>
    <t xml:space="preserve">Беспалов</t>
  </si>
  <si>
    <t xml:space="preserve">Мирослав</t>
  </si>
  <si>
    <t xml:space="preserve">Анисимович</t>
  </si>
  <si>
    <t xml:space="preserve">г. Лыткарино</t>
  </si>
  <si>
    <t xml:space="preserve">Беспалова</t>
  </si>
  <si>
    <t xml:space="preserve">Алла</t>
  </si>
  <si>
    <t xml:space="preserve">Аскольдовна</t>
  </si>
  <si>
    <t xml:space="preserve">г. Ставрополь</t>
  </si>
  <si>
    <t xml:space="preserve">Бирюкова</t>
  </si>
  <si>
    <t xml:space="preserve">Зинаида</t>
  </si>
  <si>
    <t xml:space="preserve">Афанасьевна</t>
  </si>
  <si>
    <t xml:space="preserve">г. Балашиха</t>
  </si>
  <si>
    <t xml:space="preserve">Гуляева</t>
  </si>
  <si>
    <t xml:space="preserve">Наумовна</t>
  </si>
  <si>
    <t xml:space="preserve">г. Казань</t>
  </si>
  <si>
    <t xml:space="preserve">Гришин</t>
  </si>
  <si>
    <t xml:space="preserve">Ипат</t>
  </si>
  <si>
    <t xml:space="preserve">Владленович</t>
  </si>
  <si>
    <t xml:space="preserve">г. Краснотурьинск</t>
  </si>
  <si>
    <t xml:space="preserve">Ильина</t>
  </si>
  <si>
    <t xml:space="preserve">Таисия</t>
  </si>
  <si>
    <t xml:space="preserve">Степановна</t>
  </si>
  <si>
    <t xml:space="preserve">г. Тавда</t>
  </si>
  <si>
    <t xml:space="preserve">Петров</t>
  </si>
  <si>
    <t xml:space="preserve">Юлиан</t>
  </si>
  <si>
    <t xml:space="preserve">Ильич</t>
  </si>
  <si>
    <t xml:space="preserve">г. Энгельс</t>
  </si>
  <si>
    <t xml:space="preserve">Ситникова</t>
  </si>
  <si>
    <t xml:space="preserve">Захаровна</t>
  </si>
  <si>
    <t xml:space="preserve">Цветков</t>
  </si>
  <si>
    <t xml:space="preserve">Артем</t>
  </si>
  <si>
    <t xml:space="preserve">Орехов</t>
  </si>
  <si>
    <t xml:space="preserve">Иларион</t>
  </si>
  <si>
    <t xml:space="preserve">Адамович</t>
  </si>
  <si>
    <t xml:space="preserve">г. Навашино</t>
  </si>
  <si>
    <t xml:space="preserve">Селиверстова</t>
  </si>
  <si>
    <t xml:space="preserve">Ия</t>
  </si>
  <si>
    <t xml:space="preserve">Игоревна</t>
  </si>
  <si>
    <t xml:space="preserve">г. Первомайск</t>
  </si>
  <si>
    <t xml:space="preserve">Зуев</t>
  </si>
  <si>
    <t xml:space="preserve">Андрей</t>
  </si>
  <si>
    <t xml:space="preserve">Зиновьевич</t>
  </si>
  <si>
    <t xml:space="preserve">г. Сенгилей</t>
  </si>
  <si>
    <t xml:space="preserve">Бронислав</t>
  </si>
  <si>
    <t xml:space="preserve">Исакова</t>
  </si>
  <si>
    <t xml:space="preserve">Милица</t>
  </si>
  <si>
    <t xml:space="preserve">г. Кемь</t>
  </si>
  <si>
    <t xml:space="preserve">Ковалев</t>
  </si>
  <si>
    <t xml:space="preserve">г. Новоржев</t>
  </si>
  <si>
    <t xml:space="preserve">г. Южно-Сахалинск</t>
  </si>
  <si>
    <t xml:space="preserve">Соловьев</t>
  </si>
  <si>
    <t xml:space="preserve">Арефий</t>
  </si>
  <si>
    <t xml:space="preserve">Александрович</t>
  </si>
  <si>
    <t xml:space="preserve">г. Саратов</t>
  </si>
  <si>
    <t xml:space="preserve">Исаева</t>
  </si>
  <si>
    <t xml:space="preserve">Глафира</t>
  </si>
  <si>
    <t xml:space="preserve">Тарасовна</t>
  </si>
  <si>
    <t xml:space="preserve">г. Миньяр</t>
  </si>
  <si>
    <t xml:space="preserve">Игнатьева</t>
  </si>
  <si>
    <t xml:space="preserve">Татьяна</t>
  </si>
  <si>
    <t xml:space="preserve">Ниловна</t>
  </si>
  <si>
    <t xml:space="preserve">Дементьев</t>
  </si>
  <si>
    <t xml:space="preserve">Вышеслав</t>
  </si>
  <si>
    <t xml:space="preserve">Бориславович</t>
  </si>
  <si>
    <t xml:space="preserve">г. Коркино</t>
  </si>
  <si>
    <t xml:space="preserve">Гурьева</t>
  </si>
  <si>
    <t xml:space="preserve">Леоновна</t>
  </si>
  <si>
    <t xml:space="preserve">г. Краснокамск</t>
  </si>
  <si>
    <t xml:space="preserve">Алексеев</t>
  </si>
  <si>
    <t xml:space="preserve">Сигизмунд</t>
  </si>
  <si>
    <t xml:space="preserve">Тимурович</t>
  </si>
  <si>
    <t xml:space="preserve">г. Аргун</t>
  </si>
  <si>
    <t xml:space="preserve">Хохлова</t>
  </si>
  <si>
    <t xml:space="preserve">Фёкла</t>
  </si>
  <si>
    <t xml:space="preserve">Александровна</t>
  </si>
  <si>
    <t xml:space="preserve">г. Демидов</t>
  </si>
  <si>
    <t xml:space="preserve">Куликов</t>
  </si>
  <si>
    <t xml:space="preserve">Игнатий</t>
  </si>
  <si>
    <t xml:space="preserve">Матвеевич</t>
  </si>
  <si>
    <t xml:space="preserve">г. Верея</t>
  </si>
  <si>
    <t xml:space="preserve">Изяслав</t>
  </si>
  <si>
    <t xml:space="preserve">Изотович</t>
  </si>
  <si>
    <t xml:space="preserve">г. Волчанск</t>
  </si>
  <si>
    <t xml:space="preserve">Казакова</t>
  </si>
  <si>
    <t xml:space="preserve">Павловна</t>
  </si>
  <si>
    <t xml:space="preserve">г. Усть-Катав</t>
  </si>
  <si>
    <t xml:space="preserve">Константинова</t>
  </si>
  <si>
    <t xml:space="preserve">Галина</t>
  </si>
  <si>
    <t xml:space="preserve">Георгиевна</t>
  </si>
  <si>
    <t xml:space="preserve">г. Спас-Клепики</t>
  </si>
  <si>
    <t xml:space="preserve">Родионов</t>
  </si>
  <si>
    <t xml:space="preserve">Модест</t>
  </si>
  <si>
    <t xml:space="preserve">Фролович</t>
  </si>
  <si>
    <t xml:space="preserve">г. Курильск</t>
  </si>
  <si>
    <t xml:space="preserve">Рыбакова</t>
  </si>
  <si>
    <t xml:space="preserve">Шестакова</t>
  </si>
  <si>
    <t xml:space="preserve">Эмилия</t>
  </si>
  <si>
    <t xml:space="preserve">Михайловна</t>
  </si>
  <si>
    <t xml:space="preserve">Елисеев</t>
  </si>
  <si>
    <t xml:space="preserve">Флорентин</t>
  </si>
  <si>
    <t xml:space="preserve">Гурьевич</t>
  </si>
  <si>
    <t xml:space="preserve">г. Меленки</t>
  </si>
  <si>
    <t xml:space="preserve">Назарова</t>
  </si>
  <si>
    <t xml:space="preserve">Антонина</t>
  </si>
  <si>
    <t xml:space="preserve">г. Екатеринбург</t>
  </si>
  <si>
    <t xml:space="preserve">Нонна</t>
  </si>
  <si>
    <t xml:space="preserve">Яковлевна</t>
  </si>
  <si>
    <t xml:space="preserve">г. Североуральск</t>
  </si>
  <si>
    <t xml:space="preserve">Аксенов</t>
  </si>
  <si>
    <t xml:space="preserve">Будимир</t>
  </si>
  <si>
    <t xml:space="preserve">Виленович</t>
  </si>
  <si>
    <t xml:space="preserve">г. Озёрск</t>
  </si>
  <si>
    <t xml:space="preserve">Жоресович</t>
  </si>
  <si>
    <t xml:space="preserve">г. Давлеканово</t>
  </si>
  <si>
    <t xml:space="preserve">Кулакова</t>
  </si>
  <si>
    <t xml:space="preserve">г. Клинцы</t>
  </si>
  <si>
    <t xml:space="preserve">Потапова</t>
  </si>
  <si>
    <t xml:space="preserve">Ксения</t>
  </si>
  <si>
    <t xml:space="preserve">Ждановна</t>
  </si>
  <si>
    <t xml:space="preserve">г. Холмск</t>
  </si>
  <si>
    <t xml:space="preserve">Гордей</t>
  </si>
  <si>
    <t xml:space="preserve">Аксёнович</t>
  </si>
  <si>
    <t xml:space="preserve">Евсеева</t>
  </si>
  <si>
    <t xml:space="preserve">Валериевна</t>
  </si>
  <si>
    <t xml:space="preserve">Воронова</t>
  </si>
  <si>
    <t xml:space="preserve">Андреевна</t>
  </si>
  <si>
    <t xml:space="preserve">г. Ак-Довурак</t>
  </si>
  <si>
    <t xml:space="preserve">Комарова</t>
  </si>
  <si>
    <t xml:space="preserve">Людмила</t>
  </si>
  <si>
    <t xml:space="preserve">Кузьминична</t>
  </si>
  <si>
    <t xml:space="preserve">г. Калязин</t>
  </si>
  <si>
    <t xml:space="preserve">Терентьева</t>
  </si>
  <si>
    <t xml:space="preserve">Харитоновна</t>
  </si>
  <si>
    <t xml:space="preserve">г. Гаджиево</t>
  </si>
  <si>
    <t xml:space="preserve">Комиссаров</t>
  </si>
  <si>
    <t xml:space="preserve">Кондратий</t>
  </si>
  <si>
    <t xml:space="preserve">Феофанович</t>
  </si>
  <si>
    <t xml:space="preserve">г. Белово</t>
  </si>
  <si>
    <t xml:space="preserve">Голубев</t>
  </si>
  <si>
    <t xml:space="preserve">Юрий</t>
  </si>
  <si>
    <t xml:space="preserve">Димитриевич</t>
  </si>
  <si>
    <t xml:space="preserve">г. Светлоград</t>
  </si>
  <si>
    <t xml:space="preserve">Федотов</t>
  </si>
  <si>
    <t xml:space="preserve">Ладислав</t>
  </si>
  <si>
    <t xml:space="preserve">Бенедиктович</t>
  </si>
  <si>
    <t xml:space="preserve">г. Чухлома</t>
  </si>
  <si>
    <t xml:space="preserve">Андреева</t>
  </si>
  <si>
    <t xml:space="preserve">Эльдаровна</t>
  </si>
  <si>
    <t xml:space="preserve">г. Пионерский</t>
  </si>
  <si>
    <t xml:space="preserve">Василиса</t>
  </si>
  <si>
    <t xml:space="preserve">г. Муравленко</t>
  </si>
  <si>
    <t xml:space="preserve">Мухин</t>
  </si>
  <si>
    <t xml:space="preserve">Филимонович</t>
  </si>
  <si>
    <t xml:space="preserve">г. Бердск</t>
  </si>
  <si>
    <t xml:space="preserve">Сергеева</t>
  </si>
  <si>
    <t xml:space="preserve">Евдокия</t>
  </si>
  <si>
    <t xml:space="preserve">Валентиновна</t>
  </si>
  <si>
    <t xml:space="preserve">Фролов</t>
  </si>
  <si>
    <t xml:space="preserve">Боян</t>
  </si>
  <si>
    <t xml:space="preserve">Эдуардович</t>
  </si>
  <si>
    <t xml:space="preserve">г. Саранск</t>
  </si>
  <si>
    <t xml:space="preserve">Зоя</t>
  </si>
  <si>
    <t xml:space="preserve">г. Новороссийск</t>
  </si>
  <si>
    <t xml:space="preserve">Боброва</t>
  </si>
  <si>
    <t xml:space="preserve">Лидия</t>
  </si>
  <si>
    <t xml:space="preserve">г. Темников</t>
  </si>
  <si>
    <t xml:space="preserve">Лыткин</t>
  </si>
  <si>
    <t xml:space="preserve">Евстафий</t>
  </si>
  <si>
    <t xml:space="preserve">Филиппович</t>
  </si>
  <si>
    <t xml:space="preserve">г. Свободный</t>
  </si>
  <si>
    <t xml:space="preserve">Морозова</t>
  </si>
  <si>
    <t xml:space="preserve">г. Вольск</t>
  </si>
  <si>
    <t xml:space="preserve">Шаров</t>
  </si>
  <si>
    <t xml:space="preserve">Вячеславович</t>
  </si>
  <si>
    <t xml:space="preserve">г. Емва</t>
  </si>
  <si>
    <t xml:space="preserve">Некрасова</t>
  </si>
  <si>
    <t xml:space="preserve">Анжелика</t>
  </si>
  <si>
    <t xml:space="preserve">Никифоровна</t>
  </si>
  <si>
    <t xml:space="preserve">Лебедев</t>
  </si>
  <si>
    <t xml:space="preserve">г. Зеленогорск</t>
  </si>
  <si>
    <t xml:space="preserve">Мясникова</t>
  </si>
  <si>
    <t xml:space="preserve">г. Луховицы</t>
  </si>
  <si>
    <t xml:space="preserve">Германович</t>
  </si>
  <si>
    <t xml:space="preserve">Яковлева</t>
  </si>
  <si>
    <t xml:space="preserve">Регина</t>
  </si>
  <si>
    <t xml:space="preserve">Григорьевна</t>
  </si>
  <si>
    <t xml:space="preserve">г. Ростов</t>
  </si>
  <si>
    <t xml:space="preserve">Волкова</t>
  </si>
  <si>
    <t xml:space="preserve">Львовна</t>
  </si>
  <si>
    <t xml:space="preserve">г. Сковородино</t>
  </si>
  <si>
    <t xml:space="preserve">Евдокимов</t>
  </si>
  <si>
    <t xml:space="preserve">Фока</t>
  </si>
  <si>
    <t xml:space="preserve">Венедиктович</t>
  </si>
  <si>
    <t xml:space="preserve">г. Электроугли</t>
  </si>
  <si>
    <t xml:space="preserve">Новикова</t>
  </si>
  <si>
    <t xml:space="preserve">Елена</t>
  </si>
  <si>
    <t xml:space="preserve">Борисовна</t>
  </si>
  <si>
    <t xml:space="preserve">г. Березники</t>
  </si>
  <si>
    <t xml:space="preserve">Елисей</t>
  </si>
  <si>
    <t xml:space="preserve">Эдгарович</t>
  </si>
  <si>
    <t xml:space="preserve">г. Железногорск</t>
  </si>
  <si>
    <t xml:space="preserve">Попов</t>
  </si>
  <si>
    <t xml:space="preserve">Борислав</t>
  </si>
  <si>
    <t xml:space="preserve">г. Соль-Илецк</t>
  </si>
  <si>
    <t xml:space="preserve">Ефимов</t>
  </si>
  <si>
    <t xml:space="preserve">Ерофей</t>
  </si>
  <si>
    <t xml:space="preserve">г. Долгопрудный</t>
  </si>
  <si>
    <t xml:space="preserve">Смирнов</t>
  </si>
  <si>
    <t xml:space="preserve">Чеслав</t>
  </si>
  <si>
    <t xml:space="preserve">г. Мичуринск</t>
  </si>
  <si>
    <t xml:space="preserve">Тетерин</t>
  </si>
  <si>
    <t xml:space="preserve">Ульян</t>
  </si>
  <si>
    <t xml:space="preserve">Давыдович</t>
  </si>
  <si>
    <t xml:space="preserve">Носов</t>
  </si>
  <si>
    <t xml:space="preserve">Ларионова</t>
  </si>
  <si>
    <t xml:space="preserve">Анна</t>
  </si>
  <si>
    <t xml:space="preserve">г. Тотьма</t>
  </si>
  <si>
    <t xml:space="preserve">Дементьева</t>
  </si>
  <si>
    <t xml:space="preserve">София</t>
  </si>
  <si>
    <t xml:space="preserve">г. Гурьевск</t>
  </si>
  <si>
    <t xml:space="preserve">Волков</t>
  </si>
  <si>
    <t xml:space="preserve">Викторович</t>
  </si>
  <si>
    <t xml:space="preserve">г. Заозёрск</t>
  </si>
  <si>
    <t xml:space="preserve">Веселов</t>
  </si>
  <si>
    <t xml:space="preserve">Аникей</t>
  </si>
  <si>
    <t xml:space="preserve">г. Бирюч</t>
  </si>
  <si>
    <t xml:space="preserve">Щукина</t>
  </si>
  <si>
    <t xml:space="preserve">Викторовна</t>
  </si>
  <si>
    <t xml:space="preserve">г. Йошкар-Ола</t>
  </si>
  <si>
    <t xml:space="preserve">Михеева</t>
  </si>
  <si>
    <t xml:space="preserve">Марфа</t>
  </si>
  <si>
    <t xml:space="preserve">г. Берёзовский</t>
  </si>
  <si>
    <t xml:space="preserve">Иванна</t>
  </si>
  <si>
    <t xml:space="preserve">г. Лесозаводск</t>
  </si>
  <si>
    <t xml:space="preserve">Михеев</t>
  </si>
  <si>
    <t xml:space="preserve">Твердислав</t>
  </si>
  <si>
    <t xml:space="preserve">г. Данков</t>
  </si>
  <si>
    <t xml:space="preserve">Прохорова</t>
  </si>
  <si>
    <t xml:space="preserve">Оскаровна</t>
  </si>
  <si>
    <t xml:space="preserve">г. Армавир</t>
  </si>
  <si>
    <t xml:space="preserve">Фомина</t>
  </si>
  <si>
    <t xml:space="preserve">Синклитикия</t>
  </si>
  <si>
    <t xml:space="preserve">Руслановна</t>
  </si>
  <si>
    <t xml:space="preserve">г. Полярный</t>
  </si>
  <si>
    <t xml:space="preserve">Харитон</t>
  </si>
  <si>
    <t xml:space="preserve">Герасимович</t>
  </si>
  <si>
    <t xml:space="preserve">г. Кувандык</t>
  </si>
  <si>
    <t xml:space="preserve">Александрова</t>
  </si>
  <si>
    <t xml:space="preserve">г. Ермолино</t>
  </si>
  <si>
    <t xml:space="preserve">Молчанов</t>
  </si>
  <si>
    <t xml:space="preserve">Доброслав</t>
  </si>
  <si>
    <t xml:space="preserve">Данилович</t>
  </si>
  <si>
    <t xml:space="preserve">Савина</t>
  </si>
  <si>
    <t xml:space="preserve">Анастасия</t>
  </si>
  <si>
    <t xml:space="preserve">Петровна</t>
  </si>
  <si>
    <t xml:space="preserve">г. Хилок</t>
  </si>
  <si>
    <t xml:space="preserve">Горбунов</t>
  </si>
  <si>
    <t xml:space="preserve">Орест</t>
  </si>
  <si>
    <t xml:space="preserve">Трофимович</t>
  </si>
  <si>
    <t xml:space="preserve">г. Звенигород</t>
  </si>
  <si>
    <t xml:space="preserve">Стрелкова</t>
  </si>
  <si>
    <t xml:space="preserve">Евпраксия</t>
  </si>
  <si>
    <t xml:space="preserve">Кирилловна</t>
  </si>
  <si>
    <t xml:space="preserve">г. Находка</t>
  </si>
  <si>
    <t xml:space="preserve">Зиновьев</t>
  </si>
  <si>
    <t xml:space="preserve">Архип</t>
  </si>
  <si>
    <t xml:space="preserve">Антипович</t>
  </si>
  <si>
    <t xml:space="preserve">г. Среднеколымск</t>
  </si>
  <si>
    <t xml:space="preserve">Тимофей</t>
  </si>
  <si>
    <t xml:space="preserve">Иларионович</t>
  </si>
  <si>
    <t xml:space="preserve">Лобанов</t>
  </si>
  <si>
    <t xml:space="preserve">Геннадий</t>
  </si>
  <si>
    <t xml:space="preserve">г. Югорск</t>
  </si>
  <si>
    <t xml:space="preserve">Муравьев</t>
  </si>
  <si>
    <t xml:space="preserve">г. Красноармейск</t>
  </si>
  <si>
    <t xml:space="preserve">Иван</t>
  </si>
  <si>
    <t xml:space="preserve">Гордеевич</t>
  </si>
  <si>
    <t xml:space="preserve">г. Таганрог</t>
  </si>
  <si>
    <t xml:space="preserve">Селезнев</t>
  </si>
  <si>
    <t xml:space="preserve">г. Кировск</t>
  </si>
  <si>
    <t xml:space="preserve">Мамонтов</t>
  </si>
  <si>
    <t xml:space="preserve">Ефрем</t>
  </si>
  <si>
    <t xml:space="preserve">г. Черкесск</t>
  </si>
  <si>
    <t xml:space="preserve">Осипов</t>
  </si>
  <si>
    <t xml:space="preserve">Евдоким</t>
  </si>
  <si>
    <t xml:space="preserve">Вилорович</t>
  </si>
  <si>
    <t xml:space="preserve">г. Калач</t>
  </si>
  <si>
    <t xml:space="preserve">Наина</t>
  </si>
  <si>
    <t xml:space="preserve">Радислав</t>
  </si>
  <si>
    <t xml:space="preserve">Дорофеевич</t>
  </si>
  <si>
    <t xml:space="preserve">г. Белорецк</t>
  </si>
  <si>
    <t xml:space="preserve">Рогов</t>
  </si>
  <si>
    <t xml:space="preserve">Наум</t>
  </si>
  <si>
    <t xml:space="preserve">Елизарович</t>
  </si>
  <si>
    <t xml:space="preserve">г. Сортавала</t>
  </si>
  <si>
    <t xml:space="preserve">Самсонов</t>
  </si>
  <si>
    <t xml:space="preserve">Геннадиевич</t>
  </si>
  <si>
    <t xml:space="preserve">Веселова</t>
  </si>
  <si>
    <t xml:space="preserve">Элеонора</t>
  </si>
  <si>
    <t xml:space="preserve">Максимовна</t>
  </si>
  <si>
    <t xml:space="preserve">г. Снежинск</t>
  </si>
  <si>
    <t xml:space="preserve">Лаврентьев</t>
  </si>
  <si>
    <t xml:space="preserve">г. Черноголовка</t>
  </si>
  <si>
    <t xml:space="preserve">Аксенова</t>
  </si>
  <si>
    <t xml:space="preserve">Клавдия</t>
  </si>
  <si>
    <t xml:space="preserve">г. Новокузнецк</t>
  </si>
  <si>
    <t xml:space="preserve">Исаев</t>
  </si>
  <si>
    <t xml:space="preserve">Макар</t>
  </si>
  <si>
    <t xml:space="preserve">г. Маркс</t>
  </si>
  <si>
    <t xml:space="preserve">Степанов</t>
  </si>
  <si>
    <t xml:space="preserve">Радован</t>
  </si>
  <si>
    <t xml:space="preserve">Игоревич</t>
  </si>
  <si>
    <t xml:space="preserve">Владилен</t>
  </si>
  <si>
    <t xml:space="preserve">г. Тобольск</t>
  </si>
  <si>
    <t xml:space="preserve">г. Чистополь</t>
  </si>
  <si>
    <t xml:space="preserve">Колобов</t>
  </si>
  <si>
    <t xml:space="preserve">Зосима</t>
  </si>
  <si>
    <t xml:space="preserve">Артемьевич</t>
  </si>
  <si>
    <t xml:space="preserve">г. Россошь</t>
  </si>
  <si>
    <t xml:space="preserve">Кулагин</t>
  </si>
  <si>
    <t xml:space="preserve">Адриан</t>
  </si>
  <si>
    <t xml:space="preserve">г. Подольск</t>
  </si>
  <si>
    <t xml:space="preserve">Фокин</t>
  </si>
  <si>
    <t xml:space="preserve">Филатович</t>
  </si>
  <si>
    <t xml:space="preserve">Полина</t>
  </si>
  <si>
    <t xml:space="preserve">Вениаминовна</t>
  </si>
  <si>
    <t xml:space="preserve">г. Барнаул</t>
  </si>
  <si>
    <t xml:space="preserve">Добромысл</t>
  </si>
  <si>
    <t xml:space="preserve">г. Шуя</t>
  </si>
  <si>
    <t xml:space="preserve">Шубин</t>
  </si>
  <si>
    <t xml:space="preserve">Ростислав</t>
  </si>
  <si>
    <t xml:space="preserve">Устинович</t>
  </si>
  <si>
    <t xml:space="preserve">Чернов</t>
  </si>
  <si>
    <t xml:space="preserve">Аполлинарий</t>
  </si>
  <si>
    <t xml:space="preserve">г. Городище</t>
  </si>
  <si>
    <t xml:space="preserve">Панфилов</t>
  </si>
  <si>
    <t xml:space="preserve">Исай</t>
  </si>
  <si>
    <t xml:space="preserve">Демидович</t>
  </si>
  <si>
    <t xml:space="preserve">г. Кинель</t>
  </si>
  <si>
    <t xml:space="preserve">Евсеев</t>
  </si>
  <si>
    <t xml:space="preserve">Игорь</t>
  </si>
  <si>
    <t xml:space="preserve">г. Славгород</t>
  </si>
  <si>
    <t xml:space="preserve">Воронцов</t>
  </si>
  <si>
    <t xml:space="preserve">Каллистрат</t>
  </si>
  <si>
    <t xml:space="preserve">г. Дубовка</t>
  </si>
  <si>
    <t xml:space="preserve">Агафья</t>
  </si>
  <si>
    <t xml:space="preserve">г. Болхов</t>
  </si>
  <si>
    <t xml:space="preserve">Фокина</t>
  </si>
  <si>
    <t xml:space="preserve">Прасковья</t>
  </si>
  <si>
    <t xml:space="preserve">г. Остров</t>
  </si>
  <si>
    <t xml:space="preserve">Давыдова</t>
  </si>
  <si>
    <t xml:space="preserve">Натановна</t>
  </si>
  <si>
    <t xml:space="preserve">Тит</t>
  </si>
  <si>
    <t xml:space="preserve">Ефимьевич</t>
  </si>
  <si>
    <t xml:space="preserve">г. Татарск</t>
  </si>
  <si>
    <t xml:space="preserve">Егорова</t>
  </si>
  <si>
    <t xml:space="preserve">г. Мглин</t>
  </si>
  <si>
    <t xml:space="preserve">Тимофеева</t>
  </si>
  <si>
    <t xml:space="preserve">Светлана</t>
  </si>
  <si>
    <t xml:space="preserve">Эдуардовна</t>
  </si>
  <si>
    <t xml:space="preserve">г. Канаш</t>
  </si>
  <si>
    <t xml:space="preserve">Пономарева</t>
  </si>
  <si>
    <t xml:space="preserve">Панова</t>
  </si>
  <si>
    <t xml:space="preserve">г. Чегем</t>
  </si>
  <si>
    <t xml:space="preserve">Измаил</t>
  </si>
  <si>
    <t xml:space="preserve">Харлампович</t>
  </si>
  <si>
    <t xml:space="preserve">г. Пермь</t>
  </si>
  <si>
    <t xml:space="preserve">Панов</t>
  </si>
  <si>
    <t xml:space="preserve">г. Мончегорск</t>
  </si>
  <si>
    <t xml:space="preserve">Власова</t>
  </si>
  <si>
    <t xml:space="preserve">Станиславовна</t>
  </si>
  <si>
    <t xml:space="preserve">г. Донецк</t>
  </si>
  <si>
    <t xml:space="preserve">г. Гулькевичи</t>
  </si>
  <si>
    <t xml:space="preserve">Константиновна</t>
  </si>
  <si>
    <t xml:space="preserve">Кудрявцева</t>
  </si>
  <si>
    <t xml:space="preserve">Антоновна</t>
  </si>
  <si>
    <t xml:space="preserve">Князев</t>
  </si>
  <si>
    <t xml:space="preserve">г. Болохово</t>
  </si>
  <si>
    <t xml:space="preserve">Большакова</t>
  </si>
  <si>
    <t xml:space="preserve">Юрьевна</t>
  </si>
  <si>
    <t xml:space="preserve">г. Иннополис</t>
  </si>
  <si>
    <t xml:space="preserve">Вениамин</t>
  </si>
  <si>
    <t xml:space="preserve">Харитонович</t>
  </si>
  <si>
    <t xml:space="preserve">г. Кирово-Чепецк</t>
  </si>
  <si>
    <t xml:space="preserve">Воробьева</t>
  </si>
  <si>
    <t xml:space="preserve">Владимировна</t>
  </si>
  <si>
    <t xml:space="preserve">г. Пестово</t>
  </si>
  <si>
    <t xml:space="preserve">Зуева</t>
  </si>
  <si>
    <t xml:space="preserve">г. Шагонар</t>
  </si>
  <si>
    <t xml:space="preserve">Шарапов</t>
  </si>
  <si>
    <t xml:space="preserve">Мстислав</t>
  </si>
  <si>
    <t xml:space="preserve">г. Кимры</t>
  </si>
  <si>
    <t xml:space="preserve">Мироновна</t>
  </si>
  <si>
    <t xml:space="preserve">г. Оленегорск</t>
  </si>
  <si>
    <t xml:space="preserve">Вадим</t>
  </si>
  <si>
    <t xml:space="preserve">Ефимович</t>
  </si>
  <si>
    <t xml:space="preserve">г. Островной</t>
  </si>
  <si>
    <t xml:space="preserve">Зиновьева</t>
  </si>
  <si>
    <t xml:space="preserve">Любовь</t>
  </si>
  <si>
    <t xml:space="preserve">Геннадиевна</t>
  </si>
  <si>
    <t xml:space="preserve">г. Олёкминск</t>
  </si>
  <si>
    <t xml:space="preserve">г. Шацк</t>
  </si>
  <si>
    <t xml:space="preserve">Викентий</t>
  </si>
  <si>
    <t xml:space="preserve">Валентинович</t>
  </si>
  <si>
    <t xml:space="preserve">г. Белоусово</t>
  </si>
  <si>
    <t xml:space="preserve">Маргарита</t>
  </si>
  <si>
    <t xml:space="preserve">г. Вельск</t>
  </si>
  <si>
    <t xml:space="preserve">Горбунова</t>
  </si>
  <si>
    <t xml:space="preserve">Тамара</t>
  </si>
  <si>
    <t xml:space="preserve">Виноградов</t>
  </si>
  <si>
    <t xml:space="preserve">Гертрудович</t>
  </si>
  <si>
    <t xml:space="preserve">г. Торжок</t>
  </si>
  <si>
    <t xml:space="preserve">Бобылев</t>
  </si>
  <si>
    <t xml:space="preserve">Богданович</t>
  </si>
  <si>
    <t xml:space="preserve">г. Учалы</t>
  </si>
  <si>
    <t xml:space="preserve">Зайцев</t>
  </si>
  <si>
    <t xml:space="preserve">Кир</t>
  </si>
  <si>
    <t xml:space="preserve">Федосьевич</t>
  </si>
  <si>
    <t xml:space="preserve">г. Иркутск</t>
  </si>
  <si>
    <t xml:space="preserve">Максимова</t>
  </si>
  <si>
    <t xml:space="preserve">Анжела</t>
  </si>
  <si>
    <t xml:space="preserve">Артемовна</t>
  </si>
  <si>
    <t xml:space="preserve">Кира</t>
  </si>
  <si>
    <t xml:space="preserve">Николай</t>
  </si>
  <si>
    <t xml:space="preserve">Фёдорович</t>
  </si>
  <si>
    <t xml:space="preserve">г. Павлово</t>
  </si>
  <si>
    <t xml:space="preserve">Голубева</t>
  </si>
  <si>
    <t xml:space="preserve">г. Тулун</t>
  </si>
  <si>
    <t xml:space="preserve">Дмитриев</t>
  </si>
  <si>
    <t xml:space="preserve">Федосий</t>
  </si>
  <si>
    <t xml:space="preserve">г. Гдов</t>
  </si>
  <si>
    <t xml:space="preserve">Гордеева</t>
  </si>
  <si>
    <t xml:space="preserve">г. Микунь</t>
  </si>
  <si>
    <t xml:space="preserve">Пономарев</t>
  </si>
  <si>
    <t xml:space="preserve">г. Вязьма</t>
  </si>
  <si>
    <t xml:space="preserve">Любим</t>
  </si>
  <si>
    <t xml:space="preserve">Аверьянович</t>
  </si>
  <si>
    <t xml:space="preserve">г. Избербаш</t>
  </si>
  <si>
    <t xml:space="preserve">г. Зеленокумск</t>
  </si>
  <si>
    <t xml:space="preserve">Большаков</t>
  </si>
  <si>
    <t xml:space="preserve">г. Коломна</t>
  </si>
  <si>
    <t xml:space="preserve">г. Мантурово</t>
  </si>
  <si>
    <t xml:space="preserve">Сафонов</t>
  </si>
  <si>
    <t xml:space="preserve">Станислав</t>
  </si>
  <si>
    <t xml:space="preserve">Жукова</t>
  </si>
  <si>
    <t xml:space="preserve">Давыдов</t>
  </si>
  <si>
    <t xml:space="preserve">Яков</t>
  </si>
  <si>
    <t xml:space="preserve">Екатерина</t>
  </si>
  <si>
    <t xml:space="preserve">г. Себеж</t>
  </si>
  <si>
    <t xml:space="preserve">Фрол</t>
  </si>
  <si>
    <t xml:space="preserve">Васильевич</t>
  </si>
  <si>
    <t xml:space="preserve">г. Иваново</t>
  </si>
  <si>
    <t xml:space="preserve">Комаров</t>
  </si>
  <si>
    <t xml:space="preserve">Носкова</t>
  </si>
  <si>
    <t xml:space="preserve">Олимпиада</t>
  </si>
  <si>
    <t xml:space="preserve">Болеславовна</t>
  </si>
  <si>
    <t xml:space="preserve">г. Сарапул</t>
  </si>
  <si>
    <t xml:space="preserve">Гаврилова</t>
  </si>
  <si>
    <t xml:space="preserve">Жанна</t>
  </si>
  <si>
    <t xml:space="preserve">г. Королёв</t>
  </si>
  <si>
    <t xml:space="preserve">Субботина</t>
  </si>
  <si>
    <t xml:space="preserve">г. Урень</t>
  </si>
  <si>
    <t xml:space="preserve">Антонова</t>
  </si>
  <si>
    <t xml:space="preserve">г. Нововоронеж</t>
  </si>
  <si>
    <t xml:space="preserve">Афанасьев</t>
  </si>
  <si>
    <t xml:space="preserve">Петр</t>
  </si>
  <si>
    <t xml:space="preserve">Русаков</t>
  </si>
  <si>
    <t xml:space="preserve">Азарий</t>
  </si>
  <si>
    <t xml:space="preserve">г. Сухиничи</t>
  </si>
  <si>
    <t xml:space="preserve">Русакова</t>
  </si>
  <si>
    <t xml:space="preserve">г. Звенигово</t>
  </si>
  <si>
    <t xml:space="preserve">Герасимов</t>
  </si>
  <si>
    <t xml:space="preserve">Эммануил</t>
  </si>
  <si>
    <t xml:space="preserve">г. Ряжск</t>
  </si>
  <si>
    <t xml:space="preserve">Медведев</t>
  </si>
  <si>
    <t xml:space="preserve">Стоян</t>
  </si>
  <si>
    <t xml:space="preserve">г. Осташков</t>
  </si>
  <si>
    <t xml:space="preserve">Олег</t>
  </si>
  <si>
    <t xml:space="preserve">Ильин</t>
  </si>
  <si>
    <t xml:space="preserve">Ярополк</t>
  </si>
  <si>
    <t xml:space="preserve">г. Светогорск</t>
  </si>
  <si>
    <t xml:space="preserve">Демьян</t>
  </si>
  <si>
    <t xml:space="preserve">Захарьевич</t>
  </si>
  <si>
    <t xml:space="preserve">г. Благовещенск</t>
  </si>
  <si>
    <t xml:space="preserve">Кириллов</t>
  </si>
  <si>
    <t xml:space="preserve">Сильвестр</t>
  </si>
  <si>
    <t xml:space="preserve">Владиславович</t>
  </si>
  <si>
    <t xml:space="preserve">г. Самара</t>
  </si>
  <si>
    <t xml:space="preserve">Евфросиния</t>
  </si>
  <si>
    <t xml:space="preserve">г. Омутнинск</t>
  </si>
  <si>
    <t xml:space="preserve">Пелагея</t>
  </si>
  <si>
    <t xml:space="preserve">Беляева</t>
  </si>
  <si>
    <t xml:space="preserve">г. Осинники</t>
  </si>
  <si>
    <t xml:space="preserve">Жуков</t>
  </si>
  <si>
    <t xml:space="preserve">Конон</t>
  </si>
  <si>
    <t xml:space="preserve">г. Хотьково</t>
  </si>
  <si>
    <t xml:space="preserve">Оксана</t>
  </si>
  <si>
    <t xml:space="preserve">г. Шенкурск</t>
  </si>
  <si>
    <t xml:space="preserve">г. Арск</t>
  </si>
  <si>
    <t xml:space="preserve">Эрнст</t>
  </si>
  <si>
    <t xml:space="preserve">г. Бородино</t>
  </si>
  <si>
    <t xml:space="preserve">Фадей</t>
  </si>
  <si>
    <t xml:space="preserve">г. Павловск</t>
  </si>
  <si>
    <t xml:space="preserve">г. Райчихинск</t>
  </si>
  <si>
    <t xml:space="preserve">Гуляев</t>
  </si>
  <si>
    <t xml:space="preserve">Велимир</t>
  </si>
  <si>
    <t xml:space="preserve">г. Шахунья</t>
  </si>
  <si>
    <t xml:space="preserve">Костина</t>
  </si>
  <si>
    <t xml:space="preserve">г. Славск</t>
  </si>
  <si>
    <t xml:space="preserve">Соловьева</t>
  </si>
  <si>
    <t xml:space="preserve">Дмитриевна</t>
  </si>
  <si>
    <t xml:space="preserve">г. Печора</t>
  </si>
  <si>
    <t xml:space="preserve">Титов</t>
  </si>
  <si>
    <t xml:space="preserve">Капитон</t>
  </si>
  <si>
    <t xml:space="preserve">г. Отрадный</t>
  </si>
  <si>
    <t xml:space="preserve">Рыбаков</t>
  </si>
  <si>
    <t xml:space="preserve">Феофан</t>
  </si>
  <si>
    <t xml:space="preserve">г. Волгоград</t>
  </si>
  <si>
    <t xml:space="preserve">Иосифович</t>
  </si>
  <si>
    <t xml:space="preserve">Трофимова</t>
  </si>
  <si>
    <t xml:space="preserve">г. Тара</t>
  </si>
  <si>
    <t xml:space="preserve">г. Лакинск</t>
  </si>
  <si>
    <t xml:space="preserve">Колесников</t>
  </si>
  <si>
    <t xml:space="preserve">Максим</t>
  </si>
  <si>
    <t xml:space="preserve">Глебович</t>
  </si>
  <si>
    <t xml:space="preserve">г. Галич</t>
  </si>
  <si>
    <t xml:space="preserve">г. Курганинск</t>
  </si>
  <si>
    <t xml:space="preserve">г. Асино</t>
  </si>
  <si>
    <t xml:space="preserve">Гусев</t>
  </si>
  <si>
    <t xml:space="preserve">Герман</t>
  </si>
  <si>
    <t xml:space="preserve">Федотович</t>
  </si>
  <si>
    <t xml:space="preserve">г. Кушва</t>
  </si>
  <si>
    <t xml:space="preserve">Лобанова</t>
  </si>
  <si>
    <t xml:space="preserve">г. Касли</t>
  </si>
  <si>
    <t xml:space="preserve">Маслова</t>
  </si>
  <si>
    <t xml:space="preserve">г. Камышлов</t>
  </si>
  <si>
    <t xml:space="preserve">Лора</t>
  </si>
  <si>
    <t xml:space="preserve">г. Котовск</t>
  </si>
  <si>
    <t xml:space="preserve">Давидович</t>
  </si>
  <si>
    <t xml:space="preserve">Котова</t>
  </si>
  <si>
    <t xml:space="preserve">Елизавета</t>
  </si>
  <si>
    <t xml:space="preserve">Романовна</t>
  </si>
  <si>
    <t xml:space="preserve">г. Нефтегорск</t>
  </si>
  <si>
    <t xml:space="preserve">Федорова</t>
  </si>
  <si>
    <t xml:space="preserve">Октябрина</t>
  </si>
  <si>
    <t xml:space="preserve">г. Ельня</t>
  </si>
  <si>
    <t xml:space="preserve">Громов</t>
  </si>
  <si>
    <t xml:space="preserve">Эраст</t>
  </si>
  <si>
    <t xml:space="preserve">г. Сибай</t>
  </si>
  <si>
    <t xml:space="preserve">Григорьева</t>
  </si>
  <si>
    <t xml:space="preserve">г. Нязепетровск</t>
  </si>
  <si>
    <t xml:space="preserve">Доронина</t>
  </si>
  <si>
    <t xml:space="preserve">Эдуард</t>
  </si>
  <si>
    <t xml:space="preserve">г. Сертолово</t>
  </si>
  <si>
    <t xml:space="preserve">Юдина</t>
  </si>
  <si>
    <t xml:space="preserve">г. Рославль</t>
  </si>
  <si>
    <t xml:space="preserve">Игнатов</t>
  </si>
  <si>
    <t xml:space="preserve">Илья</t>
  </si>
  <si>
    <t xml:space="preserve">Богдановна</t>
  </si>
  <si>
    <t xml:space="preserve">г. Елец</t>
  </si>
  <si>
    <t xml:space="preserve">Рудольфовна</t>
  </si>
  <si>
    <t xml:space="preserve">г. Артём</t>
  </si>
  <si>
    <t xml:space="preserve">Акулина</t>
  </si>
  <si>
    <t xml:space="preserve">г. Жиздра</t>
  </si>
  <si>
    <t xml:space="preserve">Валентина</t>
  </si>
  <si>
    <t xml:space="preserve">Юльевна</t>
  </si>
  <si>
    <t xml:space="preserve">г. Инсар</t>
  </si>
  <si>
    <t xml:space="preserve">г. Орлов</t>
  </si>
  <si>
    <t xml:space="preserve">Юдин</t>
  </si>
  <si>
    <t xml:space="preserve">Казимир</t>
  </si>
  <si>
    <t xml:space="preserve">Дмитриева</t>
  </si>
  <si>
    <t xml:space="preserve">Ильинична</t>
  </si>
  <si>
    <t xml:space="preserve">г. Кемерово</t>
  </si>
  <si>
    <t xml:space="preserve">Одинцов</t>
  </si>
  <si>
    <t xml:space="preserve">Терентьевич</t>
  </si>
  <si>
    <t xml:space="preserve">г. Дзержинский</t>
  </si>
  <si>
    <t xml:space="preserve">Максимильян</t>
  </si>
  <si>
    <t xml:space="preserve">Еремеевич</t>
  </si>
  <si>
    <t xml:space="preserve">г. Сегежа</t>
  </si>
  <si>
    <t xml:space="preserve">Муравьева</t>
  </si>
  <si>
    <t xml:space="preserve">Феликсовна</t>
  </si>
  <si>
    <t xml:space="preserve">г. Ханты-Мансийск</t>
  </si>
  <si>
    <t xml:space="preserve">Святослав</t>
  </si>
  <si>
    <t xml:space="preserve">г. Богородицк</t>
  </si>
  <si>
    <t xml:space="preserve">Субботин</t>
  </si>
  <si>
    <t xml:space="preserve">Адам</t>
  </si>
  <si>
    <t xml:space="preserve">Харитонов</t>
  </si>
  <si>
    <t xml:space="preserve">г. Ардон</t>
  </si>
  <si>
    <t xml:space="preserve">Любосмысл</t>
  </si>
  <si>
    <t xml:space="preserve">Демьянович</t>
  </si>
  <si>
    <t xml:space="preserve">г. Нефтекамск</t>
  </si>
  <si>
    <t xml:space="preserve">Иванов</t>
  </si>
  <si>
    <t xml:space="preserve">Всемил</t>
  </si>
  <si>
    <t xml:space="preserve">Филимон</t>
  </si>
  <si>
    <t xml:space="preserve">Дроздов</t>
  </si>
  <si>
    <t xml:space="preserve">Григорий</t>
  </si>
  <si>
    <t xml:space="preserve">Эдгардович</t>
  </si>
  <si>
    <t xml:space="preserve">г. Оса</t>
  </si>
  <si>
    <t xml:space="preserve">Евгения</t>
  </si>
  <si>
    <t xml:space="preserve">г. Богданович</t>
  </si>
  <si>
    <t xml:space="preserve">Кузнецов</t>
  </si>
  <si>
    <t xml:space="preserve">Григорьевич</t>
  </si>
  <si>
    <t xml:space="preserve">г. Камешково</t>
  </si>
  <si>
    <t xml:space="preserve">Демид</t>
  </si>
  <si>
    <t xml:space="preserve">Алексеевич</t>
  </si>
  <si>
    <t xml:space="preserve">г. Чадан</t>
  </si>
  <si>
    <t xml:space="preserve">Исидор</t>
  </si>
  <si>
    <t xml:space="preserve">Абрамович</t>
  </si>
  <si>
    <t xml:space="preserve">г. Сольвычегодск</t>
  </si>
  <si>
    <t xml:space="preserve">Кошелев</t>
  </si>
  <si>
    <t xml:space="preserve">г. Новоузенск</t>
  </si>
  <si>
    <t xml:space="preserve">Титова</t>
  </si>
  <si>
    <t xml:space="preserve">г. Кашира</t>
  </si>
  <si>
    <t xml:space="preserve">Турова</t>
  </si>
  <si>
    <t xml:space="preserve">г. Сердобск</t>
  </si>
  <si>
    <t xml:space="preserve">Туров</t>
  </si>
  <si>
    <t xml:space="preserve">Меркушев</t>
  </si>
  <si>
    <t xml:space="preserve">г. Рыбинск</t>
  </si>
  <si>
    <t xml:space="preserve">Мариан</t>
  </si>
  <si>
    <t xml:space="preserve">г. Батайск</t>
  </si>
  <si>
    <t xml:space="preserve">Воробьев</t>
  </si>
  <si>
    <t xml:space="preserve">Евлампий</t>
  </si>
  <si>
    <t xml:space="preserve">Тарасович</t>
  </si>
  <si>
    <t xml:space="preserve">г. Гатчина</t>
  </si>
  <si>
    <t xml:space="preserve">г. Шумиха</t>
  </si>
  <si>
    <t xml:space="preserve">Архипова</t>
  </si>
  <si>
    <t xml:space="preserve">Егоровна</t>
  </si>
  <si>
    <t xml:space="preserve">г. Кириши</t>
  </si>
  <si>
    <t xml:space="preserve">Беляков</t>
  </si>
  <si>
    <t xml:space="preserve">Георгий</t>
  </si>
  <si>
    <t xml:space="preserve">Измаилович</t>
  </si>
  <si>
    <t xml:space="preserve">г. Белоозёрский</t>
  </si>
  <si>
    <t xml:space="preserve">Миронов</t>
  </si>
  <si>
    <t xml:space="preserve">Ипатий</t>
  </si>
  <si>
    <t xml:space="preserve">г. Абдулино</t>
  </si>
  <si>
    <t xml:space="preserve">Гущин</t>
  </si>
  <si>
    <t xml:space="preserve">Мечислав</t>
  </si>
  <si>
    <t xml:space="preserve">Иосипович</t>
  </si>
  <si>
    <t xml:space="preserve">г. Воскресенск</t>
  </si>
  <si>
    <t xml:space="preserve">Григорьев</t>
  </si>
  <si>
    <t xml:space="preserve">Влас</t>
  </si>
  <si>
    <t xml:space="preserve">Трофим</t>
  </si>
  <si>
    <t xml:space="preserve">г. Клин</t>
  </si>
  <si>
    <t xml:space="preserve">Гурьев</t>
  </si>
  <si>
    <t xml:space="preserve">Ираклий</t>
  </si>
  <si>
    <t xml:space="preserve">г. Алатырь</t>
  </si>
  <si>
    <t xml:space="preserve">Орлова</t>
  </si>
  <si>
    <t xml:space="preserve">Нина</t>
  </si>
  <si>
    <t xml:space="preserve">г. Видное</t>
  </si>
  <si>
    <t xml:space="preserve">Константинов</t>
  </si>
  <si>
    <t xml:space="preserve">Артурович</t>
  </si>
  <si>
    <t xml:space="preserve">г. Новодвинск</t>
  </si>
  <si>
    <t xml:space="preserve">Калинин</t>
  </si>
  <si>
    <t xml:space="preserve">Леон</t>
  </si>
  <si>
    <t xml:space="preserve">Жанович</t>
  </si>
  <si>
    <t xml:space="preserve">г. Мариинск</t>
  </si>
  <si>
    <t xml:space="preserve">Мамонтова</t>
  </si>
  <si>
    <t xml:space="preserve">г. Кувшиново</t>
  </si>
  <si>
    <t xml:space="preserve">Быкова</t>
  </si>
  <si>
    <t xml:space="preserve">г. Пласт</t>
  </si>
  <si>
    <t xml:space="preserve">Борисова</t>
  </si>
  <si>
    <t xml:space="preserve">г. Лебедянь</t>
  </si>
  <si>
    <t xml:space="preserve">Сорокин</t>
  </si>
  <si>
    <t xml:space="preserve">Коновалова</t>
  </si>
  <si>
    <t xml:space="preserve">г. Камызяк</t>
  </si>
  <si>
    <t xml:space="preserve">Гаврилов</t>
  </si>
  <si>
    <t xml:space="preserve">Парамон</t>
  </si>
  <si>
    <t xml:space="preserve">г. Лихославль</t>
  </si>
  <si>
    <t xml:space="preserve">г. Дедовск</t>
  </si>
  <si>
    <t xml:space="preserve">Емельянова</t>
  </si>
  <si>
    <t xml:space="preserve">Виссарион</t>
  </si>
  <si>
    <t xml:space="preserve">Исидорович</t>
  </si>
  <si>
    <t xml:space="preserve">г. Северо-Курильск</t>
  </si>
  <si>
    <t xml:space="preserve">г. Козельск</t>
  </si>
  <si>
    <t xml:space="preserve">Александров</t>
  </si>
  <si>
    <t xml:space="preserve">г. Хасавюрт</t>
  </si>
  <si>
    <t xml:space="preserve">Ширяев</t>
  </si>
  <si>
    <t xml:space="preserve">Мир</t>
  </si>
  <si>
    <t xml:space="preserve">г. Ликино-Дулёво</t>
  </si>
  <si>
    <t xml:space="preserve">г. Сафоново</t>
  </si>
  <si>
    <t xml:space="preserve">Валерьянович</t>
  </si>
  <si>
    <t xml:space="preserve">г. Моздок</t>
  </si>
  <si>
    <t xml:space="preserve">Остромир</t>
  </si>
  <si>
    <t xml:space="preserve">г. Тырныауз</t>
  </si>
  <si>
    <t xml:space="preserve">Архипов</t>
  </si>
  <si>
    <t xml:space="preserve">Савватий</t>
  </si>
  <si>
    <t xml:space="preserve">Бажен</t>
  </si>
  <si>
    <t xml:space="preserve">Федосеевич</t>
  </si>
  <si>
    <t xml:space="preserve">г. Яранск</t>
  </si>
  <si>
    <t xml:space="preserve">Еремей</t>
  </si>
  <si>
    <t xml:space="preserve">г. Комсомольск</t>
  </si>
  <si>
    <t xml:space="preserve">Амос</t>
  </si>
  <si>
    <t xml:space="preserve">г. Томск</t>
  </si>
  <si>
    <t xml:space="preserve">Пров</t>
  </si>
  <si>
    <t xml:space="preserve">Лапина</t>
  </si>
  <si>
    <t xml:space="preserve">Щукин</t>
  </si>
  <si>
    <t xml:space="preserve">г. Алапаевск</t>
  </si>
  <si>
    <t xml:space="preserve">Симонов</t>
  </si>
  <si>
    <t xml:space="preserve">Дмитриевич</t>
  </si>
  <si>
    <t xml:space="preserve">г. Лесной</t>
  </si>
  <si>
    <t xml:space="preserve">Пахом</t>
  </si>
  <si>
    <t xml:space="preserve">г. Изобильный</t>
  </si>
  <si>
    <t xml:space="preserve">Карпов</t>
  </si>
  <si>
    <t xml:space="preserve">Глеб</t>
  </si>
  <si>
    <t xml:space="preserve">г. Ворсма</t>
  </si>
  <si>
    <t xml:space="preserve">Блохин</t>
  </si>
  <si>
    <t xml:space="preserve">Руслан</t>
  </si>
  <si>
    <t xml:space="preserve">Трифонович</t>
  </si>
  <si>
    <t xml:space="preserve">г. Заозёрный</t>
  </si>
  <si>
    <t xml:space="preserve">Милен</t>
  </si>
  <si>
    <t xml:space="preserve">г. Арамиль</t>
  </si>
  <si>
    <t xml:space="preserve">Петрова</t>
  </si>
  <si>
    <t xml:space="preserve">Евгеньевна</t>
  </si>
  <si>
    <t xml:space="preserve">г. Полесск</t>
  </si>
  <si>
    <t xml:space="preserve">Мартынов</t>
  </si>
  <si>
    <t xml:space="preserve">г. Нюрба</t>
  </si>
  <si>
    <t xml:space="preserve">Сысоев</t>
  </si>
  <si>
    <t xml:space="preserve">Федотова</t>
  </si>
  <si>
    <t xml:space="preserve">Самуил</t>
  </si>
  <si>
    <t xml:space="preserve">Августович</t>
  </si>
  <si>
    <t xml:space="preserve">г. Ковров</t>
  </si>
  <si>
    <t xml:space="preserve">г. Сясьстрой</t>
  </si>
  <si>
    <t xml:space="preserve">Арсенович</t>
  </si>
  <si>
    <t xml:space="preserve">Филипповна</t>
  </si>
  <si>
    <t xml:space="preserve">Евгений</t>
  </si>
  <si>
    <t xml:space="preserve">Харлампьевич</t>
  </si>
  <si>
    <t xml:space="preserve">Агафонов</t>
  </si>
  <si>
    <t xml:space="preserve">Ааронович</t>
  </si>
  <si>
    <t xml:space="preserve">г. Сретенск</t>
  </si>
  <si>
    <t xml:space="preserve">Шилова</t>
  </si>
  <si>
    <t xml:space="preserve">г. Череповец</t>
  </si>
  <si>
    <t xml:space="preserve">Анатолий</t>
  </si>
  <si>
    <t xml:space="preserve">г. Якутск</t>
  </si>
  <si>
    <t xml:space="preserve">Антонов</t>
  </si>
  <si>
    <t xml:space="preserve">Лазарь</t>
  </si>
  <si>
    <t xml:space="preserve">г. Октябрьск</t>
  </si>
  <si>
    <t xml:space="preserve">Вишнякова</t>
  </si>
  <si>
    <t xml:space="preserve">г. Сосновка</t>
  </si>
  <si>
    <t xml:space="preserve">г. Шадринск</t>
  </si>
  <si>
    <t xml:space="preserve">Васильева</t>
  </si>
  <si>
    <t xml:space="preserve">г. Аша</t>
  </si>
  <si>
    <t xml:space="preserve">Шубина</t>
  </si>
  <si>
    <t xml:space="preserve">г. Чудово</t>
  </si>
  <si>
    <t xml:space="preserve">Федоровна</t>
  </si>
  <si>
    <t xml:space="preserve">г. Хабаровск</t>
  </si>
  <si>
    <t xml:space="preserve">Федот</t>
  </si>
  <si>
    <t xml:space="preserve">Георгиевич</t>
  </si>
  <si>
    <t xml:space="preserve">Кононов</t>
  </si>
  <si>
    <t xml:space="preserve">Афанасий</t>
  </si>
  <si>
    <t xml:space="preserve">г. Горняк</t>
  </si>
  <si>
    <t xml:space="preserve">Лукин</t>
  </si>
  <si>
    <t xml:space="preserve">Аверкий</t>
  </si>
  <si>
    <t xml:space="preserve">Егорович</t>
  </si>
  <si>
    <t xml:space="preserve">Ермакова</t>
  </si>
  <si>
    <t xml:space="preserve">г. Яровое</t>
  </si>
  <si>
    <t xml:space="preserve">г. Темрюк</t>
  </si>
  <si>
    <t xml:space="preserve">Пестов</t>
  </si>
  <si>
    <t xml:space="preserve">г. Котово</t>
  </si>
  <si>
    <t xml:space="preserve">Александра</t>
  </si>
  <si>
    <t xml:space="preserve">Симонова</t>
  </si>
  <si>
    <t xml:space="preserve">г. Талдом</t>
  </si>
  <si>
    <t xml:space="preserve">Маслов</t>
  </si>
  <si>
    <t xml:space="preserve">Харламович</t>
  </si>
  <si>
    <t xml:space="preserve">Шестаков</t>
  </si>
  <si>
    <t xml:space="preserve">г. Кореновск</t>
  </si>
  <si>
    <t xml:space="preserve">Павлова</t>
  </si>
  <si>
    <t xml:space="preserve">Сергеевна</t>
  </si>
  <si>
    <t xml:space="preserve">Мельников</t>
  </si>
  <si>
    <t xml:space="preserve">Роман</t>
  </si>
  <si>
    <t xml:space="preserve">г. Ярославль</t>
  </si>
  <si>
    <t xml:space="preserve">г. Певек</t>
  </si>
  <si>
    <t xml:space="preserve">г. Сысерть</t>
  </si>
  <si>
    <t xml:space="preserve">Доронин</t>
  </si>
  <si>
    <t xml:space="preserve">Мартынова</t>
  </si>
  <si>
    <t xml:space="preserve">Филипп</t>
  </si>
  <si>
    <t xml:space="preserve">г. Рудня</t>
  </si>
  <si>
    <t xml:space="preserve">Красильников</t>
  </si>
  <si>
    <t xml:space="preserve">Андреевич</t>
  </si>
  <si>
    <t xml:space="preserve">г. Пошехонье</t>
  </si>
  <si>
    <t xml:space="preserve">Олеговна</t>
  </si>
  <si>
    <t xml:space="preserve">г. Белебей</t>
  </si>
  <si>
    <t xml:space="preserve">Кириллова</t>
  </si>
  <si>
    <t xml:space="preserve">г. Зима</t>
  </si>
  <si>
    <t xml:space="preserve">Виноградова</t>
  </si>
  <si>
    <t xml:space="preserve">Парфен</t>
  </si>
  <si>
    <t xml:space="preserve">Дорофеева</t>
  </si>
  <si>
    <t xml:space="preserve">г. Шимановск</t>
  </si>
  <si>
    <t xml:space="preserve">Носков</t>
  </si>
  <si>
    <t xml:space="preserve">Владиленович</t>
  </si>
  <si>
    <t xml:space="preserve">г. Грязовец</t>
  </si>
  <si>
    <t xml:space="preserve">Ермолаевич</t>
  </si>
  <si>
    <t xml:space="preserve">Шашкова</t>
  </si>
  <si>
    <t xml:space="preserve">г. Корсаков</t>
  </si>
  <si>
    <t xml:space="preserve">Валерьян</t>
  </si>
  <si>
    <t xml:space="preserve">Соболев</t>
  </si>
  <si>
    <t xml:space="preserve">г. Малоярославец</t>
  </si>
  <si>
    <t xml:space="preserve">Королева</t>
  </si>
  <si>
    <t xml:space="preserve">г. Усть-Лабинск</t>
  </si>
  <si>
    <t xml:space="preserve">Овчинников</t>
  </si>
  <si>
    <t xml:space="preserve">Митофан</t>
  </si>
  <si>
    <t xml:space="preserve">Яковлевич</t>
  </si>
  <si>
    <t xml:space="preserve">г. Нижневартовск</t>
  </si>
  <si>
    <t xml:space="preserve">г. Салехард</t>
  </si>
  <si>
    <t xml:space="preserve">г. Первоуральск</t>
  </si>
  <si>
    <t xml:space="preserve">Николаева</t>
  </si>
  <si>
    <t xml:space="preserve">Феврония</t>
  </si>
  <si>
    <t xml:space="preserve">г. Раменское</t>
  </si>
  <si>
    <t xml:space="preserve">Владимирова</t>
  </si>
  <si>
    <t xml:space="preserve">г. Козловка</t>
  </si>
  <si>
    <t xml:space="preserve">Авксентий</t>
  </si>
  <si>
    <t xml:space="preserve">г. Каменск-Шахтинский</t>
  </si>
  <si>
    <t xml:space="preserve">г. Кашин</t>
  </si>
  <si>
    <t xml:space="preserve">Журавлева</t>
  </si>
  <si>
    <t xml:space="preserve">Медведева</t>
  </si>
  <si>
    <t xml:space="preserve">г. Луга</t>
  </si>
  <si>
    <t xml:space="preserve">г. Купино</t>
  </si>
  <si>
    <t xml:space="preserve">Прохоров</t>
  </si>
  <si>
    <t xml:space="preserve">Иосиф</t>
  </si>
  <si>
    <t xml:space="preserve">г. Пролетарск</t>
  </si>
  <si>
    <t xml:space="preserve">Лазарев</t>
  </si>
  <si>
    <t xml:space="preserve">г. Кострома</t>
  </si>
  <si>
    <t xml:space="preserve">Богданов</t>
  </si>
  <si>
    <t xml:space="preserve">Елизар</t>
  </si>
  <si>
    <t xml:space="preserve">г. Верещагино</t>
  </si>
  <si>
    <t xml:space="preserve">Романова</t>
  </si>
  <si>
    <t xml:space="preserve">Гавриилович</t>
  </si>
  <si>
    <t xml:space="preserve">Вячеславовна</t>
  </si>
  <si>
    <t xml:space="preserve">г. Нерчинск</t>
  </si>
  <si>
    <t xml:space="preserve">Суворов</t>
  </si>
  <si>
    <t xml:space="preserve">Леонид</t>
  </si>
  <si>
    <t xml:space="preserve">г. Неман</t>
  </si>
  <si>
    <t xml:space="preserve">Воронцова</t>
  </si>
  <si>
    <t xml:space="preserve">г. Ленинск</t>
  </si>
  <si>
    <t xml:space="preserve">Васильевна</t>
  </si>
  <si>
    <t xml:space="preserve">Устинов</t>
  </si>
  <si>
    <t xml:space="preserve">Святополк</t>
  </si>
  <si>
    <t xml:space="preserve">Семенова</t>
  </si>
  <si>
    <t xml:space="preserve">г. Суоярви</t>
  </si>
  <si>
    <t xml:space="preserve">Чернова</t>
  </si>
  <si>
    <t xml:space="preserve">Силин</t>
  </si>
  <si>
    <t xml:space="preserve">Морозов</t>
  </si>
  <si>
    <t xml:space="preserve">Арсений</t>
  </si>
  <si>
    <t xml:space="preserve">г. Заречный</t>
  </si>
  <si>
    <t xml:space="preserve">Пантелеймон</t>
  </si>
  <si>
    <t xml:space="preserve">г. Кондопога</t>
  </si>
  <si>
    <t xml:space="preserve">Гришина</t>
  </si>
  <si>
    <t xml:space="preserve">Захар</t>
  </si>
  <si>
    <t xml:space="preserve">г. Спасск-Рязанский</t>
  </si>
  <si>
    <t xml:space="preserve">г. Семёнов</t>
  </si>
  <si>
    <t xml:space="preserve">Вишняков</t>
  </si>
  <si>
    <t xml:space="preserve">г. Мирный</t>
  </si>
  <si>
    <t xml:space="preserve">Белякова</t>
  </si>
  <si>
    <t xml:space="preserve">Сила</t>
  </si>
  <si>
    <t xml:space="preserve">г. Вуктыл</t>
  </si>
  <si>
    <t xml:space="preserve">Марков</t>
  </si>
  <si>
    <t xml:space="preserve">г. Елизово</t>
  </si>
  <si>
    <t xml:space="preserve">Симон</t>
  </si>
  <si>
    <t xml:space="preserve">Мишина</t>
  </si>
  <si>
    <t xml:space="preserve">Ираида</t>
  </si>
  <si>
    <t xml:space="preserve">Казаков</t>
  </si>
  <si>
    <t xml:space="preserve">Антонин</t>
  </si>
  <si>
    <t xml:space="preserve">Селиверстов</t>
  </si>
  <si>
    <t xml:space="preserve">Карл</t>
  </si>
  <si>
    <t xml:space="preserve">г. Белореченск</t>
  </si>
  <si>
    <t xml:space="preserve">Пахомов</t>
  </si>
  <si>
    <t xml:space="preserve">Суханова</t>
  </si>
  <si>
    <t xml:space="preserve">г. Верхоянск</t>
  </si>
  <si>
    <t xml:space="preserve">Миронова</t>
  </si>
  <si>
    <t xml:space="preserve">Брагин</t>
  </si>
  <si>
    <t xml:space="preserve">г. Когалым</t>
  </si>
  <si>
    <t xml:space="preserve">Лука</t>
  </si>
  <si>
    <t xml:space="preserve">Уваров</t>
  </si>
  <si>
    <t xml:space="preserve">Рюрик</t>
  </si>
  <si>
    <t xml:space="preserve">г. Балабаново</t>
  </si>
  <si>
    <t xml:space="preserve">г. Куртамыш</t>
  </si>
  <si>
    <t xml:space="preserve">г. Ладушкин</t>
  </si>
  <si>
    <t xml:space="preserve">г. Яхрома</t>
  </si>
  <si>
    <t xml:space="preserve">Савин</t>
  </si>
  <si>
    <t xml:space="preserve">Болеслав</t>
  </si>
  <si>
    <t xml:space="preserve">г. Кропоткин</t>
  </si>
  <si>
    <t xml:space="preserve">Богданова</t>
  </si>
  <si>
    <t xml:space="preserve">Нинель</t>
  </si>
  <si>
    <t xml:space="preserve">г. Городовиковск</t>
  </si>
  <si>
    <t xml:space="preserve">г. Тихорецк</t>
  </si>
  <si>
    <t xml:space="preserve">Вацлав</t>
  </si>
  <si>
    <t xml:space="preserve">Феоктистович</t>
  </si>
  <si>
    <t xml:space="preserve">г. Бавлы</t>
  </si>
  <si>
    <t xml:space="preserve">г. Фатеж</t>
  </si>
  <si>
    <t xml:space="preserve">г. Коммунар</t>
  </si>
  <si>
    <t xml:space="preserve">Аверьян</t>
  </si>
  <si>
    <t xml:space="preserve">г. Дальнереченск</t>
  </si>
  <si>
    <t xml:space="preserve">Климент</t>
  </si>
  <si>
    <t xml:space="preserve">г. Новохопёрск</t>
  </si>
  <si>
    <t xml:space="preserve">Зимина</t>
  </si>
  <si>
    <t xml:space="preserve">Колесникова</t>
  </si>
  <si>
    <t xml:space="preserve">г. Майкоп</t>
  </si>
  <si>
    <t xml:space="preserve">г. Ачинск</t>
  </si>
  <si>
    <t xml:space="preserve">Андрон</t>
  </si>
  <si>
    <t xml:space="preserve">Ефремович</t>
  </si>
  <si>
    <t xml:space="preserve">г. Ижевск</t>
  </si>
  <si>
    <t xml:space="preserve">Буров</t>
  </si>
  <si>
    <t xml:space="preserve">г. Астрахань</t>
  </si>
  <si>
    <t xml:space="preserve">Филиппов</t>
  </si>
  <si>
    <t xml:space="preserve">Трифон</t>
  </si>
  <si>
    <t xml:space="preserve">г. Велиж</t>
  </si>
  <si>
    <t xml:space="preserve">Якушева</t>
  </si>
  <si>
    <t xml:space="preserve">г. Онега</t>
  </si>
  <si>
    <t xml:space="preserve">г. Тверь</t>
  </si>
  <si>
    <t xml:space="preserve">г. Фокино</t>
  </si>
  <si>
    <t xml:space="preserve">Кондратьев</t>
  </si>
  <si>
    <t xml:space="preserve">Антонович</t>
  </si>
  <si>
    <t xml:space="preserve">г. Петровск-Забайкальский</t>
  </si>
  <si>
    <t xml:space="preserve">г. Петушки</t>
  </si>
  <si>
    <t xml:space="preserve">Крюков</t>
  </si>
  <si>
    <t xml:space="preserve">г. Краснознаменск</t>
  </si>
  <si>
    <t xml:space="preserve">Дроздова</t>
  </si>
  <si>
    <t xml:space="preserve">Агата</t>
  </si>
  <si>
    <t xml:space="preserve">г. Острогожск</t>
  </si>
  <si>
    <t xml:space="preserve">г. Малгобек</t>
  </si>
  <si>
    <t xml:space="preserve">Исаков</t>
  </si>
  <si>
    <t xml:space="preserve">Моисей</t>
  </si>
  <si>
    <t xml:space="preserve">г. Красногорск</t>
  </si>
  <si>
    <t xml:space="preserve">г. Истра</t>
  </si>
  <si>
    <t xml:space="preserve">Терентий</t>
  </si>
  <si>
    <t xml:space="preserve">Витальевич</t>
  </si>
  <si>
    <t xml:space="preserve">Гордеев</t>
  </si>
  <si>
    <t xml:space="preserve">Панфил</t>
  </si>
  <si>
    <t xml:space="preserve">г. Ардатов</t>
  </si>
  <si>
    <t xml:space="preserve">Абрамов</t>
  </si>
  <si>
    <t xml:space="preserve">Владимир</t>
  </si>
  <si>
    <t xml:space="preserve">Евсеевич</t>
  </si>
  <si>
    <t xml:space="preserve">Кондратьева</t>
  </si>
  <si>
    <t xml:space="preserve">г. Солнечногорск</t>
  </si>
  <si>
    <t xml:space="preserve">Герасимова</t>
  </si>
  <si>
    <t xml:space="preserve">г. Полысаево</t>
  </si>
  <si>
    <t xml:space="preserve">Шарова</t>
  </si>
  <si>
    <t xml:space="preserve">Никитина</t>
  </si>
  <si>
    <t xml:space="preserve">г. Приволжск</t>
  </si>
  <si>
    <t xml:space="preserve">г. Кудымкар</t>
  </si>
  <si>
    <t xml:space="preserve">Эмиль</t>
  </si>
  <si>
    <t xml:space="preserve">Лихачева</t>
  </si>
  <si>
    <t xml:space="preserve">Валерия</t>
  </si>
  <si>
    <t xml:space="preserve">г. Кандалакша</t>
  </si>
  <si>
    <t xml:space="preserve">Сергеев</t>
  </si>
  <si>
    <t xml:space="preserve">г. Кудрово</t>
  </si>
  <si>
    <t xml:space="preserve">Киселев</t>
  </si>
  <si>
    <t xml:space="preserve">г. Оханск</t>
  </si>
  <si>
    <t xml:space="preserve">Всеслав</t>
  </si>
  <si>
    <t xml:space="preserve">г. Плавск</t>
  </si>
  <si>
    <t xml:space="preserve">Ярославович</t>
  </si>
  <si>
    <t xml:space="preserve">г. Тайга</t>
  </si>
  <si>
    <t xml:space="preserve">Мясников</t>
  </si>
  <si>
    <t xml:space="preserve">Евсей</t>
  </si>
  <si>
    <t xml:space="preserve">г. Ногинск</t>
  </si>
  <si>
    <t xml:space="preserve">Авдеева</t>
  </si>
  <si>
    <t xml:space="preserve">Крылова</t>
  </si>
  <si>
    <t xml:space="preserve">г. Плёс</t>
  </si>
  <si>
    <t xml:space="preserve">Белов</t>
  </si>
  <si>
    <t xml:space="preserve">г. Аксай</t>
  </si>
  <si>
    <t xml:space="preserve">г. Усть-Кут</t>
  </si>
  <si>
    <t xml:space="preserve">Харитонова</t>
  </si>
  <si>
    <t xml:space="preserve">г. Ивантеевка</t>
  </si>
  <si>
    <t xml:space="preserve">Кабанов</t>
  </si>
  <si>
    <t xml:space="preserve">г. Кохма</t>
  </si>
  <si>
    <t xml:space="preserve">Моисеева</t>
  </si>
  <si>
    <t xml:space="preserve">г. Оренбург</t>
  </si>
  <si>
    <t xml:space="preserve">Сысоева</t>
  </si>
  <si>
    <t xml:space="preserve">г. Приозерск</t>
  </si>
  <si>
    <t xml:space="preserve">г. Закаменск</t>
  </si>
  <si>
    <t xml:space="preserve">Лапин</t>
  </si>
  <si>
    <t xml:space="preserve">Адрианович</t>
  </si>
  <si>
    <t xml:space="preserve">Пестова</t>
  </si>
  <si>
    <t xml:space="preserve">г. Адыгейск</t>
  </si>
  <si>
    <t xml:space="preserve">г. Сокол</t>
  </si>
  <si>
    <t xml:space="preserve">Бобылева</t>
  </si>
  <si>
    <t xml:space="preserve">Лаврентьева</t>
  </si>
  <si>
    <t xml:space="preserve">г. Лабинск</t>
  </si>
  <si>
    <t xml:space="preserve">г. Серов</t>
  </si>
  <si>
    <t xml:space="preserve">Устинова</t>
  </si>
  <si>
    <t xml:space="preserve">Марина</t>
  </si>
  <si>
    <t xml:space="preserve">г. Духовщина</t>
  </si>
  <si>
    <t xml:space="preserve">Савельева</t>
  </si>
  <si>
    <t xml:space="preserve">г. Тюмень</t>
  </si>
  <si>
    <t xml:space="preserve">Дарья</t>
  </si>
  <si>
    <t xml:space="preserve">г. Талица</t>
  </si>
  <si>
    <t xml:space="preserve">Калашникова</t>
  </si>
  <si>
    <t xml:space="preserve">г. Уварово</t>
  </si>
  <si>
    <t xml:space="preserve">г. Макарьев</t>
  </si>
  <si>
    <t xml:space="preserve">г. Новокуйбышевск</t>
  </si>
  <si>
    <t xml:space="preserve">Горшков</t>
  </si>
  <si>
    <t xml:space="preserve">г. Сызрань</t>
  </si>
  <si>
    <t xml:space="preserve">Корнил</t>
  </si>
  <si>
    <t xml:space="preserve">г. Дзержинск</t>
  </si>
  <si>
    <t xml:space="preserve">Поляков</t>
  </si>
  <si>
    <t xml:space="preserve">Поликарп</t>
  </si>
  <si>
    <t xml:space="preserve">г. Чердынь</t>
  </si>
  <si>
    <t xml:space="preserve">Егоров</t>
  </si>
  <si>
    <t xml:space="preserve">Устин</t>
  </si>
  <si>
    <t xml:space="preserve">г. Городец</t>
  </si>
  <si>
    <t xml:space="preserve">Корнилова</t>
  </si>
  <si>
    <t xml:space="preserve">Баранова</t>
  </si>
  <si>
    <t xml:space="preserve">Кулаков</t>
  </si>
  <si>
    <t xml:space="preserve">Федор</t>
  </si>
  <si>
    <t xml:space="preserve">г. Гвардейск</t>
  </si>
  <si>
    <t xml:space="preserve">Карп</t>
  </si>
  <si>
    <t xml:space="preserve">г. Куровское</t>
  </si>
  <si>
    <t xml:space="preserve">Аскольд</t>
  </si>
  <si>
    <t xml:space="preserve">Денисов</t>
  </si>
  <si>
    <t xml:space="preserve">Арсеньевич</t>
  </si>
  <si>
    <t xml:space="preserve">г. Слободской</t>
  </si>
  <si>
    <t xml:space="preserve">г. Кодинск</t>
  </si>
  <si>
    <t xml:space="preserve">г. Новотроицк</t>
  </si>
  <si>
    <t xml:space="preserve">Бобров</t>
  </si>
  <si>
    <t xml:space="preserve">Борисович</t>
  </si>
  <si>
    <t xml:space="preserve">г. Ишим</t>
  </si>
  <si>
    <t xml:space="preserve">г. Теберда</t>
  </si>
  <si>
    <t xml:space="preserve">Ратмир</t>
  </si>
  <si>
    <t xml:space="preserve">Ермил</t>
  </si>
  <si>
    <t xml:space="preserve">Денисович</t>
  </si>
  <si>
    <t xml:space="preserve">г. Балаково</t>
  </si>
  <si>
    <t xml:space="preserve">г. Верхотурье</t>
  </si>
  <si>
    <t xml:space="preserve">Корнилов</t>
  </si>
  <si>
    <t xml:space="preserve">Степан</t>
  </si>
  <si>
    <t xml:space="preserve">Мокей</t>
  </si>
  <si>
    <t xml:space="preserve">г. Чапаевск</t>
  </si>
  <si>
    <t xml:space="preserve">Белозеров</t>
  </si>
  <si>
    <t xml:space="preserve">Фотий</t>
  </si>
  <si>
    <t xml:space="preserve">г. Киров</t>
  </si>
  <si>
    <t xml:space="preserve">Горбачева</t>
  </si>
  <si>
    <t xml:space="preserve">г. Волосово</t>
  </si>
  <si>
    <t xml:space="preserve">Белоусов</t>
  </si>
  <si>
    <t xml:space="preserve">Гремислав</t>
  </si>
  <si>
    <t xml:space="preserve">г. Пугачёв</t>
  </si>
  <si>
    <t xml:space="preserve">Ермолай</t>
  </si>
  <si>
    <t xml:space="preserve">г. Болгар</t>
  </si>
  <si>
    <t xml:space="preserve">Михей</t>
  </si>
  <si>
    <t xml:space="preserve">Фокич</t>
  </si>
  <si>
    <t xml:space="preserve">г. Туран</t>
  </si>
  <si>
    <t xml:space="preserve">г. Агрыз</t>
  </si>
  <si>
    <t xml:space="preserve">Трофимов</t>
  </si>
  <si>
    <t xml:space="preserve">г. Шиханы</t>
  </si>
  <si>
    <t xml:space="preserve">г. Грязи</t>
  </si>
  <si>
    <t xml:space="preserve">Емельян</t>
  </si>
  <si>
    <t xml:space="preserve">г. Домодедово</t>
  </si>
  <si>
    <t xml:space="preserve">Афанасьева</t>
  </si>
  <si>
    <t xml:space="preserve">г. Кремёнки</t>
  </si>
  <si>
    <t xml:space="preserve">г. Магас</t>
  </si>
  <si>
    <t xml:space="preserve">Тетерина</t>
  </si>
  <si>
    <t xml:space="preserve">г. Миасс</t>
  </si>
  <si>
    <t xml:space="preserve">Севастьян</t>
  </si>
  <si>
    <t xml:space="preserve">г. Жигулёвск</t>
  </si>
  <si>
    <t xml:space="preserve">Марсович</t>
  </si>
  <si>
    <t xml:space="preserve">г. Всеволожск</t>
  </si>
  <si>
    <t xml:space="preserve">Селиван</t>
  </si>
  <si>
    <t xml:space="preserve">г. Похвистнево</t>
  </si>
  <si>
    <t xml:space="preserve">г. Чернушка</t>
  </si>
  <si>
    <t xml:space="preserve">Никанор</t>
  </si>
  <si>
    <t xml:space="preserve">г. Белгород</t>
  </si>
  <si>
    <t xml:space="preserve">Сорокина</t>
  </si>
  <si>
    <t xml:space="preserve">Александр</t>
  </si>
  <si>
    <t xml:space="preserve">г. Пенза</t>
  </si>
  <si>
    <t xml:space="preserve">г. Уржум</t>
  </si>
  <si>
    <t xml:space="preserve">г. Палласовка</t>
  </si>
  <si>
    <t xml:space="preserve">Ершов</t>
  </si>
  <si>
    <t xml:space="preserve">г. Терек</t>
  </si>
  <si>
    <t xml:space="preserve">г. Нефтеюганск</t>
  </si>
  <si>
    <t xml:space="preserve">Лебедева</t>
  </si>
  <si>
    <t xml:space="preserve">г. Егорьевск</t>
  </si>
  <si>
    <t xml:space="preserve">Гостомысл</t>
  </si>
  <si>
    <t xml:space="preserve">Сергей</t>
  </si>
  <si>
    <t xml:space="preserve">Бирюков</t>
  </si>
  <si>
    <t xml:space="preserve">г. Спас-Деменск</t>
  </si>
  <si>
    <t xml:space="preserve">Назар</t>
  </si>
  <si>
    <t xml:space="preserve">г. Тутаев</t>
  </si>
  <si>
    <t xml:space="preserve">Орехова</t>
  </si>
  <si>
    <t xml:space="preserve">г. Лысково</t>
  </si>
  <si>
    <t xml:space="preserve">Натан</t>
  </si>
  <si>
    <t xml:space="preserve">г. Кстово</t>
  </si>
  <si>
    <t xml:space="preserve">Кабанова</t>
  </si>
  <si>
    <t xml:space="preserve">г. Стрежевой</t>
  </si>
  <si>
    <t xml:space="preserve">Евдокимова</t>
  </si>
  <si>
    <t xml:space="preserve">г. Калуга</t>
  </si>
  <si>
    <t xml:space="preserve">Бурова</t>
  </si>
  <si>
    <t xml:space="preserve">Крылов</t>
  </si>
  <si>
    <t xml:space="preserve">Ферапонт</t>
  </si>
  <si>
    <t xml:space="preserve">г. Обь</t>
  </si>
  <si>
    <t xml:space="preserve">Олимпий</t>
  </si>
  <si>
    <t xml:space="preserve">г. Белогорск</t>
  </si>
  <si>
    <t xml:space="preserve">Артемий</t>
  </si>
  <si>
    <t xml:space="preserve">г. Азнакаево</t>
  </si>
  <si>
    <t xml:space="preserve">Беляев</t>
  </si>
  <si>
    <t xml:space="preserve">Дмитрий</t>
  </si>
  <si>
    <t xml:space="preserve">Евстигнеевич</t>
  </si>
  <si>
    <t xml:space="preserve">г. Щигры</t>
  </si>
  <si>
    <t xml:space="preserve">г. Кузнецк</t>
  </si>
  <si>
    <t xml:space="preserve">Абрамова</t>
  </si>
  <si>
    <t xml:space="preserve">Варвара</t>
  </si>
  <si>
    <t xml:space="preserve">Рубеновна</t>
  </si>
  <si>
    <t xml:space="preserve">г. Копейск</t>
  </si>
  <si>
    <t xml:space="preserve">г. Усть-Илимск</t>
  </si>
  <si>
    <t xml:space="preserve">Фадеев</t>
  </si>
  <si>
    <t xml:space="preserve">г. Людиново</t>
  </si>
  <si>
    <t xml:space="preserve">г. Урюпинск</t>
  </si>
  <si>
    <t xml:space="preserve">Валерий</t>
  </si>
  <si>
    <t xml:space="preserve">г. Ершов</t>
  </si>
  <si>
    <t xml:space="preserve">Робертовна</t>
  </si>
  <si>
    <t xml:space="preserve">г. Боготол</t>
  </si>
  <si>
    <t xml:space="preserve">Агафонова</t>
  </si>
  <si>
    <t xml:space="preserve">Ефимовна</t>
  </si>
  <si>
    <t xml:space="preserve">г. Холм</t>
  </si>
  <si>
    <t xml:space="preserve">Михайлова</t>
  </si>
  <si>
    <t xml:space="preserve">г. Балтийск</t>
  </si>
  <si>
    <t xml:space="preserve">г. Кола</t>
  </si>
  <si>
    <t xml:space="preserve">Сазонов</t>
  </si>
  <si>
    <t xml:space="preserve">Марк</t>
  </si>
  <si>
    <t xml:space="preserve">Игнатович</t>
  </si>
  <si>
    <t xml:space="preserve">г. Бабушкин</t>
  </si>
  <si>
    <t xml:space="preserve">Богдан</t>
  </si>
  <si>
    <t xml:space="preserve">г. Муром</t>
  </si>
  <si>
    <t xml:space="preserve">Маркова</t>
  </si>
  <si>
    <t xml:space="preserve">г. Заволжье</t>
  </si>
  <si>
    <t xml:space="preserve">г. Кольчугино</t>
  </si>
  <si>
    <t xml:space="preserve">Сидоров</t>
  </si>
  <si>
    <t xml:space="preserve">г. Поронайск</t>
  </si>
  <si>
    <t xml:space="preserve">Давыд</t>
  </si>
  <si>
    <t xml:space="preserve">г. Покачи</t>
  </si>
  <si>
    <t xml:space="preserve">г. Дербент</t>
  </si>
  <si>
    <t xml:space="preserve">г. Чехов</t>
  </si>
  <si>
    <t xml:space="preserve">Савва</t>
  </si>
  <si>
    <t xml:space="preserve">г. Бологое</t>
  </si>
  <si>
    <t xml:space="preserve">г. Суворов</t>
  </si>
  <si>
    <t xml:space="preserve">Иванова</t>
  </si>
  <si>
    <t xml:space="preserve">Вера</t>
  </si>
  <si>
    <t xml:space="preserve">г. Алагир</t>
  </si>
  <si>
    <t xml:space="preserve">Семенов</t>
  </si>
  <si>
    <t xml:space="preserve">г. Никольск</t>
  </si>
  <si>
    <t xml:space="preserve">г. Струнино</t>
  </si>
  <si>
    <t xml:space="preserve">Кузнецова</t>
  </si>
  <si>
    <t xml:space="preserve">г. Высоковск</t>
  </si>
  <si>
    <t xml:space="preserve">Серафим</t>
  </si>
  <si>
    <t xml:space="preserve">г. Димитровград</t>
  </si>
  <si>
    <t xml:space="preserve">г. Прокопьевск</t>
  </si>
  <si>
    <t xml:space="preserve">Шашков</t>
  </si>
  <si>
    <t xml:space="preserve">г. Юхнов</t>
  </si>
  <si>
    <t xml:space="preserve">г. Карабулак</t>
  </si>
  <si>
    <t xml:space="preserve">г. Строитель</t>
  </si>
  <si>
    <t xml:space="preserve">г. Нея</t>
  </si>
  <si>
    <t xml:space="preserve">г. Конаково</t>
  </si>
  <si>
    <t xml:space="preserve">Тимур</t>
  </si>
  <si>
    <t xml:space="preserve">г. Ростов-на-Дону</t>
  </si>
  <si>
    <t xml:space="preserve">г. Котельники</t>
  </si>
  <si>
    <t xml:space="preserve">Щербакова</t>
  </si>
  <si>
    <t xml:space="preserve">г. Тында</t>
  </si>
  <si>
    <t xml:space="preserve">Сафонова</t>
  </si>
  <si>
    <t xml:space="preserve">г. Харовск</t>
  </si>
  <si>
    <t xml:space="preserve">Михаил</t>
  </si>
  <si>
    <t xml:space="preserve">г. Кимовск</t>
  </si>
  <si>
    <t xml:space="preserve">Назаров</t>
  </si>
  <si>
    <t xml:space="preserve">г. Курск</t>
  </si>
  <si>
    <t xml:space="preserve">Осипова</t>
  </si>
  <si>
    <t xml:space="preserve">г. Октябрьский</t>
  </si>
  <si>
    <t xml:space="preserve">г. Спасск</t>
  </si>
  <si>
    <t xml:space="preserve">Зыков</t>
  </si>
  <si>
    <t xml:space="preserve">Владлен</t>
  </si>
  <si>
    <t xml:space="preserve">г. Козьмодемьянск</t>
  </si>
  <si>
    <t xml:space="preserve">Соболева</t>
  </si>
  <si>
    <t xml:space="preserve">г. Ангарск</t>
  </si>
  <si>
    <t xml:space="preserve">Валентин</t>
  </si>
  <si>
    <t xml:space="preserve">Самсонова</t>
  </si>
  <si>
    <t xml:space="preserve">г. Петрозаводск</t>
  </si>
  <si>
    <t xml:space="preserve">г. Щёкино</t>
  </si>
  <si>
    <t xml:space="preserve">г. Печоры</t>
  </si>
  <si>
    <t xml:space="preserve">Станимир</t>
  </si>
  <si>
    <t xml:space="preserve">Котов</t>
  </si>
  <si>
    <t xml:space="preserve">г. Волгодонск</t>
  </si>
  <si>
    <t xml:space="preserve">Данилов</t>
  </si>
  <si>
    <t xml:space="preserve">Ситников</t>
  </si>
  <si>
    <t xml:space="preserve">г. Кизляр</t>
  </si>
  <si>
    <t xml:space="preserve">Полякова</t>
  </si>
  <si>
    <t xml:space="preserve">г. Химки</t>
  </si>
  <si>
    <t xml:space="preserve">Яковлев</t>
  </si>
  <si>
    <t xml:space="preserve">Мухина</t>
  </si>
  <si>
    <t xml:space="preserve">г. Кизилюрт</t>
  </si>
  <si>
    <t xml:space="preserve">г. Вязники</t>
  </si>
  <si>
    <t xml:space="preserve">Моисеев</t>
  </si>
  <si>
    <t xml:space="preserve">г. Старица</t>
  </si>
  <si>
    <t xml:space="preserve">г. Салават</t>
  </si>
  <si>
    <t xml:space="preserve">г. Губкин</t>
  </si>
  <si>
    <t xml:space="preserve">Шарапова</t>
  </si>
  <si>
    <t xml:space="preserve">Киселева</t>
  </si>
  <si>
    <t xml:space="preserve">г. Георгиевск</t>
  </si>
  <si>
    <t xml:space="preserve">г. Чекалин</t>
  </si>
  <si>
    <t xml:space="preserve">Третьякова</t>
  </si>
  <si>
    <t xml:space="preserve">г. Бийск</t>
  </si>
  <si>
    <t xml:space="preserve">Никон</t>
  </si>
  <si>
    <t xml:space="preserve">г. Анива</t>
  </si>
  <si>
    <t xml:space="preserve">Степанова</t>
  </si>
  <si>
    <t xml:space="preserve">Авдеев</t>
  </si>
  <si>
    <t xml:space="preserve">Фролова</t>
  </si>
  <si>
    <t xml:space="preserve">Альбертовна</t>
  </si>
  <si>
    <t xml:space="preserve">г. Эртиль</t>
  </si>
  <si>
    <t xml:space="preserve">Орлов</t>
  </si>
  <si>
    <t xml:space="preserve">г. Южно-Сухокумск</t>
  </si>
  <si>
    <t xml:space="preserve">Зайцева</t>
  </si>
  <si>
    <t xml:space="preserve">г. Дрезна</t>
  </si>
  <si>
    <t xml:space="preserve">Кононова</t>
  </si>
  <si>
    <t xml:space="preserve">Святославовна</t>
  </si>
  <si>
    <t xml:space="preserve">Ширяева</t>
  </si>
  <si>
    <t xml:space="preserve">г. Медынь</t>
  </si>
  <si>
    <t xml:space="preserve">г. Томмот</t>
  </si>
  <si>
    <t xml:space="preserve">г. Дюртюли</t>
  </si>
  <si>
    <t xml:space="preserve">г. Аркадак</t>
  </si>
  <si>
    <t xml:space="preserve">г. Суджа</t>
  </si>
  <si>
    <t xml:space="preserve">Копылов</t>
  </si>
  <si>
    <t xml:space="preserve">Копылова</t>
  </si>
  <si>
    <t xml:space="preserve">г. Нерюнгри</t>
  </si>
  <si>
    <t xml:space="preserve">г. Междуреченск</t>
  </si>
  <si>
    <t xml:space="preserve">г. Артёмовск</t>
  </si>
  <si>
    <t xml:space="preserve">Белова</t>
  </si>
  <si>
    <t xml:space="preserve">г. Рошаль</t>
  </si>
  <si>
    <t xml:space="preserve">Порфирий</t>
  </si>
  <si>
    <t xml:space="preserve">г. Бирюсинск</t>
  </si>
  <si>
    <t xml:space="preserve">Алексеева</t>
  </si>
  <si>
    <t xml:space="preserve">г. Куйбышев</t>
  </si>
  <si>
    <t xml:space="preserve">г. Магнитогорск</t>
  </si>
  <si>
    <t xml:space="preserve">Алексей</t>
  </si>
  <si>
    <t xml:space="preserve">г. Стародуб</t>
  </si>
  <si>
    <t xml:space="preserve">г. Бугульма</t>
  </si>
  <si>
    <t xml:space="preserve">Радим</t>
  </si>
  <si>
    <t xml:space="preserve">г. Дегтярск</t>
  </si>
  <si>
    <t xml:space="preserve">г. Амурск</t>
  </si>
  <si>
    <t xml:space="preserve">г. Бугуруслан</t>
  </si>
  <si>
    <t xml:space="preserve">Феоктист</t>
  </si>
  <si>
    <t xml:space="preserve">г. Медногорск</t>
  </si>
  <si>
    <t xml:space="preserve">г. Верхнеуральск</t>
  </si>
  <si>
    <t xml:space="preserve">Мартьян</t>
  </si>
  <si>
    <t xml:space="preserve">г. Мамоново</t>
  </si>
  <si>
    <t xml:space="preserve">Кузьмина</t>
  </si>
  <si>
    <t xml:space="preserve">г. Мурманск</t>
  </si>
  <si>
    <t xml:space="preserve">Остап</t>
  </si>
  <si>
    <t xml:space="preserve">г. Ухта</t>
  </si>
  <si>
    <t xml:space="preserve">Мефодий</t>
  </si>
  <si>
    <t xml:space="preserve">г. Солигалич</t>
  </si>
  <si>
    <t xml:space="preserve">Павлов</t>
  </si>
  <si>
    <t xml:space="preserve">Афиноген</t>
  </si>
  <si>
    <t xml:space="preserve">г. Михайлов</t>
  </si>
  <si>
    <t xml:space="preserve">г. Саров</t>
  </si>
  <si>
    <t xml:space="preserve">г. Воркута</t>
  </si>
  <si>
    <t xml:space="preserve">г. Советск</t>
  </si>
  <si>
    <t xml:space="preserve">Лазарева</t>
  </si>
  <si>
    <t xml:space="preserve">г. Альметьевск</t>
  </si>
  <si>
    <t xml:space="preserve">Гусева</t>
  </si>
  <si>
    <t xml:space="preserve">Ратибор</t>
  </si>
  <si>
    <t xml:space="preserve">г. Сычёвка</t>
  </si>
  <si>
    <t xml:space="preserve">Тимофеевна</t>
  </si>
  <si>
    <t xml:space="preserve">г. Тарко-Сале</t>
  </si>
  <si>
    <t xml:space="preserve">г. Богучар</t>
  </si>
  <si>
    <t xml:space="preserve">г. Голицыно</t>
  </si>
  <si>
    <t xml:space="preserve">Владимиров</t>
  </si>
  <si>
    <t xml:space="preserve">Епифан</t>
  </si>
  <si>
    <t xml:space="preserve">г. Ядрин</t>
  </si>
  <si>
    <t xml:space="preserve">г. Фрязино</t>
  </si>
  <si>
    <t xml:space="preserve">Федосеева</t>
  </si>
  <si>
    <t xml:space="preserve">г. Махачкала</t>
  </si>
  <si>
    <t xml:space="preserve">г. Цивильск</t>
  </si>
  <si>
    <t xml:space="preserve">г. Льгов</t>
  </si>
  <si>
    <t xml:space="preserve">г. Новоалтайск</t>
  </si>
  <si>
    <t xml:space="preserve">Кирилл</t>
  </si>
  <si>
    <t xml:space="preserve">г. Коряжма</t>
  </si>
  <si>
    <t xml:space="preserve">Журавлев</t>
  </si>
  <si>
    <t xml:space="preserve">Егор</t>
  </si>
  <si>
    <t xml:space="preserve">Романов</t>
  </si>
  <si>
    <t xml:space="preserve">Ким</t>
  </si>
  <si>
    <t xml:space="preserve">г. Канск</t>
  </si>
  <si>
    <t xml:space="preserve">г. Валуйки</t>
  </si>
  <si>
    <t xml:space="preserve">г. Сурск</t>
  </si>
  <si>
    <t xml:space="preserve">г. Норильск</t>
  </si>
  <si>
    <t xml:space="preserve">Воронов</t>
  </si>
  <si>
    <t xml:space="preserve">Фортунат</t>
  </si>
  <si>
    <t xml:space="preserve">Мирон</t>
  </si>
  <si>
    <t xml:space="preserve">г. Добрянка</t>
  </si>
  <si>
    <t xml:space="preserve">г. Касимов</t>
  </si>
  <si>
    <t xml:space="preserve">г. Красноярск</t>
  </si>
  <si>
    <t xml:space="preserve">г. Медвежьегорск</t>
  </si>
  <si>
    <t xml:space="preserve">Лонгин</t>
  </si>
  <si>
    <t xml:space="preserve">г. Макаров</t>
  </si>
  <si>
    <t xml:space="preserve">г. Нефтекумск</t>
  </si>
  <si>
    <t xml:space="preserve">г. Анжеро-Судженск</t>
  </si>
  <si>
    <t xml:space="preserve">Дьячков</t>
  </si>
  <si>
    <t xml:space="preserve">Авдей</t>
  </si>
  <si>
    <t xml:space="preserve">Анисимова</t>
  </si>
  <si>
    <t xml:space="preserve">г. Дубна</t>
  </si>
  <si>
    <t xml:space="preserve">г. Почеп</t>
  </si>
  <si>
    <t xml:space="preserve">Захарова</t>
  </si>
  <si>
    <t xml:space="preserve">г. Подпорожье</t>
  </si>
  <si>
    <t xml:space="preserve">Мина</t>
  </si>
  <si>
    <t xml:space="preserve">г. Дно</t>
  </si>
  <si>
    <t xml:space="preserve">г. Волоколамск</t>
  </si>
  <si>
    <t xml:space="preserve">Белоусова</t>
  </si>
  <si>
    <t xml:space="preserve">г. Кисловодск</t>
  </si>
  <si>
    <t xml:space="preserve">Осип</t>
  </si>
  <si>
    <t xml:space="preserve">г. Белоярский</t>
  </si>
  <si>
    <t xml:space="preserve">г. Новосокольники</t>
  </si>
  <si>
    <t xml:space="preserve">Андроник</t>
  </si>
  <si>
    <t xml:space="preserve">г. Шилка</t>
  </si>
  <si>
    <t xml:space="preserve">г. Дорогобуж</t>
  </si>
  <si>
    <t xml:space="preserve">Игнатьев</t>
  </si>
  <si>
    <t xml:space="preserve">г. Моршанск</t>
  </si>
  <si>
    <t xml:space="preserve">г. Боровск</t>
  </si>
  <si>
    <t xml:space="preserve">Милан</t>
  </si>
  <si>
    <t xml:space="preserve">г. Сусуман</t>
  </si>
  <si>
    <t xml:space="preserve">г. Южа</t>
  </si>
  <si>
    <t xml:space="preserve">г. Карталы</t>
  </si>
  <si>
    <t xml:space="preserve">г. Каргополь</t>
  </si>
  <si>
    <t xml:space="preserve">Брониславович</t>
  </si>
  <si>
    <t xml:space="preserve">г. Буйнакск</t>
  </si>
  <si>
    <t xml:space="preserve">Николаев</t>
  </si>
  <si>
    <t xml:space="preserve">Филиппова</t>
  </si>
  <si>
    <t xml:space="preserve">г. Долинск</t>
  </si>
  <si>
    <t xml:space="preserve">Логинова</t>
  </si>
  <si>
    <t xml:space="preserve">г. Лобня</t>
  </si>
  <si>
    <t xml:space="preserve">Сидор</t>
  </si>
  <si>
    <t xml:space="preserve">г. Исилькуль</t>
  </si>
  <si>
    <t xml:space="preserve">Лукьян</t>
  </si>
  <si>
    <t xml:space="preserve">г. Гороховец</t>
  </si>
  <si>
    <t xml:space="preserve">Королев</t>
  </si>
  <si>
    <t xml:space="preserve">г. Мосальск</t>
  </si>
  <si>
    <t xml:space="preserve">Феликс</t>
  </si>
  <si>
    <t xml:space="preserve">г. Кировград</t>
  </si>
  <si>
    <t xml:space="preserve">г. Абаза</t>
  </si>
  <si>
    <t xml:space="preserve">Лаврентий</t>
  </si>
  <si>
    <t xml:space="preserve">Ефстафьевич</t>
  </si>
  <si>
    <t xml:space="preserve">Жданова</t>
  </si>
  <si>
    <t xml:space="preserve">Суворова</t>
  </si>
  <si>
    <t xml:space="preserve">г. Апрелевка</t>
  </si>
  <si>
    <t xml:space="preserve">г. Псков</t>
  </si>
  <si>
    <t xml:space="preserve">г. Липецк</t>
  </si>
  <si>
    <t xml:space="preserve">г. Ефремов</t>
  </si>
  <si>
    <t xml:space="preserve">г. Таруса</t>
  </si>
  <si>
    <t xml:space="preserve">г. Чебоксары</t>
  </si>
  <si>
    <t xml:space="preserve">Кошелева</t>
  </si>
  <si>
    <t xml:space="preserve">Матвей</t>
  </si>
  <si>
    <t xml:space="preserve">г. Межгорье</t>
  </si>
  <si>
    <t xml:space="preserve">г. Нарьян-Мар</t>
  </si>
  <si>
    <t xml:space="preserve">Аристарх</t>
  </si>
  <si>
    <t xml:space="preserve">г. Ржев</t>
  </si>
  <si>
    <t xml:space="preserve">г. Змеиногорск</t>
  </si>
  <si>
    <t xml:space="preserve">г. Новоуральск</t>
  </si>
  <si>
    <t xml:space="preserve">г. Кирсанов</t>
  </si>
  <si>
    <t xml:space="preserve">г. Бабаево</t>
  </si>
  <si>
    <t xml:space="preserve">Гурий</t>
  </si>
  <si>
    <t xml:space="preserve">г. Мышкин</t>
  </si>
  <si>
    <t xml:space="preserve">Савельев</t>
  </si>
  <si>
    <t xml:space="preserve">Игнатова</t>
  </si>
  <si>
    <t xml:space="preserve">г. Малоархангельск</t>
  </si>
  <si>
    <t xml:space="preserve">Некрасов</t>
  </si>
  <si>
    <t xml:space="preserve">Фомич</t>
  </si>
  <si>
    <t xml:space="preserve">г. Дятьково</t>
  </si>
  <si>
    <t xml:space="preserve">Рябова</t>
  </si>
  <si>
    <t xml:space="preserve">г. Борисоглебск</t>
  </si>
  <si>
    <t xml:space="preserve">Кудряшов</t>
  </si>
  <si>
    <t xml:space="preserve">Пимен</t>
  </si>
  <si>
    <t xml:space="preserve">г. Агидель</t>
  </si>
  <si>
    <t xml:space="preserve">г. Зеленоградск</t>
  </si>
  <si>
    <t xml:space="preserve">г. Кубинка</t>
  </si>
  <si>
    <t xml:space="preserve">Ершова</t>
  </si>
  <si>
    <t xml:space="preserve">Елисеева</t>
  </si>
  <si>
    <t xml:space="preserve">г. Минусинск</t>
  </si>
  <si>
    <t xml:space="preserve">Громова</t>
  </si>
  <si>
    <t xml:space="preserve">г. Сольцы</t>
  </si>
  <si>
    <t xml:space="preserve">г. Завитинск</t>
  </si>
  <si>
    <t xml:space="preserve">г. Воткинск</t>
  </si>
  <si>
    <t xml:space="preserve">г. Слюдянка</t>
  </si>
  <si>
    <t xml:space="preserve">Галкин</t>
  </si>
  <si>
    <t xml:space="preserve">Авдеевич</t>
  </si>
  <si>
    <t xml:space="preserve">Дорофей</t>
  </si>
  <si>
    <t xml:space="preserve">г. Ипатово</t>
  </si>
  <si>
    <t xml:space="preserve">г. Сосногорск</t>
  </si>
  <si>
    <t xml:space="preserve">г. Киржач</t>
  </si>
  <si>
    <t xml:space="preserve">Януарий</t>
  </si>
  <si>
    <t xml:space="preserve">г. Мурино</t>
  </si>
  <si>
    <t xml:space="preserve">Овчинникова</t>
  </si>
  <si>
    <t xml:space="preserve">г. Лабытнанги</t>
  </si>
  <si>
    <t xml:space="preserve">Брагина</t>
  </si>
  <si>
    <t xml:space="preserve">Тарасова</t>
  </si>
  <si>
    <t xml:space="preserve">г. Перевоз</t>
  </si>
  <si>
    <t xml:space="preserve">Василий</t>
  </si>
  <si>
    <t xml:space="preserve">Капустин</t>
  </si>
  <si>
    <t xml:space="preserve">Софон</t>
  </si>
  <si>
    <t xml:space="preserve">г. Арзамас</t>
  </si>
  <si>
    <t xml:space="preserve">г. Нерехта</t>
  </si>
  <si>
    <t xml:space="preserve">Тарас</t>
  </si>
  <si>
    <t xml:space="preserve">Селиверст</t>
  </si>
  <si>
    <t xml:space="preserve">г. Нальчик</t>
  </si>
  <si>
    <t xml:space="preserve">г. Шали</t>
  </si>
  <si>
    <t xml:space="preserve">г. Нестеров</t>
  </si>
  <si>
    <t xml:space="preserve">Соломон</t>
  </si>
  <si>
    <t xml:space="preserve">г. Ирбит</t>
  </si>
  <si>
    <t xml:space="preserve">Венедикт</t>
  </si>
  <si>
    <t xml:space="preserve">г. Барыш</t>
  </si>
  <si>
    <t xml:space="preserve">г. Шебекино</t>
  </si>
  <si>
    <t xml:space="preserve">Данила</t>
  </si>
  <si>
    <t xml:space="preserve">г. Зубцов</t>
  </si>
  <si>
    <t xml:space="preserve">г. Короча</t>
  </si>
  <si>
    <t xml:space="preserve">Федосеев</t>
  </si>
  <si>
    <t xml:space="preserve">г. Каргат</t>
  </si>
  <si>
    <t xml:space="preserve">г. Хвалынск</t>
  </si>
  <si>
    <t xml:space="preserve">Спиридон</t>
  </si>
  <si>
    <t xml:space="preserve">Любомир</t>
  </si>
  <si>
    <t xml:space="preserve">Аким</t>
  </si>
  <si>
    <t xml:space="preserve">г. Енисейск</t>
  </si>
  <si>
    <t xml:space="preserve">г. Пыть-Ях</t>
  </si>
  <si>
    <t xml:space="preserve">г. Зверево</t>
  </si>
  <si>
    <t xml:space="preserve">г. Партизанск</t>
  </si>
  <si>
    <t xml:space="preserve">г. Биробиджан</t>
  </si>
  <si>
    <t xml:space="preserve">г. Серпухов</t>
  </si>
  <si>
    <t xml:space="preserve">г. Суровикино</t>
  </si>
  <si>
    <t xml:space="preserve">Нестор</t>
  </si>
  <si>
    <t xml:space="preserve">г. Гаврилов-Ям</t>
  </si>
  <si>
    <t xml:space="preserve">Крюкова</t>
  </si>
  <si>
    <t xml:space="preserve">г. Знаменск</t>
  </si>
  <si>
    <t xml:space="preserve">г. Облучье</t>
  </si>
  <si>
    <t xml:space="preserve">Лукина</t>
  </si>
  <si>
    <t xml:space="preserve">Борисов</t>
  </si>
  <si>
    <t xml:space="preserve">Прокофий</t>
  </si>
  <si>
    <t xml:space="preserve">г. Элиста</t>
  </si>
  <si>
    <t xml:space="preserve">г. Вилючинск</t>
  </si>
  <si>
    <t xml:space="preserve">г. Сасово</t>
  </si>
  <si>
    <t xml:space="preserve">г. Узловая</t>
  </si>
  <si>
    <t xml:space="preserve">г. Кедровый</t>
  </si>
  <si>
    <t xml:space="preserve">Всеволод</t>
  </si>
  <si>
    <t xml:space="preserve">Никодим</t>
  </si>
  <si>
    <t xml:space="preserve">Никифорова</t>
  </si>
  <si>
    <t xml:space="preserve">Зыкова</t>
  </si>
  <si>
    <t xml:space="preserve">г. Кунгур</t>
  </si>
  <si>
    <t xml:space="preserve">г. Баксан</t>
  </si>
  <si>
    <t xml:space="preserve">Якушев</t>
  </si>
  <si>
    <t xml:space="preserve">г. Задонск</t>
  </si>
  <si>
    <t xml:space="preserve">Петухова</t>
  </si>
  <si>
    <t xml:space="preserve">г. Радужный</t>
  </si>
  <si>
    <t xml:space="preserve">г. Кяхта</t>
  </si>
  <si>
    <t xml:space="preserve">Баранов</t>
  </si>
  <si>
    <t xml:space="preserve">г. Починок</t>
  </si>
  <si>
    <t xml:space="preserve">г. Среднеуральск</t>
  </si>
  <si>
    <t xml:space="preserve">г. Высоцк</t>
  </si>
  <si>
    <t xml:space="preserve">Козлов</t>
  </si>
  <si>
    <t xml:space="preserve">г. Барабинск</t>
  </si>
  <si>
    <t xml:space="preserve">г. Юрьевец</t>
  </si>
  <si>
    <t xml:space="preserve">Фома</t>
  </si>
  <si>
    <t xml:space="preserve">Кондрат</t>
  </si>
  <si>
    <t xml:space="preserve">г. Белокуриха</t>
  </si>
  <si>
    <t xml:space="preserve">г. Ульяновск</t>
  </si>
  <si>
    <t xml:space="preserve">Фомин</t>
  </si>
  <si>
    <t xml:space="preserve">Евграф</t>
  </si>
  <si>
    <t xml:space="preserve">г. Ивангород</t>
  </si>
  <si>
    <t xml:space="preserve">Ладимир</t>
  </si>
  <si>
    <t xml:space="preserve">г. Рубцовск</t>
  </si>
  <si>
    <t xml:space="preserve">г. Абинск</t>
  </si>
  <si>
    <t xml:space="preserve">Артемьева</t>
  </si>
  <si>
    <t xml:space="preserve">г. Ветлуга</t>
  </si>
  <si>
    <t xml:space="preserve">г. Воронеж</t>
  </si>
  <si>
    <t xml:space="preserve">Силина</t>
  </si>
  <si>
    <t xml:space="preserve">г. Качканар</t>
  </si>
  <si>
    <t xml:space="preserve">Валерианович</t>
  </si>
  <si>
    <t xml:space="preserve">Кузьмин</t>
  </si>
  <si>
    <t xml:space="preserve">г. Щёлково</t>
  </si>
  <si>
    <t xml:space="preserve">г. Киренск</t>
  </si>
  <si>
    <t xml:space="preserve">Лавр</t>
  </si>
  <si>
    <t xml:space="preserve">г. Чулым</t>
  </si>
  <si>
    <t xml:space="preserve">г. Усть-Джегута</t>
  </si>
  <si>
    <t xml:space="preserve">г. Княгинино</t>
  </si>
  <si>
    <t xml:space="preserve">г. Салаир</t>
  </si>
  <si>
    <t xml:space="preserve">Касьян</t>
  </si>
  <si>
    <t xml:space="preserve">г. Карасук</t>
  </si>
  <si>
    <t xml:space="preserve">г. Десногорск</t>
  </si>
  <si>
    <t xml:space="preserve">Софрон</t>
  </si>
  <si>
    <t xml:space="preserve">г. Кинешма</t>
  </si>
  <si>
    <t xml:space="preserve">Светозар</t>
  </si>
  <si>
    <t xml:space="preserve">Нестеров</t>
  </si>
  <si>
    <t xml:space="preserve">г. Стерлитамак</t>
  </si>
  <si>
    <t xml:space="preserve">Ларионов</t>
  </si>
  <si>
    <t xml:space="preserve">г. Котлас</t>
  </si>
  <si>
    <t xml:space="preserve">г. Сосенский</t>
  </si>
  <si>
    <t xml:space="preserve">Терентьев</t>
  </si>
  <si>
    <t xml:space="preserve">г. Тула</t>
  </si>
  <si>
    <t xml:space="preserve">Панкратий</t>
  </si>
  <si>
    <t xml:space="preserve">г. Дигора</t>
  </si>
  <si>
    <t xml:space="preserve">г. Пучеж</t>
  </si>
  <si>
    <t xml:space="preserve">Фомичев</t>
  </si>
  <si>
    <t xml:space="preserve">г. Урай</t>
  </si>
  <si>
    <t xml:space="preserve">г. Грозный</t>
  </si>
  <si>
    <t xml:space="preserve">Мельникова</t>
  </si>
  <si>
    <t xml:space="preserve">Виктор</t>
  </si>
  <si>
    <t xml:space="preserve">г. Фролово</t>
  </si>
  <si>
    <t xml:space="preserve">Автоном</t>
  </si>
  <si>
    <t xml:space="preserve">Харлампий</t>
  </si>
  <si>
    <t xml:space="preserve">г. Краснодар</t>
  </si>
  <si>
    <t xml:space="preserve">г. Улан-Удэ</t>
  </si>
  <si>
    <t xml:space="preserve">Спартак</t>
  </si>
  <si>
    <t xml:space="preserve">Варфоломей</t>
  </si>
  <si>
    <t xml:space="preserve">г. Тюкалинск</t>
  </si>
  <si>
    <t xml:space="preserve">Федоров</t>
  </si>
  <si>
    <t xml:space="preserve">г. Боровичи</t>
  </si>
  <si>
    <t xml:space="preserve">г. Курчалой</t>
  </si>
  <si>
    <t xml:space="preserve">г. Морозовск</t>
  </si>
  <si>
    <t xml:space="preserve">г. Обоянь</t>
  </si>
  <si>
    <t xml:space="preserve">г. Кадников</t>
  </si>
  <si>
    <t xml:space="preserve">г. Трёхгорный</t>
  </si>
  <si>
    <t xml:space="preserve">г. Нытва</t>
  </si>
  <si>
    <t xml:space="preserve">Дементий</t>
  </si>
  <si>
    <t xml:space="preserve">г. Шатура</t>
  </si>
  <si>
    <t xml:space="preserve">г. Шлиссельбург</t>
  </si>
  <si>
    <t xml:space="preserve">г. Тольятти</t>
  </si>
  <si>
    <t xml:space="preserve">г. Пятигорск</t>
  </si>
  <si>
    <t xml:space="preserve">г. Пудож</t>
  </si>
  <si>
    <t xml:space="preserve">г. Сорск</t>
  </si>
  <si>
    <t xml:space="preserve">Жданов</t>
  </si>
  <si>
    <t xml:space="preserve">Родион</t>
  </si>
  <si>
    <t xml:space="preserve">г. Кондрово</t>
  </si>
  <si>
    <t xml:space="preserve">г. Ленск</t>
  </si>
  <si>
    <t xml:space="preserve">Самойлов</t>
  </si>
  <si>
    <t xml:space="preserve">г. Калининск</t>
  </si>
  <si>
    <t xml:space="preserve">Платон</t>
  </si>
  <si>
    <t xml:space="preserve">г. Черняховск</t>
  </si>
  <si>
    <t xml:space="preserve">г. Кыштым</t>
  </si>
  <si>
    <t xml:space="preserve">г. Ярцево</t>
  </si>
  <si>
    <t xml:space="preserve">г. Ейск</t>
  </si>
  <si>
    <t xml:space="preserve">Куликова</t>
  </si>
  <si>
    <t xml:space="preserve">г. Киселёвск</t>
  </si>
  <si>
    <t xml:space="preserve">Матвеева</t>
  </si>
  <si>
    <t xml:space="preserve">г. Туринск</t>
  </si>
  <si>
    <t xml:space="preserve">Филарет</t>
  </si>
  <si>
    <t xml:space="preserve">г. Реж</t>
  </si>
  <si>
    <t xml:space="preserve">г. Будённовск</t>
  </si>
  <si>
    <t xml:space="preserve">Зиновий</t>
  </si>
  <si>
    <t xml:space="preserve">г. Костомукша</t>
  </si>
  <si>
    <t xml:space="preserve">Ювеналий</t>
  </si>
  <si>
    <t xml:space="preserve">г. Кызыл</t>
  </si>
  <si>
    <t xml:space="preserve">г. Архангельск</t>
  </si>
  <si>
    <t xml:space="preserve">г. Красноуральск</t>
  </si>
  <si>
    <t xml:space="preserve">г. Отрадное</t>
  </si>
  <si>
    <t xml:space="preserve">г. Алзамай</t>
  </si>
  <si>
    <t xml:space="preserve">Михайлов</t>
  </si>
  <si>
    <t xml:space="preserve">Аникита</t>
  </si>
  <si>
    <t xml:space="preserve">г. Катайск</t>
  </si>
  <si>
    <t xml:space="preserve">Прокл</t>
  </si>
  <si>
    <t xml:space="preserve">г. Новоаннинский</t>
  </si>
  <si>
    <t xml:space="preserve">Рожкова</t>
  </si>
  <si>
    <t xml:space="preserve">г. Карабаново</t>
  </si>
  <si>
    <t xml:space="preserve">г. Ноябрьск</t>
  </si>
  <si>
    <t xml:space="preserve">г. Удачный</t>
  </si>
  <si>
    <t xml:space="preserve">Ковалева</t>
  </si>
  <si>
    <t xml:space="preserve">г. Очёр</t>
  </si>
  <si>
    <t xml:space="preserve">Валерьевич</t>
  </si>
  <si>
    <t xml:space="preserve">г. Азов</t>
  </si>
  <si>
    <t xml:space="preserve">г. Новосибирск</t>
  </si>
  <si>
    <t xml:space="preserve">Эрнест</t>
  </si>
  <si>
    <t xml:space="preserve">г. Тетюши</t>
  </si>
  <si>
    <t xml:space="preserve">г. Дудинка</t>
  </si>
  <si>
    <t xml:space="preserve">г. Бор</t>
  </si>
  <si>
    <t xml:space="preserve">г. Балей</t>
  </si>
  <si>
    <t xml:space="preserve">г. Лениногорск</t>
  </si>
  <si>
    <t xml:space="preserve">г. Брянск</t>
  </si>
  <si>
    <t xml:space="preserve">Коновалов</t>
  </si>
  <si>
    <t xml:space="preserve">Семен</t>
  </si>
  <si>
    <t xml:space="preserve">г. Урус-Мартан</t>
  </si>
  <si>
    <t xml:space="preserve">г. Мещовск</t>
  </si>
  <si>
    <t xml:space="preserve">г. Катав-Ивановск</t>
  </si>
  <si>
    <t xml:space="preserve">Рожков</t>
  </si>
  <si>
    <t xml:space="preserve">г. Губаха</t>
  </si>
  <si>
    <t xml:space="preserve">г. Братск</t>
  </si>
  <si>
    <t xml:space="preserve">г. Протвино</t>
  </si>
  <si>
    <t xml:space="preserve">Калашников</t>
  </si>
  <si>
    <t xml:space="preserve">г. Куса</t>
  </si>
  <si>
    <t xml:space="preserve">Власович</t>
  </si>
  <si>
    <t xml:space="preserve">г. Билибино</t>
  </si>
  <si>
    <t xml:space="preserve">Викторин</t>
  </si>
  <si>
    <t xml:space="preserve">г. Михайловка</t>
  </si>
  <si>
    <t xml:space="preserve">г. Новозыбков</t>
  </si>
  <si>
    <t xml:space="preserve">г. Жирновск</t>
  </si>
  <si>
    <t xml:space="preserve">г. Котельнич</t>
  </si>
  <si>
    <t xml:space="preserve">Матвеев</t>
  </si>
  <si>
    <t xml:space="preserve">Третьяков</t>
  </si>
  <si>
    <t xml:space="preserve">г. Новоульяновск</t>
  </si>
  <si>
    <t xml:space="preserve">г. Ревда</t>
  </si>
  <si>
    <t xml:space="preserve">Наумова</t>
  </si>
  <si>
    <t xml:space="preserve">г. Северск</t>
  </si>
  <si>
    <t xml:space="preserve">Захаров</t>
  </si>
  <si>
    <t xml:space="preserve">Аполлон</t>
  </si>
  <si>
    <t xml:space="preserve">г. Наро-Фоминск</t>
  </si>
  <si>
    <t xml:space="preserve">г. Чёрмоз</t>
  </si>
  <si>
    <t xml:space="preserve">г. Волхов</t>
  </si>
  <si>
    <t xml:space="preserve">г. Никольское</t>
  </si>
  <si>
    <t xml:space="preserve">Емельянов</t>
  </si>
  <si>
    <t xml:space="preserve">г. Нижнеудинск</t>
  </si>
  <si>
    <t xml:space="preserve">Логинов</t>
  </si>
  <si>
    <t xml:space="preserve">г. Вилюйск</t>
  </si>
  <si>
    <t xml:space="preserve">Панкрат</t>
  </si>
  <si>
    <t xml:space="preserve">Никонов</t>
  </si>
  <si>
    <t xml:space="preserve">г. Пущино</t>
  </si>
  <si>
    <t xml:space="preserve">г. Рассказово</t>
  </si>
  <si>
    <t xml:space="preserve">Ян</t>
  </si>
  <si>
    <t xml:space="preserve">г. Константиновск</t>
  </si>
  <si>
    <t xml:space="preserve">г. Лысьва</t>
  </si>
  <si>
    <t xml:space="preserve">г. Черепаново</t>
  </si>
  <si>
    <t xml:space="preserve">г. Петровск</t>
  </si>
  <si>
    <t xml:space="preserve">г. Нариманов</t>
  </si>
  <si>
    <t xml:space="preserve">г. Новопавловск</t>
  </si>
  <si>
    <t xml:space="preserve">г. Черногорск</t>
  </si>
  <si>
    <t xml:space="preserve">г. Сураж</t>
  </si>
  <si>
    <t xml:space="preserve">Нестерова</t>
  </si>
  <si>
    <t xml:space="preserve">Никонова</t>
  </si>
  <si>
    <t xml:space="preserve">г. Заволжск</t>
  </si>
  <si>
    <t xml:space="preserve">г. Нягань</t>
  </si>
  <si>
    <t xml:space="preserve">г. Железноводск</t>
  </si>
  <si>
    <t xml:space="preserve">г. Рузаевка</t>
  </si>
  <si>
    <t xml:space="preserve">Денис</t>
  </si>
  <si>
    <t xml:space="preserve">Вячеслав</t>
  </si>
  <si>
    <t xml:space="preserve">Лихачев</t>
  </si>
  <si>
    <t xml:space="preserve">г. Прохладный</t>
  </si>
  <si>
    <t xml:space="preserve">Носова</t>
  </si>
  <si>
    <t xml:space="preserve">г. Орехово-Зуево</t>
  </si>
  <si>
    <t xml:space="preserve">Кудрявцев</t>
  </si>
  <si>
    <t xml:space="preserve">Ефремова</t>
  </si>
  <si>
    <t xml:space="preserve">г. Мыски</t>
  </si>
  <si>
    <t xml:space="preserve">г. Балашов</t>
  </si>
  <si>
    <t xml:space="preserve">Дорофеев</t>
  </si>
  <si>
    <t xml:space="preserve">г. Нурлат</t>
  </si>
  <si>
    <t xml:space="preserve">Соколова</t>
  </si>
  <si>
    <t xml:space="preserve">Сидорова</t>
  </si>
  <si>
    <t xml:space="preserve">г. Электрогорск</t>
  </si>
  <si>
    <t xml:space="preserve">Никифоров</t>
  </si>
  <si>
    <t xml:space="preserve">г. Углич</t>
  </si>
  <si>
    <t xml:space="preserve">г. Мытищи</t>
  </si>
  <si>
    <t xml:space="preserve">г. Вологда</t>
  </si>
  <si>
    <t xml:space="preserve">Герасим</t>
  </si>
  <si>
    <t xml:space="preserve">г. Гусев</t>
  </si>
  <si>
    <t xml:space="preserve">г. Приморско-Ахтарск</t>
  </si>
  <si>
    <t xml:space="preserve">Викентьевич</t>
  </si>
  <si>
    <t xml:space="preserve">г. Окуловка</t>
  </si>
  <si>
    <t xml:space="preserve">г. Харабали</t>
  </si>
  <si>
    <t xml:space="preserve">г. Багратионовск</t>
  </si>
  <si>
    <t xml:space="preserve">г. Заинск</t>
  </si>
  <si>
    <t xml:space="preserve">г. Алексеевка</t>
  </si>
  <si>
    <t xml:space="preserve">Борис</t>
  </si>
  <si>
    <t xml:space="preserve">г. Дмитровск</t>
  </si>
  <si>
    <t xml:space="preserve">Горшкова</t>
  </si>
  <si>
    <t xml:space="preserve">г. Родники</t>
  </si>
  <si>
    <t xml:space="preserve">г. Горно-Алтайск</t>
  </si>
  <si>
    <t xml:space="preserve">Молчанова</t>
  </si>
  <si>
    <t xml:space="preserve">г. Ступино</t>
  </si>
  <si>
    <t xml:space="preserve">г. Венёв</t>
  </si>
  <si>
    <t xml:space="preserve">г. Кумертау</t>
  </si>
  <si>
    <t xml:space="preserve">Анатольевич</t>
  </si>
  <si>
    <t xml:space="preserve">г. Мамадыш</t>
  </si>
  <si>
    <t xml:space="preserve">Рогова</t>
  </si>
  <si>
    <t xml:space="preserve">г. Ковдор</t>
  </si>
  <si>
    <t xml:space="preserve">Ефим</t>
  </si>
  <si>
    <t xml:space="preserve">г. Алейск</t>
  </si>
  <si>
    <t xml:space="preserve">г. Красноуфимск</t>
  </si>
  <si>
    <t xml:space="preserve">г. Сосновоборск</t>
  </si>
  <si>
    <t xml:space="preserve">г. Ивдель</t>
  </si>
  <si>
    <t xml:space="preserve">г. Курчатов</t>
  </si>
  <si>
    <t xml:space="preserve">г. Борзя</t>
  </si>
  <si>
    <t xml:space="preserve">г. Усолье</t>
  </si>
  <si>
    <t xml:space="preserve">Самсон</t>
  </si>
  <si>
    <t xml:space="preserve">г. Гуково</t>
  </si>
  <si>
    <t xml:space="preserve">г. Игарка</t>
  </si>
  <si>
    <t xml:space="preserve">г. Суздаль</t>
  </si>
  <si>
    <t xml:space="preserve">Ермилович</t>
  </si>
  <si>
    <t xml:space="preserve">Галкина</t>
  </si>
  <si>
    <t xml:space="preserve">г. Искитим</t>
  </si>
  <si>
    <t xml:space="preserve">Фомичева</t>
  </si>
  <si>
    <t xml:space="preserve">г. Лянтор</t>
  </si>
  <si>
    <t xml:space="preserve">Блохина</t>
  </si>
  <si>
    <t xml:space="preserve">г. Няндома</t>
  </si>
  <si>
    <t xml:space="preserve">Ефимова</t>
  </si>
  <si>
    <t xml:space="preserve">г. Питкяранта</t>
  </si>
  <si>
    <t xml:space="preserve">г. Циолковский</t>
  </si>
  <si>
    <t xml:space="preserve">г. Шарья</t>
  </si>
  <si>
    <t xml:space="preserve">Смирнова</t>
  </si>
  <si>
    <t xml:space="preserve">Антип</t>
  </si>
  <si>
    <t xml:space="preserve">г. Правдинск</t>
  </si>
  <si>
    <t xml:space="preserve">г. Ясный</t>
  </si>
  <si>
    <t xml:space="preserve">г. Руза</t>
  </si>
  <si>
    <t xml:space="preserve">Красильникова</t>
  </si>
  <si>
    <t xml:space="preserve">г. Апшеронск</t>
  </si>
  <si>
    <t xml:space="preserve">Евстигней</t>
  </si>
  <si>
    <t xml:space="preserve">г. Ливны</t>
  </si>
  <si>
    <t xml:space="preserve">г. Владимир</t>
  </si>
  <si>
    <t xml:space="preserve">г. Липки</t>
  </si>
  <si>
    <t xml:space="preserve">Блинова</t>
  </si>
  <si>
    <t xml:space="preserve">г. Цимлянск</t>
  </si>
  <si>
    <t xml:space="preserve">г. Зарайск</t>
  </si>
  <si>
    <t xml:space="preserve">Денисова</t>
  </si>
  <si>
    <t xml:space="preserve">г. Белый</t>
  </si>
  <si>
    <t xml:space="preserve">Самойлова</t>
  </si>
  <si>
    <t xml:space="preserve">г. Болотное</t>
  </si>
  <si>
    <t xml:space="preserve">Селезнева</t>
  </si>
  <si>
    <t xml:space="preserve">г. Зерноград</t>
  </si>
  <si>
    <t xml:space="preserve">Артемьев</t>
  </si>
  <si>
    <t xml:space="preserve">Лев</t>
  </si>
  <si>
    <t xml:space="preserve">г. Буинск</t>
  </si>
  <si>
    <t xml:space="preserve">Христофор</t>
  </si>
  <si>
    <t xml:space="preserve">г. Мураши</t>
  </si>
  <si>
    <t xml:space="preserve">г. Опочка</t>
  </si>
  <si>
    <t xml:space="preserve">Наркис</t>
  </si>
  <si>
    <t xml:space="preserve">г. Мелеуз</t>
  </si>
  <si>
    <t xml:space="preserve">Юлий</t>
  </si>
  <si>
    <t xml:space="preserve">г. Люберцы</t>
  </si>
  <si>
    <t xml:space="preserve">г. Мегион</t>
  </si>
  <si>
    <t xml:space="preserve">Родионова</t>
  </si>
  <si>
    <t xml:space="preserve">г. Миллерово</t>
  </si>
  <si>
    <t xml:space="preserve">г. Торопец</t>
  </si>
  <si>
    <t xml:space="preserve">г. Волгореченск</t>
  </si>
  <si>
    <t xml:space="preserve">г. Чита</t>
  </si>
  <si>
    <t xml:space="preserve">г. Алдан</t>
  </si>
  <si>
    <t xml:space="preserve">Тихонова</t>
  </si>
  <si>
    <t xml:space="preserve">г. Выкса</t>
  </si>
  <si>
    <t xml:space="preserve">г. Байкальск</t>
  </si>
  <si>
    <t xml:space="preserve">г. Жуков</t>
  </si>
  <si>
    <t xml:space="preserve">г. Абакан</t>
  </si>
  <si>
    <t xml:space="preserve">г. Унеча</t>
  </si>
  <si>
    <t xml:space="preserve">г. Невельск</t>
  </si>
  <si>
    <t xml:space="preserve">г. Сорочинск</t>
  </si>
  <si>
    <t xml:space="preserve">Быков</t>
  </si>
  <si>
    <t xml:space="preserve">Леонтий</t>
  </si>
  <si>
    <t xml:space="preserve">г. Вяземский</t>
  </si>
  <si>
    <t xml:space="preserve">г. Северобайкальск</t>
  </si>
  <si>
    <t xml:space="preserve">г. Шарыпово</t>
  </si>
  <si>
    <t xml:space="preserve">г. Любань</t>
  </si>
  <si>
    <t xml:space="preserve">Милован</t>
  </si>
  <si>
    <t xml:space="preserve">г. Красавино</t>
  </si>
  <si>
    <t xml:space="preserve">г. Магадан</t>
  </si>
  <si>
    <t xml:space="preserve">г. Зеленодольск</t>
  </si>
  <si>
    <t xml:space="preserve">Творимир</t>
  </si>
  <si>
    <t xml:space="preserve">г. Советский</t>
  </si>
  <si>
    <t xml:space="preserve">г. Нолинск</t>
  </si>
  <si>
    <t xml:space="preserve">г. Назарово</t>
  </si>
  <si>
    <t xml:space="preserve">г. Кулебаки</t>
  </si>
  <si>
    <t xml:space="preserve">г. Новокубанск</t>
  </si>
  <si>
    <t xml:space="preserve">г. Шумерля</t>
  </si>
  <si>
    <t xml:space="preserve">Сазонова</t>
  </si>
  <si>
    <t xml:space="preserve">г. Янаул</t>
  </si>
  <si>
    <t xml:space="preserve">г. Юрга</t>
  </si>
  <si>
    <t xml:space="preserve">Потап</t>
  </si>
  <si>
    <t xml:space="preserve">г. Донской</t>
  </si>
  <si>
    <t xml:space="preserve">г. Любим</t>
  </si>
  <si>
    <t xml:space="preserve">г. Углегорск</t>
  </si>
  <si>
    <t xml:space="preserve">г. Уяр</t>
  </si>
  <si>
    <t xml:space="preserve">г. Бутурлиновка</t>
  </si>
  <si>
    <t xml:space="preserve">г. Лермонтов</t>
  </si>
  <si>
    <t xml:space="preserve">Зимин</t>
  </si>
  <si>
    <t xml:space="preserve">Кулагина</t>
  </si>
  <si>
    <t xml:space="preserve">г. Николаевск</t>
  </si>
  <si>
    <t xml:space="preserve">г. Карачаевск</t>
  </si>
  <si>
    <t xml:space="preserve">г. Юрюзань</t>
  </si>
  <si>
    <t xml:space="preserve">Филатова</t>
  </si>
  <si>
    <t xml:space="preserve">Онуфрий</t>
  </si>
  <si>
    <t xml:space="preserve">г. Ялуторовск</t>
  </si>
  <si>
    <t xml:space="preserve">г. Белозерск</t>
  </si>
  <si>
    <t xml:space="preserve">г. Карабаш</t>
  </si>
  <si>
    <t xml:space="preserve">г. Семикаракорск</t>
  </si>
  <si>
    <t xml:space="preserve">г. Зея</t>
  </si>
  <si>
    <t xml:space="preserve">г. Бронницы</t>
  </si>
  <si>
    <t xml:space="preserve">Ананий</t>
  </si>
  <si>
    <t xml:space="preserve">Гаврила</t>
  </si>
  <si>
    <t xml:space="preserve">г. Петропавловск-Камчатский</t>
  </si>
  <si>
    <t xml:space="preserve">г. Ишимбай</t>
  </si>
  <si>
    <t xml:space="preserve">г. Анапа</t>
  </si>
  <si>
    <t xml:space="preserve">Фадеева</t>
  </si>
  <si>
    <t xml:space="preserve">г. Ясногорск</t>
  </si>
  <si>
    <t xml:space="preserve">Власов</t>
  </si>
  <si>
    <t xml:space="preserve">г. Елабуга</t>
  </si>
  <si>
    <t xml:space="preserve">г. Свирск</t>
  </si>
  <si>
    <t xml:space="preserve">г. Тосно</t>
  </si>
  <si>
    <t xml:space="preserve">г. Сочи</t>
  </si>
  <si>
    <t xml:space="preserve">Аггей</t>
  </si>
  <si>
    <t xml:space="preserve">г. Сальск</t>
  </si>
  <si>
    <t xml:space="preserve">г. Бирск</t>
  </si>
  <si>
    <t xml:space="preserve">г. Ужур</t>
  </si>
  <si>
    <t xml:space="preserve">г. Пустошка</t>
  </si>
  <si>
    <t xml:space="preserve">г. Белинский</t>
  </si>
  <si>
    <t xml:space="preserve">г. Назрань</t>
  </si>
  <si>
    <t xml:space="preserve">г. Геленджик</t>
  </si>
  <si>
    <t xml:space="preserve">г. Тайшет</t>
  </si>
  <si>
    <t xml:space="preserve">г. Лаишево</t>
  </si>
  <si>
    <t xml:space="preserve">г. Снежногорск</t>
  </si>
  <si>
    <t xml:space="preserve">Код заказа</t>
  </si>
  <si>
    <t xml:space="preserve">Дата</t>
  </si>
  <si>
    <t xml:space="preserve">Цена доставки</t>
  </si>
  <si>
    <t xml:space="preserve">Статус доставки</t>
  </si>
  <si>
    <t xml:space="preserve">Не выполнено</t>
  </si>
  <si>
    <t xml:space="preserve">Выполнено</t>
  </si>
  <si>
    <t xml:space="preserve">Код</t>
  </si>
  <si>
    <t xml:space="preserve">Код блюда</t>
  </si>
  <si>
    <t xml:space="preserve">Количество</t>
  </si>
  <si>
    <t xml:space="preserve">Название блюда</t>
  </si>
  <si>
    <t xml:space="preserve">Цена</t>
  </si>
  <si>
    <t xml:space="preserve">Дата заказа</t>
  </si>
  <si>
    <t xml:space="preserve">Стоимость с доставкой</t>
  </si>
  <si>
    <t xml:space="preserve">К учёту</t>
  </si>
  <si>
    <t xml:space="preserve">Итого</t>
  </si>
  <si>
    <t xml:space="preserve">Название</t>
  </si>
  <si>
    <t xml:space="preserve">Пицца Гавайская</t>
  </si>
  <si>
    <t xml:space="preserve">Пицца Двойная пепперони</t>
  </si>
  <si>
    <t xml:space="preserve">Пицца Диабло</t>
  </si>
  <si>
    <t xml:space="preserve">Пицца Труслейка</t>
  </si>
  <si>
    <t xml:space="preserve">Пицца Жюльен</t>
  </si>
  <si>
    <t xml:space="preserve">Пицца Капричиоза</t>
  </si>
  <si>
    <t xml:space="preserve">Пицца Карбонара</t>
  </si>
  <si>
    <t xml:space="preserve">Пицца Мясная</t>
  </si>
  <si>
    <t xml:space="preserve">Пицца Острая с беконом</t>
  </si>
  <si>
    <t xml:space="preserve">Пицца Пепперони фреш</t>
  </si>
  <si>
    <t xml:space="preserve">Пицца Песто</t>
  </si>
  <si>
    <t xml:space="preserve">Пицца Салями с трюфелем</t>
  </si>
  <si>
    <t xml:space="preserve">Пицца Сырная</t>
  </si>
  <si>
    <t xml:space="preserve">Пицца Сырный цыпленок</t>
  </si>
  <si>
    <t xml:space="preserve">Пицца Тропиканка</t>
  </si>
  <si>
    <t xml:space="preserve">Пицца Флорида</t>
  </si>
  <si>
    <t xml:space="preserve">Пицца Френч Фрайз</t>
  </si>
  <si>
    <t xml:space="preserve">Пицца Царская</t>
  </si>
  <si>
    <t xml:space="preserve">Пицца Цезарь</t>
  </si>
  <si>
    <t xml:space="preserve">Пицца пиканте</t>
  </si>
  <si>
    <t xml:space="preserve">Пицца с креветками и цукини</t>
  </si>
  <si>
    <t xml:space="preserve">Пицца с поркеттой и фриарелли</t>
  </si>
  <si>
    <t xml:space="preserve">Пицца с тунцом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</si>
</sst>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_-* #,##0\ [$р.-419]_-;\-* #,##0\ [$р.-419]_-;_-* \-??\ [$р.-419]_-;_-@_-"/>
    <numFmt numFmtId="167" formatCode="dd\.mm\.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14.41"/>
    <col collapsed="false" customWidth="true" hidden="false" outlineLevel="0" max="3" min="3" style="1" width="14.56"/>
    <col collapsed="false" customWidth="true" hidden="false" outlineLevel="0" max="4" min="4" style="1" width="17.28"/>
    <col collapsed="false" customWidth="true" hidden="false" outlineLevel="0" max="5" min="5" style="1" width="22.9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n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5" hidden="false" customHeight="true" outlineLevel="0" collapsed="false">
      <c r="A3" s="1" t="n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customFormat="false" ht="15" hidden="false" customHeight="true" outlineLevel="0" collapsed="false">
      <c r="A4" s="1" t="n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customFormat="false" ht="15" hidden="false" customHeight="true" outlineLevel="0" collapsed="false">
      <c r="A5" s="1" t="n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customFormat="false" ht="15" hidden="false" customHeight="true" outlineLevel="0" collapsed="false">
      <c r="A6" s="1" t="n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customFormat="false" ht="15" hidden="false" customHeight="true" outlineLevel="0" collapsed="false">
      <c r="A7" s="1" t="n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customFormat="false" ht="15" hidden="false" customHeight="true" outlineLevel="0" collapsed="false">
      <c r="A8" s="1" t="n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customFormat="false" ht="15" hidden="false" customHeight="true" outlineLevel="0" collapsed="false">
      <c r="A9" s="1" t="n">
        <v>8</v>
      </c>
      <c r="B9" s="1" t="s">
        <v>33</v>
      </c>
      <c r="C9" s="1" t="s">
        <v>34</v>
      </c>
      <c r="D9" s="1" t="s">
        <v>35</v>
      </c>
      <c r="E9" s="1" t="s">
        <v>36</v>
      </c>
    </row>
    <row r="10" customFormat="false" ht="15" hidden="false" customHeight="true" outlineLevel="0" collapsed="false">
      <c r="A10" s="1" t="n">
        <v>9</v>
      </c>
      <c r="B10" s="1" t="s">
        <v>37</v>
      </c>
      <c r="C10" s="1" t="s">
        <v>38</v>
      </c>
      <c r="D10" s="1" t="s">
        <v>39</v>
      </c>
      <c r="E10" s="1" t="s">
        <v>40</v>
      </c>
    </row>
    <row r="11" customFormat="false" ht="15" hidden="false" customHeight="true" outlineLevel="0" collapsed="false">
      <c r="A11" s="1" t="n">
        <v>10</v>
      </c>
      <c r="B11" s="1" t="s">
        <v>41</v>
      </c>
      <c r="C11" s="1" t="s">
        <v>42</v>
      </c>
      <c r="D11" s="1" t="s">
        <v>43</v>
      </c>
      <c r="E11" s="1" t="s">
        <v>44</v>
      </c>
    </row>
    <row r="12" customFormat="false" ht="15" hidden="false" customHeight="true" outlineLevel="0" collapsed="false">
      <c r="A12" s="1" t="n">
        <v>11</v>
      </c>
      <c r="B12" s="1" t="s">
        <v>45</v>
      </c>
      <c r="C12" s="1" t="s">
        <v>46</v>
      </c>
      <c r="D12" s="1" t="s">
        <v>47</v>
      </c>
      <c r="E12" s="1" t="s">
        <v>48</v>
      </c>
    </row>
    <row r="13" customFormat="false" ht="15" hidden="false" customHeight="true" outlineLevel="0" collapsed="false">
      <c r="A13" s="1" t="n">
        <v>12</v>
      </c>
      <c r="B13" s="1" t="s">
        <v>49</v>
      </c>
      <c r="C13" s="1" t="s">
        <v>50</v>
      </c>
      <c r="D13" s="1" t="s">
        <v>51</v>
      </c>
      <c r="E13" s="1" t="s">
        <v>52</v>
      </c>
    </row>
    <row r="14" customFormat="false" ht="15" hidden="false" customHeight="true" outlineLevel="0" collapsed="false">
      <c r="A14" s="1" t="n">
        <v>13</v>
      </c>
      <c r="B14" s="1" t="s">
        <v>53</v>
      </c>
      <c r="C14" s="1" t="s">
        <v>54</v>
      </c>
      <c r="D14" s="1" t="s">
        <v>43</v>
      </c>
      <c r="E14" s="1" t="s">
        <v>55</v>
      </c>
    </row>
    <row r="15" customFormat="false" ht="15" hidden="false" customHeight="true" outlineLevel="0" collapsed="false">
      <c r="A15" s="1" t="n">
        <v>14</v>
      </c>
      <c r="B15" s="1" t="s">
        <v>56</v>
      </c>
      <c r="C15" s="1" t="s">
        <v>57</v>
      </c>
      <c r="D15" s="1" t="s">
        <v>58</v>
      </c>
      <c r="E15" s="1" t="s">
        <v>59</v>
      </c>
    </row>
    <row r="16" customFormat="false" ht="15" hidden="false" customHeight="true" outlineLevel="0" collapsed="false">
      <c r="A16" s="1" t="n">
        <v>15</v>
      </c>
      <c r="B16" s="1" t="s">
        <v>60</v>
      </c>
      <c r="C16" s="1" t="s">
        <v>61</v>
      </c>
      <c r="D16" s="1" t="s">
        <v>62</v>
      </c>
      <c r="E16" s="1" t="s">
        <v>63</v>
      </c>
    </row>
    <row r="17" customFormat="false" ht="15" hidden="false" customHeight="true" outlineLevel="0" collapsed="false">
      <c r="A17" s="1" t="n">
        <v>16</v>
      </c>
      <c r="B17" s="1" t="s">
        <v>64</v>
      </c>
      <c r="C17" s="1" t="s">
        <v>65</v>
      </c>
      <c r="D17" s="1" t="s">
        <v>62</v>
      </c>
      <c r="E17" s="1" t="s">
        <v>66</v>
      </c>
    </row>
    <row r="18" customFormat="false" ht="15" hidden="false" customHeight="true" outlineLevel="0" collapsed="false">
      <c r="A18" s="1" t="n">
        <v>17</v>
      </c>
      <c r="B18" s="1" t="s">
        <v>67</v>
      </c>
      <c r="C18" s="1" t="s">
        <v>68</v>
      </c>
      <c r="D18" s="1" t="s">
        <v>69</v>
      </c>
      <c r="E18" s="1" t="s">
        <v>70</v>
      </c>
    </row>
    <row r="19" customFormat="false" ht="15" hidden="false" customHeight="true" outlineLevel="0" collapsed="false">
      <c r="A19" s="1" t="n">
        <v>18</v>
      </c>
      <c r="B19" s="1" t="s">
        <v>71</v>
      </c>
      <c r="C19" s="1" t="s">
        <v>72</v>
      </c>
      <c r="D19" s="1" t="s">
        <v>73</v>
      </c>
      <c r="E19" s="1" t="s">
        <v>74</v>
      </c>
    </row>
    <row r="20" customFormat="false" ht="15" hidden="false" customHeight="true" outlineLevel="0" collapsed="false">
      <c r="A20" s="1" t="n">
        <v>19</v>
      </c>
      <c r="B20" s="1" t="s">
        <v>75</v>
      </c>
      <c r="C20" s="1" t="s">
        <v>76</v>
      </c>
      <c r="D20" s="1" t="s">
        <v>35</v>
      </c>
      <c r="E20" s="1" t="s">
        <v>77</v>
      </c>
    </row>
    <row r="21" customFormat="false" ht="15" hidden="false" customHeight="true" outlineLevel="0" collapsed="false">
      <c r="A21" s="1" t="n">
        <v>20</v>
      </c>
      <c r="B21" s="1" t="s">
        <v>49</v>
      </c>
      <c r="C21" s="1" t="s">
        <v>78</v>
      </c>
      <c r="D21" s="1" t="s">
        <v>79</v>
      </c>
      <c r="E21" s="1" t="s">
        <v>44</v>
      </c>
    </row>
    <row r="22" customFormat="false" ht="15" hidden="false" customHeight="true" outlineLevel="0" collapsed="false">
      <c r="A22" s="1" t="n">
        <v>21</v>
      </c>
      <c r="B22" s="1" t="s">
        <v>80</v>
      </c>
      <c r="C22" s="1" t="s">
        <v>81</v>
      </c>
      <c r="D22" s="1" t="s">
        <v>82</v>
      </c>
      <c r="E22" s="1" t="s">
        <v>83</v>
      </c>
    </row>
    <row r="23" customFormat="false" ht="15" hidden="false" customHeight="true" outlineLevel="0" collapsed="false">
      <c r="A23" s="1" t="n">
        <v>22</v>
      </c>
      <c r="B23" s="1" t="s">
        <v>84</v>
      </c>
      <c r="C23" s="1" t="s">
        <v>85</v>
      </c>
      <c r="D23" s="1" t="s">
        <v>86</v>
      </c>
      <c r="E23" s="1" t="s">
        <v>87</v>
      </c>
    </row>
    <row r="24" customFormat="false" ht="15" hidden="false" customHeight="true" outlineLevel="0" collapsed="false">
      <c r="A24" s="1" t="n">
        <v>23</v>
      </c>
      <c r="B24" s="1" t="s">
        <v>88</v>
      </c>
      <c r="C24" s="1" t="s">
        <v>89</v>
      </c>
      <c r="D24" s="1" t="s">
        <v>90</v>
      </c>
      <c r="E24" s="1" t="s">
        <v>91</v>
      </c>
    </row>
    <row r="25" customFormat="false" ht="15" hidden="false" customHeight="true" outlineLevel="0" collapsed="false">
      <c r="A25" s="1" t="n">
        <v>24</v>
      </c>
      <c r="B25" s="1" t="s">
        <v>92</v>
      </c>
      <c r="C25" s="1" t="s">
        <v>93</v>
      </c>
      <c r="D25" s="1" t="s">
        <v>94</v>
      </c>
      <c r="E25" s="1" t="s">
        <v>95</v>
      </c>
    </row>
    <row r="26" customFormat="false" ht="15" hidden="false" customHeight="true" outlineLevel="0" collapsed="false">
      <c r="A26" s="1" t="n">
        <v>25</v>
      </c>
      <c r="B26" s="1" t="s">
        <v>96</v>
      </c>
      <c r="C26" s="1" t="s">
        <v>6</v>
      </c>
      <c r="D26" s="1" t="s">
        <v>97</v>
      </c>
      <c r="E26" s="1" t="s">
        <v>98</v>
      </c>
    </row>
    <row r="27" customFormat="false" ht="15" hidden="false" customHeight="true" outlineLevel="0" collapsed="false">
      <c r="A27" s="1" t="n">
        <v>26</v>
      </c>
      <c r="B27" s="1" t="s">
        <v>99</v>
      </c>
      <c r="C27" s="1" t="s">
        <v>100</v>
      </c>
      <c r="D27" s="1" t="s">
        <v>101</v>
      </c>
      <c r="E27" s="1" t="s">
        <v>102</v>
      </c>
    </row>
    <row r="28" customFormat="false" ht="15" hidden="false" customHeight="true" outlineLevel="0" collapsed="false">
      <c r="A28" s="1" t="n">
        <v>27</v>
      </c>
      <c r="B28" s="1" t="s">
        <v>103</v>
      </c>
      <c r="C28" s="1" t="s">
        <v>104</v>
      </c>
      <c r="D28" s="1" t="s">
        <v>105</v>
      </c>
      <c r="E28" s="1" t="s">
        <v>106</v>
      </c>
    </row>
    <row r="29" customFormat="false" ht="15" hidden="false" customHeight="true" outlineLevel="0" collapsed="false">
      <c r="A29" s="1" t="n">
        <v>28</v>
      </c>
      <c r="B29" s="1" t="s">
        <v>107</v>
      </c>
      <c r="C29" s="1" t="s">
        <v>108</v>
      </c>
      <c r="D29" s="1" t="s">
        <v>109</v>
      </c>
      <c r="E29" s="1" t="s">
        <v>110</v>
      </c>
    </row>
    <row r="30" customFormat="false" ht="15" hidden="false" customHeight="true" outlineLevel="0" collapsed="false">
      <c r="A30" s="1" t="n">
        <v>29</v>
      </c>
      <c r="B30" s="1" t="s">
        <v>111</v>
      </c>
      <c r="C30" s="1" t="s">
        <v>112</v>
      </c>
      <c r="D30" s="1" t="s">
        <v>113</v>
      </c>
      <c r="E30" s="1" t="s">
        <v>114</v>
      </c>
    </row>
    <row r="31" customFormat="false" ht="15" hidden="false" customHeight="true" outlineLevel="0" collapsed="false">
      <c r="A31" s="1" t="n">
        <v>30</v>
      </c>
      <c r="B31" s="1" t="s">
        <v>115</v>
      </c>
      <c r="C31" s="1" t="s">
        <v>116</v>
      </c>
      <c r="D31" s="1" t="s">
        <v>31</v>
      </c>
      <c r="E31" s="1" t="s">
        <v>44</v>
      </c>
    </row>
    <row r="32" customFormat="false" ht="15" hidden="false" customHeight="true" outlineLevel="0" collapsed="false">
      <c r="A32" s="1" t="n">
        <v>31</v>
      </c>
      <c r="B32" s="1" t="s">
        <v>117</v>
      </c>
      <c r="C32" s="1" t="s">
        <v>118</v>
      </c>
      <c r="D32" s="1" t="s">
        <v>119</v>
      </c>
      <c r="E32" s="1" t="s">
        <v>120</v>
      </c>
    </row>
    <row r="33" customFormat="false" ht="15" hidden="false" customHeight="true" outlineLevel="0" collapsed="false">
      <c r="A33" s="1" t="n">
        <v>32</v>
      </c>
      <c r="B33" s="1" t="s">
        <v>121</v>
      </c>
      <c r="C33" s="1" t="s">
        <v>122</v>
      </c>
      <c r="D33" s="1" t="s">
        <v>123</v>
      </c>
      <c r="E33" s="1" t="s">
        <v>124</v>
      </c>
    </row>
    <row r="34" customFormat="false" ht="15" hidden="false" customHeight="true" outlineLevel="0" collapsed="false">
      <c r="A34" s="1" t="n">
        <v>33</v>
      </c>
      <c r="B34" s="1" t="s">
        <v>125</v>
      </c>
      <c r="C34" s="1" t="s">
        <v>126</v>
      </c>
      <c r="D34" s="1" t="s">
        <v>58</v>
      </c>
      <c r="E34" s="1" t="s">
        <v>127</v>
      </c>
    </row>
    <row r="35" customFormat="false" ht="15" hidden="false" customHeight="true" outlineLevel="0" collapsed="false">
      <c r="A35" s="1" t="n">
        <v>34</v>
      </c>
      <c r="B35" s="1" t="s">
        <v>128</v>
      </c>
      <c r="C35" s="1" t="s">
        <v>129</v>
      </c>
      <c r="D35" s="1" t="s">
        <v>130</v>
      </c>
      <c r="E35" s="1" t="s">
        <v>131</v>
      </c>
    </row>
    <row r="36" customFormat="false" ht="15" hidden="false" customHeight="true" outlineLevel="0" collapsed="false">
      <c r="A36" s="1" t="n">
        <v>35</v>
      </c>
      <c r="B36" s="1" t="s">
        <v>132</v>
      </c>
      <c r="C36" s="1" t="s">
        <v>133</v>
      </c>
      <c r="D36" s="1" t="s">
        <v>134</v>
      </c>
      <c r="E36" s="1" t="s">
        <v>135</v>
      </c>
    </row>
    <row r="37" customFormat="false" ht="15" hidden="false" customHeight="true" outlineLevel="0" collapsed="false">
      <c r="A37" s="1" t="n">
        <v>36</v>
      </c>
      <c r="B37" s="1" t="s">
        <v>136</v>
      </c>
      <c r="C37" s="1" t="s">
        <v>133</v>
      </c>
      <c r="D37" s="1" t="s">
        <v>137</v>
      </c>
      <c r="E37" s="1" t="s">
        <v>138</v>
      </c>
    </row>
    <row r="38" customFormat="false" ht="15" hidden="false" customHeight="true" outlineLevel="0" collapsed="false">
      <c r="A38" s="1" t="n">
        <v>37</v>
      </c>
      <c r="B38" s="1" t="s">
        <v>139</v>
      </c>
      <c r="C38" s="1" t="s">
        <v>140</v>
      </c>
      <c r="D38" s="1" t="s">
        <v>141</v>
      </c>
      <c r="E38" s="1" t="s">
        <v>142</v>
      </c>
    </row>
    <row r="39" customFormat="false" ht="15" hidden="false" customHeight="true" outlineLevel="0" collapsed="false">
      <c r="A39" s="1" t="n">
        <v>38</v>
      </c>
      <c r="B39" s="1" t="s">
        <v>143</v>
      </c>
      <c r="C39" s="1" t="s">
        <v>144</v>
      </c>
      <c r="D39" s="1" t="s">
        <v>145</v>
      </c>
      <c r="E39" s="1" t="s">
        <v>146</v>
      </c>
    </row>
    <row r="40" customFormat="false" ht="15" hidden="false" customHeight="true" outlineLevel="0" collapsed="false">
      <c r="A40" s="1" t="n">
        <v>39</v>
      </c>
      <c r="B40" s="1" t="s">
        <v>147</v>
      </c>
      <c r="C40" s="1" t="s">
        <v>148</v>
      </c>
      <c r="D40" s="1" t="s">
        <v>149</v>
      </c>
      <c r="E40" s="1" t="s">
        <v>150</v>
      </c>
    </row>
    <row r="41" customFormat="false" ht="15" hidden="false" customHeight="true" outlineLevel="0" collapsed="false">
      <c r="A41" s="1" t="n">
        <v>40</v>
      </c>
      <c r="B41" s="1" t="s">
        <v>151</v>
      </c>
      <c r="C41" s="1" t="s">
        <v>152</v>
      </c>
      <c r="D41" s="1" t="s">
        <v>97</v>
      </c>
      <c r="E41" s="1" t="s">
        <v>44</v>
      </c>
    </row>
    <row r="42" customFormat="false" ht="15" hidden="false" customHeight="true" outlineLevel="0" collapsed="false">
      <c r="A42" s="1" t="n">
        <v>41</v>
      </c>
      <c r="B42" s="1" t="s">
        <v>153</v>
      </c>
      <c r="C42" s="1" t="s">
        <v>154</v>
      </c>
      <c r="D42" s="1" t="s">
        <v>155</v>
      </c>
      <c r="E42" s="1" t="s">
        <v>156</v>
      </c>
    </row>
    <row r="43" customFormat="false" ht="15" hidden="false" customHeight="true" outlineLevel="0" collapsed="false">
      <c r="A43" s="1" t="n">
        <v>42</v>
      </c>
      <c r="B43" s="1" t="s">
        <v>157</v>
      </c>
      <c r="C43" s="1" t="s">
        <v>158</v>
      </c>
      <c r="D43" s="1" t="s">
        <v>159</v>
      </c>
      <c r="E43" s="1" t="s">
        <v>160</v>
      </c>
    </row>
    <row r="44" customFormat="false" ht="15" hidden="false" customHeight="true" outlineLevel="0" collapsed="false">
      <c r="A44" s="1" t="n">
        <v>43</v>
      </c>
      <c r="B44" s="1" t="s">
        <v>161</v>
      </c>
      <c r="C44" s="1" t="s">
        <v>162</v>
      </c>
      <c r="D44" s="1" t="s">
        <v>163</v>
      </c>
      <c r="E44" s="1" t="s">
        <v>164</v>
      </c>
    </row>
    <row r="45" customFormat="false" ht="15" hidden="false" customHeight="true" outlineLevel="0" collapsed="false">
      <c r="A45" s="1" t="n">
        <v>44</v>
      </c>
      <c r="B45" s="1" t="s">
        <v>165</v>
      </c>
      <c r="C45" s="1" t="s">
        <v>166</v>
      </c>
      <c r="D45" s="1" t="s">
        <v>167</v>
      </c>
      <c r="E45" s="1" t="s">
        <v>168</v>
      </c>
    </row>
    <row r="46" customFormat="false" ht="15" hidden="false" customHeight="true" outlineLevel="0" collapsed="false">
      <c r="A46" s="1" t="n">
        <v>45</v>
      </c>
      <c r="B46" s="1" t="s">
        <v>169</v>
      </c>
      <c r="C46" s="1" t="s">
        <v>166</v>
      </c>
      <c r="D46" s="1" t="s">
        <v>170</v>
      </c>
      <c r="E46" s="1" t="s">
        <v>171</v>
      </c>
    </row>
    <row r="47" customFormat="false" ht="15" hidden="false" customHeight="true" outlineLevel="0" collapsed="false">
      <c r="A47" s="1" t="n">
        <v>46</v>
      </c>
      <c r="B47" s="1" t="s">
        <v>172</v>
      </c>
      <c r="C47" s="1" t="s">
        <v>173</v>
      </c>
      <c r="D47" s="1" t="s">
        <v>174</v>
      </c>
      <c r="E47" s="1" t="s">
        <v>175</v>
      </c>
    </row>
    <row r="48" customFormat="false" ht="15" hidden="false" customHeight="true" outlineLevel="0" collapsed="false">
      <c r="A48" s="1" t="n">
        <v>47</v>
      </c>
      <c r="B48" s="1" t="s">
        <v>176</v>
      </c>
      <c r="C48" s="1" t="s">
        <v>177</v>
      </c>
      <c r="D48" s="1" t="s">
        <v>178</v>
      </c>
      <c r="E48" s="1" t="s">
        <v>179</v>
      </c>
    </row>
    <row r="49" customFormat="false" ht="15" hidden="false" customHeight="true" outlineLevel="0" collapsed="false">
      <c r="A49" s="1" t="n">
        <v>48</v>
      </c>
      <c r="B49" s="1" t="s">
        <v>180</v>
      </c>
      <c r="C49" s="1" t="s">
        <v>181</v>
      </c>
      <c r="D49" s="1" t="s">
        <v>182</v>
      </c>
      <c r="E49" s="1" t="s">
        <v>183</v>
      </c>
    </row>
    <row r="50" customFormat="false" ht="15" hidden="false" customHeight="true" outlineLevel="0" collapsed="false">
      <c r="A50" s="1" t="n">
        <v>49</v>
      </c>
      <c r="B50" s="1" t="s">
        <v>184</v>
      </c>
      <c r="C50" s="1" t="s">
        <v>34</v>
      </c>
      <c r="D50" s="1" t="s">
        <v>185</v>
      </c>
      <c r="E50" s="1" t="s">
        <v>59</v>
      </c>
    </row>
    <row r="51" customFormat="false" ht="15" hidden="false" customHeight="true" outlineLevel="0" collapsed="false">
      <c r="A51" s="1" t="n">
        <v>50</v>
      </c>
      <c r="B51" s="1" t="s">
        <v>186</v>
      </c>
      <c r="C51" s="1" t="s">
        <v>187</v>
      </c>
      <c r="D51" s="1" t="s">
        <v>109</v>
      </c>
      <c r="E51" s="1" t="s">
        <v>44</v>
      </c>
    </row>
    <row r="52" customFormat="false" ht="15" hidden="false" customHeight="true" outlineLevel="0" collapsed="false">
      <c r="A52" s="1" t="n">
        <v>51</v>
      </c>
      <c r="B52" s="1" t="s">
        <v>188</v>
      </c>
      <c r="C52" s="1" t="s">
        <v>189</v>
      </c>
      <c r="D52" s="1" t="s">
        <v>190</v>
      </c>
      <c r="E52" s="1" t="s">
        <v>191</v>
      </c>
    </row>
    <row r="53" customFormat="false" ht="15" hidden="false" customHeight="true" outlineLevel="0" collapsed="false">
      <c r="A53" s="1" t="n">
        <v>52</v>
      </c>
      <c r="B53" s="1" t="s">
        <v>192</v>
      </c>
      <c r="C53" s="1" t="s">
        <v>193</v>
      </c>
      <c r="D53" s="1" t="s">
        <v>194</v>
      </c>
      <c r="E53" s="1" t="s">
        <v>195</v>
      </c>
    </row>
    <row r="54" customFormat="false" ht="15" hidden="false" customHeight="true" outlineLevel="0" collapsed="false">
      <c r="A54" s="1" t="n">
        <v>53</v>
      </c>
      <c r="B54" s="1" t="s">
        <v>196</v>
      </c>
      <c r="C54" s="1" t="s">
        <v>197</v>
      </c>
      <c r="D54" s="1" t="s">
        <v>198</v>
      </c>
      <c r="E54" s="1" t="s">
        <v>199</v>
      </c>
    </row>
    <row r="55" customFormat="false" ht="15" hidden="false" customHeight="true" outlineLevel="0" collapsed="false">
      <c r="A55" s="1" t="n">
        <v>54</v>
      </c>
      <c r="B55" s="1" t="s">
        <v>53</v>
      </c>
      <c r="C55" s="1" t="s">
        <v>200</v>
      </c>
      <c r="D55" s="1" t="s">
        <v>86</v>
      </c>
      <c r="E55" s="1" t="s">
        <v>168</v>
      </c>
    </row>
    <row r="56" customFormat="false" ht="15" hidden="false" customHeight="true" outlineLevel="0" collapsed="false">
      <c r="A56" s="1" t="n">
        <v>55</v>
      </c>
      <c r="B56" s="1" t="s">
        <v>201</v>
      </c>
      <c r="C56" s="1" t="s">
        <v>202</v>
      </c>
      <c r="D56" s="1" t="s">
        <v>11</v>
      </c>
      <c r="E56" s="1" t="s">
        <v>203</v>
      </c>
    </row>
    <row r="57" customFormat="false" ht="15" hidden="false" customHeight="true" outlineLevel="0" collapsed="false">
      <c r="A57" s="1" t="n">
        <v>56</v>
      </c>
      <c r="B57" s="1" t="s">
        <v>204</v>
      </c>
      <c r="C57" s="1" t="s">
        <v>93</v>
      </c>
      <c r="D57" s="1" t="s">
        <v>82</v>
      </c>
      <c r="E57" s="1" t="s">
        <v>205</v>
      </c>
    </row>
    <row r="58" customFormat="false" ht="15" hidden="false" customHeight="true" outlineLevel="0" collapsed="false">
      <c r="A58" s="1" t="n">
        <v>57</v>
      </c>
      <c r="B58" s="1" t="s">
        <v>75</v>
      </c>
      <c r="C58" s="1" t="s">
        <v>126</v>
      </c>
      <c r="D58" s="1" t="s">
        <v>185</v>
      </c>
      <c r="E58" s="1" t="s">
        <v>206</v>
      </c>
    </row>
    <row r="59" customFormat="false" ht="15" hidden="false" customHeight="true" outlineLevel="0" collapsed="false">
      <c r="A59" s="1" t="n">
        <v>58</v>
      </c>
      <c r="B59" s="1" t="s">
        <v>207</v>
      </c>
      <c r="C59" s="1" t="s">
        <v>208</v>
      </c>
      <c r="D59" s="1" t="s">
        <v>209</v>
      </c>
      <c r="E59" s="1" t="s">
        <v>210</v>
      </c>
    </row>
    <row r="60" customFormat="false" ht="15" hidden="false" customHeight="true" outlineLevel="0" collapsed="false">
      <c r="A60" s="1" t="n">
        <v>59</v>
      </c>
      <c r="B60" s="1" t="s">
        <v>211</v>
      </c>
      <c r="C60" s="1" t="s">
        <v>212</v>
      </c>
      <c r="D60" s="1" t="s">
        <v>213</v>
      </c>
      <c r="E60" s="1" t="s">
        <v>214</v>
      </c>
    </row>
    <row r="61" customFormat="false" ht="15" hidden="false" customHeight="true" outlineLevel="0" collapsed="false">
      <c r="A61" s="1" t="n">
        <v>60</v>
      </c>
      <c r="B61" s="1" t="s">
        <v>215</v>
      </c>
      <c r="C61" s="1" t="s">
        <v>216</v>
      </c>
      <c r="D61" s="1" t="s">
        <v>217</v>
      </c>
      <c r="E61" s="1" t="s">
        <v>44</v>
      </c>
    </row>
    <row r="62" customFormat="false" ht="15" hidden="false" customHeight="true" outlineLevel="0" collapsed="false">
      <c r="A62" s="1" t="n">
        <v>61</v>
      </c>
      <c r="B62" s="1" t="s">
        <v>218</v>
      </c>
      <c r="C62" s="1" t="s">
        <v>219</v>
      </c>
      <c r="D62" s="1" t="s">
        <v>220</v>
      </c>
      <c r="E62" s="1" t="s">
        <v>221</v>
      </c>
    </row>
    <row r="63" customFormat="false" ht="15" hidden="false" customHeight="true" outlineLevel="0" collapsed="false">
      <c r="A63" s="1" t="n">
        <v>62</v>
      </c>
      <c r="B63" s="1" t="s">
        <v>222</v>
      </c>
      <c r="C63" s="1" t="s">
        <v>177</v>
      </c>
      <c r="D63" s="1" t="s">
        <v>223</v>
      </c>
      <c r="E63" s="1" t="s">
        <v>224</v>
      </c>
    </row>
    <row r="64" customFormat="false" ht="15" hidden="false" customHeight="true" outlineLevel="0" collapsed="false">
      <c r="A64" s="1" t="n">
        <v>63</v>
      </c>
      <c r="B64" s="1" t="s">
        <v>225</v>
      </c>
      <c r="C64" s="1" t="s">
        <v>226</v>
      </c>
      <c r="D64" s="1" t="s">
        <v>227</v>
      </c>
      <c r="E64" s="1" t="s">
        <v>228</v>
      </c>
    </row>
    <row r="65" customFormat="false" ht="15" hidden="false" customHeight="true" outlineLevel="0" collapsed="false">
      <c r="A65" s="1" t="n">
        <v>64</v>
      </c>
      <c r="B65" s="1" t="s">
        <v>229</v>
      </c>
      <c r="C65" s="1" t="s">
        <v>230</v>
      </c>
      <c r="D65" s="1" t="s">
        <v>231</v>
      </c>
      <c r="E65" s="1" t="s">
        <v>232</v>
      </c>
    </row>
    <row r="66" customFormat="false" ht="15" hidden="false" customHeight="true" outlineLevel="0" collapsed="false">
      <c r="A66" s="1" t="n">
        <v>65</v>
      </c>
      <c r="B66" s="1" t="s">
        <v>233</v>
      </c>
      <c r="C66" s="1" t="s">
        <v>234</v>
      </c>
      <c r="D66" s="1" t="s">
        <v>235</v>
      </c>
      <c r="E66" s="1" t="s">
        <v>236</v>
      </c>
    </row>
    <row r="67" customFormat="false" ht="15" hidden="false" customHeight="true" outlineLevel="0" collapsed="false">
      <c r="A67" s="1" t="n">
        <v>66</v>
      </c>
      <c r="B67" s="1" t="s">
        <v>67</v>
      </c>
      <c r="C67" s="1" t="s">
        <v>237</v>
      </c>
      <c r="D67" s="1" t="s">
        <v>238</v>
      </c>
      <c r="E67" s="1" t="s">
        <v>239</v>
      </c>
    </row>
    <row r="68" customFormat="false" ht="15" hidden="false" customHeight="true" outlineLevel="0" collapsed="false">
      <c r="A68" s="1" t="n">
        <v>67</v>
      </c>
      <c r="B68" s="1" t="s">
        <v>240</v>
      </c>
      <c r="C68" s="1" t="s">
        <v>116</v>
      </c>
      <c r="D68" s="1" t="s">
        <v>241</v>
      </c>
      <c r="E68" s="1" t="s">
        <v>242</v>
      </c>
    </row>
    <row r="69" customFormat="false" ht="15" hidden="false" customHeight="true" outlineLevel="0" collapsed="false">
      <c r="A69" s="1" t="n">
        <v>68</v>
      </c>
      <c r="B69" s="1" t="s">
        <v>243</v>
      </c>
      <c r="C69" s="1" t="s">
        <v>244</v>
      </c>
      <c r="D69" s="1" t="s">
        <v>245</v>
      </c>
      <c r="E69" s="1" t="s">
        <v>246</v>
      </c>
    </row>
    <row r="70" customFormat="false" ht="15" hidden="false" customHeight="true" outlineLevel="0" collapsed="false">
      <c r="A70" s="1" t="n">
        <v>69</v>
      </c>
      <c r="B70" s="1" t="s">
        <v>247</v>
      </c>
      <c r="C70" s="1" t="s">
        <v>248</v>
      </c>
      <c r="D70" s="1" t="s">
        <v>249</v>
      </c>
      <c r="E70" s="1" t="s">
        <v>250</v>
      </c>
    </row>
    <row r="71" customFormat="false" ht="15" hidden="false" customHeight="true" outlineLevel="0" collapsed="false">
      <c r="A71" s="1" t="n">
        <v>70</v>
      </c>
      <c r="B71" s="1" t="s">
        <v>251</v>
      </c>
      <c r="C71" s="1" t="s">
        <v>118</v>
      </c>
      <c r="D71" s="1" t="s">
        <v>35</v>
      </c>
      <c r="E71" s="1" t="s">
        <v>44</v>
      </c>
    </row>
    <row r="72" customFormat="false" ht="15" hidden="false" customHeight="true" outlineLevel="0" collapsed="false">
      <c r="A72" s="1" t="n">
        <v>71</v>
      </c>
      <c r="B72" s="1" t="s">
        <v>252</v>
      </c>
      <c r="C72" s="1" t="s">
        <v>253</v>
      </c>
      <c r="D72" s="1" t="s">
        <v>254</v>
      </c>
      <c r="E72" s="1" t="s">
        <v>199</v>
      </c>
    </row>
    <row r="73" customFormat="false" ht="15" hidden="false" customHeight="true" outlineLevel="0" collapsed="false">
      <c r="A73" s="1" t="n">
        <v>72</v>
      </c>
      <c r="B73" s="1" t="s">
        <v>255</v>
      </c>
      <c r="C73" s="1" t="s">
        <v>256</v>
      </c>
      <c r="D73" s="1" t="s">
        <v>257</v>
      </c>
      <c r="E73" s="1" t="s">
        <v>258</v>
      </c>
    </row>
    <row r="74" customFormat="false" ht="15" hidden="false" customHeight="true" outlineLevel="0" collapsed="false">
      <c r="A74" s="1" t="n">
        <v>73</v>
      </c>
      <c r="B74" s="1" t="s">
        <v>259</v>
      </c>
      <c r="C74" s="1" t="s">
        <v>260</v>
      </c>
      <c r="D74" s="1" t="s">
        <v>23</v>
      </c>
      <c r="E74" s="1" t="s">
        <v>261</v>
      </c>
    </row>
    <row r="75" customFormat="false" ht="15" hidden="false" customHeight="true" outlineLevel="0" collapsed="false">
      <c r="A75" s="1" t="n">
        <v>74</v>
      </c>
      <c r="B75" s="1" t="s">
        <v>243</v>
      </c>
      <c r="C75" s="1" t="s">
        <v>262</v>
      </c>
      <c r="D75" s="1" t="s">
        <v>263</v>
      </c>
      <c r="E75" s="1" t="s">
        <v>264</v>
      </c>
    </row>
    <row r="76" customFormat="false" ht="15" hidden="false" customHeight="true" outlineLevel="0" collapsed="false">
      <c r="A76" s="1" t="n">
        <v>75</v>
      </c>
      <c r="B76" s="1" t="s">
        <v>265</v>
      </c>
      <c r="C76" s="1" t="s">
        <v>266</v>
      </c>
      <c r="D76" s="1" t="s">
        <v>267</v>
      </c>
      <c r="E76" s="1" t="s">
        <v>268</v>
      </c>
    </row>
    <row r="77" customFormat="false" ht="15" hidden="false" customHeight="true" outlineLevel="0" collapsed="false">
      <c r="A77" s="1" t="n">
        <v>76</v>
      </c>
      <c r="B77" s="1" t="s">
        <v>255</v>
      </c>
      <c r="C77" s="1" t="s">
        <v>54</v>
      </c>
      <c r="D77" s="1" t="s">
        <v>269</v>
      </c>
      <c r="E77" s="1" t="s">
        <v>270</v>
      </c>
    </row>
    <row r="78" customFormat="false" ht="15" hidden="false" customHeight="true" outlineLevel="0" collapsed="false">
      <c r="A78" s="1" t="n">
        <v>77</v>
      </c>
      <c r="B78" s="1" t="s">
        <v>271</v>
      </c>
      <c r="C78" s="1" t="s">
        <v>129</v>
      </c>
      <c r="D78" s="1" t="s">
        <v>134</v>
      </c>
      <c r="E78" s="1" t="s">
        <v>272</v>
      </c>
    </row>
    <row r="79" customFormat="false" ht="15" hidden="false" customHeight="true" outlineLevel="0" collapsed="false">
      <c r="A79" s="1" t="n">
        <v>78</v>
      </c>
      <c r="B79" s="1" t="s">
        <v>273</v>
      </c>
      <c r="C79" s="1" t="s">
        <v>274</v>
      </c>
      <c r="D79" s="1" t="s">
        <v>275</v>
      </c>
      <c r="E79" s="1" t="s">
        <v>276</v>
      </c>
    </row>
    <row r="80" customFormat="false" ht="15" hidden="false" customHeight="true" outlineLevel="0" collapsed="false">
      <c r="A80" s="1" t="n">
        <v>79</v>
      </c>
      <c r="B80" s="1" t="s">
        <v>180</v>
      </c>
      <c r="C80" s="1" t="s">
        <v>277</v>
      </c>
      <c r="D80" s="1" t="s">
        <v>278</v>
      </c>
      <c r="E80" s="1" t="s">
        <v>32</v>
      </c>
    </row>
    <row r="81" customFormat="false" ht="15" hidden="false" customHeight="true" outlineLevel="0" collapsed="false">
      <c r="A81" s="1" t="n">
        <v>80</v>
      </c>
      <c r="B81" s="1" t="s">
        <v>279</v>
      </c>
      <c r="C81" s="1" t="s">
        <v>116</v>
      </c>
      <c r="D81" s="1" t="s">
        <v>280</v>
      </c>
      <c r="E81" s="1" t="s">
        <v>44</v>
      </c>
    </row>
    <row r="82" customFormat="false" ht="15" hidden="false" customHeight="true" outlineLevel="0" collapsed="false">
      <c r="A82" s="1" t="n">
        <v>81</v>
      </c>
      <c r="B82" s="1" t="s">
        <v>281</v>
      </c>
      <c r="C82" s="1" t="s">
        <v>34</v>
      </c>
      <c r="D82" s="1" t="s">
        <v>282</v>
      </c>
      <c r="E82" s="1" t="s">
        <v>283</v>
      </c>
    </row>
    <row r="83" customFormat="false" ht="15" hidden="false" customHeight="true" outlineLevel="0" collapsed="false">
      <c r="A83" s="1" t="n">
        <v>82</v>
      </c>
      <c r="B83" s="1" t="s">
        <v>284</v>
      </c>
      <c r="C83" s="1" t="s">
        <v>285</v>
      </c>
      <c r="D83" s="1" t="s">
        <v>286</v>
      </c>
      <c r="E83" s="1" t="s">
        <v>287</v>
      </c>
    </row>
    <row r="84" customFormat="false" ht="15" hidden="false" customHeight="true" outlineLevel="0" collapsed="false">
      <c r="A84" s="1" t="n">
        <v>83</v>
      </c>
      <c r="B84" s="1" t="s">
        <v>288</v>
      </c>
      <c r="C84" s="1" t="s">
        <v>112</v>
      </c>
      <c r="D84" s="1" t="s">
        <v>289</v>
      </c>
      <c r="E84" s="1" t="s">
        <v>290</v>
      </c>
    </row>
    <row r="85" customFormat="false" ht="15" hidden="false" customHeight="true" outlineLevel="0" collapsed="false">
      <c r="A85" s="1" t="n">
        <v>84</v>
      </c>
      <c r="B85" s="1" t="s">
        <v>291</v>
      </c>
      <c r="C85" s="1" t="s">
        <v>292</v>
      </c>
      <c r="D85" s="1" t="s">
        <v>293</v>
      </c>
      <c r="E85" s="1" t="s">
        <v>294</v>
      </c>
    </row>
    <row r="86" customFormat="false" ht="15" hidden="false" customHeight="true" outlineLevel="0" collapsed="false">
      <c r="A86" s="1" t="n">
        <v>85</v>
      </c>
      <c r="B86" s="1" t="s">
        <v>295</v>
      </c>
      <c r="C86" s="1" t="s">
        <v>296</v>
      </c>
      <c r="D86" s="1" t="s">
        <v>297</v>
      </c>
      <c r="E86" s="1" t="s">
        <v>298</v>
      </c>
    </row>
    <row r="87" customFormat="false" ht="15" hidden="false" customHeight="true" outlineLevel="0" collapsed="false">
      <c r="A87" s="1" t="n">
        <v>86</v>
      </c>
      <c r="B87" s="1" t="s">
        <v>299</v>
      </c>
      <c r="C87" s="1" t="s">
        <v>300</v>
      </c>
      <c r="D87" s="1" t="s">
        <v>301</v>
      </c>
      <c r="E87" s="1" t="s">
        <v>302</v>
      </c>
    </row>
    <row r="88" customFormat="false" ht="15" hidden="false" customHeight="true" outlineLevel="0" collapsed="false">
      <c r="A88" s="1" t="n">
        <v>87</v>
      </c>
      <c r="B88" s="1" t="s">
        <v>303</v>
      </c>
      <c r="C88" s="1" t="s">
        <v>253</v>
      </c>
      <c r="D88" s="1" t="s">
        <v>304</v>
      </c>
      <c r="E88" s="1" t="s">
        <v>305</v>
      </c>
    </row>
    <row r="89" customFormat="false" ht="15" hidden="false" customHeight="true" outlineLevel="0" collapsed="false">
      <c r="A89" s="1" t="n">
        <v>88</v>
      </c>
      <c r="B89" s="1" t="s">
        <v>165</v>
      </c>
      <c r="C89" s="1" t="s">
        <v>306</v>
      </c>
      <c r="D89" s="1" t="s">
        <v>275</v>
      </c>
      <c r="E89" s="1" t="s">
        <v>307</v>
      </c>
    </row>
    <row r="90" customFormat="false" ht="15" hidden="false" customHeight="true" outlineLevel="0" collapsed="false">
      <c r="A90" s="1" t="n">
        <v>89</v>
      </c>
      <c r="B90" s="1" t="s">
        <v>308</v>
      </c>
      <c r="C90" s="1" t="s">
        <v>50</v>
      </c>
      <c r="D90" s="1" t="s">
        <v>309</v>
      </c>
      <c r="E90" s="1" t="s">
        <v>310</v>
      </c>
    </row>
    <row r="91" customFormat="false" ht="15" hidden="false" customHeight="true" outlineLevel="0" collapsed="false">
      <c r="A91" s="1" t="n">
        <v>90</v>
      </c>
      <c r="B91" s="1" t="s">
        <v>311</v>
      </c>
      <c r="C91" s="1" t="s">
        <v>312</v>
      </c>
      <c r="D91" s="1" t="s">
        <v>313</v>
      </c>
      <c r="E91" s="1" t="s">
        <v>44</v>
      </c>
    </row>
    <row r="92" customFormat="false" ht="15" hidden="false" customHeight="true" outlineLevel="0" collapsed="false">
      <c r="A92" s="1" t="n">
        <v>91</v>
      </c>
      <c r="B92" s="1" t="s">
        <v>314</v>
      </c>
      <c r="C92" s="1" t="s">
        <v>315</v>
      </c>
      <c r="D92" s="1" t="s">
        <v>316</v>
      </c>
      <c r="E92" s="1" t="s">
        <v>317</v>
      </c>
    </row>
    <row r="93" customFormat="false" ht="15" hidden="false" customHeight="true" outlineLevel="0" collapsed="false">
      <c r="A93" s="1" t="n">
        <v>92</v>
      </c>
      <c r="B93" s="1" t="s">
        <v>9</v>
      </c>
      <c r="C93" s="1" t="s">
        <v>318</v>
      </c>
      <c r="D93" s="1" t="s">
        <v>286</v>
      </c>
      <c r="E93" s="1" t="s">
        <v>319</v>
      </c>
    </row>
    <row r="94" customFormat="false" ht="15" hidden="false" customHeight="true" outlineLevel="0" collapsed="false">
      <c r="A94" s="1" t="n">
        <v>93</v>
      </c>
      <c r="B94" s="1" t="s">
        <v>320</v>
      </c>
      <c r="C94" s="1" t="s">
        <v>321</v>
      </c>
      <c r="D94" s="1" t="s">
        <v>178</v>
      </c>
      <c r="E94" s="1" t="s">
        <v>322</v>
      </c>
    </row>
    <row r="95" customFormat="false" ht="15" hidden="false" customHeight="true" outlineLevel="0" collapsed="false">
      <c r="A95" s="1" t="n">
        <v>94</v>
      </c>
      <c r="B95" s="1" t="s">
        <v>323</v>
      </c>
      <c r="C95" s="1" t="s">
        <v>324</v>
      </c>
      <c r="D95" s="1" t="s">
        <v>325</v>
      </c>
      <c r="E95" s="1" t="s">
        <v>326</v>
      </c>
    </row>
    <row r="96" customFormat="false" ht="15" hidden="false" customHeight="true" outlineLevel="0" collapsed="false">
      <c r="A96" s="1" t="n">
        <v>95</v>
      </c>
      <c r="B96" s="1" t="s">
        <v>327</v>
      </c>
      <c r="C96" s="1" t="s">
        <v>22</v>
      </c>
      <c r="D96" s="1" t="s">
        <v>167</v>
      </c>
      <c r="E96" s="1" t="s">
        <v>328</v>
      </c>
    </row>
    <row r="97" customFormat="false" ht="15" hidden="false" customHeight="true" outlineLevel="0" collapsed="false">
      <c r="A97" s="1" t="n">
        <v>96</v>
      </c>
      <c r="B97" s="1" t="s">
        <v>329</v>
      </c>
      <c r="C97" s="1" t="s">
        <v>65</v>
      </c>
      <c r="D97" s="1" t="s">
        <v>330</v>
      </c>
      <c r="E97" s="1" t="s">
        <v>331</v>
      </c>
    </row>
    <row r="98" customFormat="false" ht="15" hidden="false" customHeight="true" outlineLevel="0" collapsed="false">
      <c r="A98" s="1" t="n">
        <v>97</v>
      </c>
      <c r="B98" s="1" t="s">
        <v>332</v>
      </c>
      <c r="C98" s="1" t="s">
        <v>333</v>
      </c>
      <c r="D98" s="1" t="s">
        <v>334</v>
      </c>
      <c r="E98" s="1" t="s">
        <v>322</v>
      </c>
    </row>
    <row r="99" customFormat="false" ht="15" hidden="false" customHeight="true" outlineLevel="0" collapsed="false">
      <c r="A99" s="1" t="n">
        <v>98</v>
      </c>
      <c r="B99" s="1" t="s">
        <v>335</v>
      </c>
      <c r="C99" s="1" t="s">
        <v>93</v>
      </c>
      <c r="D99" s="1" t="s">
        <v>39</v>
      </c>
      <c r="E99" s="1" t="s">
        <v>336</v>
      </c>
    </row>
    <row r="100" customFormat="false" ht="15" hidden="false" customHeight="true" outlineLevel="0" collapsed="false">
      <c r="A100" s="1" t="n">
        <v>99</v>
      </c>
      <c r="B100" s="1" t="s">
        <v>337</v>
      </c>
      <c r="C100" s="1" t="s">
        <v>318</v>
      </c>
      <c r="D100" s="1" t="s">
        <v>90</v>
      </c>
      <c r="E100" s="1" t="s">
        <v>338</v>
      </c>
    </row>
    <row r="101" customFormat="false" ht="15" hidden="false" customHeight="true" outlineLevel="0" collapsed="false">
      <c r="A101" s="1" t="n">
        <v>100</v>
      </c>
      <c r="B101" s="1" t="s">
        <v>60</v>
      </c>
      <c r="C101" s="1" t="s">
        <v>61</v>
      </c>
      <c r="D101" s="1" t="s">
        <v>339</v>
      </c>
      <c r="E101" s="1" t="s">
        <v>44</v>
      </c>
    </row>
    <row r="102" customFormat="false" ht="15" hidden="false" customHeight="true" outlineLevel="0" collapsed="false">
      <c r="A102" s="1" t="n">
        <v>101</v>
      </c>
      <c r="B102" s="1" t="s">
        <v>340</v>
      </c>
      <c r="C102" s="1" t="s">
        <v>341</v>
      </c>
      <c r="D102" s="1" t="s">
        <v>342</v>
      </c>
      <c r="E102" s="1" t="s">
        <v>343</v>
      </c>
    </row>
    <row r="103" customFormat="false" ht="15" hidden="false" customHeight="true" outlineLevel="0" collapsed="false">
      <c r="A103" s="1" t="n">
        <v>102</v>
      </c>
      <c r="B103" s="1" t="s">
        <v>344</v>
      </c>
      <c r="C103" s="1" t="s">
        <v>154</v>
      </c>
      <c r="D103" s="1" t="s">
        <v>345</v>
      </c>
      <c r="E103" s="1" t="s">
        <v>346</v>
      </c>
    </row>
    <row r="104" customFormat="false" ht="15" hidden="false" customHeight="true" outlineLevel="0" collapsed="false">
      <c r="A104" s="1" t="n">
        <v>103</v>
      </c>
      <c r="B104" s="1" t="s">
        <v>347</v>
      </c>
      <c r="C104" s="1" t="s">
        <v>348</v>
      </c>
      <c r="D104" s="1" t="s">
        <v>349</v>
      </c>
      <c r="E104" s="1" t="s">
        <v>350</v>
      </c>
    </row>
    <row r="105" customFormat="false" ht="15" hidden="false" customHeight="true" outlineLevel="0" collapsed="false">
      <c r="A105" s="1" t="n">
        <v>104</v>
      </c>
      <c r="B105" s="1" t="s">
        <v>351</v>
      </c>
      <c r="C105" s="1" t="s">
        <v>352</v>
      </c>
      <c r="D105" s="1" t="s">
        <v>353</v>
      </c>
      <c r="E105" s="1" t="s">
        <v>354</v>
      </c>
    </row>
    <row r="106" customFormat="false" ht="15" hidden="false" customHeight="true" outlineLevel="0" collapsed="false">
      <c r="A106" s="1" t="n">
        <v>105</v>
      </c>
      <c r="B106" s="1" t="s">
        <v>295</v>
      </c>
      <c r="C106" s="1" t="s">
        <v>355</v>
      </c>
      <c r="D106" s="1" t="s">
        <v>356</v>
      </c>
      <c r="E106" s="1" t="s">
        <v>357</v>
      </c>
    </row>
    <row r="107" customFormat="false" ht="15" hidden="false" customHeight="true" outlineLevel="0" collapsed="false">
      <c r="A107" s="1" t="n">
        <v>106</v>
      </c>
      <c r="B107" s="1" t="s">
        <v>358</v>
      </c>
      <c r="C107" s="1" t="s">
        <v>359</v>
      </c>
      <c r="D107" s="1" t="s">
        <v>349</v>
      </c>
      <c r="E107" s="1" t="s">
        <v>360</v>
      </c>
    </row>
    <row r="108" customFormat="false" ht="15" hidden="false" customHeight="true" outlineLevel="0" collapsed="false">
      <c r="A108" s="1" t="n">
        <v>107</v>
      </c>
      <c r="B108" s="1" t="s">
        <v>361</v>
      </c>
      <c r="C108" s="1" t="s">
        <v>362</v>
      </c>
      <c r="D108" s="1" t="s">
        <v>109</v>
      </c>
      <c r="E108" s="1" t="s">
        <v>363</v>
      </c>
    </row>
    <row r="109" customFormat="false" ht="15" hidden="false" customHeight="true" outlineLevel="0" collapsed="false">
      <c r="A109" s="1" t="n">
        <v>108</v>
      </c>
      <c r="B109" s="1" t="s">
        <v>364</v>
      </c>
      <c r="C109" s="1" t="s">
        <v>365</v>
      </c>
      <c r="D109" s="1" t="s">
        <v>101</v>
      </c>
      <c r="E109" s="1" t="s">
        <v>366</v>
      </c>
    </row>
    <row r="110" customFormat="false" ht="15" hidden="false" customHeight="true" outlineLevel="0" collapsed="false">
      <c r="A110" s="1" t="n">
        <v>109</v>
      </c>
      <c r="B110" s="1" t="s">
        <v>367</v>
      </c>
      <c r="C110" s="1" t="s">
        <v>368</v>
      </c>
      <c r="D110" s="1" t="s">
        <v>369</v>
      </c>
      <c r="E110" s="1" t="s">
        <v>55</v>
      </c>
    </row>
    <row r="111" customFormat="false" ht="15" hidden="false" customHeight="true" outlineLevel="0" collapsed="false">
      <c r="A111" s="1" t="n">
        <v>110</v>
      </c>
      <c r="B111" s="1" t="s">
        <v>370</v>
      </c>
      <c r="C111" s="1" t="s">
        <v>85</v>
      </c>
      <c r="D111" s="1" t="s">
        <v>149</v>
      </c>
      <c r="E111" s="1" t="s">
        <v>44</v>
      </c>
    </row>
    <row r="112" customFormat="false" ht="15" hidden="false" customHeight="true" outlineLevel="0" collapsed="false">
      <c r="A112" s="1" t="n">
        <v>111</v>
      </c>
      <c r="B112" s="1" t="s">
        <v>371</v>
      </c>
      <c r="C112" s="1" t="s">
        <v>372</v>
      </c>
      <c r="D112" s="1" t="s">
        <v>263</v>
      </c>
      <c r="E112" s="1" t="s">
        <v>373</v>
      </c>
    </row>
    <row r="113" customFormat="false" ht="15" hidden="false" customHeight="true" outlineLevel="0" collapsed="false">
      <c r="A113" s="1" t="n">
        <v>112</v>
      </c>
      <c r="B113" s="1" t="s">
        <v>374</v>
      </c>
      <c r="C113" s="1" t="s">
        <v>375</v>
      </c>
      <c r="D113" s="1" t="s">
        <v>178</v>
      </c>
      <c r="E113" s="1" t="s">
        <v>376</v>
      </c>
    </row>
    <row r="114" customFormat="false" ht="15" hidden="false" customHeight="true" outlineLevel="0" collapsed="false">
      <c r="A114" s="1" t="n">
        <v>113</v>
      </c>
      <c r="B114" s="1" t="s">
        <v>377</v>
      </c>
      <c r="C114" s="1" t="s">
        <v>78</v>
      </c>
      <c r="D114" s="1" t="s">
        <v>378</v>
      </c>
      <c r="E114" s="1" t="s">
        <v>379</v>
      </c>
    </row>
    <row r="115" customFormat="false" ht="15" hidden="false" customHeight="true" outlineLevel="0" collapsed="false">
      <c r="A115" s="1" t="n">
        <v>114</v>
      </c>
      <c r="B115" s="1" t="s">
        <v>380</v>
      </c>
      <c r="C115" s="1" t="s">
        <v>381</v>
      </c>
      <c r="D115" s="1" t="s">
        <v>238</v>
      </c>
      <c r="E115" s="1" t="s">
        <v>382</v>
      </c>
    </row>
    <row r="116" customFormat="false" ht="15" hidden="false" customHeight="true" outlineLevel="0" collapsed="false">
      <c r="A116" s="1" t="n">
        <v>115</v>
      </c>
      <c r="B116" s="1" t="s">
        <v>273</v>
      </c>
      <c r="C116" s="1" t="s">
        <v>76</v>
      </c>
      <c r="D116" s="1" t="s">
        <v>167</v>
      </c>
      <c r="E116" s="1" t="s">
        <v>214</v>
      </c>
    </row>
    <row r="117" customFormat="false" ht="15" hidden="false" customHeight="true" outlineLevel="0" collapsed="false">
      <c r="A117" s="1" t="n">
        <v>116</v>
      </c>
      <c r="B117" s="1" t="s">
        <v>383</v>
      </c>
      <c r="C117" s="1" t="s">
        <v>162</v>
      </c>
      <c r="D117" s="1" t="s">
        <v>384</v>
      </c>
      <c r="E117" s="1" t="s">
        <v>385</v>
      </c>
    </row>
    <row r="118" customFormat="false" ht="15" hidden="false" customHeight="true" outlineLevel="0" collapsed="false">
      <c r="A118" s="1" t="n">
        <v>117</v>
      </c>
      <c r="B118" s="1" t="s">
        <v>386</v>
      </c>
      <c r="C118" s="1" t="s">
        <v>387</v>
      </c>
      <c r="D118" s="1" t="s">
        <v>35</v>
      </c>
      <c r="E118" s="1" t="s">
        <v>388</v>
      </c>
    </row>
    <row r="119" customFormat="false" ht="15" hidden="false" customHeight="true" outlineLevel="0" collapsed="false">
      <c r="A119" s="1" t="n">
        <v>118</v>
      </c>
      <c r="B119" s="1" t="s">
        <v>371</v>
      </c>
      <c r="C119" s="1" t="s">
        <v>389</v>
      </c>
      <c r="D119" s="1" t="s">
        <v>213</v>
      </c>
      <c r="E119" s="1" t="s">
        <v>390</v>
      </c>
    </row>
    <row r="120" customFormat="false" ht="15" hidden="false" customHeight="true" outlineLevel="0" collapsed="false">
      <c r="A120" s="1" t="n">
        <v>119</v>
      </c>
      <c r="B120" s="1" t="s">
        <v>391</v>
      </c>
      <c r="C120" s="1" t="s">
        <v>392</v>
      </c>
      <c r="D120" s="1" t="s">
        <v>190</v>
      </c>
      <c r="E120" s="1" t="s">
        <v>393</v>
      </c>
    </row>
    <row r="121" customFormat="false" ht="15" hidden="false" customHeight="true" outlineLevel="0" collapsed="false">
      <c r="A121" s="1" t="n">
        <v>120</v>
      </c>
      <c r="B121" s="1" t="s">
        <v>383</v>
      </c>
      <c r="C121" s="1" t="s">
        <v>306</v>
      </c>
      <c r="D121" s="1" t="s">
        <v>185</v>
      </c>
      <c r="E121" s="1" t="s">
        <v>44</v>
      </c>
    </row>
    <row r="122" customFormat="false" ht="15" hidden="false" customHeight="true" outlineLevel="0" collapsed="false">
      <c r="A122" s="1" t="n">
        <v>121</v>
      </c>
      <c r="B122" s="1" t="s">
        <v>394</v>
      </c>
      <c r="C122" s="1" t="s">
        <v>389</v>
      </c>
      <c r="D122" s="1" t="s">
        <v>395</v>
      </c>
      <c r="E122" s="1" t="s">
        <v>396</v>
      </c>
    </row>
    <row r="123" customFormat="false" ht="15" hidden="false" customHeight="true" outlineLevel="0" collapsed="false">
      <c r="A123" s="1" t="n">
        <v>122</v>
      </c>
      <c r="B123" s="1" t="s">
        <v>397</v>
      </c>
      <c r="C123" s="1" t="s">
        <v>398</v>
      </c>
      <c r="D123" s="1" t="s">
        <v>399</v>
      </c>
      <c r="E123" s="1" t="s">
        <v>400</v>
      </c>
    </row>
    <row r="124" customFormat="false" ht="15" hidden="false" customHeight="true" outlineLevel="0" collapsed="false">
      <c r="A124" s="1" t="n">
        <v>123</v>
      </c>
      <c r="B124" s="1" t="s">
        <v>60</v>
      </c>
      <c r="C124" s="1" t="s">
        <v>401</v>
      </c>
      <c r="D124" s="1" t="s">
        <v>402</v>
      </c>
      <c r="E124" s="1" t="s">
        <v>403</v>
      </c>
    </row>
    <row r="125" customFormat="false" ht="15" hidden="false" customHeight="true" outlineLevel="0" collapsed="false">
      <c r="A125" s="1" t="n">
        <v>124</v>
      </c>
      <c r="B125" s="1" t="s">
        <v>404</v>
      </c>
      <c r="C125" s="1" t="s">
        <v>389</v>
      </c>
      <c r="D125" s="1" t="s">
        <v>399</v>
      </c>
      <c r="E125" s="1" t="s">
        <v>405</v>
      </c>
    </row>
    <row r="126" customFormat="false" ht="15" hidden="false" customHeight="true" outlineLevel="0" collapsed="false">
      <c r="A126" s="1" t="n">
        <v>125</v>
      </c>
      <c r="B126" s="1" t="s">
        <v>406</v>
      </c>
      <c r="C126" s="1" t="s">
        <v>407</v>
      </c>
      <c r="D126" s="1" t="s">
        <v>408</v>
      </c>
      <c r="E126" s="1" t="s">
        <v>283</v>
      </c>
    </row>
    <row r="127" customFormat="false" ht="15" hidden="false" customHeight="true" outlineLevel="0" collapsed="false">
      <c r="A127" s="1" t="n">
        <v>126</v>
      </c>
      <c r="B127" s="1" t="s">
        <v>409</v>
      </c>
      <c r="C127" s="1" t="s">
        <v>410</v>
      </c>
      <c r="D127" s="1" t="s">
        <v>411</v>
      </c>
      <c r="E127" s="1" t="s">
        <v>412</v>
      </c>
    </row>
    <row r="128" customFormat="false" ht="15" hidden="false" customHeight="true" outlineLevel="0" collapsed="false">
      <c r="A128" s="1" t="n">
        <v>127</v>
      </c>
      <c r="B128" s="1" t="s">
        <v>413</v>
      </c>
      <c r="C128" s="1" t="s">
        <v>414</v>
      </c>
      <c r="D128" s="1" t="s">
        <v>415</v>
      </c>
      <c r="E128" s="1" t="s">
        <v>416</v>
      </c>
    </row>
    <row r="129" customFormat="false" ht="15" hidden="false" customHeight="true" outlineLevel="0" collapsed="false">
      <c r="A129" s="1" t="n">
        <v>128</v>
      </c>
      <c r="B129" s="1" t="s">
        <v>417</v>
      </c>
      <c r="C129" s="1" t="s">
        <v>418</v>
      </c>
      <c r="D129" s="1" t="s">
        <v>419</v>
      </c>
      <c r="E129" s="1" t="s">
        <v>420</v>
      </c>
    </row>
    <row r="130" customFormat="false" ht="15" hidden="false" customHeight="true" outlineLevel="0" collapsed="false">
      <c r="A130" s="1" t="n">
        <v>129</v>
      </c>
      <c r="B130" s="1" t="s">
        <v>421</v>
      </c>
      <c r="C130" s="1" t="s">
        <v>422</v>
      </c>
      <c r="D130" s="1" t="s">
        <v>423</v>
      </c>
      <c r="E130" s="1" t="s">
        <v>424</v>
      </c>
    </row>
    <row r="131" customFormat="false" ht="15" hidden="false" customHeight="true" outlineLevel="0" collapsed="false">
      <c r="A131" s="1" t="n">
        <v>130</v>
      </c>
      <c r="B131" s="1" t="s">
        <v>80</v>
      </c>
      <c r="C131" s="1" t="s">
        <v>425</v>
      </c>
      <c r="D131" s="1" t="s">
        <v>426</v>
      </c>
      <c r="E131" s="1" t="s">
        <v>44</v>
      </c>
    </row>
    <row r="132" customFormat="false" ht="15" hidden="false" customHeight="true" outlineLevel="0" collapsed="false">
      <c r="A132" s="1" t="n">
        <v>131</v>
      </c>
      <c r="B132" s="1" t="s">
        <v>427</v>
      </c>
      <c r="C132" s="1" t="s">
        <v>428</v>
      </c>
      <c r="D132" s="1" t="s">
        <v>149</v>
      </c>
      <c r="E132" s="1" t="s">
        <v>429</v>
      </c>
    </row>
    <row r="133" customFormat="false" ht="15" hidden="false" customHeight="true" outlineLevel="0" collapsed="false">
      <c r="A133" s="1" t="n">
        <v>132</v>
      </c>
      <c r="B133" s="1" t="s">
        <v>430</v>
      </c>
      <c r="C133" s="1" t="s">
        <v>368</v>
      </c>
      <c r="D133" s="1" t="s">
        <v>423</v>
      </c>
      <c r="E133" s="1" t="s">
        <v>431</v>
      </c>
    </row>
    <row r="134" customFormat="false" ht="15" hidden="false" customHeight="true" outlineLevel="0" collapsed="false">
      <c r="A134" s="1" t="n">
        <v>133</v>
      </c>
      <c r="B134" s="1" t="s">
        <v>247</v>
      </c>
      <c r="C134" s="1" t="s">
        <v>432</v>
      </c>
      <c r="D134" s="1" t="s">
        <v>433</v>
      </c>
      <c r="E134" s="1" t="s">
        <v>434</v>
      </c>
    </row>
    <row r="135" customFormat="false" ht="15" hidden="false" customHeight="true" outlineLevel="0" collapsed="false">
      <c r="A135" s="1" t="n">
        <v>134</v>
      </c>
      <c r="B135" s="1" t="s">
        <v>435</v>
      </c>
      <c r="C135" s="1" t="s">
        <v>277</v>
      </c>
      <c r="D135" s="1" t="s">
        <v>51</v>
      </c>
      <c r="E135" s="1" t="s">
        <v>436</v>
      </c>
    </row>
    <row r="136" customFormat="false" ht="15" hidden="false" customHeight="true" outlineLevel="0" collapsed="false">
      <c r="A136" s="1" t="n">
        <v>135</v>
      </c>
      <c r="B136" s="1" t="s">
        <v>437</v>
      </c>
      <c r="C136" s="1" t="s">
        <v>438</v>
      </c>
      <c r="D136" s="1" t="s">
        <v>220</v>
      </c>
      <c r="E136" s="1" t="s">
        <v>439</v>
      </c>
    </row>
    <row r="137" customFormat="false" ht="15" hidden="false" customHeight="true" outlineLevel="0" collapsed="false">
      <c r="A137" s="1" t="n">
        <v>136</v>
      </c>
      <c r="B137" s="1" t="s">
        <v>440</v>
      </c>
      <c r="C137" s="1" t="s">
        <v>441</v>
      </c>
      <c r="D137" s="1" t="s">
        <v>442</v>
      </c>
      <c r="E137" s="1" t="s">
        <v>443</v>
      </c>
    </row>
    <row r="138" customFormat="false" ht="15" hidden="false" customHeight="true" outlineLevel="0" collapsed="false">
      <c r="A138" s="1" t="n">
        <v>137</v>
      </c>
      <c r="B138" s="1" t="s">
        <v>9</v>
      </c>
      <c r="C138" s="1" t="s">
        <v>444</v>
      </c>
      <c r="D138" s="1" t="s">
        <v>395</v>
      </c>
      <c r="E138" s="1" t="s">
        <v>63</v>
      </c>
    </row>
    <row r="139" customFormat="false" ht="15" hidden="false" customHeight="true" outlineLevel="0" collapsed="false">
      <c r="A139" s="1" t="n">
        <v>138</v>
      </c>
      <c r="B139" s="1" t="s">
        <v>391</v>
      </c>
      <c r="C139" s="1" t="s">
        <v>445</v>
      </c>
      <c r="D139" s="1" t="s">
        <v>446</v>
      </c>
      <c r="E139" s="1" t="s">
        <v>447</v>
      </c>
    </row>
    <row r="140" customFormat="false" ht="15" hidden="false" customHeight="true" outlineLevel="0" collapsed="false">
      <c r="A140" s="1" t="n">
        <v>139</v>
      </c>
      <c r="B140" s="1" t="s">
        <v>448</v>
      </c>
      <c r="C140" s="1" t="s">
        <v>449</v>
      </c>
      <c r="D140" s="1" t="s">
        <v>450</v>
      </c>
      <c r="E140" s="1" t="s">
        <v>451</v>
      </c>
    </row>
    <row r="141" customFormat="false" ht="15" hidden="false" customHeight="true" outlineLevel="0" collapsed="false">
      <c r="A141" s="1" t="n">
        <v>140</v>
      </c>
      <c r="B141" s="1" t="s">
        <v>452</v>
      </c>
      <c r="C141" s="1" t="s">
        <v>108</v>
      </c>
      <c r="D141" s="1" t="s">
        <v>453</v>
      </c>
      <c r="E141" s="1" t="s">
        <v>44</v>
      </c>
    </row>
    <row r="142" customFormat="false" ht="15" hidden="false" customHeight="true" outlineLevel="0" collapsed="false">
      <c r="A142" s="1" t="n">
        <v>141</v>
      </c>
      <c r="B142" s="1" t="s">
        <v>454</v>
      </c>
      <c r="C142" s="1" t="s">
        <v>455</v>
      </c>
      <c r="D142" s="1" t="s">
        <v>456</v>
      </c>
      <c r="E142" s="1" t="s">
        <v>457</v>
      </c>
    </row>
    <row r="143" customFormat="false" ht="15" hidden="false" customHeight="true" outlineLevel="0" collapsed="false">
      <c r="A143" s="1" t="n">
        <v>142</v>
      </c>
      <c r="B143" s="1" t="s">
        <v>458</v>
      </c>
      <c r="C143" s="1" t="s">
        <v>61</v>
      </c>
      <c r="D143" s="1" t="s">
        <v>349</v>
      </c>
      <c r="E143" s="1" t="s">
        <v>459</v>
      </c>
    </row>
    <row r="144" customFormat="false" ht="15" hidden="false" customHeight="true" outlineLevel="0" collapsed="false">
      <c r="A144" s="1" t="n">
        <v>143</v>
      </c>
      <c r="B144" s="1" t="s">
        <v>460</v>
      </c>
      <c r="C144" s="1" t="s">
        <v>461</v>
      </c>
      <c r="D144" s="1" t="s">
        <v>170</v>
      </c>
      <c r="E144" s="1" t="s">
        <v>462</v>
      </c>
    </row>
    <row r="145" customFormat="false" ht="15" hidden="false" customHeight="true" outlineLevel="0" collapsed="false">
      <c r="A145" s="1" t="n">
        <v>144</v>
      </c>
      <c r="B145" s="1" t="s">
        <v>463</v>
      </c>
      <c r="C145" s="1" t="s">
        <v>464</v>
      </c>
      <c r="D145" s="1" t="s">
        <v>301</v>
      </c>
      <c r="E145" s="1" t="s">
        <v>465</v>
      </c>
    </row>
    <row r="146" customFormat="false" ht="15" hidden="false" customHeight="true" outlineLevel="0" collapsed="false">
      <c r="A146" s="1" t="n">
        <v>145</v>
      </c>
      <c r="B146" s="1" t="s">
        <v>466</v>
      </c>
      <c r="C146" s="1" t="s">
        <v>467</v>
      </c>
      <c r="D146" s="1" t="s">
        <v>468</v>
      </c>
      <c r="E146" s="1" t="s">
        <v>388</v>
      </c>
    </row>
    <row r="147" customFormat="false" ht="15" hidden="false" customHeight="true" outlineLevel="0" collapsed="false">
      <c r="A147" s="1" t="n">
        <v>146</v>
      </c>
      <c r="B147" s="1" t="s">
        <v>207</v>
      </c>
      <c r="C147" s="1" t="s">
        <v>469</v>
      </c>
      <c r="D147" s="1" t="s">
        <v>297</v>
      </c>
      <c r="E147" s="1" t="s">
        <v>470</v>
      </c>
    </row>
    <row r="148" customFormat="false" ht="15" hidden="false" customHeight="true" outlineLevel="0" collapsed="false">
      <c r="A148" s="1" t="n">
        <v>147</v>
      </c>
      <c r="B148" s="1" t="s">
        <v>71</v>
      </c>
      <c r="C148" s="1" t="s">
        <v>129</v>
      </c>
      <c r="D148" s="1" t="s">
        <v>31</v>
      </c>
      <c r="E148" s="1" t="s">
        <v>471</v>
      </c>
    </row>
    <row r="149" customFormat="false" ht="15" hidden="false" customHeight="true" outlineLevel="0" collapsed="false">
      <c r="A149" s="1" t="n">
        <v>148</v>
      </c>
      <c r="B149" s="1" t="s">
        <v>472</v>
      </c>
      <c r="C149" s="1" t="s">
        <v>473</v>
      </c>
      <c r="D149" s="1" t="s">
        <v>474</v>
      </c>
      <c r="E149" s="1" t="s">
        <v>475</v>
      </c>
    </row>
    <row r="150" customFormat="false" ht="15" hidden="false" customHeight="true" outlineLevel="0" collapsed="false">
      <c r="A150" s="1" t="n">
        <v>149</v>
      </c>
      <c r="B150" s="1" t="s">
        <v>476</v>
      </c>
      <c r="C150" s="1" t="s">
        <v>477</v>
      </c>
      <c r="D150" s="1" t="s">
        <v>47</v>
      </c>
      <c r="E150" s="1" t="s">
        <v>478</v>
      </c>
    </row>
    <row r="151" customFormat="false" ht="15" hidden="false" customHeight="true" outlineLevel="0" collapsed="false">
      <c r="A151" s="1" t="n">
        <v>150</v>
      </c>
      <c r="B151" s="1" t="s">
        <v>479</v>
      </c>
      <c r="C151" s="1" t="s">
        <v>50</v>
      </c>
      <c r="D151" s="1" t="s">
        <v>480</v>
      </c>
      <c r="E151" s="1" t="s">
        <v>44</v>
      </c>
    </row>
    <row r="152" customFormat="false" ht="15" hidden="false" customHeight="true" outlineLevel="0" collapsed="false">
      <c r="A152" s="1" t="n">
        <v>151</v>
      </c>
      <c r="B152" s="1" t="s">
        <v>71</v>
      </c>
      <c r="C152" s="1" t="s">
        <v>481</v>
      </c>
      <c r="D152" s="1" t="s">
        <v>482</v>
      </c>
      <c r="E152" s="1" t="s">
        <v>483</v>
      </c>
    </row>
    <row r="153" customFormat="false" ht="15" hidden="false" customHeight="true" outlineLevel="0" collapsed="false">
      <c r="A153" s="1" t="n">
        <v>152</v>
      </c>
      <c r="B153" s="1" t="s">
        <v>472</v>
      </c>
      <c r="C153" s="1" t="s">
        <v>484</v>
      </c>
      <c r="D153" s="1" t="s">
        <v>330</v>
      </c>
      <c r="E153" s="1" t="s">
        <v>485</v>
      </c>
    </row>
    <row r="154" customFormat="false" ht="15" hidden="false" customHeight="true" outlineLevel="0" collapsed="false">
      <c r="A154" s="1" t="n">
        <v>153</v>
      </c>
      <c r="B154" s="1" t="s">
        <v>486</v>
      </c>
      <c r="C154" s="1" t="s">
        <v>487</v>
      </c>
      <c r="D154" s="1" t="s">
        <v>488</v>
      </c>
      <c r="E154" s="1" t="s">
        <v>350</v>
      </c>
    </row>
    <row r="155" customFormat="false" ht="15" hidden="false" customHeight="true" outlineLevel="0" collapsed="false">
      <c r="A155" s="1" t="n">
        <v>154</v>
      </c>
      <c r="B155" s="1" t="s">
        <v>489</v>
      </c>
      <c r="C155" s="1" t="s">
        <v>490</v>
      </c>
      <c r="D155" s="1" t="s">
        <v>198</v>
      </c>
      <c r="E155" s="1" t="s">
        <v>491</v>
      </c>
    </row>
    <row r="156" customFormat="false" ht="15" hidden="false" customHeight="true" outlineLevel="0" collapsed="false">
      <c r="A156" s="1" t="n">
        <v>155</v>
      </c>
      <c r="B156" s="1" t="s">
        <v>492</v>
      </c>
      <c r="C156" s="1" t="s">
        <v>493</v>
      </c>
      <c r="D156" s="1" t="s">
        <v>494</v>
      </c>
      <c r="E156" s="1" t="s">
        <v>495</v>
      </c>
    </row>
    <row r="157" customFormat="false" ht="15" hidden="false" customHeight="true" outlineLevel="0" collapsed="false">
      <c r="A157" s="1" t="n">
        <v>156</v>
      </c>
      <c r="B157" s="1" t="s">
        <v>496</v>
      </c>
      <c r="C157" s="1" t="s">
        <v>497</v>
      </c>
      <c r="D157" s="1" t="s">
        <v>378</v>
      </c>
      <c r="E157" s="1" t="s">
        <v>498</v>
      </c>
    </row>
    <row r="158" customFormat="false" ht="15" hidden="false" customHeight="true" outlineLevel="0" collapsed="false">
      <c r="A158" s="1" t="n">
        <v>157</v>
      </c>
      <c r="B158" s="1" t="s">
        <v>499</v>
      </c>
      <c r="C158" s="1" t="s">
        <v>500</v>
      </c>
      <c r="D158" s="1" t="s">
        <v>27</v>
      </c>
      <c r="E158" s="1" t="s">
        <v>501</v>
      </c>
    </row>
    <row r="159" customFormat="false" ht="15" hidden="false" customHeight="true" outlineLevel="0" collapsed="false">
      <c r="A159" s="1" t="n">
        <v>158</v>
      </c>
      <c r="B159" s="1" t="s">
        <v>143</v>
      </c>
      <c r="C159" s="1" t="s">
        <v>502</v>
      </c>
      <c r="D159" s="1" t="s">
        <v>384</v>
      </c>
      <c r="E159" s="1" t="s">
        <v>503</v>
      </c>
    </row>
    <row r="160" customFormat="false" ht="15" hidden="false" customHeight="true" outlineLevel="0" collapsed="false">
      <c r="A160" s="1" t="n">
        <v>159</v>
      </c>
      <c r="B160" s="1" t="s">
        <v>504</v>
      </c>
      <c r="C160" s="1" t="s">
        <v>505</v>
      </c>
      <c r="D160" s="1" t="s">
        <v>194</v>
      </c>
      <c r="E160" s="1" t="s">
        <v>506</v>
      </c>
    </row>
    <row r="161" customFormat="false" ht="15" hidden="false" customHeight="true" outlineLevel="0" collapsed="false">
      <c r="A161" s="1" t="n">
        <v>160</v>
      </c>
      <c r="B161" s="1" t="s">
        <v>507</v>
      </c>
      <c r="C161" s="1" t="s">
        <v>455</v>
      </c>
      <c r="D161" s="1" t="s">
        <v>508</v>
      </c>
      <c r="E161" s="1" t="s">
        <v>44</v>
      </c>
    </row>
    <row r="162" customFormat="false" ht="15" hidden="false" customHeight="true" outlineLevel="0" collapsed="false">
      <c r="A162" s="1" t="n">
        <v>161</v>
      </c>
      <c r="B162" s="1" t="s">
        <v>186</v>
      </c>
      <c r="C162" s="1" t="s">
        <v>509</v>
      </c>
      <c r="D162" s="1" t="s">
        <v>510</v>
      </c>
      <c r="E162" s="1" t="s">
        <v>511</v>
      </c>
    </row>
    <row r="163" customFormat="false" ht="15" hidden="false" customHeight="true" outlineLevel="0" collapsed="false">
      <c r="A163" s="1" t="n">
        <v>162</v>
      </c>
      <c r="B163" s="1" t="s">
        <v>512</v>
      </c>
      <c r="C163" s="1" t="s">
        <v>341</v>
      </c>
      <c r="D163" s="1" t="s">
        <v>456</v>
      </c>
      <c r="E163" s="1" t="s">
        <v>513</v>
      </c>
    </row>
    <row r="164" customFormat="false" ht="15" hidden="false" customHeight="true" outlineLevel="0" collapsed="false">
      <c r="A164" s="1" t="n">
        <v>163</v>
      </c>
      <c r="B164" s="1" t="s">
        <v>514</v>
      </c>
      <c r="C164" s="1" t="s">
        <v>515</v>
      </c>
      <c r="D164" s="1" t="s">
        <v>516</v>
      </c>
      <c r="E164" s="1" t="s">
        <v>517</v>
      </c>
    </row>
    <row r="165" customFormat="false" ht="15" hidden="false" customHeight="true" outlineLevel="0" collapsed="false">
      <c r="A165" s="1" t="n">
        <v>164</v>
      </c>
      <c r="B165" s="1" t="s">
        <v>518</v>
      </c>
      <c r="C165" s="1" t="s">
        <v>444</v>
      </c>
      <c r="D165" s="1" t="s">
        <v>11</v>
      </c>
      <c r="E165" s="1" t="s">
        <v>491</v>
      </c>
    </row>
    <row r="166" customFormat="false" ht="15" hidden="false" customHeight="true" outlineLevel="0" collapsed="false">
      <c r="A166" s="1" t="n">
        <v>165</v>
      </c>
      <c r="B166" s="1" t="s">
        <v>519</v>
      </c>
      <c r="C166" s="1" t="s">
        <v>502</v>
      </c>
      <c r="D166" s="1" t="s">
        <v>399</v>
      </c>
      <c r="E166" s="1" t="s">
        <v>520</v>
      </c>
    </row>
    <row r="167" customFormat="false" ht="15" hidden="false" customHeight="true" outlineLevel="0" collapsed="false">
      <c r="A167" s="1" t="n">
        <v>166</v>
      </c>
      <c r="B167" s="1" t="s">
        <v>157</v>
      </c>
      <c r="C167" s="1" t="s">
        <v>521</v>
      </c>
      <c r="D167" s="1" t="s">
        <v>522</v>
      </c>
      <c r="E167" s="1" t="s">
        <v>523</v>
      </c>
    </row>
    <row r="168" customFormat="false" ht="15" hidden="false" customHeight="true" outlineLevel="0" collapsed="false">
      <c r="A168" s="1" t="n">
        <v>167</v>
      </c>
      <c r="B168" s="1" t="s">
        <v>524</v>
      </c>
      <c r="C168" s="1" t="s">
        <v>50</v>
      </c>
      <c r="D168" s="1" t="s">
        <v>101</v>
      </c>
      <c r="E168" s="1" t="s">
        <v>525</v>
      </c>
    </row>
    <row r="169" customFormat="false" ht="15" hidden="false" customHeight="true" outlineLevel="0" collapsed="false">
      <c r="A169" s="1" t="n">
        <v>168</v>
      </c>
      <c r="B169" s="1" t="s">
        <v>526</v>
      </c>
      <c r="C169" s="1" t="s">
        <v>126</v>
      </c>
      <c r="D169" s="1" t="s">
        <v>527</v>
      </c>
      <c r="E169" s="1" t="s">
        <v>528</v>
      </c>
    </row>
    <row r="170" customFormat="false" ht="15" hidden="false" customHeight="true" outlineLevel="0" collapsed="false">
      <c r="A170" s="1" t="n">
        <v>169</v>
      </c>
      <c r="B170" s="1" t="s">
        <v>383</v>
      </c>
      <c r="C170" s="1" t="s">
        <v>502</v>
      </c>
      <c r="D170" s="1" t="s">
        <v>137</v>
      </c>
      <c r="E170" s="1" t="s">
        <v>529</v>
      </c>
    </row>
    <row r="171" customFormat="false" ht="15" hidden="false" customHeight="true" outlineLevel="0" collapsed="false">
      <c r="A171" s="1" t="n">
        <v>170</v>
      </c>
      <c r="B171" s="1" t="s">
        <v>284</v>
      </c>
      <c r="C171" s="1" t="s">
        <v>515</v>
      </c>
      <c r="D171" s="1" t="s">
        <v>530</v>
      </c>
      <c r="E171" s="1" t="s">
        <v>44</v>
      </c>
    </row>
    <row r="172" customFormat="false" ht="15" hidden="false" customHeight="true" outlineLevel="0" collapsed="false">
      <c r="A172" s="1" t="n">
        <v>171</v>
      </c>
      <c r="B172" s="1" t="s">
        <v>531</v>
      </c>
      <c r="C172" s="1" t="s">
        <v>216</v>
      </c>
      <c r="D172" s="1" t="s">
        <v>532</v>
      </c>
      <c r="E172" s="1" t="s">
        <v>322</v>
      </c>
    </row>
    <row r="173" customFormat="false" ht="15" hidden="false" customHeight="true" outlineLevel="0" collapsed="false">
      <c r="A173" s="1" t="n">
        <v>172</v>
      </c>
      <c r="B173" s="1" t="s">
        <v>533</v>
      </c>
      <c r="C173" s="1" t="s">
        <v>200</v>
      </c>
      <c r="D173" s="1" t="s">
        <v>369</v>
      </c>
      <c r="E173" s="1" t="s">
        <v>534</v>
      </c>
    </row>
    <row r="174" customFormat="false" ht="15" hidden="false" customHeight="true" outlineLevel="0" collapsed="false">
      <c r="A174" s="1" t="n">
        <v>173</v>
      </c>
      <c r="B174" s="1" t="s">
        <v>535</v>
      </c>
      <c r="C174" s="1" t="s">
        <v>352</v>
      </c>
      <c r="D174" s="1" t="s">
        <v>536</v>
      </c>
      <c r="E174" s="1" t="s">
        <v>537</v>
      </c>
    </row>
    <row r="175" customFormat="false" ht="15" hidden="false" customHeight="true" outlineLevel="0" collapsed="false">
      <c r="A175" s="1" t="n">
        <v>174</v>
      </c>
      <c r="B175" s="1" t="s">
        <v>533</v>
      </c>
      <c r="C175" s="1" t="s">
        <v>538</v>
      </c>
      <c r="D175" s="1" t="s">
        <v>539</v>
      </c>
      <c r="E175" s="1" t="s">
        <v>540</v>
      </c>
    </row>
    <row r="176" customFormat="false" ht="15" hidden="false" customHeight="true" outlineLevel="0" collapsed="false">
      <c r="A176" s="1" t="n">
        <v>175</v>
      </c>
      <c r="B176" s="1" t="s">
        <v>541</v>
      </c>
      <c r="C176" s="1" t="s">
        <v>166</v>
      </c>
      <c r="D176" s="1" t="s">
        <v>542</v>
      </c>
      <c r="E176" s="1" t="s">
        <v>543</v>
      </c>
    </row>
    <row r="177" customFormat="false" ht="15" hidden="false" customHeight="true" outlineLevel="0" collapsed="false">
      <c r="A177" s="1" t="n">
        <v>176</v>
      </c>
      <c r="B177" s="1" t="s">
        <v>544</v>
      </c>
      <c r="C177" s="1" t="s">
        <v>333</v>
      </c>
      <c r="D177" s="1" t="s">
        <v>145</v>
      </c>
      <c r="E177" s="1" t="s">
        <v>545</v>
      </c>
    </row>
    <row r="178" customFormat="false" ht="15" hidden="false" customHeight="true" outlineLevel="0" collapsed="false">
      <c r="A178" s="1" t="n">
        <v>177</v>
      </c>
      <c r="B178" s="1" t="s">
        <v>546</v>
      </c>
      <c r="C178" s="1" t="s">
        <v>547</v>
      </c>
      <c r="D178" s="1" t="s">
        <v>480</v>
      </c>
      <c r="E178" s="1" t="s">
        <v>548</v>
      </c>
    </row>
    <row r="179" customFormat="false" ht="15" hidden="false" customHeight="true" outlineLevel="0" collapsed="false">
      <c r="A179" s="1" t="n">
        <v>178</v>
      </c>
      <c r="B179" s="1" t="s">
        <v>243</v>
      </c>
      <c r="C179" s="1" t="s">
        <v>57</v>
      </c>
      <c r="D179" s="1" t="s">
        <v>549</v>
      </c>
      <c r="E179" s="1" t="s">
        <v>550</v>
      </c>
    </row>
    <row r="180" customFormat="false" ht="15" hidden="false" customHeight="true" outlineLevel="0" collapsed="false">
      <c r="A180" s="1" t="n">
        <v>179</v>
      </c>
      <c r="B180" s="1" t="s">
        <v>435</v>
      </c>
      <c r="C180" s="1" t="s">
        <v>551</v>
      </c>
      <c r="D180" s="1" t="s">
        <v>552</v>
      </c>
      <c r="E180" s="1" t="s">
        <v>553</v>
      </c>
    </row>
    <row r="181" customFormat="false" ht="15" hidden="false" customHeight="true" outlineLevel="0" collapsed="false">
      <c r="A181" s="1" t="n">
        <v>180</v>
      </c>
      <c r="B181" s="1" t="s">
        <v>554</v>
      </c>
      <c r="C181" s="1" t="s">
        <v>126</v>
      </c>
      <c r="D181" s="1" t="s">
        <v>178</v>
      </c>
      <c r="E181" s="1" t="s">
        <v>44</v>
      </c>
    </row>
    <row r="182" customFormat="false" ht="15" hidden="false" customHeight="true" outlineLevel="0" collapsed="false">
      <c r="A182" s="1" t="n">
        <v>181</v>
      </c>
      <c r="B182" s="1" t="s">
        <v>271</v>
      </c>
      <c r="C182" s="1" t="s">
        <v>555</v>
      </c>
      <c r="D182" s="1" t="s">
        <v>556</v>
      </c>
      <c r="E182" s="1" t="s">
        <v>557</v>
      </c>
    </row>
    <row r="183" customFormat="false" ht="15" hidden="false" customHeight="true" outlineLevel="0" collapsed="false">
      <c r="A183" s="1" t="n">
        <v>182</v>
      </c>
      <c r="B183" s="1" t="s">
        <v>111</v>
      </c>
      <c r="C183" s="1" t="s">
        <v>352</v>
      </c>
      <c r="D183" s="1" t="s">
        <v>11</v>
      </c>
      <c r="E183" s="1" t="s">
        <v>558</v>
      </c>
    </row>
    <row r="184" customFormat="false" ht="15" hidden="false" customHeight="true" outlineLevel="0" collapsed="false">
      <c r="A184" s="1" t="n">
        <v>183</v>
      </c>
      <c r="B184" s="1" t="s">
        <v>406</v>
      </c>
      <c r="C184" s="1" t="s">
        <v>559</v>
      </c>
      <c r="D184" s="1" t="s">
        <v>560</v>
      </c>
      <c r="E184" s="1" t="s">
        <v>561</v>
      </c>
    </row>
    <row r="185" customFormat="false" ht="15" hidden="false" customHeight="true" outlineLevel="0" collapsed="false">
      <c r="A185" s="1" t="n">
        <v>184</v>
      </c>
      <c r="B185" s="1" t="s">
        <v>229</v>
      </c>
      <c r="C185" s="1" t="s">
        <v>562</v>
      </c>
      <c r="D185" s="1" t="s">
        <v>549</v>
      </c>
      <c r="E185" s="1" t="s">
        <v>563</v>
      </c>
    </row>
    <row r="186" customFormat="false" ht="15" hidden="false" customHeight="true" outlineLevel="0" collapsed="false">
      <c r="A186" s="1" t="n">
        <v>185</v>
      </c>
      <c r="B186" s="1" t="s">
        <v>564</v>
      </c>
      <c r="C186" s="1" t="s">
        <v>565</v>
      </c>
      <c r="D186" s="1" t="s">
        <v>532</v>
      </c>
      <c r="E186" s="1" t="s">
        <v>322</v>
      </c>
    </row>
    <row r="187" customFormat="false" ht="15" hidden="false" customHeight="true" outlineLevel="0" collapsed="false">
      <c r="A187" s="1" t="n">
        <v>186</v>
      </c>
      <c r="B187" s="1" t="s">
        <v>566</v>
      </c>
      <c r="C187" s="1" t="s">
        <v>78</v>
      </c>
      <c r="D187" s="1" t="s">
        <v>567</v>
      </c>
      <c r="E187" s="1" t="s">
        <v>568</v>
      </c>
    </row>
    <row r="188" customFormat="false" ht="15" hidden="false" customHeight="true" outlineLevel="0" collapsed="false">
      <c r="A188" s="1" t="n">
        <v>187</v>
      </c>
      <c r="B188" s="1" t="s">
        <v>569</v>
      </c>
      <c r="C188" s="1" t="s">
        <v>509</v>
      </c>
      <c r="D188" s="1" t="s">
        <v>570</v>
      </c>
      <c r="E188" s="1" t="s">
        <v>571</v>
      </c>
    </row>
    <row r="189" customFormat="false" ht="15" hidden="false" customHeight="true" outlineLevel="0" collapsed="false">
      <c r="A189" s="1" t="n">
        <v>188</v>
      </c>
      <c r="B189" s="1" t="s">
        <v>572</v>
      </c>
      <c r="C189" s="1" t="s">
        <v>573</v>
      </c>
      <c r="D189" s="1" t="s">
        <v>574</v>
      </c>
      <c r="E189" s="1" t="s">
        <v>575</v>
      </c>
    </row>
    <row r="190" customFormat="false" ht="15" hidden="false" customHeight="true" outlineLevel="0" collapsed="false">
      <c r="A190" s="1" t="n">
        <v>189</v>
      </c>
      <c r="B190" s="1" t="s">
        <v>576</v>
      </c>
      <c r="C190" s="1" t="s">
        <v>577</v>
      </c>
      <c r="D190" s="1" t="s">
        <v>578</v>
      </c>
      <c r="E190" s="1" t="s">
        <v>206</v>
      </c>
    </row>
    <row r="191" customFormat="false" ht="15" hidden="false" customHeight="true" outlineLevel="0" collapsed="false">
      <c r="A191" s="1" t="n">
        <v>190</v>
      </c>
      <c r="B191" s="1" t="s">
        <v>215</v>
      </c>
      <c r="C191" s="1" t="s">
        <v>579</v>
      </c>
      <c r="D191" s="1" t="s">
        <v>263</v>
      </c>
      <c r="E191" s="1" t="s">
        <v>44</v>
      </c>
    </row>
    <row r="192" customFormat="false" ht="15" hidden="false" customHeight="true" outlineLevel="0" collapsed="false">
      <c r="A192" s="1" t="n">
        <v>191</v>
      </c>
      <c r="B192" s="1" t="s">
        <v>479</v>
      </c>
      <c r="C192" s="1" t="s">
        <v>580</v>
      </c>
      <c r="D192" s="1" t="s">
        <v>581</v>
      </c>
      <c r="E192" s="1" t="s">
        <v>582</v>
      </c>
    </row>
    <row r="193" customFormat="false" ht="15" hidden="false" customHeight="true" outlineLevel="0" collapsed="false">
      <c r="A193" s="1" t="n">
        <v>192</v>
      </c>
      <c r="B193" s="1" t="s">
        <v>583</v>
      </c>
      <c r="C193" s="1" t="s">
        <v>341</v>
      </c>
      <c r="D193" s="1" t="s">
        <v>530</v>
      </c>
      <c r="E193" s="1" t="s">
        <v>584</v>
      </c>
    </row>
    <row r="194" customFormat="false" ht="15" hidden="false" customHeight="true" outlineLevel="0" collapsed="false">
      <c r="A194" s="1" t="n">
        <v>193</v>
      </c>
      <c r="B194" s="1" t="s">
        <v>585</v>
      </c>
      <c r="C194" s="1" t="s">
        <v>586</v>
      </c>
      <c r="D194" s="1" t="s">
        <v>567</v>
      </c>
      <c r="E194" s="1" t="s">
        <v>587</v>
      </c>
    </row>
    <row r="195" customFormat="false" ht="15" hidden="false" customHeight="true" outlineLevel="0" collapsed="false">
      <c r="A195" s="1" t="n">
        <v>194</v>
      </c>
      <c r="B195" s="1" t="s">
        <v>588</v>
      </c>
      <c r="C195" s="1" t="s">
        <v>30</v>
      </c>
      <c r="D195" s="1" t="s">
        <v>254</v>
      </c>
      <c r="E195" s="1" t="s">
        <v>589</v>
      </c>
    </row>
    <row r="196" customFormat="false" ht="15" hidden="false" customHeight="true" outlineLevel="0" collapsed="false">
      <c r="A196" s="1" t="n">
        <v>195</v>
      </c>
      <c r="B196" s="1" t="s">
        <v>590</v>
      </c>
      <c r="C196" s="1" t="s">
        <v>65</v>
      </c>
      <c r="D196" s="1" t="s">
        <v>15</v>
      </c>
      <c r="E196" s="1" t="s">
        <v>591</v>
      </c>
    </row>
    <row r="197" customFormat="false" ht="15" hidden="false" customHeight="true" outlineLevel="0" collapsed="false">
      <c r="A197" s="1" t="n">
        <v>196</v>
      </c>
      <c r="B197" s="1" t="s">
        <v>13</v>
      </c>
      <c r="C197" s="1" t="s">
        <v>592</v>
      </c>
      <c r="D197" s="1" t="s">
        <v>593</v>
      </c>
      <c r="E197" s="1" t="s">
        <v>594</v>
      </c>
    </row>
    <row r="198" customFormat="false" ht="15" hidden="false" customHeight="true" outlineLevel="0" collapsed="false">
      <c r="A198" s="1" t="n">
        <v>197</v>
      </c>
      <c r="B198" s="1" t="s">
        <v>71</v>
      </c>
      <c r="C198" s="1" t="s">
        <v>418</v>
      </c>
      <c r="D198" s="1" t="s">
        <v>145</v>
      </c>
      <c r="E198" s="1" t="s">
        <v>595</v>
      </c>
    </row>
    <row r="199" customFormat="false" ht="15" hidden="false" customHeight="true" outlineLevel="0" collapsed="false">
      <c r="A199" s="1" t="n">
        <v>198</v>
      </c>
      <c r="B199" s="1" t="s">
        <v>596</v>
      </c>
      <c r="C199" s="1" t="s">
        <v>473</v>
      </c>
      <c r="D199" s="1" t="s">
        <v>301</v>
      </c>
      <c r="E199" s="1" t="s">
        <v>597</v>
      </c>
    </row>
    <row r="200" customFormat="false" ht="15" hidden="false" customHeight="true" outlineLevel="0" collapsed="false">
      <c r="A200" s="1" t="n">
        <v>199</v>
      </c>
      <c r="B200" s="1" t="s">
        <v>351</v>
      </c>
      <c r="C200" s="1" t="s">
        <v>565</v>
      </c>
      <c r="D200" s="1" t="s">
        <v>23</v>
      </c>
      <c r="E200" s="1" t="s">
        <v>598</v>
      </c>
    </row>
    <row r="201" customFormat="false" ht="15" hidden="false" customHeight="true" outlineLevel="0" collapsed="false">
      <c r="A201" s="1" t="n">
        <v>200</v>
      </c>
      <c r="B201" s="1" t="s">
        <v>599</v>
      </c>
      <c r="C201" s="1" t="s">
        <v>600</v>
      </c>
      <c r="D201" s="1" t="s">
        <v>227</v>
      </c>
      <c r="E201" s="1" t="s">
        <v>44</v>
      </c>
    </row>
    <row r="202" customFormat="false" ht="15" hidden="false" customHeight="true" outlineLevel="0" collapsed="false">
      <c r="A202" s="1" t="n">
        <v>201</v>
      </c>
      <c r="B202" s="1" t="s">
        <v>601</v>
      </c>
      <c r="C202" s="1" t="s">
        <v>306</v>
      </c>
      <c r="D202" s="1" t="s">
        <v>58</v>
      </c>
      <c r="E202" s="1" t="s">
        <v>224</v>
      </c>
    </row>
    <row r="203" customFormat="false" ht="15" hidden="false" customHeight="true" outlineLevel="0" collapsed="false">
      <c r="A203" s="1" t="n">
        <v>202</v>
      </c>
      <c r="B203" s="1" t="s">
        <v>602</v>
      </c>
      <c r="C203" s="1" t="s">
        <v>603</v>
      </c>
      <c r="D203" s="1" t="s">
        <v>468</v>
      </c>
      <c r="E203" s="1" t="s">
        <v>548</v>
      </c>
    </row>
    <row r="204" customFormat="false" ht="15" hidden="false" customHeight="true" outlineLevel="0" collapsed="false">
      <c r="A204" s="1" t="n">
        <v>203</v>
      </c>
      <c r="B204" s="1" t="s">
        <v>33</v>
      </c>
      <c r="C204" s="1" t="s">
        <v>604</v>
      </c>
      <c r="D204" s="1" t="s">
        <v>353</v>
      </c>
      <c r="E204" s="1" t="s">
        <v>605</v>
      </c>
    </row>
    <row r="205" customFormat="false" ht="15" hidden="false" customHeight="true" outlineLevel="0" collapsed="false">
      <c r="A205" s="1" t="n">
        <v>204</v>
      </c>
      <c r="B205" s="1" t="s">
        <v>188</v>
      </c>
      <c r="C205" s="1" t="s">
        <v>606</v>
      </c>
      <c r="D205" s="1" t="s">
        <v>607</v>
      </c>
      <c r="E205" s="1" t="s">
        <v>608</v>
      </c>
    </row>
    <row r="206" customFormat="false" ht="15" hidden="false" customHeight="true" outlineLevel="0" collapsed="false">
      <c r="A206" s="1" t="n">
        <v>205</v>
      </c>
      <c r="B206" s="1" t="s">
        <v>609</v>
      </c>
      <c r="C206" s="1" t="s">
        <v>359</v>
      </c>
      <c r="D206" s="1" t="s">
        <v>593</v>
      </c>
      <c r="E206" s="1" t="s">
        <v>63</v>
      </c>
    </row>
    <row r="207" customFormat="false" ht="15" hidden="false" customHeight="true" outlineLevel="0" collapsed="false">
      <c r="A207" s="1" t="n">
        <v>206</v>
      </c>
      <c r="B207" s="1" t="s">
        <v>610</v>
      </c>
      <c r="C207" s="1" t="s">
        <v>611</v>
      </c>
      <c r="D207" s="1" t="s">
        <v>612</v>
      </c>
      <c r="E207" s="1" t="s">
        <v>613</v>
      </c>
    </row>
    <row r="208" customFormat="false" ht="15" hidden="false" customHeight="true" outlineLevel="0" collapsed="false">
      <c r="A208" s="1" t="n">
        <v>207</v>
      </c>
      <c r="B208" s="1" t="s">
        <v>614</v>
      </c>
      <c r="C208" s="1" t="s">
        <v>615</v>
      </c>
      <c r="D208" s="1" t="s">
        <v>399</v>
      </c>
      <c r="E208" s="1" t="s">
        <v>616</v>
      </c>
    </row>
    <row r="209" customFormat="false" ht="15" hidden="false" customHeight="true" outlineLevel="0" collapsed="false">
      <c r="A209" s="1" t="n">
        <v>208</v>
      </c>
      <c r="B209" s="1" t="s">
        <v>617</v>
      </c>
      <c r="C209" s="1" t="s">
        <v>375</v>
      </c>
      <c r="D209" s="1" t="s">
        <v>223</v>
      </c>
      <c r="E209" s="1" t="s">
        <v>618</v>
      </c>
    </row>
    <row r="210" customFormat="false" ht="15" hidden="false" customHeight="true" outlineLevel="0" collapsed="false">
      <c r="A210" s="1" t="n">
        <v>209</v>
      </c>
      <c r="B210" s="1" t="s">
        <v>619</v>
      </c>
      <c r="C210" s="1" t="s">
        <v>30</v>
      </c>
      <c r="D210" s="1" t="s">
        <v>245</v>
      </c>
      <c r="E210" s="1" t="s">
        <v>620</v>
      </c>
    </row>
    <row r="211" customFormat="false" ht="15" hidden="false" customHeight="true" outlineLevel="0" collapsed="false">
      <c r="A211" s="1" t="n">
        <v>210</v>
      </c>
      <c r="B211" s="1" t="s">
        <v>621</v>
      </c>
      <c r="C211" s="1" t="s">
        <v>622</v>
      </c>
      <c r="D211" s="1" t="s">
        <v>297</v>
      </c>
      <c r="E211" s="1" t="s">
        <v>44</v>
      </c>
    </row>
    <row r="212" customFormat="false" ht="15" hidden="false" customHeight="true" outlineLevel="0" collapsed="false">
      <c r="A212" s="1" t="n">
        <v>211</v>
      </c>
      <c r="B212" s="1" t="s">
        <v>623</v>
      </c>
      <c r="C212" s="1" t="s">
        <v>624</v>
      </c>
      <c r="D212" s="1" t="s">
        <v>182</v>
      </c>
      <c r="E212" s="1" t="s">
        <v>625</v>
      </c>
    </row>
    <row r="213" customFormat="false" ht="15" hidden="false" customHeight="true" outlineLevel="0" collapsed="false">
      <c r="A213" s="1" t="n">
        <v>212</v>
      </c>
      <c r="B213" s="1" t="s">
        <v>626</v>
      </c>
      <c r="C213" s="1" t="s">
        <v>372</v>
      </c>
      <c r="D213" s="1" t="s">
        <v>58</v>
      </c>
      <c r="E213" s="1" t="s">
        <v>627</v>
      </c>
    </row>
    <row r="214" customFormat="false" ht="15" hidden="false" customHeight="true" outlineLevel="0" collapsed="false">
      <c r="A214" s="1" t="n">
        <v>213</v>
      </c>
      <c r="B214" s="1" t="s">
        <v>628</v>
      </c>
      <c r="C214" s="1" t="s">
        <v>629</v>
      </c>
      <c r="D214" s="1" t="s">
        <v>301</v>
      </c>
      <c r="E214" s="1" t="s">
        <v>630</v>
      </c>
    </row>
    <row r="215" customFormat="false" ht="15" hidden="false" customHeight="true" outlineLevel="0" collapsed="false">
      <c r="A215" s="1" t="n">
        <v>214</v>
      </c>
      <c r="B215" s="1" t="s">
        <v>631</v>
      </c>
      <c r="C215" s="1" t="s">
        <v>632</v>
      </c>
      <c r="D215" s="1" t="s">
        <v>450</v>
      </c>
      <c r="E215" s="1" t="s">
        <v>633</v>
      </c>
    </row>
    <row r="216" customFormat="false" ht="15" hidden="false" customHeight="true" outlineLevel="0" collapsed="false">
      <c r="A216" s="1" t="n">
        <v>215</v>
      </c>
      <c r="B216" s="1" t="s">
        <v>590</v>
      </c>
      <c r="C216" s="1" t="s">
        <v>634</v>
      </c>
      <c r="D216" s="1" t="s">
        <v>378</v>
      </c>
      <c r="E216" s="1" t="s">
        <v>470</v>
      </c>
    </row>
    <row r="217" customFormat="false" ht="15" hidden="false" customHeight="true" outlineLevel="0" collapsed="false">
      <c r="A217" s="1" t="n">
        <v>216</v>
      </c>
      <c r="B217" s="1" t="s">
        <v>635</v>
      </c>
      <c r="C217" s="1" t="s">
        <v>636</v>
      </c>
      <c r="D217" s="1" t="s">
        <v>468</v>
      </c>
      <c r="E217" s="1" t="s">
        <v>637</v>
      </c>
    </row>
    <row r="218" customFormat="false" ht="15" hidden="false" customHeight="true" outlineLevel="0" collapsed="false">
      <c r="A218" s="1" t="n">
        <v>217</v>
      </c>
      <c r="B218" s="1" t="s">
        <v>80</v>
      </c>
      <c r="C218" s="1" t="s">
        <v>638</v>
      </c>
      <c r="D218" s="1" t="s">
        <v>639</v>
      </c>
      <c r="E218" s="1" t="s">
        <v>640</v>
      </c>
    </row>
    <row r="219" customFormat="false" ht="15" hidden="false" customHeight="true" outlineLevel="0" collapsed="false">
      <c r="A219" s="1" t="n">
        <v>218</v>
      </c>
      <c r="B219" s="1" t="s">
        <v>641</v>
      </c>
      <c r="C219" s="1" t="s">
        <v>642</v>
      </c>
      <c r="D219" s="1" t="s">
        <v>643</v>
      </c>
      <c r="E219" s="1" t="s">
        <v>644</v>
      </c>
    </row>
    <row r="220" customFormat="false" ht="15" hidden="false" customHeight="true" outlineLevel="0" collapsed="false">
      <c r="A220" s="1" t="n">
        <v>219</v>
      </c>
      <c r="B220" s="1" t="s">
        <v>617</v>
      </c>
      <c r="C220" s="1" t="s">
        <v>645</v>
      </c>
      <c r="D220" s="1" t="s">
        <v>556</v>
      </c>
      <c r="E220" s="1" t="s">
        <v>646</v>
      </c>
    </row>
    <row r="221" customFormat="false" ht="15" hidden="false" customHeight="true" outlineLevel="0" collapsed="false">
      <c r="A221" s="1" t="n">
        <v>220</v>
      </c>
      <c r="B221" s="1" t="s">
        <v>371</v>
      </c>
      <c r="C221" s="1" t="s">
        <v>647</v>
      </c>
      <c r="D221" s="1" t="s">
        <v>217</v>
      </c>
      <c r="E221" s="1" t="s">
        <v>44</v>
      </c>
    </row>
    <row r="222" customFormat="false" ht="15" hidden="false" customHeight="true" outlineLevel="0" collapsed="false">
      <c r="A222" s="1" t="n">
        <v>221</v>
      </c>
      <c r="B222" s="1" t="s">
        <v>648</v>
      </c>
      <c r="C222" s="1" t="s">
        <v>72</v>
      </c>
      <c r="D222" s="1" t="s">
        <v>532</v>
      </c>
      <c r="E222" s="1" t="s">
        <v>649</v>
      </c>
    </row>
    <row r="223" customFormat="false" ht="15" hidden="false" customHeight="true" outlineLevel="0" collapsed="false">
      <c r="A223" s="1" t="n">
        <v>222</v>
      </c>
      <c r="B223" s="1" t="s">
        <v>650</v>
      </c>
      <c r="C223" s="1" t="s">
        <v>651</v>
      </c>
      <c r="D223" s="1" t="s">
        <v>494</v>
      </c>
      <c r="E223" s="1" t="s">
        <v>652</v>
      </c>
    </row>
    <row r="224" customFormat="false" ht="15" hidden="false" customHeight="true" outlineLevel="0" collapsed="false">
      <c r="A224" s="1" t="n">
        <v>223</v>
      </c>
      <c r="B224" s="1" t="s">
        <v>564</v>
      </c>
      <c r="C224" s="1" t="s">
        <v>653</v>
      </c>
      <c r="D224" s="1" t="s">
        <v>527</v>
      </c>
      <c r="E224" s="1" t="s">
        <v>654</v>
      </c>
    </row>
    <row r="225" customFormat="false" ht="15" hidden="false" customHeight="true" outlineLevel="0" collapsed="false">
      <c r="A225" s="1" t="n">
        <v>224</v>
      </c>
      <c r="B225" s="1" t="s">
        <v>117</v>
      </c>
      <c r="C225" s="1" t="s">
        <v>387</v>
      </c>
      <c r="D225" s="1" t="s">
        <v>119</v>
      </c>
      <c r="E225" s="1" t="s">
        <v>655</v>
      </c>
    </row>
    <row r="226" customFormat="false" ht="15" hidden="false" customHeight="true" outlineLevel="0" collapsed="false">
      <c r="A226" s="1" t="n">
        <v>225</v>
      </c>
      <c r="B226" s="1" t="s">
        <v>335</v>
      </c>
      <c r="C226" s="1" t="s">
        <v>656</v>
      </c>
      <c r="D226" s="1" t="s">
        <v>109</v>
      </c>
      <c r="E226" s="1" t="s">
        <v>657</v>
      </c>
    </row>
    <row r="227" customFormat="false" ht="15" hidden="false" customHeight="true" outlineLevel="0" collapsed="false">
      <c r="A227" s="1" t="n">
        <v>226</v>
      </c>
      <c r="B227" s="1" t="s">
        <v>590</v>
      </c>
      <c r="C227" s="1" t="s">
        <v>658</v>
      </c>
      <c r="D227" s="1" t="s">
        <v>453</v>
      </c>
      <c r="E227" s="1" t="s">
        <v>659</v>
      </c>
    </row>
    <row r="228" customFormat="false" ht="15" hidden="false" customHeight="true" outlineLevel="0" collapsed="false">
      <c r="A228" s="1" t="n">
        <v>227</v>
      </c>
      <c r="B228" s="1" t="s">
        <v>222</v>
      </c>
      <c r="C228" s="1" t="s">
        <v>166</v>
      </c>
      <c r="D228" s="1" t="s">
        <v>578</v>
      </c>
      <c r="E228" s="1" t="s">
        <v>660</v>
      </c>
    </row>
    <row r="229" customFormat="false" ht="15" hidden="false" customHeight="true" outlineLevel="0" collapsed="false">
      <c r="A229" s="1" t="n">
        <v>228</v>
      </c>
      <c r="B229" s="1" t="s">
        <v>661</v>
      </c>
      <c r="C229" s="1" t="s">
        <v>662</v>
      </c>
      <c r="D229" s="1" t="s">
        <v>510</v>
      </c>
      <c r="E229" s="1" t="s">
        <v>663</v>
      </c>
    </row>
    <row r="230" customFormat="false" ht="15" hidden="false" customHeight="true" outlineLevel="0" collapsed="false">
      <c r="A230" s="1" t="n">
        <v>229</v>
      </c>
      <c r="B230" s="1" t="s">
        <v>664</v>
      </c>
      <c r="C230" s="1" t="s">
        <v>30</v>
      </c>
      <c r="D230" s="1" t="s">
        <v>456</v>
      </c>
      <c r="E230" s="1" t="s">
        <v>665</v>
      </c>
    </row>
    <row r="231" customFormat="false" ht="15" hidden="false" customHeight="true" outlineLevel="0" collapsed="false">
      <c r="A231" s="1" t="n">
        <v>230</v>
      </c>
      <c r="B231" s="1" t="s">
        <v>666</v>
      </c>
      <c r="C231" s="1" t="s">
        <v>318</v>
      </c>
      <c r="D231" s="1" t="s">
        <v>667</v>
      </c>
      <c r="E231" s="1" t="s">
        <v>44</v>
      </c>
    </row>
    <row r="232" customFormat="false" ht="15" hidden="false" customHeight="true" outlineLevel="0" collapsed="false">
      <c r="A232" s="1" t="n">
        <v>231</v>
      </c>
      <c r="B232" s="1" t="s">
        <v>340</v>
      </c>
      <c r="C232" s="1" t="s">
        <v>116</v>
      </c>
      <c r="D232" s="1" t="s">
        <v>532</v>
      </c>
      <c r="E232" s="1" t="s">
        <v>668</v>
      </c>
    </row>
    <row r="233" customFormat="false" ht="15" hidden="false" customHeight="true" outlineLevel="0" collapsed="false">
      <c r="A233" s="1" t="n">
        <v>232</v>
      </c>
      <c r="B233" s="1" t="s">
        <v>669</v>
      </c>
      <c r="C233" s="1" t="s">
        <v>670</v>
      </c>
      <c r="D233" s="1" t="s">
        <v>257</v>
      </c>
      <c r="E233" s="1" t="s">
        <v>671</v>
      </c>
    </row>
    <row r="234" customFormat="false" ht="15" hidden="false" customHeight="true" outlineLevel="0" collapsed="false">
      <c r="A234" s="1" t="n">
        <v>233</v>
      </c>
      <c r="B234" s="1" t="s">
        <v>672</v>
      </c>
      <c r="C234" s="1" t="s">
        <v>673</v>
      </c>
      <c r="D234" s="1" t="s">
        <v>552</v>
      </c>
      <c r="E234" s="1" t="s">
        <v>674</v>
      </c>
    </row>
    <row r="235" customFormat="false" ht="15" hidden="false" customHeight="true" outlineLevel="0" collapsed="false">
      <c r="A235" s="1" t="n">
        <v>234</v>
      </c>
      <c r="B235" s="1" t="s">
        <v>466</v>
      </c>
      <c r="C235" s="1" t="s">
        <v>573</v>
      </c>
      <c r="D235" s="1" t="s">
        <v>675</v>
      </c>
      <c r="E235" s="1" t="s">
        <v>74</v>
      </c>
    </row>
    <row r="236" customFormat="false" ht="15" hidden="false" customHeight="true" outlineLevel="0" collapsed="false">
      <c r="A236" s="1" t="n">
        <v>235</v>
      </c>
      <c r="B236" s="1" t="s">
        <v>676</v>
      </c>
      <c r="C236" s="1" t="s">
        <v>579</v>
      </c>
      <c r="D236" s="1" t="s">
        <v>275</v>
      </c>
      <c r="E236" s="1" t="s">
        <v>677</v>
      </c>
    </row>
    <row r="237" customFormat="false" ht="15" hidden="false" customHeight="true" outlineLevel="0" collapsed="false">
      <c r="A237" s="1" t="n">
        <v>236</v>
      </c>
      <c r="B237" s="1" t="s">
        <v>192</v>
      </c>
      <c r="C237" s="1" t="s">
        <v>144</v>
      </c>
      <c r="D237" s="1" t="s">
        <v>612</v>
      </c>
      <c r="E237" s="1" t="s">
        <v>678</v>
      </c>
    </row>
    <row r="238" customFormat="false" ht="15" hidden="false" customHeight="true" outlineLevel="0" collapsed="false">
      <c r="A238" s="1" t="n">
        <v>237</v>
      </c>
      <c r="B238" s="1" t="s">
        <v>679</v>
      </c>
      <c r="C238" s="1" t="s">
        <v>680</v>
      </c>
      <c r="D238" s="1" t="s">
        <v>681</v>
      </c>
      <c r="E238" s="1" t="s">
        <v>682</v>
      </c>
    </row>
    <row r="239" customFormat="false" ht="15" hidden="false" customHeight="true" outlineLevel="0" collapsed="false">
      <c r="A239" s="1" t="n">
        <v>238</v>
      </c>
      <c r="B239" s="1" t="s">
        <v>602</v>
      </c>
      <c r="C239" s="1" t="s">
        <v>586</v>
      </c>
      <c r="D239" s="1" t="s">
        <v>269</v>
      </c>
      <c r="E239" s="1" t="s">
        <v>683</v>
      </c>
    </row>
    <row r="240" customFormat="false" ht="15" hidden="false" customHeight="true" outlineLevel="0" collapsed="false">
      <c r="A240" s="1" t="n">
        <v>239</v>
      </c>
      <c r="B240" s="1" t="s">
        <v>374</v>
      </c>
      <c r="C240" s="1" t="s">
        <v>653</v>
      </c>
      <c r="D240" s="1" t="s">
        <v>123</v>
      </c>
      <c r="E240" s="1" t="s">
        <v>684</v>
      </c>
    </row>
    <row r="241" customFormat="false" ht="15" hidden="false" customHeight="true" outlineLevel="0" collapsed="false">
      <c r="A241" s="1" t="n">
        <v>240</v>
      </c>
      <c r="B241" s="1" t="s">
        <v>685</v>
      </c>
      <c r="C241" s="1" t="s">
        <v>686</v>
      </c>
      <c r="D241" s="1" t="s">
        <v>687</v>
      </c>
      <c r="E241" s="1" t="s">
        <v>44</v>
      </c>
    </row>
    <row r="242" customFormat="false" ht="15" hidden="false" customHeight="true" outlineLevel="0" collapsed="false">
      <c r="A242" s="1" t="n">
        <v>241</v>
      </c>
      <c r="B242" s="1" t="s">
        <v>383</v>
      </c>
      <c r="C242" s="1" t="s">
        <v>260</v>
      </c>
      <c r="D242" s="1" t="s">
        <v>223</v>
      </c>
      <c r="E242" s="1" t="s">
        <v>688</v>
      </c>
    </row>
    <row r="243" customFormat="false" ht="15" hidden="false" customHeight="true" outlineLevel="0" collapsed="false">
      <c r="A243" s="1" t="n">
        <v>242</v>
      </c>
      <c r="B243" s="1" t="s">
        <v>689</v>
      </c>
      <c r="C243" s="1" t="s">
        <v>34</v>
      </c>
      <c r="D243" s="1" t="s">
        <v>313</v>
      </c>
      <c r="E243" s="1" t="s">
        <v>690</v>
      </c>
    </row>
    <row r="244" customFormat="false" ht="15" hidden="false" customHeight="true" outlineLevel="0" collapsed="false">
      <c r="A244" s="1" t="n">
        <v>243</v>
      </c>
      <c r="B244" s="1" t="s">
        <v>691</v>
      </c>
      <c r="C244" s="1" t="s">
        <v>306</v>
      </c>
      <c r="D244" s="1" t="s">
        <v>334</v>
      </c>
      <c r="E244" s="1" t="s">
        <v>692</v>
      </c>
    </row>
    <row r="245" customFormat="false" ht="15" hidden="false" customHeight="true" outlineLevel="0" collapsed="false">
      <c r="A245" s="1" t="n">
        <v>244</v>
      </c>
      <c r="B245" s="1" t="s">
        <v>252</v>
      </c>
      <c r="C245" s="1" t="s">
        <v>693</v>
      </c>
      <c r="D245" s="1" t="s">
        <v>163</v>
      </c>
      <c r="E245" s="1" t="s">
        <v>694</v>
      </c>
    </row>
    <row r="246" customFormat="false" ht="15" hidden="false" customHeight="true" outlineLevel="0" collapsed="false">
      <c r="A246" s="1" t="n">
        <v>245</v>
      </c>
      <c r="B246" s="1" t="s">
        <v>585</v>
      </c>
      <c r="C246" s="1" t="s">
        <v>152</v>
      </c>
      <c r="D246" s="1" t="s">
        <v>695</v>
      </c>
      <c r="E246" s="1" t="s">
        <v>557</v>
      </c>
    </row>
    <row r="247" customFormat="false" ht="15" hidden="false" customHeight="true" outlineLevel="0" collapsed="false">
      <c r="A247" s="1" t="n">
        <v>246</v>
      </c>
      <c r="B247" s="1" t="s">
        <v>696</v>
      </c>
      <c r="C247" s="1" t="s">
        <v>697</v>
      </c>
      <c r="D247" s="1" t="s">
        <v>698</v>
      </c>
      <c r="E247" s="1" t="s">
        <v>699</v>
      </c>
    </row>
    <row r="248" customFormat="false" ht="15" hidden="false" customHeight="true" outlineLevel="0" collapsed="false">
      <c r="A248" s="1" t="n">
        <v>247</v>
      </c>
      <c r="B248" s="1" t="s">
        <v>700</v>
      </c>
      <c r="C248" s="1" t="s">
        <v>701</v>
      </c>
      <c r="D248" s="1" t="s">
        <v>35</v>
      </c>
      <c r="E248" s="1" t="s">
        <v>702</v>
      </c>
    </row>
    <row r="249" customFormat="false" ht="15" hidden="false" customHeight="true" outlineLevel="0" collapsed="false">
      <c r="A249" s="1" t="n">
        <v>248</v>
      </c>
      <c r="B249" s="1" t="s">
        <v>703</v>
      </c>
      <c r="C249" s="1" t="s">
        <v>704</v>
      </c>
      <c r="D249" s="1" t="s">
        <v>567</v>
      </c>
      <c r="E249" s="1" t="s">
        <v>705</v>
      </c>
    </row>
    <row r="250" customFormat="false" ht="15" hidden="false" customHeight="true" outlineLevel="0" collapsed="false">
      <c r="A250" s="1" t="n">
        <v>249</v>
      </c>
      <c r="B250" s="1" t="s">
        <v>706</v>
      </c>
      <c r="C250" s="1" t="s">
        <v>444</v>
      </c>
      <c r="D250" s="1" t="s">
        <v>241</v>
      </c>
      <c r="E250" s="1" t="s">
        <v>707</v>
      </c>
    </row>
    <row r="251" customFormat="false" ht="15" hidden="false" customHeight="true" outlineLevel="0" collapsed="false">
      <c r="A251" s="1" t="n">
        <v>250</v>
      </c>
      <c r="B251" s="1" t="s">
        <v>708</v>
      </c>
      <c r="C251" s="1" t="s">
        <v>333</v>
      </c>
      <c r="D251" s="1" t="s">
        <v>384</v>
      </c>
      <c r="E251" s="1" t="s">
        <v>44</v>
      </c>
    </row>
    <row r="252" customFormat="false" ht="15" hidden="false" customHeight="true" outlineLevel="0" collapsed="false">
      <c r="A252" s="1" t="n">
        <v>251</v>
      </c>
      <c r="B252" s="1" t="s">
        <v>60</v>
      </c>
      <c r="C252" s="1" t="s">
        <v>709</v>
      </c>
      <c r="D252" s="1" t="s">
        <v>238</v>
      </c>
      <c r="E252" s="1" t="s">
        <v>710</v>
      </c>
    </row>
    <row r="253" customFormat="false" ht="15" hidden="false" customHeight="true" outlineLevel="0" collapsed="false">
      <c r="A253" s="1" t="n">
        <v>252</v>
      </c>
      <c r="B253" s="1" t="s">
        <v>711</v>
      </c>
      <c r="C253" s="1" t="s">
        <v>212</v>
      </c>
      <c r="D253" s="1" t="s">
        <v>345</v>
      </c>
      <c r="E253" s="1" t="s">
        <v>712</v>
      </c>
    </row>
    <row r="254" customFormat="false" ht="15" hidden="false" customHeight="true" outlineLevel="0" collapsed="false">
      <c r="A254" s="1" t="n">
        <v>253</v>
      </c>
      <c r="B254" s="1" t="s">
        <v>713</v>
      </c>
      <c r="C254" s="1" t="s">
        <v>714</v>
      </c>
      <c r="D254" s="1" t="s">
        <v>301</v>
      </c>
      <c r="E254" s="1" t="s">
        <v>459</v>
      </c>
    </row>
    <row r="255" customFormat="false" ht="15" hidden="false" customHeight="true" outlineLevel="0" collapsed="false">
      <c r="A255" s="1" t="n">
        <v>254</v>
      </c>
      <c r="B255" s="1" t="s">
        <v>229</v>
      </c>
      <c r="C255" s="1" t="s">
        <v>76</v>
      </c>
      <c r="D255" s="1" t="s">
        <v>715</v>
      </c>
      <c r="E255" s="1" t="s">
        <v>716</v>
      </c>
    </row>
    <row r="256" customFormat="false" ht="15" hidden="false" customHeight="true" outlineLevel="0" collapsed="false">
      <c r="A256" s="1" t="n">
        <v>255</v>
      </c>
      <c r="B256" s="1" t="s">
        <v>128</v>
      </c>
      <c r="C256" s="1" t="s">
        <v>89</v>
      </c>
      <c r="D256" s="1" t="s">
        <v>717</v>
      </c>
      <c r="E256" s="1" t="s">
        <v>718</v>
      </c>
    </row>
    <row r="257" customFormat="false" ht="15" hidden="false" customHeight="true" outlineLevel="0" collapsed="false">
      <c r="A257" s="1" t="n">
        <v>256</v>
      </c>
      <c r="B257" s="1" t="s">
        <v>29</v>
      </c>
      <c r="C257" s="1" t="s">
        <v>719</v>
      </c>
      <c r="D257" s="1" t="s">
        <v>275</v>
      </c>
      <c r="E257" s="1" t="s">
        <v>720</v>
      </c>
    </row>
    <row r="258" customFormat="false" ht="15" hidden="false" customHeight="true" outlineLevel="0" collapsed="false">
      <c r="A258" s="1" t="n">
        <v>257</v>
      </c>
      <c r="B258" s="1" t="s">
        <v>519</v>
      </c>
      <c r="C258" s="1" t="s">
        <v>721</v>
      </c>
      <c r="D258" s="1" t="s">
        <v>113</v>
      </c>
      <c r="E258" s="1" t="s">
        <v>388</v>
      </c>
    </row>
    <row r="259" customFormat="false" ht="15" hidden="false" customHeight="true" outlineLevel="0" collapsed="false">
      <c r="A259" s="1" t="n">
        <v>258</v>
      </c>
      <c r="B259" s="1" t="s">
        <v>165</v>
      </c>
      <c r="C259" s="1" t="s">
        <v>230</v>
      </c>
      <c r="D259" s="1" t="s">
        <v>722</v>
      </c>
      <c r="E259" s="1" t="s">
        <v>723</v>
      </c>
    </row>
    <row r="260" customFormat="false" ht="15" hidden="false" customHeight="true" outlineLevel="0" collapsed="false">
      <c r="A260" s="1" t="n">
        <v>259</v>
      </c>
      <c r="B260" s="1" t="s">
        <v>273</v>
      </c>
      <c r="C260" s="1" t="s">
        <v>306</v>
      </c>
      <c r="D260" s="1" t="s">
        <v>280</v>
      </c>
      <c r="E260" s="1" t="s">
        <v>724</v>
      </c>
    </row>
    <row r="261" customFormat="false" ht="15" hidden="false" customHeight="true" outlineLevel="0" collapsed="false">
      <c r="A261" s="1" t="n">
        <v>260</v>
      </c>
      <c r="B261" s="1" t="s">
        <v>725</v>
      </c>
      <c r="C261" s="1" t="s">
        <v>726</v>
      </c>
      <c r="D261" s="1" t="s">
        <v>570</v>
      </c>
      <c r="E261" s="1" t="s">
        <v>44</v>
      </c>
    </row>
    <row r="262" customFormat="false" ht="15" hidden="false" customHeight="true" outlineLevel="0" collapsed="false">
      <c r="A262" s="1" t="n">
        <v>261</v>
      </c>
      <c r="B262" s="1" t="s">
        <v>727</v>
      </c>
      <c r="C262" s="1" t="s">
        <v>10</v>
      </c>
      <c r="D262" s="1" t="s">
        <v>728</v>
      </c>
      <c r="E262" s="1" t="s">
        <v>729</v>
      </c>
    </row>
    <row r="263" customFormat="false" ht="15" hidden="false" customHeight="true" outlineLevel="0" collapsed="false">
      <c r="A263" s="1" t="n">
        <v>262</v>
      </c>
      <c r="B263" s="1" t="s">
        <v>730</v>
      </c>
      <c r="C263" s="1" t="s">
        <v>500</v>
      </c>
      <c r="D263" s="1" t="s">
        <v>731</v>
      </c>
      <c r="E263" s="1" t="s">
        <v>732</v>
      </c>
    </row>
    <row r="264" customFormat="false" ht="15" hidden="false" customHeight="true" outlineLevel="0" collapsed="false">
      <c r="A264" s="1" t="n">
        <v>263</v>
      </c>
      <c r="B264" s="1" t="s">
        <v>685</v>
      </c>
      <c r="C264" s="1" t="s">
        <v>733</v>
      </c>
      <c r="D264" s="1" t="s">
        <v>734</v>
      </c>
      <c r="E264" s="1" t="s">
        <v>735</v>
      </c>
    </row>
    <row r="265" customFormat="false" ht="15" hidden="false" customHeight="true" outlineLevel="0" collapsed="false">
      <c r="A265" s="1" t="n">
        <v>264</v>
      </c>
      <c r="B265" s="1" t="s">
        <v>736</v>
      </c>
      <c r="C265" s="1" t="s">
        <v>177</v>
      </c>
      <c r="D265" s="1" t="s">
        <v>737</v>
      </c>
      <c r="E265" s="1" t="s">
        <v>738</v>
      </c>
    </row>
    <row r="266" customFormat="false" ht="15" hidden="false" customHeight="true" outlineLevel="0" collapsed="false">
      <c r="A266" s="1" t="n">
        <v>265</v>
      </c>
      <c r="B266" s="1" t="s">
        <v>602</v>
      </c>
      <c r="C266" s="1" t="s">
        <v>739</v>
      </c>
      <c r="D266" s="1" t="s">
        <v>174</v>
      </c>
      <c r="E266" s="1" t="s">
        <v>740</v>
      </c>
    </row>
    <row r="267" customFormat="false" ht="15" hidden="false" customHeight="true" outlineLevel="0" collapsed="false">
      <c r="A267" s="1" t="n">
        <v>266</v>
      </c>
      <c r="B267" s="1" t="s">
        <v>741</v>
      </c>
      <c r="C267" s="1" t="s">
        <v>742</v>
      </c>
      <c r="D267" s="1" t="s">
        <v>426</v>
      </c>
      <c r="E267" s="1" t="s">
        <v>385</v>
      </c>
    </row>
    <row r="268" customFormat="false" ht="15" hidden="false" customHeight="true" outlineLevel="0" collapsed="false">
      <c r="A268" s="1" t="n">
        <v>267</v>
      </c>
      <c r="B268" s="1" t="s">
        <v>743</v>
      </c>
      <c r="C268" s="1" t="s">
        <v>592</v>
      </c>
      <c r="D268" s="1" t="s">
        <v>468</v>
      </c>
      <c r="E268" s="1" t="s">
        <v>744</v>
      </c>
    </row>
    <row r="269" customFormat="false" ht="15" hidden="false" customHeight="true" outlineLevel="0" collapsed="false">
      <c r="A269" s="1" t="n">
        <v>268</v>
      </c>
      <c r="B269" s="1" t="s">
        <v>247</v>
      </c>
      <c r="C269" s="1" t="s">
        <v>745</v>
      </c>
      <c r="D269" s="1" t="s">
        <v>746</v>
      </c>
      <c r="E269" s="1" t="s">
        <v>747</v>
      </c>
    </row>
    <row r="270" customFormat="false" ht="15" hidden="false" customHeight="true" outlineLevel="0" collapsed="false">
      <c r="A270" s="1" t="n">
        <v>269</v>
      </c>
      <c r="B270" s="1" t="s">
        <v>748</v>
      </c>
      <c r="C270" s="1" t="s">
        <v>749</v>
      </c>
      <c r="D270" s="1" t="s">
        <v>480</v>
      </c>
      <c r="E270" s="1" t="s">
        <v>483</v>
      </c>
    </row>
    <row r="271" customFormat="false" ht="15" hidden="false" customHeight="true" outlineLevel="0" collapsed="false">
      <c r="A271" s="1" t="n">
        <v>270</v>
      </c>
      <c r="B271" s="1" t="s">
        <v>435</v>
      </c>
      <c r="C271" s="1" t="s">
        <v>750</v>
      </c>
      <c r="D271" s="1" t="s">
        <v>574</v>
      </c>
      <c r="E271" s="1" t="s">
        <v>44</v>
      </c>
    </row>
    <row r="272" customFormat="false" ht="15" hidden="false" customHeight="true" outlineLevel="0" collapsed="false">
      <c r="A272" s="1" t="n">
        <v>271</v>
      </c>
      <c r="B272" s="1" t="s">
        <v>751</v>
      </c>
      <c r="C272" s="1" t="s">
        <v>752</v>
      </c>
      <c r="D272" s="1" t="s">
        <v>753</v>
      </c>
      <c r="E272" s="1" t="s">
        <v>754</v>
      </c>
    </row>
    <row r="273" customFormat="false" ht="15" hidden="false" customHeight="true" outlineLevel="0" collapsed="false">
      <c r="A273" s="1" t="n">
        <v>272</v>
      </c>
      <c r="B273" s="1" t="s">
        <v>303</v>
      </c>
      <c r="C273" s="1" t="s">
        <v>755</v>
      </c>
      <c r="D273" s="1" t="s">
        <v>223</v>
      </c>
      <c r="E273" s="1" t="s">
        <v>756</v>
      </c>
    </row>
    <row r="274" customFormat="false" ht="15" hidden="false" customHeight="true" outlineLevel="0" collapsed="false">
      <c r="A274" s="1" t="n">
        <v>273</v>
      </c>
      <c r="B274" s="1" t="s">
        <v>757</v>
      </c>
      <c r="C274" s="1" t="s">
        <v>750</v>
      </c>
      <c r="D274" s="1" t="s">
        <v>758</v>
      </c>
      <c r="E274" s="1" t="s">
        <v>759</v>
      </c>
    </row>
    <row r="275" customFormat="false" ht="15" hidden="false" customHeight="true" outlineLevel="0" collapsed="false">
      <c r="A275" s="1" t="n">
        <v>274</v>
      </c>
      <c r="B275" s="1" t="s">
        <v>650</v>
      </c>
      <c r="C275" s="1" t="s">
        <v>760</v>
      </c>
      <c r="D275" s="1" t="s">
        <v>761</v>
      </c>
      <c r="E275" s="1" t="s">
        <v>762</v>
      </c>
    </row>
    <row r="276" customFormat="false" ht="15" hidden="false" customHeight="true" outlineLevel="0" collapsed="false">
      <c r="A276" s="1" t="n">
        <v>275</v>
      </c>
      <c r="B276" s="1" t="s">
        <v>711</v>
      </c>
      <c r="C276" s="1" t="s">
        <v>30</v>
      </c>
      <c r="D276" s="1" t="s">
        <v>411</v>
      </c>
      <c r="E276" s="1" t="s">
        <v>354</v>
      </c>
    </row>
    <row r="277" customFormat="false" ht="15" hidden="false" customHeight="true" outlineLevel="0" collapsed="false">
      <c r="A277" s="1" t="n">
        <v>276</v>
      </c>
      <c r="B277" s="1" t="s">
        <v>45</v>
      </c>
      <c r="C277" s="1" t="s">
        <v>763</v>
      </c>
      <c r="D277" s="1" t="s">
        <v>764</v>
      </c>
      <c r="E277" s="1" t="s">
        <v>765</v>
      </c>
    </row>
    <row r="278" customFormat="false" ht="15" hidden="false" customHeight="true" outlineLevel="0" collapsed="false">
      <c r="A278" s="1" t="n">
        <v>277</v>
      </c>
      <c r="B278" s="1" t="s">
        <v>766</v>
      </c>
      <c r="C278" s="1" t="s">
        <v>422</v>
      </c>
      <c r="D278" s="1" t="s">
        <v>27</v>
      </c>
      <c r="E278" s="1" t="s">
        <v>767</v>
      </c>
    </row>
    <row r="279" customFormat="false" ht="15" hidden="false" customHeight="true" outlineLevel="0" collapsed="false">
      <c r="A279" s="1" t="n">
        <v>278</v>
      </c>
      <c r="B279" s="1" t="s">
        <v>768</v>
      </c>
      <c r="C279" s="1" t="s">
        <v>34</v>
      </c>
      <c r="D279" s="1" t="s">
        <v>419</v>
      </c>
      <c r="E279" s="1" t="s">
        <v>769</v>
      </c>
    </row>
    <row r="280" customFormat="false" ht="15" hidden="false" customHeight="true" outlineLevel="0" collapsed="false">
      <c r="A280" s="1" t="n">
        <v>279</v>
      </c>
      <c r="B280" s="1" t="s">
        <v>770</v>
      </c>
      <c r="C280" s="1" t="s">
        <v>375</v>
      </c>
      <c r="D280" s="1" t="s">
        <v>334</v>
      </c>
      <c r="E280" s="1" t="s">
        <v>771</v>
      </c>
    </row>
    <row r="281" customFormat="false" ht="15" hidden="false" customHeight="true" outlineLevel="0" collapsed="false">
      <c r="A281" s="1" t="n">
        <v>280</v>
      </c>
      <c r="B281" s="1" t="s">
        <v>772</v>
      </c>
      <c r="C281" s="1" t="s">
        <v>422</v>
      </c>
      <c r="D281" s="1" t="s">
        <v>297</v>
      </c>
      <c r="E281" s="1" t="s">
        <v>44</v>
      </c>
    </row>
    <row r="282" customFormat="false" ht="15" hidden="false" customHeight="true" outlineLevel="0" collapsed="false">
      <c r="A282" s="1" t="n">
        <v>281</v>
      </c>
      <c r="B282" s="1" t="s">
        <v>773</v>
      </c>
      <c r="C282" s="1" t="s">
        <v>493</v>
      </c>
      <c r="D282" s="1" t="s">
        <v>426</v>
      </c>
      <c r="E282" s="1" t="s">
        <v>774</v>
      </c>
    </row>
    <row r="283" customFormat="false" ht="15" hidden="false" customHeight="true" outlineLevel="0" collapsed="false">
      <c r="A283" s="1" t="n">
        <v>282</v>
      </c>
      <c r="B283" s="1" t="s">
        <v>347</v>
      </c>
      <c r="C283" s="1" t="s">
        <v>775</v>
      </c>
      <c r="D283" s="1" t="s">
        <v>105</v>
      </c>
      <c r="E283" s="1" t="s">
        <v>776</v>
      </c>
    </row>
    <row r="284" customFormat="false" ht="15" hidden="false" customHeight="true" outlineLevel="0" collapsed="false">
      <c r="A284" s="1" t="n">
        <v>283</v>
      </c>
      <c r="B284" s="1" t="s">
        <v>777</v>
      </c>
      <c r="C284" s="1" t="s">
        <v>778</v>
      </c>
      <c r="D284" s="1" t="s">
        <v>779</v>
      </c>
      <c r="E284" s="1" t="s">
        <v>780</v>
      </c>
    </row>
    <row r="285" customFormat="false" ht="15" hidden="false" customHeight="true" outlineLevel="0" collapsed="false">
      <c r="A285" s="1" t="n">
        <v>284</v>
      </c>
      <c r="B285" s="1" t="s">
        <v>417</v>
      </c>
      <c r="C285" s="1" t="s">
        <v>389</v>
      </c>
      <c r="D285" s="1" t="s">
        <v>23</v>
      </c>
      <c r="E285" s="1" t="s">
        <v>781</v>
      </c>
    </row>
    <row r="286" customFormat="false" ht="15" hidden="false" customHeight="true" outlineLevel="0" collapsed="false">
      <c r="A286" s="1" t="n">
        <v>285</v>
      </c>
      <c r="B286" s="1" t="s">
        <v>782</v>
      </c>
      <c r="C286" s="1" t="s">
        <v>372</v>
      </c>
      <c r="D286" s="1" t="s">
        <v>783</v>
      </c>
      <c r="E286" s="1" t="s">
        <v>780</v>
      </c>
    </row>
    <row r="287" customFormat="false" ht="15" hidden="false" customHeight="true" outlineLevel="0" collapsed="false">
      <c r="A287" s="1" t="n">
        <v>286</v>
      </c>
      <c r="B287" s="1" t="s">
        <v>240</v>
      </c>
      <c r="C287" s="1" t="s">
        <v>693</v>
      </c>
      <c r="D287" s="1" t="s">
        <v>289</v>
      </c>
      <c r="E287" s="1" t="s">
        <v>784</v>
      </c>
    </row>
    <row r="288" customFormat="false" ht="15" hidden="false" customHeight="true" outlineLevel="0" collapsed="false">
      <c r="A288" s="1" t="n">
        <v>287</v>
      </c>
      <c r="B288" s="1" t="s">
        <v>785</v>
      </c>
      <c r="C288" s="1" t="s">
        <v>786</v>
      </c>
      <c r="D288" s="1" t="s">
        <v>787</v>
      </c>
      <c r="E288" s="1" t="s">
        <v>788</v>
      </c>
    </row>
    <row r="289" customFormat="false" ht="15" hidden="false" customHeight="true" outlineLevel="0" collapsed="false">
      <c r="A289" s="1" t="n">
        <v>288</v>
      </c>
      <c r="B289" s="1" t="s">
        <v>789</v>
      </c>
      <c r="C289" s="1" t="s">
        <v>790</v>
      </c>
      <c r="D289" s="1" t="s">
        <v>570</v>
      </c>
      <c r="E289" s="1" t="s">
        <v>791</v>
      </c>
    </row>
    <row r="290" customFormat="false" ht="15" hidden="false" customHeight="true" outlineLevel="0" collapsed="false">
      <c r="A290" s="1" t="n">
        <v>289</v>
      </c>
      <c r="B290" s="1" t="s">
        <v>792</v>
      </c>
      <c r="C290" s="1" t="s">
        <v>793</v>
      </c>
      <c r="D290" s="1" t="s">
        <v>794</v>
      </c>
      <c r="E290" s="1" t="s">
        <v>795</v>
      </c>
    </row>
    <row r="291" customFormat="false" ht="15" hidden="false" customHeight="true" outlineLevel="0" collapsed="false">
      <c r="A291" s="1" t="n">
        <v>290</v>
      </c>
      <c r="B291" s="1" t="s">
        <v>796</v>
      </c>
      <c r="C291" s="1" t="s">
        <v>797</v>
      </c>
      <c r="D291" s="1" t="s">
        <v>402</v>
      </c>
      <c r="E291" s="1" t="s">
        <v>44</v>
      </c>
    </row>
    <row r="292" customFormat="false" ht="15" hidden="false" customHeight="true" outlineLevel="0" collapsed="false">
      <c r="A292" s="1" t="n">
        <v>291</v>
      </c>
      <c r="B292" s="1" t="s">
        <v>17</v>
      </c>
      <c r="C292" s="1" t="s">
        <v>798</v>
      </c>
      <c r="D292" s="1" t="s">
        <v>639</v>
      </c>
      <c r="E292" s="1" t="s">
        <v>799</v>
      </c>
    </row>
    <row r="293" customFormat="false" ht="15" hidden="false" customHeight="true" outlineLevel="0" collapsed="false">
      <c r="A293" s="1" t="n">
        <v>292</v>
      </c>
      <c r="B293" s="1" t="s">
        <v>800</v>
      </c>
      <c r="C293" s="1" t="s">
        <v>801</v>
      </c>
      <c r="D293" s="1" t="s">
        <v>309</v>
      </c>
      <c r="E293" s="1" t="s">
        <v>802</v>
      </c>
    </row>
    <row r="294" customFormat="false" ht="15" hidden="false" customHeight="true" outlineLevel="0" collapsed="false">
      <c r="A294" s="1" t="n">
        <v>293</v>
      </c>
      <c r="B294" s="1" t="s">
        <v>803</v>
      </c>
      <c r="C294" s="1" t="s">
        <v>804</v>
      </c>
      <c r="D294" s="1" t="s">
        <v>783</v>
      </c>
      <c r="E294" s="1" t="s">
        <v>805</v>
      </c>
    </row>
    <row r="295" customFormat="false" ht="15" hidden="false" customHeight="true" outlineLevel="0" collapsed="false">
      <c r="A295" s="1" t="n">
        <v>294</v>
      </c>
      <c r="B295" s="1" t="s">
        <v>806</v>
      </c>
      <c r="C295" s="1" t="s">
        <v>197</v>
      </c>
      <c r="D295" s="1" t="s">
        <v>807</v>
      </c>
      <c r="E295" s="1" t="s">
        <v>808</v>
      </c>
    </row>
    <row r="296" customFormat="false" ht="15" hidden="false" customHeight="true" outlineLevel="0" collapsed="false">
      <c r="A296" s="1" t="n">
        <v>295</v>
      </c>
      <c r="B296" s="1" t="s">
        <v>809</v>
      </c>
      <c r="C296" s="1" t="s">
        <v>797</v>
      </c>
      <c r="D296" s="1" t="s">
        <v>257</v>
      </c>
      <c r="E296" s="1" t="s">
        <v>328</v>
      </c>
    </row>
    <row r="297" customFormat="false" ht="15" hidden="false" customHeight="true" outlineLevel="0" collapsed="false">
      <c r="A297" s="1" t="n">
        <v>296</v>
      </c>
      <c r="B297" s="1" t="s">
        <v>748</v>
      </c>
      <c r="C297" s="1" t="s">
        <v>810</v>
      </c>
      <c r="D297" s="1" t="s">
        <v>811</v>
      </c>
      <c r="E297" s="1" t="s">
        <v>812</v>
      </c>
    </row>
    <row r="298" customFormat="false" ht="15" hidden="false" customHeight="true" outlineLevel="0" collapsed="false">
      <c r="A298" s="1" t="n">
        <v>297</v>
      </c>
      <c r="B298" s="1" t="s">
        <v>813</v>
      </c>
      <c r="C298" s="1" t="s">
        <v>375</v>
      </c>
      <c r="D298" s="1" t="s">
        <v>722</v>
      </c>
      <c r="E298" s="1" t="s">
        <v>814</v>
      </c>
    </row>
    <row r="299" customFormat="false" ht="15" hidden="false" customHeight="true" outlineLevel="0" collapsed="false">
      <c r="A299" s="1" t="n">
        <v>298</v>
      </c>
      <c r="B299" s="1" t="s">
        <v>815</v>
      </c>
      <c r="C299" s="1" t="s">
        <v>804</v>
      </c>
      <c r="D299" s="1" t="s">
        <v>167</v>
      </c>
      <c r="E299" s="1" t="s">
        <v>816</v>
      </c>
    </row>
    <row r="300" customFormat="false" ht="15" hidden="false" customHeight="true" outlineLevel="0" collapsed="false">
      <c r="A300" s="1" t="n">
        <v>299</v>
      </c>
      <c r="B300" s="1" t="s">
        <v>817</v>
      </c>
      <c r="C300" s="1" t="s">
        <v>274</v>
      </c>
      <c r="D300" s="1" t="s">
        <v>231</v>
      </c>
      <c r="E300" s="1" t="s">
        <v>818</v>
      </c>
    </row>
    <row r="301" customFormat="false" ht="15" hidden="false" customHeight="true" outlineLevel="0" collapsed="false">
      <c r="A301" s="1" t="n">
        <v>300</v>
      </c>
      <c r="B301" s="1" t="s">
        <v>819</v>
      </c>
      <c r="C301" s="1" t="s">
        <v>638</v>
      </c>
      <c r="D301" s="1" t="s">
        <v>758</v>
      </c>
      <c r="E301" s="1" t="s">
        <v>44</v>
      </c>
    </row>
    <row r="302" customFormat="false" ht="15" hidden="false" customHeight="true" outlineLevel="0" collapsed="false">
      <c r="A302" s="1" t="n">
        <v>301</v>
      </c>
      <c r="B302" s="1" t="s">
        <v>820</v>
      </c>
      <c r="C302" s="1" t="s">
        <v>253</v>
      </c>
      <c r="D302" s="1" t="s">
        <v>155</v>
      </c>
      <c r="E302" s="1" t="s">
        <v>821</v>
      </c>
    </row>
    <row r="303" customFormat="false" ht="15" hidden="false" customHeight="true" outlineLevel="0" collapsed="false">
      <c r="A303" s="1" t="n">
        <v>302</v>
      </c>
      <c r="B303" s="1" t="s">
        <v>822</v>
      </c>
      <c r="C303" s="1" t="s">
        <v>823</v>
      </c>
      <c r="D303" s="1" t="s">
        <v>297</v>
      </c>
      <c r="E303" s="1" t="s">
        <v>824</v>
      </c>
    </row>
    <row r="304" customFormat="false" ht="15" hidden="false" customHeight="true" outlineLevel="0" collapsed="false">
      <c r="A304" s="1" t="n">
        <v>303</v>
      </c>
      <c r="B304" s="1" t="s">
        <v>409</v>
      </c>
      <c r="C304" s="1" t="s">
        <v>461</v>
      </c>
      <c r="D304" s="1" t="s">
        <v>217</v>
      </c>
      <c r="E304" s="1" t="s">
        <v>825</v>
      </c>
    </row>
    <row r="305" customFormat="false" ht="15" hidden="false" customHeight="true" outlineLevel="0" collapsed="false">
      <c r="A305" s="1" t="n">
        <v>304</v>
      </c>
      <c r="B305" s="1" t="s">
        <v>826</v>
      </c>
      <c r="C305" s="1" t="s">
        <v>352</v>
      </c>
      <c r="D305" s="1" t="s">
        <v>508</v>
      </c>
      <c r="E305" s="1" t="s">
        <v>471</v>
      </c>
    </row>
    <row r="306" customFormat="false" ht="15" hidden="false" customHeight="true" outlineLevel="0" collapsed="false">
      <c r="A306" s="1" t="n">
        <v>305</v>
      </c>
      <c r="B306" s="1" t="s">
        <v>53</v>
      </c>
      <c r="C306" s="1" t="s">
        <v>827</v>
      </c>
      <c r="D306" s="1" t="s">
        <v>828</v>
      </c>
      <c r="E306" s="1" t="s">
        <v>829</v>
      </c>
    </row>
    <row r="307" customFormat="false" ht="15" hidden="false" customHeight="true" outlineLevel="0" collapsed="false">
      <c r="A307" s="1" t="n">
        <v>306</v>
      </c>
      <c r="B307" s="1" t="s">
        <v>279</v>
      </c>
      <c r="C307" s="1" t="s">
        <v>418</v>
      </c>
      <c r="D307" s="1" t="s">
        <v>783</v>
      </c>
      <c r="E307" s="1" t="s">
        <v>830</v>
      </c>
    </row>
    <row r="308" customFormat="false" ht="15" hidden="false" customHeight="true" outlineLevel="0" collapsed="false">
      <c r="A308" s="1" t="n">
        <v>307</v>
      </c>
      <c r="B308" s="1" t="s">
        <v>831</v>
      </c>
      <c r="C308" s="1" t="s">
        <v>438</v>
      </c>
      <c r="D308" s="1" t="s">
        <v>86</v>
      </c>
      <c r="E308" s="1" t="s">
        <v>832</v>
      </c>
    </row>
    <row r="309" customFormat="false" ht="15" hidden="false" customHeight="true" outlineLevel="0" collapsed="false">
      <c r="A309" s="1" t="n">
        <v>308</v>
      </c>
      <c r="B309" s="1" t="s">
        <v>833</v>
      </c>
      <c r="C309" s="1" t="s">
        <v>834</v>
      </c>
      <c r="D309" s="1" t="s">
        <v>159</v>
      </c>
      <c r="E309" s="1" t="s">
        <v>135</v>
      </c>
    </row>
    <row r="310" customFormat="false" ht="15" hidden="false" customHeight="true" outlineLevel="0" collapsed="false">
      <c r="A310" s="1" t="n">
        <v>309</v>
      </c>
      <c r="B310" s="1" t="s">
        <v>188</v>
      </c>
      <c r="C310" s="1" t="s">
        <v>745</v>
      </c>
      <c r="D310" s="1" t="s">
        <v>681</v>
      </c>
      <c r="E310" s="1" t="s">
        <v>835</v>
      </c>
    </row>
    <row r="311" customFormat="false" ht="15" hidden="false" customHeight="true" outlineLevel="0" collapsed="false">
      <c r="A311" s="1" t="n">
        <v>310</v>
      </c>
      <c r="B311" s="1" t="s">
        <v>817</v>
      </c>
      <c r="C311" s="1" t="s">
        <v>116</v>
      </c>
      <c r="D311" s="1" t="s">
        <v>194</v>
      </c>
      <c r="E311" s="1" t="s">
        <v>44</v>
      </c>
    </row>
    <row r="312" customFormat="false" ht="15" hidden="false" customHeight="true" outlineLevel="0" collapsed="false">
      <c r="A312" s="1" t="n">
        <v>311</v>
      </c>
      <c r="B312" s="1" t="s">
        <v>435</v>
      </c>
      <c r="C312" s="1" t="s">
        <v>18</v>
      </c>
      <c r="D312" s="1" t="s">
        <v>141</v>
      </c>
      <c r="E312" s="1" t="s">
        <v>836</v>
      </c>
    </row>
    <row r="313" customFormat="false" ht="15" hidden="false" customHeight="true" outlineLevel="0" collapsed="false">
      <c r="A313" s="1" t="n">
        <v>312</v>
      </c>
      <c r="B313" s="1" t="s">
        <v>440</v>
      </c>
      <c r="C313" s="1" t="s">
        <v>148</v>
      </c>
      <c r="D313" s="1" t="s">
        <v>837</v>
      </c>
      <c r="E313" s="1" t="s">
        <v>838</v>
      </c>
    </row>
    <row r="314" customFormat="false" ht="15" hidden="false" customHeight="true" outlineLevel="0" collapsed="false">
      <c r="A314" s="1" t="n">
        <v>313</v>
      </c>
      <c r="B314" s="1" t="s">
        <v>265</v>
      </c>
      <c r="C314" s="1" t="s">
        <v>839</v>
      </c>
      <c r="D314" s="1" t="s">
        <v>510</v>
      </c>
      <c r="E314" s="1" t="s">
        <v>840</v>
      </c>
    </row>
    <row r="315" customFormat="false" ht="15" hidden="false" customHeight="true" outlineLevel="0" collapsed="false">
      <c r="A315" s="1" t="n">
        <v>314</v>
      </c>
      <c r="B315" s="1" t="s">
        <v>841</v>
      </c>
      <c r="C315" s="1" t="s">
        <v>842</v>
      </c>
      <c r="D315" s="1" t="s">
        <v>209</v>
      </c>
      <c r="E315" s="1" t="s">
        <v>338</v>
      </c>
    </row>
    <row r="316" customFormat="false" ht="15" hidden="false" customHeight="true" outlineLevel="0" collapsed="false">
      <c r="A316" s="1" t="n">
        <v>315</v>
      </c>
      <c r="B316" s="1" t="s">
        <v>796</v>
      </c>
      <c r="C316" s="1" t="s">
        <v>843</v>
      </c>
      <c r="D316" s="1" t="s">
        <v>844</v>
      </c>
      <c r="E316" s="1" t="s">
        <v>845</v>
      </c>
    </row>
    <row r="317" customFormat="false" ht="15" hidden="false" customHeight="true" outlineLevel="0" collapsed="false">
      <c r="A317" s="1" t="n">
        <v>316</v>
      </c>
      <c r="B317" s="1" t="s">
        <v>218</v>
      </c>
      <c r="C317" s="1" t="s">
        <v>846</v>
      </c>
      <c r="D317" s="1" t="s">
        <v>235</v>
      </c>
      <c r="E317" s="1" t="s">
        <v>847</v>
      </c>
    </row>
    <row r="318" customFormat="false" ht="15" hidden="false" customHeight="true" outlineLevel="0" collapsed="false">
      <c r="A318" s="1" t="n">
        <v>317</v>
      </c>
      <c r="B318" s="1" t="s">
        <v>291</v>
      </c>
      <c r="C318" s="1" t="s">
        <v>848</v>
      </c>
      <c r="D318" s="1" t="s">
        <v>62</v>
      </c>
      <c r="E318" s="1" t="s">
        <v>849</v>
      </c>
    </row>
    <row r="319" customFormat="false" ht="15" hidden="false" customHeight="true" outlineLevel="0" collapsed="false">
      <c r="A319" s="1" t="n">
        <v>318</v>
      </c>
      <c r="B319" s="1" t="s">
        <v>458</v>
      </c>
      <c r="C319" s="1" t="s">
        <v>850</v>
      </c>
      <c r="D319" s="1" t="s">
        <v>779</v>
      </c>
      <c r="E319" s="1" t="s">
        <v>716</v>
      </c>
    </row>
    <row r="320" customFormat="false" ht="15" hidden="false" customHeight="true" outlineLevel="0" collapsed="false">
      <c r="A320" s="1" t="n">
        <v>319</v>
      </c>
      <c r="B320" s="1" t="s">
        <v>851</v>
      </c>
      <c r="C320" s="1" t="s">
        <v>455</v>
      </c>
      <c r="D320" s="1" t="s">
        <v>123</v>
      </c>
      <c r="E320" s="1" t="s">
        <v>795</v>
      </c>
    </row>
    <row r="321" customFormat="false" ht="15" hidden="false" customHeight="true" outlineLevel="0" collapsed="false">
      <c r="A321" s="1" t="n">
        <v>320</v>
      </c>
      <c r="B321" s="1" t="s">
        <v>370</v>
      </c>
      <c r="C321" s="1" t="s">
        <v>197</v>
      </c>
      <c r="D321" s="1" t="s">
        <v>149</v>
      </c>
      <c r="E321" s="1" t="s">
        <v>44</v>
      </c>
    </row>
    <row r="322" customFormat="false" ht="15" hidden="false" customHeight="true" outlineLevel="0" collapsed="false">
      <c r="A322" s="1" t="n">
        <v>321</v>
      </c>
      <c r="B322" s="1" t="s">
        <v>852</v>
      </c>
      <c r="C322" s="1" t="s">
        <v>586</v>
      </c>
      <c r="D322" s="1" t="s">
        <v>316</v>
      </c>
      <c r="E322" s="1" t="s">
        <v>853</v>
      </c>
    </row>
    <row r="323" customFormat="false" ht="15" hidden="false" customHeight="true" outlineLevel="0" collapsed="false">
      <c r="A323" s="1" t="n">
        <v>322</v>
      </c>
      <c r="B323" s="1" t="s">
        <v>854</v>
      </c>
      <c r="C323" s="1" t="s">
        <v>467</v>
      </c>
      <c r="D323" s="1" t="s">
        <v>855</v>
      </c>
      <c r="E323" s="1" t="s">
        <v>856</v>
      </c>
    </row>
    <row r="324" customFormat="false" ht="15" hidden="false" customHeight="true" outlineLevel="0" collapsed="false">
      <c r="A324" s="1" t="n">
        <v>323</v>
      </c>
      <c r="B324" s="1" t="s">
        <v>225</v>
      </c>
      <c r="C324" s="1" t="s">
        <v>857</v>
      </c>
      <c r="D324" s="1" t="s">
        <v>159</v>
      </c>
      <c r="E324" s="1" t="s">
        <v>858</v>
      </c>
    </row>
    <row r="325" customFormat="false" ht="15" hidden="false" customHeight="true" outlineLevel="0" collapsed="false">
      <c r="A325" s="1" t="n">
        <v>324</v>
      </c>
      <c r="B325" s="1" t="s">
        <v>859</v>
      </c>
      <c r="C325" s="1" t="s">
        <v>860</v>
      </c>
      <c r="D325" s="1" t="s">
        <v>190</v>
      </c>
      <c r="E325" s="1" t="s">
        <v>861</v>
      </c>
    </row>
    <row r="326" customFormat="false" ht="15" hidden="false" customHeight="true" outlineLevel="0" collapsed="false">
      <c r="A326" s="1" t="n">
        <v>325</v>
      </c>
      <c r="B326" s="1" t="s">
        <v>862</v>
      </c>
      <c r="C326" s="1" t="s">
        <v>863</v>
      </c>
      <c r="D326" s="1" t="s">
        <v>864</v>
      </c>
      <c r="E326" s="1" t="s">
        <v>865</v>
      </c>
    </row>
    <row r="327" customFormat="false" ht="15" hidden="false" customHeight="true" outlineLevel="0" collapsed="false">
      <c r="A327" s="1" t="n">
        <v>326</v>
      </c>
      <c r="B327" s="1" t="s">
        <v>466</v>
      </c>
      <c r="C327" s="1" t="s">
        <v>866</v>
      </c>
      <c r="D327" s="1" t="s">
        <v>309</v>
      </c>
      <c r="E327" s="1" t="s">
        <v>867</v>
      </c>
    </row>
    <row r="328" customFormat="false" ht="15" hidden="false" customHeight="true" outlineLevel="0" collapsed="false">
      <c r="A328" s="1" t="n">
        <v>327</v>
      </c>
      <c r="B328" s="1" t="s">
        <v>868</v>
      </c>
      <c r="C328" s="1" t="s">
        <v>555</v>
      </c>
      <c r="D328" s="1" t="s">
        <v>869</v>
      </c>
      <c r="E328" s="1" t="s">
        <v>870</v>
      </c>
    </row>
    <row r="329" customFormat="false" ht="15" hidden="false" customHeight="true" outlineLevel="0" collapsed="false">
      <c r="A329" s="1" t="n">
        <v>328</v>
      </c>
      <c r="B329" s="1" t="s">
        <v>871</v>
      </c>
      <c r="C329" s="1" t="s">
        <v>401</v>
      </c>
      <c r="D329" s="1" t="s">
        <v>86</v>
      </c>
      <c r="E329" s="1" t="s">
        <v>872</v>
      </c>
    </row>
    <row r="330" customFormat="false" ht="15" hidden="false" customHeight="true" outlineLevel="0" collapsed="false">
      <c r="A330" s="1" t="n">
        <v>329</v>
      </c>
      <c r="B330" s="1" t="s">
        <v>873</v>
      </c>
      <c r="C330" s="1" t="s">
        <v>292</v>
      </c>
      <c r="D330" s="1" t="s">
        <v>227</v>
      </c>
      <c r="E330" s="1" t="s">
        <v>470</v>
      </c>
    </row>
    <row r="331" customFormat="false" ht="15" hidden="false" customHeight="true" outlineLevel="0" collapsed="false">
      <c r="A331" s="1" t="n">
        <v>330</v>
      </c>
      <c r="B331" s="1" t="s">
        <v>874</v>
      </c>
      <c r="C331" s="1" t="s">
        <v>177</v>
      </c>
      <c r="D331" s="1" t="s">
        <v>113</v>
      </c>
      <c r="E331" s="1" t="s">
        <v>44</v>
      </c>
    </row>
    <row r="332" customFormat="false" ht="15" hidden="false" customHeight="true" outlineLevel="0" collapsed="false">
      <c r="A332" s="1" t="n">
        <v>331</v>
      </c>
      <c r="B332" s="1" t="s">
        <v>107</v>
      </c>
      <c r="C332" s="1" t="s">
        <v>875</v>
      </c>
      <c r="D332" s="1" t="s">
        <v>876</v>
      </c>
      <c r="E332" s="1" t="s">
        <v>877</v>
      </c>
    </row>
    <row r="333" customFormat="false" ht="15" hidden="false" customHeight="true" outlineLevel="0" collapsed="false">
      <c r="A333" s="1" t="n">
        <v>332</v>
      </c>
      <c r="B333" s="1" t="s">
        <v>635</v>
      </c>
      <c r="C333" s="1" t="s">
        <v>606</v>
      </c>
      <c r="D333" s="1" t="s">
        <v>764</v>
      </c>
      <c r="E333" s="1" t="s">
        <v>878</v>
      </c>
    </row>
    <row r="334" customFormat="false" ht="15" hidden="false" customHeight="true" outlineLevel="0" collapsed="false">
      <c r="A334" s="1" t="n">
        <v>333</v>
      </c>
      <c r="B334" s="1" t="s">
        <v>92</v>
      </c>
      <c r="C334" s="1" t="s">
        <v>638</v>
      </c>
      <c r="D334" s="1" t="s">
        <v>879</v>
      </c>
      <c r="E334" s="1" t="s">
        <v>534</v>
      </c>
    </row>
    <row r="335" customFormat="false" ht="15" hidden="false" customHeight="true" outlineLevel="0" collapsed="false">
      <c r="A335" s="1" t="n">
        <v>334</v>
      </c>
      <c r="B335" s="1" t="s">
        <v>815</v>
      </c>
      <c r="C335" s="1" t="s">
        <v>262</v>
      </c>
      <c r="D335" s="1" t="s">
        <v>880</v>
      </c>
      <c r="E335" s="1" t="s">
        <v>385</v>
      </c>
    </row>
    <row r="336" customFormat="false" ht="15" hidden="false" customHeight="true" outlineLevel="0" collapsed="false">
      <c r="A336" s="1" t="n">
        <v>335</v>
      </c>
      <c r="B336" s="1" t="s">
        <v>841</v>
      </c>
      <c r="C336" s="1" t="s">
        <v>881</v>
      </c>
      <c r="D336" s="1" t="s">
        <v>882</v>
      </c>
      <c r="E336" s="1" t="s">
        <v>242</v>
      </c>
    </row>
    <row r="337" customFormat="false" ht="15" hidden="false" customHeight="true" outlineLevel="0" collapsed="false">
      <c r="A337" s="1" t="n">
        <v>336</v>
      </c>
      <c r="B337" s="1" t="s">
        <v>883</v>
      </c>
      <c r="C337" s="1" t="s">
        <v>108</v>
      </c>
      <c r="D337" s="1" t="s">
        <v>884</v>
      </c>
      <c r="E337" s="1" t="s">
        <v>885</v>
      </c>
    </row>
    <row r="338" customFormat="false" ht="15" hidden="false" customHeight="true" outlineLevel="0" collapsed="false">
      <c r="A338" s="1" t="n">
        <v>337</v>
      </c>
      <c r="B338" s="1" t="s">
        <v>886</v>
      </c>
      <c r="C338" s="1" t="s">
        <v>352</v>
      </c>
      <c r="D338" s="1" t="s">
        <v>880</v>
      </c>
      <c r="E338" s="1" t="s">
        <v>887</v>
      </c>
    </row>
    <row r="339" customFormat="false" ht="15" hidden="false" customHeight="true" outlineLevel="0" collapsed="false">
      <c r="A339" s="1" t="n">
        <v>338</v>
      </c>
      <c r="B339" s="1" t="s">
        <v>713</v>
      </c>
      <c r="C339" s="1" t="s">
        <v>888</v>
      </c>
      <c r="D339" s="1" t="s">
        <v>97</v>
      </c>
      <c r="E339" s="1" t="s">
        <v>889</v>
      </c>
    </row>
    <row r="340" customFormat="false" ht="15" hidden="false" customHeight="true" outlineLevel="0" collapsed="false">
      <c r="A340" s="1" t="n">
        <v>339</v>
      </c>
      <c r="B340" s="1" t="s">
        <v>136</v>
      </c>
      <c r="C340" s="1" t="s">
        <v>562</v>
      </c>
      <c r="D340" s="1" t="s">
        <v>395</v>
      </c>
      <c r="E340" s="1" t="s">
        <v>390</v>
      </c>
    </row>
    <row r="341" customFormat="false" ht="15" hidden="false" customHeight="true" outlineLevel="0" collapsed="false">
      <c r="A341" s="1" t="n">
        <v>340</v>
      </c>
      <c r="B341" s="1" t="s">
        <v>890</v>
      </c>
      <c r="C341" s="1" t="s">
        <v>891</v>
      </c>
      <c r="D341" s="1" t="s">
        <v>159</v>
      </c>
      <c r="E341" s="1" t="s">
        <v>44</v>
      </c>
    </row>
    <row r="342" customFormat="false" ht="15" hidden="false" customHeight="true" outlineLevel="0" collapsed="false">
      <c r="A342" s="1" t="n">
        <v>341</v>
      </c>
      <c r="B342" s="1" t="s">
        <v>386</v>
      </c>
      <c r="C342" s="1" t="s">
        <v>166</v>
      </c>
      <c r="D342" s="1" t="s">
        <v>275</v>
      </c>
      <c r="E342" s="1" t="s">
        <v>892</v>
      </c>
    </row>
    <row r="343" customFormat="false" ht="15" hidden="false" customHeight="true" outlineLevel="0" collapsed="false">
      <c r="A343" s="1" t="n">
        <v>342</v>
      </c>
      <c r="B343" s="1" t="s">
        <v>893</v>
      </c>
      <c r="C343" s="1" t="s">
        <v>312</v>
      </c>
      <c r="D343" s="1" t="s">
        <v>280</v>
      </c>
      <c r="E343" s="1" t="s">
        <v>894</v>
      </c>
    </row>
    <row r="344" customFormat="false" ht="15" hidden="false" customHeight="true" outlineLevel="0" collapsed="false">
      <c r="A344" s="1" t="n">
        <v>343</v>
      </c>
      <c r="B344" s="1" t="s">
        <v>115</v>
      </c>
      <c r="C344" s="1" t="s">
        <v>398</v>
      </c>
      <c r="D344" s="1" t="s">
        <v>245</v>
      </c>
      <c r="E344" s="1" t="s">
        <v>895</v>
      </c>
    </row>
    <row r="345" customFormat="false" ht="15" hidden="false" customHeight="true" outlineLevel="0" collapsed="false">
      <c r="A345" s="1" t="n">
        <v>344</v>
      </c>
      <c r="B345" s="1" t="s">
        <v>344</v>
      </c>
      <c r="C345" s="1" t="s">
        <v>57</v>
      </c>
      <c r="D345" s="1" t="s">
        <v>123</v>
      </c>
      <c r="E345" s="1" t="s">
        <v>620</v>
      </c>
    </row>
    <row r="346" customFormat="false" ht="15" hidden="false" customHeight="true" outlineLevel="0" collapsed="false">
      <c r="A346" s="1" t="n">
        <v>345</v>
      </c>
      <c r="B346" s="1" t="s">
        <v>896</v>
      </c>
      <c r="C346" s="1" t="s">
        <v>112</v>
      </c>
      <c r="D346" s="1" t="s">
        <v>231</v>
      </c>
      <c r="E346" s="1" t="s">
        <v>897</v>
      </c>
    </row>
    <row r="347" customFormat="false" ht="15" hidden="false" customHeight="true" outlineLevel="0" collapsed="false">
      <c r="A347" s="1" t="n">
        <v>346</v>
      </c>
      <c r="B347" s="1" t="s">
        <v>898</v>
      </c>
      <c r="C347" s="1" t="s">
        <v>72</v>
      </c>
      <c r="D347" s="1" t="s">
        <v>411</v>
      </c>
      <c r="E347" s="1" t="s">
        <v>899</v>
      </c>
    </row>
    <row r="348" customFormat="false" ht="15" hidden="false" customHeight="true" outlineLevel="0" collapsed="false">
      <c r="A348" s="1" t="n">
        <v>347</v>
      </c>
      <c r="B348" s="1" t="s">
        <v>817</v>
      </c>
      <c r="C348" s="1" t="s">
        <v>260</v>
      </c>
      <c r="D348" s="1" t="s">
        <v>900</v>
      </c>
      <c r="E348" s="1" t="s">
        <v>901</v>
      </c>
    </row>
    <row r="349" customFormat="false" ht="15" hidden="false" customHeight="true" outlineLevel="0" collapsed="false">
      <c r="A349" s="1" t="n">
        <v>348</v>
      </c>
      <c r="B349" s="1" t="s">
        <v>800</v>
      </c>
      <c r="C349" s="1" t="s">
        <v>902</v>
      </c>
      <c r="D349" s="1" t="s">
        <v>903</v>
      </c>
      <c r="E349" s="1" t="s">
        <v>899</v>
      </c>
    </row>
    <row r="350" customFormat="false" ht="15" hidden="false" customHeight="true" outlineLevel="0" collapsed="false">
      <c r="A350" s="1" t="n">
        <v>349</v>
      </c>
      <c r="B350" s="1" t="s">
        <v>904</v>
      </c>
      <c r="C350" s="1" t="s">
        <v>905</v>
      </c>
      <c r="D350" s="1" t="s">
        <v>552</v>
      </c>
      <c r="E350" s="1" t="s">
        <v>906</v>
      </c>
    </row>
    <row r="351" customFormat="false" ht="15" hidden="false" customHeight="true" outlineLevel="0" collapsed="false">
      <c r="A351" s="1" t="n">
        <v>350</v>
      </c>
      <c r="B351" s="1" t="s">
        <v>907</v>
      </c>
      <c r="C351" s="1" t="s">
        <v>908</v>
      </c>
      <c r="D351" s="1" t="s">
        <v>909</v>
      </c>
      <c r="E351" s="1" t="s">
        <v>44</v>
      </c>
    </row>
    <row r="352" customFormat="false" ht="15" hidden="false" customHeight="true" outlineLevel="0" collapsed="false">
      <c r="A352" s="1" t="n">
        <v>351</v>
      </c>
      <c r="B352" s="1" t="s">
        <v>910</v>
      </c>
      <c r="C352" s="1" t="s">
        <v>721</v>
      </c>
      <c r="D352" s="1" t="s">
        <v>527</v>
      </c>
      <c r="E352" s="1" t="s">
        <v>659</v>
      </c>
    </row>
    <row r="353" customFormat="false" ht="15" hidden="false" customHeight="true" outlineLevel="0" collapsed="false">
      <c r="A353" s="1" t="n">
        <v>352</v>
      </c>
      <c r="B353" s="1" t="s">
        <v>512</v>
      </c>
      <c r="C353" s="1" t="s">
        <v>604</v>
      </c>
      <c r="D353" s="1" t="s">
        <v>223</v>
      </c>
      <c r="E353" s="1" t="s">
        <v>911</v>
      </c>
    </row>
    <row r="354" customFormat="false" ht="15" hidden="false" customHeight="true" outlineLevel="0" collapsed="false">
      <c r="A354" s="1" t="n">
        <v>353</v>
      </c>
      <c r="B354" s="1" t="s">
        <v>427</v>
      </c>
      <c r="C354" s="1" t="s">
        <v>778</v>
      </c>
      <c r="D354" s="1" t="s">
        <v>593</v>
      </c>
      <c r="E354" s="1" t="s">
        <v>912</v>
      </c>
    </row>
    <row r="355" customFormat="false" ht="15" hidden="false" customHeight="true" outlineLevel="0" collapsed="false">
      <c r="A355" s="1" t="n">
        <v>354</v>
      </c>
      <c r="B355" s="1" t="s">
        <v>913</v>
      </c>
      <c r="C355" s="1" t="s">
        <v>888</v>
      </c>
      <c r="D355" s="1" t="s">
        <v>560</v>
      </c>
      <c r="E355" s="1" t="s">
        <v>914</v>
      </c>
    </row>
    <row r="356" customFormat="false" ht="15" hidden="false" customHeight="true" outlineLevel="0" collapsed="false">
      <c r="A356" s="1" t="n">
        <v>355</v>
      </c>
      <c r="B356" s="1" t="s">
        <v>617</v>
      </c>
      <c r="C356" s="1" t="s">
        <v>915</v>
      </c>
      <c r="D356" s="1" t="s">
        <v>399</v>
      </c>
      <c r="E356" s="1" t="s">
        <v>478</v>
      </c>
    </row>
    <row r="357" customFormat="false" ht="15" hidden="false" customHeight="true" outlineLevel="0" collapsed="false">
      <c r="A357" s="1" t="n">
        <v>356</v>
      </c>
      <c r="B357" s="1" t="s">
        <v>916</v>
      </c>
      <c r="C357" s="1" t="s">
        <v>461</v>
      </c>
      <c r="D357" s="1" t="s">
        <v>286</v>
      </c>
      <c r="E357" s="1" t="s">
        <v>917</v>
      </c>
    </row>
    <row r="358" customFormat="false" ht="15" hidden="false" customHeight="true" outlineLevel="0" collapsed="false">
      <c r="A358" s="1" t="n">
        <v>357</v>
      </c>
      <c r="B358" s="1" t="s">
        <v>454</v>
      </c>
      <c r="C358" s="1" t="s">
        <v>312</v>
      </c>
      <c r="D358" s="1" t="s">
        <v>722</v>
      </c>
      <c r="E358" s="1" t="s">
        <v>784</v>
      </c>
    </row>
    <row r="359" customFormat="false" ht="15" hidden="false" customHeight="true" outlineLevel="0" collapsed="false">
      <c r="A359" s="1" t="n">
        <v>358</v>
      </c>
      <c r="B359" s="1" t="s">
        <v>918</v>
      </c>
      <c r="C359" s="1" t="s">
        <v>292</v>
      </c>
      <c r="D359" s="1" t="s">
        <v>919</v>
      </c>
      <c r="E359" s="1" t="s">
        <v>832</v>
      </c>
    </row>
    <row r="360" customFormat="false" ht="15" hidden="false" customHeight="true" outlineLevel="0" collapsed="false">
      <c r="A360" s="1" t="n">
        <v>359</v>
      </c>
      <c r="B360" s="1" t="s">
        <v>920</v>
      </c>
      <c r="C360" s="1" t="s">
        <v>300</v>
      </c>
      <c r="D360" s="1" t="s">
        <v>884</v>
      </c>
      <c r="E360" s="1" t="s">
        <v>921</v>
      </c>
    </row>
    <row r="361" customFormat="false" ht="15" hidden="false" customHeight="true" outlineLevel="0" collapsed="false">
      <c r="A361" s="1" t="n">
        <v>360</v>
      </c>
      <c r="B361" s="1" t="s">
        <v>922</v>
      </c>
      <c r="C361" s="1" t="s">
        <v>72</v>
      </c>
      <c r="D361" s="1" t="s">
        <v>923</v>
      </c>
      <c r="E361" s="1" t="s">
        <v>44</v>
      </c>
    </row>
    <row r="362" customFormat="false" ht="15" hidden="false" customHeight="true" outlineLevel="0" collapsed="false">
      <c r="A362" s="1" t="n">
        <v>361</v>
      </c>
      <c r="B362" s="1" t="s">
        <v>924</v>
      </c>
      <c r="C362" s="1" t="s">
        <v>925</v>
      </c>
      <c r="D362" s="1" t="s">
        <v>764</v>
      </c>
      <c r="E362" s="1" t="s">
        <v>926</v>
      </c>
    </row>
    <row r="363" customFormat="false" ht="15" hidden="false" customHeight="true" outlineLevel="0" collapsed="false">
      <c r="A363" s="1" t="n">
        <v>362</v>
      </c>
      <c r="B363" s="1" t="s">
        <v>247</v>
      </c>
      <c r="C363" s="1" t="s">
        <v>797</v>
      </c>
      <c r="D363" s="1" t="s">
        <v>687</v>
      </c>
      <c r="E363" s="1" t="s">
        <v>927</v>
      </c>
    </row>
    <row r="364" customFormat="false" ht="15" hidden="false" customHeight="true" outlineLevel="0" collapsed="false">
      <c r="A364" s="1" t="n">
        <v>363</v>
      </c>
      <c r="B364" s="1" t="s">
        <v>64</v>
      </c>
      <c r="C364" s="1" t="s">
        <v>277</v>
      </c>
      <c r="D364" s="1" t="s">
        <v>876</v>
      </c>
      <c r="E364" s="1" t="s">
        <v>928</v>
      </c>
    </row>
    <row r="365" customFormat="false" ht="15" hidden="false" customHeight="true" outlineLevel="0" collapsed="false">
      <c r="A365" s="1" t="n">
        <v>364</v>
      </c>
      <c r="B365" s="1" t="s">
        <v>929</v>
      </c>
      <c r="C365" s="1" t="s">
        <v>733</v>
      </c>
      <c r="D365" s="1" t="s">
        <v>269</v>
      </c>
      <c r="E365" s="1" t="s">
        <v>485</v>
      </c>
    </row>
    <row r="366" customFormat="false" ht="15" hidden="false" customHeight="true" outlineLevel="0" collapsed="false">
      <c r="A366" s="1" t="n">
        <v>365</v>
      </c>
      <c r="B366" s="1" t="s">
        <v>930</v>
      </c>
      <c r="C366" s="1" t="s">
        <v>312</v>
      </c>
      <c r="D366" s="1" t="s">
        <v>698</v>
      </c>
      <c r="E366" s="1" t="s">
        <v>654</v>
      </c>
    </row>
    <row r="367" customFormat="false" ht="15" hidden="false" customHeight="true" outlineLevel="0" collapsed="false">
      <c r="A367" s="1" t="n">
        <v>366</v>
      </c>
      <c r="B367" s="1" t="s">
        <v>147</v>
      </c>
      <c r="C367" s="1" t="s">
        <v>931</v>
      </c>
      <c r="D367" s="1" t="s">
        <v>69</v>
      </c>
      <c r="E367" s="1" t="s">
        <v>932</v>
      </c>
    </row>
    <row r="368" customFormat="false" ht="15" hidden="false" customHeight="true" outlineLevel="0" collapsed="false">
      <c r="A368" s="1" t="n">
        <v>367</v>
      </c>
      <c r="B368" s="1" t="s">
        <v>933</v>
      </c>
      <c r="C368" s="1" t="s">
        <v>432</v>
      </c>
      <c r="D368" s="1" t="s">
        <v>934</v>
      </c>
      <c r="E368" s="1" t="s">
        <v>935</v>
      </c>
    </row>
    <row r="369" customFormat="false" ht="15" hidden="false" customHeight="true" outlineLevel="0" collapsed="false">
      <c r="A369" s="1" t="n">
        <v>368</v>
      </c>
      <c r="B369" s="1" t="s">
        <v>153</v>
      </c>
      <c r="C369" s="1" t="s">
        <v>72</v>
      </c>
      <c r="D369" s="1" t="s">
        <v>936</v>
      </c>
      <c r="E369" s="1" t="s">
        <v>937</v>
      </c>
    </row>
    <row r="370" customFormat="false" ht="15" hidden="false" customHeight="true" outlineLevel="0" collapsed="false">
      <c r="A370" s="1" t="n">
        <v>369</v>
      </c>
      <c r="B370" s="1" t="s">
        <v>938</v>
      </c>
      <c r="C370" s="1" t="s">
        <v>118</v>
      </c>
      <c r="D370" s="1" t="s">
        <v>231</v>
      </c>
      <c r="E370" s="1" t="s">
        <v>939</v>
      </c>
    </row>
    <row r="371" customFormat="false" ht="15" hidden="false" customHeight="true" outlineLevel="0" collapsed="false">
      <c r="A371" s="1" t="n">
        <v>370</v>
      </c>
      <c r="B371" s="1" t="s">
        <v>940</v>
      </c>
      <c r="C371" s="1" t="s">
        <v>260</v>
      </c>
      <c r="D371" s="1" t="s">
        <v>783</v>
      </c>
      <c r="E371" s="1" t="s">
        <v>44</v>
      </c>
    </row>
    <row r="372" customFormat="false" ht="15" hidden="false" customHeight="true" outlineLevel="0" collapsed="false">
      <c r="A372" s="1" t="n">
        <v>371</v>
      </c>
      <c r="B372" s="1" t="s">
        <v>299</v>
      </c>
      <c r="C372" s="1" t="s">
        <v>941</v>
      </c>
      <c r="D372" s="1" t="s">
        <v>746</v>
      </c>
      <c r="E372" s="1" t="s">
        <v>605</v>
      </c>
    </row>
    <row r="373" customFormat="false" ht="15" hidden="false" customHeight="true" outlineLevel="0" collapsed="false">
      <c r="A373" s="1" t="n">
        <v>372</v>
      </c>
      <c r="B373" s="1" t="s">
        <v>942</v>
      </c>
      <c r="C373" s="1" t="s">
        <v>216</v>
      </c>
      <c r="D373" s="1" t="s">
        <v>542</v>
      </c>
      <c r="E373" s="1" t="s">
        <v>943</v>
      </c>
    </row>
    <row r="374" customFormat="false" ht="15" hidden="false" customHeight="true" outlineLevel="0" collapsed="false">
      <c r="A374" s="1" t="n">
        <v>373</v>
      </c>
      <c r="B374" s="1" t="s">
        <v>944</v>
      </c>
      <c r="C374" s="1" t="s">
        <v>686</v>
      </c>
      <c r="D374" s="1" t="s">
        <v>945</v>
      </c>
      <c r="E374" s="1" t="s">
        <v>946</v>
      </c>
    </row>
    <row r="375" customFormat="false" ht="15" hidden="false" customHeight="true" outlineLevel="0" collapsed="false">
      <c r="A375" s="1" t="n">
        <v>374</v>
      </c>
      <c r="B375" s="1" t="s">
        <v>730</v>
      </c>
      <c r="C375" s="1" t="s">
        <v>622</v>
      </c>
      <c r="D375" s="1" t="s">
        <v>947</v>
      </c>
      <c r="E375" s="1" t="s">
        <v>548</v>
      </c>
    </row>
    <row r="376" customFormat="false" ht="15" hidden="false" customHeight="true" outlineLevel="0" collapsed="false">
      <c r="A376" s="1" t="n">
        <v>375</v>
      </c>
      <c r="B376" s="1" t="s">
        <v>689</v>
      </c>
      <c r="C376" s="1" t="s">
        <v>721</v>
      </c>
      <c r="D376" s="1" t="s">
        <v>536</v>
      </c>
      <c r="E376" s="1" t="s">
        <v>431</v>
      </c>
    </row>
    <row r="377" customFormat="false" ht="15" hidden="false" customHeight="true" outlineLevel="0" collapsed="false">
      <c r="A377" s="1" t="n">
        <v>376</v>
      </c>
      <c r="B377" s="1" t="s">
        <v>948</v>
      </c>
      <c r="C377" s="1" t="s">
        <v>555</v>
      </c>
      <c r="D377" s="1" t="s">
        <v>155</v>
      </c>
      <c r="E377" s="1" t="s">
        <v>949</v>
      </c>
    </row>
    <row r="378" customFormat="false" ht="15" hidden="false" customHeight="true" outlineLevel="0" collapsed="false">
      <c r="A378" s="1" t="n">
        <v>377</v>
      </c>
      <c r="B378" s="1" t="s">
        <v>437</v>
      </c>
      <c r="C378" s="1" t="s">
        <v>950</v>
      </c>
      <c r="D378" s="1" t="s">
        <v>269</v>
      </c>
      <c r="E378" s="1" t="s">
        <v>205</v>
      </c>
    </row>
    <row r="379" customFormat="false" ht="15" hidden="false" customHeight="true" outlineLevel="0" collapsed="false">
      <c r="A379" s="1" t="n">
        <v>378</v>
      </c>
      <c r="B379" s="1" t="s">
        <v>951</v>
      </c>
      <c r="C379" s="1" t="s">
        <v>662</v>
      </c>
      <c r="D379" s="1" t="s">
        <v>19</v>
      </c>
      <c r="E379" s="1" t="s">
        <v>952</v>
      </c>
    </row>
    <row r="380" customFormat="false" ht="15" hidden="false" customHeight="true" outlineLevel="0" collapsed="false">
      <c r="A380" s="1" t="n">
        <v>379</v>
      </c>
      <c r="B380" s="1" t="s">
        <v>229</v>
      </c>
      <c r="C380" s="1" t="s">
        <v>144</v>
      </c>
      <c r="D380" s="1" t="s">
        <v>145</v>
      </c>
      <c r="E380" s="1" t="s">
        <v>740</v>
      </c>
    </row>
    <row r="381" customFormat="false" ht="15" hidden="false" customHeight="true" outlineLevel="0" collapsed="false">
      <c r="A381" s="1" t="n">
        <v>380</v>
      </c>
      <c r="B381" s="1" t="s">
        <v>953</v>
      </c>
      <c r="C381" s="1" t="s">
        <v>129</v>
      </c>
      <c r="D381" s="1" t="s">
        <v>194</v>
      </c>
      <c r="E381" s="1" t="s">
        <v>44</v>
      </c>
    </row>
    <row r="382" customFormat="false" ht="15" hidden="false" customHeight="true" outlineLevel="0" collapsed="false">
      <c r="A382" s="1" t="n">
        <v>381</v>
      </c>
      <c r="B382" s="1" t="s">
        <v>284</v>
      </c>
      <c r="C382" s="1" t="s">
        <v>604</v>
      </c>
      <c r="D382" s="1" t="s">
        <v>532</v>
      </c>
      <c r="E382" s="1" t="s">
        <v>754</v>
      </c>
    </row>
    <row r="383" customFormat="false" ht="15" hidden="false" customHeight="true" outlineLevel="0" collapsed="false">
      <c r="A383" s="1" t="n">
        <v>382</v>
      </c>
      <c r="B383" s="1" t="s">
        <v>822</v>
      </c>
      <c r="C383" s="1" t="s">
        <v>18</v>
      </c>
      <c r="D383" s="1" t="s">
        <v>468</v>
      </c>
      <c r="E383" s="1" t="s">
        <v>954</v>
      </c>
    </row>
    <row r="384" customFormat="false" ht="15" hidden="false" customHeight="true" outlineLevel="0" collapsed="false">
      <c r="A384" s="1" t="n">
        <v>383</v>
      </c>
      <c r="B384" s="1" t="s">
        <v>955</v>
      </c>
      <c r="C384" s="1" t="s">
        <v>956</v>
      </c>
      <c r="D384" s="1" t="s">
        <v>957</v>
      </c>
      <c r="E384" s="1" t="s">
        <v>958</v>
      </c>
    </row>
    <row r="385" customFormat="false" ht="15" hidden="false" customHeight="true" outlineLevel="0" collapsed="false">
      <c r="A385" s="1" t="n">
        <v>384</v>
      </c>
      <c r="B385" s="1" t="s">
        <v>924</v>
      </c>
      <c r="C385" s="1" t="s">
        <v>956</v>
      </c>
      <c r="D385" s="1" t="s">
        <v>879</v>
      </c>
      <c r="E385" s="1" t="s">
        <v>959</v>
      </c>
    </row>
    <row r="386" customFormat="false" ht="15" hidden="false" customHeight="true" outlineLevel="0" collapsed="false">
      <c r="A386" s="1" t="n">
        <v>385</v>
      </c>
      <c r="B386" s="1" t="s">
        <v>21</v>
      </c>
      <c r="C386" s="1" t="s">
        <v>387</v>
      </c>
      <c r="D386" s="1" t="s">
        <v>282</v>
      </c>
      <c r="E386" s="1" t="s">
        <v>960</v>
      </c>
    </row>
    <row r="387" customFormat="false" ht="15" hidden="false" customHeight="true" outlineLevel="0" collapsed="false">
      <c r="A387" s="1" t="n">
        <v>386</v>
      </c>
      <c r="B387" s="1" t="s">
        <v>961</v>
      </c>
      <c r="C387" s="1" t="s">
        <v>962</v>
      </c>
      <c r="D387" s="1" t="s">
        <v>167</v>
      </c>
      <c r="E387" s="1" t="s">
        <v>963</v>
      </c>
    </row>
    <row r="388" customFormat="false" ht="15" hidden="false" customHeight="true" outlineLevel="0" collapsed="false">
      <c r="A388" s="1" t="n">
        <v>387</v>
      </c>
      <c r="B388" s="1" t="s">
        <v>964</v>
      </c>
      <c r="C388" s="1" t="s">
        <v>461</v>
      </c>
      <c r="D388" s="1" t="s">
        <v>58</v>
      </c>
      <c r="E388" s="1" t="s">
        <v>965</v>
      </c>
    </row>
    <row r="389" customFormat="false" ht="15" hidden="false" customHeight="true" outlineLevel="0" collapsed="false">
      <c r="A389" s="1" t="n">
        <v>388</v>
      </c>
      <c r="B389" s="1" t="s">
        <v>180</v>
      </c>
      <c r="C389" s="1" t="s">
        <v>966</v>
      </c>
      <c r="D389" s="1" t="s">
        <v>159</v>
      </c>
      <c r="E389" s="1" t="s">
        <v>967</v>
      </c>
    </row>
    <row r="390" customFormat="false" ht="15" hidden="false" customHeight="true" outlineLevel="0" collapsed="false">
      <c r="A390" s="1" t="n">
        <v>389</v>
      </c>
      <c r="B390" s="1" t="s">
        <v>340</v>
      </c>
      <c r="C390" s="1" t="s">
        <v>502</v>
      </c>
      <c r="D390" s="1" t="s">
        <v>286</v>
      </c>
      <c r="E390" s="1" t="s">
        <v>968</v>
      </c>
    </row>
    <row r="391" customFormat="false" ht="15" hidden="false" customHeight="true" outlineLevel="0" collapsed="false">
      <c r="A391" s="1" t="n">
        <v>390</v>
      </c>
      <c r="B391" s="1" t="s">
        <v>222</v>
      </c>
      <c r="C391" s="1" t="s">
        <v>76</v>
      </c>
      <c r="D391" s="1" t="s">
        <v>23</v>
      </c>
      <c r="E391" s="1" t="s">
        <v>44</v>
      </c>
    </row>
    <row r="392" customFormat="false" ht="15" hidden="false" customHeight="true" outlineLevel="0" collapsed="false">
      <c r="A392" s="1" t="n">
        <v>391</v>
      </c>
      <c r="B392" s="1" t="s">
        <v>969</v>
      </c>
      <c r="C392" s="1" t="s">
        <v>719</v>
      </c>
      <c r="D392" s="1" t="s">
        <v>286</v>
      </c>
      <c r="E392" s="1" t="s">
        <v>503</v>
      </c>
    </row>
    <row r="393" customFormat="false" ht="15" hidden="false" customHeight="true" outlineLevel="0" collapsed="false">
      <c r="A393" s="1" t="n">
        <v>392</v>
      </c>
      <c r="B393" s="1" t="s">
        <v>970</v>
      </c>
      <c r="C393" s="1" t="s">
        <v>321</v>
      </c>
      <c r="D393" s="1" t="s">
        <v>549</v>
      </c>
      <c r="E393" s="1" t="s">
        <v>971</v>
      </c>
    </row>
    <row r="394" customFormat="false" ht="15" hidden="false" customHeight="true" outlineLevel="0" collapsed="false">
      <c r="A394" s="1" t="n">
        <v>393</v>
      </c>
      <c r="B394" s="1" t="s">
        <v>337</v>
      </c>
      <c r="C394" s="1" t="s">
        <v>30</v>
      </c>
      <c r="D394" s="1" t="s">
        <v>275</v>
      </c>
      <c r="E394" s="1" t="s">
        <v>972</v>
      </c>
    </row>
    <row r="395" customFormat="false" ht="15" hidden="false" customHeight="true" outlineLevel="0" collapsed="false">
      <c r="A395" s="1" t="n">
        <v>394</v>
      </c>
      <c r="B395" s="1" t="s">
        <v>973</v>
      </c>
      <c r="C395" s="1" t="s">
        <v>974</v>
      </c>
      <c r="D395" s="1" t="s">
        <v>330</v>
      </c>
      <c r="E395" s="1" t="s">
        <v>246</v>
      </c>
    </row>
    <row r="396" customFormat="false" ht="15" hidden="false" customHeight="true" outlineLevel="0" collapsed="false">
      <c r="A396" s="1" t="n">
        <v>395</v>
      </c>
      <c r="B396" s="1" t="s">
        <v>37</v>
      </c>
      <c r="C396" s="1" t="s">
        <v>888</v>
      </c>
      <c r="D396" s="1" t="s">
        <v>408</v>
      </c>
      <c r="E396" s="1" t="s">
        <v>975</v>
      </c>
    </row>
    <row r="397" customFormat="false" ht="15" hidden="false" customHeight="true" outlineLevel="0" collapsed="false">
      <c r="A397" s="1" t="n">
        <v>396</v>
      </c>
      <c r="B397" s="1" t="s">
        <v>976</v>
      </c>
      <c r="C397" s="1" t="s">
        <v>38</v>
      </c>
      <c r="D397" s="1" t="s">
        <v>837</v>
      </c>
      <c r="E397" s="1" t="s">
        <v>977</v>
      </c>
    </row>
    <row r="398" customFormat="false" ht="15" hidden="false" customHeight="true" outlineLevel="0" collapsed="false">
      <c r="A398" s="1" t="n">
        <v>397</v>
      </c>
      <c r="B398" s="1" t="s">
        <v>978</v>
      </c>
      <c r="C398" s="1" t="s">
        <v>292</v>
      </c>
      <c r="D398" s="1" t="s">
        <v>879</v>
      </c>
      <c r="E398" s="1" t="s">
        <v>114</v>
      </c>
    </row>
    <row r="399" customFormat="false" ht="15" hidden="false" customHeight="true" outlineLevel="0" collapsed="false">
      <c r="A399" s="1" t="n">
        <v>398</v>
      </c>
      <c r="B399" s="1" t="s">
        <v>329</v>
      </c>
      <c r="C399" s="1" t="s">
        <v>979</v>
      </c>
      <c r="D399" s="1" t="s">
        <v>97</v>
      </c>
      <c r="E399" s="1" t="s">
        <v>980</v>
      </c>
    </row>
    <row r="400" customFormat="false" ht="15" hidden="false" customHeight="true" outlineLevel="0" collapsed="false">
      <c r="A400" s="1" t="n">
        <v>399</v>
      </c>
      <c r="B400" s="1" t="s">
        <v>981</v>
      </c>
      <c r="C400" s="1" t="s">
        <v>144</v>
      </c>
      <c r="D400" s="1" t="s">
        <v>263</v>
      </c>
      <c r="E400" s="1" t="s">
        <v>885</v>
      </c>
    </row>
    <row r="401" customFormat="false" ht="15" hidden="false" customHeight="true" outlineLevel="0" collapsed="false">
      <c r="A401" s="1" t="n">
        <v>400</v>
      </c>
      <c r="B401" s="1" t="s">
        <v>218</v>
      </c>
      <c r="C401" s="1" t="s">
        <v>464</v>
      </c>
      <c r="D401" s="1" t="s">
        <v>982</v>
      </c>
      <c r="E401" s="1" t="s">
        <v>44</v>
      </c>
    </row>
    <row r="402" customFormat="false" ht="15" hidden="false" customHeight="true" outlineLevel="0" collapsed="false">
      <c r="A402" s="1" t="n">
        <v>401</v>
      </c>
      <c r="B402" s="1" t="s">
        <v>898</v>
      </c>
      <c r="C402" s="1" t="s">
        <v>611</v>
      </c>
      <c r="D402" s="1" t="s">
        <v>983</v>
      </c>
      <c r="E402" s="1" t="s">
        <v>616</v>
      </c>
    </row>
    <row r="403" customFormat="false" ht="15" hidden="false" customHeight="true" outlineLevel="0" collapsed="false">
      <c r="A403" s="1" t="n">
        <v>402</v>
      </c>
      <c r="B403" s="1" t="s">
        <v>661</v>
      </c>
      <c r="C403" s="1" t="s">
        <v>908</v>
      </c>
      <c r="D403" s="1" t="s">
        <v>453</v>
      </c>
      <c r="E403" s="1" t="s">
        <v>984</v>
      </c>
    </row>
    <row r="404" customFormat="false" ht="15" hidden="false" customHeight="true" outlineLevel="0" collapsed="false">
      <c r="A404" s="1" t="n">
        <v>403</v>
      </c>
      <c r="B404" s="1" t="s">
        <v>985</v>
      </c>
      <c r="C404" s="1" t="s">
        <v>986</v>
      </c>
      <c r="D404" s="1" t="s">
        <v>51</v>
      </c>
      <c r="E404" s="1" t="s">
        <v>987</v>
      </c>
    </row>
    <row r="405" customFormat="false" ht="15" hidden="false" customHeight="true" outlineLevel="0" collapsed="false">
      <c r="A405" s="1" t="n">
        <v>404</v>
      </c>
      <c r="B405" s="1" t="s">
        <v>988</v>
      </c>
      <c r="C405" s="1" t="s">
        <v>577</v>
      </c>
      <c r="D405" s="1" t="s">
        <v>23</v>
      </c>
      <c r="E405" s="1" t="s">
        <v>926</v>
      </c>
    </row>
    <row r="406" customFormat="false" ht="15" hidden="false" customHeight="true" outlineLevel="0" collapsed="false">
      <c r="A406" s="1" t="n">
        <v>405</v>
      </c>
      <c r="B406" s="1" t="s">
        <v>806</v>
      </c>
      <c r="C406" s="1" t="s">
        <v>181</v>
      </c>
      <c r="D406" s="1" t="s">
        <v>876</v>
      </c>
      <c r="E406" s="1" t="s">
        <v>989</v>
      </c>
    </row>
    <row r="407" customFormat="false" ht="15" hidden="false" customHeight="true" outlineLevel="0" collapsed="false">
      <c r="A407" s="1" t="n">
        <v>406</v>
      </c>
      <c r="B407" s="1" t="s">
        <v>111</v>
      </c>
      <c r="C407" s="1" t="s">
        <v>410</v>
      </c>
      <c r="D407" s="1" t="s">
        <v>990</v>
      </c>
      <c r="E407" s="1" t="s">
        <v>431</v>
      </c>
    </row>
    <row r="408" customFormat="false" ht="15" hidden="false" customHeight="true" outlineLevel="0" collapsed="false">
      <c r="A408" s="1" t="n">
        <v>407</v>
      </c>
      <c r="B408" s="1" t="s">
        <v>991</v>
      </c>
      <c r="C408" s="1" t="s">
        <v>992</v>
      </c>
      <c r="D408" s="1" t="s">
        <v>522</v>
      </c>
      <c r="E408" s="1" t="s">
        <v>937</v>
      </c>
    </row>
    <row r="409" customFormat="false" ht="15" hidden="false" customHeight="true" outlineLevel="0" collapsed="false">
      <c r="A409" s="1" t="n">
        <v>408</v>
      </c>
      <c r="B409" s="1" t="s">
        <v>993</v>
      </c>
      <c r="C409" s="1" t="s">
        <v>645</v>
      </c>
      <c r="D409" s="1" t="s">
        <v>155</v>
      </c>
      <c r="E409" s="1" t="s">
        <v>980</v>
      </c>
    </row>
    <row r="410" customFormat="false" ht="15" hidden="false" customHeight="true" outlineLevel="0" collapsed="false">
      <c r="A410" s="1" t="n">
        <v>409</v>
      </c>
      <c r="B410" s="1" t="s">
        <v>535</v>
      </c>
      <c r="C410" s="1" t="s">
        <v>455</v>
      </c>
      <c r="D410" s="1" t="s">
        <v>155</v>
      </c>
      <c r="E410" s="1" t="s">
        <v>994</v>
      </c>
    </row>
    <row r="411" customFormat="false" ht="15" hidden="false" customHeight="true" outlineLevel="0" collapsed="false">
      <c r="A411" s="1" t="n">
        <v>410</v>
      </c>
      <c r="B411" s="1" t="s">
        <v>67</v>
      </c>
      <c r="C411" s="1" t="s">
        <v>624</v>
      </c>
      <c r="D411" s="1" t="s">
        <v>675</v>
      </c>
      <c r="E411" s="1" t="s">
        <v>44</v>
      </c>
    </row>
    <row r="412" customFormat="false" ht="15" hidden="false" customHeight="true" outlineLevel="0" collapsed="false">
      <c r="A412" s="1" t="n">
        <v>411</v>
      </c>
      <c r="B412" s="1" t="s">
        <v>995</v>
      </c>
      <c r="C412" s="1" t="s">
        <v>118</v>
      </c>
      <c r="D412" s="1" t="s">
        <v>456</v>
      </c>
      <c r="E412" s="1" t="s">
        <v>110</v>
      </c>
    </row>
    <row r="413" customFormat="false" ht="15" hidden="false" customHeight="true" outlineLevel="0" collapsed="false">
      <c r="A413" s="1" t="n">
        <v>412</v>
      </c>
      <c r="B413" s="1" t="s">
        <v>996</v>
      </c>
      <c r="C413" s="1" t="s">
        <v>464</v>
      </c>
      <c r="D413" s="1" t="s">
        <v>267</v>
      </c>
      <c r="E413" s="1" t="s">
        <v>513</v>
      </c>
    </row>
    <row r="414" customFormat="false" ht="15" hidden="false" customHeight="true" outlineLevel="0" collapsed="false">
      <c r="A414" s="1" t="n">
        <v>413</v>
      </c>
      <c r="B414" s="1" t="s">
        <v>997</v>
      </c>
      <c r="C414" s="1" t="s">
        <v>998</v>
      </c>
      <c r="D414" s="1" t="s">
        <v>220</v>
      </c>
      <c r="E414" s="1" t="s">
        <v>999</v>
      </c>
    </row>
    <row r="415" customFormat="false" ht="15" hidden="false" customHeight="true" outlineLevel="0" collapsed="false">
      <c r="A415" s="1" t="n">
        <v>414</v>
      </c>
      <c r="B415" s="1" t="s">
        <v>985</v>
      </c>
      <c r="C415" s="1" t="s">
        <v>1000</v>
      </c>
      <c r="D415" s="1" t="s">
        <v>402</v>
      </c>
      <c r="E415" s="1" t="s">
        <v>1001</v>
      </c>
    </row>
    <row r="416" customFormat="false" ht="15" hidden="false" customHeight="true" outlineLevel="0" collapsed="false">
      <c r="A416" s="1" t="n">
        <v>415</v>
      </c>
      <c r="B416" s="1" t="s">
        <v>1002</v>
      </c>
      <c r="C416" s="1" t="s">
        <v>653</v>
      </c>
      <c r="D416" s="1" t="s">
        <v>527</v>
      </c>
      <c r="E416" s="1" t="s">
        <v>932</v>
      </c>
    </row>
    <row r="417" customFormat="false" ht="15" hidden="false" customHeight="true" outlineLevel="0" collapsed="false">
      <c r="A417" s="1" t="n">
        <v>416</v>
      </c>
      <c r="B417" s="1" t="s">
        <v>92</v>
      </c>
      <c r="C417" s="1" t="s">
        <v>1003</v>
      </c>
      <c r="D417" s="1" t="s">
        <v>369</v>
      </c>
      <c r="E417" s="1" t="s">
        <v>1004</v>
      </c>
    </row>
    <row r="418" customFormat="false" ht="15" hidden="false" customHeight="true" outlineLevel="0" collapsed="false">
      <c r="A418" s="1" t="n">
        <v>417</v>
      </c>
      <c r="B418" s="1" t="s">
        <v>991</v>
      </c>
      <c r="C418" s="1" t="s">
        <v>709</v>
      </c>
      <c r="D418" s="1" t="s">
        <v>426</v>
      </c>
      <c r="E418" s="1" t="s">
        <v>1005</v>
      </c>
    </row>
    <row r="419" customFormat="false" ht="15" hidden="false" customHeight="true" outlineLevel="0" collapsed="false">
      <c r="A419" s="1" t="n">
        <v>418</v>
      </c>
      <c r="B419" s="1" t="s">
        <v>953</v>
      </c>
      <c r="C419" s="1" t="s">
        <v>230</v>
      </c>
      <c r="D419" s="1" t="s">
        <v>399</v>
      </c>
      <c r="E419" s="1" t="s">
        <v>495</v>
      </c>
    </row>
    <row r="420" customFormat="false" ht="15" hidden="false" customHeight="true" outlineLevel="0" collapsed="false">
      <c r="A420" s="1" t="n">
        <v>419</v>
      </c>
      <c r="B420" s="1" t="s">
        <v>1006</v>
      </c>
      <c r="C420" s="1" t="s">
        <v>407</v>
      </c>
      <c r="D420" s="1" t="s">
        <v>297</v>
      </c>
      <c r="E420" s="1" t="s">
        <v>1007</v>
      </c>
    </row>
    <row r="421" customFormat="false" ht="15" hidden="false" customHeight="true" outlineLevel="0" collapsed="false">
      <c r="A421" s="1" t="n">
        <v>420</v>
      </c>
      <c r="B421" s="1" t="s">
        <v>782</v>
      </c>
      <c r="C421" s="1" t="s">
        <v>701</v>
      </c>
      <c r="D421" s="1" t="s">
        <v>530</v>
      </c>
      <c r="E421" s="1" t="s">
        <v>44</v>
      </c>
    </row>
    <row r="422" customFormat="false" ht="15" hidden="false" customHeight="true" outlineLevel="0" collapsed="false">
      <c r="A422" s="1" t="n">
        <v>421</v>
      </c>
      <c r="B422" s="1" t="s">
        <v>1008</v>
      </c>
      <c r="C422" s="1" t="s">
        <v>10</v>
      </c>
      <c r="D422" s="1" t="s">
        <v>536</v>
      </c>
      <c r="E422" s="1" t="s">
        <v>716</v>
      </c>
    </row>
    <row r="423" customFormat="false" ht="15" hidden="false" customHeight="true" outlineLevel="0" collapsed="false">
      <c r="A423" s="1" t="n">
        <v>422</v>
      </c>
      <c r="B423" s="1" t="s">
        <v>929</v>
      </c>
      <c r="C423" s="1" t="s">
        <v>1009</v>
      </c>
      <c r="D423" s="1" t="s">
        <v>879</v>
      </c>
      <c r="E423" s="1" t="s">
        <v>1010</v>
      </c>
    </row>
    <row r="424" customFormat="false" ht="15" hidden="false" customHeight="true" outlineLevel="0" collapsed="false">
      <c r="A424" s="1" t="n">
        <v>423</v>
      </c>
      <c r="B424" s="1" t="s">
        <v>1011</v>
      </c>
      <c r="C424" s="1" t="s">
        <v>61</v>
      </c>
      <c r="D424" s="1" t="s">
        <v>349</v>
      </c>
      <c r="E424" s="1" t="s">
        <v>1012</v>
      </c>
    </row>
    <row r="425" customFormat="false" ht="15" hidden="false" customHeight="true" outlineLevel="0" collapsed="false">
      <c r="A425" s="1" t="n">
        <v>424</v>
      </c>
      <c r="B425" s="1" t="s">
        <v>196</v>
      </c>
      <c r="C425" s="1" t="s">
        <v>1013</v>
      </c>
      <c r="D425" s="1" t="s">
        <v>934</v>
      </c>
      <c r="E425" s="1" t="s">
        <v>138</v>
      </c>
    </row>
    <row r="426" customFormat="false" ht="15" hidden="false" customHeight="true" outlineLevel="0" collapsed="false">
      <c r="A426" s="1" t="n">
        <v>425</v>
      </c>
      <c r="B426" s="1" t="s">
        <v>1014</v>
      </c>
      <c r="C426" s="1" t="s">
        <v>1015</v>
      </c>
      <c r="D426" s="1" t="s">
        <v>342</v>
      </c>
      <c r="E426" s="1" t="s">
        <v>250</v>
      </c>
    </row>
    <row r="427" customFormat="false" ht="15" hidden="false" customHeight="true" outlineLevel="0" collapsed="false">
      <c r="A427" s="1" t="n">
        <v>426</v>
      </c>
      <c r="B427" s="1" t="s">
        <v>1016</v>
      </c>
      <c r="C427" s="1" t="s">
        <v>1017</v>
      </c>
      <c r="D427" s="1" t="s">
        <v>581</v>
      </c>
      <c r="E427" s="1" t="s">
        <v>705</v>
      </c>
    </row>
    <row r="428" customFormat="false" ht="15" hidden="false" customHeight="true" outlineLevel="0" collapsed="false">
      <c r="A428" s="1" t="n">
        <v>427</v>
      </c>
      <c r="B428" s="1" t="s">
        <v>1018</v>
      </c>
      <c r="C428" s="1" t="s">
        <v>1019</v>
      </c>
      <c r="D428" s="1" t="s">
        <v>581</v>
      </c>
      <c r="E428" s="1" t="s">
        <v>1020</v>
      </c>
    </row>
    <row r="429" customFormat="false" ht="15" hidden="false" customHeight="true" outlineLevel="0" collapsed="false">
      <c r="A429" s="1" t="n">
        <v>428</v>
      </c>
      <c r="B429" s="1" t="s">
        <v>1021</v>
      </c>
      <c r="C429" s="1" t="s">
        <v>547</v>
      </c>
      <c r="D429" s="1" t="s">
        <v>494</v>
      </c>
      <c r="E429" s="1" t="s">
        <v>550</v>
      </c>
    </row>
    <row r="430" customFormat="false" ht="15" hidden="false" customHeight="true" outlineLevel="0" collapsed="false">
      <c r="A430" s="1" t="n">
        <v>429</v>
      </c>
      <c r="B430" s="1" t="s">
        <v>1022</v>
      </c>
      <c r="C430" s="1" t="s">
        <v>122</v>
      </c>
      <c r="D430" s="1" t="s">
        <v>990</v>
      </c>
      <c r="E430" s="1" t="s">
        <v>1023</v>
      </c>
    </row>
    <row r="431" customFormat="false" ht="15" hidden="false" customHeight="true" outlineLevel="0" collapsed="false">
      <c r="A431" s="1" t="n">
        <v>430</v>
      </c>
      <c r="B431" s="1" t="s">
        <v>1024</v>
      </c>
      <c r="C431" s="1" t="s">
        <v>144</v>
      </c>
      <c r="D431" s="1" t="s">
        <v>783</v>
      </c>
      <c r="E431" s="1" t="s">
        <v>44</v>
      </c>
    </row>
    <row r="432" customFormat="false" ht="15" hidden="false" customHeight="true" outlineLevel="0" collapsed="false">
      <c r="A432" s="1" t="n">
        <v>431</v>
      </c>
      <c r="B432" s="1" t="s">
        <v>1025</v>
      </c>
      <c r="C432" s="1" t="s">
        <v>850</v>
      </c>
      <c r="D432" s="1" t="s">
        <v>220</v>
      </c>
      <c r="E432" s="1" t="s">
        <v>1026</v>
      </c>
    </row>
    <row r="433" customFormat="false" ht="15" hidden="false" customHeight="true" outlineLevel="0" collapsed="false">
      <c r="A433" s="1" t="n">
        <v>432</v>
      </c>
      <c r="B433" s="1" t="s">
        <v>631</v>
      </c>
      <c r="C433" s="1" t="s">
        <v>1027</v>
      </c>
      <c r="D433" s="1" t="s">
        <v>378</v>
      </c>
      <c r="E433" s="1" t="s">
        <v>690</v>
      </c>
    </row>
    <row r="434" customFormat="false" ht="15" hidden="false" customHeight="true" outlineLevel="0" collapsed="false">
      <c r="A434" s="1" t="n">
        <v>433</v>
      </c>
      <c r="B434" s="1" t="s">
        <v>1028</v>
      </c>
      <c r="C434" s="1" t="s">
        <v>1029</v>
      </c>
      <c r="D434" s="1" t="s">
        <v>570</v>
      </c>
      <c r="E434" s="1" t="s">
        <v>1030</v>
      </c>
    </row>
    <row r="435" customFormat="false" ht="15" hidden="false" customHeight="true" outlineLevel="0" collapsed="false">
      <c r="A435" s="1" t="n">
        <v>434</v>
      </c>
      <c r="B435" s="1" t="s">
        <v>240</v>
      </c>
      <c r="C435" s="1" t="s">
        <v>389</v>
      </c>
      <c r="D435" s="1" t="s">
        <v>527</v>
      </c>
      <c r="E435" s="1" t="s">
        <v>1031</v>
      </c>
    </row>
    <row r="436" customFormat="false" ht="15" hidden="false" customHeight="true" outlineLevel="0" collapsed="false">
      <c r="A436" s="1" t="n">
        <v>435</v>
      </c>
      <c r="B436" s="1" t="s">
        <v>281</v>
      </c>
      <c r="C436" s="1" t="s">
        <v>372</v>
      </c>
      <c r="D436" s="1" t="s">
        <v>482</v>
      </c>
      <c r="E436" s="1" t="s">
        <v>1032</v>
      </c>
    </row>
    <row r="437" customFormat="false" ht="15" hidden="false" customHeight="true" outlineLevel="0" collapsed="false">
      <c r="A437" s="1" t="n">
        <v>436</v>
      </c>
      <c r="B437" s="1" t="s">
        <v>37</v>
      </c>
      <c r="C437" s="1" t="s">
        <v>500</v>
      </c>
      <c r="D437" s="1" t="s">
        <v>876</v>
      </c>
      <c r="E437" s="1" t="s">
        <v>1033</v>
      </c>
    </row>
    <row r="438" customFormat="false" ht="15" hidden="false" customHeight="true" outlineLevel="0" collapsed="false">
      <c r="A438" s="1" t="n">
        <v>437</v>
      </c>
      <c r="B438" s="1" t="s">
        <v>1034</v>
      </c>
      <c r="C438" s="1" t="s">
        <v>1035</v>
      </c>
      <c r="D438" s="1" t="s">
        <v>695</v>
      </c>
      <c r="E438" s="1" t="s">
        <v>914</v>
      </c>
    </row>
    <row r="439" customFormat="false" ht="15" hidden="false" customHeight="true" outlineLevel="0" collapsed="false">
      <c r="A439" s="1" t="n">
        <v>438</v>
      </c>
      <c r="B439" s="1" t="s">
        <v>243</v>
      </c>
      <c r="C439" s="1" t="s">
        <v>57</v>
      </c>
      <c r="D439" s="1" t="s">
        <v>275</v>
      </c>
      <c r="E439" s="1" t="s">
        <v>1036</v>
      </c>
    </row>
    <row r="440" customFormat="false" ht="15" hidden="false" customHeight="true" outlineLevel="0" collapsed="false">
      <c r="A440" s="1" t="n">
        <v>439</v>
      </c>
      <c r="B440" s="1" t="s">
        <v>340</v>
      </c>
      <c r="C440" s="1" t="s">
        <v>274</v>
      </c>
      <c r="D440" s="1" t="s">
        <v>698</v>
      </c>
      <c r="E440" s="1" t="s">
        <v>242</v>
      </c>
    </row>
    <row r="441" customFormat="false" ht="15" hidden="false" customHeight="true" outlineLevel="0" collapsed="false">
      <c r="A441" s="1" t="n">
        <v>440</v>
      </c>
      <c r="B441" s="1" t="s">
        <v>1037</v>
      </c>
      <c r="C441" s="1" t="s">
        <v>1038</v>
      </c>
      <c r="D441" s="1" t="s">
        <v>245</v>
      </c>
      <c r="E441" s="1" t="s">
        <v>44</v>
      </c>
    </row>
    <row r="442" customFormat="false" ht="15" hidden="false" customHeight="true" outlineLevel="0" collapsed="false">
      <c r="A442" s="1" t="n">
        <v>441</v>
      </c>
      <c r="B442" s="1" t="s">
        <v>997</v>
      </c>
      <c r="C442" s="1" t="s">
        <v>902</v>
      </c>
      <c r="D442" s="1" t="s">
        <v>15</v>
      </c>
      <c r="E442" s="1" t="s">
        <v>1039</v>
      </c>
    </row>
    <row r="443" customFormat="false" ht="15" hidden="false" customHeight="true" outlineLevel="0" collapsed="false">
      <c r="A443" s="1" t="n">
        <v>442</v>
      </c>
      <c r="B443" s="1" t="s">
        <v>311</v>
      </c>
      <c r="C443" s="1" t="s">
        <v>216</v>
      </c>
      <c r="D443" s="1" t="s">
        <v>280</v>
      </c>
      <c r="E443" s="1" t="s">
        <v>1040</v>
      </c>
    </row>
    <row r="444" customFormat="false" ht="15" hidden="false" customHeight="true" outlineLevel="0" collapsed="false">
      <c r="A444" s="1" t="n">
        <v>443</v>
      </c>
      <c r="B444" s="1" t="s">
        <v>383</v>
      </c>
      <c r="C444" s="1" t="s">
        <v>579</v>
      </c>
      <c r="D444" s="1" t="s">
        <v>170</v>
      </c>
      <c r="E444" s="1" t="s">
        <v>550</v>
      </c>
    </row>
    <row r="445" customFormat="false" ht="15" hidden="false" customHeight="true" outlineLevel="0" collapsed="false">
      <c r="A445" s="1" t="n">
        <v>444</v>
      </c>
      <c r="B445" s="1" t="s">
        <v>201</v>
      </c>
      <c r="C445" s="1" t="s">
        <v>212</v>
      </c>
      <c r="D445" s="1" t="s">
        <v>722</v>
      </c>
      <c r="E445" s="1" t="s">
        <v>971</v>
      </c>
    </row>
    <row r="446" customFormat="false" ht="15" hidden="false" customHeight="true" outlineLevel="0" collapsed="false">
      <c r="A446" s="1" t="n">
        <v>445</v>
      </c>
      <c r="B446" s="1" t="s">
        <v>800</v>
      </c>
      <c r="C446" s="1" t="s">
        <v>1041</v>
      </c>
      <c r="D446" s="1" t="s">
        <v>220</v>
      </c>
      <c r="E446" s="1" t="s">
        <v>164</v>
      </c>
    </row>
    <row r="447" customFormat="false" ht="15" hidden="false" customHeight="true" outlineLevel="0" collapsed="false">
      <c r="A447" s="1" t="n">
        <v>446</v>
      </c>
      <c r="B447" s="1" t="s">
        <v>524</v>
      </c>
      <c r="C447" s="1" t="s">
        <v>810</v>
      </c>
      <c r="D447" s="1" t="s">
        <v>1042</v>
      </c>
      <c r="E447" s="1" t="s">
        <v>1043</v>
      </c>
    </row>
    <row r="448" customFormat="false" ht="15" hidden="false" customHeight="true" outlineLevel="0" collapsed="false">
      <c r="A448" s="1" t="n">
        <v>447</v>
      </c>
      <c r="B448" s="1" t="s">
        <v>1037</v>
      </c>
      <c r="C448" s="1" t="s">
        <v>653</v>
      </c>
      <c r="D448" s="1" t="s">
        <v>722</v>
      </c>
      <c r="E448" s="1" t="s">
        <v>1044</v>
      </c>
    </row>
    <row r="449" customFormat="false" ht="15" hidden="false" customHeight="true" outlineLevel="0" collapsed="false">
      <c r="A449" s="1" t="n">
        <v>448</v>
      </c>
      <c r="B449" s="1" t="s">
        <v>514</v>
      </c>
      <c r="C449" s="1" t="s">
        <v>89</v>
      </c>
      <c r="D449" s="1" t="s">
        <v>900</v>
      </c>
      <c r="E449" s="1" t="s">
        <v>1045</v>
      </c>
    </row>
    <row r="450" customFormat="false" ht="15" hidden="false" customHeight="true" outlineLevel="0" collapsed="false">
      <c r="A450" s="1" t="n">
        <v>449</v>
      </c>
      <c r="B450" s="1" t="s">
        <v>188</v>
      </c>
      <c r="C450" s="1" t="s">
        <v>1046</v>
      </c>
      <c r="D450" s="1" t="s">
        <v>182</v>
      </c>
      <c r="E450" s="1" t="s">
        <v>528</v>
      </c>
    </row>
    <row r="451" customFormat="false" ht="15" hidden="false" customHeight="true" outlineLevel="0" collapsed="false">
      <c r="A451" s="1" t="n">
        <v>450</v>
      </c>
      <c r="B451" s="1" t="s">
        <v>641</v>
      </c>
      <c r="C451" s="1" t="s">
        <v>1035</v>
      </c>
      <c r="D451" s="1" t="s">
        <v>356</v>
      </c>
      <c r="E451" s="1" t="s">
        <v>44</v>
      </c>
    </row>
    <row r="452" customFormat="false" ht="15" hidden="false" customHeight="true" outlineLevel="0" collapsed="false">
      <c r="A452" s="1" t="n">
        <v>451</v>
      </c>
      <c r="B452" s="1" t="s">
        <v>904</v>
      </c>
      <c r="C452" s="1" t="s">
        <v>173</v>
      </c>
      <c r="D452" s="1" t="s">
        <v>442</v>
      </c>
      <c r="E452" s="1" t="s">
        <v>1047</v>
      </c>
    </row>
    <row r="453" customFormat="false" ht="15" hidden="false" customHeight="true" outlineLevel="0" collapsed="false">
      <c r="A453" s="1" t="n">
        <v>452</v>
      </c>
      <c r="B453" s="1" t="s">
        <v>201</v>
      </c>
      <c r="C453" s="1" t="s">
        <v>122</v>
      </c>
      <c r="D453" s="1" t="s">
        <v>130</v>
      </c>
      <c r="E453" s="1" t="s">
        <v>242</v>
      </c>
    </row>
    <row r="454" customFormat="false" ht="15" hidden="false" customHeight="true" outlineLevel="0" collapsed="false">
      <c r="A454" s="1" t="n">
        <v>453</v>
      </c>
      <c r="B454" s="1" t="s">
        <v>773</v>
      </c>
      <c r="C454" s="1" t="s">
        <v>1048</v>
      </c>
      <c r="D454" s="1" t="s">
        <v>69</v>
      </c>
      <c r="E454" s="1" t="s">
        <v>1049</v>
      </c>
    </row>
    <row r="455" customFormat="false" ht="15" hidden="false" customHeight="true" outlineLevel="0" collapsed="false">
      <c r="A455" s="1" t="n">
        <v>454</v>
      </c>
      <c r="B455" s="1" t="s">
        <v>1050</v>
      </c>
      <c r="C455" s="1" t="s">
        <v>387</v>
      </c>
      <c r="D455" s="1" t="s">
        <v>698</v>
      </c>
      <c r="E455" s="1" t="s">
        <v>1012</v>
      </c>
    </row>
    <row r="456" customFormat="false" ht="15" hidden="false" customHeight="true" outlineLevel="0" collapsed="false">
      <c r="A456" s="1" t="n">
        <v>455</v>
      </c>
      <c r="B456" s="1" t="s">
        <v>1051</v>
      </c>
      <c r="C456" s="1" t="s">
        <v>1038</v>
      </c>
      <c r="D456" s="1" t="s">
        <v>231</v>
      </c>
      <c r="E456" s="1" t="s">
        <v>1052</v>
      </c>
    </row>
    <row r="457" customFormat="false" ht="15" hidden="false" customHeight="true" outlineLevel="0" collapsed="false">
      <c r="A457" s="1" t="n">
        <v>456</v>
      </c>
      <c r="B457" s="1" t="s">
        <v>766</v>
      </c>
      <c r="C457" s="1" t="s">
        <v>401</v>
      </c>
      <c r="D457" s="1" t="s">
        <v>811</v>
      </c>
      <c r="E457" s="1" t="s">
        <v>1053</v>
      </c>
    </row>
    <row r="458" customFormat="false" ht="15" hidden="false" customHeight="true" outlineLevel="0" collapsed="false">
      <c r="A458" s="1" t="n">
        <v>457</v>
      </c>
      <c r="B458" s="1" t="s">
        <v>103</v>
      </c>
      <c r="C458" s="1" t="s">
        <v>1054</v>
      </c>
      <c r="D458" s="1" t="s">
        <v>1055</v>
      </c>
      <c r="E458" s="1" t="s">
        <v>1056</v>
      </c>
    </row>
    <row r="459" customFormat="false" ht="15" hidden="false" customHeight="true" outlineLevel="0" collapsed="false">
      <c r="A459" s="1" t="n">
        <v>458</v>
      </c>
      <c r="B459" s="1" t="s">
        <v>619</v>
      </c>
      <c r="C459" s="1" t="s">
        <v>230</v>
      </c>
      <c r="D459" s="1" t="s">
        <v>536</v>
      </c>
      <c r="E459" s="1" t="s">
        <v>671</v>
      </c>
    </row>
    <row r="460" customFormat="false" ht="15" hidden="false" customHeight="true" outlineLevel="0" collapsed="false">
      <c r="A460" s="1" t="n">
        <v>459</v>
      </c>
      <c r="B460" s="1" t="s">
        <v>1057</v>
      </c>
      <c r="C460" s="1" t="s">
        <v>81</v>
      </c>
      <c r="D460" s="1" t="s">
        <v>356</v>
      </c>
      <c r="E460" s="1" t="s">
        <v>1058</v>
      </c>
    </row>
    <row r="461" customFormat="false" ht="15" hidden="false" customHeight="true" outlineLevel="0" collapsed="false">
      <c r="A461" s="1" t="n">
        <v>460</v>
      </c>
      <c r="B461" s="1" t="s">
        <v>367</v>
      </c>
      <c r="C461" s="1" t="s">
        <v>622</v>
      </c>
      <c r="D461" s="1" t="s">
        <v>62</v>
      </c>
      <c r="E461" s="1" t="s">
        <v>44</v>
      </c>
    </row>
    <row r="462" customFormat="false" ht="15" hidden="false" customHeight="true" outlineLevel="0" collapsed="false">
      <c r="A462" s="1" t="n">
        <v>461</v>
      </c>
      <c r="B462" s="1" t="s">
        <v>1059</v>
      </c>
      <c r="C462" s="1" t="s">
        <v>1060</v>
      </c>
      <c r="D462" s="1" t="s">
        <v>378</v>
      </c>
      <c r="E462" s="1" t="s">
        <v>1061</v>
      </c>
    </row>
    <row r="463" customFormat="false" ht="15" hidden="false" customHeight="true" outlineLevel="0" collapsed="false">
      <c r="A463" s="1" t="n">
        <v>462</v>
      </c>
      <c r="B463" s="1" t="s">
        <v>1062</v>
      </c>
      <c r="C463" s="1" t="s">
        <v>461</v>
      </c>
      <c r="D463" s="1" t="s">
        <v>880</v>
      </c>
      <c r="E463" s="1" t="s">
        <v>1063</v>
      </c>
    </row>
    <row r="464" customFormat="false" ht="15" hidden="false" customHeight="true" outlineLevel="0" collapsed="false">
      <c r="A464" s="1" t="n">
        <v>463</v>
      </c>
      <c r="B464" s="1" t="s">
        <v>893</v>
      </c>
      <c r="C464" s="1" t="s">
        <v>116</v>
      </c>
      <c r="D464" s="1" t="s">
        <v>334</v>
      </c>
      <c r="E464" s="1" t="s">
        <v>1064</v>
      </c>
    </row>
    <row r="465" customFormat="false" ht="15" hidden="false" customHeight="true" outlineLevel="0" collapsed="false">
      <c r="A465" s="1" t="n">
        <v>464</v>
      </c>
      <c r="B465" s="1" t="s">
        <v>621</v>
      </c>
      <c r="C465" s="1" t="s">
        <v>860</v>
      </c>
      <c r="D465" s="1" t="s">
        <v>293</v>
      </c>
      <c r="E465" s="1" t="s">
        <v>1065</v>
      </c>
    </row>
    <row r="466" customFormat="false" ht="15" hidden="false" customHeight="true" outlineLevel="0" collapsed="false">
      <c r="A466" s="1" t="n">
        <v>465</v>
      </c>
      <c r="B466" s="1" t="s">
        <v>1066</v>
      </c>
      <c r="C466" s="1" t="s">
        <v>14</v>
      </c>
      <c r="D466" s="1" t="s">
        <v>1067</v>
      </c>
      <c r="E466" s="1" t="s">
        <v>1068</v>
      </c>
    </row>
    <row r="467" customFormat="false" ht="15" hidden="false" customHeight="true" outlineLevel="0" collapsed="false">
      <c r="A467" s="1" t="n">
        <v>466</v>
      </c>
      <c r="B467" s="1" t="s">
        <v>623</v>
      </c>
      <c r="C467" s="1" t="s">
        <v>428</v>
      </c>
      <c r="D467" s="1" t="s">
        <v>423</v>
      </c>
      <c r="E467" s="1" t="s">
        <v>1069</v>
      </c>
    </row>
    <row r="468" customFormat="false" ht="15" hidden="false" customHeight="true" outlineLevel="0" collapsed="false">
      <c r="A468" s="1" t="n">
        <v>467</v>
      </c>
      <c r="B468" s="1" t="s">
        <v>1070</v>
      </c>
      <c r="C468" s="1" t="s">
        <v>152</v>
      </c>
      <c r="D468" s="1" t="s">
        <v>474</v>
      </c>
      <c r="E468" s="1" t="s">
        <v>1071</v>
      </c>
    </row>
    <row r="469" customFormat="false" ht="15" hidden="false" customHeight="true" outlineLevel="0" collapsed="false">
      <c r="A469" s="1" t="n">
        <v>468</v>
      </c>
      <c r="B469" s="1" t="s">
        <v>1072</v>
      </c>
      <c r="C469" s="1" t="s">
        <v>1073</v>
      </c>
      <c r="D469" s="1" t="s">
        <v>456</v>
      </c>
      <c r="E469" s="1" t="s">
        <v>1074</v>
      </c>
    </row>
    <row r="470" customFormat="false" ht="15" hidden="false" customHeight="true" outlineLevel="0" collapsed="false">
      <c r="A470" s="1" t="n">
        <v>469</v>
      </c>
      <c r="B470" s="1" t="s">
        <v>666</v>
      </c>
      <c r="C470" s="1" t="s">
        <v>410</v>
      </c>
      <c r="D470" s="1" t="s">
        <v>353</v>
      </c>
      <c r="E470" s="1" t="s">
        <v>568</v>
      </c>
    </row>
    <row r="471" customFormat="false" ht="15" hidden="false" customHeight="true" outlineLevel="0" collapsed="false">
      <c r="A471" s="1" t="n">
        <v>470</v>
      </c>
      <c r="B471" s="1" t="s">
        <v>67</v>
      </c>
      <c r="C471" s="1" t="s">
        <v>104</v>
      </c>
      <c r="D471" s="1" t="s">
        <v>837</v>
      </c>
      <c r="E471" s="1" t="s">
        <v>44</v>
      </c>
    </row>
    <row r="472" customFormat="false" ht="15" hidden="false" customHeight="true" outlineLevel="0" collapsed="false">
      <c r="A472" s="1" t="n">
        <v>471</v>
      </c>
      <c r="B472" s="1" t="s">
        <v>1002</v>
      </c>
      <c r="C472" s="1" t="s">
        <v>262</v>
      </c>
      <c r="D472" s="1" t="s">
        <v>31</v>
      </c>
      <c r="E472" s="1" t="s">
        <v>1075</v>
      </c>
    </row>
    <row r="473" customFormat="false" ht="15" hidden="false" customHeight="true" outlineLevel="0" collapsed="false">
      <c r="A473" s="1" t="n">
        <v>472</v>
      </c>
      <c r="B473" s="1" t="s">
        <v>1076</v>
      </c>
      <c r="C473" s="1" t="s">
        <v>1077</v>
      </c>
      <c r="D473" s="1" t="s">
        <v>552</v>
      </c>
      <c r="E473" s="1" t="s">
        <v>1078</v>
      </c>
    </row>
    <row r="474" customFormat="false" ht="15" hidden="false" customHeight="true" outlineLevel="0" collapsed="false">
      <c r="A474" s="1" t="n">
        <v>473</v>
      </c>
      <c r="B474" s="1" t="s">
        <v>944</v>
      </c>
      <c r="C474" s="1" t="s">
        <v>931</v>
      </c>
      <c r="D474" s="1" t="s">
        <v>209</v>
      </c>
      <c r="E474" s="1" t="s">
        <v>1079</v>
      </c>
    </row>
    <row r="475" customFormat="false" ht="15" hidden="false" customHeight="true" outlineLevel="0" collapsed="false">
      <c r="A475" s="1" t="n">
        <v>474</v>
      </c>
      <c r="B475" s="1" t="s">
        <v>45</v>
      </c>
      <c r="C475" s="1" t="s">
        <v>1080</v>
      </c>
      <c r="D475" s="1" t="s">
        <v>1081</v>
      </c>
      <c r="E475" s="1" t="s">
        <v>780</v>
      </c>
    </row>
    <row r="476" customFormat="false" ht="15" hidden="false" customHeight="true" outlineLevel="0" collapsed="false">
      <c r="A476" s="1" t="n">
        <v>475</v>
      </c>
      <c r="B476" s="1" t="s">
        <v>1082</v>
      </c>
      <c r="C476" s="1" t="s">
        <v>1083</v>
      </c>
      <c r="D476" s="1" t="s">
        <v>269</v>
      </c>
      <c r="E476" s="1" t="s">
        <v>443</v>
      </c>
    </row>
    <row r="477" customFormat="false" ht="15" hidden="false" customHeight="true" outlineLevel="0" collapsed="false">
      <c r="A477" s="1" t="n">
        <v>476</v>
      </c>
      <c r="B477" s="1" t="s">
        <v>689</v>
      </c>
      <c r="C477" s="1" t="s">
        <v>30</v>
      </c>
      <c r="D477" s="1" t="s">
        <v>286</v>
      </c>
      <c r="E477" s="1" t="s">
        <v>1084</v>
      </c>
    </row>
    <row r="478" customFormat="false" ht="15" hidden="false" customHeight="true" outlineLevel="0" collapsed="false">
      <c r="A478" s="1" t="n">
        <v>477</v>
      </c>
      <c r="B478" s="1" t="s">
        <v>1085</v>
      </c>
      <c r="C478" s="1" t="s">
        <v>1086</v>
      </c>
      <c r="D478" s="1" t="s">
        <v>1087</v>
      </c>
      <c r="E478" s="1" t="s">
        <v>283</v>
      </c>
    </row>
    <row r="479" customFormat="false" ht="15" hidden="false" customHeight="true" outlineLevel="0" collapsed="false">
      <c r="A479" s="1" t="n">
        <v>478</v>
      </c>
      <c r="B479" s="1" t="s">
        <v>1088</v>
      </c>
      <c r="C479" s="1" t="s">
        <v>701</v>
      </c>
      <c r="D479" s="1" t="s">
        <v>880</v>
      </c>
      <c r="E479" s="1" t="s">
        <v>1089</v>
      </c>
    </row>
    <row r="480" customFormat="false" ht="15" hidden="false" customHeight="true" outlineLevel="0" collapsed="false">
      <c r="A480" s="1" t="n">
        <v>479</v>
      </c>
      <c r="B480" s="1" t="s">
        <v>1090</v>
      </c>
      <c r="C480" s="1" t="s">
        <v>341</v>
      </c>
      <c r="D480" s="1" t="s">
        <v>282</v>
      </c>
      <c r="E480" s="1" t="s">
        <v>1091</v>
      </c>
    </row>
    <row r="481" customFormat="false" ht="15" hidden="false" customHeight="true" outlineLevel="0" collapsed="false">
      <c r="A481" s="1" t="n">
        <v>480</v>
      </c>
      <c r="B481" s="1" t="s">
        <v>1092</v>
      </c>
      <c r="C481" s="1" t="s">
        <v>455</v>
      </c>
      <c r="D481" s="1" t="s">
        <v>113</v>
      </c>
      <c r="E481" s="1" t="s">
        <v>44</v>
      </c>
    </row>
    <row r="482" customFormat="false" ht="15" hidden="false" customHeight="true" outlineLevel="0" collapsed="false">
      <c r="A482" s="1" t="n">
        <v>481</v>
      </c>
      <c r="B482" s="1" t="s">
        <v>1093</v>
      </c>
      <c r="C482" s="1" t="s">
        <v>216</v>
      </c>
      <c r="D482" s="1" t="s">
        <v>145</v>
      </c>
      <c r="E482" s="1" t="s">
        <v>1094</v>
      </c>
    </row>
    <row r="483" customFormat="false" ht="15" hidden="false" customHeight="true" outlineLevel="0" collapsed="false">
      <c r="A483" s="1" t="n">
        <v>482</v>
      </c>
      <c r="B483" s="1" t="s">
        <v>751</v>
      </c>
      <c r="C483" s="1" t="s">
        <v>140</v>
      </c>
      <c r="D483" s="1" t="s">
        <v>570</v>
      </c>
      <c r="E483" s="1" t="s">
        <v>1095</v>
      </c>
    </row>
    <row r="484" customFormat="false" ht="15" hidden="false" customHeight="true" outlineLevel="0" collapsed="false">
      <c r="A484" s="1" t="n">
        <v>483</v>
      </c>
      <c r="B484" s="1" t="s">
        <v>564</v>
      </c>
      <c r="C484" s="1" t="s">
        <v>129</v>
      </c>
      <c r="D484" s="1" t="s">
        <v>399</v>
      </c>
      <c r="E484" s="1" t="s">
        <v>28</v>
      </c>
    </row>
    <row r="485" customFormat="false" ht="15" hidden="false" customHeight="true" outlineLevel="0" collapsed="false">
      <c r="A485" s="1" t="n">
        <v>484</v>
      </c>
      <c r="B485" s="1" t="s">
        <v>916</v>
      </c>
      <c r="C485" s="1" t="s">
        <v>30</v>
      </c>
      <c r="D485" s="1" t="s">
        <v>353</v>
      </c>
      <c r="E485" s="1" t="s">
        <v>847</v>
      </c>
    </row>
    <row r="486" customFormat="false" ht="15" hidden="false" customHeight="true" outlineLevel="0" collapsed="false">
      <c r="A486" s="1" t="n">
        <v>485</v>
      </c>
      <c r="B486" s="1" t="s">
        <v>1022</v>
      </c>
      <c r="C486" s="1" t="s">
        <v>372</v>
      </c>
      <c r="D486" s="1" t="s">
        <v>399</v>
      </c>
      <c r="E486" s="1" t="s">
        <v>740</v>
      </c>
    </row>
    <row r="487" customFormat="false" ht="15" hidden="false" customHeight="true" outlineLevel="0" collapsed="false">
      <c r="A487" s="1" t="n">
        <v>486</v>
      </c>
      <c r="B487" s="1" t="s">
        <v>196</v>
      </c>
      <c r="C487" s="1" t="s">
        <v>1096</v>
      </c>
      <c r="D487" s="1" t="s">
        <v>378</v>
      </c>
      <c r="E487" s="1" t="s">
        <v>142</v>
      </c>
    </row>
    <row r="488" customFormat="false" ht="15" hidden="false" customHeight="true" outlineLevel="0" collapsed="false">
      <c r="A488" s="1" t="n">
        <v>487</v>
      </c>
      <c r="B488" s="1" t="s">
        <v>1097</v>
      </c>
      <c r="C488" s="1" t="s">
        <v>1098</v>
      </c>
      <c r="D488" s="1" t="s">
        <v>145</v>
      </c>
      <c r="E488" s="1" t="s">
        <v>1099</v>
      </c>
    </row>
    <row r="489" customFormat="false" ht="15" hidden="false" customHeight="true" outlineLevel="0" collapsed="false">
      <c r="A489" s="1" t="n">
        <v>488</v>
      </c>
      <c r="B489" s="1" t="s">
        <v>1100</v>
      </c>
      <c r="C489" s="1" t="s">
        <v>68</v>
      </c>
      <c r="D489" s="1" t="s">
        <v>159</v>
      </c>
      <c r="E489" s="1" t="s">
        <v>1101</v>
      </c>
    </row>
    <row r="490" customFormat="false" ht="15" hidden="false" customHeight="true" outlineLevel="0" collapsed="false">
      <c r="A490" s="1" t="n">
        <v>489</v>
      </c>
      <c r="B490" s="1" t="s">
        <v>1102</v>
      </c>
      <c r="C490" s="1" t="s">
        <v>1013</v>
      </c>
      <c r="D490" s="1" t="s">
        <v>510</v>
      </c>
      <c r="E490" s="1" t="s">
        <v>1103</v>
      </c>
    </row>
    <row r="491" customFormat="false" ht="15" hidden="false" customHeight="true" outlineLevel="0" collapsed="false">
      <c r="A491" s="1" t="n">
        <v>490</v>
      </c>
      <c r="B491" s="1" t="s">
        <v>409</v>
      </c>
      <c r="C491" s="1" t="s">
        <v>565</v>
      </c>
      <c r="D491" s="1" t="s">
        <v>304</v>
      </c>
      <c r="E491" s="1" t="s">
        <v>44</v>
      </c>
    </row>
    <row r="492" customFormat="false" ht="15" hidden="false" customHeight="true" outlineLevel="0" collapsed="false">
      <c r="A492" s="1" t="n">
        <v>491</v>
      </c>
      <c r="B492" s="1" t="s">
        <v>1082</v>
      </c>
      <c r="C492" s="1" t="s">
        <v>1104</v>
      </c>
      <c r="D492" s="1" t="s">
        <v>149</v>
      </c>
      <c r="E492" s="1" t="s">
        <v>63</v>
      </c>
    </row>
    <row r="493" customFormat="false" ht="15" hidden="false" customHeight="true" outlineLevel="0" collapsed="false">
      <c r="A493" s="1" t="n">
        <v>492</v>
      </c>
      <c r="B493" s="1" t="s">
        <v>132</v>
      </c>
      <c r="C493" s="1" t="s">
        <v>122</v>
      </c>
      <c r="D493" s="1" t="s">
        <v>530</v>
      </c>
      <c r="E493" s="1" t="s">
        <v>520</v>
      </c>
    </row>
    <row r="494" customFormat="false" ht="15" hidden="false" customHeight="true" outlineLevel="0" collapsed="false">
      <c r="A494" s="1" t="n">
        <v>493</v>
      </c>
      <c r="B494" s="1" t="s">
        <v>970</v>
      </c>
      <c r="C494" s="1" t="s">
        <v>129</v>
      </c>
      <c r="D494" s="1" t="s">
        <v>698</v>
      </c>
      <c r="E494" s="1" t="s">
        <v>1105</v>
      </c>
    </row>
    <row r="495" customFormat="false" ht="15" hidden="false" customHeight="true" outlineLevel="0" collapsed="false">
      <c r="A495" s="1" t="n">
        <v>494</v>
      </c>
      <c r="B495" s="1" t="s">
        <v>125</v>
      </c>
      <c r="C495" s="1" t="s">
        <v>1015</v>
      </c>
      <c r="D495" s="1" t="s">
        <v>282</v>
      </c>
      <c r="E495" s="1" t="s">
        <v>568</v>
      </c>
    </row>
    <row r="496" customFormat="false" ht="15" hidden="false" customHeight="true" outlineLevel="0" collapsed="false">
      <c r="A496" s="1" t="n">
        <v>495</v>
      </c>
      <c r="B496" s="1" t="s">
        <v>789</v>
      </c>
      <c r="C496" s="1" t="s">
        <v>793</v>
      </c>
      <c r="D496" s="1" t="s">
        <v>1106</v>
      </c>
      <c r="E496" s="1" t="s">
        <v>914</v>
      </c>
    </row>
    <row r="497" customFormat="false" ht="15" hidden="false" customHeight="true" outlineLevel="0" collapsed="false">
      <c r="A497" s="1" t="n">
        <v>496</v>
      </c>
      <c r="B497" s="1" t="s">
        <v>777</v>
      </c>
      <c r="C497" s="1" t="s">
        <v>104</v>
      </c>
      <c r="D497" s="1" t="s">
        <v>761</v>
      </c>
      <c r="E497" s="1" t="s">
        <v>1107</v>
      </c>
    </row>
    <row r="498" customFormat="false" ht="15" hidden="false" customHeight="true" outlineLevel="0" collapsed="false">
      <c r="A498" s="1" t="n">
        <v>497</v>
      </c>
      <c r="B498" s="1" t="s">
        <v>1108</v>
      </c>
      <c r="C498" s="1" t="s">
        <v>1109</v>
      </c>
      <c r="D498" s="1" t="s">
        <v>695</v>
      </c>
      <c r="E498" s="1" t="s">
        <v>1110</v>
      </c>
    </row>
    <row r="499" customFormat="false" ht="15" hidden="false" customHeight="true" outlineLevel="0" collapsed="false">
      <c r="A499" s="1" t="n">
        <v>498</v>
      </c>
      <c r="B499" s="1" t="s">
        <v>1111</v>
      </c>
      <c r="C499" s="1" t="s">
        <v>721</v>
      </c>
      <c r="D499" s="1" t="s">
        <v>119</v>
      </c>
      <c r="E499" s="1" t="s">
        <v>699</v>
      </c>
    </row>
    <row r="500" customFormat="false" ht="15" hidden="false" customHeight="true" outlineLevel="0" collapsed="false">
      <c r="A500" s="1" t="n">
        <v>499</v>
      </c>
      <c r="B500" s="1" t="s">
        <v>1112</v>
      </c>
      <c r="C500" s="1" t="s">
        <v>418</v>
      </c>
      <c r="D500" s="1" t="s">
        <v>880</v>
      </c>
      <c r="E500" s="1" t="s">
        <v>1113</v>
      </c>
    </row>
    <row r="501" customFormat="false" ht="15" hidden="false" customHeight="true" outlineLevel="0" collapsed="false">
      <c r="A501" s="1" t="n">
        <v>500</v>
      </c>
      <c r="B501" s="1" t="s">
        <v>1114</v>
      </c>
      <c r="C501" s="1" t="s">
        <v>538</v>
      </c>
      <c r="D501" s="1" t="s">
        <v>758</v>
      </c>
      <c r="E501" s="1" t="s">
        <v>44</v>
      </c>
    </row>
    <row r="502" customFormat="false" ht="15" hidden="false" customHeight="true" outlineLevel="0" collapsed="false">
      <c r="A502" s="1" t="n">
        <v>501</v>
      </c>
      <c r="B502" s="1" t="s">
        <v>45</v>
      </c>
      <c r="C502" s="1" t="s">
        <v>68</v>
      </c>
      <c r="D502" s="1" t="s">
        <v>378</v>
      </c>
      <c r="E502" s="1" t="s">
        <v>1115</v>
      </c>
    </row>
    <row r="503" customFormat="false" ht="15" hidden="false" customHeight="true" outlineLevel="0" collapsed="false">
      <c r="A503" s="1" t="n">
        <v>502</v>
      </c>
      <c r="B503" s="1" t="s">
        <v>386</v>
      </c>
      <c r="C503" s="1" t="s">
        <v>133</v>
      </c>
      <c r="D503" s="1" t="s">
        <v>167</v>
      </c>
      <c r="E503" s="1" t="s">
        <v>1116</v>
      </c>
    </row>
    <row r="504" customFormat="false" ht="15" hidden="false" customHeight="true" outlineLevel="0" collapsed="false">
      <c r="A504" s="1" t="n">
        <v>503</v>
      </c>
      <c r="B504" s="1" t="s">
        <v>1117</v>
      </c>
      <c r="C504" s="1" t="s">
        <v>562</v>
      </c>
      <c r="D504" s="1" t="s">
        <v>217</v>
      </c>
      <c r="E504" s="1" t="s">
        <v>1118</v>
      </c>
    </row>
    <row r="505" customFormat="false" ht="15" hidden="false" customHeight="true" outlineLevel="0" collapsed="false">
      <c r="A505" s="1" t="n">
        <v>504</v>
      </c>
      <c r="B505" s="1" t="s">
        <v>896</v>
      </c>
      <c r="C505" s="1" t="s">
        <v>212</v>
      </c>
      <c r="D505" s="1" t="s">
        <v>395</v>
      </c>
      <c r="E505" s="1" t="s">
        <v>150</v>
      </c>
    </row>
    <row r="506" customFormat="false" ht="15" hidden="false" customHeight="true" outlineLevel="0" collapsed="false">
      <c r="A506" s="1" t="n">
        <v>505</v>
      </c>
      <c r="B506" s="1" t="s">
        <v>1119</v>
      </c>
      <c r="C506" s="1" t="s">
        <v>219</v>
      </c>
      <c r="D506" s="1" t="s">
        <v>807</v>
      </c>
      <c r="E506" s="1" t="s">
        <v>1120</v>
      </c>
    </row>
    <row r="507" customFormat="false" ht="15" hidden="false" customHeight="true" outlineLevel="0" collapsed="false">
      <c r="A507" s="1" t="n">
        <v>506</v>
      </c>
      <c r="B507" s="1" t="s">
        <v>1121</v>
      </c>
      <c r="C507" s="1" t="s">
        <v>1038</v>
      </c>
      <c r="D507" s="1" t="s">
        <v>923</v>
      </c>
      <c r="E507" s="1" t="s">
        <v>1122</v>
      </c>
    </row>
    <row r="508" customFormat="false" ht="15" hidden="false" customHeight="true" outlineLevel="0" collapsed="false">
      <c r="A508" s="1" t="n">
        <v>507</v>
      </c>
      <c r="B508" s="1" t="s">
        <v>273</v>
      </c>
      <c r="C508" s="1" t="s">
        <v>579</v>
      </c>
      <c r="D508" s="1" t="s">
        <v>353</v>
      </c>
      <c r="E508" s="1" t="s">
        <v>738</v>
      </c>
    </row>
    <row r="509" customFormat="false" ht="15" hidden="false" customHeight="true" outlineLevel="0" collapsed="false">
      <c r="A509" s="1" t="n">
        <v>508</v>
      </c>
      <c r="B509" s="1" t="s">
        <v>1123</v>
      </c>
      <c r="C509" s="1" t="s">
        <v>352</v>
      </c>
      <c r="D509" s="1" t="s">
        <v>23</v>
      </c>
      <c r="E509" s="1" t="s">
        <v>1124</v>
      </c>
    </row>
    <row r="510" customFormat="false" ht="15" hidden="false" customHeight="true" outlineLevel="0" collapsed="false">
      <c r="A510" s="1" t="n">
        <v>509</v>
      </c>
      <c r="B510" s="1" t="s">
        <v>661</v>
      </c>
      <c r="C510" s="1" t="s">
        <v>65</v>
      </c>
      <c r="D510" s="1" t="s">
        <v>480</v>
      </c>
      <c r="E510" s="1" t="s">
        <v>268</v>
      </c>
    </row>
    <row r="511" customFormat="false" ht="15" hidden="false" customHeight="true" outlineLevel="0" collapsed="false">
      <c r="A511" s="1" t="n">
        <v>510</v>
      </c>
      <c r="B511" s="1" t="s">
        <v>661</v>
      </c>
      <c r="C511" s="1" t="s">
        <v>425</v>
      </c>
      <c r="D511" s="1" t="s">
        <v>426</v>
      </c>
      <c r="E511" s="1" t="s">
        <v>44</v>
      </c>
    </row>
    <row r="512" customFormat="false" ht="15" hidden="false" customHeight="true" outlineLevel="0" collapsed="false">
      <c r="A512" s="1" t="n">
        <v>511</v>
      </c>
      <c r="B512" s="1" t="s">
        <v>588</v>
      </c>
      <c r="C512" s="1" t="s">
        <v>515</v>
      </c>
      <c r="D512" s="1" t="s">
        <v>23</v>
      </c>
      <c r="E512" s="1" t="s">
        <v>1125</v>
      </c>
    </row>
    <row r="513" customFormat="false" ht="15" hidden="false" customHeight="true" outlineLevel="0" collapsed="false">
      <c r="A513" s="1" t="n">
        <v>512</v>
      </c>
      <c r="B513" s="1" t="s">
        <v>1126</v>
      </c>
      <c r="C513" s="1" t="s">
        <v>1013</v>
      </c>
      <c r="D513" s="1" t="s">
        <v>190</v>
      </c>
      <c r="E513" s="1" t="s">
        <v>872</v>
      </c>
    </row>
    <row r="514" customFormat="false" ht="15" hidden="false" customHeight="true" outlineLevel="0" collapsed="false">
      <c r="A514" s="1" t="n">
        <v>513</v>
      </c>
      <c r="B514" s="1" t="s">
        <v>809</v>
      </c>
      <c r="C514" s="1" t="s">
        <v>100</v>
      </c>
      <c r="D514" s="1" t="s">
        <v>1127</v>
      </c>
      <c r="E514" s="1" t="s">
        <v>55</v>
      </c>
    </row>
    <row r="515" customFormat="false" ht="15" hidden="false" customHeight="true" outlineLevel="0" collapsed="false">
      <c r="A515" s="1" t="n">
        <v>514</v>
      </c>
      <c r="B515" s="1" t="s">
        <v>1128</v>
      </c>
      <c r="C515" s="1" t="s">
        <v>697</v>
      </c>
      <c r="D515" s="1" t="s">
        <v>145</v>
      </c>
      <c r="E515" s="1" t="s">
        <v>1129</v>
      </c>
    </row>
    <row r="516" customFormat="false" ht="15" hidden="false" customHeight="true" outlineLevel="0" collapsed="false">
      <c r="A516" s="1" t="n">
        <v>515</v>
      </c>
      <c r="B516" s="1" t="s">
        <v>614</v>
      </c>
      <c r="C516" s="1" t="s">
        <v>166</v>
      </c>
      <c r="D516" s="1" t="s">
        <v>990</v>
      </c>
      <c r="E516" s="1" t="s">
        <v>1130</v>
      </c>
    </row>
    <row r="517" customFormat="false" ht="15" hidden="false" customHeight="true" outlineLevel="0" collapsed="false">
      <c r="A517" s="1" t="n">
        <v>516</v>
      </c>
      <c r="B517" s="1" t="s">
        <v>1131</v>
      </c>
      <c r="C517" s="1" t="s">
        <v>1073</v>
      </c>
      <c r="D517" s="1" t="s">
        <v>667</v>
      </c>
      <c r="E517" s="1" t="s">
        <v>310</v>
      </c>
    </row>
    <row r="518" customFormat="false" ht="15" hidden="false" customHeight="true" outlineLevel="0" collapsed="false">
      <c r="A518" s="1" t="n">
        <v>517</v>
      </c>
      <c r="B518" s="1" t="s">
        <v>1132</v>
      </c>
      <c r="C518" s="1" t="s">
        <v>1073</v>
      </c>
      <c r="D518" s="1" t="s">
        <v>983</v>
      </c>
      <c r="E518" s="1" t="s">
        <v>776</v>
      </c>
    </row>
    <row r="519" customFormat="false" ht="15" hidden="false" customHeight="true" outlineLevel="0" collapsed="false">
      <c r="A519" s="1" t="n">
        <v>518</v>
      </c>
      <c r="B519" s="1" t="s">
        <v>409</v>
      </c>
      <c r="C519" s="1" t="s">
        <v>274</v>
      </c>
      <c r="D519" s="1" t="s">
        <v>715</v>
      </c>
      <c r="E519" s="1" t="s">
        <v>1133</v>
      </c>
    </row>
    <row r="520" customFormat="false" ht="15" hidden="false" customHeight="true" outlineLevel="0" collapsed="false">
      <c r="A520" s="1" t="n">
        <v>519</v>
      </c>
      <c r="B520" s="1" t="s">
        <v>229</v>
      </c>
      <c r="C520" s="1" t="s">
        <v>166</v>
      </c>
      <c r="D520" s="1" t="s">
        <v>113</v>
      </c>
      <c r="E520" s="1" t="s">
        <v>1134</v>
      </c>
    </row>
    <row r="521" customFormat="false" ht="15" hidden="false" customHeight="true" outlineLevel="0" collapsed="false">
      <c r="A521" s="1" t="n">
        <v>520</v>
      </c>
      <c r="B521" s="1" t="s">
        <v>1135</v>
      </c>
      <c r="C521" s="1" t="s">
        <v>755</v>
      </c>
      <c r="D521" s="1" t="s">
        <v>353</v>
      </c>
      <c r="E521" s="1" t="s">
        <v>44</v>
      </c>
    </row>
    <row r="522" customFormat="false" ht="15" hidden="false" customHeight="true" outlineLevel="0" collapsed="false">
      <c r="A522" s="1" t="n">
        <v>521</v>
      </c>
      <c r="B522" s="1" t="s">
        <v>56</v>
      </c>
      <c r="C522" s="1" t="s">
        <v>579</v>
      </c>
      <c r="D522" s="1" t="s">
        <v>923</v>
      </c>
      <c r="E522" s="1" t="s">
        <v>906</v>
      </c>
    </row>
    <row r="523" customFormat="false" ht="15" hidden="false" customHeight="true" outlineLevel="0" collapsed="false">
      <c r="A523" s="1" t="n">
        <v>522</v>
      </c>
      <c r="B523" s="1" t="s">
        <v>782</v>
      </c>
      <c r="C523" s="1" t="s">
        <v>1136</v>
      </c>
      <c r="D523" s="1" t="s">
        <v>241</v>
      </c>
      <c r="E523" s="1" t="s">
        <v>1137</v>
      </c>
    </row>
    <row r="524" customFormat="false" ht="15" hidden="false" customHeight="true" outlineLevel="0" collapsed="false">
      <c r="A524" s="1" t="n">
        <v>523</v>
      </c>
      <c r="B524" s="1" t="s">
        <v>1138</v>
      </c>
      <c r="C524" s="1" t="s">
        <v>701</v>
      </c>
      <c r="D524" s="1" t="s">
        <v>482</v>
      </c>
      <c r="E524" s="1" t="s">
        <v>1139</v>
      </c>
    </row>
    <row r="525" customFormat="false" ht="15" hidden="false" customHeight="true" outlineLevel="0" collapsed="false">
      <c r="A525" s="1" t="n">
        <v>524</v>
      </c>
      <c r="B525" s="1" t="s">
        <v>576</v>
      </c>
      <c r="C525" s="1" t="s">
        <v>1140</v>
      </c>
      <c r="D525" s="1" t="s">
        <v>384</v>
      </c>
      <c r="E525" s="1" t="s">
        <v>1141</v>
      </c>
    </row>
    <row r="526" customFormat="false" ht="15" hidden="false" customHeight="true" outlineLevel="0" collapsed="false">
      <c r="A526" s="1" t="n">
        <v>525</v>
      </c>
      <c r="B526" s="1" t="s">
        <v>1142</v>
      </c>
      <c r="C526" s="1" t="s">
        <v>505</v>
      </c>
      <c r="D526" s="1" t="s">
        <v>245</v>
      </c>
      <c r="E526" s="1" t="s">
        <v>1143</v>
      </c>
    </row>
    <row r="527" customFormat="false" ht="15" hidden="false" customHeight="true" outlineLevel="0" collapsed="false">
      <c r="A527" s="1" t="n">
        <v>526</v>
      </c>
      <c r="B527" s="1" t="s">
        <v>1112</v>
      </c>
      <c r="C527" s="1" t="s">
        <v>375</v>
      </c>
      <c r="D527" s="1" t="s">
        <v>275</v>
      </c>
      <c r="E527" s="1" t="s">
        <v>1144</v>
      </c>
    </row>
    <row r="528" customFormat="false" ht="15" hidden="false" customHeight="true" outlineLevel="0" collapsed="false">
      <c r="A528" s="1" t="n">
        <v>527</v>
      </c>
      <c r="B528" s="1" t="s">
        <v>1062</v>
      </c>
      <c r="C528" s="1" t="s">
        <v>162</v>
      </c>
      <c r="D528" s="1" t="s">
        <v>722</v>
      </c>
      <c r="E528" s="1" t="s">
        <v>1145</v>
      </c>
    </row>
    <row r="529" customFormat="false" ht="15" hidden="false" customHeight="true" outlineLevel="0" collapsed="false">
      <c r="A529" s="1" t="n">
        <v>528</v>
      </c>
      <c r="B529" s="1" t="s">
        <v>1146</v>
      </c>
      <c r="C529" s="1" t="s">
        <v>551</v>
      </c>
      <c r="D529" s="1" t="s">
        <v>494</v>
      </c>
      <c r="E529" s="1" t="s">
        <v>1147</v>
      </c>
    </row>
    <row r="530" customFormat="false" ht="15" hidden="false" customHeight="true" outlineLevel="0" collapsed="false">
      <c r="A530" s="1" t="n">
        <v>529</v>
      </c>
      <c r="B530" s="1" t="s">
        <v>741</v>
      </c>
      <c r="C530" s="1" t="s">
        <v>1148</v>
      </c>
      <c r="D530" s="1" t="s">
        <v>787</v>
      </c>
      <c r="E530" s="1" t="s">
        <v>1145</v>
      </c>
    </row>
    <row r="531" customFormat="false" ht="15" hidden="false" customHeight="true" outlineLevel="0" collapsed="false">
      <c r="A531" s="1" t="n">
        <v>530</v>
      </c>
      <c r="B531" s="1" t="s">
        <v>340</v>
      </c>
      <c r="C531" s="1" t="s">
        <v>418</v>
      </c>
      <c r="D531" s="1" t="s">
        <v>31</v>
      </c>
      <c r="E531" s="1" t="s">
        <v>44</v>
      </c>
    </row>
    <row r="532" customFormat="false" ht="15" hidden="false" customHeight="true" outlineLevel="0" collapsed="false">
      <c r="A532" s="1" t="n">
        <v>531</v>
      </c>
      <c r="B532" s="1" t="s">
        <v>430</v>
      </c>
      <c r="C532" s="1" t="s">
        <v>65</v>
      </c>
      <c r="D532" s="1" t="s">
        <v>159</v>
      </c>
      <c r="E532" s="1" t="s">
        <v>1149</v>
      </c>
    </row>
    <row r="533" customFormat="false" ht="15" hidden="false" customHeight="true" outlineLevel="0" collapsed="false">
      <c r="A533" s="1" t="n">
        <v>532</v>
      </c>
      <c r="B533" s="1" t="s">
        <v>1150</v>
      </c>
      <c r="C533" s="1" t="s">
        <v>1151</v>
      </c>
      <c r="D533" s="1" t="s">
        <v>1106</v>
      </c>
      <c r="E533" s="1" t="s">
        <v>1152</v>
      </c>
    </row>
    <row r="534" customFormat="false" ht="15" hidden="false" customHeight="true" outlineLevel="0" collapsed="false">
      <c r="A534" s="1" t="n">
        <v>533</v>
      </c>
      <c r="B534" s="1" t="s">
        <v>1153</v>
      </c>
      <c r="C534" s="1" t="s">
        <v>1154</v>
      </c>
      <c r="D534" s="1" t="s">
        <v>149</v>
      </c>
      <c r="E534" s="1" t="s">
        <v>1155</v>
      </c>
    </row>
    <row r="535" customFormat="false" ht="15" hidden="false" customHeight="true" outlineLevel="0" collapsed="false">
      <c r="A535" s="1" t="n">
        <v>534</v>
      </c>
      <c r="B535" s="1" t="s">
        <v>1156</v>
      </c>
      <c r="C535" s="1" t="s">
        <v>118</v>
      </c>
      <c r="D535" s="1" t="s">
        <v>286</v>
      </c>
      <c r="E535" s="1" t="s">
        <v>561</v>
      </c>
    </row>
    <row r="536" customFormat="false" ht="15" hidden="false" customHeight="true" outlineLevel="0" collapsed="false">
      <c r="A536" s="1" t="n">
        <v>535</v>
      </c>
      <c r="B536" s="1" t="s">
        <v>1157</v>
      </c>
      <c r="C536" s="1" t="s">
        <v>76</v>
      </c>
      <c r="D536" s="1" t="s">
        <v>280</v>
      </c>
      <c r="E536" s="1" t="s">
        <v>972</v>
      </c>
    </row>
    <row r="537" customFormat="false" ht="15" hidden="false" customHeight="true" outlineLevel="0" collapsed="false">
      <c r="A537" s="1" t="n">
        <v>536</v>
      </c>
      <c r="B537" s="1" t="s">
        <v>1158</v>
      </c>
      <c r="C537" s="1" t="s">
        <v>392</v>
      </c>
      <c r="D537" s="1" t="s">
        <v>269</v>
      </c>
      <c r="E537" s="1" t="s">
        <v>424</v>
      </c>
    </row>
    <row r="538" customFormat="false" ht="15" hidden="false" customHeight="true" outlineLevel="0" collapsed="false">
      <c r="A538" s="1" t="n">
        <v>537</v>
      </c>
      <c r="B538" s="1" t="s">
        <v>247</v>
      </c>
      <c r="C538" s="1" t="s">
        <v>1159</v>
      </c>
      <c r="D538" s="1" t="s">
        <v>141</v>
      </c>
      <c r="E538" s="1" t="s">
        <v>1160</v>
      </c>
    </row>
    <row r="539" customFormat="false" ht="15" hidden="false" customHeight="true" outlineLevel="0" collapsed="false">
      <c r="A539" s="1" t="n">
        <v>538</v>
      </c>
      <c r="B539" s="1" t="s">
        <v>117</v>
      </c>
      <c r="C539" s="1" t="s">
        <v>604</v>
      </c>
      <c r="D539" s="1" t="s">
        <v>395</v>
      </c>
      <c r="E539" s="1" t="s">
        <v>434</v>
      </c>
    </row>
    <row r="540" customFormat="false" ht="15" hidden="false" customHeight="true" outlineLevel="0" collapsed="false">
      <c r="A540" s="1" t="n">
        <v>539</v>
      </c>
      <c r="B540" s="1" t="s">
        <v>524</v>
      </c>
      <c r="C540" s="1" t="s">
        <v>1161</v>
      </c>
      <c r="D540" s="1" t="s">
        <v>301</v>
      </c>
      <c r="E540" s="1" t="s">
        <v>1162</v>
      </c>
    </row>
    <row r="541" customFormat="false" ht="15" hidden="false" customHeight="true" outlineLevel="0" collapsed="false">
      <c r="A541" s="1" t="n">
        <v>540</v>
      </c>
      <c r="B541" s="1" t="s">
        <v>427</v>
      </c>
      <c r="C541" s="1" t="s">
        <v>1163</v>
      </c>
      <c r="D541" s="1" t="s">
        <v>909</v>
      </c>
      <c r="E541" s="1" t="s">
        <v>44</v>
      </c>
    </row>
    <row r="542" customFormat="false" ht="15" hidden="false" customHeight="true" outlineLevel="0" collapsed="false">
      <c r="A542" s="1" t="n">
        <v>541</v>
      </c>
      <c r="B542" s="1" t="s">
        <v>222</v>
      </c>
      <c r="C542" s="1" t="s">
        <v>579</v>
      </c>
      <c r="D542" s="1" t="s">
        <v>113</v>
      </c>
      <c r="E542" s="1" t="s">
        <v>405</v>
      </c>
    </row>
    <row r="543" customFormat="false" ht="15" hidden="false" customHeight="true" outlineLevel="0" collapsed="false">
      <c r="A543" s="1" t="n">
        <v>542</v>
      </c>
      <c r="B543" s="1" t="s">
        <v>1164</v>
      </c>
      <c r="C543" s="1" t="s">
        <v>979</v>
      </c>
      <c r="D543" s="1" t="s">
        <v>1165</v>
      </c>
      <c r="E543" s="1" t="s">
        <v>1166</v>
      </c>
    </row>
    <row r="544" customFormat="false" ht="15" hidden="false" customHeight="true" outlineLevel="0" collapsed="false">
      <c r="A544" s="1" t="n">
        <v>543</v>
      </c>
      <c r="B544" s="1" t="s">
        <v>981</v>
      </c>
      <c r="C544" s="1" t="s">
        <v>260</v>
      </c>
      <c r="D544" s="1" t="s">
        <v>556</v>
      </c>
      <c r="E544" s="1" t="s">
        <v>1167</v>
      </c>
    </row>
    <row r="545" customFormat="false" ht="15" hidden="false" customHeight="true" outlineLevel="0" collapsed="false">
      <c r="A545" s="1" t="n">
        <v>544</v>
      </c>
      <c r="B545" s="1" t="s">
        <v>898</v>
      </c>
      <c r="C545" s="1" t="s">
        <v>1140</v>
      </c>
      <c r="D545" s="1" t="s">
        <v>217</v>
      </c>
      <c r="E545" s="1" t="s">
        <v>1168</v>
      </c>
    </row>
    <row r="546" customFormat="false" ht="15" hidden="false" customHeight="true" outlineLevel="0" collapsed="false">
      <c r="A546" s="1" t="n">
        <v>545</v>
      </c>
      <c r="B546" s="1" t="s">
        <v>1169</v>
      </c>
      <c r="C546" s="1" t="s">
        <v>686</v>
      </c>
      <c r="D546" s="1" t="s">
        <v>1170</v>
      </c>
      <c r="E546" s="1" t="s">
        <v>1171</v>
      </c>
    </row>
    <row r="547" customFormat="false" ht="15" hidden="false" customHeight="true" outlineLevel="0" collapsed="false">
      <c r="A547" s="1" t="n">
        <v>546</v>
      </c>
      <c r="B547" s="1" t="s">
        <v>233</v>
      </c>
      <c r="C547" s="1" t="s">
        <v>905</v>
      </c>
      <c r="D547" s="1" t="s">
        <v>947</v>
      </c>
      <c r="E547" s="1" t="s">
        <v>1172</v>
      </c>
    </row>
    <row r="548" customFormat="false" ht="15" hidden="false" customHeight="true" outlineLevel="0" collapsed="false">
      <c r="A548" s="1" t="n">
        <v>547</v>
      </c>
      <c r="B548" s="1" t="s">
        <v>5</v>
      </c>
      <c r="C548" s="1" t="s">
        <v>1173</v>
      </c>
      <c r="D548" s="1" t="s">
        <v>86</v>
      </c>
      <c r="E548" s="1" t="s">
        <v>470</v>
      </c>
    </row>
    <row r="549" customFormat="false" ht="15" hidden="false" customHeight="true" outlineLevel="0" collapsed="false">
      <c r="A549" s="1" t="n">
        <v>548</v>
      </c>
      <c r="B549" s="1" t="s">
        <v>1059</v>
      </c>
      <c r="C549" s="1" t="s">
        <v>1174</v>
      </c>
      <c r="D549" s="1" t="s">
        <v>1175</v>
      </c>
      <c r="E549" s="1" t="s">
        <v>1176</v>
      </c>
    </row>
    <row r="550" customFormat="false" ht="15" hidden="false" customHeight="true" outlineLevel="0" collapsed="false">
      <c r="A550" s="1" t="n">
        <v>549</v>
      </c>
      <c r="B550" s="1" t="s">
        <v>180</v>
      </c>
      <c r="C550" s="1" t="s">
        <v>18</v>
      </c>
      <c r="D550" s="1" t="s">
        <v>7</v>
      </c>
      <c r="E550" s="1" t="s">
        <v>1177</v>
      </c>
    </row>
    <row r="551" customFormat="false" ht="15" hidden="false" customHeight="true" outlineLevel="0" collapsed="false">
      <c r="A551" s="1" t="n">
        <v>550</v>
      </c>
      <c r="B551" s="1" t="s">
        <v>1178</v>
      </c>
      <c r="C551" s="1" t="s">
        <v>1179</v>
      </c>
      <c r="D551" s="1" t="s">
        <v>97</v>
      </c>
      <c r="E551" s="1" t="s">
        <v>44</v>
      </c>
    </row>
    <row r="552" customFormat="false" ht="15" hidden="false" customHeight="true" outlineLevel="0" collapsed="false">
      <c r="A552" s="1" t="n">
        <v>551</v>
      </c>
      <c r="B552" s="1" t="s">
        <v>75</v>
      </c>
      <c r="C552" s="1" t="s">
        <v>112</v>
      </c>
      <c r="D552" s="1" t="s">
        <v>245</v>
      </c>
      <c r="E552" s="1" t="s">
        <v>447</v>
      </c>
    </row>
    <row r="553" customFormat="false" ht="15" hidden="false" customHeight="true" outlineLevel="0" collapsed="false">
      <c r="A553" s="1" t="n">
        <v>552</v>
      </c>
      <c r="B553" s="1" t="s">
        <v>868</v>
      </c>
      <c r="C553" s="1" t="s">
        <v>455</v>
      </c>
      <c r="D553" s="1" t="s">
        <v>342</v>
      </c>
      <c r="E553" s="1" t="s">
        <v>471</v>
      </c>
    </row>
    <row r="554" customFormat="false" ht="15" hidden="false" customHeight="true" outlineLevel="0" collapsed="false">
      <c r="A554" s="1" t="n">
        <v>553</v>
      </c>
      <c r="B554" s="1" t="s">
        <v>985</v>
      </c>
      <c r="C554" s="1" t="s">
        <v>1180</v>
      </c>
      <c r="D554" s="1" t="s">
        <v>844</v>
      </c>
      <c r="E554" s="1" t="s">
        <v>1181</v>
      </c>
    </row>
    <row r="555" customFormat="false" ht="15" hidden="false" customHeight="true" outlineLevel="0" collapsed="false">
      <c r="A555" s="1" t="n">
        <v>554</v>
      </c>
      <c r="B555" s="1" t="s">
        <v>125</v>
      </c>
      <c r="C555" s="1" t="s">
        <v>341</v>
      </c>
      <c r="D555" s="1" t="s">
        <v>715</v>
      </c>
      <c r="E555" s="1" t="s">
        <v>1141</v>
      </c>
    </row>
    <row r="556" customFormat="false" ht="15" hidden="false" customHeight="true" outlineLevel="0" collapsed="false">
      <c r="A556" s="1" t="n">
        <v>555</v>
      </c>
      <c r="B556" s="1" t="s">
        <v>1182</v>
      </c>
      <c r="C556" s="1" t="s">
        <v>1183</v>
      </c>
      <c r="D556" s="1" t="s">
        <v>794</v>
      </c>
      <c r="E556" s="1" t="s">
        <v>1184</v>
      </c>
    </row>
    <row r="557" customFormat="false" ht="15" hidden="false" customHeight="true" outlineLevel="0" collapsed="false">
      <c r="A557" s="1" t="n">
        <v>556</v>
      </c>
      <c r="B557" s="1" t="s">
        <v>1185</v>
      </c>
      <c r="C557" s="1" t="s">
        <v>719</v>
      </c>
      <c r="D557" s="1" t="s">
        <v>289</v>
      </c>
      <c r="E557" s="1" t="s">
        <v>774</v>
      </c>
    </row>
    <row r="558" customFormat="false" ht="15" hidden="false" customHeight="true" outlineLevel="0" collapsed="false">
      <c r="A558" s="1" t="n">
        <v>557</v>
      </c>
      <c r="B558" s="1" t="s">
        <v>201</v>
      </c>
      <c r="C558" s="1" t="s">
        <v>418</v>
      </c>
      <c r="D558" s="1" t="s">
        <v>58</v>
      </c>
      <c r="E558" s="1" t="s">
        <v>1144</v>
      </c>
    </row>
    <row r="559" customFormat="false" ht="15" hidden="false" customHeight="true" outlineLevel="0" collapsed="false">
      <c r="A559" s="1" t="n">
        <v>558</v>
      </c>
      <c r="B559" s="1" t="s">
        <v>151</v>
      </c>
      <c r="C559" s="1" t="s">
        <v>248</v>
      </c>
      <c r="D559" s="1" t="s">
        <v>934</v>
      </c>
      <c r="E559" s="1" t="s">
        <v>1010</v>
      </c>
    </row>
    <row r="560" customFormat="false" ht="15" hidden="false" customHeight="true" outlineLevel="0" collapsed="false">
      <c r="A560" s="1" t="n">
        <v>559</v>
      </c>
      <c r="B560" s="1" t="s">
        <v>71</v>
      </c>
      <c r="C560" s="1" t="s">
        <v>755</v>
      </c>
      <c r="D560" s="1" t="s">
        <v>163</v>
      </c>
      <c r="E560" s="1" t="s">
        <v>1186</v>
      </c>
    </row>
    <row r="561" customFormat="false" ht="15" hidden="false" customHeight="true" outlineLevel="0" collapsed="false">
      <c r="A561" s="1" t="n">
        <v>560</v>
      </c>
      <c r="B561" s="1" t="s">
        <v>1187</v>
      </c>
      <c r="C561" s="1" t="s">
        <v>296</v>
      </c>
      <c r="D561" s="1" t="s">
        <v>643</v>
      </c>
      <c r="E561" s="1" t="s">
        <v>44</v>
      </c>
    </row>
    <row r="562" customFormat="false" ht="15" hidden="false" customHeight="true" outlineLevel="0" collapsed="false">
      <c r="A562" s="1" t="n">
        <v>561</v>
      </c>
      <c r="B562" s="1" t="s">
        <v>773</v>
      </c>
      <c r="C562" s="1" t="s">
        <v>1188</v>
      </c>
      <c r="D562" s="1" t="s">
        <v>539</v>
      </c>
      <c r="E562" s="1" t="s">
        <v>1189</v>
      </c>
    </row>
    <row r="563" customFormat="false" ht="15" hidden="false" customHeight="true" outlineLevel="0" collapsed="false">
      <c r="A563" s="1" t="n">
        <v>562</v>
      </c>
      <c r="B563" s="1" t="s">
        <v>386</v>
      </c>
      <c r="C563" s="1" t="s">
        <v>565</v>
      </c>
      <c r="D563" s="1" t="s">
        <v>217</v>
      </c>
      <c r="E563" s="1" t="s">
        <v>836</v>
      </c>
    </row>
    <row r="564" customFormat="false" ht="15" hidden="false" customHeight="true" outlineLevel="0" collapsed="false">
      <c r="A564" s="1" t="n">
        <v>563</v>
      </c>
      <c r="B564" s="1" t="s">
        <v>859</v>
      </c>
      <c r="C564" s="1" t="s">
        <v>1190</v>
      </c>
      <c r="D564" s="1" t="s">
        <v>141</v>
      </c>
      <c r="E564" s="1" t="s">
        <v>1191</v>
      </c>
    </row>
    <row r="565" customFormat="false" ht="15" hidden="false" customHeight="true" outlineLevel="0" collapsed="false">
      <c r="A565" s="1" t="n">
        <v>564</v>
      </c>
      <c r="B565" s="1" t="s">
        <v>596</v>
      </c>
      <c r="C565" s="1" t="s">
        <v>1192</v>
      </c>
      <c r="D565" s="1" t="s">
        <v>1193</v>
      </c>
      <c r="E565" s="1" t="s">
        <v>1194</v>
      </c>
    </row>
    <row r="566" customFormat="false" ht="15" hidden="false" customHeight="true" outlineLevel="0" collapsed="false">
      <c r="A566" s="1" t="n">
        <v>565</v>
      </c>
      <c r="B566" s="1" t="s">
        <v>251</v>
      </c>
      <c r="C566" s="1" t="s">
        <v>321</v>
      </c>
      <c r="D566" s="1" t="s">
        <v>578</v>
      </c>
      <c r="E566" s="1" t="s">
        <v>1195</v>
      </c>
    </row>
    <row r="567" customFormat="false" ht="15" hidden="false" customHeight="true" outlineLevel="0" collapsed="false">
      <c r="A567" s="1" t="n">
        <v>566</v>
      </c>
      <c r="B567" s="1" t="s">
        <v>1196</v>
      </c>
      <c r="C567" s="1" t="s">
        <v>634</v>
      </c>
      <c r="D567" s="1" t="s">
        <v>1165</v>
      </c>
      <c r="E567" s="1" t="s">
        <v>1044</v>
      </c>
    </row>
    <row r="568" customFormat="false" ht="15" hidden="false" customHeight="true" outlineLevel="0" collapsed="false">
      <c r="A568" s="1" t="n">
        <v>567</v>
      </c>
      <c r="B568" s="1" t="s">
        <v>128</v>
      </c>
      <c r="C568" s="1" t="s">
        <v>177</v>
      </c>
      <c r="D568" s="1" t="s">
        <v>245</v>
      </c>
      <c r="E568" s="1" t="s">
        <v>1197</v>
      </c>
    </row>
    <row r="569" customFormat="false" ht="15" hidden="false" customHeight="true" outlineLevel="0" collapsed="false">
      <c r="A569" s="1" t="n">
        <v>568</v>
      </c>
      <c r="B569" s="1" t="s">
        <v>933</v>
      </c>
      <c r="C569" s="1" t="s">
        <v>848</v>
      </c>
      <c r="D569" s="1" t="s">
        <v>864</v>
      </c>
      <c r="E569" s="1" t="s">
        <v>1198</v>
      </c>
    </row>
    <row r="570" customFormat="false" ht="15" hidden="false" customHeight="true" outlineLevel="0" collapsed="false">
      <c r="A570" s="1" t="n">
        <v>569</v>
      </c>
      <c r="B570" s="1" t="s">
        <v>854</v>
      </c>
      <c r="C570" s="1" t="s">
        <v>636</v>
      </c>
      <c r="D570" s="1" t="s">
        <v>855</v>
      </c>
      <c r="E570" s="1" t="s">
        <v>710</v>
      </c>
    </row>
    <row r="571" customFormat="false" ht="15" hidden="false" customHeight="true" outlineLevel="0" collapsed="false">
      <c r="A571" s="1" t="n">
        <v>570</v>
      </c>
      <c r="B571" s="1" t="s">
        <v>585</v>
      </c>
      <c r="C571" s="1" t="s">
        <v>1199</v>
      </c>
      <c r="D571" s="1" t="s">
        <v>876</v>
      </c>
      <c r="E571" s="1" t="s">
        <v>44</v>
      </c>
    </row>
    <row r="572" customFormat="false" ht="15" hidden="false" customHeight="true" outlineLevel="0" collapsed="false">
      <c r="A572" s="1" t="n">
        <v>571</v>
      </c>
      <c r="B572" s="1" t="s">
        <v>751</v>
      </c>
      <c r="C572" s="1" t="s">
        <v>104</v>
      </c>
      <c r="D572" s="1" t="s">
        <v>945</v>
      </c>
      <c r="E572" s="1" t="s">
        <v>1184</v>
      </c>
    </row>
    <row r="573" customFormat="false" ht="15" hidden="false" customHeight="true" outlineLevel="0" collapsed="false">
      <c r="A573" s="1" t="n">
        <v>572</v>
      </c>
      <c r="B573" s="1" t="s">
        <v>1011</v>
      </c>
      <c r="C573" s="1" t="s">
        <v>1154</v>
      </c>
      <c r="D573" s="1" t="s">
        <v>408</v>
      </c>
      <c r="E573" s="1" t="s">
        <v>1200</v>
      </c>
    </row>
    <row r="574" customFormat="false" ht="15" hidden="false" customHeight="true" outlineLevel="0" collapsed="false">
      <c r="A574" s="1" t="n">
        <v>573</v>
      </c>
      <c r="B574" s="1" t="s">
        <v>1201</v>
      </c>
      <c r="C574" s="1" t="s">
        <v>118</v>
      </c>
      <c r="D574" s="1" t="s">
        <v>556</v>
      </c>
      <c r="E574" s="1" t="s">
        <v>1202</v>
      </c>
    </row>
    <row r="575" customFormat="false" ht="15" hidden="false" customHeight="true" outlineLevel="0" collapsed="false">
      <c r="A575" s="1" t="n">
        <v>574</v>
      </c>
      <c r="B575" s="1" t="s">
        <v>588</v>
      </c>
      <c r="C575" s="1" t="s">
        <v>410</v>
      </c>
      <c r="D575" s="1" t="s">
        <v>241</v>
      </c>
      <c r="E575" s="1" t="s">
        <v>1203</v>
      </c>
    </row>
    <row r="576" customFormat="false" ht="15" hidden="false" customHeight="true" outlineLevel="0" collapsed="false">
      <c r="A576" s="1" t="n">
        <v>575</v>
      </c>
      <c r="B576" s="1" t="s">
        <v>1204</v>
      </c>
      <c r="C576" s="1" t="s">
        <v>1136</v>
      </c>
      <c r="D576" s="1" t="s">
        <v>578</v>
      </c>
      <c r="E576" s="1" t="s">
        <v>1205</v>
      </c>
    </row>
    <row r="577" customFormat="false" ht="15" hidden="false" customHeight="true" outlineLevel="0" collapsed="false">
      <c r="A577" s="1" t="n">
        <v>576</v>
      </c>
      <c r="B577" s="1" t="s">
        <v>1016</v>
      </c>
      <c r="C577" s="1" t="s">
        <v>1206</v>
      </c>
      <c r="D577" s="1" t="s">
        <v>787</v>
      </c>
      <c r="E577" s="1" t="s">
        <v>1207</v>
      </c>
    </row>
    <row r="578" customFormat="false" ht="15" hidden="false" customHeight="true" outlineLevel="0" collapsed="false">
      <c r="A578" s="1" t="n">
        <v>577</v>
      </c>
      <c r="B578" s="1" t="s">
        <v>751</v>
      </c>
      <c r="C578" s="1" t="s">
        <v>1173</v>
      </c>
      <c r="D578" s="1" t="s">
        <v>1208</v>
      </c>
      <c r="E578" s="1" t="s">
        <v>1209</v>
      </c>
    </row>
    <row r="579" customFormat="false" ht="15" hidden="false" customHeight="true" outlineLevel="0" collapsed="false">
      <c r="A579" s="1" t="n">
        <v>578</v>
      </c>
      <c r="B579" s="1" t="s">
        <v>833</v>
      </c>
      <c r="C579" s="1" t="s">
        <v>1210</v>
      </c>
      <c r="D579" s="1" t="s">
        <v>423</v>
      </c>
      <c r="E579" s="1" t="s">
        <v>1211</v>
      </c>
    </row>
    <row r="580" customFormat="false" ht="15" hidden="false" customHeight="true" outlineLevel="0" collapsed="false">
      <c r="A580" s="1" t="n">
        <v>579</v>
      </c>
      <c r="B580" s="1" t="s">
        <v>340</v>
      </c>
      <c r="C580" s="1" t="s">
        <v>274</v>
      </c>
      <c r="D580" s="1" t="s">
        <v>282</v>
      </c>
      <c r="E580" s="1" t="s">
        <v>1212</v>
      </c>
    </row>
    <row r="581" customFormat="false" ht="15" hidden="false" customHeight="true" outlineLevel="0" collapsed="false">
      <c r="A581" s="1" t="n">
        <v>580</v>
      </c>
      <c r="B581" s="1" t="s">
        <v>1156</v>
      </c>
      <c r="C581" s="1" t="s">
        <v>1140</v>
      </c>
      <c r="D581" s="1" t="s">
        <v>783</v>
      </c>
      <c r="E581" s="1" t="s">
        <v>44</v>
      </c>
    </row>
    <row r="582" customFormat="false" ht="15" hidden="false" customHeight="true" outlineLevel="0" collapsed="false">
      <c r="A582" s="1" t="n">
        <v>581</v>
      </c>
      <c r="B582" s="1" t="s">
        <v>1100</v>
      </c>
      <c r="C582" s="1" t="s">
        <v>1213</v>
      </c>
      <c r="D582" s="1" t="s">
        <v>844</v>
      </c>
      <c r="E582" s="1" t="s">
        <v>1214</v>
      </c>
    </row>
    <row r="583" customFormat="false" ht="15" hidden="false" customHeight="true" outlineLevel="0" collapsed="false">
      <c r="A583" s="1" t="n">
        <v>582</v>
      </c>
      <c r="B583" s="1" t="s">
        <v>1215</v>
      </c>
      <c r="C583" s="1" t="s">
        <v>76</v>
      </c>
      <c r="D583" s="1" t="s">
        <v>137</v>
      </c>
      <c r="E583" s="1" t="s">
        <v>591</v>
      </c>
    </row>
    <row r="584" customFormat="false" ht="15" hidden="false" customHeight="true" outlineLevel="0" collapsed="false">
      <c r="A584" s="1" t="n">
        <v>583</v>
      </c>
      <c r="B584" s="1" t="s">
        <v>743</v>
      </c>
      <c r="C584" s="1" t="s">
        <v>1216</v>
      </c>
      <c r="D584" s="1" t="s">
        <v>97</v>
      </c>
      <c r="E584" s="1" t="s">
        <v>1217</v>
      </c>
    </row>
    <row r="585" customFormat="false" ht="15" hidden="false" customHeight="true" outlineLevel="0" collapsed="false">
      <c r="A585" s="1" t="n">
        <v>584</v>
      </c>
      <c r="B585" s="1" t="s">
        <v>751</v>
      </c>
      <c r="C585" s="1" t="s">
        <v>61</v>
      </c>
      <c r="D585" s="1" t="s">
        <v>1165</v>
      </c>
      <c r="E585" s="1" t="s">
        <v>1218</v>
      </c>
    </row>
    <row r="586" customFormat="false" ht="15" hidden="false" customHeight="true" outlineLevel="0" collapsed="false">
      <c r="A586" s="1" t="n">
        <v>585</v>
      </c>
      <c r="B586" s="1" t="s">
        <v>364</v>
      </c>
      <c r="C586" s="1" t="s">
        <v>1154</v>
      </c>
      <c r="D586" s="1" t="s">
        <v>687</v>
      </c>
      <c r="E586" s="1" t="s">
        <v>1219</v>
      </c>
    </row>
    <row r="587" customFormat="false" ht="15" hidden="false" customHeight="true" outlineLevel="0" collapsed="false">
      <c r="A587" s="1" t="n">
        <v>586</v>
      </c>
      <c r="B587" s="1" t="s">
        <v>1220</v>
      </c>
      <c r="C587" s="1" t="s">
        <v>78</v>
      </c>
      <c r="D587" s="1" t="s">
        <v>69</v>
      </c>
      <c r="E587" s="1" t="s">
        <v>1221</v>
      </c>
    </row>
    <row r="588" customFormat="false" ht="15" hidden="false" customHeight="true" outlineLevel="0" collapsed="false">
      <c r="A588" s="1" t="n">
        <v>587</v>
      </c>
      <c r="B588" s="1" t="s">
        <v>308</v>
      </c>
      <c r="C588" s="1" t="s">
        <v>827</v>
      </c>
      <c r="D588" s="1" t="s">
        <v>182</v>
      </c>
      <c r="E588" s="1" t="s">
        <v>1222</v>
      </c>
    </row>
    <row r="589" customFormat="false" ht="15" hidden="false" customHeight="true" outlineLevel="0" collapsed="false">
      <c r="A589" s="1" t="n">
        <v>588</v>
      </c>
      <c r="B589" s="1" t="s">
        <v>1223</v>
      </c>
      <c r="C589" s="1" t="s">
        <v>230</v>
      </c>
      <c r="D589" s="1" t="s">
        <v>353</v>
      </c>
      <c r="E589" s="1" t="s">
        <v>1224</v>
      </c>
    </row>
    <row r="590" customFormat="false" ht="15" hidden="false" customHeight="true" outlineLevel="0" collapsed="false">
      <c r="A590" s="1" t="n">
        <v>589</v>
      </c>
      <c r="B590" s="1" t="s">
        <v>918</v>
      </c>
      <c r="C590" s="1" t="s">
        <v>1225</v>
      </c>
      <c r="D590" s="1" t="s">
        <v>15</v>
      </c>
      <c r="E590" s="1" t="s">
        <v>977</v>
      </c>
    </row>
    <row r="591" customFormat="false" ht="15" hidden="false" customHeight="true" outlineLevel="0" collapsed="false">
      <c r="A591" s="1" t="n">
        <v>590</v>
      </c>
      <c r="B591" s="1" t="s">
        <v>335</v>
      </c>
      <c r="C591" s="1" t="s">
        <v>1226</v>
      </c>
      <c r="D591" s="1" t="s">
        <v>864</v>
      </c>
      <c r="E591" s="1" t="s">
        <v>44</v>
      </c>
    </row>
    <row r="592" customFormat="false" ht="15" hidden="false" customHeight="true" outlineLevel="0" collapsed="false">
      <c r="A592" s="1" t="n">
        <v>591</v>
      </c>
      <c r="B592" s="1" t="s">
        <v>1227</v>
      </c>
      <c r="C592" s="1" t="s">
        <v>986</v>
      </c>
      <c r="D592" s="1" t="s">
        <v>402</v>
      </c>
      <c r="E592" s="1" t="s">
        <v>1228</v>
      </c>
    </row>
    <row r="593" customFormat="false" ht="15" hidden="false" customHeight="true" outlineLevel="0" collapsed="false">
      <c r="A593" s="1" t="n">
        <v>592</v>
      </c>
      <c r="B593" s="1" t="s">
        <v>295</v>
      </c>
      <c r="C593" s="1" t="s">
        <v>1229</v>
      </c>
      <c r="D593" s="1" t="s">
        <v>570</v>
      </c>
      <c r="E593" s="1" t="s">
        <v>1230</v>
      </c>
    </row>
    <row r="594" customFormat="false" ht="15" hidden="false" customHeight="true" outlineLevel="0" collapsed="false">
      <c r="A594" s="1" t="n">
        <v>593</v>
      </c>
      <c r="B594" s="1" t="s">
        <v>1231</v>
      </c>
      <c r="C594" s="1" t="s">
        <v>1140</v>
      </c>
      <c r="D594" s="1" t="s">
        <v>217</v>
      </c>
      <c r="E594" s="1" t="s">
        <v>553</v>
      </c>
    </row>
    <row r="595" customFormat="false" ht="15" hidden="false" customHeight="true" outlineLevel="0" collapsed="false">
      <c r="A595" s="1" t="n">
        <v>594</v>
      </c>
      <c r="B595" s="1" t="s">
        <v>1196</v>
      </c>
      <c r="C595" s="1" t="s">
        <v>1216</v>
      </c>
      <c r="D595" s="1" t="s">
        <v>593</v>
      </c>
      <c r="E595" s="1" t="s">
        <v>1232</v>
      </c>
    </row>
    <row r="596" customFormat="false" ht="15" hidden="false" customHeight="true" outlineLevel="0" collapsed="false">
      <c r="A596" s="1" t="n">
        <v>595</v>
      </c>
      <c r="B596" s="1" t="s">
        <v>978</v>
      </c>
      <c r="C596" s="1" t="s">
        <v>1233</v>
      </c>
      <c r="D596" s="1" t="s">
        <v>47</v>
      </c>
      <c r="E596" s="1" t="s">
        <v>1234</v>
      </c>
    </row>
    <row r="597" customFormat="false" ht="15" hidden="false" customHeight="true" outlineLevel="0" collapsed="false">
      <c r="A597" s="1" t="n">
        <v>596</v>
      </c>
      <c r="B597" s="1" t="s">
        <v>344</v>
      </c>
      <c r="C597" s="1" t="s">
        <v>253</v>
      </c>
      <c r="D597" s="1" t="s">
        <v>419</v>
      </c>
      <c r="E597" s="1" t="s">
        <v>767</v>
      </c>
    </row>
    <row r="598" customFormat="false" ht="15" hidden="false" customHeight="true" outlineLevel="0" collapsed="false">
      <c r="A598" s="1" t="n">
        <v>597</v>
      </c>
      <c r="B598" s="1" t="s">
        <v>1235</v>
      </c>
      <c r="C598" s="1" t="s">
        <v>481</v>
      </c>
      <c r="D598" s="1" t="s">
        <v>983</v>
      </c>
      <c r="E598" s="1" t="s">
        <v>1236</v>
      </c>
    </row>
    <row r="599" customFormat="false" ht="15" hidden="false" customHeight="true" outlineLevel="0" collapsed="false">
      <c r="A599" s="1" t="n">
        <v>598</v>
      </c>
      <c r="B599" s="1" t="s">
        <v>1237</v>
      </c>
      <c r="C599" s="1" t="s">
        <v>76</v>
      </c>
      <c r="D599" s="1" t="s">
        <v>23</v>
      </c>
      <c r="E599" s="1" t="s">
        <v>1238</v>
      </c>
    </row>
    <row r="600" customFormat="false" ht="15" hidden="false" customHeight="true" outlineLevel="0" collapsed="false">
      <c r="A600" s="1" t="n">
        <v>599</v>
      </c>
      <c r="B600" s="1" t="s">
        <v>519</v>
      </c>
      <c r="C600" s="1" t="s">
        <v>502</v>
      </c>
      <c r="D600" s="1" t="s">
        <v>880</v>
      </c>
      <c r="E600" s="1" t="s">
        <v>561</v>
      </c>
    </row>
    <row r="601" customFormat="false" ht="15" hidden="false" customHeight="true" outlineLevel="0" collapsed="false">
      <c r="A601" s="1" t="n">
        <v>600</v>
      </c>
      <c r="B601" s="1" t="s">
        <v>1239</v>
      </c>
      <c r="C601" s="1" t="s">
        <v>611</v>
      </c>
      <c r="D601" s="1" t="s">
        <v>167</v>
      </c>
      <c r="E601" s="1" t="s">
        <v>44</v>
      </c>
    </row>
    <row r="602" customFormat="false" ht="15" hidden="false" customHeight="true" outlineLevel="0" collapsed="false">
      <c r="A602" s="1" t="n">
        <v>601</v>
      </c>
      <c r="B602" s="1" t="s">
        <v>1240</v>
      </c>
      <c r="C602" s="1" t="s">
        <v>1241</v>
      </c>
      <c r="D602" s="1" t="s">
        <v>101</v>
      </c>
      <c r="E602" s="1" t="s">
        <v>1160</v>
      </c>
    </row>
    <row r="603" customFormat="false" ht="15" hidden="false" customHeight="true" outlineLevel="0" collapsed="false">
      <c r="A603" s="1" t="n">
        <v>602</v>
      </c>
      <c r="B603" s="1" t="s">
        <v>691</v>
      </c>
      <c r="C603" s="1" t="s">
        <v>375</v>
      </c>
      <c r="D603" s="1" t="s">
        <v>530</v>
      </c>
      <c r="E603" s="1" t="s">
        <v>1242</v>
      </c>
    </row>
    <row r="604" customFormat="false" ht="15" hidden="false" customHeight="true" outlineLevel="0" collapsed="false">
      <c r="A604" s="1" t="n">
        <v>603</v>
      </c>
      <c r="B604" s="1" t="s">
        <v>147</v>
      </c>
      <c r="C604" s="1" t="s">
        <v>1243</v>
      </c>
      <c r="D604" s="1" t="s">
        <v>876</v>
      </c>
      <c r="E604" s="1" t="s">
        <v>1244</v>
      </c>
    </row>
    <row r="605" customFormat="false" ht="15" hidden="false" customHeight="true" outlineLevel="0" collapsed="false">
      <c r="A605" s="1" t="n">
        <v>604</v>
      </c>
      <c r="B605" s="1" t="s">
        <v>347</v>
      </c>
      <c r="C605" s="1" t="s">
        <v>1245</v>
      </c>
      <c r="D605" s="1" t="s">
        <v>442</v>
      </c>
      <c r="E605" s="1" t="s">
        <v>1246</v>
      </c>
    </row>
    <row r="606" customFormat="false" ht="15" hidden="false" customHeight="true" outlineLevel="0" collapsed="false">
      <c r="A606" s="1" t="n">
        <v>605</v>
      </c>
      <c r="B606" s="1" t="s">
        <v>1247</v>
      </c>
      <c r="C606" s="1" t="s">
        <v>1248</v>
      </c>
      <c r="D606" s="1" t="s">
        <v>1249</v>
      </c>
      <c r="E606" s="1" t="s">
        <v>1250</v>
      </c>
    </row>
    <row r="607" customFormat="false" ht="15" hidden="false" customHeight="true" outlineLevel="0" collapsed="false">
      <c r="A607" s="1" t="n">
        <v>606</v>
      </c>
      <c r="B607" s="1" t="s">
        <v>641</v>
      </c>
      <c r="C607" s="1" t="s">
        <v>324</v>
      </c>
      <c r="D607" s="1" t="s">
        <v>837</v>
      </c>
      <c r="E607" s="1" t="s">
        <v>1251</v>
      </c>
    </row>
    <row r="608" customFormat="false" ht="15" hidden="false" customHeight="true" outlineLevel="0" collapsed="false">
      <c r="A608" s="1" t="n">
        <v>607</v>
      </c>
      <c r="B608" s="1" t="s">
        <v>1252</v>
      </c>
      <c r="C608" s="1" t="s">
        <v>1253</v>
      </c>
      <c r="D608" s="1" t="s">
        <v>1254</v>
      </c>
      <c r="E608" s="1" t="s">
        <v>1255</v>
      </c>
    </row>
    <row r="609" customFormat="false" ht="15" hidden="false" customHeight="true" outlineLevel="0" collapsed="false">
      <c r="A609" s="1" t="n">
        <v>608</v>
      </c>
      <c r="B609" s="1" t="s">
        <v>1119</v>
      </c>
      <c r="C609" s="1" t="s">
        <v>686</v>
      </c>
      <c r="D609" s="1" t="s">
        <v>884</v>
      </c>
      <c r="E609" s="1" t="s">
        <v>1256</v>
      </c>
    </row>
    <row r="610" customFormat="false" ht="15" hidden="false" customHeight="true" outlineLevel="0" collapsed="false">
      <c r="A610" s="1" t="n">
        <v>609</v>
      </c>
      <c r="B610" s="1" t="s">
        <v>1257</v>
      </c>
      <c r="C610" s="1" t="s">
        <v>793</v>
      </c>
      <c r="D610" s="1" t="s">
        <v>919</v>
      </c>
      <c r="E610" s="1" t="s">
        <v>1258</v>
      </c>
    </row>
    <row r="611" customFormat="false" ht="15" hidden="false" customHeight="true" outlineLevel="0" collapsed="false">
      <c r="A611" s="1" t="n">
        <v>610</v>
      </c>
      <c r="B611" s="1" t="s">
        <v>60</v>
      </c>
      <c r="C611" s="1" t="s">
        <v>50</v>
      </c>
      <c r="D611" s="1" t="s">
        <v>1193</v>
      </c>
      <c r="E611" s="1" t="s">
        <v>44</v>
      </c>
    </row>
    <row r="612" customFormat="false" ht="15" hidden="false" customHeight="true" outlineLevel="0" collapsed="false">
      <c r="A612" s="1" t="n">
        <v>611</v>
      </c>
      <c r="B612" s="1" t="s">
        <v>1097</v>
      </c>
      <c r="C612" s="1" t="s">
        <v>118</v>
      </c>
      <c r="D612" s="1" t="s">
        <v>345</v>
      </c>
      <c r="E612" s="1" t="s">
        <v>1259</v>
      </c>
    </row>
    <row r="613" customFormat="false" ht="15" hidden="false" customHeight="true" outlineLevel="0" collapsed="false">
      <c r="A613" s="1" t="n">
        <v>612</v>
      </c>
      <c r="B613" s="1" t="s">
        <v>499</v>
      </c>
      <c r="C613" s="1" t="s">
        <v>1260</v>
      </c>
      <c r="D613" s="1" t="s">
        <v>97</v>
      </c>
      <c r="E613" s="1" t="s">
        <v>1261</v>
      </c>
    </row>
    <row r="614" customFormat="false" ht="15" hidden="false" customHeight="true" outlineLevel="0" collapsed="false">
      <c r="A614" s="1" t="n">
        <v>613</v>
      </c>
      <c r="B614" s="1" t="s">
        <v>1093</v>
      </c>
      <c r="C614" s="1" t="s">
        <v>144</v>
      </c>
      <c r="D614" s="1" t="s">
        <v>1262</v>
      </c>
      <c r="E614" s="1" t="s">
        <v>1263</v>
      </c>
    </row>
    <row r="615" customFormat="false" ht="15" hidden="false" customHeight="true" outlineLevel="0" collapsed="false">
      <c r="A615" s="1" t="n">
        <v>614</v>
      </c>
      <c r="B615" s="1" t="s">
        <v>1264</v>
      </c>
      <c r="C615" s="1" t="s">
        <v>306</v>
      </c>
      <c r="D615" s="1" t="s">
        <v>1265</v>
      </c>
      <c r="E615" s="1" t="s">
        <v>821</v>
      </c>
    </row>
    <row r="616" customFormat="false" ht="15" hidden="false" customHeight="true" outlineLevel="0" collapsed="false">
      <c r="A616" s="1" t="n">
        <v>615</v>
      </c>
      <c r="B616" s="1" t="s">
        <v>1235</v>
      </c>
      <c r="C616" s="1" t="s">
        <v>22</v>
      </c>
      <c r="D616" s="1" t="s">
        <v>399</v>
      </c>
      <c r="E616" s="1" t="s">
        <v>1266</v>
      </c>
    </row>
    <row r="617" customFormat="false" ht="15" hidden="false" customHeight="true" outlineLevel="0" collapsed="false">
      <c r="A617" s="1" t="n">
        <v>616</v>
      </c>
      <c r="B617" s="1" t="s">
        <v>1267</v>
      </c>
      <c r="C617" s="1" t="s">
        <v>505</v>
      </c>
      <c r="D617" s="1" t="s">
        <v>145</v>
      </c>
      <c r="E617" s="1" t="s">
        <v>1268</v>
      </c>
    </row>
    <row r="618" customFormat="false" ht="15" hidden="false" customHeight="true" outlineLevel="0" collapsed="false">
      <c r="A618" s="1" t="n">
        <v>617</v>
      </c>
      <c r="B618" s="1" t="s">
        <v>153</v>
      </c>
      <c r="C618" s="1" t="s">
        <v>387</v>
      </c>
      <c r="D618" s="1" t="s">
        <v>728</v>
      </c>
      <c r="E618" s="1" t="s">
        <v>1269</v>
      </c>
    </row>
    <row r="619" customFormat="false" ht="15" hidden="false" customHeight="true" outlineLevel="0" collapsed="false">
      <c r="A619" s="1" t="n">
        <v>618</v>
      </c>
      <c r="B619" s="1" t="s">
        <v>1270</v>
      </c>
      <c r="C619" s="1" t="s">
        <v>1188</v>
      </c>
      <c r="D619" s="1" t="s">
        <v>1165</v>
      </c>
      <c r="E619" s="1" t="s">
        <v>694</v>
      </c>
    </row>
    <row r="620" customFormat="false" ht="15" hidden="false" customHeight="true" outlineLevel="0" collapsed="false">
      <c r="A620" s="1" t="n">
        <v>619</v>
      </c>
      <c r="B620" s="1" t="s">
        <v>978</v>
      </c>
      <c r="C620" s="1" t="s">
        <v>1271</v>
      </c>
      <c r="D620" s="1" t="s">
        <v>450</v>
      </c>
      <c r="E620" s="1" t="s">
        <v>322</v>
      </c>
    </row>
    <row r="621" customFormat="false" ht="15" hidden="false" customHeight="true" outlineLevel="0" collapsed="false">
      <c r="A621" s="1" t="n">
        <v>620</v>
      </c>
      <c r="B621" s="1" t="s">
        <v>852</v>
      </c>
      <c r="C621" s="1" t="s">
        <v>464</v>
      </c>
      <c r="D621" s="1" t="s">
        <v>1272</v>
      </c>
      <c r="E621" s="1" t="s">
        <v>44</v>
      </c>
    </row>
    <row r="622" customFormat="false" ht="15" hidden="false" customHeight="true" outlineLevel="0" collapsed="false">
      <c r="A622" s="1" t="n">
        <v>621</v>
      </c>
      <c r="B622" s="1" t="s">
        <v>165</v>
      </c>
      <c r="C622" s="1" t="s">
        <v>1253</v>
      </c>
      <c r="D622" s="1" t="s">
        <v>482</v>
      </c>
      <c r="E622" s="1" t="s">
        <v>1273</v>
      </c>
    </row>
    <row r="623" customFormat="false" ht="15" hidden="false" customHeight="true" outlineLevel="0" collapsed="false">
      <c r="A623" s="1" t="n">
        <v>622</v>
      </c>
      <c r="B623" s="1" t="s">
        <v>499</v>
      </c>
      <c r="C623" s="1" t="s">
        <v>1274</v>
      </c>
      <c r="D623" s="1" t="s">
        <v>746</v>
      </c>
      <c r="E623" s="1" t="s">
        <v>1275</v>
      </c>
    </row>
    <row r="624" customFormat="false" ht="15" hidden="false" customHeight="true" outlineLevel="0" collapsed="false">
      <c r="A624" s="1" t="n">
        <v>623</v>
      </c>
      <c r="B624" s="1" t="s">
        <v>1231</v>
      </c>
      <c r="C624" s="1" t="s">
        <v>202</v>
      </c>
      <c r="D624" s="1" t="s">
        <v>282</v>
      </c>
      <c r="E624" s="1" t="s">
        <v>921</v>
      </c>
    </row>
    <row r="625" customFormat="false" ht="15" hidden="false" customHeight="true" outlineLevel="0" collapsed="false">
      <c r="A625" s="1" t="n">
        <v>624</v>
      </c>
      <c r="B625" s="1" t="s">
        <v>440</v>
      </c>
      <c r="C625" s="1" t="s">
        <v>6</v>
      </c>
      <c r="D625" s="1" t="s">
        <v>828</v>
      </c>
      <c r="E625" s="1" t="s">
        <v>1238</v>
      </c>
    </row>
    <row r="626" customFormat="false" ht="15" hidden="false" customHeight="true" outlineLevel="0" collapsed="false">
      <c r="A626" s="1" t="n">
        <v>625</v>
      </c>
      <c r="B626" s="1" t="s">
        <v>1276</v>
      </c>
      <c r="C626" s="1" t="s">
        <v>418</v>
      </c>
      <c r="D626" s="1" t="s">
        <v>313</v>
      </c>
      <c r="E626" s="1" t="s">
        <v>1277</v>
      </c>
    </row>
    <row r="627" customFormat="false" ht="15" hidden="false" customHeight="true" outlineLevel="0" collapsed="false">
      <c r="A627" s="1" t="n">
        <v>626</v>
      </c>
      <c r="B627" s="1" t="s">
        <v>964</v>
      </c>
      <c r="C627" s="1" t="s">
        <v>962</v>
      </c>
      <c r="D627" s="1" t="s">
        <v>783</v>
      </c>
      <c r="E627" s="1" t="s">
        <v>1278</v>
      </c>
    </row>
    <row r="628" customFormat="false" ht="15" hidden="false" customHeight="true" outlineLevel="0" collapsed="false">
      <c r="A628" s="1" t="n">
        <v>627</v>
      </c>
      <c r="B628" s="1" t="s">
        <v>1090</v>
      </c>
      <c r="C628" s="1" t="s">
        <v>212</v>
      </c>
      <c r="D628" s="1" t="s">
        <v>783</v>
      </c>
      <c r="E628" s="1" t="s">
        <v>1230</v>
      </c>
    </row>
    <row r="629" customFormat="false" ht="15" hidden="false" customHeight="true" outlineLevel="0" collapsed="false">
      <c r="A629" s="1" t="n">
        <v>628</v>
      </c>
      <c r="B629" s="1" t="s">
        <v>1279</v>
      </c>
      <c r="C629" s="1" t="s">
        <v>941</v>
      </c>
      <c r="D629" s="1" t="s">
        <v>269</v>
      </c>
      <c r="E629" s="1" t="s">
        <v>1280</v>
      </c>
    </row>
    <row r="630" customFormat="false" ht="15" hidden="false" customHeight="true" outlineLevel="0" collapsed="false">
      <c r="A630" s="1" t="n">
        <v>629</v>
      </c>
      <c r="B630" s="1" t="s">
        <v>727</v>
      </c>
      <c r="C630" s="1" t="s">
        <v>144</v>
      </c>
      <c r="D630" s="1" t="s">
        <v>880</v>
      </c>
      <c r="E630" s="1" t="s">
        <v>183</v>
      </c>
    </row>
    <row r="631" customFormat="false" ht="15" hidden="false" customHeight="true" outlineLevel="0" collapsed="false">
      <c r="A631" s="1" t="n">
        <v>630</v>
      </c>
      <c r="B631" s="1" t="s">
        <v>631</v>
      </c>
      <c r="C631" s="1" t="s">
        <v>1281</v>
      </c>
      <c r="D631" s="1" t="s">
        <v>325</v>
      </c>
      <c r="E631" s="1" t="s">
        <v>44</v>
      </c>
    </row>
    <row r="632" customFormat="false" ht="15" hidden="false" customHeight="true" outlineLevel="0" collapsed="false">
      <c r="A632" s="1" t="n">
        <v>631</v>
      </c>
      <c r="B632" s="1" t="s">
        <v>111</v>
      </c>
      <c r="C632" s="1" t="s">
        <v>144</v>
      </c>
      <c r="D632" s="1" t="s">
        <v>123</v>
      </c>
      <c r="E632" s="1" t="s">
        <v>1282</v>
      </c>
    </row>
    <row r="633" customFormat="false" ht="15" hidden="false" customHeight="true" outlineLevel="0" collapsed="false">
      <c r="A633" s="1" t="n">
        <v>632</v>
      </c>
      <c r="B633" s="1" t="s">
        <v>820</v>
      </c>
      <c r="C633" s="1" t="s">
        <v>418</v>
      </c>
      <c r="D633" s="1" t="s">
        <v>213</v>
      </c>
      <c r="E633" s="1" t="s">
        <v>1283</v>
      </c>
    </row>
    <row r="634" customFormat="false" ht="15" hidden="false" customHeight="true" outlineLevel="0" collapsed="false">
      <c r="A634" s="1" t="n">
        <v>633</v>
      </c>
      <c r="B634" s="1" t="s">
        <v>1070</v>
      </c>
      <c r="C634" s="1" t="s">
        <v>823</v>
      </c>
      <c r="D634" s="1" t="s">
        <v>450</v>
      </c>
      <c r="E634" s="1" t="s">
        <v>1284</v>
      </c>
    </row>
    <row r="635" customFormat="false" ht="15" hidden="false" customHeight="true" outlineLevel="0" collapsed="false">
      <c r="A635" s="1" t="n">
        <v>634</v>
      </c>
      <c r="B635" s="1" t="s">
        <v>713</v>
      </c>
      <c r="C635" s="1" t="s">
        <v>1285</v>
      </c>
      <c r="D635" s="1" t="s">
        <v>97</v>
      </c>
      <c r="E635" s="1" t="s">
        <v>1286</v>
      </c>
    </row>
    <row r="636" customFormat="false" ht="15" hidden="false" customHeight="true" outlineLevel="0" collapsed="false">
      <c r="A636" s="1" t="n">
        <v>635</v>
      </c>
      <c r="B636" s="1" t="s">
        <v>782</v>
      </c>
      <c r="C636" s="1" t="s">
        <v>455</v>
      </c>
      <c r="D636" s="1" t="s">
        <v>145</v>
      </c>
      <c r="E636" s="1" t="s">
        <v>236</v>
      </c>
    </row>
    <row r="637" customFormat="false" ht="15" hidden="false" customHeight="true" outlineLevel="0" collapsed="false">
      <c r="A637" s="1" t="n">
        <v>636</v>
      </c>
      <c r="B637" s="1" t="s">
        <v>207</v>
      </c>
      <c r="C637" s="1" t="s">
        <v>65</v>
      </c>
      <c r="D637" s="1" t="s">
        <v>82</v>
      </c>
      <c r="E637" s="1" t="s">
        <v>1287</v>
      </c>
    </row>
    <row r="638" customFormat="false" ht="15" hidden="false" customHeight="true" outlineLevel="0" collapsed="false">
      <c r="A638" s="1" t="n">
        <v>637</v>
      </c>
      <c r="B638" s="1" t="s">
        <v>1288</v>
      </c>
      <c r="C638" s="1" t="s">
        <v>1289</v>
      </c>
      <c r="D638" s="1" t="s">
        <v>698</v>
      </c>
      <c r="E638" s="1" t="s">
        <v>1290</v>
      </c>
    </row>
    <row r="639" customFormat="false" ht="15" hidden="false" customHeight="true" outlineLevel="0" collapsed="false">
      <c r="A639" s="1" t="n">
        <v>638</v>
      </c>
      <c r="B639" s="1" t="s">
        <v>1291</v>
      </c>
      <c r="C639" s="1" t="s">
        <v>752</v>
      </c>
      <c r="D639" s="1" t="s">
        <v>426</v>
      </c>
      <c r="E639" s="1" t="s">
        <v>1292</v>
      </c>
    </row>
    <row r="640" customFormat="false" ht="15" hidden="false" customHeight="true" outlineLevel="0" collapsed="false">
      <c r="A640" s="1" t="n">
        <v>639</v>
      </c>
      <c r="B640" s="1" t="s">
        <v>1123</v>
      </c>
      <c r="C640" s="1" t="s">
        <v>122</v>
      </c>
      <c r="D640" s="1" t="s">
        <v>612</v>
      </c>
      <c r="E640" s="1" t="s">
        <v>1293</v>
      </c>
    </row>
    <row r="641" customFormat="false" ht="15" hidden="false" customHeight="true" outlineLevel="0" collapsed="false">
      <c r="A641" s="1" t="n">
        <v>640</v>
      </c>
      <c r="B641" s="1" t="s">
        <v>706</v>
      </c>
      <c r="C641" s="1" t="s">
        <v>387</v>
      </c>
      <c r="D641" s="1" t="s">
        <v>231</v>
      </c>
      <c r="E641" s="1" t="s">
        <v>44</v>
      </c>
    </row>
    <row r="642" customFormat="false" ht="15" hidden="false" customHeight="true" outlineLevel="0" collapsed="false">
      <c r="A642" s="1" t="n">
        <v>641</v>
      </c>
      <c r="B642" s="1" t="s">
        <v>1294</v>
      </c>
      <c r="C642" s="1" t="s">
        <v>1098</v>
      </c>
      <c r="D642" s="1" t="s">
        <v>411</v>
      </c>
      <c r="E642" s="1" t="s">
        <v>1295</v>
      </c>
    </row>
    <row r="643" customFormat="false" ht="15" hidden="false" customHeight="true" outlineLevel="0" collapsed="false">
      <c r="A643" s="1" t="n">
        <v>642</v>
      </c>
      <c r="B643" s="1" t="s">
        <v>207</v>
      </c>
      <c r="C643" s="1" t="s">
        <v>1296</v>
      </c>
      <c r="D643" s="1" t="s">
        <v>734</v>
      </c>
      <c r="E643" s="1" t="s">
        <v>1297</v>
      </c>
    </row>
    <row r="644" customFormat="false" ht="15" hidden="false" customHeight="true" outlineLevel="0" collapsed="false">
      <c r="A644" s="1" t="n">
        <v>643</v>
      </c>
      <c r="B644" s="1" t="s">
        <v>394</v>
      </c>
      <c r="C644" s="1" t="s">
        <v>505</v>
      </c>
      <c r="D644" s="1" t="s">
        <v>194</v>
      </c>
      <c r="E644" s="1" t="s">
        <v>12</v>
      </c>
    </row>
    <row r="645" customFormat="false" ht="15" hidden="false" customHeight="true" outlineLevel="0" collapsed="false">
      <c r="A645" s="1" t="n">
        <v>644</v>
      </c>
      <c r="B645" s="1" t="s">
        <v>995</v>
      </c>
      <c r="C645" s="1" t="s">
        <v>144</v>
      </c>
      <c r="D645" s="1" t="s">
        <v>163</v>
      </c>
      <c r="E645" s="1" t="s">
        <v>424</v>
      </c>
    </row>
    <row r="646" customFormat="false" ht="15" hidden="false" customHeight="true" outlineLevel="0" collapsed="false">
      <c r="A646" s="1" t="n">
        <v>645</v>
      </c>
      <c r="B646" s="1" t="s">
        <v>1014</v>
      </c>
      <c r="C646" s="1" t="s">
        <v>1140</v>
      </c>
      <c r="D646" s="1" t="s">
        <v>178</v>
      </c>
      <c r="E646" s="1" t="s">
        <v>1298</v>
      </c>
    </row>
    <row r="647" customFormat="false" ht="15" hidden="false" customHeight="true" outlineLevel="0" collapsed="false">
      <c r="A647" s="1" t="n">
        <v>646</v>
      </c>
      <c r="B647" s="1" t="s">
        <v>218</v>
      </c>
      <c r="C647" s="1" t="s">
        <v>1226</v>
      </c>
      <c r="D647" s="1" t="s">
        <v>378</v>
      </c>
      <c r="E647" s="1" t="s">
        <v>1166</v>
      </c>
    </row>
    <row r="648" customFormat="false" ht="15" hidden="false" customHeight="true" outlineLevel="0" collapsed="false">
      <c r="A648" s="1" t="n">
        <v>647</v>
      </c>
      <c r="B648" s="1" t="s">
        <v>1299</v>
      </c>
      <c r="C648" s="1" t="s">
        <v>6</v>
      </c>
      <c r="D648" s="1" t="s">
        <v>903</v>
      </c>
      <c r="E648" s="1" t="s">
        <v>203</v>
      </c>
    </row>
    <row r="649" customFormat="false" ht="15" hidden="false" customHeight="true" outlineLevel="0" collapsed="false">
      <c r="A649" s="1" t="n">
        <v>648</v>
      </c>
      <c r="B649" s="1" t="s">
        <v>479</v>
      </c>
      <c r="C649" s="1" t="s">
        <v>493</v>
      </c>
      <c r="D649" s="1" t="s">
        <v>837</v>
      </c>
      <c r="E649" s="1" t="s">
        <v>1300</v>
      </c>
    </row>
    <row r="650" customFormat="false" ht="15" hidden="false" customHeight="true" outlineLevel="0" collapsed="false">
      <c r="A650" s="1" t="n">
        <v>649</v>
      </c>
      <c r="B650" s="1" t="s">
        <v>404</v>
      </c>
      <c r="C650" s="1" t="s">
        <v>1038</v>
      </c>
      <c r="D650" s="1" t="s">
        <v>134</v>
      </c>
      <c r="E650" s="1" t="s">
        <v>1301</v>
      </c>
    </row>
    <row r="651" customFormat="false" ht="15" hidden="false" customHeight="true" outlineLevel="0" collapsed="false">
      <c r="A651" s="1" t="n">
        <v>650</v>
      </c>
      <c r="B651" s="1" t="s">
        <v>347</v>
      </c>
      <c r="C651" s="1" t="s">
        <v>1161</v>
      </c>
      <c r="D651" s="1" t="s">
        <v>828</v>
      </c>
      <c r="E651" s="1" t="s">
        <v>44</v>
      </c>
    </row>
    <row r="652" customFormat="false" ht="15" hidden="false" customHeight="true" outlineLevel="0" collapsed="false">
      <c r="A652" s="1" t="n">
        <v>651</v>
      </c>
      <c r="B652" s="1" t="s">
        <v>9</v>
      </c>
      <c r="C652" s="1" t="s">
        <v>341</v>
      </c>
      <c r="D652" s="1" t="s">
        <v>612</v>
      </c>
      <c r="E652" s="1" t="s">
        <v>1302</v>
      </c>
    </row>
    <row r="653" customFormat="false" ht="15" hidden="false" customHeight="true" outlineLevel="0" collapsed="false">
      <c r="A653" s="1" t="n">
        <v>652</v>
      </c>
      <c r="B653" s="1" t="s">
        <v>1164</v>
      </c>
      <c r="C653" s="1" t="s">
        <v>68</v>
      </c>
      <c r="D653" s="1" t="s">
        <v>1175</v>
      </c>
      <c r="E653" s="1" t="s">
        <v>1303</v>
      </c>
    </row>
    <row r="654" customFormat="false" ht="15" hidden="false" customHeight="true" outlineLevel="0" collapsed="false">
      <c r="A654" s="1" t="n">
        <v>653</v>
      </c>
      <c r="B654" s="1" t="s">
        <v>896</v>
      </c>
      <c r="C654" s="1" t="s">
        <v>318</v>
      </c>
      <c r="D654" s="1" t="s">
        <v>286</v>
      </c>
      <c r="E654" s="1" t="s">
        <v>1304</v>
      </c>
    </row>
    <row r="655" customFormat="false" ht="15" hidden="false" customHeight="true" outlineLevel="0" collapsed="false">
      <c r="A655" s="1" t="n">
        <v>654</v>
      </c>
      <c r="B655" s="1" t="s">
        <v>819</v>
      </c>
      <c r="C655" s="1" t="s">
        <v>1305</v>
      </c>
      <c r="D655" s="1" t="s">
        <v>480</v>
      </c>
      <c r="E655" s="1" t="s">
        <v>1306</v>
      </c>
    </row>
    <row r="656" customFormat="false" ht="15" hidden="false" customHeight="true" outlineLevel="0" collapsed="false">
      <c r="A656" s="1" t="n">
        <v>655</v>
      </c>
      <c r="B656" s="1" t="s">
        <v>1024</v>
      </c>
      <c r="C656" s="1" t="s">
        <v>555</v>
      </c>
      <c r="D656" s="1" t="s">
        <v>783</v>
      </c>
      <c r="E656" s="1" t="s">
        <v>1259</v>
      </c>
    </row>
    <row r="657" customFormat="false" ht="15" hidden="false" customHeight="true" outlineLevel="0" collapsed="false">
      <c r="A657" s="1" t="n">
        <v>656</v>
      </c>
      <c r="B657" s="1" t="s">
        <v>184</v>
      </c>
      <c r="C657" s="1" t="s">
        <v>410</v>
      </c>
      <c r="D657" s="1" t="s">
        <v>667</v>
      </c>
      <c r="E657" s="1" t="s">
        <v>1307</v>
      </c>
    </row>
    <row r="658" customFormat="false" ht="15" hidden="false" customHeight="true" outlineLevel="0" collapsed="false">
      <c r="A658" s="1" t="n">
        <v>657</v>
      </c>
      <c r="B658" s="1" t="s">
        <v>981</v>
      </c>
      <c r="C658" s="1" t="s">
        <v>962</v>
      </c>
      <c r="D658" s="1" t="s">
        <v>737</v>
      </c>
      <c r="E658" s="1" t="s">
        <v>434</v>
      </c>
    </row>
    <row r="659" customFormat="false" ht="15" hidden="false" customHeight="true" outlineLevel="0" collapsed="false">
      <c r="A659" s="1" t="n">
        <v>658</v>
      </c>
      <c r="B659" s="1" t="s">
        <v>1308</v>
      </c>
      <c r="C659" s="1" t="s">
        <v>244</v>
      </c>
      <c r="D659" s="1" t="s">
        <v>304</v>
      </c>
      <c r="E659" s="1" t="s">
        <v>1309</v>
      </c>
    </row>
    <row r="660" customFormat="false" ht="15" hidden="false" customHeight="true" outlineLevel="0" collapsed="false">
      <c r="A660" s="1" t="n">
        <v>659</v>
      </c>
      <c r="B660" s="1" t="s">
        <v>1310</v>
      </c>
      <c r="C660" s="1" t="s">
        <v>915</v>
      </c>
      <c r="D660" s="1" t="s">
        <v>137</v>
      </c>
      <c r="E660" s="1" t="s">
        <v>1311</v>
      </c>
    </row>
    <row r="661" customFormat="false" ht="15" hidden="false" customHeight="true" outlineLevel="0" collapsed="false">
      <c r="A661" s="1" t="n">
        <v>660</v>
      </c>
      <c r="B661" s="1" t="s">
        <v>518</v>
      </c>
      <c r="C661" s="1" t="s">
        <v>502</v>
      </c>
      <c r="D661" s="1" t="s">
        <v>213</v>
      </c>
      <c r="E661" s="1" t="s">
        <v>44</v>
      </c>
    </row>
    <row r="662" customFormat="false" ht="15" hidden="false" customHeight="true" outlineLevel="0" collapsed="false">
      <c r="A662" s="1" t="n">
        <v>661</v>
      </c>
      <c r="B662" s="1" t="s">
        <v>1182</v>
      </c>
      <c r="C662" s="1" t="s">
        <v>1312</v>
      </c>
      <c r="D662" s="1" t="s">
        <v>82</v>
      </c>
      <c r="E662" s="1" t="s">
        <v>478</v>
      </c>
    </row>
    <row r="663" customFormat="false" ht="15" hidden="false" customHeight="true" outlineLevel="0" collapsed="false">
      <c r="A663" s="1" t="n">
        <v>662</v>
      </c>
      <c r="B663" s="1" t="s">
        <v>916</v>
      </c>
      <c r="C663" s="1" t="s">
        <v>693</v>
      </c>
      <c r="D663" s="1" t="s">
        <v>399</v>
      </c>
      <c r="E663" s="1" t="s">
        <v>1313</v>
      </c>
    </row>
    <row r="664" customFormat="false" ht="15" hidden="false" customHeight="true" outlineLevel="0" collapsed="false">
      <c r="A664" s="1" t="n">
        <v>663</v>
      </c>
      <c r="B664" s="1" t="s">
        <v>1314</v>
      </c>
      <c r="C664" s="1" t="s">
        <v>538</v>
      </c>
      <c r="D664" s="1" t="s">
        <v>734</v>
      </c>
      <c r="E664" s="1" t="s">
        <v>1315</v>
      </c>
    </row>
    <row r="665" customFormat="false" ht="15" hidden="false" customHeight="true" outlineLevel="0" collapsed="false">
      <c r="A665" s="1" t="n">
        <v>664</v>
      </c>
      <c r="B665" s="1" t="s">
        <v>1316</v>
      </c>
      <c r="C665" s="1" t="s">
        <v>118</v>
      </c>
      <c r="D665" s="1" t="s">
        <v>119</v>
      </c>
      <c r="E665" s="1" t="s">
        <v>1317</v>
      </c>
    </row>
    <row r="666" customFormat="false" ht="15" hidden="false" customHeight="true" outlineLevel="0" collapsed="false">
      <c r="A666" s="1" t="n">
        <v>665</v>
      </c>
      <c r="B666" s="1" t="s">
        <v>533</v>
      </c>
      <c r="C666" s="1" t="s">
        <v>547</v>
      </c>
      <c r="D666" s="1" t="s">
        <v>330</v>
      </c>
      <c r="E666" s="1" t="s">
        <v>1221</v>
      </c>
    </row>
    <row r="667" customFormat="false" ht="15" hidden="false" customHeight="true" outlineLevel="0" collapsed="false">
      <c r="A667" s="1" t="n">
        <v>666</v>
      </c>
      <c r="B667" s="1" t="s">
        <v>961</v>
      </c>
      <c r="C667" s="1" t="s">
        <v>244</v>
      </c>
      <c r="D667" s="1" t="s">
        <v>395</v>
      </c>
      <c r="E667" s="1" t="s">
        <v>1318</v>
      </c>
    </row>
    <row r="668" customFormat="false" ht="15" hidden="false" customHeight="true" outlineLevel="0" collapsed="false">
      <c r="A668" s="1" t="n">
        <v>667</v>
      </c>
      <c r="B668" s="1" t="s">
        <v>1319</v>
      </c>
      <c r="C668" s="1" t="s">
        <v>1320</v>
      </c>
      <c r="D668" s="1" t="s">
        <v>105</v>
      </c>
      <c r="E668" s="1" t="s">
        <v>1321</v>
      </c>
    </row>
    <row r="669" customFormat="false" ht="15" hidden="false" customHeight="true" outlineLevel="0" collapsed="false">
      <c r="A669" s="1" t="n">
        <v>668</v>
      </c>
      <c r="B669" s="1" t="s">
        <v>29</v>
      </c>
      <c r="C669" s="1" t="s">
        <v>1140</v>
      </c>
      <c r="D669" s="1" t="s">
        <v>399</v>
      </c>
      <c r="E669" s="1" t="s">
        <v>366</v>
      </c>
    </row>
    <row r="670" customFormat="false" ht="15" hidden="false" customHeight="true" outlineLevel="0" collapsed="false">
      <c r="A670" s="1" t="n">
        <v>669</v>
      </c>
      <c r="B670" s="1" t="s">
        <v>358</v>
      </c>
      <c r="C670" s="1" t="s">
        <v>979</v>
      </c>
      <c r="D670" s="1" t="s">
        <v>607</v>
      </c>
      <c r="E670" s="1" t="s">
        <v>802</v>
      </c>
    </row>
    <row r="671" customFormat="false" ht="15" hidden="false" customHeight="true" outlineLevel="0" collapsed="false">
      <c r="A671" s="1" t="n">
        <v>670</v>
      </c>
      <c r="B671" s="1" t="s">
        <v>128</v>
      </c>
      <c r="C671" s="1" t="s">
        <v>22</v>
      </c>
      <c r="D671" s="1" t="s">
        <v>384</v>
      </c>
      <c r="E671" s="1" t="s">
        <v>44</v>
      </c>
    </row>
    <row r="672" customFormat="false" ht="15" hidden="false" customHeight="true" outlineLevel="0" collapsed="false">
      <c r="A672" s="1" t="n">
        <v>671</v>
      </c>
      <c r="B672" s="1" t="s">
        <v>1322</v>
      </c>
      <c r="C672" s="1" t="s">
        <v>1015</v>
      </c>
      <c r="D672" s="1" t="s">
        <v>411</v>
      </c>
      <c r="E672" s="1" t="s">
        <v>1323</v>
      </c>
    </row>
    <row r="673" customFormat="false" ht="15" hidden="false" customHeight="true" outlineLevel="0" collapsed="false">
      <c r="A673" s="1" t="n">
        <v>672</v>
      </c>
      <c r="B673" s="1" t="s">
        <v>564</v>
      </c>
      <c r="C673" s="1" t="s">
        <v>647</v>
      </c>
      <c r="D673" s="1" t="s">
        <v>119</v>
      </c>
      <c r="E673" s="1" t="s">
        <v>191</v>
      </c>
    </row>
    <row r="674" customFormat="false" ht="15" hidden="false" customHeight="true" outlineLevel="0" collapsed="false">
      <c r="A674" s="1" t="n">
        <v>673</v>
      </c>
      <c r="B674" s="1" t="s">
        <v>800</v>
      </c>
      <c r="C674" s="1" t="s">
        <v>484</v>
      </c>
      <c r="D674" s="1" t="s">
        <v>369</v>
      </c>
      <c r="E674" s="1" t="s">
        <v>272</v>
      </c>
    </row>
    <row r="675" customFormat="false" ht="15" hidden="false" customHeight="true" outlineLevel="0" collapsed="false">
      <c r="A675" s="1" t="n">
        <v>674</v>
      </c>
      <c r="B675" s="1" t="s">
        <v>45</v>
      </c>
      <c r="C675" s="1" t="s">
        <v>1324</v>
      </c>
      <c r="D675" s="1" t="s">
        <v>446</v>
      </c>
      <c r="E675" s="1" t="s">
        <v>110</v>
      </c>
    </row>
    <row r="676" customFormat="false" ht="15" hidden="false" customHeight="true" outlineLevel="0" collapsed="false">
      <c r="A676" s="1" t="n">
        <v>675</v>
      </c>
      <c r="B676" s="1" t="s">
        <v>601</v>
      </c>
      <c r="C676" s="1" t="s">
        <v>962</v>
      </c>
      <c r="D676" s="1" t="s">
        <v>130</v>
      </c>
      <c r="E676" s="1" t="s">
        <v>8</v>
      </c>
    </row>
    <row r="677" customFormat="false" ht="15" hidden="false" customHeight="true" outlineLevel="0" collapsed="false">
      <c r="A677" s="1" t="n">
        <v>676</v>
      </c>
      <c r="B677" s="1" t="s">
        <v>1325</v>
      </c>
      <c r="C677" s="1" t="s">
        <v>34</v>
      </c>
      <c r="D677" s="1" t="s">
        <v>90</v>
      </c>
      <c r="E677" s="1" t="s">
        <v>1326</v>
      </c>
    </row>
    <row r="678" customFormat="false" ht="15" hidden="false" customHeight="true" outlineLevel="0" collapsed="false">
      <c r="A678" s="1" t="n">
        <v>677</v>
      </c>
      <c r="B678" s="1" t="s">
        <v>893</v>
      </c>
      <c r="C678" s="1" t="s">
        <v>804</v>
      </c>
      <c r="D678" s="1" t="s">
        <v>241</v>
      </c>
      <c r="E678" s="1" t="s">
        <v>357</v>
      </c>
    </row>
    <row r="679" customFormat="false" ht="15" hidden="false" customHeight="true" outlineLevel="0" collapsed="false">
      <c r="A679" s="1" t="n">
        <v>678</v>
      </c>
      <c r="B679" s="1" t="s">
        <v>486</v>
      </c>
      <c r="C679" s="1" t="s">
        <v>547</v>
      </c>
      <c r="D679" s="1" t="s">
        <v>446</v>
      </c>
      <c r="E679" s="1" t="s">
        <v>1327</v>
      </c>
    </row>
    <row r="680" customFormat="false" ht="15" hidden="false" customHeight="true" outlineLevel="0" collapsed="false">
      <c r="A680" s="1" t="n">
        <v>679</v>
      </c>
      <c r="B680" s="1" t="s">
        <v>617</v>
      </c>
      <c r="C680" s="1" t="s">
        <v>611</v>
      </c>
      <c r="D680" s="1" t="s">
        <v>280</v>
      </c>
      <c r="E680" s="1" t="s">
        <v>1328</v>
      </c>
    </row>
    <row r="681" customFormat="false" ht="15" hidden="false" customHeight="true" outlineLevel="0" collapsed="false">
      <c r="A681" s="1" t="n">
        <v>680</v>
      </c>
      <c r="B681" s="1" t="s">
        <v>676</v>
      </c>
      <c r="C681" s="1" t="s">
        <v>962</v>
      </c>
      <c r="D681" s="1" t="s">
        <v>532</v>
      </c>
      <c r="E681" s="1" t="s">
        <v>44</v>
      </c>
    </row>
    <row r="682" customFormat="false" ht="15" hidden="false" customHeight="true" outlineLevel="0" collapsed="false">
      <c r="A682" s="1" t="n">
        <v>681</v>
      </c>
      <c r="B682" s="1" t="s">
        <v>33</v>
      </c>
      <c r="C682" s="1" t="s">
        <v>653</v>
      </c>
      <c r="D682" s="1" t="s">
        <v>123</v>
      </c>
      <c r="E682" s="1" t="s">
        <v>594</v>
      </c>
    </row>
    <row r="683" customFormat="false" ht="15" hidden="false" customHeight="true" outlineLevel="0" collapsed="false">
      <c r="A683" s="1" t="n">
        <v>682</v>
      </c>
      <c r="B683" s="1" t="s">
        <v>773</v>
      </c>
      <c r="C683" s="1" t="s">
        <v>173</v>
      </c>
      <c r="D683" s="1" t="s">
        <v>567</v>
      </c>
      <c r="E683" s="1" t="s">
        <v>462</v>
      </c>
    </row>
    <row r="684" customFormat="false" ht="15" hidden="false" customHeight="true" outlineLevel="0" collapsed="false">
      <c r="A684" s="1" t="n">
        <v>683</v>
      </c>
      <c r="B684" s="1" t="s">
        <v>458</v>
      </c>
      <c r="C684" s="1" t="s">
        <v>1243</v>
      </c>
      <c r="D684" s="1" t="s">
        <v>787</v>
      </c>
      <c r="E684" s="1" t="s">
        <v>1181</v>
      </c>
    </row>
    <row r="685" customFormat="false" ht="15" hidden="false" customHeight="true" outlineLevel="0" collapsed="false">
      <c r="A685" s="1" t="n">
        <v>684</v>
      </c>
      <c r="B685" s="1" t="s">
        <v>773</v>
      </c>
      <c r="C685" s="1" t="s">
        <v>1329</v>
      </c>
      <c r="D685" s="1" t="s">
        <v>159</v>
      </c>
      <c r="E685" s="1" t="s">
        <v>867</v>
      </c>
    </row>
    <row r="686" customFormat="false" ht="15" hidden="false" customHeight="true" outlineLevel="0" collapsed="false">
      <c r="A686" s="1" t="n">
        <v>685</v>
      </c>
      <c r="B686" s="1" t="s">
        <v>1330</v>
      </c>
      <c r="C686" s="1" t="s">
        <v>846</v>
      </c>
      <c r="D686" s="1" t="s">
        <v>731</v>
      </c>
      <c r="E686" s="1" t="s">
        <v>1331</v>
      </c>
    </row>
    <row r="687" customFormat="false" ht="15" hidden="false" customHeight="true" outlineLevel="0" collapsed="false">
      <c r="A687" s="1" t="n">
        <v>686</v>
      </c>
      <c r="B687" s="1" t="s">
        <v>1332</v>
      </c>
      <c r="C687" s="1" t="s">
        <v>704</v>
      </c>
      <c r="D687" s="1" t="s">
        <v>15</v>
      </c>
      <c r="E687" s="1" t="s">
        <v>1181</v>
      </c>
    </row>
    <row r="688" customFormat="false" ht="15" hidden="false" customHeight="true" outlineLevel="0" collapsed="false">
      <c r="A688" s="1" t="n">
        <v>687</v>
      </c>
      <c r="B688" s="1" t="s">
        <v>1333</v>
      </c>
      <c r="C688" s="1" t="s">
        <v>834</v>
      </c>
      <c r="D688" s="1" t="s">
        <v>837</v>
      </c>
      <c r="E688" s="1" t="s">
        <v>1334</v>
      </c>
    </row>
    <row r="689" customFormat="false" ht="15" hidden="false" customHeight="true" outlineLevel="0" collapsed="false">
      <c r="A689" s="1" t="n">
        <v>688</v>
      </c>
      <c r="B689" s="1" t="s">
        <v>1335</v>
      </c>
      <c r="C689" s="1" t="s">
        <v>129</v>
      </c>
      <c r="D689" s="1" t="s">
        <v>353</v>
      </c>
      <c r="E689" s="1" t="s">
        <v>954</v>
      </c>
    </row>
    <row r="690" customFormat="false" ht="15" hidden="false" customHeight="true" outlineLevel="0" collapsed="false">
      <c r="A690" s="1" t="n">
        <v>689</v>
      </c>
      <c r="B690" s="1" t="s">
        <v>1128</v>
      </c>
      <c r="C690" s="1" t="s">
        <v>502</v>
      </c>
      <c r="D690" s="1" t="s">
        <v>578</v>
      </c>
      <c r="E690" s="1" t="s">
        <v>1336</v>
      </c>
    </row>
    <row r="691" customFormat="false" ht="15" hidden="false" customHeight="true" outlineLevel="0" collapsed="false">
      <c r="A691" s="1" t="n">
        <v>690</v>
      </c>
      <c r="B691" s="1" t="s">
        <v>1337</v>
      </c>
      <c r="C691" s="1" t="s">
        <v>414</v>
      </c>
      <c r="D691" s="1" t="s">
        <v>570</v>
      </c>
      <c r="E691" s="1" t="s">
        <v>44</v>
      </c>
    </row>
    <row r="692" customFormat="false" ht="15" hidden="false" customHeight="true" outlineLevel="0" collapsed="false">
      <c r="A692" s="1" t="n">
        <v>691</v>
      </c>
      <c r="B692" s="1" t="s">
        <v>1338</v>
      </c>
      <c r="C692" s="1" t="s">
        <v>387</v>
      </c>
      <c r="D692" s="1" t="s">
        <v>342</v>
      </c>
      <c r="E692" s="1" t="s">
        <v>138</v>
      </c>
    </row>
    <row r="693" customFormat="false" ht="15" hidden="false" customHeight="true" outlineLevel="0" collapsed="false">
      <c r="A693" s="1" t="n">
        <v>692</v>
      </c>
      <c r="B693" s="1" t="s">
        <v>1220</v>
      </c>
      <c r="C693" s="1" t="s">
        <v>104</v>
      </c>
      <c r="D693" s="1" t="s">
        <v>1208</v>
      </c>
      <c r="E693" s="1" t="s">
        <v>718</v>
      </c>
    </row>
    <row r="694" customFormat="false" ht="15" hidden="false" customHeight="true" outlineLevel="0" collapsed="false">
      <c r="A694" s="1" t="n">
        <v>693</v>
      </c>
      <c r="B694" s="1" t="s">
        <v>184</v>
      </c>
      <c r="C694" s="1" t="s">
        <v>962</v>
      </c>
      <c r="D694" s="1" t="s">
        <v>342</v>
      </c>
      <c r="E694" s="1" t="s">
        <v>114</v>
      </c>
    </row>
    <row r="695" customFormat="false" ht="15" hidden="false" customHeight="true" outlineLevel="0" collapsed="false">
      <c r="A695" s="1" t="n">
        <v>694</v>
      </c>
      <c r="B695" s="1" t="s">
        <v>1121</v>
      </c>
      <c r="C695" s="1" t="s">
        <v>645</v>
      </c>
      <c r="D695" s="1" t="s">
        <v>304</v>
      </c>
      <c r="E695" s="1" t="s">
        <v>1300</v>
      </c>
    </row>
    <row r="696" customFormat="false" ht="15" hidden="false" customHeight="true" outlineLevel="0" collapsed="false">
      <c r="A696" s="1" t="n">
        <v>695</v>
      </c>
      <c r="B696" s="1" t="s">
        <v>115</v>
      </c>
      <c r="C696" s="1" t="s">
        <v>57</v>
      </c>
      <c r="D696" s="1" t="s">
        <v>213</v>
      </c>
      <c r="E696" s="1" t="s">
        <v>1339</v>
      </c>
    </row>
    <row r="697" customFormat="false" ht="15" hidden="false" customHeight="true" outlineLevel="0" collapsed="false">
      <c r="A697" s="1" t="n">
        <v>696</v>
      </c>
      <c r="B697" s="1" t="s">
        <v>417</v>
      </c>
      <c r="C697" s="1" t="s">
        <v>57</v>
      </c>
      <c r="D697" s="1" t="s">
        <v>549</v>
      </c>
      <c r="E697" s="1" t="s">
        <v>1340</v>
      </c>
    </row>
    <row r="698" customFormat="false" ht="15" hidden="false" customHeight="true" outlineLevel="0" collapsed="false">
      <c r="A698" s="1" t="n">
        <v>697</v>
      </c>
      <c r="B698" s="1" t="s">
        <v>1341</v>
      </c>
      <c r="C698" s="1" t="s">
        <v>974</v>
      </c>
      <c r="D698" s="1" t="s">
        <v>844</v>
      </c>
      <c r="E698" s="1" t="s">
        <v>1342</v>
      </c>
    </row>
    <row r="699" customFormat="false" ht="15" hidden="false" customHeight="true" outlineLevel="0" collapsed="false">
      <c r="A699" s="1" t="n">
        <v>698</v>
      </c>
      <c r="B699" s="1" t="s">
        <v>128</v>
      </c>
      <c r="C699" s="1" t="s">
        <v>611</v>
      </c>
      <c r="D699" s="1" t="s">
        <v>578</v>
      </c>
      <c r="E699" s="1" t="s">
        <v>1343</v>
      </c>
    </row>
    <row r="700" customFormat="false" ht="15" hidden="false" customHeight="true" outlineLevel="0" collapsed="false">
      <c r="A700" s="1" t="n">
        <v>699</v>
      </c>
      <c r="B700" s="1" t="s">
        <v>1097</v>
      </c>
      <c r="C700" s="1" t="s">
        <v>398</v>
      </c>
      <c r="D700" s="1" t="s">
        <v>419</v>
      </c>
      <c r="E700" s="1" t="s">
        <v>1344</v>
      </c>
    </row>
    <row r="701" customFormat="false" ht="15" hidden="false" customHeight="true" outlineLevel="0" collapsed="false">
      <c r="A701" s="1" t="n">
        <v>700</v>
      </c>
      <c r="B701" s="1" t="s">
        <v>1345</v>
      </c>
      <c r="C701" s="1" t="s">
        <v>481</v>
      </c>
      <c r="D701" s="1" t="s">
        <v>58</v>
      </c>
      <c r="E701" s="1" t="s">
        <v>44</v>
      </c>
    </row>
    <row r="702" customFormat="false" ht="15" hidden="false" customHeight="true" outlineLevel="0" collapsed="false">
      <c r="A702" s="1" t="n">
        <v>701</v>
      </c>
      <c r="B702" s="1" t="s">
        <v>1346</v>
      </c>
      <c r="C702" s="1" t="s">
        <v>129</v>
      </c>
      <c r="D702" s="1" t="s">
        <v>31</v>
      </c>
      <c r="E702" s="1" t="s">
        <v>1347</v>
      </c>
    </row>
    <row r="703" customFormat="false" ht="15" hidden="false" customHeight="true" outlineLevel="0" collapsed="false">
      <c r="A703" s="1" t="n">
        <v>702</v>
      </c>
      <c r="B703" s="1" t="s">
        <v>725</v>
      </c>
      <c r="C703" s="1" t="s">
        <v>632</v>
      </c>
      <c r="D703" s="1" t="s">
        <v>293</v>
      </c>
      <c r="E703" s="1" t="s">
        <v>1348</v>
      </c>
    </row>
    <row r="704" customFormat="false" ht="15" hidden="false" customHeight="true" outlineLevel="0" collapsed="false">
      <c r="A704" s="1" t="n">
        <v>703</v>
      </c>
      <c r="B704" s="1" t="s">
        <v>1349</v>
      </c>
      <c r="C704" s="1" t="s">
        <v>262</v>
      </c>
      <c r="D704" s="1" t="s">
        <v>923</v>
      </c>
      <c r="E704" s="1" t="s">
        <v>707</v>
      </c>
    </row>
    <row r="705" customFormat="false" ht="15" hidden="false" customHeight="true" outlineLevel="0" collapsed="false">
      <c r="A705" s="1" t="n">
        <v>704</v>
      </c>
      <c r="B705" s="1" t="s">
        <v>161</v>
      </c>
      <c r="C705" s="1" t="s">
        <v>193</v>
      </c>
      <c r="D705" s="1" t="s">
        <v>737</v>
      </c>
      <c r="E705" s="1" t="s">
        <v>1350</v>
      </c>
    </row>
    <row r="706" customFormat="false" ht="15" hidden="false" customHeight="true" outlineLevel="0" collapsed="false">
      <c r="A706" s="1" t="n">
        <v>705</v>
      </c>
      <c r="B706" s="1" t="s">
        <v>380</v>
      </c>
      <c r="C706" s="1" t="s">
        <v>1351</v>
      </c>
      <c r="D706" s="1" t="s">
        <v>109</v>
      </c>
      <c r="E706" s="1" t="s">
        <v>1352</v>
      </c>
    </row>
    <row r="707" customFormat="false" ht="15" hidden="false" customHeight="true" outlineLevel="0" collapsed="false">
      <c r="A707" s="1" t="n">
        <v>706</v>
      </c>
      <c r="B707" s="1" t="s">
        <v>1353</v>
      </c>
      <c r="C707" s="1" t="s">
        <v>212</v>
      </c>
      <c r="D707" s="1" t="s">
        <v>345</v>
      </c>
      <c r="E707" s="1" t="s">
        <v>889</v>
      </c>
    </row>
    <row r="708" customFormat="false" ht="15" hidden="false" customHeight="true" outlineLevel="0" collapsed="false">
      <c r="A708" s="1" t="n">
        <v>707</v>
      </c>
      <c r="B708" s="1" t="s">
        <v>1157</v>
      </c>
      <c r="C708" s="1" t="s">
        <v>1253</v>
      </c>
      <c r="D708" s="1" t="s">
        <v>286</v>
      </c>
      <c r="E708" s="1" t="s">
        <v>584</v>
      </c>
    </row>
    <row r="709" customFormat="false" ht="15" hidden="false" customHeight="true" outlineLevel="0" collapsed="false">
      <c r="A709" s="1" t="n">
        <v>708</v>
      </c>
      <c r="B709" s="1" t="s">
        <v>526</v>
      </c>
      <c r="C709" s="1" t="s">
        <v>481</v>
      </c>
      <c r="D709" s="1" t="s">
        <v>145</v>
      </c>
      <c r="E709" s="1" t="s">
        <v>1030</v>
      </c>
    </row>
    <row r="710" customFormat="false" ht="15" hidden="false" customHeight="true" outlineLevel="0" collapsed="false">
      <c r="A710" s="1" t="n">
        <v>709</v>
      </c>
      <c r="B710" s="1" t="s">
        <v>1354</v>
      </c>
      <c r="C710" s="1" t="s">
        <v>81</v>
      </c>
      <c r="D710" s="1" t="s">
        <v>7</v>
      </c>
      <c r="E710" s="1" t="s">
        <v>1244</v>
      </c>
    </row>
    <row r="711" customFormat="false" ht="15" hidden="false" customHeight="true" outlineLevel="0" collapsed="false">
      <c r="A711" s="1" t="n">
        <v>710</v>
      </c>
      <c r="B711" s="1" t="s">
        <v>554</v>
      </c>
      <c r="C711" s="1" t="s">
        <v>1140</v>
      </c>
      <c r="D711" s="1" t="s">
        <v>532</v>
      </c>
      <c r="E711" s="1" t="s">
        <v>44</v>
      </c>
    </row>
    <row r="712" customFormat="false" ht="15" hidden="false" customHeight="true" outlineLevel="0" collapsed="false">
      <c r="A712" s="1" t="n">
        <v>711</v>
      </c>
      <c r="B712" s="1" t="s">
        <v>1355</v>
      </c>
      <c r="C712" s="1" t="s">
        <v>701</v>
      </c>
      <c r="D712" s="1" t="s">
        <v>1356</v>
      </c>
      <c r="E712" s="1" t="s">
        <v>1357</v>
      </c>
    </row>
    <row r="713" customFormat="false" ht="15" hidden="false" customHeight="true" outlineLevel="0" collapsed="false">
      <c r="A713" s="1" t="n">
        <v>712</v>
      </c>
      <c r="B713" s="1" t="s">
        <v>259</v>
      </c>
      <c r="C713" s="1" t="s">
        <v>721</v>
      </c>
      <c r="D713" s="1" t="s">
        <v>73</v>
      </c>
      <c r="E713" s="1" t="s">
        <v>894</v>
      </c>
    </row>
    <row r="714" customFormat="false" ht="15" hidden="false" customHeight="true" outlineLevel="0" collapsed="false">
      <c r="A714" s="1" t="n">
        <v>713</v>
      </c>
      <c r="B714" s="1" t="s">
        <v>1358</v>
      </c>
      <c r="C714" s="1" t="s">
        <v>381</v>
      </c>
      <c r="D714" s="1" t="s">
        <v>301</v>
      </c>
      <c r="E714" s="1" t="s">
        <v>1359</v>
      </c>
    </row>
    <row r="715" customFormat="false" ht="15" hidden="false" customHeight="true" outlineLevel="0" collapsed="false">
      <c r="A715" s="1" t="n">
        <v>714</v>
      </c>
      <c r="B715" s="1" t="s">
        <v>1360</v>
      </c>
      <c r="C715" s="1" t="s">
        <v>253</v>
      </c>
      <c r="D715" s="1" t="s">
        <v>353</v>
      </c>
      <c r="E715" s="1" t="s">
        <v>1361</v>
      </c>
    </row>
    <row r="716" customFormat="false" ht="15" hidden="false" customHeight="true" outlineLevel="0" collapsed="false">
      <c r="A716" s="1" t="n">
        <v>715</v>
      </c>
      <c r="B716" s="1" t="s">
        <v>1362</v>
      </c>
      <c r="C716" s="1" t="s">
        <v>341</v>
      </c>
      <c r="D716" s="1" t="s">
        <v>384</v>
      </c>
      <c r="E716" s="1" t="s">
        <v>1007</v>
      </c>
    </row>
    <row r="717" customFormat="false" ht="15" hidden="false" customHeight="true" outlineLevel="0" collapsed="false">
      <c r="A717" s="1" t="n">
        <v>716</v>
      </c>
      <c r="B717" s="1" t="s">
        <v>626</v>
      </c>
      <c r="C717" s="1" t="s">
        <v>34</v>
      </c>
      <c r="D717" s="1" t="s">
        <v>1363</v>
      </c>
      <c r="E717" s="1" t="s">
        <v>1327</v>
      </c>
    </row>
    <row r="718" customFormat="false" ht="15" hidden="false" customHeight="true" outlineLevel="0" collapsed="false">
      <c r="A718" s="1" t="n">
        <v>717</v>
      </c>
      <c r="B718" s="1" t="s">
        <v>1364</v>
      </c>
      <c r="C718" s="1" t="s">
        <v>562</v>
      </c>
      <c r="D718" s="1" t="s">
        <v>286</v>
      </c>
      <c r="E718" s="1" t="s">
        <v>1365</v>
      </c>
    </row>
    <row r="719" customFormat="false" ht="15" hidden="false" customHeight="true" outlineLevel="0" collapsed="false">
      <c r="A719" s="1" t="n">
        <v>718</v>
      </c>
      <c r="B719" s="1" t="s">
        <v>1057</v>
      </c>
      <c r="C719" s="1" t="s">
        <v>950</v>
      </c>
      <c r="D719" s="1" t="s">
        <v>811</v>
      </c>
      <c r="E719" s="1" t="s">
        <v>1184</v>
      </c>
    </row>
    <row r="720" customFormat="false" ht="15" hidden="false" customHeight="true" outlineLevel="0" collapsed="false">
      <c r="A720" s="1" t="n">
        <v>719</v>
      </c>
      <c r="B720" s="1" t="s">
        <v>371</v>
      </c>
      <c r="C720" s="1" t="s">
        <v>341</v>
      </c>
      <c r="D720" s="1" t="s">
        <v>334</v>
      </c>
      <c r="E720" s="1" t="s">
        <v>1366</v>
      </c>
    </row>
    <row r="721" customFormat="false" ht="15" hidden="false" customHeight="true" outlineLevel="0" collapsed="false">
      <c r="A721" s="1" t="n">
        <v>720</v>
      </c>
      <c r="B721" s="1" t="s">
        <v>143</v>
      </c>
      <c r="C721" s="1" t="s">
        <v>1140</v>
      </c>
      <c r="D721" s="1" t="s">
        <v>530</v>
      </c>
      <c r="E721" s="1" t="s">
        <v>44</v>
      </c>
    </row>
    <row r="722" customFormat="false" ht="15" hidden="false" customHeight="true" outlineLevel="0" collapsed="false">
      <c r="A722" s="1" t="n">
        <v>721</v>
      </c>
      <c r="B722" s="1" t="s">
        <v>335</v>
      </c>
      <c r="C722" s="1" t="s">
        <v>1192</v>
      </c>
      <c r="D722" s="1" t="s">
        <v>794</v>
      </c>
      <c r="E722" s="1" t="s">
        <v>1292</v>
      </c>
    </row>
    <row r="723" customFormat="false" ht="15" hidden="false" customHeight="true" outlineLevel="0" collapsed="false">
      <c r="A723" s="1" t="n">
        <v>722</v>
      </c>
      <c r="B723" s="1" t="s">
        <v>1299</v>
      </c>
      <c r="C723" s="1" t="s">
        <v>1003</v>
      </c>
      <c r="D723" s="1" t="s">
        <v>267</v>
      </c>
      <c r="E723" s="1" t="s">
        <v>87</v>
      </c>
    </row>
    <row r="724" customFormat="false" ht="15" hidden="false" customHeight="true" outlineLevel="0" collapsed="false">
      <c r="A724" s="1" t="n">
        <v>723</v>
      </c>
      <c r="B724" s="1" t="s">
        <v>165</v>
      </c>
      <c r="C724" s="1" t="s">
        <v>389</v>
      </c>
      <c r="D724" s="1" t="s">
        <v>245</v>
      </c>
      <c r="E724" s="1" t="s">
        <v>1367</v>
      </c>
    </row>
    <row r="725" customFormat="false" ht="15" hidden="false" customHeight="true" outlineLevel="0" collapsed="false">
      <c r="A725" s="1" t="n">
        <v>724</v>
      </c>
      <c r="B725" s="1" t="s">
        <v>1014</v>
      </c>
      <c r="C725" s="1" t="s">
        <v>177</v>
      </c>
      <c r="D725" s="1" t="s">
        <v>334</v>
      </c>
      <c r="E725" s="1" t="s">
        <v>1368</v>
      </c>
    </row>
    <row r="726" customFormat="false" ht="15" hidden="false" customHeight="true" outlineLevel="0" collapsed="false">
      <c r="A726" s="1" t="n">
        <v>725</v>
      </c>
      <c r="B726" s="1" t="s">
        <v>535</v>
      </c>
      <c r="C726" s="1" t="s">
        <v>579</v>
      </c>
      <c r="D726" s="1" t="s">
        <v>869</v>
      </c>
      <c r="E726" s="1" t="s">
        <v>1369</v>
      </c>
    </row>
    <row r="727" customFormat="false" ht="15" hidden="false" customHeight="true" outlineLevel="0" collapsed="false">
      <c r="A727" s="1" t="n">
        <v>726</v>
      </c>
      <c r="B727" s="1" t="s">
        <v>736</v>
      </c>
      <c r="C727" s="1" t="s">
        <v>1038</v>
      </c>
      <c r="D727" s="1" t="s">
        <v>542</v>
      </c>
      <c r="E727" s="1" t="s">
        <v>683</v>
      </c>
    </row>
    <row r="728" customFormat="false" ht="15" hidden="false" customHeight="true" outlineLevel="0" collapsed="false">
      <c r="A728" s="1" t="n">
        <v>727</v>
      </c>
      <c r="B728" s="1" t="s">
        <v>933</v>
      </c>
      <c r="C728" s="1" t="s">
        <v>686</v>
      </c>
      <c r="D728" s="1" t="s">
        <v>761</v>
      </c>
      <c r="E728" s="1" t="s">
        <v>1292</v>
      </c>
    </row>
    <row r="729" customFormat="false" ht="15" hidden="false" customHeight="true" outlineLevel="0" collapsed="false">
      <c r="A729" s="1" t="n">
        <v>728</v>
      </c>
      <c r="B729" s="1" t="s">
        <v>115</v>
      </c>
      <c r="C729" s="1" t="s">
        <v>962</v>
      </c>
      <c r="D729" s="1" t="s">
        <v>722</v>
      </c>
      <c r="E729" s="1" t="s">
        <v>620</v>
      </c>
    </row>
    <row r="730" customFormat="false" ht="15" hidden="false" customHeight="true" outlineLevel="0" collapsed="false">
      <c r="A730" s="1" t="n">
        <v>729</v>
      </c>
      <c r="B730" s="1" t="s">
        <v>1370</v>
      </c>
      <c r="C730" s="1" t="s">
        <v>432</v>
      </c>
      <c r="D730" s="1" t="s">
        <v>19</v>
      </c>
      <c r="E730" s="1" t="s">
        <v>475</v>
      </c>
    </row>
    <row r="731" customFormat="false" ht="15" hidden="false" customHeight="true" outlineLevel="0" collapsed="false">
      <c r="A731" s="1" t="n">
        <v>730</v>
      </c>
      <c r="B731" s="1" t="s">
        <v>1371</v>
      </c>
      <c r="C731" s="1" t="s">
        <v>230</v>
      </c>
      <c r="D731" s="1" t="s">
        <v>395</v>
      </c>
      <c r="E731" s="1" t="s">
        <v>44</v>
      </c>
    </row>
    <row r="732" customFormat="false" ht="15" hidden="false" customHeight="true" outlineLevel="0" collapsed="false">
      <c r="A732" s="1" t="n">
        <v>731</v>
      </c>
      <c r="B732" s="1" t="s">
        <v>409</v>
      </c>
      <c r="C732" s="1" t="s">
        <v>306</v>
      </c>
      <c r="D732" s="1" t="s">
        <v>167</v>
      </c>
      <c r="E732" s="1" t="s">
        <v>1372</v>
      </c>
    </row>
    <row r="733" customFormat="false" ht="15" hidden="false" customHeight="true" outlineLevel="0" collapsed="false">
      <c r="A733" s="1" t="n">
        <v>732</v>
      </c>
      <c r="B733" s="1" t="s">
        <v>271</v>
      </c>
      <c r="C733" s="1" t="s">
        <v>701</v>
      </c>
      <c r="D733" s="1" t="s">
        <v>542</v>
      </c>
      <c r="E733" s="1" t="s">
        <v>1373</v>
      </c>
    </row>
    <row r="734" customFormat="false" ht="15" hidden="false" customHeight="true" outlineLevel="0" collapsed="false">
      <c r="A734" s="1" t="n">
        <v>733</v>
      </c>
      <c r="B734" s="1" t="s">
        <v>332</v>
      </c>
      <c r="C734" s="1" t="s">
        <v>34</v>
      </c>
      <c r="D734" s="1" t="s">
        <v>245</v>
      </c>
      <c r="E734" s="1" t="s">
        <v>926</v>
      </c>
    </row>
    <row r="735" customFormat="false" ht="15" hidden="false" customHeight="true" outlineLevel="0" collapsed="false">
      <c r="A735" s="1" t="n">
        <v>734</v>
      </c>
      <c r="B735" s="1" t="s">
        <v>512</v>
      </c>
      <c r="C735" s="1" t="s">
        <v>89</v>
      </c>
      <c r="D735" s="1" t="s">
        <v>667</v>
      </c>
      <c r="E735" s="1" t="s">
        <v>1374</v>
      </c>
    </row>
    <row r="736" customFormat="false" ht="15" hidden="false" customHeight="true" outlineLevel="0" collapsed="false">
      <c r="A736" s="1" t="n">
        <v>735</v>
      </c>
      <c r="B736" s="1" t="s">
        <v>1375</v>
      </c>
      <c r="C736" s="1" t="s">
        <v>216</v>
      </c>
      <c r="D736" s="1" t="s">
        <v>456</v>
      </c>
      <c r="E736" s="1" t="s">
        <v>1376</v>
      </c>
    </row>
    <row r="737" customFormat="false" ht="15" hidden="false" customHeight="true" outlineLevel="0" collapsed="false">
      <c r="A737" s="1" t="n">
        <v>736</v>
      </c>
      <c r="B737" s="1" t="s">
        <v>225</v>
      </c>
      <c r="C737" s="1" t="s">
        <v>1377</v>
      </c>
      <c r="D737" s="1" t="s">
        <v>753</v>
      </c>
      <c r="E737" s="1" t="s">
        <v>1078</v>
      </c>
    </row>
    <row r="738" customFormat="false" ht="15" hidden="false" customHeight="true" outlineLevel="0" collapsed="false">
      <c r="A738" s="1" t="n">
        <v>737</v>
      </c>
      <c r="B738" s="1" t="s">
        <v>279</v>
      </c>
      <c r="C738" s="1" t="s">
        <v>387</v>
      </c>
      <c r="D738" s="1" t="s">
        <v>241</v>
      </c>
      <c r="E738" s="1" t="s">
        <v>127</v>
      </c>
    </row>
    <row r="739" customFormat="false" ht="15" hidden="false" customHeight="true" outlineLevel="0" collapsed="false">
      <c r="A739" s="1" t="n">
        <v>738</v>
      </c>
      <c r="B739" s="1" t="s">
        <v>1325</v>
      </c>
      <c r="C739" s="1" t="s">
        <v>285</v>
      </c>
      <c r="D739" s="1" t="s">
        <v>1254</v>
      </c>
      <c r="E739" s="1" t="s">
        <v>1378</v>
      </c>
    </row>
    <row r="740" customFormat="false" ht="15" hidden="false" customHeight="true" outlineLevel="0" collapsed="false">
      <c r="A740" s="1" t="n">
        <v>739</v>
      </c>
      <c r="B740" s="1" t="s">
        <v>1164</v>
      </c>
      <c r="C740" s="1" t="s">
        <v>925</v>
      </c>
      <c r="D740" s="1" t="s">
        <v>681</v>
      </c>
      <c r="E740" s="1" t="s">
        <v>774</v>
      </c>
    </row>
    <row r="741" customFormat="false" ht="15" hidden="false" customHeight="true" outlineLevel="0" collapsed="false">
      <c r="A741" s="1" t="n">
        <v>740</v>
      </c>
      <c r="B741" s="1" t="s">
        <v>1379</v>
      </c>
      <c r="C741" s="1" t="s">
        <v>166</v>
      </c>
      <c r="D741" s="1" t="s">
        <v>275</v>
      </c>
      <c r="E741" s="1" t="s">
        <v>44</v>
      </c>
    </row>
    <row r="742" customFormat="false" ht="15" hidden="false" customHeight="true" outlineLevel="0" collapsed="false">
      <c r="A742" s="1" t="n">
        <v>741</v>
      </c>
      <c r="B742" s="1" t="s">
        <v>252</v>
      </c>
      <c r="C742" s="1" t="s">
        <v>1098</v>
      </c>
      <c r="D742" s="1" t="s">
        <v>923</v>
      </c>
      <c r="E742" s="1" t="s">
        <v>478</v>
      </c>
    </row>
    <row r="743" customFormat="false" ht="15" hidden="false" customHeight="true" outlineLevel="0" collapsed="false">
      <c r="A743" s="1" t="n">
        <v>742</v>
      </c>
      <c r="B743" s="1" t="s">
        <v>610</v>
      </c>
      <c r="C743" s="1" t="s">
        <v>755</v>
      </c>
      <c r="D743" s="1" t="s">
        <v>334</v>
      </c>
      <c r="E743" s="1" t="s">
        <v>1380</v>
      </c>
    </row>
    <row r="744" customFormat="false" ht="15" hidden="false" customHeight="true" outlineLevel="0" collapsed="false">
      <c r="A744" s="1" t="n">
        <v>743</v>
      </c>
      <c r="B744" s="1" t="s">
        <v>96</v>
      </c>
      <c r="C744" s="1" t="s">
        <v>547</v>
      </c>
      <c r="D744" s="1" t="s">
        <v>433</v>
      </c>
      <c r="E744" s="1" t="s">
        <v>1381</v>
      </c>
    </row>
    <row r="745" customFormat="false" ht="15" hidden="false" customHeight="true" outlineLevel="0" collapsed="false">
      <c r="A745" s="1" t="n">
        <v>744</v>
      </c>
      <c r="B745" s="1" t="s">
        <v>115</v>
      </c>
      <c r="C745" s="1" t="s">
        <v>693</v>
      </c>
      <c r="D745" s="1" t="s">
        <v>185</v>
      </c>
      <c r="E745" s="1" t="s">
        <v>307</v>
      </c>
    </row>
    <row r="746" customFormat="false" ht="15" hidden="false" customHeight="true" outlineLevel="0" collapsed="false">
      <c r="A746" s="1" t="n">
        <v>745</v>
      </c>
      <c r="B746" s="1" t="s">
        <v>898</v>
      </c>
      <c r="C746" s="1" t="s">
        <v>30</v>
      </c>
      <c r="D746" s="1" t="s">
        <v>482</v>
      </c>
      <c r="E746" s="1" t="s">
        <v>1079</v>
      </c>
    </row>
    <row r="747" customFormat="false" ht="15" hidden="false" customHeight="true" outlineLevel="0" collapsed="false">
      <c r="A747" s="1" t="n">
        <v>746</v>
      </c>
      <c r="B747" s="1" t="s">
        <v>777</v>
      </c>
      <c r="C747" s="1" t="s">
        <v>1233</v>
      </c>
      <c r="D747" s="1" t="s">
        <v>101</v>
      </c>
      <c r="E747" s="1" t="s">
        <v>1313</v>
      </c>
    </row>
    <row r="748" customFormat="false" ht="15" hidden="false" customHeight="true" outlineLevel="0" collapsed="false">
      <c r="A748" s="1" t="n">
        <v>747</v>
      </c>
      <c r="B748" s="1" t="s">
        <v>583</v>
      </c>
      <c r="C748" s="1" t="s">
        <v>166</v>
      </c>
      <c r="D748" s="1" t="s">
        <v>254</v>
      </c>
      <c r="E748" s="1" t="s">
        <v>127</v>
      </c>
    </row>
    <row r="749" customFormat="false" ht="15" hidden="false" customHeight="true" outlineLevel="0" collapsed="false">
      <c r="A749" s="1" t="n">
        <v>748</v>
      </c>
      <c r="B749" s="1" t="s">
        <v>1018</v>
      </c>
      <c r="C749" s="1" t="s">
        <v>1382</v>
      </c>
      <c r="D749" s="1" t="s">
        <v>109</v>
      </c>
      <c r="E749" s="1" t="s">
        <v>1383</v>
      </c>
    </row>
    <row r="750" customFormat="false" ht="15" hidden="false" customHeight="true" outlineLevel="0" collapsed="false">
      <c r="A750" s="1" t="n">
        <v>749</v>
      </c>
      <c r="B750" s="1" t="s">
        <v>1150</v>
      </c>
      <c r="C750" s="1" t="s">
        <v>733</v>
      </c>
      <c r="D750" s="1" t="s">
        <v>105</v>
      </c>
      <c r="E750" s="1" t="s">
        <v>1384</v>
      </c>
    </row>
    <row r="751" customFormat="false" ht="15" hidden="false" customHeight="true" outlineLevel="0" collapsed="false">
      <c r="A751" s="1" t="n">
        <v>750</v>
      </c>
      <c r="B751" s="1" t="s">
        <v>706</v>
      </c>
      <c r="C751" s="1" t="s">
        <v>645</v>
      </c>
      <c r="D751" s="1" t="s">
        <v>134</v>
      </c>
      <c r="E751" s="1" t="s">
        <v>44</v>
      </c>
    </row>
    <row r="752" customFormat="false" ht="15" hidden="false" customHeight="true" outlineLevel="0" collapsed="false">
      <c r="A752" s="1" t="n">
        <v>751</v>
      </c>
      <c r="B752" s="1" t="s">
        <v>151</v>
      </c>
      <c r="C752" s="1" t="s">
        <v>1385</v>
      </c>
      <c r="D752" s="1" t="s">
        <v>47</v>
      </c>
      <c r="E752" s="1" t="s">
        <v>1386</v>
      </c>
    </row>
    <row r="753" customFormat="false" ht="15" hidden="false" customHeight="true" outlineLevel="0" collapsed="false">
      <c r="A753" s="1" t="n">
        <v>752</v>
      </c>
      <c r="B753" s="1" t="s">
        <v>1319</v>
      </c>
      <c r="C753" s="1" t="s">
        <v>622</v>
      </c>
      <c r="D753" s="1" t="s">
        <v>581</v>
      </c>
      <c r="E753" s="1" t="s">
        <v>1032</v>
      </c>
    </row>
    <row r="754" customFormat="false" ht="15" hidden="false" customHeight="true" outlineLevel="0" collapsed="false">
      <c r="A754" s="1" t="n">
        <v>753</v>
      </c>
      <c r="B754" s="1" t="s">
        <v>772</v>
      </c>
      <c r="C754" s="1" t="s">
        <v>469</v>
      </c>
      <c r="D754" s="1" t="s">
        <v>753</v>
      </c>
      <c r="E754" s="1" t="s">
        <v>424</v>
      </c>
    </row>
    <row r="755" customFormat="false" ht="15" hidden="false" customHeight="true" outlineLevel="0" collapsed="false">
      <c r="A755" s="1" t="n">
        <v>754</v>
      </c>
      <c r="B755" s="1" t="s">
        <v>1185</v>
      </c>
      <c r="C755" s="1" t="s">
        <v>72</v>
      </c>
      <c r="D755" s="1" t="s">
        <v>1254</v>
      </c>
      <c r="E755" s="1" t="s">
        <v>1387</v>
      </c>
    </row>
    <row r="756" customFormat="false" ht="15" hidden="false" customHeight="true" outlineLevel="0" collapsed="false">
      <c r="A756" s="1" t="n">
        <v>755</v>
      </c>
      <c r="B756" s="1" t="s">
        <v>711</v>
      </c>
      <c r="C756" s="1" t="s">
        <v>57</v>
      </c>
      <c r="D756" s="1" t="s">
        <v>715</v>
      </c>
      <c r="E756" s="1" t="s">
        <v>1388</v>
      </c>
    </row>
    <row r="757" customFormat="false" ht="15" hidden="false" customHeight="true" outlineLevel="0" collapsed="false">
      <c r="A757" s="1" t="n">
        <v>756</v>
      </c>
      <c r="B757" s="1" t="s">
        <v>904</v>
      </c>
      <c r="C757" s="1" t="s">
        <v>1389</v>
      </c>
      <c r="D757" s="1" t="s">
        <v>27</v>
      </c>
      <c r="E757" s="1" t="s">
        <v>1390</v>
      </c>
    </row>
    <row r="758" customFormat="false" ht="15" hidden="false" customHeight="true" outlineLevel="0" collapsed="false">
      <c r="A758" s="1" t="n">
        <v>757</v>
      </c>
      <c r="B758" s="1" t="s">
        <v>635</v>
      </c>
      <c r="C758" s="1" t="s">
        <v>1216</v>
      </c>
      <c r="D758" s="1" t="s">
        <v>325</v>
      </c>
      <c r="E758" s="1" t="s">
        <v>563</v>
      </c>
    </row>
    <row r="759" customFormat="false" ht="15" hidden="false" customHeight="true" outlineLevel="0" collapsed="false">
      <c r="A759" s="1" t="n">
        <v>758</v>
      </c>
      <c r="B759" s="1" t="s">
        <v>610</v>
      </c>
      <c r="C759" s="1" t="s">
        <v>312</v>
      </c>
      <c r="D759" s="1" t="s">
        <v>155</v>
      </c>
      <c r="E759" s="1" t="s">
        <v>1224</v>
      </c>
    </row>
    <row r="760" customFormat="false" ht="15" hidden="false" customHeight="true" outlineLevel="0" collapsed="false">
      <c r="A760" s="1" t="n">
        <v>759</v>
      </c>
      <c r="B760" s="1" t="s">
        <v>311</v>
      </c>
      <c r="C760" s="1" t="s">
        <v>579</v>
      </c>
      <c r="D760" s="1" t="s">
        <v>783</v>
      </c>
      <c r="E760" s="1" t="s">
        <v>1391</v>
      </c>
    </row>
    <row r="761" customFormat="false" ht="15" hidden="false" customHeight="true" outlineLevel="0" collapsed="false">
      <c r="A761" s="1" t="n">
        <v>760</v>
      </c>
      <c r="B761" s="1" t="s">
        <v>1146</v>
      </c>
      <c r="C761" s="1" t="s">
        <v>1392</v>
      </c>
      <c r="D761" s="1" t="s">
        <v>105</v>
      </c>
      <c r="E761" s="1" t="s">
        <v>44</v>
      </c>
    </row>
    <row r="762" customFormat="false" ht="15" hidden="false" customHeight="true" outlineLevel="0" collapsed="false">
      <c r="A762" s="1" t="n">
        <v>761</v>
      </c>
      <c r="B762" s="1" t="s">
        <v>139</v>
      </c>
      <c r="C762" s="1" t="s">
        <v>629</v>
      </c>
      <c r="D762" s="1" t="s">
        <v>79</v>
      </c>
      <c r="E762" s="1" t="s">
        <v>1393</v>
      </c>
    </row>
    <row r="763" customFormat="false" ht="15" hidden="false" customHeight="true" outlineLevel="0" collapsed="false">
      <c r="A763" s="1" t="n">
        <v>762</v>
      </c>
      <c r="B763" s="1" t="s">
        <v>1394</v>
      </c>
      <c r="C763" s="1" t="s">
        <v>34</v>
      </c>
      <c r="D763" s="1" t="s">
        <v>482</v>
      </c>
      <c r="E763" s="1" t="s">
        <v>1395</v>
      </c>
    </row>
    <row r="764" customFormat="false" ht="15" hidden="false" customHeight="true" outlineLevel="0" collapsed="false">
      <c r="A764" s="1" t="n">
        <v>763</v>
      </c>
      <c r="B764" s="1" t="s">
        <v>188</v>
      </c>
      <c r="C764" s="1" t="s">
        <v>1396</v>
      </c>
      <c r="D764" s="1" t="s">
        <v>480</v>
      </c>
      <c r="E764" s="1" t="s">
        <v>1397</v>
      </c>
    </row>
    <row r="765" customFormat="false" ht="15" hidden="false" customHeight="true" outlineLevel="0" collapsed="false">
      <c r="A765" s="1" t="n">
        <v>764</v>
      </c>
      <c r="B765" s="1" t="s">
        <v>621</v>
      </c>
      <c r="C765" s="1" t="s">
        <v>1398</v>
      </c>
      <c r="D765" s="1" t="s">
        <v>1067</v>
      </c>
      <c r="E765" s="1" t="s">
        <v>1219</v>
      </c>
    </row>
    <row r="766" customFormat="false" ht="15" hidden="false" customHeight="true" outlineLevel="0" collapsed="false">
      <c r="A766" s="1" t="n">
        <v>765</v>
      </c>
      <c r="B766" s="1" t="s">
        <v>5</v>
      </c>
      <c r="C766" s="1" t="s">
        <v>467</v>
      </c>
      <c r="D766" s="1" t="s">
        <v>330</v>
      </c>
      <c r="E766" s="1" t="s">
        <v>1399</v>
      </c>
    </row>
    <row r="767" customFormat="false" ht="15" hidden="false" customHeight="true" outlineLevel="0" collapsed="false">
      <c r="A767" s="1" t="n">
        <v>766</v>
      </c>
      <c r="B767" s="1" t="s">
        <v>711</v>
      </c>
      <c r="C767" s="1" t="s">
        <v>34</v>
      </c>
      <c r="D767" s="1" t="s">
        <v>1262</v>
      </c>
      <c r="E767" s="1" t="s">
        <v>744</v>
      </c>
    </row>
    <row r="768" customFormat="false" ht="15" hidden="false" customHeight="true" outlineLevel="0" collapsed="false">
      <c r="A768" s="1" t="n">
        <v>767</v>
      </c>
      <c r="B768" s="1" t="s">
        <v>1400</v>
      </c>
      <c r="C768" s="1" t="s">
        <v>1401</v>
      </c>
      <c r="D768" s="1" t="s">
        <v>249</v>
      </c>
      <c r="E768" s="1" t="s">
        <v>1402</v>
      </c>
    </row>
    <row r="769" customFormat="false" ht="15" hidden="false" customHeight="true" outlineLevel="0" collapsed="false">
      <c r="A769" s="1" t="n">
        <v>768</v>
      </c>
      <c r="B769" s="1" t="s">
        <v>583</v>
      </c>
      <c r="C769" s="1" t="s">
        <v>260</v>
      </c>
      <c r="D769" s="1" t="s">
        <v>900</v>
      </c>
      <c r="E769" s="1" t="s">
        <v>465</v>
      </c>
    </row>
    <row r="770" customFormat="false" ht="15" hidden="false" customHeight="true" outlineLevel="0" collapsed="false">
      <c r="A770" s="1" t="n">
        <v>769</v>
      </c>
      <c r="B770" s="1" t="s">
        <v>476</v>
      </c>
      <c r="C770" s="1" t="s">
        <v>834</v>
      </c>
      <c r="D770" s="1" t="s">
        <v>109</v>
      </c>
      <c r="E770" s="1" t="s">
        <v>1403</v>
      </c>
    </row>
    <row r="771" customFormat="false" ht="15" hidden="false" customHeight="true" outlineLevel="0" collapsed="false">
      <c r="A771" s="1" t="n">
        <v>770</v>
      </c>
      <c r="B771" s="1" t="s">
        <v>648</v>
      </c>
      <c r="C771" s="1" t="s">
        <v>615</v>
      </c>
      <c r="D771" s="1" t="s">
        <v>231</v>
      </c>
      <c r="E771" s="1" t="s">
        <v>44</v>
      </c>
    </row>
    <row r="772" customFormat="false" ht="15" hidden="false" customHeight="true" outlineLevel="0" collapsed="false">
      <c r="A772" s="1" t="n">
        <v>771</v>
      </c>
      <c r="B772" s="1" t="s">
        <v>970</v>
      </c>
      <c r="C772" s="1" t="s">
        <v>253</v>
      </c>
      <c r="D772" s="1" t="s">
        <v>384</v>
      </c>
      <c r="E772" s="1" t="s">
        <v>1404</v>
      </c>
    </row>
    <row r="773" customFormat="false" ht="15" hidden="false" customHeight="true" outlineLevel="0" collapsed="false">
      <c r="A773" s="1" t="n">
        <v>772</v>
      </c>
      <c r="B773" s="1" t="s">
        <v>601</v>
      </c>
      <c r="C773" s="1" t="s">
        <v>410</v>
      </c>
      <c r="D773" s="1" t="s">
        <v>508</v>
      </c>
      <c r="E773" s="1" t="s">
        <v>640</v>
      </c>
    </row>
    <row r="774" customFormat="false" ht="15" hidden="false" customHeight="true" outlineLevel="0" collapsed="false">
      <c r="A774" s="1" t="n">
        <v>773</v>
      </c>
      <c r="B774" s="1" t="s">
        <v>383</v>
      </c>
      <c r="C774" s="1" t="s">
        <v>645</v>
      </c>
      <c r="D774" s="1" t="s">
        <v>58</v>
      </c>
      <c r="E774" s="1" t="s">
        <v>1405</v>
      </c>
    </row>
    <row r="775" customFormat="false" ht="15" hidden="false" customHeight="true" outlineLevel="0" collapsed="false">
      <c r="A775" s="1" t="n">
        <v>774</v>
      </c>
      <c r="B775" s="1" t="s">
        <v>1406</v>
      </c>
      <c r="C775" s="1" t="s">
        <v>375</v>
      </c>
      <c r="D775" s="1" t="s">
        <v>217</v>
      </c>
      <c r="E775" s="1" t="s">
        <v>1307</v>
      </c>
    </row>
    <row r="776" customFormat="false" ht="15" hidden="false" customHeight="true" outlineLevel="0" collapsed="false">
      <c r="A776" s="1" t="n">
        <v>775</v>
      </c>
      <c r="B776" s="1" t="s">
        <v>874</v>
      </c>
      <c r="C776" s="1" t="s">
        <v>193</v>
      </c>
      <c r="D776" s="1" t="s">
        <v>556</v>
      </c>
      <c r="E776" s="1" t="s">
        <v>1407</v>
      </c>
    </row>
    <row r="777" customFormat="false" ht="15" hidden="false" customHeight="true" outlineLevel="0" collapsed="false">
      <c r="A777" s="1" t="n">
        <v>776</v>
      </c>
      <c r="B777" s="1" t="s">
        <v>243</v>
      </c>
      <c r="C777" s="1" t="s">
        <v>129</v>
      </c>
      <c r="D777" s="1" t="s">
        <v>1262</v>
      </c>
      <c r="E777" s="1" t="s">
        <v>799</v>
      </c>
    </row>
    <row r="778" customFormat="false" ht="15" hidden="false" customHeight="true" outlineLevel="0" collapsed="false">
      <c r="A778" s="1" t="n">
        <v>777</v>
      </c>
      <c r="B778" s="1" t="s">
        <v>1408</v>
      </c>
      <c r="C778" s="1" t="s">
        <v>515</v>
      </c>
      <c r="D778" s="1" t="s">
        <v>578</v>
      </c>
      <c r="E778" s="1" t="s">
        <v>195</v>
      </c>
    </row>
    <row r="779" customFormat="false" ht="15" hidden="false" customHeight="true" outlineLevel="0" collapsed="false">
      <c r="A779" s="1" t="n">
        <v>778</v>
      </c>
      <c r="B779" s="1" t="s">
        <v>1066</v>
      </c>
      <c r="C779" s="1" t="s">
        <v>1409</v>
      </c>
      <c r="D779" s="1" t="s">
        <v>402</v>
      </c>
      <c r="E779" s="1" t="s">
        <v>1129</v>
      </c>
    </row>
    <row r="780" customFormat="false" ht="15" hidden="false" customHeight="true" outlineLevel="0" collapsed="false">
      <c r="A780" s="1" t="n">
        <v>779</v>
      </c>
      <c r="B780" s="1" t="s">
        <v>929</v>
      </c>
      <c r="C780" s="1" t="s">
        <v>1324</v>
      </c>
      <c r="D780" s="1" t="s">
        <v>758</v>
      </c>
      <c r="E780" s="1" t="s">
        <v>270</v>
      </c>
    </row>
    <row r="781" customFormat="false" ht="15" hidden="false" customHeight="true" outlineLevel="0" collapsed="false">
      <c r="A781" s="1" t="n">
        <v>780</v>
      </c>
      <c r="B781" s="1" t="s">
        <v>60</v>
      </c>
      <c r="C781" s="1" t="s">
        <v>14</v>
      </c>
      <c r="D781" s="1" t="s">
        <v>1042</v>
      </c>
      <c r="E781" s="1" t="s">
        <v>44</v>
      </c>
    </row>
    <row r="782" customFormat="false" ht="15" hidden="false" customHeight="true" outlineLevel="0" collapsed="false">
      <c r="A782" s="1" t="n">
        <v>781</v>
      </c>
      <c r="B782" s="1" t="s">
        <v>67</v>
      </c>
      <c r="C782" s="1" t="s">
        <v>1104</v>
      </c>
      <c r="D782" s="1" t="s">
        <v>864</v>
      </c>
      <c r="E782" s="1" t="s">
        <v>44</v>
      </c>
    </row>
    <row r="783" customFormat="false" ht="15" hidden="false" customHeight="true" outlineLevel="0" collapsed="false">
      <c r="A783" s="1" t="n">
        <v>782</v>
      </c>
      <c r="B783" s="1" t="s">
        <v>1215</v>
      </c>
      <c r="C783" s="1" t="s">
        <v>112</v>
      </c>
      <c r="D783" s="1" t="s">
        <v>737</v>
      </c>
      <c r="E783" s="1" t="s">
        <v>1410</v>
      </c>
    </row>
    <row r="784" customFormat="false" ht="15" hidden="false" customHeight="true" outlineLevel="0" collapsed="false">
      <c r="A784" s="1" t="n">
        <v>783</v>
      </c>
      <c r="B784" s="1" t="s">
        <v>1325</v>
      </c>
      <c r="C784" s="1" t="s">
        <v>505</v>
      </c>
      <c r="D784" s="1" t="s">
        <v>245</v>
      </c>
      <c r="E784" s="1" t="s">
        <v>431</v>
      </c>
    </row>
    <row r="785" customFormat="false" ht="15" hidden="false" customHeight="true" outlineLevel="0" collapsed="false">
      <c r="A785" s="1" t="n">
        <v>784</v>
      </c>
      <c r="B785" s="1" t="s">
        <v>1138</v>
      </c>
      <c r="C785" s="1" t="s">
        <v>611</v>
      </c>
      <c r="D785" s="1" t="s">
        <v>1411</v>
      </c>
      <c r="E785" s="1" t="s">
        <v>952</v>
      </c>
    </row>
    <row r="786" customFormat="false" ht="15" hidden="false" customHeight="true" outlineLevel="0" collapsed="false">
      <c r="A786" s="1" t="n">
        <v>785</v>
      </c>
      <c r="B786" s="1" t="s">
        <v>136</v>
      </c>
      <c r="C786" s="1" t="s">
        <v>389</v>
      </c>
      <c r="D786" s="1" t="s">
        <v>722</v>
      </c>
      <c r="E786" s="1" t="s">
        <v>1412</v>
      </c>
    </row>
    <row r="787" customFormat="false" ht="15" hidden="false" customHeight="true" outlineLevel="0" collapsed="false">
      <c r="A787" s="1" t="n">
        <v>786</v>
      </c>
      <c r="B787" s="1" t="s">
        <v>437</v>
      </c>
      <c r="C787" s="1" t="s">
        <v>775</v>
      </c>
      <c r="D787" s="1" t="s">
        <v>1208</v>
      </c>
      <c r="E787" s="1" t="s">
        <v>702</v>
      </c>
    </row>
    <row r="788" customFormat="false" ht="15" hidden="false" customHeight="true" outlineLevel="0" collapsed="false">
      <c r="A788" s="1" t="n">
        <v>787</v>
      </c>
      <c r="B788" s="1" t="s">
        <v>115</v>
      </c>
      <c r="C788" s="1" t="s">
        <v>306</v>
      </c>
      <c r="D788" s="1" t="s">
        <v>900</v>
      </c>
      <c r="E788" s="1" t="s">
        <v>1413</v>
      </c>
    </row>
    <row r="789" customFormat="false" ht="15" hidden="false" customHeight="true" outlineLevel="0" collapsed="false">
      <c r="A789" s="1" t="n">
        <v>788</v>
      </c>
      <c r="B789" s="1" t="s">
        <v>873</v>
      </c>
      <c r="C789" s="1" t="s">
        <v>1035</v>
      </c>
      <c r="D789" s="1" t="s">
        <v>39</v>
      </c>
      <c r="E789" s="1" t="s">
        <v>1414</v>
      </c>
    </row>
    <row r="790" customFormat="false" ht="15" hidden="false" customHeight="true" outlineLevel="0" collapsed="false">
      <c r="A790" s="1" t="n">
        <v>789</v>
      </c>
      <c r="B790" s="1" t="s">
        <v>1415</v>
      </c>
      <c r="C790" s="1" t="s">
        <v>1000</v>
      </c>
      <c r="D790" s="1" t="s">
        <v>101</v>
      </c>
      <c r="E790" s="1" t="s">
        <v>678</v>
      </c>
    </row>
    <row r="791" customFormat="false" ht="15" hidden="false" customHeight="true" outlineLevel="0" collapsed="false">
      <c r="A791" s="1" t="n">
        <v>790</v>
      </c>
      <c r="B791" s="1" t="s">
        <v>898</v>
      </c>
      <c r="C791" s="1" t="s">
        <v>697</v>
      </c>
      <c r="D791" s="1" t="s">
        <v>342</v>
      </c>
      <c r="E791" s="1" t="s">
        <v>44</v>
      </c>
    </row>
    <row r="792" customFormat="false" ht="15" hidden="false" customHeight="true" outlineLevel="0" collapsed="false">
      <c r="A792" s="1" t="n">
        <v>791</v>
      </c>
      <c r="B792" s="1" t="s">
        <v>617</v>
      </c>
      <c r="C792" s="1" t="s">
        <v>565</v>
      </c>
      <c r="D792" s="1" t="s">
        <v>556</v>
      </c>
      <c r="E792" s="1" t="s">
        <v>765</v>
      </c>
    </row>
    <row r="793" customFormat="false" ht="15" hidden="false" customHeight="true" outlineLevel="0" collapsed="false">
      <c r="A793" s="1" t="n">
        <v>792</v>
      </c>
      <c r="B793" s="1" t="s">
        <v>1006</v>
      </c>
      <c r="C793" s="1" t="s">
        <v>1296</v>
      </c>
      <c r="D793" s="1" t="s">
        <v>220</v>
      </c>
      <c r="E793" s="1" t="s">
        <v>1328</v>
      </c>
    </row>
    <row r="794" customFormat="false" ht="15" hidden="false" customHeight="true" outlineLevel="0" collapsed="false">
      <c r="A794" s="1" t="n">
        <v>793</v>
      </c>
      <c r="B794" s="1" t="s">
        <v>1123</v>
      </c>
      <c r="C794" s="1" t="s">
        <v>1136</v>
      </c>
      <c r="D794" s="1" t="s">
        <v>345</v>
      </c>
      <c r="E794" s="1" t="s">
        <v>462</v>
      </c>
    </row>
    <row r="795" customFormat="false" ht="15" hidden="false" customHeight="true" outlineLevel="0" collapsed="false">
      <c r="A795" s="1" t="n">
        <v>794</v>
      </c>
      <c r="B795" s="1" t="s">
        <v>1346</v>
      </c>
      <c r="C795" s="1" t="s">
        <v>133</v>
      </c>
      <c r="D795" s="1" t="s">
        <v>170</v>
      </c>
      <c r="E795" s="1" t="s">
        <v>652</v>
      </c>
    </row>
    <row r="796" customFormat="false" ht="15" hidden="false" customHeight="true" outlineLevel="0" collapsed="false">
      <c r="A796" s="1" t="n">
        <v>795</v>
      </c>
      <c r="B796" s="1" t="s">
        <v>337</v>
      </c>
      <c r="C796" s="1" t="s">
        <v>410</v>
      </c>
      <c r="D796" s="1" t="s">
        <v>900</v>
      </c>
      <c r="E796" s="1" t="s">
        <v>756</v>
      </c>
    </row>
    <row r="797" customFormat="false" ht="15" hidden="false" customHeight="true" outlineLevel="0" collapsed="false">
      <c r="A797" s="1" t="n">
        <v>796</v>
      </c>
      <c r="B797" s="1" t="s">
        <v>391</v>
      </c>
      <c r="C797" s="1" t="s">
        <v>1416</v>
      </c>
      <c r="D797" s="1" t="s">
        <v>297</v>
      </c>
      <c r="E797" s="1" t="s">
        <v>1417</v>
      </c>
    </row>
    <row r="798" customFormat="false" ht="15" hidden="false" customHeight="true" outlineLevel="0" collapsed="false">
      <c r="A798" s="1" t="n">
        <v>797</v>
      </c>
      <c r="B798" s="1" t="s">
        <v>924</v>
      </c>
      <c r="C798" s="1" t="s">
        <v>905</v>
      </c>
      <c r="D798" s="1" t="s">
        <v>442</v>
      </c>
      <c r="E798" s="1" t="s">
        <v>1418</v>
      </c>
    </row>
    <row r="799" customFormat="false" ht="15" hidden="false" customHeight="true" outlineLevel="0" collapsed="false">
      <c r="A799" s="1" t="n">
        <v>798</v>
      </c>
      <c r="B799" s="1" t="s">
        <v>1419</v>
      </c>
      <c r="C799" s="1" t="s">
        <v>260</v>
      </c>
      <c r="D799" s="1" t="s">
        <v>549</v>
      </c>
      <c r="E799" s="1" t="s">
        <v>1420</v>
      </c>
    </row>
    <row r="800" customFormat="false" ht="15" hidden="false" customHeight="true" outlineLevel="0" collapsed="false">
      <c r="A800" s="1" t="n">
        <v>799</v>
      </c>
      <c r="B800" s="1" t="s">
        <v>1018</v>
      </c>
      <c r="C800" s="1" t="s">
        <v>749</v>
      </c>
      <c r="D800" s="1" t="s">
        <v>1193</v>
      </c>
      <c r="E800" s="1" t="s">
        <v>1421</v>
      </c>
    </row>
    <row r="801" customFormat="false" ht="15" hidden="false" customHeight="true" outlineLevel="0" collapsed="false">
      <c r="A801" s="1" t="n">
        <v>800</v>
      </c>
      <c r="B801" s="1" t="s">
        <v>1088</v>
      </c>
      <c r="C801" s="1" t="s">
        <v>57</v>
      </c>
      <c r="D801" s="1" t="s">
        <v>556</v>
      </c>
      <c r="E801" s="1" t="s">
        <v>44</v>
      </c>
    </row>
    <row r="802" customFormat="false" ht="15" hidden="false" customHeight="true" outlineLevel="0" collapsed="false">
      <c r="A802" s="1" t="n">
        <v>801</v>
      </c>
      <c r="B802" s="1" t="s">
        <v>648</v>
      </c>
      <c r="C802" s="1" t="s">
        <v>1098</v>
      </c>
      <c r="D802" s="1" t="s">
        <v>737</v>
      </c>
      <c r="E802" s="1" t="s">
        <v>710</v>
      </c>
    </row>
    <row r="803" customFormat="false" ht="15" hidden="false" customHeight="true" outlineLevel="0" collapsed="false">
      <c r="A803" s="1" t="n">
        <v>802</v>
      </c>
      <c r="B803" s="1" t="s">
        <v>492</v>
      </c>
      <c r="C803" s="1" t="s">
        <v>1148</v>
      </c>
      <c r="D803" s="1" t="s">
        <v>378</v>
      </c>
      <c r="E803" s="1" t="s">
        <v>625</v>
      </c>
    </row>
    <row r="804" customFormat="false" ht="15" hidden="false" customHeight="true" outlineLevel="0" collapsed="false">
      <c r="A804" s="1" t="n">
        <v>803</v>
      </c>
      <c r="B804" s="1" t="s">
        <v>833</v>
      </c>
      <c r="C804" s="1" t="s">
        <v>998</v>
      </c>
      <c r="D804" s="1" t="s">
        <v>423</v>
      </c>
      <c r="E804" s="1" t="s">
        <v>1422</v>
      </c>
    </row>
    <row r="805" customFormat="false" ht="15" hidden="false" customHeight="true" outlineLevel="0" collapsed="false">
      <c r="A805" s="1" t="n">
        <v>804</v>
      </c>
      <c r="B805" s="1" t="s">
        <v>1288</v>
      </c>
      <c r="C805" s="1" t="s">
        <v>253</v>
      </c>
      <c r="D805" s="1" t="s">
        <v>783</v>
      </c>
      <c r="E805" s="1" t="s">
        <v>1423</v>
      </c>
    </row>
    <row r="806" customFormat="false" ht="15" hidden="false" customHeight="true" outlineLevel="0" collapsed="false">
      <c r="A806" s="1" t="n">
        <v>805</v>
      </c>
      <c r="B806" s="1" t="s">
        <v>107</v>
      </c>
      <c r="C806" s="1" t="s">
        <v>1424</v>
      </c>
      <c r="D806" s="1" t="s">
        <v>593</v>
      </c>
      <c r="E806" s="1" t="s">
        <v>571</v>
      </c>
    </row>
    <row r="807" customFormat="false" ht="15" hidden="false" customHeight="true" outlineLevel="0" collapsed="false">
      <c r="A807" s="1" t="n">
        <v>806</v>
      </c>
      <c r="B807" s="1" t="s">
        <v>626</v>
      </c>
      <c r="C807" s="1" t="s">
        <v>306</v>
      </c>
      <c r="D807" s="1" t="s">
        <v>1265</v>
      </c>
      <c r="E807" s="1" t="s">
        <v>1026</v>
      </c>
    </row>
    <row r="808" customFormat="false" ht="15" hidden="false" customHeight="true" outlineLevel="0" collapsed="false">
      <c r="A808" s="1" t="n">
        <v>807</v>
      </c>
      <c r="B808" s="1" t="s">
        <v>303</v>
      </c>
      <c r="C808" s="1" t="s">
        <v>166</v>
      </c>
      <c r="D808" s="1" t="s">
        <v>194</v>
      </c>
      <c r="E808" s="1" t="s">
        <v>1425</v>
      </c>
    </row>
    <row r="809" customFormat="false" ht="15" hidden="false" customHeight="true" outlineLevel="0" collapsed="false">
      <c r="A809" s="1" t="n">
        <v>808</v>
      </c>
      <c r="B809" s="1" t="s">
        <v>466</v>
      </c>
      <c r="C809" s="1" t="s">
        <v>104</v>
      </c>
      <c r="D809" s="1" t="s">
        <v>1272</v>
      </c>
      <c r="E809" s="1" t="s">
        <v>1166</v>
      </c>
    </row>
    <row r="810" customFormat="false" ht="15" hidden="false" customHeight="true" outlineLevel="0" collapsed="false">
      <c r="A810" s="1" t="n">
        <v>809</v>
      </c>
      <c r="B810" s="1" t="s">
        <v>583</v>
      </c>
      <c r="C810" s="1" t="s">
        <v>721</v>
      </c>
      <c r="D810" s="1" t="s">
        <v>123</v>
      </c>
      <c r="E810" s="1" t="s">
        <v>1221</v>
      </c>
    </row>
    <row r="811" customFormat="false" ht="15" hidden="false" customHeight="true" outlineLevel="0" collapsed="false">
      <c r="A811" s="1" t="n">
        <v>810</v>
      </c>
      <c r="B811" s="1" t="s">
        <v>383</v>
      </c>
      <c r="C811" s="1" t="s">
        <v>144</v>
      </c>
      <c r="D811" s="1" t="s">
        <v>737</v>
      </c>
      <c r="E811" s="1" t="s">
        <v>44</v>
      </c>
    </row>
    <row r="812" customFormat="false" ht="15" hidden="false" customHeight="true" outlineLevel="0" collapsed="false">
      <c r="A812" s="1" t="n">
        <v>811</v>
      </c>
      <c r="B812" s="1" t="s">
        <v>1426</v>
      </c>
      <c r="C812" s="1" t="s">
        <v>1427</v>
      </c>
      <c r="D812" s="1" t="s">
        <v>309</v>
      </c>
      <c r="E812" s="1" t="s">
        <v>1160</v>
      </c>
    </row>
    <row r="813" customFormat="false" ht="15" hidden="false" customHeight="true" outlineLevel="0" collapsed="false">
      <c r="A813" s="1" t="n">
        <v>812</v>
      </c>
      <c r="B813" s="1" t="s">
        <v>1428</v>
      </c>
      <c r="C813" s="1" t="s">
        <v>1429</v>
      </c>
      <c r="D813" s="1" t="s">
        <v>761</v>
      </c>
      <c r="E813" s="1" t="s">
        <v>1430</v>
      </c>
    </row>
    <row r="814" customFormat="false" ht="15" hidden="false" customHeight="true" outlineLevel="0" collapsed="false">
      <c r="A814" s="1" t="n">
        <v>813</v>
      </c>
      <c r="B814" s="1" t="s">
        <v>512</v>
      </c>
      <c r="C814" s="1" t="s">
        <v>562</v>
      </c>
      <c r="D814" s="1" t="s">
        <v>880</v>
      </c>
      <c r="E814" s="1" t="s">
        <v>1431</v>
      </c>
    </row>
    <row r="815" customFormat="false" ht="15" hidden="false" customHeight="true" outlineLevel="0" collapsed="false">
      <c r="A815" s="1" t="n">
        <v>814</v>
      </c>
      <c r="B815" s="1" t="s">
        <v>1252</v>
      </c>
      <c r="C815" s="1" t="s">
        <v>398</v>
      </c>
      <c r="D815" s="1" t="s">
        <v>342</v>
      </c>
      <c r="E815" s="1" t="s">
        <v>1432</v>
      </c>
    </row>
    <row r="816" customFormat="false" ht="15" hidden="false" customHeight="true" outlineLevel="0" collapsed="false">
      <c r="A816" s="1" t="n">
        <v>815</v>
      </c>
      <c r="B816" s="1" t="s">
        <v>541</v>
      </c>
      <c r="C816" s="1" t="s">
        <v>804</v>
      </c>
      <c r="D816" s="1" t="s">
        <v>715</v>
      </c>
      <c r="E816" s="1" t="s">
        <v>799</v>
      </c>
    </row>
    <row r="817" customFormat="false" ht="15" hidden="false" customHeight="true" outlineLevel="0" collapsed="false">
      <c r="A817" s="1" t="n">
        <v>816</v>
      </c>
      <c r="B817" s="1" t="s">
        <v>1146</v>
      </c>
      <c r="C817" s="1" t="s">
        <v>78</v>
      </c>
      <c r="D817" s="1" t="s">
        <v>522</v>
      </c>
      <c r="E817" s="1" t="s">
        <v>1433</v>
      </c>
    </row>
    <row r="818" customFormat="false" ht="15" hidden="false" customHeight="true" outlineLevel="0" collapsed="false">
      <c r="A818" s="1" t="n">
        <v>817</v>
      </c>
      <c r="B818" s="1" t="s">
        <v>1434</v>
      </c>
      <c r="C818" s="1" t="s">
        <v>1435</v>
      </c>
      <c r="D818" s="1" t="s">
        <v>1081</v>
      </c>
      <c r="E818" s="1" t="s">
        <v>545</v>
      </c>
    </row>
    <row r="819" customFormat="false" ht="15" hidden="false" customHeight="true" outlineLevel="0" collapsed="false">
      <c r="A819" s="1" t="n">
        <v>818</v>
      </c>
      <c r="B819" s="1" t="s">
        <v>391</v>
      </c>
      <c r="C819" s="1" t="s">
        <v>1436</v>
      </c>
      <c r="D819" s="1" t="s">
        <v>934</v>
      </c>
      <c r="E819" s="1" t="s">
        <v>1280</v>
      </c>
    </row>
    <row r="820" customFormat="false" ht="15" hidden="false" customHeight="true" outlineLevel="0" collapsed="false">
      <c r="A820" s="1" t="n">
        <v>819</v>
      </c>
      <c r="B820" s="1" t="s">
        <v>1018</v>
      </c>
      <c r="C820" s="1" t="s">
        <v>78</v>
      </c>
      <c r="D820" s="1" t="s">
        <v>945</v>
      </c>
      <c r="E820" s="1" t="s">
        <v>1437</v>
      </c>
    </row>
    <row r="821" customFormat="false" ht="15" hidden="false" customHeight="true" outlineLevel="0" collapsed="false">
      <c r="A821" s="1" t="n">
        <v>820</v>
      </c>
      <c r="B821" s="1" t="s">
        <v>404</v>
      </c>
      <c r="C821" s="1" t="s">
        <v>154</v>
      </c>
      <c r="D821" s="1" t="s">
        <v>217</v>
      </c>
      <c r="E821" s="1" t="s">
        <v>44</v>
      </c>
    </row>
    <row r="822" customFormat="false" ht="15" hidden="false" customHeight="true" outlineLevel="0" collapsed="false">
      <c r="A822" s="1" t="n">
        <v>821</v>
      </c>
      <c r="B822" s="1" t="s">
        <v>492</v>
      </c>
      <c r="C822" s="1" t="s">
        <v>656</v>
      </c>
      <c r="D822" s="1" t="s">
        <v>149</v>
      </c>
      <c r="E822" s="1" t="s">
        <v>1438</v>
      </c>
    </row>
    <row r="823" customFormat="false" ht="15" hidden="false" customHeight="true" outlineLevel="0" collapsed="false">
      <c r="A823" s="1" t="n">
        <v>822</v>
      </c>
      <c r="B823" s="1" t="s">
        <v>741</v>
      </c>
      <c r="C823" s="1" t="s">
        <v>778</v>
      </c>
      <c r="D823" s="1" t="s">
        <v>494</v>
      </c>
      <c r="E823" s="1" t="s">
        <v>1439</v>
      </c>
    </row>
    <row r="824" customFormat="false" ht="15" hidden="false" customHeight="true" outlineLevel="0" collapsed="false">
      <c r="A824" s="1" t="n">
        <v>823</v>
      </c>
      <c r="B824" s="1" t="s">
        <v>785</v>
      </c>
      <c r="C824" s="1" t="s">
        <v>187</v>
      </c>
      <c r="D824" s="1" t="s">
        <v>876</v>
      </c>
      <c r="E824" s="1" t="s">
        <v>644</v>
      </c>
    </row>
    <row r="825" customFormat="false" ht="15" hidden="false" customHeight="true" outlineLevel="0" collapsed="false">
      <c r="A825" s="1" t="n">
        <v>824</v>
      </c>
      <c r="B825" s="1" t="s">
        <v>748</v>
      </c>
      <c r="C825" s="1" t="s">
        <v>1035</v>
      </c>
      <c r="D825" s="1" t="s">
        <v>731</v>
      </c>
      <c r="E825" s="1" t="s">
        <v>534</v>
      </c>
    </row>
    <row r="826" customFormat="false" ht="15" hidden="false" customHeight="true" outlineLevel="0" collapsed="false">
      <c r="A826" s="1" t="n">
        <v>825</v>
      </c>
      <c r="B826" s="1" t="s">
        <v>1157</v>
      </c>
      <c r="C826" s="1" t="s">
        <v>244</v>
      </c>
      <c r="D826" s="1" t="s">
        <v>384</v>
      </c>
      <c r="E826" s="1" t="s">
        <v>1440</v>
      </c>
    </row>
    <row r="827" customFormat="false" ht="15" hidden="false" customHeight="true" outlineLevel="0" collapsed="false">
      <c r="A827" s="1" t="n">
        <v>826</v>
      </c>
      <c r="B827" s="1" t="s">
        <v>96</v>
      </c>
      <c r="C827" s="1" t="s">
        <v>266</v>
      </c>
      <c r="D827" s="1" t="s">
        <v>149</v>
      </c>
      <c r="E827" s="1" t="s">
        <v>242</v>
      </c>
    </row>
    <row r="828" customFormat="false" ht="15" hidden="false" customHeight="true" outlineLevel="0" collapsed="false">
      <c r="A828" s="1" t="n">
        <v>827</v>
      </c>
      <c r="B828" s="1" t="s">
        <v>1158</v>
      </c>
      <c r="C828" s="1" t="s">
        <v>1441</v>
      </c>
      <c r="D828" s="1" t="s">
        <v>69</v>
      </c>
      <c r="E828" s="1" t="s">
        <v>1442</v>
      </c>
    </row>
    <row r="829" customFormat="false" ht="15" hidden="false" customHeight="true" outlineLevel="0" collapsed="false">
      <c r="A829" s="1" t="n">
        <v>828</v>
      </c>
      <c r="B829" s="1" t="s">
        <v>964</v>
      </c>
      <c r="C829" s="1" t="s">
        <v>333</v>
      </c>
      <c r="D829" s="1" t="s">
        <v>282</v>
      </c>
      <c r="E829" s="1" t="s">
        <v>98</v>
      </c>
    </row>
    <row r="830" customFormat="false" ht="15" hidden="false" customHeight="true" outlineLevel="0" collapsed="false">
      <c r="A830" s="1" t="n">
        <v>829</v>
      </c>
      <c r="B830" s="1" t="s">
        <v>873</v>
      </c>
      <c r="C830" s="1" t="s">
        <v>801</v>
      </c>
      <c r="D830" s="1" t="s">
        <v>220</v>
      </c>
      <c r="E830" s="1" t="s">
        <v>1405</v>
      </c>
    </row>
    <row r="831" customFormat="false" ht="15" hidden="false" customHeight="true" outlineLevel="0" collapsed="false">
      <c r="A831" s="1" t="n">
        <v>830</v>
      </c>
      <c r="B831" s="1" t="s">
        <v>685</v>
      </c>
      <c r="C831" s="1" t="s">
        <v>974</v>
      </c>
      <c r="D831" s="1" t="s">
        <v>879</v>
      </c>
      <c r="E831" s="1" t="s">
        <v>44</v>
      </c>
    </row>
    <row r="832" customFormat="false" ht="15" hidden="false" customHeight="true" outlineLevel="0" collapsed="false">
      <c r="A832" s="1" t="n">
        <v>831</v>
      </c>
      <c r="B832" s="1" t="s">
        <v>803</v>
      </c>
      <c r="C832" s="1" t="s">
        <v>579</v>
      </c>
      <c r="D832" s="1" t="s">
        <v>527</v>
      </c>
      <c r="E832" s="1" t="s">
        <v>1443</v>
      </c>
    </row>
    <row r="833" customFormat="false" ht="15" hidden="false" customHeight="true" outlineLevel="0" collapsed="false">
      <c r="A833" s="1" t="n">
        <v>832</v>
      </c>
      <c r="B833" s="1" t="s">
        <v>1237</v>
      </c>
      <c r="C833" s="1" t="s">
        <v>461</v>
      </c>
      <c r="D833" s="1" t="s">
        <v>1411</v>
      </c>
      <c r="E833" s="1" t="s">
        <v>1444</v>
      </c>
    </row>
    <row r="834" customFormat="false" ht="15" hidden="false" customHeight="true" outlineLevel="0" collapsed="false">
      <c r="A834" s="1" t="n">
        <v>833</v>
      </c>
      <c r="B834" s="1" t="s">
        <v>913</v>
      </c>
      <c r="C834" s="1" t="s">
        <v>449</v>
      </c>
      <c r="D834" s="1" t="s">
        <v>269</v>
      </c>
      <c r="E834" s="1" t="s">
        <v>1343</v>
      </c>
    </row>
    <row r="835" customFormat="false" ht="15" hidden="false" customHeight="true" outlineLevel="0" collapsed="false">
      <c r="A835" s="1" t="n">
        <v>834</v>
      </c>
      <c r="B835" s="1" t="s">
        <v>1445</v>
      </c>
      <c r="C835" s="1" t="s">
        <v>1446</v>
      </c>
      <c r="D835" s="1" t="s">
        <v>560</v>
      </c>
      <c r="E835" s="1" t="s">
        <v>633</v>
      </c>
    </row>
    <row r="836" customFormat="false" ht="15" hidden="false" customHeight="true" outlineLevel="0" collapsed="false">
      <c r="A836" s="1" t="n">
        <v>835</v>
      </c>
      <c r="B836" s="1" t="s">
        <v>619</v>
      </c>
      <c r="C836" s="1" t="s">
        <v>398</v>
      </c>
      <c r="D836" s="1" t="s">
        <v>698</v>
      </c>
      <c r="E836" s="1" t="s">
        <v>1266</v>
      </c>
    </row>
    <row r="837" customFormat="false" ht="15" hidden="false" customHeight="true" outlineLevel="0" collapsed="false">
      <c r="A837" s="1" t="n">
        <v>836</v>
      </c>
      <c r="B837" s="1" t="s">
        <v>1447</v>
      </c>
      <c r="C837" s="1" t="s">
        <v>1015</v>
      </c>
      <c r="D837" s="1" t="s">
        <v>869</v>
      </c>
      <c r="E837" s="1" t="s">
        <v>1219</v>
      </c>
    </row>
    <row r="838" customFormat="false" ht="15" hidden="false" customHeight="true" outlineLevel="0" collapsed="false">
      <c r="A838" s="1" t="n">
        <v>837</v>
      </c>
      <c r="B838" s="1" t="s">
        <v>17</v>
      </c>
      <c r="C838" s="1" t="s">
        <v>739</v>
      </c>
      <c r="D838" s="1" t="s">
        <v>982</v>
      </c>
      <c r="E838" s="1" t="s">
        <v>1448</v>
      </c>
    </row>
    <row r="839" customFormat="false" ht="15" hidden="false" customHeight="true" outlineLevel="0" collapsed="false">
      <c r="A839" s="1" t="n">
        <v>838</v>
      </c>
      <c r="B839" s="1" t="s">
        <v>544</v>
      </c>
      <c r="C839" s="1" t="s">
        <v>341</v>
      </c>
      <c r="D839" s="1" t="s">
        <v>123</v>
      </c>
      <c r="E839" s="1" t="s">
        <v>179</v>
      </c>
    </row>
    <row r="840" customFormat="false" ht="15" hidden="false" customHeight="true" outlineLevel="0" collapsed="false">
      <c r="A840" s="1" t="n">
        <v>839</v>
      </c>
      <c r="B840" s="1" t="s">
        <v>1008</v>
      </c>
      <c r="C840" s="1" t="s">
        <v>10</v>
      </c>
      <c r="D840" s="1" t="s">
        <v>137</v>
      </c>
      <c r="E840" s="1" t="s">
        <v>1449</v>
      </c>
    </row>
    <row r="841" customFormat="false" ht="15" hidden="false" customHeight="true" outlineLevel="0" collapsed="false">
      <c r="A841" s="1" t="n">
        <v>840</v>
      </c>
      <c r="B841" s="1" t="s">
        <v>64</v>
      </c>
      <c r="C841" s="1" t="s">
        <v>750</v>
      </c>
      <c r="D841" s="1" t="s">
        <v>560</v>
      </c>
      <c r="E841" s="1" t="s">
        <v>44</v>
      </c>
    </row>
    <row r="842" customFormat="false" ht="15" hidden="false" customHeight="true" outlineLevel="0" collapsed="false">
      <c r="A842" s="1" t="n">
        <v>841</v>
      </c>
      <c r="B842" s="1" t="s">
        <v>1450</v>
      </c>
      <c r="C842" s="1" t="s">
        <v>1140</v>
      </c>
      <c r="D842" s="1" t="s">
        <v>286</v>
      </c>
      <c r="E842" s="1" t="s">
        <v>829</v>
      </c>
    </row>
    <row r="843" customFormat="false" ht="15" hidden="false" customHeight="true" outlineLevel="0" collapsed="false">
      <c r="A843" s="1" t="n">
        <v>842</v>
      </c>
      <c r="B843" s="1" t="s">
        <v>1119</v>
      </c>
      <c r="C843" s="1" t="s">
        <v>1077</v>
      </c>
      <c r="D843" s="1" t="s">
        <v>1165</v>
      </c>
      <c r="E843" s="1" t="s">
        <v>1451</v>
      </c>
    </row>
    <row r="844" customFormat="false" ht="15" hidden="false" customHeight="true" outlineLevel="0" collapsed="false">
      <c r="A844" s="1" t="n">
        <v>843</v>
      </c>
      <c r="B844" s="1" t="s">
        <v>80</v>
      </c>
      <c r="C844" s="1" t="s">
        <v>1452</v>
      </c>
      <c r="D844" s="1" t="s">
        <v>909</v>
      </c>
      <c r="E844" s="1" t="s">
        <v>832</v>
      </c>
    </row>
    <row r="845" customFormat="false" ht="15" hidden="false" customHeight="true" outlineLevel="0" collapsed="false">
      <c r="A845" s="1" t="n">
        <v>844</v>
      </c>
      <c r="B845" s="1" t="s">
        <v>211</v>
      </c>
      <c r="C845" s="1" t="s">
        <v>1289</v>
      </c>
      <c r="D845" s="1" t="s">
        <v>737</v>
      </c>
      <c r="E845" s="1" t="s">
        <v>1433</v>
      </c>
    </row>
    <row r="846" customFormat="false" ht="15" hidden="false" customHeight="true" outlineLevel="0" collapsed="false">
      <c r="A846" s="1" t="n">
        <v>845</v>
      </c>
      <c r="B846" s="1" t="s">
        <v>1362</v>
      </c>
      <c r="C846" s="1" t="s">
        <v>565</v>
      </c>
      <c r="D846" s="1" t="s">
        <v>286</v>
      </c>
      <c r="E846" s="1" t="s">
        <v>1453</v>
      </c>
    </row>
    <row r="847" customFormat="false" ht="15" hidden="false" customHeight="true" outlineLevel="0" collapsed="false">
      <c r="A847" s="1" t="n">
        <v>846</v>
      </c>
      <c r="B847" s="1" t="s">
        <v>255</v>
      </c>
      <c r="C847" s="1" t="s">
        <v>1216</v>
      </c>
      <c r="D847" s="1" t="s">
        <v>593</v>
      </c>
      <c r="E847" s="1" t="s">
        <v>1454</v>
      </c>
    </row>
    <row r="848" customFormat="false" ht="15" hidden="false" customHeight="true" outlineLevel="0" collapsed="false">
      <c r="A848" s="1" t="n">
        <v>847</v>
      </c>
      <c r="B848" s="1" t="s">
        <v>1455</v>
      </c>
      <c r="C848" s="1" t="s">
        <v>30</v>
      </c>
      <c r="D848" s="1" t="s">
        <v>717</v>
      </c>
      <c r="E848" s="1" t="s">
        <v>1456</v>
      </c>
    </row>
    <row r="849" customFormat="false" ht="15" hidden="false" customHeight="true" outlineLevel="0" collapsed="false">
      <c r="A849" s="1" t="n">
        <v>848</v>
      </c>
      <c r="B849" s="1" t="s">
        <v>918</v>
      </c>
      <c r="C849" s="1" t="s">
        <v>484</v>
      </c>
      <c r="D849" s="1" t="s">
        <v>1208</v>
      </c>
      <c r="E849" s="1" t="s">
        <v>660</v>
      </c>
    </row>
    <row r="850" customFormat="false" ht="15" hidden="false" customHeight="true" outlineLevel="0" collapsed="false">
      <c r="A850" s="1" t="n">
        <v>849</v>
      </c>
      <c r="B850" s="1" t="s">
        <v>1257</v>
      </c>
      <c r="C850" s="1" t="s">
        <v>189</v>
      </c>
      <c r="D850" s="1" t="s">
        <v>947</v>
      </c>
      <c r="E850" s="1" t="s">
        <v>1124</v>
      </c>
    </row>
    <row r="851" customFormat="false" ht="15" hidden="false" customHeight="true" outlineLevel="0" collapsed="false">
      <c r="A851" s="1" t="n">
        <v>850</v>
      </c>
      <c r="B851" s="1" t="s">
        <v>703</v>
      </c>
      <c r="C851" s="1" t="s">
        <v>1457</v>
      </c>
      <c r="D851" s="1" t="s">
        <v>141</v>
      </c>
      <c r="E851" s="1" t="s">
        <v>44</v>
      </c>
    </row>
    <row r="852" customFormat="false" ht="15" hidden="false" customHeight="true" outlineLevel="0" collapsed="false">
      <c r="A852" s="1" t="n">
        <v>851</v>
      </c>
      <c r="B852" s="1" t="s">
        <v>9</v>
      </c>
      <c r="C852" s="1" t="s">
        <v>697</v>
      </c>
      <c r="D852" s="1" t="s">
        <v>1363</v>
      </c>
      <c r="E852" s="1" t="s">
        <v>1458</v>
      </c>
    </row>
    <row r="853" customFormat="false" ht="15" hidden="false" customHeight="true" outlineLevel="0" collapsed="false">
      <c r="A853" s="1" t="n">
        <v>852</v>
      </c>
      <c r="B853" s="1" t="s">
        <v>664</v>
      </c>
      <c r="C853" s="1" t="s">
        <v>193</v>
      </c>
      <c r="D853" s="1" t="s">
        <v>1262</v>
      </c>
      <c r="E853" s="1" t="s">
        <v>1459</v>
      </c>
    </row>
    <row r="854" customFormat="false" ht="15" hidden="false" customHeight="true" outlineLevel="0" collapsed="false">
      <c r="A854" s="1" t="n">
        <v>853</v>
      </c>
      <c r="B854" s="1" t="s">
        <v>920</v>
      </c>
      <c r="C854" s="1" t="s">
        <v>1248</v>
      </c>
      <c r="D854" s="1" t="s">
        <v>301</v>
      </c>
      <c r="E854" s="1" t="s">
        <v>1176</v>
      </c>
    </row>
    <row r="855" customFormat="false" ht="15" hidden="false" customHeight="true" outlineLevel="0" collapsed="false">
      <c r="A855" s="1" t="n">
        <v>854</v>
      </c>
      <c r="B855" s="1" t="s">
        <v>371</v>
      </c>
      <c r="C855" s="1" t="s">
        <v>253</v>
      </c>
      <c r="D855" s="1" t="s">
        <v>178</v>
      </c>
      <c r="E855" s="1" t="s">
        <v>674</v>
      </c>
    </row>
    <row r="856" customFormat="false" ht="15" hidden="false" customHeight="true" outlineLevel="0" collapsed="false">
      <c r="A856" s="1" t="n">
        <v>855</v>
      </c>
      <c r="B856" s="1" t="s">
        <v>1024</v>
      </c>
      <c r="C856" s="1" t="s">
        <v>398</v>
      </c>
      <c r="D856" s="1" t="s">
        <v>145</v>
      </c>
      <c r="E856" s="1" t="s">
        <v>702</v>
      </c>
    </row>
    <row r="857" customFormat="false" ht="15" hidden="false" customHeight="true" outlineLevel="0" collapsed="false">
      <c r="A857" s="1" t="n">
        <v>856</v>
      </c>
      <c r="B857" s="1" t="s">
        <v>1169</v>
      </c>
      <c r="C857" s="1" t="s">
        <v>1460</v>
      </c>
      <c r="D857" s="1" t="s">
        <v>190</v>
      </c>
      <c r="E857" s="1" t="s">
        <v>1461</v>
      </c>
    </row>
    <row r="858" customFormat="false" ht="15" hidden="false" customHeight="true" outlineLevel="0" collapsed="false">
      <c r="A858" s="1" t="n">
        <v>857</v>
      </c>
      <c r="B858" s="1" t="s">
        <v>1400</v>
      </c>
      <c r="C858" s="1" t="s">
        <v>1013</v>
      </c>
      <c r="D858" s="1" t="s">
        <v>51</v>
      </c>
      <c r="E858" s="1" t="s">
        <v>1462</v>
      </c>
    </row>
    <row r="859" customFormat="false" ht="15" hidden="false" customHeight="true" outlineLevel="0" collapsed="false">
      <c r="A859" s="1" t="n">
        <v>858</v>
      </c>
      <c r="B859" s="1" t="s">
        <v>1463</v>
      </c>
      <c r="C859" s="1" t="s">
        <v>931</v>
      </c>
      <c r="D859" s="1" t="s">
        <v>19</v>
      </c>
      <c r="E859" s="1" t="s">
        <v>1464</v>
      </c>
    </row>
    <row r="860" customFormat="false" ht="15" hidden="false" customHeight="true" outlineLevel="0" collapsed="false">
      <c r="A860" s="1" t="n">
        <v>859</v>
      </c>
      <c r="B860" s="1" t="s">
        <v>572</v>
      </c>
      <c r="C860" s="1" t="s">
        <v>392</v>
      </c>
      <c r="D860" s="1" t="s">
        <v>301</v>
      </c>
      <c r="E860" s="1" t="s">
        <v>1465</v>
      </c>
    </row>
    <row r="861" customFormat="false" ht="15" hidden="false" customHeight="true" outlineLevel="0" collapsed="false">
      <c r="A861" s="1" t="n">
        <v>860</v>
      </c>
      <c r="B861" s="1" t="s">
        <v>406</v>
      </c>
      <c r="C861" s="1" t="s">
        <v>1382</v>
      </c>
      <c r="D861" s="1" t="s">
        <v>884</v>
      </c>
      <c r="E861" s="1" t="s">
        <v>44</v>
      </c>
    </row>
    <row r="862" customFormat="false" ht="15" hidden="false" customHeight="true" outlineLevel="0" collapsed="false">
      <c r="A862" s="1" t="n">
        <v>861</v>
      </c>
      <c r="B862" s="1" t="s">
        <v>933</v>
      </c>
      <c r="C862" s="1" t="s">
        <v>1466</v>
      </c>
      <c r="D862" s="1" t="s">
        <v>1081</v>
      </c>
      <c r="E862" s="1" t="s">
        <v>1467</v>
      </c>
    </row>
    <row r="863" customFormat="false" ht="15" hidden="false" customHeight="true" outlineLevel="0" collapsed="false">
      <c r="A863" s="1" t="n">
        <v>862</v>
      </c>
      <c r="B863" s="1" t="s">
        <v>139</v>
      </c>
      <c r="C863" s="1" t="s">
        <v>742</v>
      </c>
      <c r="D863" s="1" t="s">
        <v>301</v>
      </c>
      <c r="E863" s="1" t="s">
        <v>268</v>
      </c>
    </row>
    <row r="864" customFormat="false" ht="15" hidden="false" customHeight="true" outlineLevel="0" collapsed="false">
      <c r="A864" s="1" t="n">
        <v>863</v>
      </c>
      <c r="B864" s="1" t="s">
        <v>953</v>
      </c>
      <c r="C864" s="1" t="s">
        <v>230</v>
      </c>
      <c r="D864" s="1" t="s">
        <v>395</v>
      </c>
      <c r="E864" s="1" t="s">
        <v>1468</v>
      </c>
    </row>
    <row r="865" customFormat="false" ht="15" hidden="false" customHeight="true" outlineLevel="0" collapsed="false">
      <c r="A865" s="1" t="n">
        <v>864</v>
      </c>
      <c r="B865" s="1" t="s">
        <v>590</v>
      </c>
      <c r="C865" s="1" t="s">
        <v>1233</v>
      </c>
      <c r="D865" s="1" t="s">
        <v>269</v>
      </c>
      <c r="E865" s="1" t="s">
        <v>1469</v>
      </c>
    </row>
    <row r="866" customFormat="false" ht="15" hidden="false" customHeight="true" outlineLevel="0" collapsed="false">
      <c r="A866" s="1" t="n">
        <v>865</v>
      </c>
      <c r="B866" s="1" t="s">
        <v>409</v>
      </c>
      <c r="C866" s="1" t="s">
        <v>333</v>
      </c>
      <c r="D866" s="1" t="s">
        <v>395</v>
      </c>
      <c r="E866" s="1" t="s">
        <v>1470</v>
      </c>
    </row>
    <row r="867" customFormat="false" ht="15" hidden="false" customHeight="true" outlineLevel="0" collapsed="false">
      <c r="A867" s="1" t="n">
        <v>866</v>
      </c>
      <c r="B867" s="1" t="s">
        <v>1070</v>
      </c>
      <c r="C867" s="1" t="s">
        <v>1183</v>
      </c>
      <c r="D867" s="1" t="s">
        <v>1471</v>
      </c>
      <c r="E867" s="1" t="s">
        <v>1472</v>
      </c>
    </row>
    <row r="868" customFormat="false" ht="15" hidden="false" customHeight="true" outlineLevel="0" collapsed="false">
      <c r="A868" s="1" t="n">
        <v>867</v>
      </c>
      <c r="B868" s="1" t="s">
        <v>1473</v>
      </c>
      <c r="C868" s="1" t="s">
        <v>1243</v>
      </c>
      <c r="D868" s="1" t="s">
        <v>97</v>
      </c>
      <c r="E868" s="1" t="s">
        <v>885</v>
      </c>
    </row>
    <row r="869" customFormat="false" ht="15" hidden="false" customHeight="true" outlineLevel="0" collapsed="false">
      <c r="A869" s="1" t="n">
        <v>868</v>
      </c>
      <c r="B869" s="1" t="s">
        <v>1308</v>
      </c>
      <c r="C869" s="1" t="s">
        <v>1289</v>
      </c>
      <c r="D869" s="1" t="s">
        <v>456</v>
      </c>
      <c r="E869" s="1" t="s">
        <v>1184</v>
      </c>
    </row>
    <row r="870" customFormat="false" ht="15" hidden="false" customHeight="true" outlineLevel="0" collapsed="false">
      <c r="A870" s="1" t="n">
        <v>869</v>
      </c>
      <c r="B870" s="1" t="s">
        <v>1474</v>
      </c>
      <c r="C870" s="1" t="s">
        <v>1289</v>
      </c>
      <c r="D870" s="1" t="s">
        <v>728</v>
      </c>
      <c r="E870" s="1" t="s">
        <v>1475</v>
      </c>
    </row>
    <row r="871" customFormat="false" ht="15" hidden="false" customHeight="true" outlineLevel="0" collapsed="false">
      <c r="A871" s="1" t="n">
        <v>870</v>
      </c>
      <c r="B871" s="1" t="s">
        <v>139</v>
      </c>
      <c r="C871" s="1" t="s">
        <v>902</v>
      </c>
      <c r="D871" s="1" t="s">
        <v>567</v>
      </c>
      <c r="E871" s="1" t="s">
        <v>44</v>
      </c>
    </row>
    <row r="872" customFormat="false" ht="15" hidden="false" customHeight="true" outlineLevel="0" collapsed="false">
      <c r="A872" s="1" t="n">
        <v>871</v>
      </c>
      <c r="B872" s="1" t="s">
        <v>1476</v>
      </c>
      <c r="C872" s="1" t="s">
        <v>260</v>
      </c>
      <c r="D872" s="1" t="s">
        <v>556</v>
      </c>
      <c r="E872" s="1" t="s">
        <v>688</v>
      </c>
    </row>
    <row r="873" customFormat="false" ht="15" hidden="false" customHeight="true" outlineLevel="0" collapsed="false">
      <c r="A873" s="1" t="n">
        <v>872</v>
      </c>
      <c r="B873" s="1" t="s">
        <v>383</v>
      </c>
      <c r="C873" s="1" t="s">
        <v>555</v>
      </c>
      <c r="D873" s="1" t="s">
        <v>123</v>
      </c>
      <c r="E873" s="1" t="s">
        <v>1477</v>
      </c>
    </row>
    <row r="874" customFormat="false" ht="15" hidden="false" customHeight="true" outlineLevel="0" collapsed="false">
      <c r="A874" s="1" t="n">
        <v>873</v>
      </c>
      <c r="B874" s="1" t="s">
        <v>364</v>
      </c>
      <c r="C874" s="1" t="s">
        <v>1478</v>
      </c>
      <c r="D874" s="1" t="s">
        <v>807</v>
      </c>
      <c r="E874" s="1" t="s">
        <v>1326</v>
      </c>
    </row>
    <row r="875" customFormat="false" ht="15" hidden="false" customHeight="true" outlineLevel="0" collapsed="false">
      <c r="A875" s="1" t="n">
        <v>874</v>
      </c>
      <c r="B875" s="1" t="s">
        <v>9</v>
      </c>
      <c r="C875" s="1" t="s">
        <v>481</v>
      </c>
      <c r="D875" s="1" t="s">
        <v>532</v>
      </c>
      <c r="E875" s="1" t="s">
        <v>1479</v>
      </c>
    </row>
    <row r="876" customFormat="false" ht="15" hidden="false" customHeight="true" outlineLevel="0" collapsed="false">
      <c r="A876" s="1" t="n">
        <v>875</v>
      </c>
      <c r="B876" s="1" t="s">
        <v>1333</v>
      </c>
      <c r="C876" s="1" t="s">
        <v>1480</v>
      </c>
      <c r="D876" s="1" t="s">
        <v>639</v>
      </c>
      <c r="E876" s="1" t="s">
        <v>1481</v>
      </c>
    </row>
    <row r="877" customFormat="false" ht="15" hidden="false" customHeight="true" outlineLevel="0" collapsed="false">
      <c r="A877" s="1" t="n">
        <v>876</v>
      </c>
      <c r="B877" s="1" t="s">
        <v>1482</v>
      </c>
      <c r="C877" s="1" t="s">
        <v>733</v>
      </c>
      <c r="D877" s="1" t="s">
        <v>807</v>
      </c>
      <c r="E877" s="1" t="s">
        <v>1327</v>
      </c>
    </row>
    <row r="878" customFormat="false" ht="15" hidden="false" customHeight="true" outlineLevel="0" collapsed="false">
      <c r="A878" s="1" t="n">
        <v>877</v>
      </c>
      <c r="B878" s="1" t="s">
        <v>985</v>
      </c>
      <c r="C878" s="1" t="s">
        <v>726</v>
      </c>
      <c r="D878" s="1" t="s">
        <v>51</v>
      </c>
      <c r="E878" s="1" t="s">
        <v>32</v>
      </c>
    </row>
    <row r="879" customFormat="false" ht="15" hidden="false" customHeight="true" outlineLevel="0" collapsed="false">
      <c r="A879" s="1" t="n">
        <v>878</v>
      </c>
      <c r="B879" s="1" t="s">
        <v>1158</v>
      </c>
      <c r="C879" s="1" t="s">
        <v>477</v>
      </c>
      <c r="D879" s="1" t="s">
        <v>884</v>
      </c>
      <c r="E879" s="1" t="s">
        <v>1483</v>
      </c>
    </row>
    <row r="880" customFormat="false" ht="15" hidden="false" customHeight="true" outlineLevel="0" collapsed="false">
      <c r="A880" s="1" t="n">
        <v>879</v>
      </c>
      <c r="B880" s="1" t="s">
        <v>92</v>
      </c>
      <c r="C880" s="1" t="s">
        <v>487</v>
      </c>
      <c r="D880" s="1" t="s">
        <v>779</v>
      </c>
      <c r="E880" s="1" t="s">
        <v>1311</v>
      </c>
    </row>
    <row r="881" customFormat="false" ht="15" hidden="false" customHeight="true" outlineLevel="0" collapsed="false">
      <c r="A881" s="1" t="n">
        <v>880</v>
      </c>
      <c r="B881" s="1" t="s">
        <v>666</v>
      </c>
      <c r="C881" s="1" t="s">
        <v>122</v>
      </c>
      <c r="D881" s="1" t="s">
        <v>134</v>
      </c>
      <c r="E881" s="1" t="s">
        <v>44</v>
      </c>
    </row>
    <row r="882" customFormat="false" ht="15" hidden="false" customHeight="true" outlineLevel="0" collapsed="false">
      <c r="A882" s="1" t="n">
        <v>881</v>
      </c>
      <c r="B882" s="1" t="s">
        <v>1341</v>
      </c>
      <c r="C882" s="1" t="s">
        <v>1484</v>
      </c>
      <c r="D882" s="1" t="s">
        <v>297</v>
      </c>
      <c r="E882" s="1" t="s">
        <v>1313</v>
      </c>
    </row>
    <row r="883" customFormat="false" ht="15" hidden="false" customHeight="true" outlineLevel="0" collapsed="false">
      <c r="A883" s="1" t="n">
        <v>882</v>
      </c>
      <c r="B883" s="1" t="s">
        <v>476</v>
      </c>
      <c r="C883" s="1" t="s">
        <v>1296</v>
      </c>
      <c r="D883" s="1" t="s">
        <v>474</v>
      </c>
      <c r="E883" s="1" t="s">
        <v>1485</v>
      </c>
    </row>
    <row r="884" customFormat="false" ht="15" hidden="false" customHeight="true" outlineLevel="0" collapsed="false">
      <c r="A884" s="1" t="n">
        <v>883</v>
      </c>
      <c r="B884" s="1" t="s">
        <v>1142</v>
      </c>
      <c r="C884" s="1" t="s">
        <v>154</v>
      </c>
      <c r="D884" s="1" t="s">
        <v>549</v>
      </c>
      <c r="E884" s="1" t="s">
        <v>331</v>
      </c>
    </row>
    <row r="885" customFormat="false" ht="15" hidden="false" customHeight="true" outlineLevel="0" collapsed="false">
      <c r="A885" s="1" t="n">
        <v>884</v>
      </c>
      <c r="B885" s="1" t="s">
        <v>361</v>
      </c>
      <c r="C885" s="1" t="s">
        <v>662</v>
      </c>
      <c r="D885" s="1" t="s">
        <v>1127</v>
      </c>
      <c r="E885" s="1" t="s">
        <v>431</v>
      </c>
    </row>
    <row r="886" customFormat="false" ht="15" hidden="false" customHeight="true" outlineLevel="0" collapsed="false">
      <c r="A886" s="1" t="n">
        <v>885</v>
      </c>
      <c r="B886" s="1" t="s">
        <v>1239</v>
      </c>
      <c r="C886" s="1" t="s">
        <v>1015</v>
      </c>
      <c r="D886" s="1" t="s">
        <v>217</v>
      </c>
      <c r="E886" s="1" t="s">
        <v>1202</v>
      </c>
    </row>
    <row r="887" customFormat="false" ht="15" hidden="false" customHeight="true" outlineLevel="0" collapsed="false">
      <c r="A887" s="1" t="n">
        <v>886</v>
      </c>
      <c r="B887" s="1" t="s">
        <v>1057</v>
      </c>
      <c r="C887" s="1" t="s">
        <v>324</v>
      </c>
      <c r="D887" s="1" t="s">
        <v>62</v>
      </c>
      <c r="E887" s="1" t="s">
        <v>1486</v>
      </c>
    </row>
    <row r="888" customFormat="false" ht="15" hidden="false" customHeight="true" outlineLevel="0" collapsed="false">
      <c r="A888" s="1" t="n">
        <v>887</v>
      </c>
      <c r="B888" s="1" t="s">
        <v>541</v>
      </c>
      <c r="C888" s="1" t="s">
        <v>244</v>
      </c>
      <c r="D888" s="1" t="s">
        <v>282</v>
      </c>
      <c r="E888" s="1" t="s">
        <v>1462</v>
      </c>
    </row>
    <row r="889" customFormat="false" ht="15" hidden="false" customHeight="true" outlineLevel="0" collapsed="false">
      <c r="A889" s="1" t="n">
        <v>888</v>
      </c>
      <c r="B889" s="1" t="s">
        <v>1370</v>
      </c>
      <c r="C889" s="1" t="s">
        <v>842</v>
      </c>
      <c r="D889" s="1" t="s">
        <v>675</v>
      </c>
      <c r="E889" s="1" t="s">
        <v>836</v>
      </c>
    </row>
    <row r="890" customFormat="false" ht="15" hidden="false" customHeight="true" outlineLevel="0" collapsed="false">
      <c r="A890" s="1" t="n">
        <v>889</v>
      </c>
      <c r="B890" s="1" t="s">
        <v>661</v>
      </c>
      <c r="C890" s="1" t="s">
        <v>248</v>
      </c>
      <c r="D890" s="1" t="s">
        <v>855</v>
      </c>
      <c r="E890" s="1" t="s">
        <v>694</v>
      </c>
    </row>
    <row r="891" customFormat="false" ht="15" hidden="false" customHeight="true" outlineLevel="0" collapsed="false">
      <c r="A891" s="1" t="n">
        <v>890</v>
      </c>
      <c r="B891" s="1" t="s">
        <v>347</v>
      </c>
      <c r="C891" s="1" t="s">
        <v>1487</v>
      </c>
      <c r="D891" s="1" t="s">
        <v>1488</v>
      </c>
      <c r="E891" s="1" t="s">
        <v>44</v>
      </c>
    </row>
    <row r="892" customFormat="false" ht="15" hidden="false" customHeight="true" outlineLevel="0" collapsed="false">
      <c r="A892" s="1" t="n">
        <v>891</v>
      </c>
      <c r="B892" s="1" t="s">
        <v>1489</v>
      </c>
      <c r="C892" s="1" t="s">
        <v>461</v>
      </c>
      <c r="D892" s="1" t="s">
        <v>145</v>
      </c>
      <c r="E892" s="1" t="s">
        <v>1203</v>
      </c>
    </row>
    <row r="893" customFormat="false" ht="15" hidden="false" customHeight="true" outlineLevel="0" collapsed="false">
      <c r="A893" s="1" t="n">
        <v>892</v>
      </c>
      <c r="B893" s="1" t="s">
        <v>1490</v>
      </c>
      <c r="C893" s="1" t="s">
        <v>202</v>
      </c>
      <c r="D893" s="1" t="s">
        <v>923</v>
      </c>
      <c r="E893" s="1" t="s">
        <v>1491</v>
      </c>
    </row>
    <row r="894" customFormat="false" ht="15" hidden="false" customHeight="true" outlineLevel="0" collapsed="false">
      <c r="A894" s="1" t="n">
        <v>893</v>
      </c>
      <c r="B894" s="1" t="s">
        <v>1093</v>
      </c>
      <c r="C894" s="1" t="s">
        <v>515</v>
      </c>
      <c r="D894" s="1" t="s">
        <v>185</v>
      </c>
      <c r="E894" s="1" t="s">
        <v>1492</v>
      </c>
    </row>
    <row r="895" customFormat="false" ht="15" hidden="false" customHeight="true" outlineLevel="0" collapsed="false">
      <c r="A895" s="1" t="n">
        <v>894</v>
      </c>
      <c r="B895" s="1" t="s">
        <v>218</v>
      </c>
      <c r="C895" s="1" t="s">
        <v>1077</v>
      </c>
      <c r="D895" s="1" t="s">
        <v>1170</v>
      </c>
      <c r="E895" s="1" t="s">
        <v>302</v>
      </c>
    </row>
    <row r="896" customFormat="false" ht="15" hidden="false" customHeight="true" outlineLevel="0" collapsed="false">
      <c r="A896" s="1" t="n">
        <v>895</v>
      </c>
      <c r="B896" s="1" t="s">
        <v>1157</v>
      </c>
      <c r="C896" s="1" t="s">
        <v>212</v>
      </c>
      <c r="D896" s="1" t="s">
        <v>612</v>
      </c>
      <c r="E896" s="1" t="s">
        <v>598</v>
      </c>
    </row>
    <row r="897" customFormat="false" ht="15" hidden="false" customHeight="true" outlineLevel="0" collapsed="false">
      <c r="A897" s="1" t="n">
        <v>896</v>
      </c>
      <c r="B897" s="1" t="s">
        <v>1014</v>
      </c>
      <c r="C897" s="1" t="s">
        <v>647</v>
      </c>
      <c r="D897" s="1" t="s">
        <v>715</v>
      </c>
      <c r="E897" s="1" t="s">
        <v>980</v>
      </c>
    </row>
    <row r="898" customFormat="false" ht="15" hidden="false" customHeight="true" outlineLevel="0" collapsed="false">
      <c r="A898" s="1" t="n">
        <v>897</v>
      </c>
      <c r="B898" s="1" t="s">
        <v>1138</v>
      </c>
      <c r="C898" s="1" t="s">
        <v>455</v>
      </c>
      <c r="D898" s="1" t="s">
        <v>134</v>
      </c>
      <c r="E898" s="1" t="s">
        <v>1493</v>
      </c>
    </row>
    <row r="899" customFormat="false" ht="15" hidden="false" customHeight="true" outlineLevel="0" collapsed="false">
      <c r="A899" s="1" t="n">
        <v>898</v>
      </c>
      <c r="B899" s="1" t="s">
        <v>700</v>
      </c>
      <c r="C899" s="1" t="s">
        <v>1253</v>
      </c>
      <c r="D899" s="1" t="s">
        <v>1254</v>
      </c>
      <c r="E899" s="1" t="s">
        <v>1494</v>
      </c>
    </row>
    <row r="900" customFormat="false" ht="15" hidden="false" customHeight="true" outlineLevel="0" collapsed="false">
      <c r="A900" s="1" t="n">
        <v>899</v>
      </c>
      <c r="B900" s="1" t="s">
        <v>1018</v>
      </c>
      <c r="C900" s="1" t="s">
        <v>152</v>
      </c>
      <c r="D900" s="1" t="s">
        <v>488</v>
      </c>
      <c r="E900" s="1" t="s">
        <v>1495</v>
      </c>
    </row>
    <row r="901" customFormat="false" ht="15" hidden="false" customHeight="true" outlineLevel="0" collapsed="false">
      <c r="A901" s="1" t="n">
        <v>900</v>
      </c>
      <c r="B901" s="1" t="s">
        <v>1051</v>
      </c>
      <c r="C901" s="1" t="s">
        <v>1140</v>
      </c>
      <c r="D901" s="1" t="s">
        <v>163</v>
      </c>
      <c r="E901" s="1" t="s">
        <v>44</v>
      </c>
    </row>
    <row r="902" customFormat="false" ht="15" hidden="false" customHeight="true" outlineLevel="0" collapsed="false">
      <c r="A902" s="1" t="n">
        <v>901</v>
      </c>
      <c r="B902" s="1" t="s">
        <v>361</v>
      </c>
      <c r="C902" s="1" t="s">
        <v>1161</v>
      </c>
      <c r="D902" s="1" t="s">
        <v>1208</v>
      </c>
      <c r="E902" s="1" t="s">
        <v>1417</v>
      </c>
    </row>
    <row r="903" customFormat="false" ht="15" hidden="false" customHeight="true" outlineLevel="0" collapsed="false">
      <c r="A903" s="1" t="n">
        <v>902</v>
      </c>
      <c r="B903" s="1" t="s">
        <v>143</v>
      </c>
      <c r="C903" s="1" t="s">
        <v>1253</v>
      </c>
      <c r="D903" s="1" t="s">
        <v>123</v>
      </c>
      <c r="E903" s="1" t="s">
        <v>1496</v>
      </c>
    </row>
    <row r="904" customFormat="false" ht="15" hidden="false" customHeight="true" outlineLevel="0" collapsed="false">
      <c r="A904" s="1" t="n">
        <v>903</v>
      </c>
      <c r="B904" s="1" t="s">
        <v>1497</v>
      </c>
      <c r="C904" s="1" t="s">
        <v>645</v>
      </c>
      <c r="D904" s="1" t="s">
        <v>542</v>
      </c>
      <c r="E904" s="1" t="s">
        <v>491</v>
      </c>
    </row>
    <row r="905" customFormat="false" ht="15" hidden="false" customHeight="true" outlineLevel="0" collapsed="false">
      <c r="A905" s="1" t="n">
        <v>904</v>
      </c>
      <c r="B905" s="1" t="s">
        <v>1319</v>
      </c>
      <c r="C905" s="1" t="s">
        <v>1498</v>
      </c>
      <c r="D905" s="1" t="s">
        <v>1208</v>
      </c>
      <c r="E905" s="1" t="s">
        <v>1499</v>
      </c>
    </row>
    <row r="906" customFormat="false" ht="15" hidden="false" customHeight="true" outlineLevel="0" collapsed="false">
      <c r="A906" s="1" t="n">
        <v>905</v>
      </c>
      <c r="B906" s="1" t="s">
        <v>1294</v>
      </c>
      <c r="C906" s="1" t="s">
        <v>515</v>
      </c>
      <c r="D906" s="1" t="s">
        <v>167</v>
      </c>
      <c r="E906" s="1" t="s">
        <v>1347</v>
      </c>
    </row>
    <row r="907" customFormat="false" ht="15" hidden="false" customHeight="true" outlineLevel="0" collapsed="false">
      <c r="A907" s="1" t="n">
        <v>906</v>
      </c>
      <c r="B907" s="1" t="s">
        <v>826</v>
      </c>
      <c r="C907" s="1" t="s">
        <v>389</v>
      </c>
      <c r="D907" s="1" t="s">
        <v>456</v>
      </c>
      <c r="E907" s="1" t="s">
        <v>1500</v>
      </c>
    </row>
    <row r="908" customFormat="false" ht="15" hidden="false" customHeight="true" outlineLevel="0" collapsed="false">
      <c r="A908" s="1" t="n">
        <v>907</v>
      </c>
      <c r="B908" s="1" t="s">
        <v>180</v>
      </c>
      <c r="C908" s="1" t="s">
        <v>1501</v>
      </c>
      <c r="D908" s="1" t="s">
        <v>1081</v>
      </c>
      <c r="E908" s="1" t="s">
        <v>191</v>
      </c>
    </row>
    <row r="909" customFormat="false" ht="15" hidden="false" customHeight="true" outlineLevel="0" collapsed="false">
      <c r="A909" s="1" t="n">
        <v>908</v>
      </c>
      <c r="B909" s="1" t="s">
        <v>13</v>
      </c>
      <c r="C909" s="1" t="s">
        <v>600</v>
      </c>
      <c r="D909" s="1" t="s">
        <v>811</v>
      </c>
      <c r="E909" s="1" t="s">
        <v>310</v>
      </c>
    </row>
    <row r="910" customFormat="false" ht="15" hidden="false" customHeight="true" outlineLevel="0" collapsed="false">
      <c r="A910" s="1" t="n">
        <v>909</v>
      </c>
      <c r="B910" s="1" t="s">
        <v>976</v>
      </c>
      <c r="C910" s="1" t="s">
        <v>200</v>
      </c>
      <c r="D910" s="1" t="s">
        <v>643</v>
      </c>
      <c r="E910" s="1" t="s">
        <v>1502</v>
      </c>
    </row>
    <row r="911" customFormat="false" ht="15" hidden="false" customHeight="true" outlineLevel="0" collapsed="false">
      <c r="A911" s="1" t="n">
        <v>910</v>
      </c>
      <c r="B911" s="1" t="s">
        <v>107</v>
      </c>
      <c r="C911" s="1" t="s">
        <v>1436</v>
      </c>
      <c r="D911" s="1" t="s">
        <v>1175</v>
      </c>
      <c r="E911" s="1" t="s">
        <v>44</v>
      </c>
    </row>
    <row r="912" customFormat="false" ht="15" hidden="false" customHeight="true" outlineLevel="0" collapsed="false">
      <c r="A912" s="1" t="n">
        <v>911</v>
      </c>
      <c r="B912" s="1" t="s">
        <v>820</v>
      </c>
      <c r="C912" s="1" t="s">
        <v>274</v>
      </c>
      <c r="D912" s="1" t="s">
        <v>334</v>
      </c>
      <c r="E912" s="1" t="s">
        <v>1503</v>
      </c>
    </row>
    <row r="913" customFormat="false" ht="15" hidden="false" customHeight="true" outlineLevel="0" collapsed="false">
      <c r="A913" s="1" t="n">
        <v>912</v>
      </c>
      <c r="B913" s="1" t="s">
        <v>1178</v>
      </c>
      <c r="C913" s="1" t="s">
        <v>1281</v>
      </c>
      <c r="D913" s="1" t="s">
        <v>82</v>
      </c>
      <c r="E913" s="1" t="s">
        <v>16</v>
      </c>
    </row>
    <row r="914" customFormat="false" ht="15" hidden="false" customHeight="true" outlineLevel="0" collapsed="false">
      <c r="A914" s="1" t="n">
        <v>913</v>
      </c>
      <c r="B914" s="1" t="s">
        <v>617</v>
      </c>
      <c r="C914" s="1" t="s">
        <v>645</v>
      </c>
      <c r="D914" s="1" t="s">
        <v>482</v>
      </c>
      <c r="E914" s="1" t="s">
        <v>1007</v>
      </c>
    </row>
    <row r="915" customFormat="false" ht="15" hidden="false" customHeight="true" outlineLevel="0" collapsed="false">
      <c r="A915" s="1" t="n">
        <v>914</v>
      </c>
      <c r="B915" s="1" t="s">
        <v>421</v>
      </c>
      <c r="C915" s="1" t="s">
        <v>46</v>
      </c>
      <c r="D915" s="1" t="s">
        <v>235</v>
      </c>
      <c r="E915" s="1" t="s">
        <v>1504</v>
      </c>
    </row>
    <row r="916" customFormat="false" ht="15" hidden="false" customHeight="true" outlineLevel="0" collapsed="false">
      <c r="A916" s="1" t="n">
        <v>915</v>
      </c>
      <c r="B916" s="1" t="s">
        <v>351</v>
      </c>
      <c r="C916" s="1" t="s">
        <v>372</v>
      </c>
      <c r="D916" s="1" t="s">
        <v>456</v>
      </c>
      <c r="E916" s="1" t="s">
        <v>688</v>
      </c>
    </row>
    <row r="917" customFormat="false" ht="15" hidden="false" customHeight="true" outlineLevel="0" collapsed="false">
      <c r="A917" s="1" t="n">
        <v>916</v>
      </c>
      <c r="B917" s="1" t="s">
        <v>730</v>
      </c>
      <c r="C917" s="1" t="s">
        <v>1213</v>
      </c>
      <c r="D917" s="1" t="s">
        <v>807</v>
      </c>
      <c r="E917" s="1" t="s">
        <v>1505</v>
      </c>
    </row>
    <row r="918" customFormat="false" ht="15" hidden="false" customHeight="true" outlineLevel="0" collapsed="false">
      <c r="A918" s="1" t="n">
        <v>917</v>
      </c>
      <c r="B918" s="1" t="s">
        <v>327</v>
      </c>
      <c r="C918" s="1" t="s">
        <v>318</v>
      </c>
      <c r="D918" s="1" t="s">
        <v>170</v>
      </c>
      <c r="E918" s="1" t="s">
        <v>168</v>
      </c>
    </row>
    <row r="919" customFormat="false" ht="15" hidden="false" customHeight="true" outlineLevel="0" collapsed="false">
      <c r="A919" s="1" t="n">
        <v>918</v>
      </c>
      <c r="B919" s="1" t="s">
        <v>143</v>
      </c>
      <c r="C919" s="1" t="s">
        <v>455</v>
      </c>
      <c r="D919" s="1" t="s">
        <v>1262</v>
      </c>
      <c r="E919" s="1" t="s">
        <v>1506</v>
      </c>
    </row>
    <row r="920" customFormat="false" ht="15" hidden="false" customHeight="true" outlineLevel="0" collapsed="false">
      <c r="A920" s="1" t="n">
        <v>919</v>
      </c>
      <c r="B920" s="1" t="s">
        <v>466</v>
      </c>
      <c r="C920" s="1" t="s">
        <v>277</v>
      </c>
      <c r="D920" s="1" t="s">
        <v>919</v>
      </c>
      <c r="E920" s="1" t="s">
        <v>1261</v>
      </c>
    </row>
    <row r="921" customFormat="false" ht="15" hidden="false" customHeight="true" outlineLevel="0" collapsed="false">
      <c r="A921" s="1" t="n">
        <v>920</v>
      </c>
      <c r="B921" s="1" t="s">
        <v>1066</v>
      </c>
      <c r="C921" s="1" t="s">
        <v>1507</v>
      </c>
      <c r="D921" s="1" t="s">
        <v>356</v>
      </c>
      <c r="E921" s="1" t="s">
        <v>44</v>
      </c>
    </row>
    <row r="922" customFormat="false" ht="15" hidden="false" customHeight="true" outlineLevel="0" collapsed="false">
      <c r="A922" s="1" t="n">
        <v>921</v>
      </c>
      <c r="B922" s="1" t="s">
        <v>985</v>
      </c>
      <c r="C922" s="1" t="s">
        <v>1424</v>
      </c>
      <c r="D922" s="1" t="s">
        <v>267</v>
      </c>
      <c r="E922" s="1" t="s">
        <v>1508</v>
      </c>
    </row>
    <row r="923" customFormat="false" ht="15" hidden="false" customHeight="true" outlineLevel="0" collapsed="false">
      <c r="A923" s="1" t="n">
        <v>922</v>
      </c>
      <c r="B923" s="1" t="s">
        <v>1509</v>
      </c>
      <c r="C923" s="1" t="s">
        <v>925</v>
      </c>
      <c r="D923" s="1" t="s">
        <v>182</v>
      </c>
      <c r="E923" s="1" t="s">
        <v>738</v>
      </c>
    </row>
    <row r="924" customFormat="false" ht="15" hidden="false" customHeight="true" outlineLevel="0" collapsed="false">
      <c r="A924" s="1" t="n">
        <v>923</v>
      </c>
      <c r="B924" s="1" t="s">
        <v>1510</v>
      </c>
      <c r="C924" s="1" t="s">
        <v>555</v>
      </c>
      <c r="D924" s="1" t="s">
        <v>1363</v>
      </c>
      <c r="E924" s="1" t="s">
        <v>1511</v>
      </c>
    </row>
    <row r="925" customFormat="false" ht="15" hidden="false" customHeight="true" outlineLevel="0" collapsed="false">
      <c r="A925" s="1" t="n">
        <v>924</v>
      </c>
      <c r="B925" s="1" t="s">
        <v>186</v>
      </c>
      <c r="C925" s="1" t="s">
        <v>1080</v>
      </c>
      <c r="D925" s="1" t="s">
        <v>433</v>
      </c>
      <c r="E925" s="1" t="s">
        <v>1432</v>
      </c>
    </row>
    <row r="926" customFormat="false" ht="15" hidden="false" customHeight="true" outlineLevel="0" collapsed="false">
      <c r="A926" s="1" t="n">
        <v>925</v>
      </c>
      <c r="B926" s="1" t="s">
        <v>1473</v>
      </c>
      <c r="C926" s="1" t="s">
        <v>1029</v>
      </c>
      <c r="D926" s="1" t="s">
        <v>864</v>
      </c>
      <c r="E926" s="1" t="s">
        <v>1282</v>
      </c>
    </row>
    <row r="927" customFormat="false" ht="15" hidden="false" customHeight="true" outlineLevel="0" collapsed="false">
      <c r="A927" s="1" t="n">
        <v>926</v>
      </c>
      <c r="B927" s="1" t="s">
        <v>1512</v>
      </c>
      <c r="C927" s="1" t="s">
        <v>1466</v>
      </c>
      <c r="D927" s="1" t="s">
        <v>1513</v>
      </c>
      <c r="E927" s="1" t="s">
        <v>1514</v>
      </c>
    </row>
    <row r="928" customFormat="false" ht="15" hidden="false" customHeight="true" outlineLevel="0" collapsed="false">
      <c r="A928" s="1" t="n">
        <v>927</v>
      </c>
      <c r="B928" s="1" t="s">
        <v>978</v>
      </c>
      <c r="C928" s="1" t="s">
        <v>1000</v>
      </c>
      <c r="D928" s="1" t="s">
        <v>468</v>
      </c>
      <c r="E928" s="1" t="s">
        <v>914</v>
      </c>
    </row>
    <row r="929" customFormat="false" ht="15" hidden="false" customHeight="true" outlineLevel="0" collapsed="false">
      <c r="A929" s="1" t="n">
        <v>928</v>
      </c>
      <c r="B929" s="1" t="s">
        <v>1515</v>
      </c>
      <c r="C929" s="1" t="s">
        <v>253</v>
      </c>
      <c r="D929" s="1" t="s">
        <v>345</v>
      </c>
      <c r="E929" s="1" t="s">
        <v>1516</v>
      </c>
    </row>
    <row r="930" customFormat="false" ht="15" hidden="false" customHeight="true" outlineLevel="0" collapsed="false">
      <c r="A930" s="1" t="n">
        <v>929</v>
      </c>
      <c r="B930" s="1" t="s">
        <v>151</v>
      </c>
      <c r="C930" s="1" t="s">
        <v>1385</v>
      </c>
      <c r="D930" s="1" t="s">
        <v>884</v>
      </c>
      <c r="E930" s="1" t="s">
        <v>655</v>
      </c>
    </row>
    <row r="931" customFormat="false" ht="15" hidden="false" customHeight="true" outlineLevel="0" collapsed="false">
      <c r="A931" s="1" t="n">
        <v>930</v>
      </c>
      <c r="B931" s="1" t="s">
        <v>1517</v>
      </c>
      <c r="C931" s="1" t="s">
        <v>850</v>
      </c>
      <c r="D931" s="1" t="s">
        <v>574</v>
      </c>
      <c r="E931" s="1" t="s">
        <v>44</v>
      </c>
    </row>
    <row r="932" customFormat="false" ht="15" hidden="false" customHeight="true" outlineLevel="0" collapsed="false">
      <c r="A932" s="1" t="n">
        <v>931</v>
      </c>
      <c r="B932" s="1" t="s">
        <v>757</v>
      </c>
      <c r="C932" s="1" t="s">
        <v>1518</v>
      </c>
      <c r="D932" s="1" t="s">
        <v>1488</v>
      </c>
      <c r="E932" s="1" t="s">
        <v>1519</v>
      </c>
    </row>
    <row r="933" customFormat="false" ht="15" hidden="false" customHeight="true" outlineLevel="0" collapsed="false">
      <c r="A933" s="1" t="n">
        <v>932</v>
      </c>
      <c r="B933" s="1" t="s">
        <v>1257</v>
      </c>
      <c r="C933" s="1" t="s">
        <v>104</v>
      </c>
      <c r="D933" s="1" t="s">
        <v>1067</v>
      </c>
      <c r="E933" s="1" t="s">
        <v>598</v>
      </c>
    </row>
    <row r="934" customFormat="false" ht="15" hidden="false" customHeight="true" outlineLevel="0" collapsed="false">
      <c r="A934" s="1" t="n">
        <v>933</v>
      </c>
      <c r="B934" s="1" t="s">
        <v>417</v>
      </c>
      <c r="C934" s="1" t="s">
        <v>804</v>
      </c>
      <c r="D934" s="1" t="s">
        <v>578</v>
      </c>
      <c r="E934" s="1" t="s">
        <v>605</v>
      </c>
    </row>
    <row r="935" customFormat="false" ht="15" hidden="false" customHeight="true" outlineLevel="0" collapsed="false">
      <c r="A935" s="1" t="n">
        <v>934</v>
      </c>
      <c r="B935" s="1" t="s">
        <v>519</v>
      </c>
      <c r="C935" s="1" t="s">
        <v>1073</v>
      </c>
      <c r="D935" s="1" t="s">
        <v>275</v>
      </c>
      <c r="E935" s="1" t="s">
        <v>1176</v>
      </c>
    </row>
    <row r="936" customFormat="false" ht="15" hidden="false" customHeight="true" outlineLevel="0" collapsed="false">
      <c r="A936" s="1" t="n">
        <v>935</v>
      </c>
      <c r="B936" s="1" t="s">
        <v>1341</v>
      </c>
      <c r="C936" s="1" t="s">
        <v>662</v>
      </c>
      <c r="D936" s="1" t="s">
        <v>807</v>
      </c>
      <c r="E936" s="1" t="s">
        <v>1251</v>
      </c>
    </row>
    <row r="937" customFormat="false" ht="15" hidden="false" customHeight="true" outlineLevel="0" collapsed="false">
      <c r="A937" s="1" t="n">
        <v>936</v>
      </c>
      <c r="B937" s="1" t="s">
        <v>961</v>
      </c>
      <c r="C937" s="1" t="s">
        <v>604</v>
      </c>
      <c r="D937" s="1" t="s">
        <v>983</v>
      </c>
      <c r="E937" s="1" t="s">
        <v>814</v>
      </c>
    </row>
    <row r="938" customFormat="false" ht="15" hidden="false" customHeight="true" outlineLevel="0" collapsed="false">
      <c r="A938" s="1" t="n">
        <v>937</v>
      </c>
      <c r="B938" s="1" t="s">
        <v>711</v>
      </c>
      <c r="C938" s="1" t="s">
        <v>318</v>
      </c>
      <c r="D938" s="1" t="s">
        <v>130</v>
      </c>
      <c r="E938" s="1" t="s">
        <v>1520</v>
      </c>
    </row>
    <row r="939" customFormat="false" ht="15" hidden="false" customHeight="true" outlineLevel="0" collapsed="false">
      <c r="A939" s="1" t="n">
        <v>938</v>
      </c>
      <c r="B939" s="1" t="s">
        <v>544</v>
      </c>
      <c r="C939" s="1" t="s">
        <v>647</v>
      </c>
      <c r="D939" s="1" t="s">
        <v>411</v>
      </c>
      <c r="E939" s="1" t="s">
        <v>1521</v>
      </c>
    </row>
    <row r="940" customFormat="false" ht="15" hidden="false" customHeight="true" outlineLevel="0" collapsed="false">
      <c r="A940" s="1" t="n">
        <v>939</v>
      </c>
      <c r="B940" s="1" t="s">
        <v>873</v>
      </c>
      <c r="C940" s="1" t="s">
        <v>237</v>
      </c>
      <c r="D940" s="1" t="s">
        <v>79</v>
      </c>
      <c r="E940" s="1" t="s">
        <v>1339</v>
      </c>
    </row>
    <row r="941" customFormat="false" ht="15" hidden="false" customHeight="true" outlineLevel="0" collapsed="false">
      <c r="A941" s="1" t="n">
        <v>940</v>
      </c>
      <c r="B941" s="1" t="s">
        <v>117</v>
      </c>
      <c r="C941" s="1" t="s">
        <v>193</v>
      </c>
      <c r="D941" s="1" t="s">
        <v>542</v>
      </c>
      <c r="E941" s="1" t="s">
        <v>44</v>
      </c>
    </row>
    <row r="942" customFormat="false" ht="15" hidden="false" customHeight="true" outlineLevel="0" collapsed="false">
      <c r="A942" s="1" t="n">
        <v>941</v>
      </c>
      <c r="B942" s="1" t="s">
        <v>1522</v>
      </c>
      <c r="C942" s="1" t="s">
        <v>647</v>
      </c>
      <c r="D942" s="1" t="s">
        <v>783</v>
      </c>
      <c r="E942" s="1" t="s">
        <v>403</v>
      </c>
    </row>
    <row r="943" customFormat="false" ht="15" hidden="false" customHeight="true" outlineLevel="0" collapsed="false">
      <c r="A943" s="1" t="n">
        <v>942</v>
      </c>
      <c r="B943" s="1" t="s">
        <v>1523</v>
      </c>
      <c r="C943" s="1" t="s">
        <v>645</v>
      </c>
      <c r="D943" s="1" t="s">
        <v>282</v>
      </c>
      <c r="E943" s="1" t="s">
        <v>1524</v>
      </c>
    </row>
    <row r="944" customFormat="false" ht="15" hidden="false" customHeight="true" outlineLevel="0" collapsed="false">
      <c r="A944" s="1" t="n">
        <v>943</v>
      </c>
      <c r="B944" s="1" t="s">
        <v>1525</v>
      </c>
      <c r="C944" s="1" t="s">
        <v>505</v>
      </c>
      <c r="D944" s="1" t="s">
        <v>983</v>
      </c>
      <c r="E944" s="1" t="s">
        <v>1526</v>
      </c>
    </row>
    <row r="945" customFormat="false" ht="15" hidden="false" customHeight="true" outlineLevel="0" collapsed="false">
      <c r="A945" s="1" t="n">
        <v>944</v>
      </c>
      <c r="B945" s="1" t="s">
        <v>841</v>
      </c>
      <c r="C945" s="1" t="s">
        <v>1478</v>
      </c>
      <c r="D945" s="1" t="s">
        <v>794</v>
      </c>
      <c r="E945" s="1" t="s">
        <v>390</v>
      </c>
    </row>
    <row r="946" customFormat="false" ht="15" hidden="false" customHeight="true" outlineLevel="0" collapsed="false">
      <c r="A946" s="1" t="n">
        <v>945</v>
      </c>
      <c r="B946" s="1" t="s">
        <v>727</v>
      </c>
      <c r="C946" s="1" t="s">
        <v>398</v>
      </c>
      <c r="D946" s="1" t="s">
        <v>715</v>
      </c>
      <c r="E946" s="1" t="s">
        <v>1527</v>
      </c>
    </row>
    <row r="947" customFormat="false" ht="15" hidden="false" customHeight="true" outlineLevel="0" collapsed="false">
      <c r="A947" s="1" t="n">
        <v>946</v>
      </c>
      <c r="B947" s="1" t="s">
        <v>541</v>
      </c>
      <c r="C947" s="1" t="s">
        <v>144</v>
      </c>
      <c r="D947" s="1" t="s">
        <v>1356</v>
      </c>
      <c r="E947" s="1" t="s">
        <v>1528</v>
      </c>
    </row>
    <row r="948" customFormat="false" ht="15" hidden="false" customHeight="true" outlineLevel="0" collapsed="false">
      <c r="A948" s="1" t="n">
        <v>947</v>
      </c>
      <c r="B948" s="1" t="s">
        <v>854</v>
      </c>
      <c r="C948" s="1" t="s">
        <v>1060</v>
      </c>
      <c r="D948" s="1" t="s">
        <v>159</v>
      </c>
      <c r="E948" s="1" t="s">
        <v>1519</v>
      </c>
    </row>
    <row r="949" customFormat="false" ht="15" hidden="false" customHeight="true" outlineLevel="0" collapsed="false">
      <c r="A949" s="1" t="n">
        <v>948</v>
      </c>
      <c r="B949" s="1" t="s">
        <v>554</v>
      </c>
      <c r="C949" s="1" t="s">
        <v>144</v>
      </c>
      <c r="D949" s="1" t="s">
        <v>384</v>
      </c>
      <c r="E949" s="1" t="s">
        <v>1529</v>
      </c>
    </row>
    <row r="950" customFormat="false" ht="15" hidden="false" customHeight="true" outlineLevel="0" collapsed="false">
      <c r="A950" s="1" t="n">
        <v>949</v>
      </c>
      <c r="B950" s="1" t="s">
        <v>1530</v>
      </c>
      <c r="C950" s="1" t="s">
        <v>407</v>
      </c>
      <c r="D950" s="1" t="s">
        <v>1531</v>
      </c>
      <c r="E950" s="1" t="s">
        <v>400</v>
      </c>
    </row>
    <row r="951" customFormat="false" ht="15" hidden="false" customHeight="true" outlineLevel="0" collapsed="false">
      <c r="A951" s="1" t="n">
        <v>950</v>
      </c>
      <c r="B951" s="1" t="s">
        <v>180</v>
      </c>
      <c r="C951" s="1" t="s">
        <v>1532</v>
      </c>
      <c r="D951" s="1" t="s">
        <v>149</v>
      </c>
      <c r="E951" s="1" t="s">
        <v>44</v>
      </c>
    </row>
    <row r="952" customFormat="false" ht="15" hidden="false" customHeight="true" outlineLevel="0" collapsed="false">
      <c r="A952" s="1" t="n">
        <v>951</v>
      </c>
      <c r="B952" s="1" t="s">
        <v>1085</v>
      </c>
      <c r="C952" s="1" t="s">
        <v>1225</v>
      </c>
      <c r="D952" s="1" t="s">
        <v>356</v>
      </c>
      <c r="E952" s="1" t="s">
        <v>1533</v>
      </c>
    </row>
    <row r="953" customFormat="false" ht="15" hidden="false" customHeight="true" outlineLevel="0" collapsed="false">
      <c r="A953" s="1" t="n">
        <v>952</v>
      </c>
      <c r="B953" s="1" t="s">
        <v>1371</v>
      </c>
      <c r="C953" s="1" t="s">
        <v>306</v>
      </c>
      <c r="D953" s="1" t="s">
        <v>194</v>
      </c>
      <c r="E953" s="1" t="s">
        <v>1534</v>
      </c>
    </row>
    <row r="954" customFormat="false" ht="15" hidden="false" customHeight="true" outlineLevel="0" collapsed="false">
      <c r="A954" s="1" t="n">
        <v>953</v>
      </c>
      <c r="B954" s="1" t="s">
        <v>1235</v>
      </c>
      <c r="C954" s="1" t="s">
        <v>410</v>
      </c>
      <c r="D954" s="1" t="s">
        <v>194</v>
      </c>
      <c r="E954" s="1" t="s">
        <v>1535</v>
      </c>
    </row>
    <row r="955" customFormat="false" ht="15" hidden="false" customHeight="true" outlineLevel="0" collapsed="false">
      <c r="A955" s="1" t="n">
        <v>954</v>
      </c>
      <c r="B955" s="1" t="s">
        <v>25</v>
      </c>
      <c r="C955" s="1" t="s">
        <v>1536</v>
      </c>
      <c r="D955" s="1" t="s">
        <v>828</v>
      </c>
      <c r="E955" s="1" t="s">
        <v>1352</v>
      </c>
    </row>
    <row r="956" customFormat="false" ht="15" hidden="false" customHeight="true" outlineLevel="0" collapsed="false">
      <c r="A956" s="1" t="n">
        <v>955</v>
      </c>
      <c r="B956" s="1" t="s">
        <v>1092</v>
      </c>
      <c r="C956" s="1" t="s">
        <v>611</v>
      </c>
      <c r="D956" s="1" t="s">
        <v>1254</v>
      </c>
      <c r="E956" s="1" t="s">
        <v>1537</v>
      </c>
    </row>
    <row r="957" customFormat="false" ht="15" hidden="false" customHeight="true" outlineLevel="0" collapsed="false">
      <c r="A957" s="1" t="n">
        <v>956</v>
      </c>
      <c r="B957" s="1" t="s">
        <v>1538</v>
      </c>
      <c r="C957" s="1" t="s">
        <v>515</v>
      </c>
      <c r="D957" s="1" t="s">
        <v>612</v>
      </c>
      <c r="E957" s="1" t="s">
        <v>1539</v>
      </c>
    </row>
    <row r="958" customFormat="false" ht="15" hidden="false" customHeight="true" outlineLevel="0" collapsed="false">
      <c r="A958" s="1" t="n">
        <v>957</v>
      </c>
      <c r="B958" s="1" t="s">
        <v>332</v>
      </c>
      <c r="C958" s="1" t="s">
        <v>701</v>
      </c>
      <c r="D958" s="1" t="s">
        <v>556</v>
      </c>
      <c r="E958" s="1" t="s">
        <v>264</v>
      </c>
    </row>
    <row r="959" customFormat="false" ht="15" hidden="false" customHeight="true" outlineLevel="0" collapsed="false">
      <c r="A959" s="1" t="n">
        <v>958</v>
      </c>
      <c r="B959" s="1" t="s">
        <v>1111</v>
      </c>
      <c r="C959" s="1" t="s">
        <v>611</v>
      </c>
      <c r="D959" s="1" t="s">
        <v>508</v>
      </c>
      <c r="E959" s="1" t="s">
        <v>1321</v>
      </c>
    </row>
    <row r="960" customFormat="false" ht="15" hidden="false" customHeight="true" outlineLevel="0" collapsed="false">
      <c r="A960" s="1" t="n">
        <v>959</v>
      </c>
      <c r="B960" s="1" t="s">
        <v>1540</v>
      </c>
      <c r="C960" s="1" t="s">
        <v>253</v>
      </c>
      <c r="D960" s="1" t="s">
        <v>990</v>
      </c>
      <c r="E960" s="1" t="s">
        <v>431</v>
      </c>
    </row>
    <row r="961" customFormat="false" ht="15" hidden="false" customHeight="true" outlineLevel="0" collapsed="false">
      <c r="A961" s="1" t="n">
        <v>960</v>
      </c>
      <c r="B961" s="1" t="s">
        <v>125</v>
      </c>
      <c r="C961" s="1" t="s">
        <v>262</v>
      </c>
      <c r="D961" s="1" t="s">
        <v>900</v>
      </c>
      <c r="E961" s="1" t="s">
        <v>44</v>
      </c>
    </row>
    <row r="962" customFormat="false" ht="15" hidden="false" customHeight="true" outlineLevel="0" collapsed="false">
      <c r="A962" s="1" t="n">
        <v>961</v>
      </c>
      <c r="B962" s="1" t="s">
        <v>1541</v>
      </c>
      <c r="C962" s="1" t="s">
        <v>116</v>
      </c>
      <c r="D962" s="1" t="s">
        <v>123</v>
      </c>
      <c r="E962" s="1" t="s">
        <v>1542</v>
      </c>
    </row>
    <row r="963" customFormat="false" ht="15" hidden="false" customHeight="true" outlineLevel="0" collapsed="false">
      <c r="A963" s="1" t="n">
        <v>962</v>
      </c>
      <c r="B963" s="1" t="s">
        <v>991</v>
      </c>
      <c r="C963" s="1" t="s">
        <v>1543</v>
      </c>
      <c r="D963" s="1" t="s">
        <v>468</v>
      </c>
      <c r="E963" s="1" t="s">
        <v>1461</v>
      </c>
    </row>
    <row r="964" customFormat="false" ht="15" hidden="false" customHeight="true" outlineLevel="0" collapsed="false">
      <c r="A964" s="1" t="n">
        <v>963</v>
      </c>
      <c r="B964" s="1" t="s">
        <v>222</v>
      </c>
      <c r="C964" s="1" t="s">
        <v>312</v>
      </c>
      <c r="D964" s="1" t="s">
        <v>90</v>
      </c>
      <c r="E964" s="1" t="s">
        <v>1065</v>
      </c>
    </row>
    <row r="965" customFormat="false" ht="15" hidden="false" customHeight="true" outlineLevel="0" collapsed="false">
      <c r="A965" s="1" t="n">
        <v>964</v>
      </c>
      <c r="B965" s="1" t="s">
        <v>576</v>
      </c>
      <c r="C965" s="1" t="s">
        <v>89</v>
      </c>
      <c r="D965" s="1" t="s">
        <v>286</v>
      </c>
      <c r="E965" s="1" t="s">
        <v>1459</v>
      </c>
    </row>
    <row r="966" customFormat="false" ht="15" hidden="false" customHeight="true" outlineLevel="0" collapsed="false">
      <c r="A966" s="1" t="n">
        <v>965</v>
      </c>
      <c r="B966" s="1" t="s">
        <v>1544</v>
      </c>
      <c r="C966" s="1" t="s">
        <v>1545</v>
      </c>
      <c r="D966" s="1" t="s">
        <v>794</v>
      </c>
      <c r="E966" s="1" t="s">
        <v>1390</v>
      </c>
    </row>
    <row r="967" customFormat="false" ht="15" hidden="false" customHeight="true" outlineLevel="0" collapsed="false">
      <c r="A967" s="1" t="n">
        <v>966</v>
      </c>
      <c r="B967" s="1" t="s">
        <v>84</v>
      </c>
      <c r="C967" s="1" t="s">
        <v>108</v>
      </c>
      <c r="D967" s="1" t="s">
        <v>369</v>
      </c>
      <c r="E967" s="1" t="s">
        <v>1546</v>
      </c>
    </row>
    <row r="968" customFormat="false" ht="15" hidden="false" customHeight="true" outlineLevel="0" collapsed="false">
      <c r="A968" s="1" t="n">
        <v>967</v>
      </c>
      <c r="B968" s="1" t="s">
        <v>961</v>
      </c>
      <c r="C968" s="1" t="s">
        <v>333</v>
      </c>
      <c r="D968" s="1" t="s">
        <v>1411</v>
      </c>
      <c r="E968" s="1" t="s">
        <v>1367</v>
      </c>
    </row>
    <row r="969" customFormat="false" ht="15" hidden="false" customHeight="true" outlineLevel="0" collapsed="false">
      <c r="A969" s="1" t="n">
        <v>968</v>
      </c>
      <c r="B969" s="1" t="s">
        <v>601</v>
      </c>
      <c r="C969" s="1" t="s">
        <v>1253</v>
      </c>
      <c r="D969" s="1" t="s">
        <v>123</v>
      </c>
      <c r="E969" s="1" t="s">
        <v>1547</v>
      </c>
    </row>
    <row r="970" customFormat="false" ht="15" hidden="false" customHeight="true" outlineLevel="0" collapsed="false">
      <c r="A970" s="1" t="n">
        <v>969</v>
      </c>
      <c r="B970" s="1" t="s">
        <v>361</v>
      </c>
      <c r="C970" s="1" t="s">
        <v>1548</v>
      </c>
      <c r="D970" s="1" t="s">
        <v>695</v>
      </c>
      <c r="E970" s="1" t="s">
        <v>1373</v>
      </c>
    </row>
    <row r="971" customFormat="false" ht="15" hidden="false" customHeight="true" outlineLevel="0" collapsed="false">
      <c r="A971" s="1" t="n">
        <v>970</v>
      </c>
      <c r="B971" s="1" t="s">
        <v>566</v>
      </c>
      <c r="C971" s="1" t="s">
        <v>1498</v>
      </c>
      <c r="D971" s="1" t="s">
        <v>539</v>
      </c>
      <c r="E971" s="1" t="s">
        <v>44</v>
      </c>
    </row>
    <row r="972" customFormat="false" ht="15" hidden="false" customHeight="true" outlineLevel="0" collapsed="false">
      <c r="A972" s="1" t="n">
        <v>971</v>
      </c>
      <c r="B972" s="1" t="s">
        <v>996</v>
      </c>
      <c r="C972" s="1" t="s">
        <v>1549</v>
      </c>
      <c r="D972" s="1" t="s">
        <v>19</v>
      </c>
      <c r="E972" s="1" t="s">
        <v>523</v>
      </c>
    </row>
    <row r="973" customFormat="false" ht="15" hidden="false" customHeight="true" outlineLevel="0" collapsed="false">
      <c r="A973" s="1" t="n">
        <v>972</v>
      </c>
      <c r="B973" s="1" t="s">
        <v>125</v>
      </c>
      <c r="C973" s="1" t="s">
        <v>693</v>
      </c>
      <c r="D973" s="1" t="s">
        <v>612</v>
      </c>
      <c r="E973" s="1" t="s">
        <v>1352</v>
      </c>
    </row>
    <row r="974" customFormat="false" ht="15" hidden="false" customHeight="true" outlineLevel="0" collapsed="false">
      <c r="A974" s="1" t="n">
        <v>973</v>
      </c>
      <c r="B974" s="1" t="s">
        <v>259</v>
      </c>
      <c r="C974" s="1" t="s">
        <v>562</v>
      </c>
      <c r="D974" s="1" t="s">
        <v>194</v>
      </c>
      <c r="E974" s="1" t="s">
        <v>1550</v>
      </c>
    </row>
    <row r="975" customFormat="false" ht="15" hidden="false" customHeight="true" outlineLevel="0" collapsed="false">
      <c r="A975" s="1" t="n">
        <v>974</v>
      </c>
      <c r="B975" s="1" t="s">
        <v>153</v>
      </c>
      <c r="C975" s="1" t="s">
        <v>216</v>
      </c>
      <c r="D975" s="1" t="s">
        <v>556</v>
      </c>
      <c r="E975" s="1" t="s">
        <v>1551</v>
      </c>
    </row>
    <row r="976" customFormat="false" ht="15" hidden="false" customHeight="true" outlineLevel="0" collapsed="false">
      <c r="A976" s="1" t="n">
        <v>975</v>
      </c>
      <c r="B976" s="1" t="s">
        <v>904</v>
      </c>
      <c r="C976" s="1" t="s">
        <v>187</v>
      </c>
      <c r="D976" s="1" t="s">
        <v>249</v>
      </c>
      <c r="E976" s="1" t="s">
        <v>1552</v>
      </c>
    </row>
    <row r="977" customFormat="false" ht="15" hidden="false" customHeight="true" outlineLevel="0" collapsed="false">
      <c r="A977" s="1" t="n">
        <v>976</v>
      </c>
      <c r="B977" s="1" t="s">
        <v>121</v>
      </c>
      <c r="C977" s="1" t="s">
        <v>1098</v>
      </c>
      <c r="D977" s="1" t="s">
        <v>737</v>
      </c>
      <c r="E977" s="1" t="s">
        <v>1472</v>
      </c>
    </row>
    <row r="978" customFormat="false" ht="15" hidden="false" customHeight="true" outlineLevel="0" collapsed="false">
      <c r="A978" s="1" t="n">
        <v>977</v>
      </c>
      <c r="B978" s="1" t="s">
        <v>151</v>
      </c>
      <c r="C978" s="1" t="s">
        <v>1553</v>
      </c>
      <c r="D978" s="1" t="s">
        <v>945</v>
      </c>
      <c r="E978" s="1" t="s">
        <v>1301</v>
      </c>
    </row>
    <row r="979" customFormat="false" ht="15" hidden="false" customHeight="true" outlineLevel="0" collapsed="false">
      <c r="A979" s="1" t="n">
        <v>978</v>
      </c>
      <c r="B979" s="1" t="s">
        <v>1310</v>
      </c>
      <c r="C979" s="1" t="s">
        <v>57</v>
      </c>
      <c r="D979" s="1" t="s">
        <v>990</v>
      </c>
      <c r="E979" s="1" t="s">
        <v>501</v>
      </c>
    </row>
    <row r="980" customFormat="false" ht="15" hidden="false" customHeight="true" outlineLevel="0" collapsed="false">
      <c r="A980" s="1" t="n">
        <v>979</v>
      </c>
      <c r="B980" s="1" t="s">
        <v>1142</v>
      </c>
      <c r="C980" s="1" t="s">
        <v>579</v>
      </c>
      <c r="D980" s="1" t="s">
        <v>178</v>
      </c>
      <c r="E980" s="1" t="s">
        <v>702</v>
      </c>
    </row>
    <row r="981" customFormat="false" ht="15" hidden="false" customHeight="true" outlineLevel="0" collapsed="false">
      <c r="A981" s="1" t="n">
        <v>980</v>
      </c>
      <c r="B981" s="1" t="s">
        <v>367</v>
      </c>
      <c r="C981" s="1" t="s">
        <v>1446</v>
      </c>
      <c r="D981" s="1" t="s">
        <v>408</v>
      </c>
      <c r="E981" s="1" t="s">
        <v>44</v>
      </c>
    </row>
    <row r="982" customFormat="false" ht="15" hidden="false" customHeight="true" outlineLevel="0" collapsed="false">
      <c r="A982" s="1" t="n">
        <v>981</v>
      </c>
      <c r="B982" s="1" t="s">
        <v>427</v>
      </c>
      <c r="C982" s="1" t="s">
        <v>1466</v>
      </c>
      <c r="D982" s="1" t="s">
        <v>567</v>
      </c>
      <c r="E982" s="1" t="s">
        <v>1554</v>
      </c>
    </row>
    <row r="983" customFormat="false" ht="15" hidden="false" customHeight="true" outlineLevel="0" collapsed="false">
      <c r="A983" s="1" t="n">
        <v>982</v>
      </c>
      <c r="B983" s="1" t="s">
        <v>851</v>
      </c>
      <c r="C983" s="1" t="s">
        <v>162</v>
      </c>
      <c r="D983" s="1" t="s">
        <v>578</v>
      </c>
      <c r="E983" s="1" t="s">
        <v>171</v>
      </c>
    </row>
    <row r="984" customFormat="false" ht="15" hidden="false" customHeight="true" outlineLevel="0" collapsed="false">
      <c r="A984" s="1" t="n">
        <v>983</v>
      </c>
      <c r="B984" s="1" t="s">
        <v>13</v>
      </c>
      <c r="C984" s="1" t="s">
        <v>1555</v>
      </c>
      <c r="D984" s="1" t="s">
        <v>758</v>
      </c>
      <c r="E984" s="1" t="s">
        <v>1556</v>
      </c>
    </row>
    <row r="985" customFormat="false" ht="15" hidden="false" customHeight="true" outlineLevel="0" collapsed="false">
      <c r="A985" s="1" t="n">
        <v>984</v>
      </c>
      <c r="B985" s="1" t="s">
        <v>588</v>
      </c>
      <c r="C985" s="1" t="s">
        <v>1289</v>
      </c>
      <c r="D985" s="1" t="s">
        <v>530</v>
      </c>
      <c r="E985" s="1" t="s">
        <v>1557</v>
      </c>
    </row>
    <row r="986" customFormat="false" ht="15" hidden="false" customHeight="true" outlineLevel="0" collapsed="false">
      <c r="A986" s="1" t="n">
        <v>985</v>
      </c>
      <c r="B986" s="1" t="s">
        <v>1070</v>
      </c>
      <c r="C986" s="1" t="s">
        <v>1558</v>
      </c>
      <c r="D986" s="1" t="s">
        <v>1042</v>
      </c>
      <c r="E986" s="1" t="s">
        <v>1559</v>
      </c>
    </row>
    <row r="987" customFormat="false" ht="15" hidden="false" customHeight="true" outlineLevel="0" collapsed="false">
      <c r="A987" s="1" t="n">
        <v>986</v>
      </c>
      <c r="B987" s="1" t="s">
        <v>813</v>
      </c>
      <c r="C987" s="1" t="s">
        <v>418</v>
      </c>
      <c r="D987" s="1" t="s">
        <v>170</v>
      </c>
      <c r="E987" s="1" t="s">
        <v>1560</v>
      </c>
    </row>
    <row r="988" customFormat="false" ht="15" hidden="false" customHeight="true" outlineLevel="0" collapsed="false">
      <c r="A988" s="1" t="n">
        <v>987</v>
      </c>
      <c r="B988" s="1" t="s">
        <v>1561</v>
      </c>
      <c r="C988" s="1" t="s">
        <v>348</v>
      </c>
      <c r="D988" s="1" t="s">
        <v>79</v>
      </c>
      <c r="E988" s="1" t="s">
        <v>747</v>
      </c>
    </row>
    <row r="989" customFormat="false" ht="15" hidden="false" customHeight="true" outlineLevel="0" collapsed="false">
      <c r="A989" s="1" t="n">
        <v>988</v>
      </c>
      <c r="B989" s="1" t="s">
        <v>370</v>
      </c>
      <c r="C989" s="1" t="s">
        <v>1080</v>
      </c>
      <c r="D989" s="1" t="s">
        <v>86</v>
      </c>
      <c r="E989" s="1" t="s">
        <v>1562</v>
      </c>
    </row>
    <row r="990" customFormat="false" ht="15" hidden="false" customHeight="true" outlineLevel="0" collapsed="false">
      <c r="A990" s="1" t="n">
        <v>989</v>
      </c>
      <c r="B990" s="1" t="s">
        <v>1132</v>
      </c>
      <c r="C990" s="1" t="s">
        <v>162</v>
      </c>
      <c r="D990" s="1" t="s">
        <v>1356</v>
      </c>
      <c r="E990" s="1" t="s">
        <v>420</v>
      </c>
    </row>
    <row r="991" customFormat="false" ht="15" hidden="false" customHeight="true" outlineLevel="0" collapsed="false">
      <c r="A991" s="1" t="n">
        <v>990</v>
      </c>
      <c r="B991" s="1" t="s">
        <v>1008</v>
      </c>
      <c r="C991" s="1" t="s">
        <v>1015</v>
      </c>
      <c r="D991" s="1" t="s">
        <v>282</v>
      </c>
      <c r="E991" s="1" t="s">
        <v>44</v>
      </c>
    </row>
    <row r="992" customFormat="false" ht="15" hidden="false" customHeight="true" outlineLevel="0" collapsed="false">
      <c r="A992" s="1" t="n">
        <v>991</v>
      </c>
      <c r="B992" s="1" t="s">
        <v>440</v>
      </c>
      <c r="C992" s="1" t="s">
        <v>842</v>
      </c>
      <c r="D992" s="1" t="s">
        <v>945</v>
      </c>
      <c r="E992" s="1" t="s">
        <v>1563</v>
      </c>
    </row>
    <row r="993" customFormat="false" ht="15" hidden="false" customHeight="true" outlineLevel="0" collapsed="false">
      <c r="A993" s="1" t="n">
        <v>992</v>
      </c>
      <c r="B993" s="1" t="s">
        <v>978</v>
      </c>
      <c r="C993" s="1" t="s">
        <v>1564</v>
      </c>
      <c r="D993" s="1" t="s">
        <v>257</v>
      </c>
      <c r="E993" s="1" t="s">
        <v>28</v>
      </c>
    </row>
    <row r="994" customFormat="false" ht="15" hidden="false" customHeight="true" outlineLevel="0" collapsed="false">
      <c r="A994" s="1" t="n">
        <v>993</v>
      </c>
      <c r="B994" s="1" t="s">
        <v>13</v>
      </c>
      <c r="C994" s="1" t="s">
        <v>1565</v>
      </c>
      <c r="D994" s="1" t="s">
        <v>876</v>
      </c>
      <c r="E994" s="1" t="s">
        <v>897</v>
      </c>
    </row>
    <row r="995" customFormat="false" ht="15" hidden="false" customHeight="true" outlineLevel="0" collapsed="false">
      <c r="A995" s="1" t="n">
        <v>994</v>
      </c>
      <c r="B995" s="1" t="s">
        <v>920</v>
      </c>
      <c r="C995" s="1" t="s">
        <v>1566</v>
      </c>
      <c r="D995" s="1" t="s">
        <v>301</v>
      </c>
      <c r="E995" s="1" t="s">
        <v>1567</v>
      </c>
    </row>
    <row r="996" customFormat="false" ht="15" hidden="false" customHeight="true" outlineLevel="0" collapsed="false">
      <c r="A996" s="1" t="n">
        <v>995</v>
      </c>
      <c r="B996" s="1" t="s">
        <v>1267</v>
      </c>
      <c r="C996" s="1" t="s">
        <v>89</v>
      </c>
      <c r="D996" s="1" t="s">
        <v>275</v>
      </c>
      <c r="E996" s="1" t="s">
        <v>385</v>
      </c>
    </row>
    <row r="997" customFormat="false" ht="15" hidden="false" customHeight="true" outlineLevel="0" collapsed="false">
      <c r="A997" s="1" t="n">
        <v>996</v>
      </c>
      <c r="B997" s="1" t="s">
        <v>1016</v>
      </c>
      <c r="C997" s="1" t="s">
        <v>1487</v>
      </c>
      <c r="D997" s="1" t="s">
        <v>423</v>
      </c>
      <c r="E997" s="1" t="s">
        <v>1568</v>
      </c>
    </row>
    <row r="998" customFormat="false" ht="15" hidden="false" customHeight="true" outlineLevel="0" collapsed="false">
      <c r="A998" s="1" t="n">
        <v>997</v>
      </c>
      <c r="B998" s="1" t="s">
        <v>229</v>
      </c>
      <c r="C998" s="1" t="s">
        <v>515</v>
      </c>
      <c r="D998" s="1" t="s">
        <v>313</v>
      </c>
      <c r="E998" s="1" t="s">
        <v>1569</v>
      </c>
    </row>
    <row r="999" customFormat="false" ht="15" hidden="false" customHeight="true" outlineLevel="0" collapsed="false">
      <c r="A999" s="1" t="n">
        <v>998</v>
      </c>
      <c r="B999" s="1" t="s">
        <v>841</v>
      </c>
      <c r="C999" s="1" t="s">
        <v>662</v>
      </c>
      <c r="D999" s="1" t="s">
        <v>731</v>
      </c>
      <c r="E999" s="1" t="s">
        <v>1570</v>
      </c>
    </row>
    <row r="1000" customFormat="false" ht="15" hidden="false" customHeight="true" outlineLevel="0" collapsed="false">
      <c r="A1000" s="1" t="n">
        <v>999</v>
      </c>
      <c r="B1000" s="1" t="s">
        <v>569</v>
      </c>
      <c r="C1000" s="1" t="s">
        <v>1216</v>
      </c>
      <c r="D1000" s="1" t="s">
        <v>269</v>
      </c>
      <c r="E1000" s="1" t="s">
        <v>1571</v>
      </c>
    </row>
    <row r="1001" customFormat="false" ht="15" hidden="false" customHeight="true" outlineLevel="0" collapsed="false">
      <c r="A1001" s="1" t="n">
        <v>1000</v>
      </c>
      <c r="B1001" s="1" t="s">
        <v>826</v>
      </c>
      <c r="C1001" s="1" t="s">
        <v>312</v>
      </c>
      <c r="D1001" s="1" t="s">
        <v>137</v>
      </c>
      <c r="E1001" s="1" t="s">
        <v>44</v>
      </c>
    </row>
    <row r="1002" customFormat="false" ht="15" hidden="false" customHeight="true" outlineLevel="0" collapsed="false">
      <c r="A1002" s="1" t="n">
        <v>1001</v>
      </c>
      <c r="B1002" s="1" t="s">
        <v>1126</v>
      </c>
      <c r="C1002" s="1" t="s">
        <v>1190</v>
      </c>
      <c r="D1002" s="1" t="s">
        <v>1165</v>
      </c>
      <c r="E1002" s="1" t="s">
        <v>678</v>
      </c>
    </row>
    <row r="1003" customFormat="false" ht="15" hidden="false" customHeight="true" outlineLevel="0" collapsed="false">
      <c r="A1003" s="1" t="n">
        <v>1002</v>
      </c>
      <c r="B1003" s="1" t="s">
        <v>813</v>
      </c>
      <c r="C1003" s="1" t="s">
        <v>562</v>
      </c>
      <c r="D1003" s="1" t="s">
        <v>217</v>
      </c>
      <c r="E1003" s="1" t="s">
        <v>443</v>
      </c>
    </row>
    <row r="1004" customFormat="false" ht="15" hidden="false" customHeight="true" outlineLevel="0" collapsed="false">
      <c r="A1004" s="1" t="n">
        <v>1003</v>
      </c>
      <c r="B1004" s="1" t="s">
        <v>64</v>
      </c>
      <c r="C1004" s="1" t="s">
        <v>1498</v>
      </c>
      <c r="D1004" s="1" t="s">
        <v>293</v>
      </c>
      <c r="E1004" s="1" t="s">
        <v>1572</v>
      </c>
    </row>
    <row r="1005" customFormat="false" ht="15" hidden="false" customHeight="true" outlineLevel="0" collapsed="false">
      <c r="A1005" s="1" t="n">
        <v>1004</v>
      </c>
      <c r="B1005" s="1" t="s">
        <v>736</v>
      </c>
      <c r="C1005" s="1" t="s">
        <v>126</v>
      </c>
      <c r="D1005" s="1" t="s">
        <v>130</v>
      </c>
      <c r="E1005" s="1" t="s">
        <v>1573</v>
      </c>
    </row>
    <row r="1006" customFormat="false" ht="15" hidden="false" customHeight="true" outlineLevel="0" collapsed="false">
      <c r="A1006" s="1" t="n">
        <v>1005</v>
      </c>
      <c r="B1006" s="1" t="s">
        <v>526</v>
      </c>
      <c r="C1006" s="1" t="s">
        <v>202</v>
      </c>
      <c r="D1006" s="1" t="s">
        <v>185</v>
      </c>
      <c r="E1006" s="1" t="s">
        <v>1520</v>
      </c>
    </row>
    <row r="1007" customFormat="false" ht="15" hidden="false" customHeight="true" outlineLevel="0" collapsed="false">
      <c r="A1007" s="1" t="n">
        <v>1006</v>
      </c>
      <c r="B1007" s="1" t="s">
        <v>358</v>
      </c>
      <c r="C1007" s="1" t="s">
        <v>1574</v>
      </c>
      <c r="D1007" s="1" t="s">
        <v>369</v>
      </c>
      <c r="E1007" s="1" t="s">
        <v>1575</v>
      </c>
    </row>
    <row r="1008" customFormat="false" ht="15" hidden="false" customHeight="true" outlineLevel="0" collapsed="false">
      <c r="A1008" s="1" t="n">
        <v>1007</v>
      </c>
      <c r="B1008" s="1" t="s">
        <v>1576</v>
      </c>
      <c r="C1008" s="1" t="s">
        <v>455</v>
      </c>
      <c r="D1008" s="1" t="s">
        <v>737</v>
      </c>
      <c r="E1008" s="1" t="s">
        <v>1577</v>
      </c>
    </row>
    <row r="1009" customFormat="false" ht="15" hidden="false" customHeight="true" outlineLevel="0" collapsed="false">
      <c r="A1009" s="1" t="n">
        <v>1008</v>
      </c>
      <c r="B1009" s="1" t="s">
        <v>435</v>
      </c>
      <c r="C1009" s="1" t="s">
        <v>1351</v>
      </c>
      <c r="D1009" s="1" t="s">
        <v>267</v>
      </c>
      <c r="E1009" s="1" t="s">
        <v>816</v>
      </c>
    </row>
    <row r="1010" customFormat="false" ht="15" hidden="false" customHeight="true" outlineLevel="0" collapsed="false">
      <c r="A1010" s="1" t="n">
        <v>1009</v>
      </c>
      <c r="B1010" s="1" t="s">
        <v>1330</v>
      </c>
      <c r="C1010" s="1" t="s">
        <v>592</v>
      </c>
      <c r="D1010" s="1" t="s">
        <v>1208</v>
      </c>
      <c r="E1010" s="1" t="s">
        <v>1578</v>
      </c>
    </row>
    <row r="1011" customFormat="false" ht="15" hidden="false" customHeight="true" outlineLevel="0" collapsed="false">
      <c r="A1011" s="1" t="n">
        <v>1010</v>
      </c>
      <c r="B1011" s="1" t="s">
        <v>1579</v>
      </c>
      <c r="C1011" s="1" t="s">
        <v>701</v>
      </c>
      <c r="D1011" s="1" t="s">
        <v>411</v>
      </c>
      <c r="E1011" s="1" t="s">
        <v>44</v>
      </c>
    </row>
    <row r="1012" customFormat="false" ht="15" hidden="false" customHeight="true" outlineLevel="0" collapsed="false">
      <c r="A1012" s="1" t="n">
        <v>1011</v>
      </c>
      <c r="B1012" s="1" t="s">
        <v>1580</v>
      </c>
      <c r="C1012" s="1" t="s">
        <v>1581</v>
      </c>
      <c r="D1012" s="1" t="s">
        <v>159</v>
      </c>
      <c r="E1012" s="1" t="s">
        <v>1582</v>
      </c>
    </row>
    <row r="1013" customFormat="false" ht="15" hidden="false" customHeight="true" outlineLevel="0" collapsed="false">
      <c r="A1013" s="1" t="n">
        <v>1012</v>
      </c>
      <c r="B1013" s="1" t="s">
        <v>440</v>
      </c>
      <c r="C1013" s="1" t="s">
        <v>1271</v>
      </c>
      <c r="D1013" s="1" t="s">
        <v>882</v>
      </c>
      <c r="E1013" s="1" t="s">
        <v>1049</v>
      </c>
    </row>
    <row r="1014" customFormat="false" ht="15" hidden="false" customHeight="true" outlineLevel="0" collapsed="false">
      <c r="A1014" s="1" t="n">
        <v>1013</v>
      </c>
      <c r="B1014" s="1" t="s">
        <v>883</v>
      </c>
      <c r="C1014" s="1" t="s">
        <v>1574</v>
      </c>
      <c r="D1014" s="1" t="s">
        <v>220</v>
      </c>
      <c r="E1014" s="1" t="s">
        <v>1583</v>
      </c>
    </row>
    <row r="1015" customFormat="false" ht="15" hidden="false" customHeight="true" outlineLevel="0" collapsed="false">
      <c r="A1015" s="1" t="n">
        <v>1014</v>
      </c>
      <c r="B1015" s="1" t="s">
        <v>291</v>
      </c>
      <c r="C1015" s="1" t="s">
        <v>1206</v>
      </c>
      <c r="D1015" s="1" t="s">
        <v>47</v>
      </c>
      <c r="E1015" s="1" t="s">
        <v>1584</v>
      </c>
    </row>
    <row r="1016" customFormat="false" ht="15" hidden="false" customHeight="true" outlineLevel="0" collapsed="false">
      <c r="A1016" s="1" t="n">
        <v>1015</v>
      </c>
      <c r="B1016" s="1" t="s">
        <v>1310</v>
      </c>
      <c r="C1016" s="1" t="s">
        <v>555</v>
      </c>
      <c r="D1016" s="1" t="s">
        <v>456</v>
      </c>
      <c r="E1016" s="1" t="s">
        <v>1585</v>
      </c>
    </row>
    <row r="1017" customFormat="false" ht="15" hidden="false" customHeight="true" outlineLevel="0" collapsed="false">
      <c r="A1017" s="1" t="n">
        <v>1016</v>
      </c>
      <c r="B1017" s="1" t="s">
        <v>92</v>
      </c>
      <c r="C1017" s="1" t="s">
        <v>797</v>
      </c>
      <c r="D1017" s="1" t="s">
        <v>182</v>
      </c>
      <c r="E1017" s="1" t="s">
        <v>1586</v>
      </c>
    </row>
    <row r="1018" customFormat="false" ht="15" hidden="false" customHeight="true" outlineLevel="0" collapsed="false">
      <c r="A1018" s="1" t="n">
        <v>1017</v>
      </c>
      <c r="B1018" s="1" t="s">
        <v>243</v>
      </c>
      <c r="C1018" s="1" t="s">
        <v>962</v>
      </c>
      <c r="D1018" s="1" t="s">
        <v>286</v>
      </c>
      <c r="E1018" s="1" t="s">
        <v>175</v>
      </c>
    </row>
    <row r="1019" customFormat="false" ht="15" hidden="false" customHeight="true" outlineLevel="0" collapsed="false">
      <c r="A1019" s="1" t="n">
        <v>1018</v>
      </c>
      <c r="B1019" s="1" t="s">
        <v>1482</v>
      </c>
      <c r="C1019" s="1" t="s">
        <v>1587</v>
      </c>
      <c r="D1019" s="1" t="s">
        <v>758</v>
      </c>
      <c r="E1019" s="1" t="s">
        <v>1168</v>
      </c>
    </row>
    <row r="1020" customFormat="false" ht="15" hidden="false" customHeight="true" outlineLevel="0" collapsed="false">
      <c r="A1020" s="1" t="n">
        <v>1019</v>
      </c>
      <c r="B1020" s="1" t="s">
        <v>367</v>
      </c>
      <c r="C1020" s="1" t="s">
        <v>1588</v>
      </c>
      <c r="D1020" s="1" t="s">
        <v>301</v>
      </c>
      <c r="E1020" s="1" t="s">
        <v>1278</v>
      </c>
    </row>
    <row r="1021" customFormat="false" ht="15" hidden="false" customHeight="true" outlineLevel="0" collapsed="false">
      <c r="A1021" s="1" t="n">
        <v>1020</v>
      </c>
      <c r="B1021" s="1" t="s">
        <v>1589</v>
      </c>
      <c r="C1021" s="1" t="s">
        <v>418</v>
      </c>
      <c r="D1021" s="1" t="s">
        <v>263</v>
      </c>
      <c r="E1021" s="1" t="s">
        <v>44</v>
      </c>
    </row>
    <row r="1022" customFormat="false" ht="15" hidden="false" customHeight="true" outlineLevel="0" collapsed="false">
      <c r="A1022" s="1" t="n">
        <v>1021</v>
      </c>
      <c r="B1022" s="1" t="s">
        <v>1590</v>
      </c>
      <c r="C1022" s="1" t="s">
        <v>177</v>
      </c>
      <c r="D1022" s="1" t="s">
        <v>456</v>
      </c>
      <c r="E1022" s="1" t="s">
        <v>830</v>
      </c>
    </row>
    <row r="1023" customFormat="false" ht="15" hidden="false" customHeight="true" outlineLevel="0" collapsed="false">
      <c r="A1023" s="1" t="n">
        <v>1022</v>
      </c>
      <c r="B1023" s="1" t="s">
        <v>676</v>
      </c>
      <c r="C1023" s="1" t="s">
        <v>555</v>
      </c>
      <c r="D1023" s="1" t="s">
        <v>286</v>
      </c>
      <c r="E1023" s="1" t="s">
        <v>1591</v>
      </c>
    </row>
    <row r="1024" customFormat="false" ht="15" hidden="false" customHeight="true" outlineLevel="0" collapsed="false">
      <c r="A1024" s="1" t="n">
        <v>1023</v>
      </c>
      <c r="B1024" s="1" t="s">
        <v>1088</v>
      </c>
      <c r="C1024" s="1" t="s">
        <v>118</v>
      </c>
      <c r="D1024" s="1" t="s">
        <v>516</v>
      </c>
      <c r="E1024" s="1" t="s">
        <v>1592</v>
      </c>
    </row>
    <row r="1025" customFormat="false" ht="15" hidden="false" customHeight="true" outlineLevel="0" collapsed="false">
      <c r="A1025" s="1" t="n">
        <v>1024</v>
      </c>
      <c r="B1025" s="1" t="s">
        <v>1223</v>
      </c>
      <c r="C1025" s="1" t="s">
        <v>461</v>
      </c>
      <c r="D1025" s="1" t="s">
        <v>419</v>
      </c>
      <c r="E1025" s="1" t="s">
        <v>1492</v>
      </c>
    </row>
    <row r="1026" customFormat="false" ht="15" hidden="false" customHeight="true" outlineLevel="0" collapsed="false">
      <c r="A1026" s="1" t="n">
        <v>1025</v>
      </c>
      <c r="B1026" s="1" t="s">
        <v>1092</v>
      </c>
      <c r="C1026" s="1" t="s">
        <v>285</v>
      </c>
      <c r="D1026" s="1" t="s">
        <v>194</v>
      </c>
      <c r="E1026" s="1" t="s">
        <v>1224</v>
      </c>
    </row>
    <row r="1027" customFormat="false" ht="15" hidden="false" customHeight="true" outlineLevel="0" collapsed="false">
      <c r="A1027" s="1" t="n">
        <v>1026</v>
      </c>
      <c r="B1027" s="1" t="s">
        <v>1593</v>
      </c>
      <c r="C1027" s="1" t="s">
        <v>381</v>
      </c>
      <c r="D1027" s="1" t="s">
        <v>1272</v>
      </c>
      <c r="E1027" s="1" t="s">
        <v>205</v>
      </c>
    </row>
    <row r="1028" customFormat="false" ht="15" hidden="false" customHeight="true" outlineLevel="0" collapsed="false">
      <c r="A1028" s="1" t="n">
        <v>1027</v>
      </c>
      <c r="B1028" s="1" t="s">
        <v>404</v>
      </c>
      <c r="C1028" s="1" t="s">
        <v>515</v>
      </c>
      <c r="D1028" s="1" t="s">
        <v>532</v>
      </c>
      <c r="E1028" s="1" t="s">
        <v>1500</v>
      </c>
    </row>
    <row r="1029" customFormat="false" ht="15" hidden="false" customHeight="true" outlineLevel="0" collapsed="false">
      <c r="A1029" s="1" t="n">
        <v>1028</v>
      </c>
      <c r="B1029" s="1" t="s">
        <v>583</v>
      </c>
      <c r="C1029" s="1" t="s">
        <v>352</v>
      </c>
      <c r="D1029" s="1" t="s">
        <v>289</v>
      </c>
      <c r="E1029" s="1" t="s">
        <v>1395</v>
      </c>
    </row>
    <row r="1030" customFormat="false" ht="15" hidden="false" customHeight="true" outlineLevel="0" collapsed="false">
      <c r="A1030" s="1" t="n">
        <v>1029</v>
      </c>
      <c r="B1030" s="1" t="s">
        <v>1522</v>
      </c>
      <c r="C1030" s="1" t="s">
        <v>555</v>
      </c>
      <c r="D1030" s="1" t="s">
        <v>119</v>
      </c>
      <c r="E1030" s="1" t="s">
        <v>1594</v>
      </c>
    </row>
    <row r="1031" customFormat="false" ht="15" hidden="false" customHeight="true" outlineLevel="0" collapsed="false">
      <c r="A1031" s="1" t="n">
        <v>1030</v>
      </c>
      <c r="B1031" s="1" t="s">
        <v>1220</v>
      </c>
      <c r="C1031" s="1" t="s">
        <v>745</v>
      </c>
      <c r="D1031" s="1" t="s">
        <v>787</v>
      </c>
      <c r="E1031" s="1" t="s">
        <v>44</v>
      </c>
    </row>
    <row r="1032" customFormat="false" ht="15" hidden="false" customHeight="true" outlineLevel="0" collapsed="false">
      <c r="A1032" s="1" t="n">
        <v>1031</v>
      </c>
      <c r="B1032" s="1" t="s">
        <v>1595</v>
      </c>
      <c r="C1032" s="1" t="s">
        <v>112</v>
      </c>
      <c r="D1032" s="1" t="s">
        <v>578</v>
      </c>
      <c r="E1032" s="1" t="s">
        <v>791</v>
      </c>
    </row>
    <row r="1033" customFormat="false" ht="15" hidden="false" customHeight="true" outlineLevel="0" collapsed="false">
      <c r="A1033" s="1" t="n">
        <v>1032</v>
      </c>
      <c r="B1033" s="1" t="s">
        <v>813</v>
      </c>
      <c r="C1033" s="1" t="s">
        <v>202</v>
      </c>
      <c r="D1033" s="1" t="s">
        <v>532</v>
      </c>
      <c r="E1033" s="1" t="s">
        <v>513</v>
      </c>
    </row>
    <row r="1034" customFormat="false" ht="15" hidden="false" customHeight="true" outlineLevel="0" collapsed="false">
      <c r="A1034" s="1" t="n">
        <v>1033</v>
      </c>
      <c r="B1034" s="1" t="s">
        <v>1093</v>
      </c>
      <c r="C1034" s="1" t="s">
        <v>30</v>
      </c>
      <c r="D1034" s="1" t="s">
        <v>167</v>
      </c>
      <c r="E1034" s="1" t="s">
        <v>591</v>
      </c>
    </row>
    <row r="1035" customFormat="false" ht="15" hidden="false" customHeight="true" outlineLevel="0" collapsed="false">
      <c r="A1035" s="1" t="n">
        <v>1034</v>
      </c>
      <c r="B1035" s="1" t="s">
        <v>96</v>
      </c>
      <c r="C1035" s="1" t="s">
        <v>1588</v>
      </c>
      <c r="D1035" s="1" t="s">
        <v>1087</v>
      </c>
      <c r="E1035" s="1" t="s">
        <v>1065</v>
      </c>
    </row>
    <row r="1036" customFormat="false" ht="15" hidden="false" customHeight="true" outlineLevel="0" collapsed="false">
      <c r="A1036" s="1" t="n">
        <v>1035</v>
      </c>
      <c r="B1036" s="1" t="s">
        <v>1544</v>
      </c>
      <c r="C1036" s="1" t="s">
        <v>680</v>
      </c>
      <c r="D1036" s="1" t="s">
        <v>415</v>
      </c>
      <c r="E1036" s="1" t="s">
        <v>1596</v>
      </c>
    </row>
    <row r="1037" customFormat="false" ht="15" hidden="false" customHeight="true" outlineLevel="0" collapsed="false">
      <c r="A1037" s="1" t="n">
        <v>1036</v>
      </c>
      <c r="B1037" s="1" t="s">
        <v>1541</v>
      </c>
      <c r="C1037" s="1" t="s">
        <v>410</v>
      </c>
      <c r="D1037" s="1" t="s">
        <v>1262</v>
      </c>
      <c r="E1037" s="1" t="s">
        <v>1113</v>
      </c>
    </row>
    <row r="1038" customFormat="false" ht="15" hidden="false" customHeight="true" outlineLevel="0" collapsed="false">
      <c r="A1038" s="1" t="n">
        <v>1037</v>
      </c>
      <c r="B1038" s="1" t="s">
        <v>533</v>
      </c>
      <c r="C1038" s="1" t="s">
        <v>632</v>
      </c>
      <c r="D1038" s="1" t="s">
        <v>855</v>
      </c>
      <c r="E1038" s="1" t="s">
        <v>1597</v>
      </c>
    </row>
    <row r="1039" customFormat="false" ht="15" hidden="false" customHeight="true" outlineLevel="0" collapsed="false">
      <c r="A1039" s="1" t="n">
        <v>1038</v>
      </c>
      <c r="B1039" s="1" t="s">
        <v>650</v>
      </c>
      <c r="C1039" s="1" t="s">
        <v>1080</v>
      </c>
      <c r="D1039" s="1" t="s">
        <v>468</v>
      </c>
      <c r="E1039" s="1" t="s">
        <v>591</v>
      </c>
    </row>
    <row r="1040" customFormat="false" ht="15" hidden="false" customHeight="true" outlineLevel="0" collapsed="false">
      <c r="A1040" s="1" t="n">
        <v>1039</v>
      </c>
      <c r="B1040" s="1" t="s">
        <v>1598</v>
      </c>
      <c r="C1040" s="1" t="s">
        <v>464</v>
      </c>
      <c r="D1040" s="1" t="s">
        <v>69</v>
      </c>
      <c r="E1040" s="1" t="s">
        <v>952</v>
      </c>
    </row>
    <row r="1041" customFormat="false" ht="15" hidden="false" customHeight="true" outlineLevel="0" collapsed="false">
      <c r="A1041" s="1" t="n">
        <v>1040</v>
      </c>
      <c r="B1041" s="1" t="s">
        <v>496</v>
      </c>
      <c r="C1041" s="1" t="s">
        <v>1296</v>
      </c>
      <c r="D1041" s="1" t="s">
        <v>734</v>
      </c>
      <c r="E1041" s="1" t="s">
        <v>44</v>
      </c>
    </row>
    <row r="1042" customFormat="false" ht="15" hidden="false" customHeight="true" outlineLevel="0" collapsed="false">
      <c r="A1042" s="1" t="n">
        <v>1041</v>
      </c>
      <c r="B1042" s="1" t="s">
        <v>1428</v>
      </c>
      <c r="C1042" s="1" t="s">
        <v>742</v>
      </c>
      <c r="D1042" s="1" t="s">
        <v>522</v>
      </c>
      <c r="E1042" s="1" t="s">
        <v>959</v>
      </c>
    </row>
    <row r="1043" customFormat="false" ht="15" hidden="false" customHeight="true" outlineLevel="0" collapsed="false">
      <c r="A1043" s="1" t="n">
        <v>1042</v>
      </c>
      <c r="B1043" s="1" t="s">
        <v>1400</v>
      </c>
      <c r="C1043" s="1" t="s">
        <v>1285</v>
      </c>
      <c r="D1043" s="1" t="s">
        <v>876</v>
      </c>
      <c r="E1043" s="1" t="s">
        <v>824</v>
      </c>
    </row>
    <row r="1044" customFormat="false" ht="15" hidden="false" customHeight="true" outlineLevel="0" collapsed="false">
      <c r="A1044" s="1" t="n">
        <v>1043</v>
      </c>
      <c r="B1044" s="1" t="s">
        <v>351</v>
      </c>
      <c r="C1044" s="1" t="s">
        <v>341</v>
      </c>
      <c r="D1044" s="1" t="s">
        <v>1411</v>
      </c>
      <c r="E1044" s="1" t="s">
        <v>1599</v>
      </c>
    </row>
    <row r="1045" customFormat="false" ht="15" hidden="false" customHeight="true" outlineLevel="0" collapsed="false">
      <c r="A1045" s="1" t="n">
        <v>1044</v>
      </c>
      <c r="B1045" s="1" t="s">
        <v>1530</v>
      </c>
      <c r="C1045" s="1" t="s">
        <v>1229</v>
      </c>
      <c r="D1045" s="1" t="s">
        <v>1081</v>
      </c>
      <c r="E1045" s="1" t="s">
        <v>270</v>
      </c>
    </row>
    <row r="1046" customFormat="false" ht="15" hidden="false" customHeight="true" outlineLevel="0" collapsed="false">
      <c r="A1046" s="1" t="n">
        <v>1045</v>
      </c>
      <c r="B1046" s="1" t="s">
        <v>255</v>
      </c>
      <c r="C1046" s="1" t="s">
        <v>733</v>
      </c>
      <c r="D1046" s="1" t="s">
        <v>570</v>
      </c>
      <c r="E1046" s="1" t="s">
        <v>114</v>
      </c>
    </row>
    <row r="1047" customFormat="false" ht="15" hidden="false" customHeight="true" outlineLevel="0" collapsed="false">
      <c r="A1047" s="1" t="n">
        <v>1046</v>
      </c>
      <c r="B1047" s="1" t="s">
        <v>976</v>
      </c>
      <c r="C1047" s="1" t="s">
        <v>670</v>
      </c>
      <c r="D1047" s="1" t="s">
        <v>235</v>
      </c>
      <c r="E1047" s="1" t="s">
        <v>1600</v>
      </c>
    </row>
    <row r="1048" customFormat="false" ht="15" hidden="false" customHeight="true" outlineLevel="0" collapsed="false">
      <c r="A1048" s="1" t="n">
        <v>1047</v>
      </c>
      <c r="B1048" s="1" t="s">
        <v>454</v>
      </c>
      <c r="C1048" s="1" t="s">
        <v>352</v>
      </c>
      <c r="D1048" s="1" t="s">
        <v>313</v>
      </c>
      <c r="E1048" s="1" t="s">
        <v>1601</v>
      </c>
    </row>
    <row r="1049" customFormat="false" ht="15" hidden="false" customHeight="true" outlineLevel="0" collapsed="false">
      <c r="A1049" s="1" t="n">
        <v>1048</v>
      </c>
      <c r="B1049" s="1" t="s">
        <v>1602</v>
      </c>
      <c r="C1049" s="1" t="s">
        <v>651</v>
      </c>
      <c r="D1049" s="1" t="s">
        <v>581</v>
      </c>
      <c r="E1049" s="1" t="s">
        <v>1603</v>
      </c>
    </row>
    <row r="1050" customFormat="false" ht="15" hidden="false" customHeight="true" outlineLevel="0" collapsed="false">
      <c r="A1050" s="1" t="n">
        <v>1049</v>
      </c>
      <c r="B1050" s="1" t="s">
        <v>161</v>
      </c>
      <c r="C1050" s="1" t="s">
        <v>645</v>
      </c>
      <c r="D1050" s="1" t="s">
        <v>289</v>
      </c>
      <c r="E1050" s="1" t="s">
        <v>483</v>
      </c>
    </row>
    <row r="1051" customFormat="false" ht="15" hidden="false" customHeight="true" outlineLevel="0" collapsed="false">
      <c r="A1051" s="1" t="n">
        <v>1050</v>
      </c>
      <c r="B1051" s="1" t="s">
        <v>1598</v>
      </c>
      <c r="C1051" s="1" t="s">
        <v>46</v>
      </c>
      <c r="D1051" s="1" t="s">
        <v>1208</v>
      </c>
      <c r="E1051" s="1" t="s">
        <v>44</v>
      </c>
    </row>
    <row r="1052" customFormat="false" ht="15" hidden="false" customHeight="true" outlineLevel="0" collapsed="false">
      <c r="A1052" s="1" t="n">
        <v>1051</v>
      </c>
      <c r="B1052" s="1" t="s">
        <v>1512</v>
      </c>
      <c r="C1052" s="1" t="s">
        <v>1532</v>
      </c>
      <c r="D1052" s="1" t="s">
        <v>51</v>
      </c>
      <c r="E1052" s="1" t="s">
        <v>1604</v>
      </c>
    </row>
    <row r="1053" customFormat="false" ht="15" hidden="false" customHeight="true" outlineLevel="0" collapsed="false">
      <c r="A1053" s="1" t="n">
        <v>1052</v>
      </c>
      <c r="B1053" s="1" t="s">
        <v>479</v>
      </c>
      <c r="C1053" s="1" t="s">
        <v>1199</v>
      </c>
      <c r="D1053" s="1" t="s">
        <v>560</v>
      </c>
      <c r="E1053" s="1" t="s">
        <v>1061</v>
      </c>
    </row>
    <row r="1054" customFormat="false" ht="15" hidden="false" customHeight="true" outlineLevel="0" collapsed="false">
      <c r="A1054" s="1" t="n">
        <v>1053</v>
      </c>
      <c r="B1054" s="1" t="s">
        <v>361</v>
      </c>
      <c r="C1054" s="1" t="s">
        <v>1605</v>
      </c>
      <c r="D1054" s="1" t="s">
        <v>1208</v>
      </c>
      <c r="E1054" s="1" t="s">
        <v>1365</v>
      </c>
    </row>
    <row r="1055" customFormat="false" ht="15" hidden="false" customHeight="true" outlineLevel="0" collapsed="false">
      <c r="A1055" s="1" t="n">
        <v>1054</v>
      </c>
      <c r="B1055" s="1" t="s">
        <v>1345</v>
      </c>
      <c r="C1055" s="1" t="s">
        <v>1098</v>
      </c>
      <c r="D1055" s="1" t="s">
        <v>411</v>
      </c>
      <c r="E1055" s="1" t="s">
        <v>171</v>
      </c>
    </row>
    <row r="1056" customFormat="false" ht="15" hidden="false" customHeight="true" outlineLevel="0" collapsed="false">
      <c r="A1056" s="1" t="n">
        <v>1055</v>
      </c>
      <c r="B1056" s="1" t="s">
        <v>320</v>
      </c>
      <c r="C1056" s="1" t="s">
        <v>333</v>
      </c>
      <c r="D1056" s="1" t="s">
        <v>155</v>
      </c>
      <c r="E1056" s="1" t="s">
        <v>1065</v>
      </c>
    </row>
    <row r="1057" customFormat="false" ht="15" hidden="false" customHeight="true" outlineLevel="0" collapsed="false">
      <c r="A1057" s="1" t="n">
        <v>1056</v>
      </c>
      <c r="B1057" s="1" t="s">
        <v>218</v>
      </c>
      <c r="C1057" s="1" t="s">
        <v>1606</v>
      </c>
      <c r="D1057" s="1" t="s">
        <v>947</v>
      </c>
      <c r="E1057" s="1" t="s">
        <v>1607</v>
      </c>
    </row>
    <row r="1058" customFormat="false" ht="15" hidden="false" customHeight="true" outlineLevel="0" collapsed="false">
      <c r="A1058" s="1" t="n">
        <v>1057</v>
      </c>
      <c r="B1058" s="1" t="s">
        <v>599</v>
      </c>
      <c r="C1058" s="1" t="s">
        <v>1054</v>
      </c>
      <c r="D1058" s="1" t="s">
        <v>731</v>
      </c>
      <c r="E1058" s="1" t="s">
        <v>1608</v>
      </c>
    </row>
    <row r="1059" customFormat="false" ht="15" hidden="false" customHeight="true" outlineLevel="0" collapsed="false">
      <c r="A1059" s="1" t="n">
        <v>1058</v>
      </c>
      <c r="B1059" s="1" t="s">
        <v>1609</v>
      </c>
      <c r="C1059" s="1" t="s">
        <v>1610</v>
      </c>
      <c r="D1059" s="1" t="s">
        <v>731</v>
      </c>
      <c r="E1059" s="1" t="s">
        <v>1611</v>
      </c>
    </row>
    <row r="1060" customFormat="false" ht="15" hidden="false" customHeight="true" outlineLevel="0" collapsed="false">
      <c r="A1060" s="1" t="n">
        <v>1059</v>
      </c>
      <c r="B1060" s="1" t="s">
        <v>1002</v>
      </c>
      <c r="C1060" s="1" t="s">
        <v>244</v>
      </c>
      <c r="D1060" s="1" t="s">
        <v>185</v>
      </c>
      <c r="E1060" s="1" t="s">
        <v>1442</v>
      </c>
    </row>
    <row r="1061" customFormat="false" ht="15" hidden="false" customHeight="true" outlineLevel="0" collapsed="false">
      <c r="A1061" s="1" t="n">
        <v>1060</v>
      </c>
      <c r="B1061" s="1" t="s">
        <v>1400</v>
      </c>
      <c r="C1061" s="1" t="s">
        <v>1612</v>
      </c>
      <c r="D1061" s="1" t="s">
        <v>522</v>
      </c>
      <c r="E1061" s="1" t="s">
        <v>44</v>
      </c>
    </row>
    <row r="1062" customFormat="false" ht="15" hidden="false" customHeight="true" outlineLevel="0" collapsed="false">
      <c r="A1062" s="1" t="n">
        <v>1061</v>
      </c>
      <c r="B1062" s="1" t="s">
        <v>1375</v>
      </c>
      <c r="C1062" s="1" t="s">
        <v>22</v>
      </c>
      <c r="D1062" s="1" t="s">
        <v>722</v>
      </c>
      <c r="E1062" s="1" t="s">
        <v>975</v>
      </c>
    </row>
    <row r="1063" customFormat="false" ht="15" hidden="false" customHeight="true" outlineLevel="0" collapsed="false">
      <c r="A1063" s="1" t="n">
        <v>1062</v>
      </c>
      <c r="B1063" s="1" t="s">
        <v>1288</v>
      </c>
      <c r="C1063" s="1" t="s">
        <v>1098</v>
      </c>
      <c r="D1063" s="1" t="s">
        <v>35</v>
      </c>
      <c r="E1063" s="1" t="s">
        <v>1613</v>
      </c>
    </row>
    <row r="1064" customFormat="false" ht="15" hidden="false" customHeight="true" outlineLevel="0" collapsed="false">
      <c r="A1064" s="1" t="n">
        <v>1063</v>
      </c>
      <c r="B1064" s="1" t="s">
        <v>1070</v>
      </c>
      <c r="C1064" s="1" t="s">
        <v>368</v>
      </c>
      <c r="D1064" s="1" t="s">
        <v>267</v>
      </c>
      <c r="E1064" s="1" t="s">
        <v>692</v>
      </c>
    </row>
    <row r="1065" customFormat="false" ht="15" hidden="false" customHeight="true" outlineLevel="0" collapsed="false">
      <c r="A1065" s="1" t="n">
        <v>1064</v>
      </c>
      <c r="B1065" s="1" t="s">
        <v>988</v>
      </c>
      <c r="C1065" s="1" t="s">
        <v>389</v>
      </c>
      <c r="D1065" s="1" t="s">
        <v>783</v>
      </c>
      <c r="E1065" s="1" t="s">
        <v>1056</v>
      </c>
    </row>
    <row r="1066" customFormat="false" ht="15" hidden="false" customHeight="true" outlineLevel="0" collapsed="false">
      <c r="A1066" s="1" t="n">
        <v>1065</v>
      </c>
      <c r="B1066" s="1" t="s">
        <v>631</v>
      </c>
      <c r="C1066" s="1" t="s">
        <v>46</v>
      </c>
      <c r="D1066" s="1" t="s">
        <v>220</v>
      </c>
      <c r="E1066" s="1" t="s">
        <v>1378</v>
      </c>
    </row>
    <row r="1067" customFormat="false" ht="15" hidden="false" customHeight="true" outlineLevel="0" collapsed="false">
      <c r="A1067" s="1" t="n">
        <v>1066</v>
      </c>
      <c r="B1067" s="1" t="s">
        <v>711</v>
      </c>
      <c r="C1067" s="1" t="s">
        <v>515</v>
      </c>
      <c r="D1067" s="1" t="s">
        <v>698</v>
      </c>
      <c r="E1067" s="1" t="s">
        <v>214</v>
      </c>
    </row>
    <row r="1068" customFormat="false" ht="15" hidden="false" customHeight="true" outlineLevel="0" collapsed="false">
      <c r="A1068" s="1" t="n">
        <v>1067</v>
      </c>
      <c r="B1068" s="1" t="s">
        <v>1355</v>
      </c>
      <c r="C1068" s="1" t="s">
        <v>1289</v>
      </c>
      <c r="D1068" s="1" t="s">
        <v>123</v>
      </c>
      <c r="E1068" s="1" t="s">
        <v>1614</v>
      </c>
    </row>
    <row r="1069" customFormat="false" ht="15" hidden="false" customHeight="true" outlineLevel="0" collapsed="false">
      <c r="A1069" s="1" t="n">
        <v>1068</v>
      </c>
      <c r="B1069" s="1" t="s">
        <v>995</v>
      </c>
      <c r="C1069" s="1" t="s">
        <v>177</v>
      </c>
      <c r="D1069" s="1" t="s">
        <v>213</v>
      </c>
      <c r="E1069" s="1" t="s">
        <v>1572</v>
      </c>
    </row>
    <row r="1070" customFormat="false" ht="15" hidden="false" customHeight="true" outlineLevel="0" collapsed="false">
      <c r="A1070" s="1" t="n">
        <v>1069</v>
      </c>
      <c r="B1070" s="1" t="s">
        <v>117</v>
      </c>
      <c r="C1070" s="1" t="s">
        <v>562</v>
      </c>
      <c r="D1070" s="1" t="s">
        <v>275</v>
      </c>
      <c r="E1070" s="1" t="s">
        <v>616</v>
      </c>
    </row>
    <row r="1071" customFormat="false" ht="15" hidden="false" customHeight="true" outlineLevel="0" collapsed="false">
      <c r="A1071" s="1" t="n">
        <v>1070</v>
      </c>
      <c r="B1071" s="1" t="s">
        <v>1308</v>
      </c>
      <c r="C1071" s="1" t="s">
        <v>398</v>
      </c>
      <c r="D1071" s="1" t="s">
        <v>384</v>
      </c>
      <c r="E1071" s="1" t="s">
        <v>44</v>
      </c>
    </row>
    <row r="1072" customFormat="false" ht="15" hidden="false" customHeight="true" outlineLevel="0" collapsed="false">
      <c r="A1072" s="1" t="n">
        <v>1071</v>
      </c>
      <c r="B1072" s="1" t="s">
        <v>890</v>
      </c>
      <c r="C1072" s="1" t="s">
        <v>473</v>
      </c>
      <c r="D1072" s="1" t="s">
        <v>947</v>
      </c>
      <c r="E1072" s="1" t="s">
        <v>1303</v>
      </c>
    </row>
    <row r="1073" customFormat="false" ht="15" hidden="false" customHeight="true" outlineLevel="0" collapsed="false">
      <c r="A1073" s="1" t="n">
        <v>1072</v>
      </c>
      <c r="B1073" s="1" t="s">
        <v>1150</v>
      </c>
      <c r="C1073" s="1" t="s">
        <v>992</v>
      </c>
      <c r="D1073" s="1" t="s">
        <v>1272</v>
      </c>
      <c r="E1073" s="1" t="s">
        <v>1044</v>
      </c>
    </row>
    <row r="1074" customFormat="false" ht="15" hidden="false" customHeight="true" outlineLevel="0" collapsed="false">
      <c r="A1074" s="1" t="n">
        <v>1073</v>
      </c>
      <c r="B1074" s="1" t="s">
        <v>1615</v>
      </c>
      <c r="C1074" s="1" t="s">
        <v>30</v>
      </c>
      <c r="D1074" s="1" t="s">
        <v>728</v>
      </c>
      <c r="E1074" s="1" t="s">
        <v>1616</v>
      </c>
    </row>
    <row r="1075" customFormat="false" ht="15" hidden="false" customHeight="true" outlineLevel="0" collapsed="false">
      <c r="A1075" s="1" t="n">
        <v>1074</v>
      </c>
      <c r="B1075" s="1" t="s">
        <v>115</v>
      </c>
      <c r="C1075" s="1" t="s">
        <v>555</v>
      </c>
      <c r="D1075" s="1" t="s">
        <v>263</v>
      </c>
      <c r="E1075" s="1" t="s">
        <v>1617</v>
      </c>
    </row>
    <row r="1076" customFormat="false" ht="15" hidden="false" customHeight="true" outlineLevel="0" collapsed="false">
      <c r="A1076" s="1" t="n">
        <v>1075</v>
      </c>
      <c r="B1076" s="1" t="s">
        <v>661</v>
      </c>
      <c r="C1076" s="1" t="s">
        <v>1210</v>
      </c>
      <c r="D1076" s="1" t="s">
        <v>51</v>
      </c>
      <c r="E1076" s="1" t="s">
        <v>70</v>
      </c>
    </row>
    <row r="1077" customFormat="false" ht="15" hidden="false" customHeight="true" outlineLevel="0" collapsed="false">
      <c r="A1077" s="1" t="n">
        <v>1076</v>
      </c>
      <c r="B1077" s="1" t="s">
        <v>1618</v>
      </c>
      <c r="C1077" s="1" t="s">
        <v>126</v>
      </c>
      <c r="D1077" s="1" t="s">
        <v>263</v>
      </c>
      <c r="E1077" s="1" t="s">
        <v>1619</v>
      </c>
    </row>
    <row r="1078" customFormat="false" ht="15" hidden="false" customHeight="true" outlineLevel="0" collapsed="false">
      <c r="A1078" s="1" t="n">
        <v>1077</v>
      </c>
      <c r="B1078" s="1" t="s">
        <v>49</v>
      </c>
      <c r="C1078" s="1" t="s">
        <v>1192</v>
      </c>
      <c r="D1078" s="1" t="s">
        <v>1620</v>
      </c>
      <c r="E1078" s="1" t="s">
        <v>12</v>
      </c>
    </row>
    <row r="1079" customFormat="false" ht="15" hidden="false" customHeight="true" outlineLevel="0" collapsed="false">
      <c r="A1079" s="1" t="n">
        <v>1078</v>
      </c>
      <c r="B1079" s="1" t="s">
        <v>1310</v>
      </c>
      <c r="C1079" s="1" t="s">
        <v>166</v>
      </c>
      <c r="D1079" s="1" t="s">
        <v>185</v>
      </c>
      <c r="E1079" s="1" t="s">
        <v>164</v>
      </c>
    </row>
    <row r="1080" customFormat="false" ht="15" hidden="false" customHeight="true" outlineLevel="0" collapsed="false">
      <c r="A1080" s="1" t="n">
        <v>1079</v>
      </c>
      <c r="B1080" s="1" t="s">
        <v>1621</v>
      </c>
      <c r="C1080" s="1" t="s">
        <v>181</v>
      </c>
      <c r="D1080" s="1" t="s">
        <v>787</v>
      </c>
      <c r="E1080" s="1" t="s">
        <v>1622</v>
      </c>
    </row>
    <row r="1081" customFormat="false" ht="15" hidden="false" customHeight="true" outlineLevel="0" collapsed="false">
      <c r="A1081" s="1" t="n">
        <v>1080</v>
      </c>
      <c r="B1081" s="1" t="s">
        <v>725</v>
      </c>
      <c r="C1081" s="1" t="s">
        <v>1174</v>
      </c>
      <c r="D1081" s="1" t="s">
        <v>945</v>
      </c>
      <c r="E1081" s="1" t="s">
        <v>44</v>
      </c>
    </row>
    <row r="1082" customFormat="false" ht="15" hidden="false" customHeight="true" outlineLevel="0" collapsed="false">
      <c r="A1082" s="1" t="n">
        <v>1081</v>
      </c>
      <c r="B1082" s="1" t="s">
        <v>970</v>
      </c>
      <c r="C1082" s="1" t="s">
        <v>481</v>
      </c>
      <c r="D1082" s="1" t="s">
        <v>516</v>
      </c>
      <c r="E1082" s="1" t="s">
        <v>1554</v>
      </c>
    </row>
    <row r="1083" customFormat="false" ht="15" hidden="false" customHeight="true" outlineLevel="0" collapsed="false">
      <c r="A1083" s="1" t="n">
        <v>1082</v>
      </c>
      <c r="B1083" s="1" t="s">
        <v>115</v>
      </c>
      <c r="C1083" s="1" t="s">
        <v>481</v>
      </c>
      <c r="D1083" s="1" t="s">
        <v>728</v>
      </c>
      <c r="E1083" s="1" t="s">
        <v>1623</v>
      </c>
    </row>
    <row r="1084" customFormat="false" ht="15" hidden="false" customHeight="true" outlineLevel="0" collapsed="false">
      <c r="A1084" s="1" t="n">
        <v>1083</v>
      </c>
      <c r="B1084" s="1" t="s">
        <v>1512</v>
      </c>
      <c r="C1084" s="1" t="s">
        <v>1624</v>
      </c>
      <c r="D1084" s="1" t="s">
        <v>325</v>
      </c>
      <c r="E1084" s="1" t="s">
        <v>1617</v>
      </c>
    </row>
    <row r="1085" customFormat="false" ht="15" hidden="false" customHeight="true" outlineLevel="0" collapsed="false">
      <c r="A1085" s="1" t="n">
        <v>1084</v>
      </c>
      <c r="B1085" s="1" t="s">
        <v>635</v>
      </c>
      <c r="C1085" s="1" t="s">
        <v>490</v>
      </c>
      <c r="D1085" s="1" t="s">
        <v>450</v>
      </c>
      <c r="E1085" s="1" t="s">
        <v>1625</v>
      </c>
    </row>
    <row r="1086" customFormat="false" ht="15" hidden="false" customHeight="true" outlineLevel="0" collapsed="false">
      <c r="A1086" s="1" t="n">
        <v>1085</v>
      </c>
      <c r="B1086" s="1" t="s">
        <v>1034</v>
      </c>
      <c r="C1086" s="1" t="s">
        <v>1096</v>
      </c>
      <c r="D1086" s="1" t="s">
        <v>442</v>
      </c>
      <c r="E1086" s="1" t="s">
        <v>1399</v>
      </c>
    </row>
    <row r="1087" customFormat="false" ht="15" hidden="false" customHeight="true" outlineLevel="0" collapsed="false">
      <c r="A1087" s="1" t="n">
        <v>1086</v>
      </c>
      <c r="B1087" s="1" t="s">
        <v>948</v>
      </c>
      <c r="C1087" s="1" t="s">
        <v>341</v>
      </c>
      <c r="D1087" s="1" t="s">
        <v>508</v>
      </c>
      <c r="E1087" s="1" t="s">
        <v>805</v>
      </c>
    </row>
    <row r="1088" customFormat="false" ht="15" hidden="false" customHeight="true" outlineLevel="0" collapsed="false">
      <c r="A1088" s="1" t="n">
        <v>1087</v>
      </c>
      <c r="B1088" s="1" t="s">
        <v>394</v>
      </c>
      <c r="C1088" s="1" t="s">
        <v>341</v>
      </c>
      <c r="D1088" s="1" t="s">
        <v>11</v>
      </c>
      <c r="E1088" s="1" t="s">
        <v>1626</v>
      </c>
    </row>
    <row r="1089" customFormat="false" ht="15" hidden="false" customHeight="true" outlineLevel="0" collapsed="false">
      <c r="A1089" s="1" t="n">
        <v>1088</v>
      </c>
      <c r="B1089" s="1" t="s">
        <v>1187</v>
      </c>
      <c r="C1089" s="1" t="s">
        <v>1324</v>
      </c>
      <c r="D1089" s="1" t="s">
        <v>879</v>
      </c>
      <c r="E1089" s="1" t="s">
        <v>1577</v>
      </c>
    </row>
    <row r="1090" customFormat="false" ht="15" hidden="false" customHeight="true" outlineLevel="0" collapsed="false">
      <c r="A1090" s="1" t="n">
        <v>1089</v>
      </c>
      <c r="B1090" s="1" t="s">
        <v>1235</v>
      </c>
      <c r="C1090" s="1" t="s">
        <v>515</v>
      </c>
      <c r="D1090" s="1" t="s">
        <v>936</v>
      </c>
      <c r="E1090" s="1" t="s">
        <v>1627</v>
      </c>
    </row>
    <row r="1091" customFormat="false" ht="15" hidden="false" customHeight="true" outlineLevel="0" collapsed="false">
      <c r="A1091" s="1" t="n">
        <v>1090</v>
      </c>
      <c r="B1091" s="1" t="s">
        <v>147</v>
      </c>
      <c r="C1091" s="1" t="s">
        <v>670</v>
      </c>
      <c r="D1091" s="1" t="s">
        <v>190</v>
      </c>
      <c r="E1091" s="1" t="s">
        <v>44</v>
      </c>
    </row>
    <row r="1092" customFormat="false" ht="15" hidden="false" customHeight="true" outlineLevel="0" collapsed="false">
      <c r="A1092" s="1" t="n">
        <v>1091</v>
      </c>
      <c r="B1092" s="1" t="s">
        <v>1447</v>
      </c>
      <c r="C1092" s="1" t="s">
        <v>962</v>
      </c>
      <c r="D1092" s="1" t="s">
        <v>263</v>
      </c>
      <c r="E1092" s="1" t="s">
        <v>1628</v>
      </c>
    </row>
    <row r="1093" customFormat="false" ht="15" hidden="false" customHeight="true" outlineLevel="0" collapsed="false">
      <c r="A1093" s="1" t="n">
        <v>1092</v>
      </c>
      <c r="B1093" s="1" t="s">
        <v>139</v>
      </c>
      <c r="C1093" s="1" t="s">
        <v>1629</v>
      </c>
      <c r="D1093" s="1" t="s">
        <v>787</v>
      </c>
      <c r="E1093" s="1" t="s">
        <v>1630</v>
      </c>
    </row>
    <row r="1094" customFormat="false" ht="15" hidden="false" customHeight="true" outlineLevel="0" collapsed="false">
      <c r="A1094" s="1" t="n">
        <v>1093</v>
      </c>
      <c r="B1094" s="1" t="s">
        <v>685</v>
      </c>
      <c r="C1094" s="1" t="s">
        <v>173</v>
      </c>
      <c r="D1094" s="1" t="s">
        <v>837</v>
      </c>
      <c r="E1094" s="1" t="s">
        <v>1631</v>
      </c>
    </row>
    <row r="1095" customFormat="false" ht="15" hidden="false" customHeight="true" outlineLevel="0" collapsed="false">
      <c r="A1095" s="1" t="n">
        <v>1094</v>
      </c>
      <c r="B1095" s="1" t="s">
        <v>499</v>
      </c>
      <c r="C1095" s="1" t="s">
        <v>46</v>
      </c>
      <c r="D1095" s="1" t="s">
        <v>257</v>
      </c>
      <c r="E1095" s="1" t="s">
        <v>1001</v>
      </c>
    </row>
    <row r="1096" customFormat="false" ht="15" hidden="false" customHeight="true" outlineLevel="0" collapsed="false">
      <c r="A1096" s="1" t="n">
        <v>1095</v>
      </c>
      <c r="B1096" s="1" t="s">
        <v>623</v>
      </c>
      <c r="C1096" s="1" t="s">
        <v>1632</v>
      </c>
      <c r="D1096" s="1" t="s">
        <v>278</v>
      </c>
      <c r="E1096" s="1" t="s">
        <v>1633</v>
      </c>
    </row>
    <row r="1097" customFormat="false" ht="15" hidden="false" customHeight="true" outlineLevel="0" collapsed="false">
      <c r="A1097" s="1" t="n">
        <v>1096</v>
      </c>
      <c r="B1097" s="1" t="s">
        <v>572</v>
      </c>
      <c r="C1097" s="1" t="s">
        <v>1634</v>
      </c>
      <c r="D1097" s="1" t="s">
        <v>1488</v>
      </c>
      <c r="E1097" s="1" t="s">
        <v>135</v>
      </c>
    </row>
    <row r="1098" customFormat="false" ht="15" hidden="false" customHeight="true" outlineLevel="0" collapsed="false">
      <c r="A1098" s="1" t="n">
        <v>1097</v>
      </c>
      <c r="B1098" s="1" t="s">
        <v>1062</v>
      </c>
      <c r="C1098" s="1" t="s">
        <v>162</v>
      </c>
      <c r="D1098" s="1" t="s">
        <v>698</v>
      </c>
      <c r="E1098" s="1" t="s">
        <v>1113</v>
      </c>
    </row>
    <row r="1099" customFormat="false" ht="15" hidden="false" customHeight="true" outlineLevel="0" collapsed="false">
      <c r="A1099" s="1" t="n">
        <v>1098</v>
      </c>
      <c r="B1099" s="1" t="s">
        <v>1338</v>
      </c>
      <c r="C1099" s="1" t="s">
        <v>274</v>
      </c>
      <c r="D1099" s="1" t="s">
        <v>313</v>
      </c>
      <c r="E1099" s="1" t="s">
        <v>1418</v>
      </c>
    </row>
    <row r="1100" customFormat="false" ht="15" hidden="false" customHeight="true" outlineLevel="0" collapsed="false">
      <c r="A1100" s="1" t="n">
        <v>1099</v>
      </c>
      <c r="B1100" s="1" t="s">
        <v>1635</v>
      </c>
      <c r="C1100" s="1" t="s">
        <v>662</v>
      </c>
      <c r="D1100" s="1" t="s">
        <v>1081</v>
      </c>
      <c r="E1100" s="1" t="s">
        <v>1636</v>
      </c>
    </row>
    <row r="1101" customFormat="false" ht="15" hidden="false" customHeight="true" outlineLevel="0" collapsed="false">
      <c r="A1101" s="1" t="n">
        <v>1100</v>
      </c>
      <c r="B1101" s="1" t="s">
        <v>9</v>
      </c>
      <c r="C1101" s="1" t="s">
        <v>398</v>
      </c>
      <c r="D1101" s="1" t="s">
        <v>578</v>
      </c>
      <c r="E1101" s="1" t="s">
        <v>44</v>
      </c>
    </row>
    <row r="1102" customFormat="false" ht="15" hidden="false" customHeight="true" outlineLevel="0" collapsed="false">
      <c r="A1102" s="1" t="n">
        <v>1101</v>
      </c>
      <c r="B1102" s="1" t="s">
        <v>1637</v>
      </c>
      <c r="C1102" s="1" t="s">
        <v>1046</v>
      </c>
      <c r="D1102" s="1" t="s">
        <v>109</v>
      </c>
      <c r="E1102" s="1" t="s">
        <v>1361</v>
      </c>
    </row>
    <row r="1103" customFormat="false" ht="15" hidden="false" customHeight="true" outlineLevel="0" collapsed="false">
      <c r="A1103" s="1" t="n">
        <v>1102</v>
      </c>
      <c r="B1103" s="1" t="s">
        <v>533</v>
      </c>
      <c r="C1103" s="1" t="s">
        <v>407</v>
      </c>
      <c r="D1103" s="1" t="s">
        <v>43</v>
      </c>
      <c r="E1103" s="1" t="s">
        <v>1638</v>
      </c>
    </row>
    <row r="1104" customFormat="false" ht="15" hidden="false" customHeight="true" outlineLevel="0" collapsed="false">
      <c r="A1104" s="1" t="n">
        <v>1103</v>
      </c>
      <c r="B1104" s="1" t="s">
        <v>1530</v>
      </c>
      <c r="C1104" s="1" t="s">
        <v>632</v>
      </c>
      <c r="D1104" s="1" t="s">
        <v>734</v>
      </c>
      <c r="E1104" s="1" t="s">
        <v>1432</v>
      </c>
    </row>
    <row r="1105" customFormat="false" ht="15" hidden="false" customHeight="true" outlineLevel="0" collapsed="false">
      <c r="A1105" s="1" t="n">
        <v>1104</v>
      </c>
      <c r="B1105" s="1" t="s">
        <v>151</v>
      </c>
      <c r="C1105" s="1" t="s">
        <v>324</v>
      </c>
      <c r="D1105" s="1" t="s">
        <v>909</v>
      </c>
      <c r="E1105" s="1" t="s">
        <v>1306</v>
      </c>
    </row>
    <row r="1106" customFormat="false" ht="15" hidden="false" customHeight="true" outlineLevel="0" collapsed="false">
      <c r="A1106" s="1" t="n">
        <v>1105</v>
      </c>
      <c r="B1106" s="1" t="s">
        <v>64</v>
      </c>
      <c r="C1106" s="1" t="s">
        <v>651</v>
      </c>
      <c r="D1106" s="1" t="s">
        <v>356</v>
      </c>
      <c r="E1106" s="1" t="s">
        <v>853</v>
      </c>
    </row>
    <row r="1107" customFormat="false" ht="15" hidden="false" customHeight="true" outlineLevel="0" collapsed="false">
      <c r="A1107" s="1" t="n">
        <v>1106</v>
      </c>
      <c r="B1107" s="1" t="s">
        <v>1164</v>
      </c>
      <c r="C1107" s="1" t="s">
        <v>739</v>
      </c>
      <c r="D1107" s="1" t="s">
        <v>539</v>
      </c>
      <c r="E1107" s="1" t="s">
        <v>1443</v>
      </c>
    </row>
    <row r="1108" customFormat="false" ht="15" hidden="false" customHeight="true" outlineLevel="0" collapsed="false">
      <c r="A1108" s="1" t="n">
        <v>1107</v>
      </c>
      <c r="B1108" s="1" t="s">
        <v>913</v>
      </c>
      <c r="C1108" s="1" t="s">
        <v>592</v>
      </c>
      <c r="D1108" s="1" t="s">
        <v>947</v>
      </c>
      <c r="E1108" s="1" t="s">
        <v>1069</v>
      </c>
    </row>
    <row r="1109" customFormat="false" ht="15" hidden="false" customHeight="true" outlineLevel="0" collapsed="false">
      <c r="A1109" s="1" t="n">
        <v>1108</v>
      </c>
      <c r="B1109" s="1" t="s">
        <v>809</v>
      </c>
      <c r="C1109" s="1" t="s">
        <v>905</v>
      </c>
      <c r="D1109" s="1" t="s">
        <v>7</v>
      </c>
      <c r="E1109" s="1" t="s">
        <v>1130</v>
      </c>
    </row>
    <row r="1110" customFormat="false" ht="15" hidden="false" customHeight="true" outlineLevel="0" collapsed="false">
      <c r="A1110" s="1" t="n">
        <v>1109</v>
      </c>
      <c r="B1110" s="1" t="s">
        <v>504</v>
      </c>
      <c r="C1110" s="1" t="s">
        <v>216</v>
      </c>
      <c r="D1110" s="1" t="s">
        <v>536</v>
      </c>
      <c r="E1110" s="1" t="s">
        <v>545</v>
      </c>
    </row>
    <row r="1111" customFormat="false" ht="15" hidden="false" customHeight="true" outlineLevel="0" collapsed="false">
      <c r="A1111" s="1" t="n">
        <v>1110</v>
      </c>
      <c r="B1111" s="1" t="s">
        <v>554</v>
      </c>
      <c r="C1111" s="1" t="s">
        <v>398</v>
      </c>
      <c r="D1111" s="1" t="s">
        <v>280</v>
      </c>
      <c r="E1111" s="1" t="s">
        <v>44</v>
      </c>
    </row>
    <row r="1112" customFormat="false" ht="15" hidden="false" customHeight="true" outlineLevel="0" collapsed="false">
      <c r="A1112" s="1" t="n">
        <v>1111</v>
      </c>
      <c r="B1112" s="1" t="s">
        <v>1093</v>
      </c>
      <c r="C1112" s="1" t="s">
        <v>34</v>
      </c>
      <c r="D1112" s="1" t="s">
        <v>612</v>
      </c>
      <c r="E1112" s="1" t="s">
        <v>1639</v>
      </c>
    </row>
    <row r="1113" customFormat="false" ht="15" hidden="false" customHeight="true" outlineLevel="0" collapsed="false">
      <c r="A1113" s="1" t="n">
        <v>1112</v>
      </c>
      <c r="B1113" s="1" t="s">
        <v>380</v>
      </c>
      <c r="C1113" s="1" t="s">
        <v>1409</v>
      </c>
      <c r="D1113" s="1" t="s">
        <v>876</v>
      </c>
      <c r="E1113" s="1" t="s">
        <v>671</v>
      </c>
    </row>
    <row r="1114" customFormat="false" ht="15" hidden="false" customHeight="true" outlineLevel="0" collapsed="false">
      <c r="A1114" s="1" t="n">
        <v>1113</v>
      </c>
      <c r="B1114" s="1" t="s">
        <v>1640</v>
      </c>
      <c r="C1114" s="1" t="s">
        <v>484</v>
      </c>
      <c r="D1114" s="1" t="s">
        <v>220</v>
      </c>
      <c r="E1114" s="1" t="s">
        <v>894</v>
      </c>
    </row>
    <row r="1115" customFormat="false" ht="15" hidden="false" customHeight="true" outlineLevel="0" collapsed="false">
      <c r="A1115" s="1" t="n">
        <v>1114</v>
      </c>
      <c r="B1115" s="1" t="s">
        <v>817</v>
      </c>
      <c r="C1115" s="1" t="s">
        <v>166</v>
      </c>
      <c r="D1115" s="1" t="s">
        <v>556</v>
      </c>
      <c r="E1115" s="1" t="s">
        <v>1641</v>
      </c>
    </row>
    <row r="1116" customFormat="false" ht="15" hidden="false" customHeight="true" outlineLevel="0" collapsed="false">
      <c r="A1116" s="1" t="n">
        <v>1115</v>
      </c>
      <c r="B1116" s="1" t="s">
        <v>1102</v>
      </c>
      <c r="C1116" s="1" t="s">
        <v>1642</v>
      </c>
      <c r="D1116" s="1" t="s">
        <v>227</v>
      </c>
      <c r="E1116" s="1" t="s">
        <v>1643</v>
      </c>
    </row>
    <row r="1117" customFormat="false" ht="15" hidden="false" customHeight="true" outlineLevel="0" collapsed="false">
      <c r="A1117" s="1" t="n">
        <v>1116</v>
      </c>
      <c r="B1117" s="1" t="s">
        <v>1051</v>
      </c>
      <c r="C1117" s="1" t="s">
        <v>230</v>
      </c>
      <c r="D1117" s="1" t="s">
        <v>869</v>
      </c>
      <c r="E1117" s="1" t="s">
        <v>1472</v>
      </c>
    </row>
    <row r="1118" customFormat="false" ht="15" hidden="false" customHeight="true" outlineLevel="0" collapsed="false">
      <c r="A1118" s="1" t="n">
        <v>1117</v>
      </c>
      <c r="B1118" s="1" t="s">
        <v>1021</v>
      </c>
      <c r="C1118" s="1" t="s">
        <v>931</v>
      </c>
      <c r="D1118" s="1" t="s">
        <v>1249</v>
      </c>
      <c r="E1118" s="1" t="s">
        <v>1644</v>
      </c>
    </row>
    <row r="1119" customFormat="false" ht="15" hidden="false" customHeight="true" outlineLevel="0" collapsed="false">
      <c r="A1119" s="1" t="n">
        <v>1118</v>
      </c>
      <c r="B1119" s="1" t="s">
        <v>472</v>
      </c>
      <c r="C1119" s="1" t="s">
        <v>1382</v>
      </c>
      <c r="D1119" s="1" t="s">
        <v>787</v>
      </c>
      <c r="E1119" s="1" t="s">
        <v>1397</v>
      </c>
    </row>
    <row r="1120" customFormat="false" ht="15" hidden="false" customHeight="true" outlineLevel="0" collapsed="false">
      <c r="A1120" s="1" t="n">
        <v>1119</v>
      </c>
      <c r="B1120" s="1" t="s">
        <v>1050</v>
      </c>
      <c r="C1120" s="1" t="s">
        <v>372</v>
      </c>
      <c r="D1120" s="1" t="s">
        <v>73</v>
      </c>
      <c r="E1120" s="1" t="s">
        <v>1095</v>
      </c>
    </row>
    <row r="1121" customFormat="false" ht="15" hidden="false" customHeight="true" outlineLevel="0" collapsed="false">
      <c r="A1121" s="1" t="n">
        <v>1120</v>
      </c>
      <c r="B1121" s="1" t="s">
        <v>1645</v>
      </c>
      <c r="C1121" s="1" t="s">
        <v>1396</v>
      </c>
      <c r="D1121" s="1" t="s">
        <v>378</v>
      </c>
      <c r="E1121" s="1" t="s">
        <v>44</v>
      </c>
    </row>
    <row r="1122" customFormat="false" ht="15" hidden="false" customHeight="true" outlineLevel="0" collapsed="false">
      <c r="A1122" s="1" t="n">
        <v>1121</v>
      </c>
      <c r="B1122" s="1" t="s">
        <v>1153</v>
      </c>
      <c r="C1122" s="1" t="s">
        <v>848</v>
      </c>
      <c r="D1122" s="1" t="s">
        <v>1272</v>
      </c>
      <c r="E1122" s="1" t="s">
        <v>1646</v>
      </c>
    </row>
    <row r="1123" customFormat="false" ht="15" hidden="false" customHeight="true" outlineLevel="0" collapsed="false">
      <c r="A1123" s="1" t="n">
        <v>1122</v>
      </c>
      <c r="B1123" s="1" t="s">
        <v>281</v>
      </c>
      <c r="C1123" s="1" t="s">
        <v>144</v>
      </c>
      <c r="D1123" s="1" t="s">
        <v>23</v>
      </c>
      <c r="E1123" s="1" t="s">
        <v>781</v>
      </c>
    </row>
    <row r="1124" customFormat="false" ht="15" hidden="false" customHeight="true" outlineLevel="0" collapsed="false">
      <c r="A1124" s="1" t="n">
        <v>1123</v>
      </c>
      <c r="B1124" s="1" t="s">
        <v>617</v>
      </c>
      <c r="C1124" s="1" t="s">
        <v>57</v>
      </c>
      <c r="D1124" s="1" t="s">
        <v>213</v>
      </c>
      <c r="E1124" s="1" t="s">
        <v>1026</v>
      </c>
    </row>
    <row r="1125" customFormat="false" ht="15" hidden="false" customHeight="true" outlineLevel="0" collapsed="false">
      <c r="A1125" s="1" t="n">
        <v>1124</v>
      </c>
      <c r="B1125" s="1" t="s">
        <v>41</v>
      </c>
      <c r="C1125" s="1" t="s">
        <v>1564</v>
      </c>
      <c r="D1125" s="1" t="s">
        <v>82</v>
      </c>
      <c r="E1125" s="1" t="s">
        <v>1198</v>
      </c>
    </row>
    <row r="1126" customFormat="false" ht="15" hidden="false" customHeight="true" outlineLevel="0" collapsed="false">
      <c r="A1126" s="1" t="n">
        <v>1125</v>
      </c>
      <c r="B1126" s="1" t="s">
        <v>172</v>
      </c>
      <c r="C1126" s="1" t="s">
        <v>670</v>
      </c>
      <c r="D1126" s="1" t="s">
        <v>539</v>
      </c>
      <c r="E1126" s="1" t="s">
        <v>1551</v>
      </c>
    </row>
    <row r="1127" customFormat="false" ht="15" hidden="false" customHeight="true" outlineLevel="0" collapsed="false">
      <c r="A1127" s="1" t="n">
        <v>1126</v>
      </c>
      <c r="B1127" s="1" t="s">
        <v>1473</v>
      </c>
      <c r="C1127" s="1" t="s">
        <v>490</v>
      </c>
      <c r="D1127" s="1" t="s">
        <v>19</v>
      </c>
      <c r="E1127" s="1" t="s">
        <v>1647</v>
      </c>
    </row>
    <row r="1128" customFormat="false" ht="15" hidden="false" customHeight="true" outlineLevel="0" collapsed="false">
      <c r="A1128" s="1" t="n">
        <v>1127</v>
      </c>
      <c r="B1128" s="1" t="s">
        <v>873</v>
      </c>
      <c r="C1128" s="1" t="s">
        <v>1243</v>
      </c>
      <c r="D1128" s="1" t="s">
        <v>316</v>
      </c>
      <c r="E1128" s="1" t="s">
        <v>205</v>
      </c>
    </row>
    <row r="1129" customFormat="false" ht="15" hidden="false" customHeight="true" outlineLevel="0" collapsed="false">
      <c r="A1129" s="1" t="n">
        <v>1128</v>
      </c>
      <c r="B1129" s="1" t="s">
        <v>868</v>
      </c>
      <c r="C1129" s="1" t="s">
        <v>341</v>
      </c>
      <c r="D1129" s="1" t="s">
        <v>578</v>
      </c>
      <c r="E1129" s="1" t="s">
        <v>1228</v>
      </c>
    </row>
    <row r="1130" customFormat="false" ht="15" hidden="false" customHeight="true" outlineLevel="0" collapsed="false">
      <c r="A1130" s="1" t="n">
        <v>1129</v>
      </c>
      <c r="B1130" s="1" t="s">
        <v>766</v>
      </c>
      <c r="C1130" s="1" t="s">
        <v>1606</v>
      </c>
      <c r="D1130" s="1" t="s">
        <v>593</v>
      </c>
      <c r="E1130" s="1" t="s">
        <v>795</v>
      </c>
    </row>
    <row r="1131" customFormat="false" ht="15" hidden="false" customHeight="true" outlineLevel="0" collapsed="false">
      <c r="A1131" s="1" t="n">
        <v>1130</v>
      </c>
      <c r="B1131" s="1" t="s">
        <v>1635</v>
      </c>
      <c r="C1131" s="1" t="s">
        <v>1478</v>
      </c>
      <c r="D1131" s="1" t="s">
        <v>39</v>
      </c>
      <c r="E1131" s="1" t="s">
        <v>44</v>
      </c>
    </row>
    <row r="1132" customFormat="false" ht="15" hidden="false" customHeight="true" outlineLevel="0" collapsed="false">
      <c r="A1132" s="1" t="n">
        <v>1131</v>
      </c>
      <c r="B1132" s="1" t="s">
        <v>1648</v>
      </c>
      <c r="C1132" s="1" t="s">
        <v>129</v>
      </c>
      <c r="D1132" s="1" t="s">
        <v>556</v>
      </c>
      <c r="E1132" s="1" t="s">
        <v>812</v>
      </c>
    </row>
    <row r="1133" customFormat="false" ht="15" hidden="false" customHeight="true" outlineLevel="0" collapsed="false">
      <c r="A1133" s="1" t="n">
        <v>1132</v>
      </c>
      <c r="B1133" s="1" t="s">
        <v>590</v>
      </c>
      <c r="C1133" s="1" t="s">
        <v>1649</v>
      </c>
      <c r="D1133" s="1" t="s">
        <v>1087</v>
      </c>
      <c r="E1133" s="1" t="s">
        <v>1195</v>
      </c>
    </row>
    <row r="1134" customFormat="false" ht="15" hidden="false" customHeight="true" outlineLevel="0" collapsed="false">
      <c r="A1134" s="1" t="n">
        <v>1133</v>
      </c>
      <c r="B1134" s="1" t="s">
        <v>1121</v>
      </c>
      <c r="C1134" s="1" t="s">
        <v>372</v>
      </c>
      <c r="D1134" s="1" t="s">
        <v>536</v>
      </c>
      <c r="E1134" s="1" t="s">
        <v>1650</v>
      </c>
    </row>
    <row r="1135" customFormat="false" ht="15" hidden="false" customHeight="true" outlineLevel="0" collapsed="false">
      <c r="A1135" s="1" t="n">
        <v>1134</v>
      </c>
      <c r="B1135" s="1" t="s">
        <v>496</v>
      </c>
      <c r="C1135" s="1" t="s">
        <v>509</v>
      </c>
      <c r="D1135" s="1" t="s">
        <v>919</v>
      </c>
      <c r="E1135" s="1" t="s">
        <v>633</v>
      </c>
    </row>
    <row r="1136" customFormat="false" ht="15" hidden="false" customHeight="true" outlineLevel="0" collapsed="false">
      <c r="A1136" s="1" t="n">
        <v>1135</v>
      </c>
      <c r="B1136" s="1" t="s">
        <v>492</v>
      </c>
      <c r="C1136" s="1" t="s">
        <v>1651</v>
      </c>
      <c r="D1136" s="1" t="s">
        <v>945</v>
      </c>
      <c r="E1136" s="1" t="s">
        <v>393</v>
      </c>
    </row>
    <row r="1137" customFormat="false" ht="15" hidden="false" customHeight="true" outlineLevel="0" collapsed="false">
      <c r="A1137" s="1" t="n">
        <v>1136</v>
      </c>
      <c r="B1137" s="1" t="s">
        <v>1310</v>
      </c>
      <c r="C1137" s="1" t="s">
        <v>455</v>
      </c>
      <c r="D1137" s="1" t="s">
        <v>342</v>
      </c>
      <c r="E1137" s="1" t="s">
        <v>963</v>
      </c>
    </row>
    <row r="1138" customFormat="false" ht="15" hidden="false" customHeight="true" outlineLevel="0" collapsed="false">
      <c r="A1138" s="1" t="n">
        <v>1137</v>
      </c>
      <c r="B1138" s="1" t="s">
        <v>609</v>
      </c>
      <c r="C1138" s="1" t="s">
        <v>1652</v>
      </c>
      <c r="D1138" s="1" t="s">
        <v>607</v>
      </c>
      <c r="E1138" s="1" t="s">
        <v>917</v>
      </c>
    </row>
    <row r="1139" customFormat="false" ht="15" hidden="false" customHeight="true" outlineLevel="0" collapsed="false">
      <c r="A1139" s="1" t="n">
        <v>1138</v>
      </c>
      <c r="B1139" s="1" t="s">
        <v>736</v>
      </c>
      <c r="C1139" s="1" t="s">
        <v>647</v>
      </c>
      <c r="D1139" s="1" t="s">
        <v>990</v>
      </c>
      <c r="E1139" s="1" t="s">
        <v>1653</v>
      </c>
    </row>
    <row r="1140" customFormat="false" ht="15" hidden="false" customHeight="true" outlineLevel="0" collapsed="false">
      <c r="A1140" s="1" t="n">
        <v>1139</v>
      </c>
      <c r="B1140" s="1" t="s">
        <v>648</v>
      </c>
      <c r="C1140" s="1" t="s">
        <v>216</v>
      </c>
      <c r="D1140" s="1" t="s">
        <v>90</v>
      </c>
      <c r="E1140" s="1" t="s">
        <v>1654</v>
      </c>
    </row>
    <row r="1141" customFormat="false" ht="15" hidden="false" customHeight="true" outlineLevel="0" collapsed="false">
      <c r="A1141" s="1" t="n">
        <v>1140</v>
      </c>
      <c r="B1141" s="1" t="s">
        <v>1220</v>
      </c>
      <c r="C1141" s="1" t="s">
        <v>1655</v>
      </c>
      <c r="D1141" s="1" t="s">
        <v>220</v>
      </c>
      <c r="E1141" s="1" t="s">
        <v>44</v>
      </c>
    </row>
    <row r="1142" customFormat="false" ht="15" hidden="false" customHeight="true" outlineLevel="0" collapsed="false">
      <c r="A1142" s="1" t="n">
        <v>1141</v>
      </c>
      <c r="B1142" s="1" t="s">
        <v>507</v>
      </c>
      <c r="C1142" s="1" t="s">
        <v>34</v>
      </c>
      <c r="D1142" s="1" t="s">
        <v>194</v>
      </c>
      <c r="E1142" s="1" t="s">
        <v>1071</v>
      </c>
    </row>
    <row r="1143" customFormat="false" ht="15" hidden="false" customHeight="true" outlineLevel="0" collapsed="false">
      <c r="A1143" s="1" t="n">
        <v>1142</v>
      </c>
      <c r="B1143" s="1" t="s">
        <v>826</v>
      </c>
      <c r="C1143" s="1" t="s">
        <v>306</v>
      </c>
      <c r="D1143" s="1" t="s">
        <v>155</v>
      </c>
      <c r="E1143" s="1" t="s">
        <v>1273</v>
      </c>
    </row>
    <row r="1144" customFormat="false" ht="15" hidden="false" customHeight="true" outlineLevel="0" collapsed="false">
      <c r="A1144" s="1" t="n">
        <v>1143</v>
      </c>
      <c r="B1144" s="1" t="s">
        <v>1082</v>
      </c>
      <c r="C1144" s="1" t="s">
        <v>1656</v>
      </c>
      <c r="D1144" s="1" t="s">
        <v>349</v>
      </c>
      <c r="E1144" s="1" t="s">
        <v>1259</v>
      </c>
    </row>
    <row r="1145" customFormat="false" ht="15" hidden="false" customHeight="true" outlineLevel="0" collapsed="false">
      <c r="A1145" s="1" t="n">
        <v>1144</v>
      </c>
      <c r="B1145" s="1" t="s">
        <v>251</v>
      </c>
      <c r="C1145" s="1" t="s">
        <v>129</v>
      </c>
      <c r="D1145" s="1" t="s">
        <v>263</v>
      </c>
      <c r="E1145" s="1" t="s">
        <v>1657</v>
      </c>
    </row>
    <row r="1146" customFormat="false" ht="15" hidden="false" customHeight="true" outlineLevel="0" collapsed="false">
      <c r="A1146" s="1" t="n">
        <v>1145</v>
      </c>
      <c r="B1146" s="1" t="s">
        <v>1658</v>
      </c>
      <c r="C1146" s="1" t="s">
        <v>547</v>
      </c>
      <c r="D1146" s="1" t="s">
        <v>339</v>
      </c>
      <c r="E1146" s="1" t="s">
        <v>1659</v>
      </c>
    </row>
    <row r="1147" customFormat="false" ht="15" hidden="false" customHeight="true" outlineLevel="0" collapsed="false">
      <c r="A1147" s="1" t="n">
        <v>1146</v>
      </c>
      <c r="B1147" s="1" t="s">
        <v>988</v>
      </c>
      <c r="C1147" s="1" t="s">
        <v>804</v>
      </c>
      <c r="D1147" s="1" t="s">
        <v>411</v>
      </c>
      <c r="E1147" s="1" t="s">
        <v>814</v>
      </c>
    </row>
    <row r="1148" customFormat="false" ht="15" hidden="false" customHeight="true" outlineLevel="0" collapsed="false">
      <c r="A1148" s="1" t="n">
        <v>1147</v>
      </c>
      <c r="B1148" s="1" t="s">
        <v>976</v>
      </c>
      <c r="C1148" s="1" t="s">
        <v>487</v>
      </c>
      <c r="D1148" s="1" t="s">
        <v>309</v>
      </c>
      <c r="E1148" s="1" t="s">
        <v>1045</v>
      </c>
    </row>
    <row r="1149" customFormat="false" ht="15" hidden="false" customHeight="true" outlineLevel="0" collapsed="false">
      <c r="A1149" s="1" t="n">
        <v>1148</v>
      </c>
      <c r="B1149" s="1" t="s">
        <v>60</v>
      </c>
      <c r="C1149" s="1" t="s">
        <v>1213</v>
      </c>
      <c r="D1149" s="1" t="s">
        <v>94</v>
      </c>
      <c r="E1149" s="1" t="s">
        <v>1198</v>
      </c>
    </row>
    <row r="1150" customFormat="false" ht="15" hidden="false" customHeight="true" outlineLevel="0" collapsed="false">
      <c r="A1150" s="1" t="n">
        <v>1149</v>
      </c>
      <c r="B1150" s="1" t="s">
        <v>454</v>
      </c>
      <c r="C1150" s="1" t="s">
        <v>177</v>
      </c>
      <c r="D1150" s="1" t="s">
        <v>123</v>
      </c>
      <c r="E1150" s="1" t="s">
        <v>420</v>
      </c>
    </row>
    <row r="1151" customFormat="false" ht="15" hidden="false" customHeight="true" outlineLevel="0" collapsed="false">
      <c r="A1151" s="1" t="n">
        <v>1150</v>
      </c>
      <c r="B1151" s="1" t="s">
        <v>1394</v>
      </c>
      <c r="C1151" s="1" t="s">
        <v>701</v>
      </c>
      <c r="D1151" s="1" t="s">
        <v>715</v>
      </c>
      <c r="E1151" s="1" t="s">
        <v>44</v>
      </c>
    </row>
    <row r="1152" customFormat="false" ht="15" hidden="false" customHeight="true" outlineLevel="0" collapsed="false">
      <c r="A1152" s="1" t="n">
        <v>1151</v>
      </c>
      <c r="B1152" s="1" t="s">
        <v>25</v>
      </c>
      <c r="C1152" s="1" t="s">
        <v>1457</v>
      </c>
      <c r="D1152" s="1" t="s">
        <v>864</v>
      </c>
      <c r="E1152" s="1" t="s">
        <v>1660</v>
      </c>
    </row>
    <row r="1153" customFormat="false" ht="15" hidden="false" customHeight="true" outlineLevel="0" collapsed="false">
      <c r="A1153" s="1" t="n">
        <v>1152</v>
      </c>
      <c r="B1153" s="1" t="s">
        <v>1072</v>
      </c>
      <c r="C1153" s="1" t="s">
        <v>144</v>
      </c>
      <c r="D1153" s="1" t="s">
        <v>399</v>
      </c>
      <c r="E1153" s="1" t="s">
        <v>16</v>
      </c>
    </row>
    <row r="1154" customFormat="false" ht="15" hidden="false" customHeight="true" outlineLevel="0" collapsed="false">
      <c r="A1154" s="1" t="n">
        <v>1153</v>
      </c>
      <c r="B1154" s="1" t="s">
        <v>730</v>
      </c>
      <c r="C1154" s="1" t="s">
        <v>1271</v>
      </c>
      <c r="D1154" s="1" t="s">
        <v>864</v>
      </c>
      <c r="E1154" s="1" t="s">
        <v>954</v>
      </c>
    </row>
    <row r="1155" customFormat="false" ht="15" hidden="false" customHeight="true" outlineLevel="0" collapsed="false">
      <c r="A1155" s="1" t="n">
        <v>1154</v>
      </c>
      <c r="B1155" s="1" t="s">
        <v>524</v>
      </c>
      <c r="C1155" s="1" t="s">
        <v>624</v>
      </c>
      <c r="D1155" s="1" t="s">
        <v>909</v>
      </c>
      <c r="E1155" s="1" t="s">
        <v>740</v>
      </c>
    </row>
    <row r="1156" customFormat="false" ht="15" hidden="false" customHeight="true" outlineLevel="0" collapsed="false">
      <c r="A1156" s="1" t="n">
        <v>1155</v>
      </c>
      <c r="B1156" s="1" t="s">
        <v>1590</v>
      </c>
      <c r="C1156" s="1" t="s">
        <v>122</v>
      </c>
      <c r="D1156" s="1" t="s">
        <v>11</v>
      </c>
      <c r="E1156" s="1" t="s">
        <v>1425</v>
      </c>
    </row>
    <row r="1157" customFormat="false" ht="15" hidden="false" customHeight="true" outlineLevel="0" collapsed="false">
      <c r="A1157" s="1" t="n">
        <v>1156</v>
      </c>
      <c r="B1157" s="1" t="s">
        <v>1051</v>
      </c>
      <c r="C1157" s="1" t="s">
        <v>177</v>
      </c>
      <c r="D1157" s="1" t="s">
        <v>1265</v>
      </c>
      <c r="E1157" s="1" t="s">
        <v>1405</v>
      </c>
    </row>
    <row r="1158" customFormat="false" ht="15" hidden="false" customHeight="true" outlineLevel="0" collapsed="false">
      <c r="A1158" s="1" t="n">
        <v>1157</v>
      </c>
      <c r="B1158" s="1" t="s">
        <v>67</v>
      </c>
      <c r="C1158" s="1" t="s">
        <v>1260</v>
      </c>
      <c r="D1158" s="1" t="s">
        <v>882</v>
      </c>
      <c r="E1158" s="1" t="s">
        <v>1661</v>
      </c>
    </row>
    <row r="1159" customFormat="false" ht="15" hidden="false" customHeight="true" outlineLevel="0" collapsed="false">
      <c r="A1159" s="1" t="n">
        <v>1158</v>
      </c>
      <c r="B1159" s="1" t="s">
        <v>320</v>
      </c>
      <c r="C1159" s="1" t="s">
        <v>133</v>
      </c>
      <c r="D1159" s="1" t="s">
        <v>1254</v>
      </c>
      <c r="E1159" s="1" t="s">
        <v>1219</v>
      </c>
    </row>
    <row r="1160" customFormat="false" ht="15" hidden="false" customHeight="true" outlineLevel="0" collapsed="false">
      <c r="A1160" s="1" t="n">
        <v>1159</v>
      </c>
      <c r="B1160" s="1" t="s">
        <v>910</v>
      </c>
      <c r="C1160" s="1" t="s">
        <v>721</v>
      </c>
      <c r="D1160" s="1" t="s">
        <v>163</v>
      </c>
      <c r="E1160" s="1" t="s">
        <v>625</v>
      </c>
    </row>
    <row r="1161" customFormat="false" ht="15" hidden="false" customHeight="true" outlineLevel="0" collapsed="false">
      <c r="A1161" s="1" t="n">
        <v>1160</v>
      </c>
      <c r="B1161" s="1" t="s">
        <v>1595</v>
      </c>
      <c r="C1161" s="1" t="s">
        <v>202</v>
      </c>
      <c r="D1161" s="1" t="s">
        <v>313</v>
      </c>
      <c r="E1161" s="1" t="s">
        <v>44</v>
      </c>
    </row>
    <row r="1162" customFormat="false" ht="15" hidden="false" customHeight="true" outlineLevel="0" collapsed="false">
      <c r="A1162" s="1" t="n">
        <v>1161</v>
      </c>
      <c r="B1162" s="1" t="s">
        <v>1538</v>
      </c>
      <c r="C1162" s="1" t="s">
        <v>312</v>
      </c>
      <c r="D1162" s="1" t="s">
        <v>345</v>
      </c>
      <c r="E1162" s="1" t="s">
        <v>1662</v>
      </c>
    </row>
    <row r="1163" customFormat="false" ht="15" hidden="false" customHeight="true" outlineLevel="0" collapsed="false">
      <c r="A1163" s="1" t="n">
        <v>1162</v>
      </c>
      <c r="B1163" s="1" t="s">
        <v>988</v>
      </c>
      <c r="C1163" s="1" t="s">
        <v>444</v>
      </c>
      <c r="D1163" s="1" t="s">
        <v>163</v>
      </c>
      <c r="E1163" s="1" t="s">
        <v>1663</v>
      </c>
    </row>
    <row r="1164" customFormat="false" ht="15" hidden="false" customHeight="true" outlineLevel="0" collapsed="false">
      <c r="A1164" s="1" t="n">
        <v>1163</v>
      </c>
      <c r="B1164" s="1" t="s">
        <v>1544</v>
      </c>
      <c r="C1164" s="1" t="s">
        <v>248</v>
      </c>
      <c r="D1164" s="1" t="s">
        <v>62</v>
      </c>
      <c r="E1164" s="1" t="s">
        <v>1110</v>
      </c>
    </row>
    <row r="1165" customFormat="false" ht="15" hidden="false" customHeight="true" outlineLevel="0" collapsed="false">
      <c r="A1165" s="1" t="n">
        <v>1164</v>
      </c>
      <c r="B1165" s="1" t="s">
        <v>993</v>
      </c>
      <c r="C1165" s="1" t="s">
        <v>260</v>
      </c>
      <c r="D1165" s="1" t="s">
        <v>737</v>
      </c>
      <c r="E1165" s="1" t="s">
        <v>495</v>
      </c>
    </row>
    <row r="1166" customFormat="false" ht="15" hidden="false" customHeight="true" outlineLevel="0" collapsed="false">
      <c r="A1166" s="1" t="n">
        <v>1165</v>
      </c>
      <c r="B1166" s="1" t="s">
        <v>80</v>
      </c>
      <c r="C1166" s="1" t="s">
        <v>359</v>
      </c>
      <c r="D1166" s="1" t="s">
        <v>552</v>
      </c>
      <c r="E1166" s="1" t="s">
        <v>307</v>
      </c>
    </row>
    <row r="1167" customFormat="false" ht="15" hidden="false" customHeight="true" outlineLevel="0" collapsed="false">
      <c r="A1167" s="1" t="n">
        <v>1166</v>
      </c>
      <c r="B1167" s="1" t="s">
        <v>964</v>
      </c>
      <c r="C1167" s="1" t="s">
        <v>118</v>
      </c>
      <c r="D1167" s="1" t="s">
        <v>715</v>
      </c>
      <c r="E1167" s="1" t="s">
        <v>1664</v>
      </c>
    </row>
    <row r="1168" customFormat="false" ht="15" hidden="false" customHeight="true" outlineLevel="0" collapsed="false">
      <c r="A1168" s="1" t="n">
        <v>1167</v>
      </c>
      <c r="B1168" s="1" t="s">
        <v>370</v>
      </c>
      <c r="C1168" s="1" t="s">
        <v>775</v>
      </c>
      <c r="D1168" s="1" t="s">
        <v>402</v>
      </c>
      <c r="E1168" s="1" t="s">
        <v>1528</v>
      </c>
    </row>
    <row r="1169" customFormat="false" ht="15" hidden="false" customHeight="true" outlineLevel="0" collapsed="false">
      <c r="A1169" s="1" t="n">
        <v>1168</v>
      </c>
      <c r="B1169" s="1" t="s">
        <v>1509</v>
      </c>
      <c r="C1169" s="1" t="s">
        <v>1651</v>
      </c>
      <c r="D1169" s="1" t="s">
        <v>1081</v>
      </c>
      <c r="E1169" s="1" t="s">
        <v>1414</v>
      </c>
    </row>
    <row r="1170" customFormat="false" ht="15" hidden="false" customHeight="true" outlineLevel="0" collapsed="false">
      <c r="A1170" s="1" t="n">
        <v>1169</v>
      </c>
      <c r="B1170" s="1" t="s">
        <v>641</v>
      </c>
      <c r="C1170" s="1" t="s">
        <v>355</v>
      </c>
      <c r="D1170" s="1" t="s">
        <v>159</v>
      </c>
      <c r="E1170" s="1" t="s">
        <v>1665</v>
      </c>
    </row>
    <row r="1171" customFormat="false" ht="15" hidden="false" customHeight="true" outlineLevel="0" collapsed="false">
      <c r="A1171" s="1" t="n">
        <v>1170</v>
      </c>
      <c r="B1171" s="1" t="s">
        <v>1658</v>
      </c>
      <c r="C1171" s="1" t="s">
        <v>1652</v>
      </c>
      <c r="D1171" s="1" t="s">
        <v>828</v>
      </c>
      <c r="E1171" s="1" t="s">
        <v>44</v>
      </c>
    </row>
    <row r="1172" customFormat="false" ht="15" hidden="false" customHeight="true" outlineLevel="0" collapsed="false">
      <c r="A1172" s="1" t="n">
        <v>1171</v>
      </c>
      <c r="B1172" s="1" t="s">
        <v>533</v>
      </c>
      <c r="C1172" s="1" t="s">
        <v>1666</v>
      </c>
      <c r="D1172" s="1" t="s">
        <v>1471</v>
      </c>
      <c r="E1172" s="1" t="s">
        <v>1485</v>
      </c>
    </row>
    <row r="1173" customFormat="false" ht="15" hidden="false" customHeight="true" outlineLevel="0" collapsed="false">
      <c r="A1173" s="1" t="n">
        <v>1172</v>
      </c>
      <c r="B1173" s="1" t="s">
        <v>1123</v>
      </c>
      <c r="C1173" s="1" t="s">
        <v>653</v>
      </c>
      <c r="D1173" s="1" t="s">
        <v>783</v>
      </c>
      <c r="E1173" s="1" t="s">
        <v>1667</v>
      </c>
    </row>
    <row r="1174" customFormat="false" ht="15" hidden="false" customHeight="true" outlineLevel="0" collapsed="false">
      <c r="A1174" s="1" t="n">
        <v>1173</v>
      </c>
      <c r="B1174" s="1" t="s">
        <v>1523</v>
      </c>
      <c r="C1174" s="1" t="s">
        <v>502</v>
      </c>
      <c r="D1174" s="1" t="s">
        <v>342</v>
      </c>
      <c r="E1174" s="1" t="s">
        <v>1414</v>
      </c>
    </row>
    <row r="1175" customFormat="false" ht="15" hidden="false" customHeight="true" outlineLevel="0" collapsed="false">
      <c r="A1175" s="1" t="n">
        <v>1174</v>
      </c>
      <c r="B1175" s="1" t="s">
        <v>499</v>
      </c>
      <c r="C1175" s="1" t="s">
        <v>1581</v>
      </c>
      <c r="D1175" s="1" t="s">
        <v>1165</v>
      </c>
      <c r="E1175" s="1" t="s">
        <v>1668</v>
      </c>
    </row>
    <row r="1176" customFormat="false" ht="15" hidden="false" customHeight="true" outlineLevel="0" collapsed="false">
      <c r="A1176" s="1" t="n">
        <v>1175</v>
      </c>
      <c r="B1176" s="1" t="s">
        <v>103</v>
      </c>
      <c r="C1176" s="1" t="s">
        <v>1587</v>
      </c>
      <c r="D1176" s="1" t="s">
        <v>957</v>
      </c>
      <c r="E1176" s="1" t="s">
        <v>1669</v>
      </c>
    </row>
    <row r="1177" customFormat="false" ht="15" hidden="false" customHeight="true" outlineLevel="0" collapsed="false">
      <c r="A1177" s="1" t="n">
        <v>1176</v>
      </c>
      <c r="B1177" s="1" t="s">
        <v>1126</v>
      </c>
      <c r="C1177" s="1" t="s">
        <v>1213</v>
      </c>
      <c r="D1177" s="1" t="s">
        <v>39</v>
      </c>
      <c r="E1177" s="1" t="s">
        <v>1670</v>
      </c>
    </row>
    <row r="1178" customFormat="false" ht="15" hidden="false" customHeight="true" outlineLevel="0" collapsed="false">
      <c r="A1178" s="1" t="n">
        <v>1177</v>
      </c>
      <c r="B1178" s="1" t="s">
        <v>1018</v>
      </c>
      <c r="C1178" s="1" t="s">
        <v>1416</v>
      </c>
      <c r="D1178" s="1" t="s">
        <v>339</v>
      </c>
      <c r="E1178" s="1" t="s">
        <v>1671</v>
      </c>
    </row>
    <row r="1179" customFormat="false" ht="15" hidden="false" customHeight="true" outlineLevel="0" collapsed="false">
      <c r="A1179" s="1" t="n">
        <v>1178</v>
      </c>
      <c r="B1179" s="1" t="s">
        <v>944</v>
      </c>
      <c r="C1179" s="1" t="s">
        <v>1555</v>
      </c>
      <c r="D1179" s="1" t="s">
        <v>934</v>
      </c>
      <c r="E1179" s="1" t="s">
        <v>1672</v>
      </c>
    </row>
    <row r="1180" customFormat="false" ht="15" hidden="false" customHeight="true" outlineLevel="0" collapsed="false">
      <c r="A1180" s="1" t="n">
        <v>1179</v>
      </c>
      <c r="B1180" s="1" t="s">
        <v>1474</v>
      </c>
      <c r="C1180" s="1" t="s">
        <v>647</v>
      </c>
      <c r="D1180" s="1" t="s">
        <v>178</v>
      </c>
      <c r="E1180" s="1" t="s">
        <v>1432</v>
      </c>
    </row>
    <row r="1181" customFormat="false" ht="15" hidden="false" customHeight="true" outlineLevel="0" collapsed="false">
      <c r="A1181" s="1" t="n">
        <v>1180</v>
      </c>
      <c r="B1181" s="1" t="s">
        <v>1673</v>
      </c>
      <c r="C1181" s="1" t="s">
        <v>108</v>
      </c>
      <c r="D1181" s="1" t="s">
        <v>919</v>
      </c>
      <c r="E1181" s="1" t="s">
        <v>44</v>
      </c>
    </row>
    <row r="1182" customFormat="false" ht="15" hidden="false" customHeight="true" outlineLevel="0" collapsed="false">
      <c r="A1182" s="1" t="n">
        <v>1181</v>
      </c>
      <c r="B1182" s="1" t="s">
        <v>1128</v>
      </c>
      <c r="C1182" s="1" t="s">
        <v>693</v>
      </c>
      <c r="D1182" s="1" t="s">
        <v>527</v>
      </c>
      <c r="E1182" s="1" t="s">
        <v>1331</v>
      </c>
    </row>
    <row r="1183" customFormat="false" ht="15" hidden="false" customHeight="true" outlineLevel="0" collapsed="false">
      <c r="A1183" s="1" t="n">
        <v>1182</v>
      </c>
      <c r="B1183" s="1" t="s">
        <v>1121</v>
      </c>
      <c r="C1183" s="1" t="s">
        <v>260</v>
      </c>
      <c r="D1183" s="1" t="s">
        <v>516</v>
      </c>
      <c r="E1183" s="1" t="s">
        <v>935</v>
      </c>
    </row>
    <row r="1184" customFormat="false" ht="15" hidden="false" customHeight="true" outlineLevel="0" collapsed="false">
      <c r="A1184" s="1" t="n">
        <v>1183</v>
      </c>
      <c r="B1184" s="1" t="s">
        <v>49</v>
      </c>
      <c r="C1184" s="1" t="s">
        <v>1674</v>
      </c>
      <c r="D1184" s="1" t="s">
        <v>474</v>
      </c>
      <c r="E1184" s="1" t="s">
        <v>710</v>
      </c>
    </row>
    <row r="1185" customFormat="false" ht="15" hidden="false" customHeight="true" outlineLevel="0" collapsed="false">
      <c r="A1185" s="1" t="n">
        <v>1184</v>
      </c>
      <c r="B1185" s="1" t="s">
        <v>1515</v>
      </c>
      <c r="C1185" s="1" t="s">
        <v>34</v>
      </c>
      <c r="D1185" s="1" t="s">
        <v>508</v>
      </c>
      <c r="E1185" s="1" t="s">
        <v>336</v>
      </c>
    </row>
    <row r="1186" customFormat="false" ht="15" hidden="false" customHeight="true" outlineLevel="0" collapsed="false">
      <c r="A1186" s="1" t="n">
        <v>1185</v>
      </c>
      <c r="B1186" s="1" t="s">
        <v>599</v>
      </c>
      <c r="C1186" s="1" t="s">
        <v>381</v>
      </c>
      <c r="D1186" s="1" t="s">
        <v>450</v>
      </c>
      <c r="E1186" s="1" t="s">
        <v>1675</v>
      </c>
    </row>
    <row r="1187" customFormat="false" ht="15" hidden="false" customHeight="true" outlineLevel="0" collapsed="false">
      <c r="A1187" s="1" t="n">
        <v>1186</v>
      </c>
      <c r="B1187" s="1" t="s">
        <v>281</v>
      </c>
      <c r="C1187" s="1" t="s">
        <v>122</v>
      </c>
      <c r="D1187" s="1" t="s">
        <v>130</v>
      </c>
      <c r="E1187" s="1" t="s">
        <v>1676</v>
      </c>
    </row>
    <row r="1188" customFormat="false" ht="15" hidden="false" customHeight="true" outlineLevel="0" collapsed="false">
      <c r="A1188" s="1" t="n">
        <v>1187</v>
      </c>
      <c r="B1188" s="1" t="s">
        <v>930</v>
      </c>
      <c r="C1188" s="1" t="s">
        <v>693</v>
      </c>
      <c r="D1188" s="1" t="s">
        <v>419</v>
      </c>
      <c r="E1188" s="1" t="s">
        <v>199</v>
      </c>
    </row>
    <row r="1189" customFormat="false" ht="15" hidden="false" customHeight="true" outlineLevel="0" collapsed="false">
      <c r="A1189" s="1" t="n">
        <v>1188</v>
      </c>
      <c r="B1189" s="1" t="s">
        <v>1677</v>
      </c>
      <c r="C1189" s="1" t="s">
        <v>1179</v>
      </c>
      <c r="D1189" s="1" t="s">
        <v>570</v>
      </c>
      <c r="E1189" s="1" t="s">
        <v>1678</v>
      </c>
    </row>
    <row r="1190" customFormat="false" ht="15" hidden="false" customHeight="true" outlineLevel="0" collapsed="false">
      <c r="A1190" s="1" t="n">
        <v>1189</v>
      </c>
      <c r="B1190" s="1" t="s">
        <v>988</v>
      </c>
      <c r="C1190" s="1" t="s">
        <v>372</v>
      </c>
      <c r="D1190" s="1" t="s">
        <v>342</v>
      </c>
      <c r="E1190" s="1" t="s">
        <v>1414</v>
      </c>
    </row>
    <row r="1191" customFormat="false" ht="15" hidden="false" customHeight="true" outlineLevel="0" collapsed="false">
      <c r="A1191" s="1" t="n">
        <v>1190</v>
      </c>
      <c r="B1191" s="1" t="s">
        <v>1333</v>
      </c>
      <c r="C1191" s="1" t="s">
        <v>1679</v>
      </c>
      <c r="D1191" s="1" t="s">
        <v>27</v>
      </c>
      <c r="E1191" s="1" t="s">
        <v>44</v>
      </c>
    </row>
    <row r="1192" customFormat="false" ht="15" hidden="false" customHeight="true" outlineLevel="0" collapsed="false">
      <c r="A1192" s="1" t="n">
        <v>1191</v>
      </c>
      <c r="B1192" s="1" t="s">
        <v>743</v>
      </c>
      <c r="C1192" s="1" t="s">
        <v>1210</v>
      </c>
      <c r="D1192" s="1" t="s">
        <v>811</v>
      </c>
      <c r="E1192" s="1" t="s">
        <v>1680</v>
      </c>
    </row>
    <row r="1193" customFormat="false" ht="15" hidden="false" customHeight="true" outlineLevel="0" collapsed="false">
      <c r="A1193" s="1" t="n">
        <v>1192</v>
      </c>
      <c r="B1193" s="1" t="s">
        <v>303</v>
      </c>
      <c r="C1193" s="1" t="s">
        <v>112</v>
      </c>
      <c r="D1193" s="1" t="s">
        <v>178</v>
      </c>
      <c r="E1193" s="1" t="s">
        <v>1681</v>
      </c>
    </row>
    <row r="1194" customFormat="false" ht="15" hidden="false" customHeight="true" outlineLevel="0" collapsed="false">
      <c r="A1194" s="1" t="n">
        <v>1193</v>
      </c>
      <c r="B1194" s="1" t="s">
        <v>344</v>
      </c>
      <c r="C1194" s="1" t="s">
        <v>604</v>
      </c>
      <c r="D1194" s="1" t="s">
        <v>167</v>
      </c>
      <c r="E1194" s="1" t="s">
        <v>1431</v>
      </c>
    </row>
    <row r="1195" customFormat="false" ht="15" hidden="false" customHeight="true" outlineLevel="0" collapsed="false">
      <c r="A1195" s="1" t="n">
        <v>1194</v>
      </c>
      <c r="B1195" s="1" t="s">
        <v>1408</v>
      </c>
      <c r="C1195" s="1" t="s">
        <v>10</v>
      </c>
      <c r="D1195" s="1" t="s">
        <v>516</v>
      </c>
      <c r="E1195" s="1" t="s">
        <v>587</v>
      </c>
    </row>
    <row r="1196" customFormat="false" ht="15" hidden="false" customHeight="true" outlineLevel="0" collapsed="false">
      <c r="A1196" s="1" t="n">
        <v>1195</v>
      </c>
      <c r="B1196" s="1" t="s">
        <v>650</v>
      </c>
      <c r="C1196" s="1" t="s">
        <v>1466</v>
      </c>
      <c r="D1196" s="1" t="s">
        <v>349</v>
      </c>
      <c r="E1196" s="1" t="s">
        <v>1682</v>
      </c>
    </row>
    <row r="1197" customFormat="false" ht="15" hidden="false" customHeight="true" outlineLevel="0" collapsed="false">
      <c r="A1197" s="1" t="n">
        <v>1196</v>
      </c>
      <c r="B1197" s="1" t="s">
        <v>628</v>
      </c>
      <c r="C1197" s="1" t="s">
        <v>1649</v>
      </c>
      <c r="D1197" s="1" t="s">
        <v>453</v>
      </c>
      <c r="E1197" s="1" t="s">
        <v>1399</v>
      </c>
    </row>
    <row r="1198" customFormat="false" ht="15" hidden="false" customHeight="true" outlineLevel="0" collapsed="false">
      <c r="A1198" s="1" t="n">
        <v>1197</v>
      </c>
      <c r="B1198" s="1" t="s">
        <v>143</v>
      </c>
      <c r="C1198" s="1" t="s">
        <v>389</v>
      </c>
      <c r="D1198" s="1" t="s">
        <v>275</v>
      </c>
      <c r="E1198" s="1" t="s">
        <v>781</v>
      </c>
    </row>
    <row r="1199" customFormat="false" ht="15" hidden="false" customHeight="true" outlineLevel="0" collapsed="false">
      <c r="A1199" s="1" t="n">
        <v>1198</v>
      </c>
      <c r="B1199" s="1" t="s">
        <v>284</v>
      </c>
      <c r="C1199" s="1" t="s">
        <v>647</v>
      </c>
      <c r="D1199" s="1" t="s">
        <v>869</v>
      </c>
      <c r="E1199" s="1" t="s">
        <v>582</v>
      </c>
    </row>
    <row r="1200" customFormat="false" ht="15" hidden="false" customHeight="true" outlineLevel="0" collapsed="false">
      <c r="A1200" s="1" t="n">
        <v>1199</v>
      </c>
      <c r="B1200" s="1" t="s">
        <v>1135</v>
      </c>
      <c r="C1200" s="1" t="s">
        <v>579</v>
      </c>
      <c r="D1200" s="1" t="s">
        <v>289</v>
      </c>
      <c r="E1200" s="1" t="s">
        <v>239</v>
      </c>
    </row>
    <row r="1201" customFormat="false" ht="15" hidden="false" customHeight="true" outlineLevel="0" collapsed="false">
      <c r="A1201" s="1" t="n">
        <v>1200</v>
      </c>
      <c r="B1201" s="1" t="s">
        <v>1082</v>
      </c>
      <c r="C1201" s="1" t="s">
        <v>68</v>
      </c>
      <c r="D1201" s="1" t="s">
        <v>1106</v>
      </c>
      <c r="E1201" s="1" t="s">
        <v>44</v>
      </c>
    </row>
    <row r="1202" customFormat="false" ht="15" hidden="false" customHeight="true" outlineLevel="0" collapsed="false">
      <c r="A1202" s="1" t="n">
        <v>1201</v>
      </c>
      <c r="B1202" s="1" t="s">
        <v>1314</v>
      </c>
      <c r="C1202" s="1" t="s">
        <v>992</v>
      </c>
      <c r="D1202" s="1" t="s">
        <v>267</v>
      </c>
      <c r="E1202" s="1" t="s">
        <v>1683</v>
      </c>
    </row>
    <row r="1203" customFormat="false" ht="15" hidden="false" customHeight="true" outlineLevel="0" collapsed="false">
      <c r="A1203" s="1" t="n">
        <v>1202</v>
      </c>
      <c r="B1203" s="1" t="s">
        <v>1408</v>
      </c>
      <c r="C1203" s="1" t="s">
        <v>177</v>
      </c>
      <c r="D1203" s="1" t="s">
        <v>516</v>
      </c>
      <c r="E1203" s="1" t="s">
        <v>705</v>
      </c>
    </row>
    <row r="1204" customFormat="false" ht="15" hidden="false" customHeight="true" outlineLevel="0" collapsed="false">
      <c r="A1204" s="1" t="n">
        <v>1203</v>
      </c>
      <c r="B1204" s="1" t="s">
        <v>413</v>
      </c>
      <c r="C1204" s="1" t="s">
        <v>624</v>
      </c>
      <c r="D1204" s="1" t="s">
        <v>43</v>
      </c>
      <c r="E1204" s="1" t="s">
        <v>774</v>
      </c>
    </row>
    <row r="1205" customFormat="false" ht="15" hidden="false" customHeight="true" outlineLevel="0" collapsed="false">
      <c r="A1205" s="1" t="n">
        <v>1204</v>
      </c>
      <c r="B1205" s="1" t="s">
        <v>1684</v>
      </c>
      <c r="C1205" s="1" t="s">
        <v>244</v>
      </c>
      <c r="D1205" s="1" t="s">
        <v>119</v>
      </c>
      <c r="E1205" s="1" t="s">
        <v>618</v>
      </c>
    </row>
    <row r="1206" customFormat="false" ht="15" hidden="false" customHeight="true" outlineLevel="0" collapsed="false">
      <c r="A1206" s="1" t="n">
        <v>1205</v>
      </c>
      <c r="B1206" s="1" t="s">
        <v>251</v>
      </c>
      <c r="C1206" s="1" t="s">
        <v>352</v>
      </c>
      <c r="D1206" s="1" t="s">
        <v>170</v>
      </c>
      <c r="E1206" s="1" t="s">
        <v>1685</v>
      </c>
    </row>
    <row r="1207" customFormat="false" ht="15" hidden="false" customHeight="true" outlineLevel="0" collapsed="false">
      <c r="A1207" s="1" t="n">
        <v>1206</v>
      </c>
      <c r="B1207" s="1" t="s">
        <v>121</v>
      </c>
      <c r="C1207" s="1" t="s">
        <v>216</v>
      </c>
      <c r="D1207" s="1" t="s">
        <v>254</v>
      </c>
      <c r="E1207" s="1" t="s">
        <v>246</v>
      </c>
    </row>
    <row r="1208" customFormat="false" ht="15" hidden="false" customHeight="true" outlineLevel="0" collapsed="false">
      <c r="A1208" s="1" t="n">
        <v>1207</v>
      </c>
      <c r="B1208" s="1" t="s">
        <v>1686</v>
      </c>
      <c r="C1208" s="1" t="s">
        <v>962</v>
      </c>
      <c r="D1208" s="1" t="s">
        <v>241</v>
      </c>
      <c r="E1208" s="1" t="s">
        <v>1687</v>
      </c>
    </row>
    <row r="1209" customFormat="false" ht="15" hidden="false" customHeight="true" outlineLevel="0" collapsed="false">
      <c r="A1209" s="1" t="n">
        <v>1208</v>
      </c>
      <c r="B1209" s="1" t="s">
        <v>240</v>
      </c>
      <c r="C1209" s="1" t="s">
        <v>312</v>
      </c>
      <c r="D1209" s="1" t="s">
        <v>1262</v>
      </c>
      <c r="E1209" s="1" t="s">
        <v>1592</v>
      </c>
    </row>
    <row r="1210" customFormat="false" ht="15" hidden="false" customHeight="true" outlineLevel="0" collapsed="false">
      <c r="A1210" s="1" t="n">
        <v>1209</v>
      </c>
      <c r="B1210" s="1" t="s">
        <v>621</v>
      </c>
      <c r="C1210" s="1" t="s">
        <v>1148</v>
      </c>
      <c r="D1210" s="1" t="s">
        <v>947</v>
      </c>
      <c r="E1210" s="1" t="s">
        <v>1528</v>
      </c>
    </row>
    <row r="1211" customFormat="false" ht="15" hidden="false" customHeight="true" outlineLevel="0" collapsed="false">
      <c r="A1211" s="1" t="n">
        <v>1210</v>
      </c>
      <c r="B1211" s="1" t="s">
        <v>1131</v>
      </c>
      <c r="C1211" s="1" t="s">
        <v>129</v>
      </c>
      <c r="D1211" s="1" t="s">
        <v>532</v>
      </c>
      <c r="E1211" s="1" t="s">
        <v>44</v>
      </c>
    </row>
    <row r="1212" customFormat="false" ht="15" hidden="false" customHeight="true" outlineLevel="0" collapsed="false">
      <c r="A1212" s="1" t="n">
        <v>1211</v>
      </c>
      <c r="B1212" s="1" t="s">
        <v>1370</v>
      </c>
      <c r="C1212" s="1" t="s">
        <v>1688</v>
      </c>
      <c r="D1212" s="1" t="s">
        <v>864</v>
      </c>
      <c r="E1212" s="1" t="s">
        <v>1689</v>
      </c>
    </row>
    <row r="1213" customFormat="false" ht="15" hidden="false" customHeight="true" outlineLevel="0" collapsed="false">
      <c r="A1213" s="1" t="n">
        <v>1212</v>
      </c>
      <c r="B1213" s="1" t="s">
        <v>1419</v>
      </c>
      <c r="C1213" s="1" t="s">
        <v>647</v>
      </c>
      <c r="D1213" s="1" t="s">
        <v>536</v>
      </c>
      <c r="E1213" s="1" t="s">
        <v>1690</v>
      </c>
    </row>
    <row r="1214" customFormat="false" ht="15" hidden="false" customHeight="true" outlineLevel="0" collapsed="false">
      <c r="A1214" s="1" t="n">
        <v>1213</v>
      </c>
      <c r="B1214" s="1" t="s">
        <v>806</v>
      </c>
      <c r="C1214" s="1" t="s">
        <v>1027</v>
      </c>
      <c r="D1214" s="1" t="s">
        <v>758</v>
      </c>
      <c r="E1214" s="1" t="s">
        <v>224</v>
      </c>
    </row>
    <row r="1215" customFormat="false" ht="15" hidden="false" customHeight="true" outlineLevel="0" collapsed="false">
      <c r="A1215" s="1" t="n">
        <v>1214</v>
      </c>
      <c r="B1215" s="1" t="s">
        <v>1025</v>
      </c>
      <c r="C1215" s="1" t="s">
        <v>1691</v>
      </c>
      <c r="D1215" s="1" t="s">
        <v>330</v>
      </c>
      <c r="E1215" s="1" t="s">
        <v>517</v>
      </c>
    </row>
    <row r="1216" customFormat="false" ht="15" hidden="false" customHeight="true" outlineLevel="0" collapsed="false">
      <c r="A1216" s="1" t="n">
        <v>1215</v>
      </c>
      <c r="B1216" s="1" t="s">
        <v>1447</v>
      </c>
      <c r="C1216" s="1" t="s">
        <v>562</v>
      </c>
      <c r="D1216" s="1" t="s">
        <v>254</v>
      </c>
      <c r="E1216" s="1" t="s">
        <v>1692</v>
      </c>
    </row>
    <row r="1217" customFormat="false" ht="15" hidden="false" customHeight="true" outlineLevel="0" collapsed="false">
      <c r="A1217" s="1" t="n">
        <v>1216</v>
      </c>
      <c r="B1217" s="1" t="s">
        <v>944</v>
      </c>
      <c r="C1217" s="1" t="s">
        <v>1693</v>
      </c>
      <c r="D1217" s="1" t="s">
        <v>811</v>
      </c>
      <c r="E1217" s="1" t="s">
        <v>1694</v>
      </c>
    </row>
    <row r="1218" customFormat="false" ht="15" hidden="false" customHeight="true" outlineLevel="0" collapsed="false">
      <c r="A1218" s="1" t="n">
        <v>1217</v>
      </c>
      <c r="B1218" s="1" t="s">
        <v>1677</v>
      </c>
      <c r="C1218" s="1" t="s">
        <v>1163</v>
      </c>
      <c r="D1218" s="1" t="s">
        <v>159</v>
      </c>
      <c r="E1218" s="1" t="s">
        <v>290</v>
      </c>
    </row>
    <row r="1219" customFormat="false" ht="15" hidden="false" customHeight="true" outlineLevel="0" collapsed="false">
      <c r="A1219" s="1" t="n">
        <v>1218</v>
      </c>
      <c r="B1219" s="1" t="s">
        <v>1322</v>
      </c>
      <c r="C1219" s="1" t="s">
        <v>693</v>
      </c>
      <c r="D1219" s="1" t="s">
        <v>134</v>
      </c>
      <c r="E1219" s="1" t="s">
        <v>1695</v>
      </c>
    </row>
    <row r="1220" customFormat="false" ht="15" hidden="false" customHeight="true" outlineLevel="0" collapsed="false">
      <c r="A1220" s="1" t="n">
        <v>1219</v>
      </c>
      <c r="B1220" s="1" t="s">
        <v>1108</v>
      </c>
      <c r="C1220" s="1" t="s">
        <v>1216</v>
      </c>
      <c r="D1220" s="1" t="s">
        <v>27</v>
      </c>
      <c r="E1220" s="1" t="s">
        <v>1696</v>
      </c>
    </row>
    <row r="1221" customFormat="false" ht="15" hidden="false" customHeight="true" outlineLevel="0" collapsed="false">
      <c r="A1221" s="1" t="n">
        <v>1220</v>
      </c>
      <c r="B1221" s="1" t="s">
        <v>1686</v>
      </c>
      <c r="C1221" s="1" t="s">
        <v>262</v>
      </c>
      <c r="D1221" s="1" t="s">
        <v>667</v>
      </c>
      <c r="E1221" s="1" t="s">
        <v>44</v>
      </c>
    </row>
    <row r="1222" customFormat="false" ht="15" hidden="false" customHeight="true" outlineLevel="0" collapsed="false">
      <c r="A1222" s="1" t="n">
        <v>1221</v>
      </c>
      <c r="B1222" s="1" t="s">
        <v>1408</v>
      </c>
      <c r="C1222" s="1" t="s">
        <v>126</v>
      </c>
      <c r="D1222" s="1" t="s">
        <v>217</v>
      </c>
      <c r="E1222" s="1" t="s">
        <v>1697</v>
      </c>
    </row>
    <row r="1223" customFormat="false" ht="15" hidden="false" customHeight="true" outlineLevel="0" collapsed="false">
      <c r="A1223" s="1" t="n">
        <v>1222</v>
      </c>
      <c r="B1223" s="1" t="s">
        <v>785</v>
      </c>
      <c r="C1223" s="1" t="s">
        <v>104</v>
      </c>
      <c r="D1223" s="1" t="s">
        <v>86</v>
      </c>
      <c r="E1223" s="1" t="s">
        <v>899</v>
      </c>
    </row>
    <row r="1224" customFormat="false" ht="15" hidden="false" customHeight="true" outlineLevel="0" collapsed="false">
      <c r="A1224" s="1" t="n">
        <v>1223</v>
      </c>
      <c r="B1224" s="1" t="s">
        <v>924</v>
      </c>
      <c r="C1224" s="1" t="s">
        <v>1629</v>
      </c>
      <c r="D1224" s="1" t="s">
        <v>734</v>
      </c>
      <c r="E1224" s="1" t="s">
        <v>1091</v>
      </c>
    </row>
    <row r="1225" customFormat="false" ht="15" hidden="false" customHeight="true" outlineLevel="0" collapsed="false">
      <c r="A1225" s="1" t="n">
        <v>1224</v>
      </c>
      <c r="B1225" s="1" t="s">
        <v>997</v>
      </c>
      <c r="C1225" s="1" t="s">
        <v>606</v>
      </c>
      <c r="D1225" s="1" t="s">
        <v>1249</v>
      </c>
      <c r="E1225" s="1" t="s">
        <v>1698</v>
      </c>
    </row>
    <row r="1226" customFormat="false" ht="15" hidden="false" customHeight="true" outlineLevel="0" collapsed="false">
      <c r="A1226" s="1" t="n">
        <v>1225</v>
      </c>
      <c r="B1226" s="1" t="s">
        <v>1699</v>
      </c>
      <c r="C1226" s="1" t="s">
        <v>843</v>
      </c>
      <c r="D1226" s="1" t="s">
        <v>681</v>
      </c>
      <c r="E1226" s="1" t="s">
        <v>1186</v>
      </c>
    </row>
    <row r="1227" customFormat="false" ht="15" hidden="false" customHeight="true" outlineLevel="0" collapsed="false">
      <c r="A1227" s="1" t="n">
        <v>1226</v>
      </c>
      <c r="B1227" s="1" t="s">
        <v>5</v>
      </c>
      <c r="C1227" s="1" t="s">
        <v>1700</v>
      </c>
      <c r="D1227" s="1" t="s">
        <v>235</v>
      </c>
      <c r="E1227" s="1" t="s">
        <v>48</v>
      </c>
    </row>
    <row r="1228" customFormat="false" ht="15" hidden="false" customHeight="true" outlineLevel="0" collapsed="false">
      <c r="A1228" s="1" t="n">
        <v>1227</v>
      </c>
      <c r="B1228" s="1" t="s">
        <v>813</v>
      </c>
      <c r="C1228" s="1" t="s">
        <v>721</v>
      </c>
      <c r="D1228" s="1" t="s">
        <v>983</v>
      </c>
      <c r="E1228" s="1" t="s">
        <v>784</v>
      </c>
    </row>
    <row r="1229" customFormat="false" ht="15" hidden="false" customHeight="true" outlineLevel="0" collapsed="false">
      <c r="A1229" s="1" t="n">
        <v>1228</v>
      </c>
      <c r="B1229" s="1" t="s">
        <v>1227</v>
      </c>
      <c r="C1229" s="1" t="s">
        <v>1188</v>
      </c>
      <c r="D1229" s="1" t="s">
        <v>269</v>
      </c>
      <c r="E1229" s="1" t="s">
        <v>517</v>
      </c>
    </row>
    <row r="1230" customFormat="false" ht="15" hidden="false" customHeight="true" outlineLevel="0" collapsed="false">
      <c r="A1230" s="1" t="n">
        <v>1229</v>
      </c>
      <c r="B1230" s="1" t="s">
        <v>1580</v>
      </c>
      <c r="C1230" s="1" t="s">
        <v>469</v>
      </c>
      <c r="D1230" s="1" t="s">
        <v>734</v>
      </c>
      <c r="E1230" s="1" t="s">
        <v>1701</v>
      </c>
    </row>
    <row r="1231" customFormat="false" ht="15" hidden="false" customHeight="true" outlineLevel="0" collapsed="false">
      <c r="A1231" s="1" t="n">
        <v>1230</v>
      </c>
      <c r="B1231" s="1" t="s">
        <v>1345</v>
      </c>
      <c r="C1231" s="1" t="s">
        <v>1140</v>
      </c>
      <c r="D1231" s="1" t="s">
        <v>717</v>
      </c>
      <c r="E1231" s="1" t="s">
        <v>44</v>
      </c>
    </row>
    <row r="1232" customFormat="false" ht="15" hidden="false" customHeight="true" outlineLevel="0" collapsed="false">
      <c r="A1232" s="1" t="n">
        <v>1231</v>
      </c>
      <c r="B1232" s="1" t="s">
        <v>406</v>
      </c>
      <c r="C1232" s="1" t="s">
        <v>1702</v>
      </c>
      <c r="D1232" s="1" t="s">
        <v>864</v>
      </c>
      <c r="E1232" s="1" t="s">
        <v>1703</v>
      </c>
    </row>
    <row r="1233" customFormat="false" ht="15" hidden="false" customHeight="true" outlineLevel="0" collapsed="false">
      <c r="A1233" s="1" t="n">
        <v>1232</v>
      </c>
      <c r="B1233" s="1" t="s">
        <v>1093</v>
      </c>
      <c r="C1233" s="1" t="s">
        <v>321</v>
      </c>
      <c r="D1233" s="1" t="s">
        <v>304</v>
      </c>
      <c r="E1233" s="1" t="s">
        <v>24</v>
      </c>
    </row>
    <row r="1234" customFormat="false" ht="15" hidden="false" customHeight="true" outlineLevel="0" collapsed="false">
      <c r="A1234" s="1" t="n">
        <v>1233</v>
      </c>
      <c r="B1234" s="1" t="s">
        <v>1602</v>
      </c>
      <c r="C1234" s="1" t="s">
        <v>108</v>
      </c>
      <c r="D1234" s="1" t="s">
        <v>811</v>
      </c>
      <c r="E1234" s="1" t="s">
        <v>684</v>
      </c>
    </row>
    <row r="1235" customFormat="false" ht="15" hidden="false" customHeight="true" outlineLevel="0" collapsed="false">
      <c r="A1235" s="1" t="n">
        <v>1234</v>
      </c>
      <c r="B1235" s="1" t="s">
        <v>554</v>
      </c>
      <c r="C1235" s="1" t="s">
        <v>352</v>
      </c>
      <c r="D1235" s="1" t="s">
        <v>508</v>
      </c>
      <c r="E1235" s="1" t="s">
        <v>654</v>
      </c>
    </row>
    <row r="1236" customFormat="false" ht="15" hidden="false" customHeight="true" outlineLevel="0" collapsed="false">
      <c r="A1236" s="1" t="n">
        <v>1235</v>
      </c>
      <c r="B1236" s="1" t="s">
        <v>1415</v>
      </c>
      <c r="C1236" s="1" t="s">
        <v>1466</v>
      </c>
      <c r="D1236" s="1" t="s">
        <v>51</v>
      </c>
      <c r="E1236" s="1" t="s">
        <v>688</v>
      </c>
    </row>
    <row r="1237" customFormat="false" ht="15" hidden="false" customHeight="true" outlineLevel="0" collapsed="false">
      <c r="A1237" s="1" t="n">
        <v>1236</v>
      </c>
      <c r="B1237" s="1" t="s">
        <v>1270</v>
      </c>
      <c r="C1237" s="1" t="s">
        <v>1179</v>
      </c>
      <c r="D1237" s="1" t="s">
        <v>844</v>
      </c>
      <c r="E1237" s="1" t="s">
        <v>40</v>
      </c>
    </row>
    <row r="1238" customFormat="false" ht="15" hidden="false" customHeight="true" outlineLevel="0" collapsed="false">
      <c r="A1238" s="1" t="n">
        <v>1237</v>
      </c>
      <c r="B1238" s="1" t="s">
        <v>1455</v>
      </c>
      <c r="C1238" s="1" t="s">
        <v>285</v>
      </c>
      <c r="D1238" s="1" t="s">
        <v>1356</v>
      </c>
      <c r="E1238" s="1" t="s">
        <v>261</v>
      </c>
    </row>
    <row r="1239" customFormat="false" ht="15" hidden="false" customHeight="true" outlineLevel="0" collapsed="false">
      <c r="A1239" s="1" t="n">
        <v>1238</v>
      </c>
      <c r="B1239" s="1" t="s">
        <v>609</v>
      </c>
      <c r="C1239" s="1" t="s">
        <v>104</v>
      </c>
      <c r="D1239" s="1" t="s">
        <v>105</v>
      </c>
      <c r="E1239" s="1" t="s">
        <v>1007</v>
      </c>
    </row>
    <row r="1240" customFormat="false" ht="15" hidden="false" customHeight="true" outlineLevel="0" collapsed="false">
      <c r="A1240" s="1" t="n">
        <v>1239</v>
      </c>
      <c r="B1240" s="1" t="s">
        <v>666</v>
      </c>
      <c r="C1240" s="1" t="s">
        <v>318</v>
      </c>
      <c r="D1240" s="1" t="s">
        <v>399</v>
      </c>
      <c r="E1240" s="1" t="s">
        <v>175</v>
      </c>
    </row>
    <row r="1241" customFormat="false" ht="15" hidden="false" customHeight="true" outlineLevel="0" collapsed="false">
      <c r="A1241" s="1" t="n">
        <v>1240</v>
      </c>
      <c r="B1241" s="1" t="s">
        <v>1704</v>
      </c>
      <c r="C1241" s="1" t="s">
        <v>515</v>
      </c>
      <c r="D1241" s="1" t="s">
        <v>556</v>
      </c>
      <c r="E1241" s="1" t="s">
        <v>44</v>
      </c>
    </row>
    <row r="1242" customFormat="false" ht="15" hidden="false" customHeight="true" outlineLevel="0" collapsed="false">
      <c r="A1242" s="1" t="n">
        <v>1241</v>
      </c>
      <c r="B1242" s="1" t="s">
        <v>271</v>
      </c>
      <c r="C1242" s="1" t="s">
        <v>122</v>
      </c>
      <c r="D1242" s="1" t="s">
        <v>245</v>
      </c>
      <c r="E1242" s="1" t="s">
        <v>1665</v>
      </c>
    </row>
    <row r="1243" customFormat="false" ht="15" hidden="false" customHeight="true" outlineLevel="0" collapsed="false">
      <c r="A1243" s="1" t="n">
        <v>1242</v>
      </c>
      <c r="B1243" s="1" t="s">
        <v>621</v>
      </c>
      <c r="C1243" s="1" t="s">
        <v>686</v>
      </c>
      <c r="D1243" s="1" t="s">
        <v>220</v>
      </c>
      <c r="E1243" s="1" t="s">
        <v>1705</v>
      </c>
    </row>
    <row r="1244" customFormat="false" ht="15" hidden="false" customHeight="true" outlineLevel="0" collapsed="false">
      <c r="A1244" s="1" t="n">
        <v>1243</v>
      </c>
      <c r="B1244" s="1" t="s">
        <v>284</v>
      </c>
      <c r="C1244" s="1" t="s">
        <v>1073</v>
      </c>
      <c r="D1244" s="1" t="s">
        <v>170</v>
      </c>
      <c r="E1244" s="1" t="s">
        <v>1681</v>
      </c>
    </row>
    <row r="1245" customFormat="false" ht="15" hidden="false" customHeight="true" outlineLevel="0" collapsed="false">
      <c r="A1245" s="1" t="n">
        <v>1244</v>
      </c>
      <c r="B1245" s="1" t="s">
        <v>151</v>
      </c>
      <c r="C1245" s="1" t="s">
        <v>1606</v>
      </c>
      <c r="D1245" s="1" t="s">
        <v>47</v>
      </c>
      <c r="E1245" s="1" t="s">
        <v>1706</v>
      </c>
    </row>
    <row r="1246" customFormat="false" ht="15" hidden="false" customHeight="true" outlineLevel="0" collapsed="false">
      <c r="A1246" s="1" t="n">
        <v>1245</v>
      </c>
      <c r="B1246" s="1" t="s">
        <v>626</v>
      </c>
      <c r="C1246" s="1" t="s">
        <v>10</v>
      </c>
      <c r="D1246" s="1" t="s">
        <v>185</v>
      </c>
      <c r="E1246" s="1" t="s">
        <v>1707</v>
      </c>
    </row>
    <row r="1247" customFormat="false" ht="15" hidden="false" customHeight="true" outlineLevel="0" collapsed="false">
      <c r="A1247" s="1" t="n">
        <v>1246</v>
      </c>
      <c r="B1247" s="1" t="s">
        <v>970</v>
      </c>
      <c r="C1247" s="1" t="s">
        <v>1015</v>
      </c>
      <c r="D1247" s="1" t="s">
        <v>1356</v>
      </c>
      <c r="E1247" s="1" t="s">
        <v>1230</v>
      </c>
    </row>
    <row r="1248" customFormat="false" ht="15" hidden="false" customHeight="true" outlineLevel="0" collapsed="false">
      <c r="A1248" s="1" t="n">
        <v>1247</v>
      </c>
      <c r="B1248" s="1" t="s">
        <v>121</v>
      </c>
      <c r="C1248" s="1" t="s">
        <v>89</v>
      </c>
      <c r="D1248" s="1" t="s">
        <v>280</v>
      </c>
      <c r="E1248" s="1" t="s">
        <v>1232</v>
      </c>
    </row>
    <row r="1249" customFormat="false" ht="15" hidden="false" customHeight="true" outlineLevel="0" collapsed="false">
      <c r="A1249" s="1" t="n">
        <v>1248</v>
      </c>
      <c r="B1249" s="1" t="s">
        <v>1708</v>
      </c>
      <c r="C1249" s="1" t="s">
        <v>755</v>
      </c>
      <c r="D1249" s="1" t="s">
        <v>923</v>
      </c>
      <c r="E1249" s="1" t="s">
        <v>1709</v>
      </c>
    </row>
    <row r="1250" customFormat="false" ht="15" hidden="false" customHeight="true" outlineLevel="0" collapsed="false">
      <c r="A1250" s="1" t="n">
        <v>1249</v>
      </c>
      <c r="B1250" s="1" t="s">
        <v>1415</v>
      </c>
      <c r="C1250" s="1" t="s">
        <v>1652</v>
      </c>
      <c r="D1250" s="1" t="s">
        <v>1710</v>
      </c>
      <c r="E1250" s="1" t="s">
        <v>1711</v>
      </c>
    </row>
    <row r="1251" customFormat="false" ht="15" hidden="false" customHeight="true" outlineLevel="0" collapsed="false">
      <c r="A1251" s="1" t="n">
        <v>1250</v>
      </c>
      <c r="B1251" s="1" t="s">
        <v>1474</v>
      </c>
      <c r="C1251" s="1" t="s">
        <v>502</v>
      </c>
      <c r="D1251" s="1" t="s">
        <v>667</v>
      </c>
      <c r="E1251" s="1" t="s">
        <v>44</v>
      </c>
    </row>
    <row r="1252" customFormat="false" ht="15" hidden="false" customHeight="true" outlineLevel="0" collapsed="false">
      <c r="A1252" s="1" t="n">
        <v>1251</v>
      </c>
      <c r="B1252" s="1" t="s">
        <v>1538</v>
      </c>
      <c r="C1252" s="1" t="s">
        <v>144</v>
      </c>
      <c r="D1252" s="1" t="s">
        <v>254</v>
      </c>
      <c r="E1252" s="1" t="s">
        <v>1712</v>
      </c>
    </row>
    <row r="1253" customFormat="false" ht="15" hidden="false" customHeight="true" outlineLevel="0" collapsed="false">
      <c r="A1253" s="1" t="n">
        <v>1252</v>
      </c>
      <c r="B1253" s="1" t="s">
        <v>531</v>
      </c>
      <c r="C1253" s="1" t="s">
        <v>341</v>
      </c>
      <c r="D1253" s="1" t="s">
        <v>783</v>
      </c>
      <c r="E1253" s="1" t="s">
        <v>1661</v>
      </c>
    </row>
    <row r="1254" customFormat="false" ht="15" hidden="false" customHeight="true" outlineLevel="0" collapsed="false">
      <c r="A1254" s="1" t="n">
        <v>1253</v>
      </c>
      <c r="B1254" s="1" t="s">
        <v>452</v>
      </c>
      <c r="C1254" s="1" t="s">
        <v>1713</v>
      </c>
      <c r="D1254" s="1" t="s">
        <v>884</v>
      </c>
      <c r="E1254" s="1" t="s">
        <v>939</v>
      </c>
    </row>
    <row r="1255" customFormat="false" ht="15" hidden="false" customHeight="true" outlineLevel="0" collapsed="false">
      <c r="A1255" s="1" t="n">
        <v>1254</v>
      </c>
      <c r="B1255" s="1" t="s">
        <v>512</v>
      </c>
      <c r="C1255" s="1" t="s">
        <v>166</v>
      </c>
      <c r="D1255" s="1" t="s">
        <v>482</v>
      </c>
      <c r="E1255" s="1" t="s">
        <v>1297</v>
      </c>
    </row>
    <row r="1256" customFormat="false" ht="15" hidden="false" customHeight="true" outlineLevel="0" collapsed="false">
      <c r="A1256" s="1" t="n">
        <v>1255</v>
      </c>
      <c r="B1256" s="1" t="s">
        <v>1024</v>
      </c>
      <c r="C1256" s="1" t="s">
        <v>22</v>
      </c>
      <c r="D1256" s="1" t="s">
        <v>722</v>
      </c>
      <c r="E1256" s="1" t="s">
        <v>1502</v>
      </c>
    </row>
    <row r="1257" customFormat="false" ht="15" hidden="false" customHeight="true" outlineLevel="0" collapsed="false">
      <c r="A1257" s="1" t="n">
        <v>1256</v>
      </c>
      <c r="B1257" s="1" t="s">
        <v>479</v>
      </c>
      <c r="C1257" s="1" t="s">
        <v>6</v>
      </c>
      <c r="D1257" s="1" t="s">
        <v>446</v>
      </c>
      <c r="E1257" s="1" t="s">
        <v>824</v>
      </c>
    </row>
    <row r="1258" customFormat="false" ht="15" hidden="false" customHeight="true" outlineLevel="0" collapsed="false">
      <c r="A1258" s="1" t="n">
        <v>1257</v>
      </c>
      <c r="B1258" s="1" t="s">
        <v>566</v>
      </c>
      <c r="C1258" s="1" t="s">
        <v>61</v>
      </c>
      <c r="D1258" s="1" t="s">
        <v>1488</v>
      </c>
      <c r="E1258" s="1" t="s">
        <v>867</v>
      </c>
    </row>
    <row r="1259" customFormat="false" ht="15" hidden="false" customHeight="true" outlineLevel="0" collapsed="false">
      <c r="A1259" s="1" t="n">
        <v>1258</v>
      </c>
      <c r="B1259" s="1" t="s">
        <v>736</v>
      </c>
      <c r="C1259" s="1" t="s">
        <v>144</v>
      </c>
      <c r="D1259" s="1" t="s">
        <v>313</v>
      </c>
      <c r="E1259" s="1" t="s">
        <v>1714</v>
      </c>
    </row>
    <row r="1260" customFormat="false" ht="15" hidden="false" customHeight="true" outlineLevel="0" collapsed="false">
      <c r="A1260" s="1" t="n">
        <v>1259</v>
      </c>
      <c r="B1260" s="1" t="s">
        <v>75</v>
      </c>
      <c r="C1260" s="1" t="s">
        <v>611</v>
      </c>
      <c r="D1260" s="1" t="s">
        <v>737</v>
      </c>
      <c r="E1260" s="1" t="s">
        <v>557</v>
      </c>
    </row>
    <row r="1261" customFormat="false" ht="15" hidden="false" customHeight="true" outlineLevel="0" collapsed="false">
      <c r="A1261" s="1" t="n">
        <v>1260</v>
      </c>
      <c r="B1261" s="1" t="s">
        <v>566</v>
      </c>
      <c r="C1261" s="1" t="s">
        <v>1713</v>
      </c>
      <c r="D1261" s="1" t="s">
        <v>1055</v>
      </c>
      <c r="E1261" s="1" t="s">
        <v>44</v>
      </c>
    </row>
    <row r="1262" customFormat="false" ht="15" hidden="false" customHeight="true" outlineLevel="0" collapsed="false">
      <c r="A1262" s="1" t="n">
        <v>1261</v>
      </c>
      <c r="B1262" s="1" t="s">
        <v>1434</v>
      </c>
      <c r="C1262" s="1" t="s">
        <v>85</v>
      </c>
      <c r="D1262" s="1" t="s">
        <v>433</v>
      </c>
      <c r="E1262" s="1" t="s">
        <v>1715</v>
      </c>
    </row>
    <row r="1263" customFormat="false" ht="15" hidden="false" customHeight="true" outlineLevel="0" collapsed="false">
      <c r="A1263" s="1" t="n">
        <v>1262</v>
      </c>
      <c r="B1263" s="1" t="s">
        <v>942</v>
      </c>
      <c r="C1263" s="1" t="s">
        <v>116</v>
      </c>
      <c r="D1263" s="1" t="s">
        <v>155</v>
      </c>
      <c r="E1263" s="1" t="s">
        <v>74</v>
      </c>
    </row>
    <row r="1264" customFormat="false" ht="15" hidden="false" customHeight="true" outlineLevel="0" collapsed="false">
      <c r="A1264" s="1" t="n">
        <v>1263</v>
      </c>
      <c r="B1264" s="1" t="s">
        <v>1699</v>
      </c>
      <c r="C1264" s="1" t="s">
        <v>1027</v>
      </c>
      <c r="D1264" s="1" t="s">
        <v>746</v>
      </c>
      <c r="E1264" s="1" t="s">
        <v>1716</v>
      </c>
    </row>
    <row r="1265" customFormat="false" ht="15" hidden="false" customHeight="true" outlineLevel="0" collapsed="false">
      <c r="A1265" s="1" t="n">
        <v>1264</v>
      </c>
      <c r="B1265" s="1" t="s">
        <v>696</v>
      </c>
      <c r="C1265" s="1" t="s">
        <v>962</v>
      </c>
      <c r="D1265" s="1" t="s">
        <v>869</v>
      </c>
      <c r="E1265" s="1" t="s">
        <v>1717</v>
      </c>
    </row>
    <row r="1266" customFormat="false" ht="15" hidden="false" customHeight="true" outlineLevel="0" collapsed="false">
      <c r="A1266" s="1" t="n">
        <v>1265</v>
      </c>
      <c r="B1266" s="1" t="s">
        <v>337</v>
      </c>
      <c r="C1266" s="1" t="s">
        <v>133</v>
      </c>
      <c r="D1266" s="1" t="s">
        <v>289</v>
      </c>
      <c r="E1266" s="1" t="s">
        <v>1718</v>
      </c>
    </row>
    <row r="1267" customFormat="false" ht="15" hidden="false" customHeight="true" outlineLevel="0" collapsed="false">
      <c r="A1267" s="1" t="n">
        <v>1266</v>
      </c>
      <c r="B1267" s="1" t="s">
        <v>1051</v>
      </c>
      <c r="C1267" s="1" t="s">
        <v>604</v>
      </c>
      <c r="D1267" s="1" t="s">
        <v>536</v>
      </c>
      <c r="E1267" s="1" t="s">
        <v>1719</v>
      </c>
    </row>
    <row r="1268" customFormat="false" ht="15" hidden="false" customHeight="true" outlineLevel="0" collapsed="false">
      <c r="A1268" s="1" t="n">
        <v>1267</v>
      </c>
      <c r="B1268" s="1" t="s">
        <v>64</v>
      </c>
      <c r="C1268" s="1" t="s">
        <v>1225</v>
      </c>
      <c r="D1268" s="1" t="s">
        <v>919</v>
      </c>
      <c r="E1268" s="1" t="s">
        <v>1696</v>
      </c>
    </row>
    <row r="1269" customFormat="false" ht="15" hidden="false" customHeight="true" outlineLevel="0" collapsed="false">
      <c r="A1269" s="1" t="n">
        <v>1268</v>
      </c>
      <c r="B1269" s="1" t="s">
        <v>1523</v>
      </c>
      <c r="C1269" s="1" t="s">
        <v>418</v>
      </c>
      <c r="D1269" s="1" t="s">
        <v>549</v>
      </c>
      <c r="E1269" s="1" t="s">
        <v>1069</v>
      </c>
    </row>
    <row r="1270" customFormat="false" ht="15" hidden="false" customHeight="true" outlineLevel="0" collapsed="false">
      <c r="A1270" s="1" t="n">
        <v>1269</v>
      </c>
      <c r="B1270" s="1" t="s">
        <v>1720</v>
      </c>
      <c r="C1270" s="1" t="s">
        <v>1721</v>
      </c>
      <c r="D1270" s="1" t="s">
        <v>811</v>
      </c>
      <c r="E1270" s="1" t="s">
        <v>1116</v>
      </c>
    </row>
    <row r="1271" customFormat="false" ht="15" hidden="false" customHeight="true" outlineLevel="0" collapsed="false">
      <c r="A1271" s="1" t="n">
        <v>1270</v>
      </c>
      <c r="B1271" s="1" t="s">
        <v>1618</v>
      </c>
      <c r="C1271" s="1" t="s">
        <v>230</v>
      </c>
      <c r="D1271" s="1" t="s">
        <v>728</v>
      </c>
      <c r="E1271" s="1" t="s">
        <v>44</v>
      </c>
    </row>
    <row r="1272" customFormat="false" ht="15" hidden="false" customHeight="true" outlineLevel="0" collapsed="false">
      <c r="A1272" s="1" t="n">
        <v>1271</v>
      </c>
      <c r="B1272" s="1" t="s">
        <v>1353</v>
      </c>
      <c r="C1272" s="1" t="s">
        <v>126</v>
      </c>
      <c r="D1272" s="1" t="s">
        <v>698</v>
      </c>
      <c r="E1272" s="1" t="s">
        <v>1722</v>
      </c>
    </row>
    <row r="1273" customFormat="false" ht="15" hidden="false" customHeight="true" outlineLevel="0" collapsed="false">
      <c r="A1273" s="1" t="n">
        <v>1272</v>
      </c>
      <c r="B1273" s="1" t="s">
        <v>1609</v>
      </c>
      <c r="C1273" s="1" t="s">
        <v>1163</v>
      </c>
      <c r="D1273" s="1" t="s">
        <v>945</v>
      </c>
      <c r="E1273" s="1" t="s">
        <v>1723</v>
      </c>
    </row>
    <row r="1274" customFormat="false" ht="15" hidden="false" customHeight="true" outlineLevel="0" collapsed="false">
      <c r="A1274" s="1" t="n">
        <v>1273</v>
      </c>
      <c r="B1274" s="1" t="s">
        <v>128</v>
      </c>
      <c r="C1274" s="1" t="s">
        <v>166</v>
      </c>
      <c r="D1274" s="1" t="s">
        <v>990</v>
      </c>
      <c r="E1274" s="1" t="s">
        <v>1724</v>
      </c>
    </row>
    <row r="1275" customFormat="false" ht="15" hidden="false" customHeight="true" outlineLevel="0" collapsed="false">
      <c r="A1275" s="1" t="n">
        <v>1274</v>
      </c>
      <c r="B1275" s="1" t="s">
        <v>1725</v>
      </c>
      <c r="C1275" s="1" t="s">
        <v>1427</v>
      </c>
      <c r="D1275" s="1" t="s">
        <v>882</v>
      </c>
      <c r="E1275" s="1" t="s">
        <v>1726</v>
      </c>
    </row>
    <row r="1276" customFormat="false" ht="15" hidden="false" customHeight="true" outlineLevel="0" collapsed="false">
      <c r="A1276" s="1" t="n">
        <v>1275</v>
      </c>
      <c r="B1276" s="1" t="s">
        <v>1182</v>
      </c>
      <c r="C1276" s="1" t="s">
        <v>181</v>
      </c>
      <c r="D1276" s="1" t="s">
        <v>560</v>
      </c>
      <c r="E1276" s="1" t="s">
        <v>1176</v>
      </c>
    </row>
    <row r="1277" customFormat="false" ht="15" hidden="false" customHeight="true" outlineLevel="0" collapsed="false">
      <c r="A1277" s="1" t="n">
        <v>1276</v>
      </c>
      <c r="B1277" s="1" t="s">
        <v>1185</v>
      </c>
      <c r="C1277" s="1" t="s">
        <v>216</v>
      </c>
      <c r="D1277" s="1" t="s">
        <v>217</v>
      </c>
      <c r="E1277" s="1" t="s">
        <v>1727</v>
      </c>
    </row>
    <row r="1278" customFormat="false" ht="15" hidden="false" customHeight="true" outlineLevel="0" collapsed="false">
      <c r="A1278" s="1" t="n">
        <v>1277</v>
      </c>
      <c r="B1278" s="1" t="s">
        <v>165</v>
      </c>
      <c r="C1278" s="1" t="s">
        <v>285</v>
      </c>
      <c r="D1278" s="1" t="s">
        <v>289</v>
      </c>
      <c r="E1278" s="1" t="s">
        <v>1728</v>
      </c>
    </row>
    <row r="1279" customFormat="false" ht="15" hidden="false" customHeight="true" outlineLevel="0" collapsed="false">
      <c r="A1279" s="1" t="n">
        <v>1278</v>
      </c>
      <c r="B1279" s="1" t="s">
        <v>417</v>
      </c>
      <c r="C1279" s="1" t="s">
        <v>410</v>
      </c>
      <c r="D1279" s="1" t="s">
        <v>722</v>
      </c>
      <c r="E1279" s="1" t="s">
        <v>1053</v>
      </c>
    </row>
    <row r="1280" customFormat="false" ht="15" hidden="false" customHeight="true" outlineLevel="0" collapsed="false">
      <c r="A1280" s="1" t="n">
        <v>1279</v>
      </c>
      <c r="B1280" s="1" t="s">
        <v>1729</v>
      </c>
      <c r="C1280" s="1" t="s">
        <v>760</v>
      </c>
      <c r="D1280" s="1" t="s">
        <v>149</v>
      </c>
      <c r="E1280" s="1" t="s">
        <v>1730</v>
      </c>
    </row>
    <row r="1281" customFormat="false" ht="15" hidden="false" customHeight="true" outlineLevel="0" collapsed="false">
      <c r="A1281" s="1" t="n">
        <v>1280</v>
      </c>
      <c r="B1281" s="1" t="s">
        <v>751</v>
      </c>
      <c r="C1281" s="1" t="s">
        <v>348</v>
      </c>
      <c r="D1281" s="1" t="s">
        <v>369</v>
      </c>
      <c r="E1281" s="1" t="s">
        <v>44</v>
      </c>
    </row>
    <row r="1282" customFormat="false" ht="15" hidden="false" customHeight="true" outlineLevel="0" collapsed="false">
      <c r="A1282" s="1" t="n">
        <v>1281</v>
      </c>
      <c r="B1282" s="1" t="s">
        <v>454</v>
      </c>
      <c r="C1282" s="1" t="s">
        <v>166</v>
      </c>
      <c r="D1282" s="1" t="s">
        <v>1254</v>
      </c>
      <c r="E1282" s="1" t="s">
        <v>688</v>
      </c>
    </row>
    <row r="1283" customFormat="false" ht="15" hidden="false" customHeight="true" outlineLevel="0" collapsed="false">
      <c r="A1283" s="1" t="n">
        <v>1282</v>
      </c>
      <c r="B1283" s="1" t="s">
        <v>132</v>
      </c>
      <c r="C1283" s="1" t="s">
        <v>1015</v>
      </c>
      <c r="D1283" s="1" t="s">
        <v>456</v>
      </c>
      <c r="E1283" s="1" t="s">
        <v>114</v>
      </c>
    </row>
    <row r="1284" customFormat="false" ht="15" hidden="false" customHeight="true" outlineLevel="0" collapsed="false">
      <c r="A1284" s="1" t="n">
        <v>1283</v>
      </c>
      <c r="B1284" s="1" t="s">
        <v>361</v>
      </c>
      <c r="C1284" s="1" t="s">
        <v>651</v>
      </c>
      <c r="D1284" s="1" t="s">
        <v>909</v>
      </c>
      <c r="E1284" s="1" t="s">
        <v>1572</v>
      </c>
    </row>
    <row r="1285" customFormat="false" ht="15" hidden="false" customHeight="true" outlineLevel="0" collapsed="false">
      <c r="A1285" s="1" t="n">
        <v>1284</v>
      </c>
      <c r="B1285" s="1" t="s">
        <v>541</v>
      </c>
      <c r="C1285" s="1" t="s">
        <v>455</v>
      </c>
      <c r="D1285" s="1" t="s">
        <v>1254</v>
      </c>
      <c r="E1285" s="1" t="s">
        <v>307</v>
      </c>
    </row>
    <row r="1286" customFormat="false" ht="15" hidden="false" customHeight="true" outlineLevel="0" collapsed="false">
      <c r="A1286" s="1" t="n">
        <v>1285</v>
      </c>
      <c r="B1286" s="1" t="s">
        <v>247</v>
      </c>
      <c r="C1286" s="1" t="s">
        <v>891</v>
      </c>
      <c r="D1286" s="1" t="s">
        <v>1731</v>
      </c>
      <c r="E1286" s="1" t="s">
        <v>1113</v>
      </c>
    </row>
    <row r="1287" customFormat="false" ht="15" hidden="false" customHeight="true" outlineLevel="0" collapsed="false">
      <c r="A1287" s="1" t="n">
        <v>1286</v>
      </c>
      <c r="B1287" s="1" t="s">
        <v>666</v>
      </c>
      <c r="C1287" s="1" t="s">
        <v>375</v>
      </c>
      <c r="D1287" s="1" t="s">
        <v>289</v>
      </c>
      <c r="E1287" s="1" t="s">
        <v>1287</v>
      </c>
    </row>
    <row r="1288" customFormat="false" ht="15" hidden="false" customHeight="true" outlineLevel="0" collapsed="false">
      <c r="A1288" s="1" t="n">
        <v>1287</v>
      </c>
      <c r="B1288" s="1" t="s">
        <v>1330</v>
      </c>
      <c r="C1288" s="1" t="s">
        <v>108</v>
      </c>
      <c r="D1288" s="1" t="s">
        <v>293</v>
      </c>
      <c r="E1288" s="1" t="s">
        <v>1732</v>
      </c>
    </row>
    <row r="1289" customFormat="false" ht="15" hidden="false" customHeight="true" outlineLevel="0" collapsed="false">
      <c r="A1289" s="1" t="n">
        <v>1288</v>
      </c>
      <c r="B1289" s="1" t="s">
        <v>973</v>
      </c>
      <c r="C1289" s="1" t="s">
        <v>1733</v>
      </c>
      <c r="D1289" s="1" t="s">
        <v>811</v>
      </c>
      <c r="E1289" s="1" t="s">
        <v>1189</v>
      </c>
    </row>
    <row r="1290" customFormat="false" ht="15" hidden="false" customHeight="true" outlineLevel="0" collapsed="false">
      <c r="A1290" s="1" t="n">
        <v>1289</v>
      </c>
      <c r="B1290" s="1" t="s">
        <v>211</v>
      </c>
      <c r="C1290" s="1" t="s">
        <v>341</v>
      </c>
      <c r="D1290" s="1" t="s">
        <v>722</v>
      </c>
      <c r="E1290" s="1" t="s">
        <v>756</v>
      </c>
    </row>
    <row r="1291" customFormat="false" ht="15" hidden="false" customHeight="true" outlineLevel="0" collapsed="false">
      <c r="A1291" s="1" t="n">
        <v>1290</v>
      </c>
      <c r="B1291" s="1" t="s">
        <v>75</v>
      </c>
      <c r="C1291" s="1" t="s">
        <v>89</v>
      </c>
      <c r="D1291" s="1" t="s">
        <v>411</v>
      </c>
      <c r="E1291" s="1" t="s">
        <v>44</v>
      </c>
    </row>
    <row r="1292" customFormat="false" ht="15" hidden="false" customHeight="true" outlineLevel="0" collapsed="false">
      <c r="A1292" s="1" t="n">
        <v>1291</v>
      </c>
      <c r="B1292" s="1" t="s">
        <v>1406</v>
      </c>
      <c r="C1292" s="1" t="s">
        <v>262</v>
      </c>
      <c r="D1292" s="1" t="s">
        <v>11</v>
      </c>
      <c r="E1292" s="1" t="s">
        <v>1056</v>
      </c>
    </row>
    <row r="1293" customFormat="false" ht="15" hidden="false" customHeight="true" outlineLevel="0" collapsed="false">
      <c r="A1293" s="1" t="n">
        <v>1292</v>
      </c>
      <c r="B1293" s="1" t="s">
        <v>953</v>
      </c>
      <c r="C1293" s="1" t="s">
        <v>260</v>
      </c>
      <c r="D1293" s="1" t="s">
        <v>556</v>
      </c>
      <c r="E1293" s="1" t="s">
        <v>1212</v>
      </c>
    </row>
    <row r="1294" customFormat="false" ht="15" hidden="false" customHeight="true" outlineLevel="0" collapsed="false">
      <c r="A1294" s="1" t="n">
        <v>1293</v>
      </c>
      <c r="B1294" s="1" t="s">
        <v>153</v>
      </c>
      <c r="C1294" s="1" t="s">
        <v>244</v>
      </c>
      <c r="D1294" s="1" t="s">
        <v>163</v>
      </c>
      <c r="E1294" s="1" t="s">
        <v>385</v>
      </c>
    </row>
    <row r="1295" customFormat="false" ht="15" hidden="false" customHeight="true" outlineLevel="0" collapsed="false">
      <c r="A1295" s="1" t="n">
        <v>1294</v>
      </c>
      <c r="B1295" s="1" t="s">
        <v>1085</v>
      </c>
      <c r="C1295" s="1" t="s">
        <v>1163</v>
      </c>
      <c r="D1295" s="1" t="s">
        <v>39</v>
      </c>
      <c r="E1295" s="1" t="s">
        <v>228</v>
      </c>
    </row>
    <row r="1296" customFormat="false" ht="15" hidden="false" customHeight="true" outlineLevel="0" collapsed="false">
      <c r="A1296" s="1" t="n">
        <v>1295</v>
      </c>
      <c r="B1296" s="1" t="s">
        <v>619</v>
      </c>
      <c r="C1296" s="1" t="s">
        <v>352</v>
      </c>
      <c r="D1296" s="1" t="s">
        <v>419</v>
      </c>
      <c r="E1296" s="1" t="s">
        <v>498</v>
      </c>
    </row>
    <row r="1297" customFormat="false" ht="15" hidden="false" customHeight="true" outlineLevel="0" collapsed="false">
      <c r="A1297" s="1" t="n">
        <v>1296</v>
      </c>
      <c r="B1297" s="1" t="s">
        <v>969</v>
      </c>
      <c r="C1297" s="1" t="s">
        <v>162</v>
      </c>
      <c r="D1297" s="1" t="s">
        <v>263</v>
      </c>
      <c r="E1297" s="1" t="s">
        <v>1734</v>
      </c>
    </row>
    <row r="1298" customFormat="false" ht="15" hidden="false" customHeight="true" outlineLevel="0" collapsed="false">
      <c r="A1298" s="1" t="n">
        <v>1297</v>
      </c>
      <c r="B1298" s="1" t="s">
        <v>631</v>
      </c>
      <c r="C1298" s="1" t="s">
        <v>850</v>
      </c>
      <c r="D1298" s="1" t="s">
        <v>581</v>
      </c>
      <c r="E1298" s="1" t="s">
        <v>1735</v>
      </c>
    </row>
    <row r="1299" customFormat="false" ht="15" hidden="false" customHeight="true" outlineLevel="0" collapsed="false">
      <c r="A1299" s="1" t="n">
        <v>1298</v>
      </c>
      <c r="B1299" s="1" t="s">
        <v>969</v>
      </c>
      <c r="C1299" s="1" t="s">
        <v>410</v>
      </c>
      <c r="D1299" s="1" t="s">
        <v>119</v>
      </c>
      <c r="E1299" s="1" t="s">
        <v>865</v>
      </c>
    </row>
    <row r="1300" customFormat="false" ht="15" hidden="false" customHeight="true" outlineLevel="0" collapsed="false">
      <c r="A1300" s="1" t="n">
        <v>1299</v>
      </c>
      <c r="B1300" s="1" t="s">
        <v>1237</v>
      </c>
      <c r="C1300" s="1" t="s">
        <v>604</v>
      </c>
      <c r="D1300" s="1" t="s">
        <v>23</v>
      </c>
      <c r="E1300" s="1" t="s">
        <v>825</v>
      </c>
    </row>
    <row r="1301" customFormat="false" ht="15" hidden="false" customHeight="true" outlineLevel="0" collapsed="false">
      <c r="A1301" s="1" t="n">
        <v>1300</v>
      </c>
      <c r="B1301" s="1" t="s">
        <v>1590</v>
      </c>
      <c r="C1301" s="1" t="s">
        <v>647</v>
      </c>
      <c r="D1301" s="1" t="s">
        <v>722</v>
      </c>
      <c r="E1301" s="1" t="s">
        <v>44</v>
      </c>
    </row>
    <row r="1302" customFormat="false" ht="15" hidden="false" customHeight="true" outlineLevel="0" collapsed="false">
      <c r="A1302" s="1" t="n">
        <v>1301</v>
      </c>
      <c r="B1302" s="1" t="s">
        <v>1220</v>
      </c>
      <c r="C1302" s="1" t="s">
        <v>827</v>
      </c>
      <c r="D1302" s="1" t="s">
        <v>919</v>
      </c>
      <c r="E1302" s="1" t="s">
        <v>276</v>
      </c>
    </row>
    <row r="1303" customFormat="false" ht="15" hidden="false" customHeight="true" outlineLevel="0" collapsed="false">
      <c r="A1303" s="1" t="n">
        <v>1302</v>
      </c>
      <c r="B1303" s="1" t="s">
        <v>335</v>
      </c>
      <c r="C1303" s="1" t="s">
        <v>368</v>
      </c>
      <c r="D1303" s="1" t="s">
        <v>101</v>
      </c>
      <c r="E1303" s="1" t="s">
        <v>1736</v>
      </c>
    </row>
    <row r="1304" customFormat="false" ht="15" hidden="false" customHeight="true" outlineLevel="0" collapsed="false">
      <c r="A1304" s="1" t="n">
        <v>1303</v>
      </c>
      <c r="B1304" s="1" t="s">
        <v>898</v>
      </c>
      <c r="C1304" s="1" t="s">
        <v>389</v>
      </c>
      <c r="D1304" s="1" t="s">
        <v>536</v>
      </c>
      <c r="E1304" s="1" t="s">
        <v>1166</v>
      </c>
    </row>
    <row r="1305" customFormat="false" ht="15" hidden="false" customHeight="true" outlineLevel="0" collapsed="false">
      <c r="A1305" s="1" t="n">
        <v>1304</v>
      </c>
      <c r="B1305" s="1" t="s">
        <v>1335</v>
      </c>
      <c r="C1305" s="1" t="s">
        <v>133</v>
      </c>
      <c r="D1305" s="1" t="s">
        <v>345</v>
      </c>
      <c r="E1305" s="1" t="s">
        <v>856</v>
      </c>
    </row>
    <row r="1306" customFormat="false" ht="15" hidden="false" customHeight="true" outlineLevel="0" collapsed="false">
      <c r="A1306" s="1" t="n">
        <v>1305</v>
      </c>
      <c r="B1306" s="1" t="s">
        <v>1463</v>
      </c>
      <c r="C1306" s="1" t="s">
        <v>296</v>
      </c>
      <c r="D1306" s="1" t="s">
        <v>408</v>
      </c>
      <c r="E1306" s="1" t="s">
        <v>1670</v>
      </c>
    </row>
    <row r="1307" customFormat="false" ht="15" hidden="false" customHeight="true" outlineLevel="0" collapsed="false">
      <c r="A1307" s="1" t="n">
        <v>1306</v>
      </c>
      <c r="B1307" s="1" t="s">
        <v>75</v>
      </c>
      <c r="C1307" s="1" t="s">
        <v>915</v>
      </c>
      <c r="D1307" s="1" t="s">
        <v>698</v>
      </c>
      <c r="E1307" s="1" t="s">
        <v>1737</v>
      </c>
    </row>
    <row r="1308" customFormat="false" ht="15" hidden="false" customHeight="true" outlineLevel="0" collapsed="false">
      <c r="A1308" s="1" t="n">
        <v>1307</v>
      </c>
      <c r="B1308" s="1" t="s">
        <v>1037</v>
      </c>
      <c r="C1308" s="1" t="s">
        <v>333</v>
      </c>
      <c r="D1308" s="1" t="s">
        <v>549</v>
      </c>
      <c r="E1308" s="1" t="s">
        <v>272</v>
      </c>
    </row>
    <row r="1309" customFormat="false" ht="15" hidden="false" customHeight="true" outlineLevel="0" collapsed="false">
      <c r="A1309" s="1" t="n">
        <v>1308</v>
      </c>
      <c r="B1309" s="1" t="s">
        <v>1738</v>
      </c>
      <c r="C1309" s="1" t="s">
        <v>1046</v>
      </c>
      <c r="D1309" s="1" t="s">
        <v>764</v>
      </c>
      <c r="E1309" s="1" t="s">
        <v>431</v>
      </c>
    </row>
    <row r="1310" customFormat="false" ht="15" hidden="false" customHeight="true" outlineLevel="0" collapsed="false">
      <c r="A1310" s="1" t="n">
        <v>1309</v>
      </c>
      <c r="B1310" s="1" t="s">
        <v>628</v>
      </c>
      <c r="C1310" s="1" t="s">
        <v>65</v>
      </c>
      <c r="D1310" s="1" t="s">
        <v>62</v>
      </c>
      <c r="E1310" s="1" t="s">
        <v>1586</v>
      </c>
    </row>
    <row r="1311" customFormat="false" ht="15" hidden="false" customHeight="true" outlineLevel="0" collapsed="false">
      <c r="A1311" s="1" t="n">
        <v>1310</v>
      </c>
      <c r="B1311" s="1" t="s">
        <v>1455</v>
      </c>
      <c r="C1311" s="1" t="s">
        <v>1140</v>
      </c>
      <c r="D1311" s="1" t="s">
        <v>123</v>
      </c>
      <c r="E1311" s="1" t="s">
        <v>44</v>
      </c>
    </row>
    <row r="1312" customFormat="false" ht="15" hidden="false" customHeight="true" outlineLevel="0" collapsed="false">
      <c r="A1312" s="1" t="n">
        <v>1311</v>
      </c>
      <c r="B1312" s="1" t="s">
        <v>871</v>
      </c>
      <c r="C1312" s="1" t="s">
        <v>1666</v>
      </c>
      <c r="D1312" s="1" t="s">
        <v>934</v>
      </c>
      <c r="E1312" s="1" t="s">
        <v>870</v>
      </c>
    </row>
    <row r="1313" customFormat="false" ht="15" hidden="false" customHeight="true" outlineLevel="0" collapsed="false">
      <c r="A1313" s="1" t="n">
        <v>1312</v>
      </c>
      <c r="B1313" s="1" t="s">
        <v>1739</v>
      </c>
      <c r="C1313" s="1" t="s">
        <v>61</v>
      </c>
      <c r="D1313" s="1" t="s">
        <v>1175</v>
      </c>
      <c r="E1313" s="1" t="s">
        <v>290</v>
      </c>
    </row>
    <row r="1314" customFormat="false" ht="15" hidden="false" customHeight="true" outlineLevel="0" collapsed="false">
      <c r="A1314" s="1" t="n">
        <v>1313</v>
      </c>
      <c r="B1314" s="1" t="s">
        <v>1338</v>
      </c>
      <c r="C1314" s="1" t="s">
        <v>562</v>
      </c>
      <c r="D1314" s="1" t="s">
        <v>90</v>
      </c>
      <c r="E1314" s="1" t="s">
        <v>1740</v>
      </c>
    </row>
    <row r="1315" customFormat="false" ht="15" hidden="false" customHeight="true" outlineLevel="0" collapsed="false">
      <c r="A1315" s="1" t="n">
        <v>1314</v>
      </c>
      <c r="B1315" s="1" t="s">
        <v>417</v>
      </c>
      <c r="C1315" s="1" t="s">
        <v>1136</v>
      </c>
      <c r="D1315" s="1" t="s">
        <v>1411</v>
      </c>
      <c r="E1315" s="1" t="s">
        <v>224</v>
      </c>
    </row>
    <row r="1316" customFormat="false" ht="15" hidden="false" customHeight="true" outlineLevel="0" collapsed="false">
      <c r="A1316" s="1" t="n">
        <v>1315</v>
      </c>
      <c r="B1316" s="1" t="s">
        <v>898</v>
      </c>
      <c r="C1316" s="1" t="s">
        <v>389</v>
      </c>
      <c r="D1316" s="1" t="s">
        <v>223</v>
      </c>
      <c r="E1316" s="1" t="s">
        <v>1741</v>
      </c>
    </row>
    <row r="1317" customFormat="false" ht="15" hidden="false" customHeight="true" outlineLevel="0" collapsed="false">
      <c r="A1317" s="1" t="n">
        <v>1316</v>
      </c>
      <c r="B1317" s="1" t="s">
        <v>1742</v>
      </c>
      <c r="C1317" s="1" t="s">
        <v>375</v>
      </c>
      <c r="D1317" s="1" t="s">
        <v>11</v>
      </c>
      <c r="E1317" s="1" t="s">
        <v>1743</v>
      </c>
    </row>
    <row r="1318" customFormat="false" ht="15" hidden="false" customHeight="true" outlineLevel="0" collapsed="false">
      <c r="A1318" s="1" t="n">
        <v>1317</v>
      </c>
      <c r="B1318" s="1" t="s">
        <v>862</v>
      </c>
      <c r="C1318" s="1" t="s">
        <v>1549</v>
      </c>
      <c r="D1318" s="1" t="s">
        <v>356</v>
      </c>
      <c r="E1318" s="1" t="s">
        <v>135</v>
      </c>
    </row>
    <row r="1319" customFormat="false" ht="15" hidden="false" customHeight="true" outlineLevel="0" collapsed="false">
      <c r="A1319" s="1" t="n">
        <v>1318</v>
      </c>
      <c r="B1319" s="1" t="s">
        <v>1156</v>
      </c>
      <c r="C1319" s="1" t="s">
        <v>34</v>
      </c>
      <c r="D1319" s="1" t="s">
        <v>286</v>
      </c>
      <c r="E1319" s="1" t="s">
        <v>740</v>
      </c>
    </row>
    <row r="1320" customFormat="false" ht="15" hidden="false" customHeight="true" outlineLevel="0" collapsed="false">
      <c r="A1320" s="1" t="n">
        <v>1319</v>
      </c>
      <c r="B1320" s="1" t="s">
        <v>1394</v>
      </c>
      <c r="C1320" s="1" t="s">
        <v>177</v>
      </c>
      <c r="D1320" s="1" t="s">
        <v>313</v>
      </c>
      <c r="E1320" s="1" t="s">
        <v>812</v>
      </c>
    </row>
    <row r="1321" customFormat="false" ht="15" hidden="false" customHeight="true" outlineLevel="0" collapsed="false">
      <c r="A1321" s="1" t="n">
        <v>1320</v>
      </c>
      <c r="B1321" s="1" t="s">
        <v>351</v>
      </c>
      <c r="C1321" s="1" t="s">
        <v>306</v>
      </c>
      <c r="D1321" s="1" t="s">
        <v>395</v>
      </c>
      <c r="E1321" s="1" t="s">
        <v>44</v>
      </c>
    </row>
    <row r="1322" customFormat="false" ht="15" hidden="false" customHeight="true" outlineLevel="0" collapsed="false">
      <c r="A1322" s="1" t="n">
        <v>1321</v>
      </c>
      <c r="B1322" s="1" t="s">
        <v>1028</v>
      </c>
      <c r="C1322" s="1" t="s">
        <v>1581</v>
      </c>
      <c r="D1322" s="1" t="s">
        <v>198</v>
      </c>
      <c r="E1322" s="1" t="s">
        <v>1352</v>
      </c>
    </row>
    <row r="1323" customFormat="false" ht="15" hidden="false" customHeight="true" outlineLevel="0" collapsed="false">
      <c r="A1323" s="1" t="n">
        <v>1322</v>
      </c>
      <c r="B1323" s="1" t="s">
        <v>1744</v>
      </c>
      <c r="C1323" s="1" t="s">
        <v>1745</v>
      </c>
      <c r="D1323" s="1" t="s">
        <v>1272</v>
      </c>
      <c r="E1323" s="1" t="s">
        <v>138</v>
      </c>
    </row>
    <row r="1324" customFormat="false" ht="15" hidden="false" customHeight="true" outlineLevel="0" collapsed="false">
      <c r="A1324" s="1" t="n">
        <v>1323</v>
      </c>
      <c r="B1324" s="1" t="s">
        <v>1201</v>
      </c>
      <c r="C1324" s="1" t="s">
        <v>1098</v>
      </c>
      <c r="D1324" s="1" t="s">
        <v>123</v>
      </c>
      <c r="E1324" s="1" t="s">
        <v>1746</v>
      </c>
    </row>
    <row r="1325" customFormat="false" ht="15" hidden="false" customHeight="true" outlineLevel="0" collapsed="false">
      <c r="A1325" s="1" t="n">
        <v>1324</v>
      </c>
      <c r="B1325" s="1" t="s">
        <v>1126</v>
      </c>
      <c r="C1325" s="1" t="s">
        <v>1035</v>
      </c>
      <c r="D1325" s="1" t="s">
        <v>453</v>
      </c>
      <c r="E1325" s="1" t="s">
        <v>1747</v>
      </c>
    </row>
    <row r="1326" customFormat="false" ht="15" hidden="false" customHeight="true" outlineLevel="0" collapsed="false">
      <c r="A1326" s="1" t="n">
        <v>1325</v>
      </c>
      <c r="B1326" s="1" t="s">
        <v>1708</v>
      </c>
      <c r="C1326" s="1" t="s">
        <v>375</v>
      </c>
      <c r="D1326" s="1" t="s">
        <v>31</v>
      </c>
      <c r="E1326" s="1" t="s">
        <v>620</v>
      </c>
    </row>
    <row r="1327" customFormat="false" ht="15" hidden="false" customHeight="true" outlineLevel="0" collapsed="false">
      <c r="A1327" s="1" t="n">
        <v>1326</v>
      </c>
      <c r="B1327" s="1" t="s">
        <v>1097</v>
      </c>
      <c r="C1327" s="1" t="s">
        <v>1015</v>
      </c>
      <c r="D1327" s="1" t="s">
        <v>527</v>
      </c>
      <c r="E1327" s="1" t="s">
        <v>305</v>
      </c>
    </row>
    <row r="1328" customFormat="false" ht="15" hidden="false" customHeight="true" outlineLevel="0" collapsed="false">
      <c r="A1328" s="1" t="n">
        <v>1327</v>
      </c>
      <c r="B1328" s="1" t="s">
        <v>358</v>
      </c>
      <c r="C1328" s="1" t="s">
        <v>1656</v>
      </c>
      <c r="D1328" s="1" t="s">
        <v>1471</v>
      </c>
      <c r="E1328" s="1" t="s">
        <v>1230</v>
      </c>
    </row>
    <row r="1329" customFormat="false" ht="15" hidden="false" customHeight="true" outlineLevel="0" collapsed="false">
      <c r="A1329" s="1" t="n">
        <v>1328</v>
      </c>
      <c r="B1329" s="1" t="s">
        <v>1447</v>
      </c>
      <c r="C1329" s="1" t="s">
        <v>333</v>
      </c>
      <c r="D1329" s="1" t="s">
        <v>783</v>
      </c>
      <c r="E1329" s="1" t="s">
        <v>657</v>
      </c>
    </row>
    <row r="1330" customFormat="false" ht="15" hidden="false" customHeight="true" outlineLevel="0" collapsed="false">
      <c r="A1330" s="1" t="n">
        <v>1329</v>
      </c>
      <c r="B1330" s="1" t="s">
        <v>782</v>
      </c>
      <c r="C1330" s="1" t="s">
        <v>398</v>
      </c>
      <c r="D1330" s="1" t="s">
        <v>23</v>
      </c>
      <c r="E1330" s="1" t="s">
        <v>1259</v>
      </c>
    </row>
    <row r="1331" customFormat="false" ht="15" hidden="false" customHeight="true" outlineLevel="0" collapsed="false">
      <c r="A1331" s="1" t="n">
        <v>1330</v>
      </c>
      <c r="B1331" s="1" t="s">
        <v>1615</v>
      </c>
      <c r="C1331" s="1" t="s">
        <v>72</v>
      </c>
      <c r="D1331" s="1" t="s">
        <v>90</v>
      </c>
      <c r="E1331" s="1" t="s">
        <v>44</v>
      </c>
    </row>
    <row r="1332" customFormat="false" ht="15" hidden="false" customHeight="true" outlineLevel="0" collapsed="false">
      <c r="A1332" s="1" t="n">
        <v>1331</v>
      </c>
      <c r="B1332" s="1" t="s">
        <v>970</v>
      </c>
      <c r="C1332" s="1" t="s">
        <v>193</v>
      </c>
      <c r="D1332" s="1" t="s">
        <v>286</v>
      </c>
      <c r="E1332" s="1" t="s">
        <v>168</v>
      </c>
    </row>
    <row r="1333" customFormat="false" ht="15" hidden="false" customHeight="true" outlineLevel="0" collapsed="false">
      <c r="A1333" s="1" t="n">
        <v>1332</v>
      </c>
      <c r="B1333" s="1" t="s">
        <v>1579</v>
      </c>
      <c r="C1333" s="1" t="s">
        <v>647</v>
      </c>
      <c r="D1333" s="1" t="s">
        <v>353</v>
      </c>
      <c r="E1333" s="1" t="s">
        <v>1628</v>
      </c>
    </row>
    <row r="1334" customFormat="false" ht="15" hidden="false" customHeight="true" outlineLevel="0" collapsed="false">
      <c r="A1334" s="1" t="n">
        <v>1333</v>
      </c>
      <c r="B1334" s="1" t="s">
        <v>796</v>
      </c>
      <c r="C1334" s="1" t="s">
        <v>1241</v>
      </c>
      <c r="D1334" s="1" t="s">
        <v>79</v>
      </c>
      <c r="E1334" s="1" t="s">
        <v>589</v>
      </c>
    </row>
    <row r="1335" customFormat="false" ht="15" hidden="false" customHeight="true" outlineLevel="0" collapsed="false">
      <c r="A1335" s="1" t="n">
        <v>1334</v>
      </c>
      <c r="B1335" s="1" t="s">
        <v>533</v>
      </c>
      <c r="C1335" s="1" t="s">
        <v>1460</v>
      </c>
      <c r="D1335" s="1" t="s">
        <v>468</v>
      </c>
      <c r="E1335" s="1" t="s">
        <v>1748</v>
      </c>
    </row>
    <row r="1336" customFormat="false" ht="15" hidden="false" customHeight="true" outlineLevel="0" collapsed="false">
      <c r="A1336" s="1" t="n">
        <v>1335</v>
      </c>
      <c r="B1336" s="1" t="s">
        <v>1156</v>
      </c>
      <c r="C1336" s="1" t="s">
        <v>962</v>
      </c>
      <c r="D1336" s="1" t="s">
        <v>345</v>
      </c>
      <c r="E1336" s="1" t="s">
        <v>1749</v>
      </c>
    </row>
    <row r="1337" customFormat="false" ht="15" hidden="false" customHeight="true" outlineLevel="0" collapsed="false">
      <c r="A1337" s="1" t="n">
        <v>1336</v>
      </c>
      <c r="B1337" s="1" t="s">
        <v>486</v>
      </c>
      <c r="C1337" s="1" t="s">
        <v>888</v>
      </c>
      <c r="D1337" s="1" t="s">
        <v>159</v>
      </c>
      <c r="E1337" s="1" t="s">
        <v>1678</v>
      </c>
    </row>
    <row r="1338" customFormat="false" ht="15" hidden="false" customHeight="true" outlineLevel="0" collapsed="false">
      <c r="A1338" s="1" t="n">
        <v>1337</v>
      </c>
      <c r="B1338" s="1" t="s">
        <v>1750</v>
      </c>
      <c r="C1338" s="1" t="s">
        <v>1192</v>
      </c>
      <c r="D1338" s="1" t="s">
        <v>1710</v>
      </c>
      <c r="E1338" s="1" t="s">
        <v>1711</v>
      </c>
    </row>
    <row r="1339" customFormat="false" ht="15" hidden="false" customHeight="true" outlineLevel="0" collapsed="false">
      <c r="A1339" s="1" t="n">
        <v>1338</v>
      </c>
      <c r="B1339" s="1" t="s">
        <v>531</v>
      </c>
      <c r="C1339" s="1" t="s">
        <v>312</v>
      </c>
      <c r="D1339" s="1" t="s">
        <v>282</v>
      </c>
      <c r="E1339" s="1" t="s">
        <v>1639</v>
      </c>
    </row>
    <row r="1340" customFormat="false" ht="15" hidden="false" customHeight="true" outlineLevel="0" collapsed="false">
      <c r="A1340" s="1" t="n">
        <v>1339</v>
      </c>
      <c r="B1340" s="1" t="s">
        <v>1006</v>
      </c>
      <c r="C1340" s="1" t="s">
        <v>1206</v>
      </c>
      <c r="D1340" s="1" t="s">
        <v>510</v>
      </c>
      <c r="E1340" s="1" t="s">
        <v>1751</v>
      </c>
    </row>
    <row r="1341" customFormat="false" ht="15" hidden="false" customHeight="true" outlineLevel="0" collapsed="false">
      <c r="A1341" s="1" t="n">
        <v>1340</v>
      </c>
      <c r="B1341" s="1" t="s">
        <v>617</v>
      </c>
      <c r="C1341" s="1" t="s">
        <v>398</v>
      </c>
      <c r="D1341" s="1" t="s">
        <v>384</v>
      </c>
      <c r="E1341" s="1" t="s">
        <v>44</v>
      </c>
    </row>
    <row r="1342" customFormat="false" ht="15" hidden="false" customHeight="true" outlineLevel="0" collapsed="false">
      <c r="A1342" s="1" t="n">
        <v>1341</v>
      </c>
      <c r="B1342" s="1" t="s">
        <v>1123</v>
      </c>
      <c r="C1342" s="1" t="s">
        <v>34</v>
      </c>
      <c r="D1342" s="1" t="s">
        <v>90</v>
      </c>
      <c r="E1342" s="1" t="s">
        <v>1214</v>
      </c>
    </row>
    <row r="1343" customFormat="false" ht="15" hidden="false" customHeight="true" outlineLevel="0" collapsed="false">
      <c r="A1343" s="1" t="n">
        <v>1342</v>
      </c>
      <c r="B1343" s="1" t="s">
        <v>1117</v>
      </c>
      <c r="C1343" s="1" t="s">
        <v>177</v>
      </c>
      <c r="D1343" s="1" t="s">
        <v>170</v>
      </c>
      <c r="E1343" s="1" t="s">
        <v>1628</v>
      </c>
    </row>
    <row r="1344" customFormat="false" ht="15" hidden="false" customHeight="true" outlineLevel="0" collapsed="false">
      <c r="A1344" s="1" t="n">
        <v>1343</v>
      </c>
      <c r="B1344" s="1" t="s">
        <v>1752</v>
      </c>
      <c r="C1344" s="1" t="s">
        <v>509</v>
      </c>
      <c r="D1344" s="1" t="s">
        <v>1175</v>
      </c>
      <c r="E1344" s="1" t="s">
        <v>290</v>
      </c>
    </row>
    <row r="1345" customFormat="false" ht="15" hidden="false" customHeight="true" outlineLevel="0" collapsed="false">
      <c r="A1345" s="1" t="n">
        <v>1344</v>
      </c>
      <c r="B1345" s="1" t="s">
        <v>111</v>
      </c>
      <c r="C1345" s="1" t="s">
        <v>398</v>
      </c>
      <c r="D1345" s="1" t="s">
        <v>58</v>
      </c>
      <c r="E1345" s="1" t="s">
        <v>276</v>
      </c>
    </row>
    <row r="1346" customFormat="false" ht="15" hidden="false" customHeight="true" outlineLevel="0" collapsed="false">
      <c r="A1346" s="1" t="n">
        <v>1345</v>
      </c>
      <c r="B1346" s="1" t="s">
        <v>1640</v>
      </c>
      <c r="C1346" s="1" t="s">
        <v>1642</v>
      </c>
      <c r="D1346" s="1" t="s">
        <v>982</v>
      </c>
      <c r="E1346" s="1" t="s">
        <v>1753</v>
      </c>
    </row>
    <row r="1347" customFormat="false" ht="15" hidden="false" customHeight="true" outlineLevel="0" collapsed="false">
      <c r="A1347" s="1" t="n">
        <v>1346</v>
      </c>
      <c r="B1347" s="1" t="s">
        <v>993</v>
      </c>
      <c r="C1347" s="1" t="s">
        <v>57</v>
      </c>
      <c r="D1347" s="1" t="s">
        <v>185</v>
      </c>
      <c r="E1347" s="1" t="s">
        <v>1321</v>
      </c>
    </row>
    <row r="1348" customFormat="false" ht="15" hidden="false" customHeight="true" outlineLevel="0" collapsed="false">
      <c r="A1348" s="1" t="n">
        <v>1347</v>
      </c>
      <c r="B1348" s="1" t="s">
        <v>725</v>
      </c>
      <c r="C1348" s="1" t="s">
        <v>1754</v>
      </c>
      <c r="D1348" s="1" t="s">
        <v>446</v>
      </c>
      <c r="E1348" s="1" t="s">
        <v>1023</v>
      </c>
    </row>
    <row r="1349" customFormat="false" ht="15" hidden="false" customHeight="true" outlineLevel="0" collapsed="false">
      <c r="A1349" s="1" t="n">
        <v>1348</v>
      </c>
      <c r="B1349" s="1" t="s">
        <v>1371</v>
      </c>
      <c r="C1349" s="1" t="s">
        <v>1253</v>
      </c>
      <c r="D1349" s="1" t="s">
        <v>170</v>
      </c>
      <c r="E1349" s="1" t="s">
        <v>1438</v>
      </c>
    </row>
    <row r="1350" customFormat="false" ht="15" hidden="false" customHeight="true" outlineLevel="0" collapsed="false">
      <c r="A1350" s="1" t="n">
        <v>1349</v>
      </c>
      <c r="B1350" s="1" t="s">
        <v>610</v>
      </c>
      <c r="C1350" s="1" t="s">
        <v>118</v>
      </c>
      <c r="D1350" s="1" t="s">
        <v>113</v>
      </c>
      <c r="E1350" s="1" t="s">
        <v>44</v>
      </c>
    </row>
    <row r="1351" customFormat="false" ht="15" hidden="false" customHeight="true" outlineLevel="0" collapsed="false">
      <c r="A1351" s="1" t="n">
        <v>1350</v>
      </c>
      <c r="B1351" s="1" t="s">
        <v>689</v>
      </c>
      <c r="C1351" s="1" t="s">
        <v>410</v>
      </c>
      <c r="D1351" s="1" t="s">
        <v>123</v>
      </c>
      <c r="E1351" s="1" t="s">
        <v>44</v>
      </c>
    </row>
    <row r="1352" customFormat="false" ht="15" hidden="false" customHeight="true" outlineLevel="0" collapsed="false">
      <c r="A1352" s="1" t="n">
        <v>1351</v>
      </c>
      <c r="B1352" s="1" t="s">
        <v>757</v>
      </c>
      <c r="C1352" s="1" t="s">
        <v>392</v>
      </c>
      <c r="D1352" s="1" t="s">
        <v>764</v>
      </c>
      <c r="E1352" s="1" t="s">
        <v>791</v>
      </c>
    </row>
    <row r="1353" customFormat="false" ht="15" hidden="false" customHeight="true" outlineLevel="0" collapsed="false">
      <c r="A1353" s="1" t="n">
        <v>1352</v>
      </c>
      <c r="B1353" s="1" t="s">
        <v>92</v>
      </c>
      <c r="C1353" s="1" t="s">
        <v>359</v>
      </c>
      <c r="D1353" s="1" t="s">
        <v>779</v>
      </c>
      <c r="E1353" s="1" t="s">
        <v>911</v>
      </c>
    </row>
    <row r="1354" customFormat="false" ht="15" hidden="false" customHeight="true" outlineLevel="0" collapsed="false">
      <c r="A1354" s="1" t="n">
        <v>1353</v>
      </c>
      <c r="B1354" s="1" t="s">
        <v>770</v>
      </c>
      <c r="C1354" s="1" t="s">
        <v>321</v>
      </c>
      <c r="D1354" s="1" t="s">
        <v>399</v>
      </c>
      <c r="E1354" s="1" t="s">
        <v>937</v>
      </c>
    </row>
    <row r="1355" customFormat="false" ht="15" hidden="false" customHeight="true" outlineLevel="0" collapsed="false">
      <c r="A1355" s="1" t="n">
        <v>1354</v>
      </c>
      <c r="B1355" s="1" t="s">
        <v>913</v>
      </c>
      <c r="C1355" s="1" t="s">
        <v>407</v>
      </c>
      <c r="D1355" s="1" t="s">
        <v>1127</v>
      </c>
      <c r="E1355" s="1" t="s">
        <v>571</v>
      </c>
    </row>
    <row r="1356" customFormat="false" ht="15" hidden="false" customHeight="true" outlineLevel="0" collapsed="false">
      <c r="A1356" s="1" t="n">
        <v>1355</v>
      </c>
      <c r="B1356" s="1" t="s">
        <v>1755</v>
      </c>
      <c r="C1356" s="1" t="s">
        <v>1721</v>
      </c>
      <c r="D1356" s="1" t="s">
        <v>86</v>
      </c>
      <c r="E1356" s="1" t="s">
        <v>1141</v>
      </c>
    </row>
    <row r="1357" customFormat="false" ht="15" hidden="false" customHeight="true" outlineLevel="0" collapsed="false">
      <c r="A1357" s="1" t="n">
        <v>1356</v>
      </c>
      <c r="B1357" s="1" t="s">
        <v>1182</v>
      </c>
      <c r="C1357" s="1" t="s">
        <v>606</v>
      </c>
      <c r="D1357" s="1" t="s">
        <v>339</v>
      </c>
      <c r="E1357" s="1" t="s">
        <v>688</v>
      </c>
    </row>
    <row r="1358" customFormat="false" ht="15" hidden="false" customHeight="true" outlineLevel="0" collapsed="false">
      <c r="A1358" s="1" t="n">
        <v>1357</v>
      </c>
      <c r="B1358" s="1" t="s">
        <v>524</v>
      </c>
      <c r="C1358" s="1" t="s">
        <v>1046</v>
      </c>
      <c r="D1358" s="1" t="s">
        <v>278</v>
      </c>
      <c r="E1358" s="1" t="s">
        <v>1756</v>
      </c>
    </row>
    <row r="1359" customFormat="false" ht="15" hidden="false" customHeight="true" outlineLevel="0" collapsed="false">
      <c r="A1359" s="1" t="n">
        <v>1358</v>
      </c>
      <c r="B1359" s="1" t="s">
        <v>1589</v>
      </c>
      <c r="C1359" s="1" t="s">
        <v>318</v>
      </c>
      <c r="D1359" s="1" t="s">
        <v>880</v>
      </c>
      <c r="E1359" s="1" t="s">
        <v>683</v>
      </c>
    </row>
    <row r="1360" customFormat="false" ht="15" hidden="false" customHeight="true" outlineLevel="0" collapsed="false">
      <c r="A1360" s="1" t="n">
        <v>1359</v>
      </c>
      <c r="B1360" s="1" t="s">
        <v>964</v>
      </c>
      <c r="C1360" s="1" t="s">
        <v>274</v>
      </c>
      <c r="D1360" s="1" t="s">
        <v>113</v>
      </c>
      <c r="E1360" s="1" t="s">
        <v>1348</v>
      </c>
    </row>
    <row r="1361" customFormat="false" ht="15" hidden="false" customHeight="true" outlineLevel="0" collapsed="false">
      <c r="A1361" s="1" t="n">
        <v>1360</v>
      </c>
      <c r="B1361" s="1" t="s">
        <v>1729</v>
      </c>
      <c r="C1361" s="1" t="s">
        <v>1274</v>
      </c>
      <c r="D1361" s="1" t="s">
        <v>1081</v>
      </c>
      <c r="E1361" s="1" t="s">
        <v>44</v>
      </c>
    </row>
    <row r="1362" customFormat="false" ht="15" hidden="false" customHeight="true" outlineLevel="0" collapsed="false">
      <c r="A1362" s="1" t="n">
        <v>1361</v>
      </c>
      <c r="B1362" s="1" t="s">
        <v>602</v>
      </c>
      <c r="C1362" s="1" t="s">
        <v>573</v>
      </c>
      <c r="D1362" s="1" t="s">
        <v>957</v>
      </c>
      <c r="E1362" s="1" t="s">
        <v>1757</v>
      </c>
    </row>
    <row r="1363" customFormat="false" ht="15" hidden="false" customHeight="true" outlineLevel="0" collapsed="false">
      <c r="A1363" s="1" t="n">
        <v>1362</v>
      </c>
      <c r="B1363" s="1" t="s">
        <v>626</v>
      </c>
      <c r="C1363" s="1" t="s">
        <v>333</v>
      </c>
      <c r="D1363" s="1" t="s">
        <v>345</v>
      </c>
      <c r="E1363" s="1" t="s">
        <v>1376</v>
      </c>
    </row>
    <row r="1364" customFormat="false" ht="15" hidden="false" customHeight="true" outlineLevel="0" collapsed="false">
      <c r="A1364" s="1" t="n">
        <v>1363</v>
      </c>
      <c r="B1364" s="1" t="s">
        <v>1330</v>
      </c>
      <c r="C1364" s="1" t="s">
        <v>1758</v>
      </c>
      <c r="D1364" s="1" t="s">
        <v>570</v>
      </c>
      <c r="E1364" s="1" t="s">
        <v>1759</v>
      </c>
    </row>
    <row r="1365" customFormat="false" ht="15" hidden="false" customHeight="true" outlineLevel="0" collapsed="false">
      <c r="A1365" s="1" t="n">
        <v>1364</v>
      </c>
      <c r="B1365" s="1" t="s">
        <v>1070</v>
      </c>
      <c r="C1365" s="1" t="s">
        <v>1243</v>
      </c>
      <c r="D1365" s="1" t="s">
        <v>257</v>
      </c>
      <c r="E1365" s="1" t="s">
        <v>272</v>
      </c>
    </row>
    <row r="1366" customFormat="false" ht="15" hidden="false" customHeight="true" outlineLevel="0" collapsed="false">
      <c r="A1366" s="1" t="n">
        <v>1365</v>
      </c>
      <c r="B1366" s="1" t="s">
        <v>1276</v>
      </c>
      <c r="C1366" s="1" t="s">
        <v>515</v>
      </c>
      <c r="D1366" s="1" t="s">
        <v>900</v>
      </c>
      <c r="E1366" s="1" t="s">
        <v>1760</v>
      </c>
    </row>
    <row r="1367" customFormat="false" ht="15" hidden="false" customHeight="true" outlineLevel="0" collapsed="false">
      <c r="A1367" s="1" t="n">
        <v>1366</v>
      </c>
      <c r="B1367" s="1" t="s">
        <v>1590</v>
      </c>
      <c r="C1367" s="1" t="s">
        <v>915</v>
      </c>
      <c r="D1367" s="1" t="s">
        <v>353</v>
      </c>
      <c r="E1367" s="1" t="s">
        <v>1403</v>
      </c>
    </row>
    <row r="1368" customFormat="false" ht="15" hidden="false" customHeight="true" outlineLevel="0" collapsed="false">
      <c r="A1368" s="1" t="n">
        <v>1367</v>
      </c>
      <c r="B1368" s="1" t="s">
        <v>588</v>
      </c>
      <c r="C1368" s="1" t="s">
        <v>645</v>
      </c>
      <c r="D1368" s="1" t="s">
        <v>1363</v>
      </c>
      <c r="E1368" s="1" t="s">
        <v>1203</v>
      </c>
    </row>
    <row r="1369" customFormat="false" ht="15" hidden="false" customHeight="true" outlineLevel="0" collapsed="false">
      <c r="A1369" s="1" t="n">
        <v>1368</v>
      </c>
      <c r="B1369" s="1" t="s">
        <v>708</v>
      </c>
      <c r="C1369" s="1" t="s">
        <v>565</v>
      </c>
      <c r="D1369" s="1" t="s">
        <v>612</v>
      </c>
      <c r="E1369" s="1" t="s">
        <v>1761</v>
      </c>
    </row>
    <row r="1370" customFormat="false" ht="15" hidden="false" customHeight="true" outlineLevel="0" collapsed="false">
      <c r="A1370" s="1" t="n">
        <v>1369</v>
      </c>
      <c r="B1370" s="1" t="s">
        <v>265</v>
      </c>
      <c r="C1370" s="1" t="s">
        <v>1080</v>
      </c>
      <c r="D1370" s="1" t="s">
        <v>227</v>
      </c>
      <c r="E1370" s="1" t="s">
        <v>1762</v>
      </c>
    </row>
    <row r="1371" customFormat="false" ht="15" hidden="false" customHeight="true" outlineLevel="0" collapsed="false">
      <c r="A1371" s="1" t="n">
        <v>1370</v>
      </c>
      <c r="B1371" s="1" t="s">
        <v>1220</v>
      </c>
      <c r="C1371" s="1" t="s">
        <v>1457</v>
      </c>
      <c r="D1371" s="1" t="s">
        <v>450</v>
      </c>
      <c r="E1371" s="1" t="s">
        <v>44</v>
      </c>
    </row>
    <row r="1372" customFormat="false" ht="15" hidden="false" customHeight="true" outlineLevel="0" collapsed="false">
      <c r="A1372" s="1" t="n">
        <v>1371</v>
      </c>
      <c r="B1372" s="1" t="s">
        <v>700</v>
      </c>
      <c r="C1372" s="1" t="s">
        <v>76</v>
      </c>
      <c r="D1372" s="1" t="s">
        <v>384</v>
      </c>
      <c r="E1372" s="1" t="s">
        <v>1763</v>
      </c>
    </row>
    <row r="1373" customFormat="false" ht="15" hidden="false" customHeight="true" outlineLevel="0" collapsed="false">
      <c r="A1373" s="1" t="n">
        <v>1372</v>
      </c>
      <c r="B1373" s="1" t="s">
        <v>340</v>
      </c>
      <c r="C1373" s="1" t="s">
        <v>212</v>
      </c>
      <c r="D1373" s="1" t="s">
        <v>880</v>
      </c>
      <c r="E1373" s="1" t="s">
        <v>977</v>
      </c>
    </row>
    <row r="1374" customFormat="false" ht="15" hidden="false" customHeight="true" outlineLevel="0" collapsed="false">
      <c r="A1374" s="1" t="n">
        <v>1373</v>
      </c>
      <c r="B1374" s="1" t="s">
        <v>99</v>
      </c>
      <c r="C1374" s="1" t="s">
        <v>600</v>
      </c>
      <c r="D1374" s="1" t="s">
        <v>267</v>
      </c>
      <c r="E1374" s="1" t="s">
        <v>1764</v>
      </c>
    </row>
    <row r="1375" customFormat="false" ht="15" hidden="false" customHeight="true" outlineLevel="0" collapsed="false">
      <c r="A1375" s="1" t="n">
        <v>1374</v>
      </c>
      <c r="B1375" s="1" t="s">
        <v>45</v>
      </c>
      <c r="C1375" s="1" t="s">
        <v>158</v>
      </c>
      <c r="D1375" s="1" t="s">
        <v>787</v>
      </c>
      <c r="E1375" s="1" t="s">
        <v>1578</v>
      </c>
    </row>
    <row r="1376" customFormat="false" ht="15" hidden="false" customHeight="true" outlineLevel="0" collapsed="false">
      <c r="A1376" s="1" t="n">
        <v>1375</v>
      </c>
      <c r="B1376" s="1" t="s">
        <v>472</v>
      </c>
      <c r="C1376" s="1" t="s">
        <v>1233</v>
      </c>
      <c r="D1376" s="1" t="s">
        <v>474</v>
      </c>
      <c r="E1376" s="1" t="s">
        <v>627</v>
      </c>
    </row>
    <row r="1377" customFormat="false" ht="15" hidden="false" customHeight="true" outlineLevel="0" collapsed="false">
      <c r="A1377" s="1" t="n">
        <v>1376</v>
      </c>
      <c r="B1377" s="1" t="s">
        <v>56</v>
      </c>
      <c r="C1377" s="1" t="s">
        <v>177</v>
      </c>
      <c r="D1377" s="1" t="s">
        <v>353</v>
      </c>
      <c r="E1377" s="1" t="s">
        <v>921</v>
      </c>
    </row>
    <row r="1378" customFormat="false" ht="15" hidden="false" customHeight="true" outlineLevel="0" collapsed="false">
      <c r="A1378" s="1" t="n">
        <v>1377</v>
      </c>
      <c r="B1378" s="1" t="s">
        <v>1346</v>
      </c>
      <c r="C1378" s="1" t="s">
        <v>202</v>
      </c>
      <c r="D1378" s="1" t="s">
        <v>123</v>
      </c>
      <c r="E1378" s="1" t="s">
        <v>707</v>
      </c>
    </row>
    <row r="1379" customFormat="false" ht="15" hidden="false" customHeight="true" outlineLevel="0" collapsed="false">
      <c r="A1379" s="1" t="n">
        <v>1378</v>
      </c>
      <c r="B1379" s="1" t="s">
        <v>1517</v>
      </c>
      <c r="C1379" s="1" t="s">
        <v>763</v>
      </c>
      <c r="D1379" s="1" t="s">
        <v>269</v>
      </c>
      <c r="E1379" s="1" t="s">
        <v>1045</v>
      </c>
    </row>
    <row r="1380" customFormat="false" ht="15" hidden="false" customHeight="true" outlineLevel="0" collapsed="false">
      <c r="A1380" s="1" t="n">
        <v>1379</v>
      </c>
      <c r="B1380" s="1" t="s">
        <v>157</v>
      </c>
      <c r="C1380" s="1" t="s">
        <v>237</v>
      </c>
      <c r="D1380" s="1" t="s">
        <v>94</v>
      </c>
      <c r="E1380" s="1" t="s">
        <v>250</v>
      </c>
    </row>
    <row r="1381" customFormat="false" ht="15" hidden="false" customHeight="true" outlineLevel="0" collapsed="false">
      <c r="A1381" s="1" t="n">
        <v>1380</v>
      </c>
      <c r="B1381" s="1" t="s">
        <v>727</v>
      </c>
      <c r="C1381" s="1" t="s">
        <v>645</v>
      </c>
      <c r="D1381" s="1" t="s">
        <v>223</v>
      </c>
      <c r="E1381" s="1" t="s">
        <v>44</v>
      </c>
    </row>
    <row r="1382" customFormat="false" ht="15" hidden="false" customHeight="true" outlineLevel="0" collapsed="false">
      <c r="A1382" s="1" t="n">
        <v>1381</v>
      </c>
      <c r="B1382" s="1" t="s">
        <v>868</v>
      </c>
      <c r="C1382" s="1" t="s">
        <v>22</v>
      </c>
      <c r="D1382" s="1" t="s">
        <v>119</v>
      </c>
      <c r="E1382" s="1" t="s">
        <v>1765</v>
      </c>
    </row>
    <row r="1383" customFormat="false" ht="15" hidden="false" customHeight="true" outlineLevel="0" collapsed="false">
      <c r="A1383" s="1" t="n">
        <v>1382</v>
      </c>
      <c r="B1383" s="1" t="s">
        <v>430</v>
      </c>
      <c r="C1383" s="1" t="s">
        <v>100</v>
      </c>
      <c r="D1383" s="1" t="s">
        <v>1208</v>
      </c>
      <c r="E1383" s="1" t="s">
        <v>400</v>
      </c>
    </row>
    <row r="1384" customFormat="false" ht="15" hidden="false" customHeight="true" outlineLevel="0" collapsed="false">
      <c r="A1384" s="1" t="n">
        <v>1383</v>
      </c>
      <c r="B1384" s="1" t="s">
        <v>1128</v>
      </c>
      <c r="C1384" s="1" t="s">
        <v>202</v>
      </c>
      <c r="D1384" s="1" t="s">
        <v>578</v>
      </c>
      <c r="E1384" s="1" t="s">
        <v>1261</v>
      </c>
    </row>
    <row r="1385" customFormat="false" ht="15" hidden="false" customHeight="true" outlineLevel="0" collapsed="false">
      <c r="A1385" s="1" t="n">
        <v>1384</v>
      </c>
      <c r="B1385" s="1" t="s">
        <v>1088</v>
      </c>
      <c r="C1385" s="1" t="s">
        <v>34</v>
      </c>
      <c r="D1385" s="1" t="s">
        <v>217</v>
      </c>
      <c r="E1385" s="1" t="s">
        <v>1766</v>
      </c>
    </row>
    <row r="1386" customFormat="false" ht="15" hidden="false" customHeight="true" outlineLevel="0" collapsed="false">
      <c r="A1386" s="1" t="n">
        <v>1385</v>
      </c>
      <c r="B1386" s="1" t="s">
        <v>1767</v>
      </c>
      <c r="C1386" s="1" t="s">
        <v>1289</v>
      </c>
      <c r="D1386" s="1" t="s">
        <v>353</v>
      </c>
      <c r="E1386" s="1" t="s">
        <v>1399</v>
      </c>
    </row>
    <row r="1387" customFormat="false" ht="15" hidden="false" customHeight="true" outlineLevel="0" collapsed="false">
      <c r="A1387" s="1" t="n">
        <v>1386</v>
      </c>
      <c r="B1387" s="1" t="s">
        <v>815</v>
      </c>
      <c r="C1387" s="1" t="s">
        <v>389</v>
      </c>
      <c r="D1387" s="1" t="s">
        <v>737</v>
      </c>
      <c r="E1387" s="1" t="s">
        <v>1633</v>
      </c>
    </row>
    <row r="1388" customFormat="false" ht="15" hidden="false" customHeight="true" outlineLevel="0" collapsed="false">
      <c r="A1388" s="1" t="n">
        <v>1387</v>
      </c>
      <c r="B1388" s="1" t="s">
        <v>1768</v>
      </c>
      <c r="C1388" s="1" t="s">
        <v>615</v>
      </c>
      <c r="D1388" s="1" t="s">
        <v>254</v>
      </c>
      <c r="E1388" s="1" t="s">
        <v>1769</v>
      </c>
    </row>
    <row r="1389" customFormat="false" ht="15" hidden="false" customHeight="true" outlineLevel="0" collapsed="false">
      <c r="A1389" s="1" t="n">
        <v>1388</v>
      </c>
      <c r="B1389" s="1" t="s">
        <v>1252</v>
      </c>
      <c r="C1389" s="1" t="s">
        <v>565</v>
      </c>
      <c r="D1389" s="1" t="s">
        <v>530</v>
      </c>
      <c r="E1389" s="1" t="s">
        <v>1665</v>
      </c>
    </row>
    <row r="1390" customFormat="false" ht="15" hidden="false" customHeight="true" outlineLevel="0" collapsed="false">
      <c r="A1390" s="1" t="n">
        <v>1389</v>
      </c>
      <c r="B1390" s="1" t="s">
        <v>1476</v>
      </c>
      <c r="C1390" s="1" t="s">
        <v>562</v>
      </c>
      <c r="D1390" s="1" t="s">
        <v>1356</v>
      </c>
      <c r="E1390" s="1" t="s">
        <v>205</v>
      </c>
    </row>
    <row r="1391" customFormat="false" ht="15" hidden="false" customHeight="true" outlineLevel="0" collapsed="false">
      <c r="A1391" s="1" t="n">
        <v>1390</v>
      </c>
      <c r="B1391" s="1" t="s">
        <v>711</v>
      </c>
      <c r="C1391" s="1" t="s">
        <v>565</v>
      </c>
      <c r="D1391" s="1" t="s">
        <v>280</v>
      </c>
      <c r="E1391" s="1" t="s">
        <v>44</v>
      </c>
    </row>
    <row r="1392" customFormat="false" ht="15" hidden="false" customHeight="true" outlineLevel="0" collapsed="false">
      <c r="A1392" s="1" t="n">
        <v>1391</v>
      </c>
      <c r="B1392" s="1" t="s">
        <v>153</v>
      </c>
      <c r="C1392" s="1" t="s">
        <v>72</v>
      </c>
      <c r="D1392" s="1" t="s">
        <v>880</v>
      </c>
      <c r="E1392" s="1" t="s">
        <v>540</v>
      </c>
    </row>
    <row r="1393" customFormat="false" ht="15" hidden="false" customHeight="true" outlineLevel="0" collapsed="false">
      <c r="A1393" s="1" t="n">
        <v>1392</v>
      </c>
      <c r="B1393" s="1" t="s">
        <v>631</v>
      </c>
      <c r="C1393" s="1" t="s">
        <v>704</v>
      </c>
      <c r="D1393" s="1" t="s">
        <v>607</v>
      </c>
      <c r="E1393" s="1" t="s">
        <v>1770</v>
      </c>
    </row>
    <row r="1394" customFormat="false" ht="15" hidden="false" customHeight="true" outlineLevel="0" collapsed="false">
      <c r="A1394" s="1" t="n">
        <v>1393</v>
      </c>
      <c r="B1394" s="1" t="s">
        <v>332</v>
      </c>
      <c r="C1394" s="1" t="s">
        <v>321</v>
      </c>
      <c r="D1394" s="1" t="s">
        <v>35</v>
      </c>
      <c r="E1394" s="1" t="s">
        <v>1166</v>
      </c>
    </row>
    <row r="1395" customFormat="false" ht="15" hidden="false" customHeight="true" outlineLevel="0" collapsed="false">
      <c r="A1395" s="1" t="n">
        <v>1394</v>
      </c>
      <c r="B1395" s="1" t="s">
        <v>279</v>
      </c>
      <c r="C1395" s="1" t="s">
        <v>112</v>
      </c>
      <c r="D1395" s="1" t="s">
        <v>345</v>
      </c>
      <c r="E1395" s="1" t="s">
        <v>1771</v>
      </c>
    </row>
    <row r="1396" customFormat="false" ht="15" hidden="false" customHeight="true" outlineLevel="0" collapsed="false">
      <c r="A1396" s="1" t="n">
        <v>1395</v>
      </c>
      <c r="B1396" s="1" t="s">
        <v>143</v>
      </c>
      <c r="C1396" s="1" t="s">
        <v>721</v>
      </c>
      <c r="D1396" s="1" t="s">
        <v>334</v>
      </c>
      <c r="E1396" s="1" t="s">
        <v>70</v>
      </c>
    </row>
    <row r="1397" customFormat="false" ht="15" hidden="false" customHeight="true" outlineLevel="0" collapsed="false">
      <c r="A1397" s="1" t="n">
        <v>1396</v>
      </c>
      <c r="B1397" s="1" t="s">
        <v>1014</v>
      </c>
      <c r="C1397" s="1" t="s">
        <v>126</v>
      </c>
      <c r="D1397" s="1" t="s">
        <v>419</v>
      </c>
      <c r="E1397" s="1" t="s">
        <v>106</v>
      </c>
    </row>
    <row r="1398" customFormat="false" ht="15" hidden="false" customHeight="true" outlineLevel="0" collapsed="false">
      <c r="A1398" s="1" t="n">
        <v>1397</v>
      </c>
      <c r="B1398" s="1" t="s">
        <v>323</v>
      </c>
      <c r="C1398" s="1" t="s">
        <v>1163</v>
      </c>
      <c r="D1398" s="1" t="s">
        <v>69</v>
      </c>
      <c r="E1398" s="1" t="s">
        <v>1772</v>
      </c>
    </row>
    <row r="1399" customFormat="false" ht="15" hidden="false" customHeight="true" outlineLevel="0" collapsed="false">
      <c r="A1399" s="1" t="n">
        <v>1398</v>
      </c>
      <c r="B1399" s="1" t="s">
        <v>211</v>
      </c>
      <c r="C1399" s="1" t="s">
        <v>389</v>
      </c>
      <c r="D1399" s="1" t="s">
        <v>698</v>
      </c>
      <c r="E1399" s="1" t="s">
        <v>723</v>
      </c>
    </row>
    <row r="1400" customFormat="false" ht="15" hidden="false" customHeight="true" outlineLevel="0" collapsed="false">
      <c r="A1400" s="1" t="n">
        <v>1399</v>
      </c>
      <c r="B1400" s="1" t="s">
        <v>413</v>
      </c>
      <c r="C1400" s="1" t="s">
        <v>1773</v>
      </c>
      <c r="D1400" s="1" t="s">
        <v>141</v>
      </c>
      <c r="E1400" s="1" t="s">
        <v>1184</v>
      </c>
    </row>
    <row r="1401" customFormat="false" ht="15" hidden="false" customHeight="true" outlineLevel="0" collapsed="false">
      <c r="A1401" s="1" t="n">
        <v>1400</v>
      </c>
      <c r="B1401" s="1" t="s">
        <v>703</v>
      </c>
      <c r="C1401" s="1" t="s">
        <v>1774</v>
      </c>
      <c r="D1401" s="1" t="s">
        <v>1249</v>
      </c>
      <c r="E1401" s="1" t="s">
        <v>44</v>
      </c>
    </row>
    <row r="1402" customFormat="false" ht="15" hidden="false" customHeight="true" outlineLevel="0" collapsed="false">
      <c r="A1402" s="1" t="n">
        <v>1401</v>
      </c>
      <c r="B1402" s="1" t="s">
        <v>1775</v>
      </c>
      <c r="C1402" s="1" t="s">
        <v>1080</v>
      </c>
      <c r="D1402" s="1" t="s">
        <v>249</v>
      </c>
      <c r="E1402" s="1" t="s">
        <v>1326</v>
      </c>
    </row>
    <row r="1403" customFormat="false" ht="15" hidden="false" customHeight="true" outlineLevel="0" collapsed="false">
      <c r="A1403" s="1" t="n">
        <v>1402</v>
      </c>
      <c r="B1403" s="1" t="s">
        <v>1370</v>
      </c>
      <c r="C1403" s="1" t="s">
        <v>1581</v>
      </c>
      <c r="D1403" s="1" t="s">
        <v>86</v>
      </c>
      <c r="E1403" s="1" t="s">
        <v>1776</v>
      </c>
    </row>
    <row r="1404" customFormat="false" ht="15" hidden="false" customHeight="true" outlineLevel="0" collapsed="false">
      <c r="A1404" s="1" t="n">
        <v>1403</v>
      </c>
      <c r="B1404" s="1" t="s">
        <v>650</v>
      </c>
      <c r="C1404" s="1" t="s">
        <v>843</v>
      </c>
      <c r="D1404" s="1" t="s">
        <v>794</v>
      </c>
      <c r="E1404" s="1" t="s">
        <v>382</v>
      </c>
    </row>
    <row r="1405" customFormat="false" ht="15" hidden="false" customHeight="true" outlineLevel="0" collapsed="false">
      <c r="A1405" s="1" t="n">
        <v>1404</v>
      </c>
      <c r="B1405" s="1" t="s">
        <v>1062</v>
      </c>
      <c r="C1405" s="1" t="s">
        <v>1136</v>
      </c>
      <c r="D1405" s="1" t="s">
        <v>170</v>
      </c>
      <c r="E1405" s="1" t="s">
        <v>1714</v>
      </c>
    </row>
    <row r="1406" customFormat="false" ht="15" hidden="false" customHeight="true" outlineLevel="0" collapsed="false">
      <c r="A1406" s="1" t="n">
        <v>1405</v>
      </c>
      <c r="B1406" s="1" t="s">
        <v>566</v>
      </c>
      <c r="C1406" s="1" t="s">
        <v>187</v>
      </c>
      <c r="D1406" s="1" t="s">
        <v>1531</v>
      </c>
      <c r="E1406" s="1" t="s">
        <v>179</v>
      </c>
    </row>
    <row r="1407" customFormat="false" ht="15" hidden="false" customHeight="true" outlineLevel="0" collapsed="false">
      <c r="A1407" s="1" t="n">
        <v>1406</v>
      </c>
      <c r="B1407" s="1" t="s">
        <v>335</v>
      </c>
      <c r="C1407" s="1" t="s">
        <v>1565</v>
      </c>
      <c r="D1407" s="1" t="s">
        <v>488</v>
      </c>
      <c r="E1407" s="1" t="s">
        <v>1462</v>
      </c>
    </row>
    <row r="1408" customFormat="false" ht="15" hidden="false" customHeight="true" outlineLevel="0" collapsed="false">
      <c r="A1408" s="1" t="n">
        <v>1407</v>
      </c>
      <c r="B1408" s="1" t="s">
        <v>1235</v>
      </c>
      <c r="C1408" s="1" t="s">
        <v>216</v>
      </c>
      <c r="D1408" s="1" t="s">
        <v>900</v>
      </c>
      <c r="E1408" s="1" t="s">
        <v>1575</v>
      </c>
    </row>
    <row r="1409" customFormat="false" ht="15" hidden="false" customHeight="true" outlineLevel="0" collapsed="false">
      <c r="A1409" s="1" t="n">
        <v>1408</v>
      </c>
      <c r="B1409" s="1" t="s">
        <v>1777</v>
      </c>
      <c r="C1409" s="1" t="s">
        <v>1140</v>
      </c>
      <c r="D1409" s="1" t="s">
        <v>698</v>
      </c>
      <c r="E1409" s="1" t="s">
        <v>1778</v>
      </c>
    </row>
    <row r="1410" customFormat="false" ht="15" hidden="false" customHeight="true" outlineLevel="0" collapsed="false">
      <c r="A1410" s="1" t="n">
        <v>1409</v>
      </c>
      <c r="B1410" s="1" t="s">
        <v>1358</v>
      </c>
      <c r="C1410" s="1" t="s">
        <v>638</v>
      </c>
      <c r="D1410" s="1" t="s">
        <v>415</v>
      </c>
      <c r="E1410" s="1" t="s">
        <v>1386</v>
      </c>
    </row>
    <row r="1411" customFormat="false" ht="15" hidden="false" customHeight="true" outlineLevel="0" collapsed="false">
      <c r="A1411" s="1" t="n">
        <v>1410</v>
      </c>
      <c r="B1411" s="1" t="s">
        <v>1779</v>
      </c>
      <c r="C1411" s="1" t="s">
        <v>81</v>
      </c>
      <c r="D1411" s="1" t="s">
        <v>828</v>
      </c>
      <c r="E1411" s="1" t="s">
        <v>44</v>
      </c>
    </row>
    <row r="1412" customFormat="false" ht="15" hidden="false" customHeight="true" outlineLevel="0" collapsed="false">
      <c r="A1412" s="1" t="n">
        <v>1411</v>
      </c>
      <c r="B1412" s="1" t="s">
        <v>635</v>
      </c>
      <c r="C1412" s="1" t="s">
        <v>1484</v>
      </c>
      <c r="D1412" s="1" t="s">
        <v>844</v>
      </c>
      <c r="E1412" s="1" t="s">
        <v>965</v>
      </c>
    </row>
    <row r="1413" customFormat="false" ht="15" hidden="false" customHeight="true" outlineLevel="0" collapsed="false">
      <c r="A1413" s="1" t="n">
        <v>1412</v>
      </c>
      <c r="B1413" s="1" t="s">
        <v>1780</v>
      </c>
      <c r="C1413" s="1" t="s">
        <v>112</v>
      </c>
      <c r="D1413" s="1" t="s">
        <v>245</v>
      </c>
      <c r="E1413" s="1" t="s">
        <v>1761</v>
      </c>
    </row>
    <row r="1414" customFormat="false" ht="15" hidden="false" customHeight="true" outlineLevel="0" collapsed="false">
      <c r="A1414" s="1" t="n">
        <v>1413</v>
      </c>
      <c r="B1414" s="1" t="s">
        <v>554</v>
      </c>
      <c r="C1414" s="1" t="s">
        <v>481</v>
      </c>
      <c r="D1414" s="1" t="s">
        <v>715</v>
      </c>
      <c r="E1414" s="1" t="s">
        <v>1074</v>
      </c>
    </row>
    <row r="1415" customFormat="false" ht="15" hidden="false" customHeight="true" outlineLevel="0" collapsed="false">
      <c r="A1415" s="1" t="n">
        <v>1414</v>
      </c>
      <c r="B1415" s="1" t="s">
        <v>896</v>
      </c>
      <c r="C1415" s="1" t="s">
        <v>202</v>
      </c>
      <c r="D1415" s="1" t="s">
        <v>123</v>
      </c>
      <c r="E1415" s="1" t="s">
        <v>861</v>
      </c>
    </row>
    <row r="1416" customFormat="false" ht="15" hidden="false" customHeight="true" outlineLevel="0" collapsed="false">
      <c r="A1416" s="1" t="n">
        <v>1415</v>
      </c>
      <c r="B1416" s="1" t="s">
        <v>111</v>
      </c>
      <c r="C1416" s="1" t="s">
        <v>76</v>
      </c>
      <c r="D1416" s="1" t="s">
        <v>612</v>
      </c>
      <c r="E1416" s="1" t="s">
        <v>821</v>
      </c>
    </row>
    <row r="1417" customFormat="false" ht="15" hidden="false" customHeight="true" outlineLevel="0" collapsed="false">
      <c r="A1417" s="1" t="n">
        <v>1416</v>
      </c>
      <c r="B1417" s="1" t="s">
        <v>535</v>
      </c>
      <c r="C1417" s="1" t="s">
        <v>653</v>
      </c>
      <c r="D1417" s="1" t="s">
        <v>185</v>
      </c>
      <c r="E1417" s="1" t="s">
        <v>1781</v>
      </c>
    </row>
    <row r="1418" customFormat="false" ht="15" hidden="false" customHeight="true" outlineLevel="0" collapsed="false">
      <c r="A1418" s="1" t="n">
        <v>1417</v>
      </c>
      <c r="B1418" s="1" t="s">
        <v>281</v>
      </c>
      <c r="C1418" s="1" t="s">
        <v>72</v>
      </c>
      <c r="D1418" s="1" t="s">
        <v>286</v>
      </c>
      <c r="E1418" s="1" t="s">
        <v>1456</v>
      </c>
    </row>
    <row r="1419" customFormat="false" ht="15" hidden="false" customHeight="true" outlineLevel="0" collapsed="false">
      <c r="A1419" s="1" t="n">
        <v>1418</v>
      </c>
      <c r="B1419" s="1" t="s">
        <v>648</v>
      </c>
      <c r="C1419" s="1" t="s">
        <v>274</v>
      </c>
      <c r="D1419" s="1" t="s">
        <v>717</v>
      </c>
      <c r="E1419" s="1" t="s">
        <v>191</v>
      </c>
    </row>
    <row r="1420" customFormat="false" ht="15" hidden="false" customHeight="true" outlineLevel="0" collapsed="false">
      <c r="A1420" s="1" t="n">
        <v>1419</v>
      </c>
      <c r="B1420" s="1" t="s">
        <v>252</v>
      </c>
      <c r="C1420" s="1" t="s">
        <v>260</v>
      </c>
      <c r="D1420" s="1" t="s">
        <v>58</v>
      </c>
      <c r="E1420" s="1" t="s">
        <v>1218</v>
      </c>
    </row>
    <row r="1421" customFormat="false" ht="15" hidden="false" customHeight="true" outlineLevel="0" collapsed="false">
      <c r="A1421" s="1" t="n">
        <v>1420</v>
      </c>
      <c r="B1421" s="1" t="s">
        <v>1097</v>
      </c>
      <c r="C1421" s="1" t="s">
        <v>122</v>
      </c>
      <c r="D1421" s="1" t="s">
        <v>155</v>
      </c>
      <c r="E1421" s="1" t="s">
        <v>44</v>
      </c>
    </row>
    <row r="1422" customFormat="false" ht="15" hidden="false" customHeight="true" outlineLevel="0" collapsed="false">
      <c r="A1422" s="1" t="n">
        <v>1421</v>
      </c>
      <c r="B1422" s="1" t="s">
        <v>978</v>
      </c>
      <c r="C1422" s="1" t="s">
        <v>752</v>
      </c>
      <c r="D1422" s="1" t="s">
        <v>51</v>
      </c>
      <c r="E1422" s="1" t="s">
        <v>980</v>
      </c>
    </row>
    <row r="1423" customFormat="false" ht="15" hidden="false" customHeight="true" outlineLevel="0" collapsed="false">
      <c r="A1423" s="1" t="n">
        <v>1422</v>
      </c>
      <c r="B1423" s="1" t="s">
        <v>184</v>
      </c>
      <c r="C1423" s="1" t="s">
        <v>389</v>
      </c>
      <c r="D1423" s="1" t="s">
        <v>936</v>
      </c>
      <c r="E1423" s="1" t="s">
        <v>744</v>
      </c>
    </row>
    <row r="1424" customFormat="false" ht="15" hidden="false" customHeight="true" outlineLevel="0" collapsed="false">
      <c r="A1424" s="1" t="n">
        <v>1423</v>
      </c>
      <c r="B1424" s="1" t="s">
        <v>1319</v>
      </c>
      <c r="C1424" s="1" t="s">
        <v>422</v>
      </c>
      <c r="D1424" s="1" t="s">
        <v>1165</v>
      </c>
      <c r="E1424" s="1" t="s">
        <v>1172</v>
      </c>
    </row>
    <row r="1425" customFormat="false" ht="15" hidden="false" customHeight="true" outlineLevel="0" collapsed="false">
      <c r="A1425" s="1" t="n">
        <v>1424</v>
      </c>
      <c r="B1425" s="1" t="s">
        <v>1016</v>
      </c>
      <c r="C1425" s="1" t="s">
        <v>1243</v>
      </c>
      <c r="D1425" s="1" t="s">
        <v>269</v>
      </c>
      <c r="E1425" s="1" t="s">
        <v>887</v>
      </c>
    </row>
    <row r="1426" customFormat="false" ht="15" hidden="false" customHeight="true" outlineLevel="0" collapsed="false">
      <c r="A1426" s="1" t="n">
        <v>1425</v>
      </c>
      <c r="B1426" s="1" t="s">
        <v>1227</v>
      </c>
      <c r="C1426" s="1" t="s">
        <v>1532</v>
      </c>
      <c r="D1426" s="1" t="s">
        <v>522</v>
      </c>
      <c r="E1426" s="1" t="s">
        <v>1782</v>
      </c>
    </row>
    <row r="1427" customFormat="false" ht="15" hidden="false" customHeight="true" outlineLevel="0" collapsed="false">
      <c r="A1427" s="1" t="n">
        <v>1426</v>
      </c>
      <c r="B1427" s="1" t="s">
        <v>1783</v>
      </c>
      <c r="C1427" s="1" t="s">
        <v>1398</v>
      </c>
      <c r="D1427" s="1" t="s">
        <v>1055</v>
      </c>
      <c r="E1427" s="1" t="s">
        <v>1784</v>
      </c>
    </row>
    <row r="1428" customFormat="false" ht="15" hidden="false" customHeight="true" outlineLevel="0" collapsed="false">
      <c r="A1428" s="1" t="n">
        <v>1427</v>
      </c>
      <c r="B1428" s="1" t="s">
        <v>335</v>
      </c>
      <c r="C1428" s="1" t="s">
        <v>857</v>
      </c>
      <c r="D1428" s="1" t="s">
        <v>159</v>
      </c>
      <c r="E1428" s="1" t="s">
        <v>1402</v>
      </c>
    </row>
    <row r="1429" customFormat="false" ht="15" hidden="false" customHeight="true" outlineLevel="0" collapsed="false">
      <c r="A1429" s="1" t="n">
        <v>1428</v>
      </c>
      <c r="B1429" s="1" t="s">
        <v>243</v>
      </c>
      <c r="C1429" s="1" t="s">
        <v>312</v>
      </c>
      <c r="D1429" s="1" t="s">
        <v>737</v>
      </c>
      <c r="E1429" s="1" t="s">
        <v>1033</v>
      </c>
    </row>
    <row r="1430" customFormat="false" ht="15" hidden="false" customHeight="true" outlineLevel="0" collapsed="false">
      <c r="A1430" s="1" t="n">
        <v>1429</v>
      </c>
      <c r="B1430" s="1" t="s">
        <v>1785</v>
      </c>
      <c r="C1430" s="1" t="s">
        <v>615</v>
      </c>
      <c r="D1430" s="1" t="s">
        <v>241</v>
      </c>
      <c r="E1430" s="1" t="s">
        <v>495</v>
      </c>
    </row>
    <row r="1431" customFormat="false" ht="15" hidden="false" customHeight="true" outlineLevel="0" collapsed="false">
      <c r="A1431" s="1" t="n">
        <v>1430</v>
      </c>
      <c r="B1431" s="1" t="s">
        <v>1102</v>
      </c>
      <c r="C1431" s="1" t="s">
        <v>1555</v>
      </c>
      <c r="D1431" s="1" t="s">
        <v>7</v>
      </c>
      <c r="E1431" s="1" t="s">
        <v>44</v>
      </c>
    </row>
    <row r="1432" customFormat="false" ht="15" hidden="false" customHeight="true" outlineLevel="0" collapsed="false">
      <c r="A1432" s="1" t="n">
        <v>1431</v>
      </c>
      <c r="B1432" s="1" t="s">
        <v>49</v>
      </c>
      <c r="C1432" s="1" t="s">
        <v>1758</v>
      </c>
      <c r="D1432" s="1" t="s">
        <v>488</v>
      </c>
      <c r="E1432" s="1" t="s">
        <v>1094</v>
      </c>
    </row>
    <row r="1433" customFormat="false" ht="15" hidden="false" customHeight="true" outlineLevel="0" collapsed="false">
      <c r="A1433" s="1" t="n">
        <v>1432</v>
      </c>
      <c r="B1433" s="1" t="s">
        <v>535</v>
      </c>
      <c r="C1433" s="1" t="s">
        <v>562</v>
      </c>
      <c r="D1433" s="1" t="s">
        <v>578</v>
      </c>
      <c r="E1433" s="1" t="s">
        <v>1782</v>
      </c>
    </row>
    <row r="1434" customFormat="false" ht="15" hidden="false" customHeight="true" outlineLevel="0" collapsed="false">
      <c r="A1434" s="1" t="n">
        <v>1433</v>
      </c>
      <c r="B1434" s="1" t="s">
        <v>890</v>
      </c>
      <c r="C1434" s="1" t="s">
        <v>292</v>
      </c>
      <c r="D1434" s="1" t="s">
        <v>378</v>
      </c>
      <c r="E1434" s="1" t="s">
        <v>478</v>
      </c>
    </row>
    <row r="1435" customFormat="false" ht="15" hidden="false" customHeight="true" outlineLevel="0" collapsed="false">
      <c r="A1435" s="1" t="n">
        <v>1434</v>
      </c>
      <c r="B1435" s="1" t="s">
        <v>121</v>
      </c>
      <c r="C1435" s="1" t="s">
        <v>129</v>
      </c>
      <c r="D1435" s="1" t="s">
        <v>936</v>
      </c>
      <c r="E1435" s="1" t="s">
        <v>897</v>
      </c>
    </row>
    <row r="1436" customFormat="false" ht="15" hidden="false" customHeight="true" outlineLevel="0" collapsed="false">
      <c r="A1436" s="1" t="n">
        <v>1435</v>
      </c>
      <c r="B1436" s="1" t="s">
        <v>944</v>
      </c>
      <c r="C1436" s="1" t="s">
        <v>1693</v>
      </c>
      <c r="D1436" s="1" t="s">
        <v>86</v>
      </c>
      <c r="E1436" s="1" t="s">
        <v>1568</v>
      </c>
    </row>
    <row r="1437" customFormat="false" ht="15" hidden="false" customHeight="true" outlineLevel="0" collapsed="false">
      <c r="A1437" s="1" t="n">
        <v>1436</v>
      </c>
      <c r="B1437" s="1" t="s">
        <v>1786</v>
      </c>
      <c r="C1437" s="1" t="s">
        <v>333</v>
      </c>
      <c r="D1437" s="1" t="s">
        <v>304</v>
      </c>
      <c r="E1437" s="1" t="s">
        <v>1787</v>
      </c>
    </row>
    <row r="1438" customFormat="false" ht="15" hidden="false" customHeight="true" outlineLevel="0" collapsed="false">
      <c r="A1438" s="1" t="n">
        <v>1437</v>
      </c>
      <c r="B1438" s="1" t="s">
        <v>1788</v>
      </c>
      <c r="C1438" s="1" t="s">
        <v>484</v>
      </c>
      <c r="D1438" s="1" t="s">
        <v>607</v>
      </c>
      <c r="E1438" s="1" t="s">
        <v>298</v>
      </c>
    </row>
    <row r="1439" customFormat="false" ht="15" hidden="false" customHeight="true" outlineLevel="0" collapsed="false">
      <c r="A1439" s="1" t="n">
        <v>1438</v>
      </c>
      <c r="B1439" s="1" t="s">
        <v>1279</v>
      </c>
      <c r="C1439" s="1" t="s">
        <v>368</v>
      </c>
      <c r="D1439" s="1" t="s">
        <v>828</v>
      </c>
      <c r="E1439" s="1" t="s">
        <v>1789</v>
      </c>
    </row>
    <row r="1440" customFormat="false" ht="15" hidden="false" customHeight="true" outlineLevel="0" collapsed="false">
      <c r="A1440" s="1" t="n">
        <v>1439</v>
      </c>
      <c r="B1440" s="1" t="s">
        <v>819</v>
      </c>
      <c r="C1440" s="1" t="s">
        <v>1409</v>
      </c>
      <c r="D1440" s="1" t="s">
        <v>695</v>
      </c>
      <c r="E1440" s="1" t="s">
        <v>744</v>
      </c>
    </row>
    <row r="1441" customFormat="false" ht="15" hidden="false" customHeight="true" outlineLevel="0" collapsed="false">
      <c r="A1441" s="1" t="n">
        <v>1440</v>
      </c>
      <c r="B1441" s="1" t="s">
        <v>1223</v>
      </c>
      <c r="C1441" s="1" t="s">
        <v>34</v>
      </c>
      <c r="D1441" s="1" t="s">
        <v>282</v>
      </c>
      <c r="E1441" s="1" t="s">
        <v>44</v>
      </c>
    </row>
    <row r="1442" customFormat="false" ht="15" hidden="false" customHeight="true" outlineLevel="0" collapsed="false">
      <c r="A1442" s="1" t="n">
        <v>1441</v>
      </c>
      <c r="B1442" s="1" t="s">
        <v>486</v>
      </c>
      <c r="C1442" s="1" t="s">
        <v>1518</v>
      </c>
      <c r="D1442" s="1" t="s">
        <v>494</v>
      </c>
      <c r="E1442" s="1" t="s">
        <v>1790</v>
      </c>
    </row>
    <row r="1443" customFormat="false" ht="15" hidden="false" customHeight="true" outlineLevel="0" collapsed="false">
      <c r="A1443" s="1" t="n">
        <v>1442</v>
      </c>
      <c r="B1443" s="1" t="s">
        <v>782</v>
      </c>
      <c r="C1443" s="1" t="s">
        <v>562</v>
      </c>
      <c r="D1443" s="1" t="s">
        <v>275</v>
      </c>
      <c r="E1443" s="1" t="s">
        <v>999</v>
      </c>
    </row>
    <row r="1444" customFormat="false" ht="15" hidden="false" customHeight="true" outlineLevel="0" collapsed="false">
      <c r="A1444" s="1" t="n">
        <v>1443</v>
      </c>
      <c r="B1444" s="1" t="s">
        <v>1220</v>
      </c>
      <c r="C1444" s="1" t="s">
        <v>750</v>
      </c>
      <c r="D1444" s="1" t="s">
        <v>1106</v>
      </c>
      <c r="E1444" s="1" t="s">
        <v>1791</v>
      </c>
    </row>
    <row r="1445" customFormat="false" ht="15" hidden="false" customHeight="true" outlineLevel="0" collapsed="false">
      <c r="A1445" s="1" t="n">
        <v>1444</v>
      </c>
      <c r="B1445" s="1" t="s">
        <v>96</v>
      </c>
      <c r="C1445" s="1" t="s">
        <v>860</v>
      </c>
      <c r="D1445" s="1" t="s">
        <v>567</v>
      </c>
      <c r="E1445" s="1" t="s">
        <v>678</v>
      </c>
    </row>
    <row r="1446" customFormat="false" ht="15" hidden="false" customHeight="true" outlineLevel="0" collapsed="false">
      <c r="A1446" s="1" t="n">
        <v>1445</v>
      </c>
      <c r="B1446" s="1" t="s">
        <v>621</v>
      </c>
      <c r="C1446" s="1" t="s">
        <v>638</v>
      </c>
      <c r="D1446" s="1" t="s">
        <v>811</v>
      </c>
      <c r="E1446" s="1" t="s">
        <v>1502</v>
      </c>
    </row>
    <row r="1447" customFormat="false" ht="15" hidden="false" customHeight="true" outlineLevel="0" collapsed="false">
      <c r="A1447" s="1" t="n">
        <v>1446</v>
      </c>
      <c r="B1447" s="1" t="s">
        <v>1512</v>
      </c>
      <c r="C1447" s="1" t="s">
        <v>1792</v>
      </c>
      <c r="D1447" s="1" t="s">
        <v>450</v>
      </c>
      <c r="E1447" s="1" t="s">
        <v>1793</v>
      </c>
    </row>
    <row r="1448" customFormat="false" ht="15" hidden="false" customHeight="true" outlineLevel="0" collapsed="false">
      <c r="A1448" s="1" t="n">
        <v>1447</v>
      </c>
      <c r="B1448" s="1" t="s">
        <v>417</v>
      </c>
      <c r="C1448" s="1" t="s">
        <v>693</v>
      </c>
      <c r="D1448" s="1" t="s">
        <v>280</v>
      </c>
      <c r="E1448" s="1" t="s">
        <v>1794</v>
      </c>
    </row>
    <row r="1449" customFormat="false" ht="15" hidden="false" customHeight="true" outlineLevel="0" collapsed="false">
      <c r="A1449" s="1" t="n">
        <v>1448</v>
      </c>
      <c r="B1449" s="1" t="s">
        <v>323</v>
      </c>
      <c r="C1449" s="1" t="s">
        <v>1588</v>
      </c>
      <c r="D1449" s="1" t="s">
        <v>109</v>
      </c>
      <c r="E1449" s="1" t="s">
        <v>858</v>
      </c>
    </row>
    <row r="1450" customFormat="false" ht="15" hidden="false" customHeight="true" outlineLevel="0" collapsed="false">
      <c r="A1450" s="1" t="n">
        <v>1449</v>
      </c>
      <c r="B1450" s="1" t="s">
        <v>259</v>
      </c>
      <c r="C1450" s="1" t="s">
        <v>318</v>
      </c>
      <c r="D1450" s="1" t="s">
        <v>155</v>
      </c>
      <c r="E1450" s="1" t="s">
        <v>1391</v>
      </c>
    </row>
    <row r="1451" customFormat="false" ht="15" hidden="false" customHeight="true" outlineLevel="0" collapsed="false">
      <c r="A1451" s="1" t="n">
        <v>1450</v>
      </c>
      <c r="B1451" s="1" t="s">
        <v>1279</v>
      </c>
      <c r="C1451" s="1" t="s">
        <v>1225</v>
      </c>
      <c r="D1451" s="1" t="s">
        <v>1795</v>
      </c>
      <c r="E1451" s="1" t="s">
        <v>44</v>
      </c>
    </row>
    <row r="1452" customFormat="false" ht="15" hidden="false" customHeight="true" outlineLevel="0" collapsed="false">
      <c r="A1452" s="1" t="n">
        <v>1451</v>
      </c>
      <c r="B1452" s="1" t="s">
        <v>648</v>
      </c>
      <c r="C1452" s="1" t="s">
        <v>166</v>
      </c>
      <c r="D1452" s="1" t="s">
        <v>482</v>
      </c>
      <c r="E1452" s="1" t="s">
        <v>780</v>
      </c>
    </row>
    <row r="1453" customFormat="false" ht="15" hidden="false" customHeight="true" outlineLevel="0" collapsed="false">
      <c r="A1453" s="1" t="n">
        <v>1452</v>
      </c>
      <c r="B1453" s="1" t="s">
        <v>1515</v>
      </c>
      <c r="C1453" s="1" t="s">
        <v>244</v>
      </c>
      <c r="D1453" s="1" t="s">
        <v>313</v>
      </c>
      <c r="E1453" s="1" t="s">
        <v>821</v>
      </c>
    </row>
    <row r="1454" customFormat="false" ht="15" hidden="false" customHeight="true" outlineLevel="0" collapsed="false">
      <c r="A1454" s="1" t="n">
        <v>1453</v>
      </c>
      <c r="B1454" s="1" t="s">
        <v>1157</v>
      </c>
      <c r="C1454" s="1" t="s">
        <v>398</v>
      </c>
      <c r="D1454" s="1" t="s">
        <v>194</v>
      </c>
      <c r="E1454" s="1" t="s">
        <v>343</v>
      </c>
    </row>
    <row r="1455" customFormat="false" ht="15" hidden="false" customHeight="true" outlineLevel="0" collapsed="false">
      <c r="A1455" s="1" t="n">
        <v>1454</v>
      </c>
      <c r="B1455" s="1" t="s">
        <v>748</v>
      </c>
      <c r="C1455" s="1" t="s">
        <v>1154</v>
      </c>
      <c r="D1455" s="1" t="s">
        <v>807</v>
      </c>
      <c r="E1455" s="1" t="s">
        <v>1796</v>
      </c>
    </row>
    <row r="1456" customFormat="false" ht="15" hidden="false" customHeight="true" outlineLevel="0" collapsed="false">
      <c r="A1456" s="1" t="n">
        <v>1455</v>
      </c>
      <c r="B1456" s="1" t="s">
        <v>1337</v>
      </c>
      <c r="C1456" s="1" t="s">
        <v>1199</v>
      </c>
      <c r="D1456" s="1" t="s">
        <v>753</v>
      </c>
      <c r="E1456" s="1" t="s">
        <v>1797</v>
      </c>
    </row>
    <row r="1457" customFormat="false" ht="15" hidden="false" customHeight="true" outlineLevel="0" collapsed="false">
      <c r="A1457" s="1" t="n">
        <v>1456</v>
      </c>
      <c r="B1457" s="1" t="s">
        <v>874</v>
      </c>
      <c r="C1457" s="1" t="s">
        <v>262</v>
      </c>
      <c r="D1457" s="1" t="s">
        <v>280</v>
      </c>
      <c r="E1457" s="1" t="s">
        <v>350</v>
      </c>
    </row>
    <row r="1458" customFormat="false" ht="15" hidden="false" customHeight="true" outlineLevel="0" collapsed="false">
      <c r="A1458" s="1" t="n">
        <v>1457</v>
      </c>
      <c r="B1458" s="1" t="s">
        <v>672</v>
      </c>
      <c r="C1458" s="1" t="s">
        <v>490</v>
      </c>
      <c r="D1458" s="1" t="s">
        <v>105</v>
      </c>
      <c r="E1458" s="1" t="s">
        <v>1171</v>
      </c>
    </row>
    <row r="1459" customFormat="false" ht="15" hidden="false" customHeight="true" outlineLevel="0" collapsed="false">
      <c r="A1459" s="1" t="n">
        <v>1458</v>
      </c>
      <c r="B1459" s="1" t="s">
        <v>572</v>
      </c>
      <c r="C1459" s="1" t="s">
        <v>1429</v>
      </c>
      <c r="D1459" s="1" t="s">
        <v>238</v>
      </c>
      <c r="E1459" s="1" t="s">
        <v>840</v>
      </c>
    </row>
    <row r="1460" customFormat="false" ht="15" hidden="false" customHeight="true" outlineLevel="0" collapsed="false">
      <c r="A1460" s="1" t="n">
        <v>1459</v>
      </c>
      <c r="B1460" s="1" t="s">
        <v>815</v>
      </c>
      <c r="C1460" s="1" t="s">
        <v>312</v>
      </c>
      <c r="D1460" s="1" t="s">
        <v>923</v>
      </c>
      <c r="E1460" s="1" t="s">
        <v>1692</v>
      </c>
    </row>
    <row r="1461" customFormat="false" ht="15" hidden="false" customHeight="true" outlineLevel="0" collapsed="false">
      <c r="A1461" s="1" t="n">
        <v>1460</v>
      </c>
      <c r="B1461" s="1" t="s">
        <v>323</v>
      </c>
      <c r="C1461" s="1" t="s">
        <v>1206</v>
      </c>
      <c r="D1461" s="1" t="s">
        <v>753</v>
      </c>
      <c r="E1461" s="1" t="s">
        <v>44</v>
      </c>
    </row>
    <row r="1462" customFormat="false" ht="15" hidden="false" customHeight="true" outlineLevel="0" collapsed="false">
      <c r="A1462" s="1" t="n">
        <v>1461</v>
      </c>
      <c r="B1462" s="1" t="s">
        <v>961</v>
      </c>
      <c r="C1462" s="1" t="s">
        <v>352</v>
      </c>
      <c r="D1462" s="1" t="s">
        <v>23</v>
      </c>
      <c r="E1462" s="1" t="s">
        <v>776</v>
      </c>
    </row>
    <row r="1463" customFormat="false" ht="15" hidden="false" customHeight="true" outlineLevel="0" collapsed="false">
      <c r="A1463" s="1" t="n">
        <v>1462</v>
      </c>
      <c r="B1463" s="1" t="s">
        <v>621</v>
      </c>
      <c r="C1463" s="1" t="s">
        <v>658</v>
      </c>
      <c r="D1463" s="1" t="s">
        <v>278</v>
      </c>
      <c r="E1463" s="1" t="s">
        <v>1798</v>
      </c>
    </row>
    <row r="1464" customFormat="false" ht="15" hidden="false" customHeight="true" outlineLevel="0" collapsed="false">
      <c r="A1464" s="1" t="n">
        <v>1463</v>
      </c>
      <c r="B1464" s="1" t="s">
        <v>117</v>
      </c>
      <c r="C1464" s="1" t="s">
        <v>72</v>
      </c>
      <c r="D1464" s="1" t="s">
        <v>715</v>
      </c>
      <c r="E1464" s="1" t="s">
        <v>328</v>
      </c>
    </row>
    <row r="1465" customFormat="false" ht="15" hidden="false" customHeight="true" outlineLevel="0" collapsed="false">
      <c r="A1465" s="1" t="n">
        <v>1464</v>
      </c>
      <c r="B1465" s="1" t="s">
        <v>311</v>
      </c>
      <c r="C1465" s="1" t="s">
        <v>693</v>
      </c>
      <c r="D1465" s="1" t="s">
        <v>304</v>
      </c>
      <c r="E1465" s="1" t="s">
        <v>1799</v>
      </c>
    </row>
    <row r="1466" customFormat="false" ht="15" hidden="false" customHeight="true" outlineLevel="0" collapsed="false">
      <c r="A1466" s="1" t="n">
        <v>1465</v>
      </c>
      <c r="B1466" s="1" t="s">
        <v>311</v>
      </c>
      <c r="C1466" s="1" t="s">
        <v>418</v>
      </c>
      <c r="D1466" s="1" t="s">
        <v>983</v>
      </c>
      <c r="E1466" s="1" t="s">
        <v>1646</v>
      </c>
    </row>
    <row r="1467" customFormat="false" ht="15" hidden="false" customHeight="true" outlineLevel="0" collapsed="false">
      <c r="A1467" s="1" t="n">
        <v>1466</v>
      </c>
      <c r="B1467" s="1" t="s">
        <v>590</v>
      </c>
      <c r="C1467" s="1" t="s">
        <v>592</v>
      </c>
      <c r="D1467" s="1" t="s">
        <v>235</v>
      </c>
      <c r="E1467" s="1" t="s">
        <v>1747</v>
      </c>
    </row>
    <row r="1468" customFormat="false" ht="15" hidden="false" customHeight="true" outlineLevel="0" collapsed="false">
      <c r="A1468" s="1" t="n">
        <v>1467</v>
      </c>
      <c r="B1468" s="1" t="s">
        <v>364</v>
      </c>
      <c r="C1468" s="1" t="s">
        <v>673</v>
      </c>
      <c r="D1468" s="1" t="s">
        <v>844</v>
      </c>
      <c r="E1468" s="1" t="s">
        <v>1393</v>
      </c>
    </row>
    <row r="1469" customFormat="false" ht="15" hidden="false" customHeight="true" outlineLevel="0" collapsed="false">
      <c r="A1469" s="1" t="n">
        <v>1468</v>
      </c>
      <c r="B1469" s="1" t="s">
        <v>1108</v>
      </c>
      <c r="C1469" s="1" t="s">
        <v>1605</v>
      </c>
      <c r="D1469" s="1" t="s">
        <v>522</v>
      </c>
      <c r="E1469" s="1" t="s">
        <v>1800</v>
      </c>
    </row>
    <row r="1470" customFormat="false" ht="15" hidden="false" customHeight="true" outlineLevel="0" collapsed="false">
      <c r="A1470" s="1" t="n">
        <v>1469</v>
      </c>
      <c r="B1470" s="1" t="s">
        <v>978</v>
      </c>
      <c r="C1470" s="1" t="s">
        <v>1801</v>
      </c>
      <c r="D1470" s="1" t="s">
        <v>349</v>
      </c>
      <c r="E1470" s="1" t="s">
        <v>1761</v>
      </c>
    </row>
    <row r="1471" customFormat="false" ht="15" hidden="false" customHeight="true" outlineLevel="0" collapsed="false">
      <c r="A1471" s="1" t="n">
        <v>1470</v>
      </c>
      <c r="B1471" s="1" t="s">
        <v>1589</v>
      </c>
      <c r="C1471" s="1" t="s">
        <v>230</v>
      </c>
      <c r="D1471" s="1" t="s">
        <v>1363</v>
      </c>
      <c r="E1471" s="1" t="s">
        <v>44</v>
      </c>
    </row>
    <row r="1472" customFormat="false" ht="15" hidden="false" customHeight="true" outlineLevel="0" collapsed="false">
      <c r="A1472" s="1" t="n">
        <v>1471</v>
      </c>
      <c r="B1472" s="1" t="s">
        <v>460</v>
      </c>
      <c r="C1472" s="1" t="s">
        <v>697</v>
      </c>
      <c r="D1472" s="1" t="s">
        <v>990</v>
      </c>
      <c r="E1472" s="1" t="s">
        <v>1449</v>
      </c>
    </row>
    <row r="1473" customFormat="false" ht="15" hidden="false" customHeight="true" outlineLevel="0" collapsed="false">
      <c r="A1473" s="1" t="n">
        <v>1472</v>
      </c>
      <c r="B1473" s="1" t="s">
        <v>291</v>
      </c>
      <c r="C1473" s="1" t="s">
        <v>891</v>
      </c>
      <c r="D1473" s="1" t="s">
        <v>1170</v>
      </c>
      <c r="E1473" s="1" t="s">
        <v>1802</v>
      </c>
    </row>
    <row r="1474" customFormat="false" ht="15" hidden="false" customHeight="true" outlineLevel="0" collapsed="false">
      <c r="A1474" s="1" t="n">
        <v>1473</v>
      </c>
      <c r="B1474" s="1" t="s">
        <v>303</v>
      </c>
      <c r="C1474" s="1" t="s">
        <v>418</v>
      </c>
      <c r="D1474" s="1" t="s">
        <v>275</v>
      </c>
      <c r="E1474" s="1" t="s">
        <v>1444</v>
      </c>
    </row>
    <row r="1475" customFormat="false" ht="15" hidden="false" customHeight="true" outlineLevel="0" collapsed="false">
      <c r="A1475" s="1" t="n">
        <v>1474</v>
      </c>
      <c r="B1475" s="1" t="s">
        <v>531</v>
      </c>
      <c r="C1475" s="1" t="s">
        <v>1140</v>
      </c>
      <c r="D1475" s="1" t="s">
        <v>783</v>
      </c>
      <c r="E1475" s="1" t="s">
        <v>436</v>
      </c>
    </row>
    <row r="1476" customFormat="false" ht="15" hidden="false" customHeight="true" outlineLevel="0" collapsed="false">
      <c r="A1476" s="1" t="n">
        <v>1475</v>
      </c>
      <c r="B1476" s="1" t="s">
        <v>1803</v>
      </c>
      <c r="C1476" s="1" t="s">
        <v>1253</v>
      </c>
      <c r="D1476" s="1" t="s">
        <v>722</v>
      </c>
      <c r="E1476" s="1" t="s">
        <v>66</v>
      </c>
    </row>
    <row r="1477" customFormat="false" ht="15" hidden="false" customHeight="true" outlineLevel="0" collapsed="false">
      <c r="A1477" s="1" t="n">
        <v>1476</v>
      </c>
      <c r="B1477" s="1" t="s">
        <v>335</v>
      </c>
      <c r="C1477" s="1" t="s">
        <v>1096</v>
      </c>
      <c r="D1477" s="1" t="s">
        <v>97</v>
      </c>
      <c r="E1477" s="1" t="s">
        <v>1804</v>
      </c>
    </row>
    <row r="1478" customFormat="false" ht="15" hidden="false" customHeight="true" outlineLevel="0" collapsed="false">
      <c r="A1478" s="1" t="n">
        <v>1477</v>
      </c>
      <c r="B1478" s="1" t="s">
        <v>153</v>
      </c>
      <c r="C1478" s="1" t="s">
        <v>721</v>
      </c>
      <c r="D1478" s="1" t="s">
        <v>130</v>
      </c>
      <c r="E1478" s="1" t="s">
        <v>1805</v>
      </c>
    </row>
    <row r="1479" customFormat="false" ht="15" hidden="false" customHeight="true" outlineLevel="0" collapsed="false">
      <c r="A1479" s="1" t="n">
        <v>1478</v>
      </c>
      <c r="B1479" s="1" t="s">
        <v>969</v>
      </c>
      <c r="C1479" s="1" t="s">
        <v>166</v>
      </c>
      <c r="D1479" s="1" t="s">
        <v>178</v>
      </c>
      <c r="E1479" s="1" t="s">
        <v>927</v>
      </c>
    </row>
    <row r="1480" customFormat="false" ht="15" hidden="false" customHeight="true" outlineLevel="0" collapsed="false">
      <c r="A1480" s="1" t="n">
        <v>1479</v>
      </c>
      <c r="B1480" s="1" t="s">
        <v>1806</v>
      </c>
      <c r="C1480" s="1" t="s">
        <v>721</v>
      </c>
      <c r="D1480" s="1" t="s">
        <v>185</v>
      </c>
      <c r="E1480" s="1" t="s">
        <v>1600</v>
      </c>
    </row>
    <row r="1481" customFormat="false" ht="15" hidden="false" customHeight="true" outlineLevel="0" collapsed="false">
      <c r="A1481" s="1" t="n">
        <v>1480</v>
      </c>
      <c r="B1481" s="1" t="s">
        <v>1330</v>
      </c>
      <c r="C1481" s="1" t="s">
        <v>622</v>
      </c>
      <c r="D1481" s="1" t="s">
        <v>855</v>
      </c>
      <c r="E1481" s="1" t="s">
        <v>44</v>
      </c>
    </row>
    <row r="1482" customFormat="false" ht="15" hidden="false" customHeight="true" outlineLevel="0" collapsed="false">
      <c r="A1482" s="1" t="n">
        <v>1481</v>
      </c>
      <c r="B1482" s="1" t="s">
        <v>37</v>
      </c>
      <c r="C1482" s="1" t="s">
        <v>1046</v>
      </c>
      <c r="D1482" s="1" t="s">
        <v>297</v>
      </c>
      <c r="E1482" s="1" t="s">
        <v>1386</v>
      </c>
    </row>
    <row r="1483" customFormat="false" ht="15" hidden="false" customHeight="true" outlineLevel="0" collapsed="false">
      <c r="A1483" s="1" t="n">
        <v>1482</v>
      </c>
      <c r="B1483" s="1" t="s">
        <v>1517</v>
      </c>
      <c r="C1483" s="1" t="s">
        <v>992</v>
      </c>
      <c r="D1483" s="1" t="s">
        <v>811</v>
      </c>
      <c r="E1483" s="1" t="s">
        <v>1763</v>
      </c>
    </row>
    <row r="1484" customFormat="false" ht="15" hidden="false" customHeight="true" outlineLevel="0" collapsed="false">
      <c r="A1484" s="1" t="n">
        <v>1483</v>
      </c>
      <c r="B1484" s="1" t="s">
        <v>890</v>
      </c>
      <c r="C1484" s="1" t="s">
        <v>1518</v>
      </c>
      <c r="D1484" s="1" t="s">
        <v>787</v>
      </c>
      <c r="E1484" s="1" t="s">
        <v>960</v>
      </c>
    </row>
    <row r="1485" customFormat="false" ht="15" hidden="false" customHeight="true" outlineLevel="0" collapsed="false">
      <c r="A1485" s="1" t="n">
        <v>1484</v>
      </c>
      <c r="B1485" s="1" t="s">
        <v>466</v>
      </c>
      <c r="C1485" s="1" t="s">
        <v>1478</v>
      </c>
      <c r="D1485" s="1" t="s">
        <v>934</v>
      </c>
      <c r="E1485" s="1" t="s">
        <v>1807</v>
      </c>
    </row>
    <row r="1486" customFormat="false" ht="15" hidden="false" customHeight="true" outlineLevel="0" collapsed="false">
      <c r="A1486" s="1" t="n">
        <v>1485</v>
      </c>
      <c r="B1486" s="1" t="s">
        <v>153</v>
      </c>
      <c r="C1486" s="1" t="s">
        <v>915</v>
      </c>
      <c r="D1486" s="1" t="s">
        <v>213</v>
      </c>
      <c r="E1486" s="1" t="s">
        <v>1342</v>
      </c>
    </row>
    <row r="1487" customFormat="false" ht="15" hidden="false" customHeight="true" outlineLevel="0" collapsed="false">
      <c r="A1487" s="1" t="n">
        <v>1486</v>
      </c>
      <c r="B1487" s="1" t="s">
        <v>930</v>
      </c>
      <c r="C1487" s="1" t="s">
        <v>1136</v>
      </c>
      <c r="D1487" s="1" t="s">
        <v>275</v>
      </c>
      <c r="E1487" s="1" t="s">
        <v>1234</v>
      </c>
    </row>
    <row r="1488" customFormat="false" ht="15" hidden="false" customHeight="true" outlineLevel="0" collapsed="false">
      <c r="A1488" s="1" t="n">
        <v>1487</v>
      </c>
      <c r="B1488" s="1" t="s">
        <v>1021</v>
      </c>
      <c r="C1488" s="1" t="s">
        <v>173</v>
      </c>
      <c r="D1488" s="1" t="s">
        <v>238</v>
      </c>
      <c r="E1488" s="1" t="s">
        <v>1569</v>
      </c>
    </row>
    <row r="1489" customFormat="false" ht="15" hidden="false" customHeight="true" outlineLevel="0" collapsed="false">
      <c r="A1489" s="1" t="n">
        <v>1488</v>
      </c>
      <c r="B1489" s="1" t="s">
        <v>1658</v>
      </c>
      <c r="C1489" s="1" t="s">
        <v>1013</v>
      </c>
      <c r="D1489" s="1" t="s">
        <v>69</v>
      </c>
      <c r="E1489" s="1" t="s">
        <v>1808</v>
      </c>
    </row>
    <row r="1490" customFormat="false" ht="15" hidden="false" customHeight="true" outlineLevel="0" collapsed="false">
      <c r="A1490" s="1" t="n">
        <v>1489</v>
      </c>
      <c r="B1490" s="1" t="s">
        <v>1158</v>
      </c>
      <c r="C1490" s="1" t="s">
        <v>432</v>
      </c>
      <c r="D1490" s="1" t="s">
        <v>356</v>
      </c>
      <c r="E1490" s="1" t="s">
        <v>1809</v>
      </c>
    </row>
    <row r="1491" customFormat="false" ht="15" hidden="false" customHeight="true" outlineLevel="0" collapsed="false">
      <c r="A1491" s="1" t="n">
        <v>1490</v>
      </c>
      <c r="B1491" s="1" t="s">
        <v>64</v>
      </c>
      <c r="C1491" s="1" t="s">
        <v>1773</v>
      </c>
      <c r="D1491" s="1" t="s">
        <v>1810</v>
      </c>
      <c r="E1491" s="1" t="s">
        <v>44</v>
      </c>
    </row>
    <row r="1492" customFormat="false" ht="15" hidden="false" customHeight="true" outlineLevel="0" collapsed="false">
      <c r="A1492" s="1" t="n">
        <v>1491</v>
      </c>
      <c r="B1492" s="1" t="s">
        <v>391</v>
      </c>
      <c r="C1492" s="1" t="s">
        <v>801</v>
      </c>
      <c r="D1492" s="1" t="s">
        <v>855</v>
      </c>
      <c r="E1492" s="1" t="s">
        <v>1811</v>
      </c>
    </row>
    <row r="1493" customFormat="false" ht="15" hidden="false" customHeight="true" outlineLevel="0" collapsed="false">
      <c r="A1493" s="1" t="n">
        <v>1492</v>
      </c>
      <c r="B1493" s="1" t="s">
        <v>184</v>
      </c>
      <c r="C1493" s="1" t="s">
        <v>166</v>
      </c>
      <c r="D1493" s="1" t="s">
        <v>194</v>
      </c>
      <c r="E1493" s="1" t="s">
        <v>927</v>
      </c>
    </row>
    <row r="1494" customFormat="false" ht="15" hidden="false" customHeight="true" outlineLevel="0" collapsed="false">
      <c r="A1494" s="1" t="n">
        <v>1493</v>
      </c>
      <c r="B1494" s="1" t="s">
        <v>172</v>
      </c>
      <c r="C1494" s="1" t="s">
        <v>1409</v>
      </c>
      <c r="D1494" s="1" t="s">
        <v>1165</v>
      </c>
      <c r="E1494" s="1" t="s">
        <v>1764</v>
      </c>
    </row>
    <row r="1495" customFormat="false" ht="15" hidden="false" customHeight="true" outlineLevel="0" collapsed="false">
      <c r="A1495" s="1" t="n">
        <v>1494</v>
      </c>
      <c r="B1495" s="1" t="s">
        <v>1117</v>
      </c>
      <c r="C1495" s="1" t="s">
        <v>133</v>
      </c>
      <c r="D1495" s="1" t="s">
        <v>667</v>
      </c>
      <c r="E1495" s="1" t="s">
        <v>1740</v>
      </c>
    </row>
    <row r="1496" customFormat="false" ht="15" hidden="false" customHeight="true" outlineLevel="0" collapsed="false">
      <c r="A1496" s="1" t="n">
        <v>1495</v>
      </c>
      <c r="B1496" s="1" t="s">
        <v>1085</v>
      </c>
      <c r="C1496" s="1" t="s">
        <v>1083</v>
      </c>
      <c r="D1496" s="1" t="s">
        <v>811</v>
      </c>
      <c r="E1496" s="1" t="s">
        <v>587</v>
      </c>
    </row>
    <row r="1497" customFormat="false" ht="15" hidden="false" customHeight="true" outlineLevel="0" collapsed="false">
      <c r="A1497" s="1" t="n">
        <v>1496</v>
      </c>
      <c r="B1497" s="1" t="s">
        <v>344</v>
      </c>
      <c r="C1497" s="1" t="s">
        <v>653</v>
      </c>
      <c r="D1497" s="1" t="s">
        <v>1411</v>
      </c>
      <c r="E1497" s="1" t="s">
        <v>1569</v>
      </c>
    </row>
    <row r="1498" customFormat="false" ht="15" hidden="false" customHeight="true" outlineLevel="0" collapsed="false">
      <c r="A1498" s="1" t="n">
        <v>1497</v>
      </c>
      <c r="B1498" s="1" t="s">
        <v>204</v>
      </c>
      <c r="C1498" s="1" t="s">
        <v>966</v>
      </c>
      <c r="D1498" s="1" t="s">
        <v>51</v>
      </c>
      <c r="E1498" s="1" t="s">
        <v>1040</v>
      </c>
    </row>
    <row r="1499" customFormat="false" ht="15" hidden="false" customHeight="true" outlineLevel="0" collapsed="false">
      <c r="A1499" s="1" t="n">
        <v>1498</v>
      </c>
      <c r="B1499" s="1" t="s">
        <v>1812</v>
      </c>
      <c r="C1499" s="1" t="s">
        <v>455</v>
      </c>
      <c r="D1499" s="1" t="s">
        <v>728</v>
      </c>
      <c r="E1499" s="1" t="s">
        <v>928</v>
      </c>
    </row>
    <row r="1500" customFormat="false" ht="15" hidden="false" customHeight="true" outlineLevel="0" collapsed="false">
      <c r="A1500" s="1" t="n">
        <v>1499</v>
      </c>
      <c r="B1500" s="1" t="s">
        <v>524</v>
      </c>
      <c r="C1500" s="1" t="s">
        <v>1548</v>
      </c>
      <c r="D1500" s="1" t="s">
        <v>433</v>
      </c>
      <c r="E1500" s="1" t="s">
        <v>1813</v>
      </c>
    </row>
    <row r="1501" customFormat="false" ht="15" hidden="false" customHeight="true" outlineLevel="0" collapsed="false">
      <c r="A1501" s="1" t="n">
        <v>1500</v>
      </c>
      <c r="B1501" s="1" t="s">
        <v>1744</v>
      </c>
      <c r="C1501" s="1" t="s">
        <v>823</v>
      </c>
      <c r="D1501" s="1" t="s">
        <v>510</v>
      </c>
      <c r="E1501" s="1" t="s">
        <v>44</v>
      </c>
    </row>
    <row r="1502" customFormat="false" ht="15" hidden="false" customHeight="true" outlineLevel="0" collapsed="false">
      <c r="A1502" s="1" t="n">
        <v>1501</v>
      </c>
      <c r="B1502" s="1" t="s">
        <v>679</v>
      </c>
      <c r="C1502" s="1" t="s">
        <v>642</v>
      </c>
      <c r="D1502" s="1" t="s">
        <v>442</v>
      </c>
      <c r="E1502" s="1" t="s">
        <v>1342</v>
      </c>
    </row>
    <row r="1503" customFormat="false" ht="15" hidden="false" customHeight="true" outlineLevel="0" collapsed="false">
      <c r="A1503" s="1" t="n">
        <v>1502</v>
      </c>
      <c r="B1503" s="1" t="s">
        <v>1455</v>
      </c>
      <c r="C1503" s="1" t="s">
        <v>177</v>
      </c>
      <c r="D1503" s="1" t="s">
        <v>698</v>
      </c>
      <c r="E1503" s="1" t="s">
        <v>1465</v>
      </c>
    </row>
    <row r="1504" customFormat="false" ht="15" hidden="false" customHeight="true" outlineLevel="0" collapsed="false">
      <c r="A1504" s="1" t="n">
        <v>1503</v>
      </c>
      <c r="B1504" s="1" t="s">
        <v>255</v>
      </c>
      <c r="C1504" s="1" t="s">
        <v>1814</v>
      </c>
      <c r="D1504" s="1" t="s">
        <v>182</v>
      </c>
      <c r="E1504" s="1" t="s">
        <v>1381</v>
      </c>
    </row>
    <row r="1505" customFormat="false" ht="15" hidden="false" customHeight="true" outlineLevel="0" collapsed="false">
      <c r="A1505" s="1" t="n">
        <v>1504</v>
      </c>
      <c r="B1505" s="1" t="s">
        <v>851</v>
      </c>
      <c r="C1505" s="1" t="s">
        <v>372</v>
      </c>
      <c r="D1505" s="1" t="s">
        <v>1356</v>
      </c>
      <c r="E1505" s="1" t="s">
        <v>1815</v>
      </c>
    </row>
    <row r="1506" customFormat="false" ht="15" hidden="false" customHeight="true" outlineLevel="0" collapsed="false">
      <c r="A1506" s="1" t="n">
        <v>1505</v>
      </c>
      <c r="B1506" s="1" t="s">
        <v>708</v>
      </c>
      <c r="C1506" s="1" t="s">
        <v>515</v>
      </c>
      <c r="D1506" s="1" t="s">
        <v>342</v>
      </c>
      <c r="E1506" s="1" t="s">
        <v>1395</v>
      </c>
    </row>
    <row r="1507" customFormat="false" ht="15" hidden="false" customHeight="true" outlineLevel="0" collapsed="false">
      <c r="A1507" s="1" t="n">
        <v>1506</v>
      </c>
      <c r="B1507" s="1" t="s">
        <v>583</v>
      </c>
      <c r="C1507" s="1" t="s">
        <v>285</v>
      </c>
      <c r="D1507" s="1" t="s">
        <v>167</v>
      </c>
      <c r="E1507" s="1" t="s">
        <v>138</v>
      </c>
    </row>
    <row r="1508" customFormat="false" ht="15" hidden="false" customHeight="true" outlineLevel="0" collapsed="false">
      <c r="A1508" s="1" t="n">
        <v>1507</v>
      </c>
      <c r="B1508" s="1" t="s">
        <v>1354</v>
      </c>
      <c r="C1508" s="1" t="s">
        <v>300</v>
      </c>
      <c r="D1508" s="1" t="s">
        <v>141</v>
      </c>
      <c r="E1508" s="1" t="s">
        <v>1477</v>
      </c>
    </row>
    <row r="1509" customFormat="false" ht="15" hidden="false" customHeight="true" outlineLevel="0" collapsed="false">
      <c r="A1509" s="1" t="n">
        <v>1508</v>
      </c>
      <c r="B1509" s="1" t="s">
        <v>711</v>
      </c>
      <c r="C1509" s="1" t="s">
        <v>647</v>
      </c>
      <c r="D1509" s="1" t="s">
        <v>134</v>
      </c>
      <c r="E1509" s="1" t="s">
        <v>952</v>
      </c>
    </row>
    <row r="1510" customFormat="false" ht="15" hidden="false" customHeight="true" outlineLevel="0" collapsed="false">
      <c r="A1510" s="1" t="n">
        <v>1509</v>
      </c>
      <c r="B1510" s="1" t="s">
        <v>374</v>
      </c>
      <c r="C1510" s="1" t="s">
        <v>645</v>
      </c>
      <c r="D1510" s="1" t="s">
        <v>280</v>
      </c>
      <c r="E1510" s="1" t="s">
        <v>1162</v>
      </c>
    </row>
    <row r="1511" customFormat="false" ht="15" hidden="false" customHeight="true" outlineLevel="0" collapsed="false">
      <c r="A1511" s="1" t="n">
        <v>1510</v>
      </c>
      <c r="B1511" s="1" t="s">
        <v>186</v>
      </c>
      <c r="C1511" s="1" t="s">
        <v>1226</v>
      </c>
      <c r="D1511" s="1" t="s">
        <v>828</v>
      </c>
      <c r="E1511" s="1" t="s">
        <v>44</v>
      </c>
    </row>
    <row r="1512" customFormat="false" ht="15" hidden="false" customHeight="true" outlineLevel="0" collapsed="false">
      <c r="A1512" s="1" t="n">
        <v>1511</v>
      </c>
      <c r="B1512" s="1" t="s">
        <v>84</v>
      </c>
      <c r="C1512" s="1" t="s">
        <v>1484</v>
      </c>
      <c r="D1512" s="1" t="s">
        <v>1471</v>
      </c>
      <c r="E1512" s="1" t="s">
        <v>1342</v>
      </c>
    </row>
    <row r="1513" customFormat="false" ht="15" hidden="false" customHeight="true" outlineLevel="0" collapsed="false">
      <c r="A1513" s="1" t="n">
        <v>1512</v>
      </c>
      <c r="B1513" s="1" t="s">
        <v>295</v>
      </c>
      <c r="C1513" s="1" t="s">
        <v>425</v>
      </c>
      <c r="D1513" s="1" t="s">
        <v>934</v>
      </c>
      <c r="E1513" s="1" t="s">
        <v>674</v>
      </c>
    </row>
    <row r="1514" customFormat="false" ht="15" hidden="false" customHeight="true" outlineLevel="0" collapsed="false">
      <c r="A1514" s="1" t="n">
        <v>1513</v>
      </c>
      <c r="B1514" s="1" t="s">
        <v>1314</v>
      </c>
      <c r="C1514" s="1" t="s">
        <v>1574</v>
      </c>
      <c r="D1514" s="1" t="s">
        <v>1055</v>
      </c>
      <c r="E1514" s="1" t="s">
        <v>1483</v>
      </c>
    </row>
    <row r="1515" customFormat="false" ht="15" hidden="false" customHeight="true" outlineLevel="0" collapsed="false">
      <c r="A1515" s="1" t="n">
        <v>1514</v>
      </c>
      <c r="B1515" s="1" t="s">
        <v>689</v>
      </c>
      <c r="C1515" s="1" t="s">
        <v>375</v>
      </c>
      <c r="D1515" s="1" t="s">
        <v>185</v>
      </c>
      <c r="E1515" s="1" t="s">
        <v>1816</v>
      </c>
    </row>
    <row r="1516" customFormat="false" ht="15" hidden="false" customHeight="true" outlineLevel="0" collapsed="false">
      <c r="A1516" s="1" t="n">
        <v>1515</v>
      </c>
      <c r="B1516" s="1" t="s">
        <v>1618</v>
      </c>
      <c r="C1516" s="1" t="s">
        <v>604</v>
      </c>
      <c r="D1516" s="1" t="s">
        <v>556</v>
      </c>
      <c r="E1516" s="1" t="s">
        <v>1817</v>
      </c>
    </row>
    <row r="1517" customFormat="false" ht="15" hidden="false" customHeight="true" outlineLevel="0" collapsed="false">
      <c r="A1517" s="1" t="n">
        <v>1516</v>
      </c>
      <c r="B1517" s="1" t="s">
        <v>9</v>
      </c>
      <c r="C1517" s="1" t="s">
        <v>461</v>
      </c>
      <c r="D1517" s="1" t="s">
        <v>936</v>
      </c>
      <c r="E1517" s="1" t="s">
        <v>1818</v>
      </c>
    </row>
    <row r="1518" customFormat="false" ht="15" hidden="false" customHeight="true" outlineLevel="0" collapsed="false">
      <c r="A1518" s="1" t="n">
        <v>1517</v>
      </c>
      <c r="B1518" s="1" t="s">
        <v>1014</v>
      </c>
      <c r="C1518" s="1" t="s">
        <v>333</v>
      </c>
      <c r="D1518" s="1" t="s">
        <v>137</v>
      </c>
      <c r="E1518" s="1" t="s">
        <v>268</v>
      </c>
    </row>
    <row r="1519" customFormat="false" ht="15" hidden="false" customHeight="true" outlineLevel="0" collapsed="false">
      <c r="A1519" s="1" t="n">
        <v>1518</v>
      </c>
      <c r="B1519" s="1" t="s">
        <v>817</v>
      </c>
      <c r="C1519" s="1" t="s">
        <v>118</v>
      </c>
      <c r="D1519" s="1" t="s">
        <v>698</v>
      </c>
      <c r="E1519" s="1" t="s">
        <v>1819</v>
      </c>
    </row>
    <row r="1520" customFormat="false" ht="15" hidden="false" customHeight="true" outlineLevel="0" collapsed="false">
      <c r="A1520" s="1" t="n">
        <v>1519</v>
      </c>
      <c r="B1520" s="1" t="s">
        <v>1473</v>
      </c>
      <c r="C1520" s="1" t="s">
        <v>634</v>
      </c>
      <c r="D1520" s="1" t="s">
        <v>235</v>
      </c>
      <c r="E1520" s="1" t="s">
        <v>1659</v>
      </c>
    </row>
    <row r="1521" customFormat="false" ht="15" hidden="false" customHeight="true" outlineLevel="0" collapsed="false">
      <c r="A1521" s="1" t="n">
        <v>1520</v>
      </c>
      <c r="B1521" s="1" t="s">
        <v>1135</v>
      </c>
      <c r="C1521" s="1" t="s">
        <v>321</v>
      </c>
      <c r="D1521" s="1" t="s">
        <v>345</v>
      </c>
      <c r="E1521" s="1" t="s">
        <v>44</v>
      </c>
    </row>
    <row r="1522" customFormat="false" ht="15" hidden="false" customHeight="true" outlineLevel="0" collapsed="false">
      <c r="A1522" s="1" t="n">
        <v>1521</v>
      </c>
      <c r="B1522" s="1" t="s">
        <v>826</v>
      </c>
      <c r="C1522" s="1" t="s">
        <v>244</v>
      </c>
      <c r="D1522" s="1" t="s">
        <v>578</v>
      </c>
      <c r="E1522" s="1" t="s">
        <v>1591</v>
      </c>
    </row>
    <row r="1523" customFormat="false" ht="15" hidden="false" customHeight="true" outlineLevel="0" collapsed="false">
      <c r="A1523" s="1" t="n">
        <v>1522</v>
      </c>
      <c r="B1523" s="1" t="s">
        <v>817</v>
      </c>
      <c r="C1523" s="1" t="s">
        <v>112</v>
      </c>
      <c r="D1523" s="1" t="s">
        <v>419</v>
      </c>
      <c r="E1523" s="1" t="s">
        <v>431</v>
      </c>
    </row>
    <row r="1524" customFormat="false" ht="15" hidden="false" customHeight="true" outlineLevel="0" collapsed="false">
      <c r="A1524" s="1" t="n">
        <v>1523</v>
      </c>
      <c r="B1524" s="1" t="s">
        <v>180</v>
      </c>
      <c r="C1524" s="1" t="s">
        <v>745</v>
      </c>
      <c r="D1524" s="1" t="s">
        <v>909</v>
      </c>
      <c r="E1524" s="1" t="s">
        <v>1820</v>
      </c>
    </row>
    <row r="1525" customFormat="false" ht="15" hidden="false" customHeight="true" outlineLevel="0" collapsed="false">
      <c r="A1525" s="1" t="n">
        <v>1524</v>
      </c>
      <c r="B1525" s="1" t="s">
        <v>332</v>
      </c>
      <c r="C1525" s="1" t="s">
        <v>962</v>
      </c>
      <c r="D1525" s="1" t="s">
        <v>667</v>
      </c>
      <c r="E1525" s="1" t="s">
        <v>1821</v>
      </c>
    </row>
    <row r="1526" customFormat="false" ht="15" hidden="false" customHeight="true" outlineLevel="0" collapsed="false">
      <c r="A1526" s="1" t="n">
        <v>1525</v>
      </c>
      <c r="B1526" s="1" t="s">
        <v>1111</v>
      </c>
      <c r="C1526" s="1" t="s">
        <v>154</v>
      </c>
      <c r="D1526" s="1" t="s">
        <v>728</v>
      </c>
      <c r="E1526" s="1" t="s">
        <v>261</v>
      </c>
    </row>
    <row r="1527" customFormat="false" ht="15" hidden="false" customHeight="true" outlineLevel="0" collapsed="false">
      <c r="A1527" s="1" t="n">
        <v>1526</v>
      </c>
      <c r="B1527" s="1" t="s">
        <v>472</v>
      </c>
      <c r="C1527" s="1" t="s">
        <v>1822</v>
      </c>
      <c r="D1527" s="1" t="s">
        <v>1272</v>
      </c>
      <c r="E1527" s="1" t="s">
        <v>1756</v>
      </c>
    </row>
    <row r="1528" customFormat="false" ht="15" hidden="false" customHeight="true" outlineLevel="0" collapsed="false">
      <c r="A1528" s="1" t="n">
        <v>1527</v>
      </c>
      <c r="B1528" s="1" t="s">
        <v>1011</v>
      </c>
      <c r="C1528" s="1" t="s">
        <v>1466</v>
      </c>
      <c r="D1528" s="1" t="s">
        <v>190</v>
      </c>
      <c r="E1528" s="1" t="s">
        <v>513</v>
      </c>
    </row>
    <row r="1529" customFormat="false" ht="15" hidden="false" customHeight="true" outlineLevel="0" collapsed="false">
      <c r="A1529" s="1" t="n">
        <v>1528</v>
      </c>
      <c r="B1529" s="1" t="s">
        <v>929</v>
      </c>
      <c r="C1529" s="1" t="s">
        <v>54</v>
      </c>
      <c r="D1529" s="1" t="s">
        <v>109</v>
      </c>
      <c r="E1529" s="1" t="s">
        <v>1467</v>
      </c>
    </row>
    <row r="1530" customFormat="false" ht="15" hidden="false" customHeight="true" outlineLevel="0" collapsed="false">
      <c r="A1530" s="1" t="n">
        <v>1529</v>
      </c>
      <c r="B1530" s="1" t="s">
        <v>1114</v>
      </c>
      <c r="C1530" s="1" t="s">
        <v>1642</v>
      </c>
      <c r="D1530" s="1" t="s">
        <v>101</v>
      </c>
      <c r="E1530" s="1" t="s">
        <v>1823</v>
      </c>
    </row>
    <row r="1531" customFormat="false" ht="15" hidden="false" customHeight="true" outlineLevel="0" collapsed="false">
      <c r="A1531" s="1" t="n">
        <v>1530</v>
      </c>
      <c r="B1531" s="1" t="s">
        <v>33</v>
      </c>
      <c r="C1531" s="1" t="s">
        <v>387</v>
      </c>
      <c r="D1531" s="1" t="s">
        <v>578</v>
      </c>
      <c r="E1531" s="1" t="s">
        <v>44</v>
      </c>
    </row>
    <row r="1532" customFormat="false" ht="15" hidden="false" customHeight="true" outlineLevel="0" collapsed="false">
      <c r="A1532" s="1" t="n">
        <v>1531</v>
      </c>
      <c r="B1532" s="1" t="s">
        <v>88</v>
      </c>
      <c r="C1532" s="1" t="s">
        <v>1098</v>
      </c>
      <c r="D1532" s="1" t="s">
        <v>549</v>
      </c>
      <c r="E1532" s="1" t="s">
        <v>1694</v>
      </c>
    </row>
    <row r="1533" customFormat="false" ht="15" hidden="false" customHeight="true" outlineLevel="0" collapsed="false">
      <c r="A1533" s="1" t="n">
        <v>1532</v>
      </c>
      <c r="B1533" s="1" t="s">
        <v>929</v>
      </c>
      <c r="C1533" s="1" t="s">
        <v>181</v>
      </c>
      <c r="D1533" s="1" t="s">
        <v>758</v>
      </c>
      <c r="E1533" s="1" t="s">
        <v>1366</v>
      </c>
    </row>
    <row r="1534" customFormat="false" ht="15" hidden="false" customHeight="true" outlineLevel="0" collapsed="false">
      <c r="A1534" s="1" t="n">
        <v>1533</v>
      </c>
      <c r="B1534" s="1" t="s">
        <v>335</v>
      </c>
      <c r="C1534" s="1" t="s">
        <v>1553</v>
      </c>
      <c r="D1534" s="1" t="s">
        <v>249</v>
      </c>
      <c r="E1534" s="1" t="s">
        <v>336</v>
      </c>
    </row>
    <row r="1535" customFormat="false" ht="15" hidden="false" customHeight="true" outlineLevel="0" collapsed="false">
      <c r="A1535" s="1" t="n">
        <v>1534</v>
      </c>
      <c r="B1535" s="1" t="s">
        <v>1788</v>
      </c>
      <c r="C1535" s="1" t="s">
        <v>438</v>
      </c>
      <c r="D1535" s="1" t="s">
        <v>882</v>
      </c>
      <c r="E1535" s="1" t="s">
        <v>1049</v>
      </c>
    </row>
    <row r="1536" customFormat="false" ht="15" hidden="false" customHeight="true" outlineLevel="0" collapsed="false">
      <c r="A1536" s="1" t="n">
        <v>1535</v>
      </c>
      <c r="B1536" s="1" t="s">
        <v>703</v>
      </c>
      <c r="C1536" s="1" t="s">
        <v>292</v>
      </c>
      <c r="D1536" s="1" t="s">
        <v>1165</v>
      </c>
      <c r="E1536" s="1" t="s">
        <v>1250</v>
      </c>
    </row>
    <row r="1537" customFormat="false" ht="15" hidden="false" customHeight="true" outlineLevel="0" collapsed="false">
      <c r="A1537" s="1" t="n">
        <v>1536</v>
      </c>
      <c r="B1537" s="1" t="s">
        <v>1640</v>
      </c>
      <c r="C1537" s="1" t="s">
        <v>1429</v>
      </c>
      <c r="D1537" s="1" t="s">
        <v>257</v>
      </c>
      <c r="E1537" s="1" t="s">
        <v>1552</v>
      </c>
    </row>
    <row r="1538" customFormat="false" ht="15" hidden="false" customHeight="true" outlineLevel="0" collapsed="false">
      <c r="A1538" s="1" t="n">
        <v>1537</v>
      </c>
      <c r="B1538" s="1" t="s">
        <v>817</v>
      </c>
      <c r="C1538" s="1" t="s">
        <v>253</v>
      </c>
      <c r="D1538" s="1" t="s">
        <v>516</v>
      </c>
      <c r="E1538" s="1" t="s">
        <v>1824</v>
      </c>
    </row>
    <row r="1539" customFormat="false" ht="15" hidden="false" customHeight="true" outlineLevel="0" collapsed="false">
      <c r="A1539" s="1" t="n">
        <v>1538</v>
      </c>
      <c r="B1539" s="1" t="s">
        <v>822</v>
      </c>
      <c r="C1539" s="1" t="s">
        <v>670</v>
      </c>
      <c r="D1539" s="1" t="s">
        <v>1795</v>
      </c>
      <c r="E1539" s="1" t="s">
        <v>1063</v>
      </c>
    </row>
    <row r="1540" customFormat="false" ht="15" hidden="false" customHeight="true" outlineLevel="0" collapsed="false">
      <c r="A1540" s="1" t="n">
        <v>1539</v>
      </c>
      <c r="B1540" s="1" t="s">
        <v>648</v>
      </c>
      <c r="C1540" s="1" t="s">
        <v>1015</v>
      </c>
      <c r="D1540" s="1" t="s">
        <v>530</v>
      </c>
      <c r="E1540" s="1" t="s">
        <v>224</v>
      </c>
    </row>
    <row r="1541" customFormat="false" ht="15" hidden="false" customHeight="true" outlineLevel="0" collapsed="false">
      <c r="A1541" s="1" t="n">
        <v>1540</v>
      </c>
      <c r="B1541" s="1" t="s">
        <v>147</v>
      </c>
      <c r="C1541" s="1" t="s">
        <v>778</v>
      </c>
      <c r="D1541" s="1" t="s">
        <v>855</v>
      </c>
      <c r="E1541" s="1" t="s">
        <v>44</v>
      </c>
    </row>
    <row r="1542" customFormat="false" ht="15" hidden="false" customHeight="true" outlineLevel="0" collapsed="false">
      <c r="A1542" s="1" t="n">
        <v>1541</v>
      </c>
      <c r="B1542" s="1" t="s">
        <v>188</v>
      </c>
      <c r="C1542" s="1" t="s">
        <v>1565</v>
      </c>
      <c r="D1542" s="1" t="s">
        <v>807</v>
      </c>
      <c r="E1542" s="1" t="s">
        <v>1825</v>
      </c>
    </row>
    <row r="1543" customFormat="false" ht="15" hidden="false" customHeight="true" outlineLevel="0" collapsed="false">
      <c r="A1543" s="1" t="n">
        <v>1542</v>
      </c>
      <c r="B1543" s="1" t="s">
        <v>533</v>
      </c>
      <c r="C1543" s="1" t="s">
        <v>1758</v>
      </c>
      <c r="D1543" s="1" t="s">
        <v>675</v>
      </c>
      <c r="E1543" s="1" t="s">
        <v>1705</v>
      </c>
    </row>
    <row r="1544" customFormat="false" ht="15" hidden="false" customHeight="true" outlineLevel="0" collapsed="false">
      <c r="A1544" s="1" t="n">
        <v>1543</v>
      </c>
      <c r="B1544" s="1" t="s">
        <v>1220</v>
      </c>
      <c r="C1544" s="1" t="s">
        <v>1792</v>
      </c>
      <c r="D1544" s="1" t="s">
        <v>235</v>
      </c>
      <c r="E1544" s="1" t="s">
        <v>1734</v>
      </c>
    </row>
    <row r="1545" customFormat="false" ht="15" hidden="false" customHeight="true" outlineLevel="0" collapsed="false">
      <c r="A1545" s="1" t="n">
        <v>1544</v>
      </c>
      <c r="B1545" s="1" t="s">
        <v>623</v>
      </c>
      <c r="C1545" s="1" t="s">
        <v>992</v>
      </c>
      <c r="D1545" s="1" t="s">
        <v>339</v>
      </c>
      <c r="E1545" s="1" t="s">
        <v>1659</v>
      </c>
    </row>
    <row r="1546" customFormat="false" ht="15" hidden="false" customHeight="true" outlineLevel="0" collapsed="false">
      <c r="A1546" s="1" t="n">
        <v>1545</v>
      </c>
      <c r="B1546" s="1" t="s">
        <v>590</v>
      </c>
      <c r="C1546" s="1" t="s">
        <v>1545</v>
      </c>
      <c r="D1546" s="1" t="s">
        <v>39</v>
      </c>
      <c r="E1546" s="1" t="s">
        <v>95</v>
      </c>
    </row>
    <row r="1547" customFormat="false" ht="15" hidden="false" customHeight="true" outlineLevel="0" collapsed="false">
      <c r="A1547" s="1" t="n">
        <v>1546</v>
      </c>
      <c r="B1547" s="1" t="s">
        <v>713</v>
      </c>
      <c r="C1547" s="1" t="s">
        <v>1656</v>
      </c>
      <c r="D1547" s="1" t="s">
        <v>468</v>
      </c>
      <c r="E1547" s="1" t="s">
        <v>1594</v>
      </c>
    </row>
    <row r="1548" customFormat="false" ht="15" hidden="false" customHeight="true" outlineLevel="0" collapsed="false">
      <c r="A1548" s="1" t="n">
        <v>1547</v>
      </c>
      <c r="B1548" s="1" t="s">
        <v>1779</v>
      </c>
      <c r="C1548" s="1" t="s">
        <v>749</v>
      </c>
      <c r="D1548" s="1" t="s">
        <v>1208</v>
      </c>
      <c r="E1548" s="1" t="s">
        <v>897</v>
      </c>
    </row>
    <row r="1549" customFormat="false" ht="15" hidden="false" customHeight="true" outlineLevel="0" collapsed="false">
      <c r="A1549" s="1" t="n">
        <v>1548</v>
      </c>
      <c r="B1549" s="1" t="s">
        <v>920</v>
      </c>
      <c r="C1549" s="1" t="s">
        <v>547</v>
      </c>
      <c r="D1549" s="1" t="s">
        <v>220</v>
      </c>
      <c r="E1549" s="1" t="s">
        <v>1209</v>
      </c>
    </row>
    <row r="1550" customFormat="false" ht="15" hidden="false" customHeight="true" outlineLevel="0" collapsed="false">
      <c r="A1550" s="1" t="n">
        <v>1549</v>
      </c>
      <c r="B1550" s="1" t="s">
        <v>743</v>
      </c>
      <c r="C1550" s="1" t="s">
        <v>1013</v>
      </c>
      <c r="D1550" s="1" t="s">
        <v>1826</v>
      </c>
      <c r="E1550" s="1" t="s">
        <v>1776</v>
      </c>
    </row>
    <row r="1551" customFormat="false" ht="15" hidden="false" customHeight="true" outlineLevel="0" collapsed="false">
      <c r="A1551" s="1" t="n">
        <v>1550</v>
      </c>
      <c r="B1551" s="1" t="s">
        <v>1589</v>
      </c>
      <c r="C1551" s="1" t="s">
        <v>562</v>
      </c>
      <c r="D1551" s="1" t="s">
        <v>1356</v>
      </c>
      <c r="E1551" s="1" t="s">
        <v>44</v>
      </c>
    </row>
    <row r="1552" customFormat="false" ht="15" hidden="false" customHeight="true" outlineLevel="0" collapsed="false">
      <c r="A1552" s="1" t="n">
        <v>1551</v>
      </c>
      <c r="B1552" s="1" t="s">
        <v>1677</v>
      </c>
      <c r="C1552" s="1" t="s">
        <v>1086</v>
      </c>
      <c r="D1552" s="1" t="s">
        <v>681</v>
      </c>
      <c r="E1552" s="1" t="s">
        <v>1152</v>
      </c>
    </row>
    <row r="1553" customFormat="false" ht="15" hidden="false" customHeight="true" outlineLevel="0" collapsed="false">
      <c r="A1553" s="1" t="n">
        <v>1552</v>
      </c>
      <c r="B1553" s="1" t="s">
        <v>831</v>
      </c>
      <c r="C1553" s="1" t="s">
        <v>606</v>
      </c>
      <c r="D1553" s="1" t="s">
        <v>330</v>
      </c>
      <c r="E1553" s="1" t="s">
        <v>1805</v>
      </c>
    </row>
    <row r="1554" customFormat="false" ht="15" hidden="false" customHeight="true" outlineLevel="0" collapsed="false">
      <c r="A1554" s="1" t="n">
        <v>1553</v>
      </c>
      <c r="B1554" s="1" t="s">
        <v>1117</v>
      </c>
      <c r="C1554" s="1" t="s">
        <v>1140</v>
      </c>
      <c r="D1554" s="1" t="s">
        <v>185</v>
      </c>
      <c r="E1554" s="1" t="s">
        <v>1550</v>
      </c>
    </row>
    <row r="1555" customFormat="false" ht="15" hidden="false" customHeight="true" outlineLevel="0" collapsed="false">
      <c r="A1555" s="1" t="n">
        <v>1554</v>
      </c>
      <c r="B1555" s="1" t="s">
        <v>1827</v>
      </c>
      <c r="C1555" s="1" t="s">
        <v>260</v>
      </c>
      <c r="D1555" s="1" t="s">
        <v>223</v>
      </c>
      <c r="E1555" s="1" t="s">
        <v>1722</v>
      </c>
    </row>
    <row r="1556" customFormat="false" ht="15" hidden="false" customHeight="true" outlineLevel="0" collapsed="false">
      <c r="A1556" s="1" t="n">
        <v>1555</v>
      </c>
      <c r="B1556" s="1" t="s">
        <v>320</v>
      </c>
      <c r="C1556" s="1" t="s">
        <v>230</v>
      </c>
      <c r="D1556" s="1" t="s">
        <v>275</v>
      </c>
      <c r="E1556" s="1" t="s">
        <v>1211</v>
      </c>
    </row>
    <row r="1557" customFormat="false" ht="15" hidden="false" customHeight="true" outlineLevel="0" collapsed="false">
      <c r="A1557" s="1" t="n">
        <v>1556</v>
      </c>
      <c r="B1557" s="1" t="s">
        <v>1704</v>
      </c>
      <c r="C1557" s="1" t="s">
        <v>505</v>
      </c>
      <c r="D1557" s="1" t="s">
        <v>137</v>
      </c>
      <c r="E1557" s="1" t="s">
        <v>1582</v>
      </c>
    </row>
    <row r="1558" customFormat="false" ht="15" hidden="false" customHeight="true" outlineLevel="0" collapsed="false">
      <c r="A1558" s="1" t="n">
        <v>1557</v>
      </c>
      <c r="B1558" s="1" t="s">
        <v>1131</v>
      </c>
      <c r="C1558" s="1" t="s">
        <v>126</v>
      </c>
      <c r="D1558" s="1" t="s">
        <v>23</v>
      </c>
      <c r="E1558" s="1" t="s">
        <v>927</v>
      </c>
    </row>
    <row r="1559" customFormat="false" ht="15" hidden="false" customHeight="true" outlineLevel="0" collapsed="false">
      <c r="A1559" s="1" t="n">
        <v>1558</v>
      </c>
      <c r="B1559" s="1" t="s">
        <v>499</v>
      </c>
      <c r="C1559" s="1" t="s">
        <v>1460</v>
      </c>
      <c r="D1559" s="1" t="s">
        <v>488</v>
      </c>
      <c r="E1559" s="1" t="s">
        <v>1764</v>
      </c>
    </row>
    <row r="1560" customFormat="false" ht="15" hidden="false" customHeight="true" outlineLevel="0" collapsed="false">
      <c r="A1560" s="1" t="n">
        <v>1559</v>
      </c>
      <c r="B1560" s="1" t="s">
        <v>1156</v>
      </c>
      <c r="C1560" s="1" t="s">
        <v>285</v>
      </c>
      <c r="D1560" s="1" t="s">
        <v>419</v>
      </c>
      <c r="E1560" s="1" t="s">
        <v>1828</v>
      </c>
    </row>
    <row r="1561" customFormat="false" ht="15" hidden="false" customHeight="true" outlineLevel="0" collapsed="false">
      <c r="A1561" s="1" t="n">
        <v>1560</v>
      </c>
      <c r="B1561" s="1" t="s">
        <v>1119</v>
      </c>
      <c r="C1561" s="1" t="s">
        <v>438</v>
      </c>
      <c r="D1561" s="1" t="s">
        <v>330</v>
      </c>
      <c r="E1561" s="1" t="s">
        <v>44</v>
      </c>
    </row>
    <row r="1562" customFormat="false" ht="15" hidden="false" customHeight="true" outlineLevel="0" collapsed="false">
      <c r="A1562" s="1" t="n">
        <v>1561</v>
      </c>
      <c r="B1562" s="1" t="s">
        <v>60</v>
      </c>
      <c r="C1562" s="1" t="s">
        <v>1174</v>
      </c>
      <c r="D1562" s="1" t="s">
        <v>182</v>
      </c>
      <c r="E1562" s="1" t="s">
        <v>1064</v>
      </c>
    </row>
    <row r="1563" customFormat="false" ht="15" hidden="false" customHeight="true" outlineLevel="0" collapsed="false">
      <c r="A1563" s="1" t="n">
        <v>1562</v>
      </c>
      <c r="B1563" s="1" t="s">
        <v>1227</v>
      </c>
      <c r="C1563" s="1" t="s">
        <v>1629</v>
      </c>
      <c r="D1563" s="1" t="s">
        <v>1081</v>
      </c>
      <c r="E1563" s="1" t="s">
        <v>1707</v>
      </c>
    </row>
    <row r="1564" customFormat="false" ht="15" hidden="false" customHeight="true" outlineLevel="0" collapsed="false">
      <c r="A1564" s="1" t="n">
        <v>1563</v>
      </c>
      <c r="B1564" s="1" t="s">
        <v>1018</v>
      </c>
      <c r="C1564" s="1" t="s">
        <v>749</v>
      </c>
      <c r="D1564" s="1" t="s">
        <v>753</v>
      </c>
      <c r="E1564" s="1" t="s">
        <v>376</v>
      </c>
    </row>
    <row r="1565" customFormat="false" ht="15" hidden="false" customHeight="true" outlineLevel="0" collapsed="false">
      <c r="A1565" s="1" t="n">
        <v>1564</v>
      </c>
      <c r="B1565" s="1" t="s">
        <v>1829</v>
      </c>
      <c r="C1565" s="1" t="s">
        <v>962</v>
      </c>
      <c r="D1565" s="1" t="s">
        <v>194</v>
      </c>
      <c r="E1565" s="1" t="s">
        <v>1682</v>
      </c>
    </row>
    <row r="1566" customFormat="false" ht="15" hidden="false" customHeight="true" outlineLevel="0" collapsed="false">
      <c r="A1566" s="1" t="n">
        <v>1565</v>
      </c>
      <c r="B1566" s="1" t="s">
        <v>1593</v>
      </c>
      <c r="C1566" s="1" t="s">
        <v>38</v>
      </c>
      <c r="D1566" s="1" t="s">
        <v>1731</v>
      </c>
      <c r="E1566" s="1" t="s">
        <v>1830</v>
      </c>
    </row>
    <row r="1567" customFormat="false" ht="15" hidden="false" customHeight="true" outlineLevel="0" collapsed="false">
      <c r="A1567" s="1" t="n">
        <v>1566</v>
      </c>
      <c r="B1567" s="1" t="s">
        <v>1831</v>
      </c>
      <c r="C1567" s="1" t="s">
        <v>693</v>
      </c>
      <c r="D1567" s="1" t="s">
        <v>289</v>
      </c>
      <c r="E1567" s="1" t="s">
        <v>1577</v>
      </c>
    </row>
    <row r="1568" customFormat="false" ht="15" hidden="false" customHeight="true" outlineLevel="0" collapsed="false">
      <c r="A1568" s="1" t="n">
        <v>1567</v>
      </c>
      <c r="B1568" s="1" t="s">
        <v>669</v>
      </c>
      <c r="C1568" s="1" t="s">
        <v>891</v>
      </c>
      <c r="D1568" s="1" t="s">
        <v>249</v>
      </c>
      <c r="E1568" s="1" t="s">
        <v>1412</v>
      </c>
    </row>
    <row r="1569" customFormat="false" ht="15" hidden="false" customHeight="true" outlineLevel="0" collapsed="false">
      <c r="A1569" s="1" t="n">
        <v>1568</v>
      </c>
      <c r="B1569" s="1" t="s">
        <v>541</v>
      </c>
      <c r="C1569" s="1" t="s">
        <v>72</v>
      </c>
      <c r="D1569" s="1" t="s">
        <v>137</v>
      </c>
      <c r="E1569" s="1" t="s">
        <v>1734</v>
      </c>
    </row>
    <row r="1570" customFormat="false" ht="15" hidden="false" customHeight="true" outlineLevel="0" collapsed="false">
      <c r="A1570" s="1" t="n">
        <v>1569</v>
      </c>
      <c r="B1570" s="1" t="s">
        <v>452</v>
      </c>
      <c r="C1570" s="1" t="s">
        <v>500</v>
      </c>
      <c r="D1570" s="1" t="s">
        <v>837</v>
      </c>
      <c r="E1570" s="1" t="s">
        <v>1058</v>
      </c>
    </row>
    <row r="1571" customFormat="false" ht="15" hidden="false" customHeight="true" outlineLevel="0" collapsed="false">
      <c r="A1571" s="1" t="n">
        <v>1570</v>
      </c>
      <c r="B1571" s="1" t="s">
        <v>222</v>
      </c>
      <c r="C1571" s="1" t="s">
        <v>1253</v>
      </c>
      <c r="D1571" s="1" t="s">
        <v>869</v>
      </c>
      <c r="E1571" s="1" t="s">
        <v>44</v>
      </c>
    </row>
    <row r="1572" customFormat="false" ht="15" hidden="false" customHeight="true" outlineLevel="0" collapsed="false">
      <c r="A1572" s="1" t="n">
        <v>1571</v>
      </c>
      <c r="B1572" s="1" t="s">
        <v>1108</v>
      </c>
      <c r="C1572" s="1" t="s">
        <v>843</v>
      </c>
      <c r="D1572" s="1" t="s">
        <v>1795</v>
      </c>
      <c r="E1572" s="1" t="s">
        <v>1697</v>
      </c>
    </row>
    <row r="1573" customFormat="false" ht="15" hidden="false" customHeight="true" outlineLevel="0" collapsed="false">
      <c r="A1573" s="1" t="n">
        <v>1572</v>
      </c>
      <c r="B1573" s="1" t="s">
        <v>706</v>
      </c>
      <c r="C1573" s="1" t="s">
        <v>1015</v>
      </c>
      <c r="D1573" s="1" t="s">
        <v>353</v>
      </c>
      <c r="E1573" s="1" t="s">
        <v>1678</v>
      </c>
    </row>
    <row r="1574" customFormat="false" ht="15" hidden="false" customHeight="true" outlineLevel="0" collapsed="false">
      <c r="A1574" s="1" t="n">
        <v>1573</v>
      </c>
      <c r="B1574" s="1" t="s">
        <v>188</v>
      </c>
      <c r="C1574" s="1" t="s">
        <v>775</v>
      </c>
      <c r="D1574" s="1" t="s">
        <v>356</v>
      </c>
      <c r="E1574" s="1" t="s">
        <v>1832</v>
      </c>
    </row>
    <row r="1575" customFormat="false" ht="15" hidden="false" customHeight="true" outlineLevel="0" collapsed="false">
      <c r="A1575" s="1" t="n">
        <v>1574</v>
      </c>
      <c r="B1575" s="1" t="s">
        <v>817</v>
      </c>
      <c r="C1575" s="1" t="s">
        <v>562</v>
      </c>
      <c r="D1575" s="1" t="s">
        <v>411</v>
      </c>
      <c r="E1575" s="1" t="s">
        <v>270</v>
      </c>
    </row>
    <row r="1576" customFormat="false" ht="15" hidden="false" customHeight="true" outlineLevel="0" collapsed="false">
      <c r="A1576" s="1" t="n">
        <v>1575</v>
      </c>
      <c r="B1576" s="1" t="s">
        <v>1833</v>
      </c>
      <c r="C1576" s="1" t="s">
        <v>177</v>
      </c>
      <c r="D1576" s="1" t="s">
        <v>1265</v>
      </c>
      <c r="E1576" s="1" t="s">
        <v>1834</v>
      </c>
    </row>
    <row r="1577" customFormat="false" ht="15" hidden="false" customHeight="true" outlineLevel="0" collapsed="false">
      <c r="A1577" s="1" t="n">
        <v>1576</v>
      </c>
      <c r="B1577" s="1" t="s">
        <v>873</v>
      </c>
      <c r="C1577" s="1" t="s">
        <v>1351</v>
      </c>
      <c r="D1577" s="1" t="s">
        <v>356</v>
      </c>
      <c r="E1577" s="1" t="s">
        <v>1177</v>
      </c>
    </row>
    <row r="1578" customFormat="false" ht="15" hidden="false" customHeight="true" outlineLevel="0" collapsed="false">
      <c r="A1578" s="1" t="n">
        <v>1577</v>
      </c>
      <c r="B1578" s="1" t="s">
        <v>961</v>
      </c>
      <c r="C1578" s="1" t="s">
        <v>1038</v>
      </c>
      <c r="D1578" s="1" t="s">
        <v>900</v>
      </c>
      <c r="E1578" s="1" t="s">
        <v>765</v>
      </c>
    </row>
    <row r="1579" customFormat="false" ht="15" hidden="false" customHeight="true" outlineLevel="0" collapsed="false">
      <c r="A1579" s="1" t="n">
        <v>1578</v>
      </c>
      <c r="B1579" s="1" t="s">
        <v>351</v>
      </c>
      <c r="C1579" s="1" t="s">
        <v>1136</v>
      </c>
      <c r="D1579" s="1" t="s">
        <v>155</v>
      </c>
      <c r="E1579" s="1" t="s">
        <v>1259</v>
      </c>
    </row>
    <row r="1580" customFormat="false" ht="15" hidden="false" customHeight="true" outlineLevel="0" collapsed="false">
      <c r="A1580" s="1" t="n">
        <v>1579</v>
      </c>
      <c r="B1580" s="1" t="s">
        <v>1708</v>
      </c>
      <c r="C1580" s="1" t="s">
        <v>444</v>
      </c>
      <c r="D1580" s="1" t="s">
        <v>578</v>
      </c>
      <c r="E1580" s="1" t="s">
        <v>1347</v>
      </c>
    </row>
    <row r="1581" customFormat="false" ht="15" hidden="false" customHeight="true" outlineLevel="0" collapsed="false">
      <c r="A1581" s="1" t="n">
        <v>1580</v>
      </c>
      <c r="B1581" s="1" t="s">
        <v>648</v>
      </c>
      <c r="C1581" s="1" t="s">
        <v>1253</v>
      </c>
      <c r="D1581" s="1" t="s">
        <v>698</v>
      </c>
      <c r="E1581" s="1" t="s">
        <v>44</v>
      </c>
    </row>
    <row r="1582" customFormat="false" ht="15" hidden="false" customHeight="true" outlineLevel="0" collapsed="false">
      <c r="A1582" s="1" t="n">
        <v>1581</v>
      </c>
      <c r="B1582" s="1" t="s">
        <v>813</v>
      </c>
      <c r="C1582" s="1" t="s">
        <v>418</v>
      </c>
      <c r="D1582" s="1" t="s">
        <v>536</v>
      </c>
      <c r="E1582" s="1" t="s">
        <v>1835</v>
      </c>
    </row>
    <row r="1583" customFormat="false" ht="15" hidden="false" customHeight="true" outlineLevel="0" collapsed="false">
      <c r="A1583" s="1" t="n">
        <v>1582</v>
      </c>
      <c r="B1583" s="1" t="s">
        <v>711</v>
      </c>
      <c r="C1583" s="1" t="s">
        <v>244</v>
      </c>
      <c r="D1583" s="1" t="s">
        <v>73</v>
      </c>
      <c r="E1583" s="1" t="s">
        <v>1748</v>
      </c>
    </row>
    <row r="1584" customFormat="false" ht="15" hidden="false" customHeight="true" outlineLevel="0" collapsed="false">
      <c r="A1584" s="1" t="n">
        <v>1583</v>
      </c>
      <c r="B1584" s="1" t="s">
        <v>862</v>
      </c>
      <c r="C1584" s="1" t="s">
        <v>292</v>
      </c>
      <c r="D1584" s="1" t="s">
        <v>1249</v>
      </c>
      <c r="E1584" s="1" t="s">
        <v>776</v>
      </c>
    </row>
    <row r="1585" customFormat="false" ht="15" hidden="false" customHeight="true" outlineLevel="0" collapsed="false">
      <c r="A1585" s="1" t="n">
        <v>1584</v>
      </c>
      <c r="B1585" s="1" t="s">
        <v>251</v>
      </c>
      <c r="C1585" s="1" t="s">
        <v>202</v>
      </c>
      <c r="D1585" s="1" t="s">
        <v>254</v>
      </c>
      <c r="E1585" s="1" t="s">
        <v>692</v>
      </c>
    </row>
    <row r="1586" customFormat="false" ht="15" hidden="false" customHeight="true" outlineLevel="0" collapsed="false">
      <c r="A1586" s="1" t="n">
        <v>1585</v>
      </c>
      <c r="B1586" s="1" t="s">
        <v>1138</v>
      </c>
      <c r="C1586" s="1" t="s">
        <v>112</v>
      </c>
      <c r="D1586" s="1" t="s">
        <v>456</v>
      </c>
      <c r="E1586" s="1" t="s">
        <v>1643</v>
      </c>
    </row>
    <row r="1587" customFormat="false" ht="15" hidden="false" customHeight="true" outlineLevel="0" collapsed="false">
      <c r="A1587" s="1" t="n">
        <v>1586</v>
      </c>
      <c r="B1587" s="1" t="s">
        <v>1708</v>
      </c>
      <c r="C1587" s="1" t="s">
        <v>915</v>
      </c>
      <c r="D1587" s="1" t="s">
        <v>936</v>
      </c>
      <c r="E1587" s="1" t="s">
        <v>1836</v>
      </c>
    </row>
    <row r="1588" customFormat="false" ht="15" hidden="false" customHeight="true" outlineLevel="0" collapsed="false">
      <c r="A1588" s="1" t="n">
        <v>1587</v>
      </c>
      <c r="B1588" s="1" t="s">
        <v>460</v>
      </c>
      <c r="C1588" s="1" t="s">
        <v>645</v>
      </c>
      <c r="D1588" s="1" t="s">
        <v>35</v>
      </c>
      <c r="E1588" s="1" t="s">
        <v>434</v>
      </c>
    </row>
    <row r="1589" customFormat="false" ht="15" hidden="false" customHeight="true" outlineLevel="0" collapsed="false">
      <c r="A1589" s="1" t="n">
        <v>1588</v>
      </c>
      <c r="B1589" s="1" t="s">
        <v>165</v>
      </c>
      <c r="C1589" s="1" t="s">
        <v>72</v>
      </c>
      <c r="D1589" s="1" t="s">
        <v>1254</v>
      </c>
      <c r="E1589" s="1" t="s">
        <v>1063</v>
      </c>
    </row>
    <row r="1590" customFormat="false" ht="15" hidden="false" customHeight="true" outlineLevel="0" collapsed="false">
      <c r="A1590" s="1" t="n">
        <v>1589</v>
      </c>
      <c r="B1590" s="1" t="s">
        <v>1837</v>
      </c>
      <c r="C1590" s="1" t="s">
        <v>262</v>
      </c>
      <c r="D1590" s="1" t="s">
        <v>304</v>
      </c>
      <c r="E1590" s="1" t="s">
        <v>1770</v>
      </c>
    </row>
    <row r="1591" customFormat="false" ht="15" hidden="false" customHeight="true" outlineLevel="0" collapsed="false">
      <c r="A1591" s="1" t="n">
        <v>1590</v>
      </c>
      <c r="B1591" s="1" t="s">
        <v>1806</v>
      </c>
      <c r="C1591" s="1" t="s">
        <v>701</v>
      </c>
      <c r="D1591" s="1" t="s">
        <v>185</v>
      </c>
      <c r="E1591" s="1" t="s">
        <v>44</v>
      </c>
    </row>
    <row r="1592" customFormat="false" ht="15" hidden="false" customHeight="true" outlineLevel="0" collapsed="false">
      <c r="A1592" s="1" t="n">
        <v>1591</v>
      </c>
      <c r="B1592" s="1" t="s">
        <v>1100</v>
      </c>
      <c r="C1592" s="1" t="s">
        <v>1838</v>
      </c>
      <c r="D1592" s="1" t="s">
        <v>480</v>
      </c>
      <c r="E1592" s="1" t="s">
        <v>1646</v>
      </c>
    </row>
    <row r="1593" customFormat="false" ht="15" hidden="false" customHeight="true" outlineLevel="0" collapsed="false">
      <c r="A1593" s="1" t="n">
        <v>1592</v>
      </c>
      <c r="B1593" s="1" t="s">
        <v>1330</v>
      </c>
      <c r="C1593" s="1" t="s">
        <v>670</v>
      </c>
      <c r="D1593" s="1" t="s">
        <v>552</v>
      </c>
      <c r="E1593" s="1" t="s">
        <v>1529</v>
      </c>
    </row>
    <row r="1594" customFormat="false" ht="15" hidden="false" customHeight="true" outlineLevel="0" collapsed="false">
      <c r="A1594" s="1" t="n">
        <v>1593</v>
      </c>
      <c r="B1594" s="1" t="s">
        <v>1785</v>
      </c>
      <c r="C1594" s="1" t="s">
        <v>89</v>
      </c>
      <c r="D1594" s="1" t="s">
        <v>737</v>
      </c>
      <c r="E1594" s="1" t="s">
        <v>214</v>
      </c>
    </row>
    <row r="1595" customFormat="false" ht="15" hidden="false" customHeight="true" outlineLevel="0" collapsed="false">
      <c r="A1595" s="1" t="n">
        <v>1594</v>
      </c>
      <c r="B1595" s="1" t="s">
        <v>340</v>
      </c>
      <c r="C1595" s="1" t="s">
        <v>719</v>
      </c>
      <c r="D1595" s="1" t="s">
        <v>35</v>
      </c>
      <c r="E1595" s="1" t="s">
        <v>1499</v>
      </c>
    </row>
    <row r="1596" customFormat="false" ht="15" hidden="false" customHeight="true" outlineLevel="0" collapsed="false">
      <c r="A1596" s="1" t="n">
        <v>1595</v>
      </c>
      <c r="B1596" s="1" t="s">
        <v>1157</v>
      </c>
      <c r="C1596" s="1" t="s">
        <v>461</v>
      </c>
      <c r="D1596" s="1" t="s">
        <v>167</v>
      </c>
      <c r="E1596" s="1" t="s">
        <v>1839</v>
      </c>
    </row>
    <row r="1597" customFormat="false" ht="15" hidden="false" customHeight="true" outlineLevel="0" collapsed="false">
      <c r="A1597" s="1" t="n">
        <v>1596</v>
      </c>
      <c r="B1597" s="1" t="s">
        <v>1803</v>
      </c>
      <c r="C1597" s="1" t="s">
        <v>461</v>
      </c>
      <c r="D1597" s="1" t="s">
        <v>536</v>
      </c>
      <c r="E1597" s="1" t="s">
        <v>1809</v>
      </c>
    </row>
    <row r="1598" customFormat="false" ht="15" hidden="false" customHeight="true" outlineLevel="0" collapsed="false">
      <c r="A1598" s="1" t="n">
        <v>1597</v>
      </c>
      <c r="B1598" s="1" t="s">
        <v>924</v>
      </c>
      <c r="C1598" s="1" t="s">
        <v>464</v>
      </c>
      <c r="D1598" s="1" t="s">
        <v>681</v>
      </c>
      <c r="E1598" s="1" t="s">
        <v>1840</v>
      </c>
    </row>
    <row r="1599" customFormat="false" ht="15" hidden="false" customHeight="true" outlineLevel="0" collapsed="false">
      <c r="A1599" s="1" t="n">
        <v>1598</v>
      </c>
      <c r="B1599" s="1" t="s">
        <v>1088</v>
      </c>
      <c r="C1599" s="1" t="s">
        <v>122</v>
      </c>
      <c r="D1599" s="1" t="s">
        <v>231</v>
      </c>
      <c r="E1599" s="1" t="s">
        <v>1841</v>
      </c>
    </row>
    <row r="1600" customFormat="false" ht="15" hidden="false" customHeight="true" outlineLevel="0" collapsed="false">
      <c r="A1600" s="1" t="n">
        <v>1599</v>
      </c>
      <c r="B1600" s="1" t="s">
        <v>99</v>
      </c>
      <c r="C1600" s="1" t="s">
        <v>1487</v>
      </c>
      <c r="D1600" s="1" t="s">
        <v>522</v>
      </c>
      <c r="E1600" s="1" t="s">
        <v>1794</v>
      </c>
    </row>
    <row r="1601" customFormat="false" ht="15" hidden="false" customHeight="true" outlineLevel="0" collapsed="false">
      <c r="A1601" s="1" t="n">
        <v>1600</v>
      </c>
      <c r="B1601" s="1" t="s">
        <v>1842</v>
      </c>
      <c r="C1601" s="1" t="s">
        <v>565</v>
      </c>
      <c r="D1601" s="1" t="s">
        <v>395</v>
      </c>
      <c r="E1601" s="1" t="s">
        <v>44</v>
      </c>
    </row>
    <row r="1602" customFormat="false" ht="15" hidden="false" customHeight="true" outlineLevel="0" collapsed="false">
      <c r="A1602" s="1" t="n">
        <v>1601</v>
      </c>
      <c r="B1602" s="1" t="s">
        <v>128</v>
      </c>
      <c r="C1602" s="1" t="s">
        <v>604</v>
      </c>
      <c r="D1602" s="1" t="s">
        <v>11</v>
      </c>
      <c r="E1602" s="1" t="s">
        <v>867</v>
      </c>
    </row>
    <row r="1603" customFormat="false" ht="15" hidden="false" customHeight="true" outlineLevel="0" collapsed="false">
      <c r="A1603" s="1" t="n">
        <v>1602</v>
      </c>
      <c r="B1603" s="1" t="s">
        <v>364</v>
      </c>
      <c r="C1603" s="1" t="s">
        <v>18</v>
      </c>
      <c r="D1603" s="1" t="s">
        <v>105</v>
      </c>
      <c r="E1603" s="1" t="s">
        <v>1798</v>
      </c>
    </row>
    <row r="1604" customFormat="false" ht="15" hidden="false" customHeight="true" outlineLevel="0" collapsed="false">
      <c r="A1604" s="1" t="n">
        <v>1603</v>
      </c>
      <c r="B1604" s="1" t="s">
        <v>1308</v>
      </c>
      <c r="C1604" s="1" t="s">
        <v>481</v>
      </c>
      <c r="D1604" s="1" t="s">
        <v>715</v>
      </c>
      <c r="E1604" s="1" t="s">
        <v>1843</v>
      </c>
    </row>
    <row r="1605" customFormat="false" ht="15" hidden="false" customHeight="true" outlineLevel="0" collapsed="false">
      <c r="A1605" s="1" t="n">
        <v>1604</v>
      </c>
      <c r="B1605" s="1" t="s">
        <v>1123</v>
      </c>
      <c r="C1605" s="1" t="s">
        <v>418</v>
      </c>
      <c r="D1605" s="1" t="s">
        <v>145</v>
      </c>
      <c r="E1605" s="1" t="s">
        <v>1107</v>
      </c>
    </row>
    <row r="1606" customFormat="false" ht="15" hidden="false" customHeight="true" outlineLevel="0" collapsed="false">
      <c r="A1606" s="1" t="n">
        <v>1605</v>
      </c>
      <c r="B1606" s="1" t="s">
        <v>1169</v>
      </c>
      <c r="C1606" s="1" t="s">
        <v>1844</v>
      </c>
      <c r="D1606" s="1" t="s">
        <v>1165</v>
      </c>
      <c r="E1606" s="1" t="s">
        <v>1845</v>
      </c>
    </row>
    <row r="1607" customFormat="false" ht="15" hidden="false" customHeight="true" outlineLevel="0" collapsed="false">
      <c r="A1607" s="1" t="n">
        <v>1606</v>
      </c>
      <c r="B1607" s="1" t="s">
        <v>192</v>
      </c>
      <c r="C1607" s="1" t="s">
        <v>126</v>
      </c>
      <c r="D1607" s="1" t="s">
        <v>170</v>
      </c>
      <c r="E1607" s="1" t="s">
        <v>1819</v>
      </c>
    </row>
    <row r="1608" customFormat="false" ht="15" hidden="false" customHeight="true" outlineLevel="0" collapsed="false">
      <c r="A1608" s="1" t="n">
        <v>1607</v>
      </c>
      <c r="B1608" s="1" t="s">
        <v>383</v>
      </c>
      <c r="C1608" s="1" t="s">
        <v>129</v>
      </c>
      <c r="D1608" s="1" t="s">
        <v>241</v>
      </c>
      <c r="E1608" s="1" t="s">
        <v>1846</v>
      </c>
    </row>
    <row r="1609" customFormat="false" ht="15" hidden="false" customHeight="true" outlineLevel="0" collapsed="false">
      <c r="A1609" s="1" t="n">
        <v>1608</v>
      </c>
      <c r="B1609" s="1" t="s">
        <v>1138</v>
      </c>
      <c r="C1609" s="1" t="s">
        <v>410</v>
      </c>
      <c r="D1609" s="1" t="s">
        <v>783</v>
      </c>
      <c r="E1609" s="1" t="s">
        <v>1847</v>
      </c>
    </row>
    <row r="1610" customFormat="false" ht="15" hidden="false" customHeight="true" outlineLevel="0" collapsed="false">
      <c r="A1610" s="1" t="n">
        <v>1609</v>
      </c>
      <c r="B1610" s="1" t="s">
        <v>1686</v>
      </c>
      <c r="C1610" s="1" t="s">
        <v>76</v>
      </c>
      <c r="D1610" s="1" t="s">
        <v>167</v>
      </c>
      <c r="E1610" s="1" t="s">
        <v>1578</v>
      </c>
    </row>
    <row r="1611" customFormat="false" ht="15" hidden="false" customHeight="true" outlineLevel="0" collapsed="false">
      <c r="A1611" s="1" t="n">
        <v>1610</v>
      </c>
      <c r="B1611" s="1" t="s">
        <v>1102</v>
      </c>
      <c r="C1611" s="1" t="s">
        <v>359</v>
      </c>
      <c r="D1611" s="1" t="s">
        <v>1067</v>
      </c>
      <c r="E1611" s="1" t="s">
        <v>44</v>
      </c>
    </row>
    <row r="1612" customFormat="false" ht="15" hidden="false" customHeight="true" outlineLevel="0" collapsed="false">
      <c r="A1612" s="1" t="n">
        <v>1611</v>
      </c>
      <c r="B1612" s="1" t="s">
        <v>1482</v>
      </c>
      <c r="C1612" s="1" t="s">
        <v>26</v>
      </c>
      <c r="D1612" s="1" t="s">
        <v>27</v>
      </c>
      <c r="E1612" s="1" t="s">
        <v>1402</v>
      </c>
    </row>
    <row r="1613" customFormat="false" ht="15" hidden="false" customHeight="true" outlineLevel="0" collapsed="false">
      <c r="A1613" s="1" t="n">
        <v>1612</v>
      </c>
      <c r="B1613" s="1" t="s">
        <v>1618</v>
      </c>
      <c r="C1613" s="1" t="s">
        <v>444</v>
      </c>
      <c r="D1613" s="1" t="s">
        <v>137</v>
      </c>
      <c r="E1613" s="1" t="s">
        <v>1591</v>
      </c>
    </row>
    <row r="1614" customFormat="false" ht="15" hidden="false" customHeight="true" outlineLevel="0" collapsed="false">
      <c r="A1614" s="1" t="n">
        <v>1613</v>
      </c>
      <c r="B1614" s="1" t="s">
        <v>1579</v>
      </c>
      <c r="C1614" s="1" t="s">
        <v>577</v>
      </c>
      <c r="D1614" s="1" t="s">
        <v>194</v>
      </c>
      <c r="E1614" s="1" t="s">
        <v>1805</v>
      </c>
    </row>
    <row r="1615" customFormat="false" ht="15" hidden="false" customHeight="true" outlineLevel="0" collapsed="false">
      <c r="A1615" s="1" t="n">
        <v>1614</v>
      </c>
      <c r="B1615" s="1" t="s">
        <v>1742</v>
      </c>
      <c r="C1615" s="1" t="s">
        <v>577</v>
      </c>
      <c r="D1615" s="1" t="s">
        <v>737</v>
      </c>
      <c r="E1615" s="1" t="s">
        <v>1657</v>
      </c>
    </row>
    <row r="1616" customFormat="false" ht="15" hidden="false" customHeight="true" outlineLevel="0" collapsed="false">
      <c r="A1616" s="1" t="n">
        <v>1615</v>
      </c>
      <c r="B1616" s="1" t="s">
        <v>364</v>
      </c>
      <c r="C1616" s="1" t="s">
        <v>1179</v>
      </c>
      <c r="D1616" s="1" t="s">
        <v>446</v>
      </c>
      <c r="E1616" s="1" t="s">
        <v>77</v>
      </c>
    </row>
    <row r="1617" customFormat="false" ht="15" hidden="false" customHeight="true" outlineLevel="0" collapsed="false">
      <c r="A1617" s="1" t="n">
        <v>1616</v>
      </c>
      <c r="B1617" s="1" t="s">
        <v>1848</v>
      </c>
      <c r="C1617" s="1" t="s">
        <v>112</v>
      </c>
      <c r="D1617" s="1" t="s">
        <v>31</v>
      </c>
      <c r="E1617" s="1" t="s">
        <v>1643</v>
      </c>
    </row>
    <row r="1618" customFormat="false" ht="15" hidden="false" customHeight="true" outlineLevel="0" collapsed="false">
      <c r="A1618" s="1" t="n">
        <v>1617</v>
      </c>
      <c r="B1618" s="1" t="s">
        <v>1635</v>
      </c>
      <c r="C1618" s="1" t="s">
        <v>432</v>
      </c>
      <c r="D1618" s="1" t="s">
        <v>864</v>
      </c>
      <c r="E1618" s="1" t="s">
        <v>1719</v>
      </c>
    </row>
    <row r="1619" customFormat="false" ht="15" hidden="false" customHeight="true" outlineLevel="0" collapsed="false">
      <c r="A1619" s="1" t="n">
        <v>1618</v>
      </c>
      <c r="B1619" s="1" t="s">
        <v>1142</v>
      </c>
      <c r="C1619" s="1" t="s">
        <v>230</v>
      </c>
      <c r="D1619" s="1" t="s">
        <v>395</v>
      </c>
      <c r="E1619" s="1" t="s">
        <v>1849</v>
      </c>
    </row>
    <row r="1620" customFormat="false" ht="15" hidden="false" customHeight="true" outlineLevel="0" collapsed="false">
      <c r="A1620" s="1" t="n">
        <v>1619</v>
      </c>
      <c r="B1620" s="1" t="s">
        <v>186</v>
      </c>
      <c r="C1620" s="1" t="s">
        <v>473</v>
      </c>
      <c r="D1620" s="1" t="s">
        <v>560</v>
      </c>
      <c r="E1620" s="1" t="s">
        <v>917</v>
      </c>
    </row>
    <row r="1621" customFormat="false" ht="15" hidden="false" customHeight="true" outlineLevel="0" collapsed="false">
      <c r="A1621" s="1" t="n">
        <v>1620</v>
      </c>
      <c r="B1621" s="1" t="s">
        <v>1445</v>
      </c>
      <c r="C1621" s="1" t="s">
        <v>1666</v>
      </c>
      <c r="D1621" s="1" t="s">
        <v>687</v>
      </c>
      <c r="E1621" s="1" t="s">
        <v>44</v>
      </c>
    </row>
    <row r="1622" customFormat="false" ht="15" hidden="false" customHeight="true" outlineLevel="0" collapsed="false">
      <c r="A1622" s="1" t="n">
        <v>1621</v>
      </c>
      <c r="B1622" s="1" t="s">
        <v>1360</v>
      </c>
      <c r="C1622" s="1" t="s">
        <v>118</v>
      </c>
      <c r="D1622" s="1" t="s">
        <v>578</v>
      </c>
      <c r="E1622" s="1" t="s">
        <v>1850</v>
      </c>
    </row>
    <row r="1623" customFormat="false" ht="15" hidden="false" customHeight="true" outlineLevel="0" collapsed="false">
      <c r="A1623" s="1" t="n">
        <v>1622</v>
      </c>
      <c r="B1623" s="1" t="s">
        <v>1851</v>
      </c>
      <c r="C1623" s="1" t="s">
        <v>230</v>
      </c>
      <c r="D1623" s="1" t="s">
        <v>536</v>
      </c>
      <c r="E1623" s="1" t="s">
        <v>630</v>
      </c>
    </row>
    <row r="1624" customFormat="false" ht="15" hidden="false" customHeight="true" outlineLevel="0" collapsed="false">
      <c r="A1624" s="1" t="n">
        <v>1623</v>
      </c>
      <c r="B1624" s="1" t="s">
        <v>1016</v>
      </c>
      <c r="C1624" s="1" t="s">
        <v>1436</v>
      </c>
      <c r="D1624" s="1" t="s">
        <v>947</v>
      </c>
      <c r="E1624" s="1" t="s">
        <v>1007</v>
      </c>
    </row>
    <row r="1625" customFormat="false" ht="15" hidden="false" customHeight="true" outlineLevel="0" collapsed="false">
      <c r="A1625" s="1" t="n">
        <v>1624</v>
      </c>
      <c r="B1625" s="1" t="s">
        <v>303</v>
      </c>
      <c r="C1625" s="1" t="s">
        <v>804</v>
      </c>
      <c r="D1625" s="1" t="s">
        <v>185</v>
      </c>
      <c r="E1625" s="1" t="s">
        <v>1852</v>
      </c>
    </row>
    <row r="1626" customFormat="false" ht="15" hidden="false" customHeight="true" outlineLevel="0" collapsed="false">
      <c r="A1626" s="1" t="n">
        <v>1625</v>
      </c>
      <c r="B1626" s="1" t="s">
        <v>929</v>
      </c>
      <c r="C1626" s="1" t="s">
        <v>365</v>
      </c>
      <c r="D1626" s="1" t="s">
        <v>369</v>
      </c>
      <c r="E1626" s="1" t="s">
        <v>1794</v>
      </c>
    </row>
    <row r="1627" customFormat="false" ht="15" hidden="false" customHeight="true" outlineLevel="0" collapsed="false">
      <c r="A1627" s="1" t="n">
        <v>1626</v>
      </c>
      <c r="B1627" s="1" t="s">
        <v>1853</v>
      </c>
      <c r="C1627" s="1" t="s">
        <v>144</v>
      </c>
      <c r="D1627" s="1" t="s">
        <v>783</v>
      </c>
      <c r="E1627" s="1" t="s">
        <v>1556</v>
      </c>
    </row>
    <row r="1628" customFormat="false" ht="15" hidden="false" customHeight="true" outlineLevel="0" collapsed="false">
      <c r="A1628" s="1" t="n">
        <v>1627</v>
      </c>
      <c r="B1628" s="1" t="s">
        <v>969</v>
      </c>
      <c r="C1628" s="1" t="s">
        <v>122</v>
      </c>
      <c r="D1628" s="1" t="s">
        <v>123</v>
      </c>
      <c r="E1628" s="1" t="s">
        <v>1065</v>
      </c>
    </row>
    <row r="1629" customFormat="false" ht="15" hidden="false" customHeight="true" outlineLevel="0" collapsed="false">
      <c r="A1629" s="1" t="n">
        <v>1628</v>
      </c>
      <c r="B1629" s="1" t="s">
        <v>770</v>
      </c>
      <c r="C1629" s="1" t="s">
        <v>1073</v>
      </c>
      <c r="D1629" s="1" t="s">
        <v>263</v>
      </c>
      <c r="E1629" s="1" t="s">
        <v>1854</v>
      </c>
    </row>
    <row r="1630" customFormat="false" ht="15" hidden="false" customHeight="true" outlineLevel="0" collapsed="false">
      <c r="A1630" s="1" t="n">
        <v>1629</v>
      </c>
      <c r="B1630" s="1" t="s">
        <v>1785</v>
      </c>
      <c r="C1630" s="1" t="s">
        <v>177</v>
      </c>
      <c r="D1630" s="1" t="s">
        <v>11</v>
      </c>
      <c r="E1630" s="1" t="s">
        <v>1317</v>
      </c>
    </row>
    <row r="1631" customFormat="false" ht="15" hidden="false" customHeight="true" outlineLevel="0" collapsed="false">
      <c r="A1631" s="1" t="n">
        <v>1630</v>
      </c>
      <c r="B1631" s="1" t="s">
        <v>1855</v>
      </c>
      <c r="C1631" s="1" t="s">
        <v>1289</v>
      </c>
      <c r="D1631" s="1" t="s">
        <v>880</v>
      </c>
      <c r="E1631" s="1" t="s">
        <v>44</v>
      </c>
    </row>
    <row r="1632" customFormat="false" ht="15" hidden="false" customHeight="true" outlineLevel="0" collapsed="false">
      <c r="A1632" s="1" t="n">
        <v>1631</v>
      </c>
      <c r="B1632" s="1" t="s">
        <v>370</v>
      </c>
      <c r="C1632" s="1" t="s">
        <v>1651</v>
      </c>
      <c r="D1632" s="1" t="s">
        <v>423</v>
      </c>
      <c r="E1632" s="1" t="s">
        <v>1856</v>
      </c>
    </row>
    <row r="1633" customFormat="false" ht="15" hidden="false" customHeight="true" outlineLevel="0" collapsed="false">
      <c r="A1633" s="1" t="n">
        <v>1632</v>
      </c>
      <c r="B1633" s="1" t="s">
        <v>75</v>
      </c>
      <c r="C1633" s="1" t="s">
        <v>260</v>
      </c>
      <c r="D1633" s="1" t="s">
        <v>612</v>
      </c>
      <c r="E1633" s="1" t="s">
        <v>298</v>
      </c>
    </row>
    <row r="1634" customFormat="false" ht="15" hidden="false" customHeight="true" outlineLevel="0" collapsed="false">
      <c r="A1634" s="1" t="n">
        <v>1633</v>
      </c>
      <c r="B1634" s="1" t="s">
        <v>1842</v>
      </c>
      <c r="C1634" s="1" t="s">
        <v>122</v>
      </c>
      <c r="D1634" s="1" t="s">
        <v>282</v>
      </c>
      <c r="E1634" s="1" t="s">
        <v>1820</v>
      </c>
    </row>
    <row r="1635" customFormat="false" ht="15" hidden="false" customHeight="true" outlineLevel="0" collapsed="false">
      <c r="A1635" s="1" t="n">
        <v>1634</v>
      </c>
      <c r="B1635" s="1" t="s">
        <v>1857</v>
      </c>
      <c r="C1635" s="1" t="s">
        <v>931</v>
      </c>
      <c r="D1635" s="1" t="s">
        <v>957</v>
      </c>
      <c r="E1635" s="1" t="s">
        <v>1197</v>
      </c>
    </row>
    <row r="1636" customFormat="false" ht="15" hidden="false" customHeight="true" outlineLevel="0" collapsed="false">
      <c r="A1636" s="1" t="n">
        <v>1635</v>
      </c>
      <c r="B1636" s="1" t="s">
        <v>225</v>
      </c>
      <c r="C1636" s="1" t="s">
        <v>843</v>
      </c>
      <c r="D1636" s="1" t="s">
        <v>316</v>
      </c>
      <c r="E1636" s="1" t="s">
        <v>491</v>
      </c>
    </row>
    <row r="1637" customFormat="false" ht="15" hidden="false" customHeight="true" outlineLevel="0" collapsed="false">
      <c r="A1637" s="1" t="n">
        <v>1636</v>
      </c>
      <c r="B1637" s="1" t="s">
        <v>88</v>
      </c>
      <c r="C1637" s="1" t="s">
        <v>244</v>
      </c>
      <c r="D1637" s="1" t="s">
        <v>869</v>
      </c>
      <c r="E1637" s="1" t="s">
        <v>1133</v>
      </c>
    </row>
    <row r="1638" customFormat="false" ht="15" hidden="false" customHeight="true" outlineLevel="0" collapsed="false">
      <c r="A1638" s="1" t="n">
        <v>1637</v>
      </c>
      <c r="B1638" s="1" t="s">
        <v>743</v>
      </c>
      <c r="C1638" s="1" t="s">
        <v>1858</v>
      </c>
      <c r="D1638" s="1" t="s">
        <v>581</v>
      </c>
      <c r="E1638" s="1" t="s">
        <v>1292</v>
      </c>
    </row>
    <row r="1639" customFormat="false" ht="15" hidden="false" customHeight="true" outlineLevel="0" collapsed="false">
      <c r="A1639" s="1" t="n">
        <v>1638</v>
      </c>
      <c r="B1639" s="1" t="s">
        <v>1178</v>
      </c>
      <c r="C1639" s="1" t="s">
        <v>414</v>
      </c>
      <c r="D1639" s="1" t="s">
        <v>82</v>
      </c>
      <c r="E1639" s="1" t="s">
        <v>1799</v>
      </c>
    </row>
    <row r="1640" customFormat="false" ht="15" hidden="false" customHeight="true" outlineLevel="0" collapsed="false">
      <c r="A1640" s="1" t="n">
        <v>1639</v>
      </c>
      <c r="B1640" s="1" t="s">
        <v>1240</v>
      </c>
      <c r="C1640" s="1" t="s">
        <v>93</v>
      </c>
      <c r="D1640" s="1" t="s">
        <v>510</v>
      </c>
      <c r="E1640" s="1" t="s">
        <v>1824</v>
      </c>
    </row>
    <row r="1641" customFormat="false" ht="15" hidden="false" customHeight="true" outlineLevel="0" collapsed="false">
      <c r="A1641" s="1" t="n">
        <v>1640</v>
      </c>
      <c r="B1641" s="1" t="s">
        <v>1299</v>
      </c>
      <c r="C1641" s="1" t="s">
        <v>1441</v>
      </c>
      <c r="D1641" s="1" t="s">
        <v>94</v>
      </c>
      <c r="E1641" s="1" t="s">
        <v>44</v>
      </c>
    </row>
    <row r="1642" customFormat="false" ht="15" hidden="false" customHeight="true" outlineLevel="0" collapsed="false">
      <c r="A1642" s="1" t="n">
        <v>1641</v>
      </c>
      <c r="B1642" s="1" t="s">
        <v>1827</v>
      </c>
      <c r="C1642" s="1" t="s">
        <v>57</v>
      </c>
      <c r="D1642" s="1" t="s">
        <v>1254</v>
      </c>
      <c r="E1642" s="1" t="s">
        <v>1859</v>
      </c>
    </row>
    <row r="1643" customFormat="false" ht="15" hidden="false" customHeight="true" outlineLevel="0" collapsed="false">
      <c r="A1643" s="1" t="n">
        <v>1642</v>
      </c>
      <c r="B1643" s="1" t="s">
        <v>1788</v>
      </c>
      <c r="C1643" s="1" t="s">
        <v>1860</v>
      </c>
      <c r="D1643" s="1" t="s">
        <v>220</v>
      </c>
      <c r="E1643" s="1" t="s">
        <v>1861</v>
      </c>
    </row>
    <row r="1644" customFormat="false" ht="15" hidden="false" customHeight="true" outlineLevel="0" collapsed="false">
      <c r="A1644" s="1" t="n">
        <v>1643</v>
      </c>
      <c r="B1644" s="1" t="s">
        <v>184</v>
      </c>
      <c r="C1644" s="1" t="s">
        <v>555</v>
      </c>
      <c r="D1644" s="1" t="s">
        <v>313</v>
      </c>
      <c r="E1644" s="1" t="s">
        <v>1321</v>
      </c>
    </row>
    <row r="1645" customFormat="false" ht="15" hidden="false" customHeight="true" outlineLevel="0" collapsed="false">
      <c r="A1645" s="1" t="n">
        <v>1644</v>
      </c>
      <c r="B1645" s="1" t="s">
        <v>406</v>
      </c>
      <c r="C1645" s="1" t="s">
        <v>1109</v>
      </c>
      <c r="D1645" s="1" t="s">
        <v>356</v>
      </c>
      <c r="E1645" s="1" t="s">
        <v>1103</v>
      </c>
    </row>
    <row r="1646" customFormat="false" ht="15" hidden="false" customHeight="true" outlineLevel="0" collapsed="false">
      <c r="A1646" s="1" t="n">
        <v>1645</v>
      </c>
      <c r="B1646" s="1" t="s">
        <v>1157</v>
      </c>
      <c r="C1646" s="1" t="s">
        <v>126</v>
      </c>
      <c r="D1646" s="1" t="s">
        <v>11</v>
      </c>
      <c r="E1646" s="1" t="s">
        <v>1670</v>
      </c>
    </row>
    <row r="1647" customFormat="false" ht="15" hidden="false" customHeight="true" outlineLevel="0" collapsed="false">
      <c r="A1647" s="1" t="n">
        <v>1646</v>
      </c>
      <c r="B1647" s="1" t="s">
        <v>1400</v>
      </c>
      <c r="C1647" s="1" t="s">
        <v>1693</v>
      </c>
      <c r="D1647" s="1" t="s">
        <v>734</v>
      </c>
      <c r="E1647" s="1" t="s">
        <v>1862</v>
      </c>
    </row>
    <row r="1648" customFormat="false" ht="15" hidden="false" customHeight="true" outlineLevel="0" collapsed="false">
      <c r="A1648" s="1" t="n">
        <v>1647</v>
      </c>
      <c r="B1648" s="1" t="s">
        <v>367</v>
      </c>
      <c r="C1648" s="1" t="s">
        <v>1863</v>
      </c>
      <c r="D1648" s="1" t="s">
        <v>249</v>
      </c>
      <c r="E1648" s="1" t="s">
        <v>1815</v>
      </c>
    </row>
    <row r="1649" customFormat="false" ht="15" hidden="false" customHeight="true" outlineLevel="0" collapsed="false">
      <c r="A1649" s="1" t="n">
        <v>1648</v>
      </c>
      <c r="B1649" s="1" t="s">
        <v>626</v>
      </c>
      <c r="C1649" s="1" t="s">
        <v>341</v>
      </c>
      <c r="D1649" s="1" t="s">
        <v>667</v>
      </c>
      <c r="E1649" s="1" t="s">
        <v>1577</v>
      </c>
    </row>
    <row r="1650" customFormat="false" ht="15" hidden="false" customHeight="true" outlineLevel="0" collapsed="false">
      <c r="A1650" s="1" t="n">
        <v>1649</v>
      </c>
      <c r="B1650" s="1" t="s">
        <v>1178</v>
      </c>
      <c r="C1650" s="1" t="s">
        <v>1553</v>
      </c>
      <c r="D1650" s="1" t="s">
        <v>1175</v>
      </c>
      <c r="E1650" s="1" t="s">
        <v>649</v>
      </c>
    </row>
    <row r="1651" customFormat="false" ht="15" hidden="false" customHeight="true" outlineLevel="0" collapsed="false">
      <c r="A1651" s="1" t="n">
        <v>1650</v>
      </c>
      <c r="B1651" s="1" t="s">
        <v>1803</v>
      </c>
      <c r="C1651" s="1" t="s">
        <v>615</v>
      </c>
      <c r="D1651" s="1" t="s">
        <v>536</v>
      </c>
      <c r="E1651" s="1" t="s">
        <v>44</v>
      </c>
    </row>
    <row r="1652" customFormat="false" ht="15" hidden="false" customHeight="true" outlineLevel="0" collapsed="false">
      <c r="A1652" s="1" t="n">
        <v>1651</v>
      </c>
      <c r="B1652" s="1" t="s">
        <v>1337</v>
      </c>
      <c r="C1652" s="1" t="s">
        <v>100</v>
      </c>
      <c r="D1652" s="1" t="s">
        <v>149</v>
      </c>
      <c r="E1652" s="1" t="s">
        <v>1194</v>
      </c>
    </row>
    <row r="1653" customFormat="false" ht="15" hidden="false" customHeight="true" outlineLevel="0" collapsed="false">
      <c r="A1653" s="1" t="n">
        <v>1652</v>
      </c>
      <c r="B1653" s="1" t="s">
        <v>255</v>
      </c>
      <c r="C1653" s="1" t="s">
        <v>158</v>
      </c>
      <c r="D1653" s="1" t="s">
        <v>149</v>
      </c>
      <c r="E1653" s="1" t="s">
        <v>1864</v>
      </c>
    </row>
    <row r="1654" customFormat="false" ht="15" hidden="false" customHeight="true" outlineLevel="0" collapsed="false">
      <c r="A1654" s="1" t="n">
        <v>1653</v>
      </c>
      <c r="B1654" s="1" t="s">
        <v>1593</v>
      </c>
      <c r="C1654" s="1" t="s">
        <v>1003</v>
      </c>
      <c r="D1654" s="1" t="s">
        <v>607</v>
      </c>
      <c r="E1654" s="1" t="s">
        <v>354</v>
      </c>
    </row>
    <row r="1655" customFormat="false" ht="15" hidden="false" customHeight="true" outlineLevel="0" collapsed="false">
      <c r="A1655" s="1" t="n">
        <v>1654</v>
      </c>
      <c r="B1655" s="1" t="s">
        <v>201</v>
      </c>
      <c r="C1655" s="1" t="s">
        <v>1289</v>
      </c>
      <c r="D1655" s="1" t="s">
        <v>241</v>
      </c>
      <c r="E1655" s="1" t="s">
        <v>1638</v>
      </c>
    </row>
    <row r="1656" customFormat="false" ht="15" hidden="false" customHeight="true" outlineLevel="0" collapsed="false">
      <c r="A1656" s="1" t="n">
        <v>1655</v>
      </c>
      <c r="B1656" s="1" t="s">
        <v>1738</v>
      </c>
      <c r="C1656" s="1" t="s">
        <v>1029</v>
      </c>
      <c r="D1656" s="1" t="s">
        <v>474</v>
      </c>
      <c r="E1656" s="1" t="s">
        <v>677</v>
      </c>
    </row>
    <row r="1657" customFormat="false" ht="15" hidden="false" customHeight="true" outlineLevel="0" collapsed="false">
      <c r="A1657" s="1" t="n">
        <v>1656</v>
      </c>
      <c r="B1657" s="1" t="s">
        <v>295</v>
      </c>
      <c r="C1657" s="1" t="s">
        <v>1213</v>
      </c>
      <c r="D1657" s="1" t="s">
        <v>269</v>
      </c>
      <c r="E1657" s="1" t="s">
        <v>1816</v>
      </c>
    </row>
    <row r="1658" customFormat="false" ht="15" hidden="false" customHeight="true" outlineLevel="0" collapsed="false">
      <c r="A1658" s="1" t="n">
        <v>1657</v>
      </c>
      <c r="B1658" s="1" t="s">
        <v>1066</v>
      </c>
      <c r="C1658" s="1" t="s">
        <v>1865</v>
      </c>
      <c r="D1658" s="1" t="s">
        <v>86</v>
      </c>
      <c r="E1658" s="1" t="s">
        <v>1866</v>
      </c>
    </row>
    <row r="1659" customFormat="false" ht="15" hidden="false" customHeight="true" outlineLevel="0" collapsed="false">
      <c r="A1659" s="1" t="n">
        <v>1658</v>
      </c>
      <c r="B1659" s="1" t="s">
        <v>996</v>
      </c>
      <c r="C1659" s="1" t="s">
        <v>875</v>
      </c>
      <c r="D1659" s="1" t="s">
        <v>159</v>
      </c>
      <c r="E1659" s="1" t="s">
        <v>1453</v>
      </c>
    </row>
    <row r="1660" customFormat="false" ht="15" hidden="false" customHeight="true" outlineLevel="0" collapsed="false">
      <c r="A1660" s="1" t="n">
        <v>1659</v>
      </c>
      <c r="B1660" s="1" t="s">
        <v>904</v>
      </c>
      <c r="C1660" s="1" t="s">
        <v>1385</v>
      </c>
      <c r="D1660" s="1" t="s">
        <v>378</v>
      </c>
      <c r="E1660" s="1" t="s">
        <v>1761</v>
      </c>
    </row>
    <row r="1661" customFormat="false" ht="15" hidden="false" customHeight="true" outlineLevel="0" collapsed="false">
      <c r="A1661" s="1" t="n">
        <v>1660</v>
      </c>
      <c r="B1661" s="1" t="s">
        <v>1576</v>
      </c>
      <c r="C1661" s="1" t="s">
        <v>122</v>
      </c>
      <c r="D1661" s="1" t="s">
        <v>667</v>
      </c>
      <c r="E1661" s="1" t="s">
        <v>44</v>
      </c>
    </row>
    <row r="1662" customFormat="false" ht="15" hidden="false" customHeight="true" outlineLevel="0" collapsed="false">
      <c r="A1662" s="1" t="n">
        <v>1661</v>
      </c>
      <c r="B1662" s="1" t="s">
        <v>751</v>
      </c>
      <c r="C1662" s="1" t="s">
        <v>902</v>
      </c>
      <c r="D1662" s="1" t="s">
        <v>560</v>
      </c>
      <c r="E1662" s="1" t="s">
        <v>825</v>
      </c>
    </row>
    <row r="1663" customFormat="false" ht="15" hidden="false" customHeight="true" outlineLevel="0" collapsed="false">
      <c r="A1663" s="1" t="n">
        <v>1662</v>
      </c>
      <c r="B1663" s="1" t="s">
        <v>1510</v>
      </c>
      <c r="C1663" s="1" t="s">
        <v>144</v>
      </c>
      <c r="D1663" s="1" t="s">
        <v>411</v>
      </c>
      <c r="E1663" s="1" t="s">
        <v>357</v>
      </c>
    </row>
    <row r="1664" customFormat="false" ht="15" hidden="false" customHeight="true" outlineLevel="0" collapsed="false">
      <c r="A1664" s="1" t="n">
        <v>1663</v>
      </c>
      <c r="B1664" s="1" t="s">
        <v>404</v>
      </c>
      <c r="C1664" s="1" t="s">
        <v>10</v>
      </c>
      <c r="D1664" s="1" t="s">
        <v>345</v>
      </c>
      <c r="E1664" s="1" t="s">
        <v>338</v>
      </c>
    </row>
    <row r="1665" customFormat="false" ht="15" hidden="false" customHeight="true" outlineLevel="0" collapsed="false">
      <c r="A1665" s="1" t="n">
        <v>1664</v>
      </c>
      <c r="B1665" s="1" t="s">
        <v>1239</v>
      </c>
      <c r="C1665" s="1" t="s">
        <v>962</v>
      </c>
      <c r="D1665" s="1" t="s">
        <v>419</v>
      </c>
      <c r="E1665" s="1" t="s">
        <v>1846</v>
      </c>
    </row>
    <row r="1666" customFormat="false" ht="15" hidden="false" customHeight="true" outlineLevel="0" collapsed="false">
      <c r="A1666" s="1" t="n">
        <v>1665</v>
      </c>
      <c r="B1666" s="1" t="s">
        <v>938</v>
      </c>
      <c r="C1666" s="1" t="s">
        <v>112</v>
      </c>
      <c r="D1666" s="1" t="s">
        <v>384</v>
      </c>
      <c r="E1666" s="1" t="s">
        <v>1667</v>
      </c>
    </row>
    <row r="1667" customFormat="false" ht="15" hidden="false" customHeight="true" outlineLevel="0" collapsed="false">
      <c r="A1667" s="1" t="n">
        <v>1666</v>
      </c>
      <c r="B1667" s="1" t="s">
        <v>196</v>
      </c>
      <c r="C1667" s="1" t="s">
        <v>891</v>
      </c>
      <c r="D1667" s="1" t="s">
        <v>903</v>
      </c>
      <c r="E1667" s="1" t="s">
        <v>1867</v>
      </c>
    </row>
    <row r="1668" customFormat="false" ht="15" hidden="false" customHeight="true" outlineLevel="0" collapsed="false">
      <c r="A1668" s="1" t="n">
        <v>1667</v>
      </c>
      <c r="B1668" s="1" t="s">
        <v>1868</v>
      </c>
      <c r="C1668" s="1" t="s">
        <v>615</v>
      </c>
      <c r="D1668" s="1" t="s">
        <v>667</v>
      </c>
      <c r="E1668" s="1" t="s">
        <v>328</v>
      </c>
    </row>
    <row r="1669" customFormat="false" ht="15" hidden="false" customHeight="true" outlineLevel="0" collapsed="false">
      <c r="A1669" s="1" t="n">
        <v>1668</v>
      </c>
      <c r="B1669" s="1" t="s">
        <v>1595</v>
      </c>
      <c r="C1669" s="1" t="s">
        <v>341</v>
      </c>
      <c r="D1669" s="1" t="s">
        <v>1356</v>
      </c>
      <c r="E1669" s="1" t="s">
        <v>1166</v>
      </c>
    </row>
    <row r="1670" customFormat="false" ht="15" hidden="false" customHeight="true" outlineLevel="0" collapsed="false">
      <c r="A1670" s="1" t="n">
        <v>1669</v>
      </c>
      <c r="B1670" s="1" t="s">
        <v>1314</v>
      </c>
      <c r="C1670" s="1" t="s">
        <v>686</v>
      </c>
      <c r="D1670" s="1" t="s">
        <v>27</v>
      </c>
      <c r="E1670" s="1" t="s">
        <v>1023</v>
      </c>
    </row>
    <row r="1671" customFormat="false" ht="15" hidden="false" customHeight="true" outlineLevel="0" collapsed="false">
      <c r="A1671" s="1" t="n">
        <v>1670</v>
      </c>
      <c r="B1671" s="1" t="s">
        <v>259</v>
      </c>
      <c r="C1671" s="1" t="s">
        <v>611</v>
      </c>
      <c r="D1671" s="1" t="s">
        <v>353</v>
      </c>
      <c r="E1671" s="1" t="s">
        <v>44</v>
      </c>
    </row>
    <row r="1672" customFormat="false" ht="15" hidden="false" customHeight="true" outlineLevel="0" collapsed="false">
      <c r="A1672" s="1" t="n">
        <v>1671</v>
      </c>
      <c r="B1672" s="1" t="s">
        <v>1264</v>
      </c>
      <c r="C1672" s="1" t="s">
        <v>1136</v>
      </c>
      <c r="D1672" s="1" t="s">
        <v>134</v>
      </c>
      <c r="E1672" s="1" t="s">
        <v>1869</v>
      </c>
    </row>
    <row r="1673" customFormat="false" ht="15" hidden="false" customHeight="true" outlineLevel="0" collapsed="false">
      <c r="A1673" s="1" t="n">
        <v>1672</v>
      </c>
      <c r="B1673" s="1" t="s">
        <v>831</v>
      </c>
      <c r="C1673" s="1" t="s">
        <v>823</v>
      </c>
      <c r="D1673" s="1" t="s">
        <v>349</v>
      </c>
      <c r="E1673" s="1" t="s">
        <v>210</v>
      </c>
    </row>
    <row r="1674" customFormat="false" ht="15" hidden="false" customHeight="true" outlineLevel="0" collapsed="false">
      <c r="A1674" s="1" t="n">
        <v>1673</v>
      </c>
      <c r="B1674" s="1" t="s">
        <v>1522</v>
      </c>
      <c r="C1674" s="1" t="s">
        <v>177</v>
      </c>
      <c r="D1674" s="1" t="s">
        <v>11</v>
      </c>
      <c r="E1674" s="1" t="s">
        <v>55</v>
      </c>
    </row>
    <row r="1675" customFormat="false" ht="15" hidden="false" customHeight="true" outlineLevel="0" collapsed="false">
      <c r="A1675" s="1" t="n">
        <v>1674</v>
      </c>
      <c r="B1675" s="1" t="s">
        <v>454</v>
      </c>
      <c r="C1675" s="1" t="s">
        <v>318</v>
      </c>
      <c r="D1675" s="1" t="s">
        <v>542</v>
      </c>
      <c r="E1675" s="1" t="s">
        <v>769</v>
      </c>
    </row>
    <row r="1676" customFormat="false" ht="15" hidden="false" customHeight="true" outlineLevel="0" collapsed="false">
      <c r="A1676" s="1" t="n">
        <v>1675</v>
      </c>
      <c r="B1676" s="1" t="s">
        <v>1739</v>
      </c>
      <c r="C1676" s="1" t="s">
        <v>1173</v>
      </c>
      <c r="D1676" s="1" t="s">
        <v>552</v>
      </c>
      <c r="E1676" s="1" t="s">
        <v>1390</v>
      </c>
    </row>
    <row r="1677" customFormat="false" ht="15" hidden="false" customHeight="true" outlineLevel="0" collapsed="false">
      <c r="A1677" s="1" t="n">
        <v>1676</v>
      </c>
      <c r="B1677" s="1" t="s">
        <v>1355</v>
      </c>
      <c r="C1677" s="1" t="s">
        <v>604</v>
      </c>
      <c r="D1677" s="1" t="s">
        <v>263</v>
      </c>
      <c r="E1677" s="1" t="s">
        <v>637</v>
      </c>
    </row>
    <row r="1678" customFormat="false" ht="15" hidden="false" customHeight="true" outlineLevel="0" collapsed="false">
      <c r="A1678" s="1" t="n">
        <v>1677</v>
      </c>
      <c r="B1678" s="1" t="s">
        <v>56</v>
      </c>
      <c r="C1678" s="1" t="s">
        <v>372</v>
      </c>
      <c r="D1678" s="1" t="s">
        <v>345</v>
      </c>
      <c r="E1678" s="1" t="s">
        <v>1870</v>
      </c>
    </row>
    <row r="1679" customFormat="false" ht="15" hidden="false" customHeight="true" outlineLevel="0" collapsed="false">
      <c r="A1679" s="1" t="n">
        <v>1678</v>
      </c>
      <c r="B1679" s="1" t="s">
        <v>1579</v>
      </c>
      <c r="C1679" s="1" t="s">
        <v>122</v>
      </c>
      <c r="D1679" s="1" t="s">
        <v>58</v>
      </c>
      <c r="E1679" s="1" t="s">
        <v>1203</v>
      </c>
    </row>
    <row r="1680" customFormat="false" ht="15" hidden="false" customHeight="true" outlineLevel="0" collapsed="false">
      <c r="A1680" s="1" t="n">
        <v>1679</v>
      </c>
      <c r="B1680" s="1" t="s">
        <v>157</v>
      </c>
      <c r="C1680" s="1" t="s">
        <v>1441</v>
      </c>
      <c r="D1680" s="1" t="s">
        <v>105</v>
      </c>
      <c r="E1680" s="1" t="s">
        <v>1145</v>
      </c>
    </row>
    <row r="1681" customFormat="false" ht="15" hidden="false" customHeight="true" outlineLevel="0" collapsed="false">
      <c r="A1681" s="1" t="n">
        <v>1680</v>
      </c>
      <c r="B1681" s="1" t="s">
        <v>332</v>
      </c>
      <c r="C1681" s="1" t="s">
        <v>253</v>
      </c>
      <c r="D1681" s="1" t="s">
        <v>419</v>
      </c>
      <c r="E1681" s="1" t="s">
        <v>44</v>
      </c>
    </row>
    <row r="1682" customFormat="false" ht="15" hidden="false" customHeight="true" outlineLevel="0" collapsed="false">
      <c r="A1682" s="1" t="n">
        <v>1681</v>
      </c>
      <c r="B1682" s="1" t="s">
        <v>736</v>
      </c>
      <c r="C1682" s="1" t="s">
        <v>118</v>
      </c>
      <c r="D1682" s="1" t="s">
        <v>11</v>
      </c>
      <c r="E1682" s="1" t="s">
        <v>1871</v>
      </c>
    </row>
    <row r="1683" customFormat="false" ht="15" hidden="false" customHeight="true" outlineLevel="0" collapsed="false">
      <c r="A1683" s="1" t="n">
        <v>1682</v>
      </c>
      <c r="B1683" s="1" t="s">
        <v>1640</v>
      </c>
      <c r="C1683" s="1" t="s">
        <v>1844</v>
      </c>
      <c r="D1683" s="1" t="s">
        <v>1170</v>
      </c>
      <c r="E1683" s="1" t="s">
        <v>1137</v>
      </c>
    </row>
    <row r="1684" customFormat="false" ht="15" hidden="false" customHeight="true" outlineLevel="0" collapsed="false">
      <c r="A1684" s="1" t="n">
        <v>1683</v>
      </c>
      <c r="B1684" s="1" t="s">
        <v>588</v>
      </c>
      <c r="C1684" s="1" t="s">
        <v>22</v>
      </c>
      <c r="D1684" s="1" t="s">
        <v>231</v>
      </c>
      <c r="E1684" s="1" t="s">
        <v>597</v>
      </c>
    </row>
    <row r="1685" customFormat="false" ht="15" hidden="false" customHeight="true" outlineLevel="0" collapsed="false">
      <c r="A1685" s="1" t="n">
        <v>1684</v>
      </c>
      <c r="B1685" s="1" t="s">
        <v>1579</v>
      </c>
      <c r="C1685" s="1" t="s">
        <v>389</v>
      </c>
      <c r="D1685" s="1" t="s">
        <v>58</v>
      </c>
      <c r="E1685" s="1" t="s">
        <v>867</v>
      </c>
    </row>
    <row r="1686" customFormat="false" ht="15" hidden="false" customHeight="true" outlineLevel="0" collapsed="false">
      <c r="A1686" s="1" t="n">
        <v>1685</v>
      </c>
      <c r="B1686" s="1" t="s">
        <v>955</v>
      </c>
      <c r="C1686" s="1" t="s">
        <v>1624</v>
      </c>
      <c r="D1686" s="1" t="s">
        <v>238</v>
      </c>
      <c r="E1686" s="1" t="s">
        <v>1273</v>
      </c>
    </row>
    <row r="1687" customFormat="false" ht="15" hidden="false" customHeight="true" outlineLevel="0" collapsed="false">
      <c r="A1687" s="1" t="n">
        <v>1686</v>
      </c>
      <c r="B1687" s="1" t="s">
        <v>524</v>
      </c>
      <c r="C1687" s="1" t="s">
        <v>1148</v>
      </c>
      <c r="D1687" s="1" t="s">
        <v>494</v>
      </c>
      <c r="E1687" s="1" t="s">
        <v>1771</v>
      </c>
    </row>
    <row r="1688" customFormat="false" ht="15" hidden="false" customHeight="true" outlineLevel="0" collapsed="false">
      <c r="A1688" s="1" t="n">
        <v>1687</v>
      </c>
      <c r="B1688" s="1" t="s">
        <v>1699</v>
      </c>
      <c r="C1688" s="1" t="s">
        <v>1009</v>
      </c>
      <c r="D1688" s="1" t="s">
        <v>567</v>
      </c>
      <c r="E1688" s="1" t="s">
        <v>1872</v>
      </c>
    </row>
    <row r="1689" customFormat="false" ht="15" hidden="false" customHeight="true" outlineLevel="0" collapsed="false">
      <c r="A1689" s="1" t="n">
        <v>1688</v>
      </c>
      <c r="B1689" s="1" t="s">
        <v>896</v>
      </c>
      <c r="C1689" s="1" t="s">
        <v>1098</v>
      </c>
      <c r="D1689" s="1" t="s">
        <v>167</v>
      </c>
      <c r="E1689" s="1" t="s">
        <v>517</v>
      </c>
    </row>
    <row r="1690" customFormat="false" ht="15" hidden="false" customHeight="true" outlineLevel="0" collapsed="false">
      <c r="A1690" s="1" t="n">
        <v>1689</v>
      </c>
      <c r="B1690" s="1" t="s">
        <v>1314</v>
      </c>
      <c r="C1690" s="1" t="s">
        <v>763</v>
      </c>
      <c r="D1690" s="1" t="s">
        <v>510</v>
      </c>
      <c r="E1690" s="1" t="s">
        <v>124</v>
      </c>
    </row>
    <row r="1691" customFormat="false" ht="15" hidden="false" customHeight="true" outlineLevel="0" collapsed="false">
      <c r="A1691" s="1" t="n">
        <v>1690</v>
      </c>
      <c r="B1691" s="1" t="s">
        <v>1720</v>
      </c>
      <c r="C1691" s="1" t="s">
        <v>234</v>
      </c>
      <c r="D1691" s="1" t="s">
        <v>174</v>
      </c>
      <c r="E1691" s="1" t="s">
        <v>44</v>
      </c>
    </row>
    <row r="1692" customFormat="false" ht="15" hidden="false" customHeight="true" outlineLevel="0" collapsed="false">
      <c r="A1692" s="1" t="n">
        <v>1691</v>
      </c>
      <c r="B1692" s="1" t="s">
        <v>1725</v>
      </c>
      <c r="C1692" s="1" t="s">
        <v>704</v>
      </c>
      <c r="D1692" s="1" t="s">
        <v>19</v>
      </c>
      <c r="E1692" s="1" t="s">
        <v>1793</v>
      </c>
    </row>
    <row r="1693" customFormat="false" ht="15" hidden="false" customHeight="true" outlineLevel="0" collapsed="false">
      <c r="A1693" s="1" t="n">
        <v>1692</v>
      </c>
      <c r="B1693" s="1" t="s">
        <v>1016</v>
      </c>
      <c r="C1693" s="1" t="s">
        <v>606</v>
      </c>
      <c r="D1693" s="1" t="s">
        <v>209</v>
      </c>
      <c r="E1693" s="1" t="s">
        <v>1053</v>
      </c>
    </row>
    <row r="1694" customFormat="false" ht="15" hidden="false" customHeight="true" outlineLevel="0" collapsed="false">
      <c r="A1694" s="1" t="n">
        <v>1693</v>
      </c>
      <c r="B1694" s="1" t="s">
        <v>803</v>
      </c>
      <c r="C1694" s="1" t="s">
        <v>555</v>
      </c>
      <c r="D1694" s="1" t="s">
        <v>549</v>
      </c>
      <c r="E1694" s="1" t="s">
        <v>1873</v>
      </c>
    </row>
    <row r="1695" customFormat="false" ht="15" hidden="false" customHeight="true" outlineLevel="0" collapsed="false">
      <c r="A1695" s="1" t="n">
        <v>1694</v>
      </c>
      <c r="B1695" s="1" t="s">
        <v>1874</v>
      </c>
      <c r="C1695" s="1" t="s">
        <v>515</v>
      </c>
      <c r="D1695" s="1" t="s">
        <v>936</v>
      </c>
      <c r="E1695" s="1" t="s">
        <v>1176</v>
      </c>
    </row>
    <row r="1696" customFormat="false" ht="15" hidden="false" customHeight="true" outlineLevel="0" collapsed="false">
      <c r="A1696" s="1" t="n">
        <v>1695</v>
      </c>
      <c r="B1696" s="1" t="s">
        <v>1615</v>
      </c>
      <c r="C1696" s="1" t="s">
        <v>253</v>
      </c>
      <c r="D1696" s="1" t="s">
        <v>263</v>
      </c>
      <c r="E1696" s="1" t="s">
        <v>1010</v>
      </c>
    </row>
    <row r="1697" customFormat="false" ht="15" hidden="false" customHeight="true" outlineLevel="0" collapsed="false">
      <c r="A1697" s="1" t="n">
        <v>1696</v>
      </c>
      <c r="B1697" s="1" t="s">
        <v>1379</v>
      </c>
      <c r="C1697" s="1" t="s">
        <v>144</v>
      </c>
      <c r="D1697" s="1" t="s">
        <v>722</v>
      </c>
      <c r="E1697" s="1" t="s">
        <v>376</v>
      </c>
    </row>
    <row r="1698" customFormat="false" ht="15" hidden="false" customHeight="true" outlineLevel="0" collapsed="false">
      <c r="A1698" s="1" t="n">
        <v>1697</v>
      </c>
      <c r="B1698" s="1" t="s">
        <v>88</v>
      </c>
      <c r="C1698" s="1" t="s">
        <v>244</v>
      </c>
      <c r="D1698" s="1" t="s">
        <v>263</v>
      </c>
      <c r="E1698" s="1" t="s">
        <v>1875</v>
      </c>
    </row>
    <row r="1699" customFormat="false" ht="15" hidden="false" customHeight="true" outlineLevel="0" collapsed="false">
      <c r="A1699" s="1" t="n">
        <v>1698</v>
      </c>
      <c r="B1699" s="1" t="s">
        <v>196</v>
      </c>
      <c r="C1699" s="1" t="s">
        <v>1233</v>
      </c>
      <c r="D1699" s="1" t="s">
        <v>446</v>
      </c>
      <c r="E1699" s="1" t="s">
        <v>1224</v>
      </c>
    </row>
    <row r="1700" customFormat="false" ht="15" hidden="false" customHeight="true" outlineLevel="0" collapsed="false">
      <c r="A1700" s="1" t="n">
        <v>1699</v>
      </c>
      <c r="B1700" s="1" t="s">
        <v>386</v>
      </c>
      <c r="C1700" s="1" t="s">
        <v>1098</v>
      </c>
      <c r="D1700" s="1" t="s">
        <v>737</v>
      </c>
      <c r="E1700" s="1" t="s">
        <v>160</v>
      </c>
    </row>
    <row r="1701" customFormat="false" ht="15" hidden="false" customHeight="true" outlineLevel="0" collapsed="false">
      <c r="A1701" s="1" t="n">
        <v>1700</v>
      </c>
      <c r="B1701" s="1" t="s">
        <v>1146</v>
      </c>
      <c r="C1701" s="1" t="s">
        <v>686</v>
      </c>
      <c r="D1701" s="1" t="s">
        <v>1531</v>
      </c>
      <c r="E1701" s="1" t="s">
        <v>44</v>
      </c>
    </row>
    <row r="1702" customFormat="false" ht="15" hidden="false" customHeight="true" outlineLevel="0" collapsed="false">
      <c r="A1702" s="1" t="n">
        <v>1701</v>
      </c>
      <c r="B1702" s="1" t="s">
        <v>619</v>
      </c>
      <c r="C1702" s="1" t="s">
        <v>274</v>
      </c>
      <c r="D1702" s="1" t="s">
        <v>990</v>
      </c>
      <c r="E1702" s="1" t="s">
        <v>1876</v>
      </c>
    </row>
    <row r="1703" customFormat="false" ht="15" hidden="false" customHeight="true" outlineLevel="0" collapsed="false">
      <c r="A1703" s="1" t="n">
        <v>1702</v>
      </c>
      <c r="B1703" s="1" t="s">
        <v>757</v>
      </c>
      <c r="C1703" s="1" t="s">
        <v>1271</v>
      </c>
      <c r="D1703" s="1" t="s">
        <v>415</v>
      </c>
      <c r="E1703" s="1" t="s">
        <v>385</v>
      </c>
    </row>
    <row r="1704" customFormat="false" ht="15" hidden="false" customHeight="true" outlineLevel="0" collapsed="false">
      <c r="A1704" s="1" t="n">
        <v>1703</v>
      </c>
      <c r="B1704" s="1" t="s">
        <v>743</v>
      </c>
      <c r="C1704" s="1" t="s">
        <v>709</v>
      </c>
      <c r="D1704" s="1" t="s">
        <v>267</v>
      </c>
      <c r="E1704" s="1" t="s">
        <v>1877</v>
      </c>
    </row>
    <row r="1705" customFormat="false" ht="15" hidden="false" customHeight="true" outlineLevel="0" collapsed="false">
      <c r="A1705" s="1" t="n">
        <v>1704</v>
      </c>
      <c r="B1705" s="1" t="s">
        <v>533</v>
      </c>
      <c r="C1705" s="1" t="s">
        <v>1822</v>
      </c>
      <c r="D1705" s="1" t="s">
        <v>787</v>
      </c>
      <c r="E1705" s="1" t="s">
        <v>1529</v>
      </c>
    </row>
    <row r="1706" customFormat="false" ht="15" hidden="false" customHeight="true" outlineLevel="0" collapsed="false">
      <c r="A1706" s="1" t="n">
        <v>1705</v>
      </c>
      <c r="B1706" s="1" t="s">
        <v>1473</v>
      </c>
      <c r="C1706" s="1" t="s">
        <v>857</v>
      </c>
      <c r="D1706" s="1" t="s">
        <v>97</v>
      </c>
      <c r="E1706" s="1" t="s">
        <v>1878</v>
      </c>
    </row>
    <row r="1707" customFormat="false" ht="15" hidden="false" customHeight="true" outlineLevel="0" collapsed="false">
      <c r="A1707" s="1" t="n">
        <v>1706</v>
      </c>
      <c r="B1707" s="1" t="s">
        <v>1164</v>
      </c>
      <c r="C1707" s="1" t="s">
        <v>1478</v>
      </c>
      <c r="D1707" s="1" t="s">
        <v>369</v>
      </c>
      <c r="E1707" s="1" t="s">
        <v>168</v>
      </c>
    </row>
    <row r="1708" customFormat="false" ht="15" hidden="false" customHeight="true" outlineLevel="0" collapsed="false">
      <c r="A1708" s="1" t="n">
        <v>1707</v>
      </c>
      <c r="B1708" s="1" t="s">
        <v>117</v>
      </c>
      <c r="C1708" s="1" t="s">
        <v>721</v>
      </c>
      <c r="D1708" s="1" t="s">
        <v>532</v>
      </c>
      <c r="E1708" s="1" t="s">
        <v>1834</v>
      </c>
    </row>
    <row r="1709" customFormat="false" ht="15" hidden="false" customHeight="true" outlineLevel="0" collapsed="false">
      <c r="A1709" s="1" t="n">
        <v>1708</v>
      </c>
      <c r="B1709" s="1" t="s">
        <v>713</v>
      </c>
      <c r="C1709" s="1" t="s">
        <v>739</v>
      </c>
      <c r="D1709" s="1" t="s">
        <v>695</v>
      </c>
      <c r="E1709" s="1" t="s">
        <v>326</v>
      </c>
    </row>
    <row r="1710" customFormat="false" ht="15" hidden="false" customHeight="true" outlineLevel="0" collapsed="false">
      <c r="A1710" s="1" t="n">
        <v>1709</v>
      </c>
      <c r="B1710" s="1" t="s">
        <v>323</v>
      </c>
      <c r="C1710" s="1" t="s">
        <v>956</v>
      </c>
      <c r="D1710" s="1" t="s">
        <v>220</v>
      </c>
      <c r="E1710" s="1" t="s">
        <v>1879</v>
      </c>
    </row>
    <row r="1711" customFormat="false" ht="15" hidden="false" customHeight="true" outlineLevel="0" collapsed="false">
      <c r="A1711" s="1" t="n">
        <v>1710</v>
      </c>
      <c r="B1711" s="1" t="s">
        <v>955</v>
      </c>
      <c r="C1711" s="1" t="s">
        <v>1161</v>
      </c>
      <c r="D1711" s="1" t="s">
        <v>643</v>
      </c>
      <c r="E1711" s="1" t="s">
        <v>44</v>
      </c>
    </row>
    <row r="1712" customFormat="false" ht="15" hidden="false" customHeight="true" outlineLevel="0" collapsed="false">
      <c r="A1712" s="1" t="n">
        <v>1711</v>
      </c>
      <c r="B1712" s="1" t="s">
        <v>614</v>
      </c>
      <c r="C1712" s="1" t="s">
        <v>112</v>
      </c>
      <c r="D1712" s="1" t="s">
        <v>163</v>
      </c>
      <c r="E1712" s="1" t="s">
        <v>818</v>
      </c>
    </row>
    <row r="1713" customFormat="false" ht="15" hidden="false" customHeight="true" outlineLevel="0" collapsed="false">
      <c r="A1713" s="1" t="n">
        <v>1712</v>
      </c>
      <c r="B1713" s="1" t="s">
        <v>883</v>
      </c>
      <c r="C1713" s="1" t="s">
        <v>905</v>
      </c>
      <c r="D1713" s="1" t="s">
        <v>316</v>
      </c>
      <c r="E1713" s="1" t="s">
        <v>1217</v>
      </c>
    </row>
    <row r="1714" customFormat="false" ht="15" hidden="false" customHeight="true" outlineLevel="0" collapsed="false">
      <c r="A1714" s="1" t="n">
        <v>1713</v>
      </c>
      <c r="B1714" s="1" t="s">
        <v>951</v>
      </c>
      <c r="C1714" s="1" t="s">
        <v>208</v>
      </c>
      <c r="D1714" s="1" t="s">
        <v>79</v>
      </c>
      <c r="E1714" s="1" t="s">
        <v>1079</v>
      </c>
    </row>
    <row r="1715" customFormat="false" ht="15" hidden="false" customHeight="true" outlineLevel="0" collapsed="false">
      <c r="A1715" s="1" t="n">
        <v>1714</v>
      </c>
      <c r="B1715" s="1" t="s">
        <v>496</v>
      </c>
      <c r="C1715" s="1" t="s">
        <v>1396</v>
      </c>
      <c r="D1715" s="1" t="s">
        <v>947</v>
      </c>
      <c r="E1715" s="1" t="s">
        <v>1880</v>
      </c>
    </row>
    <row r="1716" customFormat="false" ht="15" hidden="false" customHeight="true" outlineLevel="0" collapsed="false">
      <c r="A1716" s="1" t="n">
        <v>1715</v>
      </c>
      <c r="B1716" s="1" t="s">
        <v>588</v>
      </c>
      <c r="C1716" s="1" t="s">
        <v>615</v>
      </c>
      <c r="D1716" s="1" t="s">
        <v>275</v>
      </c>
      <c r="E1716" s="1" t="s">
        <v>1881</v>
      </c>
    </row>
    <row r="1717" customFormat="false" ht="15" hidden="false" customHeight="true" outlineLevel="0" collapsed="false">
      <c r="A1717" s="1" t="n">
        <v>1716</v>
      </c>
      <c r="B1717" s="1" t="s">
        <v>161</v>
      </c>
      <c r="C1717" s="1" t="s">
        <v>579</v>
      </c>
      <c r="D1717" s="1" t="s">
        <v>11</v>
      </c>
      <c r="E1717" s="1" t="s">
        <v>959</v>
      </c>
    </row>
    <row r="1718" customFormat="false" ht="15" hidden="false" customHeight="true" outlineLevel="0" collapsed="false">
      <c r="A1718" s="1" t="n">
        <v>1717</v>
      </c>
      <c r="B1718" s="1" t="s">
        <v>1851</v>
      </c>
      <c r="C1718" s="1" t="s">
        <v>1098</v>
      </c>
      <c r="D1718" s="1" t="s">
        <v>245</v>
      </c>
      <c r="E1718" s="1" t="s">
        <v>652</v>
      </c>
    </row>
    <row r="1719" customFormat="false" ht="15" hidden="false" customHeight="true" outlineLevel="0" collapsed="false">
      <c r="A1719" s="1" t="n">
        <v>1718</v>
      </c>
      <c r="B1719" s="1" t="s">
        <v>196</v>
      </c>
      <c r="C1719" s="1" t="s">
        <v>487</v>
      </c>
      <c r="D1719" s="1" t="s">
        <v>220</v>
      </c>
      <c r="E1719" s="1" t="s">
        <v>1687</v>
      </c>
    </row>
    <row r="1720" customFormat="false" ht="15" hidden="false" customHeight="true" outlineLevel="0" collapsed="false">
      <c r="A1720" s="1" t="n">
        <v>1719</v>
      </c>
      <c r="B1720" s="1" t="s">
        <v>859</v>
      </c>
      <c r="C1720" s="1" t="s">
        <v>1245</v>
      </c>
      <c r="D1720" s="1" t="s">
        <v>453</v>
      </c>
      <c r="E1720" s="1" t="s">
        <v>1568</v>
      </c>
    </row>
    <row r="1721" customFormat="false" ht="15" hidden="false" customHeight="true" outlineLevel="0" collapsed="false">
      <c r="A1721" s="1" t="n">
        <v>1720</v>
      </c>
      <c r="B1721" s="1" t="s">
        <v>803</v>
      </c>
      <c r="C1721" s="1" t="s">
        <v>611</v>
      </c>
      <c r="D1721" s="1" t="s">
        <v>178</v>
      </c>
      <c r="E1721" s="1" t="s">
        <v>44</v>
      </c>
    </row>
    <row r="1722" customFormat="false" ht="15" hidden="false" customHeight="true" outlineLevel="0" collapsed="false">
      <c r="A1722" s="1" t="n">
        <v>1721</v>
      </c>
      <c r="B1722" s="1" t="s">
        <v>1476</v>
      </c>
      <c r="C1722" s="1" t="s">
        <v>502</v>
      </c>
      <c r="D1722" s="1" t="s">
        <v>900</v>
      </c>
      <c r="E1722" s="1" t="s">
        <v>867</v>
      </c>
    </row>
    <row r="1723" customFormat="false" ht="15" hidden="false" customHeight="true" outlineLevel="0" collapsed="false">
      <c r="A1723" s="1" t="n">
        <v>1722</v>
      </c>
      <c r="B1723" s="1" t="s">
        <v>1882</v>
      </c>
      <c r="C1723" s="1" t="s">
        <v>1587</v>
      </c>
      <c r="D1723" s="1" t="s">
        <v>220</v>
      </c>
      <c r="E1723" s="1" t="s">
        <v>1813</v>
      </c>
    </row>
    <row r="1724" customFormat="false" ht="15" hidden="false" customHeight="true" outlineLevel="0" collapsed="false">
      <c r="A1724" s="1" t="n">
        <v>1723</v>
      </c>
      <c r="B1724" s="1" t="s">
        <v>1752</v>
      </c>
      <c r="C1724" s="1" t="s">
        <v>1883</v>
      </c>
      <c r="D1724" s="1" t="s">
        <v>1067</v>
      </c>
      <c r="E1724" s="1" t="s">
        <v>110</v>
      </c>
    </row>
    <row r="1725" customFormat="false" ht="15" hidden="false" customHeight="true" outlineLevel="0" collapsed="false">
      <c r="A1725" s="1" t="n">
        <v>1724</v>
      </c>
      <c r="B1725" s="1" t="s">
        <v>748</v>
      </c>
      <c r="C1725" s="1" t="s">
        <v>300</v>
      </c>
      <c r="D1725" s="1" t="s">
        <v>1795</v>
      </c>
      <c r="E1725" s="1" t="s">
        <v>1884</v>
      </c>
    </row>
    <row r="1726" customFormat="false" ht="15" hidden="false" customHeight="true" outlineLevel="0" collapsed="false">
      <c r="A1726" s="1" t="n">
        <v>1725</v>
      </c>
      <c r="B1726" s="1" t="s">
        <v>770</v>
      </c>
      <c r="C1726" s="1" t="s">
        <v>653</v>
      </c>
      <c r="D1726" s="1" t="s">
        <v>345</v>
      </c>
      <c r="E1726" s="1" t="s">
        <v>1885</v>
      </c>
    </row>
    <row r="1727" customFormat="false" ht="15" hidden="false" customHeight="true" outlineLevel="0" collapsed="false">
      <c r="A1727" s="1" t="n">
        <v>1726</v>
      </c>
      <c r="B1727" s="1" t="s">
        <v>1333</v>
      </c>
      <c r="C1727" s="1" t="s">
        <v>1245</v>
      </c>
      <c r="D1727" s="1" t="s">
        <v>235</v>
      </c>
      <c r="E1727" s="1" t="s">
        <v>1886</v>
      </c>
    </row>
    <row r="1728" customFormat="false" ht="15" hidden="false" customHeight="true" outlineLevel="0" collapsed="false">
      <c r="A1728" s="1" t="n">
        <v>1727</v>
      </c>
      <c r="B1728" s="1" t="s">
        <v>1434</v>
      </c>
      <c r="C1728" s="1" t="s">
        <v>1329</v>
      </c>
      <c r="D1728" s="1" t="s">
        <v>1175</v>
      </c>
      <c r="E1728" s="1" t="s">
        <v>1887</v>
      </c>
    </row>
    <row r="1729" customFormat="false" ht="15" hidden="false" customHeight="true" outlineLevel="0" collapsed="false">
      <c r="A1729" s="1" t="n">
        <v>1728</v>
      </c>
      <c r="B1729" s="1" t="s">
        <v>308</v>
      </c>
      <c r="C1729" s="1" t="s">
        <v>1888</v>
      </c>
      <c r="D1729" s="1" t="s">
        <v>909</v>
      </c>
      <c r="E1729" s="1" t="s">
        <v>1889</v>
      </c>
    </row>
    <row r="1730" customFormat="false" ht="15" hidden="false" customHeight="true" outlineLevel="0" collapsed="false">
      <c r="A1730" s="1" t="n">
        <v>1729</v>
      </c>
      <c r="B1730" s="1" t="s">
        <v>730</v>
      </c>
      <c r="C1730" s="1" t="s">
        <v>234</v>
      </c>
      <c r="D1730" s="1" t="s">
        <v>309</v>
      </c>
      <c r="E1730" s="1" t="s">
        <v>1890</v>
      </c>
    </row>
    <row r="1731" customFormat="false" ht="15" hidden="false" customHeight="true" outlineLevel="0" collapsed="false">
      <c r="A1731" s="1" t="n">
        <v>1730</v>
      </c>
      <c r="B1731" s="1" t="s">
        <v>1419</v>
      </c>
      <c r="C1731" s="1" t="s">
        <v>285</v>
      </c>
      <c r="D1731" s="1" t="s">
        <v>231</v>
      </c>
      <c r="E1731" s="1" t="s">
        <v>44</v>
      </c>
    </row>
    <row r="1732" customFormat="false" ht="15" hidden="false" customHeight="true" outlineLevel="0" collapsed="false">
      <c r="A1732" s="1" t="n">
        <v>1731</v>
      </c>
      <c r="B1732" s="1" t="s">
        <v>409</v>
      </c>
      <c r="C1732" s="1" t="s">
        <v>481</v>
      </c>
      <c r="D1732" s="1" t="s">
        <v>90</v>
      </c>
      <c r="E1732" s="1" t="s">
        <v>1889</v>
      </c>
    </row>
    <row r="1733" customFormat="false" ht="15" hidden="false" customHeight="true" outlineLevel="0" collapsed="false">
      <c r="A1733" s="1" t="n">
        <v>1732</v>
      </c>
      <c r="B1733" s="1" t="s">
        <v>988</v>
      </c>
      <c r="C1733" s="1" t="s">
        <v>1253</v>
      </c>
      <c r="D1733" s="1" t="s">
        <v>556</v>
      </c>
      <c r="E1733" s="1" t="s">
        <v>858</v>
      </c>
    </row>
    <row r="1734" customFormat="false" ht="15" hidden="false" customHeight="true" outlineLevel="0" collapsed="false">
      <c r="A1734" s="1" t="n">
        <v>1733</v>
      </c>
      <c r="B1734" s="1" t="s">
        <v>993</v>
      </c>
      <c r="C1734" s="1" t="s">
        <v>645</v>
      </c>
      <c r="D1734" s="1" t="s">
        <v>578</v>
      </c>
      <c r="E1734" s="1" t="s">
        <v>1040</v>
      </c>
    </row>
    <row r="1735" customFormat="false" ht="15" hidden="false" customHeight="true" outlineLevel="0" collapsed="false">
      <c r="A1735" s="1" t="n">
        <v>1734</v>
      </c>
      <c r="B1735" s="1" t="s">
        <v>1121</v>
      </c>
      <c r="C1735" s="1" t="s">
        <v>202</v>
      </c>
      <c r="D1735" s="1" t="s">
        <v>245</v>
      </c>
      <c r="E1735" s="1" t="s">
        <v>1891</v>
      </c>
    </row>
    <row r="1736" customFormat="false" ht="15" hidden="false" customHeight="true" outlineLevel="0" collapsed="false">
      <c r="A1736" s="1" t="n">
        <v>1735</v>
      </c>
      <c r="B1736" s="1" t="s">
        <v>1785</v>
      </c>
      <c r="C1736" s="1" t="s">
        <v>579</v>
      </c>
      <c r="D1736" s="1" t="s">
        <v>715</v>
      </c>
      <c r="E1736" s="1" t="s">
        <v>322</v>
      </c>
    </row>
    <row r="1737" customFormat="false" ht="15" hidden="false" customHeight="true" outlineLevel="0" collapsed="false">
      <c r="A1737" s="1" t="n">
        <v>1736</v>
      </c>
      <c r="B1737" s="1" t="s">
        <v>247</v>
      </c>
      <c r="C1737" s="1" t="s">
        <v>1587</v>
      </c>
      <c r="D1737" s="1" t="s">
        <v>1272</v>
      </c>
      <c r="E1737" s="1" t="s">
        <v>618</v>
      </c>
    </row>
    <row r="1738" customFormat="false" ht="15" hidden="false" customHeight="true" outlineLevel="0" collapsed="false">
      <c r="A1738" s="1" t="n">
        <v>1737</v>
      </c>
      <c r="B1738" s="1" t="s">
        <v>969</v>
      </c>
      <c r="C1738" s="1" t="s">
        <v>1140</v>
      </c>
      <c r="D1738" s="1" t="s">
        <v>869</v>
      </c>
      <c r="E1738" s="1" t="s">
        <v>1348</v>
      </c>
    </row>
    <row r="1739" customFormat="false" ht="15" hidden="false" customHeight="true" outlineLevel="0" collapsed="false">
      <c r="A1739" s="1" t="n">
        <v>1738</v>
      </c>
      <c r="B1739" s="1" t="s">
        <v>107</v>
      </c>
      <c r="C1739" s="1" t="s">
        <v>1892</v>
      </c>
      <c r="D1739" s="1" t="s">
        <v>7</v>
      </c>
      <c r="E1739" s="1" t="s">
        <v>1614</v>
      </c>
    </row>
    <row r="1740" customFormat="false" ht="15" hidden="false" customHeight="true" outlineLevel="0" collapsed="false">
      <c r="A1740" s="1" t="n">
        <v>1739</v>
      </c>
      <c r="B1740" s="1" t="s">
        <v>628</v>
      </c>
      <c r="C1740" s="1" t="s">
        <v>1553</v>
      </c>
      <c r="D1740" s="1" t="s">
        <v>19</v>
      </c>
      <c r="E1740" s="1" t="s">
        <v>1657</v>
      </c>
    </row>
    <row r="1741" customFormat="false" ht="15" hidden="false" customHeight="true" outlineLevel="0" collapsed="false">
      <c r="A1741" s="1" t="n">
        <v>1740</v>
      </c>
      <c r="B1741" s="1" t="s">
        <v>404</v>
      </c>
      <c r="C1741" s="1" t="s">
        <v>1098</v>
      </c>
      <c r="D1741" s="1" t="s">
        <v>286</v>
      </c>
      <c r="E1741" s="1" t="s">
        <v>44</v>
      </c>
    </row>
    <row r="1742" customFormat="false" ht="15" hidden="false" customHeight="true" outlineLevel="0" collapsed="false">
      <c r="A1742" s="1" t="n">
        <v>1741</v>
      </c>
      <c r="B1742" s="1" t="s">
        <v>1434</v>
      </c>
      <c r="C1742" s="1" t="s">
        <v>1248</v>
      </c>
      <c r="D1742" s="1" t="s">
        <v>1810</v>
      </c>
      <c r="E1742" s="1" t="s">
        <v>1678</v>
      </c>
    </row>
    <row r="1743" customFormat="false" ht="15" hidden="false" customHeight="true" outlineLevel="0" collapsed="false">
      <c r="A1743" s="1" t="n">
        <v>1742</v>
      </c>
      <c r="B1743" s="1" t="s">
        <v>1522</v>
      </c>
      <c r="C1743" s="1" t="s">
        <v>1038</v>
      </c>
      <c r="D1743" s="1" t="s">
        <v>728</v>
      </c>
      <c r="E1743" s="1" t="s">
        <v>1866</v>
      </c>
    </row>
    <row r="1744" customFormat="false" ht="15" hidden="false" customHeight="true" outlineLevel="0" collapsed="false">
      <c r="A1744" s="1" t="n">
        <v>1743</v>
      </c>
      <c r="B1744" s="1" t="s">
        <v>1827</v>
      </c>
      <c r="C1744" s="1" t="s">
        <v>318</v>
      </c>
      <c r="D1744" s="1" t="s">
        <v>384</v>
      </c>
      <c r="E1744" s="1" t="s">
        <v>436</v>
      </c>
    </row>
    <row r="1745" customFormat="false" ht="15" hidden="false" customHeight="true" outlineLevel="0" collapsed="false">
      <c r="A1745" s="1" t="n">
        <v>1744</v>
      </c>
      <c r="B1745" s="1" t="s">
        <v>1729</v>
      </c>
      <c r="C1745" s="1" t="s">
        <v>93</v>
      </c>
      <c r="D1745" s="1" t="s">
        <v>278</v>
      </c>
      <c r="E1745" s="1" t="s">
        <v>1789</v>
      </c>
    </row>
    <row r="1746" customFormat="false" ht="15" hidden="false" customHeight="true" outlineLevel="0" collapsed="false">
      <c r="A1746" s="1" t="n">
        <v>1745</v>
      </c>
      <c r="B1746" s="1" t="s">
        <v>406</v>
      </c>
      <c r="C1746" s="1" t="s">
        <v>1003</v>
      </c>
      <c r="D1746" s="1" t="s">
        <v>494</v>
      </c>
      <c r="E1746" s="1" t="s">
        <v>1007</v>
      </c>
    </row>
    <row r="1747" customFormat="false" ht="15" hidden="false" customHeight="true" outlineLevel="0" collapsed="false">
      <c r="A1747" s="1" t="n">
        <v>1746</v>
      </c>
      <c r="B1747" s="1" t="s">
        <v>609</v>
      </c>
      <c r="C1747" s="1" t="s">
        <v>1651</v>
      </c>
      <c r="D1747" s="1" t="s">
        <v>607</v>
      </c>
      <c r="E1747" s="1" t="s">
        <v>1221</v>
      </c>
    </row>
    <row r="1748" customFormat="false" ht="15" hidden="false" customHeight="true" outlineLevel="0" collapsed="false">
      <c r="A1748" s="1" t="n">
        <v>1747</v>
      </c>
      <c r="B1748" s="1" t="s">
        <v>1755</v>
      </c>
      <c r="C1748" s="1" t="s">
        <v>362</v>
      </c>
      <c r="D1748" s="1" t="s">
        <v>330</v>
      </c>
      <c r="E1748" s="1" t="s">
        <v>1258</v>
      </c>
    </row>
    <row r="1749" customFormat="false" ht="15" hidden="false" customHeight="true" outlineLevel="0" collapsed="false">
      <c r="A1749" s="1" t="n">
        <v>1748</v>
      </c>
      <c r="B1749" s="1" t="s">
        <v>1156</v>
      </c>
      <c r="C1749" s="1" t="s">
        <v>375</v>
      </c>
      <c r="D1749" s="1" t="s">
        <v>275</v>
      </c>
      <c r="E1749" s="1" t="s">
        <v>1696</v>
      </c>
    </row>
    <row r="1750" customFormat="false" ht="15" hidden="false" customHeight="true" outlineLevel="0" collapsed="false">
      <c r="A1750" s="1" t="n">
        <v>1749</v>
      </c>
      <c r="B1750" s="1" t="s">
        <v>996</v>
      </c>
      <c r="C1750" s="1" t="s">
        <v>1558</v>
      </c>
      <c r="D1750" s="1" t="s">
        <v>220</v>
      </c>
      <c r="E1750" s="1" t="s">
        <v>740</v>
      </c>
    </row>
    <row r="1751" customFormat="false" ht="15" hidden="false" customHeight="true" outlineLevel="0" collapsed="false">
      <c r="A1751" s="1" t="n">
        <v>1750</v>
      </c>
      <c r="B1751" s="1" t="s">
        <v>730</v>
      </c>
      <c r="C1751" s="1" t="s">
        <v>1674</v>
      </c>
      <c r="D1751" s="1" t="s">
        <v>903</v>
      </c>
      <c r="E1751" s="1" t="s">
        <v>44</v>
      </c>
    </row>
    <row r="1752" customFormat="false" ht="15" hidden="false" customHeight="true" outlineLevel="0" collapsed="false">
      <c r="A1752" s="1" t="n">
        <v>1751</v>
      </c>
      <c r="B1752" s="1" t="s">
        <v>1785</v>
      </c>
      <c r="C1752" s="1" t="s">
        <v>333</v>
      </c>
      <c r="D1752" s="1" t="s">
        <v>1363</v>
      </c>
      <c r="E1752" s="1" t="s">
        <v>1893</v>
      </c>
    </row>
    <row r="1753" customFormat="false" ht="15" hidden="false" customHeight="true" outlineLevel="0" collapsed="false">
      <c r="A1753" s="1" t="n">
        <v>1752</v>
      </c>
      <c r="B1753" s="1" t="s">
        <v>1868</v>
      </c>
      <c r="C1753" s="1" t="s">
        <v>118</v>
      </c>
      <c r="D1753" s="1" t="s">
        <v>717</v>
      </c>
      <c r="E1753" s="1" t="s">
        <v>1894</v>
      </c>
    </row>
    <row r="1754" customFormat="false" ht="15" hidden="false" customHeight="true" outlineLevel="0" collapsed="false">
      <c r="A1754" s="1" t="n">
        <v>1753</v>
      </c>
      <c r="B1754" s="1" t="s">
        <v>970</v>
      </c>
      <c r="C1754" s="1" t="s">
        <v>122</v>
      </c>
      <c r="D1754" s="1" t="s">
        <v>213</v>
      </c>
      <c r="E1754" s="1" t="s">
        <v>451</v>
      </c>
    </row>
    <row r="1755" customFormat="false" ht="15" hidden="false" customHeight="true" outlineLevel="0" collapsed="false">
      <c r="A1755" s="1" t="n">
        <v>1754</v>
      </c>
      <c r="B1755" s="1" t="s">
        <v>430</v>
      </c>
      <c r="C1755" s="1" t="s">
        <v>709</v>
      </c>
      <c r="D1755" s="1" t="s">
        <v>1175</v>
      </c>
      <c r="E1755" s="1" t="s">
        <v>242</v>
      </c>
    </row>
    <row r="1756" customFormat="false" ht="15" hidden="false" customHeight="true" outlineLevel="0" collapsed="false">
      <c r="A1756" s="1" t="n">
        <v>1755</v>
      </c>
      <c r="B1756" s="1" t="s">
        <v>1349</v>
      </c>
      <c r="C1756" s="1" t="s">
        <v>244</v>
      </c>
      <c r="D1756" s="1" t="s">
        <v>880</v>
      </c>
      <c r="E1756" s="1" t="s">
        <v>1290</v>
      </c>
    </row>
    <row r="1757" customFormat="false" ht="15" hidden="false" customHeight="true" outlineLevel="0" collapsed="false">
      <c r="A1757" s="1" t="n">
        <v>1756</v>
      </c>
      <c r="B1757" s="1" t="s">
        <v>576</v>
      </c>
      <c r="C1757" s="1" t="s">
        <v>562</v>
      </c>
      <c r="D1757" s="1" t="s">
        <v>715</v>
      </c>
      <c r="E1757" s="1" t="s">
        <v>1895</v>
      </c>
    </row>
    <row r="1758" customFormat="false" ht="15" hidden="false" customHeight="true" outlineLevel="0" collapsed="false">
      <c r="A1758" s="1" t="n">
        <v>1757</v>
      </c>
      <c r="B1758" s="1" t="s">
        <v>1375</v>
      </c>
      <c r="C1758" s="1" t="s">
        <v>915</v>
      </c>
      <c r="D1758" s="1" t="s">
        <v>698</v>
      </c>
      <c r="E1758" s="1" t="s">
        <v>954</v>
      </c>
    </row>
    <row r="1759" customFormat="false" ht="15" hidden="false" customHeight="true" outlineLevel="0" collapsed="false">
      <c r="A1759" s="1" t="n">
        <v>1758</v>
      </c>
      <c r="B1759" s="1" t="s">
        <v>1394</v>
      </c>
      <c r="C1759" s="1" t="s">
        <v>116</v>
      </c>
      <c r="D1759" s="1" t="s">
        <v>137</v>
      </c>
      <c r="E1759" s="1" t="s">
        <v>906</v>
      </c>
    </row>
    <row r="1760" customFormat="false" ht="15" hidden="false" customHeight="true" outlineLevel="0" collapsed="false">
      <c r="A1760" s="1" t="n">
        <v>1759</v>
      </c>
      <c r="B1760" s="1" t="s">
        <v>991</v>
      </c>
      <c r="C1760" s="1" t="s">
        <v>586</v>
      </c>
      <c r="D1760" s="1" t="s">
        <v>1165</v>
      </c>
      <c r="E1760" s="1" t="s">
        <v>1619</v>
      </c>
    </row>
    <row r="1761" customFormat="false" ht="15" hidden="false" customHeight="true" outlineLevel="0" collapsed="false">
      <c r="A1761" s="1" t="n">
        <v>1760</v>
      </c>
      <c r="B1761" s="1" t="s">
        <v>1775</v>
      </c>
      <c r="C1761" s="1" t="s">
        <v>181</v>
      </c>
      <c r="D1761" s="1" t="s">
        <v>764</v>
      </c>
      <c r="E1761" s="1" t="s">
        <v>44</v>
      </c>
    </row>
    <row r="1762" customFormat="false" ht="15" hidden="false" customHeight="true" outlineLevel="0" collapsed="false">
      <c r="A1762" s="1" t="n">
        <v>1761</v>
      </c>
      <c r="B1762" s="1" t="s">
        <v>314</v>
      </c>
      <c r="C1762" s="1" t="s">
        <v>1213</v>
      </c>
      <c r="D1762" s="1" t="s">
        <v>567</v>
      </c>
      <c r="E1762" s="1" t="s">
        <v>363</v>
      </c>
    </row>
    <row r="1763" customFormat="false" ht="15" hidden="false" customHeight="true" outlineLevel="0" collapsed="false">
      <c r="A1763" s="1" t="n">
        <v>1762</v>
      </c>
      <c r="B1763" s="1" t="s">
        <v>1561</v>
      </c>
      <c r="C1763" s="1" t="s">
        <v>1285</v>
      </c>
      <c r="D1763" s="1" t="s">
        <v>639</v>
      </c>
      <c r="E1763" s="1" t="s">
        <v>738</v>
      </c>
    </row>
    <row r="1764" customFormat="false" ht="15" hidden="false" customHeight="true" outlineLevel="0" collapsed="false">
      <c r="A1764" s="1" t="n">
        <v>1763</v>
      </c>
      <c r="B1764" s="1" t="s">
        <v>1415</v>
      </c>
      <c r="C1764" s="1" t="s">
        <v>750</v>
      </c>
      <c r="D1764" s="1" t="s">
        <v>293</v>
      </c>
      <c r="E1764" s="1" t="s">
        <v>1896</v>
      </c>
    </row>
    <row r="1765" customFormat="false" ht="15" hidden="false" customHeight="true" outlineLevel="0" collapsed="false">
      <c r="A1765" s="1" t="n">
        <v>1764</v>
      </c>
      <c r="B1765" s="1" t="s">
        <v>1750</v>
      </c>
      <c r="C1765" s="1" t="s">
        <v>104</v>
      </c>
      <c r="D1765" s="1" t="s">
        <v>15</v>
      </c>
      <c r="E1765" s="1" t="s">
        <v>1423</v>
      </c>
    </row>
    <row r="1766" customFormat="false" ht="15" hidden="false" customHeight="true" outlineLevel="0" collapsed="false">
      <c r="A1766" s="1" t="n">
        <v>1765</v>
      </c>
      <c r="B1766" s="1" t="s">
        <v>49</v>
      </c>
      <c r="C1766" s="1" t="s">
        <v>786</v>
      </c>
      <c r="D1766" s="1" t="s">
        <v>1106</v>
      </c>
      <c r="E1766" s="1" t="s">
        <v>1897</v>
      </c>
    </row>
    <row r="1767" customFormat="false" ht="15" hidden="false" customHeight="true" outlineLevel="0" collapsed="false">
      <c r="A1767" s="1" t="n">
        <v>1766</v>
      </c>
      <c r="B1767" s="1" t="s">
        <v>311</v>
      </c>
      <c r="C1767" s="1" t="s">
        <v>112</v>
      </c>
      <c r="D1767" s="1" t="s">
        <v>900</v>
      </c>
      <c r="E1767" s="1" t="s">
        <v>1139</v>
      </c>
    </row>
    <row r="1768" customFormat="false" ht="15" hidden="false" customHeight="true" outlineLevel="0" collapsed="false">
      <c r="A1768" s="1" t="n">
        <v>1767</v>
      </c>
      <c r="B1768" s="1" t="s">
        <v>1002</v>
      </c>
      <c r="C1768" s="1" t="s">
        <v>1038</v>
      </c>
      <c r="D1768" s="1" t="s">
        <v>90</v>
      </c>
      <c r="E1768" s="1" t="s">
        <v>1026</v>
      </c>
    </row>
    <row r="1769" customFormat="false" ht="15" hidden="false" customHeight="true" outlineLevel="0" collapsed="false">
      <c r="A1769" s="1" t="n">
        <v>1768</v>
      </c>
      <c r="B1769" s="1" t="s">
        <v>107</v>
      </c>
      <c r="C1769" s="1" t="s">
        <v>78</v>
      </c>
      <c r="D1769" s="1" t="s">
        <v>325</v>
      </c>
      <c r="E1769" s="1" t="s">
        <v>1898</v>
      </c>
    </row>
    <row r="1770" customFormat="false" ht="15" hidden="false" customHeight="true" outlineLevel="0" collapsed="false">
      <c r="A1770" s="1" t="n">
        <v>1769</v>
      </c>
      <c r="B1770" s="1" t="s">
        <v>1899</v>
      </c>
      <c r="C1770" s="1" t="s">
        <v>72</v>
      </c>
      <c r="D1770" s="1" t="s">
        <v>869</v>
      </c>
      <c r="E1770" s="1" t="s">
        <v>1900</v>
      </c>
    </row>
    <row r="1771" customFormat="false" ht="15" hidden="false" customHeight="true" outlineLevel="0" collapsed="false">
      <c r="A1771" s="1" t="n">
        <v>1770</v>
      </c>
      <c r="B1771" s="1" t="s">
        <v>1291</v>
      </c>
      <c r="C1771" s="1" t="s">
        <v>173</v>
      </c>
      <c r="D1771" s="1" t="s">
        <v>552</v>
      </c>
      <c r="E1771" s="1" t="s">
        <v>44</v>
      </c>
    </row>
    <row r="1772" customFormat="false" ht="15" hidden="false" customHeight="true" outlineLevel="0" collapsed="false">
      <c r="A1772" s="1" t="n">
        <v>1771</v>
      </c>
      <c r="B1772" s="1" t="s">
        <v>531</v>
      </c>
      <c r="C1772" s="1" t="s">
        <v>57</v>
      </c>
      <c r="D1772" s="1" t="s">
        <v>384</v>
      </c>
      <c r="E1772" s="1" t="s">
        <v>1769</v>
      </c>
    </row>
    <row r="1773" customFormat="false" ht="15" hidden="false" customHeight="true" outlineLevel="0" collapsed="false">
      <c r="A1773" s="1" t="n">
        <v>1772</v>
      </c>
      <c r="B1773" s="1" t="s">
        <v>404</v>
      </c>
      <c r="C1773" s="1" t="s">
        <v>555</v>
      </c>
      <c r="D1773" s="1" t="s">
        <v>419</v>
      </c>
      <c r="E1773" s="1" t="s">
        <v>1727</v>
      </c>
    </row>
    <row r="1774" customFormat="false" ht="15" hidden="false" customHeight="true" outlineLevel="0" collapsed="false">
      <c r="A1774" s="1" t="n">
        <v>1773</v>
      </c>
      <c r="B1774" s="1" t="s">
        <v>13</v>
      </c>
      <c r="C1774" s="1" t="s">
        <v>1754</v>
      </c>
      <c r="D1774" s="1" t="s">
        <v>474</v>
      </c>
      <c r="E1774" s="1" t="s">
        <v>1901</v>
      </c>
    </row>
    <row r="1775" customFormat="false" ht="15" hidden="false" customHeight="true" outlineLevel="0" collapsed="false">
      <c r="A1775" s="1" t="n">
        <v>1774</v>
      </c>
      <c r="B1775" s="1" t="s">
        <v>1530</v>
      </c>
      <c r="C1775" s="1" t="s">
        <v>1329</v>
      </c>
      <c r="D1775" s="1" t="s">
        <v>426</v>
      </c>
      <c r="E1775" s="1" t="s">
        <v>412</v>
      </c>
    </row>
    <row r="1776" customFormat="false" ht="15" hidden="false" customHeight="true" outlineLevel="0" collapsed="false">
      <c r="A1776" s="1" t="n">
        <v>1775</v>
      </c>
      <c r="B1776" s="1" t="s">
        <v>1752</v>
      </c>
      <c r="C1776" s="1" t="s">
        <v>140</v>
      </c>
      <c r="D1776" s="1" t="s">
        <v>879</v>
      </c>
      <c r="E1776" s="1" t="s">
        <v>1551</v>
      </c>
    </row>
    <row r="1777" customFormat="false" ht="15" hidden="false" customHeight="true" outlineLevel="0" collapsed="false">
      <c r="A1777" s="1" t="n">
        <v>1776</v>
      </c>
      <c r="B1777" s="1" t="s">
        <v>635</v>
      </c>
      <c r="C1777" s="1" t="s">
        <v>1902</v>
      </c>
      <c r="D1777" s="1" t="s">
        <v>1067</v>
      </c>
      <c r="E1777" s="1" t="s">
        <v>1903</v>
      </c>
    </row>
    <row r="1778" customFormat="false" ht="15" hidden="false" customHeight="true" outlineLevel="0" collapsed="false">
      <c r="A1778" s="1" t="n">
        <v>1777</v>
      </c>
      <c r="B1778" s="1" t="s">
        <v>964</v>
      </c>
      <c r="C1778" s="1" t="s">
        <v>253</v>
      </c>
      <c r="D1778" s="1" t="s">
        <v>722</v>
      </c>
      <c r="E1778" s="1" t="s">
        <v>1890</v>
      </c>
    </row>
    <row r="1779" customFormat="false" ht="15" hidden="false" customHeight="true" outlineLevel="0" collapsed="false">
      <c r="A1779" s="1" t="n">
        <v>1778</v>
      </c>
      <c r="B1779" s="1" t="s">
        <v>243</v>
      </c>
      <c r="C1779" s="1" t="s">
        <v>647</v>
      </c>
      <c r="D1779" s="1" t="s">
        <v>880</v>
      </c>
      <c r="E1779" s="1" t="s">
        <v>1904</v>
      </c>
    </row>
    <row r="1780" customFormat="false" ht="15" hidden="false" customHeight="true" outlineLevel="0" collapsed="false">
      <c r="A1780" s="1" t="n">
        <v>1779</v>
      </c>
      <c r="B1780" s="1" t="s">
        <v>1169</v>
      </c>
      <c r="C1780" s="1" t="s">
        <v>1532</v>
      </c>
      <c r="D1780" s="1" t="s">
        <v>1620</v>
      </c>
      <c r="E1780" s="1" t="s">
        <v>1735</v>
      </c>
    </row>
    <row r="1781" customFormat="false" ht="15" hidden="false" customHeight="true" outlineLevel="0" collapsed="false">
      <c r="A1781" s="1" t="n">
        <v>1780</v>
      </c>
      <c r="B1781" s="1" t="s">
        <v>817</v>
      </c>
      <c r="C1781" s="1" t="s">
        <v>375</v>
      </c>
      <c r="D1781" s="1" t="s">
        <v>31</v>
      </c>
      <c r="E1781" s="1" t="s">
        <v>44</v>
      </c>
    </row>
    <row r="1782" customFormat="false" ht="15" hidden="false" customHeight="true" outlineLevel="0" collapsed="false">
      <c r="A1782" s="1" t="n">
        <v>1781</v>
      </c>
      <c r="B1782" s="1" t="s">
        <v>1673</v>
      </c>
      <c r="C1782" s="1" t="s">
        <v>26</v>
      </c>
      <c r="D1782" s="1" t="s">
        <v>807</v>
      </c>
      <c r="E1782" s="1" t="s">
        <v>856</v>
      </c>
    </row>
    <row r="1783" customFormat="false" ht="15" hidden="false" customHeight="true" outlineLevel="0" collapsed="false">
      <c r="A1783" s="1" t="n">
        <v>1782</v>
      </c>
      <c r="B1783" s="1" t="s">
        <v>225</v>
      </c>
      <c r="C1783" s="1" t="s">
        <v>1241</v>
      </c>
      <c r="D1783" s="1" t="s">
        <v>267</v>
      </c>
      <c r="E1783" s="1" t="s">
        <v>682</v>
      </c>
    </row>
    <row r="1784" customFormat="false" ht="15" hidden="false" customHeight="true" outlineLevel="0" collapsed="false">
      <c r="A1784" s="1" t="n">
        <v>1783</v>
      </c>
      <c r="B1784" s="1" t="s">
        <v>583</v>
      </c>
      <c r="C1784" s="1" t="s">
        <v>1015</v>
      </c>
      <c r="D1784" s="1" t="s">
        <v>923</v>
      </c>
      <c r="E1784" s="1" t="s">
        <v>537</v>
      </c>
    </row>
    <row r="1785" customFormat="false" ht="15" hidden="false" customHeight="true" outlineLevel="0" collapsed="false">
      <c r="A1785" s="1" t="n">
        <v>1784</v>
      </c>
      <c r="B1785" s="1" t="s">
        <v>111</v>
      </c>
      <c r="C1785" s="1" t="s">
        <v>444</v>
      </c>
      <c r="D1785" s="1" t="s">
        <v>384</v>
      </c>
      <c r="E1785" s="1" t="s">
        <v>620</v>
      </c>
    </row>
    <row r="1786" customFormat="false" ht="15" hidden="false" customHeight="true" outlineLevel="0" collapsed="false">
      <c r="A1786" s="1" t="n">
        <v>1785</v>
      </c>
      <c r="B1786" s="1" t="s">
        <v>703</v>
      </c>
      <c r="C1786" s="1" t="s">
        <v>1086</v>
      </c>
      <c r="D1786" s="1" t="s">
        <v>794</v>
      </c>
      <c r="E1786" s="1" t="s">
        <v>759</v>
      </c>
    </row>
    <row r="1787" customFormat="false" ht="15" hidden="false" customHeight="true" outlineLevel="0" collapsed="false">
      <c r="A1787" s="1" t="n">
        <v>1786</v>
      </c>
      <c r="B1787" s="1" t="s">
        <v>161</v>
      </c>
      <c r="C1787" s="1" t="s">
        <v>693</v>
      </c>
      <c r="D1787" s="1" t="s">
        <v>698</v>
      </c>
      <c r="E1787" s="1" t="s">
        <v>840</v>
      </c>
    </row>
    <row r="1788" customFormat="false" ht="15" hidden="false" customHeight="true" outlineLevel="0" collapsed="false">
      <c r="A1788" s="1" t="n">
        <v>1787</v>
      </c>
      <c r="B1788" s="1" t="s">
        <v>335</v>
      </c>
      <c r="C1788" s="1" t="s">
        <v>580</v>
      </c>
      <c r="D1788" s="1" t="s">
        <v>149</v>
      </c>
      <c r="E1788" s="1" t="s">
        <v>754</v>
      </c>
    </row>
    <row r="1789" customFormat="false" ht="15" hidden="false" customHeight="true" outlineLevel="0" collapsed="false">
      <c r="A1789" s="1" t="n">
        <v>1788</v>
      </c>
      <c r="B1789" s="1" t="s">
        <v>757</v>
      </c>
      <c r="C1789" s="1" t="s">
        <v>1558</v>
      </c>
      <c r="D1789" s="1" t="s">
        <v>109</v>
      </c>
      <c r="E1789" s="1" t="s">
        <v>1584</v>
      </c>
    </row>
    <row r="1790" customFormat="false" ht="15" hidden="false" customHeight="true" outlineLevel="0" collapsed="false">
      <c r="A1790" s="1" t="n">
        <v>1789</v>
      </c>
      <c r="B1790" s="1" t="s">
        <v>323</v>
      </c>
      <c r="C1790" s="1" t="s">
        <v>469</v>
      </c>
      <c r="D1790" s="1" t="s">
        <v>257</v>
      </c>
      <c r="E1790" s="1" t="s">
        <v>894</v>
      </c>
    </row>
    <row r="1791" customFormat="false" ht="15" hidden="false" customHeight="true" outlineLevel="0" collapsed="false">
      <c r="A1791" s="1" t="n">
        <v>1790</v>
      </c>
      <c r="B1791" s="1" t="s">
        <v>1779</v>
      </c>
      <c r="C1791" s="1" t="s">
        <v>1435</v>
      </c>
      <c r="D1791" s="1" t="s">
        <v>903</v>
      </c>
      <c r="E1791" s="1" t="s">
        <v>44</v>
      </c>
    </row>
    <row r="1792" customFormat="false" ht="15" hidden="false" customHeight="true" outlineLevel="0" collapsed="false">
      <c r="A1792" s="1" t="n">
        <v>1791</v>
      </c>
      <c r="B1792" s="1" t="s">
        <v>5</v>
      </c>
      <c r="C1792" s="1" t="s">
        <v>1566</v>
      </c>
      <c r="D1792" s="1" t="s">
        <v>593</v>
      </c>
      <c r="E1792" s="1" t="s">
        <v>1099</v>
      </c>
    </row>
    <row r="1793" customFormat="false" ht="15" hidden="false" customHeight="true" outlineLevel="0" collapsed="false">
      <c r="A1793" s="1" t="n">
        <v>1792</v>
      </c>
      <c r="B1793" s="1" t="s">
        <v>125</v>
      </c>
      <c r="C1793" s="1" t="s">
        <v>306</v>
      </c>
      <c r="D1793" s="1" t="s">
        <v>217</v>
      </c>
      <c r="E1793" s="1" t="s">
        <v>1905</v>
      </c>
    </row>
    <row r="1794" customFormat="false" ht="15" hidden="false" customHeight="true" outlineLevel="0" collapsed="false">
      <c r="A1794" s="1" t="n">
        <v>1793</v>
      </c>
      <c r="B1794" s="1" t="s">
        <v>1489</v>
      </c>
      <c r="C1794" s="1" t="s">
        <v>1015</v>
      </c>
      <c r="D1794" s="1" t="s">
        <v>280</v>
      </c>
      <c r="E1794" s="1" t="s">
        <v>1906</v>
      </c>
    </row>
    <row r="1795" customFormat="false" ht="15" hidden="false" customHeight="true" outlineLevel="0" collapsed="false">
      <c r="A1795" s="1" t="n">
        <v>1794</v>
      </c>
      <c r="B1795" s="1" t="s">
        <v>225</v>
      </c>
      <c r="C1795" s="1" t="s">
        <v>18</v>
      </c>
      <c r="D1795" s="1" t="s">
        <v>86</v>
      </c>
      <c r="E1795" s="1" t="s">
        <v>1573</v>
      </c>
    </row>
    <row r="1796" customFormat="false" ht="15" hidden="false" customHeight="true" outlineLevel="0" collapsed="false">
      <c r="A1796" s="1" t="n">
        <v>1795</v>
      </c>
      <c r="B1796" s="1" t="s">
        <v>851</v>
      </c>
      <c r="C1796" s="1" t="s">
        <v>162</v>
      </c>
      <c r="D1796" s="1" t="s">
        <v>163</v>
      </c>
      <c r="E1796" s="1" t="s">
        <v>12</v>
      </c>
    </row>
    <row r="1797" customFormat="false" ht="15" hidden="false" customHeight="true" outlineLevel="0" collapsed="false">
      <c r="A1797" s="1" t="n">
        <v>1796</v>
      </c>
      <c r="B1797" s="1" t="s">
        <v>831</v>
      </c>
      <c r="C1797" s="1" t="s">
        <v>551</v>
      </c>
      <c r="D1797" s="1" t="s">
        <v>581</v>
      </c>
      <c r="E1797" s="1" t="s">
        <v>814</v>
      </c>
    </row>
    <row r="1798" customFormat="false" ht="15" hidden="false" customHeight="true" outlineLevel="0" collapsed="false">
      <c r="A1798" s="1" t="n">
        <v>1797</v>
      </c>
      <c r="B1798" s="1" t="s">
        <v>1827</v>
      </c>
      <c r="C1798" s="1" t="s">
        <v>133</v>
      </c>
      <c r="D1798" s="1" t="s">
        <v>217</v>
      </c>
      <c r="E1798" s="1" t="s">
        <v>829</v>
      </c>
    </row>
    <row r="1799" customFormat="false" ht="15" hidden="false" customHeight="true" outlineLevel="0" collapsed="false">
      <c r="A1799" s="1" t="n">
        <v>1798</v>
      </c>
      <c r="B1799" s="1" t="s">
        <v>896</v>
      </c>
      <c r="C1799" s="1" t="s">
        <v>611</v>
      </c>
      <c r="D1799" s="1" t="s">
        <v>223</v>
      </c>
      <c r="E1799" s="1" t="s">
        <v>892</v>
      </c>
    </row>
    <row r="1800" customFormat="false" ht="15" hidden="false" customHeight="true" outlineLevel="0" collapsed="false">
      <c r="A1800" s="1" t="n">
        <v>1799</v>
      </c>
      <c r="B1800" s="1" t="s">
        <v>394</v>
      </c>
      <c r="C1800" s="1" t="s">
        <v>579</v>
      </c>
      <c r="D1800" s="1" t="s">
        <v>578</v>
      </c>
      <c r="E1800" s="1" t="s">
        <v>20</v>
      </c>
    </row>
    <row r="1801" customFormat="false" ht="15" hidden="false" customHeight="true" outlineLevel="0" collapsed="false">
      <c r="A1801" s="1" t="n">
        <v>1800</v>
      </c>
      <c r="B1801" s="1" t="s">
        <v>1057</v>
      </c>
      <c r="C1801" s="1" t="s">
        <v>1148</v>
      </c>
      <c r="D1801" s="1" t="s">
        <v>450</v>
      </c>
      <c r="E1801" s="1" t="s">
        <v>44</v>
      </c>
    </row>
    <row r="1802" customFormat="false" ht="15" hidden="false" customHeight="true" outlineLevel="0" collapsed="false">
      <c r="A1802" s="1" t="n">
        <v>1801</v>
      </c>
      <c r="B1802" s="1" t="s">
        <v>621</v>
      </c>
      <c r="C1802" s="1" t="s">
        <v>1656</v>
      </c>
      <c r="D1802" s="1" t="s">
        <v>552</v>
      </c>
      <c r="E1802" s="1" t="s">
        <v>436</v>
      </c>
    </row>
    <row r="1803" customFormat="false" ht="15" hidden="false" customHeight="true" outlineLevel="0" collapsed="false">
      <c r="A1803" s="1" t="n">
        <v>1802</v>
      </c>
      <c r="B1803" s="1" t="s">
        <v>115</v>
      </c>
      <c r="C1803" s="1" t="s">
        <v>1136</v>
      </c>
      <c r="D1803" s="1" t="s">
        <v>31</v>
      </c>
      <c r="E1803" s="1" t="s">
        <v>1537</v>
      </c>
    </row>
    <row r="1804" customFormat="false" ht="15" hidden="false" customHeight="true" outlineLevel="0" collapsed="false">
      <c r="A1804" s="1" t="n">
        <v>1803</v>
      </c>
      <c r="B1804" s="1" t="s">
        <v>1544</v>
      </c>
      <c r="C1804" s="1" t="s">
        <v>1674</v>
      </c>
      <c r="D1804" s="1" t="s">
        <v>1513</v>
      </c>
      <c r="E1804" s="1" t="s">
        <v>946</v>
      </c>
    </row>
    <row r="1805" customFormat="false" ht="15" hidden="false" customHeight="true" outlineLevel="0" collapsed="false">
      <c r="A1805" s="1" t="n">
        <v>1804</v>
      </c>
      <c r="B1805" s="1" t="s">
        <v>610</v>
      </c>
      <c r="C1805" s="1" t="s">
        <v>244</v>
      </c>
      <c r="D1805" s="1" t="s">
        <v>516</v>
      </c>
      <c r="E1805" s="1" t="s">
        <v>1907</v>
      </c>
    </row>
    <row r="1806" customFormat="false" ht="15" hidden="false" customHeight="true" outlineLevel="0" collapsed="false">
      <c r="A1806" s="1" t="n">
        <v>1805</v>
      </c>
      <c r="B1806" s="1" t="s">
        <v>71</v>
      </c>
      <c r="C1806" s="1" t="s">
        <v>118</v>
      </c>
      <c r="D1806" s="1" t="s">
        <v>35</v>
      </c>
      <c r="E1806" s="1" t="s">
        <v>517</v>
      </c>
    </row>
    <row r="1807" customFormat="false" ht="15" hidden="false" customHeight="true" outlineLevel="0" collapsed="false">
      <c r="A1807" s="1" t="n">
        <v>1806</v>
      </c>
      <c r="B1807" s="1" t="s">
        <v>777</v>
      </c>
      <c r="C1807" s="1" t="s">
        <v>606</v>
      </c>
      <c r="D1807" s="1" t="s">
        <v>369</v>
      </c>
      <c r="E1807" s="1" t="s">
        <v>1212</v>
      </c>
    </row>
    <row r="1808" customFormat="false" ht="15" hidden="false" customHeight="true" outlineLevel="0" collapsed="false">
      <c r="A1808" s="1" t="n">
        <v>1807</v>
      </c>
      <c r="B1808" s="1" t="s">
        <v>1187</v>
      </c>
      <c r="C1808" s="1" t="s">
        <v>1013</v>
      </c>
      <c r="D1808" s="1" t="s">
        <v>415</v>
      </c>
      <c r="E1808" s="1" t="s">
        <v>1908</v>
      </c>
    </row>
    <row r="1809" customFormat="false" ht="15" hidden="false" customHeight="true" outlineLevel="0" collapsed="false">
      <c r="A1809" s="1" t="n">
        <v>1808</v>
      </c>
      <c r="B1809" s="1" t="s">
        <v>1088</v>
      </c>
      <c r="C1809" s="1" t="s">
        <v>398</v>
      </c>
      <c r="D1809" s="1" t="s">
        <v>217</v>
      </c>
      <c r="E1809" s="1" t="s">
        <v>319</v>
      </c>
    </row>
    <row r="1810" customFormat="false" ht="15" hidden="false" customHeight="true" outlineLevel="0" collapsed="false">
      <c r="A1810" s="1" t="n">
        <v>1809</v>
      </c>
      <c r="B1810" s="1" t="s">
        <v>1345</v>
      </c>
      <c r="C1810" s="1" t="s">
        <v>461</v>
      </c>
      <c r="D1810" s="1" t="s">
        <v>1363</v>
      </c>
      <c r="E1810" s="1" t="s">
        <v>1570</v>
      </c>
    </row>
    <row r="1811" customFormat="false" ht="15" hidden="false" customHeight="true" outlineLevel="0" collapsed="false">
      <c r="A1811" s="1" t="n">
        <v>1810</v>
      </c>
      <c r="B1811" s="1" t="s">
        <v>1050</v>
      </c>
      <c r="C1811" s="1" t="s">
        <v>116</v>
      </c>
      <c r="D1811" s="1" t="s">
        <v>113</v>
      </c>
      <c r="E1811" s="1" t="s">
        <v>44</v>
      </c>
    </row>
    <row r="1812" customFormat="false" ht="15" hidden="false" customHeight="true" outlineLevel="0" collapsed="false">
      <c r="A1812" s="1" t="n">
        <v>1811</v>
      </c>
      <c r="B1812" s="1" t="s">
        <v>323</v>
      </c>
      <c r="C1812" s="1" t="s">
        <v>1632</v>
      </c>
      <c r="D1812" s="1" t="s">
        <v>731</v>
      </c>
      <c r="E1812" s="1" t="s">
        <v>1743</v>
      </c>
    </row>
    <row r="1813" customFormat="false" ht="15" hidden="false" customHeight="true" outlineLevel="0" collapsed="false">
      <c r="A1813" s="1" t="n">
        <v>1812</v>
      </c>
      <c r="B1813" s="1" t="s">
        <v>1909</v>
      </c>
      <c r="C1813" s="1" t="s">
        <v>1274</v>
      </c>
      <c r="D1813" s="1" t="s">
        <v>301</v>
      </c>
      <c r="E1813" s="1" t="s">
        <v>1328</v>
      </c>
    </row>
    <row r="1814" customFormat="false" ht="15" hidden="false" customHeight="true" outlineLevel="0" collapsed="false">
      <c r="A1814" s="1" t="n">
        <v>1813</v>
      </c>
      <c r="B1814" s="1" t="s">
        <v>1684</v>
      </c>
      <c r="C1814" s="1" t="s">
        <v>34</v>
      </c>
      <c r="D1814" s="1" t="s">
        <v>353</v>
      </c>
      <c r="E1814" s="1" t="s">
        <v>1300</v>
      </c>
    </row>
    <row r="1815" customFormat="false" ht="15" hidden="false" customHeight="true" outlineLevel="0" collapsed="false">
      <c r="A1815" s="1" t="n">
        <v>1814</v>
      </c>
      <c r="B1815" s="1" t="s">
        <v>1450</v>
      </c>
      <c r="C1815" s="1" t="s">
        <v>89</v>
      </c>
      <c r="D1815" s="1" t="s">
        <v>35</v>
      </c>
      <c r="E1815" s="1" t="s">
        <v>1039</v>
      </c>
    </row>
    <row r="1816" customFormat="false" ht="15" hidden="false" customHeight="true" outlineLevel="0" collapsed="false">
      <c r="A1816" s="1" t="n">
        <v>1815</v>
      </c>
      <c r="B1816" s="1" t="s">
        <v>427</v>
      </c>
      <c r="C1816" s="1" t="s">
        <v>148</v>
      </c>
      <c r="D1816" s="1" t="s">
        <v>19</v>
      </c>
      <c r="E1816" s="1" t="s">
        <v>1448</v>
      </c>
    </row>
    <row r="1817" customFormat="false" ht="15" hidden="false" customHeight="true" outlineLevel="0" collapsed="false">
      <c r="A1817" s="1" t="n">
        <v>1816</v>
      </c>
      <c r="B1817" s="1" t="s">
        <v>45</v>
      </c>
      <c r="C1817" s="1" t="s">
        <v>277</v>
      </c>
      <c r="D1817" s="1" t="s">
        <v>758</v>
      </c>
      <c r="E1817" s="1" t="s">
        <v>1692</v>
      </c>
    </row>
    <row r="1818" customFormat="false" ht="15" hidden="false" customHeight="true" outlineLevel="0" collapsed="false">
      <c r="A1818" s="1" t="n">
        <v>1817</v>
      </c>
      <c r="B1818" s="1" t="s">
        <v>1308</v>
      </c>
      <c r="C1818" s="1" t="s">
        <v>321</v>
      </c>
      <c r="D1818" s="1" t="s">
        <v>556</v>
      </c>
      <c r="E1818" s="1" t="s">
        <v>1714</v>
      </c>
    </row>
    <row r="1819" customFormat="false" ht="15" hidden="false" customHeight="true" outlineLevel="0" collapsed="false">
      <c r="A1819" s="1" t="n">
        <v>1818</v>
      </c>
      <c r="B1819" s="1" t="s">
        <v>822</v>
      </c>
      <c r="C1819" s="1" t="s">
        <v>359</v>
      </c>
      <c r="D1819" s="1" t="s">
        <v>879</v>
      </c>
      <c r="E1819" s="1" t="s">
        <v>1751</v>
      </c>
    </row>
    <row r="1820" customFormat="false" ht="15" hidden="false" customHeight="true" outlineLevel="0" collapsed="false">
      <c r="A1820" s="1" t="n">
        <v>1819</v>
      </c>
      <c r="B1820" s="1" t="s">
        <v>1332</v>
      </c>
      <c r="C1820" s="1" t="s">
        <v>407</v>
      </c>
      <c r="D1820" s="1" t="s">
        <v>468</v>
      </c>
      <c r="E1820" s="1" t="s">
        <v>1095</v>
      </c>
    </row>
    <row r="1821" customFormat="false" ht="15" hidden="false" customHeight="true" outlineLevel="0" collapsed="false">
      <c r="A1821" s="1" t="n">
        <v>1820</v>
      </c>
      <c r="B1821" s="1" t="s">
        <v>1910</v>
      </c>
      <c r="C1821" s="1" t="s">
        <v>555</v>
      </c>
      <c r="D1821" s="1" t="s">
        <v>419</v>
      </c>
      <c r="E1821" s="1" t="s">
        <v>44</v>
      </c>
    </row>
    <row r="1822" customFormat="false" ht="15" hidden="false" customHeight="true" outlineLevel="0" collapsed="false">
      <c r="A1822" s="1" t="n">
        <v>1821</v>
      </c>
      <c r="B1822" s="1" t="s">
        <v>1093</v>
      </c>
      <c r="C1822" s="1" t="s">
        <v>10</v>
      </c>
      <c r="D1822" s="1" t="s">
        <v>155</v>
      </c>
      <c r="E1822" s="1" t="s">
        <v>1405</v>
      </c>
    </row>
    <row r="1823" customFormat="false" ht="15" hidden="false" customHeight="true" outlineLevel="0" collapsed="false">
      <c r="A1823" s="1" t="n">
        <v>1822</v>
      </c>
      <c r="B1823" s="1" t="s">
        <v>207</v>
      </c>
      <c r="C1823" s="1" t="s">
        <v>1260</v>
      </c>
      <c r="D1823" s="1" t="s">
        <v>746</v>
      </c>
      <c r="E1823" s="1" t="s">
        <v>1535</v>
      </c>
    </row>
    <row r="1824" customFormat="false" ht="15" hidden="false" customHeight="true" outlineLevel="0" collapsed="false">
      <c r="A1824" s="1" t="n">
        <v>1823</v>
      </c>
      <c r="B1824" s="1" t="s">
        <v>669</v>
      </c>
      <c r="C1824" s="1" t="s">
        <v>1754</v>
      </c>
      <c r="D1824" s="1" t="s">
        <v>807</v>
      </c>
      <c r="E1824" s="1" t="s">
        <v>1911</v>
      </c>
    </row>
    <row r="1825" customFormat="false" ht="15" hidden="false" customHeight="true" outlineLevel="0" collapsed="false">
      <c r="A1825" s="1" t="n">
        <v>1824</v>
      </c>
      <c r="B1825" s="1" t="s">
        <v>1848</v>
      </c>
      <c r="C1825" s="1" t="s">
        <v>306</v>
      </c>
      <c r="D1825" s="1" t="s">
        <v>313</v>
      </c>
      <c r="E1825" s="1" t="s">
        <v>517</v>
      </c>
    </row>
    <row r="1826" customFormat="false" ht="15" hidden="false" customHeight="true" outlineLevel="0" collapsed="false">
      <c r="A1826" s="1" t="n">
        <v>1825</v>
      </c>
      <c r="B1826" s="1" t="s">
        <v>1006</v>
      </c>
      <c r="C1826" s="1" t="s">
        <v>992</v>
      </c>
      <c r="D1826" s="1" t="s">
        <v>267</v>
      </c>
      <c r="E1826" s="1" t="s">
        <v>305</v>
      </c>
    </row>
    <row r="1827" customFormat="false" ht="15" hidden="false" customHeight="true" outlineLevel="0" collapsed="false">
      <c r="A1827" s="1" t="n">
        <v>1826</v>
      </c>
      <c r="B1827" s="1" t="s">
        <v>913</v>
      </c>
      <c r="C1827" s="1" t="s">
        <v>1192</v>
      </c>
      <c r="D1827" s="1" t="s">
        <v>1795</v>
      </c>
      <c r="E1827" s="1" t="s">
        <v>210</v>
      </c>
    </row>
    <row r="1828" customFormat="false" ht="15" hidden="false" customHeight="true" outlineLevel="0" collapsed="false">
      <c r="A1828" s="1" t="n">
        <v>1827</v>
      </c>
      <c r="B1828" s="1" t="s">
        <v>554</v>
      </c>
      <c r="C1828" s="1" t="s">
        <v>562</v>
      </c>
      <c r="D1828" s="1" t="s">
        <v>353</v>
      </c>
      <c r="E1828" s="1" t="s">
        <v>1668</v>
      </c>
    </row>
    <row r="1829" customFormat="false" ht="15" hidden="false" customHeight="true" outlineLevel="0" collapsed="false">
      <c r="A1829" s="1" t="n">
        <v>1828</v>
      </c>
      <c r="B1829" s="1" t="s">
        <v>664</v>
      </c>
      <c r="C1829" s="1" t="s">
        <v>721</v>
      </c>
      <c r="D1829" s="1" t="s">
        <v>31</v>
      </c>
      <c r="E1829" s="1" t="s">
        <v>1568</v>
      </c>
    </row>
    <row r="1830" customFormat="false" ht="15" hidden="false" customHeight="true" outlineLevel="0" collapsed="false">
      <c r="A1830" s="1" t="n">
        <v>1829</v>
      </c>
      <c r="B1830" s="1" t="s">
        <v>1299</v>
      </c>
      <c r="C1830" s="1" t="s">
        <v>857</v>
      </c>
      <c r="D1830" s="1" t="s">
        <v>1175</v>
      </c>
      <c r="E1830" s="1" t="s">
        <v>1053</v>
      </c>
    </row>
    <row r="1831" customFormat="false" ht="15" hidden="false" customHeight="true" outlineLevel="0" collapsed="false">
      <c r="A1831" s="1" t="n">
        <v>1830</v>
      </c>
      <c r="B1831" s="1" t="s">
        <v>1093</v>
      </c>
      <c r="C1831" s="1" t="s">
        <v>116</v>
      </c>
      <c r="D1831" s="1" t="s">
        <v>900</v>
      </c>
      <c r="E1831" s="1" t="s">
        <v>44</v>
      </c>
    </row>
    <row r="1832" customFormat="false" ht="15" hidden="false" customHeight="true" outlineLevel="0" collapsed="false">
      <c r="A1832" s="1" t="n">
        <v>1831</v>
      </c>
      <c r="B1832" s="1" t="s">
        <v>519</v>
      </c>
      <c r="C1832" s="1" t="s">
        <v>915</v>
      </c>
      <c r="D1832" s="1" t="s">
        <v>31</v>
      </c>
      <c r="E1832" s="1" t="s">
        <v>1859</v>
      </c>
    </row>
    <row r="1833" customFormat="false" ht="15" hidden="false" customHeight="true" outlineLevel="0" collapsed="false">
      <c r="A1833" s="1" t="n">
        <v>1832</v>
      </c>
      <c r="B1833" s="1" t="s">
        <v>768</v>
      </c>
      <c r="C1833" s="1" t="s">
        <v>1253</v>
      </c>
      <c r="D1833" s="1" t="s">
        <v>936</v>
      </c>
      <c r="E1833" s="1" t="s">
        <v>1912</v>
      </c>
    </row>
    <row r="1834" customFormat="false" ht="15" hidden="false" customHeight="true" outlineLevel="0" collapsed="false">
      <c r="A1834" s="1" t="n">
        <v>1833</v>
      </c>
      <c r="B1834" s="1" t="s">
        <v>910</v>
      </c>
      <c r="C1834" s="1" t="s">
        <v>72</v>
      </c>
      <c r="D1834" s="1" t="s">
        <v>123</v>
      </c>
      <c r="E1834" s="1" t="s">
        <v>1304</v>
      </c>
    </row>
    <row r="1835" customFormat="false" ht="15" hidden="false" customHeight="true" outlineLevel="0" collapsed="false">
      <c r="A1835" s="1" t="n">
        <v>1834</v>
      </c>
      <c r="B1835" s="1" t="s">
        <v>948</v>
      </c>
      <c r="C1835" s="1" t="s">
        <v>604</v>
      </c>
      <c r="D1835" s="1" t="s">
        <v>163</v>
      </c>
      <c r="E1835" s="1" t="s">
        <v>1913</v>
      </c>
    </row>
    <row r="1836" customFormat="false" ht="15" hidden="false" customHeight="true" outlineLevel="0" collapsed="false">
      <c r="A1836" s="1" t="n">
        <v>1835</v>
      </c>
      <c r="B1836" s="1" t="s">
        <v>176</v>
      </c>
      <c r="C1836" s="1" t="s">
        <v>253</v>
      </c>
      <c r="D1836" s="1" t="s">
        <v>217</v>
      </c>
      <c r="E1836" s="1" t="s">
        <v>1417</v>
      </c>
    </row>
    <row r="1837" customFormat="false" ht="15" hidden="false" customHeight="true" outlineLevel="0" collapsed="false">
      <c r="A1837" s="1" t="n">
        <v>1836</v>
      </c>
      <c r="B1837" s="1" t="s">
        <v>1609</v>
      </c>
      <c r="C1837" s="1" t="s">
        <v>266</v>
      </c>
      <c r="D1837" s="1" t="s">
        <v>15</v>
      </c>
      <c r="E1837" s="1" t="s">
        <v>1668</v>
      </c>
    </row>
    <row r="1838" customFormat="false" ht="15" hidden="false" customHeight="true" outlineLevel="0" collapsed="false">
      <c r="A1838" s="1" t="n">
        <v>1837</v>
      </c>
      <c r="B1838" s="1" t="s">
        <v>454</v>
      </c>
      <c r="C1838" s="1" t="s">
        <v>387</v>
      </c>
      <c r="D1838" s="1" t="s">
        <v>35</v>
      </c>
      <c r="E1838" s="1" t="s">
        <v>1623</v>
      </c>
    </row>
    <row r="1839" customFormat="false" ht="15" hidden="false" customHeight="true" outlineLevel="0" collapsed="false">
      <c r="A1839" s="1" t="n">
        <v>1838</v>
      </c>
      <c r="B1839" s="1" t="s">
        <v>1833</v>
      </c>
      <c r="C1839" s="1" t="s">
        <v>647</v>
      </c>
      <c r="D1839" s="1" t="s">
        <v>334</v>
      </c>
      <c r="E1839" s="1" t="s">
        <v>393</v>
      </c>
    </row>
    <row r="1840" customFormat="false" ht="15" hidden="false" customHeight="true" outlineLevel="0" collapsed="false">
      <c r="A1840" s="1" t="n">
        <v>1839</v>
      </c>
      <c r="B1840" s="1" t="s">
        <v>1786</v>
      </c>
      <c r="C1840" s="1" t="s">
        <v>118</v>
      </c>
      <c r="D1840" s="1" t="s">
        <v>1363</v>
      </c>
      <c r="E1840" s="1" t="s">
        <v>1404</v>
      </c>
    </row>
    <row r="1841" customFormat="false" ht="15" hidden="false" customHeight="true" outlineLevel="0" collapsed="false">
      <c r="A1841" s="1" t="n">
        <v>1840</v>
      </c>
      <c r="B1841" s="1" t="s">
        <v>1914</v>
      </c>
      <c r="C1841" s="1" t="s">
        <v>274</v>
      </c>
      <c r="D1841" s="1" t="s">
        <v>667</v>
      </c>
      <c r="E1841" s="1" t="s">
        <v>44</v>
      </c>
    </row>
    <row r="1842" customFormat="false" ht="15" hidden="false" customHeight="true" outlineLevel="0" collapsed="false">
      <c r="A1842" s="1" t="n">
        <v>1841</v>
      </c>
      <c r="B1842" s="1" t="s">
        <v>918</v>
      </c>
      <c r="C1842" s="1" t="s">
        <v>1915</v>
      </c>
      <c r="D1842" s="1" t="s">
        <v>1175</v>
      </c>
      <c r="E1842" s="1" t="s">
        <v>1869</v>
      </c>
    </row>
    <row r="1843" customFormat="false" ht="15" hidden="false" customHeight="true" outlineLevel="0" collapsed="false">
      <c r="A1843" s="1" t="n">
        <v>1842</v>
      </c>
      <c r="B1843" s="1" t="s">
        <v>240</v>
      </c>
      <c r="C1843" s="1" t="s">
        <v>1098</v>
      </c>
      <c r="D1843" s="1" t="s">
        <v>983</v>
      </c>
      <c r="E1843" s="1" t="s">
        <v>932</v>
      </c>
    </row>
    <row r="1844" customFormat="false" ht="15" hidden="false" customHeight="true" outlineLevel="0" collapsed="false">
      <c r="A1844" s="1" t="n">
        <v>1843</v>
      </c>
      <c r="B1844" s="1" t="s">
        <v>240</v>
      </c>
      <c r="C1844" s="1" t="s">
        <v>755</v>
      </c>
      <c r="D1844" s="1" t="s">
        <v>698</v>
      </c>
      <c r="E1844" s="1" t="s">
        <v>485</v>
      </c>
    </row>
    <row r="1845" customFormat="false" ht="15" hidden="false" customHeight="true" outlineLevel="0" collapsed="false">
      <c r="A1845" s="1" t="n">
        <v>1844</v>
      </c>
      <c r="B1845" s="1" t="s">
        <v>479</v>
      </c>
      <c r="C1845" s="1" t="s">
        <v>85</v>
      </c>
      <c r="D1845" s="1" t="s">
        <v>734</v>
      </c>
      <c r="E1845" s="1" t="s">
        <v>1916</v>
      </c>
    </row>
    <row r="1846" customFormat="false" ht="15" hidden="false" customHeight="true" outlineLevel="0" collapsed="false">
      <c r="A1846" s="1" t="n">
        <v>1845</v>
      </c>
      <c r="B1846" s="1" t="s">
        <v>679</v>
      </c>
      <c r="C1846" s="1" t="s">
        <v>1612</v>
      </c>
      <c r="D1846" s="1" t="s">
        <v>1170</v>
      </c>
      <c r="E1846" s="1" t="s">
        <v>1250</v>
      </c>
    </row>
    <row r="1847" customFormat="false" ht="15" hidden="false" customHeight="true" outlineLevel="0" collapsed="false">
      <c r="A1847" s="1" t="n">
        <v>1846</v>
      </c>
      <c r="B1847" s="1" t="s">
        <v>479</v>
      </c>
      <c r="C1847" s="1" t="s">
        <v>1320</v>
      </c>
      <c r="D1847" s="1" t="s">
        <v>522</v>
      </c>
      <c r="E1847" s="1" t="s">
        <v>1917</v>
      </c>
    </row>
    <row r="1848" customFormat="false" ht="15" hidden="false" customHeight="true" outlineLevel="0" collapsed="false">
      <c r="A1848" s="1" t="n">
        <v>1847</v>
      </c>
      <c r="B1848" s="1" t="s">
        <v>1899</v>
      </c>
      <c r="C1848" s="1" t="s">
        <v>126</v>
      </c>
      <c r="D1848" s="1" t="s">
        <v>194</v>
      </c>
      <c r="E1848" s="1" t="s">
        <v>575</v>
      </c>
    </row>
    <row r="1849" customFormat="false" ht="15" hidden="false" customHeight="true" outlineLevel="0" collapsed="false">
      <c r="A1849" s="1" t="n">
        <v>1848</v>
      </c>
      <c r="B1849" s="1" t="s">
        <v>1018</v>
      </c>
      <c r="C1849" s="1" t="s">
        <v>580</v>
      </c>
      <c r="D1849" s="1" t="s">
        <v>567</v>
      </c>
      <c r="E1849" s="1" t="s">
        <v>1504</v>
      </c>
    </row>
    <row r="1850" customFormat="false" ht="15" hidden="false" customHeight="true" outlineLevel="0" collapsed="false">
      <c r="A1850" s="1" t="n">
        <v>1849</v>
      </c>
      <c r="B1850" s="1" t="s">
        <v>1375</v>
      </c>
      <c r="C1850" s="1" t="s">
        <v>10</v>
      </c>
      <c r="D1850" s="1" t="s">
        <v>123</v>
      </c>
      <c r="E1850" s="1" t="s">
        <v>1458</v>
      </c>
    </row>
    <row r="1851" customFormat="false" ht="15" hidden="false" customHeight="true" outlineLevel="0" collapsed="false">
      <c r="A1851" s="1" t="n">
        <v>1850</v>
      </c>
      <c r="B1851" s="1" t="s">
        <v>623</v>
      </c>
      <c r="C1851" s="1" t="s">
        <v>26</v>
      </c>
      <c r="D1851" s="1" t="s">
        <v>356</v>
      </c>
      <c r="E1851" s="1" t="s">
        <v>44</v>
      </c>
    </row>
    <row r="1852" customFormat="false" ht="15" hidden="false" customHeight="true" outlineLevel="0" collapsed="false">
      <c r="A1852" s="1" t="n">
        <v>1851</v>
      </c>
      <c r="B1852" s="1" t="s">
        <v>329</v>
      </c>
      <c r="C1852" s="1" t="s">
        <v>1844</v>
      </c>
      <c r="D1852" s="1" t="s">
        <v>593</v>
      </c>
      <c r="E1852" s="1" t="s">
        <v>1061</v>
      </c>
    </row>
    <row r="1853" customFormat="false" ht="15" hidden="false" customHeight="true" outlineLevel="0" collapsed="false">
      <c r="A1853" s="1" t="n">
        <v>1852</v>
      </c>
      <c r="B1853" s="1" t="s">
        <v>1131</v>
      </c>
      <c r="C1853" s="1" t="s">
        <v>375</v>
      </c>
      <c r="D1853" s="1" t="s">
        <v>1254</v>
      </c>
      <c r="E1853" s="1" t="s">
        <v>845</v>
      </c>
    </row>
    <row r="1854" customFormat="false" ht="15" hidden="false" customHeight="true" outlineLevel="0" collapsed="false">
      <c r="A1854" s="1" t="n">
        <v>1853</v>
      </c>
      <c r="B1854" s="1" t="s">
        <v>1725</v>
      </c>
      <c r="C1854" s="1" t="s">
        <v>61</v>
      </c>
      <c r="D1854" s="1" t="s">
        <v>1165</v>
      </c>
      <c r="E1854" s="1" t="s">
        <v>1318</v>
      </c>
    </row>
    <row r="1855" customFormat="false" ht="15" hidden="false" customHeight="true" outlineLevel="0" collapsed="false">
      <c r="A1855" s="1" t="n">
        <v>1854</v>
      </c>
      <c r="B1855" s="1" t="s">
        <v>533</v>
      </c>
      <c r="C1855" s="1" t="s">
        <v>1774</v>
      </c>
      <c r="D1855" s="1" t="s">
        <v>1471</v>
      </c>
      <c r="E1855" s="1" t="s">
        <v>1856</v>
      </c>
    </row>
    <row r="1856" customFormat="false" ht="15" hidden="false" customHeight="true" outlineLevel="0" collapsed="false">
      <c r="A1856" s="1" t="n">
        <v>1855</v>
      </c>
      <c r="B1856" s="1" t="s">
        <v>1489</v>
      </c>
      <c r="C1856" s="1" t="s">
        <v>1140</v>
      </c>
      <c r="D1856" s="1" t="s">
        <v>900</v>
      </c>
      <c r="E1856" s="1" t="s">
        <v>1633</v>
      </c>
    </row>
    <row r="1857" customFormat="false" ht="15" hidden="false" customHeight="true" outlineLevel="0" collapsed="false">
      <c r="A1857" s="1" t="n">
        <v>1856</v>
      </c>
      <c r="B1857" s="1" t="s">
        <v>1100</v>
      </c>
      <c r="C1857" s="1" t="s">
        <v>1863</v>
      </c>
      <c r="D1857" s="1" t="s">
        <v>446</v>
      </c>
      <c r="E1857" s="1" t="s">
        <v>1010</v>
      </c>
    </row>
    <row r="1858" customFormat="false" ht="15" hidden="false" customHeight="true" outlineLevel="0" collapsed="false">
      <c r="A1858" s="1" t="n">
        <v>1857</v>
      </c>
      <c r="B1858" s="1" t="s">
        <v>1618</v>
      </c>
      <c r="C1858" s="1" t="s">
        <v>89</v>
      </c>
      <c r="D1858" s="1" t="s">
        <v>286</v>
      </c>
      <c r="E1858" s="1" t="s">
        <v>1918</v>
      </c>
    </row>
    <row r="1859" customFormat="false" ht="15" hidden="false" customHeight="true" outlineLevel="0" collapsed="false">
      <c r="A1859" s="1" t="n">
        <v>1858</v>
      </c>
      <c r="B1859" s="1" t="s">
        <v>1426</v>
      </c>
      <c r="C1859" s="1" t="s">
        <v>1632</v>
      </c>
      <c r="D1859" s="1" t="s">
        <v>494</v>
      </c>
      <c r="E1859" s="1" t="s">
        <v>1919</v>
      </c>
    </row>
    <row r="1860" customFormat="false" ht="15" hidden="false" customHeight="true" outlineLevel="0" collapsed="false">
      <c r="A1860" s="1" t="n">
        <v>1859</v>
      </c>
      <c r="B1860" s="1" t="s">
        <v>841</v>
      </c>
      <c r="C1860" s="1" t="s">
        <v>1892</v>
      </c>
      <c r="D1860" s="1" t="s">
        <v>876</v>
      </c>
      <c r="E1860" s="1" t="s">
        <v>958</v>
      </c>
    </row>
    <row r="1861" customFormat="false" ht="15" hidden="false" customHeight="true" outlineLevel="0" collapsed="false">
      <c r="A1861" s="1" t="n">
        <v>1860</v>
      </c>
      <c r="B1861" s="1" t="s">
        <v>1648</v>
      </c>
      <c r="C1861" s="1" t="s">
        <v>579</v>
      </c>
      <c r="D1861" s="1" t="s">
        <v>1262</v>
      </c>
      <c r="E1861" s="1" t="s">
        <v>44</v>
      </c>
    </row>
    <row r="1862" customFormat="false" ht="15" hidden="false" customHeight="true" outlineLevel="0" collapsed="false">
      <c r="A1862" s="1" t="n">
        <v>1861</v>
      </c>
      <c r="B1862" s="1" t="s">
        <v>1517</v>
      </c>
      <c r="C1862" s="1" t="s">
        <v>1713</v>
      </c>
      <c r="D1862" s="1" t="s">
        <v>879</v>
      </c>
      <c r="E1862" s="1" t="s">
        <v>1167</v>
      </c>
    </row>
    <row r="1863" customFormat="false" ht="15" hidden="false" customHeight="true" outlineLevel="0" collapsed="false">
      <c r="A1863" s="1" t="n">
        <v>1862</v>
      </c>
      <c r="B1863" s="1" t="s">
        <v>1785</v>
      </c>
      <c r="C1863" s="1" t="s">
        <v>89</v>
      </c>
      <c r="D1863" s="1" t="s">
        <v>900</v>
      </c>
      <c r="E1863" s="1" t="s">
        <v>1920</v>
      </c>
    </row>
    <row r="1864" customFormat="false" ht="15" hidden="false" customHeight="true" outlineLevel="0" collapsed="false">
      <c r="A1864" s="1" t="n">
        <v>1863</v>
      </c>
      <c r="B1864" s="1" t="s">
        <v>1119</v>
      </c>
      <c r="C1864" s="1" t="s">
        <v>108</v>
      </c>
      <c r="D1864" s="1" t="s">
        <v>828</v>
      </c>
      <c r="E1864" s="1" t="s">
        <v>1873</v>
      </c>
    </row>
    <row r="1865" customFormat="false" ht="15" hidden="false" customHeight="true" outlineLevel="0" collapsed="false">
      <c r="A1865" s="1" t="n">
        <v>1864</v>
      </c>
      <c r="B1865" s="1" t="s">
        <v>222</v>
      </c>
      <c r="C1865" s="1" t="s">
        <v>22</v>
      </c>
      <c r="D1865" s="1" t="s">
        <v>1363</v>
      </c>
      <c r="E1865" s="1" t="s">
        <v>926</v>
      </c>
    </row>
    <row r="1866" customFormat="false" ht="15" hidden="false" customHeight="true" outlineLevel="0" collapsed="false">
      <c r="A1866" s="1" t="n">
        <v>1865</v>
      </c>
      <c r="B1866" s="1" t="s">
        <v>169</v>
      </c>
      <c r="C1866" s="1" t="s">
        <v>262</v>
      </c>
      <c r="D1866" s="1" t="s">
        <v>11</v>
      </c>
      <c r="E1866" s="1" t="s">
        <v>1584</v>
      </c>
    </row>
    <row r="1867" customFormat="false" ht="15" hidden="false" customHeight="true" outlineLevel="0" collapsed="false">
      <c r="A1867" s="1" t="n">
        <v>1866</v>
      </c>
      <c r="B1867" s="1" t="s">
        <v>1325</v>
      </c>
      <c r="C1867" s="1" t="s">
        <v>312</v>
      </c>
      <c r="D1867" s="1" t="s">
        <v>536</v>
      </c>
      <c r="E1867" s="1" t="s">
        <v>183</v>
      </c>
    </row>
    <row r="1868" customFormat="false" ht="15" hidden="false" customHeight="true" outlineLevel="0" collapsed="false">
      <c r="A1868" s="1" t="n">
        <v>1867</v>
      </c>
      <c r="B1868" s="1" t="s">
        <v>820</v>
      </c>
      <c r="C1868" s="1" t="s">
        <v>555</v>
      </c>
      <c r="D1868" s="1" t="s">
        <v>286</v>
      </c>
      <c r="E1868" s="1" t="s">
        <v>644</v>
      </c>
    </row>
    <row r="1869" customFormat="false" ht="15" hidden="false" customHeight="true" outlineLevel="0" collapsed="false">
      <c r="A1869" s="1" t="n">
        <v>1868</v>
      </c>
      <c r="B1869" s="1" t="s">
        <v>691</v>
      </c>
      <c r="C1869" s="1" t="s">
        <v>804</v>
      </c>
      <c r="D1869" s="1" t="s">
        <v>482</v>
      </c>
      <c r="E1869" s="1" t="s">
        <v>1678</v>
      </c>
    </row>
    <row r="1870" customFormat="false" ht="15" hidden="false" customHeight="true" outlineLevel="0" collapsed="false">
      <c r="A1870" s="1" t="n">
        <v>1869</v>
      </c>
      <c r="B1870" s="1" t="s">
        <v>916</v>
      </c>
      <c r="C1870" s="1" t="s">
        <v>312</v>
      </c>
      <c r="D1870" s="1" t="s">
        <v>113</v>
      </c>
      <c r="E1870" s="1" t="s">
        <v>1894</v>
      </c>
    </row>
    <row r="1871" customFormat="false" ht="15" hidden="false" customHeight="true" outlineLevel="0" collapsed="false">
      <c r="A1871" s="1" t="n">
        <v>1870</v>
      </c>
      <c r="B1871" s="1" t="s">
        <v>951</v>
      </c>
      <c r="C1871" s="1" t="s">
        <v>1498</v>
      </c>
      <c r="D1871" s="1" t="s">
        <v>269</v>
      </c>
      <c r="E1871" s="1" t="s">
        <v>44</v>
      </c>
    </row>
    <row r="1872" customFormat="false" ht="15" hidden="false" customHeight="true" outlineLevel="0" collapsed="false">
      <c r="A1872" s="1" t="n">
        <v>1871</v>
      </c>
      <c r="B1872" s="1" t="s">
        <v>489</v>
      </c>
      <c r="C1872" s="1" t="s">
        <v>1892</v>
      </c>
      <c r="D1872" s="1" t="s">
        <v>235</v>
      </c>
      <c r="E1872" s="1" t="s">
        <v>396</v>
      </c>
    </row>
    <row r="1873" customFormat="false" ht="15" hidden="false" customHeight="true" outlineLevel="0" collapsed="false">
      <c r="A1873" s="1" t="n">
        <v>1872</v>
      </c>
      <c r="B1873" s="1" t="s">
        <v>1739</v>
      </c>
      <c r="C1873" s="1" t="s">
        <v>1389</v>
      </c>
      <c r="D1873" s="1" t="s">
        <v>309</v>
      </c>
      <c r="E1873" s="1" t="s">
        <v>124</v>
      </c>
    </row>
    <row r="1874" customFormat="false" ht="15" hidden="false" customHeight="true" outlineLevel="0" collapsed="false">
      <c r="A1874" s="1" t="n">
        <v>1873</v>
      </c>
      <c r="B1874" s="1" t="s">
        <v>1899</v>
      </c>
      <c r="C1874" s="1" t="s">
        <v>653</v>
      </c>
      <c r="D1874" s="1" t="s">
        <v>342</v>
      </c>
      <c r="E1874" s="1" t="s">
        <v>563</v>
      </c>
    </row>
    <row r="1875" customFormat="false" ht="15" hidden="false" customHeight="true" outlineLevel="0" collapsed="false">
      <c r="A1875" s="1" t="n">
        <v>1874</v>
      </c>
      <c r="B1875" s="1" t="s">
        <v>107</v>
      </c>
      <c r="C1875" s="1" t="s">
        <v>490</v>
      </c>
      <c r="D1875" s="1" t="s">
        <v>855</v>
      </c>
      <c r="E1875" s="1" t="s">
        <v>1500</v>
      </c>
    </row>
    <row r="1876" customFormat="false" ht="15" hidden="false" customHeight="true" outlineLevel="0" collapsed="false">
      <c r="A1876" s="1" t="n">
        <v>1875</v>
      </c>
      <c r="B1876" s="1" t="s">
        <v>204</v>
      </c>
      <c r="C1876" s="1" t="s">
        <v>85</v>
      </c>
      <c r="D1876" s="1" t="s">
        <v>15</v>
      </c>
      <c r="E1876" s="1" t="s">
        <v>1921</v>
      </c>
    </row>
    <row r="1877" customFormat="false" ht="15" hidden="false" customHeight="true" outlineLevel="0" collapsed="false">
      <c r="A1877" s="1" t="n">
        <v>1876</v>
      </c>
      <c r="B1877" s="1" t="s">
        <v>1169</v>
      </c>
      <c r="C1877" s="1" t="s">
        <v>1922</v>
      </c>
      <c r="D1877" s="1" t="s">
        <v>1810</v>
      </c>
      <c r="E1877" s="1" t="s">
        <v>1352</v>
      </c>
    </row>
    <row r="1878" customFormat="false" ht="15" hidden="false" customHeight="true" outlineLevel="0" collapsed="false">
      <c r="A1878" s="1" t="n">
        <v>1877</v>
      </c>
      <c r="B1878" s="1" t="s">
        <v>666</v>
      </c>
      <c r="C1878" s="1" t="s">
        <v>481</v>
      </c>
      <c r="D1878" s="1" t="s">
        <v>516</v>
      </c>
      <c r="E1878" s="1" t="s">
        <v>1832</v>
      </c>
    </row>
    <row r="1879" customFormat="false" ht="15" hidden="false" customHeight="true" outlineLevel="0" collapsed="false">
      <c r="A1879" s="1" t="n">
        <v>1878</v>
      </c>
      <c r="B1879" s="1" t="s">
        <v>1121</v>
      </c>
      <c r="C1879" s="1" t="s">
        <v>352</v>
      </c>
      <c r="D1879" s="1" t="s">
        <v>223</v>
      </c>
      <c r="E1879" s="1" t="s">
        <v>1255</v>
      </c>
    </row>
    <row r="1880" customFormat="false" ht="15" hidden="false" customHeight="true" outlineLevel="0" collapsed="false">
      <c r="A1880" s="1" t="n">
        <v>1879</v>
      </c>
      <c r="B1880" s="1" t="s">
        <v>650</v>
      </c>
      <c r="C1880" s="1" t="s">
        <v>108</v>
      </c>
      <c r="D1880" s="1" t="s">
        <v>94</v>
      </c>
      <c r="E1880" s="1" t="s">
        <v>1347</v>
      </c>
    </row>
    <row r="1881" customFormat="false" ht="15" hidden="false" customHeight="true" outlineLevel="0" collapsed="false">
      <c r="A1881" s="1" t="n">
        <v>1880</v>
      </c>
      <c r="B1881" s="1" t="s">
        <v>1247</v>
      </c>
      <c r="C1881" s="1" t="s">
        <v>931</v>
      </c>
      <c r="D1881" s="1" t="s">
        <v>141</v>
      </c>
      <c r="E1881" s="1" t="s">
        <v>44</v>
      </c>
    </row>
    <row r="1882" customFormat="false" ht="15" hidden="false" customHeight="true" outlineLevel="0" collapsed="false">
      <c r="A1882" s="1" t="n">
        <v>1881</v>
      </c>
      <c r="B1882" s="1" t="s">
        <v>337</v>
      </c>
      <c r="C1882" s="1" t="s">
        <v>375</v>
      </c>
      <c r="D1882" s="1" t="s">
        <v>353</v>
      </c>
      <c r="E1882" s="1" t="s">
        <v>1321</v>
      </c>
    </row>
    <row r="1883" customFormat="false" ht="15" hidden="false" customHeight="true" outlineLevel="0" collapsed="false">
      <c r="A1883" s="1" t="n">
        <v>1882</v>
      </c>
      <c r="B1883" s="1" t="s">
        <v>512</v>
      </c>
      <c r="C1883" s="1" t="s">
        <v>112</v>
      </c>
      <c r="D1883" s="1" t="s">
        <v>880</v>
      </c>
      <c r="E1883" s="1" t="s">
        <v>1032</v>
      </c>
    </row>
    <row r="1884" customFormat="false" ht="15" hidden="false" customHeight="true" outlineLevel="0" collapsed="false">
      <c r="A1884" s="1" t="n">
        <v>1883</v>
      </c>
      <c r="B1884" s="1" t="s">
        <v>1699</v>
      </c>
      <c r="C1884" s="1" t="s">
        <v>1210</v>
      </c>
      <c r="D1884" s="1" t="s">
        <v>238</v>
      </c>
      <c r="E1884" s="1" t="s">
        <v>1116</v>
      </c>
    </row>
    <row r="1885" customFormat="false" ht="15" hidden="false" customHeight="true" outlineLevel="0" collapsed="false">
      <c r="A1885" s="1" t="n">
        <v>1884</v>
      </c>
      <c r="B1885" s="1" t="s">
        <v>53</v>
      </c>
      <c r="C1885" s="1" t="s">
        <v>1923</v>
      </c>
      <c r="D1885" s="1" t="s">
        <v>882</v>
      </c>
      <c r="E1885" s="1" t="s">
        <v>475</v>
      </c>
    </row>
    <row r="1886" customFormat="false" ht="15" hidden="false" customHeight="true" outlineLevel="0" collapsed="false">
      <c r="A1886" s="1" t="n">
        <v>1885</v>
      </c>
      <c r="B1886" s="1" t="s">
        <v>1316</v>
      </c>
      <c r="C1886" s="1" t="s">
        <v>372</v>
      </c>
      <c r="D1886" s="1" t="s">
        <v>130</v>
      </c>
      <c r="E1886" s="1" t="s">
        <v>816</v>
      </c>
    </row>
    <row r="1887" customFormat="false" ht="15" hidden="false" customHeight="true" outlineLevel="0" collapsed="false">
      <c r="A1887" s="1" t="n">
        <v>1886</v>
      </c>
      <c r="B1887" s="1" t="s">
        <v>650</v>
      </c>
      <c r="C1887" s="1" t="s">
        <v>1080</v>
      </c>
      <c r="D1887" s="1" t="s">
        <v>269</v>
      </c>
      <c r="E1887" s="1" t="s">
        <v>1344</v>
      </c>
    </row>
    <row r="1888" customFormat="false" ht="15" hidden="false" customHeight="true" outlineLevel="0" collapsed="false">
      <c r="A1888" s="1" t="n">
        <v>1887</v>
      </c>
      <c r="B1888" s="1" t="s">
        <v>1786</v>
      </c>
      <c r="C1888" s="1" t="s">
        <v>1140</v>
      </c>
      <c r="D1888" s="1" t="s">
        <v>163</v>
      </c>
      <c r="E1888" s="1" t="s">
        <v>1924</v>
      </c>
    </row>
    <row r="1889" customFormat="false" ht="15" hidden="false" customHeight="true" outlineLevel="0" collapsed="false">
      <c r="A1889" s="1" t="n">
        <v>1888</v>
      </c>
      <c r="B1889" s="1" t="s">
        <v>1686</v>
      </c>
      <c r="C1889" s="1" t="s">
        <v>653</v>
      </c>
      <c r="D1889" s="1" t="s">
        <v>90</v>
      </c>
      <c r="E1889" s="1" t="s">
        <v>776</v>
      </c>
    </row>
    <row r="1890" customFormat="false" ht="15" hidden="false" customHeight="true" outlineLevel="0" collapsed="false">
      <c r="A1890" s="1" t="n">
        <v>1889</v>
      </c>
      <c r="B1890" s="1" t="s">
        <v>601</v>
      </c>
      <c r="C1890" s="1" t="s">
        <v>1136</v>
      </c>
      <c r="D1890" s="1" t="s">
        <v>399</v>
      </c>
      <c r="E1890" s="1" t="s">
        <v>1925</v>
      </c>
    </row>
    <row r="1891" customFormat="false" ht="15" hidden="false" customHeight="true" outlineLevel="0" collapsed="false">
      <c r="A1891" s="1" t="n">
        <v>1890</v>
      </c>
      <c r="B1891" s="1" t="s">
        <v>831</v>
      </c>
      <c r="C1891" s="1" t="s">
        <v>315</v>
      </c>
      <c r="D1891" s="1" t="s">
        <v>7</v>
      </c>
      <c r="E1891" s="1" t="s">
        <v>44</v>
      </c>
    </row>
    <row r="1892" customFormat="false" ht="15" hidden="false" customHeight="true" outlineLevel="0" collapsed="false">
      <c r="A1892" s="1" t="n">
        <v>1891</v>
      </c>
      <c r="B1892" s="1" t="s">
        <v>60</v>
      </c>
      <c r="C1892" s="1" t="s">
        <v>324</v>
      </c>
      <c r="D1892" s="1" t="s">
        <v>1710</v>
      </c>
      <c r="E1892" s="1" t="s">
        <v>520</v>
      </c>
    </row>
    <row r="1893" customFormat="false" ht="15" hidden="false" customHeight="true" outlineLevel="0" collapsed="false">
      <c r="A1893" s="1" t="n">
        <v>1892</v>
      </c>
      <c r="B1893" s="1" t="s">
        <v>115</v>
      </c>
      <c r="C1893" s="1" t="s">
        <v>89</v>
      </c>
      <c r="D1893" s="1" t="s">
        <v>231</v>
      </c>
      <c r="E1893" s="1" t="s">
        <v>1926</v>
      </c>
    </row>
    <row r="1894" customFormat="false" ht="15" hidden="false" customHeight="true" outlineLevel="0" collapsed="false">
      <c r="A1894" s="1" t="n">
        <v>1893</v>
      </c>
      <c r="B1894" s="1" t="s">
        <v>1006</v>
      </c>
      <c r="C1894" s="1" t="s">
        <v>348</v>
      </c>
      <c r="D1894" s="1" t="s">
        <v>1106</v>
      </c>
      <c r="E1894" s="1" t="s">
        <v>1465</v>
      </c>
    </row>
    <row r="1895" customFormat="false" ht="15" hidden="false" customHeight="true" outlineLevel="0" collapsed="false">
      <c r="A1895" s="1" t="n">
        <v>1894</v>
      </c>
      <c r="B1895" s="1" t="s">
        <v>1146</v>
      </c>
      <c r="C1895" s="1" t="s">
        <v>1507</v>
      </c>
      <c r="D1895" s="1" t="s">
        <v>1042</v>
      </c>
      <c r="E1895" s="1" t="s">
        <v>1141</v>
      </c>
    </row>
    <row r="1896" customFormat="false" ht="15" hidden="false" customHeight="true" outlineLevel="0" collapsed="false">
      <c r="A1896" s="1" t="n">
        <v>1895</v>
      </c>
      <c r="B1896" s="1" t="s">
        <v>1097</v>
      </c>
      <c r="C1896" s="1" t="s">
        <v>126</v>
      </c>
      <c r="D1896" s="1" t="s">
        <v>345</v>
      </c>
      <c r="E1896" s="1" t="s">
        <v>74</v>
      </c>
    </row>
    <row r="1897" customFormat="false" ht="15" hidden="false" customHeight="true" outlineLevel="0" collapsed="false">
      <c r="A1897" s="1" t="n">
        <v>1896</v>
      </c>
      <c r="B1897" s="1" t="s">
        <v>452</v>
      </c>
      <c r="C1897" s="1" t="s">
        <v>1624</v>
      </c>
      <c r="D1897" s="1" t="s">
        <v>828</v>
      </c>
      <c r="E1897" s="1" t="s">
        <v>1562</v>
      </c>
    </row>
    <row r="1898" customFormat="false" ht="15" hidden="false" customHeight="true" outlineLevel="0" collapsed="false">
      <c r="A1898" s="1" t="n">
        <v>1897</v>
      </c>
      <c r="B1898" s="1" t="s">
        <v>1615</v>
      </c>
      <c r="C1898" s="1" t="s">
        <v>604</v>
      </c>
      <c r="D1898" s="1" t="s">
        <v>578</v>
      </c>
      <c r="E1898" s="1" t="s">
        <v>1764</v>
      </c>
    </row>
    <row r="1899" customFormat="false" ht="15" hidden="false" customHeight="true" outlineLevel="0" collapsed="false">
      <c r="A1899" s="1" t="n">
        <v>1898</v>
      </c>
      <c r="B1899" s="1" t="s">
        <v>128</v>
      </c>
      <c r="C1899" s="1" t="s">
        <v>262</v>
      </c>
      <c r="D1899" s="1" t="s">
        <v>345</v>
      </c>
      <c r="E1899" s="1" t="s">
        <v>1039</v>
      </c>
    </row>
    <row r="1900" customFormat="false" ht="15" hidden="false" customHeight="true" outlineLevel="0" collapsed="false">
      <c r="A1900" s="1" t="n">
        <v>1899</v>
      </c>
      <c r="B1900" s="1" t="s">
        <v>948</v>
      </c>
      <c r="C1900" s="1" t="s">
        <v>915</v>
      </c>
      <c r="D1900" s="1" t="s">
        <v>217</v>
      </c>
      <c r="E1900" s="1" t="s">
        <v>1675</v>
      </c>
    </row>
    <row r="1901" customFormat="false" ht="15" hidden="false" customHeight="true" outlineLevel="0" collapsed="false">
      <c r="A1901" s="1" t="n">
        <v>1900</v>
      </c>
      <c r="B1901" s="1" t="s">
        <v>685</v>
      </c>
      <c r="C1901" s="1" t="s">
        <v>500</v>
      </c>
      <c r="D1901" s="1" t="s">
        <v>47</v>
      </c>
      <c r="E1901" s="1" t="s">
        <v>44</v>
      </c>
    </row>
    <row r="1902" customFormat="false" ht="15" hidden="false" customHeight="true" outlineLevel="0" collapsed="false">
      <c r="A1902" s="1" t="n">
        <v>1901</v>
      </c>
      <c r="B1902" s="1" t="s">
        <v>1025</v>
      </c>
      <c r="C1902" s="1" t="s">
        <v>248</v>
      </c>
      <c r="D1902" s="1" t="s">
        <v>7</v>
      </c>
      <c r="E1902" s="1" t="s">
        <v>513</v>
      </c>
    </row>
    <row r="1903" customFormat="false" ht="15" hidden="false" customHeight="true" outlineLevel="0" collapsed="false">
      <c r="A1903" s="1" t="n">
        <v>1902</v>
      </c>
      <c r="B1903" s="1" t="s">
        <v>1909</v>
      </c>
      <c r="C1903" s="1" t="s">
        <v>790</v>
      </c>
      <c r="D1903" s="1" t="s">
        <v>423</v>
      </c>
      <c r="E1903" s="1" t="s">
        <v>707</v>
      </c>
    </row>
    <row r="1904" customFormat="false" ht="15" hidden="false" customHeight="true" outlineLevel="0" collapsed="false">
      <c r="A1904" s="1" t="n">
        <v>1903</v>
      </c>
      <c r="B1904" s="1" t="s">
        <v>1544</v>
      </c>
      <c r="C1904" s="1" t="s">
        <v>148</v>
      </c>
      <c r="D1904" s="1" t="s">
        <v>446</v>
      </c>
      <c r="E1904" s="1" t="s">
        <v>1870</v>
      </c>
    </row>
    <row r="1905" customFormat="false" ht="15" hidden="false" customHeight="true" outlineLevel="0" collapsed="false">
      <c r="A1905" s="1" t="n">
        <v>1904</v>
      </c>
      <c r="B1905" s="1" t="s">
        <v>1090</v>
      </c>
      <c r="C1905" s="1" t="s">
        <v>321</v>
      </c>
      <c r="D1905" s="1" t="s">
        <v>263</v>
      </c>
      <c r="E1905" s="1" t="s">
        <v>802</v>
      </c>
    </row>
    <row r="1906" customFormat="false" ht="15" hidden="false" customHeight="true" outlineLevel="0" collapsed="false">
      <c r="A1906" s="1" t="n">
        <v>1905</v>
      </c>
      <c r="B1906" s="1" t="s">
        <v>1842</v>
      </c>
      <c r="C1906" s="1" t="s">
        <v>144</v>
      </c>
      <c r="D1906" s="1" t="s">
        <v>194</v>
      </c>
      <c r="E1906" s="1" t="s">
        <v>150</v>
      </c>
    </row>
    <row r="1907" customFormat="false" ht="15" hidden="false" customHeight="true" outlineLevel="0" collapsed="false">
      <c r="A1907" s="1" t="n">
        <v>1906</v>
      </c>
      <c r="B1907" s="1" t="s">
        <v>351</v>
      </c>
      <c r="C1907" s="1" t="s">
        <v>455</v>
      </c>
      <c r="D1907" s="1" t="s">
        <v>286</v>
      </c>
      <c r="E1907" s="1" t="s">
        <v>972</v>
      </c>
    </row>
    <row r="1908" customFormat="false" ht="15" hidden="false" customHeight="true" outlineLevel="0" collapsed="false">
      <c r="A1908" s="1" t="n">
        <v>1907</v>
      </c>
      <c r="B1908" s="1" t="s">
        <v>1927</v>
      </c>
      <c r="C1908" s="1" t="s">
        <v>389</v>
      </c>
      <c r="D1908" s="1" t="s">
        <v>263</v>
      </c>
      <c r="E1908" s="1" t="s">
        <v>1064</v>
      </c>
    </row>
    <row r="1909" customFormat="false" ht="15" hidden="false" customHeight="true" outlineLevel="0" collapsed="false">
      <c r="A1909" s="1" t="n">
        <v>1908</v>
      </c>
      <c r="B1909" s="1" t="s">
        <v>1220</v>
      </c>
      <c r="C1909" s="1" t="s">
        <v>1679</v>
      </c>
      <c r="D1909" s="1" t="s">
        <v>510</v>
      </c>
      <c r="E1909" s="1" t="s">
        <v>1928</v>
      </c>
    </row>
    <row r="1910" customFormat="false" ht="15" hidden="false" customHeight="true" outlineLevel="0" collapsed="false">
      <c r="A1910" s="1" t="n">
        <v>1909</v>
      </c>
      <c r="B1910" s="1" t="s">
        <v>635</v>
      </c>
      <c r="C1910" s="1" t="s">
        <v>848</v>
      </c>
      <c r="D1910" s="1" t="s">
        <v>450</v>
      </c>
      <c r="E1910" s="1" t="s">
        <v>1687</v>
      </c>
    </row>
    <row r="1911" customFormat="false" ht="15" hidden="false" customHeight="true" outlineLevel="0" collapsed="false">
      <c r="A1911" s="1" t="n">
        <v>1910</v>
      </c>
      <c r="B1911" s="1" t="s">
        <v>281</v>
      </c>
      <c r="C1911" s="1" t="s">
        <v>389</v>
      </c>
      <c r="D1911" s="1" t="s">
        <v>231</v>
      </c>
      <c r="E1911" s="1" t="s">
        <v>44</v>
      </c>
    </row>
    <row r="1912" customFormat="false" ht="15" hidden="false" customHeight="true" outlineLevel="0" collapsed="false">
      <c r="A1912" s="1" t="n">
        <v>1911</v>
      </c>
      <c r="B1912" s="1" t="s">
        <v>1252</v>
      </c>
      <c r="C1912" s="1" t="s">
        <v>1136</v>
      </c>
      <c r="D1912" s="1" t="s">
        <v>23</v>
      </c>
      <c r="E1912" s="1" t="s">
        <v>1020</v>
      </c>
    </row>
    <row r="1913" customFormat="false" ht="15" hidden="false" customHeight="true" outlineLevel="0" collapsed="false">
      <c r="A1913" s="1" t="n">
        <v>1912</v>
      </c>
      <c r="B1913" s="1" t="s">
        <v>576</v>
      </c>
      <c r="C1913" s="1" t="s">
        <v>341</v>
      </c>
      <c r="D1913" s="1" t="s">
        <v>275</v>
      </c>
      <c r="E1913" s="1" t="s">
        <v>598</v>
      </c>
    </row>
    <row r="1914" customFormat="false" ht="15" hidden="false" customHeight="true" outlineLevel="0" collapsed="false">
      <c r="A1914" s="1" t="n">
        <v>1913</v>
      </c>
      <c r="B1914" s="1" t="s">
        <v>1929</v>
      </c>
      <c r="C1914" s="1" t="s">
        <v>638</v>
      </c>
      <c r="D1914" s="1" t="s">
        <v>844</v>
      </c>
      <c r="E1914" s="1" t="s">
        <v>1930</v>
      </c>
    </row>
    <row r="1915" customFormat="false" ht="15" hidden="false" customHeight="true" outlineLevel="0" collapsed="false">
      <c r="A1915" s="1" t="n">
        <v>1914</v>
      </c>
      <c r="B1915" s="1" t="s">
        <v>176</v>
      </c>
      <c r="C1915" s="1" t="s">
        <v>755</v>
      </c>
      <c r="D1915" s="1" t="s">
        <v>384</v>
      </c>
      <c r="E1915" s="1" t="s">
        <v>1399</v>
      </c>
    </row>
    <row r="1916" customFormat="false" ht="15" hidden="false" customHeight="true" outlineLevel="0" collapsed="false">
      <c r="A1916" s="1" t="n">
        <v>1915</v>
      </c>
      <c r="B1916" s="1" t="s">
        <v>440</v>
      </c>
      <c r="C1916" s="1" t="s">
        <v>1199</v>
      </c>
      <c r="D1916" s="1" t="s">
        <v>235</v>
      </c>
      <c r="E1916" s="1" t="s">
        <v>1211</v>
      </c>
    </row>
    <row r="1917" customFormat="false" ht="15" hidden="false" customHeight="true" outlineLevel="0" collapsed="false">
      <c r="A1917" s="1" t="n">
        <v>1916</v>
      </c>
      <c r="B1917" s="1" t="s">
        <v>1204</v>
      </c>
      <c r="C1917" s="1" t="s">
        <v>154</v>
      </c>
      <c r="D1917" s="1" t="s">
        <v>241</v>
      </c>
      <c r="E1917" s="1" t="s">
        <v>1101</v>
      </c>
    </row>
    <row r="1918" customFormat="false" ht="15" hidden="false" customHeight="true" outlineLevel="0" collapsed="false">
      <c r="A1918" s="1" t="n">
        <v>1917</v>
      </c>
      <c r="B1918" s="1" t="s">
        <v>1022</v>
      </c>
      <c r="C1918" s="1" t="s">
        <v>505</v>
      </c>
      <c r="D1918" s="1" t="s">
        <v>289</v>
      </c>
      <c r="E1918" s="1" t="s">
        <v>935</v>
      </c>
    </row>
    <row r="1919" customFormat="false" ht="15" hidden="false" customHeight="true" outlineLevel="0" collapsed="false">
      <c r="A1919" s="1" t="n">
        <v>1918</v>
      </c>
      <c r="B1919" s="1" t="s">
        <v>1806</v>
      </c>
      <c r="C1919" s="1" t="s">
        <v>76</v>
      </c>
      <c r="D1919" s="1" t="s">
        <v>667</v>
      </c>
      <c r="E1919" s="1" t="s">
        <v>1931</v>
      </c>
    </row>
    <row r="1920" customFormat="false" ht="15" hidden="false" customHeight="true" outlineLevel="0" collapsed="false">
      <c r="A1920" s="1" t="n">
        <v>1919</v>
      </c>
      <c r="B1920" s="1" t="s">
        <v>259</v>
      </c>
      <c r="C1920" s="1" t="s">
        <v>502</v>
      </c>
      <c r="D1920" s="1" t="s">
        <v>728</v>
      </c>
      <c r="E1920" s="1" t="s">
        <v>44</v>
      </c>
    </row>
    <row r="1921" customFormat="false" ht="15" hidden="false" customHeight="true" outlineLevel="0" collapsed="false">
      <c r="A1921" s="1" t="n">
        <v>1920</v>
      </c>
      <c r="B1921" s="1" t="s">
        <v>243</v>
      </c>
      <c r="C1921" s="1" t="s">
        <v>1136</v>
      </c>
      <c r="D1921" s="1" t="s">
        <v>137</v>
      </c>
      <c r="E1921" s="1" t="s">
        <v>44</v>
      </c>
    </row>
    <row r="1922" customFormat="false" ht="15" hidden="false" customHeight="true" outlineLevel="0" collapsed="false">
      <c r="A1922" s="1" t="n">
        <v>1921</v>
      </c>
      <c r="B1922" s="1" t="s">
        <v>1544</v>
      </c>
      <c r="C1922" s="1" t="s">
        <v>848</v>
      </c>
      <c r="D1922" s="1" t="s">
        <v>415</v>
      </c>
      <c r="E1922" s="1" t="s">
        <v>1798</v>
      </c>
    </row>
    <row r="1923" customFormat="false" ht="15" hidden="false" customHeight="true" outlineLevel="0" collapsed="false">
      <c r="A1923" s="1" t="n">
        <v>1922</v>
      </c>
      <c r="B1923" s="1" t="s">
        <v>1114</v>
      </c>
      <c r="C1923" s="1" t="s">
        <v>1305</v>
      </c>
      <c r="D1923" s="1" t="s">
        <v>174</v>
      </c>
      <c r="E1923" s="1" t="s">
        <v>911</v>
      </c>
    </row>
    <row r="1924" customFormat="false" ht="15" hidden="false" customHeight="true" outlineLevel="0" collapsed="false">
      <c r="A1924" s="1" t="n">
        <v>1923</v>
      </c>
      <c r="B1924" s="1" t="s">
        <v>518</v>
      </c>
      <c r="C1924" s="1" t="s">
        <v>962</v>
      </c>
      <c r="D1924" s="1" t="s">
        <v>1254</v>
      </c>
      <c r="E1924" s="1" t="s">
        <v>1298</v>
      </c>
    </row>
    <row r="1925" customFormat="false" ht="15" hidden="false" customHeight="true" outlineLevel="0" collapsed="false">
      <c r="A1925" s="1" t="n">
        <v>1924</v>
      </c>
      <c r="B1925" s="1" t="s">
        <v>460</v>
      </c>
      <c r="C1925" s="1" t="s">
        <v>30</v>
      </c>
      <c r="D1925" s="1" t="s">
        <v>1254</v>
      </c>
      <c r="E1925" s="1" t="s">
        <v>1477</v>
      </c>
    </row>
    <row r="1926" customFormat="false" ht="15" hidden="false" customHeight="true" outlineLevel="0" collapsed="false">
      <c r="A1926" s="1" t="n">
        <v>1925</v>
      </c>
      <c r="B1926" s="1" t="s">
        <v>777</v>
      </c>
      <c r="C1926" s="1" t="s">
        <v>500</v>
      </c>
      <c r="D1926" s="1" t="s">
        <v>1795</v>
      </c>
      <c r="E1926" s="1" t="s">
        <v>720</v>
      </c>
    </row>
    <row r="1927" customFormat="false" ht="15" hidden="false" customHeight="true" outlineLevel="0" collapsed="false">
      <c r="A1927" s="1" t="n">
        <v>1926</v>
      </c>
      <c r="B1927" s="1" t="s">
        <v>288</v>
      </c>
      <c r="C1927" s="1" t="s">
        <v>647</v>
      </c>
      <c r="D1927" s="1" t="s">
        <v>313</v>
      </c>
      <c r="E1927" s="1" t="s">
        <v>845</v>
      </c>
    </row>
    <row r="1928" customFormat="false" ht="15" hidden="false" customHeight="true" outlineLevel="0" collapsed="false">
      <c r="A1928" s="1" t="n">
        <v>1927</v>
      </c>
      <c r="B1928" s="1" t="s">
        <v>479</v>
      </c>
      <c r="C1928" s="1" t="s">
        <v>1649</v>
      </c>
      <c r="D1928" s="1" t="s">
        <v>488</v>
      </c>
      <c r="E1928" s="1" t="s">
        <v>1469</v>
      </c>
    </row>
    <row r="1929" customFormat="false" ht="15" hidden="false" customHeight="true" outlineLevel="0" collapsed="false">
      <c r="A1929" s="1" t="n">
        <v>1928</v>
      </c>
      <c r="B1929" s="1" t="s">
        <v>1497</v>
      </c>
      <c r="C1929" s="1" t="s">
        <v>177</v>
      </c>
      <c r="D1929" s="1" t="s">
        <v>170</v>
      </c>
      <c r="E1929" s="1" t="s">
        <v>1623</v>
      </c>
    </row>
    <row r="1930" customFormat="false" ht="15" hidden="false" customHeight="true" outlineLevel="0" collapsed="false">
      <c r="A1930" s="1" t="n">
        <v>1929</v>
      </c>
      <c r="B1930" s="1" t="s">
        <v>1345</v>
      </c>
      <c r="C1930" s="1" t="s">
        <v>212</v>
      </c>
      <c r="D1930" s="1" t="s">
        <v>286</v>
      </c>
      <c r="E1930" s="1" t="s">
        <v>1932</v>
      </c>
    </row>
    <row r="1931" customFormat="false" ht="15" hidden="false" customHeight="true" outlineLevel="0" collapsed="false">
      <c r="A1931" s="1" t="n">
        <v>1930</v>
      </c>
      <c r="B1931" s="1" t="s">
        <v>796</v>
      </c>
      <c r="C1931" s="1" t="s">
        <v>46</v>
      </c>
      <c r="D1931" s="1" t="s">
        <v>442</v>
      </c>
      <c r="E1931" s="1" t="s">
        <v>44</v>
      </c>
    </row>
    <row r="1932" customFormat="false" ht="15" hidden="false" customHeight="true" outlineLevel="0" collapsed="false">
      <c r="A1932" s="1" t="n">
        <v>1931</v>
      </c>
      <c r="B1932" s="1" t="s">
        <v>1201</v>
      </c>
      <c r="C1932" s="1" t="s">
        <v>375</v>
      </c>
      <c r="D1932" s="1" t="s">
        <v>1262</v>
      </c>
      <c r="E1932" s="1" t="s">
        <v>331</v>
      </c>
    </row>
    <row r="1933" customFormat="false" ht="15" hidden="false" customHeight="true" outlineLevel="0" collapsed="false">
      <c r="A1933" s="1" t="n">
        <v>1932</v>
      </c>
      <c r="B1933" s="1" t="s">
        <v>815</v>
      </c>
      <c r="C1933" s="1" t="s">
        <v>604</v>
      </c>
      <c r="D1933" s="1" t="s">
        <v>536</v>
      </c>
      <c r="E1933" s="1" t="s">
        <v>1005</v>
      </c>
    </row>
    <row r="1934" customFormat="false" ht="15" hidden="false" customHeight="true" outlineLevel="0" collapsed="false">
      <c r="A1934" s="1" t="n">
        <v>1933</v>
      </c>
      <c r="B1934" s="1" t="s">
        <v>1333</v>
      </c>
      <c r="C1934" s="1" t="s">
        <v>348</v>
      </c>
      <c r="D1934" s="1" t="s">
        <v>675</v>
      </c>
      <c r="E1934" s="1" t="s">
        <v>591</v>
      </c>
    </row>
    <row r="1935" customFormat="false" ht="15" hidden="false" customHeight="true" outlineLevel="0" collapsed="false">
      <c r="A1935" s="1" t="n">
        <v>1934</v>
      </c>
      <c r="B1935" s="1" t="s">
        <v>172</v>
      </c>
      <c r="C1935" s="1" t="s">
        <v>237</v>
      </c>
      <c r="D1935" s="1" t="s">
        <v>494</v>
      </c>
      <c r="E1935" s="1" t="s">
        <v>1519</v>
      </c>
    </row>
    <row r="1936" customFormat="false" ht="15" hidden="false" customHeight="true" outlineLevel="0" collapsed="false">
      <c r="A1936" s="1" t="n">
        <v>1935</v>
      </c>
      <c r="B1936" s="1" t="s">
        <v>635</v>
      </c>
      <c r="C1936" s="1" t="s">
        <v>1612</v>
      </c>
      <c r="D1936" s="1" t="s">
        <v>69</v>
      </c>
      <c r="E1936" s="1" t="s">
        <v>967</v>
      </c>
    </row>
    <row r="1937" customFormat="false" ht="15" hidden="false" customHeight="true" outlineLevel="0" collapsed="false">
      <c r="A1937" s="1" t="n">
        <v>1936</v>
      </c>
      <c r="B1937" s="1" t="s">
        <v>1580</v>
      </c>
      <c r="C1937" s="1" t="s">
        <v>925</v>
      </c>
      <c r="D1937" s="1" t="s">
        <v>731</v>
      </c>
      <c r="E1937" s="1" t="s">
        <v>1044</v>
      </c>
    </row>
    <row r="1938" customFormat="false" ht="15" hidden="false" customHeight="true" outlineLevel="0" collapsed="false">
      <c r="A1938" s="1" t="n">
        <v>1937</v>
      </c>
      <c r="B1938" s="1" t="s">
        <v>1400</v>
      </c>
      <c r="C1938" s="1" t="s">
        <v>547</v>
      </c>
      <c r="D1938" s="1" t="s">
        <v>1272</v>
      </c>
      <c r="E1938" s="1" t="s">
        <v>1456</v>
      </c>
    </row>
    <row r="1939" customFormat="false" ht="15" hidden="false" customHeight="true" outlineLevel="0" collapsed="false">
      <c r="A1939" s="1" t="n">
        <v>1938</v>
      </c>
      <c r="B1939" s="1" t="s">
        <v>913</v>
      </c>
      <c r="C1939" s="1" t="s">
        <v>1838</v>
      </c>
      <c r="D1939" s="1" t="s">
        <v>39</v>
      </c>
      <c r="E1939" s="1" t="s">
        <v>1933</v>
      </c>
    </row>
    <row r="1940" customFormat="false" ht="15" hidden="false" customHeight="true" outlineLevel="0" collapsed="false">
      <c r="A1940" s="1" t="n">
        <v>1939</v>
      </c>
      <c r="B1940" s="1" t="s">
        <v>1783</v>
      </c>
      <c r="C1940" s="1" t="s">
        <v>1159</v>
      </c>
      <c r="D1940" s="1" t="s">
        <v>149</v>
      </c>
      <c r="E1940" s="1" t="s">
        <v>1200</v>
      </c>
    </row>
    <row r="1941" customFormat="false" ht="15" hidden="false" customHeight="true" outlineLevel="0" collapsed="false">
      <c r="A1941" s="1" t="n">
        <v>1940</v>
      </c>
      <c r="B1941" s="1" t="s">
        <v>1755</v>
      </c>
      <c r="C1941" s="1" t="s">
        <v>1545</v>
      </c>
      <c r="D1941" s="1" t="s">
        <v>764</v>
      </c>
      <c r="E1941" s="1" t="s">
        <v>44</v>
      </c>
    </row>
    <row r="1942" customFormat="false" ht="15" hidden="false" customHeight="true" outlineLevel="0" collapsed="false">
      <c r="A1942" s="1" t="n">
        <v>1941</v>
      </c>
      <c r="B1942" s="1" t="s">
        <v>614</v>
      </c>
      <c r="C1942" s="1" t="s">
        <v>611</v>
      </c>
      <c r="D1942" s="1" t="s">
        <v>556</v>
      </c>
      <c r="E1942" s="1" t="s">
        <v>1928</v>
      </c>
    </row>
    <row r="1943" customFormat="false" ht="15" hidden="false" customHeight="true" outlineLevel="0" collapsed="false">
      <c r="A1943" s="1" t="n">
        <v>1942</v>
      </c>
      <c r="B1943" s="1" t="s">
        <v>314</v>
      </c>
      <c r="C1943" s="1" t="s">
        <v>1109</v>
      </c>
      <c r="D1943" s="1" t="s">
        <v>238</v>
      </c>
      <c r="E1943" s="1" t="s">
        <v>1886</v>
      </c>
    </row>
    <row r="1944" customFormat="false" ht="15" hidden="false" customHeight="true" outlineLevel="0" collapsed="false">
      <c r="A1944" s="1" t="n">
        <v>1943</v>
      </c>
      <c r="B1944" s="1" t="s">
        <v>820</v>
      </c>
      <c r="C1944" s="1" t="s">
        <v>122</v>
      </c>
      <c r="D1944" s="1" t="s">
        <v>722</v>
      </c>
      <c r="E1944" s="1" t="s">
        <v>210</v>
      </c>
    </row>
    <row r="1945" customFormat="false" ht="15" hidden="false" customHeight="true" outlineLevel="0" collapsed="false">
      <c r="A1945" s="1" t="n">
        <v>1944</v>
      </c>
      <c r="B1945" s="1" t="s">
        <v>700</v>
      </c>
      <c r="C1945" s="1" t="s">
        <v>719</v>
      </c>
      <c r="D1945" s="1" t="s">
        <v>399</v>
      </c>
      <c r="E1945" s="1" t="s">
        <v>87</v>
      </c>
    </row>
    <row r="1946" customFormat="false" ht="15" hidden="false" customHeight="true" outlineLevel="0" collapsed="false">
      <c r="A1946" s="1" t="n">
        <v>1945</v>
      </c>
      <c r="B1946" s="1" t="s">
        <v>222</v>
      </c>
      <c r="C1946" s="1" t="s">
        <v>10</v>
      </c>
      <c r="D1946" s="1" t="s">
        <v>145</v>
      </c>
      <c r="E1946" s="1" t="s">
        <v>1043</v>
      </c>
    </row>
    <row r="1947" customFormat="false" ht="15" hidden="false" customHeight="true" outlineLevel="0" collapsed="false">
      <c r="A1947" s="1" t="n">
        <v>1946</v>
      </c>
      <c r="B1947" s="1" t="s">
        <v>533</v>
      </c>
      <c r="C1947" s="1" t="s">
        <v>656</v>
      </c>
      <c r="D1947" s="1" t="s">
        <v>62</v>
      </c>
      <c r="E1947" s="1" t="s">
        <v>892</v>
      </c>
    </row>
    <row r="1948" customFormat="false" ht="15" hidden="false" customHeight="true" outlineLevel="0" collapsed="false">
      <c r="A1948" s="1" t="n">
        <v>1947</v>
      </c>
      <c r="B1948" s="1" t="s">
        <v>1220</v>
      </c>
      <c r="C1948" s="1" t="s">
        <v>78</v>
      </c>
      <c r="D1948" s="1" t="s">
        <v>402</v>
      </c>
      <c r="E1948" s="1" t="s">
        <v>657</v>
      </c>
    </row>
    <row r="1949" customFormat="false" ht="15" hidden="false" customHeight="true" outlineLevel="0" collapsed="false">
      <c r="A1949" s="1" t="n">
        <v>1948</v>
      </c>
      <c r="B1949" s="1" t="s">
        <v>1447</v>
      </c>
      <c r="C1949" s="1" t="s">
        <v>804</v>
      </c>
      <c r="D1949" s="1" t="s">
        <v>1356</v>
      </c>
      <c r="E1949" s="1" t="s">
        <v>1058</v>
      </c>
    </row>
    <row r="1950" customFormat="false" ht="15" hidden="false" customHeight="true" outlineLevel="0" collapsed="false">
      <c r="A1950" s="1" t="n">
        <v>1949</v>
      </c>
      <c r="B1950" s="1" t="s">
        <v>1497</v>
      </c>
      <c r="C1950" s="1" t="s">
        <v>962</v>
      </c>
      <c r="D1950" s="1" t="s">
        <v>286</v>
      </c>
      <c r="E1950" s="1" t="s">
        <v>1850</v>
      </c>
    </row>
    <row r="1951" customFormat="false" ht="15" hidden="false" customHeight="true" outlineLevel="0" collapsed="false">
      <c r="A1951" s="1" t="n">
        <v>1950</v>
      </c>
      <c r="B1951" s="1" t="s">
        <v>1538</v>
      </c>
      <c r="C1951" s="1" t="s">
        <v>129</v>
      </c>
      <c r="D1951" s="1" t="s">
        <v>345</v>
      </c>
      <c r="E1951" s="1" t="s">
        <v>44</v>
      </c>
    </row>
    <row r="1952" customFormat="false" ht="15" hidden="false" customHeight="true" outlineLevel="0" collapsed="false">
      <c r="A1952" s="1" t="n">
        <v>1951</v>
      </c>
      <c r="B1952" s="1" t="s">
        <v>299</v>
      </c>
      <c r="C1952" s="1" t="s">
        <v>673</v>
      </c>
      <c r="D1952" s="1" t="s">
        <v>567</v>
      </c>
      <c r="E1952" s="1" t="s">
        <v>1730</v>
      </c>
    </row>
    <row r="1953" customFormat="false" ht="15" hidden="false" customHeight="true" outlineLevel="0" collapsed="false">
      <c r="A1953" s="1" t="n">
        <v>1952</v>
      </c>
      <c r="B1953" s="1" t="s">
        <v>546</v>
      </c>
      <c r="C1953" s="1" t="s">
        <v>1934</v>
      </c>
      <c r="D1953" s="1" t="s">
        <v>105</v>
      </c>
      <c r="E1953" s="1" t="s">
        <v>644</v>
      </c>
    </row>
    <row r="1954" customFormat="false" ht="15" hidden="false" customHeight="true" outlineLevel="0" collapsed="false">
      <c r="A1954" s="1" t="n">
        <v>1953</v>
      </c>
      <c r="B1954" s="1" t="s">
        <v>886</v>
      </c>
      <c r="C1954" s="1" t="s">
        <v>515</v>
      </c>
      <c r="D1954" s="1" t="s">
        <v>419</v>
      </c>
      <c r="E1954" s="1" t="s">
        <v>895</v>
      </c>
    </row>
    <row r="1955" customFormat="false" ht="15" hidden="false" customHeight="true" outlineLevel="0" collapsed="false">
      <c r="A1955" s="1" t="n">
        <v>1954</v>
      </c>
      <c r="B1955" s="1" t="s">
        <v>1131</v>
      </c>
      <c r="C1955" s="1" t="s">
        <v>306</v>
      </c>
      <c r="D1955" s="1" t="s">
        <v>178</v>
      </c>
      <c r="E1955" s="1" t="s">
        <v>298</v>
      </c>
    </row>
    <row r="1956" customFormat="false" ht="15" hidden="false" customHeight="true" outlineLevel="0" collapsed="false">
      <c r="A1956" s="1" t="n">
        <v>1955</v>
      </c>
      <c r="B1956" s="1" t="s">
        <v>691</v>
      </c>
      <c r="C1956" s="1" t="s">
        <v>76</v>
      </c>
      <c r="D1956" s="1" t="s">
        <v>783</v>
      </c>
      <c r="E1956" s="1" t="s">
        <v>1935</v>
      </c>
    </row>
    <row r="1957" customFormat="false" ht="15" hidden="false" customHeight="true" outlineLevel="0" collapsed="false">
      <c r="A1957" s="1" t="n">
        <v>1956</v>
      </c>
      <c r="B1957" s="1" t="s">
        <v>546</v>
      </c>
      <c r="C1957" s="1" t="s">
        <v>1382</v>
      </c>
      <c r="D1957" s="1" t="s">
        <v>330</v>
      </c>
      <c r="E1957" s="1" t="s">
        <v>1133</v>
      </c>
    </row>
    <row r="1958" customFormat="false" ht="15" hidden="false" customHeight="true" outlineLevel="0" collapsed="false">
      <c r="A1958" s="1" t="n">
        <v>1957</v>
      </c>
      <c r="B1958" s="1" t="s">
        <v>993</v>
      </c>
      <c r="C1958" s="1" t="s">
        <v>212</v>
      </c>
      <c r="D1958" s="1" t="s">
        <v>282</v>
      </c>
      <c r="E1958" s="1" t="s">
        <v>1936</v>
      </c>
    </row>
    <row r="1959" customFormat="false" ht="15" hidden="false" customHeight="true" outlineLevel="0" collapsed="false">
      <c r="A1959" s="1" t="n">
        <v>1958</v>
      </c>
      <c r="B1959" s="1" t="s">
        <v>679</v>
      </c>
      <c r="C1959" s="1" t="s">
        <v>1000</v>
      </c>
      <c r="D1959" s="1" t="s">
        <v>758</v>
      </c>
      <c r="E1959" s="1" t="s">
        <v>1278</v>
      </c>
    </row>
    <row r="1960" customFormat="false" ht="15" hidden="false" customHeight="true" outlineLevel="0" collapsed="false">
      <c r="A1960" s="1" t="n">
        <v>1959</v>
      </c>
      <c r="B1960" s="1" t="s">
        <v>1002</v>
      </c>
      <c r="C1960" s="1" t="s">
        <v>1073</v>
      </c>
      <c r="D1960" s="1" t="s">
        <v>170</v>
      </c>
      <c r="E1960" s="1" t="s">
        <v>1572</v>
      </c>
    </row>
    <row r="1961" customFormat="false" ht="15" hidden="false" customHeight="true" outlineLevel="0" collapsed="false">
      <c r="A1961" s="1" t="n">
        <v>1960</v>
      </c>
      <c r="B1961" s="1" t="s">
        <v>1006</v>
      </c>
      <c r="C1961" s="1" t="s">
        <v>108</v>
      </c>
      <c r="D1961" s="1" t="s">
        <v>539</v>
      </c>
      <c r="E1961" s="1" t="s">
        <v>44</v>
      </c>
    </row>
    <row r="1962" customFormat="false" ht="15" hidden="false" customHeight="true" outlineLevel="0" collapsed="false">
      <c r="A1962" s="1" t="n">
        <v>1961</v>
      </c>
      <c r="B1962" s="1" t="s">
        <v>689</v>
      </c>
      <c r="C1962" s="1" t="s">
        <v>1289</v>
      </c>
      <c r="D1962" s="1" t="s">
        <v>194</v>
      </c>
      <c r="E1962" s="1" t="s">
        <v>1641</v>
      </c>
    </row>
    <row r="1963" customFormat="false" ht="15" hidden="false" customHeight="true" outlineLevel="0" collapsed="false">
      <c r="A1963" s="1" t="n">
        <v>1962</v>
      </c>
      <c r="B1963" s="1" t="s">
        <v>1561</v>
      </c>
      <c r="C1963" s="1" t="s">
        <v>1487</v>
      </c>
      <c r="D1963" s="1" t="s">
        <v>227</v>
      </c>
      <c r="E1963" s="1" t="s">
        <v>885</v>
      </c>
    </row>
    <row r="1964" customFormat="false" ht="15" hidden="false" customHeight="true" outlineLevel="0" collapsed="false">
      <c r="A1964" s="1" t="n">
        <v>1963</v>
      </c>
      <c r="B1964" s="1" t="s">
        <v>951</v>
      </c>
      <c r="C1964" s="1" t="s">
        <v>362</v>
      </c>
      <c r="D1964" s="1" t="s">
        <v>1170</v>
      </c>
      <c r="E1964" s="1" t="s">
        <v>999</v>
      </c>
    </row>
    <row r="1965" customFormat="false" ht="15" hidden="false" customHeight="true" outlineLevel="0" collapsed="false">
      <c r="A1965" s="1" t="n">
        <v>1964</v>
      </c>
      <c r="B1965" s="1" t="s">
        <v>1868</v>
      </c>
      <c r="C1965" s="1" t="s">
        <v>34</v>
      </c>
      <c r="D1965" s="1" t="s">
        <v>145</v>
      </c>
      <c r="E1965" s="1" t="s">
        <v>1318</v>
      </c>
    </row>
    <row r="1966" customFormat="false" ht="15" hidden="false" customHeight="true" outlineLevel="0" collapsed="false">
      <c r="A1966" s="1" t="n">
        <v>1965</v>
      </c>
      <c r="B1966" s="1" t="s">
        <v>585</v>
      </c>
      <c r="C1966" s="1" t="s">
        <v>1183</v>
      </c>
      <c r="D1966" s="1" t="s">
        <v>909</v>
      </c>
      <c r="E1966" s="1" t="s">
        <v>587</v>
      </c>
    </row>
    <row r="1967" customFormat="false" ht="15" hidden="false" customHeight="true" outlineLevel="0" collapsed="false">
      <c r="A1967" s="1" t="n">
        <v>1966</v>
      </c>
      <c r="B1967" s="1" t="s">
        <v>924</v>
      </c>
      <c r="C1967" s="1" t="s">
        <v>1435</v>
      </c>
      <c r="D1967" s="1" t="s">
        <v>876</v>
      </c>
      <c r="E1967" s="1" t="s">
        <v>1546</v>
      </c>
    </row>
    <row r="1968" customFormat="false" ht="15" hidden="false" customHeight="true" outlineLevel="0" collapsed="false">
      <c r="A1968" s="1" t="n">
        <v>1967</v>
      </c>
      <c r="B1968" s="1" t="s">
        <v>1738</v>
      </c>
      <c r="C1968" s="1" t="s">
        <v>1296</v>
      </c>
      <c r="D1968" s="1" t="s">
        <v>957</v>
      </c>
      <c r="E1968" s="1" t="s">
        <v>1937</v>
      </c>
    </row>
    <row r="1969" customFormat="false" ht="15" hidden="false" customHeight="true" outlineLevel="0" collapsed="false">
      <c r="A1969" s="1" t="n">
        <v>1968</v>
      </c>
      <c r="B1969" s="1" t="s">
        <v>1882</v>
      </c>
      <c r="C1969" s="1" t="s">
        <v>966</v>
      </c>
      <c r="D1969" s="1" t="s">
        <v>257</v>
      </c>
      <c r="E1969" s="1" t="s">
        <v>1818</v>
      </c>
    </row>
    <row r="1970" customFormat="false" ht="15" hidden="false" customHeight="true" outlineLevel="0" collapsed="false">
      <c r="A1970" s="1" t="n">
        <v>1969</v>
      </c>
      <c r="B1970" s="1" t="s">
        <v>25</v>
      </c>
      <c r="C1970" s="1" t="s">
        <v>790</v>
      </c>
      <c r="D1970" s="1" t="s">
        <v>919</v>
      </c>
      <c r="E1970" s="1" t="s">
        <v>878</v>
      </c>
    </row>
    <row r="1971" customFormat="false" ht="15" hidden="false" customHeight="true" outlineLevel="0" collapsed="false">
      <c r="A1971" s="1" t="n">
        <v>1970</v>
      </c>
      <c r="B1971" s="1" t="s">
        <v>1738</v>
      </c>
      <c r="C1971" s="1" t="s">
        <v>1822</v>
      </c>
      <c r="D1971" s="1" t="s">
        <v>1513</v>
      </c>
      <c r="E1971" s="1" t="s">
        <v>44</v>
      </c>
    </row>
    <row r="1972" customFormat="false" ht="15" hidden="false" customHeight="true" outlineLevel="0" collapsed="false">
      <c r="A1972" s="1" t="n">
        <v>1971</v>
      </c>
      <c r="B1972" s="1" t="s">
        <v>1355</v>
      </c>
      <c r="C1972" s="1" t="s">
        <v>398</v>
      </c>
      <c r="D1972" s="1" t="s">
        <v>923</v>
      </c>
      <c r="E1972" s="1" t="s">
        <v>1297</v>
      </c>
    </row>
    <row r="1973" customFormat="false" ht="15" hidden="false" customHeight="true" outlineLevel="0" collapsed="false">
      <c r="A1973" s="1" t="n">
        <v>1972</v>
      </c>
      <c r="B1973" s="1" t="s">
        <v>831</v>
      </c>
      <c r="C1973" s="1" t="s">
        <v>1923</v>
      </c>
      <c r="D1973" s="1" t="s">
        <v>844</v>
      </c>
      <c r="E1973" s="1" t="s">
        <v>436</v>
      </c>
    </row>
    <row r="1974" customFormat="false" ht="15" hidden="false" customHeight="true" outlineLevel="0" collapsed="false">
      <c r="A1974" s="1" t="n">
        <v>1973</v>
      </c>
      <c r="B1974" s="1" t="s">
        <v>1909</v>
      </c>
      <c r="C1974" s="1" t="s">
        <v>974</v>
      </c>
      <c r="D1974" s="1" t="s">
        <v>731</v>
      </c>
      <c r="E1974" s="1" t="s">
        <v>1045</v>
      </c>
    </row>
    <row r="1975" customFormat="false" ht="15" hidden="false" customHeight="true" outlineLevel="0" collapsed="false">
      <c r="A1975" s="1" t="n">
        <v>1974</v>
      </c>
      <c r="B1975" s="1" t="s">
        <v>1142</v>
      </c>
      <c r="C1975" s="1" t="s">
        <v>418</v>
      </c>
      <c r="D1975" s="1" t="s">
        <v>530</v>
      </c>
      <c r="E1975" s="1" t="s">
        <v>74</v>
      </c>
    </row>
    <row r="1976" customFormat="false" ht="15" hidden="false" customHeight="true" outlineLevel="0" collapsed="false">
      <c r="A1976" s="1" t="n">
        <v>1975</v>
      </c>
      <c r="B1976" s="1" t="s">
        <v>1085</v>
      </c>
      <c r="C1976" s="1" t="s">
        <v>827</v>
      </c>
      <c r="D1976" s="1" t="s">
        <v>982</v>
      </c>
      <c r="E1976" s="1" t="s">
        <v>1938</v>
      </c>
    </row>
    <row r="1977" customFormat="false" ht="15" hidden="false" customHeight="true" outlineLevel="0" collapsed="false">
      <c r="A1977" s="1" t="n">
        <v>1976</v>
      </c>
      <c r="B1977" s="1" t="s">
        <v>1729</v>
      </c>
      <c r="C1977" s="1" t="s">
        <v>449</v>
      </c>
      <c r="D1977" s="1" t="s">
        <v>522</v>
      </c>
      <c r="E1977" s="1" t="s">
        <v>853</v>
      </c>
    </row>
    <row r="1978" customFormat="false" ht="15" hidden="false" customHeight="true" outlineLevel="0" collapsed="false">
      <c r="A1978" s="1" t="n">
        <v>1977</v>
      </c>
      <c r="B1978" s="1" t="s">
        <v>1279</v>
      </c>
      <c r="C1978" s="1" t="s">
        <v>600</v>
      </c>
      <c r="D1978" s="1" t="s">
        <v>1810</v>
      </c>
      <c r="E1978" s="1" t="s">
        <v>1116</v>
      </c>
    </row>
    <row r="1979" customFormat="false" ht="15" hidden="false" customHeight="true" outlineLevel="0" collapsed="false">
      <c r="A1979" s="1" t="n">
        <v>1978</v>
      </c>
      <c r="B1979" s="1" t="s">
        <v>1138</v>
      </c>
      <c r="C1979" s="1" t="s">
        <v>804</v>
      </c>
      <c r="D1979" s="1" t="s">
        <v>217</v>
      </c>
      <c r="E1979" s="1" t="s">
        <v>1107</v>
      </c>
    </row>
    <row r="1980" customFormat="false" ht="15" hidden="false" customHeight="true" outlineLevel="0" collapsed="false">
      <c r="A1980" s="1" t="n">
        <v>1979</v>
      </c>
      <c r="B1980" s="1" t="s">
        <v>299</v>
      </c>
      <c r="C1980" s="1" t="s">
        <v>1163</v>
      </c>
      <c r="D1980" s="1" t="s">
        <v>560</v>
      </c>
      <c r="E1980" s="1" t="s">
        <v>1939</v>
      </c>
    </row>
    <row r="1981" customFormat="false" ht="15" hidden="false" customHeight="true" outlineLevel="0" collapsed="false">
      <c r="A1981" s="1" t="n">
        <v>1980</v>
      </c>
      <c r="B1981" s="1" t="s">
        <v>831</v>
      </c>
      <c r="C1981" s="1" t="s">
        <v>1691</v>
      </c>
      <c r="D1981" s="1" t="s">
        <v>293</v>
      </c>
      <c r="E1981" s="1" t="s">
        <v>44</v>
      </c>
    </row>
    <row r="1982" customFormat="false" ht="15" hidden="false" customHeight="true" outlineLevel="0" collapsed="false">
      <c r="A1982" s="1" t="n">
        <v>1981</v>
      </c>
      <c r="B1982" s="1" t="s">
        <v>1637</v>
      </c>
      <c r="C1982" s="1" t="s">
        <v>1377</v>
      </c>
      <c r="D1982" s="1" t="s">
        <v>957</v>
      </c>
      <c r="E1982" s="1" t="s">
        <v>1033</v>
      </c>
    </row>
    <row r="1983" customFormat="false" ht="15" hidden="false" customHeight="true" outlineLevel="0" collapsed="false">
      <c r="A1983" s="1" t="n">
        <v>1982</v>
      </c>
      <c r="B1983" s="1" t="s">
        <v>1093</v>
      </c>
      <c r="C1983" s="1" t="s">
        <v>645</v>
      </c>
      <c r="D1983" s="1" t="s">
        <v>783</v>
      </c>
      <c r="E1983" s="1" t="s">
        <v>1669</v>
      </c>
    </row>
    <row r="1984" customFormat="false" ht="15" hidden="false" customHeight="true" outlineLevel="0" collapsed="false">
      <c r="A1984" s="1" t="n">
        <v>1983</v>
      </c>
      <c r="B1984" s="1" t="s">
        <v>1842</v>
      </c>
      <c r="C1984" s="1" t="s">
        <v>555</v>
      </c>
      <c r="D1984" s="1" t="s">
        <v>286</v>
      </c>
      <c r="E1984" s="1" t="s">
        <v>1577</v>
      </c>
    </row>
    <row r="1985" customFormat="false" ht="15" hidden="false" customHeight="true" outlineLevel="0" collapsed="false">
      <c r="A1985" s="1" t="n">
        <v>1984</v>
      </c>
      <c r="B1985" s="1" t="s">
        <v>370</v>
      </c>
      <c r="C1985" s="1" t="s">
        <v>857</v>
      </c>
      <c r="D1985" s="1" t="s">
        <v>758</v>
      </c>
      <c r="E1985" s="1" t="s">
        <v>1603</v>
      </c>
    </row>
    <row r="1986" customFormat="false" ht="15" hidden="false" customHeight="true" outlineLevel="0" collapsed="false">
      <c r="A1986" s="1" t="n">
        <v>1985</v>
      </c>
      <c r="B1986" s="1" t="s">
        <v>554</v>
      </c>
      <c r="C1986" s="1" t="s">
        <v>1289</v>
      </c>
      <c r="D1986" s="1" t="s">
        <v>35</v>
      </c>
      <c r="E1986" s="1" t="s">
        <v>1940</v>
      </c>
    </row>
    <row r="1987" customFormat="false" ht="15" hidden="false" customHeight="true" outlineLevel="0" collapsed="false">
      <c r="A1987" s="1" t="n">
        <v>1986</v>
      </c>
      <c r="B1987" s="1" t="s">
        <v>826</v>
      </c>
      <c r="C1987" s="1" t="s">
        <v>285</v>
      </c>
      <c r="D1987" s="1" t="s">
        <v>715</v>
      </c>
      <c r="E1987" s="1" t="s">
        <v>1941</v>
      </c>
    </row>
    <row r="1988" customFormat="false" ht="15" hidden="false" customHeight="true" outlineLevel="0" collapsed="false">
      <c r="A1988" s="1" t="n">
        <v>1987</v>
      </c>
      <c r="B1988" s="1" t="s">
        <v>1093</v>
      </c>
      <c r="C1988" s="1" t="s">
        <v>129</v>
      </c>
      <c r="D1988" s="1" t="s">
        <v>130</v>
      </c>
      <c r="E1988" s="1" t="s">
        <v>376</v>
      </c>
    </row>
    <row r="1989" customFormat="false" ht="15" hidden="false" customHeight="true" outlineLevel="0" collapsed="false">
      <c r="A1989" s="1" t="n">
        <v>1988</v>
      </c>
      <c r="B1989" s="1" t="s">
        <v>1022</v>
      </c>
      <c r="C1989" s="1" t="s">
        <v>615</v>
      </c>
      <c r="D1989" s="1" t="s">
        <v>263</v>
      </c>
      <c r="E1989" s="1" t="s">
        <v>1942</v>
      </c>
    </row>
    <row r="1990" customFormat="false" ht="15" hidden="false" customHeight="true" outlineLevel="0" collapsed="false">
      <c r="A1990" s="1" t="n">
        <v>1989</v>
      </c>
      <c r="B1990" s="1" t="s">
        <v>1169</v>
      </c>
      <c r="C1990" s="1" t="s">
        <v>1922</v>
      </c>
      <c r="D1990" s="1" t="s">
        <v>433</v>
      </c>
      <c r="E1990" s="1" t="s">
        <v>1647</v>
      </c>
    </row>
    <row r="1991" customFormat="false" ht="15" hidden="false" customHeight="true" outlineLevel="0" collapsed="false">
      <c r="A1991" s="1" t="n">
        <v>1990</v>
      </c>
      <c r="B1991" s="1" t="s">
        <v>1187</v>
      </c>
      <c r="C1991" s="1" t="s">
        <v>1507</v>
      </c>
      <c r="D1991" s="1" t="s">
        <v>570</v>
      </c>
      <c r="E1991" s="1" t="s">
        <v>44</v>
      </c>
    </row>
    <row r="1992" customFormat="false" ht="15" hidden="false" customHeight="true" outlineLevel="0" collapsed="false">
      <c r="A1992" s="1" t="n">
        <v>1991</v>
      </c>
      <c r="B1992" s="1" t="s">
        <v>854</v>
      </c>
      <c r="C1992" s="1" t="s">
        <v>1733</v>
      </c>
      <c r="D1992" s="1" t="s">
        <v>764</v>
      </c>
      <c r="E1992" s="1" t="s">
        <v>1421</v>
      </c>
    </row>
    <row r="1993" customFormat="false" ht="15" hidden="false" customHeight="true" outlineLevel="0" collapsed="false">
      <c r="A1993" s="1" t="n">
        <v>1992</v>
      </c>
      <c r="B1993" s="1" t="s">
        <v>454</v>
      </c>
      <c r="C1993" s="1" t="s">
        <v>502</v>
      </c>
      <c r="D1993" s="1" t="s">
        <v>612</v>
      </c>
      <c r="E1993" s="1" t="s">
        <v>1638</v>
      </c>
    </row>
    <row r="1994" customFormat="false" ht="15" hidden="false" customHeight="true" outlineLevel="0" collapsed="false">
      <c r="A1994" s="1" t="n">
        <v>1993</v>
      </c>
      <c r="B1994" s="1" t="s">
        <v>329</v>
      </c>
      <c r="C1994" s="1" t="s">
        <v>81</v>
      </c>
      <c r="D1994" s="1" t="s">
        <v>159</v>
      </c>
      <c r="E1994" s="1" t="s">
        <v>1943</v>
      </c>
    </row>
    <row r="1995" customFormat="false" ht="15" hidden="false" customHeight="true" outlineLevel="0" collapsed="false">
      <c r="A1995" s="1" t="n">
        <v>1994</v>
      </c>
      <c r="B1995" s="1" t="s">
        <v>247</v>
      </c>
      <c r="C1995" s="1" t="s">
        <v>1902</v>
      </c>
      <c r="D1995" s="1" t="s">
        <v>97</v>
      </c>
      <c r="E1995" s="1" t="s">
        <v>1944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1" width="12.85"/>
    <col collapsed="false" customWidth="true" hidden="false" outlineLevel="0" max="2" min="2" style="1" width="18.56"/>
    <col collapsed="false" customWidth="true" hidden="false" outlineLevel="0" max="3" min="3" style="1" width="12.7"/>
    <col collapsed="false" customWidth="true" hidden="false" outlineLevel="0" max="4" min="4" style="1" width="20.99"/>
    <col collapsed="false" customWidth="true" hidden="false" outlineLevel="0" max="5" min="5" style="1" width="18.99"/>
  </cols>
  <sheetData>
    <row r="1" customFormat="false" ht="15" hidden="false" customHeight="true" outlineLevel="0" collapsed="false">
      <c r="A1" s="2" t="s">
        <v>1945</v>
      </c>
      <c r="B1" s="2" t="s">
        <v>1946</v>
      </c>
      <c r="C1" s="2" t="s">
        <v>0</v>
      </c>
      <c r="D1" s="2" t="s">
        <v>1947</v>
      </c>
      <c r="E1" s="2" t="s">
        <v>1948</v>
      </c>
    </row>
    <row r="2" customFormat="false" ht="15" hidden="false" customHeight="true" outlineLevel="0" collapsed="false">
      <c r="A2" s="1" t="n">
        <v>51871</v>
      </c>
      <c r="B2" s="3" t="n">
        <v>43997</v>
      </c>
      <c r="C2" s="1" t="n">
        <v>213</v>
      </c>
      <c r="D2" s="4" t="n">
        <v>0</v>
      </c>
      <c r="E2" s="1" t="s">
        <v>1949</v>
      </c>
    </row>
    <row r="3" customFormat="false" ht="15" hidden="false" customHeight="true" outlineLevel="0" collapsed="false">
      <c r="A3" s="1" t="n">
        <v>51230</v>
      </c>
      <c r="B3" s="3" t="n">
        <v>44039</v>
      </c>
      <c r="C3" s="1" t="n">
        <v>1508</v>
      </c>
      <c r="D3" s="4" t="n">
        <v>841</v>
      </c>
      <c r="E3" s="1" t="s">
        <v>1950</v>
      </c>
    </row>
    <row r="4" customFormat="false" ht="15" hidden="false" customHeight="true" outlineLevel="0" collapsed="false">
      <c r="A4" s="1" t="n">
        <v>50904</v>
      </c>
      <c r="B4" s="3" t="n">
        <v>44015</v>
      </c>
      <c r="C4" s="1" t="n">
        <v>1220</v>
      </c>
      <c r="D4" s="4" t="n">
        <v>0</v>
      </c>
      <c r="E4" s="1" t="s">
        <v>1949</v>
      </c>
    </row>
    <row r="5" customFormat="false" ht="15" hidden="false" customHeight="true" outlineLevel="0" collapsed="false">
      <c r="A5" s="1" t="n">
        <v>51321</v>
      </c>
      <c r="B5" s="3" t="n">
        <v>43982</v>
      </c>
      <c r="C5" s="1" t="n">
        <v>776</v>
      </c>
      <c r="D5" s="4" t="n">
        <v>736</v>
      </c>
      <c r="E5" s="1" t="s">
        <v>1950</v>
      </c>
    </row>
    <row r="6" customFormat="false" ht="15" hidden="false" customHeight="true" outlineLevel="0" collapsed="false">
      <c r="A6" s="1" t="n">
        <v>51047</v>
      </c>
      <c r="B6" s="3" t="n">
        <v>44041</v>
      </c>
      <c r="C6" s="1" t="n">
        <v>1409</v>
      </c>
      <c r="D6" s="4" t="n">
        <v>796</v>
      </c>
      <c r="E6" s="1" t="s">
        <v>1950</v>
      </c>
    </row>
    <row r="7" customFormat="false" ht="15" hidden="false" customHeight="true" outlineLevel="0" collapsed="false">
      <c r="A7" s="1" t="n">
        <v>51715</v>
      </c>
      <c r="B7" s="3" t="n">
        <v>44032</v>
      </c>
      <c r="C7" s="1" t="n">
        <v>756</v>
      </c>
      <c r="D7" s="4" t="n">
        <v>0</v>
      </c>
      <c r="E7" s="1" t="s">
        <v>1949</v>
      </c>
    </row>
    <row r="8" customFormat="false" ht="15" hidden="false" customHeight="true" outlineLevel="0" collapsed="false">
      <c r="A8" s="1" t="n">
        <v>50584</v>
      </c>
      <c r="B8" s="3" t="n">
        <v>43996</v>
      </c>
      <c r="C8" s="1" t="n">
        <v>1158</v>
      </c>
      <c r="D8" s="4" t="n">
        <v>105</v>
      </c>
      <c r="E8" s="1" t="s">
        <v>1950</v>
      </c>
    </row>
    <row r="9" customFormat="false" ht="15" hidden="false" customHeight="true" outlineLevel="0" collapsed="false">
      <c r="A9" s="1" t="n">
        <v>50901</v>
      </c>
      <c r="B9" s="3" t="n">
        <v>44014</v>
      </c>
      <c r="C9" s="1" t="n">
        <v>626</v>
      </c>
      <c r="D9" s="4" t="n">
        <v>0</v>
      </c>
      <c r="E9" s="1" t="s">
        <v>1949</v>
      </c>
    </row>
    <row r="10" customFormat="false" ht="15" hidden="false" customHeight="true" outlineLevel="0" collapsed="false">
      <c r="A10" s="1" t="n">
        <v>51115</v>
      </c>
      <c r="B10" s="3" t="n">
        <v>43999</v>
      </c>
      <c r="C10" s="1" t="n">
        <v>706</v>
      </c>
      <c r="D10" s="4" t="n">
        <v>199</v>
      </c>
      <c r="E10" s="1" t="s">
        <v>1950</v>
      </c>
    </row>
    <row r="11" customFormat="false" ht="15" hidden="false" customHeight="true" outlineLevel="0" collapsed="false">
      <c r="A11" s="1" t="n">
        <v>50963</v>
      </c>
      <c r="B11" s="3" t="n">
        <v>44001</v>
      </c>
      <c r="C11" s="1" t="n">
        <v>1922</v>
      </c>
      <c r="D11" s="4" t="n">
        <v>749</v>
      </c>
      <c r="E11" s="1" t="s">
        <v>1950</v>
      </c>
    </row>
    <row r="12" customFormat="false" ht="15" hidden="false" customHeight="true" outlineLevel="0" collapsed="false">
      <c r="A12" s="1" t="n">
        <v>50096</v>
      </c>
      <c r="B12" s="3" t="n">
        <v>44058</v>
      </c>
      <c r="C12" s="1" t="n">
        <v>1016</v>
      </c>
      <c r="D12" s="4" t="n">
        <v>0</v>
      </c>
      <c r="E12" s="1" t="s">
        <v>1949</v>
      </c>
    </row>
    <row r="13" customFormat="false" ht="15" hidden="false" customHeight="true" outlineLevel="0" collapsed="false">
      <c r="A13" s="1" t="n">
        <v>50203</v>
      </c>
      <c r="B13" s="3" t="n">
        <v>44052</v>
      </c>
      <c r="C13" s="1" t="n">
        <v>1887</v>
      </c>
      <c r="D13" s="4" t="n">
        <v>0</v>
      </c>
      <c r="E13" s="1" t="s">
        <v>1949</v>
      </c>
    </row>
    <row r="14" customFormat="false" ht="15" hidden="false" customHeight="true" outlineLevel="0" collapsed="false">
      <c r="A14" s="1" t="n">
        <v>51255</v>
      </c>
      <c r="B14" s="3" t="n">
        <v>44046</v>
      </c>
      <c r="C14" s="1" t="n">
        <v>39</v>
      </c>
      <c r="D14" s="4" t="n">
        <v>151</v>
      </c>
      <c r="E14" s="1" t="s">
        <v>1950</v>
      </c>
    </row>
    <row r="15" customFormat="false" ht="15" hidden="false" customHeight="true" outlineLevel="0" collapsed="false">
      <c r="A15" s="1" t="n">
        <v>51904</v>
      </c>
      <c r="B15" s="3" t="n">
        <v>44003</v>
      </c>
      <c r="C15" s="1" t="n">
        <v>738</v>
      </c>
      <c r="D15" s="4" t="n">
        <v>199</v>
      </c>
      <c r="E15" s="1" t="s">
        <v>1950</v>
      </c>
    </row>
    <row r="16" customFormat="false" ht="15" hidden="false" customHeight="true" outlineLevel="0" collapsed="false">
      <c r="A16" s="1" t="n">
        <v>51058</v>
      </c>
      <c r="B16" s="3" t="n">
        <v>43993</v>
      </c>
      <c r="C16" s="1" t="n">
        <v>1254</v>
      </c>
      <c r="D16" s="4" t="n">
        <v>765</v>
      </c>
      <c r="E16" s="1" t="s">
        <v>1950</v>
      </c>
    </row>
    <row r="17" customFormat="false" ht="15" hidden="false" customHeight="true" outlineLevel="0" collapsed="false">
      <c r="A17" s="1" t="n">
        <v>51858</v>
      </c>
      <c r="B17" s="3" t="n">
        <v>44070</v>
      </c>
      <c r="C17" s="1" t="n">
        <v>102</v>
      </c>
      <c r="D17" s="4" t="n">
        <v>0</v>
      </c>
      <c r="E17" s="1" t="s">
        <v>1949</v>
      </c>
    </row>
    <row r="18" customFormat="false" ht="15" hidden="false" customHeight="true" outlineLevel="0" collapsed="false">
      <c r="A18" s="1" t="n">
        <v>50954</v>
      </c>
      <c r="B18" s="3" t="n">
        <v>43993</v>
      </c>
      <c r="C18" s="1" t="n">
        <v>479</v>
      </c>
      <c r="D18" s="4" t="n">
        <v>0</v>
      </c>
      <c r="E18" s="1" t="s">
        <v>1949</v>
      </c>
    </row>
    <row r="19" customFormat="false" ht="15" hidden="false" customHeight="true" outlineLevel="0" collapsed="false">
      <c r="A19" s="1" t="n">
        <v>50906</v>
      </c>
      <c r="B19" s="3" t="n">
        <v>44001</v>
      </c>
      <c r="C19" s="1" t="n">
        <v>1142</v>
      </c>
      <c r="D19" s="4" t="n">
        <v>0</v>
      </c>
      <c r="E19" s="1" t="s">
        <v>1949</v>
      </c>
    </row>
    <row r="20" customFormat="false" ht="15" hidden="false" customHeight="true" outlineLevel="0" collapsed="false">
      <c r="A20" s="1" t="n">
        <v>51685</v>
      </c>
      <c r="B20" s="3" t="n">
        <v>44062</v>
      </c>
      <c r="C20" s="1" t="n">
        <v>219</v>
      </c>
      <c r="D20" s="4" t="n">
        <v>0</v>
      </c>
      <c r="E20" s="1" t="s">
        <v>1949</v>
      </c>
    </row>
    <row r="21" customFormat="false" ht="15" hidden="false" customHeight="true" outlineLevel="0" collapsed="false">
      <c r="A21" s="1" t="n">
        <v>51140</v>
      </c>
      <c r="B21" s="3" t="n">
        <v>43984</v>
      </c>
      <c r="C21" s="1" t="n">
        <v>1914</v>
      </c>
      <c r="D21" s="4" t="n">
        <v>0</v>
      </c>
      <c r="E21" s="1" t="s">
        <v>1949</v>
      </c>
    </row>
    <row r="22" customFormat="false" ht="15" hidden="false" customHeight="true" outlineLevel="0" collapsed="false">
      <c r="A22" s="1" t="n">
        <v>50395</v>
      </c>
      <c r="B22" s="3" t="n">
        <v>44031</v>
      </c>
      <c r="C22" s="1" t="n">
        <v>1364</v>
      </c>
      <c r="D22" s="4" t="n">
        <v>563</v>
      </c>
      <c r="E22" s="1" t="s">
        <v>1950</v>
      </c>
    </row>
    <row r="23" customFormat="false" ht="15" hidden="false" customHeight="true" outlineLevel="0" collapsed="false">
      <c r="A23" s="1" t="n">
        <v>50651</v>
      </c>
      <c r="B23" s="3" t="n">
        <v>44049</v>
      </c>
      <c r="C23" s="1" t="n">
        <v>1229</v>
      </c>
      <c r="D23" s="4" t="n">
        <v>0</v>
      </c>
      <c r="E23" s="1" t="s">
        <v>1949</v>
      </c>
    </row>
    <row r="24" customFormat="false" ht="15" hidden="false" customHeight="true" outlineLevel="0" collapsed="false">
      <c r="A24" s="1" t="n">
        <v>51260</v>
      </c>
      <c r="B24" s="3" t="n">
        <v>44006</v>
      </c>
      <c r="C24" s="1" t="n">
        <v>872</v>
      </c>
      <c r="D24" s="4" t="n">
        <v>693</v>
      </c>
      <c r="E24" s="1" t="s">
        <v>1950</v>
      </c>
    </row>
    <row r="25" customFormat="false" ht="15" hidden="false" customHeight="true" outlineLevel="0" collapsed="false">
      <c r="A25" s="1" t="n">
        <v>50533</v>
      </c>
      <c r="B25" s="3" t="n">
        <v>44011</v>
      </c>
      <c r="C25" s="1" t="n">
        <v>634</v>
      </c>
      <c r="D25" s="4" t="n">
        <v>630</v>
      </c>
      <c r="E25" s="1" t="s">
        <v>1950</v>
      </c>
    </row>
    <row r="26" customFormat="false" ht="15" hidden="false" customHeight="true" outlineLevel="0" collapsed="false">
      <c r="A26" s="1" t="n">
        <v>50686</v>
      </c>
      <c r="B26" s="3" t="n">
        <v>44048</v>
      </c>
      <c r="C26" s="1" t="n">
        <v>439</v>
      </c>
      <c r="D26" s="4" t="n">
        <v>0</v>
      </c>
      <c r="E26" s="1" t="s">
        <v>1949</v>
      </c>
    </row>
    <row r="27" customFormat="false" ht="15" hidden="false" customHeight="true" outlineLevel="0" collapsed="false">
      <c r="A27" s="1" t="n">
        <v>51579</v>
      </c>
      <c r="B27" s="3" t="n">
        <v>44038</v>
      </c>
      <c r="C27" s="1" t="n">
        <v>333</v>
      </c>
      <c r="D27" s="4" t="n">
        <v>357</v>
      </c>
      <c r="E27" s="1" t="s">
        <v>1950</v>
      </c>
    </row>
    <row r="28" customFormat="false" ht="15" hidden="false" customHeight="true" outlineLevel="0" collapsed="false">
      <c r="A28" s="1" t="n">
        <v>50944</v>
      </c>
      <c r="B28" s="3" t="n">
        <v>44059</v>
      </c>
      <c r="C28" s="1" t="n">
        <v>1340</v>
      </c>
      <c r="D28" s="4" t="n">
        <v>0</v>
      </c>
      <c r="E28" s="1" t="s">
        <v>1949</v>
      </c>
    </row>
    <row r="29" customFormat="false" ht="15" hidden="false" customHeight="true" outlineLevel="0" collapsed="false">
      <c r="A29" s="1" t="n">
        <v>50556</v>
      </c>
      <c r="B29" s="3" t="n">
        <v>44055</v>
      </c>
      <c r="C29" s="1" t="n">
        <v>1318</v>
      </c>
      <c r="D29" s="4" t="n">
        <v>0</v>
      </c>
      <c r="E29" s="1" t="s">
        <v>1949</v>
      </c>
    </row>
    <row r="30" customFormat="false" ht="15" hidden="false" customHeight="true" outlineLevel="0" collapsed="false">
      <c r="A30" s="1" t="n">
        <v>51134</v>
      </c>
      <c r="B30" s="3" t="n">
        <v>44038</v>
      </c>
      <c r="C30" s="1" t="n">
        <v>108</v>
      </c>
      <c r="D30" s="4" t="n">
        <v>0</v>
      </c>
      <c r="E30" s="1" t="s">
        <v>1949</v>
      </c>
    </row>
    <row r="31" customFormat="false" ht="15" hidden="false" customHeight="true" outlineLevel="0" collapsed="false">
      <c r="A31" s="1" t="n">
        <v>51045</v>
      </c>
      <c r="B31" s="3" t="n">
        <v>44029</v>
      </c>
      <c r="C31" s="1" t="n">
        <v>182</v>
      </c>
      <c r="D31" s="4" t="n">
        <v>454</v>
      </c>
      <c r="E31" s="1" t="s">
        <v>1950</v>
      </c>
    </row>
    <row r="32" customFormat="false" ht="15" hidden="false" customHeight="true" outlineLevel="0" collapsed="false">
      <c r="A32" s="1" t="n">
        <v>51167</v>
      </c>
      <c r="B32" s="3" t="n">
        <v>44032</v>
      </c>
      <c r="C32" s="1" t="n">
        <v>1571</v>
      </c>
      <c r="D32" s="4" t="n">
        <v>408</v>
      </c>
      <c r="E32" s="1" t="s">
        <v>1950</v>
      </c>
    </row>
    <row r="33" customFormat="false" ht="15" hidden="false" customHeight="true" outlineLevel="0" collapsed="false">
      <c r="A33" s="1" t="n">
        <v>51468</v>
      </c>
      <c r="B33" s="3" t="n">
        <v>44066</v>
      </c>
      <c r="C33" s="1" t="n">
        <v>1227</v>
      </c>
      <c r="D33" s="4" t="n">
        <v>107</v>
      </c>
      <c r="E33" s="1" t="s">
        <v>1950</v>
      </c>
    </row>
    <row r="34" customFormat="false" ht="15" hidden="false" customHeight="true" outlineLevel="0" collapsed="false">
      <c r="A34" s="1" t="n">
        <v>51933</v>
      </c>
      <c r="B34" s="3" t="n">
        <v>44048</v>
      </c>
      <c r="C34" s="1" t="n">
        <v>1951</v>
      </c>
      <c r="D34" s="4" t="n">
        <v>0</v>
      </c>
      <c r="E34" s="1" t="s">
        <v>1949</v>
      </c>
    </row>
    <row r="35" customFormat="false" ht="15" hidden="false" customHeight="true" outlineLevel="0" collapsed="false">
      <c r="A35" s="1" t="n">
        <v>50284</v>
      </c>
      <c r="B35" s="3" t="n">
        <v>44055</v>
      </c>
      <c r="C35" s="1" t="n">
        <v>1651</v>
      </c>
      <c r="D35" s="4" t="n">
        <v>320</v>
      </c>
      <c r="E35" s="1" t="s">
        <v>1950</v>
      </c>
    </row>
    <row r="36" customFormat="false" ht="15" hidden="false" customHeight="true" outlineLevel="0" collapsed="false">
      <c r="A36" s="1" t="n">
        <v>50591</v>
      </c>
      <c r="B36" s="3" t="n">
        <v>43993</v>
      </c>
      <c r="C36" s="1" t="n">
        <v>1691</v>
      </c>
      <c r="D36" s="4" t="n">
        <v>207</v>
      </c>
      <c r="E36" s="1" t="s">
        <v>1950</v>
      </c>
    </row>
    <row r="37" customFormat="false" ht="15" hidden="false" customHeight="true" outlineLevel="0" collapsed="false">
      <c r="A37" s="1" t="n">
        <v>51675</v>
      </c>
      <c r="B37" s="3" t="n">
        <v>43986</v>
      </c>
      <c r="C37" s="1" t="n">
        <v>897</v>
      </c>
      <c r="D37" s="4" t="n">
        <v>299</v>
      </c>
      <c r="E37" s="1" t="s">
        <v>1950</v>
      </c>
    </row>
    <row r="38" customFormat="false" ht="15" hidden="false" customHeight="true" outlineLevel="0" collapsed="false">
      <c r="A38" s="1" t="n">
        <v>51513</v>
      </c>
      <c r="B38" s="3" t="n">
        <v>44035</v>
      </c>
      <c r="C38" s="1" t="n">
        <v>1097</v>
      </c>
      <c r="D38" s="4" t="n">
        <v>770</v>
      </c>
      <c r="E38" s="1" t="s">
        <v>1950</v>
      </c>
    </row>
    <row r="39" customFormat="false" ht="15" hidden="false" customHeight="true" outlineLevel="0" collapsed="false">
      <c r="A39" s="1" t="n">
        <v>51730</v>
      </c>
      <c r="B39" s="3" t="n">
        <v>44002</v>
      </c>
      <c r="C39" s="1" t="n">
        <v>1594</v>
      </c>
      <c r="D39" s="4" t="n">
        <v>881</v>
      </c>
      <c r="E39" s="1" t="s">
        <v>1950</v>
      </c>
    </row>
    <row r="40" customFormat="false" ht="15" hidden="false" customHeight="true" outlineLevel="0" collapsed="false">
      <c r="A40" s="1" t="n">
        <v>51331</v>
      </c>
      <c r="B40" s="3" t="n">
        <v>44065</v>
      </c>
      <c r="C40" s="1" t="n">
        <v>30</v>
      </c>
      <c r="D40" s="4" t="n">
        <v>0</v>
      </c>
      <c r="E40" s="1" t="s">
        <v>1949</v>
      </c>
    </row>
    <row r="41" customFormat="false" ht="15" hidden="false" customHeight="true" outlineLevel="0" collapsed="false">
      <c r="A41" s="1" t="n">
        <v>51882</v>
      </c>
      <c r="B41" s="3" t="n">
        <v>44003</v>
      </c>
      <c r="C41" s="1" t="n">
        <v>361</v>
      </c>
      <c r="D41" s="4" t="n">
        <v>0</v>
      </c>
      <c r="E41" s="1" t="s">
        <v>1949</v>
      </c>
    </row>
    <row r="42" customFormat="false" ht="15" hidden="false" customHeight="true" outlineLevel="0" collapsed="false">
      <c r="A42" s="1" t="n">
        <v>51519</v>
      </c>
      <c r="B42" s="3" t="n">
        <v>44062</v>
      </c>
      <c r="C42" s="1" t="n">
        <v>854</v>
      </c>
      <c r="D42" s="4" t="n">
        <v>109</v>
      </c>
      <c r="E42" s="1" t="s">
        <v>1950</v>
      </c>
    </row>
    <row r="43" customFormat="false" ht="15" hidden="false" customHeight="true" outlineLevel="0" collapsed="false">
      <c r="A43" s="1" t="n">
        <v>50766</v>
      </c>
      <c r="B43" s="3" t="n">
        <v>44017</v>
      </c>
      <c r="C43" s="1" t="n">
        <v>1095</v>
      </c>
      <c r="D43" s="4" t="n">
        <v>0</v>
      </c>
      <c r="E43" s="1" t="s">
        <v>1949</v>
      </c>
    </row>
    <row r="44" customFormat="false" ht="15" hidden="false" customHeight="true" outlineLevel="0" collapsed="false">
      <c r="A44" s="1" t="n">
        <v>51588</v>
      </c>
      <c r="B44" s="3" t="n">
        <v>44044</v>
      </c>
      <c r="C44" s="1" t="n">
        <v>798</v>
      </c>
      <c r="D44" s="4" t="n">
        <v>427</v>
      </c>
      <c r="E44" s="1" t="s">
        <v>1950</v>
      </c>
    </row>
    <row r="45" customFormat="false" ht="15" hidden="false" customHeight="true" outlineLevel="0" collapsed="false">
      <c r="A45" s="1" t="n">
        <v>51929</v>
      </c>
      <c r="B45" s="3" t="n">
        <v>44050</v>
      </c>
      <c r="C45" s="1" t="n">
        <v>1274</v>
      </c>
      <c r="D45" s="4" t="n">
        <v>192</v>
      </c>
      <c r="E45" s="1" t="s">
        <v>1950</v>
      </c>
    </row>
    <row r="46" customFormat="false" ht="15" hidden="false" customHeight="true" outlineLevel="0" collapsed="false">
      <c r="A46" s="1" t="n">
        <v>50428</v>
      </c>
      <c r="B46" s="3" t="n">
        <v>44047</v>
      </c>
      <c r="C46" s="1" t="n">
        <v>1558</v>
      </c>
      <c r="D46" s="4" t="n">
        <v>193</v>
      </c>
      <c r="E46" s="1" t="s">
        <v>1950</v>
      </c>
    </row>
    <row r="47" customFormat="false" ht="15" hidden="false" customHeight="true" outlineLevel="0" collapsed="false">
      <c r="A47" s="1" t="n">
        <v>50459</v>
      </c>
      <c r="B47" s="3" t="n">
        <v>44051</v>
      </c>
      <c r="C47" s="1" t="n">
        <v>1953</v>
      </c>
      <c r="D47" s="4" t="n">
        <v>0</v>
      </c>
      <c r="E47" s="1" t="s">
        <v>1949</v>
      </c>
    </row>
    <row r="48" customFormat="false" ht="15" hidden="false" customHeight="true" outlineLevel="0" collapsed="false">
      <c r="A48" s="1" t="n">
        <v>51899</v>
      </c>
      <c r="B48" s="3" t="n">
        <v>44043</v>
      </c>
      <c r="C48" s="1" t="n">
        <v>1637</v>
      </c>
      <c r="D48" s="4" t="n">
        <v>0</v>
      </c>
      <c r="E48" s="1" t="s">
        <v>1949</v>
      </c>
    </row>
    <row r="49" customFormat="false" ht="15" hidden="false" customHeight="true" outlineLevel="0" collapsed="false">
      <c r="A49" s="1" t="n">
        <v>50037</v>
      </c>
      <c r="B49" s="3" t="n">
        <v>44035</v>
      </c>
      <c r="C49" s="1" t="n">
        <v>1093</v>
      </c>
      <c r="D49" s="4" t="n">
        <v>541</v>
      </c>
      <c r="E49" s="1" t="s">
        <v>1950</v>
      </c>
    </row>
    <row r="50" customFormat="false" ht="15" hidden="false" customHeight="true" outlineLevel="0" collapsed="false">
      <c r="A50" s="1" t="n">
        <v>50855</v>
      </c>
      <c r="B50" s="3" t="n">
        <v>43999</v>
      </c>
      <c r="C50" s="1" t="n">
        <v>785</v>
      </c>
      <c r="D50" s="4" t="n">
        <v>605</v>
      </c>
      <c r="E50" s="1" t="s">
        <v>1950</v>
      </c>
    </row>
    <row r="51" customFormat="false" ht="15" hidden="false" customHeight="true" outlineLevel="0" collapsed="false">
      <c r="A51" s="1" t="n">
        <v>50979</v>
      </c>
      <c r="B51" s="3" t="n">
        <v>44005</v>
      </c>
      <c r="C51" s="1" t="n">
        <v>871</v>
      </c>
      <c r="D51" s="4" t="n">
        <v>445</v>
      </c>
      <c r="E51" s="1" t="s">
        <v>1950</v>
      </c>
    </row>
    <row r="52" customFormat="false" ht="15" hidden="false" customHeight="true" outlineLevel="0" collapsed="false">
      <c r="A52" s="1" t="n">
        <v>50719</v>
      </c>
      <c r="B52" s="3" t="n">
        <v>44067</v>
      </c>
      <c r="C52" s="1" t="n">
        <v>130</v>
      </c>
      <c r="D52" s="4" t="n">
        <v>259</v>
      </c>
      <c r="E52" s="1" t="s">
        <v>1950</v>
      </c>
    </row>
    <row r="53" customFormat="false" ht="15" hidden="false" customHeight="true" outlineLevel="0" collapsed="false">
      <c r="A53" s="1" t="n">
        <v>50661</v>
      </c>
      <c r="B53" s="3" t="n">
        <v>44016</v>
      </c>
      <c r="C53" s="1" t="n">
        <v>1180</v>
      </c>
      <c r="D53" s="4" t="n">
        <v>840</v>
      </c>
      <c r="E53" s="1" t="s">
        <v>1950</v>
      </c>
    </row>
    <row r="54" customFormat="false" ht="15" hidden="false" customHeight="true" outlineLevel="0" collapsed="false">
      <c r="A54" s="1" t="n">
        <v>50688</v>
      </c>
      <c r="B54" s="3" t="n">
        <v>44056</v>
      </c>
      <c r="C54" s="1" t="n">
        <v>1956</v>
      </c>
      <c r="D54" s="4" t="n">
        <v>606</v>
      </c>
      <c r="E54" s="1" t="s">
        <v>1950</v>
      </c>
    </row>
    <row r="55" customFormat="false" ht="15" hidden="false" customHeight="true" outlineLevel="0" collapsed="false">
      <c r="A55" s="1" t="n">
        <v>50072</v>
      </c>
      <c r="B55" s="3" t="n">
        <v>44030</v>
      </c>
      <c r="C55" s="1" t="n">
        <v>1563</v>
      </c>
      <c r="D55" s="4" t="n">
        <v>225</v>
      </c>
      <c r="E55" s="1" t="s">
        <v>1950</v>
      </c>
    </row>
    <row r="56" customFormat="false" ht="15" hidden="false" customHeight="true" outlineLevel="0" collapsed="false">
      <c r="A56" s="1" t="n">
        <v>51003</v>
      </c>
      <c r="B56" s="3" t="n">
        <v>43990</v>
      </c>
      <c r="C56" s="1" t="n">
        <v>622</v>
      </c>
      <c r="D56" s="4" t="n">
        <v>0</v>
      </c>
      <c r="E56" s="1" t="s">
        <v>1949</v>
      </c>
    </row>
    <row r="57" customFormat="false" ht="15" hidden="false" customHeight="true" outlineLevel="0" collapsed="false">
      <c r="A57" s="1" t="n">
        <v>51191</v>
      </c>
      <c r="B57" s="3" t="n">
        <v>44050</v>
      </c>
      <c r="C57" s="1" t="n">
        <v>511</v>
      </c>
      <c r="D57" s="4" t="n">
        <v>0</v>
      </c>
      <c r="E57" s="1" t="s">
        <v>1949</v>
      </c>
    </row>
    <row r="58" customFormat="false" ht="15" hidden="false" customHeight="true" outlineLevel="0" collapsed="false">
      <c r="A58" s="1" t="n">
        <v>50659</v>
      </c>
      <c r="B58" s="3" t="n">
        <v>43992</v>
      </c>
      <c r="C58" s="1" t="n">
        <v>391</v>
      </c>
      <c r="D58" s="4" t="n">
        <v>308</v>
      </c>
      <c r="E58" s="1" t="s">
        <v>1950</v>
      </c>
    </row>
    <row r="59" customFormat="false" ht="15" hidden="false" customHeight="true" outlineLevel="0" collapsed="false">
      <c r="A59" s="1" t="n">
        <v>50035</v>
      </c>
      <c r="B59" s="3" t="n">
        <v>44023</v>
      </c>
      <c r="C59" s="1" t="n">
        <v>1222</v>
      </c>
      <c r="D59" s="4" t="n">
        <v>135</v>
      </c>
      <c r="E59" s="1" t="s">
        <v>1950</v>
      </c>
    </row>
    <row r="60" customFormat="false" ht="15" hidden="false" customHeight="true" outlineLevel="0" collapsed="false">
      <c r="A60" s="1" t="n">
        <v>51911</v>
      </c>
      <c r="B60" s="3" t="n">
        <v>44041</v>
      </c>
      <c r="C60" s="1" t="n">
        <v>1489</v>
      </c>
      <c r="D60" s="4" t="n">
        <v>395</v>
      </c>
      <c r="E60" s="1" t="s">
        <v>1950</v>
      </c>
    </row>
    <row r="61" customFormat="false" ht="15" hidden="false" customHeight="true" outlineLevel="0" collapsed="false">
      <c r="A61" s="1" t="n">
        <v>50742</v>
      </c>
      <c r="B61" s="3" t="n">
        <v>44038</v>
      </c>
      <c r="C61" s="1" t="n">
        <v>1974</v>
      </c>
      <c r="D61" s="4" t="n">
        <v>737</v>
      </c>
      <c r="E61" s="1" t="s">
        <v>1950</v>
      </c>
    </row>
    <row r="62" customFormat="false" ht="15" hidden="false" customHeight="true" outlineLevel="0" collapsed="false">
      <c r="A62" s="1" t="n">
        <v>51152</v>
      </c>
      <c r="B62" s="3" t="n">
        <v>43989</v>
      </c>
      <c r="C62" s="1" t="n">
        <v>440</v>
      </c>
      <c r="D62" s="4" t="n">
        <v>0</v>
      </c>
      <c r="E62" s="1" t="s">
        <v>1949</v>
      </c>
    </row>
    <row r="63" customFormat="false" ht="15" hidden="false" customHeight="true" outlineLevel="0" collapsed="false">
      <c r="A63" s="1" t="n">
        <v>51816</v>
      </c>
      <c r="B63" s="3" t="n">
        <v>43988</v>
      </c>
      <c r="C63" s="1" t="n">
        <v>542</v>
      </c>
      <c r="D63" s="4" t="n">
        <v>617</v>
      </c>
      <c r="E63" s="1" t="s">
        <v>1950</v>
      </c>
    </row>
    <row r="64" customFormat="false" ht="15" hidden="false" customHeight="true" outlineLevel="0" collapsed="false">
      <c r="A64" s="1" t="n">
        <v>51521</v>
      </c>
      <c r="B64" s="3" t="n">
        <v>44034</v>
      </c>
      <c r="C64" s="1" t="n">
        <v>1188</v>
      </c>
      <c r="D64" s="4" t="n">
        <v>681</v>
      </c>
      <c r="E64" s="1" t="s">
        <v>1950</v>
      </c>
    </row>
    <row r="65" customFormat="false" ht="15" hidden="false" customHeight="true" outlineLevel="0" collapsed="false">
      <c r="A65" s="1" t="n">
        <v>50226</v>
      </c>
      <c r="B65" s="3" t="n">
        <v>43999</v>
      </c>
      <c r="C65" s="1" t="n">
        <v>337</v>
      </c>
      <c r="D65" s="4" t="n">
        <v>779</v>
      </c>
      <c r="E65" s="1" t="s">
        <v>1950</v>
      </c>
    </row>
    <row r="66" customFormat="false" ht="15" hidden="false" customHeight="true" outlineLevel="0" collapsed="false">
      <c r="A66" s="1" t="n">
        <v>50898</v>
      </c>
      <c r="B66" s="3" t="n">
        <v>44061</v>
      </c>
      <c r="C66" s="1" t="n">
        <v>712</v>
      </c>
      <c r="D66" s="4" t="n">
        <v>673</v>
      </c>
      <c r="E66" s="1" t="s">
        <v>1950</v>
      </c>
    </row>
    <row r="67" customFormat="false" ht="15" hidden="false" customHeight="true" outlineLevel="0" collapsed="false">
      <c r="A67" s="1" t="n">
        <v>50976</v>
      </c>
      <c r="B67" s="3" t="n">
        <v>43983</v>
      </c>
      <c r="C67" s="1" t="n">
        <v>1585</v>
      </c>
      <c r="D67" s="4" t="n">
        <v>0</v>
      </c>
      <c r="E67" s="1" t="s">
        <v>1949</v>
      </c>
    </row>
    <row r="68" customFormat="false" ht="15" hidden="false" customHeight="true" outlineLevel="0" collapsed="false">
      <c r="A68" s="1" t="n">
        <v>51282</v>
      </c>
      <c r="B68" s="3" t="n">
        <v>44048</v>
      </c>
      <c r="C68" s="1" t="n">
        <v>1482</v>
      </c>
      <c r="D68" s="4" t="n">
        <v>0</v>
      </c>
      <c r="E68" s="1" t="s">
        <v>1949</v>
      </c>
    </row>
    <row r="69" customFormat="false" ht="15" hidden="false" customHeight="true" outlineLevel="0" collapsed="false">
      <c r="A69" s="1" t="n">
        <v>50936</v>
      </c>
      <c r="B69" s="3" t="n">
        <v>44052</v>
      </c>
      <c r="C69" s="1" t="n">
        <v>228</v>
      </c>
      <c r="D69" s="4" t="n">
        <v>0</v>
      </c>
      <c r="E69" s="1" t="s">
        <v>1949</v>
      </c>
    </row>
    <row r="70" customFormat="false" ht="15" hidden="false" customHeight="true" outlineLevel="0" collapsed="false">
      <c r="A70" s="1" t="n">
        <v>51565</v>
      </c>
      <c r="B70" s="3" t="n">
        <v>44058</v>
      </c>
      <c r="C70" s="1" t="n">
        <v>279</v>
      </c>
      <c r="D70" s="4" t="n">
        <v>857</v>
      </c>
      <c r="E70" s="1" t="s">
        <v>1950</v>
      </c>
    </row>
    <row r="71" customFormat="false" ht="15" hidden="false" customHeight="true" outlineLevel="0" collapsed="false">
      <c r="A71" s="1" t="n">
        <v>51459</v>
      </c>
      <c r="B71" s="3" t="n">
        <v>44052</v>
      </c>
      <c r="C71" s="1" t="n">
        <v>1816</v>
      </c>
      <c r="D71" s="4" t="n">
        <v>166</v>
      </c>
      <c r="E71" s="1" t="s">
        <v>1950</v>
      </c>
    </row>
    <row r="72" customFormat="false" ht="15" hidden="false" customHeight="true" outlineLevel="0" collapsed="false">
      <c r="A72" s="1" t="n">
        <v>51624</v>
      </c>
      <c r="B72" s="3" t="n">
        <v>44001</v>
      </c>
      <c r="C72" s="1" t="n">
        <v>1522</v>
      </c>
      <c r="D72" s="4" t="n">
        <v>722</v>
      </c>
      <c r="E72" s="1" t="s">
        <v>1950</v>
      </c>
    </row>
    <row r="73" customFormat="false" ht="15" hidden="false" customHeight="true" outlineLevel="0" collapsed="false">
      <c r="A73" s="1" t="n">
        <v>50836</v>
      </c>
      <c r="B73" s="3" t="n">
        <v>44003</v>
      </c>
      <c r="C73" s="1" t="n">
        <v>676</v>
      </c>
      <c r="D73" s="4" t="n">
        <v>436</v>
      </c>
      <c r="E73" s="1" t="s">
        <v>1950</v>
      </c>
    </row>
    <row r="74" customFormat="false" ht="15" hidden="false" customHeight="true" outlineLevel="0" collapsed="false">
      <c r="A74" s="1" t="n">
        <v>50412</v>
      </c>
      <c r="B74" s="3" t="n">
        <v>44005</v>
      </c>
      <c r="C74" s="1" t="n">
        <v>306</v>
      </c>
      <c r="D74" s="4" t="n">
        <v>0</v>
      </c>
      <c r="E74" s="1" t="s">
        <v>1949</v>
      </c>
    </row>
    <row r="75" customFormat="false" ht="15" hidden="false" customHeight="true" outlineLevel="0" collapsed="false">
      <c r="A75" s="1" t="n">
        <v>51804</v>
      </c>
      <c r="B75" s="3" t="n">
        <v>44005</v>
      </c>
      <c r="C75" s="1" t="n">
        <v>1250</v>
      </c>
      <c r="D75" s="4" t="n">
        <v>397</v>
      </c>
      <c r="E75" s="1" t="s">
        <v>1950</v>
      </c>
    </row>
    <row r="76" customFormat="false" ht="15" hidden="false" customHeight="true" outlineLevel="0" collapsed="false">
      <c r="A76" s="1" t="n">
        <v>50145</v>
      </c>
      <c r="B76" s="3" t="n">
        <v>44049</v>
      </c>
      <c r="C76" s="1" t="n">
        <v>435</v>
      </c>
      <c r="D76" s="4" t="n">
        <v>0</v>
      </c>
      <c r="E76" s="1" t="s">
        <v>1949</v>
      </c>
    </row>
    <row r="77" customFormat="false" ht="15" hidden="false" customHeight="true" outlineLevel="0" collapsed="false">
      <c r="A77" s="1" t="n">
        <v>51099</v>
      </c>
      <c r="B77" s="3" t="n">
        <v>44069</v>
      </c>
      <c r="C77" s="1" t="n">
        <v>1437</v>
      </c>
      <c r="D77" s="4" t="n">
        <v>0</v>
      </c>
      <c r="E77" s="1" t="s">
        <v>1949</v>
      </c>
    </row>
    <row r="78" customFormat="false" ht="15" hidden="false" customHeight="true" outlineLevel="0" collapsed="false">
      <c r="A78" s="1" t="n">
        <v>50325</v>
      </c>
      <c r="B78" s="3" t="n">
        <v>44065</v>
      </c>
      <c r="C78" s="1" t="n">
        <v>480</v>
      </c>
      <c r="D78" s="4" t="n">
        <v>0</v>
      </c>
      <c r="E78" s="1" t="s">
        <v>1949</v>
      </c>
    </row>
    <row r="79" customFormat="false" ht="15" hidden="false" customHeight="true" outlineLevel="0" collapsed="false">
      <c r="A79" s="1" t="n">
        <v>51311</v>
      </c>
      <c r="B79" s="3" t="n">
        <v>44017</v>
      </c>
      <c r="C79" s="1" t="n">
        <v>745</v>
      </c>
      <c r="D79" s="4" t="n">
        <v>405</v>
      </c>
      <c r="E79" s="1" t="s">
        <v>1950</v>
      </c>
    </row>
    <row r="80" customFormat="false" ht="15" hidden="false" customHeight="true" outlineLevel="0" collapsed="false">
      <c r="A80" s="1" t="n">
        <v>50563</v>
      </c>
      <c r="B80" s="3" t="n">
        <v>44048</v>
      </c>
      <c r="C80" s="1" t="n">
        <v>1294</v>
      </c>
      <c r="D80" s="4" t="n">
        <v>123</v>
      </c>
      <c r="E80" s="1" t="s">
        <v>1950</v>
      </c>
    </row>
    <row r="81" customFormat="false" ht="15" hidden="false" customHeight="true" outlineLevel="0" collapsed="false">
      <c r="A81" s="1" t="n">
        <v>50390</v>
      </c>
      <c r="B81" s="3" t="n">
        <v>44037</v>
      </c>
      <c r="C81" s="1" t="n">
        <v>1810</v>
      </c>
      <c r="D81" s="4" t="n">
        <v>481</v>
      </c>
      <c r="E81" s="1" t="s">
        <v>1950</v>
      </c>
    </row>
    <row r="82" customFormat="false" ht="15" hidden="false" customHeight="true" outlineLevel="0" collapsed="false">
      <c r="A82" s="1" t="n">
        <v>51160</v>
      </c>
      <c r="B82" s="3" t="n">
        <v>44044</v>
      </c>
      <c r="C82" s="1" t="n">
        <v>733</v>
      </c>
      <c r="D82" s="4" t="n">
        <v>0</v>
      </c>
      <c r="E82" s="1" t="s">
        <v>1949</v>
      </c>
    </row>
    <row r="83" customFormat="false" ht="15" hidden="false" customHeight="true" outlineLevel="0" collapsed="false">
      <c r="A83" s="1" t="n">
        <v>50278</v>
      </c>
      <c r="B83" s="3" t="n">
        <v>44037</v>
      </c>
      <c r="C83" s="1" t="n">
        <v>800</v>
      </c>
      <c r="D83" s="4" t="n">
        <v>292</v>
      </c>
      <c r="E83" s="1" t="s">
        <v>1950</v>
      </c>
    </row>
    <row r="84" customFormat="false" ht="15" hidden="false" customHeight="true" outlineLevel="0" collapsed="false">
      <c r="A84" s="1" t="n">
        <v>50426</v>
      </c>
      <c r="B84" s="3" t="n">
        <v>43990</v>
      </c>
      <c r="C84" s="1" t="n">
        <v>1083</v>
      </c>
      <c r="D84" s="4" t="n">
        <v>0</v>
      </c>
      <c r="E84" s="1" t="s">
        <v>1949</v>
      </c>
    </row>
    <row r="85" customFormat="false" ht="15" hidden="false" customHeight="true" outlineLevel="0" collapsed="false">
      <c r="A85" s="1" t="n">
        <v>51322</v>
      </c>
      <c r="B85" s="3" t="n">
        <v>44016</v>
      </c>
      <c r="C85" s="1" t="n">
        <v>1538</v>
      </c>
      <c r="D85" s="4" t="n">
        <v>0</v>
      </c>
      <c r="E85" s="1" t="s">
        <v>1949</v>
      </c>
    </row>
    <row r="86" customFormat="false" ht="15" hidden="false" customHeight="true" outlineLevel="0" collapsed="false">
      <c r="A86" s="1" t="n">
        <v>51186</v>
      </c>
      <c r="B86" s="3" t="n">
        <v>43988</v>
      </c>
      <c r="C86" s="1" t="n">
        <v>935</v>
      </c>
      <c r="D86" s="4" t="n">
        <v>684</v>
      </c>
      <c r="E86" s="1" t="s">
        <v>1950</v>
      </c>
    </row>
    <row r="87" customFormat="false" ht="15" hidden="false" customHeight="true" outlineLevel="0" collapsed="false">
      <c r="A87" s="1" t="n">
        <v>50731</v>
      </c>
      <c r="B87" s="3" t="n">
        <v>44030</v>
      </c>
      <c r="C87" s="1" t="n">
        <v>752</v>
      </c>
      <c r="D87" s="4" t="n">
        <v>288</v>
      </c>
      <c r="E87" s="1" t="s">
        <v>1950</v>
      </c>
    </row>
    <row r="88" customFormat="false" ht="15" hidden="false" customHeight="true" outlineLevel="0" collapsed="false">
      <c r="A88" s="1" t="n">
        <v>51193</v>
      </c>
      <c r="B88" s="3" t="n">
        <v>44048</v>
      </c>
      <c r="C88" s="1" t="n">
        <v>718</v>
      </c>
      <c r="D88" s="4" t="n">
        <v>280</v>
      </c>
      <c r="E88" s="1" t="s">
        <v>1950</v>
      </c>
    </row>
    <row r="89" customFormat="false" ht="15" hidden="false" customHeight="true" outlineLevel="0" collapsed="false">
      <c r="A89" s="1" t="n">
        <v>50644</v>
      </c>
      <c r="B89" s="3" t="n">
        <v>43999</v>
      </c>
      <c r="C89" s="1" t="n">
        <v>934</v>
      </c>
      <c r="D89" s="4" t="n">
        <v>0</v>
      </c>
      <c r="E89" s="1" t="s">
        <v>1949</v>
      </c>
    </row>
    <row r="90" customFormat="false" ht="15" hidden="false" customHeight="true" outlineLevel="0" collapsed="false">
      <c r="A90" s="1" t="n">
        <v>51371</v>
      </c>
      <c r="B90" s="3" t="n">
        <v>44017</v>
      </c>
      <c r="C90" s="1" t="n">
        <v>863</v>
      </c>
      <c r="D90" s="4" t="n">
        <v>385</v>
      </c>
      <c r="E90" s="1" t="s">
        <v>1950</v>
      </c>
    </row>
    <row r="91" customFormat="false" ht="15" hidden="false" customHeight="true" outlineLevel="0" collapsed="false">
      <c r="A91" s="1" t="n">
        <v>51116</v>
      </c>
      <c r="B91" s="3" t="n">
        <v>44009</v>
      </c>
      <c r="C91" s="1" t="n">
        <v>1369</v>
      </c>
      <c r="D91" s="4" t="n">
        <v>542</v>
      </c>
      <c r="E91" s="1" t="s">
        <v>1950</v>
      </c>
    </row>
    <row r="92" customFormat="false" ht="15" hidden="false" customHeight="true" outlineLevel="0" collapsed="false">
      <c r="A92" s="1" t="n">
        <v>50045</v>
      </c>
      <c r="B92" s="3" t="n">
        <v>44011</v>
      </c>
      <c r="C92" s="1" t="n">
        <v>726</v>
      </c>
      <c r="D92" s="4" t="n">
        <v>0</v>
      </c>
      <c r="E92" s="1" t="s">
        <v>1949</v>
      </c>
    </row>
    <row r="93" customFormat="false" ht="15" hidden="false" customHeight="true" outlineLevel="0" collapsed="false">
      <c r="A93" s="1" t="n">
        <v>50113</v>
      </c>
      <c r="B93" s="3" t="n">
        <v>44033</v>
      </c>
      <c r="C93" s="1" t="n">
        <v>1688</v>
      </c>
      <c r="D93" s="4" t="n">
        <v>576</v>
      </c>
      <c r="E93" s="1" t="s">
        <v>1950</v>
      </c>
    </row>
    <row r="94" customFormat="false" ht="15" hidden="false" customHeight="true" outlineLevel="0" collapsed="false">
      <c r="A94" s="1" t="n">
        <v>50352</v>
      </c>
      <c r="B94" s="3" t="n">
        <v>43996</v>
      </c>
      <c r="C94" s="1" t="n">
        <v>1945</v>
      </c>
      <c r="D94" s="4" t="n">
        <v>365</v>
      </c>
      <c r="E94" s="1" t="s">
        <v>1950</v>
      </c>
    </row>
    <row r="95" customFormat="false" ht="15" hidden="false" customHeight="true" outlineLevel="0" collapsed="false">
      <c r="A95" s="1" t="n">
        <v>51525</v>
      </c>
      <c r="B95" s="3" t="n">
        <v>44062</v>
      </c>
      <c r="C95" s="1" t="n">
        <v>26</v>
      </c>
      <c r="D95" s="4" t="n">
        <v>596</v>
      </c>
      <c r="E95" s="1" t="s">
        <v>1950</v>
      </c>
    </row>
    <row r="96" customFormat="false" ht="15" hidden="false" customHeight="true" outlineLevel="0" collapsed="false">
      <c r="A96" s="1" t="n">
        <v>51966</v>
      </c>
      <c r="B96" s="3" t="n">
        <v>44058</v>
      </c>
      <c r="C96" s="1" t="n">
        <v>680</v>
      </c>
      <c r="D96" s="4" t="n">
        <v>389</v>
      </c>
      <c r="E96" s="1" t="s">
        <v>1950</v>
      </c>
    </row>
    <row r="97" customFormat="false" ht="15" hidden="false" customHeight="true" outlineLevel="0" collapsed="false">
      <c r="A97" s="1" t="n">
        <v>51439</v>
      </c>
      <c r="B97" s="3" t="n">
        <v>44025</v>
      </c>
      <c r="C97" s="1" t="n">
        <v>812</v>
      </c>
      <c r="D97" s="4" t="n">
        <v>273</v>
      </c>
      <c r="E97" s="1" t="s">
        <v>1950</v>
      </c>
    </row>
    <row r="98" customFormat="false" ht="15" hidden="false" customHeight="true" outlineLevel="0" collapsed="false">
      <c r="A98" s="1" t="n">
        <v>50334</v>
      </c>
      <c r="B98" s="3" t="n">
        <v>43999</v>
      </c>
      <c r="C98" s="1" t="n">
        <v>868</v>
      </c>
      <c r="D98" s="4" t="n">
        <v>660</v>
      </c>
      <c r="E98" s="1" t="s">
        <v>1950</v>
      </c>
    </row>
    <row r="99" customFormat="false" ht="15" hidden="false" customHeight="true" outlineLevel="0" collapsed="false">
      <c r="A99" s="1" t="n">
        <v>50862</v>
      </c>
      <c r="B99" s="3" t="n">
        <v>44038</v>
      </c>
      <c r="C99" s="1" t="n">
        <v>896</v>
      </c>
      <c r="D99" s="4" t="n">
        <v>0</v>
      </c>
      <c r="E99" s="1" t="s">
        <v>1949</v>
      </c>
    </row>
    <row r="100" customFormat="false" ht="15" hidden="false" customHeight="true" outlineLevel="0" collapsed="false">
      <c r="A100" s="1" t="n">
        <v>50013</v>
      </c>
      <c r="B100" s="3" t="n">
        <v>44005</v>
      </c>
      <c r="C100" s="1" t="n">
        <v>1185</v>
      </c>
      <c r="D100" s="4" t="n">
        <v>494</v>
      </c>
      <c r="E100" s="1" t="s">
        <v>1950</v>
      </c>
    </row>
    <row r="101" customFormat="false" ht="15" hidden="false" customHeight="true" outlineLevel="0" collapsed="false">
      <c r="A101" s="1" t="n">
        <v>50192</v>
      </c>
      <c r="B101" s="3" t="n">
        <v>44035</v>
      </c>
      <c r="C101" s="1" t="n">
        <v>545</v>
      </c>
      <c r="D101" s="4" t="n">
        <v>312</v>
      </c>
      <c r="E101" s="1" t="s">
        <v>1950</v>
      </c>
    </row>
    <row r="102" customFormat="false" ht="15" hidden="false" customHeight="true" outlineLevel="0" collapsed="false">
      <c r="A102" s="1" t="n">
        <v>50971</v>
      </c>
      <c r="B102" s="3" t="n">
        <v>44052</v>
      </c>
      <c r="C102" s="1" t="n">
        <v>168</v>
      </c>
      <c r="D102" s="4" t="n">
        <v>518</v>
      </c>
      <c r="E102" s="1" t="s">
        <v>1950</v>
      </c>
    </row>
    <row r="103" customFormat="false" ht="15" hidden="false" customHeight="true" outlineLevel="0" collapsed="false">
      <c r="A103" s="1" t="n">
        <v>51736</v>
      </c>
      <c r="B103" s="3" t="n">
        <v>44000</v>
      </c>
      <c r="C103" s="1" t="n">
        <v>747</v>
      </c>
      <c r="D103" s="4" t="n">
        <v>0</v>
      </c>
      <c r="E103" s="1" t="s">
        <v>1949</v>
      </c>
    </row>
    <row r="104" customFormat="false" ht="15" hidden="false" customHeight="true" outlineLevel="0" collapsed="false">
      <c r="A104" s="1" t="n">
        <v>50660</v>
      </c>
      <c r="B104" s="3" t="n">
        <v>44046</v>
      </c>
      <c r="C104" s="1" t="n">
        <v>698</v>
      </c>
      <c r="D104" s="4" t="n">
        <v>0</v>
      </c>
      <c r="E104" s="1" t="s">
        <v>1949</v>
      </c>
    </row>
    <row r="105" customFormat="false" ht="15" hidden="false" customHeight="true" outlineLevel="0" collapsed="false">
      <c r="A105" s="1" t="n">
        <v>50340</v>
      </c>
      <c r="B105" s="3" t="n">
        <v>44014</v>
      </c>
      <c r="C105" s="1" t="n">
        <v>253</v>
      </c>
      <c r="D105" s="4" t="n">
        <v>696</v>
      </c>
      <c r="E105" s="1" t="s">
        <v>1950</v>
      </c>
    </row>
    <row r="106" customFormat="false" ht="15" hidden="false" customHeight="true" outlineLevel="0" collapsed="false">
      <c r="A106" s="1" t="n">
        <v>50837</v>
      </c>
      <c r="B106" s="3" t="n">
        <v>43987</v>
      </c>
      <c r="C106" s="1" t="n">
        <v>1831</v>
      </c>
      <c r="D106" s="4" t="n">
        <v>0</v>
      </c>
      <c r="E106" s="1" t="s">
        <v>1949</v>
      </c>
    </row>
    <row r="107" customFormat="false" ht="15" hidden="false" customHeight="true" outlineLevel="0" collapsed="false">
      <c r="A107" s="1" t="n">
        <v>51156</v>
      </c>
      <c r="B107" s="3" t="n">
        <v>44054</v>
      </c>
      <c r="C107" s="1" t="n">
        <v>1463</v>
      </c>
      <c r="D107" s="4" t="n">
        <v>365</v>
      </c>
      <c r="E107" s="1" t="s">
        <v>1950</v>
      </c>
    </row>
    <row r="108" customFormat="false" ht="15" hidden="false" customHeight="true" outlineLevel="0" collapsed="false">
      <c r="A108" s="1" t="n">
        <v>51751</v>
      </c>
      <c r="B108" s="3" t="n">
        <v>44009</v>
      </c>
      <c r="C108" s="1" t="n">
        <v>280</v>
      </c>
      <c r="D108" s="4" t="n">
        <v>0</v>
      </c>
      <c r="E108" s="1" t="s">
        <v>1949</v>
      </c>
    </row>
    <row r="109" customFormat="false" ht="15" hidden="false" customHeight="true" outlineLevel="0" collapsed="false">
      <c r="A109" s="1" t="n">
        <v>51204</v>
      </c>
      <c r="B109" s="3" t="n">
        <v>44071</v>
      </c>
      <c r="C109" s="1" t="n">
        <v>1512</v>
      </c>
      <c r="D109" s="4" t="n">
        <v>882</v>
      </c>
      <c r="E109" s="1" t="s">
        <v>1950</v>
      </c>
    </row>
    <row r="110" customFormat="false" ht="15" hidden="false" customHeight="true" outlineLevel="0" collapsed="false">
      <c r="A110" s="1" t="n">
        <v>51470</v>
      </c>
      <c r="B110" s="3" t="n">
        <v>44030</v>
      </c>
      <c r="C110" s="1" t="n">
        <v>1780</v>
      </c>
      <c r="D110" s="4" t="n">
        <v>0</v>
      </c>
      <c r="E110" s="1" t="s">
        <v>1949</v>
      </c>
    </row>
    <row r="111" customFormat="false" ht="15" hidden="false" customHeight="true" outlineLevel="0" collapsed="false">
      <c r="A111" s="1" t="n">
        <v>51639</v>
      </c>
      <c r="B111" s="3" t="n">
        <v>44048</v>
      </c>
      <c r="C111" s="1" t="n">
        <v>819</v>
      </c>
      <c r="D111" s="4" t="n">
        <v>105</v>
      </c>
      <c r="E111" s="1" t="s">
        <v>1950</v>
      </c>
    </row>
    <row r="112" customFormat="false" ht="15" hidden="false" customHeight="true" outlineLevel="0" collapsed="false">
      <c r="A112" s="1" t="n">
        <v>51962</v>
      </c>
      <c r="B112" s="3" t="n">
        <v>43997</v>
      </c>
      <c r="C112" s="1" t="n">
        <v>550</v>
      </c>
      <c r="D112" s="4" t="n">
        <v>0</v>
      </c>
      <c r="E112" s="1" t="s">
        <v>1949</v>
      </c>
    </row>
    <row r="113" customFormat="false" ht="15" hidden="false" customHeight="true" outlineLevel="0" collapsed="false">
      <c r="A113" s="1" t="n">
        <v>51625</v>
      </c>
      <c r="B113" s="3" t="n">
        <v>44071</v>
      </c>
      <c r="C113" s="1" t="n">
        <v>204</v>
      </c>
      <c r="D113" s="4" t="n">
        <v>545</v>
      </c>
      <c r="E113" s="1" t="s">
        <v>1950</v>
      </c>
    </row>
    <row r="114" customFormat="false" ht="15" hidden="false" customHeight="true" outlineLevel="0" collapsed="false">
      <c r="A114" s="1" t="n">
        <v>50535</v>
      </c>
      <c r="B114" s="3" t="n">
        <v>44063</v>
      </c>
      <c r="C114" s="1" t="n">
        <v>1686</v>
      </c>
      <c r="D114" s="4" t="n">
        <v>0</v>
      </c>
      <c r="E114" s="1" t="s">
        <v>1949</v>
      </c>
    </row>
    <row r="115" customFormat="false" ht="15" hidden="false" customHeight="true" outlineLevel="0" collapsed="false">
      <c r="A115" s="1" t="n">
        <v>50697</v>
      </c>
      <c r="B115" s="3" t="n">
        <v>43997</v>
      </c>
      <c r="C115" s="1" t="n">
        <v>749</v>
      </c>
      <c r="D115" s="4" t="n">
        <v>0</v>
      </c>
      <c r="E115" s="1" t="s">
        <v>1949</v>
      </c>
    </row>
    <row r="116" customFormat="false" ht="15" hidden="false" customHeight="true" outlineLevel="0" collapsed="false">
      <c r="A116" s="1" t="n">
        <v>51142</v>
      </c>
      <c r="B116" s="3" t="n">
        <v>44034</v>
      </c>
      <c r="C116" s="1" t="n">
        <v>543</v>
      </c>
      <c r="D116" s="4" t="n">
        <v>0</v>
      </c>
      <c r="E116" s="1" t="s">
        <v>1949</v>
      </c>
    </row>
    <row r="117" customFormat="false" ht="15" hidden="false" customHeight="true" outlineLevel="0" collapsed="false">
      <c r="A117" s="1" t="n">
        <v>51312</v>
      </c>
      <c r="B117" s="3" t="n">
        <v>44041</v>
      </c>
      <c r="C117" s="1" t="n">
        <v>158</v>
      </c>
      <c r="D117" s="4" t="n">
        <v>0</v>
      </c>
      <c r="E117" s="1" t="s">
        <v>1949</v>
      </c>
    </row>
    <row r="118" customFormat="false" ht="15" hidden="false" customHeight="true" outlineLevel="0" collapsed="false">
      <c r="A118" s="1" t="n">
        <v>50070</v>
      </c>
      <c r="B118" s="3" t="n">
        <v>44052</v>
      </c>
      <c r="C118" s="1" t="n">
        <v>1788</v>
      </c>
      <c r="D118" s="4" t="n">
        <v>0</v>
      </c>
      <c r="E118" s="1" t="s">
        <v>1949</v>
      </c>
    </row>
    <row r="119" customFormat="false" ht="15" hidden="false" customHeight="true" outlineLevel="0" collapsed="false">
      <c r="A119" s="1" t="n">
        <v>50510</v>
      </c>
      <c r="B119" s="3" t="n">
        <v>44000</v>
      </c>
      <c r="C119" s="1" t="n">
        <v>1221</v>
      </c>
      <c r="D119" s="4" t="n">
        <v>671</v>
      </c>
      <c r="E119" s="1" t="s">
        <v>1950</v>
      </c>
    </row>
    <row r="120" customFormat="false" ht="15" hidden="false" customHeight="true" outlineLevel="0" collapsed="false">
      <c r="A120" s="1" t="n">
        <v>50506</v>
      </c>
      <c r="B120" s="3" t="n">
        <v>44056</v>
      </c>
      <c r="C120" s="1" t="n">
        <v>848</v>
      </c>
      <c r="D120" s="4" t="n">
        <v>834</v>
      </c>
      <c r="E120" s="1" t="s">
        <v>1950</v>
      </c>
    </row>
    <row r="121" customFormat="false" ht="15" hidden="false" customHeight="true" outlineLevel="0" collapsed="false">
      <c r="A121" s="1" t="n">
        <v>50740</v>
      </c>
      <c r="B121" s="3" t="n">
        <v>44063</v>
      </c>
      <c r="C121" s="1" t="n">
        <v>1118</v>
      </c>
      <c r="D121" s="4" t="n">
        <v>289</v>
      </c>
      <c r="E121" s="1" t="s">
        <v>1950</v>
      </c>
    </row>
    <row r="122" customFormat="false" ht="15" hidden="false" customHeight="true" outlineLevel="0" collapsed="false">
      <c r="A122" s="1" t="n">
        <v>50140</v>
      </c>
      <c r="B122" s="3" t="n">
        <v>44000</v>
      </c>
      <c r="C122" s="1" t="n">
        <v>1990</v>
      </c>
      <c r="D122" s="4" t="n">
        <v>210</v>
      </c>
      <c r="E122" s="1" t="s">
        <v>1950</v>
      </c>
    </row>
    <row r="123" customFormat="false" ht="15" hidden="false" customHeight="true" outlineLevel="0" collapsed="false">
      <c r="A123" s="1" t="n">
        <v>51319</v>
      </c>
      <c r="B123" s="3" t="n">
        <v>44000</v>
      </c>
      <c r="C123" s="1" t="n">
        <v>856</v>
      </c>
      <c r="D123" s="4" t="n">
        <v>0</v>
      </c>
      <c r="E123" s="1" t="s">
        <v>1949</v>
      </c>
    </row>
    <row r="124" customFormat="false" ht="15" hidden="false" customHeight="true" outlineLevel="0" collapsed="false">
      <c r="A124" s="1" t="n">
        <v>51195</v>
      </c>
      <c r="B124" s="3" t="n">
        <v>44017</v>
      </c>
      <c r="C124" s="1" t="n">
        <v>1343</v>
      </c>
      <c r="D124" s="4" t="n">
        <v>0</v>
      </c>
      <c r="E124" s="1" t="s">
        <v>1949</v>
      </c>
    </row>
    <row r="125" customFormat="false" ht="15" hidden="false" customHeight="true" outlineLevel="0" collapsed="false">
      <c r="A125" s="1" t="n">
        <v>51967</v>
      </c>
      <c r="B125" s="3" t="n">
        <v>44005</v>
      </c>
      <c r="C125" s="1" t="n">
        <v>1107</v>
      </c>
      <c r="D125" s="4" t="n">
        <v>656</v>
      </c>
      <c r="E125" s="1" t="s">
        <v>1950</v>
      </c>
    </row>
    <row r="126" customFormat="false" ht="15" hidden="false" customHeight="true" outlineLevel="0" collapsed="false">
      <c r="A126" s="1" t="n">
        <v>50460</v>
      </c>
      <c r="B126" s="3" t="n">
        <v>44063</v>
      </c>
      <c r="C126" s="1" t="n">
        <v>664</v>
      </c>
      <c r="D126" s="4" t="n">
        <v>0</v>
      </c>
      <c r="E126" s="1" t="s">
        <v>1949</v>
      </c>
    </row>
    <row r="127" customFormat="false" ht="15" hidden="false" customHeight="true" outlineLevel="0" collapsed="false">
      <c r="A127" s="1" t="n">
        <v>51719</v>
      </c>
      <c r="B127" s="3" t="n">
        <v>44007</v>
      </c>
      <c r="C127" s="1" t="n">
        <v>115</v>
      </c>
      <c r="D127" s="4" t="n">
        <v>831</v>
      </c>
      <c r="E127" s="1" t="s">
        <v>1950</v>
      </c>
    </row>
    <row r="128" customFormat="false" ht="15" hidden="false" customHeight="true" outlineLevel="0" collapsed="false">
      <c r="A128" s="1" t="n">
        <v>51390</v>
      </c>
      <c r="B128" s="3" t="n">
        <v>44061</v>
      </c>
      <c r="C128" s="1" t="n">
        <v>1991</v>
      </c>
      <c r="D128" s="4" t="n">
        <v>0</v>
      </c>
      <c r="E128" s="1" t="s">
        <v>1949</v>
      </c>
    </row>
    <row r="129" customFormat="false" ht="15" hidden="false" customHeight="true" outlineLevel="0" collapsed="false">
      <c r="A129" s="1" t="n">
        <v>51300</v>
      </c>
      <c r="B129" s="3" t="n">
        <v>44035</v>
      </c>
      <c r="C129" s="1" t="n">
        <v>797</v>
      </c>
      <c r="D129" s="4" t="n">
        <v>0</v>
      </c>
      <c r="E129" s="1" t="s">
        <v>1949</v>
      </c>
    </row>
    <row r="130" customFormat="false" ht="15" hidden="false" customHeight="true" outlineLevel="0" collapsed="false">
      <c r="A130" s="1" t="n">
        <v>51096</v>
      </c>
      <c r="B130" s="3" t="n">
        <v>44023</v>
      </c>
      <c r="C130" s="1" t="n">
        <v>1589</v>
      </c>
      <c r="D130" s="4" t="n">
        <v>0</v>
      </c>
      <c r="E130" s="1" t="s">
        <v>1949</v>
      </c>
    </row>
    <row r="131" customFormat="false" ht="15" hidden="false" customHeight="true" outlineLevel="0" collapsed="false">
      <c r="A131" s="1" t="n">
        <v>51745</v>
      </c>
      <c r="B131" s="3" t="n">
        <v>44013</v>
      </c>
      <c r="C131" s="1" t="n">
        <v>910</v>
      </c>
      <c r="D131" s="4" t="n">
        <v>114</v>
      </c>
      <c r="E131" s="1" t="s">
        <v>1950</v>
      </c>
    </row>
    <row r="132" customFormat="false" ht="15" hidden="false" customHeight="true" outlineLevel="0" collapsed="false">
      <c r="A132" s="1" t="n">
        <v>51522</v>
      </c>
      <c r="B132" s="3" t="n">
        <v>44024</v>
      </c>
      <c r="C132" s="1" t="n">
        <v>282</v>
      </c>
      <c r="D132" s="4" t="n">
        <v>0</v>
      </c>
      <c r="E132" s="1" t="s">
        <v>1949</v>
      </c>
    </row>
    <row r="133" customFormat="false" ht="15" hidden="false" customHeight="true" outlineLevel="0" collapsed="false">
      <c r="A133" s="1" t="n">
        <v>50149</v>
      </c>
      <c r="B133" s="3" t="n">
        <v>44012</v>
      </c>
      <c r="C133" s="1" t="n">
        <v>1170</v>
      </c>
      <c r="D133" s="4" t="n">
        <v>348</v>
      </c>
      <c r="E133" s="1" t="s">
        <v>1950</v>
      </c>
    </row>
    <row r="134" customFormat="false" ht="15" hidden="false" customHeight="true" outlineLevel="0" collapsed="false">
      <c r="A134" s="1" t="n">
        <v>50824</v>
      </c>
      <c r="B134" s="3" t="n">
        <v>44010</v>
      </c>
      <c r="C134" s="1" t="n">
        <v>376</v>
      </c>
      <c r="D134" s="4" t="n">
        <v>0</v>
      </c>
      <c r="E134" s="1" t="s">
        <v>1949</v>
      </c>
    </row>
    <row r="135" customFormat="false" ht="15" hidden="false" customHeight="true" outlineLevel="0" collapsed="false">
      <c r="A135" s="1" t="n">
        <v>50125</v>
      </c>
      <c r="B135" s="3" t="n">
        <v>44004</v>
      </c>
      <c r="C135" s="1" t="n">
        <v>1214</v>
      </c>
      <c r="D135" s="4" t="n">
        <v>0</v>
      </c>
      <c r="E135" s="1" t="s">
        <v>1949</v>
      </c>
    </row>
    <row r="136" customFormat="false" ht="15" hidden="false" customHeight="true" outlineLevel="0" collapsed="false">
      <c r="A136" s="1" t="n">
        <v>50198</v>
      </c>
      <c r="B136" s="3" t="n">
        <v>44008</v>
      </c>
      <c r="C136" s="1" t="n">
        <v>1297</v>
      </c>
      <c r="D136" s="4" t="n">
        <v>0</v>
      </c>
      <c r="E136" s="1" t="s">
        <v>1949</v>
      </c>
    </row>
    <row r="137" customFormat="false" ht="15" hidden="false" customHeight="true" outlineLevel="0" collapsed="false">
      <c r="A137" s="1" t="n">
        <v>51512</v>
      </c>
      <c r="B137" s="3" t="n">
        <v>44061</v>
      </c>
      <c r="C137" s="1" t="n">
        <v>1552</v>
      </c>
      <c r="D137" s="4" t="n">
        <v>550</v>
      </c>
      <c r="E137" s="1" t="s">
        <v>1950</v>
      </c>
    </row>
    <row r="138" customFormat="false" ht="15" hidden="false" customHeight="true" outlineLevel="0" collapsed="false">
      <c r="A138" s="1" t="n">
        <v>50812</v>
      </c>
      <c r="B138" s="3" t="n">
        <v>44040</v>
      </c>
      <c r="C138" s="1" t="n">
        <v>354</v>
      </c>
      <c r="D138" s="4" t="n">
        <v>0</v>
      </c>
      <c r="E138" s="1" t="s">
        <v>1949</v>
      </c>
    </row>
    <row r="139" customFormat="false" ht="15" hidden="false" customHeight="true" outlineLevel="0" collapsed="false">
      <c r="A139" s="1" t="n">
        <v>51360</v>
      </c>
      <c r="B139" s="3" t="n">
        <v>44059</v>
      </c>
      <c r="C139" s="1" t="n">
        <v>833</v>
      </c>
      <c r="D139" s="4" t="n">
        <v>0</v>
      </c>
      <c r="E139" s="1" t="s">
        <v>1949</v>
      </c>
    </row>
    <row r="140" customFormat="false" ht="15" hidden="false" customHeight="true" outlineLevel="0" collapsed="false">
      <c r="A140" s="1" t="n">
        <v>51723</v>
      </c>
      <c r="B140" s="3" t="n">
        <v>44062</v>
      </c>
      <c r="C140" s="1" t="n">
        <v>528</v>
      </c>
      <c r="D140" s="4" t="n">
        <v>730</v>
      </c>
      <c r="E140" s="1" t="s">
        <v>1950</v>
      </c>
    </row>
    <row r="141" customFormat="false" ht="15" hidden="false" customHeight="true" outlineLevel="0" collapsed="false">
      <c r="A141" s="1" t="n">
        <v>50074</v>
      </c>
      <c r="B141" s="3" t="n">
        <v>43984</v>
      </c>
      <c r="C141" s="1" t="n">
        <v>24</v>
      </c>
      <c r="D141" s="4" t="n">
        <v>0</v>
      </c>
      <c r="E141" s="1" t="s">
        <v>1949</v>
      </c>
    </row>
    <row r="142" customFormat="false" ht="15" hidden="false" customHeight="true" outlineLevel="0" collapsed="false">
      <c r="A142" s="1" t="n">
        <v>50031</v>
      </c>
      <c r="B142" s="3" t="n">
        <v>44022</v>
      </c>
      <c r="C142" s="1" t="n">
        <v>540</v>
      </c>
      <c r="D142" s="4" t="n">
        <v>0</v>
      </c>
      <c r="E142" s="1" t="s">
        <v>1949</v>
      </c>
    </row>
    <row r="143" customFormat="false" ht="15" hidden="false" customHeight="true" outlineLevel="0" collapsed="false">
      <c r="A143" s="1" t="n">
        <v>50018</v>
      </c>
      <c r="B143" s="3" t="n">
        <v>44024</v>
      </c>
      <c r="C143" s="1" t="n">
        <v>209</v>
      </c>
      <c r="D143" s="4" t="n">
        <v>851</v>
      </c>
      <c r="E143" s="1" t="s">
        <v>1950</v>
      </c>
    </row>
    <row r="144" customFormat="false" ht="15" hidden="false" customHeight="true" outlineLevel="0" collapsed="false">
      <c r="A144" s="1" t="n">
        <v>51801</v>
      </c>
      <c r="B144" s="3" t="n">
        <v>44007</v>
      </c>
      <c r="C144" s="1" t="n">
        <v>100</v>
      </c>
      <c r="D144" s="4" t="n">
        <v>0</v>
      </c>
      <c r="E144" s="1" t="s">
        <v>1949</v>
      </c>
    </row>
    <row r="145" customFormat="false" ht="15" hidden="false" customHeight="true" outlineLevel="0" collapsed="false">
      <c r="A145" s="1" t="n">
        <v>51706</v>
      </c>
      <c r="B145" s="3" t="n">
        <v>44072</v>
      </c>
      <c r="C145" s="1" t="n">
        <v>257</v>
      </c>
      <c r="D145" s="4" t="n">
        <v>845</v>
      </c>
      <c r="E145" s="1" t="s">
        <v>1950</v>
      </c>
    </row>
    <row r="146" customFormat="false" ht="15" hidden="false" customHeight="true" outlineLevel="0" collapsed="false">
      <c r="A146" s="1" t="n">
        <v>51578</v>
      </c>
      <c r="B146" s="3" t="n">
        <v>44016</v>
      </c>
      <c r="C146" s="1" t="n">
        <v>316</v>
      </c>
      <c r="D146" s="4" t="n">
        <v>0</v>
      </c>
      <c r="E146" s="1" t="s">
        <v>1949</v>
      </c>
    </row>
    <row r="147" customFormat="false" ht="15" hidden="false" customHeight="true" outlineLevel="0" collapsed="false">
      <c r="A147" s="1" t="n">
        <v>51595</v>
      </c>
      <c r="B147" s="3" t="n">
        <v>44039</v>
      </c>
      <c r="C147" s="1" t="n">
        <v>980</v>
      </c>
      <c r="D147" s="4" t="n">
        <v>400</v>
      </c>
      <c r="E147" s="1" t="s">
        <v>1950</v>
      </c>
    </row>
    <row r="148" customFormat="false" ht="15" hidden="false" customHeight="true" outlineLevel="0" collapsed="false">
      <c r="A148" s="1" t="n">
        <v>51586</v>
      </c>
      <c r="B148" s="3" t="n">
        <v>44056</v>
      </c>
      <c r="C148" s="1" t="n">
        <v>1832</v>
      </c>
      <c r="D148" s="4" t="n">
        <v>268</v>
      </c>
      <c r="E148" s="1" t="s">
        <v>1950</v>
      </c>
    </row>
    <row r="149" customFormat="false" ht="15" hidden="false" customHeight="true" outlineLevel="0" collapsed="false">
      <c r="A149" s="1" t="n">
        <v>51490</v>
      </c>
      <c r="B149" s="3" t="n">
        <v>44048</v>
      </c>
      <c r="C149" s="1" t="n">
        <v>783</v>
      </c>
      <c r="D149" s="4" t="n">
        <v>0</v>
      </c>
      <c r="E149" s="1" t="s">
        <v>1949</v>
      </c>
    </row>
    <row r="150" customFormat="false" ht="15" hidden="false" customHeight="true" outlineLevel="0" collapsed="false">
      <c r="A150" s="1" t="n">
        <v>50265</v>
      </c>
      <c r="B150" s="3" t="n">
        <v>43982</v>
      </c>
      <c r="C150" s="1" t="n">
        <v>822</v>
      </c>
      <c r="D150" s="4" t="n">
        <v>329</v>
      </c>
      <c r="E150" s="1" t="s">
        <v>1950</v>
      </c>
    </row>
    <row r="151" customFormat="false" ht="15" hidden="false" customHeight="true" outlineLevel="0" collapsed="false">
      <c r="A151" s="1" t="n">
        <v>51113</v>
      </c>
      <c r="B151" s="3" t="n">
        <v>44027</v>
      </c>
      <c r="C151" s="1" t="n">
        <v>1380</v>
      </c>
      <c r="D151" s="4" t="n">
        <v>0</v>
      </c>
      <c r="E151" s="1" t="s">
        <v>1949</v>
      </c>
    </row>
    <row r="152" customFormat="false" ht="15" hidden="false" customHeight="true" outlineLevel="0" collapsed="false">
      <c r="A152" s="1" t="n">
        <v>50689</v>
      </c>
      <c r="B152" s="3" t="n">
        <v>44018</v>
      </c>
      <c r="C152" s="1" t="n">
        <v>72</v>
      </c>
      <c r="D152" s="4" t="n">
        <v>157</v>
      </c>
      <c r="E152" s="1" t="s">
        <v>1950</v>
      </c>
    </row>
    <row r="153" customFormat="false" ht="15" hidden="false" customHeight="true" outlineLevel="0" collapsed="false">
      <c r="A153" s="1" t="n">
        <v>50946</v>
      </c>
      <c r="B153" s="3" t="n">
        <v>43982</v>
      </c>
      <c r="C153" s="1" t="n">
        <v>1146</v>
      </c>
      <c r="D153" s="4" t="n">
        <v>570</v>
      </c>
      <c r="E153" s="1" t="s">
        <v>1950</v>
      </c>
    </row>
    <row r="154" customFormat="false" ht="15" hidden="false" customHeight="true" outlineLevel="0" collapsed="false">
      <c r="A154" s="1" t="n">
        <v>50310</v>
      </c>
      <c r="B154" s="3" t="n">
        <v>44005</v>
      </c>
      <c r="C154" s="1" t="n">
        <v>821</v>
      </c>
      <c r="D154" s="4" t="n">
        <v>134</v>
      </c>
      <c r="E154" s="1" t="s">
        <v>1950</v>
      </c>
    </row>
    <row r="155" customFormat="false" ht="15" hidden="false" customHeight="true" outlineLevel="0" collapsed="false">
      <c r="A155" s="1" t="n">
        <v>50780</v>
      </c>
      <c r="B155" s="3" t="n">
        <v>44004</v>
      </c>
      <c r="C155" s="1" t="n">
        <v>1645</v>
      </c>
      <c r="D155" s="4" t="n">
        <v>241</v>
      </c>
      <c r="E155" s="1" t="s">
        <v>1950</v>
      </c>
    </row>
    <row r="156" customFormat="false" ht="15" hidden="false" customHeight="true" outlineLevel="0" collapsed="false">
      <c r="A156" s="1" t="n">
        <v>50065</v>
      </c>
      <c r="B156" s="3" t="n">
        <v>43989</v>
      </c>
      <c r="C156" s="1" t="n">
        <v>880</v>
      </c>
      <c r="D156" s="4" t="n">
        <v>626</v>
      </c>
      <c r="E156" s="1" t="s">
        <v>1950</v>
      </c>
    </row>
    <row r="157" customFormat="false" ht="15" hidden="false" customHeight="true" outlineLevel="0" collapsed="false">
      <c r="A157" s="1" t="n">
        <v>51328</v>
      </c>
      <c r="B157" s="3" t="n">
        <v>44064</v>
      </c>
      <c r="C157" s="1" t="n">
        <v>1247</v>
      </c>
      <c r="D157" s="4" t="n">
        <v>0</v>
      </c>
      <c r="E157" s="1" t="s">
        <v>1949</v>
      </c>
    </row>
    <row r="158" customFormat="false" ht="15" hidden="false" customHeight="true" outlineLevel="0" collapsed="false">
      <c r="A158" s="1" t="n">
        <v>51117</v>
      </c>
      <c r="B158" s="3" t="n">
        <v>44024</v>
      </c>
      <c r="C158" s="1" t="n">
        <v>1824</v>
      </c>
      <c r="D158" s="4" t="n">
        <v>0</v>
      </c>
      <c r="E158" s="1" t="s">
        <v>1949</v>
      </c>
    </row>
    <row r="159" customFormat="false" ht="15" hidden="false" customHeight="true" outlineLevel="0" collapsed="false">
      <c r="A159" s="1" t="n">
        <v>50893</v>
      </c>
      <c r="B159" s="3" t="n">
        <v>43999</v>
      </c>
      <c r="C159" s="1" t="n">
        <v>407</v>
      </c>
      <c r="D159" s="4" t="n">
        <v>277</v>
      </c>
      <c r="E159" s="1" t="s">
        <v>1950</v>
      </c>
    </row>
    <row r="160" customFormat="false" ht="15" hidden="false" customHeight="true" outlineLevel="0" collapsed="false">
      <c r="A160" s="1" t="n">
        <v>51839</v>
      </c>
      <c r="B160" s="3" t="n">
        <v>44037</v>
      </c>
      <c r="C160" s="1" t="n">
        <v>1673</v>
      </c>
      <c r="D160" s="4" t="n">
        <v>0</v>
      </c>
      <c r="E160" s="1" t="s">
        <v>1949</v>
      </c>
    </row>
    <row r="161" customFormat="false" ht="15" hidden="false" customHeight="true" outlineLevel="0" collapsed="false">
      <c r="A161" s="1" t="n">
        <v>50437</v>
      </c>
      <c r="B161" s="3" t="n">
        <v>44011</v>
      </c>
      <c r="C161" s="1" t="n">
        <v>85</v>
      </c>
      <c r="D161" s="4" t="n">
        <v>0</v>
      </c>
      <c r="E161" s="1" t="s">
        <v>1949</v>
      </c>
    </row>
    <row r="162" customFormat="false" ht="15" hidden="false" customHeight="true" outlineLevel="0" collapsed="false">
      <c r="A162" s="1" t="n">
        <v>51627</v>
      </c>
      <c r="B162" s="3" t="n">
        <v>43986</v>
      </c>
      <c r="C162" s="1" t="n">
        <v>891</v>
      </c>
      <c r="D162" s="4" t="n">
        <v>212</v>
      </c>
      <c r="E162" s="1" t="s">
        <v>1950</v>
      </c>
    </row>
    <row r="163" customFormat="false" ht="15" hidden="false" customHeight="true" outlineLevel="0" collapsed="false">
      <c r="A163" s="1" t="n">
        <v>51680</v>
      </c>
      <c r="B163" s="3" t="n">
        <v>44059</v>
      </c>
      <c r="C163" s="1" t="n">
        <v>368</v>
      </c>
      <c r="D163" s="4" t="n">
        <v>431</v>
      </c>
      <c r="E163" s="1" t="s">
        <v>1950</v>
      </c>
    </row>
    <row r="164" customFormat="false" ht="15" hidden="false" customHeight="true" outlineLevel="0" collapsed="false">
      <c r="A164" s="1" t="n">
        <v>51818</v>
      </c>
      <c r="B164" s="3" t="n">
        <v>44040</v>
      </c>
      <c r="C164" s="1" t="n">
        <v>1804</v>
      </c>
      <c r="D164" s="4" t="n">
        <v>0</v>
      </c>
      <c r="E164" s="1" t="s">
        <v>1949</v>
      </c>
    </row>
    <row r="165" customFormat="false" ht="15" hidden="false" customHeight="true" outlineLevel="0" collapsed="false">
      <c r="A165" s="1" t="n">
        <v>50821</v>
      </c>
      <c r="B165" s="3" t="n">
        <v>44033</v>
      </c>
      <c r="C165" s="1" t="n">
        <v>1623</v>
      </c>
      <c r="D165" s="4" t="n">
        <v>0</v>
      </c>
      <c r="E165" s="1" t="s">
        <v>1949</v>
      </c>
    </row>
    <row r="166" customFormat="false" ht="15" hidden="false" customHeight="true" outlineLevel="0" collapsed="false">
      <c r="A166" s="1" t="n">
        <v>51441</v>
      </c>
      <c r="B166" s="3" t="n">
        <v>44033</v>
      </c>
      <c r="C166" s="1" t="n">
        <v>1160</v>
      </c>
      <c r="D166" s="4" t="n">
        <v>0</v>
      </c>
      <c r="E166" s="1" t="s">
        <v>1949</v>
      </c>
    </row>
    <row r="167" customFormat="false" ht="15" hidden="false" customHeight="true" outlineLevel="0" collapsed="false">
      <c r="A167" s="1" t="n">
        <v>50138</v>
      </c>
      <c r="B167" s="3" t="n">
        <v>44001</v>
      </c>
      <c r="C167" s="1" t="n">
        <v>131</v>
      </c>
      <c r="D167" s="4" t="n">
        <v>424</v>
      </c>
      <c r="E167" s="1" t="s">
        <v>1950</v>
      </c>
    </row>
    <row r="168" customFormat="false" ht="15" hidden="false" customHeight="true" outlineLevel="0" collapsed="false">
      <c r="A168" s="1" t="n">
        <v>51954</v>
      </c>
      <c r="B168" s="3" t="n">
        <v>44052</v>
      </c>
      <c r="C168" s="1" t="n">
        <v>1147</v>
      </c>
      <c r="D168" s="4" t="n">
        <v>0</v>
      </c>
      <c r="E168" s="1" t="s">
        <v>1949</v>
      </c>
    </row>
    <row r="169" customFormat="false" ht="15" hidden="false" customHeight="true" outlineLevel="0" collapsed="false">
      <c r="A169" s="1" t="n">
        <v>50892</v>
      </c>
      <c r="B169" s="3" t="n">
        <v>44065</v>
      </c>
      <c r="C169" s="1" t="n">
        <v>332</v>
      </c>
      <c r="D169" s="4" t="n">
        <v>0</v>
      </c>
      <c r="E169" s="1" t="s">
        <v>1949</v>
      </c>
    </row>
    <row r="170" customFormat="false" ht="15" hidden="false" customHeight="true" outlineLevel="0" collapsed="false">
      <c r="A170" s="1" t="n">
        <v>51640</v>
      </c>
      <c r="B170" s="3" t="n">
        <v>44034</v>
      </c>
      <c r="C170" s="1" t="n">
        <v>1089</v>
      </c>
      <c r="D170" s="4" t="n">
        <v>0</v>
      </c>
      <c r="E170" s="1" t="s">
        <v>1949</v>
      </c>
    </row>
    <row r="171" customFormat="false" ht="15" hidden="false" customHeight="true" outlineLevel="0" collapsed="false">
      <c r="A171" s="1" t="n">
        <v>51885</v>
      </c>
      <c r="B171" s="3" t="n">
        <v>43991</v>
      </c>
      <c r="C171" s="1" t="n">
        <v>1470</v>
      </c>
      <c r="D171" s="4" t="n">
        <v>764</v>
      </c>
      <c r="E171" s="1" t="s">
        <v>1950</v>
      </c>
    </row>
    <row r="172" customFormat="false" ht="15" hidden="false" customHeight="true" outlineLevel="0" collapsed="false">
      <c r="A172" s="1" t="n">
        <v>51084</v>
      </c>
      <c r="B172" s="3" t="n">
        <v>44030</v>
      </c>
      <c r="C172" s="1" t="n">
        <v>207</v>
      </c>
      <c r="D172" s="4" t="n">
        <v>539</v>
      </c>
      <c r="E172" s="1" t="s">
        <v>1950</v>
      </c>
    </row>
    <row r="173" customFormat="false" ht="15" hidden="false" customHeight="true" outlineLevel="0" collapsed="false">
      <c r="A173" s="1" t="n">
        <v>51110</v>
      </c>
      <c r="B173" s="3" t="n">
        <v>43991</v>
      </c>
      <c r="C173" s="1" t="n">
        <v>1353</v>
      </c>
      <c r="D173" s="4" t="n">
        <v>0</v>
      </c>
      <c r="E173" s="1" t="s">
        <v>1949</v>
      </c>
    </row>
    <row r="174" customFormat="false" ht="15" hidden="false" customHeight="true" outlineLevel="0" collapsed="false">
      <c r="A174" s="1" t="n">
        <v>50985</v>
      </c>
      <c r="B174" s="3" t="n">
        <v>44045</v>
      </c>
      <c r="C174" s="1" t="n">
        <v>842</v>
      </c>
      <c r="D174" s="4" t="n">
        <v>712</v>
      </c>
      <c r="E174" s="1" t="s">
        <v>1950</v>
      </c>
    </row>
    <row r="175" customFormat="false" ht="15" hidden="false" customHeight="true" outlineLevel="0" collapsed="false">
      <c r="A175" s="1" t="n">
        <v>50196</v>
      </c>
      <c r="B175" s="3" t="n">
        <v>44001</v>
      </c>
      <c r="C175" s="1" t="n">
        <v>433</v>
      </c>
      <c r="D175" s="4" t="n">
        <v>472</v>
      </c>
      <c r="E175" s="1" t="s">
        <v>1950</v>
      </c>
    </row>
    <row r="176" customFormat="false" ht="15" hidden="false" customHeight="true" outlineLevel="0" collapsed="false">
      <c r="A176" s="1" t="n">
        <v>51012</v>
      </c>
      <c r="B176" s="3" t="n">
        <v>43994</v>
      </c>
      <c r="C176" s="1" t="n">
        <v>1324</v>
      </c>
      <c r="D176" s="4" t="n">
        <v>0</v>
      </c>
      <c r="E176" s="1" t="s">
        <v>1949</v>
      </c>
    </row>
    <row r="177" customFormat="false" ht="15" hidden="false" customHeight="true" outlineLevel="0" collapsed="false">
      <c r="A177" s="1" t="n">
        <v>50335</v>
      </c>
      <c r="B177" s="3" t="n">
        <v>44041</v>
      </c>
      <c r="C177" s="1" t="n">
        <v>780</v>
      </c>
      <c r="D177" s="4" t="n">
        <v>0</v>
      </c>
      <c r="E177" s="1" t="s">
        <v>1949</v>
      </c>
    </row>
    <row r="178" customFormat="false" ht="15" hidden="false" customHeight="true" outlineLevel="0" collapsed="false">
      <c r="A178" s="1" t="n">
        <v>51842</v>
      </c>
      <c r="B178" s="3" t="n">
        <v>43984</v>
      </c>
      <c r="C178" s="1" t="n">
        <v>1122</v>
      </c>
      <c r="D178" s="4" t="n">
        <v>0</v>
      </c>
      <c r="E178" s="1" t="s">
        <v>1949</v>
      </c>
    </row>
    <row r="179" customFormat="false" ht="15" hidden="false" customHeight="true" outlineLevel="0" collapsed="false">
      <c r="A179" s="1" t="n">
        <v>50482</v>
      </c>
      <c r="B179" s="3" t="n">
        <v>44025</v>
      </c>
      <c r="C179" s="1" t="n">
        <v>1024</v>
      </c>
      <c r="D179" s="4" t="n">
        <v>480</v>
      </c>
      <c r="E179" s="1" t="s">
        <v>1950</v>
      </c>
    </row>
    <row r="180" customFormat="false" ht="15" hidden="false" customHeight="true" outlineLevel="0" collapsed="false">
      <c r="A180" s="1" t="n">
        <v>50015</v>
      </c>
      <c r="B180" s="3" t="n">
        <v>44012</v>
      </c>
      <c r="C180" s="1" t="n">
        <v>184</v>
      </c>
      <c r="D180" s="4" t="n">
        <v>0</v>
      </c>
      <c r="E180" s="1" t="s">
        <v>1949</v>
      </c>
    </row>
    <row r="181" customFormat="false" ht="15" hidden="false" customHeight="true" outlineLevel="0" collapsed="false">
      <c r="A181" s="1" t="n">
        <v>50422</v>
      </c>
      <c r="B181" s="3" t="n">
        <v>44051</v>
      </c>
      <c r="C181" s="1" t="n">
        <v>1579</v>
      </c>
      <c r="D181" s="4" t="n">
        <v>0</v>
      </c>
      <c r="E181" s="1" t="s">
        <v>1949</v>
      </c>
    </row>
    <row r="182" customFormat="false" ht="15" hidden="false" customHeight="true" outlineLevel="0" collapsed="false">
      <c r="A182" s="1" t="n">
        <v>50666</v>
      </c>
      <c r="B182" s="3" t="n">
        <v>43995</v>
      </c>
      <c r="C182" s="1" t="n">
        <v>176</v>
      </c>
      <c r="D182" s="4" t="n">
        <v>0</v>
      </c>
      <c r="E182" s="1" t="s">
        <v>1949</v>
      </c>
    </row>
    <row r="183" customFormat="false" ht="15" hidden="false" customHeight="true" outlineLevel="0" collapsed="false">
      <c r="A183" s="1" t="n">
        <v>51083</v>
      </c>
      <c r="B183" s="3" t="n">
        <v>44052</v>
      </c>
      <c r="C183" s="1" t="n">
        <v>1073</v>
      </c>
      <c r="D183" s="4" t="n">
        <v>708</v>
      </c>
      <c r="E183" s="1" t="s">
        <v>1950</v>
      </c>
    </row>
    <row r="184" customFormat="false" ht="15" hidden="false" customHeight="true" outlineLevel="0" collapsed="false">
      <c r="A184" s="1" t="n">
        <v>50349</v>
      </c>
      <c r="B184" s="3" t="n">
        <v>44047</v>
      </c>
      <c r="C184" s="1" t="n">
        <v>1346</v>
      </c>
      <c r="D184" s="4" t="n">
        <v>0</v>
      </c>
      <c r="E184" s="1" t="s">
        <v>1949</v>
      </c>
    </row>
    <row r="185" customFormat="false" ht="15" hidden="false" customHeight="true" outlineLevel="0" collapsed="false">
      <c r="A185" s="1" t="n">
        <v>51868</v>
      </c>
      <c r="B185" s="3" t="n">
        <v>44014</v>
      </c>
      <c r="C185" s="1" t="n">
        <v>84</v>
      </c>
      <c r="D185" s="4" t="n">
        <v>0</v>
      </c>
      <c r="E185" s="1" t="s">
        <v>1949</v>
      </c>
    </row>
    <row r="186" customFormat="false" ht="15" hidden="false" customHeight="true" outlineLevel="0" collapsed="false">
      <c r="A186" s="1" t="n">
        <v>50425</v>
      </c>
      <c r="B186" s="3" t="n">
        <v>44003</v>
      </c>
      <c r="C186" s="1" t="n">
        <v>1264</v>
      </c>
      <c r="D186" s="4" t="n">
        <v>0</v>
      </c>
      <c r="E186" s="1" t="s">
        <v>1949</v>
      </c>
    </row>
    <row r="187" customFormat="false" ht="15" hidden="false" customHeight="true" outlineLevel="0" collapsed="false">
      <c r="A187" s="1" t="n">
        <v>51981</v>
      </c>
      <c r="B187" s="3" t="n">
        <v>44048</v>
      </c>
      <c r="C187" s="1" t="n">
        <v>1036</v>
      </c>
      <c r="D187" s="4" t="n">
        <v>0</v>
      </c>
      <c r="E187" s="1" t="s">
        <v>1949</v>
      </c>
    </row>
    <row r="188" customFormat="false" ht="15" hidden="false" customHeight="true" outlineLevel="0" collapsed="false">
      <c r="A188" s="1" t="n">
        <v>50885</v>
      </c>
      <c r="B188" s="3" t="n">
        <v>43984</v>
      </c>
      <c r="C188" s="1" t="n">
        <v>729</v>
      </c>
      <c r="D188" s="4" t="n">
        <v>797</v>
      </c>
      <c r="E188" s="1" t="s">
        <v>1950</v>
      </c>
    </row>
    <row r="189" customFormat="false" ht="15" hidden="false" customHeight="true" outlineLevel="0" collapsed="false">
      <c r="A189" s="1" t="n">
        <v>51163</v>
      </c>
      <c r="B189" s="3" t="n">
        <v>44015</v>
      </c>
      <c r="C189" s="1" t="n">
        <v>1226</v>
      </c>
      <c r="D189" s="4" t="n">
        <v>812</v>
      </c>
      <c r="E189" s="1" t="s">
        <v>1950</v>
      </c>
    </row>
    <row r="190" customFormat="false" ht="15" hidden="false" customHeight="true" outlineLevel="0" collapsed="false">
      <c r="A190" s="1" t="n">
        <v>51133</v>
      </c>
      <c r="B190" s="3" t="n">
        <v>44031</v>
      </c>
      <c r="C190" s="1" t="n">
        <v>1116</v>
      </c>
      <c r="D190" s="4" t="n">
        <v>176</v>
      </c>
      <c r="E190" s="1" t="s">
        <v>1950</v>
      </c>
    </row>
    <row r="191" customFormat="false" ht="15" hidden="false" customHeight="true" outlineLevel="0" collapsed="false">
      <c r="A191" s="1" t="n">
        <v>50992</v>
      </c>
      <c r="B191" s="3" t="n">
        <v>44034</v>
      </c>
      <c r="C191" s="1" t="n">
        <v>975</v>
      </c>
      <c r="D191" s="4" t="n">
        <v>250</v>
      </c>
      <c r="E191" s="1" t="s">
        <v>1950</v>
      </c>
    </row>
    <row r="192" customFormat="false" ht="15" hidden="false" customHeight="true" outlineLevel="0" collapsed="false">
      <c r="A192" s="1" t="n">
        <v>51890</v>
      </c>
      <c r="B192" s="3" t="n">
        <v>44039</v>
      </c>
      <c r="C192" s="1" t="n">
        <v>493</v>
      </c>
      <c r="D192" s="4" t="n">
        <v>0</v>
      </c>
      <c r="E192" s="1" t="s">
        <v>1949</v>
      </c>
    </row>
    <row r="193" customFormat="false" ht="15" hidden="false" customHeight="true" outlineLevel="0" collapsed="false">
      <c r="A193" s="1" t="n">
        <v>51971</v>
      </c>
      <c r="B193" s="3" t="n">
        <v>44033</v>
      </c>
      <c r="C193" s="1" t="n">
        <v>983</v>
      </c>
      <c r="D193" s="4" t="n">
        <v>0</v>
      </c>
      <c r="E193" s="1" t="s">
        <v>1949</v>
      </c>
    </row>
    <row r="194" customFormat="false" ht="15" hidden="false" customHeight="true" outlineLevel="0" collapsed="false">
      <c r="A194" s="1" t="n">
        <v>50840</v>
      </c>
      <c r="B194" s="3" t="n">
        <v>44020</v>
      </c>
      <c r="C194" s="1" t="n">
        <v>804</v>
      </c>
      <c r="D194" s="4" t="n">
        <v>291</v>
      </c>
      <c r="E194" s="1" t="s">
        <v>1950</v>
      </c>
    </row>
    <row r="195" customFormat="false" ht="15" hidden="false" customHeight="true" outlineLevel="0" collapsed="false">
      <c r="A195" s="1" t="n">
        <v>50295</v>
      </c>
      <c r="B195" s="3" t="n">
        <v>44049</v>
      </c>
      <c r="C195" s="1" t="n">
        <v>1127</v>
      </c>
      <c r="D195" s="4" t="n">
        <v>0</v>
      </c>
      <c r="E195" s="1" t="s">
        <v>1949</v>
      </c>
    </row>
    <row r="196" customFormat="false" ht="15" hidden="false" customHeight="true" outlineLevel="0" collapsed="false">
      <c r="A196" s="1" t="n">
        <v>50363</v>
      </c>
      <c r="B196" s="3" t="n">
        <v>43991</v>
      </c>
      <c r="C196" s="1" t="n">
        <v>1466</v>
      </c>
      <c r="D196" s="4" t="n">
        <v>306</v>
      </c>
      <c r="E196" s="1" t="s">
        <v>1950</v>
      </c>
    </row>
    <row r="197" customFormat="false" ht="15" hidden="false" customHeight="true" outlineLevel="0" collapsed="false">
      <c r="A197" s="1" t="n">
        <v>50423</v>
      </c>
      <c r="B197" s="3" t="n">
        <v>44059</v>
      </c>
      <c r="C197" s="1" t="n">
        <v>1195</v>
      </c>
      <c r="D197" s="4" t="n">
        <v>0</v>
      </c>
      <c r="E197" s="1" t="s">
        <v>1949</v>
      </c>
    </row>
    <row r="198" customFormat="false" ht="15" hidden="false" customHeight="true" outlineLevel="0" collapsed="false">
      <c r="A198" s="1" t="n">
        <v>51843</v>
      </c>
      <c r="B198" s="3" t="n">
        <v>43998</v>
      </c>
      <c r="C198" s="1" t="n">
        <v>844</v>
      </c>
      <c r="D198" s="4" t="n">
        <v>0</v>
      </c>
      <c r="E198" s="1" t="s">
        <v>1949</v>
      </c>
    </row>
    <row r="199" customFormat="false" ht="15" hidden="false" customHeight="true" outlineLevel="0" collapsed="false">
      <c r="A199" s="1" t="n">
        <v>51424</v>
      </c>
      <c r="B199" s="3" t="n">
        <v>44001</v>
      </c>
      <c r="C199" s="1" t="n">
        <v>1164</v>
      </c>
      <c r="D199" s="4" t="n">
        <v>0</v>
      </c>
      <c r="E199" s="1" t="s">
        <v>1949</v>
      </c>
    </row>
    <row r="200" customFormat="false" ht="15" hidden="false" customHeight="true" outlineLevel="0" collapsed="false">
      <c r="A200" s="1" t="n">
        <v>51487</v>
      </c>
      <c r="B200" s="3" t="n">
        <v>44017</v>
      </c>
      <c r="C200" s="1" t="n">
        <v>1389</v>
      </c>
      <c r="D200" s="4" t="n">
        <v>0</v>
      </c>
      <c r="E200" s="1" t="s">
        <v>1949</v>
      </c>
    </row>
    <row r="201" customFormat="false" ht="15" hidden="false" customHeight="true" outlineLevel="0" collapsed="false">
      <c r="A201" s="1" t="n">
        <v>50781</v>
      </c>
      <c r="B201" s="3" t="n">
        <v>43988</v>
      </c>
      <c r="C201" s="1" t="n">
        <v>1792</v>
      </c>
      <c r="D201" s="4" t="n">
        <v>449</v>
      </c>
      <c r="E201" s="1" t="s">
        <v>1950</v>
      </c>
    </row>
    <row r="202" customFormat="false" ht="15" hidden="false" customHeight="true" outlineLevel="0" collapsed="false">
      <c r="A202" s="1" t="n">
        <v>50360</v>
      </c>
      <c r="B202" s="3" t="n">
        <v>44007</v>
      </c>
      <c r="C202" s="1" t="n">
        <v>1655</v>
      </c>
      <c r="D202" s="4" t="n">
        <v>0</v>
      </c>
      <c r="E202" s="1" t="s">
        <v>1949</v>
      </c>
    </row>
    <row r="203" customFormat="false" ht="15" hidden="false" customHeight="true" outlineLevel="0" collapsed="false">
      <c r="A203" s="1" t="n">
        <v>50066</v>
      </c>
      <c r="B203" s="3" t="n">
        <v>44014</v>
      </c>
      <c r="C203" s="1" t="n">
        <v>37</v>
      </c>
      <c r="D203" s="4" t="n">
        <v>629</v>
      </c>
      <c r="E203" s="1" t="s">
        <v>1950</v>
      </c>
    </row>
    <row r="204" customFormat="false" ht="15" hidden="false" customHeight="true" outlineLevel="0" collapsed="false">
      <c r="A204" s="1" t="n">
        <v>51159</v>
      </c>
      <c r="B204" s="3" t="n">
        <v>44002</v>
      </c>
      <c r="C204" s="1" t="n">
        <v>1205</v>
      </c>
      <c r="D204" s="4" t="n">
        <v>0</v>
      </c>
      <c r="E204" s="1" t="s">
        <v>1949</v>
      </c>
    </row>
    <row r="205" customFormat="false" ht="15" hidden="false" customHeight="true" outlineLevel="0" collapsed="false">
      <c r="A205" s="1" t="n">
        <v>50935</v>
      </c>
      <c r="B205" s="3" t="n">
        <v>44037</v>
      </c>
      <c r="C205" s="1" t="n">
        <v>1889</v>
      </c>
      <c r="D205" s="4" t="n">
        <v>307</v>
      </c>
      <c r="E205" s="1" t="s">
        <v>1950</v>
      </c>
    </row>
    <row r="206" customFormat="false" ht="15" hidden="false" customHeight="true" outlineLevel="0" collapsed="false">
      <c r="A206" s="1" t="n">
        <v>51351</v>
      </c>
      <c r="B206" s="3" t="n">
        <v>44065</v>
      </c>
      <c r="C206" s="1" t="n">
        <v>1431</v>
      </c>
      <c r="D206" s="4" t="n">
        <v>0</v>
      </c>
      <c r="E206" s="1" t="s">
        <v>1949</v>
      </c>
    </row>
    <row r="207" customFormat="false" ht="15" hidden="false" customHeight="true" outlineLevel="0" collapsed="false">
      <c r="A207" s="1" t="n">
        <v>51986</v>
      </c>
      <c r="B207" s="3" t="n">
        <v>43990</v>
      </c>
      <c r="C207" s="1" t="n">
        <v>1332</v>
      </c>
      <c r="D207" s="4" t="n">
        <v>438</v>
      </c>
      <c r="E207" s="1" t="s">
        <v>1950</v>
      </c>
    </row>
    <row r="208" customFormat="false" ht="15" hidden="false" customHeight="true" outlineLevel="0" collapsed="false">
      <c r="A208" s="1" t="n">
        <v>50312</v>
      </c>
      <c r="B208" s="3" t="n">
        <v>44022</v>
      </c>
      <c r="C208" s="1" t="n">
        <v>889</v>
      </c>
      <c r="D208" s="4" t="n">
        <v>769</v>
      </c>
      <c r="E208" s="1" t="s">
        <v>1950</v>
      </c>
    </row>
    <row r="209" customFormat="false" ht="15" hidden="false" customHeight="true" outlineLevel="0" collapsed="false">
      <c r="A209" s="1" t="n">
        <v>50725</v>
      </c>
      <c r="B209" s="3" t="n">
        <v>43988</v>
      </c>
      <c r="C209" s="1" t="n">
        <v>1870</v>
      </c>
      <c r="D209" s="4" t="n">
        <v>0</v>
      </c>
      <c r="E209" s="1" t="s">
        <v>1949</v>
      </c>
    </row>
    <row r="210" customFormat="false" ht="15" hidden="false" customHeight="true" outlineLevel="0" collapsed="false">
      <c r="A210" s="1" t="n">
        <v>51849</v>
      </c>
      <c r="B210" s="3" t="n">
        <v>44057</v>
      </c>
      <c r="C210" s="1" t="n">
        <v>1041</v>
      </c>
      <c r="D210" s="4" t="n">
        <v>315</v>
      </c>
      <c r="E210" s="1" t="s">
        <v>1950</v>
      </c>
    </row>
    <row r="211" customFormat="false" ht="15" hidden="false" customHeight="true" outlineLevel="0" collapsed="false">
      <c r="A211" s="1" t="n">
        <v>51501</v>
      </c>
      <c r="B211" s="3" t="n">
        <v>44013</v>
      </c>
      <c r="C211" s="1" t="n">
        <v>1633</v>
      </c>
      <c r="D211" s="4" t="n">
        <v>617</v>
      </c>
      <c r="E211" s="1" t="s">
        <v>1950</v>
      </c>
    </row>
    <row r="212" customFormat="false" ht="15" hidden="false" customHeight="true" outlineLevel="0" collapsed="false">
      <c r="A212" s="1" t="n">
        <v>50897</v>
      </c>
      <c r="B212" s="3" t="n">
        <v>43987</v>
      </c>
      <c r="C212" s="1" t="n">
        <v>1108</v>
      </c>
      <c r="D212" s="4" t="n">
        <v>0</v>
      </c>
      <c r="E212" s="1" t="s">
        <v>1949</v>
      </c>
    </row>
    <row r="213" customFormat="false" ht="15" hidden="false" customHeight="true" outlineLevel="0" collapsed="false">
      <c r="A213" s="1" t="n">
        <v>50793</v>
      </c>
      <c r="B213" s="3" t="n">
        <v>44048</v>
      </c>
      <c r="C213" s="1" t="n">
        <v>529</v>
      </c>
      <c r="D213" s="4" t="n">
        <v>517</v>
      </c>
      <c r="E213" s="1" t="s">
        <v>1950</v>
      </c>
    </row>
    <row r="214" customFormat="false" ht="15" hidden="false" customHeight="true" outlineLevel="0" collapsed="false">
      <c r="A214" s="1" t="n">
        <v>50498</v>
      </c>
      <c r="B214" s="3" t="n">
        <v>44049</v>
      </c>
      <c r="C214" s="1" t="n">
        <v>602</v>
      </c>
      <c r="D214" s="4" t="n">
        <v>683</v>
      </c>
      <c r="E214" s="1" t="s">
        <v>1950</v>
      </c>
    </row>
    <row r="215" customFormat="false" ht="15" hidden="false" customHeight="true" outlineLevel="0" collapsed="false">
      <c r="A215" s="1" t="n">
        <v>51700</v>
      </c>
      <c r="B215" s="3" t="n">
        <v>44007</v>
      </c>
      <c r="C215" s="1" t="n">
        <v>1417</v>
      </c>
      <c r="D215" s="4" t="n">
        <v>0</v>
      </c>
      <c r="E215" s="1" t="s">
        <v>1949</v>
      </c>
    </row>
    <row r="216" customFormat="false" ht="15" hidden="false" customHeight="true" outlineLevel="0" collapsed="false">
      <c r="A216" s="1" t="n">
        <v>51382</v>
      </c>
      <c r="B216" s="3" t="n">
        <v>43998</v>
      </c>
      <c r="C216" s="1" t="n">
        <v>1313</v>
      </c>
      <c r="D216" s="4" t="n">
        <v>0</v>
      </c>
      <c r="E216" s="1" t="s">
        <v>1949</v>
      </c>
    </row>
    <row r="217" customFormat="false" ht="15" hidden="false" customHeight="true" outlineLevel="0" collapsed="false">
      <c r="A217" s="1" t="n">
        <v>51536</v>
      </c>
      <c r="B217" s="3" t="n">
        <v>44021</v>
      </c>
      <c r="C217" s="1" t="n">
        <v>233</v>
      </c>
      <c r="D217" s="4" t="n">
        <v>0</v>
      </c>
      <c r="E217" s="1" t="s">
        <v>1949</v>
      </c>
    </row>
    <row r="218" customFormat="false" ht="15" hidden="false" customHeight="true" outlineLevel="0" collapsed="false">
      <c r="A218" s="1" t="n">
        <v>50750</v>
      </c>
      <c r="B218" s="3" t="n">
        <v>44064</v>
      </c>
      <c r="C218" s="1" t="n">
        <v>132</v>
      </c>
      <c r="D218" s="4" t="n">
        <v>102</v>
      </c>
      <c r="E218" s="1" t="s">
        <v>1950</v>
      </c>
    </row>
    <row r="219" customFormat="false" ht="15" hidden="false" customHeight="true" outlineLevel="0" collapsed="false">
      <c r="A219" s="1" t="n">
        <v>51122</v>
      </c>
      <c r="B219" s="3" t="n">
        <v>44050</v>
      </c>
      <c r="C219" s="1" t="n">
        <v>594</v>
      </c>
      <c r="D219" s="4" t="n">
        <v>479</v>
      </c>
      <c r="E219" s="1" t="s">
        <v>1950</v>
      </c>
    </row>
    <row r="220" customFormat="false" ht="15" hidden="false" customHeight="true" outlineLevel="0" collapsed="false">
      <c r="A220" s="1" t="n">
        <v>51194</v>
      </c>
      <c r="B220" s="3" t="n">
        <v>44033</v>
      </c>
      <c r="C220" s="1" t="n">
        <v>1798</v>
      </c>
      <c r="D220" s="4" t="n">
        <v>734</v>
      </c>
      <c r="E220" s="1" t="s">
        <v>1950</v>
      </c>
    </row>
    <row r="221" customFormat="false" ht="15" hidden="false" customHeight="true" outlineLevel="0" collapsed="false">
      <c r="A221" s="1" t="n">
        <v>51581</v>
      </c>
      <c r="B221" s="3" t="n">
        <v>44040</v>
      </c>
      <c r="C221" s="1" t="n">
        <v>1776</v>
      </c>
      <c r="D221" s="4" t="n">
        <v>838</v>
      </c>
      <c r="E221" s="1" t="s">
        <v>1950</v>
      </c>
    </row>
    <row r="222" customFormat="false" ht="15" hidden="false" customHeight="true" outlineLevel="0" collapsed="false">
      <c r="A222" s="1" t="n">
        <v>50917</v>
      </c>
      <c r="B222" s="3" t="n">
        <v>44009</v>
      </c>
      <c r="C222" s="1" t="n">
        <v>1121</v>
      </c>
      <c r="D222" s="4" t="n">
        <v>0</v>
      </c>
      <c r="E222" s="1" t="s">
        <v>1949</v>
      </c>
    </row>
    <row r="223" customFormat="false" ht="15" hidden="false" customHeight="true" outlineLevel="0" collapsed="false">
      <c r="A223" s="1" t="n">
        <v>50207</v>
      </c>
      <c r="B223" s="3" t="n">
        <v>44056</v>
      </c>
      <c r="C223" s="1" t="n">
        <v>750</v>
      </c>
      <c r="D223" s="4" t="n">
        <v>0</v>
      </c>
      <c r="E223" s="1" t="s">
        <v>1949</v>
      </c>
    </row>
    <row r="224" customFormat="false" ht="15" hidden="false" customHeight="true" outlineLevel="0" collapsed="false">
      <c r="A224" s="1" t="n">
        <v>50735</v>
      </c>
      <c r="B224" s="3" t="n">
        <v>44040</v>
      </c>
      <c r="C224" s="1" t="n">
        <v>1848</v>
      </c>
      <c r="D224" s="4" t="n">
        <v>831</v>
      </c>
      <c r="E224" s="1" t="s">
        <v>1950</v>
      </c>
    </row>
    <row r="225" customFormat="false" ht="15" hidden="false" customHeight="true" outlineLevel="0" collapsed="false">
      <c r="A225" s="1" t="n">
        <v>50358</v>
      </c>
      <c r="B225" s="3" t="n">
        <v>44068</v>
      </c>
      <c r="C225" s="1" t="n">
        <v>249</v>
      </c>
      <c r="D225" s="4" t="n">
        <v>790</v>
      </c>
      <c r="E225" s="1" t="s">
        <v>1950</v>
      </c>
    </row>
    <row r="226" customFormat="false" ht="15" hidden="false" customHeight="true" outlineLevel="0" collapsed="false">
      <c r="A226" s="1" t="n">
        <v>51500</v>
      </c>
      <c r="B226" s="3" t="n">
        <v>44015</v>
      </c>
      <c r="C226" s="1" t="n">
        <v>969</v>
      </c>
      <c r="D226" s="4" t="n">
        <v>733</v>
      </c>
      <c r="E226" s="1" t="s">
        <v>1950</v>
      </c>
    </row>
    <row r="227" customFormat="false" ht="15" hidden="false" customHeight="true" outlineLevel="0" collapsed="false">
      <c r="A227" s="1" t="n">
        <v>50854</v>
      </c>
      <c r="B227" s="3" t="n">
        <v>43986</v>
      </c>
      <c r="C227" s="1" t="n">
        <v>1066</v>
      </c>
      <c r="D227" s="4" t="n">
        <v>208</v>
      </c>
      <c r="E227" s="1" t="s">
        <v>1950</v>
      </c>
    </row>
    <row r="228" customFormat="false" ht="15" hidden="false" customHeight="true" outlineLevel="0" collapsed="false">
      <c r="A228" s="1" t="n">
        <v>50945</v>
      </c>
      <c r="B228" s="3" t="n">
        <v>44015</v>
      </c>
      <c r="C228" s="1" t="n">
        <v>1899</v>
      </c>
      <c r="D228" s="4" t="n">
        <v>0</v>
      </c>
      <c r="E228" s="1" t="s">
        <v>1949</v>
      </c>
    </row>
    <row r="229" customFormat="false" ht="15" hidden="false" customHeight="true" outlineLevel="0" collapsed="false">
      <c r="A229" s="1" t="n">
        <v>51985</v>
      </c>
      <c r="B229" s="3" t="n">
        <v>44048</v>
      </c>
      <c r="C229" s="1" t="n">
        <v>1839</v>
      </c>
      <c r="D229" s="4" t="n">
        <v>382</v>
      </c>
      <c r="E229" s="1" t="s">
        <v>1950</v>
      </c>
    </row>
    <row r="230" customFormat="false" ht="15" hidden="false" customHeight="true" outlineLevel="0" collapsed="false">
      <c r="A230" s="1" t="n">
        <v>51534</v>
      </c>
      <c r="B230" s="3" t="n">
        <v>44002</v>
      </c>
      <c r="C230" s="1" t="n">
        <v>1069</v>
      </c>
      <c r="D230" s="4" t="n">
        <v>0</v>
      </c>
      <c r="E230" s="1" t="s">
        <v>1949</v>
      </c>
    </row>
    <row r="231" customFormat="false" ht="15" hidden="false" customHeight="true" outlineLevel="0" collapsed="false">
      <c r="A231" s="1" t="n">
        <v>51796</v>
      </c>
      <c r="B231" s="3" t="n">
        <v>44061</v>
      </c>
      <c r="C231" s="1" t="n">
        <v>320</v>
      </c>
      <c r="D231" s="4" t="n">
        <v>0</v>
      </c>
      <c r="E231" s="1" t="s">
        <v>1949</v>
      </c>
    </row>
    <row r="232" customFormat="false" ht="15" hidden="false" customHeight="true" outlineLevel="0" collapsed="false">
      <c r="A232" s="1" t="n">
        <v>51663</v>
      </c>
      <c r="B232" s="3" t="n">
        <v>44007</v>
      </c>
      <c r="C232" s="1" t="n">
        <v>585</v>
      </c>
      <c r="D232" s="4" t="n">
        <v>0</v>
      </c>
      <c r="E232" s="1" t="s">
        <v>1949</v>
      </c>
    </row>
    <row r="233" customFormat="false" ht="15" hidden="false" customHeight="true" outlineLevel="0" collapsed="false">
      <c r="A233" s="1" t="n">
        <v>51347</v>
      </c>
      <c r="B233" s="3" t="n">
        <v>43993</v>
      </c>
      <c r="C233" s="1" t="n">
        <v>277</v>
      </c>
      <c r="D233" s="4" t="n">
        <v>117</v>
      </c>
      <c r="E233" s="1" t="s">
        <v>1950</v>
      </c>
    </row>
    <row r="234" customFormat="false" ht="15" hidden="false" customHeight="true" outlineLevel="0" collapsed="false">
      <c r="A234" s="1" t="n">
        <v>51090</v>
      </c>
      <c r="B234" s="3" t="n">
        <v>44054</v>
      </c>
      <c r="C234" s="1" t="n">
        <v>968</v>
      </c>
      <c r="D234" s="4" t="n">
        <v>675</v>
      </c>
      <c r="E234" s="1" t="s">
        <v>1950</v>
      </c>
    </row>
    <row r="235" customFormat="false" ht="15" hidden="false" customHeight="true" outlineLevel="0" collapsed="false">
      <c r="A235" s="1" t="n">
        <v>51567</v>
      </c>
      <c r="B235" s="3" t="n">
        <v>44055</v>
      </c>
      <c r="C235" s="1" t="n">
        <v>140</v>
      </c>
      <c r="D235" s="4" t="n">
        <v>202</v>
      </c>
      <c r="E235" s="1" t="s">
        <v>1950</v>
      </c>
    </row>
    <row r="236" customFormat="false" ht="15" hidden="false" customHeight="true" outlineLevel="0" collapsed="false">
      <c r="A236" s="1" t="n">
        <v>50161</v>
      </c>
      <c r="B236" s="3" t="n">
        <v>44027</v>
      </c>
      <c r="C236" s="1" t="n">
        <v>1547</v>
      </c>
      <c r="D236" s="4" t="n">
        <v>0</v>
      </c>
      <c r="E236" s="1" t="s">
        <v>1949</v>
      </c>
    </row>
    <row r="237" customFormat="false" ht="15" hidden="false" customHeight="true" outlineLevel="0" collapsed="false">
      <c r="A237" s="1" t="n">
        <v>50583</v>
      </c>
      <c r="B237" s="3" t="n">
        <v>43992</v>
      </c>
      <c r="C237" s="1" t="n">
        <v>643</v>
      </c>
      <c r="D237" s="4" t="n">
        <v>0</v>
      </c>
      <c r="E237" s="1" t="s">
        <v>1949</v>
      </c>
    </row>
    <row r="238" customFormat="false" ht="15" hidden="false" customHeight="true" outlineLevel="0" collapsed="false">
      <c r="A238" s="1" t="n">
        <v>50032</v>
      </c>
      <c r="B238" s="3" t="n">
        <v>44044</v>
      </c>
      <c r="C238" s="1" t="n">
        <v>1082</v>
      </c>
      <c r="D238" s="4" t="n">
        <v>540</v>
      </c>
      <c r="E238" s="1" t="s">
        <v>1950</v>
      </c>
    </row>
    <row r="239" customFormat="false" ht="15" hidden="false" customHeight="true" outlineLevel="0" collapsed="false">
      <c r="A239" s="1" t="n">
        <v>51647</v>
      </c>
      <c r="B239" s="3" t="n">
        <v>43993</v>
      </c>
      <c r="C239" s="1" t="n">
        <v>96</v>
      </c>
      <c r="D239" s="4" t="n">
        <v>0</v>
      </c>
      <c r="E239" s="1" t="s">
        <v>1949</v>
      </c>
    </row>
    <row r="240" customFormat="false" ht="15" hidden="false" customHeight="true" outlineLevel="0" collapsed="false">
      <c r="A240" s="1" t="n">
        <v>50353</v>
      </c>
      <c r="B240" s="3" t="n">
        <v>43984</v>
      </c>
      <c r="C240" s="1" t="n">
        <v>69</v>
      </c>
      <c r="D240" s="4" t="n">
        <v>0</v>
      </c>
      <c r="E240" s="1" t="s">
        <v>1949</v>
      </c>
    </row>
    <row r="241" customFormat="false" ht="15" hidden="false" customHeight="true" outlineLevel="0" collapsed="false">
      <c r="A241" s="1" t="n">
        <v>51829</v>
      </c>
      <c r="B241" s="3" t="n">
        <v>44064</v>
      </c>
      <c r="C241" s="1" t="n">
        <v>1530</v>
      </c>
      <c r="D241" s="4" t="n">
        <v>0</v>
      </c>
      <c r="E241" s="1" t="s">
        <v>1949</v>
      </c>
    </row>
    <row r="242" customFormat="false" ht="15" hidden="false" customHeight="true" outlineLevel="0" collapsed="false">
      <c r="A242" s="1" t="n">
        <v>51782</v>
      </c>
      <c r="B242" s="3" t="n">
        <v>43995</v>
      </c>
      <c r="C242" s="1" t="n">
        <v>1162</v>
      </c>
      <c r="D242" s="4" t="n">
        <v>547</v>
      </c>
      <c r="E242" s="1" t="s">
        <v>1950</v>
      </c>
    </row>
    <row r="243" customFormat="false" ht="15" hidden="false" customHeight="true" outlineLevel="0" collapsed="false">
      <c r="A243" s="1" t="n">
        <v>51674</v>
      </c>
      <c r="B243" s="3" t="n">
        <v>44047</v>
      </c>
      <c r="C243" s="1" t="n">
        <v>456</v>
      </c>
      <c r="D243" s="4" t="n">
        <v>755</v>
      </c>
      <c r="E243" s="1" t="s">
        <v>1950</v>
      </c>
    </row>
    <row r="244" customFormat="false" ht="15" hidden="false" customHeight="true" outlineLevel="0" collapsed="false">
      <c r="A244" s="1" t="n">
        <v>51757</v>
      </c>
      <c r="B244" s="3" t="n">
        <v>43995</v>
      </c>
      <c r="C244" s="1" t="n">
        <v>1980</v>
      </c>
      <c r="D244" s="4" t="n">
        <v>0</v>
      </c>
      <c r="E244" s="1" t="s">
        <v>1949</v>
      </c>
    </row>
    <row r="245" customFormat="false" ht="15" hidden="false" customHeight="true" outlineLevel="0" collapsed="false">
      <c r="A245" s="1" t="n">
        <v>50322</v>
      </c>
      <c r="B245" s="3" t="n">
        <v>43987</v>
      </c>
      <c r="C245" s="1" t="n">
        <v>195</v>
      </c>
      <c r="D245" s="4" t="n">
        <v>0</v>
      </c>
      <c r="E245" s="1" t="s">
        <v>1949</v>
      </c>
    </row>
    <row r="246" customFormat="false" ht="15" hidden="false" customHeight="true" outlineLevel="0" collapsed="false">
      <c r="A246" s="1" t="n">
        <v>50306</v>
      </c>
      <c r="B246" s="3" t="n">
        <v>44046</v>
      </c>
      <c r="C246" s="1" t="n">
        <v>722</v>
      </c>
      <c r="D246" s="4" t="n">
        <v>590</v>
      </c>
      <c r="E246" s="1" t="s">
        <v>1950</v>
      </c>
    </row>
    <row r="247" customFormat="false" ht="15" hidden="false" customHeight="true" outlineLevel="0" collapsed="false">
      <c r="A247" s="1" t="n">
        <v>51825</v>
      </c>
      <c r="B247" s="3" t="n">
        <v>44066</v>
      </c>
      <c r="C247" s="1" t="n">
        <v>1079</v>
      </c>
      <c r="D247" s="4" t="n">
        <v>764</v>
      </c>
      <c r="E247" s="1" t="s">
        <v>1950</v>
      </c>
    </row>
    <row r="248" customFormat="false" ht="15" hidden="false" customHeight="true" outlineLevel="0" collapsed="false">
      <c r="A248" s="1" t="n">
        <v>51638</v>
      </c>
      <c r="B248" s="3" t="n">
        <v>44006</v>
      </c>
      <c r="C248" s="1" t="n">
        <v>243</v>
      </c>
      <c r="D248" s="4" t="n">
        <v>645</v>
      </c>
      <c r="E248" s="1" t="s">
        <v>1950</v>
      </c>
    </row>
    <row r="249" customFormat="false" ht="15" hidden="false" customHeight="true" outlineLevel="0" collapsed="false">
      <c r="A249" s="1" t="n">
        <v>50846</v>
      </c>
      <c r="B249" s="3" t="n">
        <v>44057</v>
      </c>
      <c r="C249" s="1" t="n">
        <v>90</v>
      </c>
      <c r="D249" s="4" t="n">
        <v>0</v>
      </c>
      <c r="E249" s="1" t="s">
        <v>1949</v>
      </c>
    </row>
    <row r="250" customFormat="false" ht="15" hidden="false" customHeight="true" outlineLevel="0" collapsed="false">
      <c r="A250" s="1" t="n">
        <v>50097</v>
      </c>
      <c r="B250" s="3" t="n">
        <v>44062</v>
      </c>
      <c r="C250" s="1" t="n">
        <v>565</v>
      </c>
      <c r="D250" s="4" t="n">
        <v>0</v>
      </c>
      <c r="E250" s="1" t="s">
        <v>1949</v>
      </c>
    </row>
    <row r="251" customFormat="false" ht="15" hidden="false" customHeight="true" outlineLevel="0" collapsed="false">
      <c r="A251" s="1" t="n">
        <v>51570</v>
      </c>
      <c r="B251" s="3" t="n">
        <v>44006</v>
      </c>
      <c r="C251" s="1" t="n">
        <v>684</v>
      </c>
      <c r="D251" s="4" t="n">
        <v>0</v>
      </c>
      <c r="E251" s="1" t="s">
        <v>1949</v>
      </c>
    </row>
    <row r="252" customFormat="false" ht="15" hidden="false" customHeight="true" outlineLevel="0" collapsed="false">
      <c r="A252" s="1" t="n">
        <v>51220</v>
      </c>
      <c r="B252" s="3" t="n">
        <v>44036</v>
      </c>
      <c r="C252" s="1" t="n">
        <v>1231</v>
      </c>
      <c r="D252" s="4" t="n">
        <v>706</v>
      </c>
      <c r="E252" s="1" t="s">
        <v>1950</v>
      </c>
    </row>
    <row r="253" customFormat="false" ht="15" hidden="false" customHeight="true" outlineLevel="0" collapsed="false">
      <c r="A253" s="1" t="n">
        <v>51694</v>
      </c>
      <c r="B253" s="3" t="n">
        <v>44042</v>
      </c>
      <c r="C253" s="1" t="n">
        <v>544</v>
      </c>
      <c r="D253" s="4" t="n">
        <v>0</v>
      </c>
      <c r="E253" s="1" t="s">
        <v>1949</v>
      </c>
    </row>
    <row r="254" customFormat="false" ht="15" hidden="false" customHeight="true" outlineLevel="0" collapsed="false">
      <c r="A254" s="1" t="n">
        <v>50215</v>
      </c>
      <c r="B254" s="3" t="n">
        <v>44059</v>
      </c>
      <c r="C254" s="1" t="n">
        <v>1543</v>
      </c>
      <c r="D254" s="4" t="n">
        <v>0</v>
      </c>
      <c r="E254" s="1" t="s">
        <v>1949</v>
      </c>
    </row>
    <row r="255" customFormat="false" ht="15" hidden="false" customHeight="true" outlineLevel="0" collapsed="false">
      <c r="A255" s="1" t="n">
        <v>51455</v>
      </c>
      <c r="B255" s="3" t="n">
        <v>44059</v>
      </c>
      <c r="C255" s="1" t="n">
        <v>1464</v>
      </c>
      <c r="D255" s="4" t="n">
        <v>740</v>
      </c>
      <c r="E255" s="1" t="s">
        <v>1950</v>
      </c>
    </row>
    <row r="256" customFormat="false" ht="15" hidden="false" customHeight="true" outlineLevel="0" collapsed="false">
      <c r="A256" s="1" t="n">
        <v>50624</v>
      </c>
      <c r="B256" s="3" t="n">
        <v>43988</v>
      </c>
      <c r="C256" s="1" t="n">
        <v>382</v>
      </c>
      <c r="D256" s="4" t="n">
        <v>287</v>
      </c>
      <c r="E256" s="1" t="s">
        <v>1950</v>
      </c>
    </row>
    <row r="257" customFormat="false" ht="15" hidden="false" customHeight="true" outlineLevel="0" collapsed="false">
      <c r="A257" s="1" t="n">
        <v>50839</v>
      </c>
      <c r="B257" s="3" t="n">
        <v>44037</v>
      </c>
      <c r="C257" s="1" t="n">
        <v>411</v>
      </c>
      <c r="D257" s="4" t="n">
        <v>717</v>
      </c>
      <c r="E257" s="1" t="s">
        <v>1950</v>
      </c>
    </row>
    <row r="258" customFormat="false" ht="15" hidden="false" customHeight="true" outlineLevel="0" collapsed="false">
      <c r="A258" s="1" t="n">
        <v>50829</v>
      </c>
      <c r="B258" s="3" t="n">
        <v>44071</v>
      </c>
      <c r="C258" s="1" t="n">
        <v>449</v>
      </c>
      <c r="D258" s="4" t="n">
        <v>511</v>
      </c>
      <c r="E258" s="1" t="s">
        <v>1950</v>
      </c>
    </row>
    <row r="259" customFormat="false" ht="15" hidden="false" customHeight="true" outlineLevel="0" collapsed="false">
      <c r="A259" s="1" t="n">
        <v>50820</v>
      </c>
      <c r="B259" s="3" t="n">
        <v>43985</v>
      </c>
      <c r="C259" s="1" t="n">
        <v>974</v>
      </c>
      <c r="D259" s="4" t="n">
        <v>0</v>
      </c>
      <c r="E259" s="1" t="s">
        <v>1949</v>
      </c>
    </row>
    <row r="260" customFormat="false" ht="15" hidden="false" customHeight="true" outlineLevel="0" collapsed="false">
      <c r="A260" s="1" t="n">
        <v>51405</v>
      </c>
      <c r="B260" s="3" t="n">
        <v>44013</v>
      </c>
      <c r="C260" s="1" t="n">
        <v>1718</v>
      </c>
      <c r="D260" s="4" t="n">
        <v>158</v>
      </c>
      <c r="E260" s="1" t="s">
        <v>1950</v>
      </c>
    </row>
    <row r="261" customFormat="false" ht="15" hidden="false" customHeight="true" outlineLevel="0" collapsed="false">
      <c r="A261" s="1" t="n">
        <v>51060</v>
      </c>
      <c r="B261" s="3" t="n">
        <v>43997</v>
      </c>
      <c r="C261" s="1" t="n">
        <v>1375</v>
      </c>
      <c r="D261" s="4" t="n">
        <v>265</v>
      </c>
      <c r="E261" s="1" t="s">
        <v>1950</v>
      </c>
    </row>
    <row r="262" customFormat="false" ht="15" hidden="false" customHeight="true" outlineLevel="0" collapsed="false">
      <c r="A262" s="1" t="n">
        <v>51206</v>
      </c>
      <c r="B262" s="3" t="n">
        <v>44043</v>
      </c>
      <c r="C262" s="1" t="n">
        <v>1196</v>
      </c>
      <c r="D262" s="4" t="n">
        <v>0</v>
      </c>
      <c r="E262" s="1" t="s">
        <v>1949</v>
      </c>
    </row>
    <row r="263" customFormat="false" ht="15" hidden="false" customHeight="true" outlineLevel="0" collapsed="false">
      <c r="A263" s="1" t="n">
        <v>51460</v>
      </c>
      <c r="B263" s="3" t="n">
        <v>44071</v>
      </c>
      <c r="C263" s="1" t="n">
        <v>914</v>
      </c>
      <c r="D263" s="4" t="n">
        <v>314</v>
      </c>
      <c r="E263" s="1" t="s">
        <v>1950</v>
      </c>
    </row>
    <row r="264" customFormat="false" ht="15" hidden="false" customHeight="true" outlineLevel="0" collapsed="false">
      <c r="A264" s="1" t="n">
        <v>51254</v>
      </c>
      <c r="B264" s="3" t="n">
        <v>44013</v>
      </c>
      <c r="C264" s="1" t="n">
        <v>846</v>
      </c>
      <c r="D264" s="4" t="n">
        <v>0</v>
      </c>
      <c r="E264" s="1" t="s">
        <v>1949</v>
      </c>
    </row>
    <row r="265" customFormat="false" ht="15" hidden="false" customHeight="true" outlineLevel="0" collapsed="false">
      <c r="A265" s="1" t="n">
        <v>50687</v>
      </c>
      <c r="B265" s="3" t="n">
        <v>44030</v>
      </c>
      <c r="C265" s="1" t="n">
        <v>1629</v>
      </c>
      <c r="D265" s="4" t="n">
        <v>304</v>
      </c>
      <c r="E265" s="1" t="s">
        <v>1950</v>
      </c>
    </row>
    <row r="266" customFormat="false" ht="15" hidden="false" customHeight="true" outlineLevel="0" collapsed="false">
      <c r="A266" s="1" t="n">
        <v>51840</v>
      </c>
      <c r="B266" s="3" t="n">
        <v>44043</v>
      </c>
      <c r="C266" s="1" t="n">
        <v>1458</v>
      </c>
      <c r="D266" s="4" t="n">
        <v>172</v>
      </c>
      <c r="E266" s="1" t="s">
        <v>1950</v>
      </c>
    </row>
    <row r="267" customFormat="false" ht="15" hidden="false" customHeight="true" outlineLevel="0" collapsed="false">
      <c r="A267" s="1" t="n">
        <v>51983</v>
      </c>
      <c r="B267" s="3" t="n">
        <v>44023</v>
      </c>
      <c r="C267" s="1" t="n">
        <v>200</v>
      </c>
      <c r="D267" s="4" t="n">
        <v>117</v>
      </c>
      <c r="E267" s="1" t="s">
        <v>1950</v>
      </c>
    </row>
    <row r="268" customFormat="false" ht="15" hidden="false" customHeight="true" outlineLevel="0" collapsed="false">
      <c r="A268" s="1" t="n">
        <v>51658</v>
      </c>
      <c r="B268" s="3" t="n">
        <v>44036</v>
      </c>
      <c r="C268" s="1" t="n">
        <v>252</v>
      </c>
      <c r="D268" s="4" t="n">
        <v>325</v>
      </c>
      <c r="E268" s="1" t="s">
        <v>1950</v>
      </c>
    </row>
    <row r="269" customFormat="false" ht="15" hidden="false" customHeight="true" outlineLevel="0" collapsed="false">
      <c r="A269" s="1" t="n">
        <v>51547</v>
      </c>
      <c r="B269" s="3" t="n">
        <v>44001</v>
      </c>
      <c r="C269" s="1" t="n">
        <v>1444</v>
      </c>
      <c r="D269" s="4" t="n">
        <v>0</v>
      </c>
      <c r="E269" s="1" t="s">
        <v>1949</v>
      </c>
    </row>
    <row r="270" customFormat="false" ht="15" hidden="false" customHeight="true" outlineLevel="0" collapsed="false">
      <c r="A270" s="1" t="n">
        <v>51821</v>
      </c>
      <c r="B270" s="3" t="n">
        <v>43983</v>
      </c>
      <c r="C270" s="1" t="n">
        <v>1912</v>
      </c>
      <c r="D270" s="4" t="n">
        <v>0</v>
      </c>
      <c r="E270" s="1" t="s">
        <v>1949</v>
      </c>
    </row>
    <row r="271" customFormat="false" ht="15" hidden="false" customHeight="true" outlineLevel="0" collapsed="false">
      <c r="A271" s="1" t="n">
        <v>51908</v>
      </c>
      <c r="B271" s="3" t="n">
        <v>44013</v>
      </c>
      <c r="C271" s="1" t="n">
        <v>1485</v>
      </c>
      <c r="D271" s="4" t="n">
        <v>0</v>
      </c>
      <c r="E271" s="1" t="s">
        <v>1949</v>
      </c>
    </row>
    <row r="272" customFormat="false" ht="15" hidden="false" customHeight="true" outlineLevel="0" collapsed="false">
      <c r="A272" s="1" t="n">
        <v>50221</v>
      </c>
      <c r="B272" s="3" t="n">
        <v>44050</v>
      </c>
      <c r="C272" s="1" t="n">
        <v>1419</v>
      </c>
      <c r="D272" s="4" t="n">
        <v>704</v>
      </c>
      <c r="E272" s="1" t="s">
        <v>1950</v>
      </c>
    </row>
    <row r="273" customFormat="false" ht="15" hidden="false" customHeight="true" outlineLevel="0" collapsed="false">
      <c r="A273" s="1" t="n">
        <v>50034</v>
      </c>
      <c r="B273" s="3" t="n">
        <v>44066</v>
      </c>
      <c r="C273" s="1" t="n">
        <v>623</v>
      </c>
      <c r="D273" s="4" t="n">
        <v>0</v>
      </c>
      <c r="E273" s="1" t="s">
        <v>1949</v>
      </c>
    </row>
    <row r="274" customFormat="false" ht="15" hidden="false" customHeight="true" outlineLevel="0" collapsed="false">
      <c r="A274" s="1" t="n">
        <v>51149</v>
      </c>
      <c r="B274" s="3" t="n">
        <v>43988</v>
      </c>
      <c r="C274" s="1" t="n">
        <v>1793</v>
      </c>
      <c r="D274" s="4" t="n">
        <v>0</v>
      </c>
      <c r="E274" s="1" t="s">
        <v>1949</v>
      </c>
    </row>
    <row r="275" customFormat="false" ht="15" hidden="false" customHeight="true" outlineLevel="0" collapsed="false">
      <c r="A275" s="1" t="n">
        <v>50133</v>
      </c>
      <c r="B275" s="3" t="n">
        <v>44021</v>
      </c>
      <c r="C275" s="1" t="n">
        <v>507</v>
      </c>
      <c r="D275" s="4" t="n">
        <v>0</v>
      </c>
      <c r="E275" s="1" t="s">
        <v>1949</v>
      </c>
    </row>
    <row r="276" customFormat="false" ht="15" hidden="false" customHeight="true" outlineLevel="0" collapsed="false">
      <c r="A276" s="1" t="n">
        <v>50062</v>
      </c>
      <c r="B276" s="3" t="n">
        <v>44009</v>
      </c>
      <c r="C276" s="1" t="n">
        <v>978</v>
      </c>
      <c r="D276" s="4" t="n">
        <v>309</v>
      </c>
      <c r="E276" s="1" t="s">
        <v>1950</v>
      </c>
    </row>
    <row r="277" customFormat="false" ht="15" hidden="false" customHeight="true" outlineLevel="0" collapsed="false">
      <c r="A277" s="1" t="n">
        <v>50634</v>
      </c>
      <c r="B277" s="3" t="n">
        <v>43984</v>
      </c>
      <c r="C277" s="1" t="n">
        <v>1860</v>
      </c>
      <c r="D277" s="4" t="n">
        <v>222</v>
      </c>
      <c r="E277" s="1" t="s">
        <v>1950</v>
      </c>
    </row>
    <row r="278" customFormat="false" ht="15" hidden="false" customHeight="true" outlineLevel="0" collapsed="false">
      <c r="A278" s="1" t="n">
        <v>50182</v>
      </c>
      <c r="B278" s="3" t="n">
        <v>44022</v>
      </c>
      <c r="C278" s="1" t="n">
        <v>1339</v>
      </c>
      <c r="D278" s="4" t="n">
        <v>695</v>
      </c>
      <c r="E278" s="1" t="s">
        <v>1950</v>
      </c>
    </row>
    <row r="279" customFormat="false" ht="15" hidden="false" customHeight="true" outlineLevel="0" collapsed="false">
      <c r="A279" s="1" t="n">
        <v>50786</v>
      </c>
      <c r="B279" s="3" t="n">
        <v>44056</v>
      </c>
      <c r="C279" s="1" t="n">
        <v>445</v>
      </c>
      <c r="D279" s="4" t="n">
        <v>656</v>
      </c>
      <c r="E279" s="1" t="s">
        <v>1950</v>
      </c>
    </row>
    <row r="280" customFormat="false" ht="15" hidden="false" customHeight="true" outlineLevel="0" collapsed="false">
      <c r="A280" s="1" t="n">
        <v>50114</v>
      </c>
      <c r="B280" s="3" t="n">
        <v>44005</v>
      </c>
      <c r="C280" s="1" t="n">
        <v>669</v>
      </c>
      <c r="D280" s="4" t="n">
        <v>216</v>
      </c>
      <c r="E280" s="1" t="s">
        <v>1950</v>
      </c>
    </row>
    <row r="281" customFormat="false" ht="15" hidden="false" customHeight="true" outlineLevel="0" collapsed="false">
      <c r="A281" s="1" t="n">
        <v>51621</v>
      </c>
      <c r="B281" s="3" t="n">
        <v>44045</v>
      </c>
      <c r="C281" s="1" t="n">
        <v>12</v>
      </c>
      <c r="D281" s="4" t="n">
        <v>449</v>
      </c>
      <c r="E281" s="1" t="s">
        <v>1950</v>
      </c>
    </row>
    <row r="282" customFormat="false" ht="15" hidden="false" customHeight="true" outlineLevel="0" collapsed="false">
      <c r="A282" s="1" t="n">
        <v>51668</v>
      </c>
      <c r="B282" s="3" t="n">
        <v>44025</v>
      </c>
      <c r="C282" s="1" t="n">
        <v>1862</v>
      </c>
      <c r="D282" s="4" t="n">
        <v>167</v>
      </c>
      <c r="E282" s="1" t="s">
        <v>1950</v>
      </c>
    </row>
    <row r="283" customFormat="false" ht="15" hidden="false" customHeight="true" outlineLevel="0" collapsed="false">
      <c r="A283" s="1" t="n">
        <v>51329</v>
      </c>
      <c r="B283" s="3" t="n">
        <v>44061</v>
      </c>
      <c r="C283" s="1" t="n">
        <v>1886</v>
      </c>
      <c r="D283" s="4" t="n">
        <v>642</v>
      </c>
      <c r="E283" s="1" t="s">
        <v>1950</v>
      </c>
    </row>
    <row r="284" customFormat="false" ht="15" hidden="false" customHeight="true" outlineLevel="0" collapsed="false">
      <c r="A284" s="1" t="n">
        <v>51101</v>
      </c>
      <c r="B284" s="3" t="n">
        <v>43983</v>
      </c>
      <c r="C284" s="1" t="n">
        <v>1768</v>
      </c>
      <c r="D284" s="4" t="n">
        <v>872</v>
      </c>
      <c r="E284" s="1" t="s">
        <v>1950</v>
      </c>
    </row>
    <row r="285" customFormat="false" ht="15" hidden="false" customHeight="true" outlineLevel="0" collapsed="false">
      <c r="A285" s="1" t="n">
        <v>50570</v>
      </c>
      <c r="B285" s="3" t="n">
        <v>44004</v>
      </c>
      <c r="C285" s="1" t="n">
        <v>1622</v>
      </c>
      <c r="D285" s="4" t="n">
        <v>169</v>
      </c>
      <c r="E285" s="1" t="s">
        <v>1950</v>
      </c>
    </row>
    <row r="286" customFormat="false" ht="15" hidden="false" customHeight="true" outlineLevel="0" collapsed="false">
      <c r="A286" s="1" t="n">
        <v>50657</v>
      </c>
      <c r="B286" s="3" t="n">
        <v>44002</v>
      </c>
      <c r="C286" s="1" t="n">
        <v>86</v>
      </c>
      <c r="D286" s="4" t="n">
        <v>116</v>
      </c>
      <c r="E286" s="1" t="s">
        <v>1950</v>
      </c>
    </row>
    <row r="287" customFormat="false" ht="15" hidden="false" customHeight="true" outlineLevel="0" collapsed="false">
      <c r="A287" s="1" t="n">
        <v>50776</v>
      </c>
      <c r="B287" s="3" t="n">
        <v>44011</v>
      </c>
      <c r="C287" s="1" t="n">
        <v>1500</v>
      </c>
      <c r="D287" s="4" t="n">
        <v>707</v>
      </c>
      <c r="E287" s="1" t="s">
        <v>1950</v>
      </c>
    </row>
    <row r="288" customFormat="false" ht="15" hidden="false" customHeight="true" outlineLevel="0" collapsed="false">
      <c r="A288" s="1" t="n">
        <v>51076</v>
      </c>
      <c r="B288" s="3" t="n">
        <v>44064</v>
      </c>
      <c r="C288" s="1" t="n">
        <v>152</v>
      </c>
      <c r="D288" s="4" t="n">
        <v>829</v>
      </c>
      <c r="E288" s="1" t="s">
        <v>1950</v>
      </c>
    </row>
    <row r="289" customFormat="false" ht="15" hidden="false" customHeight="true" outlineLevel="0" collapsed="false">
      <c r="A289" s="1" t="n">
        <v>50387</v>
      </c>
      <c r="B289" s="3" t="n">
        <v>44049</v>
      </c>
      <c r="C289" s="1" t="n">
        <v>427</v>
      </c>
      <c r="D289" s="4" t="n">
        <v>0</v>
      </c>
      <c r="E289" s="1" t="s">
        <v>1949</v>
      </c>
    </row>
    <row r="290" customFormat="false" ht="15" hidden="false" customHeight="true" outlineLevel="0" collapsed="false">
      <c r="A290" s="1" t="n">
        <v>50186</v>
      </c>
      <c r="B290" s="3" t="n">
        <v>44019</v>
      </c>
      <c r="C290" s="1" t="n">
        <v>477</v>
      </c>
      <c r="D290" s="4" t="n">
        <v>326</v>
      </c>
      <c r="E290" s="1" t="s">
        <v>1950</v>
      </c>
    </row>
    <row r="291" customFormat="false" ht="15" hidden="false" customHeight="true" outlineLevel="0" collapsed="false">
      <c r="A291" s="1" t="n">
        <v>51959</v>
      </c>
      <c r="B291" s="3" t="n">
        <v>44000</v>
      </c>
      <c r="C291" s="1" t="n">
        <v>949</v>
      </c>
      <c r="D291" s="4" t="n">
        <v>286</v>
      </c>
      <c r="E291" s="1" t="s">
        <v>1950</v>
      </c>
    </row>
    <row r="292" customFormat="false" ht="15" hidden="false" customHeight="true" outlineLevel="0" collapsed="false">
      <c r="A292" s="1" t="n">
        <v>50879</v>
      </c>
      <c r="B292" s="3" t="n">
        <v>44021</v>
      </c>
      <c r="C292" s="1" t="n">
        <v>1436</v>
      </c>
      <c r="D292" s="4" t="n">
        <v>758</v>
      </c>
      <c r="E292" s="1" t="s">
        <v>1950</v>
      </c>
    </row>
    <row r="293" customFormat="false" ht="15" hidden="false" customHeight="true" outlineLevel="0" collapsed="false">
      <c r="A293" s="1" t="n">
        <v>51970</v>
      </c>
      <c r="B293" s="3" t="n">
        <v>44067</v>
      </c>
      <c r="C293" s="1" t="n">
        <v>1763</v>
      </c>
      <c r="D293" s="4" t="n">
        <v>0</v>
      </c>
      <c r="E293" s="1" t="s">
        <v>1949</v>
      </c>
    </row>
    <row r="294" customFormat="false" ht="15" hidden="false" customHeight="true" outlineLevel="0" collapsed="false">
      <c r="A294" s="1" t="n">
        <v>50222</v>
      </c>
      <c r="B294" s="3" t="n">
        <v>44033</v>
      </c>
      <c r="C294" s="1" t="n">
        <v>900</v>
      </c>
      <c r="D294" s="4" t="n">
        <v>0</v>
      </c>
      <c r="E294" s="1" t="s">
        <v>1949</v>
      </c>
    </row>
    <row r="295" customFormat="false" ht="15" hidden="false" customHeight="true" outlineLevel="0" collapsed="false">
      <c r="A295" s="1" t="n">
        <v>51573</v>
      </c>
      <c r="B295" s="3" t="n">
        <v>44014</v>
      </c>
      <c r="C295" s="1" t="n">
        <v>141</v>
      </c>
      <c r="D295" s="4" t="n">
        <v>0</v>
      </c>
      <c r="E295" s="1" t="s">
        <v>1949</v>
      </c>
    </row>
    <row r="296" customFormat="false" ht="15" hidden="false" customHeight="true" outlineLevel="0" collapsed="false">
      <c r="A296" s="1" t="n">
        <v>51001</v>
      </c>
      <c r="B296" s="3" t="n">
        <v>43988</v>
      </c>
      <c r="C296" s="1" t="n">
        <v>172</v>
      </c>
      <c r="D296" s="4" t="n">
        <v>570</v>
      </c>
      <c r="E296" s="1" t="s">
        <v>1950</v>
      </c>
    </row>
    <row r="297" customFormat="false" ht="15" hidden="false" customHeight="true" outlineLevel="0" collapsed="false">
      <c r="A297" s="1" t="n">
        <v>50878</v>
      </c>
      <c r="B297" s="3" t="n">
        <v>43997</v>
      </c>
      <c r="C297" s="1" t="n">
        <v>319</v>
      </c>
      <c r="D297" s="4" t="n">
        <v>751</v>
      </c>
      <c r="E297" s="1" t="s">
        <v>1950</v>
      </c>
    </row>
    <row r="298" customFormat="false" ht="15" hidden="false" customHeight="true" outlineLevel="0" collapsed="false">
      <c r="A298" s="1" t="n">
        <v>50424</v>
      </c>
      <c r="B298" s="3" t="n">
        <v>44058</v>
      </c>
      <c r="C298" s="1" t="n">
        <v>222</v>
      </c>
      <c r="D298" s="4" t="n">
        <v>692</v>
      </c>
      <c r="E298" s="1" t="s">
        <v>1950</v>
      </c>
    </row>
    <row r="299" customFormat="false" ht="15" hidden="false" customHeight="true" outlineLevel="0" collapsed="false">
      <c r="A299" s="1" t="n">
        <v>51879</v>
      </c>
      <c r="B299" s="3" t="n">
        <v>44064</v>
      </c>
      <c r="C299" s="1" t="n">
        <v>714</v>
      </c>
      <c r="D299" s="4" t="n">
        <v>657</v>
      </c>
      <c r="E299" s="1" t="s">
        <v>1950</v>
      </c>
    </row>
    <row r="300" customFormat="false" ht="15" hidden="false" customHeight="true" outlineLevel="0" collapsed="false">
      <c r="A300" s="1" t="n">
        <v>50124</v>
      </c>
      <c r="B300" s="3" t="n">
        <v>44049</v>
      </c>
      <c r="C300" s="1" t="n">
        <v>754</v>
      </c>
      <c r="D300" s="4" t="n">
        <v>343</v>
      </c>
      <c r="E300" s="1" t="s">
        <v>1950</v>
      </c>
    </row>
    <row r="301" customFormat="false" ht="15" hidden="false" customHeight="true" outlineLevel="0" collapsed="false">
      <c r="A301" s="1" t="n">
        <v>50928</v>
      </c>
      <c r="B301" s="3" t="n">
        <v>44002</v>
      </c>
      <c r="C301" s="1" t="n">
        <v>864</v>
      </c>
      <c r="D301" s="4" t="n">
        <v>443</v>
      </c>
      <c r="E301" s="1" t="s">
        <v>1950</v>
      </c>
    </row>
    <row r="302" customFormat="false" ht="15" hidden="false" customHeight="true" outlineLevel="0" collapsed="false">
      <c r="A302" s="1" t="n">
        <v>50050</v>
      </c>
      <c r="B302" s="3" t="n">
        <v>44008</v>
      </c>
      <c r="C302" s="1" t="n">
        <v>1022</v>
      </c>
      <c r="D302" s="4" t="n">
        <v>0</v>
      </c>
      <c r="E302" s="1" t="s">
        <v>1949</v>
      </c>
    </row>
    <row r="303" customFormat="false" ht="15" hidden="false" customHeight="true" outlineLevel="0" collapsed="false">
      <c r="A303" s="1" t="n">
        <v>50638</v>
      </c>
      <c r="B303" s="3" t="n">
        <v>44020</v>
      </c>
      <c r="C303" s="1" t="n">
        <v>301</v>
      </c>
      <c r="D303" s="4" t="n">
        <v>0</v>
      </c>
      <c r="E303" s="1" t="s">
        <v>1949</v>
      </c>
    </row>
    <row r="304" customFormat="false" ht="15" hidden="false" customHeight="true" outlineLevel="0" collapsed="false">
      <c r="A304" s="1" t="n">
        <v>50211</v>
      </c>
      <c r="B304" s="3" t="n">
        <v>44029</v>
      </c>
      <c r="C304" s="1" t="n">
        <v>1518</v>
      </c>
      <c r="D304" s="4" t="n">
        <v>0</v>
      </c>
      <c r="E304" s="1" t="s">
        <v>1949</v>
      </c>
    </row>
    <row r="305" customFormat="false" ht="15" hidden="false" customHeight="true" outlineLevel="0" collapsed="false">
      <c r="A305" s="1" t="n">
        <v>50455</v>
      </c>
      <c r="B305" s="3" t="n">
        <v>44048</v>
      </c>
      <c r="C305" s="1" t="n">
        <v>965</v>
      </c>
      <c r="D305" s="4" t="n">
        <v>746</v>
      </c>
      <c r="E305" s="1" t="s">
        <v>1950</v>
      </c>
    </row>
    <row r="306" customFormat="false" ht="15" hidden="false" customHeight="true" outlineLevel="0" collapsed="false">
      <c r="A306" s="1" t="n">
        <v>50117</v>
      </c>
      <c r="B306" s="3" t="n">
        <v>44048</v>
      </c>
      <c r="C306" s="1" t="n">
        <v>296</v>
      </c>
      <c r="D306" s="4" t="n">
        <v>742</v>
      </c>
      <c r="E306" s="1" t="s">
        <v>1950</v>
      </c>
    </row>
    <row r="307" customFormat="false" ht="15" hidden="false" customHeight="true" outlineLevel="0" collapsed="false">
      <c r="A307" s="1" t="n">
        <v>51571</v>
      </c>
      <c r="B307" s="3" t="n">
        <v>44018</v>
      </c>
      <c r="C307" s="1" t="n">
        <v>705</v>
      </c>
      <c r="D307" s="4" t="n">
        <v>0</v>
      </c>
      <c r="E307" s="1" t="s">
        <v>1949</v>
      </c>
    </row>
    <row r="308" customFormat="false" ht="15" hidden="false" customHeight="true" outlineLevel="0" collapsed="false">
      <c r="A308" s="1" t="n">
        <v>51711</v>
      </c>
      <c r="B308" s="3" t="n">
        <v>44026</v>
      </c>
      <c r="C308" s="1" t="n">
        <v>464</v>
      </c>
      <c r="D308" s="4" t="n">
        <v>0</v>
      </c>
      <c r="E308" s="1" t="s">
        <v>1949</v>
      </c>
    </row>
    <row r="309" customFormat="false" ht="15" hidden="false" customHeight="true" outlineLevel="0" collapsed="false">
      <c r="A309" s="1" t="n">
        <v>50148</v>
      </c>
      <c r="B309" s="3" t="n">
        <v>44057</v>
      </c>
      <c r="C309" s="1" t="n">
        <v>1081</v>
      </c>
      <c r="D309" s="4" t="n">
        <v>0</v>
      </c>
      <c r="E309" s="1" t="s">
        <v>1949</v>
      </c>
    </row>
    <row r="310" customFormat="false" ht="15" hidden="false" customHeight="true" outlineLevel="0" collapsed="false">
      <c r="A310" s="1" t="n">
        <v>50079</v>
      </c>
      <c r="B310" s="3" t="n">
        <v>44004</v>
      </c>
      <c r="C310" s="1" t="n">
        <v>1704</v>
      </c>
      <c r="D310" s="4" t="n">
        <v>0</v>
      </c>
      <c r="E310" s="1" t="s">
        <v>1949</v>
      </c>
    </row>
    <row r="311" customFormat="false" ht="15" hidden="false" customHeight="true" outlineLevel="0" collapsed="false">
      <c r="A311" s="1" t="n">
        <v>51157</v>
      </c>
      <c r="B311" s="3" t="n">
        <v>44070</v>
      </c>
      <c r="C311" s="1" t="n">
        <v>709</v>
      </c>
      <c r="D311" s="4" t="n">
        <v>560</v>
      </c>
      <c r="E311" s="1" t="s">
        <v>1950</v>
      </c>
    </row>
    <row r="312" customFormat="false" ht="15" hidden="false" customHeight="true" outlineLevel="0" collapsed="false">
      <c r="A312" s="1" t="n">
        <v>51141</v>
      </c>
      <c r="B312" s="3" t="n">
        <v>43996</v>
      </c>
      <c r="C312" s="1" t="n">
        <v>16</v>
      </c>
      <c r="D312" s="4" t="n">
        <v>0</v>
      </c>
      <c r="E312" s="1" t="s">
        <v>1949</v>
      </c>
    </row>
    <row r="313" customFormat="false" ht="15" hidden="false" customHeight="true" outlineLevel="0" collapsed="false">
      <c r="A313" s="1" t="n">
        <v>50788</v>
      </c>
      <c r="B313" s="3" t="n">
        <v>44047</v>
      </c>
      <c r="C313" s="1" t="n">
        <v>36</v>
      </c>
      <c r="D313" s="4" t="n">
        <v>655</v>
      </c>
      <c r="E313" s="1" t="s">
        <v>1950</v>
      </c>
    </row>
    <row r="314" customFormat="false" ht="15" hidden="false" customHeight="true" outlineLevel="0" collapsed="false">
      <c r="A314" s="1" t="n">
        <v>50216</v>
      </c>
      <c r="B314" s="3" t="n">
        <v>44032</v>
      </c>
      <c r="C314" s="1" t="n">
        <v>348</v>
      </c>
      <c r="D314" s="4" t="n">
        <v>697</v>
      </c>
      <c r="E314" s="1" t="s">
        <v>1950</v>
      </c>
    </row>
    <row r="315" customFormat="false" ht="15" hidden="false" customHeight="true" outlineLevel="0" collapsed="false">
      <c r="A315" s="1" t="n">
        <v>50948</v>
      </c>
      <c r="B315" s="3" t="n">
        <v>44040</v>
      </c>
      <c r="C315" s="1" t="n">
        <v>357</v>
      </c>
      <c r="D315" s="4" t="n">
        <v>0</v>
      </c>
      <c r="E315" s="1" t="s">
        <v>1949</v>
      </c>
    </row>
    <row r="316" customFormat="false" ht="15" hidden="false" customHeight="true" outlineLevel="0" collapsed="false">
      <c r="A316" s="1" t="n">
        <v>50338</v>
      </c>
      <c r="B316" s="3" t="n">
        <v>44008</v>
      </c>
      <c r="C316" s="1" t="n">
        <v>1465</v>
      </c>
      <c r="D316" s="4" t="n">
        <v>891</v>
      </c>
      <c r="E316" s="1" t="s">
        <v>1950</v>
      </c>
    </row>
    <row r="317" customFormat="false" ht="15" hidden="false" customHeight="true" outlineLevel="0" collapsed="false">
      <c r="A317" s="1" t="n">
        <v>50547</v>
      </c>
      <c r="B317" s="3" t="n">
        <v>44029</v>
      </c>
      <c r="C317" s="1" t="n">
        <v>281</v>
      </c>
      <c r="D317" s="4" t="n">
        <v>0</v>
      </c>
      <c r="E317" s="1" t="s">
        <v>1949</v>
      </c>
    </row>
    <row r="318" customFormat="false" ht="15" hidden="false" customHeight="true" outlineLevel="0" collapsed="false">
      <c r="A318" s="1" t="n">
        <v>50252</v>
      </c>
      <c r="B318" s="3" t="n">
        <v>44027</v>
      </c>
      <c r="C318" s="1" t="n">
        <v>1942</v>
      </c>
      <c r="D318" s="4" t="n">
        <v>396</v>
      </c>
      <c r="E318" s="1" t="s">
        <v>1950</v>
      </c>
    </row>
    <row r="319" customFormat="false" ht="15" hidden="false" customHeight="true" outlineLevel="0" collapsed="false">
      <c r="A319" s="1" t="n">
        <v>50417</v>
      </c>
      <c r="B319" s="3" t="n">
        <v>44048</v>
      </c>
      <c r="C319" s="1" t="n">
        <v>175</v>
      </c>
      <c r="D319" s="4" t="n">
        <v>0</v>
      </c>
      <c r="E319" s="1" t="s">
        <v>1949</v>
      </c>
    </row>
    <row r="320" customFormat="false" ht="15" hidden="false" customHeight="true" outlineLevel="0" collapsed="false">
      <c r="A320" s="1" t="n">
        <v>51148</v>
      </c>
      <c r="B320" s="3" t="n">
        <v>44001</v>
      </c>
      <c r="C320" s="1" t="n">
        <v>1350</v>
      </c>
      <c r="D320" s="4" t="n">
        <v>754</v>
      </c>
      <c r="E320" s="1" t="s">
        <v>1950</v>
      </c>
    </row>
    <row r="321" customFormat="false" ht="15" hidden="false" customHeight="true" outlineLevel="0" collapsed="false">
      <c r="A321" s="1" t="n">
        <v>50225</v>
      </c>
      <c r="B321" s="3" t="n">
        <v>43997</v>
      </c>
      <c r="C321" s="1" t="n">
        <v>1875</v>
      </c>
      <c r="D321" s="4" t="n">
        <v>0</v>
      </c>
      <c r="E321" s="1" t="s">
        <v>1949</v>
      </c>
    </row>
    <row r="322" customFormat="false" ht="15" hidden="false" customHeight="true" outlineLevel="0" collapsed="false">
      <c r="A322" s="1" t="n">
        <v>50539</v>
      </c>
      <c r="B322" s="3" t="n">
        <v>43990</v>
      </c>
      <c r="C322" s="1" t="n">
        <v>596</v>
      </c>
      <c r="D322" s="4" t="n">
        <v>0</v>
      </c>
      <c r="E322" s="1" t="s">
        <v>1949</v>
      </c>
    </row>
    <row r="323" customFormat="false" ht="15" hidden="false" customHeight="true" outlineLevel="0" collapsed="false">
      <c r="A323" s="1" t="n">
        <v>51041</v>
      </c>
      <c r="B323" s="3" t="n">
        <v>43991</v>
      </c>
      <c r="C323" s="1" t="n">
        <v>1649</v>
      </c>
      <c r="D323" s="4" t="n">
        <v>791</v>
      </c>
      <c r="E323" s="1" t="s">
        <v>1950</v>
      </c>
    </row>
    <row r="324" customFormat="false" ht="15" hidden="false" customHeight="true" outlineLevel="0" collapsed="false">
      <c r="A324" s="1" t="n">
        <v>51746</v>
      </c>
      <c r="B324" s="3" t="n">
        <v>44001</v>
      </c>
      <c r="C324" s="1" t="n">
        <v>606</v>
      </c>
      <c r="D324" s="4" t="n">
        <v>0</v>
      </c>
      <c r="E324" s="1" t="s">
        <v>1949</v>
      </c>
    </row>
    <row r="325" customFormat="false" ht="15" hidden="false" customHeight="true" outlineLevel="0" collapsed="false">
      <c r="A325" s="1" t="n">
        <v>51913</v>
      </c>
      <c r="B325" s="3" t="n">
        <v>44054</v>
      </c>
      <c r="C325" s="1" t="n">
        <v>42</v>
      </c>
      <c r="D325" s="4" t="n">
        <v>242</v>
      </c>
      <c r="E325" s="1" t="s">
        <v>1950</v>
      </c>
    </row>
    <row r="326" customFormat="false" ht="15" hidden="false" customHeight="true" outlineLevel="0" collapsed="false">
      <c r="A326" s="1" t="n">
        <v>51605</v>
      </c>
      <c r="B326" s="3" t="n">
        <v>44026</v>
      </c>
      <c r="C326" s="1" t="n">
        <v>1305</v>
      </c>
      <c r="D326" s="4" t="n">
        <v>121</v>
      </c>
      <c r="E326" s="1" t="s">
        <v>1950</v>
      </c>
    </row>
    <row r="327" customFormat="false" ht="15" hidden="false" customHeight="true" outlineLevel="0" collapsed="false">
      <c r="A327" s="1" t="n">
        <v>50234</v>
      </c>
      <c r="B327" s="3" t="n">
        <v>44004</v>
      </c>
      <c r="C327" s="1" t="n">
        <v>685</v>
      </c>
      <c r="D327" s="4" t="n">
        <v>145</v>
      </c>
      <c r="E327" s="1" t="s">
        <v>1950</v>
      </c>
    </row>
    <row r="328" customFormat="false" ht="15" hidden="false" customHeight="true" outlineLevel="0" collapsed="false">
      <c r="A328" s="1" t="n">
        <v>50202</v>
      </c>
      <c r="B328" s="3" t="n">
        <v>44009</v>
      </c>
      <c r="C328" s="1" t="n">
        <v>827</v>
      </c>
      <c r="D328" s="4" t="n">
        <v>636</v>
      </c>
      <c r="E328" s="1" t="s">
        <v>1950</v>
      </c>
    </row>
    <row r="329" customFormat="false" ht="15" hidden="false" customHeight="true" outlineLevel="0" collapsed="false">
      <c r="A329" s="1" t="n">
        <v>50512</v>
      </c>
      <c r="B329" s="3" t="n">
        <v>44051</v>
      </c>
      <c r="C329" s="1" t="n">
        <v>806</v>
      </c>
      <c r="D329" s="4" t="n">
        <v>747</v>
      </c>
      <c r="E329" s="1" t="s">
        <v>1950</v>
      </c>
    </row>
    <row r="330" customFormat="false" ht="15" hidden="false" customHeight="true" outlineLevel="0" collapsed="false">
      <c r="A330" s="1" t="n">
        <v>50912</v>
      </c>
      <c r="B330" s="3" t="n">
        <v>43983</v>
      </c>
      <c r="C330" s="1" t="n">
        <v>390</v>
      </c>
      <c r="D330" s="4" t="n">
        <v>553</v>
      </c>
      <c r="E330" s="1" t="s">
        <v>1950</v>
      </c>
    </row>
    <row r="331" customFormat="false" ht="15" hidden="false" customHeight="true" outlineLevel="0" collapsed="false">
      <c r="A331" s="1" t="n">
        <v>50633</v>
      </c>
      <c r="B331" s="3" t="n">
        <v>44070</v>
      </c>
      <c r="C331" s="1" t="n">
        <v>647</v>
      </c>
      <c r="D331" s="4" t="n">
        <v>554</v>
      </c>
      <c r="E331" s="1" t="s">
        <v>1950</v>
      </c>
    </row>
    <row r="332" customFormat="false" ht="15" hidden="false" customHeight="true" outlineLevel="0" collapsed="false">
      <c r="A332" s="1" t="n">
        <v>50466</v>
      </c>
      <c r="B332" s="3" t="n">
        <v>44028</v>
      </c>
      <c r="C332" s="1" t="n">
        <v>1148</v>
      </c>
      <c r="D332" s="4" t="n">
        <v>0</v>
      </c>
      <c r="E332" s="1" t="s">
        <v>1949</v>
      </c>
    </row>
    <row r="333" customFormat="false" ht="15" hidden="false" customHeight="true" outlineLevel="0" collapsed="false">
      <c r="A333" s="1" t="n">
        <v>50076</v>
      </c>
      <c r="B333" s="3" t="n">
        <v>44023</v>
      </c>
      <c r="C333" s="1" t="n">
        <v>358</v>
      </c>
      <c r="D333" s="4" t="n">
        <v>0</v>
      </c>
      <c r="E333" s="1" t="s">
        <v>1949</v>
      </c>
    </row>
    <row r="334" customFormat="false" ht="15" hidden="false" customHeight="true" outlineLevel="0" collapsed="false">
      <c r="A334" s="1" t="n">
        <v>50288</v>
      </c>
      <c r="B334" s="3" t="n">
        <v>44026</v>
      </c>
      <c r="C334" s="1" t="n">
        <v>1734</v>
      </c>
      <c r="D334" s="4" t="n">
        <v>0</v>
      </c>
      <c r="E334" s="1" t="s">
        <v>1949</v>
      </c>
    </row>
    <row r="335" customFormat="false" ht="15" hidden="false" customHeight="true" outlineLevel="0" collapsed="false">
      <c r="A335" s="1" t="n">
        <v>51341</v>
      </c>
      <c r="B335" s="3" t="n">
        <v>43999</v>
      </c>
      <c r="C335" s="1" t="n">
        <v>562</v>
      </c>
      <c r="D335" s="4" t="n">
        <v>0</v>
      </c>
      <c r="E335" s="1" t="s">
        <v>1949</v>
      </c>
    </row>
    <row r="336" customFormat="false" ht="15" hidden="false" customHeight="true" outlineLevel="0" collapsed="false">
      <c r="A336" s="1" t="n">
        <v>51416</v>
      </c>
      <c r="B336" s="3" t="n">
        <v>44036</v>
      </c>
      <c r="C336" s="1" t="n">
        <v>191</v>
      </c>
      <c r="D336" s="4" t="n">
        <v>0</v>
      </c>
      <c r="E336" s="1" t="s">
        <v>1949</v>
      </c>
    </row>
    <row r="337" customFormat="false" ht="15" hidden="false" customHeight="true" outlineLevel="0" collapsed="false">
      <c r="A337" s="1" t="n">
        <v>50692</v>
      </c>
      <c r="B337" s="3" t="n">
        <v>43996</v>
      </c>
      <c r="C337" s="1" t="n">
        <v>288</v>
      </c>
      <c r="D337" s="4" t="n">
        <v>451</v>
      </c>
      <c r="E337" s="1" t="s">
        <v>1950</v>
      </c>
    </row>
    <row r="338" customFormat="false" ht="15" hidden="false" customHeight="true" outlineLevel="0" collapsed="false">
      <c r="A338" s="1" t="n">
        <v>50433</v>
      </c>
      <c r="B338" s="3" t="n">
        <v>43983</v>
      </c>
      <c r="C338" s="1" t="n">
        <v>1628</v>
      </c>
      <c r="D338" s="4" t="n">
        <v>517</v>
      </c>
      <c r="E338" s="1" t="s">
        <v>1950</v>
      </c>
    </row>
    <row r="339" customFormat="false" ht="15" hidden="false" customHeight="true" outlineLevel="0" collapsed="false">
      <c r="A339" s="1" t="n">
        <v>50344</v>
      </c>
      <c r="B339" s="3" t="n">
        <v>44061</v>
      </c>
      <c r="C339" s="1" t="n">
        <v>345</v>
      </c>
      <c r="D339" s="4" t="n">
        <v>573</v>
      </c>
      <c r="E339" s="1" t="s">
        <v>1950</v>
      </c>
    </row>
    <row r="340" customFormat="false" ht="15" hidden="false" customHeight="true" outlineLevel="0" collapsed="false">
      <c r="A340" s="1" t="n">
        <v>50115</v>
      </c>
      <c r="B340" s="3" t="n">
        <v>44016</v>
      </c>
      <c r="C340" s="1" t="n">
        <v>559</v>
      </c>
      <c r="D340" s="4" t="n">
        <v>0</v>
      </c>
      <c r="E340" s="1" t="s">
        <v>1949</v>
      </c>
    </row>
    <row r="341" customFormat="false" ht="15" hidden="false" customHeight="true" outlineLevel="0" collapsed="false">
      <c r="A341" s="1" t="n">
        <v>51724</v>
      </c>
      <c r="B341" s="3" t="n">
        <v>44044</v>
      </c>
      <c r="C341" s="1" t="n">
        <v>877</v>
      </c>
      <c r="D341" s="4" t="n">
        <v>0</v>
      </c>
      <c r="E341" s="1" t="s">
        <v>1949</v>
      </c>
    </row>
    <row r="342" customFormat="false" ht="15" hidden="false" customHeight="true" outlineLevel="0" collapsed="false">
      <c r="A342" s="1" t="n">
        <v>51922</v>
      </c>
      <c r="B342" s="3" t="n">
        <v>44044</v>
      </c>
      <c r="C342" s="1" t="n">
        <v>577</v>
      </c>
      <c r="D342" s="4" t="n">
        <v>0</v>
      </c>
      <c r="E342" s="1" t="s">
        <v>1949</v>
      </c>
    </row>
    <row r="343" customFormat="false" ht="15" hidden="false" customHeight="true" outlineLevel="0" collapsed="false">
      <c r="A343" s="1" t="n">
        <v>51263</v>
      </c>
      <c r="B343" s="3" t="n">
        <v>44008</v>
      </c>
      <c r="C343" s="1" t="n">
        <v>394</v>
      </c>
      <c r="D343" s="4" t="n">
        <v>0</v>
      </c>
      <c r="E343" s="1" t="s">
        <v>1949</v>
      </c>
    </row>
    <row r="344" customFormat="false" ht="15" hidden="false" customHeight="true" outlineLevel="0" collapsed="false">
      <c r="A344" s="1" t="n">
        <v>50500</v>
      </c>
      <c r="B344" s="3" t="n">
        <v>44030</v>
      </c>
      <c r="C344" s="1" t="n">
        <v>327</v>
      </c>
      <c r="D344" s="4" t="n">
        <v>0</v>
      </c>
      <c r="E344" s="1" t="s">
        <v>1949</v>
      </c>
    </row>
    <row r="345" customFormat="false" ht="15" hidden="false" customHeight="true" outlineLevel="0" collapsed="false">
      <c r="A345" s="1" t="n">
        <v>50779</v>
      </c>
      <c r="B345" s="3" t="n">
        <v>44024</v>
      </c>
      <c r="C345" s="1" t="n">
        <v>744</v>
      </c>
      <c r="D345" s="4" t="n">
        <v>0</v>
      </c>
      <c r="E345" s="1" t="s">
        <v>1949</v>
      </c>
    </row>
    <row r="346" customFormat="false" ht="15" hidden="false" customHeight="true" outlineLevel="0" collapsed="false">
      <c r="A346" s="1" t="n">
        <v>51633</v>
      </c>
      <c r="B346" s="3" t="n">
        <v>44060</v>
      </c>
      <c r="C346" s="1" t="n">
        <v>1546</v>
      </c>
      <c r="D346" s="4" t="n">
        <v>0</v>
      </c>
      <c r="E346" s="1" t="s">
        <v>1949</v>
      </c>
    </row>
    <row r="347" customFormat="false" ht="15" hidden="false" customHeight="true" outlineLevel="0" collapsed="false">
      <c r="A347" s="1" t="n">
        <v>50289</v>
      </c>
      <c r="B347" s="3" t="n">
        <v>44045</v>
      </c>
      <c r="C347" s="1" t="n">
        <v>1316</v>
      </c>
      <c r="D347" s="4" t="n">
        <v>832</v>
      </c>
      <c r="E347" s="1" t="s">
        <v>1950</v>
      </c>
    </row>
    <row r="348" customFormat="false" ht="15" hidden="false" customHeight="true" outlineLevel="0" collapsed="false">
      <c r="A348" s="1" t="n">
        <v>51716</v>
      </c>
      <c r="B348" s="3" t="n">
        <v>44014</v>
      </c>
      <c r="C348" s="1" t="n">
        <v>185</v>
      </c>
      <c r="D348" s="4" t="n">
        <v>896</v>
      </c>
      <c r="E348" s="1" t="s">
        <v>1950</v>
      </c>
    </row>
    <row r="349" customFormat="false" ht="15" hidden="false" customHeight="true" outlineLevel="0" collapsed="false">
      <c r="A349" s="1" t="n">
        <v>51085</v>
      </c>
      <c r="B349" s="3" t="n">
        <v>43997</v>
      </c>
      <c r="C349" s="1" t="n">
        <v>1620</v>
      </c>
      <c r="D349" s="4" t="n">
        <v>0</v>
      </c>
      <c r="E349" s="1" t="s">
        <v>1949</v>
      </c>
    </row>
    <row r="350" customFormat="false" ht="15" hidden="false" customHeight="true" outlineLevel="0" collapsed="false">
      <c r="A350" s="1" t="n">
        <v>51557</v>
      </c>
      <c r="B350" s="3" t="n">
        <v>44051</v>
      </c>
      <c r="C350" s="1" t="n">
        <v>1730</v>
      </c>
      <c r="D350" s="4" t="n">
        <v>186</v>
      </c>
      <c r="E350" s="1" t="s">
        <v>1950</v>
      </c>
    </row>
    <row r="351" customFormat="false" ht="15" hidden="false" customHeight="true" outlineLevel="0" collapsed="false">
      <c r="A351" s="1" t="n">
        <v>51199</v>
      </c>
      <c r="B351" s="3" t="n">
        <v>43991</v>
      </c>
      <c r="C351" s="1" t="n">
        <v>1279</v>
      </c>
      <c r="D351" s="4" t="n">
        <v>0</v>
      </c>
      <c r="E351" s="1" t="s">
        <v>1949</v>
      </c>
    </row>
    <row r="352" customFormat="false" ht="15" hidden="false" customHeight="true" outlineLevel="0" collapsed="false">
      <c r="A352" s="1" t="n">
        <v>50775</v>
      </c>
      <c r="B352" s="3" t="n">
        <v>44014</v>
      </c>
      <c r="C352" s="1" t="n">
        <v>1068</v>
      </c>
      <c r="D352" s="4" t="n">
        <v>560</v>
      </c>
      <c r="E352" s="1" t="s">
        <v>1950</v>
      </c>
    </row>
    <row r="353" customFormat="false" ht="15" hidden="false" customHeight="true" outlineLevel="0" collapsed="false">
      <c r="A353" s="1" t="n">
        <v>50172</v>
      </c>
      <c r="B353" s="3" t="n">
        <v>44058</v>
      </c>
      <c r="C353" s="1" t="n">
        <v>1449</v>
      </c>
      <c r="D353" s="4" t="n">
        <v>0</v>
      </c>
      <c r="E353" s="1" t="s">
        <v>1949</v>
      </c>
    </row>
    <row r="354" customFormat="false" ht="15" hidden="false" customHeight="true" outlineLevel="0" collapsed="false">
      <c r="A354" s="1" t="n">
        <v>50902</v>
      </c>
      <c r="B354" s="3" t="n">
        <v>44022</v>
      </c>
      <c r="C354" s="1" t="n">
        <v>1703</v>
      </c>
      <c r="D354" s="4" t="n">
        <v>397</v>
      </c>
      <c r="E354" s="1" t="s">
        <v>1950</v>
      </c>
    </row>
    <row r="355" customFormat="false" ht="15" hidden="false" customHeight="true" outlineLevel="0" collapsed="false">
      <c r="A355" s="1" t="n">
        <v>51414</v>
      </c>
      <c r="B355" s="3" t="n">
        <v>44023</v>
      </c>
      <c r="C355" s="1" t="n">
        <v>807</v>
      </c>
      <c r="D355" s="4" t="n">
        <v>751</v>
      </c>
      <c r="E355" s="1" t="s">
        <v>1950</v>
      </c>
    </row>
    <row r="356" customFormat="false" ht="15" hidden="false" customHeight="true" outlineLevel="0" collapsed="false">
      <c r="A356" s="1" t="n">
        <v>50495</v>
      </c>
      <c r="B356" s="3" t="n">
        <v>44040</v>
      </c>
      <c r="C356" s="1" t="n">
        <v>495</v>
      </c>
      <c r="D356" s="4" t="n">
        <v>0</v>
      </c>
      <c r="E356" s="1" t="s">
        <v>1949</v>
      </c>
    </row>
    <row r="357" customFormat="false" ht="15" hidden="false" customHeight="true" outlineLevel="0" collapsed="false">
      <c r="A357" s="1" t="n">
        <v>50102</v>
      </c>
      <c r="B357" s="3" t="n">
        <v>44069</v>
      </c>
      <c r="C357" s="1" t="n">
        <v>1377</v>
      </c>
      <c r="D357" s="4" t="n">
        <v>803</v>
      </c>
      <c r="E357" s="1" t="s">
        <v>1950</v>
      </c>
    </row>
    <row r="358" customFormat="false" ht="15" hidden="false" customHeight="true" outlineLevel="0" collapsed="false">
      <c r="A358" s="1" t="n">
        <v>51059</v>
      </c>
      <c r="B358" s="3" t="n">
        <v>44040</v>
      </c>
      <c r="C358" s="1" t="n">
        <v>604</v>
      </c>
      <c r="D358" s="4" t="n">
        <v>0</v>
      </c>
      <c r="E358" s="1" t="s">
        <v>1949</v>
      </c>
    </row>
    <row r="359" customFormat="false" ht="15" hidden="false" customHeight="true" outlineLevel="0" collapsed="false">
      <c r="A359" s="1" t="n">
        <v>50706</v>
      </c>
      <c r="B359" s="3" t="n">
        <v>44069</v>
      </c>
      <c r="C359" s="1" t="n">
        <v>1376</v>
      </c>
      <c r="D359" s="4" t="n">
        <v>0</v>
      </c>
      <c r="E359" s="1" t="s">
        <v>1949</v>
      </c>
    </row>
    <row r="360" customFormat="false" ht="15" hidden="false" customHeight="true" outlineLevel="0" collapsed="false">
      <c r="A360" s="1" t="n">
        <v>51218</v>
      </c>
      <c r="B360" s="3" t="n">
        <v>44053</v>
      </c>
      <c r="C360" s="1" t="n">
        <v>1169</v>
      </c>
      <c r="D360" s="4" t="n">
        <v>0</v>
      </c>
      <c r="E360" s="1" t="s">
        <v>1949</v>
      </c>
    </row>
    <row r="361" customFormat="false" ht="15" hidden="false" customHeight="true" outlineLevel="0" collapsed="false">
      <c r="A361" s="1" t="n">
        <v>50860</v>
      </c>
      <c r="B361" s="3" t="n">
        <v>44068</v>
      </c>
      <c r="C361" s="1" t="n">
        <v>362</v>
      </c>
      <c r="D361" s="4" t="n">
        <v>0</v>
      </c>
      <c r="E361" s="1" t="s">
        <v>1949</v>
      </c>
    </row>
    <row r="362" customFormat="false" ht="15" hidden="false" customHeight="true" outlineLevel="0" collapsed="false">
      <c r="A362" s="1" t="n">
        <v>50513</v>
      </c>
      <c r="B362" s="3" t="n">
        <v>44041</v>
      </c>
      <c r="C362" s="1" t="n">
        <v>1014</v>
      </c>
      <c r="D362" s="4" t="n">
        <v>302</v>
      </c>
      <c r="E362" s="1" t="s">
        <v>1950</v>
      </c>
    </row>
    <row r="363" customFormat="false" ht="15" hidden="false" customHeight="true" outlineLevel="0" collapsed="false">
      <c r="A363" s="1" t="n">
        <v>51566</v>
      </c>
      <c r="B363" s="3" t="n">
        <v>44033</v>
      </c>
      <c r="C363" s="1" t="n">
        <v>666</v>
      </c>
      <c r="D363" s="4" t="n">
        <v>0</v>
      </c>
      <c r="E363" s="1" t="s">
        <v>1949</v>
      </c>
    </row>
    <row r="364" customFormat="false" ht="15" hidden="false" customHeight="true" outlineLevel="0" collapsed="false">
      <c r="A364" s="1" t="n">
        <v>51333</v>
      </c>
      <c r="B364" s="3" t="n">
        <v>44029</v>
      </c>
      <c r="C364" s="1" t="n">
        <v>1725</v>
      </c>
      <c r="D364" s="4" t="n">
        <v>0</v>
      </c>
      <c r="E364" s="1" t="s">
        <v>1949</v>
      </c>
    </row>
    <row r="365" customFormat="false" ht="15" hidden="false" customHeight="true" outlineLevel="0" collapsed="false">
      <c r="A365" s="1" t="n">
        <v>51844</v>
      </c>
      <c r="B365" s="3" t="n">
        <v>43995</v>
      </c>
      <c r="C365" s="1" t="n">
        <v>196</v>
      </c>
      <c r="D365" s="4" t="n">
        <v>454</v>
      </c>
      <c r="E365" s="1" t="s">
        <v>1950</v>
      </c>
    </row>
    <row r="366" customFormat="false" ht="15" hidden="false" customHeight="true" outlineLevel="0" collapsed="false">
      <c r="A366" s="1" t="n">
        <v>51957</v>
      </c>
      <c r="B366" s="3" t="n">
        <v>44048</v>
      </c>
      <c r="C366" s="1" t="n">
        <v>1930</v>
      </c>
      <c r="D366" s="4" t="n">
        <v>0</v>
      </c>
      <c r="E366" s="1" t="s">
        <v>1949</v>
      </c>
    </row>
    <row r="367" customFormat="false" ht="15" hidden="false" customHeight="true" outlineLevel="0" collapsed="false">
      <c r="A367" s="1" t="n">
        <v>51895</v>
      </c>
      <c r="B367" s="3" t="n">
        <v>44013</v>
      </c>
      <c r="C367" s="1" t="n">
        <v>1607</v>
      </c>
      <c r="D367" s="4" t="n">
        <v>514</v>
      </c>
      <c r="E367" s="1" t="s">
        <v>1950</v>
      </c>
    </row>
    <row r="368" customFormat="false" ht="15" hidden="false" customHeight="true" outlineLevel="0" collapsed="false">
      <c r="A368" s="1" t="n">
        <v>50843</v>
      </c>
      <c r="B368" s="3" t="n">
        <v>44008</v>
      </c>
      <c r="C368" s="1" t="n">
        <v>399</v>
      </c>
      <c r="D368" s="4" t="n">
        <v>0</v>
      </c>
      <c r="E368" s="1" t="s">
        <v>1949</v>
      </c>
    </row>
    <row r="369" customFormat="false" ht="15" hidden="false" customHeight="true" outlineLevel="0" collapsed="false">
      <c r="A369" s="1" t="n">
        <v>50622</v>
      </c>
      <c r="B369" s="3" t="n">
        <v>44042</v>
      </c>
      <c r="C369" s="1" t="n">
        <v>506</v>
      </c>
      <c r="D369" s="4" t="n">
        <v>654</v>
      </c>
      <c r="E369" s="1" t="s">
        <v>1950</v>
      </c>
    </row>
    <row r="370" customFormat="false" ht="15" hidden="false" customHeight="true" outlineLevel="0" collapsed="false">
      <c r="A370" s="1" t="n">
        <v>50859</v>
      </c>
      <c r="B370" s="3" t="n">
        <v>43992</v>
      </c>
      <c r="C370" s="1" t="n">
        <v>329</v>
      </c>
      <c r="D370" s="4" t="n">
        <v>0</v>
      </c>
      <c r="E370" s="1" t="s">
        <v>1949</v>
      </c>
    </row>
    <row r="371" customFormat="false" ht="15" hidden="false" customHeight="true" outlineLevel="0" collapsed="false">
      <c r="A371" s="1" t="n">
        <v>50139</v>
      </c>
      <c r="B371" s="3" t="n">
        <v>44037</v>
      </c>
      <c r="C371" s="1" t="n">
        <v>1061</v>
      </c>
      <c r="D371" s="4" t="n">
        <v>743</v>
      </c>
      <c r="E371" s="1" t="s">
        <v>1950</v>
      </c>
    </row>
    <row r="372" customFormat="false" ht="15" hidden="false" customHeight="true" outlineLevel="0" collapsed="false">
      <c r="A372" s="1" t="n">
        <v>51770</v>
      </c>
      <c r="B372" s="3" t="n">
        <v>44002</v>
      </c>
      <c r="C372" s="1" t="n">
        <v>1347</v>
      </c>
      <c r="D372" s="4" t="n">
        <v>0</v>
      </c>
      <c r="E372" s="1" t="s">
        <v>1949</v>
      </c>
    </row>
    <row r="373" customFormat="false" ht="15" hidden="false" customHeight="true" outlineLevel="0" collapsed="false">
      <c r="A373" s="1" t="n">
        <v>51731</v>
      </c>
      <c r="B373" s="3" t="n">
        <v>44067</v>
      </c>
      <c r="C373" s="1" t="n">
        <v>887</v>
      </c>
      <c r="D373" s="4" t="n">
        <v>328</v>
      </c>
      <c r="E373" s="1" t="s">
        <v>1950</v>
      </c>
    </row>
    <row r="374" customFormat="false" ht="15" hidden="false" customHeight="true" outlineLevel="0" collapsed="false">
      <c r="A374" s="1" t="n">
        <v>51378</v>
      </c>
      <c r="B374" s="3" t="n">
        <v>44022</v>
      </c>
      <c r="C374" s="1" t="n">
        <v>1834</v>
      </c>
      <c r="D374" s="4" t="n">
        <v>0</v>
      </c>
      <c r="E374" s="1" t="s">
        <v>1949</v>
      </c>
    </row>
    <row r="375" customFormat="false" ht="15" hidden="false" customHeight="true" outlineLevel="0" collapsed="false">
      <c r="A375" s="1" t="n">
        <v>51945</v>
      </c>
      <c r="B375" s="3" t="n">
        <v>44020</v>
      </c>
      <c r="C375" s="1" t="n">
        <v>1696</v>
      </c>
      <c r="D375" s="4" t="n">
        <v>0</v>
      </c>
      <c r="E375" s="1" t="s">
        <v>1949</v>
      </c>
    </row>
    <row r="376" customFormat="false" ht="15" hidden="false" customHeight="true" outlineLevel="0" collapsed="false">
      <c r="A376" s="1" t="n">
        <v>50736</v>
      </c>
      <c r="B376" s="3" t="n">
        <v>44039</v>
      </c>
      <c r="C376" s="1" t="n">
        <v>162</v>
      </c>
      <c r="D376" s="4" t="n">
        <v>586</v>
      </c>
      <c r="E376" s="1" t="s">
        <v>1950</v>
      </c>
    </row>
    <row r="377" customFormat="false" ht="15" hidden="false" customHeight="true" outlineLevel="0" collapsed="false">
      <c r="A377" s="1" t="n">
        <v>51539</v>
      </c>
      <c r="B377" s="3" t="n">
        <v>44071</v>
      </c>
      <c r="C377" s="1" t="n">
        <v>607</v>
      </c>
      <c r="D377" s="4" t="n">
        <v>522</v>
      </c>
      <c r="E377" s="1" t="s">
        <v>1950</v>
      </c>
    </row>
    <row r="378" customFormat="false" ht="15" hidden="false" customHeight="true" outlineLevel="0" collapsed="false">
      <c r="A378" s="1" t="n">
        <v>51434</v>
      </c>
      <c r="B378" s="3" t="n">
        <v>44060</v>
      </c>
      <c r="C378" s="1" t="n">
        <v>1304</v>
      </c>
      <c r="D378" s="4" t="n">
        <v>0</v>
      </c>
      <c r="E378" s="1" t="s">
        <v>1949</v>
      </c>
    </row>
    <row r="379" customFormat="false" ht="15" hidden="false" customHeight="true" outlineLevel="0" collapsed="false">
      <c r="A379" s="1" t="n">
        <v>50815</v>
      </c>
      <c r="B379" s="3" t="n">
        <v>43996</v>
      </c>
      <c r="C379" s="1" t="n">
        <v>342</v>
      </c>
      <c r="D379" s="4" t="n">
        <v>677</v>
      </c>
      <c r="E379" s="1" t="s">
        <v>1950</v>
      </c>
    </row>
    <row r="380" customFormat="false" ht="15" hidden="false" customHeight="true" outlineLevel="0" collapsed="false">
      <c r="A380" s="1" t="n">
        <v>51185</v>
      </c>
      <c r="B380" s="3" t="n">
        <v>43984</v>
      </c>
      <c r="C380" s="1" t="n">
        <v>1758</v>
      </c>
      <c r="D380" s="4" t="n">
        <v>0</v>
      </c>
      <c r="E380" s="1" t="s">
        <v>1949</v>
      </c>
    </row>
    <row r="381" customFormat="false" ht="15" hidden="false" customHeight="true" outlineLevel="0" collapsed="false">
      <c r="A381" s="1" t="n">
        <v>51177</v>
      </c>
      <c r="B381" s="3" t="n">
        <v>44000</v>
      </c>
      <c r="C381" s="1" t="n">
        <v>1070</v>
      </c>
      <c r="D381" s="4" t="n">
        <v>699</v>
      </c>
      <c r="E381" s="1" t="s">
        <v>1950</v>
      </c>
    </row>
    <row r="382" customFormat="false" ht="15" hidden="false" customHeight="true" outlineLevel="0" collapsed="false">
      <c r="A382" s="1" t="n">
        <v>51707</v>
      </c>
      <c r="B382" s="3" t="n">
        <v>44006</v>
      </c>
      <c r="C382" s="1" t="n">
        <v>386</v>
      </c>
      <c r="D382" s="4" t="n">
        <v>839</v>
      </c>
      <c r="E382" s="1" t="s">
        <v>1950</v>
      </c>
    </row>
    <row r="383" customFormat="false" ht="15" hidden="false" customHeight="true" outlineLevel="0" collapsed="false">
      <c r="A383" s="1" t="n">
        <v>51151</v>
      </c>
      <c r="B383" s="3" t="n">
        <v>44046</v>
      </c>
      <c r="C383" s="1" t="n">
        <v>1292</v>
      </c>
      <c r="D383" s="4" t="n">
        <v>442</v>
      </c>
      <c r="E383" s="1" t="s">
        <v>1950</v>
      </c>
    </row>
    <row r="384" customFormat="false" ht="15" hidden="false" customHeight="true" outlineLevel="0" collapsed="false">
      <c r="A384" s="1" t="n">
        <v>51296</v>
      </c>
      <c r="B384" s="3" t="n">
        <v>44047</v>
      </c>
      <c r="C384" s="1" t="n">
        <v>1621</v>
      </c>
      <c r="D384" s="4" t="n">
        <v>666</v>
      </c>
      <c r="E384" s="1" t="s">
        <v>1950</v>
      </c>
    </row>
    <row r="385" customFormat="false" ht="15" hidden="false" customHeight="true" outlineLevel="0" collapsed="false">
      <c r="A385" s="1" t="n">
        <v>50681</v>
      </c>
      <c r="B385" s="3" t="n">
        <v>44019</v>
      </c>
      <c r="C385" s="1" t="n">
        <v>1102</v>
      </c>
      <c r="D385" s="4" t="n">
        <v>728</v>
      </c>
      <c r="E385" s="1" t="s">
        <v>1950</v>
      </c>
    </row>
    <row r="386" customFormat="false" ht="15" hidden="false" customHeight="true" outlineLevel="0" collapsed="false">
      <c r="A386" s="1" t="n">
        <v>51938</v>
      </c>
      <c r="B386" s="3" t="n">
        <v>43994</v>
      </c>
      <c r="C386" s="1" t="n">
        <v>457</v>
      </c>
      <c r="D386" s="4" t="n">
        <v>278</v>
      </c>
      <c r="E386" s="1" t="s">
        <v>1950</v>
      </c>
    </row>
    <row r="387" customFormat="false" ht="15" hidden="false" customHeight="true" outlineLevel="0" collapsed="false">
      <c r="A387" s="1" t="n">
        <v>50579</v>
      </c>
      <c r="B387" s="3" t="n">
        <v>43984</v>
      </c>
      <c r="C387" s="1" t="n">
        <v>1354</v>
      </c>
      <c r="D387" s="4" t="n">
        <v>526</v>
      </c>
      <c r="E387" s="1" t="s">
        <v>1950</v>
      </c>
    </row>
    <row r="388" customFormat="false" ht="15" hidden="false" customHeight="true" outlineLevel="0" collapsed="false">
      <c r="A388" s="1" t="n">
        <v>51343</v>
      </c>
      <c r="B388" s="3" t="n">
        <v>43998</v>
      </c>
      <c r="C388" s="1" t="n">
        <v>1144</v>
      </c>
      <c r="D388" s="4" t="n">
        <v>667</v>
      </c>
      <c r="E388" s="1" t="s">
        <v>1950</v>
      </c>
    </row>
    <row r="389" customFormat="false" ht="15" hidden="false" customHeight="true" outlineLevel="0" collapsed="false">
      <c r="A389" s="1" t="n">
        <v>50213</v>
      </c>
      <c r="B389" s="3" t="n">
        <v>44060</v>
      </c>
      <c r="C389" s="1" t="n">
        <v>447</v>
      </c>
      <c r="D389" s="4" t="n">
        <v>614</v>
      </c>
      <c r="E389" s="1" t="s">
        <v>1950</v>
      </c>
    </row>
    <row r="390" customFormat="false" ht="15" hidden="false" customHeight="true" outlineLevel="0" collapsed="false">
      <c r="A390" s="1" t="n">
        <v>51698</v>
      </c>
      <c r="B390" s="3" t="n">
        <v>44034</v>
      </c>
      <c r="C390" s="1" t="n">
        <v>1046</v>
      </c>
      <c r="D390" s="4" t="n">
        <v>629</v>
      </c>
      <c r="E390" s="1" t="s">
        <v>1950</v>
      </c>
    </row>
    <row r="391" customFormat="false" ht="15" hidden="false" customHeight="true" outlineLevel="0" collapsed="false">
      <c r="A391" s="1" t="n">
        <v>50604</v>
      </c>
      <c r="B391" s="3" t="n">
        <v>44031</v>
      </c>
      <c r="C391" s="1" t="n">
        <v>1625</v>
      </c>
      <c r="D391" s="4" t="n">
        <v>420</v>
      </c>
      <c r="E391" s="1" t="s">
        <v>1950</v>
      </c>
    </row>
    <row r="392" customFormat="false" ht="15" hidden="false" customHeight="true" outlineLevel="0" collapsed="false">
      <c r="A392" s="1" t="n">
        <v>51515</v>
      </c>
      <c r="B392" s="3" t="n">
        <v>44056</v>
      </c>
      <c r="C392" s="1" t="n">
        <v>644</v>
      </c>
      <c r="D392" s="4" t="n">
        <v>371</v>
      </c>
      <c r="E392" s="1" t="s">
        <v>1950</v>
      </c>
    </row>
    <row r="393" customFormat="false" ht="15" hidden="false" customHeight="true" outlineLevel="0" collapsed="false">
      <c r="A393" s="1" t="n">
        <v>51314</v>
      </c>
      <c r="B393" s="3" t="n">
        <v>44027</v>
      </c>
      <c r="C393" s="1" t="n">
        <v>1088</v>
      </c>
      <c r="D393" s="4" t="n">
        <v>0</v>
      </c>
      <c r="E393" s="1" t="s">
        <v>1949</v>
      </c>
    </row>
    <row r="394" customFormat="false" ht="15" hidden="false" customHeight="true" outlineLevel="0" collapsed="false">
      <c r="A394" s="1" t="n">
        <v>51274</v>
      </c>
      <c r="B394" s="3" t="n">
        <v>44030</v>
      </c>
      <c r="C394" s="1" t="n">
        <v>1582</v>
      </c>
      <c r="D394" s="4" t="n">
        <v>505</v>
      </c>
      <c r="E394" s="1" t="s">
        <v>1950</v>
      </c>
    </row>
    <row r="395" customFormat="false" ht="15" hidden="false" customHeight="true" outlineLevel="0" collapsed="false">
      <c r="A395" s="1" t="n">
        <v>51880</v>
      </c>
      <c r="B395" s="3" t="n">
        <v>44034</v>
      </c>
      <c r="C395" s="1" t="n">
        <v>114</v>
      </c>
      <c r="D395" s="4" t="n">
        <v>750</v>
      </c>
      <c r="E395" s="1" t="s">
        <v>1950</v>
      </c>
    </row>
    <row r="396" customFormat="false" ht="15" hidden="false" customHeight="true" outlineLevel="0" collapsed="false">
      <c r="A396" s="1" t="n">
        <v>51053</v>
      </c>
      <c r="B396" s="3" t="n">
        <v>44060</v>
      </c>
      <c r="C396" s="1" t="n">
        <v>1317</v>
      </c>
      <c r="D396" s="4" t="n">
        <v>0</v>
      </c>
      <c r="E396" s="1" t="s">
        <v>1949</v>
      </c>
    </row>
    <row r="397" customFormat="false" ht="15" hidden="false" customHeight="true" outlineLevel="0" collapsed="false">
      <c r="A397" s="1" t="n">
        <v>51482</v>
      </c>
      <c r="B397" s="3" t="n">
        <v>43990</v>
      </c>
      <c r="C397" s="1" t="n">
        <v>736</v>
      </c>
      <c r="D397" s="4" t="n">
        <v>0</v>
      </c>
      <c r="E397" s="1" t="s">
        <v>1949</v>
      </c>
    </row>
    <row r="398" customFormat="false" ht="15" hidden="false" customHeight="true" outlineLevel="0" collapsed="false">
      <c r="A398" s="1" t="n">
        <v>51044</v>
      </c>
      <c r="B398" s="3" t="n">
        <v>44015</v>
      </c>
      <c r="C398" s="1" t="n">
        <v>616</v>
      </c>
      <c r="D398" s="4" t="n">
        <v>491</v>
      </c>
      <c r="E398" s="1" t="s">
        <v>1950</v>
      </c>
    </row>
    <row r="399" customFormat="false" ht="15" hidden="false" customHeight="true" outlineLevel="0" collapsed="false">
      <c r="A399" s="1" t="n">
        <v>51955</v>
      </c>
      <c r="B399" s="3" t="n">
        <v>44030</v>
      </c>
      <c r="C399" s="1" t="n">
        <v>1759</v>
      </c>
      <c r="D399" s="4" t="n">
        <v>0</v>
      </c>
      <c r="E399" s="1" t="s">
        <v>1949</v>
      </c>
    </row>
    <row r="400" customFormat="false" ht="15" hidden="false" customHeight="true" outlineLevel="0" collapsed="false">
      <c r="A400" s="1" t="n">
        <v>51446</v>
      </c>
      <c r="B400" s="3" t="n">
        <v>44052</v>
      </c>
      <c r="C400" s="1" t="n">
        <v>1117</v>
      </c>
      <c r="D400" s="4" t="n">
        <v>677</v>
      </c>
      <c r="E400" s="1" t="s">
        <v>1950</v>
      </c>
    </row>
    <row r="401" customFormat="false" ht="15" hidden="false" customHeight="true" outlineLevel="0" collapsed="false">
      <c r="A401" s="1" t="n">
        <v>50297</v>
      </c>
      <c r="B401" s="3" t="n">
        <v>44028</v>
      </c>
      <c r="C401" s="1" t="n">
        <v>526</v>
      </c>
      <c r="D401" s="4" t="n">
        <v>0</v>
      </c>
      <c r="E401" s="1" t="s">
        <v>1949</v>
      </c>
    </row>
    <row r="402" customFormat="false" ht="15" hidden="false" customHeight="true" outlineLevel="0" collapsed="false">
      <c r="A402" s="1" t="n">
        <v>50048</v>
      </c>
      <c r="B402" s="3" t="n">
        <v>44020</v>
      </c>
      <c r="C402" s="1" t="n">
        <v>1248</v>
      </c>
      <c r="D402" s="4" t="n">
        <v>573</v>
      </c>
      <c r="E402" s="1" t="s">
        <v>1950</v>
      </c>
    </row>
    <row r="403" customFormat="false" ht="15" hidden="false" customHeight="true" outlineLevel="0" collapsed="false">
      <c r="A403" s="1" t="n">
        <v>50030</v>
      </c>
      <c r="B403" s="3" t="n">
        <v>44046</v>
      </c>
      <c r="C403" s="1" t="n">
        <v>1302</v>
      </c>
      <c r="D403" s="4" t="n">
        <v>199</v>
      </c>
      <c r="E403" s="1" t="s">
        <v>1950</v>
      </c>
    </row>
    <row r="404" customFormat="false" ht="15" hidden="false" customHeight="true" outlineLevel="0" collapsed="false">
      <c r="A404" s="1" t="n">
        <v>51749</v>
      </c>
      <c r="B404" s="3" t="n">
        <v>43986</v>
      </c>
      <c r="C404" s="1" t="n">
        <v>1948</v>
      </c>
      <c r="D404" s="4" t="n">
        <v>731</v>
      </c>
      <c r="E404" s="1" t="s">
        <v>1950</v>
      </c>
    </row>
    <row r="405" customFormat="false" ht="15" hidden="false" customHeight="true" outlineLevel="0" collapsed="false">
      <c r="A405" s="1" t="n">
        <v>51344</v>
      </c>
      <c r="B405" s="3" t="n">
        <v>43985</v>
      </c>
      <c r="C405" s="1" t="n">
        <v>367</v>
      </c>
      <c r="D405" s="4" t="n">
        <v>498</v>
      </c>
      <c r="E405" s="1" t="s">
        <v>1950</v>
      </c>
    </row>
    <row r="406" customFormat="false" ht="15" hidden="false" customHeight="true" outlineLevel="0" collapsed="false">
      <c r="A406" s="1" t="n">
        <v>50751</v>
      </c>
      <c r="B406" s="3" t="n">
        <v>43998</v>
      </c>
      <c r="C406" s="1" t="n">
        <v>1062</v>
      </c>
      <c r="D406" s="4" t="n">
        <v>782</v>
      </c>
      <c r="E406" s="1" t="s">
        <v>1950</v>
      </c>
    </row>
    <row r="407" customFormat="false" ht="15" hidden="false" customHeight="true" outlineLevel="0" collapsed="false">
      <c r="A407" s="1" t="n">
        <v>51471</v>
      </c>
      <c r="B407" s="3" t="n">
        <v>44063</v>
      </c>
      <c r="C407" s="1" t="n">
        <v>1026</v>
      </c>
      <c r="D407" s="4" t="n">
        <v>570</v>
      </c>
      <c r="E407" s="1" t="s">
        <v>1950</v>
      </c>
    </row>
    <row r="408" customFormat="false" ht="15" hidden="false" customHeight="true" outlineLevel="0" collapsed="false">
      <c r="A408" s="1" t="n">
        <v>50598</v>
      </c>
      <c r="B408" s="3" t="n">
        <v>44049</v>
      </c>
      <c r="C408" s="1" t="n">
        <v>1077</v>
      </c>
      <c r="D408" s="4" t="n">
        <v>427</v>
      </c>
      <c r="E408" s="1" t="s">
        <v>1950</v>
      </c>
    </row>
    <row r="409" customFormat="false" ht="15" hidden="false" customHeight="true" outlineLevel="0" collapsed="false">
      <c r="A409" s="1" t="n">
        <v>50368</v>
      </c>
      <c r="B409" s="3" t="n">
        <v>43982</v>
      </c>
      <c r="C409" s="1" t="n">
        <v>73</v>
      </c>
      <c r="D409" s="4" t="n">
        <v>0</v>
      </c>
      <c r="E409" s="1" t="s">
        <v>1949</v>
      </c>
    </row>
    <row r="410" customFormat="false" ht="15" hidden="false" customHeight="true" outlineLevel="0" collapsed="false">
      <c r="A410" s="1" t="n">
        <v>51228</v>
      </c>
      <c r="B410" s="3" t="n">
        <v>43985</v>
      </c>
      <c r="C410" s="1" t="n">
        <v>214</v>
      </c>
      <c r="D410" s="4" t="n">
        <v>0</v>
      </c>
      <c r="E410" s="1" t="s">
        <v>1949</v>
      </c>
    </row>
    <row r="411" customFormat="false" ht="15" hidden="false" customHeight="true" outlineLevel="0" collapsed="false">
      <c r="A411" s="1" t="n">
        <v>50509</v>
      </c>
      <c r="B411" s="3" t="n">
        <v>44049</v>
      </c>
      <c r="C411" s="1" t="n">
        <v>836</v>
      </c>
      <c r="D411" s="4" t="n">
        <v>779</v>
      </c>
      <c r="E411" s="1" t="s">
        <v>1950</v>
      </c>
    </row>
    <row r="412" customFormat="false" ht="15" hidden="false" customHeight="true" outlineLevel="0" collapsed="false">
      <c r="A412" s="1" t="n">
        <v>50858</v>
      </c>
      <c r="B412" s="3" t="n">
        <v>44052</v>
      </c>
      <c r="C412" s="1" t="n">
        <v>1064</v>
      </c>
      <c r="D412" s="4" t="n">
        <v>0</v>
      </c>
      <c r="E412" s="1" t="s">
        <v>1949</v>
      </c>
    </row>
    <row r="413" customFormat="false" ht="15" hidden="false" customHeight="true" outlineLevel="0" collapsed="false">
      <c r="A413" s="1" t="n">
        <v>51585</v>
      </c>
      <c r="B413" s="3" t="n">
        <v>44069</v>
      </c>
      <c r="C413" s="1" t="n">
        <v>1947</v>
      </c>
      <c r="D413" s="4" t="n">
        <v>637</v>
      </c>
      <c r="E413" s="1" t="s">
        <v>1950</v>
      </c>
    </row>
    <row r="414" customFormat="false" ht="15" hidden="false" customHeight="true" outlineLevel="0" collapsed="false">
      <c r="A414" s="1" t="n">
        <v>50548</v>
      </c>
      <c r="B414" s="3" t="n">
        <v>44047</v>
      </c>
      <c r="C414" s="1" t="n">
        <v>160</v>
      </c>
      <c r="D414" s="4" t="n">
        <v>200</v>
      </c>
      <c r="E414" s="1" t="s">
        <v>1950</v>
      </c>
    </row>
    <row r="415" customFormat="false" ht="15" hidden="false" customHeight="true" outlineLevel="0" collapsed="false">
      <c r="A415" s="1" t="n">
        <v>50949</v>
      </c>
      <c r="B415" s="3" t="n">
        <v>43989</v>
      </c>
      <c r="C415" s="1" t="n">
        <v>1272</v>
      </c>
      <c r="D415" s="4" t="n">
        <v>519</v>
      </c>
      <c r="E415" s="1" t="s">
        <v>1950</v>
      </c>
    </row>
    <row r="416" customFormat="false" ht="15" hidden="false" customHeight="true" outlineLevel="0" collapsed="false">
      <c r="A416" s="1" t="n">
        <v>51247</v>
      </c>
      <c r="B416" s="3" t="n">
        <v>44028</v>
      </c>
      <c r="C416" s="1" t="n">
        <v>467</v>
      </c>
      <c r="D416" s="4" t="n">
        <v>309</v>
      </c>
      <c r="E416" s="1" t="s">
        <v>1950</v>
      </c>
    </row>
    <row r="417" customFormat="false" ht="15" hidden="false" customHeight="true" outlineLevel="0" collapsed="false">
      <c r="A417" s="1" t="n">
        <v>51155</v>
      </c>
      <c r="B417" s="3" t="n">
        <v>44033</v>
      </c>
      <c r="C417" s="1" t="n">
        <v>298</v>
      </c>
      <c r="D417" s="4" t="n">
        <v>0</v>
      </c>
      <c r="E417" s="1" t="s">
        <v>1949</v>
      </c>
    </row>
    <row r="418" customFormat="false" ht="15" hidden="false" customHeight="true" outlineLevel="0" collapsed="false">
      <c r="A418" s="1" t="n">
        <v>50493</v>
      </c>
      <c r="B418" s="3" t="n">
        <v>44006</v>
      </c>
      <c r="C418" s="1" t="n">
        <v>735</v>
      </c>
      <c r="D418" s="4" t="n">
        <v>0</v>
      </c>
      <c r="E418" s="1" t="s">
        <v>1949</v>
      </c>
    </row>
    <row r="419" customFormat="false" ht="15" hidden="false" customHeight="true" outlineLevel="0" collapsed="false">
      <c r="A419" s="1" t="n">
        <v>51337</v>
      </c>
      <c r="B419" s="3" t="n">
        <v>44022</v>
      </c>
      <c r="C419" s="1" t="n">
        <v>256</v>
      </c>
      <c r="D419" s="4" t="n">
        <v>0</v>
      </c>
      <c r="E419" s="1" t="s">
        <v>1949</v>
      </c>
    </row>
    <row r="420" customFormat="false" ht="15" hidden="false" customHeight="true" outlineLevel="0" collapsed="false">
      <c r="A420" s="1" t="n">
        <v>50507</v>
      </c>
      <c r="B420" s="3" t="n">
        <v>44071</v>
      </c>
      <c r="C420" s="1" t="n">
        <v>570</v>
      </c>
      <c r="D420" s="4" t="n">
        <v>388</v>
      </c>
      <c r="E420" s="1" t="s">
        <v>1950</v>
      </c>
    </row>
    <row r="421" customFormat="false" ht="15" hidden="false" customHeight="true" outlineLevel="0" collapsed="false">
      <c r="A421" s="1" t="n">
        <v>51765</v>
      </c>
      <c r="B421" s="3" t="n">
        <v>44011</v>
      </c>
      <c r="C421" s="1" t="n">
        <v>1843</v>
      </c>
      <c r="D421" s="4" t="n">
        <v>0</v>
      </c>
      <c r="E421" s="1" t="s">
        <v>1949</v>
      </c>
    </row>
    <row r="422" customFormat="false" ht="15" hidden="false" customHeight="true" outlineLevel="0" collapsed="false">
      <c r="A422" s="1" t="n">
        <v>50014</v>
      </c>
      <c r="B422" s="3" t="n">
        <v>44053</v>
      </c>
      <c r="C422" s="1" t="n">
        <v>547</v>
      </c>
      <c r="D422" s="4" t="n">
        <v>818</v>
      </c>
      <c r="E422" s="1" t="s">
        <v>1950</v>
      </c>
    </row>
    <row r="423" customFormat="false" ht="15" hidden="false" customHeight="true" outlineLevel="0" collapsed="false">
      <c r="A423" s="1" t="n">
        <v>51591</v>
      </c>
      <c r="B423" s="3" t="n">
        <v>44063</v>
      </c>
      <c r="C423" s="1" t="n">
        <v>909</v>
      </c>
      <c r="D423" s="4" t="n">
        <v>378</v>
      </c>
      <c r="E423" s="1" t="s">
        <v>1950</v>
      </c>
    </row>
    <row r="424" customFormat="false" ht="15" hidden="false" customHeight="true" outlineLevel="0" collapsed="false">
      <c r="A424" s="1" t="n">
        <v>50485</v>
      </c>
      <c r="B424" s="3" t="n">
        <v>44016</v>
      </c>
      <c r="C424" s="1" t="n">
        <v>450</v>
      </c>
      <c r="D424" s="4" t="n">
        <v>0</v>
      </c>
      <c r="E424" s="1" t="s">
        <v>1949</v>
      </c>
    </row>
    <row r="425" customFormat="false" ht="15" hidden="false" customHeight="true" outlineLevel="0" collapsed="false">
      <c r="A425" s="1" t="n">
        <v>50024</v>
      </c>
      <c r="B425" s="3" t="n">
        <v>44013</v>
      </c>
      <c r="C425" s="1" t="n">
        <v>955</v>
      </c>
      <c r="D425" s="4" t="n">
        <v>0</v>
      </c>
      <c r="E425" s="1" t="s">
        <v>1949</v>
      </c>
    </row>
    <row r="426" customFormat="false" ht="15" hidden="false" customHeight="true" outlineLevel="0" collapsed="false">
      <c r="A426" s="1" t="n">
        <v>51443</v>
      </c>
      <c r="B426" s="3" t="n">
        <v>44026</v>
      </c>
      <c r="C426" s="1" t="n">
        <v>830</v>
      </c>
      <c r="D426" s="4" t="n">
        <v>0</v>
      </c>
      <c r="E426" s="1" t="s">
        <v>1949</v>
      </c>
    </row>
    <row r="427" customFormat="false" ht="15" hidden="false" customHeight="true" outlineLevel="0" collapsed="false">
      <c r="A427" s="1" t="n">
        <v>50323</v>
      </c>
      <c r="B427" s="3" t="n">
        <v>44015</v>
      </c>
      <c r="C427" s="1" t="n">
        <v>1657</v>
      </c>
      <c r="D427" s="4" t="n">
        <v>0</v>
      </c>
      <c r="E427" s="1" t="s">
        <v>1949</v>
      </c>
    </row>
    <row r="428" customFormat="false" ht="15" hidden="false" customHeight="true" outlineLevel="0" collapsed="false">
      <c r="A428" s="1" t="n">
        <v>50152</v>
      </c>
      <c r="B428" s="3" t="n">
        <v>44022</v>
      </c>
      <c r="C428" s="1" t="n">
        <v>1702</v>
      </c>
      <c r="D428" s="4" t="n">
        <v>0</v>
      </c>
      <c r="E428" s="1" t="s">
        <v>1949</v>
      </c>
    </row>
    <row r="429" customFormat="false" ht="15" hidden="false" customHeight="true" outlineLevel="0" collapsed="false">
      <c r="A429" s="1" t="n">
        <v>51979</v>
      </c>
      <c r="B429" s="3" t="n">
        <v>44004</v>
      </c>
      <c r="C429" s="1" t="n">
        <v>1929</v>
      </c>
      <c r="D429" s="4" t="n">
        <v>0</v>
      </c>
      <c r="E429" s="1" t="s">
        <v>1949</v>
      </c>
    </row>
    <row r="430" customFormat="false" ht="15" hidden="false" customHeight="true" outlineLevel="0" collapsed="false">
      <c r="A430" s="1" t="n">
        <v>50590</v>
      </c>
      <c r="B430" s="3" t="n">
        <v>44027</v>
      </c>
      <c r="C430" s="1" t="n">
        <v>1965</v>
      </c>
      <c r="D430" s="4" t="n">
        <v>0</v>
      </c>
      <c r="E430" s="1" t="s">
        <v>1949</v>
      </c>
    </row>
    <row r="431" customFormat="false" ht="15" hidden="false" customHeight="true" outlineLevel="0" collapsed="false">
      <c r="A431" s="1" t="n">
        <v>51636</v>
      </c>
      <c r="B431" s="3" t="n">
        <v>44048</v>
      </c>
      <c r="C431" s="1" t="n">
        <v>1907</v>
      </c>
      <c r="D431" s="4" t="n">
        <v>228</v>
      </c>
      <c r="E431" s="1" t="s">
        <v>1950</v>
      </c>
    </row>
    <row r="432" customFormat="false" ht="15" hidden="false" customHeight="true" outlineLevel="0" collapsed="false">
      <c r="A432" s="1" t="n">
        <v>51857</v>
      </c>
      <c r="B432" s="3" t="n">
        <v>44055</v>
      </c>
      <c r="C432" s="1" t="n">
        <v>1483</v>
      </c>
      <c r="D432" s="4" t="n">
        <v>0</v>
      </c>
      <c r="E432" s="1" t="s">
        <v>1949</v>
      </c>
    </row>
    <row r="433" customFormat="false" ht="15" hidden="false" customHeight="true" outlineLevel="0" collapsed="false">
      <c r="A433" s="1" t="n">
        <v>50442</v>
      </c>
      <c r="B433" s="3" t="n">
        <v>43995</v>
      </c>
      <c r="C433" s="1" t="n">
        <v>814</v>
      </c>
      <c r="D433" s="4" t="n">
        <v>219</v>
      </c>
      <c r="E433" s="1" t="s">
        <v>1950</v>
      </c>
    </row>
    <row r="434" customFormat="false" ht="15" hidden="false" customHeight="true" outlineLevel="0" collapsed="false">
      <c r="A434" s="1" t="n">
        <v>50088</v>
      </c>
      <c r="B434" s="3" t="n">
        <v>44001</v>
      </c>
      <c r="C434" s="1" t="n">
        <v>1395</v>
      </c>
      <c r="D434" s="4" t="n">
        <v>0</v>
      </c>
      <c r="E434" s="1" t="s">
        <v>1949</v>
      </c>
    </row>
    <row r="435" customFormat="false" ht="15" hidden="false" customHeight="true" outlineLevel="0" collapsed="false">
      <c r="A435" s="1" t="n">
        <v>50568</v>
      </c>
      <c r="B435" s="3" t="n">
        <v>44007</v>
      </c>
      <c r="C435" s="1" t="n">
        <v>1803</v>
      </c>
      <c r="D435" s="4" t="n">
        <v>0</v>
      </c>
      <c r="E435" s="1" t="s">
        <v>1949</v>
      </c>
    </row>
    <row r="436" customFormat="false" ht="15" hidden="false" customHeight="true" outlineLevel="0" collapsed="false">
      <c r="A436" s="1" t="n">
        <v>50865</v>
      </c>
      <c r="B436" s="3" t="n">
        <v>44061</v>
      </c>
      <c r="C436" s="1" t="n">
        <v>536</v>
      </c>
      <c r="D436" s="4" t="n">
        <v>0</v>
      </c>
      <c r="E436" s="1" t="s">
        <v>1949</v>
      </c>
    </row>
    <row r="437" customFormat="false" ht="15" hidden="false" customHeight="true" outlineLevel="0" collapsed="false">
      <c r="A437" s="1" t="n">
        <v>50193</v>
      </c>
      <c r="B437" s="3" t="n">
        <v>44003</v>
      </c>
      <c r="C437" s="1" t="n">
        <v>767</v>
      </c>
      <c r="D437" s="4" t="n">
        <v>228</v>
      </c>
      <c r="E437" s="1" t="s">
        <v>1950</v>
      </c>
    </row>
    <row r="438" customFormat="false" ht="15" hidden="false" customHeight="true" outlineLevel="0" collapsed="false">
      <c r="A438" s="1" t="n">
        <v>50055</v>
      </c>
      <c r="B438" s="3" t="n">
        <v>44034</v>
      </c>
      <c r="C438" s="1" t="n">
        <v>1212</v>
      </c>
      <c r="D438" s="4" t="n">
        <v>0</v>
      </c>
      <c r="E438" s="1" t="s">
        <v>1949</v>
      </c>
    </row>
    <row r="439" customFormat="false" ht="15" hidden="false" customHeight="true" outlineLevel="0" collapsed="false">
      <c r="A439" s="1" t="n">
        <v>50260</v>
      </c>
      <c r="B439" s="3" t="n">
        <v>44033</v>
      </c>
      <c r="C439" s="1" t="n">
        <v>124</v>
      </c>
      <c r="D439" s="4" t="n">
        <v>0</v>
      </c>
      <c r="E439" s="1" t="s">
        <v>1949</v>
      </c>
    </row>
    <row r="440" customFormat="false" ht="15" hidden="false" customHeight="true" outlineLevel="0" collapsed="false">
      <c r="A440" s="1" t="n">
        <v>51234</v>
      </c>
      <c r="B440" s="3" t="n">
        <v>44064</v>
      </c>
      <c r="C440" s="1" t="n">
        <v>472</v>
      </c>
      <c r="D440" s="4" t="n">
        <v>773</v>
      </c>
      <c r="E440" s="1" t="s">
        <v>1950</v>
      </c>
    </row>
    <row r="441" customFormat="false" ht="15" hidden="false" customHeight="true" outlineLevel="0" collapsed="false">
      <c r="A441" s="1" t="n">
        <v>51991</v>
      </c>
      <c r="B441" s="3" t="n">
        <v>44063</v>
      </c>
      <c r="C441" s="1" t="n">
        <v>1554</v>
      </c>
      <c r="D441" s="4" t="n">
        <v>0</v>
      </c>
      <c r="E441" s="1" t="s">
        <v>1949</v>
      </c>
    </row>
    <row r="442" customFormat="false" ht="15" hidden="false" customHeight="true" outlineLevel="0" collapsed="false">
      <c r="A442" s="1" t="n">
        <v>51592</v>
      </c>
      <c r="B442" s="3" t="n">
        <v>44002</v>
      </c>
      <c r="C442" s="1" t="n">
        <v>828</v>
      </c>
      <c r="D442" s="4" t="n">
        <v>0</v>
      </c>
      <c r="E442" s="1" t="s">
        <v>1949</v>
      </c>
    </row>
    <row r="443" customFormat="false" ht="15" hidden="false" customHeight="true" outlineLevel="0" collapsed="false">
      <c r="A443" s="1" t="n">
        <v>51216</v>
      </c>
      <c r="B443" s="3" t="n">
        <v>44016</v>
      </c>
      <c r="C443" s="1" t="n">
        <v>1194</v>
      </c>
      <c r="D443" s="4" t="n">
        <v>274</v>
      </c>
      <c r="E443" s="1" t="s">
        <v>1950</v>
      </c>
    </row>
    <row r="444" customFormat="false" ht="15" hidden="false" customHeight="true" outlineLevel="0" collapsed="false">
      <c r="A444" s="1" t="n">
        <v>50003</v>
      </c>
      <c r="B444" s="3" t="n">
        <v>44004</v>
      </c>
      <c r="C444" s="1" t="n">
        <v>613</v>
      </c>
      <c r="D444" s="4" t="n">
        <v>643</v>
      </c>
      <c r="E444" s="1" t="s">
        <v>1950</v>
      </c>
    </row>
    <row r="445" customFormat="false" ht="15" hidden="false" customHeight="true" outlineLevel="0" collapsed="false">
      <c r="A445" s="1" t="n">
        <v>50087</v>
      </c>
      <c r="B445" s="3" t="n">
        <v>44015</v>
      </c>
      <c r="C445" s="1" t="n">
        <v>1123</v>
      </c>
      <c r="D445" s="4" t="n">
        <v>0</v>
      </c>
      <c r="E445" s="1" t="s">
        <v>1949</v>
      </c>
    </row>
    <row r="446" customFormat="false" ht="15" hidden="false" customHeight="true" outlineLevel="0" collapsed="false">
      <c r="A446" s="1" t="n">
        <v>50877</v>
      </c>
      <c r="B446" s="3" t="n">
        <v>44049</v>
      </c>
      <c r="C446" s="1" t="n">
        <v>1920</v>
      </c>
      <c r="D446" s="4" t="n">
        <v>0</v>
      </c>
      <c r="E446" s="1" t="s">
        <v>1949</v>
      </c>
    </row>
    <row r="447" customFormat="false" ht="15" hidden="false" customHeight="true" outlineLevel="0" collapsed="false">
      <c r="A447" s="1" t="n">
        <v>51690</v>
      </c>
      <c r="B447" s="3" t="n">
        <v>44013</v>
      </c>
      <c r="C447" s="1" t="n">
        <v>1175</v>
      </c>
      <c r="D447" s="4" t="n">
        <v>566</v>
      </c>
      <c r="E447" s="1" t="s">
        <v>1950</v>
      </c>
    </row>
    <row r="448" customFormat="false" ht="15" hidden="false" customHeight="true" outlineLevel="0" collapsed="false">
      <c r="A448" s="1" t="n">
        <v>50357</v>
      </c>
      <c r="B448" s="3" t="n">
        <v>43988</v>
      </c>
      <c r="C448" s="1" t="n">
        <v>1556</v>
      </c>
      <c r="D448" s="4" t="n">
        <v>0</v>
      </c>
      <c r="E448" s="1" t="s">
        <v>1949</v>
      </c>
    </row>
    <row r="449" customFormat="false" ht="15" hidden="false" customHeight="true" outlineLevel="0" collapsed="false">
      <c r="A449" s="1" t="n">
        <v>51327</v>
      </c>
      <c r="B449" s="3" t="n">
        <v>44070</v>
      </c>
      <c r="C449" s="1" t="n">
        <v>1935</v>
      </c>
      <c r="D449" s="4" t="n">
        <v>0</v>
      </c>
      <c r="E449" s="1" t="s">
        <v>1949</v>
      </c>
    </row>
    <row r="450" customFormat="false" ht="15" hidden="false" customHeight="true" outlineLevel="0" collapsed="false">
      <c r="A450" s="1" t="n">
        <v>51602</v>
      </c>
      <c r="B450" s="3" t="n">
        <v>44028</v>
      </c>
      <c r="C450" s="1" t="n">
        <v>1442</v>
      </c>
      <c r="D450" s="4" t="n">
        <v>0</v>
      </c>
      <c r="E450" s="1" t="s">
        <v>1949</v>
      </c>
    </row>
    <row r="451" customFormat="false" ht="15" hidden="false" customHeight="true" outlineLevel="0" collapsed="false">
      <c r="A451" s="1" t="n">
        <v>51286</v>
      </c>
      <c r="B451" s="3" t="n">
        <v>44050</v>
      </c>
      <c r="C451" s="1" t="n">
        <v>1910</v>
      </c>
      <c r="D451" s="4" t="n">
        <v>682</v>
      </c>
      <c r="E451" s="1" t="s">
        <v>1950</v>
      </c>
    </row>
    <row r="452" customFormat="false" ht="15" hidden="false" customHeight="true" outlineLevel="0" collapsed="false">
      <c r="A452" s="1" t="n">
        <v>50407</v>
      </c>
      <c r="B452" s="3" t="n">
        <v>43993</v>
      </c>
      <c r="C452" s="1" t="n">
        <v>816</v>
      </c>
      <c r="D452" s="4" t="n">
        <v>171</v>
      </c>
      <c r="E452" s="1" t="s">
        <v>1950</v>
      </c>
    </row>
    <row r="453" customFormat="false" ht="15" hidden="false" customHeight="true" outlineLevel="0" collapsed="false">
      <c r="A453" s="1" t="n">
        <v>50404</v>
      </c>
      <c r="B453" s="3" t="n">
        <v>44055</v>
      </c>
      <c r="C453" s="1" t="n">
        <v>232</v>
      </c>
      <c r="D453" s="4" t="n">
        <v>356</v>
      </c>
      <c r="E453" s="1" t="s">
        <v>1950</v>
      </c>
    </row>
    <row r="454" customFormat="false" ht="15" hidden="false" customHeight="true" outlineLevel="0" collapsed="false">
      <c r="A454" s="1" t="n">
        <v>50235</v>
      </c>
      <c r="B454" s="3" t="n">
        <v>43999</v>
      </c>
      <c r="C454" s="1" t="n">
        <v>322</v>
      </c>
      <c r="D454" s="4" t="n">
        <v>0</v>
      </c>
      <c r="E454" s="1" t="s">
        <v>1949</v>
      </c>
    </row>
    <row r="455" customFormat="false" ht="15" hidden="false" customHeight="true" outlineLevel="0" collapsed="false">
      <c r="A455" s="1" t="n">
        <v>51903</v>
      </c>
      <c r="B455" s="3" t="n">
        <v>44009</v>
      </c>
      <c r="C455" s="1" t="n">
        <v>1177</v>
      </c>
      <c r="D455" s="4" t="n">
        <v>0</v>
      </c>
      <c r="E455" s="1" t="s">
        <v>1949</v>
      </c>
    </row>
    <row r="456" customFormat="false" ht="15" hidden="false" customHeight="true" outlineLevel="0" collapsed="false">
      <c r="A456" s="1" t="n">
        <v>50444</v>
      </c>
      <c r="B456" s="3" t="n">
        <v>44028</v>
      </c>
      <c r="C456" s="1" t="n">
        <v>475</v>
      </c>
      <c r="D456" s="4" t="n">
        <v>0</v>
      </c>
      <c r="E456" s="1" t="s">
        <v>1949</v>
      </c>
    </row>
    <row r="457" customFormat="false" ht="15" hidden="false" customHeight="true" outlineLevel="0" collapsed="false">
      <c r="A457" s="1" t="n">
        <v>50764</v>
      </c>
      <c r="B457" s="3" t="n">
        <v>44037</v>
      </c>
      <c r="C457" s="1" t="n">
        <v>1926</v>
      </c>
      <c r="D457" s="4" t="n">
        <v>296</v>
      </c>
      <c r="E457" s="1" t="s">
        <v>1950</v>
      </c>
    </row>
    <row r="458" customFormat="false" ht="15" hidden="false" customHeight="true" outlineLevel="0" collapsed="false">
      <c r="A458" s="1" t="n">
        <v>51504</v>
      </c>
      <c r="B458" s="3" t="n">
        <v>44020</v>
      </c>
      <c r="C458" s="1" t="n">
        <v>1400</v>
      </c>
      <c r="D458" s="4" t="n">
        <v>697</v>
      </c>
      <c r="E458" s="1" t="s">
        <v>1950</v>
      </c>
    </row>
    <row r="459" customFormat="false" ht="15" hidden="false" customHeight="true" outlineLevel="0" collapsed="false">
      <c r="A459" s="1" t="n">
        <v>51977</v>
      </c>
      <c r="B459" s="3" t="n">
        <v>44039</v>
      </c>
      <c r="C459" s="1" t="n">
        <v>476</v>
      </c>
      <c r="D459" s="4" t="n">
        <v>0</v>
      </c>
      <c r="E459" s="1" t="s">
        <v>1949</v>
      </c>
    </row>
    <row r="460" customFormat="false" ht="15" hidden="false" customHeight="true" outlineLevel="0" collapsed="false">
      <c r="A460" s="1" t="n">
        <v>50005</v>
      </c>
      <c r="B460" s="3" t="n">
        <v>44039</v>
      </c>
      <c r="C460" s="1" t="n">
        <v>1152</v>
      </c>
      <c r="D460" s="4" t="n">
        <v>578</v>
      </c>
      <c r="E460" s="1" t="s">
        <v>1950</v>
      </c>
    </row>
    <row r="461" customFormat="false" ht="15" hidden="false" customHeight="true" outlineLevel="0" collapsed="false">
      <c r="A461" s="1" t="n">
        <v>51210</v>
      </c>
      <c r="B461" s="3" t="n">
        <v>43998</v>
      </c>
      <c r="C461" s="1" t="n">
        <v>71</v>
      </c>
      <c r="D461" s="4" t="n">
        <v>0</v>
      </c>
      <c r="E461" s="1" t="s">
        <v>1949</v>
      </c>
    </row>
    <row r="462" customFormat="false" ht="15" hidden="false" customHeight="true" outlineLevel="0" collapsed="false">
      <c r="A462" s="1" t="n">
        <v>51646</v>
      </c>
      <c r="B462" s="3" t="n">
        <v>44026</v>
      </c>
      <c r="C462" s="1" t="n">
        <v>336</v>
      </c>
      <c r="D462" s="4" t="n">
        <v>0</v>
      </c>
      <c r="E462" s="1" t="s">
        <v>1949</v>
      </c>
    </row>
    <row r="463" customFormat="false" ht="15" hidden="false" customHeight="true" outlineLevel="0" collapsed="false">
      <c r="A463" s="1" t="n">
        <v>51867</v>
      </c>
      <c r="B463" s="3" t="n">
        <v>43982</v>
      </c>
      <c r="C463" s="1" t="n">
        <v>883</v>
      </c>
      <c r="D463" s="4" t="n">
        <v>0</v>
      </c>
      <c r="E463" s="1" t="s">
        <v>1949</v>
      </c>
    </row>
    <row r="464" customFormat="false" ht="15" hidden="false" customHeight="true" outlineLevel="0" collapsed="false">
      <c r="A464" s="1" t="n">
        <v>50408</v>
      </c>
      <c r="B464" s="3" t="n">
        <v>44007</v>
      </c>
      <c r="C464" s="1" t="n">
        <v>441</v>
      </c>
      <c r="D464" s="4" t="n">
        <v>0</v>
      </c>
      <c r="E464" s="1" t="s">
        <v>1949</v>
      </c>
    </row>
    <row r="465" customFormat="false" ht="15" hidden="false" customHeight="true" outlineLevel="0" collapsed="false">
      <c r="A465" s="1" t="n">
        <v>51103</v>
      </c>
      <c r="B465" s="3" t="n">
        <v>43988</v>
      </c>
      <c r="C465" s="1" t="n">
        <v>847</v>
      </c>
      <c r="D465" s="4" t="n">
        <v>0</v>
      </c>
      <c r="E465" s="1" t="s">
        <v>1949</v>
      </c>
    </row>
    <row r="466" customFormat="false" ht="15" hidden="false" customHeight="true" outlineLevel="0" collapsed="false">
      <c r="A466" s="1" t="n">
        <v>51114</v>
      </c>
      <c r="B466" s="3" t="n">
        <v>44047</v>
      </c>
      <c r="C466" s="1" t="n">
        <v>379</v>
      </c>
      <c r="D466" s="4" t="n">
        <v>434</v>
      </c>
      <c r="E466" s="1" t="s">
        <v>1950</v>
      </c>
    </row>
    <row r="467" customFormat="false" ht="15" hidden="false" customHeight="true" outlineLevel="0" collapsed="false">
      <c r="A467" s="1" t="n">
        <v>51336</v>
      </c>
      <c r="B467" s="3" t="n">
        <v>43986</v>
      </c>
      <c r="C467" s="1" t="n">
        <v>1425</v>
      </c>
      <c r="D467" s="4" t="n">
        <v>654</v>
      </c>
      <c r="E467" s="1" t="s">
        <v>1950</v>
      </c>
    </row>
    <row r="468" customFormat="false" ht="15" hidden="false" customHeight="true" outlineLevel="0" collapsed="false">
      <c r="A468" s="1" t="n">
        <v>51326</v>
      </c>
      <c r="B468" s="3" t="n">
        <v>44001</v>
      </c>
      <c r="C468" s="1" t="n">
        <v>443</v>
      </c>
      <c r="D468" s="4" t="n">
        <v>0</v>
      </c>
      <c r="E468" s="1" t="s">
        <v>1949</v>
      </c>
    </row>
    <row r="469" customFormat="false" ht="15" hidden="false" customHeight="true" outlineLevel="0" collapsed="false">
      <c r="A469" s="1" t="n">
        <v>50956</v>
      </c>
      <c r="B469" s="3" t="n">
        <v>43982</v>
      </c>
      <c r="C469" s="1" t="n">
        <v>746</v>
      </c>
      <c r="D469" s="4" t="n">
        <v>715</v>
      </c>
      <c r="E469" s="1" t="s">
        <v>1950</v>
      </c>
    </row>
    <row r="470" customFormat="false" ht="15" hidden="false" customHeight="true" outlineLevel="0" collapsed="false">
      <c r="A470" s="1" t="n">
        <v>51958</v>
      </c>
      <c r="B470" s="3" t="n">
        <v>43994</v>
      </c>
      <c r="C470" s="1" t="n">
        <v>727</v>
      </c>
      <c r="D470" s="4" t="n">
        <v>0</v>
      </c>
      <c r="E470" s="1" t="s">
        <v>1949</v>
      </c>
    </row>
    <row r="471" customFormat="false" ht="15" hidden="false" customHeight="true" outlineLevel="0" collapsed="false">
      <c r="A471" s="1" t="n">
        <v>50599</v>
      </c>
      <c r="B471" s="3" t="n">
        <v>44048</v>
      </c>
      <c r="C471" s="1" t="n">
        <v>662</v>
      </c>
      <c r="D471" s="4" t="n">
        <v>684</v>
      </c>
      <c r="E471" s="1" t="s">
        <v>1950</v>
      </c>
    </row>
    <row r="472" customFormat="false" ht="15" hidden="false" customHeight="true" outlineLevel="0" collapsed="false">
      <c r="A472" s="1" t="n">
        <v>50610</v>
      </c>
      <c r="B472" s="3" t="n">
        <v>44056</v>
      </c>
      <c r="C472" s="1" t="n">
        <v>1753</v>
      </c>
      <c r="D472" s="4" t="n">
        <v>0</v>
      </c>
      <c r="E472" s="1" t="s">
        <v>1949</v>
      </c>
    </row>
    <row r="473" customFormat="false" ht="15" hidden="false" customHeight="true" outlineLevel="0" collapsed="false">
      <c r="A473" s="1" t="n">
        <v>51934</v>
      </c>
      <c r="B473" s="3" t="n">
        <v>44069</v>
      </c>
      <c r="C473" s="1" t="n">
        <v>1687</v>
      </c>
      <c r="D473" s="4" t="n">
        <v>0</v>
      </c>
      <c r="E473" s="1" t="s">
        <v>1949</v>
      </c>
    </row>
    <row r="474" customFormat="false" ht="15" hidden="false" customHeight="true" outlineLevel="0" collapsed="false">
      <c r="A474" s="1" t="n">
        <v>50645</v>
      </c>
      <c r="B474" s="3" t="n">
        <v>44033</v>
      </c>
      <c r="C474" s="1" t="n">
        <v>1653</v>
      </c>
      <c r="D474" s="4" t="n">
        <v>0</v>
      </c>
      <c r="E474" s="1" t="s">
        <v>1949</v>
      </c>
    </row>
    <row r="475" customFormat="false" ht="15" hidden="false" customHeight="true" outlineLevel="0" collapsed="false">
      <c r="A475" s="1" t="n">
        <v>51304</v>
      </c>
      <c r="B475" s="3" t="n">
        <v>44026</v>
      </c>
      <c r="C475" s="1" t="n">
        <v>1261</v>
      </c>
      <c r="D475" s="4" t="n">
        <v>326</v>
      </c>
      <c r="E475" s="1" t="s">
        <v>1950</v>
      </c>
    </row>
    <row r="476" customFormat="false" ht="15" hidden="false" customHeight="true" outlineLevel="0" collapsed="false">
      <c r="A476" s="1" t="n">
        <v>50977</v>
      </c>
      <c r="B476" s="3" t="n">
        <v>44040</v>
      </c>
      <c r="C476" s="1" t="n">
        <v>1567</v>
      </c>
      <c r="D476" s="4" t="n">
        <v>249</v>
      </c>
      <c r="E476" s="1" t="s">
        <v>1950</v>
      </c>
    </row>
    <row r="477" customFormat="false" ht="15" hidden="false" customHeight="true" outlineLevel="0" collapsed="false">
      <c r="A477" s="1" t="n">
        <v>50270</v>
      </c>
      <c r="B477" s="3" t="n">
        <v>44011</v>
      </c>
      <c r="C477" s="1" t="n">
        <v>1525</v>
      </c>
      <c r="D477" s="4" t="n">
        <v>659</v>
      </c>
      <c r="E477" s="1" t="s">
        <v>1950</v>
      </c>
    </row>
    <row r="478" customFormat="false" ht="15" hidden="false" customHeight="true" outlineLevel="0" collapsed="false">
      <c r="A478" s="1" t="n">
        <v>51915</v>
      </c>
      <c r="B478" s="3" t="n">
        <v>44072</v>
      </c>
      <c r="C478" s="1" t="n">
        <v>265</v>
      </c>
      <c r="D478" s="4" t="n">
        <v>0</v>
      </c>
      <c r="E478" s="1" t="s">
        <v>1949</v>
      </c>
    </row>
    <row r="479" customFormat="false" ht="15" hidden="false" customHeight="true" outlineLevel="0" collapsed="false">
      <c r="A479" s="1" t="n">
        <v>51671</v>
      </c>
      <c r="B479" s="3" t="n">
        <v>44005</v>
      </c>
      <c r="C479" s="1" t="n">
        <v>483</v>
      </c>
      <c r="D479" s="4" t="n">
        <v>0</v>
      </c>
      <c r="E479" s="1" t="s">
        <v>1949</v>
      </c>
    </row>
    <row r="480" customFormat="false" ht="15" hidden="false" customHeight="true" outlineLevel="0" collapsed="false">
      <c r="A480" s="1" t="n">
        <v>51695</v>
      </c>
      <c r="B480" s="3" t="n">
        <v>43995</v>
      </c>
      <c r="C480" s="1" t="n">
        <v>223</v>
      </c>
      <c r="D480" s="4" t="n">
        <v>310</v>
      </c>
      <c r="E480" s="1" t="s">
        <v>1950</v>
      </c>
    </row>
    <row r="481" customFormat="false" ht="15" hidden="false" customHeight="true" outlineLevel="0" collapsed="false">
      <c r="A481" s="1" t="n">
        <v>51942</v>
      </c>
      <c r="B481" s="3" t="n">
        <v>43988</v>
      </c>
      <c r="C481" s="1" t="n">
        <v>1937</v>
      </c>
      <c r="D481" s="4" t="n">
        <v>0</v>
      </c>
      <c r="E481" s="1" t="s">
        <v>1949</v>
      </c>
    </row>
    <row r="482" customFormat="false" ht="15" hidden="false" customHeight="true" outlineLevel="0" collapsed="false">
      <c r="A482" s="1" t="n">
        <v>50361</v>
      </c>
      <c r="B482" s="3" t="n">
        <v>44066</v>
      </c>
      <c r="C482" s="1" t="n">
        <v>516</v>
      </c>
      <c r="D482" s="4" t="n">
        <v>0</v>
      </c>
      <c r="E482" s="1" t="s">
        <v>1949</v>
      </c>
    </row>
    <row r="483" customFormat="false" ht="15" hidden="false" customHeight="true" outlineLevel="0" collapsed="false">
      <c r="A483" s="1" t="n">
        <v>50729</v>
      </c>
      <c r="B483" s="3" t="n">
        <v>44056</v>
      </c>
      <c r="C483" s="1" t="n">
        <v>1727</v>
      </c>
      <c r="D483" s="4" t="n">
        <v>0</v>
      </c>
      <c r="E483" s="1" t="s">
        <v>1949</v>
      </c>
    </row>
    <row r="484" customFormat="false" ht="15" hidden="false" customHeight="true" outlineLevel="0" collapsed="false">
      <c r="A484" s="1" t="n">
        <v>51192</v>
      </c>
      <c r="B484" s="3" t="n">
        <v>43995</v>
      </c>
      <c r="C484" s="1" t="n">
        <v>1234</v>
      </c>
      <c r="D484" s="4" t="n">
        <v>0</v>
      </c>
      <c r="E484" s="1" t="s">
        <v>1949</v>
      </c>
    </row>
    <row r="485" customFormat="false" ht="15" hidden="false" customHeight="true" outlineLevel="0" collapsed="false">
      <c r="A485" s="1" t="n">
        <v>50366</v>
      </c>
      <c r="B485" s="3" t="n">
        <v>44061</v>
      </c>
      <c r="C485" s="1" t="n">
        <v>1711</v>
      </c>
      <c r="D485" s="4" t="n">
        <v>199</v>
      </c>
      <c r="E485" s="1" t="s">
        <v>1950</v>
      </c>
    </row>
    <row r="486" customFormat="false" ht="15" hidden="false" customHeight="true" outlineLevel="0" collapsed="false">
      <c r="A486" s="1" t="n">
        <v>51188</v>
      </c>
      <c r="B486" s="3" t="n">
        <v>43986</v>
      </c>
      <c r="C486" s="1" t="n">
        <v>867</v>
      </c>
      <c r="D486" s="4" t="n">
        <v>0</v>
      </c>
      <c r="E486" s="1" t="s">
        <v>1949</v>
      </c>
    </row>
    <row r="487" customFormat="false" ht="15" hidden="false" customHeight="true" outlineLevel="0" collapsed="false">
      <c r="A487" s="1" t="n">
        <v>51666</v>
      </c>
      <c r="B487" s="3" t="n">
        <v>44018</v>
      </c>
      <c r="C487" s="1" t="n">
        <v>1284</v>
      </c>
      <c r="D487" s="4" t="n">
        <v>835</v>
      </c>
      <c r="E487" s="1" t="s">
        <v>1950</v>
      </c>
    </row>
    <row r="488" customFormat="false" ht="15" hidden="false" customHeight="true" outlineLevel="0" collapsed="false">
      <c r="A488" s="1" t="n">
        <v>51584</v>
      </c>
      <c r="B488" s="3" t="n">
        <v>43989</v>
      </c>
      <c r="C488" s="1" t="n">
        <v>1664</v>
      </c>
      <c r="D488" s="4" t="n">
        <v>0</v>
      </c>
      <c r="E488" s="1" t="s">
        <v>1949</v>
      </c>
    </row>
    <row r="489" customFormat="false" ht="15" hidden="false" customHeight="true" outlineLevel="0" collapsed="false">
      <c r="A489" s="1" t="n">
        <v>51320</v>
      </c>
      <c r="B489" s="3" t="n">
        <v>44030</v>
      </c>
      <c r="C489" s="1" t="n">
        <v>1300</v>
      </c>
      <c r="D489" s="4" t="n">
        <v>0</v>
      </c>
      <c r="E489" s="1" t="s">
        <v>1949</v>
      </c>
    </row>
    <row r="490" customFormat="false" ht="15" hidden="false" customHeight="true" outlineLevel="0" collapsed="false">
      <c r="A490" s="1" t="n">
        <v>51244</v>
      </c>
      <c r="B490" s="3" t="n">
        <v>44062</v>
      </c>
      <c r="C490" s="1" t="n">
        <v>572</v>
      </c>
      <c r="D490" s="4" t="n">
        <v>0</v>
      </c>
      <c r="E490" s="1" t="s">
        <v>1949</v>
      </c>
    </row>
    <row r="491" customFormat="false" ht="15" hidden="false" customHeight="true" outlineLevel="0" collapsed="false">
      <c r="A491" s="1" t="n">
        <v>51097</v>
      </c>
      <c r="B491" s="3" t="n">
        <v>44042</v>
      </c>
      <c r="C491" s="1" t="n">
        <v>1652</v>
      </c>
      <c r="D491" s="4" t="n">
        <v>0</v>
      </c>
      <c r="E491" s="1" t="s">
        <v>1949</v>
      </c>
    </row>
    <row r="492" customFormat="false" ht="15" hidden="false" customHeight="true" outlineLevel="0" collapsed="false">
      <c r="A492" s="1" t="n">
        <v>50838</v>
      </c>
      <c r="B492" s="3" t="n">
        <v>44024</v>
      </c>
      <c r="C492" s="1" t="n">
        <v>343</v>
      </c>
      <c r="D492" s="4" t="n">
        <v>0</v>
      </c>
      <c r="E492" s="1" t="s">
        <v>1949</v>
      </c>
    </row>
    <row r="493" customFormat="false" ht="15" hidden="false" customHeight="true" outlineLevel="0" collapsed="false">
      <c r="A493" s="1" t="n">
        <v>50378</v>
      </c>
      <c r="B493" s="3" t="n">
        <v>44001</v>
      </c>
      <c r="C493" s="1" t="n">
        <v>728</v>
      </c>
      <c r="D493" s="4" t="n">
        <v>0</v>
      </c>
      <c r="E493" s="1" t="s">
        <v>1949</v>
      </c>
    </row>
    <row r="494" customFormat="false" ht="15" hidden="false" customHeight="true" outlineLevel="0" collapsed="false">
      <c r="A494" s="1" t="n">
        <v>50098</v>
      </c>
      <c r="B494" s="3" t="n">
        <v>43989</v>
      </c>
      <c r="C494" s="1" t="n">
        <v>672</v>
      </c>
      <c r="D494" s="4" t="n">
        <v>0</v>
      </c>
      <c r="E494" s="1" t="s">
        <v>1949</v>
      </c>
    </row>
    <row r="495" customFormat="false" ht="15" hidden="false" customHeight="true" outlineLevel="0" collapsed="false">
      <c r="A495" s="1" t="n">
        <v>50531</v>
      </c>
      <c r="B495" s="3" t="n">
        <v>44046</v>
      </c>
      <c r="C495" s="1" t="n">
        <v>268</v>
      </c>
      <c r="D495" s="4" t="n">
        <v>485</v>
      </c>
      <c r="E495" s="1" t="s">
        <v>1950</v>
      </c>
    </row>
    <row r="496" customFormat="false" ht="15" hidden="false" customHeight="true" outlineLevel="0" collapsed="false">
      <c r="A496" s="1" t="n">
        <v>51257</v>
      </c>
      <c r="B496" s="3" t="n">
        <v>44070</v>
      </c>
      <c r="C496" s="1" t="n">
        <v>1331</v>
      </c>
      <c r="D496" s="4" t="n">
        <v>0</v>
      </c>
      <c r="E496" s="1" t="s">
        <v>1949</v>
      </c>
    </row>
    <row r="497" customFormat="false" ht="15" hidden="false" customHeight="true" outlineLevel="0" collapsed="false">
      <c r="A497" s="1" t="n">
        <v>50543</v>
      </c>
      <c r="B497" s="3" t="n">
        <v>44024</v>
      </c>
      <c r="C497" s="1" t="n">
        <v>832</v>
      </c>
      <c r="D497" s="4" t="n">
        <v>874</v>
      </c>
      <c r="E497" s="1" t="s">
        <v>1950</v>
      </c>
    </row>
    <row r="498" customFormat="false" ht="15" hidden="false" customHeight="true" outlineLevel="0" collapsed="false">
      <c r="A498" s="1" t="n">
        <v>51740</v>
      </c>
      <c r="B498" s="3" t="n">
        <v>44058</v>
      </c>
      <c r="C498" s="1" t="n">
        <v>913</v>
      </c>
      <c r="D498" s="4" t="n">
        <v>0</v>
      </c>
      <c r="E498" s="1" t="s">
        <v>1949</v>
      </c>
    </row>
    <row r="499" customFormat="false" ht="15" hidden="false" customHeight="true" outlineLevel="0" collapsed="false">
      <c r="A499" s="1" t="n">
        <v>51357</v>
      </c>
      <c r="B499" s="3" t="n">
        <v>44012</v>
      </c>
      <c r="C499" s="1" t="n">
        <v>1902</v>
      </c>
      <c r="D499" s="4" t="n">
        <v>0</v>
      </c>
      <c r="E499" s="1" t="s">
        <v>1949</v>
      </c>
    </row>
    <row r="500" customFormat="false" ht="15" hidden="false" customHeight="true" outlineLevel="0" collapsed="false">
      <c r="A500" s="1" t="n">
        <v>51686</v>
      </c>
      <c r="B500" s="3" t="n">
        <v>44002</v>
      </c>
      <c r="C500" s="1" t="n">
        <v>1084</v>
      </c>
      <c r="D500" s="4" t="n">
        <v>530</v>
      </c>
      <c r="E500" s="1" t="s">
        <v>1950</v>
      </c>
    </row>
    <row r="501" customFormat="false" ht="15" hidden="false" customHeight="true" outlineLevel="0" collapsed="false">
      <c r="A501" s="1" t="n">
        <v>51802</v>
      </c>
      <c r="B501" s="3" t="n">
        <v>44069</v>
      </c>
      <c r="C501" s="1" t="n">
        <v>1779</v>
      </c>
      <c r="D501" s="4" t="n">
        <v>100</v>
      </c>
      <c r="E501" s="1" t="s">
        <v>1950</v>
      </c>
    </row>
    <row r="502" customFormat="false" ht="15" hidden="false" customHeight="true" outlineLevel="0" collapsed="false">
      <c r="A502" s="1" t="n">
        <v>51100</v>
      </c>
      <c r="B502" s="3" t="n">
        <v>43998</v>
      </c>
      <c r="C502" s="1" t="n">
        <v>34</v>
      </c>
      <c r="D502" s="4" t="n">
        <v>0</v>
      </c>
      <c r="E502" s="1" t="s">
        <v>1949</v>
      </c>
    </row>
    <row r="503" customFormat="false" ht="15" hidden="false" customHeight="true" outlineLevel="0" collapsed="false">
      <c r="A503" s="1" t="n">
        <v>50206</v>
      </c>
      <c r="B503" s="3" t="n">
        <v>44070</v>
      </c>
      <c r="C503" s="1" t="n">
        <v>1055</v>
      </c>
      <c r="D503" s="4" t="n">
        <v>0</v>
      </c>
      <c r="E503" s="1" t="s">
        <v>1949</v>
      </c>
    </row>
    <row r="504" customFormat="false" ht="15" hidden="false" customHeight="true" outlineLevel="0" collapsed="false">
      <c r="A504" s="1" t="n">
        <v>50668</v>
      </c>
      <c r="B504" s="3" t="n">
        <v>44060</v>
      </c>
      <c r="C504" s="1" t="n">
        <v>290</v>
      </c>
      <c r="D504" s="4" t="n">
        <v>0</v>
      </c>
      <c r="E504" s="1" t="s">
        <v>1949</v>
      </c>
    </row>
    <row r="505" customFormat="false" ht="15" hidden="false" customHeight="true" outlineLevel="0" collapsed="false">
      <c r="A505" s="1" t="n">
        <v>51352</v>
      </c>
      <c r="B505" s="3" t="n">
        <v>43988</v>
      </c>
      <c r="C505" s="1" t="n">
        <v>20</v>
      </c>
      <c r="D505" s="4" t="n">
        <v>851</v>
      </c>
      <c r="E505" s="1" t="s">
        <v>1950</v>
      </c>
    </row>
    <row r="506" customFormat="false" ht="15" hidden="false" customHeight="true" outlineLevel="0" collapsed="false">
      <c r="A506" s="1" t="n">
        <v>51427</v>
      </c>
      <c r="B506" s="3" t="n">
        <v>44059</v>
      </c>
      <c r="C506" s="1" t="n">
        <v>325</v>
      </c>
      <c r="D506" s="4" t="n">
        <v>452</v>
      </c>
      <c r="E506" s="1" t="s">
        <v>1950</v>
      </c>
    </row>
    <row r="507" customFormat="false" ht="15" hidden="false" customHeight="true" outlineLevel="0" collapsed="false">
      <c r="A507" s="1" t="n">
        <v>50261</v>
      </c>
      <c r="B507" s="3" t="n">
        <v>44027</v>
      </c>
      <c r="C507" s="1" t="n">
        <v>740</v>
      </c>
      <c r="D507" s="4" t="n">
        <v>0</v>
      </c>
      <c r="E507" s="1" t="s">
        <v>1949</v>
      </c>
    </row>
    <row r="508" customFormat="false" ht="15" hidden="false" customHeight="true" outlineLevel="0" collapsed="false">
      <c r="A508" s="1" t="n">
        <v>51750</v>
      </c>
      <c r="B508" s="3" t="n">
        <v>44003</v>
      </c>
      <c r="C508" s="1" t="n">
        <v>1471</v>
      </c>
      <c r="D508" s="4" t="n">
        <v>535</v>
      </c>
      <c r="E508" s="1" t="s">
        <v>1950</v>
      </c>
    </row>
    <row r="509" customFormat="false" ht="15" hidden="false" customHeight="true" outlineLevel="0" collapsed="false">
      <c r="A509" s="1" t="n">
        <v>50397</v>
      </c>
      <c r="B509" s="3" t="n">
        <v>44069</v>
      </c>
      <c r="C509" s="1" t="n">
        <v>284</v>
      </c>
      <c r="D509" s="4" t="n">
        <v>720</v>
      </c>
      <c r="E509" s="1" t="s">
        <v>1950</v>
      </c>
    </row>
    <row r="510" customFormat="false" ht="15" hidden="false" customHeight="true" outlineLevel="0" collapsed="false">
      <c r="A510" s="1" t="n">
        <v>51889</v>
      </c>
      <c r="B510" s="3" t="n">
        <v>43996</v>
      </c>
      <c r="C510" s="1" t="n">
        <v>1596</v>
      </c>
      <c r="D510" s="4" t="n">
        <v>863</v>
      </c>
      <c r="E510" s="1" t="s">
        <v>1950</v>
      </c>
    </row>
    <row r="511" customFormat="false" ht="15" hidden="false" customHeight="true" outlineLevel="0" collapsed="false">
      <c r="A511" s="1" t="n">
        <v>51017</v>
      </c>
      <c r="B511" s="3" t="n">
        <v>44060</v>
      </c>
      <c r="C511" s="1" t="n">
        <v>8</v>
      </c>
      <c r="D511" s="4" t="n">
        <v>541</v>
      </c>
      <c r="E511" s="1" t="s">
        <v>1950</v>
      </c>
    </row>
    <row r="512" customFormat="false" ht="15" hidden="false" customHeight="true" outlineLevel="0" collapsed="false">
      <c r="A512" s="1" t="n">
        <v>50816</v>
      </c>
      <c r="B512" s="3" t="n">
        <v>44037</v>
      </c>
      <c r="C512" s="1" t="n">
        <v>1884</v>
      </c>
      <c r="D512" s="4" t="n">
        <v>323</v>
      </c>
      <c r="E512" s="1" t="s">
        <v>1950</v>
      </c>
    </row>
    <row r="513" customFormat="false" ht="15" hidden="false" customHeight="true" outlineLevel="0" collapsed="false">
      <c r="A513" s="1" t="n">
        <v>50790</v>
      </c>
      <c r="B513" s="3" t="n">
        <v>43984</v>
      </c>
      <c r="C513" s="1" t="n">
        <v>1320</v>
      </c>
      <c r="D513" s="4" t="n">
        <v>0</v>
      </c>
      <c r="E513" s="1" t="s">
        <v>1949</v>
      </c>
    </row>
    <row r="514" customFormat="false" ht="15" hidden="false" customHeight="true" outlineLevel="0" collapsed="false">
      <c r="A514" s="1" t="n">
        <v>51313</v>
      </c>
      <c r="B514" s="3" t="n">
        <v>44030</v>
      </c>
      <c r="C514" s="1" t="n">
        <v>1890</v>
      </c>
      <c r="D514" s="4" t="n">
        <v>276</v>
      </c>
      <c r="E514" s="1" t="s">
        <v>1950</v>
      </c>
    </row>
    <row r="515" customFormat="false" ht="15" hidden="false" customHeight="true" outlineLevel="0" collapsed="false">
      <c r="A515" s="1" t="n">
        <v>50871</v>
      </c>
      <c r="B515" s="3" t="n">
        <v>44015</v>
      </c>
      <c r="C515" s="1" t="n">
        <v>907</v>
      </c>
      <c r="D515" s="4" t="n">
        <v>0</v>
      </c>
      <c r="E515" s="1" t="s">
        <v>1949</v>
      </c>
    </row>
    <row r="516" customFormat="false" ht="15" hidden="false" customHeight="true" outlineLevel="0" collapsed="false">
      <c r="A516" s="1" t="n">
        <v>50909</v>
      </c>
      <c r="B516" s="3" t="n">
        <v>44036</v>
      </c>
      <c r="C516" s="1" t="n">
        <v>1866</v>
      </c>
      <c r="D516" s="4" t="n">
        <v>0</v>
      </c>
      <c r="E516" s="1" t="s">
        <v>1949</v>
      </c>
    </row>
    <row r="517" customFormat="false" ht="15" hidden="false" customHeight="true" outlineLevel="0" collapsed="false">
      <c r="A517" s="1" t="n">
        <v>50813</v>
      </c>
      <c r="B517" s="3" t="n">
        <v>44007</v>
      </c>
      <c r="C517" s="1" t="n">
        <v>929</v>
      </c>
      <c r="D517" s="4" t="n">
        <v>453</v>
      </c>
      <c r="E517" s="1" t="s">
        <v>1950</v>
      </c>
    </row>
    <row r="518" customFormat="false" ht="15" hidden="false" customHeight="true" outlineLevel="0" collapsed="false">
      <c r="A518" s="1" t="n">
        <v>51761</v>
      </c>
      <c r="B518" s="3" t="n">
        <v>43998</v>
      </c>
      <c r="C518" s="1" t="n">
        <v>1829</v>
      </c>
      <c r="D518" s="4" t="n">
        <v>0</v>
      </c>
      <c r="E518" s="1" t="s">
        <v>1949</v>
      </c>
    </row>
    <row r="519" customFormat="false" ht="15" hidden="false" customHeight="true" outlineLevel="0" collapsed="false">
      <c r="A519" s="1" t="n">
        <v>50709</v>
      </c>
      <c r="B519" s="3" t="n">
        <v>44071</v>
      </c>
      <c r="C519" s="1" t="n">
        <v>1276</v>
      </c>
      <c r="D519" s="4" t="n">
        <v>0</v>
      </c>
      <c r="E519" s="1" t="s">
        <v>1949</v>
      </c>
    </row>
    <row r="520" customFormat="false" ht="15" hidden="false" customHeight="true" outlineLevel="0" collapsed="false">
      <c r="A520" s="1" t="n">
        <v>50104</v>
      </c>
      <c r="B520" s="3" t="n">
        <v>44015</v>
      </c>
      <c r="C520" s="1" t="n">
        <v>421</v>
      </c>
      <c r="D520" s="4" t="n">
        <v>669</v>
      </c>
      <c r="E520" s="1" t="s">
        <v>1950</v>
      </c>
    </row>
    <row r="521" customFormat="false" ht="15" hidden="false" customHeight="true" outlineLevel="0" collapsed="false">
      <c r="A521" s="1" t="n">
        <v>50809</v>
      </c>
      <c r="B521" s="3" t="n">
        <v>44025</v>
      </c>
      <c r="C521" s="1" t="n">
        <v>1806</v>
      </c>
      <c r="D521" s="4" t="n">
        <v>881</v>
      </c>
      <c r="E521" s="1" t="s">
        <v>1950</v>
      </c>
    </row>
    <row r="522" customFormat="false" ht="15" hidden="false" customHeight="true" outlineLevel="0" collapsed="false">
      <c r="A522" s="1" t="n">
        <v>50370</v>
      </c>
      <c r="B522" s="3" t="n">
        <v>44059</v>
      </c>
      <c r="C522" s="1" t="n">
        <v>1578</v>
      </c>
      <c r="D522" s="4" t="n">
        <v>647</v>
      </c>
      <c r="E522" s="1" t="s">
        <v>1950</v>
      </c>
    </row>
    <row r="523" customFormat="false" ht="15" hidden="false" customHeight="true" outlineLevel="0" collapsed="false">
      <c r="A523" s="1" t="n">
        <v>51046</v>
      </c>
      <c r="B523" s="3" t="n">
        <v>44056</v>
      </c>
      <c r="C523" s="1" t="n">
        <v>1726</v>
      </c>
      <c r="D523" s="4" t="n">
        <v>0</v>
      </c>
      <c r="E523" s="1" t="s">
        <v>1949</v>
      </c>
    </row>
    <row r="524" customFormat="false" ht="15" hidden="false" customHeight="true" outlineLevel="0" collapsed="false">
      <c r="A524" s="1" t="n">
        <v>50441</v>
      </c>
      <c r="B524" s="3" t="n">
        <v>44060</v>
      </c>
      <c r="C524" s="1" t="n">
        <v>618</v>
      </c>
      <c r="D524" s="4" t="n">
        <v>0</v>
      </c>
      <c r="E524" s="1" t="s">
        <v>1949</v>
      </c>
    </row>
    <row r="525" customFormat="false" ht="15" hidden="false" customHeight="true" outlineLevel="0" collapsed="false">
      <c r="A525" s="1" t="n">
        <v>51325</v>
      </c>
      <c r="B525" s="3" t="n">
        <v>44008</v>
      </c>
      <c r="C525" s="1" t="n">
        <v>1493</v>
      </c>
      <c r="D525" s="4" t="n">
        <v>579</v>
      </c>
      <c r="E525" s="1" t="s">
        <v>1950</v>
      </c>
    </row>
    <row r="526" customFormat="false" ht="15" hidden="false" customHeight="true" outlineLevel="0" collapsed="false">
      <c r="A526" s="1" t="n">
        <v>51474</v>
      </c>
      <c r="B526" s="3" t="n">
        <v>44022</v>
      </c>
      <c r="C526" s="1" t="n">
        <v>150</v>
      </c>
      <c r="D526" s="4" t="n">
        <v>119</v>
      </c>
      <c r="E526" s="1" t="s">
        <v>1950</v>
      </c>
    </row>
    <row r="527" customFormat="false" ht="15" hidden="false" customHeight="true" outlineLevel="0" collapsed="false">
      <c r="A527" s="1" t="n">
        <v>50966</v>
      </c>
      <c r="B527" s="3" t="n">
        <v>44034</v>
      </c>
      <c r="C527" s="1" t="n">
        <v>1052</v>
      </c>
      <c r="D527" s="4" t="n">
        <v>430</v>
      </c>
      <c r="E527" s="1" t="s">
        <v>1950</v>
      </c>
    </row>
    <row r="528" customFormat="false" ht="15" hidden="false" customHeight="true" outlineLevel="0" collapsed="false">
      <c r="A528" s="1" t="n">
        <v>50983</v>
      </c>
      <c r="B528" s="3" t="n">
        <v>44059</v>
      </c>
      <c r="C528" s="1" t="n">
        <v>212</v>
      </c>
      <c r="D528" s="4" t="n">
        <v>645</v>
      </c>
      <c r="E528" s="1" t="s">
        <v>1950</v>
      </c>
    </row>
    <row r="529" customFormat="false" ht="15" hidden="false" customHeight="true" outlineLevel="0" collapsed="false">
      <c r="A529" s="1" t="n">
        <v>50791</v>
      </c>
      <c r="B529" s="3" t="n">
        <v>44019</v>
      </c>
      <c r="C529" s="1" t="n">
        <v>1985</v>
      </c>
      <c r="D529" s="4" t="n">
        <v>812</v>
      </c>
      <c r="E529" s="1" t="s">
        <v>1950</v>
      </c>
    </row>
    <row r="530" customFormat="false" ht="15" hidden="false" customHeight="true" outlineLevel="0" collapsed="false">
      <c r="A530" s="1" t="n">
        <v>50432</v>
      </c>
      <c r="B530" s="3" t="n">
        <v>44042</v>
      </c>
      <c r="C530" s="1" t="n">
        <v>1979</v>
      </c>
      <c r="D530" s="4" t="n">
        <v>0</v>
      </c>
      <c r="E530" s="1" t="s">
        <v>1949</v>
      </c>
    </row>
    <row r="531" customFormat="false" ht="15" hidden="false" customHeight="true" outlineLevel="0" collapsed="false">
      <c r="A531" s="1" t="n">
        <v>51542</v>
      </c>
      <c r="B531" s="3" t="n">
        <v>44014</v>
      </c>
      <c r="C531" s="1" t="n">
        <v>1209</v>
      </c>
      <c r="D531" s="4" t="n">
        <v>0</v>
      </c>
      <c r="E531" s="1" t="s">
        <v>1949</v>
      </c>
    </row>
    <row r="532" customFormat="false" ht="15" hidden="false" customHeight="true" outlineLevel="0" collapsed="false">
      <c r="A532" s="1" t="n">
        <v>51172</v>
      </c>
      <c r="B532" s="3" t="n">
        <v>44025</v>
      </c>
      <c r="C532" s="1" t="n">
        <v>1749</v>
      </c>
      <c r="D532" s="4" t="n">
        <v>218</v>
      </c>
      <c r="E532" s="1" t="s">
        <v>1950</v>
      </c>
    </row>
    <row r="533" customFormat="false" ht="15" hidden="false" customHeight="true" outlineLevel="0" collapsed="false">
      <c r="A533" s="1" t="n">
        <v>50281</v>
      </c>
      <c r="B533" s="3" t="n">
        <v>43983</v>
      </c>
      <c r="C533" s="1" t="n">
        <v>48</v>
      </c>
      <c r="D533" s="4" t="n">
        <v>130</v>
      </c>
      <c r="E533" s="1" t="s">
        <v>1950</v>
      </c>
    </row>
    <row r="534" customFormat="false" ht="15" hidden="false" customHeight="true" outlineLevel="0" collapsed="false">
      <c r="A534" s="1" t="n">
        <v>50056</v>
      </c>
      <c r="B534" s="3" t="n">
        <v>44005</v>
      </c>
      <c r="C534" s="1" t="n">
        <v>455</v>
      </c>
      <c r="D534" s="4" t="n">
        <v>0</v>
      </c>
      <c r="E534" s="1" t="s">
        <v>1949</v>
      </c>
    </row>
    <row r="535" customFormat="false" ht="15" hidden="false" customHeight="true" outlineLevel="0" collapsed="false">
      <c r="A535" s="1" t="n">
        <v>51722</v>
      </c>
      <c r="B535" s="3" t="n">
        <v>44053</v>
      </c>
      <c r="C535" s="1" t="n">
        <v>1867</v>
      </c>
      <c r="D535" s="4" t="n">
        <v>0</v>
      </c>
      <c r="E535" s="1" t="s">
        <v>1949</v>
      </c>
    </row>
    <row r="536" customFormat="false" ht="15" hidden="false" customHeight="true" outlineLevel="0" collapsed="false">
      <c r="A536" s="1" t="n">
        <v>50755</v>
      </c>
      <c r="B536" s="3" t="n">
        <v>44049</v>
      </c>
      <c r="C536" s="1" t="n">
        <v>484</v>
      </c>
      <c r="D536" s="4" t="n">
        <v>0</v>
      </c>
      <c r="E536" s="1" t="s">
        <v>1949</v>
      </c>
    </row>
    <row r="537" customFormat="false" ht="15" hidden="false" customHeight="true" outlineLevel="0" collapsed="false">
      <c r="A537" s="1" t="n">
        <v>51367</v>
      </c>
      <c r="B537" s="3" t="n">
        <v>44067</v>
      </c>
      <c r="C537" s="1" t="n">
        <v>1459</v>
      </c>
      <c r="D537" s="4" t="n">
        <v>0</v>
      </c>
      <c r="E537" s="1" t="s">
        <v>1949</v>
      </c>
    </row>
    <row r="538" customFormat="false" ht="15" hidden="false" customHeight="true" outlineLevel="0" collapsed="false">
      <c r="A538" s="1" t="n">
        <v>50508</v>
      </c>
      <c r="B538" s="3" t="n">
        <v>43990</v>
      </c>
      <c r="C538" s="1" t="n">
        <v>985</v>
      </c>
      <c r="D538" s="4" t="n">
        <v>0</v>
      </c>
      <c r="E538" s="1" t="s">
        <v>1949</v>
      </c>
    </row>
    <row r="539" customFormat="false" ht="15" hidden="false" customHeight="true" outlineLevel="0" collapsed="false">
      <c r="A539" s="1" t="n">
        <v>50177</v>
      </c>
      <c r="B539" s="3" t="n">
        <v>44071</v>
      </c>
      <c r="C539" s="1" t="n">
        <v>203</v>
      </c>
      <c r="D539" s="4" t="n">
        <v>0</v>
      </c>
      <c r="E539" s="1" t="s">
        <v>1949</v>
      </c>
    </row>
    <row r="540" customFormat="false" ht="15" hidden="false" customHeight="true" outlineLevel="0" collapsed="false">
      <c r="A540" s="1" t="n">
        <v>51532</v>
      </c>
      <c r="B540" s="3" t="n">
        <v>44004</v>
      </c>
      <c r="C540" s="1" t="n">
        <v>1612</v>
      </c>
      <c r="D540" s="4" t="n">
        <v>468</v>
      </c>
      <c r="E540" s="1" t="s">
        <v>1950</v>
      </c>
    </row>
    <row r="541" customFormat="false" ht="15" hidden="false" customHeight="true" outlineLevel="0" collapsed="false">
      <c r="A541" s="1" t="n">
        <v>50981</v>
      </c>
      <c r="B541" s="3" t="n">
        <v>44047</v>
      </c>
      <c r="C541" s="1" t="n">
        <v>696</v>
      </c>
      <c r="D541" s="4" t="n">
        <v>497</v>
      </c>
      <c r="E541" s="1" t="s">
        <v>1950</v>
      </c>
    </row>
    <row r="542" customFormat="false" ht="15" hidden="false" customHeight="true" outlineLevel="0" collapsed="false">
      <c r="A542" s="1" t="n">
        <v>51088</v>
      </c>
      <c r="B542" s="3" t="n">
        <v>44048</v>
      </c>
      <c r="C542" s="1" t="n">
        <v>826</v>
      </c>
      <c r="D542" s="4" t="n">
        <v>0</v>
      </c>
      <c r="E542" s="1" t="s">
        <v>1949</v>
      </c>
    </row>
    <row r="543" customFormat="false" ht="15" hidden="false" customHeight="true" outlineLevel="0" collapsed="false">
      <c r="A543" s="1" t="n">
        <v>50982</v>
      </c>
      <c r="B543" s="3" t="n">
        <v>44066</v>
      </c>
      <c r="C543" s="1" t="n">
        <v>771</v>
      </c>
      <c r="D543" s="4" t="n">
        <v>0</v>
      </c>
      <c r="E543" s="1" t="s">
        <v>1949</v>
      </c>
    </row>
    <row r="544" customFormat="false" ht="15" hidden="false" customHeight="true" outlineLevel="0" collapsed="false">
      <c r="A544" s="1" t="n">
        <v>50164</v>
      </c>
      <c r="B544" s="3" t="n">
        <v>44036</v>
      </c>
      <c r="C544" s="1" t="n">
        <v>1025</v>
      </c>
      <c r="D544" s="4" t="n">
        <v>0</v>
      </c>
      <c r="E544" s="1" t="s">
        <v>1949</v>
      </c>
    </row>
    <row r="545" customFormat="false" ht="15" hidden="false" customHeight="true" outlineLevel="0" collapsed="false">
      <c r="A545" s="1" t="n">
        <v>50957</v>
      </c>
      <c r="B545" s="3" t="n">
        <v>44027</v>
      </c>
      <c r="C545" s="1" t="n">
        <v>92</v>
      </c>
      <c r="D545" s="4" t="n">
        <v>563</v>
      </c>
      <c r="E545" s="1" t="s">
        <v>1950</v>
      </c>
    </row>
    <row r="546" customFormat="false" ht="15" hidden="false" customHeight="true" outlineLevel="0" collapsed="false">
      <c r="A546" s="1" t="n">
        <v>51576</v>
      </c>
      <c r="B546" s="3" t="n">
        <v>44063</v>
      </c>
      <c r="C546" s="1" t="n">
        <v>83</v>
      </c>
      <c r="D546" s="4" t="n">
        <v>0</v>
      </c>
      <c r="E546" s="1" t="s">
        <v>1949</v>
      </c>
    </row>
    <row r="547" customFormat="false" ht="15" hidden="false" customHeight="true" outlineLevel="0" collapsed="false">
      <c r="A547" s="1" t="n">
        <v>50146</v>
      </c>
      <c r="B547" s="3" t="n">
        <v>44039</v>
      </c>
      <c r="C547" s="1" t="n">
        <v>1100</v>
      </c>
      <c r="D547" s="4" t="n">
        <v>454</v>
      </c>
      <c r="E547" s="1" t="s">
        <v>1950</v>
      </c>
    </row>
    <row r="548" customFormat="false" ht="15" hidden="false" customHeight="true" outlineLevel="0" collapsed="false">
      <c r="A548" s="1" t="n">
        <v>51718</v>
      </c>
      <c r="B548" s="3" t="n">
        <v>44001</v>
      </c>
      <c r="C548" s="1" t="n">
        <v>765</v>
      </c>
      <c r="D548" s="4" t="n">
        <v>0</v>
      </c>
      <c r="E548" s="1" t="s">
        <v>1949</v>
      </c>
    </row>
    <row r="549" customFormat="false" ht="15" hidden="false" customHeight="true" outlineLevel="0" collapsed="false">
      <c r="A549" s="1" t="n">
        <v>50940</v>
      </c>
      <c r="B549" s="3" t="n">
        <v>44043</v>
      </c>
      <c r="C549" s="1" t="n">
        <v>931</v>
      </c>
      <c r="D549" s="4" t="n">
        <v>0</v>
      </c>
      <c r="E549" s="1" t="s">
        <v>1949</v>
      </c>
    </row>
    <row r="550" customFormat="false" ht="15" hidden="false" customHeight="true" outlineLevel="0" collapsed="false">
      <c r="A550" s="1" t="n">
        <v>51426</v>
      </c>
      <c r="B550" s="3" t="n">
        <v>44021</v>
      </c>
      <c r="C550" s="1" t="n">
        <v>1032</v>
      </c>
      <c r="D550" s="4" t="n">
        <v>0</v>
      </c>
      <c r="E550" s="1" t="s">
        <v>1949</v>
      </c>
    </row>
    <row r="551" customFormat="false" ht="15" hidden="false" customHeight="true" outlineLevel="0" collapsed="false">
      <c r="A551" s="1" t="n">
        <v>50291</v>
      </c>
      <c r="B551" s="3" t="n">
        <v>44044</v>
      </c>
      <c r="C551" s="1" t="n">
        <v>67</v>
      </c>
      <c r="D551" s="4" t="n">
        <v>441</v>
      </c>
      <c r="E551" s="1" t="s">
        <v>1950</v>
      </c>
    </row>
    <row r="552" customFormat="false" ht="15" hidden="false" customHeight="true" outlineLevel="0" collapsed="false">
      <c r="A552" s="1" t="n">
        <v>50980</v>
      </c>
      <c r="B552" s="3" t="n">
        <v>44039</v>
      </c>
      <c r="C552" s="1" t="n">
        <v>1166</v>
      </c>
      <c r="D552" s="4" t="n">
        <v>0</v>
      </c>
      <c r="E552" s="1" t="s">
        <v>1949</v>
      </c>
    </row>
    <row r="553" customFormat="false" ht="15" hidden="false" customHeight="true" outlineLevel="0" collapsed="false">
      <c r="A553" s="1" t="n">
        <v>51400</v>
      </c>
      <c r="B553" s="3" t="n">
        <v>44040</v>
      </c>
      <c r="C553" s="1" t="n">
        <v>878</v>
      </c>
      <c r="D553" s="4" t="n">
        <v>546</v>
      </c>
      <c r="E553" s="1" t="s">
        <v>1950</v>
      </c>
    </row>
    <row r="554" customFormat="false" ht="15" hidden="false" customHeight="true" outlineLevel="0" collapsed="false">
      <c r="A554" s="1" t="n">
        <v>51309</v>
      </c>
      <c r="B554" s="3" t="n">
        <v>44003</v>
      </c>
      <c r="C554" s="1" t="n">
        <v>360</v>
      </c>
      <c r="D554" s="4" t="n">
        <v>761</v>
      </c>
      <c r="E554" s="1" t="s">
        <v>1950</v>
      </c>
    </row>
    <row r="555" customFormat="false" ht="15" hidden="false" customHeight="true" outlineLevel="0" collapsed="false">
      <c r="A555" s="1" t="n">
        <v>50090</v>
      </c>
      <c r="B555" s="3" t="n">
        <v>44066</v>
      </c>
      <c r="C555" s="1" t="n">
        <v>1643</v>
      </c>
      <c r="D555" s="4" t="n">
        <v>720</v>
      </c>
      <c r="E555" s="1" t="s">
        <v>1950</v>
      </c>
    </row>
    <row r="556" customFormat="false" ht="15" hidden="false" customHeight="true" outlineLevel="0" collapsed="false">
      <c r="A556" s="1" t="n">
        <v>50757</v>
      </c>
      <c r="B556" s="3" t="n">
        <v>44051</v>
      </c>
      <c r="C556" s="1" t="n">
        <v>1553</v>
      </c>
      <c r="D556" s="4" t="n">
        <v>840</v>
      </c>
      <c r="E556" s="1" t="s">
        <v>1950</v>
      </c>
    </row>
    <row r="557" customFormat="false" ht="15" hidden="false" customHeight="true" outlineLevel="0" collapsed="false">
      <c r="A557" s="1" t="n">
        <v>50874</v>
      </c>
      <c r="B557" s="3" t="n">
        <v>44002</v>
      </c>
      <c r="C557" s="1" t="n">
        <v>621</v>
      </c>
      <c r="D557" s="4" t="n">
        <v>153</v>
      </c>
      <c r="E557" s="1" t="s">
        <v>1950</v>
      </c>
    </row>
    <row r="558" customFormat="false" ht="15" hidden="false" customHeight="true" outlineLevel="0" collapsed="false">
      <c r="A558" s="1" t="n">
        <v>51963</v>
      </c>
      <c r="B558" s="3" t="n">
        <v>44015</v>
      </c>
      <c r="C558" s="1" t="n">
        <v>1356</v>
      </c>
      <c r="D558" s="4" t="n">
        <v>0</v>
      </c>
      <c r="E558" s="1" t="s">
        <v>1949</v>
      </c>
    </row>
    <row r="559" customFormat="false" ht="15" hidden="false" customHeight="true" outlineLevel="0" collapsed="false">
      <c r="A559" s="1" t="n">
        <v>51510</v>
      </c>
      <c r="B559" s="3" t="n">
        <v>44005</v>
      </c>
      <c r="C559" s="1" t="n">
        <v>870</v>
      </c>
      <c r="D559" s="4" t="n">
        <v>385</v>
      </c>
      <c r="E559" s="1" t="s">
        <v>1950</v>
      </c>
    </row>
    <row r="560" customFormat="false" ht="15" hidden="false" customHeight="true" outlineLevel="0" collapsed="false">
      <c r="A560" s="1" t="n">
        <v>51064</v>
      </c>
      <c r="B560" s="3" t="n">
        <v>44007</v>
      </c>
      <c r="C560" s="1" t="n">
        <v>1010</v>
      </c>
      <c r="D560" s="4" t="n">
        <v>262</v>
      </c>
      <c r="E560" s="1" t="s">
        <v>1950</v>
      </c>
    </row>
    <row r="561" customFormat="false" ht="15" hidden="false" customHeight="true" outlineLevel="0" collapsed="false">
      <c r="A561" s="1" t="n">
        <v>51070</v>
      </c>
      <c r="B561" s="3" t="n">
        <v>44055</v>
      </c>
      <c r="C561" s="1" t="n">
        <v>1441</v>
      </c>
      <c r="D561" s="4" t="n">
        <v>0</v>
      </c>
      <c r="E561" s="1" t="s">
        <v>1949</v>
      </c>
    </row>
    <row r="562" customFormat="false" ht="15" hidden="false" customHeight="true" outlineLevel="0" collapsed="false">
      <c r="A562" s="1" t="n">
        <v>51104</v>
      </c>
      <c r="B562" s="3" t="n">
        <v>44031</v>
      </c>
      <c r="C562" s="1" t="n">
        <v>1631</v>
      </c>
      <c r="D562" s="4" t="n">
        <v>0</v>
      </c>
      <c r="E562" s="1" t="s">
        <v>1949</v>
      </c>
    </row>
    <row r="563" customFormat="false" ht="15" hidden="false" customHeight="true" outlineLevel="0" collapsed="false">
      <c r="A563" s="1" t="n">
        <v>51246</v>
      </c>
      <c r="B563" s="3" t="n">
        <v>44033</v>
      </c>
      <c r="C563" s="1" t="n">
        <v>1681</v>
      </c>
      <c r="D563" s="4" t="n">
        <v>0</v>
      </c>
      <c r="E563" s="1" t="s">
        <v>1949</v>
      </c>
    </row>
    <row r="564" customFormat="false" ht="15" hidden="false" customHeight="true" outlineLevel="0" collapsed="false">
      <c r="A564" s="1" t="n">
        <v>50082</v>
      </c>
      <c r="B564" s="3" t="n">
        <v>44028</v>
      </c>
      <c r="C564" s="1" t="n">
        <v>799</v>
      </c>
      <c r="D564" s="4" t="n">
        <v>866</v>
      </c>
      <c r="E564" s="1" t="s">
        <v>1950</v>
      </c>
    </row>
    <row r="565" customFormat="false" ht="15" hidden="false" customHeight="true" outlineLevel="0" collapsed="false">
      <c r="A565" s="1" t="n">
        <v>50730</v>
      </c>
      <c r="B565" s="3" t="n">
        <v>44024</v>
      </c>
      <c r="C565" s="1" t="n">
        <v>895</v>
      </c>
      <c r="D565" s="4" t="n">
        <v>0</v>
      </c>
      <c r="E565" s="1" t="s">
        <v>1949</v>
      </c>
    </row>
    <row r="566" customFormat="false" ht="15" hidden="false" customHeight="true" outlineLevel="0" collapsed="false">
      <c r="A566" s="1" t="n">
        <v>51600</v>
      </c>
      <c r="B566" s="3" t="n">
        <v>43995</v>
      </c>
      <c r="C566" s="1" t="n">
        <v>101</v>
      </c>
      <c r="D566" s="4" t="n">
        <v>215</v>
      </c>
      <c r="E566" s="1" t="s">
        <v>1950</v>
      </c>
    </row>
    <row r="567" customFormat="false" ht="15" hidden="false" customHeight="true" outlineLevel="0" collapsed="false">
      <c r="A567" s="1" t="n">
        <v>51111</v>
      </c>
      <c r="B567" s="3" t="n">
        <v>44036</v>
      </c>
      <c r="C567" s="1" t="n">
        <v>451</v>
      </c>
      <c r="D567" s="4" t="n">
        <v>201</v>
      </c>
      <c r="E567" s="1" t="s">
        <v>1950</v>
      </c>
    </row>
    <row r="568" customFormat="false" ht="15" hidden="false" customHeight="true" outlineLevel="0" collapsed="false">
      <c r="A568" s="1" t="n">
        <v>51672</v>
      </c>
      <c r="B568" s="3" t="n">
        <v>44013</v>
      </c>
      <c r="C568" s="1" t="n">
        <v>1206</v>
      </c>
      <c r="D568" s="4" t="n">
        <v>0</v>
      </c>
      <c r="E568" s="1" t="s">
        <v>1949</v>
      </c>
    </row>
    <row r="569" customFormat="false" ht="15" hidden="false" customHeight="true" outlineLevel="0" collapsed="false">
      <c r="A569" s="1" t="n">
        <v>50266</v>
      </c>
      <c r="B569" s="3" t="n">
        <v>44003</v>
      </c>
      <c r="C569" s="1" t="n">
        <v>454</v>
      </c>
      <c r="D569" s="4" t="n">
        <v>674</v>
      </c>
      <c r="E569" s="1" t="s">
        <v>1950</v>
      </c>
    </row>
    <row r="570" customFormat="false" ht="15" hidden="false" customHeight="true" outlineLevel="0" collapsed="false">
      <c r="A570" s="1" t="n">
        <v>50728</v>
      </c>
      <c r="B570" s="3" t="n">
        <v>44038</v>
      </c>
      <c r="C570" s="1" t="n">
        <v>588</v>
      </c>
      <c r="D570" s="4" t="n">
        <v>0</v>
      </c>
      <c r="E570" s="1" t="s">
        <v>1949</v>
      </c>
    </row>
    <row r="571" customFormat="false" ht="15" hidden="false" customHeight="true" outlineLevel="0" collapsed="false">
      <c r="A571" s="1" t="n">
        <v>50964</v>
      </c>
      <c r="B571" s="3" t="n">
        <v>44061</v>
      </c>
      <c r="C571" s="1" t="n">
        <v>1138</v>
      </c>
      <c r="D571" s="4" t="n">
        <v>0</v>
      </c>
      <c r="E571" s="1" t="s">
        <v>1949</v>
      </c>
    </row>
    <row r="572" customFormat="false" ht="15" hidden="false" customHeight="true" outlineLevel="0" collapsed="false">
      <c r="A572" s="1" t="n">
        <v>51862</v>
      </c>
      <c r="B572" s="3" t="n">
        <v>43993</v>
      </c>
      <c r="C572" s="1" t="n">
        <v>99</v>
      </c>
      <c r="D572" s="4" t="n">
        <v>185</v>
      </c>
      <c r="E572" s="1" t="s">
        <v>1950</v>
      </c>
    </row>
    <row r="573" customFormat="false" ht="15" hidden="false" customHeight="true" outlineLevel="0" collapsed="false">
      <c r="A573" s="1" t="n">
        <v>51846</v>
      </c>
      <c r="B573" s="3" t="n">
        <v>44005</v>
      </c>
      <c r="C573" s="1" t="n">
        <v>817</v>
      </c>
      <c r="D573" s="4" t="n">
        <v>0</v>
      </c>
      <c r="E573" s="1" t="s">
        <v>1949</v>
      </c>
    </row>
    <row r="574" customFormat="false" ht="15" hidden="false" customHeight="true" outlineLevel="0" collapsed="false">
      <c r="A574" s="1" t="n">
        <v>51363</v>
      </c>
      <c r="B574" s="3" t="n">
        <v>44027</v>
      </c>
      <c r="C574" s="1" t="n">
        <v>285</v>
      </c>
      <c r="D574" s="4" t="n">
        <v>0</v>
      </c>
      <c r="E574" s="1" t="s">
        <v>1949</v>
      </c>
    </row>
    <row r="575" customFormat="false" ht="15" hidden="false" customHeight="true" outlineLevel="0" collapsed="false">
      <c r="A575" s="1" t="n">
        <v>51094</v>
      </c>
      <c r="B575" s="3" t="n">
        <v>44022</v>
      </c>
      <c r="C575" s="1" t="n">
        <v>1182</v>
      </c>
      <c r="D575" s="4" t="n">
        <v>0</v>
      </c>
      <c r="E575" s="1" t="s">
        <v>1949</v>
      </c>
    </row>
    <row r="576" customFormat="false" ht="15" hidden="false" customHeight="true" outlineLevel="0" collapsed="false">
      <c r="A576" s="1" t="n">
        <v>50443</v>
      </c>
      <c r="B576" s="3" t="n">
        <v>44005</v>
      </c>
      <c r="C576" s="1" t="n">
        <v>1684</v>
      </c>
      <c r="D576" s="4" t="n">
        <v>886</v>
      </c>
      <c r="E576" s="1" t="s">
        <v>1950</v>
      </c>
    </row>
    <row r="577" customFormat="false" ht="15" hidden="false" customHeight="true" outlineLevel="0" collapsed="false">
      <c r="A577" s="1" t="n">
        <v>50049</v>
      </c>
      <c r="B577" s="3" t="n">
        <v>43993</v>
      </c>
      <c r="C577" s="1" t="n">
        <v>1321</v>
      </c>
      <c r="D577" s="4" t="n">
        <v>0</v>
      </c>
      <c r="E577" s="1" t="s">
        <v>1949</v>
      </c>
    </row>
    <row r="578" customFormat="false" ht="15" hidden="false" customHeight="true" outlineLevel="0" collapsed="false">
      <c r="A578" s="1" t="n">
        <v>51556</v>
      </c>
      <c r="B578" s="3" t="n">
        <v>44047</v>
      </c>
      <c r="C578" s="1" t="n">
        <v>462</v>
      </c>
      <c r="D578" s="4" t="n">
        <v>630</v>
      </c>
      <c r="E578" s="1" t="s">
        <v>1950</v>
      </c>
    </row>
    <row r="579" customFormat="false" ht="15" hidden="false" customHeight="true" outlineLevel="0" collapsed="false">
      <c r="A579" s="1" t="n">
        <v>51768</v>
      </c>
      <c r="B579" s="3" t="n">
        <v>44071</v>
      </c>
      <c r="C579" s="1" t="n">
        <v>1616</v>
      </c>
      <c r="D579" s="4" t="n">
        <v>0</v>
      </c>
      <c r="E579" s="1" t="s">
        <v>1949</v>
      </c>
    </row>
    <row r="580" customFormat="false" ht="15" hidden="false" customHeight="true" outlineLevel="0" collapsed="false">
      <c r="A580" s="1" t="n">
        <v>51299</v>
      </c>
      <c r="B580" s="3" t="n">
        <v>44064</v>
      </c>
      <c r="C580" s="1" t="n">
        <v>378</v>
      </c>
      <c r="D580" s="4" t="n">
        <v>0</v>
      </c>
      <c r="E580" s="1" t="s">
        <v>1949</v>
      </c>
    </row>
    <row r="581" customFormat="false" ht="15" hidden="false" customHeight="true" outlineLevel="0" collapsed="false">
      <c r="A581" s="1" t="n">
        <v>51732</v>
      </c>
      <c r="B581" s="3" t="n">
        <v>44012</v>
      </c>
      <c r="C581" s="1" t="n">
        <v>903</v>
      </c>
      <c r="D581" s="4" t="n">
        <v>0</v>
      </c>
      <c r="E581" s="1" t="s">
        <v>1949</v>
      </c>
    </row>
    <row r="582" customFormat="false" ht="15" hidden="false" customHeight="true" outlineLevel="0" collapsed="false">
      <c r="A582" s="1" t="n">
        <v>51358</v>
      </c>
      <c r="B582" s="3" t="n">
        <v>44005</v>
      </c>
      <c r="C582" s="1" t="n">
        <v>1179</v>
      </c>
      <c r="D582" s="4" t="n">
        <v>660</v>
      </c>
      <c r="E582" s="1" t="s">
        <v>1950</v>
      </c>
    </row>
    <row r="583" customFormat="false" ht="15" hidden="false" customHeight="true" outlineLevel="0" collapsed="false">
      <c r="A583" s="1" t="n">
        <v>50094</v>
      </c>
      <c r="B583" s="3" t="n">
        <v>44049</v>
      </c>
      <c r="C583" s="1" t="n">
        <v>1773</v>
      </c>
      <c r="D583" s="4" t="n">
        <v>0</v>
      </c>
      <c r="E583" s="1" t="s">
        <v>1949</v>
      </c>
    </row>
    <row r="584" customFormat="false" ht="15" hidden="false" customHeight="true" outlineLevel="0" collapsed="false">
      <c r="A584" s="1" t="n">
        <v>50244</v>
      </c>
      <c r="B584" s="3" t="n">
        <v>44021</v>
      </c>
      <c r="C584" s="1" t="n">
        <v>183</v>
      </c>
      <c r="D584" s="4" t="n">
        <v>471</v>
      </c>
      <c r="E584" s="1" t="s">
        <v>1950</v>
      </c>
    </row>
    <row r="585" customFormat="false" ht="15" hidden="false" customHeight="true" outlineLevel="0" collapsed="false">
      <c r="A585" s="1" t="n">
        <v>51497</v>
      </c>
      <c r="B585" s="3" t="n">
        <v>44058</v>
      </c>
      <c r="C585" s="1" t="n">
        <v>173</v>
      </c>
      <c r="D585" s="4" t="n">
        <v>607</v>
      </c>
      <c r="E585" s="1" t="s">
        <v>1950</v>
      </c>
    </row>
    <row r="586" customFormat="false" ht="15" hidden="false" customHeight="true" outlineLevel="0" collapsed="false">
      <c r="A586" s="1" t="n">
        <v>51527</v>
      </c>
      <c r="B586" s="3" t="n">
        <v>44040</v>
      </c>
      <c r="C586" s="1" t="n">
        <v>1326</v>
      </c>
      <c r="D586" s="4" t="n">
        <v>201</v>
      </c>
      <c r="E586" s="1" t="s">
        <v>1950</v>
      </c>
    </row>
    <row r="587" customFormat="false" ht="15" hidden="false" customHeight="true" outlineLevel="0" collapsed="false">
      <c r="A587" s="1" t="n">
        <v>51514</v>
      </c>
      <c r="B587" s="3" t="n">
        <v>43998</v>
      </c>
      <c r="C587" s="1" t="n">
        <v>1879</v>
      </c>
      <c r="D587" s="4" t="n">
        <v>518</v>
      </c>
      <c r="E587" s="1" t="s">
        <v>1950</v>
      </c>
    </row>
    <row r="588" customFormat="false" ht="15" hidden="false" customHeight="true" outlineLevel="0" collapsed="false">
      <c r="A588" s="1" t="n">
        <v>51656</v>
      </c>
      <c r="B588" s="3" t="n">
        <v>43992</v>
      </c>
      <c r="C588" s="1" t="n">
        <v>809</v>
      </c>
      <c r="D588" s="4" t="n">
        <v>170</v>
      </c>
      <c r="E588" s="1" t="s">
        <v>1950</v>
      </c>
    </row>
    <row r="589" customFormat="false" ht="15" hidden="false" customHeight="true" outlineLevel="0" collapsed="false">
      <c r="A589" s="1" t="n">
        <v>51910</v>
      </c>
      <c r="B589" s="3" t="n">
        <v>44016</v>
      </c>
      <c r="C589" s="1" t="n">
        <v>1609</v>
      </c>
      <c r="D589" s="4" t="n">
        <v>0</v>
      </c>
      <c r="E589" s="1" t="s">
        <v>1949</v>
      </c>
    </row>
    <row r="590" customFormat="false" ht="15" hidden="false" customHeight="true" outlineLevel="0" collapsed="false">
      <c r="A590" s="1" t="n">
        <v>51865</v>
      </c>
      <c r="B590" s="3" t="n">
        <v>44009</v>
      </c>
      <c r="C590" s="1" t="n">
        <v>346</v>
      </c>
      <c r="D590" s="4" t="n">
        <v>0</v>
      </c>
      <c r="E590" s="1" t="s">
        <v>1949</v>
      </c>
    </row>
    <row r="591" customFormat="false" ht="15" hidden="false" customHeight="true" outlineLevel="0" collapsed="false">
      <c r="A591" s="1" t="n">
        <v>50628</v>
      </c>
      <c r="B591" s="3" t="n">
        <v>44034</v>
      </c>
      <c r="C591" s="1" t="n">
        <v>1189</v>
      </c>
      <c r="D591" s="4" t="n">
        <v>0</v>
      </c>
      <c r="E591" s="1" t="s">
        <v>1949</v>
      </c>
    </row>
    <row r="592" customFormat="false" ht="15" hidden="false" customHeight="true" outlineLevel="0" collapsed="false">
      <c r="A592" s="1" t="n">
        <v>50342</v>
      </c>
      <c r="B592" s="3" t="n">
        <v>44026</v>
      </c>
      <c r="C592" s="1" t="n">
        <v>1237</v>
      </c>
      <c r="D592" s="4" t="n">
        <v>0</v>
      </c>
      <c r="E592" s="1" t="s">
        <v>1949</v>
      </c>
    </row>
    <row r="593" customFormat="false" ht="15" hidden="false" customHeight="true" outlineLevel="0" collapsed="false">
      <c r="A593" s="1" t="n">
        <v>50042</v>
      </c>
      <c r="B593" s="3" t="n">
        <v>44062</v>
      </c>
      <c r="C593" s="1" t="n">
        <v>1104</v>
      </c>
      <c r="D593" s="4" t="n">
        <v>308</v>
      </c>
      <c r="E593" s="1" t="s">
        <v>1950</v>
      </c>
    </row>
    <row r="594" customFormat="false" ht="15" hidden="false" customHeight="true" outlineLevel="0" collapsed="false">
      <c r="A594" s="1" t="n">
        <v>51415</v>
      </c>
      <c r="B594" s="3" t="n">
        <v>44059</v>
      </c>
      <c r="C594" s="1" t="n">
        <v>38</v>
      </c>
      <c r="D594" s="4" t="n">
        <v>0</v>
      </c>
      <c r="E594" s="1" t="s">
        <v>1949</v>
      </c>
    </row>
    <row r="595" customFormat="false" ht="15" hidden="false" customHeight="true" outlineLevel="0" collapsed="false">
      <c r="A595" s="1" t="n">
        <v>51054</v>
      </c>
      <c r="B595" s="3" t="n">
        <v>44037</v>
      </c>
      <c r="C595" s="1" t="n">
        <v>250</v>
      </c>
      <c r="D595" s="4" t="n">
        <v>335</v>
      </c>
      <c r="E595" s="1" t="s">
        <v>1950</v>
      </c>
    </row>
    <row r="596" customFormat="false" ht="15" hidden="false" customHeight="true" outlineLevel="0" collapsed="false">
      <c r="A596" s="1" t="n">
        <v>51233</v>
      </c>
      <c r="B596" s="3" t="n">
        <v>44023</v>
      </c>
      <c r="C596" s="1" t="n">
        <v>118</v>
      </c>
      <c r="D596" s="4" t="n">
        <v>180</v>
      </c>
      <c r="E596" s="1" t="s">
        <v>1950</v>
      </c>
    </row>
    <row r="597" customFormat="false" ht="15" hidden="false" customHeight="true" outlineLevel="0" collapsed="false">
      <c r="A597" s="1" t="n">
        <v>51361</v>
      </c>
      <c r="B597" s="3" t="n">
        <v>43994</v>
      </c>
      <c r="C597" s="1" t="n">
        <v>1501</v>
      </c>
      <c r="D597" s="4" t="n">
        <v>599</v>
      </c>
      <c r="E597" s="1" t="s">
        <v>1950</v>
      </c>
    </row>
    <row r="598" customFormat="false" ht="15" hidden="false" customHeight="true" outlineLevel="0" collapsed="false">
      <c r="A598" s="1" t="n">
        <v>51189</v>
      </c>
      <c r="B598" s="3" t="n">
        <v>44019</v>
      </c>
      <c r="C598" s="1" t="n">
        <v>335</v>
      </c>
      <c r="D598" s="4" t="n">
        <v>0</v>
      </c>
      <c r="E598" s="1" t="s">
        <v>1949</v>
      </c>
    </row>
    <row r="599" customFormat="false" ht="15" hidden="false" customHeight="true" outlineLevel="0" collapsed="false">
      <c r="A599" s="1" t="n">
        <v>50913</v>
      </c>
      <c r="B599" s="3" t="n">
        <v>44043</v>
      </c>
      <c r="C599" s="1" t="n">
        <v>123</v>
      </c>
      <c r="D599" s="4" t="n">
        <v>0</v>
      </c>
      <c r="E599" s="1" t="s">
        <v>1949</v>
      </c>
    </row>
    <row r="600" customFormat="false" ht="15" hidden="false" customHeight="true" outlineLevel="0" collapsed="false">
      <c r="A600" s="1" t="n">
        <v>51886</v>
      </c>
      <c r="B600" s="3" t="n">
        <v>44027</v>
      </c>
      <c r="C600" s="1" t="n">
        <v>951</v>
      </c>
      <c r="D600" s="4" t="n">
        <v>869</v>
      </c>
      <c r="E600" s="1" t="s">
        <v>1950</v>
      </c>
    </row>
    <row r="601" customFormat="false" ht="15" hidden="false" customHeight="true" outlineLevel="0" collapsed="false">
      <c r="A601" s="1" t="n">
        <v>50421</v>
      </c>
      <c r="B601" s="3" t="n">
        <v>44051</v>
      </c>
      <c r="C601" s="1" t="n">
        <v>1136</v>
      </c>
      <c r="D601" s="4" t="n">
        <v>495</v>
      </c>
      <c r="E601" s="1" t="s">
        <v>1950</v>
      </c>
    </row>
    <row r="602" customFormat="false" ht="15" hidden="false" customHeight="true" outlineLevel="0" collapsed="false">
      <c r="A602" s="1" t="n">
        <v>50240</v>
      </c>
      <c r="B602" s="3" t="n">
        <v>44048</v>
      </c>
      <c r="C602" s="1" t="n">
        <v>1461</v>
      </c>
      <c r="D602" s="4" t="n">
        <v>130</v>
      </c>
      <c r="E602" s="1" t="s">
        <v>1950</v>
      </c>
    </row>
    <row r="603" customFormat="false" ht="15" hidden="false" customHeight="true" outlineLevel="0" collapsed="false">
      <c r="A603" s="1" t="n">
        <v>50268</v>
      </c>
      <c r="B603" s="3" t="n">
        <v>44034</v>
      </c>
      <c r="C603" s="1" t="n">
        <v>580</v>
      </c>
      <c r="D603" s="4" t="n">
        <v>447</v>
      </c>
      <c r="E603" s="1" t="s">
        <v>1950</v>
      </c>
    </row>
    <row r="604" customFormat="false" ht="15" hidden="false" customHeight="true" outlineLevel="0" collapsed="false">
      <c r="A604" s="1" t="n">
        <v>50606</v>
      </c>
      <c r="B604" s="3" t="n">
        <v>43999</v>
      </c>
      <c r="C604" s="1" t="n">
        <v>1233</v>
      </c>
      <c r="D604" s="4" t="n">
        <v>574</v>
      </c>
      <c r="E604" s="1" t="s">
        <v>1950</v>
      </c>
    </row>
    <row r="605" customFormat="false" ht="15" hidden="false" customHeight="true" outlineLevel="0" collapsed="false">
      <c r="A605" s="1" t="n">
        <v>51811</v>
      </c>
      <c r="B605" s="3" t="n">
        <v>43999</v>
      </c>
      <c r="C605" s="1" t="n">
        <v>303</v>
      </c>
      <c r="D605" s="4" t="n">
        <v>0</v>
      </c>
      <c r="E605" s="1" t="s">
        <v>1949</v>
      </c>
    </row>
    <row r="606" customFormat="false" ht="15" hidden="false" customHeight="true" outlineLevel="0" collapsed="false">
      <c r="A606" s="1" t="n">
        <v>50541</v>
      </c>
      <c r="B606" s="3" t="n">
        <v>44065</v>
      </c>
      <c r="C606" s="1" t="n">
        <v>986</v>
      </c>
      <c r="D606" s="4" t="n">
        <v>163</v>
      </c>
      <c r="E606" s="1" t="s">
        <v>1950</v>
      </c>
    </row>
    <row r="607" customFormat="false" ht="15" hidden="false" customHeight="true" outlineLevel="0" collapsed="false">
      <c r="A607" s="1" t="n">
        <v>51619</v>
      </c>
      <c r="B607" s="3" t="n">
        <v>43992</v>
      </c>
      <c r="C607" s="1" t="n">
        <v>1861</v>
      </c>
      <c r="D607" s="4" t="n">
        <v>0</v>
      </c>
      <c r="E607" s="1" t="s">
        <v>1949</v>
      </c>
    </row>
    <row r="608" customFormat="false" ht="15" hidden="false" customHeight="true" outlineLevel="0" collapsed="false">
      <c r="A608" s="1" t="n">
        <v>51961</v>
      </c>
      <c r="B608" s="3" t="n">
        <v>44067</v>
      </c>
      <c r="C608" s="1" t="n">
        <v>128</v>
      </c>
      <c r="D608" s="4" t="n">
        <v>809</v>
      </c>
      <c r="E608" s="1" t="s">
        <v>1950</v>
      </c>
    </row>
    <row r="609" customFormat="false" ht="15" hidden="false" customHeight="true" outlineLevel="0" collapsed="false">
      <c r="A609" s="1" t="n">
        <v>50189</v>
      </c>
      <c r="B609" s="3" t="n">
        <v>44004</v>
      </c>
      <c r="C609" s="1" t="n">
        <v>649</v>
      </c>
      <c r="D609" s="4" t="n">
        <v>0</v>
      </c>
      <c r="E609" s="1" t="s">
        <v>1949</v>
      </c>
    </row>
    <row r="610" customFormat="false" ht="15" hidden="false" customHeight="true" outlineLevel="0" collapsed="false">
      <c r="A610" s="1" t="n">
        <v>51346</v>
      </c>
      <c r="B610" s="3" t="n">
        <v>43983</v>
      </c>
      <c r="C610" s="1" t="n">
        <v>788</v>
      </c>
      <c r="D610" s="4" t="n">
        <v>475</v>
      </c>
      <c r="E610" s="1" t="s">
        <v>1950</v>
      </c>
    </row>
    <row r="611" customFormat="false" ht="15" hidden="false" customHeight="true" outlineLevel="0" collapsed="false">
      <c r="A611" s="1" t="n">
        <v>51563</v>
      </c>
      <c r="B611" s="3" t="n">
        <v>44052</v>
      </c>
      <c r="C611" s="1" t="n">
        <v>1192</v>
      </c>
      <c r="D611" s="4" t="n">
        <v>101</v>
      </c>
      <c r="E611" s="1" t="s">
        <v>1950</v>
      </c>
    </row>
    <row r="612" customFormat="false" ht="15" hidden="false" customHeight="true" outlineLevel="0" collapsed="false">
      <c r="A612" s="1" t="n">
        <v>50414</v>
      </c>
      <c r="B612" s="3" t="n">
        <v>44045</v>
      </c>
      <c r="C612" s="1" t="n">
        <v>1731</v>
      </c>
      <c r="D612" s="4" t="n">
        <v>635</v>
      </c>
      <c r="E612" s="1" t="s">
        <v>1950</v>
      </c>
    </row>
    <row r="613" customFormat="false" ht="15" hidden="false" customHeight="true" outlineLevel="0" collapsed="false">
      <c r="A613" s="1" t="n">
        <v>50908</v>
      </c>
      <c r="B613" s="3" t="n">
        <v>44071</v>
      </c>
      <c r="C613" s="1" t="n">
        <v>1909</v>
      </c>
      <c r="D613" s="4" t="n">
        <v>0</v>
      </c>
      <c r="E613" s="1" t="s">
        <v>1949</v>
      </c>
    </row>
    <row r="614" customFormat="false" ht="15" hidden="false" customHeight="true" outlineLevel="0" collapsed="false">
      <c r="A614" s="1" t="n">
        <v>51620</v>
      </c>
      <c r="B614" s="3" t="n">
        <v>44010</v>
      </c>
      <c r="C614" s="1" t="n">
        <v>43</v>
      </c>
      <c r="D614" s="4" t="n">
        <v>770</v>
      </c>
      <c r="E614" s="1" t="s">
        <v>1950</v>
      </c>
    </row>
    <row r="615" customFormat="false" ht="15" hidden="false" customHeight="true" outlineLevel="0" collapsed="false">
      <c r="A615" s="1" t="n">
        <v>51655</v>
      </c>
      <c r="B615" s="3" t="n">
        <v>44024</v>
      </c>
      <c r="C615" s="1" t="n">
        <v>334</v>
      </c>
      <c r="D615" s="4" t="n">
        <v>137</v>
      </c>
      <c r="E615" s="1" t="s">
        <v>1950</v>
      </c>
    </row>
    <row r="616" customFormat="false" ht="15" hidden="false" customHeight="true" outlineLevel="0" collapsed="false">
      <c r="A616" s="1" t="n">
        <v>51068</v>
      </c>
      <c r="B616" s="3" t="n">
        <v>44015</v>
      </c>
      <c r="C616" s="1" t="n">
        <v>509</v>
      </c>
      <c r="D616" s="4" t="n">
        <v>662</v>
      </c>
      <c r="E616" s="1" t="s">
        <v>1950</v>
      </c>
    </row>
    <row r="617" customFormat="false" ht="15" hidden="false" customHeight="true" outlineLevel="0" collapsed="false">
      <c r="A617" s="1" t="n">
        <v>51826</v>
      </c>
      <c r="B617" s="3" t="n">
        <v>44009</v>
      </c>
      <c r="C617" s="1" t="n">
        <v>25</v>
      </c>
      <c r="D617" s="4" t="n">
        <v>0</v>
      </c>
      <c r="E617" s="1" t="s">
        <v>1949</v>
      </c>
    </row>
    <row r="618" customFormat="false" ht="15" hidden="false" customHeight="true" outlineLevel="0" collapsed="false">
      <c r="A618" s="1" t="n">
        <v>51652</v>
      </c>
      <c r="B618" s="3" t="n">
        <v>43982</v>
      </c>
      <c r="C618" s="1" t="n">
        <v>1915</v>
      </c>
      <c r="D618" s="4" t="n">
        <v>231</v>
      </c>
      <c r="E618" s="1" t="s">
        <v>1950</v>
      </c>
    </row>
    <row r="619" customFormat="false" ht="15" hidden="false" customHeight="true" outlineLevel="0" collapsed="false">
      <c r="A619" s="1" t="n">
        <v>50165</v>
      </c>
      <c r="B619" s="3" t="n">
        <v>44068</v>
      </c>
      <c r="C619" s="1" t="n">
        <v>473</v>
      </c>
      <c r="D619" s="4" t="n">
        <v>823</v>
      </c>
      <c r="E619" s="1" t="s">
        <v>1950</v>
      </c>
    </row>
    <row r="620" customFormat="false" ht="15" hidden="false" customHeight="true" outlineLevel="0" collapsed="false">
      <c r="A620" s="1" t="n">
        <v>50330</v>
      </c>
      <c r="B620" s="3" t="n">
        <v>44035</v>
      </c>
      <c r="C620" s="1" t="n">
        <v>1210</v>
      </c>
      <c r="D620" s="4" t="n">
        <v>763</v>
      </c>
      <c r="E620" s="1" t="s">
        <v>1950</v>
      </c>
    </row>
    <row r="621" customFormat="false" ht="15" hidden="false" customHeight="true" outlineLevel="0" collapsed="false">
      <c r="A621" s="1" t="n">
        <v>51574</v>
      </c>
      <c r="B621" s="3" t="n">
        <v>44002</v>
      </c>
      <c r="C621" s="1" t="n">
        <v>1717</v>
      </c>
      <c r="D621" s="4" t="n">
        <v>441</v>
      </c>
      <c r="E621" s="1" t="s">
        <v>1950</v>
      </c>
    </row>
    <row r="622" customFormat="false" ht="15" hidden="false" customHeight="true" outlineLevel="0" collapsed="false">
      <c r="A622" s="1" t="n">
        <v>50690</v>
      </c>
      <c r="B622" s="3" t="n">
        <v>43992</v>
      </c>
      <c r="C622" s="1" t="n">
        <v>148</v>
      </c>
      <c r="D622" s="4" t="n">
        <v>509</v>
      </c>
      <c r="E622" s="1" t="s">
        <v>1950</v>
      </c>
    </row>
    <row r="623" customFormat="false" ht="15" hidden="false" customHeight="true" outlineLevel="0" collapsed="false">
      <c r="A623" s="1" t="n">
        <v>50143</v>
      </c>
      <c r="B623" s="3" t="n">
        <v>43986</v>
      </c>
      <c r="C623" s="1" t="n">
        <v>508</v>
      </c>
      <c r="D623" s="4" t="n">
        <v>0</v>
      </c>
      <c r="E623" s="1" t="s">
        <v>1949</v>
      </c>
    </row>
    <row r="624" customFormat="false" ht="15" hidden="false" customHeight="true" outlineLevel="0" collapsed="false">
      <c r="A624" s="1" t="n">
        <v>51121</v>
      </c>
      <c r="B624" s="3" t="n">
        <v>43990</v>
      </c>
      <c r="C624" s="1" t="n">
        <v>1457</v>
      </c>
      <c r="D624" s="4" t="n">
        <v>552</v>
      </c>
      <c r="E624" s="1" t="s">
        <v>1950</v>
      </c>
    </row>
    <row r="625" customFormat="false" ht="15" hidden="false" customHeight="true" outlineLevel="0" collapsed="false">
      <c r="A625" s="1" t="n">
        <v>50279</v>
      </c>
      <c r="B625" s="3" t="n">
        <v>43996</v>
      </c>
      <c r="C625" s="1" t="n">
        <v>63</v>
      </c>
      <c r="D625" s="4" t="n">
        <v>0</v>
      </c>
      <c r="E625" s="1" t="s">
        <v>1949</v>
      </c>
    </row>
    <row r="626" customFormat="false" ht="15" hidden="false" customHeight="true" outlineLevel="0" collapsed="false">
      <c r="A626" s="1" t="n">
        <v>51231</v>
      </c>
      <c r="B626" s="3" t="n">
        <v>43999</v>
      </c>
      <c r="C626" s="1" t="n">
        <v>186</v>
      </c>
      <c r="D626" s="4" t="n">
        <v>142</v>
      </c>
      <c r="E626" s="1" t="s">
        <v>1950</v>
      </c>
    </row>
    <row r="627" customFormat="false" ht="15" hidden="false" customHeight="true" outlineLevel="0" collapsed="false">
      <c r="A627" s="1" t="n">
        <v>51701</v>
      </c>
      <c r="B627" s="3" t="n">
        <v>44006</v>
      </c>
      <c r="C627" s="1" t="n">
        <v>554</v>
      </c>
      <c r="D627" s="4" t="n">
        <v>0</v>
      </c>
      <c r="E627" s="1" t="s">
        <v>1949</v>
      </c>
    </row>
    <row r="628" customFormat="false" ht="15" hidden="false" customHeight="true" outlineLevel="0" collapsed="false">
      <c r="A628" s="1" t="n">
        <v>50258</v>
      </c>
      <c r="B628" s="3" t="n">
        <v>44034</v>
      </c>
      <c r="C628" s="1" t="n">
        <v>1938</v>
      </c>
      <c r="D628" s="4" t="n">
        <v>589</v>
      </c>
      <c r="E628" s="1" t="s">
        <v>1950</v>
      </c>
    </row>
    <row r="629" customFormat="false" ht="15" hidden="false" customHeight="true" outlineLevel="0" collapsed="false">
      <c r="A629" s="1" t="n">
        <v>51417</v>
      </c>
      <c r="B629" s="3" t="n">
        <v>43986</v>
      </c>
      <c r="C629" s="1" t="n">
        <v>1789</v>
      </c>
      <c r="D629" s="4" t="n">
        <v>0</v>
      </c>
      <c r="E629" s="1" t="s">
        <v>1949</v>
      </c>
    </row>
    <row r="630" customFormat="false" ht="15" hidden="false" customHeight="true" outlineLevel="0" collapsed="false">
      <c r="A630" s="1" t="n">
        <v>50708</v>
      </c>
      <c r="B630" s="3" t="n">
        <v>44017</v>
      </c>
      <c r="C630" s="1" t="n">
        <v>1882</v>
      </c>
      <c r="D630" s="4" t="n">
        <v>0</v>
      </c>
      <c r="E630" s="1" t="s">
        <v>1949</v>
      </c>
    </row>
    <row r="631" customFormat="false" ht="15" hidden="false" customHeight="true" outlineLevel="0" collapsed="false">
      <c r="A631" s="1" t="n">
        <v>51795</v>
      </c>
      <c r="B631" s="3" t="n">
        <v>44054</v>
      </c>
      <c r="C631" s="1" t="n">
        <v>1358</v>
      </c>
      <c r="D631" s="4" t="n">
        <v>0</v>
      </c>
      <c r="E631" s="1" t="s">
        <v>1949</v>
      </c>
    </row>
    <row r="632" customFormat="false" ht="15" hidden="false" customHeight="true" outlineLevel="0" collapsed="false">
      <c r="A632" s="1" t="n">
        <v>51131</v>
      </c>
      <c r="B632" s="3" t="n">
        <v>44024</v>
      </c>
      <c r="C632" s="1" t="n">
        <v>1692</v>
      </c>
      <c r="D632" s="4" t="n">
        <v>809</v>
      </c>
      <c r="E632" s="1" t="s">
        <v>1950</v>
      </c>
    </row>
    <row r="633" customFormat="false" ht="15" hidden="false" customHeight="true" outlineLevel="0" collapsed="false">
      <c r="A633" s="1" t="n">
        <v>51449</v>
      </c>
      <c r="B633" s="3" t="n">
        <v>44036</v>
      </c>
      <c r="C633" s="1" t="n">
        <v>930</v>
      </c>
      <c r="D633" s="4" t="n">
        <v>790</v>
      </c>
      <c r="E633" s="1" t="s">
        <v>1950</v>
      </c>
    </row>
    <row r="634" customFormat="false" ht="15" hidden="false" customHeight="true" outlineLevel="0" collapsed="false">
      <c r="A634" s="1" t="n">
        <v>50574</v>
      </c>
      <c r="B634" s="3" t="n">
        <v>43986</v>
      </c>
      <c r="C634" s="1" t="n">
        <v>1241</v>
      </c>
      <c r="D634" s="4" t="n">
        <v>749</v>
      </c>
      <c r="E634" s="1" t="s">
        <v>1950</v>
      </c>
    </row>
    <row r="635" customFormat="false" ht="15" hidden="false" customHeight="true" outlineLevel="0" collapsed="false">
      <c r="A635" s="1" t="n">
        <v>50287</v>
      </c>
      <c r="B635" s="3" t="n">
        <v>44025</v>
      </c>
      <c r="C635" s="1" t="n">
        <v>1283</v>
      </c>
      <c r="D635" s="4" t="n">
        <v>0</v>
      </c>
      <c r="E635" s="1" t="s">
        <v>1949</v>
      </c>
    </row>
    <row r="636" customFormat="false" ht="15" hidden="false" customHeight="true" outlineLevel="0" collapsed="false">
      <c r="A636" s="1" t="n">
        <v>50932</v>
      </c>
      <c r="B636" s="3" t="n">
        <v>43982</v>
      </c>
      <c r="C636" s="1" t="n">
        <v>1851</v>
      </c>
      <c r="D636" s="4" t="n">
        <v>0</v>
      </c>
      <c r="E636" s="1" t="s">
        <v>1949</v>
      </c>
    </row>
    <row r="637" customFormat="false" ht="15" hidden="false" customHeight="true" outlineLevel="0" collapsed="false">
      <c r="A637" s="1" t="n">
        <v>51726</v>
      </c>
      <c r="B637" s="3" t="n">
        <v>44058</v>
      </c>
      <c r="C637" s="1" t="n">
        <v>1606</v>
      </c>
      <c r="D637" s="4" t="n">
        <v>0</v>
      </c>
      <c r="E637" s="1" t="s">
        <v>1949</v>
      </c>
    </row>
    <row r="638" customFormat="false" ht="15" hidden="false" customHeight="true" outlineLevel="0" collapsed="false">
      <c r="A638" s="1" t="n">
        <v>50856</v>
      </c>
      <c r="B638" s="3" t="n">
        <v>44009</v>
      </c>
      <c r="C638" s="1" t="n">
        <v>906</v>
      </c>
      <c r="D638" s="4" t="n">
        <v>455</v>
      </c>
      <c r="E638" s="1" t="s">
        <v>1950</v>
      </c>
    </row>
    <row r="639" customFormat="false" ht="15" hidden="false" customHeight="true" outlineLevel="0" collapsed="false">
      <c r="A639" s="1" t="n">
        <v>51374</v>
      </c>
      <c r="B639" s="3" t="n">
        <v>44054</v>
      </c>
      <c r="C639" s="1" t="n">
        <v>18</v>
      </c>
      <c r="D639" s="4" t="n">
        <v>0</v>
      </c>
      <c r="E639" s="1" t="s">
        <v>1949</v>
      </c>
    </row>
    <row r="640" customFormat="false" ht="15" hidden="false" customHeight="true" outlineLevel="0" collapsed="false">
      <c r="A640" s="1" t="n">
        <v>51396</v>
      </c>
      <c r="B640" s="3" t="n">
        <v>44067</v>
      </c>
      <c r="C640" s="1" t="n">
        <v>840</v>
      </c>
      <c r="D640" s="4" t="n">
        <v>0</v>
      </c>
      <c r="E640" s="1" t="s">
        <v>1949</v>
      </c>
    </row>
    <row r="641" customFormat="false" ht="15" hidden="false" customHeight="true" outlineLevel="0" collapsed="false">
      <c r="A641" s="1" t="n">
        <v>51429</v>
      </c>
      <c r="B641" s="3" t="n">
        <v>43987</v>
      </c>
      <c r="C641" s="1" t="n">
        <v>1225</v>
      </c>
      <c r="D641" s="4" t="n">
        <v>727</v>
      </c>
      <c r="E641" s="1" t="s">
        <v>1950</v>
      </c>
    </row>
    <row r="642" customFormat="false" ht="15" hidden="false" customHeight="true" outlineLevel="0" collapsed="false">
      <c r="A642" s="1" t="n">
        <v>51608</v>
      </c>
      <c r="B642" s="3" t="n">
        <v>44040</v>
      </c>
      <c r="C642" s="1" t="n">
        <v>1519</v>
      </c>
      <c r="D642" s="4" t="n">
        <v>462</v>
      </c>
      <c r="E642" s="1" t="s">
        <v>1950</v>
      </c>
    </row>
    <row r="643" customFormat="false" ht="15" hidden="false" customHeight="true" outlineLevel="0" collapsed="false">
      <c r="A643" s="1" t="n">
        <v>51465</v>
      </c>
      <c r="B643" s="3" t="n">
        <v>44020</v>
      </c>
      <c r="C643" s="1" t="n">
        <v>1602</v>
      </c>
      <c r="D643" s="4" t="n">
        <v>317</v>
      </c>
      <c r="E643" s="1" t="s">
        <v>1950</v>
      </c>
    </row>
    <row r="644" customFormat="false" ht="15" hidden="false" customHeight="true" outlineLevel="0" collapsed="false">
      <c r="A644" s="1" t="n">
        <v>50883</v>
      </c>
      <c r="B644" s="3" t="n">
        <v>44055</v>
      </c>
      <c r="C644" s="1" t="n">
        <v>423</v>
      </c>
      <c r="D644" s="4" t="n">
        <v>320</v>
      </c>
      <c r="E644" s="1" t="s">
        <v>1950</v>
      </c>
    </row>
    <row r="645" customFormat="false" ht="15" hidden="false" customHeight="true" outlineLevel="0" collapsed="false">
      <c r="A645" s="1" t="n">
        <v>50818</v>
      </c>
      <c r="B645" s="3" t="n">
        <v>44055</v>
      </c>
      <c r="C645" s="1" t="n">
        <v>1537</v>
      </c>
      <c r="D645" s="4" t="n">
        <v>477</v>
      </c>
      <c r="E645" s="1" t="s">
        <v>1950</v>
      </c>
    </row>
    <row r="646" customFormat="false" ht="15" hidden="false" customHeight="true" outlineLevel="0" collapsed="false">
      <c r="A646" s="1" t="n">
        <v>50761</v>
      </c>
      <c r="B646" s="3" t="n">
        <v>44061</v>
      </c>
      <c r="C646" s="1" t="n">
        <v>682</v>
      </c>
      <c r="D646" s="4" t="n">
        <v>0</v>
      </c>
      <c r="E646" s="1" t="s">
        <v>1949</v>
      </c>
    </row>
    <row r="647" customFormat="false" ht="15" hidden="false" customHeight="true" outlineLevel="0" collapsed="false">
      <c r="A647" s="1" t="n">
        <v>51330</v>
      </c>
      <c r="B647" s="3" t="n">
        <v>43985</v>
      </c>
      <c r="C647" s="1" t="n">
        <v>1217</v>
      </c>
      <c r="D647" s="4" t="n">
        <v>0</v>
      </c>
      <c r="E647" s="1" t="s">
        <v>1949</v>
      </c>
    </row>
    <row r="648" customFormat="false" ht="15" hidden="false" customHeight="true" outlineLevel="0" collapsed="false">
      <c r="A648" s="1" t="n">
        <v>51789</v>
      </c>
      <c r="B648" s="3" t="n">
        <v>44052</v>
      </c>
      <c r="C648" s="1" t="n">
        <v>10</v>
      </c>
      <c r="D648" s="4" t="n">
        <v>184</v>
      </c>
      <c r="E648" s="1" t="s">
        <v>1950</v>
      </c>
    </row>
    <row r="649" customFormat="false" ht="15" hidden="false" customHeight="true" outlineLevel="0" collapsed="false">
      <c r="A649" s="1" t="n">
        <v>50064</v>
      </c>
      <c r="B649" s="3" t="n">
        <v>44047</v>
      </c>
      <c r="C649" s="1" t="n">
        <v>1539</v>
      </c>
      <c r="D649" s="4" t="n">
        <v>0</v>
      </c>
      <c r="E649" s="1" t="s">
        <v>1949</v>
      </c>
    </row>
    <row r="650" customFormat="false" ht="15" hidden="false" customHeight="true" outlineLevel="0" collapsed="false">
      <c r="A650" s="1" t="n">
        <v>51969</v>
      </c>
      <c r="B650" s="3" t="n">
        <v>44067</v>
      </c>
      <c r="C650" s="1" t="n">
        <v>1056</v>
      </c>
      <c r="D650" s="4" t="n">
        <v>336</v>
      </c>
      <c r="E650" s="1" t="s">
        <v>1950</v>
      </c>
    </row>
    <row r="651" customFormat="false" ht="15" hidden="false" customHeight="true" outlineLevel="0" collapsed="false">
      <c r="A651" s="1" t="n">
        <v>50400</v>
      </c>
      <c r="B651" s="3" t="n">
        <v>43988</v>
      </c>
      <c r="C651" s="1" t="n">
        <v>1208</v>
      </c>
      <c r="D651" s="4" t="n">
        <v>469</v>
      </c>
      <c r="E651" s="1" t="s">
        <v>1950</v>
      </c>
    </row>
    <row r="652" customFormat="false" ht="15" hidden="false" customHeight="true" outlineLevel="0" collapsed="false">
      <c r="A652" s="1" t="n">
        <v>50457</v>
      </c>
      <c r="B652" s="3" t="n">
        <v>44031</v>
      </c>
      <c r="C652" s="1" t="n">
        <v>1075</v>
      </c>
      <c r="D652" s="4" t="n">
        <v>624</v>
      </c>
      <c r="E652" s="1" t="s">
        <v>1950</v>
      </c>
    </row>
    <row r="653" customFormat="false" ht="15" hidden="false" customHeight="true" outlineLevel="0" collapsed="false">
      <c r="A653" s="1" t="n">
        <v>51794</v>
      </c>
      <c r="B653" s="3" t="n">
        <v>44035</v>
      </c>
      <c r="C653" s="1" t="n">
        <v>1045</v>
      </c>
      <c r="D653" s="4" t="n">
        <v>0</v>
      </c>
      <c r="E653" s="1" t="s">
        <v>1949</v>
      </c>
    </row>
    <row r="654" customFormat="false" ht="15" hidden="false" customHeight="true" outlineLevel="0" collapsed="false">
      <c r="A654" s="1" t="n">
        <v>51616</v>
      </c>
      <c r="B654" s="3" t="n">
        <v>44007</v>
      </c>
      <c r="C654" s="1" t="n">
        <v>1573</v>
      </c>
      <c r="D654" s="4" t="n">
        <v>0</v>
      </c>
      <c r="E654" s="1" t="s">
        <v>1949</v>
      </c>
    </row>
    <row r="655" customFormat="false" ht="15" hidden="false" customHeight="true" outlineLevel="0" collapsed="false">
      <c r="A655" s="1" t="n">
        <v>50257</v>
      </c>
      <c r="B655" s="3" t="n">
        <v>44024</v>
      </c>
      <c r="C655" s="1" t="n">
        <v>648</v>
      </c>
      <c r="D655" s="4" t="n">
        <v>677</v>
      </c>
      <c r="E655" s="1" t="s">
        <v>1950</v>
      </c>
    </row>
    <row r="656" customFormat="false" ht="15" hidden="false" customHeight="true" outlineLevel="0" collapsed="false">
      <c r="A656" s="1" t="n">
        <v>50491</v>
      </c>
      <c r="B656" s="3" t="n">
        <v>44061</v>
      </c>
      <c r="C656" s="1" t="n">
        <v>1309</v>
      </c>
      <c r="D656" s="4" t="n">
        <v>0</v>
      </c>
      <c r="E656" s="1" t="s">
        <v>1949</v>
      </c>
    </row>
    <row r="657" customFormat="false" ht="15" hidden="false" customHeight="true" outlineLevel="0" collapsed="false">
      <c r="A657" s="1" t="n">
        <v>50772</v>
      </c>
      <c r="B657" s="3" t="n">
        <v>43992</v>
      </c>
      <c r="C657" s="1" t="n">
        <v>874</v>
      </c>
      <c r="D657" s="4" t="n">
        <v>0</v>
      </c>
      <c r="E657" s="1" t="s">
        <v>1949</v>
      </c>
    </row>
    <row r="658" customFormat="false" ht="15" hidden="false" customHeight="true" outlineLevel="0" collapsed="false">
      <c r="A658" s="1" t="n">
        <v>51467</v>
      </c>
      <c r="B658" s="3" t="n">
        <v>44058</v>
      </c>
      <c r="C658" s="1" t="n">
        <v>1171</v>
      </c>
      <c r="D658" s="4" t="n">
        <v>823</v>
      </c>
      <c r="E658" s="1" t="s">
        <v>1950</v>
      </c>
    </row>
    <row r="659" customFormat="false" ht="15" hidden="false" customHeight="true" outlineLevel="0" collapsed="false">
      <c r="A659" s="1" t="n">
        <v>51699</v>
      </c>
      <c r="B659" s="3" t="n">
        <v>44011</v>
      </c>
      <c r="C659" s="1" t="n">
        <v>1232</v>
      </c>
      <c r="D659" s="4" t="n">
        <v>0</v>
      </c>
      <c r="E659" s="1" t="s">
        <v>1949</v>
      </c>
    </row>
    <row r="660" customFormat="false" ht="15" hidden="false" customHeight="true" outlineLevel="0" collapsed="false">
      <c r="A660" s="1" t="n">
        <v>50514</v>
      </c>
      <c r="B660" s="3" t="n">
        <v>44007</v>
      </c>
      <c r="C660" s="1" t="n">
        <v>911</v>
      </c>
      <c r="D660" s="4" t="n">
        <v>0</v>
      </c>
      <c r="E660" s="1" t="s">
        <v>1949</v>
      </c>
    </row>
    <row r="661" customFormat="false" ht="15" hidden="false" customHeight="true" outlineLevel="0" collapsed="false">
      <c r="A661" s="1" t="n">
        <v>50296</v>
      </c>
      <c r="B661" s="3" t="n">
        <v>44050</v>
      </c>
      <c r="C661" s="1" t="n">
        <v>636</v>
      </c>
      <c r="D661" s="4" t="n">
        <v>359</v>
      </c>
      <c r="E661" s="1" t="s">
        <v>1950</v>
      </c>
    </row>
    <row r="662" customFormat="false" ht="15" hidden="false" customHeight="true" outlineLevel="0" collapsed="false">
      <c r="A662" s="1" t="n">
        <v>51168</v>
      </c>
      <c r="B662" s="3" t="n">
        <v>44070</v>
      </c>
      <c r="C662" s="1" t="n">
        <v>448</v>
      </c>
      <c r="D662" s="4" t="n">
        <v>783</v>
      </c>
      <c r="E662" s="1" t="s">
        <v>1950</v>
      </c>
    </row>
    <row r="663" customFormat="false" ht="15" hidden="false" customHeight="true" outlineLevel="0" collapsed="false">
      <c r="A663" s="1" t="n">
        <v>51278</v>
      </c>
      <c r="B663" s="3" t="n">
        <v>44046</v>
      </c>
      <c r="C663" s="1" t="n">
        <v>1531</v>
      </c>
      <c r="D663" s="4" t="n">
        <v>267</v>
      </c>
      <c r="E663" s="1" t="s">
        <v>1950</v>
      </c>
    </row>
    <row r="664" customFormat="false" ht="15" hidden="false" customHeight="true" outlineLevel="0" collapsed="false">
      <c r="A664" s="1" t="n">
        <v>51095</v>
      </c>
      <c r="B664" s="3" t="n">
        <v>44033</v>
      </c>
      <c r="C664" s="1" t="n">
        <v>1747</v>
      </c>
      <c r="D664" s="4" t="n">
        <v>746</v>
      </c>
      <c r="E664" s="1" t="s">
        <v>1950</v>
      </c>
    </row>
    <row r="665" customFormat="false" ht="15" hidden="false" customHeight="true" outlineLevel="0" collapsed="false">
      <c r="A665" s="1" t="n">
        <v>50540</v>
      </c>
      <c r="B665" s="3" t="n">
        <v>44054</v>
      </c>
      <c r="C665" s="1" t="n">
        <v>795</v>
      </c>
      <c r="D665" s="4" t="n">
        <v>0</v>
      </c>
      <c r="E665" s="1" t="s">
        <v>1949</v>
      </c>
    </row>
    <row r="666" customFormat="false" ht="15" hidden="false" customHeight="true" outlineLevel="0" collapsed="false">
      <c r="A666" s="1" t="n">
        <v>51916</v>
      </c>
      <c r="B666" s="3" t="n">
        <v>44034</v>
      </c>
      <c r="C666" s="1" t="n">
        <v>355</v>
      </c>
      <c r="D666" s="4" t="n">
        <v>101</v>
      </c>
      <c r="E666" s="1" t="s">
        <v>1950</v>
      </c>
    </row>
    <row r="667" customFormat="false" ht="15" hidden="false" customHeight="true" outlineLevel="0" collapsed="false">
      <c r="A667" s="1" t="n">
        <v>50653</v>
      </c>
      <c r="B667" s="3" t="n">
        <v>43995</v>
      </c>
      <c r="C667" s="1" t="n">
        <v>651</v>
      </c>
      <c r="D667" s="4" t="n">
        <v>186</v>
      </c>
      <c r="E667" s="1" t="s">
        <v>1950</v>
      </c>
    </row>
    <row r="668" customFormat="false" ht="15" hidden="false" customHeight="true" outlineLevel="0" collapsed="false">
      <c r="A668" s="1" t="n">
        <v>51834</v>
      </c>
      <c r="B668" s="3" t="n">
        <v>44054</v>
      </c>
      <c r="C668" s="1" t="n">
        <v>549</v>
      </c>
      <c r="D668" s="4" t="n">
        <v>240</v>
      </c>
      <c r="E668" s="1" t="s">
        <v>1950</v>
      </c>
    </row>
    <row r="669" customFormat="false" ht="15" hidden="false" customHeight="true" outlineLevel="0" collapsed="false">
      <c r="A669" s="1" t="n">
        <v>51302</v>
      </c>
      <c r="B669" s="3" t="n">
        <v>44044</v>
      </c>
      <c r="C669" s="1" t="n">
        <v>1808</v>
      </c>
      <c r="D669" s="4" t="n">
        <v>0</v>
      </c>
      <c r="E669" s="1" t="s">
        <v>1949</v>
      </c>
    </row>
    <row r="670" customFormat="false" ht="15" hidden="false" customHeight="true" outlineLevel="0" collapsed="false">
      <c r="A670" s="1" t="n">
        <v>50849</v>
      </c>
      <c r="B670" s="3" t="n">
        <v>44019</v>
      </c>
      <c r="C670" s="1" t="n">
        <v>1253</v>
      </c>
      <c r="D670" s="4" t="n">
        <v>0</v>
      </c>
      <c r="E670" s="1" t="s">
        <v>1949</v>
      </c>
    </row>
    <row r="671" customFormat="false" ht="15" hidden="false" customHeight="true" outlineLevel="0" collapsed="false">
      <c r="A671" s="1" t="n">
        <v>51845</v>
      </c>
      <c r="B671" s="3" t="n">
        <v>43988</v>
      </c>
      <c r="C671" s="1" t="n">
        <v>1403</v>
      </c>
      <c r="D671" s="4" t="n">
        <v>0</v>
      </c>
      <c r="E671" s="1" t="s">
        <v>1949</v>
      </c>
    </row>
    <row r="672" customFormat="false" ht="15" hidden="false" customHeight="true" outlineLevel="0" collapsed="false">
      <c r="A672" s="1" t="n">
        <v>50903</v>
      </c>
      <c r="B672" s="3" t="n">
        <v>43996</v>
      </c>
      <c r="C672" s="1" t="n">
        <v>919</v>
      </c>
      <c r="D672" s="4" t="n">
        <v>0</v>
      </c>
      <c r="E672" s="1" t="s">
        <v>1949</v>
      </c>
    </row>
    <row r="673" customFormat="false" ht="15" hidden="false" customHeight="true" outlineLevel="0" collapsed="false">
      <c r="A673" s="1" t="n">
        <v>51688</v>
      </c>
      <c r="B673" s="3" t="n">
        <v>44010</v>
      </c>
      <c r="C673" s="1" t="n">
        <v>612</v>
      </c>
      <c r="D673" s="4" t="n">
        <v>805</v>
      </c>
      <c r="E673" s="1" t="s">
        <v>1950</v>
      </c>
    </row>
    <row r="674" customFormat="false" ht="15" hidden="false" customHeight="true" outlineLevel="0" collapsed="false">
      <c r="A674" s="1" t="n">
        <v>50300</v>
      </c>
      <c r="B674" s="3" t="n">
        <v>44037</v>
      </c>
      <c r="C674" s="1" t="n">
        <v>1269</v>
      </c>
      <c r="D674" s="4" t="n">
        <v>371</v>
      </c>
      <c r="E674" s="1" t="s">
        <v>1950</v>
      </c>
    </row>
    <row r="675" customFormat="false" ht="15" hidden="false" customHeight="true" outlineLevel="0" collapsed="false">
      <c r="A675" s="1" t="n">
        <v>51949</v>
      </c>
      <c r="B675" s="3" t="n">
        <v>44008</v>
      </c>
      <c r="C675" s="1" t="n">
        <v>1968</v>
      </c>
      <c r="D675" s="4" t="n">
        <v>0</v>
      </c>
      <c r="E675" s="1" t="s">
        <v>1949</v>
      </c>
    </row>
    <row r="676" customFormat="false" ht="15" hidden="false" customHeight="true" outlineLevel="0" collapsed="false">
      <c r="A676" s="1" t="n">
        <v>50749</v>
      </c>
      <c r="B676" s="3" t="n">
        <v>44030</v>
      </c>
      <c r="C676" s="1" t="n">
        <v>796</v>
      </c>
      <c r="D676" s="4" t="n">
        <v>454</v>
      </c>
      <c r="E676" s="1" t="s">
        <v>1950</v>
      </c>
    </row>
    <row r="677" customFormat="false" ht="15" hidden="false" customHeight="true" outlineLevel="0" collapsed="false">
      <c r="A677" s="1" t="n">
        <v>51480</v>
      </c>
      <c r="B677" s="3" t="n">
        <v>43987</v>
      </c>
      <c r="C677" s="1" t="n">
        <v>1490</v>
      </c>
      <c r="D677" s="4" t="n">
        <v>430</v>
      </c>
      <c r="E677" s="1" t="s">
        <v>1950</v>
      </c>
    </row>
    <row r="678" customFormat="false" ht="15" hidden="false" customHeight="true" outlineLevel="0" collapsed="false">
      <c r="A678" s="1" t="n">
        <v>51067</v>
      </c>
      <c r="B678" s="3" t="n">
        <v>44031</v>
      </c>
      <c r="C678" s="1" t="n">
        <v>984</v>
      </c>
      <c r="D678" s="4" t="n">
        <v>383</v>
      </c>
      <c r="E678" s="1" t="s">
        <v>1950</v>
      </c>
    </row>
    <row r="679" customFormat="false" ht="15" hidden="false" customHeight="true" outlineLevel="0" collapsed="false">
      <c r="A679" s="1" t="n">
        <v>51463</v>
      </c>
      <c r="B679" s="3" t="n">
        <v>44014</v>
      </c>
      <c r="C679" s="1" t="n">
        <v>312</v>
      </c>
      <c r="D679" s="4" t="n">
        <v>739</v>
      </c>
      <c r="E679" s="1" t="s">
        <v>1950</v>
      </c>
    </row>
    <row r="680" customFormat="false" ht="15" hidden="false" customHeight="true" outlineLevel="0" collapsed="false">
      <c r="A680" s="1" t="n">
        <v>51659</v>
      </c>
      <c r="B680" s="3" t="n">
        <v>44047</v>
      </c>
      <c r="C680" s="1" t="n">
        <v>1911</v>
      </c>
      <c r="D680" s="4" t="n">
        <v>179</v>
      </c>
      <c r="E680" s="1" t="s">
        <v>1950</v>
      </c>
    </row>
    <row r="681" customFormat="false" ht="15" hidden="false" customHeight="true" outlineLevel="0" collapsed="false">
      <c r="A681" s="1" t="n">
        <v>51815</v>
      </c>
      <c r="B681" s="3" t="n">
        <v>44058</v>
      </c>
      <c r="C681" s="1" t="n">
        <v>1811</v>
      </c>
      <c r="D681" s="4" t="n">
        <v>541</v>
      </c>
      <c r="E681" s="1" t="s">
        <v>1950</v>
      </c>
    </row>
    <row r="682" customFormat="false" ht="15" hidden="false" customHeight="true" outlineLevel="0" collapsed="false">
      <c r="A682" s="1" t="n">
        <v>51526</v>
      </c>
      <c r="B682" s="3" t="n">
        <v>44040</v>
      </c>
      <c r="C682" s="1" t="n">
        <v>120</v>
      </c>
      <c r="D682" s="4" t="n">
        <v>0</v>
      </c>
      <c r="E682" s="1" t="s">
        <v>1949</v>
      </c>
    </row>
    <row r="683" customFormat="false" ht="15" hidden="false" customHeight="true" outlineLevel="0" collapsed="false">
      <c r="A683" s="1" t="n">
        <v>50798</v>
      </c>
      <c r="B683" s="3" t="n">
        <v>44047</v>
      </c>
      <c r="C683" s="1" t="n">
        <v>1268</v>
      </c>
      <c r="D683" s="4" t="n">
        <v>0</v>
      </c>
      <c r="E683" s="1" t="s">
        <v>1949</v>
      </c>
    </row>
    <row r="684" customFormat="false" ht="15" hidden="false" customHeight="true" outlineLevel="0" collapsed="false">
      <c r="A684" s="1" t="n">
        <v>50703</v>
      </c>
      <c r="B684" s="3" t="n">
        <v>44039</v>
      </c>
      <c r="C684" s="1" t="n">
        <v>849</v>
      </c>
      <c r="D684" s="4" t="n">
        <v>550</v>
      </c>
      <c r="E684" s="1" t="s">
        <v>1950</v>
      </c>
    </row>
    <row r="685" customFormat="false" ht="15" hidden="false" customHeight="true" outlineLevel="0" collapsed="false">
      <c r="A685" s="1" t="n">
        <v>50175</v>
      </c>
      <c r="B685" s="3" t="n">
        <v>44053</v>
      </c>
      <c r="C685" s="1" t="n">
        <v>1281</v>
      </c>
      <c r="D685" s="4" t="n">
        <v>775</v>
      </c>
      <c r="E685" s="1" t="s">
        <v>1950</v>
      </c>
    </row>
    <row r="686" customFormat="false" ht="15" hidden="false" customHeight="true" outlineLevel="0" collapsed="false">
      <c r="A686" s="1" t="n">
        <v>50492</v>
      </c>
      <c r="B686" s="3" t="n">
        <v>44044</v>
      </c>
      <c r="C686" s="1" t="n">
        <v>1660</v>
      </c>
      <c r="D686" s="4" t="n">
        <v>0</v>
      </c>
      <c r="E686" s="1" t="s">
        <v>1949</v>
      </c>
    </row>
    <row r="687" customFormat="false" ht="15" hidden="false" customHeight="true" outlineLevel="0" collapsed="false">
      <c r="A687" s="1" t="n">
        <v>50264</v>
      </c>
      <c r="B687" s="3" t="n">
        <v>44018</v>
      </c>
      <c r="C687" s="1" t="n">
        <v>438</v>
      </c>
      <c r="D687" s="4" t="n">
        <v>0</v>
      </c>
      <c r="E687" s="1" t="s">
        <v>1949</v>
      </c>
    </row>
    <row r="688" customFormat="false" ht="15" hidden="false" customHeight="true" outlineLevel="0" collapsed="false">
      <c r="A688" s="1" t="n">
        <v>50962</v>
      </c>
      <c r="B688" s="3" t="n">
        <v>44044</v>
      </c>
      <c r="C688" s="1" t="n">
        <v>1809</v>
      </c>
      <c r="D688" s="4" t="n">
        <v>0</v>
      </c>
      <c r="E688" s="1" t="s">
        <v>1949</v>
      </c>
    </row>
    <row r="689" customFormat="false" ht="15" hidden="false" customHeight="true" outlineLevel="0" collapsed="false">
      <c r="A689" s="1" t="n">
        <v>50171</v>
      </c>
      <c r="B689" s="3" t="n">
        <v>44021</v>
      </c>
      <c r="C689" s="1" t="n">
        <v>808</v>
      </c>
      <c r="D689" s="4" t="n">
        <v>208</v>
      </c>
      <c r="E689" s="1" t="s">
        <v>1950</v>
      </c>
    </row>
    <row r="690" customFormat="false" ht="15" hidden="false" customHeight="true" outlineLevel="0" collapsed="false">
      <c r="A690" s="1" t="n">
        <v>51976</v>
      </c>
      <c r="B690" s="3" t="n">
        <v>44016</v>
      </c>
      <c r="C690" s="1" t="n">
        <v>1794</v>
      </c>
      <c r="D690" s="4" t="n">
        <v>0</v>
      </c>
      <c r="E690" s="1" t="s">
        <v>1949</v>
      </c>
    </row>
    <row r="691" customFormat="false" ht="15" hidden="false" customHeight="true" outlineLevel="0" collapsed="false">
      <c r="A691" s="1" t="n">
        <v>50569</v>
      </c>
      <c r="B691" s="3" t="n">
        <v>44003</v>
      </c>
      <c r="C691" s="1" t="n">
        <v>1863</v>
      </c>
      <c r="D691" s="4" t="n">
        <v>0</v>
      </c>
      <c r="E691" s="1" t="s">
        <v>1949</v>
      </c>
    </row>
    <row r="692" customFormat="false" ht="15" hidden="false" customHeight="true" outlineLevel="0" collapsed="false">
      <c r="A692" s="1" t="n">
        <v>51754</v>
      </c>
      <c r="B692" s="3" t="n">
        <v>44023</v>
      </c>
      <c r="C692" s="1" t="n">
        <v>1172</v>
      </c>
      <c r="D692" s="4" t="n">
        <v>0</v>
      </c>
      <c r="E692" s="1" t="s">
        <v>1949</v>
      </c>
    </row>
    <row r="693" customFormat="false" ht="15" hidden="false" customHeight="true" outlineLevel="0" collapsed="false">
      <c r="A693" s="1" t="n">
        <v>51481</v>
      </c>
      <c r="B693" s="3" t="n">
        <v>44046</v>
      </c>
      <c r="C693" s="1" t="n">
        <v>1580</v>
      </c>
      <c r="D693" s="4" t="n">
        <v>257</v>
      </c>
      <c r="E693" s="1" t="s">
        <v>1950</v>
      </c>
    </row>
    <row r="694" customFormat="false" ht="15" hidden="false" customHeight="true" outlineLevel="0" collapsed="false">
      <c r="A694" s="1" t="n">
        <v>50880</v>
      </c>
      <c r="B694" s="3" t="n">
        <v>44072</v>
      </c>
      <c r="C694" s="1" t="n">
        <v>534</v>
      </c>
      <c r="D694" s="4" t="n">
        <v>0</v>
      </c>
      <c r="E694" s="1" t="s">
        <v>1949</v>
      </c>
    </row>
    <row r="695" customFormat="false" ht="15" hidden="false" customHeight="true" outlineLevel="0" collapsed="false">
      <c r="A695" s="1" t="n">
        <v>50554</v>
      </c>
      <c r="B695" s="3" t="n">
        <v>44014</v>
      </c>
      <c r="C695" s="1" t="n">
        <v>552</v>
      </c>
      <c r="D695" s="4" t="n">
        <v>0</v>
      </c>
      <c r="E695" s="1" t="s">
        <v>1949</v>
      </c>
    </row>
    <row r="696" customFormat="false" ht="15" hidden="false" customHeight="true" outlineLevel="0" collapsed="false">
      <c r="A696" s="1" t="n">
        <v>51349</v>
      </c>
      <c r="B696" s="3" t="n">
        <v>44035</v>
      </c>
      <c r="C696" s="1" t="n">
        <v>551</v>
      </c>
      <c r="D696" s="4" t="n">
        <v>0</v>
      </c>
      <c r="E696" s="1" t="s">
        <v>1949</v>
      </c>
    </row>
    <row r="697" customFormat="false" ht="15" hidden="false" customHeight="true" outlineLevel="0" collapsed="false">
      <c r="A697" s="1" t="n">
        <v>50021</v>
      </c>
      <c r="B697" s="3" t="n">
        <v>44018</v>
      </c>
      <c r="C697" s="1" t="n">
        <v>1067</v>
      </c>
      <c r="D697" s="4" t="n">
        <v>277</v>
      </c>
      <c r="E697" s="1" t="s">
        <v>1950</v>
      </c>
    </row>
    <row r="698" customFormat="false" ht="15" hidden="false" customHeight="true" outlineLevel="0" collapsed="false">
      <c r="A698" s="1" t="n">
        <v>51345</v>
      </c>
      <c r="B698" s="3" t="n">
        <v>43998</v>
      </c>
      <c r="C698" s="1" t="n">
        <v>1847</v>
      </c>
      <c r="D698" s="4" t="n">
        <v>516</v>
      </c>
      <c r="E698" s="1" t="s">
        <v>1950</v>
      </c>
    </row>
    <row r="699" customFormat="false" ht="15" hidden="false" customHeight="true" outlineLevel="0" collapsed="false">
      <c r="A699" s="1" t="n">
        <v>51447</v>
      </c>
      <c r="B699" s="3" t="n">
        <v>44013</v>
      </c>
      <c r="C699" s="1" t="n">
        <v>1572</v>
      </c>
      <c r="D699" s="4" t="n">
        <v>848</v>
      </c>
      <c r="E699" s="1" t="s">
        <v>1950</v>
      </c>
    </row>
    <row r="700" customFormat="false" ht="15" hidden="false" customHeight="true" outlineLevel="0" collapsed="false">
      <c r="A700" s="1" t="n">
        <v>51126</v>
      </c>
      <c r="B700" s="3" t="n">
        <v>43986</v>
      </c>
      <c r="C700" s="1" t="n">
        <v>831</v>
      </c>
      <c r="D700" s="4" t="n">
        <v>322</v>
      </c>
      <c r="E700" s="1" t="s">
        <v>1950</v>
      </c>
    </row>
    <row r="701" customFormat="false" ht="15" hidden="false" customHeight="true" outlineLevel="0" collapsed="false">
      <c r="A701" s="1" t="n">
        <v>51372</v>
      </c>
      <c r="B701" s="3" t="n">
        <v>44027</v>
      </c>
      <c r="C701" s="1" t="n">
        <v>492</v>
      </c>
      <c r="D701" s="4" t="n">
        <v>630</v>
      </c>
      <c r="E701" s="1" t="s">
        <v>1950</v>
      </c>
    </row>
    <row r="702" customFormat="false" ht="15" hidden="false" customHeight="true" outlineLevel="0" collapsed="false">
      <c r="A702" s="1" t="n">
        <v>50528</v>
      </c>
      <c r="B702" s="3" t="n">
        <v>44072</v>
      </c>
      <c r="C702" s="1" t="n">
        <v>990</v>
      </c>
      <c r="D702" s="4" t="n">
        <v>798</v>
      </c>
      <c r="E702" s="1" t="s">
        <v>1950</v>
      </c>
    </row>
    <row r="703" customFormat="false" ht="15" hidden="false" customHeight="true" outlineLevel="0" collapsed="false">
      <c r="A703" s="1" t="n">
        <v>50162</v>
      </c>
      <c r="B703" s="3" t="n">
        <v>44029</v>
      </c>
      <c r="C703" s="1" t="n">
        <v>881</v>
      </c>
      <c r="D703" s="4" t="n">
        <v>291</v>
      </c>
      <c r="E703" s="1" t="s">
        <v>1950</v>
      </c>
    </row>
    <row r="704" customFormat="false" ht="15" hidden="false" customHeight="true" outlineLevel="0" collapsed="false">
      <c r="A704" s="1" t="n">
        <v>51651</v>
      </c>
      <c r="B704" s="3" t="n">
        <v>44052</v>
      </c>
      <c r="C704" s="1" t="n">
        <v>49</v>
      </c>
      <c r="D704" s="4" t="n">
        <v>0</v>
      </c>
      <c r="E704" s="1" t="s">
        <v>1949</v>
      </c>
    </row>
    <row r="705" customFormat="false" ht="15" hidden="false" customHeight="true" outlineLevel="0" collapsed="false">
      <c r="A705" s="1" t="n">
        <v>50462</v>
      </c>
      <c r="B705" s="3" t="n">
        <v>44043</v>
      </c>
      <c r="C705" s="1" t="n">
        <v>853</v>
      </c>
      <c r="D705" s="4" t="n">
        <v>0</v>
      </c>
      <c r="E705" s="1" t="s">
        <v>1949</v>
      </c>
    </row>
    <row r="706" customFormat="false" ht="15" hidden="false" customHeight="true" outlineLevel="0" collapsed="false">
      <c r="A706" s="1" t="n">
        <v>51240</v>
      </c>
      <c r="B706" s="3" t="n">
        <v>43984</v>
      </c>
      <c r="C706" s="1" t="n">
        <v>33</v>
      </c>
      <c r="D706" s="4" t="n">
        <v>0</v>
      </c>
      <c r="E706" s="1" t="s">
        <v>1949</v>
      </c>
    </row>
    <row r="707" customFormat="false" ht="15" hidden="false" customHeight="true" outlineLevel="0" collapsed="false">
      <c r="A707" s="1" t="n">
        <v>51056</v>
      </c>
      <c r="B707" s="3" t="n">
        <v>44070</v>
      </c>
      <c r="C707" s="1" t="n">
        <v>1258</v>
      </c>
      <c r="D707" s="4" t="n">
        <v>762</v>
      </c>
      <c r="E707" s="1" t="s">
        <v>1950</v>
      </c>
    </row>
    <row r="708" customFormat="false" ht="15" hidden="false" customHeight="true" outlineLevel="0" collapsed="false">
      <c r="A708" s="1" t="n">
        <v>50656</v>
      </c>
      <c r="B708" s="3" t="n">
        <v>44021</v>
      </c>
      <c r="C708" s="1" t="n">
        <v>1709</v>
      </c>
      <c r="D708" s="4" t="n">
        <v>126</v>
      </c>
      <c r="E708" s="1" t="s">
        <v>1950</v>
      </c>
    </row>
    <row r="709" customFormat="false" ht="15" hidden="false" customHeight="true" outlineLevel="0" collapsed="false">
      <c r="A709" s="1" t="n">
        <v>51201</v>
      </c>
      <c r="B709" s="3" t="n">
        <v>43983</v>
      </c>
      <c r="C709" s="1" t="n">
        <v>1551</v>
      </c>
      <c r="D709" s="4" t="n">
        <v>620</v>
      </c>
      <c r="E709" s="1" t="s">
        <v>1950</v>
      </c>
    </row>
    <row r="710" customFormat="false" ht="15" hidden="false" customHeight="true" outlineLevel="0" collapsed="false">
      <c r="A710" s="1" t="n">
        <v>50314</v>
      </c>
      <c r="B710" s="3" t="n">
        <v>44064</v>
      </c>
      <c r="C710" s="1" t="n">
        <v>1416</v>
      </c>
      <c r="D710" s="4" t="n">
        <v>246</v>
      </c>
      <c r="E710" s="1" t="s">
        <v>1950</v>
      </c>
    </row>
    <row r="711" customFormat="false" ht="15" hidden="false" customHeight="true" outlineLevel="0" collapsed="false">
      <c r="A711" s="1" t="n">
        <v>51359</v>
      </c>
      <c r="B711" s="3" t="n">
        <v>44042</v>
      </c>
      <c r="C711" s="1" t="n">
        <v>1063</v>
      </c>
      <c r="D711" s="4" t="n">
        <v>584</v>
      </c>
      <c r="E711" s="1" t="s">
        <v>1950</v>
      </c>
    </row>
    <row r="712" customFormat="false" ht="15" hidden="false" customHeight="true" outlineLevel="0" collapsed="false">
      <c r="A712" s="1" t="n">
        <v>51316</v>
      </c>
      <c r="B712" s="3" t="n">
        <v>43995</v>
      </c>
      <c r="C712" s="1" t="n">
        <v>278</v>
      </c>
      <c r="D712" s="4" t="n">
        <v>334</v>
      </c>
      <c r="E712" s="1" t="s">
        <v>1950</v>
      </c>
    </row>
    <row r="713" customFormat="false" ht="15" hidden="false" customHeight="true" outlineLevel="0" collapsed="false">
      <c r="A713" s="1" t="n">
        <v>50218</v>
      </c>
      <c r="B713" s="3" t="n">
        <v>44023</v>
      </c>
      <c r="C713" s="1" t="n">
        <v>703</v>
      </c>
      <c r="D713" s="4" t="n">
        <v>0</v>
      </c>
      <c r="E713" s="1" t="s">
        <v>1949</v>
      </c>
    </row>
    <row r="714" customFormat="false" ht="15" hidden="false" customHeight="true" outlineLevel="0" collapsed="false">
      <c r="A714" s="1" t="n">
        <v>50737</v>
      </c>
      <c r="B714" s="3" t="n">
        <v>44014</v>
      </c>
      <c r="C714" s="1" t="n">
        <v>1813</v>
      </c>
      <c r="D714" s="4" t="n">
        <v>0</v>
      </c>
      <c r="E714" s="1" t="s">
        <v>1949</v>
      </c>
    </row>
    <row r="715" customFormat="false" ht="15" hidden="false" customHeight="true" outlineLevel="0" collapsed="false">
      <c r="A715" s="1" t="n">
        <v>50415</v>
      </c>
      <c r="B715" s="3" t="n">
        <v>43990</v>
      </c>
      <c r="C715" s="1" t="n">
        <v>1970</v>
      </c>
      <c r="D715" s="4" t="n">
        <v>0</v>
      </c>
      <c r="E715" s="1" t="s">
        <v>1949</v>
      </c>
    </row>
    <row r="716" customFormat="false" ht="15" hidden="false" customHeight="true" outlineLevel="0" collapsed="false">
      <c r="A716" s="1" t="n">
        <v>50993</v>
      </c>
      <c r="B716" s="3" t="n">
        <v>43992</v>
      </c>
      <c r="C716" s="1" t="n">
        <v>1383</v>
      </c>
      <c r="D716" s="4" t="n">
        <v>170</v>
      </c>
      <c r="E716" s="1" t="s">
        <v>1950</v>
      </c>
    </row>
    <row r="717" customFormat="false" ht="15" hidden="false" customHeight="true" outlineLevel="0" collapsed="false">
      <c r="A717" s="1" t="n">
        <v>50293</v>
      </c>
      <c r="B717" s="3" t="n">
        <v>43987</v>
      </c>
      <c r="C717" s="1" t="n">
        <v>291</v>
      </c>
      <c r="D717" s="4" t="n">
        <v>0</v>
      </c>
      <c r="E717" s="1" t="s">
        <v>1949</v>
      </c>
    </row>
    <row r="718" customFormat="false" ht="15" hidden="false" customHeight="true" outlineLevel="0" collapsed="false">
      <c r="A718" s="1" t="n">
        <v>51128</v>
      </c>
      <c r="B718" s="3" t="n">
        <v>43999</v>
      </c>
      <c r="C718" s="1" t="n">
        <v>405</v>
      </c>
      <c r="D718" s="4" t="n">
        <v>559</v>
      </c>
      <c r="E718" s="1" t="s">
        <v>1950</v>
      </c>
    </row>
    <row r="719" customFormat="false" ht="15" hidden="false" customHeight="true" outlineLevel="0" collapsed="false">
      <c r="A719" s="1" t="n">
        <v>51395</v>
      </c>
      <c r="B719" s="3" t="n">
        <v>44060</v>
      </c>
      <c r="C719" s="1" t="n">
        <v>459</v>
      </c>
      <c r="D719" s="4" t="n">
        <v>101</v>
      </c>
      <c r="E719" s="1" t="s">
        <v>1950</v>
      </c>
    </row>
    <row r="720" customFormat="false" ht="15" hidden="false" customHeight="true" outlineLevel="0" collapsed="false">
      <c r="A720" s="1" t="n">
        <v>51023</v>
      </c>
      <c r="B720" s="3" t="n">
        <v>44031</v>
      </c>
      <c r="C720" s="1" t="n">
        <v>1301</v>
      </c>
      <c r="D720" s="4" t="n">
        <v>0</v>
      </c>
      <c r="E720" s="1" t="s">
        <v>1949</v>
      </c>
    </row>
    <row r="721" customFormat="false" ht="15" hidden="false" customHeight="true" outlineLevel="0" collapsed="false">
      <c r="A721" s="1" t="n">
        <v>51281</v>
      </c>
      <c r="B721" s="3" t="n">
        <v>43991</v>
      </c>
      <c r="C721" s="1" t="n">
        <v>1719</v>
      </c>
      <c r="D721" s="4" t="n">
        <v>646</v>
      </c>
      <c r="E721" s="1" t="s">
        <v>1950</v>
      </c>
    </row>
    <row r="722" customFormat="false" ht="15" hidden="false" customHeight="true" outlineLevel="0" collapsed="false">
      <c r="A722" s="1" t="n">
        <v>51258</v>
      </c>
      <c r="B722" s="3" t="n">
        <v>44018</v>
      </c>
      <c r="C722" s="1" t="n">
        <v>894</v>
      </c>
      <c r="D722" s="4" t="n">
        <v>486</v>
      </c>
      <c r="E722" s="1" t="s">
        <v>1950</v>
      </c>
    </row>
    <row r="723" customFormat="false" ht="15" hidden="false" customHeight="true" outlineLevel="0" collapsed="false">
      <c r="A723" s="1" t="n">
        <v>50371</v>
      </c>
      <c r="B723" s="3" t="n">
        <v>44002</v>
      </c>
      <c r="C723" s="1" t="n">
        <v>775</v>
      </c>
      <c r="D723" s="4" t="n">
        <v>0</v>
      </c>
      <c r="E723" s="1" t="s">
        <v>1949</v>
      </c>
    </row>
    <row r="724" customFormat="false" ht="15" hidden="false" customHeight="true" outlineLevel="0" collapsed="false">
      <c r="A724" s="1" t="n">
        <v>51851</v>
      </c>
      <c r="B724" s="3" t="n">
        <v>44046</v>
      </c>
      <c r="C724" s="1" t="n">
        <v>879</v>
      </c>
      <c r="D724" s="4" t="n">
        <v>0</v>
      </c>
      <c r="E724" s="1" t="s">
        <v>1949</v>
      </c>
    </row>
    <row r="725" customFormat="false" ht="15" hidden="false" customHeight="true" outlineLevel="0" collapsed="false">
      <c r="A725" s="1" t="n">
        <v>51800</v>
      </c>
      <c r="B725" s="3" t="n">
        <v>43995</v>
      </c>
      <c r="C725" s="1" t="n">
        <v>1812</v>
      </c>
      <c r="D725" s="4" t="n">
        <v>790</v>
      </c>
      <c r="E725" s="1" t="s">
        <v>1950</v>
      </c>
    </row>
    <row r="726" customFormat="false" ht="15" hidden="false" customHeight="true" outlineLevel="0" collapsed="false">
      <c r="A726" s="1" t="n">
        <v>50961</v>
      </c>
      <c r="B726" s="3" t="n">
        <v>44024</v>
      </c>
      <c r="C726" s="1" t="n">
        <v>1568</v>
      </c>
      <c r="D726" s="4" t="n">
        <v>486</v>
      </c>
      <c r="E726" s="1" t="s">
        <v>1950</v>
      </c>
    </row>
    <row r="727" customFormat="false" ht="15" hidden="false" customHeight="true" outlineLevel="0" collapsed="false">
      <c r="A727" s="1" t="n">
        <v>51383</v>
      </c>
      <c r="B727" s="3" t="n">
        <v>44000</v>
      </c>
      <c r="C727" s="1" t="n">
        <v>1668</v>
      </c>
      <c r="D727" s="4" t="n">
        <v>0</v>
      </c>
      <c r="E727" s="1" t="s">
        <v>1949</v>
      </c>
    </row>
    <row r="728" customFormat="false" ht="15" hidden="false" customHeight="true" outlineLevel="0" collapsed="false">
      <c r="A728" s="1" t="n">
        <v>51897</v>
      </c>
      <c r="B728" s="3" t="n">
        <v>44030</v>
      </c>
      <c r="C728" s="1" t="n">
        <v>122</v>
      </c>
      <c r="D728" s="4" t="n">
        <v>0</v>
      </c>
      <c r="E728" s="1" t="s">
        <v>1949</v>
      </c>
    </row>
    <row r="729" customFormat="false" ht="15" hidden="false" customHeight="true" outlineLevel="0" collapsed="false">
      <c r="A729" s="1" t="n">
        <v>50724</v>
      </c>
      <c r="B729" s="3" t="n">
        <v>44045</v>
      </c>
      <c r="C729" s="1" t="n">
        <v>1510</v>
      </c>
      <c r="D729" s="4" t="n">
        <v>0</v>
      </c>
      <c r="E729" s="1" t="s">
        <v>1949</v>
      </c>
    </row>
    <row r="730" customFormat="false" ht="15" hidden="false" customHeight="true" outlineLevel="0" collapsed="false">
      <c r="A730" s="1" t="n">
        <v>50600</v>
      </c>
      <c r="B730" s="3" t="n">
        <v>43999</v>
      </c>
      <c r="C730" s="1" t="n">
        <v>1993</v>
      </c>
      <c r="D730" s="4" t="n">
        <v>292</v>
      </c>
      <c r="E730" s="1" t="s">
        <v>1950</v>
      </c>
    </row>
    <row r="731" customFormat="false" ht="15" hidden="false" customHeight="true" outlineLevel="0" collapsed="false">
      <c r="A731" s="1" t="n">
        <v>51087</v>
      </c>
      <c r="B731" s="3" t="n">
        <v>44030</v>
      </c>
      <c r="C731" s="1" t="n">
        <v>893</v>
      </c>
      <c r="D731" s="4" t="n">
        <v>409</v>
      </c>
      <c r="E731" s="1" t="s">
        <v>1950</v>
      </c>
    </row>
    <row r="732" customFormat="false" ht="15" hidden="false" customHeight="true" outlineLevel="0" collapsed="false">
      <c r="A732" s="1" t="n">
        <v>51222</v>
      </c>
      <c r="B732" s="3" t="n">
        <v>44006</v>
      </c>
      <c r="C732" s="1" t="n">
        <v>136</v>
      </c>
      <c r="D732" s="4" t="n">
        <v>0</v>
      </c>
      <c r="E732" s="1" t="s">
        <v>1949</v>
      </c>
    </row>
    <row r="733" customFormat="false" ht="15" hidden="false" customHeight="true" outlineLevel="0" collapsed="false">
      <c r="A733" s="1" t="n">
        <v>50596</v>
      </c>
      <c r="B733" s="3" t="n">
        <v>44054</v>
      </c>
      <c r="C733" s="1" t="n">
        <v>499</v>
      </c>
      <c r="D733" s="4" t="n">
        <v>815</v>
      </c>
      <c r="E733" s="1" t="s">
        <v>1950</v>
      </c>
    </row>
    <row r="734" customFormat="false" ht="15" hidden="false" customHeight="true" outlineLevel="0" collapsed="false">
      <c r="A734" s="1" t="n">
        <v>50930</v>
      </c>
      <c r="B734" s="3" t="n">
        <v>44046</v>
      </c>
      <c r="C734" s="1" t="n">
        <v>293</v>
      </c>
      <c r="D734" s="4" t="n">
        <v>0</v>
      </c>
      <c r="E734" s="1" t="s">
        <v>1949</v>
      </c>
    </row>
    <row r="735" customFormat="false" ht="15" hidden="false" customHeight="true" outlineLevel="0" collapsed="false">
      <c r="A735" s="1" t="n">
        <v>50204</v>
      </c>
      <c r="B735" s="3" t="n">
        <v>44043</v>
      </c>
      <c r="C735" s="1" t="n">
        <v>1047</v>
      </c>
      <c r="D735" s="4" t="n">
        <v>468</v>
      </c>
      <c r="E735" s="1" t="s">
        <v>1950</v>
      </c>
    </row>
    <row r="736" customFormat="false" ht="15" hidden="false" customHeight="true" outlineLevel="0" collapsed="false">
      <c r="A736" s="1" t="n">
        <v>50733</v>
      </c>
      <c r="B736" s="3" t="n">
        <v>44022</v>
      </c>
      <c r="C736" s="1" t="n">
        <v>962</v>
      </c>
      <c r="D736" s="4" t="n">
        <v>168</v>
      </c>
      <c r="E736" s="1" t="s">
        <v>1950</v>
      </c>
    </row>
    <row r="737" customFormat="false" ht="15" hidden="false" customHeight="true" outlineLevel="0" collapsed="false">
      <c r="A737" s="1" t="n">
        <v>51529</v>
      </c>
      <c r="B737" s="3" t="n">
        <v>44051</v>
      </c>
      <c r="C737" s="1" t="n">
        <v>758</v>
      </c>
      <c r="D737" s="4" t="n">
        <v>0</v>
      </c>
      <c r="E737" s="1" t="s">
        <v>1949</v>
      </c>
    </row>
    <row r="738" customFormat="false" ht="15" hidden="false" customHeight="true" outlineLevel="0" collapsed="false">
      <c r="A738" s="1" t="n">
        <v>50101</v>
      </c>
      <c r="B738" s="3" t="n">
        <v>44054</v>
      </c>
      <c r="C738" s="1" t="n">
        <v>149</v>
      </c>
      <c r="D738" s="4" t="n">
        <v>833</v>
      </c>
      <c r="E738" s="1" t="s">
        <v>1950</v>
      </c>
    </row>
    <row r="739" customFormat="false" ht="15" hidden="false" customHeight="true" outlineLevel="0" collapsed="false">
      <c r="A739" s="1" t="n">
        <v>51355</v>
      </c>
      <c r="B739" s="3" t="n">
        <v>44064</v>
      </c>
      <c r="C739" s="1" t="n">
        <v>1161</v>
      </c>
      <c r="D739" s="4" t="n">
        <v>492</v>
      </c>
      <c r="E739" s="1" t="s">
        <v>1950</v>
      </c>
    </row>
    <row r="740" customFormat="false" ht="15" hidden="false" customHeight="true" outlineLevel="0" collapsed="false">
      <c r="A740" s="1" t="n">
        <v>51266</v>
      </c>
      <c r="B740" s="3" t="n">
        <v>44004</v>
      </c>
      <c r="C740" s="1" t="n">
        <v>116</v>
      </c>
      <c r="D740" s="4" t="n">
        <v>213</v>
      </c>
      <c r="E740" s="1" t="s">
        <v>1950</v>
      </c>
    </row>
    <row r="741" customFormat="false" ht="15" hidden="false" customHeight="true" outlineLevel="0" collapsed="false">
      <c r="A741" s="1" t="n">
        <v>50245</v>
      </c>
      <c r="B741" s="3" t="n">
        <v>44038</v>
      </c>
      <c r="C741" s="1" t="n">
        <v>1599</v>
      </c>
      <c r="D741" s="4" t="n">
        <v>0</v>
      </c>
      <c r="E741" s="1" t="s">
        <v>1949</v>
      </c>
    </row>
    <row r="742" customFormat="false" ht="15" hidden="false" customHeight="true" outlineLevel="0" collapsed="false">
      <c r="A742" s="1" t="n">
        <v>50302</v>
      </c>
      <c r="B742" s="3" t="n">
        <v>44050</v>
      </c>
      <c r="C742" s="1" t="n">
        <v>61</v>
      </c>
      <c r="D742" s="4" t="n">
        <v>137</v>
      </c>
      <c r="E742" s="1" t="s">
        <v>1950</v>
      </c>
    </row>
    <row r="743" customFormat="false" ht="15" hidden="false" customHeight="true" outlineLevel="0" collapsed="false">
      <c r="A743" s="1" t="n">
        <v>51693</v>
      </c>
      <c r="B743" s="3" t="n">
        <v>43989</v>
      </c>
      <c r="C743" s="1" t="n">
        <v>1462</v>
      </c>
      <c r="D743" s="4" t="n">
        <v>0</v>
      </c>
      <c r="E743" s="1" t="s">
        <v>1949</v>
      </c>
    </row>
    <row r="744" customFormat="false" ht="15" hidden="false" customHeight="true" outlineLevel="0" collapsed="false">
      <c r="A744" s="1" t="n">
        <v>50884</v>
      </c>
      <c r="B744" s="3" t="n">
        <v>44004</v>
      </c>
      <c r="C744" s="1" t="n">
        <v>1312</v>
      </c>
      <c r="D744" s="4" t="n">
        <v>0</v>
      </c>
      <c r="E744" s="1" t="s">
        <v>1949</v>
      </c>
    </row>
    <row r="745" customFormat="false" ht="15" hidden="false" customHeight="true" outlineLevel="0" collapsed="false">
      <c r="A745" s="1" t="n">
        <v>51039</v>
      </c>
      <c r="B745" s="3" t="n">
        <v>44043</v>
      </c>
      <c r="C745" s="1" t="n">
        <v>194</v>
      </c>
      <c r="D745" s="4" t="n">
        <v>800</v>
      </c>
      <c r="E745" s="1" t="s">
        <v>1950</v>
      </c>
    </row>
    <row r="746" customFormat="false" ht="15" hidden="false" customHeight="true" outlineLevel="0" collapsed="false">
      <c r="A746" s="1" t="n">
        <v>51673</v>
      </c>
      <c r="B746" s="3" t="n">
        <v>44029</v>
      </c>
      <c r="C746" s="1" t="n">
        <v>1454</v>
      </c>
      <c r="D746" s="4" t="n">
        <v>692</v>
      </c>
      <c r="E746" s="1" t="s">
        <v>1950</v>
      </c>
    </row>
    <row r="747" customFormat="false" ht="15" hidden="false" customHeight="true" outlineLevel="0" collapsed="false">
      <c r="A747" s="1" t="n">
        <v>50787</v>
      </c>
      <c r="B747" s="3" t="n">
        <v>44014</v>
      </c>
      <c r="C747" s="1" t="n">
        <v>1536</v>
      </c>
      <c r="D747" s="4" t="n">
        <v>0</v>
      </c>
      <c r="E747" s="1" t="s">
        <v>1949</v>
      </c>
    </row>
    <row r="748" customFormat="false" ht="15" hidden="false" customHeight="true" outlineLevel="0" collapsed="false">
      <c r="A748" s="1" t="n">
        <v>50817</v>
      </c>
      <c r="B748" s="3" t="n">
        <v>44044</v>
      </c>
      <c r="C748" s="1" t="n">
        <v>463</v>
      </c>
      <c r="D748" s="4" t="n">
        <v>789</v>
      </c>
      <c r="E748" s="1" t="s">
        <v>1950</v>
      </c>
    </row>
    <row r="749" customFormat="false" ht="15" hidden="false" customHeight="true" outlineLevel="0" collapsed="false">
      <c r="A749" s="1" t="n">
        <v>50372</v>
      </c>
      <c r="B749" s="3" t="n">
        <v>43994</v>
      </c>
      <c r="C749" s="1" t="n">
        <v>1593</v>
      </c>
      <c r="D749" s="4" t="n">
        <v>0</v>
      </c>
      <c r="E749" s="1" t="s">
        <v>1949</v>
      </c>
    </row>
    <row r="750" customFormat="false" ht="15" hidden="false" customHeight="true" outlineLevel="0" collapsed="false">
      <c r="A750" s="1" t="n">
        <v>51721</v>
      </c>
      <c r="B750" s="3" t="n">
        <v>44056</v>
      </c>
      <c r="C750" s="1" t="n">
        <v>642</v>
      </c>
      <c r="D750" s="4" t="n">
        <v>0</v>
      </c>
      <c r="E750" s="1" t="s">
        <v>1949</v>
      </c>
    </row>
    <row r="751" customFormat="false" ht="15" hidden="false" customHeight="true" outlineLevel="0" collapsed="false">
      <c r="A751" s="1" t="n">
        <v>50238</v>
      </c>
      <c r="B751" s="3" t="n">
        <v>43982</v>
      </c>
      <c r="C751" s="1" t="n">
        <v>1550</v>
      </c>
      <c r="D751" s="4" t="n">
        <v>564</v>
      </c>
      <c r="E751" s="1" t="s">
        <v>1950</v>
      </c>
    </row>
    <row r="752" customFormat="false" ht="15" hidden="false" customHeight="true" outlineLevel="0" collapsed="false">
      <c r="A752" s="1" t="n">
        <v>50356</v>
      </c>
      <c r="B752" s="3" t="n">
        <v>44072</v>
      </c>
      <c r="C752" s="1" t="n">
        <v>793</v>
      </c>
      <c r="D752" s="4" t="n">
        <v>0</v>
      </c>
      <c r="E752" s="1" t="s">
        <v>1949</v>
      </c>
    </row>
    <row r="753" customFormat="false" ht="15" hidden="false" customHeight="true" outlineLevel="0" collapsed="false">
      <c r="A753" s="1" t="n">
        <v>50873</v>
      </c>
      <c r="B753" s="3" t="n">
        <v>44033</v>
      </c>
      <c r="C753" s="1" t="n">
        <v>884</v>
      </c>
      <c r="D753" s="4" t="n">
        <v>0</v>
      </c>
      <c r="E753" s="1" t="s">
        <v>1949</v>
      </c>
    </row>
    <row r="754" customFormat="false" ht="15" hidden="false" customHeight="true" outlineLevel="0" collapsed="false">
      <c r="A754" s="1" t="n">
        <v>50799</v>
      </c>
      <c r="B754" s="3" t="n">
        <v>44049</v>
      </c>
      <c r="C754" s="1" t="n">
        <v>1959</v>
      </c>
      <c r="D754" s="4" t="n">
        <v>356</v>
      </c>
      <c r="E754" s="1" t="s">
        <v>1950</v>
      </c>
    </row>
    <row r="755" customFormat="false" ht="15" hidden="false" customHeight="true" outlineLevel="0" collapsed="false">
      <c r="A755" s="1" t="n">
        <v>50100</v>
      </c>
      <c r="B755" s="3" t="n">
        <v>44013</v>
      </c>
      <c r="C755" s="1" t="n">
        <v>111</v>
      </c>
      <c r="D755" s="4" t="n">
        <v>0</v>
      </c>
      <c r="E755" s="1" t="s">
        <v>1949</v>
      </c>
    </row>
    <row r="756" customFormat="false" ht="15" hidden="false" customHeight="true" outlineLevel="0" collapsed="false">
      <c r="A756" s="1" t="n">
        <v>51080</v>
      </c>
      <c r="B756" s="3" t="n">
        <v>44037</v>
      </c>
      <c r="C756" s="1" t="n">
        <v>1854</v>
      </c>
      <c r="D756" s="4" t="n">
        <v>105</v>
      </c>
      <c r="E756" s="1" t="s">
        <v>1950</v>
      </c>
    </row>
    <row r="757" customFormat="false" ht="15" hidden="false" customHeight="true" outlineLevel="0" collapsed="false">
      <c r="A757" s="1" t="n">
        <v>50542</v>
      </c>
      <c r="B757" s="3" t="n">
        <v>44000</v>
      </c>
      <c r="C757" s="1" t="n">
        <v>947</v>
      </c>
      <c r="D757" s="4" t="n">
        <v>0</v>
      </c>
      <c r="E757" s="1" t="s">
        <v>1949</v>
      </c>
    </row>
    <row r="758" customFormat="false" ht="15" hidden="false" customHeight="true" outlineLevel="0" collapsed="false">
      <c r="A758" s="1" t="n">
        <v>50875</v>
      </c>
      <c r="B758" s="3" t="n">
        <v>44040</v>
      </c>
      <c r="C758" s="1" t="n">
        <v>1065</v>
      </c>
      <c r="D758" s="4" t="n">
        <v>458</v>
      </c>
      <c r="E758" s="1" t="s">
        <v>1950</v>
      </c>
    </row>
    <row r="759" customFormat="false" ht="15" hidden="false" customHeight="true" outlineLevel="0" collapsed="false">
      <c r="A759" s="1" t="n">
        <v>50630</v>
      </c>
      <c r="B759" s="3" t="n">
        <v>43984</v>
      </c>
      <c r="C759" s="1" t="n">
        <v>1184</v>
      </c>
      <c r="D759" s="4" t="n">
        <v>606</v>
      </c>
      <c r="E759" s="1" t="s">
        <v>1950</v>
      </c>
    </row>
    <row r="760" customFormat="false" ht="15" hidden="false" customHeight="true" outlineLevel="0" collapsed="false">
      <c r="A760" s="1" t="n">
        <v>51305</v>
      </c>
      <c r="B760" s="3" t="n">
        <v>44072</v>
      </c>
      <c r="C760" s="1" t="n">
        <v>997</v>
      </c>
      <c r="D760" s="4" t="n">
        <v>0</v>
      </c>
      <c r="E760" s="1" t="s">
        <v>1949</v>
      </c>
    </row>
    <row r="761" customFormat="false" ht="15" hidden="false" customHeight="true" outlineLevel="0" collapsed="false">
      <c r="A761" s="1" t="n">
        <v>50316</v>
      </c>
      <c r="B761" s="3" t="n">
        <v>44063</v>
      </c>
      <c r="C761" s="1" t="n">
        <v>624</v>
      </c>
      <c r="D761" s="4" t="n">
        <v>0</v>
      </c>
      <c r="E761" s="1" t="s">
        <v>1949</v>
      </c>
    </row>
    <row r="762" customFormat="false" ht="15" hidden="false" customHeight="true" outlineLevel="0" collapsed="false">
      <c r="A762" s="1" t="n">
        <v>51492</v>
      </c>
      <c r="B762" s="3" t="n">
        <v>43987</v>
      </c>
      <c r="C762" s="1" t="n">
        <v>701</v>
      </c>
      <c r="D762" s="4" t="n">
        <v>0</v>
      </c>
      <c r="E762" s="1" t="s">
        <v>1949</v>
      </c>
    </row>
    <row r="763" customFormat="false" ht="15" hidden="false" customHeight="true" outlineLevel="0" collapsed="false">
      <c r="A763" s="1" t="n">
        <v>51546</v>
      </c>
      <c r="B763" s="3" t="n">
        <v>44015</v>
      </c>
      <c r="C763" s="1" t="n">
        <v>1840</v>
      </c>
      <c r="D763" s="4" t="n">
        <v>0</v>
      </c>
      <c r="E763" s="1" t="s">
        <v>1949</v>
      </c>
    </row>
    <row r="764" customFormat="false" ht="15" hidden="false" customHeight="true" outlineLevel="0" collapsed="false">
      <c r="A764" s="1" t="n">
        <v>51021</v>
      </c>
      <c r="B764" s="3" t="n">
        <v>44057</v>
      </c>
      <c r="C764" s="1" t="n">
        <v>1654</v>
      </c>
      <c r="D764" s="4" t="n">
        <v>0</v>
      </c>
      <c r="E764" s="1" t="s">
        <v>1949</v>
      </c>
    </row>
    <row r="765" customFormat="false" ht="15" hidden="false" customHeight="true" outlineLevel="0" collapsed="false">
      <c r="A765" s="1" t="n">
        <v>50774</v>
      </c>
      <c r="B765" s="3" t="n">
        <v>43990</v>
      </c>
      <c r="C765" s="1" t="n">
        <v>1289</v>
      </c>
      <c r="D765" s="4" t="n">
        <v>0</v>
      </c>
      <c r="E765" s="1" t="s">
        <v>1949</v>
      </c>
    </row>
    <row r="766" customFormat="false" ht="15" hidden="false" customHeight="true" outlineLevel="0" collapsed="false">
      <c r="A766" s="1" t="n">
        <v>51793</v>
      </c>
      <c r="B766" s="3" t="n">
        <v>43983</v>
      </c>
      <c r="C766" s="1" t="n">
        <v>967</v>
      </c>
      <c r="D766" s="4" t="n">
        <v>683</v>
      </c>
      <c r="E766" s="1" t="s">
        <v>1950</v>
      </c>
    </row>
    <row r="767" customFormat="false" ht="15" hidden="false" customHeight="true" outlineLevel="0" collapsed="false">
      <c r="A767" s="1" t="n">
        <v>51452</v>
      </c>
      <c r="B767" s="3" t="n">
        <v>44016</v>
      </c>
      <c r="C767" s="1" t="n">
        <v>1455</v>
      </c>
      <c r="D767" s="4" t="n">
        <v>676</v>
      </c>
      <c r="E767" s="1" t="s">
        <v>1950</v>
      </c>
    </row>
    <row r="768" customFormat="false" ht="15" hidden="false" customHeight="true" outlineLevel="0" collapsed="false">
      <c r="A768" s="1" t="n">
        <v>50502</v>
      </c>
      <c r="B768" s="3" t="n">
        <v>44018</v>
      </c>
      <c r="C768" s="1" t="n">
        <v>1015</v>
      </c>
      <c r="D768" s="4" t="n">
        <v>0</v>
      </c>
      <c r="E768" s="1" t="s">
        <v>1949</v>
      </c>
    </row>
    <row r="769" customFormat="false" ht="15" hidden="false" customHeight="true" outlineLevel="0" collapsed="false">
      <c r="A769" s="1" t="n">
        <v>50561</v>
      </c>
      <c r="B769" s="3" t="n">
        <v>44045</v>
      </c>
      <c r="C769" s="1" t="n">
        <v>1994</v>
      </c>
      <c r="D769" s="4" t="n">
        <v>0</v>
      </c>
      <c r="E769" s="1" t="s">
        <v>1949</v>
      </c>
    </row>
    <row r="770" customFormat="false" ht="15" hidden="false" customHeight="true" outlineLevel="0" collapsed="false">
      <c r="A770" s="1" t="n">
        <v>51425</v>
      </c>
      <c r="B770" s="3" t="n">
        <v>44033</v>
      </c>
      <c r="C770" s="1" t="n">
        <v>404</v>
      </c>
      <c r="D770" s="4" t="n">
        <v>798</v>
      </c>
      <c r="E770" s="1" t="s">
        <v>1950</v>
      </c>
    </row>
    <row r="771" customFormat="false" ht="15" hidden="false" customHeight="true" outlineLevel="0" collapsed="false">
      <c r="A771" s="1" t="n">
        <v>50304</v>
      </c>
      <c r="B771" s="3" t="n">
        <v>44072</v>
      </c>
      <c r="C771" s="1" t="n">
        <v>1140</v>
      </c>
      <c r="D771" s="4" t="n">
        <v>0</v>
      </c>
      <c r="E771" s="1" t="s">
        <v>1949</v>
      </c>
    </row>
    <row r="772" customFormat="false" ht="15" hidden="false" customHeight="true" outlineLevel="0" collapsed="false">
      <c r="A772" s="1" t="n">
        <v>50303</v>
      </c>
      <c r="B772" s="3" t="n">
        <v>43993</v>
      </c>
      <c r="C772" s="1" t="n">
        <v>349</v>
      </c>
      <c r="D772" s="4" t="n">
        <v>0</v>
      </c>
      <c r="E772" s="1" t="s">
        <v>1949</v>
      </c>
    </row>
    <row r="773" customFormat="false" ht="15" hidden="false" customHeight="true" outlineLevel="0" collapsed="false">
      <c r="A773" s="1" t="n">
        <v>50241</v>
      </c>
      <c r="B773" s="3" t="n">
        <v>43988</v>
      </c>
      <c r="C773" s="1" t="n">
        <v>231</v>
      </c>
      <c r="D773" s="4" t="n">
        <v>182</v>
      </c>
      <c r="E773" s="1" t="s">
        <v>1950</v>
      </c>
    </row>
    <row r="774" customFormat="false" ht="15" hidden="false" customHeight="true" outlineLevel="0" collapsed="false">
      <c r="A774" s="1" t="n">
        <v>51599</v>
      </c>
      <c r="B774" s="3" t="n">
        <v>44010</v>
      </c>
      <c r="C774" s="1" t="n">
        <v>1659</v>
      </c>
      <c r="D774" s="4" t="n">
        <v>488</v>
      </c>
      <c r="E774" s="1" t="s">
        <v>1950</v>
      </c>
    </row>
    <row r="775" customFormat="false" ht="15" hidden="false" customHeight="true" outlineLevel="0" collapsed="false">
      <c r="A775" s="1" t="n">
        <v>50588</v>
      </c>
      <c r="B775" s="3" t="n">
        <v>44042</v>
      </c>
      <c r="C775" s="1" t="n">
        <v>59</v>
      </c>
      <c r="D775" s="4" t="n">
        <v>688</v>
      </c>
      <c r="E775" s="1" t="s">
        <v>1950</v>
      </c>
    </row>
    <row r="776" customFormat="false" ht="15" hidden="false" customHeight="true" outlineLevel="0" collapsed="false">
      <c r="A776" s="1" t="n">
        <v>50036</v>
      </c>
      <c r="B776" s="3" t="n">
        <v>43992</v>
      </c>
      <c r="C776" s="1" t="n">
        <v>347</v>
      </c>
      <c r="D776" s="4" t="n">
        <v>0</v>
      </c>
      <c r="E776" s="1" t="s">
        <v>1949</v>
      </c>
    </row>
    <row r="777" customFormat="false" ht="15" hidden="false" customHeight="true" outlineLevel="0" collapsed="false">
      <c r="A777" s="1" t="n">
        <v>51622</v>
      </c>
      <c r="B777" s="3" t="n">
        <v>44055</v>
      </c>
      <c r="C777" s="1" t="n">
        <v>1415</v>
      </c>
      <c r="D777" s="4" t="n">
        <v>0</v>
      </c>
      <c r="E777" s="1" t="s">
        <v>1949</v>
      </c>
    </row>
    <row r="778" customFormat="false" ht="15" hidden="false" customHeight="true" outlineLevel="0" collapsed="false">
      <c r="A778" s="1" t="n">
        <v>50249</v>
      </c>
      <c r="B778" s="3" t="n">
        <v>44052</v>
      </c>
      <c r="C778" s="1" t="n">
        <v>1598</v>
      </c>
      <c r="D778" s="4" t="n">
        <v>0</v>
      </c>
      <c r="E778" s="1" t="s">
        <v>1949</v>
      </c>
    </row>
    <row r="779" customFormat="false" ht="15" hidden="false" customHeight="true" outlineLevel="0" collapsed="false">
      <c r="A779" s="1" t="n">
        <v>51262</v>
      </c>
      <c r="B779" s="3" t="n">
        <v>43991</v>
      </c>
      <c r="C779" s="1" t="n">
        <v>1058</v>
      </c>
      <c r="D779" s="4" t="n">
        <v>0</v>
      </c>
      <c r="E779" s="1" t="s">
        <v>1949</v>
      </c>
    </row>
    <row r="780" customFormat="false" ht="15" hidden="false" customHeight="true" outlineLevel="0" collapsed="false">
      <c r="A780" s="1" t="n">
        <v>51940</v>
      </c>
      <c r="B780" s="3" t="n">
        <v>44008</v>
      </c>
      <c r="C780" s="1" t="n">
        <v>1488</v>
      </c>
      <c r="D780" s="4" t="n">
        <v>0</v>
      </c>
      <c r="E780" s="1" t="s">
        <v>1949</v>
      </c>
    </row>
    <row r="781" customFormat="false" ht="15" hidden="false" customHeight="true" outlineLevel="0" collapsed="false">
      <c r="A781" s="1" t="n">
        <v>51819</v>
      </c>
      <c r="B781" s="3" t="n">
        <v>44061</v>
      </c>
      <c r="C781" s="1" t="n">
        <v>510</v>
      </c>
      <c r="D781" s="4" t="n">
        <v>0</v>
      </c>
      <c r="E781" s="1" t="s">
        <v>1949</v>
      </c>
    </row>
    <row r="782" customFormat="false" ht="15" hidden="false" customHeight="true" outlineLevel="0" collapsed="false">
      <c r="A782" s="1" t="n">
        <v>50452</v>
      </c>
      <c r="B782" s="3" t="n">
        <v>44048</v>
      </c>
      <c r="C782" s="1" t="n">
        <v>1952</v>
      </c>
      <c r="D782" s="4" t="n">
        <v>657</v>
      </c>
      <c r="E782" s="1" t="s">
        <v>1950</v>
      </c>
    </row>
    <row r="783" customFormat="false" ht="15" hidden="false" customHeight="true" outlineLevel="0" collapsed="false">
      <c r="A783" s="1" t="n">
        <v>50675</v>
      </c>
      <c r="B783" s="3" t="n">
        <v>43988</v>
      </c>
      <c r="C783" s="1" t="n">
        <v>1030</v>
      </c>
      <c r="D783" s="4" t="n">
        <v>342</v>
      </c>
      <c r="E783" s="1" t="s">
        <v>1950</v>
      </c>
    </row>
    <row r="784" customFormat="false" ht="15" hidden="false" customHeight="true" outlineLevel="0" collapsed="false">
      <c r="A784" s="1" t="n">
        <v>50662</v>
      </c>
      <c r="B784" s="3" t="n">
        <v>44067</v>
      </c>
      <c r="C784" s="1" t="n">
        <v>1939</v>
      </c>
      <c r="D784" s="4" t="n">
        <v>325</v>
      </c>
      <c r="E784" s="1" t="s">
        <v>1950</v>
      </c>
    </row>
    <row r="785" customFormat="false" ht="15" hidden="false" customHeight="true" outlineLevel="0" collapsed="false">
      <c r="A785" s="1" t="n">
        <v>51229</v>
      </c>
      <c r="B785" s="3" t="n">
        <v>44008</v>
      </c>
      <c r="C785" s="1" t="n">
        <v>1499</v>
      </c>
      <c r="D785" s="4" t="n">
        <v>0</v>
      </c>
      <c r="E785" s="1" t="s">
        <v>1949</v>
      </c>
    </row>
    <row r="786" customFormat="false" ht="15" hidden="false" customHeight="true" outlineLevel="0" collapsed="false">
      <c r="A786" s="1" t="n">
        <v>50974</v>
      </c>
      <c r="B786" s="3" t="n">
        <v>44018</v>
      </c>
      <c r="C786" s="1" t="n">
        <v>221</v>
      </c>
      <c r="D786" s="4" t="n">
        <v>139</v>
      </c>
      <c r="E786" s="1" t="s">
        <v>1950</v>
      </c>
    </row>
    <row r="787" customFormat="false" ht="15" hidden="false" customHeight="true" outlineLevel="0" collapsed="false">
      <c r="A787" s="1" t="n">
        <v>50577</v>
      </c>
      <c r="B787" s="3" t="n">
        <v>43984</v>
      </c>
      <c r="C787" s="1" t="n">
        <v>246</v>
      </c>
      <c r="D787" s="4" t="n">
        <v>386</v>
      </c>
      <c r="E787" s="1" t="s">
        <v>1950</v>
      </c>
    </row>
    <row r="788" customFormat="false" ht="15" hidden="false" customHeight="true" outlineLevel="0" collapsed="false">
      <c r="A788" s="1" t="n">
        <v>51418</v>
      </c>
      <c r="B788" s="3" t="n">
        <v>44027</v>
      </c>
      <c r="C788" s="1" t="n">
        <v>948</v>
      </c>
      <c r="D788" s="4" t="n">
        <v>0</v>
      </c>
      <c r="E788" s="1" t="s">
        <v>1949</v>
      </c>
    </row>
    <row r="789" customFormat="false" ht="15" hidden="false" customHeight="true" outlineLevel="0" collapsed="false">
      <c r="A789" s="1" t="n">
        <v>50247</v>
      </c>
      <c r="B789" s="3" t="n">
        <v>44019</v>
      </c>
      <c r="C789" s="1" t="n">
        <v>838</v>
      </c>
      <c r="D789" s="4" t="n">
        <v>373</v>
      </c>
      <c r="E789" s="1" t="s">
        <v>1950</v>
      </c>
    </row>
    <row r="790" customFormat="false" ht="15" hidden="false" customHeight="true" outlineLevel="0" collapsed="false">
      <c r="A790" s="1" t="n">
        <v>50785</v>
      </c>
      <c r="B790" s="3" t="n">
        <v>44050</v>
      </c>
      <c r="C790" s="1" t="n">
        <v>873</v>
      </c>
      <c r="D790" s="4" t="n">
        <v>239</v>
      </c>
      <c r="E790" s="1" t="s">
        <v>1950</v>
      </c>
    </row>
    <row r="791" customFormat="false" ht="15" hidden="false" customHeight="true" outlineLevel="0" collapsed="false">
      <c r="A791" s="1" t="n">
        <v>51589</v>
      </c>
      <c r="B791" s="3" t="n">
        <v>44021</v>
      </c>
      <c r="C791" s="1" t="n">
        <v>1669</v>
      </c>
      <c r="D791" s="4" t="n">
        <v>657</v>
      </c>
      <c r="E791" s="1" t="s">
        <v>1950</v>
      </c>
    </row>
    <row r="792" customFormat="false" ht="15" hidden="false" customHeight="true" outlineLevel="0" collapsed="false">
      <c r="A792" s="1" t="n">
        <v>51493</v>
      </c>
      <c r="B792" s="3" t="n">
        <v>44000</v>
      </c>
      <c r="C792" s="1" t="n">
        <v>1710</v>
      </c>
      <c r="D792" s="4" t="n">
        <v>735</v>
      </c>
      <c r="E792" s="1" t="s">
        <v>1950</v>
      </c>
    </row>
    <row r="793" customFormat="false" ht="15" hidden="false" customHeight="true" outlineLevel="0" collapsed="false">
      <c r="A793" s="1" t="n">
        <v>51747</v>
      </c>
      <c r="B793" s="3" t="n">
        <v>44061</v>
      </c>
      <c r="C793" s="1" t="n">
        <v>688</v>
      </c>
      <c r="D793" s="4" t="n">
        <v>0</v>
      </c>
      <c r="E793" s="1" t="s">
        <v>1949</v>
      </c>
    </row>
    <row r="794" customFormat="false" ht="15" hidden="false" customHeight="true" outlineLevel="0" collapsed="false">
      <c r="A794" s="1" t="n">
        <v>50262</v>
      </c>
      <c r="B794" s="3" t="n">
        <v>43994</v>
      </c>
      <c r="C794" s="1" t="n">
        <v>294</v>
      </c>
      <c r="D794" s="4" t="n">
        <v>524</v>
      </c>
      <c r="E794" s="1" t="s">
        <v>1950</v>
      </c>
    </row>
    <row r="795" customFormat="false" ht="15" hidden="false" customHeight="true" outlineLevel="0" collapsed="false">
      <c r="A795" s="1" t="n">
        <v>51535</v>
      </c>
      <c r="B795" s="3" t="n">
        <v>44009</v>
      </c>
      <c r="C795" s="1" t="n">
        <v>1329</v>
      </c>
      <c r="D795" s="4" t="n">
        <v>722</v>
      </c>
      <c r="E795" s="1" t="s">
        <v>1950</v>
      </c>
    </row>
    <row r="796" customFormat="false" ht="15" hidden="false" customHeight="true" outlineLevel="0" collapsed="false">
      <c r="A796" s="1" t="n">
        <v>50486</v>
      </c>
      <c r="B796" s="3" t="n">
        <v>44062</v>
      </c>
      <c r="C796" s="1" t="n">
        <v>791</v>
      </c>
      <c r="D796" s="4" t="n">
        <v>0</v>
      </c>
      <c r="E796" s="1" t="s">
        <v>1949</v>
      </c>
    </row>
    <row r="797" customFormat="false" ht="15" hidden="false" customHeight="true" outlineLevel="0" collapsed="false">
      <c r="A797" s="1" t="n">
        <v>51353</v>
      </c>
      <c r="B797" s="3" t="n">
        <v>44043</v>
      </c>
      <c r="C797" s="1" t="n">
        <v>199</v>
      </c>
      <c r="D797" s="4" t="n">
        <v>712</v>
      </c>
      <c r="E797" s="1" t="s">
        <v>1950</v>
      </c>
    </row>
    <row r="798" customFormat="false" ht="15" hidden="false" customHeight="true" outlineLevel="0" collapsed="false">
      <c r="A798" s="1" t="n">
        <v>50385</v>
      </c>
      <c r="B798" s="3" t="n">
        <v>44067</v>
      </c>
      <c r="C798" s="1" t="n">
        <v>1263</v>
      </c>
      <c r="D798" s="4" t="n">
        <v>0</v>
      </c>
      <c r="E798" s="1" t="s">
        <v>1949</v>
      </c>
    </row>
    <row r="799" customFormat="false" ht="15" hidden="false" customHeight="true" outlineLevel="0" collapsed="false">
      <c r="A799" s="1" t="n">
        <v>51860</v>
      </c>
      <c r="B799" s="3" t="n">
        <v>44055</v>
      </c>
      <c r="C799" s="1" t="n">
        <v>1352</v>
      </c>
      <c r="D799" s="4" t="n">
        <v>245</v>
      </c>
      <c r="E799" s="1" t="s">
        <v>1950</v>
      </c>
    </row>
    <row r="800" customFormat="false" ht="15" hidden="false" customHeight="true" outlineLevel="0" collapsed="false">
      <c r="A800" s="1" t="n">
        <v>51692</v>
      </c>
      <c r="B800" s="3" t="n">
        <v>43984</v>
      </c>
      <c r="C800" s="1" t="n">
        <v>1516</v>
      </c>
      <c r="D800" s="4" t="n">
        <v>0</v>
      </c>
      <c r="E800" s="1" t="s">
        <v>1949</v>
      </c>
    </row>
    <row r="801" customFormat="false" ht="15" hidden="false" customHeight="true" outlineLevel="0" collapsed="false">
      <c r="A801" s="1" t="n">
        <v>51554</v>
      </c>
      <c r="B801" s="3" t="n">
        <v>44039</v>
      </c>
      <c r="C801" s="1" t="n">
        <v>1397</v>
      </c>
      <c r="D801" s="4" t="n">
        <v>0</v>
      </c>
      <c r="E801" s="1" t="s">
        <v>1949</v>
      </c>
    </row>
    <row r="802" customFormat="false" ht="15" hidden="false" customHeight="true" outlineLevel="0" collapsed="false">
      <c r="A802" s="1" t="n">
        <v>51170</v>
      </c>
      <c r="B802" s="3" t="n">
        <v>43982</v>
      </c>
      <c r="C802" s="1" t="n">
        <v>1846</v>
      </c>
      <c r="D802" s="4" t="n">
        <v>0</v>
      </c>
      <c r="E802" s="1" t="s">
        <v>1949</v>
      </c>
    </row>
    <row r="803" customFormat="false" ht="15" hidden="false" customHeight="true" outlineLevel="0" collapsed="false">
      <c r="A803" s="1" t="n">
        <v>50394</v>
      </c>
      <c r="B803" s="3" t="n">
        <v>44004</v>
      </c>
      <c r="C803" s="1" t="n">
        <v>1656</v>
      </c>
      <c r="D803" s="4" t="n">
        <v>298</v>
      </c>
      <c r="E803" s="1" t="s">
        <v>1950</v>
      </c>
    </row>
    <row r="804" customFormat="false" ht="15" hidden="false" customHeight="true" outlineLevel="0" collapsed="false">
      <c r="A804" s="1" t="n">
        <v>51403</v>
      </c>
      <c r="B804" s="3" t="n">
        <v>44066</v>
      </c>
      <c r="C804" s="1" t="n">
        <v>428</v>
      </c>
      <c r="D804" s="4" t="n">
        <v>0</v>
      </c>
      <c r="E804" s="1" t="s">
        <v>1949</v>
      </c>
    </row>
    <row r="805" customFormat="false" ht="15" hidden="false" customHeight="true" outlineLevel="0" collapsed="false">
      <c r="A805" s="1" t="n">
        <v>50233</v>
      </c>
      <c r="B805" s="3" t="n">
        <v>44063</v>
      </c>
      <c r="C805" s="1" t="n">
        <v>1658</v>
      </c>
      <c r="D805" s="4" t="n">
        <v>486</v>
      </c>
      <c r="E805" s="1" t="s">
        <v>1950</v>
      </c>
    </row>
    <row r="806" customFormat="false" ht="15" hidden="false" customHeight="true" outlineLevel="0" collapsed="false">
      <c r="A806" s="1" t="n">
        <v>51978</v>
      </c>
      <c r="B806" s="3" t="n">
        <v>44022</v>
      </c>
      <c r="C806" s="1" t="n">
        <v>635</v>
      </c>
      <c r="D806" s="4" t="n">
        <v>0</v>
      </c>
      <c r="E806" s="1" t="s">
        <v>1949</v>
      </c>
    </row>
    <row r="807" customFormat="false" ht="15" hidden="false" customHeight="true" outlineLevel="0" collapsed="false">
      <c r="A807" s="1" t="n">
        <v>51071</v>
      </c>
      <c r="B807" s="3" t="n">
        <v>44055</v>
      </c>
      <c r="C807" s="1" t="n">
        <v>374</v>
      </c>
      <c r="D807" s="4" t="n">
        <v>746</v>
      </c>
      <c r="E807" s="1" t="s">
        <v>1950</v>
      </c>
    </row>
    <row r="808" customFormat="false" ht="15" hidden="false" customHeight="true" outlineLevel="0" collapsed="false">
      <c r="A808" s="1" t="n">
        <v>51265</v>
      </c>
      <c r="B808" s="3" t="n">
        <v>43997</v>
      </c>
      <c r="C808" s="1" t="n">
        <v>202</v>
      </c>
      <c r="D808" s="4" t="n">
        <v>398</v>
      </c>
      <c r="E808" s="1" t="s">
        <v>1950</v>
      </c>
    </row>
    <row r="809" customFormat="false" ht="15" hidden="false" customHeight="true" outlineLevel="0" collapsed="false">
      <c r="A809" s="1" t="n">
        <v>51397</v>
      </c>
      <c r="B809" s="3" t="n">
        <v>44070</v>
      </c>
      <c r="C809" s="1" t="n">
        <v>1781</v>
      </c>
      <c r="D809" s="4" t="n">
        <v>0</v>
      </c>
      <c r="E809" s="1" t="s">
        <v>1949</v>
      </c>
    </row>
    <row r="810" customFormat="false" ht="15" hidden="false" customHeight="true" outlineLevel="0" collapsed="false">
      <c r="A810" s="1" t="n">
        <v>51393</v>
      </c>
      <c r="B810" s="3" t="n">
        <v>44062</v>
      </c>
      <c r="C810" s="1" t="n">
        <v>1486</v>
      </c>
      <c r="D810" s="4" t="n">
        <v>0</v>
      </c>
      <c r="E810" s="1" t="s">
        <v>1949</v>
      </c>
    </row>
    <row r="811" customFormat="false" ht="15" hidden="false" customHeight="true" outlineLevel="0" collapsed="false">
      <c r="A811" s="1" t="n">
        <v>51052</v>
      </c>
      <c r="B811" s="3" t="n">
        <v>44035</v>
      </c>
      <c r="C811" s="1" t="n">
        <v>1604</v>
      </c>
      <c r="D811" s="4" t="n">
        <v>0</v>
      </c>
      <c r="E811" s="1" t="s">
        <v>1949</v>
      </c>
    </row>
    <row r="812" customFormat="false" ht="15" hidden="false" customHeight="true" outlineLevel="0" collapsed="false">
      <c r="A812" s="1" t="n">
        <v>50487</v>
      </c>
      <c r="B812" s="3" t="n">
        <v>44063</v>
      </c>
      <c r="C812" s="1" t="n">
        <v>1615</v>
      </c>
      <c r="D812" s="4" t="n">
        <v>743</v>
      </c>
      <c r="E812" s="1" t="s">
        <v>1950</v>
      </c>
    </row>
    <row r="813" customFormat="false" ht="15" hidden="false" customHeight="true" outlineLevel="0" collapsed="false">
      <c r="A813" s="1" t="n">
        <v>51697</v>
      </c>
      <c r="B813" s="3" t="n">
        <v>44062</v>
      </c>
      <c r="C813" s="1" t="n">
        <v>220</v>
      </c>
      <c r="D813" s="4" t="n">
        <v>620</v>
      </c>
      <c r="E813" s="1" t="s">
        <v>1950</v>
      </c>
    </row>
    <row r="814" customFormat="false" ht="15" hidden="false" customHeight="true" outlineLevel="0" collapsed="false">
      <c r="A814" s="1" t="n">
        <v>50752</v>
      </c>
      <c r="B814" s="3" t="n">
        <v>44045</v>
      </c>
      <c r="C814" s="1" t="n">
        <v>1428</v>
      </c>
      <c r="D814" s="4" t="n">
        <v>0</v>
      </c>
      <c r="E814" s="1" t="s">
        <v>1949</v>
      </c>
    </row>
    <row r="815" customFormat="false" ht="15" hidden="false" customHeight="true" outlineLevel="0" collapsed="false">
      <c r="A815" s="1" t="n">
        <v>50991</v>
      </c>
      <c r="B815" s="3" t="n">
        <v>44041</v>
      </c>
      <c r="C815" s="1" t="n">
        <v>1800</v>
      </c>
      <c r="D815" s="4" t="n">
        <v>727</v>
      </c>
      <c r="E815" s="1" t="s">
        <v>1950</v>
      </c>
    </row>
    <row r="816" customFormat="false" ht="15" hidden="false" customHeight="true" outlineLevel="0" collapsed="false">
      <c r="A816" s="1" t="n">
        <v>50109</v>
      </c>
      <c r="B816" s="3" t="n">
        <v>44025</v>
      </c>
      <c r="C816" s="1" t="n">
        <v>977</v>
      </c>
      <c r="D816" s="4" t="n">
        <v>522</v>
      </c>
      <c r="E816" s="1" t="s">
        <v>1950</v>
      </c>
    </row>
    <row r="817" customFormat="false" ht="15" hidden="false" customHeight="true" outlineLevel="0" collapsed="false">
      <c r="A817" s="1" t="n">
        <v>50632</v>
      </c>
      <c r="B817" s="3" t="n">
        <v>44065</v>
      </c>
      <c r="C817" s="1" t="n">
        <v>1836</v>
      </c>
      <c r="D817" s="4" t="n">
        <v>0</v>
      </c>
      <c r="E817" s="1" t="s">
        <v>1949</v>
      </c>
    </row>
    <row r="818" customFormat="false" ht="15" hidden="false" customHeight="true" outlineLevel="0" collapsed="false">
      <c r="A818" s="1" t="n">
        <v>50481</v>
      </c>
      <c r="B818" s="3" t="n">
        <v>43984</v>
      </c>
      <c r="C818" s="1" t="n">
        <v>410</v>
      </c>
      <c r="D818" s="4" t="n">
        <v>0</v>
      </c>
      <c r="E818" s="1" t="s">
        <v>1949</v>
      </c>
    </row>
    <row r="819" customFormat="false" ht="15" hidden="false" customHeight="true" outlineLevel="0" collapsed="false">
      <c r="A819" s="1" t="n">
        <v>51850</v>
      </c>
      <c r="B819" s="3" t="n">
        <v>43999</v>
      </c>
      <c r="C819" s="1" t="n">
        <v>858</v>
      </c>
      <c r="D819" s="4" t="n">
        <v>0</v>
      </c>
      <c r="E819" s="1" t="s">
        <v>1949</v>
      </c>
    </row>
    <row r="820" customFormat="false" ht="15" hidden="false" customHeight="true" outlineLevel="0" collapsed="false">
      <c r="A820" s="1" t="n">
        <v>50445</v>
      </c>
      <c r="B820" s="3" t="n">
        <v>44052</v>
      </c>
      <c r="C820" s="1" t="n">
        <v>981</v>
      </c>
      <c r="D820" s="4" t="n">
        <v>417</v>
      </c>
      <c r="E820" s="1" t="s">
        <v>1950</v>
      </c>
    </row>
    <row r="821" customFormat="false" ht="15" hidden="false" customHeight="true" outlineLevel="0" collapsed="false">
      <c r="A821" s="1" t="n">
        <v>51280</v>
      </c>
      <c r="B821" s="3" t="n">
        <v>44049</v>
      </c>
      <c r="C821" s="1" t="n">
        <v>825</v>
      </c>
      <c r="D821" s="4" t="n">
        <v>341</v>
      </c>
      <c r="E821" s="1" t="s">
        <v>1950</v>
      </c>
    </row>
    <row r="822" customFormat="false" ht="15" hidden="false" customHeight="true" outlineLevel="0" collapsed="false">
      <c r="A822" s="1" t="n">
        <v>50696</v>
      </c>
      <c r="B822" s="3" t="n">
        <v>44039</v>
      </c>
      <c r="C822" s="1" t="n">
        <v>590</v>
      </c>
      <c r="D822" s="4" t="n">
        <v>0</v>
      </c>
      <c r="E822" s="1" t="s">
        <v>1949</v>
      </c>
    </row>
    <row r="823" customFormat="false" ht="15" hidden="false" customHeight="true" outlineLevel="0" collapsed="false">
      <c r="A823" s="1" t="n">
        <v>50250</v>
      </c>
      <c r="B823" s="3" t="n">
        <v>44001</v>
      </c>
      <c r="C823" s="1" t="n">
        <v>157</v>
      </c>
      <c r="D823" s="4" t="n">
        <v>0</v>
      </c>
      <c r="E823" s="1" t="s">
        <v>1949</v>
      </c>
    </row>
    <row r="824" customFormat="false" ht="15" hidden="false" customHeight="true" outlineLevel="0" collapsed="false">
      <c r="A824" s="1" t="n">
        <v>50184</v>
      </c>
      <c r="B824" s="3" t="n">
        <v>44057</v>
      </c>
      <c r="C824" s="1" t="n">
        <v>166</v>
      </c>
      <c r="D824" s="4" t="n">
        <v>191</v>
      </c>
      <c r="E824" s="1" t="s">
        <v>1950</v>
      </c>
    </row>
    <row r="825" customFormat="false" ht="15" hidden="false" customHeight="true" outlineLevel="0" collapsed="false">
      <c r="A825" s="1" t="n">
        <v>51617</v>
      </c>
      <c r="B825" s="3" t="n">
        <v>44014</v>
      </c>
      <c r="C825" s="1" t="n">
        <v>553</v>
      </c>
      <c r="D825" s="4" t="n">
        <v>0</v>
      </c>
      <c r="E825" s="1" t="s">
        <v>1949</v>
      </c>
    </row>
    <row r="826" customFormat="false" ht="15" hidden="false" customHeight="true" outlineLevel="0" collapsed="false">
      <c r="A826" s="1" t="n">
        <v>50521</v>
      </c>
      <c r="B826" s="3" t="n">
        <v>44032</v>
      </c>
      <c r="C826" s="1" t="n">
        <v>147</v>
      </c>
      <c r="D826" s="4" t="n">
        <v>364</v>
      </c>
      <c r="E826" s="1" t="s">
        <v>1950</v>
      </c>
    </row>
    <row r="827" customFormat="false" ht="15" hidden="false" customHeight="true" outlineLevel="0" collapsed="false">
      <c r="A827" s="1" t="n">
        <v>50085</v>
      </c>
      <c r="B827" s="3" t="n">
        <v>44036</v>
      </c>
      <c r="C827" s="1" t="n">
        <v>1647</v>
      </c>
      <c r="D827" s="4" t="n">
        <v>689</v>
      </c>
      <c r="E827" s="1" t="s">
        <v>1950</v>
      </c>
    </row>
    <row r="828" customFormat="false" ht="15" hidden="false" customHeight="true" outlineLevel="0" collapsed="false">
      <c r="A828" s="1" t="n">
        <v>51499</v>
      </c>
      <c r="B828" s="3" t="n">
        <v>44019</v>
      </c>
      <c r="C828" s="1" t="n">
        <v>904</v>
      </c>
      <c r="D828" s="4" t="n">
        <v>0</v>
      </c>
      <c r="E828" s="1" t="s">
        <v>1949</v>
      </c>
    </row>
    <row r="829" customFormat="false" ht="15" hidden="false" customHeight="true" outlineLevel="0" collapsed="false">
      <c r="A829" s="1" t="n">
        <v>50197</v>
      </c>
      <c r="B829" s="3" t="n">
        <v>44026</v>
      </c>
      <c r="C829" s="1" t="n">
        <v>1904</v>
      </c>
      <c r="D829" s="4" t="n">
        <v>0</v>
      </c>
      <c r="E829" s="1" t="s">
        <v>1949</v>
      </c>
    </row>
    <row r="830" customFormat="false" ht="15" hidden="false" customHeight="true" outlineLevel="0" collapsed="false">
      <c r="A830" s="1" t="n">
        <v>50911</v>
      </c>
      <c r="B830" s="3" t="n">
        <v>44053</v>
      </c>
      <c r="C830" s="1" t="n">
        <v>954</v>
      </c>
      <c r="D830" s="4" t="n">
        <v>0</v>
      </c>
      <c r="E830" s="1" t="s">
        <v>1949</v>
      </c>
    </row>
    <row r="831" customFormat="false" ht="15" hidden="false" customHeight="true" outlineLevel="0" collapsed="false">
      <c r="A831" s="1" t="n">
        <v>51552</v>
      </c>
      <c r="B831" s="3" t="n">
        <v>44007</v>
      </c>
      <c r="C831" s="1" t="n">
        <v>1124</v>
      </c>
      <c r="D831" s="4" t="n">
        <v>536</v>
      </c>
      <c r="E831" s="1" t="s">
        <v>1950</v>
      </c>
    </row>
    <row r="832" customFormat="false" ht="15" hidden="false" customHeight="true" outlineLevel="0" collapsed="false">
      <c r="A832" s="1" t="n">
        <v>51820</v>
      </c>
      <c r="B832" s="3" t="n">
        <v>44023</v>
      </c>
      <c r="C832" s="1" t="n">
        <v>1635</v>
      </c>
      <c r="D832" s="4" t="n">
        <v>0</v>
      </c>
      <c r="E832" s="1" t="s">
        <v>1949</v>
      </c>
    </row>
    <row r="833" customFormat="false" ht="15" hidden="false" customHeight="true" outlineLevel="0" collapsed="false">
      <c r="A833" s="1" t="n">
        <v>51931</v>
      </c>
      <c r="B833" s="3" t="n">
        <v>44049</v>
      </c>
      <c r="C833" s="1" t="n">
        <v>699</v>
      </c>
      <c r="D833" s="4" t="n">
        <v>118</v>
      </c>
      <c r="E833" s="1" t="s">
        <v>1950</v>
      </c>
    </row>
    <row r="834" customFormat="false" ht="15" hidden="false" customHeight="true" outlineLevel="0" collapsed="false">
      <c r="A834" s="1" t="n">
        <v>51703</v>
      </c>
      <c r="B834" s="3" t="n">
        <v>44027</v>
      </c>
      <c r="C834" s="1" t="n">
        <v>1076</v>
      </c>
      <c r="D834" s="4" t="n">
        <v>723</v>
      </c>
      <c r="E834" s="1" t="s">
        <v>1950</v>
      </c>
    </row>
    <row r="835" customFormat="false" ht="15" hidden="false" customHeight="true" outlineLevel="0" collapsed="false">
      <c r="A835" s="1" t="n">
        <v>51545</v>
      </c>
      <c r="B835" s="3" t="n">
        <v>44011</v>
      </c>
      <c r="C835" s="1" t="n">
        <v>1576</v>
      </c>
      <c r="D835" s="4" t="n">
        <v>882</v>
      </c>
      <c r="E835" s="1" t="s">
        <v>1950</v>
      </c>
    </row>
    <row r="836" customFormat="false" ht="15" hidden="false" customHeight="true" outlineLevel="0" collapsed="false">
      <c r="A836" s="1" t="n">
        <v>51049</v>
      </c>
      <c r="B836" s="3" t="n">
        <v>44041</v>
      </c>
      <c r="C836" s="1" t="n">
        <v>1381</v>
      </c>
      <c r="D836" s="4" t="n">
        <v>483</v>
      </c>
      <c r="E836" s="1" t="s">
        <v>1950</v>
      </c>
    </row>
    <row r="837" customFormat="false" ht="15" hidden="false" customHeight="true" outlineLevel="0" collapsed="false">
      <c r="A837" s="1" t="n">
        <v>50016</v>
      </c>
      <c r="B837" s="3" t="n">
        <v>44060</v>
      </c>
      <c r="C837" s="1" t="n">
        <v>1308</v>
      </c>
      <c r="D837" s="4" t="n">
        <v>818</v>
      </c>
      <c r="E837" s="1" t="s">
        <v>1950</v>
      </c>
    </row>
    <row r="838" customFormat="false" ht="15" hidden="false" customHeight="true" outlineLevel="0" collapsed="false">
      <c r="A838" s="1" t="n">
        <v>51428</v>
      </c>
      <c r="B838" s="3" t="n">
        <v>43989</v>
      </c>
      <c r="C838" s="1" t="n">
        <v>205</v>
      </c>
      <c r="D838" s="4" t="n">
        <v>452</v>
      </c>
      <c r="E838" s="1" t="s">
        <v>1950</v>
      </c>
    </row>
    <row r="839" customFormat="false" ht="15" hidden="false" customHeight="true" outlineLevel="0" collapsed="false">
      <c r="A839" s="1" t="n">
        <v>50438</v>
      </c>
      <c r="B839" s="3" t="n">
        <v>43982</v>
      </c>
      <c r="C839" s="1" t="n">
        <v>1011</v>
      </c>
      <c r="D839" s="4" t="n">
        <v>0</v>
      </c>
      <c r="E839" s="1" t="s">
        <v>1949</v>
      </c>
    </row>
    <row r="840" customFormat="false" ht="15" hidden="false" customHeight="true" outlineLevel="0" collapsed="false">
      <c r="A840" s="1" t="n">
        <v>51413</v>
      </c>
      <c r="B840" s="3" t="n">
        <v>44027</v>
      </c>
      <c r="C840" s="1" t="n">
        <v>1426</v>
      </c>
      <c r="D840" s="4" t="n">
        <v>609</v>
      </c>
      <c r="E840" s="1" t="s">
        <v>1950</v>
      </c>
    </row>
    <row r="841" customFormat="false" ht="15" hidden="false" customHeight="true" outlineLevel="0" collapsed="false">
      <c r="A841" s="1" t="n">
        <v>50965</v>
      </c>
      <c r="B841" s="3" t="n">
        <v>44002</v>
      </c>
      <c r="C841" s="1" t="n">
        <v>1949</v>
      </c>
      <c r="D841" s="4" t="n">
        <v>0</v>
      </c>
      <c r="E841" s="1" t="s">
        <v>1949</v>
      </c>
    </row>
    <row r="842" customFormat="false" ht="15" hidden="false" customHeight="true" outlineLevel="0" collapsed="false">
      <c r="A842" s="1" t="n">
        <v>50112</v>
      </c>
      <c r="B842" s="3" t="n">
        <v>44058</v>
      </c>
      <c r="C842" s="1" t="n">
        <v>625</v>
      </c>
      <c r="D842" s="4" t="n">
        <v>0</v>
      </c>
      <c r="E842" s="1" t="s">
        <v>1949</v>
      </c>
    </row>
    <row r="843" customFormat="false" ht="15" hidden="false" customHeight="true" outlineLevel="0" collapsed="false">
      <c r="A843" s="1" t="n">
        <v>50413</v>
      </c>
      <c r="B843" s="3" t="n">
        <v>44029</v>
      </c>
      <c r="C843" s="1" t="n">
        <v>1857</v>
      </c>
      <c r="D843" s="4" t="n">
        <v>0</v>
      </c>
      <c r="E843" s="1" t="s">
        <v>1949</v>
      </c>
    </row>
    <row r="844" customFormat="false" ht="15" hidden="false" customHeight="true" outlineLevel="0" collapsed="false">
      <c r="A844" s="1" t="n">
        <v>51174</v>
      </c>
      <c r="B844" s="3" t="n">
        <v>44042</v>
      </c>
      <c r="C844" s="1" t="n">
        <v>1473</v>
      </c>
      <c r="D844" s="4" t="n">
        <v>297</v>
      </c>
      <c r="E844" s="1" t="s">
        <v>1950</v>
      </c>
    </row>
    <row r="845" customFormat="false" ht="15" hidden="false" customHeight="true" outlineLevel="0" collapsed="false">
      <c r="A845" s="1" t="n">
        <v>50684</v>
      </c>
      <c r="B845" s="3" t="n">
        <v>44012</v>
      </c>
      <c r="C845" s="1" t="n">
        <v>437</v>
      </c>
      <c r="D845" s="4" t="n">
        <v>866</v>
      </c>
      <c r="E845" s="1" t="s">
        <v>1950</v>
      </c>
    </row>
    <row r="846" customFormat="false" ht="15" hidden="false" customHeight="true" outlineLevel="0" collapsed="false">
      <c r="A846" s="1" t="n">
        <v>50639</v>
      </c>
      <c r="B846" s="3" t="n">
        <v>44027</v>
      </c>
      <c r="C846" s="1" t="n">
        <v>603</v>
      </c>
      <c r="D846" s="4" t="n">
        <v>0</v>
      </c>
      <c r="E846" s="1" t="s">
        <v>1949</v>
      </c>
    </row>
    <row r="847" customFormat="false" ht="15" hidden="false" customHeight="true" outlineLevel="0" collapsed="false">
      <c r="A847" s="1" t="n">
        <v>50187</v>
      </c>
      <c r="B847" s="3" t="n">
        <v>44017</v>
      </c>
      <c r="C847" s="1" t="n">
        <v>215</v>
      </c>
      <c r="D847" s="4" t="n">
        <v>289</v>
      </c>
      <c r="E847" s="1" t="s">
        <v>1950</v>
      </c>
    </row>
    <row r="848" customFormat="false" ht="15" hidden="false" customHeight="true" outlineLevel="0" collapsed="false">
      <c r="A848" s="1" t="n">
        <v>50828</v>
      </c>
      <c r="B848" s="3" t="n">
        <v>44006</v>
      </c>
      <c r="C848" s="1" t="n">
        <v>1033</v>
      </c>
      <c r="D848" s="4" t="n">
        <v>0</v>
      </c>
      <c r="E848" s="1" t="s">
        <v>1949</v>
      </c>
    </row>
    <row r="849" customFormat="false" ht="15" hidden="false" customHeight="true" outlineLevel="0" collapsed="false">
      <c r="A849" s="1" t="n">
        <v>50208</v>
      </c>
      <c r="B849" s="3" t="n">
        <v>44050</v>
      </c>
      <c r="C849" s="1" t="n">
        <v>1790</v>
      </c>
      <c r="D849" s="4" t="n">
        <v>0</v>
      </c>
      <c r="E849" s="1" t="s">
        <v>1949</v>
      </c>
    </row>
    <row r="850" customFormat="false" ht="15" hidden="false" customHeight="true" outlineLevel="0" collapsed="false">
      <c r="A850" s="1" t="n">
        <v>50995</v>
      </c>
      <c r="B850" s="3" t="n">
        <v>44056</v>
      </c>
      <c r="C850" s="1" t="n">
        <v>1038</v>
      </c>
      <c r="D850" s="4" t="n">
        <v>0</v>
      </c>
      <c r="E850" s="1" t="s">
        <v>1949</v>
      </c>
    </row>
    <row r="851" customFormat="false" ht="15" hidden="false" customHeight="true" outlineLevel="0" collapsed="false">
      <c r="A851" s="1" t="n">
        <v>51082</v>
      </c>
      <c r="B851" s="3" t="n">
        <v>43984</v>
      </c>
      <c r="C851" s="1" t="n">
        <v>971</v>
      </c>
      <c r="D851" s="4" t="n">
        <v>244</v>
      </c>
      <c r="E851" s="1" t="s">
        <v>1950</v>
      </c>
    </row>
    <row r="852" customFormat="false" ht="15" hidden="false" customHeight="true" outlineLevel="0" collapsed="false">
      <c r="A852" s="1" t="n">
        <v>50086</v>
      </c>
      <c r="B852" s="3" t="n">
        <v>44057</v>
      </c>
      <c r="C852" s="1" t="n">
        <v>1523</v>
      </c>
      <c r="D852" s="4" t="n">
        <v>786</v>
      </c>
      <c r="E852" s="1" t="s">
        <v>1950</v>
      </c>
    </row>
    <row r="853" customFormat="false" ht="15" hidden="false" customHeight="true" outlineLevel="0" collapsed="false">
      <c r="A853" s="1" t="n">
        <v>50748</v>
      </c>
      <c r="B853" s="3" t="n">
        <v>44008</v>
      </c>
      <c r="C853" s="1" t="n">
        <v>953</v>
      </c>
      <c r="D853" s="4" t="n">
        <v>0</v>
      </c>
      <c r="E853" s="1" t="s">
        <v>1949</v>
      </c>
    </row>
    <row r="854" customFormat="false" ht="15" hidden="false" customHeight="true" outlineLevel="0" collapsed="false">
      <c r="A854" s="1" t="n">
        <v>51179</v>
      </c>
      <c r="B854" s="3" t="n">
        <v>44055</v>
      </c>
      <c r="C854" s="1" t="n">
        <v>595</v>
      </c>
      <c r="D854" s="4" t="n">
        <v>0</v>
      </c>
      <c r="E854" s="1" t="s">
        <v>1949</v>
      </c>
    </row>
    <row r="855" customFormat="false" ht="15" hidden="false" customHeight="true" outlineLevel="0" collapsed="false">
      <c r="A855" s="1" t="n">
        <v>51182</v>
      </c>
      <c r="B855" s="3" t="n">
        <v>44058</v>
      </c>
      <c r="C855" s="1" t="n">
        <v>1271</v>
      </c>
      <c r="D855" s="4" t="n">
        <v>0</v>
      </c>
      <c r="E855" s="1" t="s">
        <v>1949</v>
      </c>
    </row>
    <row r="856" customFormat="false" ht="15" hidden="false" customHeight="true" outlineLevel="0" collapsed="false">
      <c r="A856" s="1" t="n">
        <v>51200</v>
      </c>
      <c r="B856" s="3" t="n">
        <v>44021</v>
      </c>
      <c r="C856" s="1" t="n">
        <v>201</v>
      </c>
      <c r="D856" s="4" t="n">
        <v>0</v>
      </c>
      <c r="E856" s="1" t="s">
        <v>1949</v>
      </c>
    </row>
    <row r="857" customFormat="false" ht="15" hidden="false" customHeight="true" outlineLevel="0" collapsed="false">
      <c r="A857" s="1" t="n">
        <v>50960</v>
      </c>
      <c r="B857" s="3" t="n">
        <v>44049</v>
      </c>
      <c r="C857" s="1" t="n">
        <v>1474</v>
      </c>
      <c r="D857" s="4" t="n">
        <v>653</v>
      </c>
      <c r="E857" s="1" t="s">
        <v>1950</v>
      </c>
    </row>
    <row r="858" customFormat="false" ht="15" hidden="false" customHeight="true" outlineLevel="0" collapsed="false">
      <c r="A858" s="1" t="n">
        <v>51183</v>
      </c>
      <c r="B858" s="3" t="n">
        <v>44011</v>
      </c>
      <c r="C858" s="1" t="n">
        <v>490</v>
      </c>
      <c r="D858" s="4" t="n">
        <v>0</v>
      </c>
      <c r="E858" s="1" t="s">
        <v>1949</v>
      </c>
    </row>
    <row r="859" customFormat="false" ht="15" hidden="false" customHeight="true" outlineLevel="0" collapsed="false">
      <c r="A859" s="1" t="n">
        <v>50626</v>
      </c>
      <c r="B859" s="3" t="n">
        <v>43985</v>
      </c>
      <c r="C859" s="1" t="n">
        <v>1575</v>
      </c>
      <c r="D859" s="4" t="n">
        <v>352</v>
      </c>
      <c r="E859" s="1" t="s">
        <v>1950</v>
      </c>
    </row>
    <row r="860" customFormat="false" ht="15" hidden="false" customHeight="true" outlineLevel="0" collapsed="false">
      <c r="A860" s="1" t="n">
        <v>50814</v>
      </c>
      <c r="B860" s="3" t="n">
        <v>44052</v>
      </c>
      <c r="C860" s="1" t="n">
        <v>1646</v>
      </c>
      <c r="D860" s="4" t="n">
        <v>0</v>
      </c>
      <c r="E860" s="1" t="s">
        <v>1949</v>
      </c>
    </row>
    <row r="861" customFormat="false" ht="15" hidden="false" customHeight="true" outlineLevel="0" collapsed="false">
      <c r="A861" s="1" t="n">
        <v>50958</v>
      </c>
      <c r="B861" s="3" t="n">
        <v>44061</v>
      </c>
      <c r="C861" s="1" t="n">
        <v>1825</v>
      </c>
      <c r="D861" s="4" t="n">
        <v>148</v>
      </c>
      <c r="E861" s="1" t="s">
        <v>1950</v>
      </c>
    </row>
    <row r="862" customFormat="false" ht="15" hidden="false" customHeight="true" outlineLevel="0" collapsed="false">
      <c r="A862" s="1" t="n">
        <v>51661</v>
      </c>
      <c r="B862" s="3" t="n">
        <v>44070</v>
      </c>
      <c r="C862" s="1" t="n">
        <v>1601</v>
      </c>
      <c r="D862" s="4" t="n">
        <v>0</v>
      </c>
      <c r="E862" s="1" t="s">
        <v>1949</v>
      </c>
    </row>
    <row r="863" customFormat="false" ht="15" hidden="false" customHeight="true" outlineLevel="0" collapsed="false">
      <c r="A863" s="1" t="n">
        <v>50006</v>
      </c>
      <c r="B863" s="3" t="n">
        <v>44061</v>
      </c>
      <c r="C863" s="1" t="n">
        <v>1498</v>
      </c>
      <c r="D863" s="4" t="n">
        <v>0</v>
      </c>
      <c r="E863" s="1" t="s">
        <v>1949</v>
      </c>
    </row>
    <row r="864" customFormat="false" ht="15" hidden="false" customHeight="true" outlineLevel="0" collapsed="false">
      <c r="A864" s="1" t="n">
        <v>50819</v>
      </c>
      <c r="B864" s="3" t="n">
        <v>44053</v>
      </c>
      <c r="C864" s="1" t="n">
        <v>578</v>
      </c>
      <c r="D864" s="4" t="n">
        <v>373</v>
      </c>
      <c r="E864" s="1" t="s">
        <v>1950</v>
      </c>
    </row>
    <row r="865" customFormat="false" ht="15" hidden="false" customHeight="true" outlineLevel="0" collapsed="false">
      <c r="A865" s="1" t="n">
        <v>51708</v>
      </c>
      <c r="B865" s="3" t="n">
        <v>44036</v>
      </c>
      <c r="C865" s="1" t="n">
        <v>1023</v>
      </c>
      <c r="D865" s="4" t="n">
        <v>0</v>
      </c>
      <c r="E865" s="1" t="s">
        <v>1949</v>
      </c>
    </row>
    <row r="866" customFormat="false" ht="15" hidden="false" customHeight="true" outlineLevel="0" collapsed="false">
      <c r="A866" s="1" t="n">
        <v>51900</v>
      </c>
      <c r="B866" s="3" t="n">
        <v>43988</v>
      </c>
      <c r="C866" s="1" t="n">
        <v>1765</v>
      </c>
      <c r="D866" s="4" t="n">
        <v>0</v>
      </c>
      <c r="E866" s="1" t="s">
        <v>1949</v>
      </c>
    </row>
    <row r="867" customFormat="false" ht="15" hidden="false" customHeight="true" outlineLevel="0" collapsed="false">
      <c r="A867" s="1" t="n">
        <v>51524</v>
      </c>
      <c r="B867" s="3" t="n">
        <v>44013</v>
      </c>
      <c r="C867" s="1" t="n">
        <v>1390</v>
      </c>
      <c r="D867" s="4" t="n">
        <v>814</v>
      </c>
      <c r="E867" s="1" t="s">
        <v>1950</v>
      </c>
    </row>
    <row r="868" customFormat="false" ht="15" hidden="false" customHeight="true" outlineLevel="0" collapsed="false">
      <c r="A868" s="1" t="n">
        <v>50230</v>
      </c>
      <c r="B868" s="3" t="n">
        <v>43986</v>
      </c>
      <c r="C868" s="1" t="n">
        <v>645</v>
      </c>
      <c r="D868" s="4" t="n">
        <v>0</v>
      </c>
      <c r="E868" s="1" t="s">
        <v>1949</v>
      </c>
    </row>
    <row r="869" customFormat="false" ht="15" hidden="false" customHeight="true" outlineLevel="0" collapsed="false">
      <c r="A869" s="1" t="n">
        <v>50870</v>
      </c>
      <c r="B869" s="3" t="n">
        <v>44007</v>
      </c>
      <c r="C869" s="1" t="n">
        <v>829</v>
      </c>
      <c r="D869" s="4" t="n">
        <v>0</v>
      </c>
      <c r="E869" s="1" t="s">
        <v>1949</v>
      </c>
    </row>
    <row r="870" customFormat="false" ht="15" hidden="false" customHeight="true" outlineLevel="0" collapsed="false">
      <c r="A870" s="1" t="n">
        <v>50777</v>
      </c>
      <c r="B870" s="3" t="n">
        <v>44007</v>
      </c>
      <c r="C870" s="1" t="n">
        <v>1439</v>
      </c>
      <c r="D870" s="4" t="n">
        <v>401</v>
      </c>
      <c r="E870" s="1" t="s">
        <v>1950</v>
      </c>
    </row>
    <row r="871" customFormat="false" ht="15" hidden="false" customHeight="true" outlineLevel="0" collapsed="false">
      <c r="A871" s="1" t="n">
        <v>50516</v>
      </c>
      <c r="B871" s="3" t="n">
        <v>44069</v>
      </c>
      <c r="C871" s="1" t="n">
        <v>979</v>
      </c>
      <c r="D871" s="4" t="n">
        <v>0</v>
      </c>
      <c r="E871" s="1" t="s">
        <v>1949</v>
      </c>
    </row>
    <row r="872" customFormat="false" ht="15" hidden="false" customHeight="true" outlineLevel="0" collapsed="false">
      <c r="A872" s="1" t="n">
        <v>51855</v>
      </c>
      <c r="B872" s="3" t="n">
        <v>44025</v>
      </c>
      <c r="C872" s="1" t="n">
        <v>905</v>
      </c>
      <c r="D872" s="4" t="n">
        <v>273</v>
      </c>
      <c r="E872" s="1" t="s">
        <v>1950</v>
      </c>
    </row>
    <row r="873" customFormat="false" ht="15" hidden="false" customHeight="true" outlineLevel="0" collapsed="false">
      <c r="A873" s="1" t="n">
        <v>51764</v>
      </c>
      <c r="B873" s="3" t="n">
        <v>44048</v>
      </c>
      <c r="C873" s="1" t="n">
        <v>28</v>
      </c>
      <c r="D873" s="4" t="n">
        <v>114</v>
      </c>
      <c r="E873" s="1" t="s">
        <v>1950</v>
      </c>
    </row>
    <row r="874" customFormat="false" ht="15" hidden="false" customHeight="true" outlineLevel="0" collapsed="false">
      <c r="A874" s="1" t="n">
        <v>51029</v>
      </c>
      <c r="B874" s="3" t="n">
        <v>44016</v>
      </c>
      <c r="C874" s="1" t="n">
        <v>650</v>
      </c>
      <c r="D874" s="4" t="n">
        <v>0</v>
      </c>
      <c r="E874" s="1" t="s">
        <v>1949</v>
      </c>
    </row>
    <row r="875" customFormat="false" ht="15" hidden="false" customHeight="true" outlineLevel="0" collapsed="false">
      <c r="A875" s="1" t="n">
        <v>50075</v>
      </c>
      <c r="B875" s="3" t="n">
        <v>44031</v>
      </c>
      <c r="C875" s="1" t="n">
        <v>1408</v>
      </c>
      <c r="D875" s="4" t="n">
        <v>255</v>
      </c>
      <c r="E875" s="1" t="s">
        <v>1950</v>
      </c>
    </row>
    <row r="876" customFormat="false" ht="15" hidden="false" customHeight="true" outlineLevel="0" collapsed="false">
      <c r="A876" s="1" t="n">
        <v>50267</v>
      </c>
      <c r="B876" s="3" t="n">
        <v>44027</v>
      </c>
      <c r="C876" s="1" t="n">
        <v>769</v>
      </c>
      <c r="D876" s="4" t="n">
        <v>0</v>
      </c>
      <c r="E876" s="1" t="s">
        <v>1949</v>
      </c>
    </row>
    <row r="877" customFormat="false" ht="15" hidden="false" customHeight="true" outlineLevel="0" collapsed="false">
      <c r="A877" s="1" t="n">
        <v>50420</v>
      </c>
      <c r="B877" s="3" t="n">
        <v>44054</v>
      </c>
      <c r="C877" s="1" t="n">
        <v>142</v>
      </c>
      <c r="D877" s="4" t="n">
        <v>0</v>
      </c>
      <c r="E877" s="1" t="s">
        <v>1949</v>
      </c>
    </row>
    <row r="878" customFormat="false" ht="15" hidden="false" customHeight="true" outlineLevel="0" collapsed="false">
      <c r="A878" s="1" t="n">
        <v>51709</v>
      </c>
      <c r="B878" s="3" t="n">
        <v>44066</v>
      </c>
      <c r="C878" s="1" t="n">
        <v>1690</v>
      </c>
      <c r="D878" s="4" t="n">
        <v>756</v>
      </c>
      <c r="E878" s="1" t="s">
        <v>1950</v>
      </c>
    </row>
    <row r="879" customFormat="false" ht="15" hidden="false" customHeight="true" outlineLevel="0" collapsed="false">
      <c r="A879" s="1" t="n">
        <v>50996</v>
      </c>
      <c r="B879" s="3" t="n">
        <v>43993</v>
      </c>
      <c r="C879" s="1" t="n">
        <v>305</v>
      </c>
      <c r="D879" s="4" t="n">
        <v>0</v>
      </c>
      <c r="E879" s="1" t="s">
        <v>1949</v>
      </c>
    </row>
    <row r="880" customFormat="false" ht="15" hidden="false" customHeight="true" outlineLevel="0" collapsed="false">
      <c r="A880" s="1" t="n">
        <v>50973</v>
      </c>
      <c r="B880" s="3" t="n">
        <v>43991</v>
      </c>
      <c r="C880" s="1" t="n">
        <v>627</v>
      </c>
      <c r="D880" s="4" t="n">
        <v>0</v>
      </c>
      <c r="E880" s="1" t="s">
        <v>1949</v>
      </c>
    </row>
    <row r="881" customFormat="false" ht="15" hidden="false" customHeight="true" outlineLevel="0" collapsed="false">
      <c r="A881" s="1" t="n">
        <v>51618</v>
      </c>
      <c r="B881" s="3" t="n">
        <v>44028</v>
      </c>
      <c r="C881" s="1" t="n">
        <v>646</v>
      </c>
      <c r="D881" s="4" t="n">
        <v>0</v>
      </c>
      <c r="E881" s="1" t="s">
        <v>1949</v>
      </c>
    </row>
    <row r="882" customFormat="false" ht="15" hidden="false" customHeight="true" outlineLevel="0" collapsed="false">
      <c r="A882" s="1" t="n">
        <v>50434</v>
      </c>
      <c r="B882" s="3" t="n">
        <v>44047</v>
      </c>
      <c r="C882" s="1" t="n">
        <v>487</v>
      </c>
      <c r="D882" s="4" t="n">
        <v>873</v>
      </c>
      <c r="E882" s="1" t="s">
        <v>1950</v>
      </c>
    </row>
    <row r="883" customFormat="false" ht="15" hidden="false" customHeight="true" outlineLevel="0" collapsed="false">
      <c r="A883" s="1" t="n">
        <v>50832</v>
      </c>
      <c r="B883" s="3" t="n">
        <v>44029</v>
      </c>
      <c r="C883" s="1" t="n">
        <v>1883</v>
      </c>
      <c r="D883" s="4" t="n">
        <v>142</v>
      </c>
      <c r="E883" s="1" t="s">
        <v>1950</v>
      </c>
    </row>
    <row r="884" customFormat="false" ht="15" hidden="false" customHeight="true" outlineLevel="0" collapsed="false">
      <c r="A884" s="1" t="n">
        <v>50239</v>
      </c>
      <c r="B884" s="3" t="n">
        <v>44072</v>
      </c>
      <c r="C884" s="1" t="n">
        <v>275</v>
      </c>
      <c r="D884" s="4" t="n">
        <v>313</v>
      </c>
      <c r="E884" s="1" t="s">
        <v>1950</v>
      </c>
    </row>
    <row r="885" customFormat="false" ht="15" hidden="false" customHeight="true" outlineLevel="0" collapsed="false">
      <c r="A885" s="1" t="n">
        <v>51951</v>
      </c>
      <c r="B885" s="3" t="n">
        <v>44021</v>
      </c>
      <c r="C885" s="1" t="n">
        <v>1682</v>
      </c>
      <c r="D885" s="4" t="n">
        <v>0</v>
      </c>
      <c r="E885" s="1" t="s">
        <v>1949</v>
      </c>
    </row>
    <row r="886" customFormat="false" ht="15" hidden="false" customHeight="true" outlineLevel="0" collapsed="false">
      <c r="A886" s="1" t="n">
        <v>51050</v>
      </c>
      <c r="B886" s="3" t="n">
        <v>44061</v>
      </c>
      <c r="C886" s="1" t="n">
        <v>1306</v>
      </c>
      <c r="D886" s="4" t="n">
        <v>204</v>
      </c>
      <c r="E886" s="1" t="s">
        <v>1950</v>
      </c>
    </row>
    <row r="887" customFormat="false" ht="15" hidden="false" customHeight="true" outlineLevel="0" collapsed="false">
      <c r="A887" s="1" t="n">
        <v>50271</v>
      </c>
      <c r="B887" s="3" t="n">
        <v>43997</v>
      </c>
      <c r="C887" s="1" t="n">
        <v>956</v>
      </c>
      <c r="D887" s="4" t="n">
        <v>612</v>
      </c>
      <c r="E887" s="1" t="s">
        <v>1950</v>
      </c>
    </row>
    <row r="888" customFormat="false" ht="15" hidden="false" customHeight="true" outlineLevel="0" collapsed="false">
      <c r="A888" s="1" t="n">
        <v>50647</v>
      </c>
      <c r="B888" s="3" t="n">
        <v>44012</v>
      </c>
      <c r="C888" s="1" t="n">
        <v>1388</v>
      </c>
      <c r="D888" s="4" t="n">
        <v>0</v>
      </c>
      <c r="E888" s="1" t="s">
        <v>1949</v>
      </c>
    </row>
    <row r="889" customFormat="false" ht="15" hidden="false" customHeight="true" outlineLevel="0" collapsed="false">
      <c r="A889" s="1" t="n">
        <v>50826</v>
      </c>
      <c r="B889" s="3" t="n">
        <v>43986</v>
      </c>
      <c r="C889" s="1" t="n">
        <v>251</v>
      </c>
      <c r="D889" s="4" t="n">
        <v>423</v>
      </c>
      <c r="E889" s="1" t="s">
        <v>1950</v>
      </c>
    </row>
    <row r="890" customFormat="false" ht="15" hidden="false" customHeight="true" outlineLevel="0" collapsed="false">
      <c r="A890" s="1" t="n">
        <v>51681</v>
      </c>
      <c r="B890" s="3" t="n">
        <v>44028</v>
      </c>
      <c r="C890" s="1" t="n">
        <v>1349</v>
      </c>
      <c r="D890" s="4" t="n">
        <v>0</v>
      </c>
      <c r="E890" s="1" t="s">
        <v>1949</v>
      </c>
    </row>
    <row r="891" customFormat="false" ht="15" hidden="false" customHeight="true" outlineLevel="0" collapsed="false">
      <c r="A891" s="1" t="n">
        <v>51759</v>
      </c>
      <c r="B891" s="3" t="n">
        <v>44034</v>
      </c>
      <c r="C891" s="1" t="n">
        <v>91</v>
      </c>
      <c r="D891" s="4" t="n">
        <v>621</v>
      </c>
      <c r="E891" s="1" t="s">
        <v>1950</v>
      </c>
    </row>
    <row r="892" customFormat="false" ht="15" hidden="false" customHeight="true" outlineLevel="0" collapsed="false">
      <c r="A892" s="1" t="n">
        <v>50063</v>
      </c>
      <c r="B892" s="3" t="n">
        <v>44043</v>
      </c>
      <c r="C892" s="1" t="n">
        <v>1429</v>
      </c>
      <c r="D892" s="4" t="n">
        <v>263</v>
      </c>
      <c r="E892" s="1" t="s">
        <v>1950</v>
      </c>
    </row>
    <row r="893" customFormat="false" ht="15" hidden="false" customHeight="true" outlineLevel="0" collapsed="false">
      <c r="A893" s="1" t="n">
        <v>50046</v>
      </c>
      <c r="B893" s="3" t="n">
        <v>44014</v>
      </c>
      <c r="C893" s="1" t="n">
        <v>1496</v>
      </c>
      <c r="D893" s="4" t="n">
        <v>0</v>
      </c>
      <c r="E893" s="1" t="s">
        <v>1949</v>
      </c>
    </row>
    <row r="894" customFormat="false" ht="15" hidden="false" customHeight="true" outlineLevel="0" collapsed="false">
      <c r="A894" s="1" t="n">
        <v>51473</v>
      </c>
      <c r="B894" s="3" t="n">
        <v>44000</v>
      </c>
      <c r="C894" s="1" t="n">
        <v>1319</v>
      </c>
      <c r="D894" s="4" t="n">
        <v>523</v>
      </c>
      <c r="E894" s="1" t="s">
        <v>1950</v>
      </c>
    </row>
    <row r="895" customFormat="false" ht="15" hidden="false" customHeight="true" outlineLevel="0" collapsed="false">
      <c r="A895" s="1" t="n">
        <v>51752</v>
      </c>
      <c r="B895" s="3" t="n">
        <v>44057</v>
      </c>
      <c r="C895" s="1" t="n">
        <v>1477</v>
      </c>
      <c r="D895" s="4" t="n">
        <v>0</v>
      </c>
      <c r="E895" s="1" t="s">
        <v>1949</v>
      </c>
    </row>
    <row r="896" customFormat="false" ht="15" hidden="false" customHeight="true" outlineLevel="0" collapsed="false">
      <c r="A896" s="1" t="n">
        <v>51975</v>
      </c>
      <c r="B896" s="3" t="n">
        <v>43991</v>
      </c>
      <c r="C896" s="1" t="n">
        <v>1396</v>
      </c>
      <c r="D896" s="4" t="n">
        <v>228</v>
      </c>
      <c r="E896" s="1" t="s">
        <v>1950</v>
      </c>
    </row>
    <row r="897" customFormat="false" ht="15" hidden="false" customHeight="true" outlineLevel="0" collapsed="false">
      <c r="A897" s="1" t="n">
        <v>50643</v>
      </c>
      <c r="B897" s="3" t="n">
        <v>43990</v>
      </c>
      <c r="C897" s="1" t="n">
        <v>64</v>
      </c>
      <c r="D897" s="4" t="n">
        <v>727</v>
      </c>
      <c r="E897" s="1" t="s">
        <v>1950</v>
      </c>
    </row>
    <row r="898" customFormat="false" ht="15" hidden="false" customHeight="true" outlineLevel="0" collapsed="false">
      <c r="A898" s="1" t="n">
        <v>51927</v>
      </c>
      <c r="B898" s="3" t="n">
        <v>43992</v>
      </c>
      <c r="C898" s="1" t="n">
        <v>1018</v>
      </c>
      <c r="D898" s="4" t="n">
        <v>0</v>
      </c>
      <c r="E898" s="1" t="s">
        <v>1949</v>
      </c>
    </row>
    <row r="899" customFormat="false" ht="15" hidden="false" customHeight="true" outlineLevel="0" collapsed="false">
      <c r="A899" s="1" t="n">
        <v>50536</v>
      </c>
      <c r="B899" s="3" t="n">
        <v>44034</v>
      </c>
      <c r="C899" s="1" t="n">
        <v>259</v>
      </c>
      <c r="D899" s="4" t="n">
        <v>563</v>
      </c>
      <c r="E899" s="1" t="s">
        <v>1950</v>
      </c>
    </row>
    <row r="900" customFormat="false" ht="15" hidden="false" customHeight="true" outlineLevel="0" collapsed="false">
      <c r="A900" s="1" t="n">
        <v>50811</v>
      </c>
      <c r="B900" s="3" t="n">
        <v>44022</v>
      </c>
      <c r="C900" s="1" t="n">
        <v>9</v>
      </c>
      <c r="D900" s="4" t="n">
        <v>0</v>
      </c>
      <c r="E900" s="1" t="s">
        <v>1949</v>
      </c>
    </row>
    <row r="901" customFormat="false" ht="15" hidden="false" customHeight="true" outlineLevel="0" collapsed="false">
      <c r="A901" s="1" t="n">
        <v>50907</v>
      </c>
      <c r="B901" s="3" t="n">
        <v>44016</v>
      </c>
      <c r="C901" s="1" t="n">
        <v>311</v>
      </c>
      <c r="D901" s="4" t="n">
        <v>0</v>
      </c>
      <c r="E901" s="1" t="s">
        <v>1949</v>
      </c>
    </row>
    <row r="902" customFormat="false" ht="15" hidden="false" customHeight="true" outlineLevel="0" collapsed="false">
      <c r="A902" s="1" t="n">
        <v>50391</v>
      </c>
      <c r="B902" s="3" t="n">
        <v>44011</v>
      </c>
      <c r="C902" s="1" t="n">
        <v>1446</v>
      </c>
      <c r="D902" s="4" t="n">
        <v>425</v>
      </c>
      <c r="E902" s="1" t="s">
        <v>1950</v>
      </c>
    </row>
    <row r="903" customFormat="false" ht="15" hidden="false" customHeight="true" outlineLevel="0" collapsed="false">
      <c r="A903" s="1" t="n">
        <v>50041</v>
      </c>
      <c r="B903" s="3" t="n">
        <v>43999</v>
      </c>
      <c r="C903" s="1" t="n">
        <v>667</v>
      </c>
      <c r="D903" s="4" t="n">
        <v>231</v>
      </c>
      <c r="E903" s="1" t="s">
        <v>1950</v>
      </c>
    </row>
    <row r="904" customFormat="false" ht="15" hidden="false" customHeight="true" outlineLevel="0" collapsed="false">
      <c r="A904" s="1" t="n">
        <v>51814</v>
      </c>
      <c r="B904" s="3" t="n">
        <v>43999</v>
      </c>
      <c r="C904" s="1" t="n">
        <v>598</v>
      </c>
      <c r="D904" s="4" t="n">
        <v>0</v>
      </c>
      <c r="E904" s="1" t="s">
        <v>1949</v>
      </c>
    </row>
    <row r="905" customFormat="false" ht="15" hidden="false" customHeight="true" outlineLevel="0" collapsed="false">
      <c r="A905" s="1" t="n">
        <v>51292</v>
      </c>
      <c r="B905" s="3" t="n">
        <v>43990</v>
      </c>
      <c r="C905" s="1" t="n">
        <v>560</v>
      </c>
      <c r="D905" s="4" t="n">
        <v>643</v>
      </c>
      <c r="E905" s="1" t="s">
        <v>1950</v>
      </c>
    </row>
    <row r="906" customFormat="false" ht="15" hidden="false" customHeight="true" outlineLevel="0" collapsed="false">
      <c r="A906" s="1" t="n">
        <v>51051</v>
      </c>
      <c r="B906" s="3" t="n">
        <v>44001</v>
      </c>
      <c r="C906" s="1" t="n">
        <v>1387</v>
      </c>
      <c r="D906" s="4" t="n">
        <v>553</v>
      </c>
      <c r="E906" s="1" t="s">
        <v>1950</v>
      </c>
    </row>
    <row r="907" customFormat="false" ht="15" hidden="false" customHeight="true" outlineLevel="0" collapsed="false">
      <c r="A907" s="1" t="n">
        <v>51456</v>
      </c>
      <c r="B907" s="3" t="n">
        <v>44018</v>
      </c>
      <c r="C907" s="1" t="n">
        <v>1029</v>
      </c>
      <c r="D907" s="4" t="n">
        <v>0</v>
      </c>
      <c r="E907" s="1" t="s">
        <v>1949</v>
      </c>
    </row>
    <row r="908" customFormat="false" ht="15" hidden="false" customHeight="true" outlineLevel="0" collapsed="false">
      <c r="A908" s="1" t="n">
        <v>51025</v>
      </c>
      <c r="B908" s="3" t="n">
        <v>44036</v>
      </c>
      <c r="C908" s="1" t="n">
        <v>720</v>
      </c>
      <c r="D908" s="4" t="n">
        <v>0</v>
      </c>
      <c r="E908" s="1" t="s">
        <v>1949</v>
      </c>
    </row>
    <row r="909" customFormat="false" ht="15" hidden="false" customHeight="true" outlineLevel="0" collapsed="false">
      <c r="A909" s="1" t="n">
        <v>50916</v>
      </c>
      <c r="B909" s="3" t="n">
        <v>44029</v>
      </c>
      <c r="C909" s="1" t="n">
        <v>502</v>
      </c>
      <c r="D909" s="4" t="n">
        <v>336</v>
      </c>
      <c r="E909" s="1" t="s">
        <v>1950</v>
      </c>
    </row>
    <row r="910" customFormat="false" ht="15" hidden="false" customHeight="true" outlineLevel="0" collapsed="false">
      <c r="A910" s="1" t="n">
        <v>50972</v>
      </c>
      <c r="B910" s="3" t="n">
        <v>44052</v>
      </c>
      <c r="C910" s="1" t="n">
        <v>792</v>
      </c>
      <c r="D910" s="4" t="n">
        <v>0</v>
      </c>
      <c r="E910" s="1" t="s">
        <v>1949</v>
      </c>
    </row>
    <row r="911" customFormat="false" ht="15" hidden="false" customHeight="true" outlineLevel="0" collapsed="false">
      <c r="A911" s="1" t="n">
        <v>50635</v>
      </c>
      <c r="B911" s="3" t="n">
        <v>44063</v>
      </c>
      <c r="C911" s="1" t="n">
        <v>1386</v>
      </c>
      <c r="D911" s="4" t="n">
        <v>125</v>
      </c>
      <c r="E911" s="1" t="s">
        <v>1950</v>
      </c>
    </row>
    <row r="912" customFormat="false" ht="15" hidden="false" customHeight="true" outlineLevel="0" collapsed="false">
      <c r="A912" s="1" t="n">
        <v>51032</v>
      </c>
      <c r="B912" s="3" t="n">
        <v>44061</v>
      </c>
      <c r="C912" s="1" t="n">
        <v>886</v>
      </c>
      <c r="D912" s="4" t="n">
        <v>0</v>
      </c>
      <c r="E912" s="1" t="s">
        <v>1949</v>
      </c>
    </row>
    <row r="913" customFormat="false" ht="15" hidden="false" customHeight="true" outlineLevel="0" collapsed="false">
      <c r="A913" s="1" t="n">
        <v>50631</v>
      </c>
      <c r="B913" s="3" t="n">
        <v>44024</v>
      </c>
      <c r="C913" s="1" t="n">
        <v>888</v>
      </c>
      <c r="D913" s="4" t="n">
        <v>652</v>
      </c>
      <c r="E913" s="1" t="s">
        <v>1950</v>
      </c>
    </row>
    <row r="914" customFormat="false" ht="15" hidden="false" customHeight="true" outlineLevel="0" collapsed="false">
      <c r="A914" s="1" t="n">
        <v>50900</v>
      </c>
      <c r="B914" s="3" t="n">
        <v>44049</v>
      </c>
      <c r="C914" s="1" t="n">
        <v>1042</v>
      </c>
      <c r="D914" s="4" t="n">
        <v>793</v>
      </c>
      <c r="E914" s="1" t="s">
        <v>1950</v>
      </c>
    </row>
    <row r="915" customFormat="false" ht="15" hidden="false" customHeight="true" outlineLevel="0" collapsed="false">
      <c r="A915" s="1" t="n">
        <v>51696</v>
      </c>
      <c r="B915" s="3" t="n">
        <v>44007</v>
      </c>
      <c r="C915" s="1" t="n">
        <v>1750</v>
      </c>
      <c r="D915" s="4" t="n">
        <v>329</v>
      </c>
      <c r="E915" s="1" t="s">
        <v>1950</v>
      </c>
    </row>
    <row r="916" customFormat="false" ht="15" hidden="false" customHeight="true" outlineLevel="0" collapsed="false">
      <c r="A916" s="1" t="n">
        <v>50640</v>
      </c>
      <c r="B916" s="3" t="n">
        <v>44067</v>
      </c>
      <c r="C916" s="1" t="n">
        <v>1828</v>
      </c>
      <c r="D916" s="4" t="n">
        <v>660</v>
      </c>
      <c r="E916" s="1" t="s">
        <v>1950</v>
      </c>
    </row>
    <row r="917" customFormat="false" ht="15" hidden="false" customHeight="true" outlineLevel="0" collapsed="false">
      <c r="A917" s="1" t="n">
        <v>51629</v>
      </c>
      <c r="B917" s="3" t="n">
        <v>44065</v>
      </c>
      <c r="C917" s="1" t="n">
        <v>1605</v>
      </c>
      <c r="D917" s="4" t="n">
        <v>896</v>
      </c>
      <c r="E917" s="1" t="s">
        <v>1950</v>
      </c>
    </row>
    <row r="918" customFormat="false" ht="15" hidden="false" customHeight="true" outlineLevel="0" collapsed="false">
      <c r="A918" s="1" t="n">
        <v>50710</v>
      </c>
      <c r="B918" s="3" t="n">
        <v>44036</v>
      </c>
      <c r="C918" s="1" t="n">
        <v>1826</v>
      </c>
      <c r="D918" s="4" t="n">
        <v>0</v>
      </c>
      <c r="E918" s="1" t="s">
        <v>1949</v>
      </c>
    </row>
    <row r="919" customFormat="false" ht="15" hidden="false" customHeight="true" outlineLevel="0" collapsed="false">
      <c r="A919" s="1" t="n">
        <v>50212</v>
      </c>
      <c r="B919" s="3" t="n">
        <v>44049</v>
      </c>
      <c r="C919" s="1" t="n">
        <v>181</v>
      </c>
      <c r="D919" s="4" t="n">
        <v>0</v>
      </c>
      <c r="E919" s="1" t="s">
        <v>1949</v>
      </c>
    </row>
    <row r="920" customFormat="false" ht="15" hidden="false" customHeight="true" outlineLevel="0" collapsed="false">
      <c r="A920" s="1" t="n">
        <v>50228</v>
      </c>
      <c r="B920" s="3" t="n">
        <v>44072</v>
      </c>
      <c r="C920" s="1" t="n">
        <v>1699</v>
      </c>
      <c r="D920" s="4" t="n">
        <v>854</v>
      </c>
      <c r="E920" s="1" t="s">
        <v>1950</v>
      </c>
    </row>
    <row r="921" customFormat="false" ht="15" hidden="false" customHeight="true" outlineLevel="0" collapsed="false">
      <c r="A921" s="1" t="n">
        <v>50680</v>
      </c>
      <c r="B921" s="3" t="n">
        <v>44030</v>
      </c>
      <c r="C921" s="1" t="n">
        <v>179</v>
      </c>
      <c r="D921" s="4" t="n">
        <v>0</v>
      </c>
      <c r="E921" s="1" t="s">
        <v>1949</v>
      </c>
    </row>
    <row r="922" customFormat="false" ht="15" hidden="false" customHeight="true" outlineLevel="0" collapsed="false">
      <c r="A922" s="1" t="n">
        <v>50157</v>
      </c>
      <c r="B922" s="3" t="n">
        <v>44032</v>
      </c>
      <c r="C922" s="1" t="n">
        <v>659</v>
      </c>
      <c r="D922" s="4" t="n">
        <v>778</v>
      </c>
      <c r="E922" s="1" t="s">
        <v>1950</v>
      </c>
    </row>
    <row r="923" customFormat="false" ht="15" hidden="false" customHeight="true" outlineLevel="0" collapsed="false">
      <c r="A923" s="1" t="n">
        <v>51774</v>
      </c>
      <c r="B923" s="3" t="n">
        <v>44001</v>
      </c>
      <c r="C923" s="1" t="n">
        <v>363</v>
      </c>
      <c r="D923" s="4" t="n">
        <v>0</v>
      </c>
      <c r="E923" s="1" t="s">
        <v>1949</v>
      </c>
    </row>
    <row r="924" customFormat="false" ht="15" hidden="false" customHeight="true" outlineLevel="0" collapsed="false">
      <c r="A924" s="1" t="n">
        <v>51682</v>
      </c>
      <c r="B924" s="3" t="n">
        <v>43998</v>
      </c>
      <c r="C924" s="1" t="n">
        <v>1913</v>
      </c>
      <c r="D924" s="4" t="n">
        <v>0</v>
      </c>
      <c r="E924" s="1" t="s">
        <v>1949</v>
      </c>
    </row>
    <row r="925" customFormat="false" ht="15" hidden="false" customHeight="true" outlineLevel="0" collapsed="false">
      <c r="A925" s="1" t="n">
        <v>51861</v>
      </c>
      <c r="B925" s="3" t="n">
        <v>44000</v>
      </c>
      <c r="C925" s="1" t="n">
        <v>1035</v>
      </c>
      <c r="D925" s="4" t="n">
        <v>597</v>
      </c>
      <c r="E925" s="1" t="s">
        <v>1950</v>
      </c>
    </row>
    <row r="926" customFormat="false" ht="15" hidden="false" customHeight="true" outlineLevel="0" collapsed="false">
      <c r="A926" s="1" t="n">
        <v>50864</v>
      </c>
      <c r="B926" s="3" t="n">
        <v>44002</v>
      </c>
      <c r="C926" s="1" t="n">
        <v>155</v>
      </c>
      <c r="D926" s="4" t="n">
        <v>0</v>
      </c>
      <c r="E926" s="1" t="s">
        <v>1949</v>
      </c>
    </row>
    <row r="927" customFormat="false" ht="15" hidden="false" customHeight="true" outlineLevel="0" collapsed="false">
      <c r="A927" s="1" t="n">
        <v>51075</v>
      </c>
      <c r="B927" s="3" t="n">
        <v>44052</v>
      </c>
      <c r="C927" s="1" t="n">
        <v>1923</v>
      </c>
      <c r="D927" s="4" t="n">
        <v>0</v>
      </c>
      <c r="E927" s="1" t="s">
        <v>1949</v>
      </c>
    </row>
    <row r="928" customFormat="false" ht="15" hidden="false" customHeight="true" outlineLevel="0" collapsed="false">
      <c r="A928" s="1" t="n">
        <v>50168</v>
      </c>
      <c r="B928" s="3" t="n">
        <v>44066</v>
      </c>
      <c r="C928" s="1" t="n">
        <v>581</v>
      </c>
      <c r="D928" s="4" t="n">
        <v>765</v>
      </c>
      <c r="E928" s="1" t="s">
        <v>1950</v>
      </c>
    </row>
    <row r="929" customFormat="false" ht="15" hidden="false" customHeight="true" outlineLevel="0" collapsed="false">
      <c r="A929" s="1" t="n">
        <v>50446</v>
      </c>
      <c r="B929" s="3" t="n">
        <v>44044</v>
      </c>
      <c r="C929" s="1" t="n">
        <v>105</v>
      </c>
      <c r="D929" s="4" t="n">
        <v>0</v>
      </c>
      <c r="E929" s="1" t="s">
        <v>1949</v>
      </c>
    </row>
    <row r="930" customFormat="false" ht="15" hidden="false" customHeight="true" outlineLevel="0" collapsed="false">
      <c r="A930" s="1" t="n">
        <v>50704</v>
      </c>
      <c r="B930" s="3" t="n">
        <v>44038</v>
      </c>
      <c r="C930" s="1" t="n">
        <v>579</v>
      </c>
      <c r="D930" s="4" t="n">
        <v>0</v>
      </c>
      <c r="E930" s="1" t="s">
        <v>1949</v>
      </c>
    </row>
    <row r="931" customFormat="false" ht="15" hidden="false" customHeight="true" outlineLevel="0" collapsed="false">
      <c r="A931" s="1" t="n">
        <v>50188</v>
      </c>
      <c r="B931" s="3" t="n">
        <v>44066</v>
      </c>
      <c r="C931" s="1" t="n">
        <v>945</v>
      </c>
      <c r="D931" s="4" t="n">
        <v>227</v>
      </c>
      <c r="E931" s="1" t="s">
        <v>1950</v>
      </c>
    </row>
    <row r="932" customFormat="false" ht="15" hidden="false" customHeight="true" outlineLevel="0" collapsed="false">
      <c r="A932" s="1" t="n">
        <v>50559</v>
      </c>
      <c r="B932" s="3" t="n">
        <v>44030</v>
      </c>
      <c r="C932" s="1" t="n">
        <v>1379</v>
      </c>
      <c r="D932" s="4" t="n">
        <v>704</v>
      </c>
      <c r="E932" s="1" t="s">
        <v>1950</v>
      </c>
    </row>
    <row r="933" customFormat="false" ht="15" hidden="false" customHeight="true" outlineLevel="0" collapsed="false">
      <c r="A933" s="1" t="n">
        <v>51841</v>
      </c>
      <c r="B933" s="3" t="n">
        <v>44020</v>
      </c>
      <c r="C933" s="1" t="n">
        <v>724</v>
      </c>
      <c r="D933" s="4" t="n">
        <v>708</v>
      </c>
      <c r="E933" s="1" t="s">
        <v>1950</v>
      </c>
    </row>
    <row r="934" customFormat="false" ht="15" hidden="false" customHeight="true" outlineLevel="0" collapsed="false">
      <c r="A934" s="1" t="n">
        <v>51613</v>
      </c>
      <c r="B934" s="3" t="n">
        <v>44008</v>
      </c>
      <c r="C934" s="1" t="n">
        <v>424</v>
      </c>
      <c r="D934" s="4" t="n">
        <v>0</v>
      </c>
      <c r="E934" s="1" t="s">
        <v>1949</v>
      </c>
    </row>
    <row r="935" customFormat="false" ht="15" hidden="false" customHeight="true" outlineLevel="0" collapsed="false">
      <c r="A935" s="1" t="n">
        <v>51854</v>
      </c>
      <c r="B935" s="3" t="n">
        <v>44067</v>
      </c>
      <c r="C935" s="1" t="n">
        <v>110</v>
      </c>
      <c r="D935" s="4" t="n">
        <v>640</v>
      </c>
      <c r="E935" s="1" t="s">
        <v>1950</v>
      </c>
    </row>
    <row r="936" customFormat="false" ht="15" hidden="false" customHeight="true" outlineLevel="0" collapsed="false">
      <c r="A936" s="1" t="n">
        <v>51221</v>
      </c>
      <c r="B936" s="3" t="n">
        <v>44018</v>
      </c>
      <c r="C936" s="1" t="n">
        <v>660</v>
      </c>
      <c r="D936" s="4" t="n">
        <v>600</v>
      </c>
      <c r="E936" s="1" t="s">
        <v>1950</v>
      </c>
    </row>
    <row r="937" customFormat="false" ht="15" hidden="false" customHeight="true" outlineLevel="0" collapsed="false">
      <c r="A937" s="1" t="n">
        <v>51077</v>
      </c>
      <c r="B937" s="3" t="n">
        <v>44032</v>
      </c>
      <c r="C937" s="1" t="n">
        <v>1424</v>
      </c>
      <c r="D937" s="4" t="n">
        <v>274</v>
      </c>
      <c r="E937" s="1" t="s">
        <v>1950</v>
      </c>
    </row>
    <row r="938" customFormat="false" ht="15" hidden="false" customHeight="true" outlineLevel="0" collapsed="false">
      <c r="A938" s="1" t="n">
        <v>50135</v>
      </c>
      <c r="B938" s="3" t="n">
        <v>43991</v>
      </c>
      <c r="C938" s="1" t="n">
        <v>1872</v>
      </c>
      <c r="D938" s="4" t="n">
        <v>0</v>
      </c>
      <c r="E938" s="1" t="s">
        <v>1949</v>
      </c>
    </row>
    <row r="939" customFormat="false" ht="15" hidden="false" customHeight="true" outlineLevel="0" collapsed="false">
      <c r="A939" s="1" t="n">
        <v>50324</v>
      </c>
      <c r="B939" s="3" t="n">
        <v>44005</v>
      </c>
      <c r="C939" s="1" t="n">
        <v>193</v>
      </c>
      <c r="D939" s="4" t="n">
        <v>112</v>
      </c>
      <c r="E939" s="1" t="s">
        <v>1950</v>
      </c>
    </row>
    <row r="940" customFormat="false" ht="15" hidden="false" customHeight="true" outlineLevel="0" collapsed="false">
      <c r="A940" s="1" t="n">
        <v>51830</v>
      </c>
      <c r="B940" s="3" t="n">
        <v>44056</v>
      </c>
      <c r="C940" s="1" t="n">
        <v>106</v>
      </c>
      <c r="D940" s="4" t="n">
        <v>482</v>
      </c>
      <c r="E940" s="1" t="s">
        <v>1950</v>
      </c>
    </row>
    <row r="941" customFormat="false" ht="15" hidden="false" customHeight="true" outlineLevel="0" collapsed="false">
      <c r="A941" s="1" t="n">
        <v>50254</v>
      </c>
      <c r="B941" s="3" t="n">
        <v>44001</v>
      </c>
      <c r="C941" s="1" t="n">
        <v>917</v>
      </c>
      <c r="D941" s="4" t="n">
        <v>793</v>
      </c>
      <c r="E941" s="1" t="s">
        <v>1950</v>
      </c>
    </row>
    <row r="942" customFormat="false" ht="15" hidden="false" customHeight="true" outlineLevel="0" collapsed="false">
      <c r="A942" s="1" t="n">
        <v>51161</v>
      </c>
      <c r="B942" s="3" t="n">
        <v>44067</v>
      </c>
      <c r="C942" s="1" t="n">
        <v>1365</v>
      </c>
      <c r="D942" s="4" t="n">
        <v>0</v>
      </c>
      <c r="E942" s="1" t="s">
        <v>1949</v>
      </c>
    </row>
    <row r="943" customFormat="false" ht="15" hidden="false" customHeight="true" outlineLevel="0" collapsed="false">
      <c r="A943" s="1" t="n">
        <v>50153</v>
      </c>
      <c r="B943" s="3" t="n">
        <v>44048</v>
      </c>
      <c r="C943" s="1" t="n">
        <v>315</v>
      </c>
      <c r="D943" s="4" t="n">
        <v>0</v>
      </c>
      <c r="E943" s="1" t="s">
        <v>1949</v>
      </c>
    </row>
    <row r="944" customFormat="false" ht="15" hidden="false" customHeight="true" outlineLevel="0" collapsed="false">
      <c r="A944" s="1" t="n">
        <v>50970</v>
      </c>
      <c r="B944" s="3" t="n">
        <v>44003</v>
      </c>
      <c r="C944" s="1" t="n">
        <v>317</v>
      </c>
      <c r="D944" s="4" t="n">
        <v>464</v>
      </c>
      <c r="E944" s="1" t="s">
        <v>1950</v>
      </c>
    </row>
    <row r="945" customFormat="false" ht="15" hidden="false" customHeight="true" outlineLevel="0" collapsed="false">
      <c r="A945" s="1" t="n">
        <v>51786</v>
      </c>
      <c r="B945" s="3" t="n">
        <v>44008</v>
      </c>
      <c r="C945" s="1" t="n">
        <v>258</v>
      </c>
      <c r="D945" s="4" t="n">
        <v>0</v>
      </c>
      <c r="E945" s="1" t="s">
        <v>1949</v>
      </c>
    </row>
    <row r="946" customFormat="false" ht="15" hidden="false" customHeight="true" outlineLevel="0" collapsed="false">
      <c r="A946" s="1" t="n">
        <v>50744</v>
      </c>
      <c r="B946" s="3" t="n">
        <v>44068</v>
      </c>
      <c r="C946" s="1" t="n">
        <v>575</v>
      </c>
      <c r="D946" s="4" t="n">
        <v>0</v>
      </c>
      <c r="E946" s="1" t="s">
        <v>1949</v>
      </c>
    </row>
    <row r="947" customFormat="false" ht="15" hidden="false" customHeight="true" outlineLevel="0" collapsed="false">
      <c r="A947" s="1" t="n">
        <v>50655</v>
      </c>
      <c r="B947" s="3" t="n">
        <v>44063</v>
      </c>
      <c r="C947" s="1" t="n">
        <v>1986</v>
      </c>
      <c r="D947" s="4" t="n">
        <v>276</v>
      </c>
      <c r="E947" s="1" t="s">
        <v>1950</v>
      </c>
    </row>
    <row r="948" customFormat="false" ht="15" hidden="false" customHeight="true" outlineLevel="0" collapsed="false">
      <c r="A948" s="1" t="n">
        <v>50822</v>
      </c>
      <c r="B948" s="3" t="n">
        <v>44044</v>
      </c>
      <c r="C948" s="1" t="n">
        <v>946</v>
      </c>
      <c r="D948" s="4" t="n">
        <v>0</v>
      </c>
      <c r="E948" s="1" t="s">
        <v>1949</v>
      </c>
    </row>
    <row r="949" customFormat="false" ht="15" hidden="false" customHeight="true" outlineLevel="0" collapsed="false">
      <c r="A949" s="1" t="n">
        <v>51402</v>
      </c>
      <c r="B949" s="3" t="n">
        <v>44047</v>
      </c>
      <c r="C949" s="1" t="n">
        <v>1402</v>
      </c>
      <c r="D949" s="4" t="n">
        <v>0</v>
      </c>
      <c r="E949" s="1" t="s">
        <v>1949</v>
      </c>
    </row>
    <row r="950" customFormat="false" ht="15" hidden="false" customHeight="true" outlineLevel="0" collapsed="false">
      <c r="A950" s="1" t="n">
        <v>50771</v>
      </c>
      <c r="B950" s="3" t="n">
        <v>44045</v>
      </c>
      <c r="C950" s="1" t="n">
        <v>1125</v>
      </c>
      <c r="D950" s="4" t="n">
        <v>0</v>
      </c>
      <c r="E950" s="1" t="s">
        <v>1949</v>
      </c>
    </row>
    <row r="951" customFormat="false" ht="15" hidden="false" customHeight="true" outlineLevel="0" collapsed="false">
      <c r="A951" s="1" t="n">
        <v>50355</v>
      </c>
      <c r="B951" s="3" t="n">
        <v>44059</v>
      </c>
      <c r="C951" s="1" t="n">
        <v>1260</v>
      </c>
      <c r="D951" s="4" t="n">
        <v>0</v>
      </c>
      <c r="E951" s="1" t="s">
        <v>1949</v>
      </c>
    </row>
    <row r="952" customFormat="false" ht="15" hidden="false" customHeight="true" outlineLevel="0" collapsed="false">
      <c r="A952" s="1" t="n">
        <v>51440</v>
      </c>
      <c r="B952" s="3" t="n">
        <v>44064</v>
      </c>
      <c r="C952" s="1" t="n">
        <v>1841</v>
      </c>
      <c r="D952" s="4" t="n">
        <v>225</v>
      </c>
      <c r="E952" s="1" t="s">
        <v>1950</v>
      </c>
    </row>
    <row r="953" customFormat="false" ht="15" hidden="false" customHeight="true" outlineLevel="0" collapsed="false">
      <c r="A953" s="1" t="n">
        <v>50057</v>
      </c>
      <c r="B953" s="3" t="n">
        <v>43992</v>
      </c>
      <c r="C953" s="1" t="n">
        <v>146</v>
      </c>
      <c r="D953" s="4" t="n">
        <v>455</v>
      </c>
      <c r="E953" s="1" t="s">
        <v>1950</v>
      </c>
    </row>
    <row r="954" customFormat="false" ht="15" hidden="false" customHeight="true" outlineLevel="0" collapsed="false">
      <c r="A954" s="1" t="n">
        <v>50320</v>
      </c>
      <c r="B954" s="3" t="n">
        <v>44059</v>
      </c>
      <c r="C954" s="1" t="n">
        <v>1135</v>
      </c>
      <c r="D954" s="4" t="n">
        <v>874</v>
      </c>
      <c r="E954" s="1" t="s">
        <v>1950</v>
      </c>
    </row>
    <row r="955" customFormat="false" ht="15" hidden="false" customHeight="true" outlineLevel="0" collapsed="false">
      <c r="A955" s="1" t="n">
        <v>50131</v>
      </c>
      <c r="B955" s="3" t="n">
        <v>44022</v>
      </c>
      <c r="C955" s="1" t="n">
        <v>1296</v>
      </c>
      <c r="D955" s="4" t="n">
        <v>164</v>
      </c>
      <c r="E955" s="1" t="s">
        <v>1950</v>
      </c>
    </row>
    <row r="956" customFormat="false" ht="15" hidden="false" customHeight="true" outlineLevel="0" collapsed="false">
      <c r="A956" s="1" t="n">
        <v>50941</v>
      </c>
      <c r="B956" s="3" t="n">
        <v>44048</v>
      </c>
      <c r="C956" s="1" t="n">
        <v>1548</v>
      </c>
      <c r="D956" s="4" t="n">
        <v>387</v>
      </c>
      <c r="E956" s="1" t="s">
        <v>1950</v>
      </c>
    </row>
    <row r="957" customFormat="false" ht="15" hidden="false" customHeight="true" outlineLevel="0" collapsed="false">
      <c r="A957" s="1" t="n">
        <v>51236</v>
      </c>
      <c r="B957" s="3" t="n">
        <v>44002</v>
      </c>
      <c r="C957" s="1" t="n">
        <v>422</v>
      </c>
      <c r="D957" s="4" t="n">
        <v>0</v>
      </c>
      <c r="E957" s="1" t="s">
        <v>1949</v>
      </c>
    </row>
    <row r="958" customFormat="false" ht="15" hidden="false" customHeight="true" outlineLevel="0" collapsed="false">
      <c r="A958" s="1" t="n">
        <v>50273</v>
      </c>
      <c r="B958" s="3" t="n">
        <v>44021</v>
      </c>
      <c r="C958" s="1" t="n">
        <v>235</v>
      </c>
      <c r="D958" s="4" t="n">
        <v>378</v>
      </c>
      <c r="E958" s="1" t="s">
        <v>1950</v>
      </c>
    </row>
    <row r="959" customFormat="false" ht="15" hidden="false" customHeight="true" outlineLevel="0" collapsed="false">
      <c r="A959" s="1" t="n">
        <v>50649</v>
      </c>
      <c r="B959" s="3" t="n">
        <v>44015</v>
      </c>
      <c r="C959" s="1" t="n">
        <v>768</v>
      </c>
      <c r="D959" s="4" t="n">
        <v>596</v>
      </c>
      <c r="E959" s="1" t="s">
        <v>1950</v>
      </c>
    </row>
    <row r="960" customFormat="false" ht="15" hidden="false" customHeight="true" outlineLevel="0" collapsed="false">
      <c r="A960" s="1" t="n">
        <v>50166</v>
      </c>
      <c r="B960" s="3" t="n">
        <v>44060</v>
      </c>
      <c r="C960" s="1" t="n">
        <v>1423</v>
      </c>
      <c r="D960" s="4" t="n">
        <v>330</v>
      </c>
      <c r="E960" s="1" t="s">
        <v>1950</v>
      </c>
    </row>
    <row r="961" customFormat="false" ht="15" hidden="false" customHeight="true" outlineLevel="0" collapsed="false">
      <c r="A961" s="1" t="n">
        <v>51980</v>
      </c>
      <c r="B961" s="3" t="n">
        <v>43984</v>
      </c>
      <c r="C961" s="1" t="n">
        <v>1027</v>
      </c>
      <c r="D961" s="4" t="n">
        <v>664</v>
      </c>
      <c r="E961" s="1" t="s">
        <v>1950</v>
      </c>
    </row>
    <row r="962" customFormat="false" ht="15" hidden="false" customHeight="true" outlineLevel="0" collapsed="false">
      <c r="A962" s="1" t="n">
        <v>50723</v>
      </c>
      <c r="B962" s="3" t="n">
        <v>44061</v>
      </c>
      <c r="C962" s="1" t="n">
        <v>434</v>
      </c>
      <c r="D962" s="4" t="n">
        <v>126</v>
      </c>
      <c r="E962" s="1" t="s">
        <v>1950</v>
      </c>
    </row>
    <row r="963" customFormat="false" ht="15" hidden="false" customHeight="true" outlineLevel="0" collapsed="false">
      <c r="A963" s="1" t="n">
        <v>51294</v>
      </c>
      <c r="B963" s="3" t="n">
        <v>43992</v>
      </c>
      <c r="C963" s="1" t="n">
        <v>352</v>
      </c>
      <c r="D963" s="4" t="n">
        <v>759</v>
      </c>
      <c r="E963" s="1" t="s">
        <v>1950</v>
      </c>
    </row>
    <row r="964" customFormat="false" ht="15" hidden="false" customHeight="true" outlineLevel="0" collapsed="false">
      <c r="A964" s="1" t="n">
        <v>50691</v>
      </c>
      <c r="B964" s="3" t="n">
        <v>44022</v>
      </c>
      <c r="C964" s="1" t="n">
        <v>1761</v>
      </c>
      <c r="D964" s="4" t="n">
        <v>0</v>
      </c>
      <c r="E964" s="1" t="s">
        <v>1949</v>
      </c>
    </row>
    <row r="965" customFormat="false" ht="15" hidden="false" customHeight="true" outlineLevel="0" collapsed="false">
      <c r="A965" s="1" t="n">
        <v>51373</v>
      </c>
      <c r="B965" s="3" t="n">
        <v>44016</v>
      </c>
      <c r="C965" s="1" t="n">
        <v>1053</v>
      </c>
      <c r="D965" s="4" t="n">
        <v>0</v>
      </c>
      <c r="E965" s="1" t="s">
        <v>1949</v>
      </c>
    </row>
    <row r="966" customFormat="false" ht="15" hidden="false" customHeight="true" outlineLevel="0" collapsed="false">
      <c r="A966" s="1" t="n">
        <v>51853</v>
      </c>
      <c r="B966" s="3" t="n">
        <v>43992</v>
      </c>
      <c r="C966" s="1" t="n">
        <v>1505</v>
      </c>
      <c r="D966" s="4" t="n">
        <v>0</v>
      </c>
      <c r="E966" s="1" t="s">
        <v>1949</v>
      </c>
    </row>
    <row r="967" customFormat="false" ht="15" hidden="false" customHeight="true" outlineLevel="0" collapsed="false">
      <c r="A967" s="1" t="n">
        <v>51250</v>
      </c>
      <c r="B967" s="3" t="n">
        <v>43998</v>
      </c>
      <c r="C967" s="1" t="n">
        <v>1835</v>
      </c>
      <c r="D967" s="4" t="n">
        <v>615</v>
      </c>
      <c r="E967" s="1" t="s">
        <v>1950</v>
      </c>
    </row>
    <row r="968" customFormat="false" ht="15" hidden="false" customHeight="true" outlineLevel="0" collapsed="false">
      <c r="A968" s="1" t="n">
        <v>50566</v>
      </c>
      <c r="B968" s="3" t="n">
        <v>44032</v>
      </c>
      <c r="C968" s="1" t="n">
        <v>94</v>
      </c>
      <c r="D968" s="4" t="n">
        <v>0</v>
      </c>
      <c r="E968" s="1" t="s">
        <v>1949</v>
      </c>
    </row>
    <row r="969" customFormat="false" ht="15" hidden="false" customHeight="true" outlineLevel="0" collapsed="false">
      <c r="A969" s="1" t="n">
        <v>50107</v>
      </c>
      <c r="B969" s="3" t="n">
        <v>44064</v>
      </c>
      <c r="C969" s="1" t="n">
        <v>188</v>
      </c>
      <c r="D969" s="4" t="n">
        <v>669</v>
      </c>
      <c r="E969" s="1" t="s">
        <v>1950</v>
      </c>
    </row>
    <row r="970" customFormat="false" ht="15" hidden="false" customHeight="true" outlineLevel="0" collapsed="false">
      <c r="A970" s="1" t="n">
        <v>51235</v>
      </c>
      <c r="B970" s="3" t="n">
        <v>44006</v>
      </c>
      <c r="C970" s="1" t="n">
        <v>1740</v>
      </c>
      <c r="D970" s="4" t="n">
        <v>0</v>
      </c>
      <c r="E970" s="1" t="s">
        <v>1949</v>
      </c>
    </row>
    <row r="971" customFormat="false" ht="15" hidden="false" customHeight="true" outlineLevel="0" collapsed="false">
      <c r="A971" s="1" t="n">
        <v>50919</v>
      </c>
      <c r="B971" s="3" t="n">
        <v>44056</v>
      </c>
      <c r="C971" s="1" t="n">
        <v>1287</v>
      </c>
      <c r="D971" s="4" t="n">
        <v>839</v>
      </c>
      <c r="E971" s="1" t="s">
        <v>1950</v>
      </c>
    </row>
    <row r="972" customFormat="false" ht="15" hidden="false" customHeight="true" outlineLevel="0" collapsed="false">
      <c r="A972" s="1" t="n">
        <v>50526</v>
      </c>
      <c r="B972" s="3" t="n">
        <v>43983</v>
      </c>
      <c r="C972" s="1" t="n">
        <v>53</v>
      </c>
      <c r="D972" s="4" t="n">
        <v>378</v>
      </c>
      <c r="E972" s="1" t="s">
        <v>1950</v>
      </c>
    </row>
    <row r="973" customFormat="false" ht="15" hidden="false" customHeight="true" outlineLevel="0" collapsed="false">
      <c r="A973" s="1" t="n">
        <v>51712</v>
      </c>
      <c r="B973" s="3" t="n">
        <v>44060</v>
      </c>
      <c r="C973" s="1" t="n">
        <v>702</v>
      </c>
      <c r="D973" s="4" t="n">
        <v>137</v>
      </c>
      <c r="E973" s="1" t="s">
        <v>1950</v>
      </c>
    </row>
    <row r="974" customFormat="false" ht="15" hidden="false" customHeight="true" outlineLevel="0" collapsed="false">
      <c r="A974" s="1" t="n">
        <v>51559</v>
      </c>
      <c r="B974" s="3" t="n">
        <v>44020</v>
      </c>
      <c r="C974" s="1" t="n">
        <v>1838</v>
      </c>
      <c r="D974" s="4" t="n">
        <v>126</v>
      </c>
      <c r="E974" s="1" t="s">
        <v>1950</v>
      </c>
    </row>
    <row r="975" customFormat="false" ht="15" hidden="false" customHeight="true" outlineLevel="0" collapsed="false">
      <c r="A975" s="1" t="n">
        <v>51943</v>
      </c>
      <c r="B975" s="3" t="n">
        <v>44058</v>
      </c>
      <c r="C975" s="1" t="n">
        <v>1087</v>
      </c>
      <c r="D975" s="4" t="n">
        <v>765</v>
      </c>
      <c r="E975" s="1" t="s">
        <v>1950</v>
      </c>
    </row>
    <row r="976" customFormat="false" ht="15" hidden="false" customHeight="true" outlineLevel="0" collapsed="false">
      <c r="A976" s="1" t="n">
        <v>50043</v>
      </c>
      <c r="B976" s="3" t="n">
        <v>44000</v>
      </c>
      <c r="C976" s="1" t="n">
        <v>950</v>
      </c>
      <c r="D976" s="4" t="n">
        <v>587</v>
      </c>
      <c r="E976" s="1" t="s">
        <v>1950</v>
      </c>
    </row>
    <row r="977" customFormat="false" ht="15" hidden="false" customHeight="true" outlineLevel="0" collapsed="false">
      <c r="A977" s="1" t="n">
        <v>51833</v>
      </c>
      <c r="B977" s="3" t="n">
        <v>44051</v>
      </c>
      <c r="C977" s="1" t="n">
        <v>675</v>
      </c>
      <c r="D977" s="4" t="n">
        <v>0</v>
      </c>
      <c r="E977" s="1" t="s">
        <v>1949</v>
      </c>
    </row>
    <row r="978" customFormat="false" ht="15" hidden="false" customHeight="true" outlineLevel="0" collapsed="false">
      <c r="A978" s="1" t="n">
        <v>50929</v>
      </c>
      <c r="B978" s="3" t="n">
        <v>44068</v>
      </c>
      <c r="C978" s="1" t="n">
        <v>1614</v>
      </c>
      <c r="D978" s="4" t="n">
        <v>0</v>
      </c>
      <c r="E978" s="1" t="s">
        <v>1949</v>
      </c>
    </row>
    <row r="979" customFormat="false" ht="15" hidden="false" customHeight="true" outlineLevel="0" collapsed="false">
      <c r="A979" s="1" t="n">
        <v>51215</v>
      </c>
      <c r="B979" s="3" t="n">
        <v>44004</v>
      </c>
      <c r="C979" s="1" t="n">
        <v>1876</v>
      </c>
      <c r="D979" s="4" t="n">
        <v>132</v>
      </c>
      <c r="E979" s="1" t="s">
        <v>1950</v>
      </c>
    </row>
    <row r="980" customFormat="false" ht="15" hidden="false" customHeight="true" outlineLevel="0" collapsed="false">
      <c r="A980" s="1" t="n">
        <v>50078</v>
      </c>
      <c r="B980" s="3" t="n">
        <v>44059</v>
      </c>
      <c r="C980" s="1" t="n">
        <v>1299</v>
      </c>
      <c r="D980" s="4" t="n">
        <v>525</v>
      </c>
      <c r="E980" s="1" t="s">
        <v>1950</v>
      </c>
    </row>
    <row r="981" customFormat="false" ht="15" hidden="false" customHeight="true" outlineLevel="0" collapsed="false">
      <c r="A981" s="1" t="n">
        <v>51239</v>
      </c>
      <c r="B981" s="3" t="n">
        <v>44030</v>
      </c>
      <c r="C981" s="1" t="n">
        <v>1252</v>
      </c>
      <c r="D981" s="4" t="n">
        <v>250</v>
      </c>
      <c r="E981" s="1" t="s">
        <v>1950</v>
      </c>
    </row>
    <row r="982" customFormat="false" ht="15" hidden="false" customHeight="true" outlineLevel="0" collapsed="false">
      <c r="A982" s="1" t="n">
        <v>51553</v>
      </c>
      <c r="B982" s="3" t="n">
        <v>44055</v>
      </c>
      <c r="C982" s="1" t="n">
        <v>1128</v>
      </c>
      <c r="D982" s="4" t="n">
        <v>0</v>
      </c>
      <c r="E982" s="1" t="s">
        <v>1949</v>
      </c>
    </row>
    <row r="983" customFormat="false" ht="15" hidden="false" customHeight="true" outlineLevel="0" collapsed="false">
      <c r="A983" s="1" t="n">
        <v>51541</v>
      </c>
      <c r="B983" s="3" t="n">
        <v>43988</v>
      </c>
      <c r="C983" s="1" t="n">
        <v>1545</v>
      </c>
      <c r="D983" s="4" t="n">
        <v>833</v>
      </c>
      <c r="E983" s="1" t="s">
        <v>1950</v>
      </c>
    </row>
    <row r="984" customFormat="false" ht="15" hidden="false" customHeight="true" outlineLevel="0" collapsed="false">
      <c r="A984" s="1" t="n">
        <v>50073</v>
      </c>
      <c r="B984" s="3" t="n">
        <v>44018</v>
      </c>
      <c r="C984" s="1" t="n">
        <v>1199</v>
      </c>
      <c r="D984" s="4" t="n">
        <v>636</v>
      </c>
      <c r="E984" s="1" t="s">
        <v>1950</v>
      </c>
    </row>
    <row r="985" customFormat="false" ht="15" hidden="false" customHeight="true" outlineLevel="0" collapsed="false">
      <c r="A985" s="1" t="n">
        <v>50237</v>
      </c>
      <c r="B985" s="3" t="n">
        <v>44070</v>
      </c>
      <c r="C985" s="1" t="n">
        <v>1040</v>
      </c>
      <c r="D985" s="4" t="n">
        <v>263</v>
      </c>
      <c r="E985" s="1" t="s">
        <v>1950</v>
      </c>
    </row>
    <row r="986" customFormat="false" ht="15" hidden="false" customHeight="true" outlineLevel="0" collapsed="false">
      <c r="A986" s="1" t="n">
        <v>51533</v>
      </c>
      <c r="B986" s="3" t="n">
        <v>44024</v>
      </c>
      <c r="C986" s="1" t="n">
        <v>1819</v>
      </c>
      <c r="D986" s="4" t="n">
        <v>0</v>
      </c>
      <c r="E986" s="1" t="s">
        <v>1949</v>
      </c>
    </row>
    <row r="987" customFormat="false" ht="15" hidden="false" customHeight="true" outlineLevel="0" collapsed="false">
      <c r="A987" s="1" t="n">
        <v>50259</v>
      </c>
      <c r="B987" s="3" t="n">
        <v>44015</v>
      </c>
      <c r="C987" s="1" t="n">
        <v>1693</v>
      </c>
      <c r="D987" s="4" t="n">
        <v>567</v>
      </c>
      <c r="E987" s="1" t="s">
        <v>1950</v>
      </c>
    </row>
    <row r="988" customFormat="false" ht="15" hidden="false" customHeight="true" outlineLevel="0" collapsed="false">
      <c r="A988" s="1" t="n">
        <v>50745</v>
      </c>
      <c r="B988" s="3" t="n">
        <v>44022</v>
      </c>
      <c r="C988" s="1" t="n">
        <v>961</v>
      </c>
      <c r="D988" s="4" t="n">
        <v>0</v>
      </c>
      <c r="E988" s="1" t="s">
        <v>1949</v>
      </c>
    </row>
    <row r="989" customFormat="false" ht="15" hidden="false" customHeight="true" outlineLevel="0" collapsed="false">
      <c r="A989" s="1" t="n">
        <v>51477</v>
      </c>
      <c r="B989" s="3" t="n">
        <v>44069</v>
      </c>
      <c r="C989" s="1" t="n">
        <v>1676</v>
      </c>
      <c r="D989" s="4" t="n">
        <v>136</v>
      </c>
      <c r="E989" s="1" t="s">
        <v>1950</v>
      </c>
    </row>
    <row r="990" customFormat="false" ht="15" hidden="false" customHeight="true" outlineLevel="0" collapsed="false">
      <c r="A990" s="1" t="n">
        <v>51438</v>
      </c>
      <c r="B990" s="3" t="n">
        <v>44025</v>
      </c>
      <c r="C990" s="1" t="n">
        <v>1060</v>
      </c>
      <c r="D990" s="4" t="n">
        <v>407</v>
      </c>
      <c r="E990" s="1" t="s">
        <v>1950</v>
      </c>
    </row>
    <row r="991" customFormat="false" ht="15" hidden="false" customHeight="true" outlineLevel="0" collapsed="false">
      <c r="A991" s="1" t="n">
        <v>51883</v>
      </c>
      <c r="B991" s="3" t="n">
        <v>44003</v>
      </c>
      <c r="C991" s="1" t="n">
        <v>1557</v>
      </c>
      <c r="D991" s="4" t="n">
        <v>0</v>
      </c>
      <c r="E991" s="1" t="s">
        <v>1949</v>
      </c>
    </row>
    <row r="992" customFormat="false" ht="15" hidden="false" customHeight="true" outlineLevel="0" collapsed="false">
      <c r="A992" s="1" t="n">
        <v>50549</v>
      </c>
      <c r="B992" s="3" t="n">
        <v>44040</v>
      </c>
      <c r="C992" s="1" t="n">
        <v>1507</v>
      </c>
      <c r="D992" s="4" t="n">
        <v>0</v>
      </c>
      <c r="E992" s="1" t="s">
        <v>1949</v>
      </c>
    </row>
    <row r="993" customFormat="false" ht="15" hidden="false" customHeight="true" outlineLevel="0" collapsed="false">
      <c r="A993" s="1" t="n">
        <v>51035</v>
      </c>
      <c r="B993" s="3" t="n">
        <v>44058</v>
      </c>
      <c r="C993" s="1" t="n">
        <v>165</v>
      </c>
      <c r="D993" s="4" t="n">
        <v>0</v>
      </c>
      <c r="E993" s="1" t="s">
        <v>1949</v>
      </c>
    </row>
    <row r="994" customFormat="false" ht="15" hidden="false" customHeight="true" outlineLevel="0" collapsed="false">
      <c r="A994" s="1" t="n">
        <v>51744</v>
      </c>
      <c r="B994" s="3" t="n">
        <v>44059</v>
      </c>
      <c r="C994" s="1" t="n">
        <v>1960</v>
      </c>
      <c r="D994" s="4" t="n">
        <v>381</v>
      </c>
      <c r="E994" s="1" t="s">
        <v>1950</v>
      </c>
    </row>
    <row r="995" customFormat="false" ht="15" hidden="false" customHeight="true" outlineLevel="0" collapsed="false">
      <c r="A995" s="1" t="n">
        <v>50429</v>
      </c>
      <c r="B995" s="3" t="n">
        <v>44006</v>
      </c>
      <c r="C995" s="1" t="n">
        <v>558</v>
      </c>
      <c r="D995" s="4" t="n">
        <v>0</v>
      </c>
      <c r="E995" s="1" t="s">
        <v>1949</v>
      </c>
    </row>
    <row r="996" customFormat="false" ht="15" hidden="false" customHeight="true" outlineLevel="0" collapsed="false">
      <c r="A996" s="1" t="n">
        <v>51127</v>
      </c>
      <c r="B996" s="3" t="n">
        <v>44033</v>
      </c>
      <c r="C996" s="1" t="n">
        <v>1137</v>
      </c>
      <c r="D996" s="4" t="n">
        <v>0</v>
      </c>
      <c r="E996" s="1" t="s">
        <v>1949</v>
      </c>
    </row>
    <row r="997" customFormat="false" ht="15" hidden="false" customHeight="true" outlineLevel="0" collapsed="false">
      <c r="A997" s="1" t="n">
        <v>50552</v>
      </c>
      <c r="B997" s="3" t="n">
        <v>44022</v>
      </c>
      <c r="C997" s="1" t="n">
        <v>1630</v>
      </c>
      <c r="D997" s="4" t="n">
        <v>562</v>
      </c>
      <c r="E997" s="1" t="s">
        <v>1950</v>
      </c>
    </row>
    <row r="998" customFormat="false" ht="15" hidden="false" customHeight="true" outlineLevel="0" collapsed="false">
      <c r="A998" s="1" t="n">
        <v>50137</v>
      </c>
      <c r="B998" s="3" t="n">
        <v>44012</v>
      </c>
      <c r="C998" s="1" t="n">
        <v>1187</v>
      </c>
      <c r="D998" s="4" t="n">
        <v>492</v>
      </c>
      <c r="E998" s="1" t="s">
        <v>1950</v>
      </c>
    </row>
    <row r="999" customFormat="false" ht="15" hidden="false" customHeight="true" outlineLevel="0" collapsed="false">
      <c r="A999" s="1" t="n">
        <v>51989</v>
      </c>
      <c r="B999" s="3" t="n">
        <v>44017</v>
      </c>
      <c r="C999" s="1" t="n">
        <v>1216</v>
      </c>
      <c r="D999" s="4" t="n">
        <v>0</v>
      </c>
      <c r="E999" s="1" t="s">
        <v>1949</v>
      </c>
    </row>
    <row r="1000" customFormat="false" ht="15" hidden="false" customHeight="true" outlineLevel="0" collapsed="false">
      <c r="A1000" s="1" t="n">
        <v>50223</v>
      </c>
      <c r="B1000" s="3" t="n">
        <v>44066</v>
      </c>
      <c r="C1000" s="1" t="n">
        <v>859</v>
      </c>
      <c r="D1000" s="4" t="n">
        <v>587</v>
      </c>
      <c r="E1000" s="1" t="s">
        <v>1950</v>
      </c>
    </row>
    <row r="1001" customFormat="false" ht="15" hidden="false" customHeight="true" outlineLevel="0" collapsed="false">
      <c r="A1001" s="1" t="n">
        <v>50894</v>
      </c>
      <c r="B1001" s="3" t="n">
        <v>44062</v>
      </c>
      <c r="C1001" s="1" t="n">
        <v>1120</v>
      </c>
      <c r="D1001" s="4" t="n">
        <v>0</v>
      </c>
      <c r="E1001" s="1" t="s">
        <v>1949</v>
      </c>
    </row>
    <row r="1002" customFormat="false" ht="15" hidden="false" customHeight="true" outlineLevel="0" collapsed="false">
      <c r="A1002" s="1" t="n">
        <v>50667</v>
      </c>
      <c r="B1002" s="3" t="n">
        <v>44014</v>
      </c>
      <c r="C1002" s="1" t="n">
        <v>330</v>
      </c>
      <c r="D1002" s="4" t="n">
        <v>0</v>
      </c>
      <c r="E1002" s="1" t="s">
        <v>1949</v>
      </c>
    </row>
    <row r="1003" customFormat="false" ht="15" hidden="false" customHeight="true" outlineLevel="0" collapsed="false">
      <c r="A1003" s="1" t="n">
        <v>50553</v>
      </c>
      <c r="B1003" s="3" t="n">
        <v>43988</v>
      </c>
      <c r="C1003" s="1" t="n">
        <v>1275</v>
      </c>
      <c r="D1003" s="4" t="n">
        <v>0</v>
      </c>
      <c r="E1003" s="1" t="s">
        <v>1949</v>
      </c>
    </row>
    <row r="1004" customFormat="false" ht="15" hidden="false" customHeight="true" outlineLevel="0" collapsed="false">
      <c r="A1004" s="1" t="n">
        <v>51551</v>
      </c>
      <c r="B1004" s="3" t="n">
        <v>44048</v>
      </c>
      <c r="C1004" s="1" t="n">
        <v>304</v>
      </c>
      <c r="D1004" s="4" t="n">
        <v>345</v>
      </c>
      <c r="E1004" s="1" t="s">
        <v>1950</v>
      </c>
    </row>
    <row r="1005" customFormat="false" ht="15" hidden="false" customHeight="true" outlineLevel="0" collapsed="false">
      <c r="A1005" s="1" t="n">
        <v>50565</v>
      </c>
      <c r="B1005" s="3" t="n">
        <v>44022</v>
      </c>
      <c r="C1005" s="1" t="n">
        <v>936</v>
      </c>
      <c r="D1005" s="4" t="n">
        <v>0</v>
      </c>
      <c r="E1005" s="1" t="s">
        <v>1949</v>
      </c>
    </row>
    <row r="1006" customFormat="false" ht="15" hidden="false" customHeight="true" outlineLevel="0" collapsed="false">
      <c r="A1006" s="1" t="n">
        <v>51338</v>
      </c>
      <c r="B1006" s="3" t="n">
        <v>43999</v>
      </c>
      <c r="C1006" s="1" t="n">
        <v>19</v>
      </c>
      <c r="D1006" s="4" t="n">
        <v>257</v>
      </c>
      <c r="E1006" s="1" t="s">
        <v>1950</v>
      </c>
    </row>
    <row r="1007" customFormat="false" ht="15" hidden="false" customHeight="true" outlineLevel="0" collapsed="false">
      <c r="A1007" s="1" t="n">
        <v>50523</v>
      </c>
      <c r="B1007" s="3" t="n">
        <v>44005</v>
      </c>
      <c r="C1007" s="1" t="n">
        <v>1330</v>
      </c>
      <c r="D1007" s="4" t="n">
        <v>0</v>
      </c>
      <c r="E1007" s="1" t="s">
        <v>1949</v>
      </c>
    </row>
    <row r="1008" customFormat="false" ht="15" hidden="false" customHeight="true" outlineLevel="0" collapsed="false">
      <c r="A1008" s="1" t="n">
        <v>50463</v>
      </c>
      <c r="B1008" s="3" t="n">
        <v>44061</v>
      </c>
      <c r="C1008" s="1" t="n">
        <v>568</v>
      </c>
      <c r="D1008" s="4" t="n">
        <v>0</v>
      </c>
      <c r="E1008" s="1" t="s">
        <v>1949</v>
      </c>
    </row>
    <row r="1009" customFormat="false" ht="15" hidden="false" customHeight="true" outlineLevel="0" collapsed="false">
      <c r="A1009" s="1" t="n">
        <v>50103</v>
      </c>
      <c r="B1009" s="3" t="n">
        <v>44015</v>
      </c>
      <c r="C1009" s="1" t="n">
        <v>1743</v>
      </c>
      <c r="D1009" s="4" t="n">
        <v>0</v>
      </c>
      <c r="E1009" s="1" t="s">
        <v>1949</v>
      </c>
    </row>
    <row r="1010" customFormat="false" ht="15" hidden="false" customHeight="true" outlineLevel="0" collapsed="false">
      <c r="A1010" s="1" t="n">
        <v>51717</v>
      </c>
      <c r="B1010" s="3" t="n">
        <v>44050</v>
      </c>
      <c r="C1010" s="1" t="n">
        <v>1037</v>
      </c>
      <c r="D1010" s="4" t="n">
        <v>393</v>
      </c>
      <c r="E1010" s="1" t="s">
        <v>1950</v>
      </c>
    </row>
    <row r="1011" customFormat="false" ht="15" hidden="false" customHeight="true" outlineLevel="0" collapsed="false">
      <c r="A1011" s="1" t="n">
        <v>51614</v>
      </c>
      <c r="B1011" s="3" t="n">
        <v>44051</v>
      </c>
      <c r="C1011" s="1" t="n">
        <v>1754</v>
      </c>
      <c r="D1011" s="4" t="n">
        <v>878</v>
      </c>
      <c r="E1011" s="1" t="s">
        <v>1950</v>
      </c>
    </row>
    <row r="1012" customFormat="false" ht="15" hidden="false" customHeight="true" outlineLevel="0" collapsed="false">
      <c r="A1012" s="1" t="n">
        <v>50236</v>
      </c>
      <c r="B1012" s="3" t="n">
        <v>44059</v>
      </c>
      <c r="C1012" s="1" t="n">
        <v>1634</v>
      </c>
      <c r="D1012" s="4" t="n">
        <v>200</v>
      </c>
      <c r="E1012" s="1" t="s">
        <v>1950</v>
      </c>
    </row>
    <row r="1013" customFormat="false" ht="15" hidden="false" customHeight="true" outlineLevel="0" collapsed="false">
      <c r="A1013" s="1" t="n">
        <v>51484</v>
      </c>
      <c r="B1013" s="3" t="n">
        <v>44021</v>
      </c>
      <c r="C1013" s="1" t="n">
        <v>1689</v>
      </c>
      <c r="D1013" s="4" t="n">
        <v>728</v>
      </c>
      <c r="E1013" s="1" t="s">
        <v>1950</v>
      </c>
    </row>
    <row r="1014" customFormat="false" ht="15" hidden="false" customHeight="true" outlineLevel="0" collapsed="false">
      <c r="A1014" s="1" t="n">
        <v>50116</v>
      </c>
      <c r="B1014" s="3" t="n">
        <v>44050</v>
      </c>
      <c r="C1014" s="1" t="n">
        <v>468</v>
      </c>
      <c r="D1014" s="4" t="n">
        <v>773</v>
      </c>
      <c r="E1014" s="1" t="s">
        <v>1950</v>
      </c>
    </row>
    <row r="1015" customFormat="false" ht="15" hidden="false" customHeight="true" outlineLevel="0" collapsed="false">
      <c r="A1015" s="1" t="n">
        <v>50756</v>
      </c>
      <c r="B1015" s="3" t="n">
        <v>44001</v>
      </c>
      <c r="C1015" s="1" t="n">
        <v>1203</v>
      </c>
      <c r="D1015" s="4" t="n">
        <v>896</v>
      </c>
      <c r="E1015" s="1" t="s">
        <v>1950</v>
      </c>
    </row>
    <row r="1016" customFormat="false" ht="15" hidden="false" customHeight="true" outlineLevel="0" collapsed="false">
      <c r="A1016" s="1" t="n">
        <v>50700</v>
      </c>
      <c r="B1016" s="3" t="n">
        <v>44057</v>
      </c>
      <c r="C1016" s="1" t="n">
        <v>458</v>
      </c>
      <c r="D1016" s="4" t="n">
        <v>0</v>
      </c>
      <c r="E1016" s="1" t="s">
        <v>1949</v>
      </c>
    </row>
    <row r="1017" customFormat="false" ht="15" hidden="false" customHeight="true" outlineLevel="0" collapsed="false">
      <c r="A1017" s="1" t="n">
        <v>51153</v>
      </c>
      <c r="B1017" s="3" t="n">
        <v>43984</v>
      </c>
      <c r="C1017" s="1" t="n">
        <v>129</v>
      </c>
      <c r="D1017" s="4" t="n">
        <v>852</v>
      </c>
      <c r="E1017" s="1" t="s">
        <v>1950</v>
      </c>
    </row>
    <row r="1018" customFormat="false" ht="15" hidden="false" customHeight="true" outlineLevel="0" collapsed="false">
      <c r="A1018" s="1" t="n">
        <v>50926</v>
      </c>
      <c r="B1018" s="3" t="n">
        <v>44023</v>
      </c>
      <c r="C1018" s="1" t="n">
        <v>1982</v>
      </c>
      <c r="D1018" s="4" t="n">
        <v>519</v>
      </c>
      <c r="E1018" s="1" t="s">
        <v>1950</v>
      </c>
    </row>
    <row r="1019" customFormat="false" ht="15" hidden="false" customHeight="true" outlineLevel="0" collapsed="false">
      <c r="A1019" s="1" t="n">
        <v>51093</v>
      </c>
      <c r="B1019" s="3" t="n">
        <v>44039</v>
      </c>
      <c r="C1019" s="1" t="n">
        <v>839</v>
      </c>
      <c r="D1019" s="4" t="n">
        <v>344</v>
      </c>
      <c r="E1019" s="1" t="s">
        <v>1950</v>
      </c>
    </row>
    <row r="1020" customFormat="false" ht="15" hidden="false" customHeight="true" outlineLevel="0" collapsed="false">
      <c r="A1020" s="1" t="n">
        <v>51164</v>
      </c>
      <c r="B1020" s="3" t="n">
        <v>44055</v>
      </c>
      <c r="C1020" s="1" t="n">
        <v>1176</v>
      </c>
      <c r="D1020" s="4" t="n">
        <v>510</v>
      </c>
      <c r="E1020" s="1" t="s">
        <v>1950</v>
      </c>
    </row>
    <row r="1021" customFormat="false" ht="15" hidden="false" customHeight="true" outlineLevel="0" collapsed="false">
      <c r="A1021" s="1" t="n">
        <v>50825</v>
      </c>
      <c r="B1021" s="3" t="n">
        <v>44011</v>
      </c>
      <c r="C1021" s="1" t="n">
        <v>1057</v>
      </c>
      <c r="D1021" s="4" t="n">
        <v>276</v>
      </c>
      <c r="E1021" s="1" t="s">
        <v>1950</v>
      </c>
    </row>
    <row r="1022" customFormat="false" ht="15" hidden="false" customHeight="true" outlineLevel="0" collapsed="false">
      <c r="A1022" s="1" t="n">
        <v>50311</v>
      </c>
      <c r="B1022" s="3" t="n">
        <v>44061</v>
      </c>
      <c r="C1022" s="1" t="n">
        <v>1777</v>
      </c>
      <c r="D1022" s="4" t="n">
        <v>570</v>
      </c>
      <c r="E1022" s="1" t="s">
        <v>1950</v>
      </c>
    </row>
    <row r="1023" customFormat="false" ht="15" hidden="false" customHeight="true" outlineLevel="0" collapsed="false">
      <c r="A1023" s="1" t="n">
        <v>50800</v>
      </c>
      <c r="B1023" s="3" t="n">
        <v>44034</v>
      </c>
      <c r="C1023" s="1" t="n">
        <v>1791</v>
      </c>
      <c r="D1023" s="4" t="n">
        <v>0</v>
      </c>
      <c r="E1023" s="1" t="s">
        <v>1949</v>
      </c>
    </row>
    <row r="1024" customFormat="false" ht="15" hidden="false" customHeight="true" outlineLevel="0" collapsed="false">
      <c r="A1024" s="1" t="n">
        <v>50586</v>
      </c>
      <c r="B1024" s="3" t="n">
        <v>44017</v>
      </c>
      <c r="C1024" s="1" t="n">
        <v>387</v>
      </c>
      <c r="D1024" s="4" t="n">
        <v>0</v>
      </c>
      <c r="E1024" s="1" t="s">
        <v>1949</v>
      </c>
    </row>
    <row r="1025" customFormat="false" ht="15" hidden="false" customHeight="true" outlineLevel="0" collapsed="false">
      <c r="A1025" s="1" t="n">
        <v>50127</v>
      </c>
      <c r="B1025" s="3" t="n">
        <v>44010</v>
      </c>
      <c r="C1025" s="1" t="n">
        <v>723</v>
      </c>
      <c r="D1025" s="4" t="n">
        <v>225</v>
      </c>
      <c r="E1025" s="1" t="s">
        <v>1950</v>
      </c>
    </row>
    <row r="1026" customFormat="false" ht="15" hidden="false" customHeight="true" outlineLevel="0" collapsed="false">
      <c r="A1026" s="1" t="n">
        <v>50739</v>
      </c>
      <c r="B1026" s="3" t="n">
        <v>44017</v>
      </c>
      <c r="C1026" s="1" t="n">
        <v>1700</v>
      </c>
      <c r="D1026" s="4" t="n">
        <v>0</v>
      </c>
      <c r="E1026" s="1" t="s">
        <v>1949</v>
      </c>
    </row>
    <row r="1027" customFormat="false" ht="15" hidden="false" customHeight="true" outlineLevel="0" collapsed="false">
      <c r="A1027" s="1" t="n">
        <v>51831</v>
      </c>
      <c r="B1027" s="3" t="n">
        <v>44014</v>
      </c>
      <c r="C1027" s="1" t="n">
        <v>1714</v>
      </c>
      <c r="D1027" s="4" t="n">
        <v>0</v>
      </c>
      <c r="E1027" s="1" t="s">
        <v>1949</v>
      </c>
    </row>
    <row r="1028" customFormat="false" ht="15" hidden="false" customHeight="true" outlineLevel="0" collapsed="false">
      <c r="A1028" s="1" t="n">
        <v>50959</v>
      </c>
      <c r="B1028" s="3" t="n">
        <v>44033</v>
      </c>
      <c r="C1028" s="1" t="n">
        <v>93</v>
      </c>
      <c r="D1028" s="4" t="n">
        <v>304</v>
      </c>
      <c r="E1028" s="1" t="s">
        <v>1950</v>
      </c>
    </row>
    <row r="1029" customFormat="false" ht="15" hidden="false" customHeight="true" outlineLevel="0" collapsed="false">
      <c r="A1029" s="1" t="n">
        <v>51704</v>
      </c>
      <c r="B1029" s="3" t="n">
        <v>43986</v>
      </c>
      <c r="C1029" s="1" t="n">
        <v>652</v>
      </c>
      <c r="D1029" s="4" t="n">
        <v>199</v>
      </c>
      <c r="E1029" s="1" t="s">
        <v>1950</v>
      </c>
    </row>
    <row r="1030" customFormat="false" ht="15" hidden="false" customHeight="true" outlineLevel="0" collapsed="false">
      <c r="A1030" s="1" t="n">
        <v>51612</v>
      </c>
      <c r="B1030" s="3" t="n">
        <v>44050</v>
      </c>
      <c r="C1030" s="1" t="n">
        <v>1005</v>
      </c>
      <c r="D1030" s="4" t="n">
        <v>859</v>
      </c>
      <c r="E1030" s="1" t="s">
        <v>1950</v>
      </c>
    </row>
    <row r="1031" customFormat="false" ht="15" hidden="false" customHeight="true" outlineLevel="0" collapsed="false">
      <c r="A1031" s="1" t="n">
        <v>50664</v>
      </c>
      <c r="B1031" s="3" t="n">
        <v>43993</v>
      </c>
      <c r="C1031" s="1" t="n">
        <v>1560</v>
      </c>
      <c r="D1031" s="4" t="n">
        <v>0</v>
      </c>
      <c r="E1031" s="1" t="s">
        <v>1949</v>
      </c>
    </row>
    <row r="1032" customFormat="false" ht="15" hidden="false" customHeight="true" outlineLevel="0" collapsed="false">
      <c r="A1032" s="1" t="n">
        <v>50978</v>
      </c>
      <c r="B1032" s="3" t="n">
        <v>43983</v>
      </c>
      <c r="C1032" s="1" t="n">
        <v>1469</v>
      </c>
      <c r="D1032" s="4" t="n">
        <v>100</v>
      </c>
      <c r="E1032" s="1" t="s">
        <v>1950</v>
      </c>
    </row>
    <row r="1033" customFormat="false" ht="15" hidden="false" customHeight="true" outlineLevel="0" collapsed="false">
      <c r="A1033" s="1" t="n">
        <v>50283</v>
      </c>
      <c r="B1033" s="3" t="n">
        <v>44041</v>
      </c>
      <c r="C1033" s="1" t="n">
        <v>81</v>
      </c>
      <c r="D1033" s="4" t="n">
        <v>0</v>
      </c>
      <c r="E1033" s="1" t="s">
        <v>1949</v>
      </c>
    </row>
    <row r="1034" customFormat="false" ht="15" hidden="false" customHeight="true" outlineLevel="0" collapsed="false">
      <c r="A1034" s="1" t="n">
        <v>50597</v>
      </c>
      <c r="B1034" s="3" t="n">
        <v>44040</v>
      </c>
      <c r="C1034" s="1" t="n">
        <v>1833</v>
      </c>
      <c r="D1034" s="4" t="n">
        <v>570</v>
      </c>
      <c r="E1034" s="1" t="s">
        <v>1950</v>
      </c>
    </row>
    <row r="1035" customFormat="false" ht="15" hidden="false" customHeight="true" outlineLevel="0" collapsed="false">
      <c r="A1035" s="1" t="n">
        <v>50527</v>
      </c>
      <c r="B1035" s="3" t="n">
        <v>44051</v>
      </c>
      <c r="C1035" s="1" t="n">
        <v>535</v>
      </c>
      <c r="D1035" s="4" t="n">
        <v>0</v>
      </c>
      <c r="E1035" s="1" t="s">
        <v>1949</v>
      </c>
    </row>
    <row r="1036" customFormat="false" ht="15" hidden="false" customHeight="true" outlineLevel="0" collapsed="false">
      <c r="A1036" s="1" t="n">
        <v>50852</v>
      </c>
      <c r="B1036" s="3" t="n">
        <v>44070</v>
      </c>
      <c r="C1036" s="1" t="n">
        <v>419</v>
      </c>
      <c r="D1036" s="4" t="n">
        <v>406</v>
      </c>
      <c r="E1036" s="1" t="s">
        <v>1950</v>
      </c>
    </row>
    <row r="1037" customFormat="false" ht="15" hidden="false" customHeight="true" outlineLevel="0" collapsed="false">
      <c r="A1037" s="1" t="n">
        <v>50328</v>
      </c>
      <c r="B1037" s="3" t="n">
        <v>44055</v>
      </c>
      <c r="C1037" s="1" t="n">
        <v>313</v>
      </c>
      <c r="D1037" s="4" t="n">
        <v>213</v>
      </c>
      <c r="E1037" s="1" t="s">
        <v>1950</v>
      </c>
    </row>
    <row r="1038" customFormat="false" ht="15" hidden="false" customHeight="true" outlineLevel="0" collapsed="false">
      <c r="A1038" s="1" t="n">
        <v>51366</v>
      </c>
      <c r="B1038" s="3" t="n">
        <v>43982</v>
      </c>
      <c r="C1038" s="1" t="n">
        <v>356</v>
      </c>
      <c r="D1038" s="4" t="n">
        <v>0</v>
      </c>
      <c r="E1038" s="1" t="s">
        <v>1949</v>
      </c>
    </row>
    <row r="1039" customFormat="false" ht="15" hidden="false" customHeight="true" outlineLevel="0" collapsed="false">
      <c r="A1039" s="1" t="n">
        <v>51310</v>
      </c>
      <c r="B1039" s="3" t="n">
        <v>44067</v>
      </c>
      <c r="C1039" s="1" t="n">
        <v>7</v>
      </c>
      <c r="D1039" s="4" t="n">
        <v>0</v>
      </c>
      <c r="E1039" s="1" t="s">
        <v>1949</v>
      </c>
    </row>
    <row r="1040" customFormat="false" ht="15" hidden="false" customHeight="true" outlineLevel="0" collapsed="false">
      <c r="A1040" s="1" t="n">
        <v>50866</v>
      </c>
      <c r="B1040" s="3" t="n">
        <v>44063</v>
      </c>
      <c r="C1040" s="1" t="n">
        <v>189</v>
      </c>
      <c r="D1040" s="4" t="n">
        <v>0</v>
      </c>
      <c r="E1040" s="1" t="s">
        <v>1949</v>
      </c>
    </row>
    <row r="1041" customFormat="false" ht="15" hidden="false" customHeight="true" outlineLevel="0" collapsed="false">
      <c r="A1041" s="1" t="n">
        <v>51896</v>
      </c>
      <c r="B1041" s="3" t="n">
        <v>44039</v>
      </c>
      <c r="C1041" s="1" t="n">
        <v>1772</v>
      </c>
      <c r="D1041" s="4" t="n">
        <v>0</v>
      </c>
      <c r="E1041" s="1" t="s">
        <v>1949</v>
      </c>
    </row>
    <row r="1042" customFormat="false" ht="15" hidden="false" customHeight="true" outlineLevel="0" collapsed="false">
      <c r="A1042" s="1" t="n">
        <v>50454</v>
      </c>
      <c r="B1042" s="3" t="n">
        <v>44071</v>
      </c>
      <c r="C1042" s="1" t="n">
        <v>1608</v>
      </c>
      <c r="D1042" s="4" t="n">
        <v>0</v>
      </c>
      <c r="E1042" s="1" t="s">
        <v>1949</v>
      </c>
    </row>
    <row r="1043" customFormat="false" ht="15" hidden="false" customHeight="true" outlineLevel="0" collapsed="false">
      <c r="A1043" s="1" t="n">
        <v>51594</v>
      </c>
      <c r="B1043" s="3" t="n">
        <v>44056</v>
      </c>
      <c r="C1043" s="1" t="n">
        <v>1698</v>
      </c>
      <c r="D1043" s="4" t="n">
        <v>716</v>
      </c>
      <c r="E1043" s="1" t="s">
        <v>1950</v>
      </c>
    </row>
    <row r="1044" customFormat="false" ht="15" hidden="false" customHeight="true" outlineLevel="0" collapsed="false">
      <c r="A1044" s="1" t="n">
        <v>51198</v>
      </c>
      <c r="B1044" s="3" t="n">
        <v>44031</v>
      </c>
      <c r="C1044" s="1" t="n">
        <v>1961</v>
      </c>
      <c r="D1044" s="4" t="n">
        <v>530</v>
      </c>
      <c r="E1044" s="1" t="s">
        <v>1950</v>
      </c>
    </row>
    <row r="1045" customFormat="false" ht="15" hidden="false" customHeight="true" outlineLevel="0" collapsed="false">
      <c r="A1045" s="1" t="n">
        <v>51365</v>
      </c>
      <c r="B1045" s="3" t="n">
        <v>44022</v>
      </c>
      <c r="C1045" s="1" t="n">
        <v>1627</v>
      </c>
      <c r="D1045" s="4" t="n">
        <v>0</v>
      </c>
      <c r="E1045" s="1" t="s">
        <v>1949</v>
      </c>
    </row>
    <row r="1046" customFormat="false" ht="15" hidden="false" customHeight="true" outlineLevel="0" collapsed="false">
      <c r="A1046" s="1" t="n">
        <v>51066</v>
      </c>
      <c r="B1046" s="3" t="n">
        <v>44067</v>
      </c>
      <c r="C1046" s="1" t="n">
        <v>546</v>
      </c>
      <c r="D1046" s="4" t="n">
        <v>776</v>
      </c>
      <c r="E1046" s="1" t="s">
        <v>1950</v>
      </c>
    </row>
    <row r="1047" customFormat="false" ht="15" hidden="false" customHeight="true" outlineLevel="0" collapsed="false">
      <c r="A1047" s="1" t="n">
        <v>50028</v>
      </c>
      <c r="B1047" s="3" t="n">
        <v>44062</v>
      </c>
      <c r="C1047" s="1" t="n">
        <v>1239</v>
      </c>
      <c r="D1047" s="4" t="n">
        <v>0</v>
      </c>
      <c r="E1047" s="1" t="s">
        <v>1949</v>
      </c>
    </row>
    <row r="1048" customFormat="false" ht="15" hidden="false" customHeight="true" outlineLevel="0" collapsed="false">
      <c r="A1048" s="1" t="n">
        <v>51271</v>
      </c>
      <c r="B1048" s="3" t="n">
        <v>44055</v>
      </c>
      <c r="C1048" s="1" t="n">
        <v>513</v>
      </c>
      <c r="D1048" s="4" t="n">
        <v>0</v>
      </c>
      <c r="E1048" s="1" t="s">
        <v>1949</v>
      </c>
    </row>
    <row r="1049" customFormat="false" ht="15" hidden="false" customHeight="true" outlineLevel="0" collapsed="false">
      <c r="A1049" s="1" t="n">
        <v>50331</v>
      </c>
      <c r="B1049" s="3" t="n">
        <v>43995</v>
      </c>
      <c r="C1049" s="1" t="n">
        <v>600</v>
      </c>
      <c r="D1049" s="4" t="n">
        <v>0</v>
      </c>
      <c r="E1049" s="1" t="s">
        <v>1949</v>
      </c>
    </row>
    <row r="1050" customFormat="false" ht="15" hidden="false" customHeight="true" outlineLevel="0" collapsed="false">
      <c r="A1050" s="1" t="n">
        <v>51224</v>
      </c>
      <c r="B1050" s="3" t="n">
        <v>44013</v>
      </c>
      <c r="C1050" s="1" t="n">
        <v>1738</v>
      </c>
      <c r="D1050" s="4" t="n">
        <v>0</v>
      </c>
      <c r="E1050" s="1" t="s">
        <v>1949</v>
      </c>
    </row>
    <row r="1051" customFormat="false" ht="15" hidden="false" customHeight="true" outlineLevel="0" collapsed="false">
      <c r="A1051" s="1" t="n">
        <v>50938</v>
      </c>
      <c r="B1051" s="3" t="n">
        <v>44060</v>
      </c>
      <c r="C1051" s="1" t="n">
        <v>3</v>
      </c>
      <c r="D1051" s="4" t="n">
        <v>0</v>
      </c>
      <c r="E1051" s="1" t="s">
        <v>1949</v>
      </c>
    </row>
    <row r="1052" customFormat="false" ht="15" hidden="false" customHeight="true" outlineLevel="0" collapsed="false">
      <c r="A1052" s="1" t="n">
        <v>50128</v>
      </c>
      <c r="B1052" s="3" t="n">
        <v>44040</v>
      </c>
      <c r="C1052" s="1" t="n">
        <v>436</v>
      </c>
      <c r="D1052" s="4" t="n">
        <v>0</v>
      </c>
      <c r="E1052" s="1" t="s">
        <v>1949</v>
      </c>
    </row>
    <row r="1053" customFormat="false" ht="15" hidden="false" customHeight="true" outlineLevel="0" collapsed="false">
      <c r="A1053" s="1" t="n">
        <v>51015</v>
      </c>
      <c r="B1053" s="3" t="n">
        <v>44016</v>
      </c>
      <c r="C1053" s="1" t="n">
        <v>670</v>
      </c>
      <c r="D1053" s="4" t="n">
        <v>0</v>
      </c>
      <c r="E1053" s="1" t="s">
        <v>1949</v>
      </c>
    </row>
    <row r="1054" customFormat="false" ht="15" hidden="false" customHeight="true" outlineLevel="0" collapsed="false">
      <c r="A1054" s="1" t="n">
        <v>51143</v>
      </c>
      <c r="B1054" s="3" t="n">
        <v>44071</v>
      </c>
      <c r="C1054" s="1" t="n">
        <v>655</v>
      </c>
      <c r="D1054" s="4" t="n">
        <v>0</v>
      </c>
      <c r="E1054" s="1" t="s">
        <v>1949</v>
      </c>
    </row>
    <row r="1055" customFormat="false" ht="15" hidden="false" customHeight="true" outlineLevel="0" collapsed="false">
      <c r="A1055" s="1" t="n">
        <v>50617</v>
      </c>
      <c r="B1055" s="3" t="n">
        <v>43982</v>
      </c>
      <c r="C1055" s="1" t="n">
        <v>834</v>
      </c>
      <c r="D1055" s="4" t="n">
        <v>193</v>
      </c>
      <c r="E1055" s="1" t="s">
        <v>1950</v>
      </c>
    </row>
    <row r="1056" customFormat="false" ht="15" hidden="false" customHeight="true" outlineLevel="0" collapsed="false">
      <c r="A1056" s="1" t="n">
        <v>50450</v>
      </c>
      <c r="B1056" s="3" t="n">
        <v>44031</v>
      </c>
      <c r="C1056" s="1" t="n">
        <v>1219</v>
      </c>
      <c r="D1056" s="4" t="n">
        <v>119</v>
      </c>
      <c r="E1056" s="1" t="s">
        <v>1950</v>
      </c>
    </row>
    <row r="1057" customFormat="false" ht="15" hidden="false" customHeight="true" outlineLevel="0" collapsed="false">
      <c r="A1057" s="1" t="n">
        <v>51488</v>
      </c>
      <c r="B1057" s="3" t="n">
        <v>44046</v>
      </c>
      <c r="C1057" s="1" t="n">
        <v>230</v>
      </c>
      <c r="D1057" s="4" t="n">
        <v>0</v>
      </c>
      <c r="E1057" s="1" t="s">
        <v>1949</v>
      </c>
    </row>
    <row r="1058" customFormat="false" ht="15" hidden="false" customHeight="true" outlineLevel="0" collapsed="false">
      <c r="A1058" s="1" t="n">
        <v>50343</v>
      </c>
      <c r="B1058" s="3" t="n">
        <v>44010</v>
      </c>
      <c r="C1058" s="1" t="n">
        <v>1823</v>
      </c>
      <c r="D1058" s="4" t="n">
        <v>401</v>
      </c>
      <c r="E1058" s="1" t="s">
        <v>1950</v>
      </c>
    </row>
    <row r="1059" customFormat="false" ht="15" hidden="false" customHeight="true" outlineLevel="0" collapsed="false">
      <c r="A1059" s="1" t="n">
        <v>50753</v>
      </c>
      <c r="B1059" s="3" t="n">
        <v>44065</v>
      </c>
      <c r="C1059" s="1" t="n">
        <v>993</v>
      </c>
      <c r="D1059" s="4" t="n">
        <v>0</v>
      </c>
      <c r="E1059" s="1" t="s">
        <v>1949</v>
      </c>
    </row>
    <row r="1060" customFormat="false" ht="15" hidden="false" customHeight="true" outlineLevel="0" collapsed="false">
      <c r="A1060" s="1" t="n">
        <v>51356</v>
      </c>
      <c r="B1060" s="3" t="n">
        <v>44063</v>
      </c>
      <c r="C1060" s="1" t="n">
        <v>1581</v>
      </c>
      <c r="D1060" s="4" t="n">
        <v>884</v>
      </c>
      <c r="E1060" s="1" t="s">
        <v>1950</v>
      </c>
    </row>
    <row r="1061" customFormat="false" ht="15" hidden="false" customHeight="true" outlineLevel="0" collapsed="false">
      <c r="A1061" s="1" t="n">
        <v>50081</v>
      </c>
      <c r="B1061" s="3" t="n">
        <v>44024</v>
      </c>
      <c r="C1061" s="1" t="n">
        <v>514</v>
      </c>
      <c r="D1061" s="4" t="n">
        <v>0</v>
      </c>
      <c r="E1061" s="1" t="s">
        <v>1949</v>
      </c>
    </row>
    <row r="1062" customFormat="false" ht="15" hidden="false" customHeight="true" outlineLevel="0" collapsed="false">
      <c r="A1062" s="1" t="n">
        <v>51572</v>
      </c>
      <c r="B1062" s="3" t="n">
        <v>44046</v>
      </c>
      <c r="C1062" s="1" t="n">
        <v>1218</v>
      </c>
      <c r="D1062" s="4" t="n">
        <v>378</v>
      </c>
      <c r="E1062" s="1" t="s">
        <v>1950</v>
      </c>
    </row>
    <row r="1063" customFormat="false" ht="15" hidden="false" customHeight="true" outlineLevel="0" collapsed="false">
      <c r="A1063" s="1" t="n">
        <v>51923</v>
      </c>
      <c r="B1063" s="3" t="n">
        <v>44063</v>
      </c>
      <c r="C1063" s="1" t="n">
        <v>1786</v>
      </c>
      <c r="D1063" s="4" t="n">
        <v>736</v>
      </c>
      <c r="E1063" s="1" t="s">
        <v>1950</v>
      </c>
    </row>
    <row r="1064" customFormat="false" ht="15" hidden="false" customHeight="true" outlineLevel="0" collapsed="false">
      <c r="A1064" s="1" t="n">
        <v>50374</v>
      </c>
      <c r="B1064" s="3" t="n">
        <v>44067</v>
      </c>
      <c r="C1064" s="1" t="n">
        <v>1694</v>
      </c>
      <c r="D1064" s="4" t="n">
        <v>364</v>
      </c>
      <c r="E1064" s="1" t="s">
        <v>1950</v>
      </c>
    </row>
    <row r="1065" customFormat="false" ht="15" hidden="false" customHeight="true" outlineLevel="0" collapsed="false">
      <c r="A1065" s="1" t="n">
        <v>51368</v>
      </c>
      <c r="B1065" s="3" t="n">
        <v>44061</v>
      </c>
      <c r="C1065" s="1" t="n">
        <v>1880</v>
      </c>
      <c r="D1065" s="4" t="n">
        <v>0</v>
      </c>
      <c r="E1065" s="1" t="s">
        <v>1949</v>
      </c>
    </row>
    <row r="1066" customFormat="false" ht="15" hidden="false" customHeight="true" outlineLevel="0" collapsed="false">
      <c r="A1066" s="1" t="n">
        <v>51132</v>
      </c>
      <c r="B1066" s="3" t="n">
        <v>43985</v>
      </c>
      <c r="C1066" s="1" t="n">
        <v>1503</v>
      </c>
      <c r="D1066" s="4" t="n">
        <v>770</v>
      </c>
      <c r="E1066" s="1" t="s">
        <v>1950</v>
      </c>
    </row>
    <row r="1067" customFormat="false" ht="15" hidden="false" customHeight="true" outlineLevel="0" collapsed="false">
      <c r="A1067" s="1" t="n">
        <v>51669</v>
      </c>
      <c r="B1067" s="3" t="n">
        <v>44026</v>
      </c>
      <c r="C1067" s="1" t="n">
        <v>976</v>
      </c>
      <c r="D1067" s="4" t="n">
        <v>551</v>
      </c>
      <c r="E1067" s="1" t="s">
        <v>1950</v>
      </c>
    </row>
    <row r="1068" customFormat="false" ht="15" hidden="false" customHeight="true" outlineLevel="0" collapsed="false">
      <c r="A1068" s="1" t="n">
        <v>51227</v>
      </c>
      <c r="B1068" s="3" t="n">
        <v>44072</v>
      </c>
      <c r="C1068" s="1" t="n">
        <v>637</v>
      </c>
      <c r="D1068" s="4" t="n">
        <v>0</v>
      </c>
      <c r="E1068" s="1" t="s">
        <v>1949</v>
      </c>
    </row>
    <row r="1069" customFormat="false" ht="15" hidden="false" customHeight="true" outlineLevel="0" collapsed="false">
      <c r="A1069" s="1" t="n">
        <v>51030</v>
      </c>
      <c r="B1069" s="3" t="n">
        <v>44033</v>
      </c>
      <c r="C1069" s="1" t="n">
        <v>753</v>
      </c>
      <c r="D1069" s="4" t="n">
        <v>578</v>
      </c>
      <c r="E1069" s="1" t="s">
        <v>1950</v>
      </c>
    </row>
    <row r="1070" customFormat="false" ht="15" hidden="false" customHeight="true" outlineLevel="0" collapsed="false">
      <c r="A1070" s="1" t="n">
        <v>50359</v>
      </c>
      <c r="B1070" s="3" t="n">
        <v>43984</v>
      </c>
      <c r="C1070" s="1" t="n">
        <v>1957</v>
      </c>
      <c r="D1070" s="4" t="n">
        <v>866</v>
      </c>
      <c r="E1070" s="1" t="s">
        <v>1950</v>
      </c>
    </row>
    <row r="1071" customFormat="false" ht="15" hidden="false" customHeight="true" outlineLevel="0" collapsed="false">
      <c r="A1071" s="1" t="n">
        <v>51702</v>
      </c>
      <c r="B1071" s="3" t="n">
        <v>44064</v>
      </c>
      <c r="C1071" s="1" t="n">
        <v>1919</v>
      </c>
      <c r="D1071" s="4" t="n">
        <v>324</v>
      </c>
      <c r="E1071" s="1" t="s">
        <v>1950</v>
      </c>
    </row>
    <row r="1072" customFormat="false" ht="15" hidden="false" customHeight="true" outlineLevel="0" collapsed="false">
      <c r="A1072" s="1" t="n">
        <v>50951</v>
      </c>
      <c r="B1072" s="3" t="n">
        <v>44022</v>
      </c>
      <c r="C1072" s="1" t="n">
        <v>972</v>
      </c>
      <c r="D1072" s="4" t="n">
        <v>0</v>
      </c>
      <c r="E1072" s="1" t="s">
        <v>1949</v>
      </c>
    </row>
    <row r="1073" customFormat="false" ht="15" hidden="false" customHeight="true" outlineLevel="0" collapsed="false">
      <c r="A1073" s="1" t="n">
        <v>50765</v>
      </c>
      <c r="B1073" s="3" t="n">
        <v>44063</v>
      </c>
      <c r="C1073" s="1" t="n">
        <v>1636</v>
      </c>
      <c r="D1073" s="4" t="n">
        <v>129</v>
      </c>
      <c r="E1073" s="1" t="s">
        <v>1950</v>
      </c>
    </row>
    <row r="1074" customFormat="false" ht="15" hidden="false" customHeight="true" outlineLevel="0" collapsed="false">
      <c r="A1074" s="1" t="n">
        <v>50402</v>
      </c>
      <c r="B1074" s="3" t="n">
        <v>44063</v>
      </c>
      <c r="C1074" s="1" t="n">
        <v>994</v>
      </c>
      <c r="D1074" s="4" t="n">
        <v>0</v>
      </c>
      <c r="E1074" s="1" t="s">
        <v>1949</v>
      </c>
    </row>
    <row r="1075" customFormat="false" ht="15" hidden="false" customHeight="true" outlineLevel="0" collapsed="false">
      <c r="A1075" s="1" t="n">
        <v>51505</v>
      </c>
      <c r="B1075" s="3" t="n">
        <v>44019</v>
      </c>
      <c r="C1075" s="1" t="n">
        <v>4</v>
      </c>
      <c r="D1075" s="4" t="n">
        <v>0</v>
      </c>
      <c r="E1075" s="1" t="s">
        <v>1949</v>
      </c>
    </row>
    <row r="1076" customFormat="false" ht="15" hidden="false" customHeight="true" outlineLevel="0" collapsed="false">
      <c r="A1076" s="1" t="n">
        <v>51112</v>
      </c>
      <c r="B1076" s="3" t="n">
        <v>44013</v>
      </c>
      <c r="C1076" s="1" t="n">
        <v>1355</v>
      </c>
      <c r="D1076" s="4" t="n">
        <v>0</v>
      </c>
      <c r="E1076" s="1" t="s">
        <v>1949</v>
      </c>
    </row>
    <row r="1077" customFormat="false" ht="15" hidden="false" customHeight="true" outlineLevel="0" collapsed="false">
      <c r="A1077" s="1" t="n">
        <v>50665</v>
      </c>
      <c r="B1077" s="3" t="n">
        <v>44040</v>
      </c>
      <c r="C1077" s="1" t="n">
        <v>928</v>
      </c>
      <c r="D1077" s="4" t="n">
        <v>0</v>
      </c>
      <c r="E1077" s="1" t="s">
        <v>1949</v>
      </c>
    </row>
    <row r="1078" customFormat="false" ht="15" hidden="false" customHeight="true" outlineLevel="0" collapsed="false">
      <c r="A1078" s="1" t="n">
        <v>50367</v>
      </c>
      <c r="B1078" s="3" t="n">
        <v>44015</v>
      </c>
      <c r="C1078" s="1" t="n">
        <v>1611</v>
      </c>
      <c r="D1078" s="4" t="n">
        <v>244</v>
      </c>
      <c r="E1078" s="1" t="s">
        <v>1950</v>
      </c>
    </row>
    <row r="1079" customFormat="false" ht="15" hidden="false" customHeight="true" outlineLevel="0" collapsed="false">
      <c r="A1079" s="1" t="n">
        <v>50886</v>
      </c>
      <c r="B1079" s="3" t="n">
        <v>43986</v>
      </c>
      <c r="C1079" s="1" t="n">
        <v>1059</v>
      </c>
      <c r="D1079" s="4" t="n">
        <v>0</v>
      </c>
      <c r="E1079" s="1" t="s">
        <v>1949</v>
      </c>
    </row>
    <row r="1080" customFormat="false" ht="15" hidden="false" customHeight="true" outlineLevel="0" collapsed="false">
      <c r="A1080" s="1" t="n">
        <v>50603</v>
      </c>
      <c r="B1080" s="3" t="n">
        <v>44039</v>
      </c>
      <c r="C1080" s="1" t="n">
        <v>1337</v>
      </c>
      <c r="D1080" s="4" t="n">
        <v>725</v>
      </c>
      <c r="E1080" s="1" t="s">
        <v>1950</v>
      </c>
    </row>
    <row r="1081" customFormat="false" ht="15" hidden="false" customHeight="true" outlineLevel="0" collapsed="false">
      <c r="A1081" s="1" t="n">
        <v>51677</v>
      </c>
      <c r="B1081" s="3" t="n">
        <v>44010</v>
      </c>
      <c r="C1081" s="1" t="n">
        <v>218</v>
      </c>
      <c r="D1081" s="4" t="n">
        <v>454</v>
      </c>
      <c r="E1081" s="1" t="s">
        <v>1950</v>
      </c>
    </row>
    <row r="1082" customFormat="false" ht="15" hidden="false" customHeight="true" outlineLevel="0" collapsed="false">
      <c r="A1082" s="1" t="n">
        <v>51558</v>
      </c>
      <c r="B1082" s="3" t="n">
        <v>44027</v>
      </c>
      <c r="C1082" s="1" t="n">
        <v>1074</v>
      </c>
      <c r="D1082" s="4" t="n">
        <v>0</v>
      </c>
      <c r="E1082" s="1" t="s">
        <v>1949</v>
      </c>
    </row>
    <row r="1083" customFormat="false" ht="15" hidden="false" customHeight="true" outlineLevel="0" collapsed="false">
      <c r="A1083" s="1" t="n">
        <v>51555</v>
      </c>
      <c r="B1083" s="3" t="n">
        <v>44053</v>
      </c>
      <c r="C1083" s="1" t="n">
        <v>1335</v>
      </c>
      <c r="D1083" s="4" t="n">
        <v>489</v>
      </c>
      <c r="E1083" s="1" t="s">
        <v>1950</v>
      </c>
    </row>
    <row r="1084" customFormat="false" ht="15" hidden="false" customHeight="true" outlineLevel="0" collapsed="false">
      <c r="A1084" s="1" t="n">
        <v>50229</v>
      </c>
      <c r="B1084" s="3" t="n">
        <v>44067</v>
      </c>
      <c r="C1084" s="1" t="n">
        <v>385</v>
      </c>
      <c r="D1084" s="4" t="n">
        <v>897</v>
      </c>
      <c r="E1084" s="1" t="s">
        <v>1950</v>
      </c>
    </row>
    <row r="1085" customFormat="false" ht="15" hidden="false" customHeight="true" outlineLevel="0" collapsed="false">
      <c r="A1085" s="1" t="n">
        <v>50627</v>
      </c>
      <c r="B1085" s="3" t="n">
        <v>44037</v>
      </c>
      <c r="C1085" s="1" t="n">
        <v>1640</v>
      </c>
      <c r="D1085" s="4" t="n">
        <v>0</v>
      </c>
      <c r="E1085" s="1" t="s">
        <v>1949</v>
      </c>
    </row>
    <row r="1086" customFormat="false" ht="15" hidden="false" customHeight="true" outlineLevel="0" collapsed="false">
      <c r="A1086" s="1" t="n">
        <v>51689</v>
      </c>
      <c r="B1086" s="3" t="n">
        <v>44053</v>
      </c>
      <c r="C1086" s="1" t="n">
        <v>674</v>
      </c>
      <c r="D1086" s="4" t="n">
        <v>0</v>
      </c>
      <c r="E1086" s="1" t="s">
        <v>1949</v>
      </c>
    </row>
    <row r="1087" customFormat="false" ht="15" hidden="false" customHeight="true" outlineLevel="0" collapsed="false">
      <c r="A1087" s="1" t="n">
        <v>51476</v>
      </c>
      <c r="B1087" s="3" t="n">
        <v>44056</v>
      </c>
      <c r="C1087" s="1" t="n">
        <v>1430</v>
      </c>
      <c r="D1087" s="4" t="n">
        <v>899</v>
      </c>
      <c r="E1087" s="1" t="s">
        <v>1950</v>
      </c>
    </row>
    <row r="1088" customFormat="false" ht="15" hidden="false" customHeight="true" outlineLevel="0" collapsed="false">
      <c r="A1088" s="1" t="n">
        <v>50534</v>
      </c>
      <c r="B1088" s="3" t="n">
        <v>44023</v>
      </c>
      <c r="C1088" s="1" t="n">
        <v>569</v>
      </c>
      <c r="D1088" s="4" t="n">
        <v>712</v>
      </c>
      <c r="E1088" s="1" t="s">
        <v>1950</v>
      </c>
    </row>
    <row r="1089" customFormat="false" ht="15" hidden="false" customHeight="true" outlineLevel="0" collapsed="false">
      <c r="A1089" s="1" t="n">
        <v>50155</v>
      </c>
      <c r="B1089" s="3" t="n">
        <v>44039</v>
      </c>
      <c r="C1089" s="1" t="n">
        <v>1595</v>
      </c>
      <c r="D1089" s="4" t="n">
        <v>396</v>
      </c>
      <c r="E1089" s="1" t="s">
        <v>1950</v>
      </c>
    </row>
    <row r="1090" customFormat="false" ht="15" hidden="false" customHeight="true" outlineLevel="0" collapsed="false">
      <c r="A1090" s="1" t="n">
        <v>51129</v>
      </c>
      <c r="B1090" s="3" t="n">
        <v>44012</v>
      </c>
      <c r="C1090" s="1" t="n">
        <v>133</v>
      </c>
      <c r="D1090" s="4" t="n">
        <v>760</v>
      </c>
      <c r="E1090" s="1" t="s">
        <v>1950</v>
      </c>
    </row>
    <row r="1091" customFormat="false" ht="15" hidden="false" customHeight="true" outlineLevel="0" collapsed="false">
      <c r="A1091" s="1" t="n">
        <v>50698</v>
      </c>
      <c r="B1091" s="3" t="n">
        <v>44031</v>
      </c>
      <c r="C1091" s="1" t="n">
        <v>198</v>
      </c>
      <c r="D1091" s="4" t="n">
        <v>828</v>
      </c>
      <c r="E1091" s="1" t="s">
        <v>1950</v>
      </c>
    </row>
    <row r="1092" customFormat="false" ht="15" hidden="false" customHeight="true" outlineLevel="0" collapsed="false">
      <c r="A1092" s="1" t="n">
        <v>51317</v>
      </c>
      <c r="B1092" s="3" t="n">
        <v>43996</v>
      </c>
      <c r="C1092" s="1" t="n">
        <v>1114</v>
      </c>
      <c r="D1092" s="4" t="n">
        <v>0</v>
      </c>
      <c r="E1092" s="1" t="s">
        <v>1949</v>
      </c>
    </row>
    <row r="1093" customFormat="false" ht="15" hidden="false" customHeight="true" outlineLevel="0" collapsed="false">
      <c r="A1093" s="1" t="n">
        <v>51419</v>
      </c>
      <c r="B1093" s="3" t="n">
        <v>44039</v>
      </c>
      <c r="C1093" s="1" t="n">
        <v>566</v>
      </c>
      <c r="D1093" s="4" t="n">
        <v>0</v>
      </c>
      <c r="E1093" s="1" t="s">
        <v>1949</v>
      </c>
    </row>
    <row r="1094" customFormat="false" ht="15" hidden="false" customHeight="true" outlineLevel="0" collapsed="false">
      <c r="A1094" s="1" t="n">
        <v>50857</v>
      </c>
      <c r="B1094" s="3" t="n">
        <v>43992</v>
      </c>
      <c r="C1094" s="1" t="n">
        <v>1456</v>
      </c>
      <c r="D1094" s="4" t="n">
        <v>0</v>
      </c>
      <c r="E1094" s="1" t="s">
        <v>1949</v>
      </c>
    </row>
    <row r="1095" customFormat="false" ht="15" hidden="false" customHeight="true" outlineLevel="0" collapsed="false">
      <c r="A1095" s="1" t="n">
        <v>50384</v>
      </c>
      <c r="B1095" s="3" t="n">
        <v>43998</v>
      </c>
      <c r="C1095" s="1" t="n">
        <v>734</v>
      </c>
      <c r="D1095" s="4" t="n">
        <v>0</v>
      </c>
      <c r="E1095" s="1" t="s">
        <v>1949</v>
      </c>
    </row>
    <row r="1096" customFormat="false" ht="15" hidden="false" customHeight="true" outlineLevel="0" collapsed="false">
      <c r="A1096" s="1" t="n">
        <v>50183</v>
      </c>
      <c r="B1096" s="3" t="n">
        <v>43994</v>
      </c>
      <c r="C1096" s="1" t="n">
        <v>389</v>
      </c>
      <c r="D1096" s="4" t="n">
        <v>339</v>
      </c>
      <c r="E1096" s="1" t="s">
        <v>1950</v>
      </c>
    </row>
    <row r="1097" customFormat="false" ht="15" hidden="false" customHeight="true" outlineLevel="0" collapsed="false">
      <c r="A1097" s="1" t="n">
        <v>50763</v>
      </c>
      <c r="B1097" s="3" t="n">
        <v>44037</v>
      </c>
      <c r="C1097" s="1" t="n">
        <v>432</v>
      </c>
      <c r="D1097" s="4" t="n">
        <v>371</v>
      </c>
      <c r="E1097" s="1" t="s">
        <v>1950</v>
      </c>
    </row>
    <row r="1098" customFormat="false" ht="15" hidden="false" customHeight="true" outlineLevel="0" collapsed="false">
      <c r="A1098" s="1" t="n">
        <v>51384</v>
      </c>
      <c r="B1098" s="3" t="n">
        <v>44024</v>
      </c>
      <c r="C1098" s="1" t="n">
        <v>813</v>
      </c>
      <c r="D1098" s="4" t="n">
        <v>768</v>
      </c>
      <c r="E1098" s="1" t="s">
        <v>1950</v>
      </c>
    </row>
    <row r="1099" customFormat="false" ht="15" hidden="false" customHeight="true" outlineLevel="0" collapsed="false">
      <c r="A1099" s="1" t="n">
        <v>50174</v>
      </c>
      <c r="B1099" s="3" t="n">
        <v>44020</v>
      </c>
      <c r="C1099" s="1" t="n">
        <v>690</v>
      </c>
      <c r="D1099" s="4" t="n">
        <v>337</v>
      </c>
      <c r="E1099" s="1" t="s">
        <v>1950</v>
      </c>
    </row>
    <row r="1100" customFormat="false" ht="15" hidden="false" customHeight="true" outlineLevel="0" collapsed="false">
      <c r="A1100" s="1" t="n">
        <v>50008</v>
      </c>
      <c r="B1100" s="3" t="n">
        <v>44063</v>
      </c>
      <c r="C1100" s="1" t="n">
        <v>1785</v>
      </c>
      <c r="D1100" s="4" t="n">
        <v>0</v>
      </c>
      <c r="E1100" s="1" t="s">
        <v>1949</v>
      </c>
    </row>
    <row r="1101" customFormat="false" ht="15" hidden="false" customHeight="true" outlineLevel="0" collapsed="false">
      <c r="A1101" s="1" t="n">
        <v>50663</v>
      </c>
      <c r="B1101" s="3" t="n">
        <v>44041</v>
      </c>
      <c r="C1101" s="1" t="n">
        <v>68</v>
      </c>
      <c r="D1101" s="4" t="n">
        <v>0</v>
      </c>
      <c r="E1101" s="1" t="s">
        <v>1949</v>
      </c>
    </row>
    <row r="1102" customFormat="false" ht="15" hidden="false" customHeight="true" outlineLevel="0" collapsed="false">
      <c r="A1102" s="1" t="n">
        <v>51549</v>
      </c>
      <c r="B1102" s="3" t="n">
        <v>44054</v>
      </c>
      <c r="C1102" s="1" t="n">
        <v>1934</v>
      </c>
      <c r="D1102" s="4" t="n">
        <v>220</v>
      </c>
      <c r="E1102" s="1" t="s">
        <v>1950</v>
      </c>
    </row>
    <row r="1103" customFormat="false" ht="15" hidden="false" customHeight="true" outlineLevel="0" collapsed="false">
      <c r="A1103" s="1" t="n">
        <v>51106</v>
      </c>
      <c r="B1103" s="3" t="n">
        <v>43996</v>
      </c>
      <c r="C1103" s="1" t="n">
        <v>1683</v>
      </c>
      <c r="D1103" s="4" t="n">
        <v>729</v>
      </c>
      <c r="E1103" s="1" t="s">
        <v>1950</v>
      </c>
    </row>
    <row r="1104" customFormat="false" ht="15" hidden="false" customHeight="true" outlineLevel="0" collapsed="false">
      <c r="A1104" s="1" t="n">
        <v>50389</v>
      </c>
      <c r="B1104" s="3" t="n">
        <v>43994</v>
      </c>
      <c r="C1104" s="1" t="n">
        <v>527</v>
      </c>
      <c r="D1104" s="4" t="n">
        <v>706</v>
      </c>
      <c r="E1104" s="1" t="s">
        <v>1950</v>
      </c>
    </row>
    <row r="1105" customFormat="false" ht="15" hidden="false" customHeight="true" outlineLevel="0" collapsed="false">
      <c r="A1105" s="1" t="n">
        <v>51272</v>
      </c>
      <c r="B1105" s="3" t="n">
        <v>43998</v>
      </c>
      <c r="C1105" s="1" t="n">
        <v>1420</v>
      </c>
      <c r="D1105" s="4" t="n">
        <v>0</v>
      </c>
      <c r="E1105" s="1" t="s">
        <v>1949</v>
      </c>
    </row>
    <row r="1106" customFormat="false" ht="15" hidden="false" customHeight="true" outlineLevel="0" collapsed="false">
      <c r="A1106" s="1" t="n">
        <v>51461</v>
      </c>
      <c r="B1106" s="3" t="n">
        <v>44059</v>
      </c>
      <c r="C1106" s="1" t="n">
        <v>633</v>
      </c>
      <c r="D1106" s="4" t="n">
        <v>0</v>
      </c>
      <c r="E1106" s="1" t="s">
        <v>1949</v>
      </c>
    </row>
    <row r="1107" customFormat="false" ht="15" hidden="false" customHeight="true" outlineLevel="0" collapsed="false">
      <c r="A1107" s="1" t="n">
        <v>51401</v>
      </c>
      <c r="B1107" s="3" t="n">
        <v>43995</v>
      </c>
      <c r="C1107" s="1" t="n">
        <v>237</v>
      </c>
      <c r="D1107" s="4" t="n">
        <v>0</v>
      </c>
      <c r="E1107" s="1" t="s">
        <v>1949</v>
      </c>
    </row>
    <row r="1108" customFormat="false" ht="15" hidden="false" customHeight="true" outlineLevel="0" collapsed="false">
      <c r="A1108" s="1" t="n">
        <v>51243</v>
      </c>
      <c r="B1108" s="3" t="n">
        <v>43993</v>
      </c>
      <c r="C1108" s="1" t="n">
        <v>1223</v>
      </c>
      <c r="D1108" s="4" t="n">
        <v>0</v>
      </c>
      <c r="E1108" s="1" t="s">
        <v>1949</v>
      </c>
    </row>
    <row r="1109" customFormat="false" ht="15" hidden="false" customHeight="true" outlineLevel="0" collapsed="false">
      <c r="A1109" s="1" t="n">
        <v>51575</v>
      </c>
      <c r="B1109" s="3" t="n">
        <v>44013</v>
      </c>
      <c r="C1109" s="1" t="n">
        <v>1783</v>
      </c>
      <c r="D1109" s="4" t="n">
        <v>0</v>
      </c>
      <c r="E1109" s="1" t="s">
        <v>1949</v>
      </c>
    </row>
    <row r="1110" customFormat="false" ht="15" hidden="false" customHeight="true" outlineLevel="0" collapsed="false">
      <c r="A1110" s="1" t="n">
        <v>50436</v>
      </c>
      <c r="B1110" s="3" t="n">
        <v>44028</v>
      </c>
      <c r="C1110" s="1" t="n">
        <v>1641</v>
      </c>
      <c r="D1110" s="4" t="n">
        <v>0</v>
      </c>
      <c r="E1110" s="1" t="s">
        <v>1949</v>
      </c>
    </row>
    <row r="1111" customFormat="false" ht="15" hidden="false" customHeight="true" outlineLevel="0" collapsed="false">
      <c r="A1111" s="1" t="n">
        <v>50243</v>
      </c>
      <c r="B1111" s="3" t="n">
        <v>44036</v>
      </c>
      <c r="C1111" s="1" t="n">
        <v>1153</v>
      </c>
      <c r="D1111" s="4" t="n">
        <v>494</v>
      </c>
      <c r="E1111" s="1" t="s">
        <v>1950</v>
      </c>
    </row>
    <row r="1112" customFormat="false" ht="15" hidden="false" customHeight="true" outlineLevel="0" collapsed="false">
      <c r="A1112" s="1" t="n">
        <v>50121</v>
      </c>
      <c r="B1112" s="3" t="n">
        <v>44066</v>
      </c>
      <c r="C1112" s="1" t="n">
        <v>164</v>
      </c>
      <c r="D1112" s="4" t="n">
        <v>183</v>
      </c>
      <c r="E1112" s="1" t="s">
        <v>1950</v>
      </c>
    </row>
    <row r="1113" customFormat="false" ht="15" hidden="false" customHeight="true" outlineLevel="0" collapsed="false">
      <c r="A1113" s="1" t="n">
        <v>51436</v>
      </c>
      <c r="B1113" s="3" t="n">
        <v>44009</v>
      </c>
      <c r="C1113" s="1" t="n">
        <v>865</v>
      </c>
      <c r="D1113" s="4" t="n">
        <v>0</v>
      </c>
      <c r="E1113" s="1" t="s">
        <v>1949</v>
      </c>
    </row>
    <row r="1114" customFormat="false" ht="15" hidden="false" customHeight="true" outlineLevel="0" collapsed="false">
      <c r="A1114" s="1" t="n">
        <v>51137</v>
      </c>
      <c r="B1114" s="3" t="n">
        <v>44038</v>
      </c>
      <c r="C1114" s="1" t="n">
        <v>494</v>
      </c>
      <c r="D1114" s="4" t="n">
        <v>0</v>
      </c>
      <c r="E1114" s="1" t="s">
        <v>1949</v>
      </c>
    </row>
    <row r="1115" customFormat="false" ht="15" hidden="false" customHeight="true" outlineLevel="0" collapsed="false">
      <c r="A1115" s="1" t="n">
        <v>51729</v>
      </c>
      <c r="B1115" s="3" t="n">
        <v>44048</v>
      </c>
      <c r="C1115" s="1" t="n">
        <v>1156</v>
      </c>
      <c r="D1115" s="4" t="n">
        <v>0</v>
      </c>
      <c r="E1115" s="1" t="s">
        <v>1949</v>
      </c>
    </row>
    <row r="1116" customFormat="false" ht="15" hidden="false" customHeight="true" outlineLevel="0" collapsed="false">
      <c r="A1116" s="1" t="n">
        <v>50321</v>
      </c>
      <c r="B1116" s="3" t="n">
        <v>44063</v>
      </c>
      <c r="C1116" s="1" t="n">
        <v>1962</v>
      </c>
      <c r="D1116" s="4" t="n">
        <v>0</v>
      </c>
      <c r="E1116" s="1" t="s">
        <v>1949</v>
      </c>
    </row>
    <row r="1117" customFormat="false" ht="15" hidden="false" customHeight="true" outlineLevel="0" collapsed="false">
      <c r="A1117" s="1" t="n">
        <v>51422</v>
      </c>
      <c r="B1117" s="3" t="n">
        <v>43986</v>
      </c>
      <c r="C1117" s="1" t="n">
        <v>586</v>
      </c>
      <c r="D1117" s="4" t="n">
        <v>548</v>
      </c>
      <c r="E1117" s="1" t="s">
        <v>1950</v>
      </c>
    </row>
    <row r="1118" customFormat="false" ht="15" hidden="false" customHeight="true" outlineLevel="0" collapsed="false">
      <c r="A1118" s="1" t="n">
        <v>51253</v>
      </c>
      <c r="B1118" s="3" t="n">
        <v>44042</v>
      </c>
      <c r="C1118" s="1" t="n">
        <v>1590</v>
      </c>
      <c r="D1118" s="4" t="n">
        <v>861</v>
      </c>
      <c r="E1118" s="1" t="s">
        <v>1950</v>
      </c>
    </row>
    <row r="1119" customFormat="false" ht="15" hidden="false" customHeight="true" outlineLevel="0" collapsed="false">
      <c r="A1119" s="1" t="n">
        <v>51252</v>
      </c>
      <c r="B1119" s="3" t="n">
        <v>44007</v>
      </c>
      <c r="C1119" s="1" t="n">
        <v>1566</v>
      </c>
      <c r="D1119" s="4" t="n">
        <v>285</v>
      </c>
      <c r="E1119" s="1" t="s">
        <v>1950</v>
      </c>
    </row>
    <row r="1120" customFormat="false" ht="15" hidden="false" customHeight="true" outlineLevel="0" collapsed="false">
      <c r="A1120" s="1" t="n">
        <v>50263</v>
      </c>
      <c r="B1120" s="3" t="n">
        <v>44069</v>
      </c>
      <c r="C1120" s="1" t="n">
        <v>1393</v>
      </c>
      <c r="D1120" s="4" t="n">
        <v>896</v>
      </c>
      <c r="E1120" s="1" t="s">
        <v>1950</v>
      </c>
    </row>
    <row r="1121" customFormat="false" ht="15" hidden="false" customHeight="true" outlineLevel="0" collapsed="false">
      <c r="A1121" s="1" t="n">
        <v>51822</v>
      </c>
      <c r="B1121" s="3" t="n">
        <v>43992</v>
      </c>
      <c r="C1121" s="1" t="n">
        <v>1520</v>
      </c>
      <c r="D1121" s="4" t="n">
        <v>577</v>
      </c>
      <c r="E1121" s="1" t="s">
        <v>1950</v>
      </c>
    </row>
    <row r="1122" customFormat="false" ht="15" hidden="false" customHeight="true" outlineLevel="0" collapsed="false">
      <c r="A1122" s="1" t="n">
        <v>50803</v>
      </c>
      <c r="B1122" s="3" t="n">
        <v>44047</v>
      </c>
      <c r="C1122" s="1" t="n">
        <v>1009</v>
      </c>
      <c r="D1122" s="4" t="n">
        <v>324</v>
      </c>
      <c r="E1122" s="1" t="s">
        <v>1950</v>
      </c>
    </row>
    <row r="1123" customFormat="false" ht="15" hidden="false" customHeight="true" outlineLevel="0" collapsed="false">
      <c r="A1123" s="1" t="n">
        <v>50448</v>
      </c>
      <c r="B1123" s="3" t="n">
        <v>44010</v>
      </c>
      <c r="C1123" s="1" t="n">
        <v>661</v>
      </c>
      <c r="D1123" s="4" t="n">
        <v>335</v>
      </c>
      <c r="E1123" s="1" t="s">
        <v>1950</v>
      </c>
    </row>
    <row r="1124" customFormat="false" ht="15" hidden="false" customHeight="true" outlineLevel="0" collapsed="false">
      <c r="A1124" s="1" t="n">
        <v>51486</v>
      </c>
      <c r="B1124" s="3" t="n">
        <v>44032</v>
      </c>
      <c r="C1124" s="1" t="n">
        <v>567</v>
      </c>
      <c r="D1124" s="4" t="n">
        <v>0</v>
      </c>
      <c r="E1124" s="1" t="s">
        <v>1949</v>
      </c>
    </row>
    <row r="1125" customFormat="false" ht="15" hidden="false" customHeight="true" outlineLevel="0" collapsed="false">
      <c r="A1125" s="1" t="n">
        <v>50918</v>
      </c>
      <c r="B1125" s="3" t="n">
        <v>44020</v>
      </c>
      <c r="C1125" s="1" t="n">
        <v>1925</v>
      </c>
      <c r="D1125" s="4" t="n">
        <v>0</v>
      </c>
      <c r="E1125" s="1" t="s">
        <v>1949</v>
      </c>
    </row>
    <row r="1126" customFormat="false" ht="15" hidden="false" customHeight="true" outlineLevel="0" collapsed="false">
      <c r="A1126" s="1" t="n">
        <v>50713</v>
      </c>
      <c r="B1126" s="3" t="n">
        <v>44052</v>
      </c>
      <c r="C1126" s="1" t="n">
        <v>192</v>
      </c>
      <c r="D1126" s="4" t="n">
        <v>0</v>
      </c>
      <c r="E1126" s="1" t="s">
        <v>1949</v>
      </c>
    </row>
    <row r="1127" customFormat="false" ht="15" hidden="false" customHeight="true" outlineLevel="0" collapsed="false">
      <c r="A1127" s="1" t="n">
        <v>51175</v>
      </c>
      <c r="B1127" s="3" t="n">
        <v>44037</v>
      </c>
      <c r="C1127" s="1" t="n">
        <v>1168</v>
      </c>
      <c r="D1127" s="4" t="n">
        <v>587</v>
      </c>
      <c r="E1127" s="1" t="s">
        <v>1950</v>
      </c>
    </row>
    <row r="1128" customFormat="false" ht="15" hidden="false" customHeight="true" outlineLevel="0" collapsed="false">
      <c r="A1128" s="1" t="n">
        <v>51297</v>
      </c>
      <c r="B1128" s="3" t="n">
        <v>43994</v>
      </c>
      <c r="C1128" s="1" t="n">
        <v>1665</v>
      </c>
      <c r="D1128" s="4" t="n">
        <v>0</v>
      </c>
      <c r="E1128" s="1" t="s">
        <v>1949</v>
      </c>
    </row>
    <row r="1129" customFormat="false" ht="15" hidden="false" customHeight="true" outlineLevel="0" collapsed="false">
      <c r="A1129" s="1" t="n">
        <v>50585</v>
      </c>
      <c r="B1129" s="3" t="n">
        <v>44024</v>
      </c>
      <c r="C1129" s="1" t="n">
        <v>671</v>
      </c>
      <c r="D1129" s="4" t="n">
        <v>0</v>
      </c>
      <c r="E1129" s="1" t="s">
        <v>1949</v>
      </c>
    </row>
    <row r="1130" customFormat="false" ht="15" hidden="false" customHeight="true" outlineLevel="0" collapsed="false">
      <c r="A1130" s="1" t="n">
        <v>50845</v>
      </c>
      <c r="B1130" s="3" t="n">
        <v>43998</v>
      </c>
      <c r="C1130" s="1" t="n">
        <v>1049</v>
      </c>
      <c r="D1130" s="4" t="n">
        <v>228</v>
      </c>
      <c r="E1130" s="1" t="s">
        <v>1950</v>
      </c>
    </row>
    <row r="1131" customFormat="false" ht="15" hidden="false" customHeight="true" outlineLevel="0" collapsed="false">
      <c r="A1131" s="1" t="n">
        <v>51389</v>
      </c>
      <c r="B1131" s="3" t="n">
        <v>44055</v>
      </c>
      <c r="C1131" s="1" t="n">
        <v>145</v>
      </c>
      <c r="D1131" s="4" t="n">
        <v>682</v>
      </c>
      <c r="E1131" s="1" t="s">
        <v>1950</v>
      </c>
    </row>
    <row r="1132" customFormat="false" ht="15" hidden="false" customHeight="true" outlineLevel="0" collapsed="false">
      <c r="A1132" s="1" t="n">
        <v>50365</v>
      </c>
      <c r="B1132" s="3" t="n">
        <v>43986</v>
      </c>
      <c r="C1132" s="1" t="n">
        <v>1814</v>
      </c>
      <c r="D1132" s="4" t="n">
        <v>0</v>
      </c>
      <c r="E1132" s="1" t="s">
        <v>1949</v>
      </c>
    </row>
    <row r="1133" customFormat="false" ht="15" hidden="false" customHeight="true" outlineLevel="0" collapsed="false">
      <c r="A1133" s="1" t="n">
        <v>51370</v>
      </c>
      <c r="B1133" s="3" t="n">
        <v>44024</v>
      </c>
      <c r="C1133" s="1" t="n">
        <v>1639</v>
      </c>
      <c r="D1133" s="4" t="n">
        <v>103</v>
      </c>
      <c r="E1133" s="1" t="s">
        <v>1950</v>
      </c>
    </row>
    <row r="1134" customFormat="false" ht="15" hidden="false" customHeight="true" outlineLevel="0" collapsed="false">
      <c r="A1134" s="1" t="n">
        <v>50530</v>
      </c>
      <c r="B1134" s="3" t="n">
        <v>44013</v>
      </c>
      <c r="C1134" s="1" t="n">
        <v>591</v>
      </c>
      <c r="D1134" s="4" t="n">
        <v>0</v>
      </c>
      <c r="E1134" s="1" t="s">
        <v>1949</v>
      </c>
    </row>
    <row r="1135" customFormat="false" ht="15" hidden="false" customHeight="true" outlineLevel="0" collapsed="false">
      <c r="A1135" s="1" t="n">
        <v>50092</v>
      </c>
      <c r="B1135" s="3" t="n">
        <v>44027</v>
      </c>
      <c r="C1135" s="1" t="n">
        <v>695</v>
      </c>
      <c r="D1135" s="4" t="n">
        <v>198</v>
      </c>
      <c r="E1135" s="1" t="s">
        <v>1950</v>
      </c>
    </row>
    <row r="1136" customFormat="false" ht="15" hidden="false" customHeight="true" outlineLevel="0" collapsed="false">
      <c r="A1136" s="1" t="n">
        <v>51779</v>
      </c>
      <c r="B1136" s="3" t="n">
        <v>43996</v>
      </c>
      <c r="C1136" s="1" t="n">
        <v>1012</v>
      </c>
      <c r="D1136" s="4" t="n">
        <v>162</v>
      </c>
      <c r="E1136" s="1" t="s">
        <v>1950</v>
      </c>
    </row>
    <row r="1137" customFormat="false" ht="15" hidden="false" customHeight="true" outlineLevel="0" collapsed="false">
      <c r="A1137" s="1" t="n">
        <v>51256</v>
      </c>
      <c r="B1137" s="3" t="n">
        <v>44062</v>
      </c>
      <c r="C1137" s="1" t="n">
        <v>365</v>
      </c>
      <c r="D1137" s="4" t="n">
        <v>0</v>
      </c>
      <c r="E1137" s="1" t="s">
        <v>1949</v>
      </c>
    </row>
    <row r="1138" customFormat="false" ht="15" hidden="false" customHeight="true" outlineLevel="0" collapsed="false">
      <c r="A1138" s="1" t="n">
        <v>50401</v>
      </c>
      <c r="B1138" s="3" t="n">
        <v>44001</v>
      </c>
      <c r="C1138" s="1" t="n">
        <v>57</v>
      </c>
      <c r="D1138" s="4" t="n">
        <v>0</v>
      </c>
      <c r="E1138" s="1" t="s">
        <v>1949</v>
      </c>
    </row>
    <row r="1139" customFormat="false" ht="15" hidden="false" customHeight="true" outlineLevel="0" collapsed="false">
      <c r="A1139" s="1" t="n">
        <v>51241</v>
      </c>
      <c r="B1139" s="3" t="n">
        <v>44068</v>
      </c>
      <c r="C1139" s="1" t="n">
        <v>159</v>
      </c>
      <c r="D1139" s="4" t="n">
        <v>0</v>
      </c>
      <c r="E1139" s="1" t="s">
        <v>1949</v>
      </c>
    </row>
    <row r="1140" customFormat="false" ht="15" hidden="false" customHeight="true" outlineLevel="0" collapsed="false">
      <c r="A1140" s="1" t="n">
        <v>51869</v>
      </c>
      <c r="B1140" s="3" t="n">
        <v>43987</v>
      </c>
      <c r="C1140" s="1" t="n">
        <v>1674</v>
      </c>
      <c r="D1140" s="4" t="n">
        <v>560</v>
      </c>
      <c r="E1140" s="1" t="s">
        <v>1950</v>
      </c>
    </row>
    <row r="1141" customFormat="false" ht="15" hidden="false" customHeight="true" outlineLevel="0" collapsed="false">
      <c r="A1141" s="1" t="n">
        <v>50953</v>
      </c>
      <c r="B1141" s="3" t="n">
        <v>44025</v>
      </c>
      <c r="C1141" s="1" t="n">
        <v>1251</v>
      </c>
      <c r="D1141" s="4" t="n">
        <v>0</v>
      </c>
      <c r="E1141" s="1" t="s">
        <v>1949</v>
      </c>
    </row>
    <row r="1142" customFormat="false" ht="15" hidden="false" customHeight="true" outlineLevel="0" collapsed="false">
      <c r="A1142" s="1" t="n">
        <v>50605</v>
      </c>
      <c r="B1142" s="3" t="n">
        <v>43985</v>
      </c>
      <c r="C1142" s="1" t="n">
        <v>691</v>
      </c>
      <c r="D1142" s="4" t="n">
        <v>170</v>
      </c>
      <c r="E1142" s="1" t="s">
        <v>1950</v>
      </c>
    </row>
    <row r="1143" customFormat="false" ht="15" hidden="false" customHeight="true" outlineLevel="0" collapsed="false">
      <c r="A1143" s="1" t="n">
        <v>50519</v>
      </c>
      <c r="B1143" s="3" t="n">
        <v>44043</v>
      </c>
      <c r="C1143" s="1" t="n">
        <v>824</v>
      </c>
      <c r="D1143" s="4" t="n">
        <v>303</v>
      </c>
      <c r="E1143" s="1" t="s">
        <v>1950</v>
      </c>
    </row>
    <row r="1144" customFormat="false" ht="15" hidden="false" customHeight="true" outlineLevel="0" collapsed="false">
      <c r="A1144" s="1" t="n">
        <v>51033</v>
      </c>
      <c r="B1144" s="3" t="n">
        <v>44067</v>
      </c>
      <c r="C1144" s="1" t="n">
        <v>41</v>
      </c>
      <c r="D1144" s="4" t="n">
        <v>0</v>
      </c>
      <c r="E1144" s="1" t="s">
        <v>1949</v>
      </c>
    </row>
    <row r="1145" customFormat="false" ht="15" hidden="false" customHeight="true" outlineLevel="0" collapsed="false">
      <c r="A1145" s="1" t="n">
        <v>50732</v>
      </c>
      <c r="B1145" s="3" t="n">
        <v>44034</v>
      </c>
      <c r="C1145" s="1" t="n">
        <v>5</v>
      </c>
      <c r="D1145" s="4" t="n">
        <v>0</v>
      </c>
      <c r="E1145" s="1" t="s">
        <v>1949</v>
      </c>
    </row>
    <row r="1146" customFormat="false" ht="15" hidden="false" customHeight="true" outlineLevel="0" collapsed="false">
      <c r="A1146" s="1" t="n">
        <v>51388</v>
      </c>
      <c r="B1146" s="3" t="n">
        <v>44016</v>
      </c>
      <c r="C1146" s="1" t="n">
        <v>413</v>
      </c>
      <c r="D1146" s="4" t="n">
        <v>0</v>
      </c>
      <c r="E1146" s="1" t="s">
        <v>1949</v>
      </c>
    </row>
    <row r="1147" customFormat="false" ht="15" hidden="false" customHeight="true" outlineLevel="0" collapsed="false">
      <c r="A1147" s="1" t="n">
        <v>50923</v>
      </c>
      <c r="B1147" s="3" t="n">
        <v>44010</v>
      </c>
      <c r="C1147" s="1" t="n">
        <v>963</v>
      </c>
      <c r="D1147" s="4" t="n">
        <v>758</v>
      </c>
      <c r="E1147" s="1" t="s">
        <v>1950</v>
      </c>
    </row>
    <row r="1148" customFormat="false" ht="15" hidden="false" customHeight="true" outlineLevel="0" collapsed="false">
      <c r="A1148" s="1" t="n">
        <v>51917</v>
      </c>
      <c r="B1148" s="3" t="n">
        <v>44002</v>
      </c>
      <c r="C1148" s="1" t="n">
        <v>1054</v>
      </c>
      <c r="D1148" s="4" t="n">
        <v>172</v>
      </c>
      <c r="E1148" s="1" t="s">
        <v>1950</v>
      </c>
    </row>
    <row r="1149" customFormat="false" ht="15" hidden="false" customHeight="true" outlineLevel="0" collapsed="false">
      <c r="A1149" s="1" t="n">
        <v>50341</v>
      </c>
      <c r="B1149" s="3" t="n">
        <v>44046</v>
      </c>
      <c r="C1149" s="1" t="n">
        <v>27</v>
      </c>
      <c r="D1149" s="4" t="n">
        <v>864</v>
      </c>
      <c r="E1149" s="1" t="s">
        <v>1950</v>
      </c>
    </row>
    <row r="1150" customFormat="false" ht="15" hidden="false" customHeight="true" outlineLevel="0" collapsed="false">
      <c r="A1150" s="1" t="n">
        <v>51809</v>
      </c>
      <c r="B1150" s="3" t="n">
        <v>44037</v>
      </c>
      <c r="C1150" s="1" t="n">
        <v>418</v>
      </c>
      <c r="D1150" s="4" t="n">
        <v>436</v>
      </c>
      <c r="E1150" s="1" t="s">
        <v>1950</v>
      </c>
    </row>
    <row r="1151" customFormat="false" ht="15" hidden="false" customHeight="true" outlineLevel="0" collapsed="false">
      <c r="A1151" s="1" t="n">
        <v>50379</v>
      </c>
      <c r="B1151" s="3" t="n">
        <v>43993</v>
      </c>
      <c r="C1151" s="1" t="n">
        <v>1273</v>
      </c>
      <c r="D1151" s="4" t="n">
        <v>105</v>
      </c>
      <c r="E1151" s="1" t="s">
        <v>1950</v>
      </c>
    </row>
    <row r="1152" customFormat="false" ht="15" hidden="false" customHeight="true" outlineLevel="0" collapsed="false">
      <c r="A1152" s="1" t="n">
        <v>50170</v>
      </c>
      <c r="B1152" s="3" t="n">
        <v>44047</v>
      </c>
      <c r="C1152" s="1" t="n">
        <v>1382</v>
      </c>
      <c r="D1152" s="4" t="n">
        <v>0</v>
      </c>
      <c r="E1152" s="1" t="s">
        <v>1949</v>
      </c>
    </row>
    <row r="1153" customFormat="false" ht="15" hidden="false" customHeight="true" outlineLevel="0" collapsed="false">
      <c r="A1153" s="1" t="n">
        <v>50595</v>
      </c>
      <c r="B1153" s="3" t="n">
        <v>44006</v>
      </c>
      <c r="C1153" s="1" t="n">
        <v>1900</v>
      </c>
      <c r="D1153" s="4" t="n">
        <v>694</v>
      </c>
      <c r="E1153" s="1" t="s">
        <v>1950</v>
      </c>
    </row>
    <row r="1154" customFormat="false" ht="15" hidden="false" customHeight="true" outlineLevel="0" collapsed="false">
      <c r="A1154" s="1" t="n">
        <v>50910</v>
      </c>
      <c r="B1154" s="3" t="n">
        <v>44052</v>
      </c>
      <c r="C1154" s="1" t="n">
        <v>254</v>
      </c>
      <c r="D1154" s="4" t="n">
        <v>0</v>
      </c>
      <c r="E1154" s="1" t="s">
        <v>1949</v>
      </c>
    </row>
    <row r="1155" customFormat="false" ht="15" hidden="false" customHeight="true" outlineLevel="0" collapsed="false">
      <c r="A1155" s="1" t="n">
        <v>50629</v>
      </c>
      <c r="B1155" s="3" t="n">
        <v>44014</v>
      </c>
      <c r="C1155" s="1" t="n">
        <v>755</v>
      </c>
      <c r="D1155" s="4" t="n">
        <v>0</v>
      </c>
      <c r="E1155" s="1" t="s">
        <v>1949</v>
      </c>
    </row>
    <row r="1156" customFormat="false" ht="15" hidden="false" customHeight="true" outlineLevel="0" collapsed="false">
      <c r="A1156" s="1" t="n">
        <v>50851</v>
      </c>
      <c r="B1156" s="3" t="n">
        <v>44028</v>
      </c>
      <c r="C1156" s="1" t="n">
        <v>1106</v>
      </c>
      <c r="D1156" s="4" t="n">
        <v>0</v>
      </c>
      <c r="E1156" s="1" t="s">
        <v>1949</v>
      </c>
    </row>
    <row r="1157" customFormat="false" ht="15" hidden="false" customHeight="true" outlineLevel="0" collapsed="false">
      <c r="A1157" s="1" t="n">
        <v>51277</v>
      </c>
      <c r="B1157" s="3" t="n">
        <v>44024</v>
      </c>
      <c r="C1157" s="1" t="n">
        <v>1680</v>
      </c>
      <c r="D1157" s="4" t="n">
        <v>383</v>
      </c>
      <c r="E1157" s="1" t="s">
        <v>1950</v>
      </c>
    </row>
    <row r="1158" customFormat="false" ht="15" hidden="false" customHeight="true" outlineLevel="0" collapsed="false">
      <c r="A1158" s="1" t="n">
        <v>51593</v>
      </c>
      <c r="B1158" s="3" t="n">
        <v>44056</v>
      </c>
      <c r="C1158" s="1" t="n">
        <v>1541</v>
      </c>
      <c r="D1158" s="4" t="n">
        <v>0</v>
      </c>
      <c r="E1158" s="1" t="s">
        <v>1949</v>
      </c>
    </row>
    <row r="1159" customFormat="false" ht="15" hidden="false" customHeight="true" outlineLevel="0" collapsed="false">
      <c r="A1159" s="1" t="n">
        <v>51507</v>
      </c>
      <c r="B1159" s="3" t="n">
        <v>44070</v>
      </c>
      <c r="C1159" s="1" t="n">
        <v>1865</v>
      </c>
      <c r="D1159" s="4" t="n">
        <v>213</v>
      </c>
      <c r="E1159" s="1" t="s">
        <v>1950</v>
      </c>
    </row>
    <row r="1160" customFormat="false" ht="15" hidden="false" customHeight="true" outlineLevel="0" collapsed="false">
      <c r="A1160" s="1" t="n">
        <v>51805</v>
      </c>
      <c r="B1160" s="3" t="n">
        <v>44032</v>
      </c>
      <c r="C1160" s="1" t="n">
        <v>1514</v>
      </c>
      <c r="D1160" s="4" t="n">
        <v>0</v>
      </c>
      <c r="E1160" s="1" t="s">
        <v>1949</v>
      </c>
    </row>
    <row r="1161" customFormat="false" ht="15" hidden="false" customHeight="true" outlineLevel="0" collapsed="false">
      <c r="A1161" s="1" t="n">
        <v>50701</v>
      </c>
      <c r="B1161" s="3" t="n">
        <v>44034</v>
      </c>
      <c r="C1161" s="1" t="n">
        <v>614</v>
      </c>
      <c r="D1161" s="4" t="n">
        <v>221</v>
      </c>
      <c r="E1161" s="1" t="s">
        <v>1950</v>
      </c>
    </row>
    <row r="1162" customFormat="false" ht="15" hidden="false" customHeight="true" outlineLevel="0" collapsed="false">
      <c r="A1162" s="1" t="n">
        <v>50194</v>
      </c>
      <c r="B1162" s="3" t="n">
        <v>43991</v>
      </c>
      <c r="C1162" s="1" t="n">
        <v>1874</v>
      </c>
      <c r="D1162" s="4" t="n">
        <v>0</v>
      </c>
      <c r="E1162" s="1" t="s">
        <v>1949</v>
      </c>
    </row>
    <row r="1163" customFormat="false" ht="15" hidden="false" customHeight="true" outlineLevel="0" collapsed="false">
      <c r="A1163" s="1" t="n">
        <v>50942</v>
      </c>
      <c r="B1163" s="3" t="n">
        <v>44053</v>
      </c>
      <c r="C1163" s="1" t="n">
        <v>521</v>
      </c>
      <c r="D1163" s="4" t="n">
        <v>0</v>
      </c>
      <c r="E1163" s="1" t="s">
        <v>1949</v>
      </c>
    </row>
    <row r="1164" customFormat="false" ht="15" hidden="false" customHeight="true" outlineLevel="0" collapsed="false">
      <c r="A1164" s="1" t="n">
        <v>50199</v>
      </c>
      <c r="B1164" s="3" t="n">
        <v>43990</v>
      </c>
      <c r="C1164" s="1" t="n">
        <v>1008</v>
      </c>
      <c r="D1164" s="4" t="n">
        <v>0</v>
      </c>
      <c r="E1164" s="1" t="s">
        <v>1949</v>
      </c>
    </row>
    <row r="1165" customFormat="false" ht="15" hidden="false" customHeight="true" outlineLevel="0" collapsed="false">
      <c r="A1165" s="1" t="n">
        <v>51042</v>
      </c>
      <c r="B1165" s="3" t="n">
        <v>44042</v>
      </c>
      <c r="C1165" s="1" t="n">
        <v>1895</v>
      </c>
      <c r="D1165" s="4" t="n">
        <v>822</v>
      </c>
      <c r="E1165" s="1" t="s">
        <v>1950</v>
      </c>
    </row>
    <row r="1166" customFormat="false" ht="15" hidden="false" customHeight="true" outlineLevel="0" collapsed="false">
      <c r="A1166" s="1" t="n">
        <v>51212</v>
      </c>
      <c r="B1166" s="3" t="n">
        <v>44066</v>
      </c>
      <c r="C1166" s="1" t="n">
        <v>924</v>
      </c>
      <c r="D1166" s="4" t="n">
        <v>830</v>
      </c>
      <c r="E1166" s="1" t="s">
        <v>1950</v>
      </c>
    </row>
    <row r="1167" customFormat="false" ht="15" hidden="false" customHeight="true" outlineLevel="0" collapsed="false">
      <c r="A1167" s="1" t="n">
        <v>51162</v>
      </c>
      <c r="B1167" s="3" t="n">
        <v>44042</v>
      </c>
      <c r="C1167" s="1" t="n">
        <v>763</v>
      </c>
      <c r="D1167" s="4" t="n">
        <v>816</v>
      </c>
      <c r="E1167" s="1" t="s">
        <v>1950</v>
      </c>
    </row>
    <row r="1168" customFormat="false" ht="15" hidden="false" customHeight="true" outlineLevel="0" collapsed="false">
      <c r="A1168" s="1" t="n">
        <v>51660</v>
      </c>
      <c r="B1168" s="3" t="n">
        <v>43982</v>
      </c>
      <c r="C1168" s="1" t="n">
        <v>238</v>
      </c>
      <c r="D1168" s="4" t="n">
        <v>0</v>
      </c>
      <c r="E1168" s="1" t="s">
        <v>1949</v>
      </c>
    </row>
    <row r="1169" customFormat="false" ht="15" hidden="false" customHeight="true" outlineLevel="0" collapsed="false">
      <c r="A1169" s="1" t="n">
        <v>51391</v>
      </c>
      <c r="B1169" s="3" t="n">
        <v>44050</v>
      </c>
      <c r="C1169" s="1" t="n">
        <v>1940</v>
      </c>
      <c r="D1169" s="4" t="n">
        <v>199</v>
      </c>
      <c r="E1169" s="1" t="s">
        <v>1950</v>
      </c>
    </row>
    <row r="1170" customFormat="false" ht="15" hidden="false" customHeight="true" outlineLevel="0" collapsed="false">
      <c r="A1170" s="1" t="n">
        <v>50746</v>
      </c>
      <c r="B1170" s="3" t="n">
        <v>44009</v>
      </c>
      <c r="C1170" s="1" t="n">
        <v>1236</v>
      </c>
      <c r="D1170" s="4" t="n">
        <v>0</v>
      </c>
      <c r="E1170" s="1" t="s">
        <v>1949</v>
      </c>
    </row>
    <row r="1171" customFormat="false" ht="15" hidden="false" customHeight="true" outlineLevel="0" collapsed="false">
      <c r="A1171" s="1" t="n">
        <v>51832</v>
      </c>
      <c r="B1171" s="3" t="n">
        <v>43983</v>
      </c>
      <c r="C1171" s="1" t="n">
        <v>1246</v>
      </c>
      <c r="D1171" s="4" t="n">
        <v>296</v>
      </c>
      <c r="E1171" s="1" t="s">
        <v>1950</v>
      </c>
    </row>
    <row r="1172" customFormat="false" ht="15" hidden="false" customHeight="true" outlineLevel="0" collapsed="false">
      <c r="A1172" s="1" t="n">
        <v>51124</v>
      </c>
      <c r="B1172" s="3" t="n">
        <v>44003</v>
      </c>
      <c r="C1172" s="1" t="n">
        <v>686</v>
      </c>
      <c r="D1172" s="4" t="n">
        <v>103</v>
      </c>
      <c r="E1172" s="1" t="s">
        <v>1950</v>
      </c>
    </row>
    <row r="1173" customFormat="false" ht="15" hidden="false" customHeight="true" outlineLevel="0" collapsed="false">
      <c r="A1173" s="1" t="n">
        <v>51444</v>
      </c>
      <c r="B1173" s="3" t="n">
        <v>44033</v>
      </c>
      <c r="C1173" s="1" t="n">
        <v>267</v>
      </c>
      <c r="D1173" s="4" t="n">
        <v>436</v>
      </c>
      <c r="E1173" s="1" t="s">
        <v>1950</v>
      </c>
    </row>
    <row r="1174" customFormat="false" ht="15" hidden="false" customHeight="true" outlineLevel="0" collapsed="false">
      <c r="A1174" s="1" t="n">
        <v>51810</v>
      </c>
      <c r="B1174" s="3" t="n">
        <v>44015</v>
      </c>
      <c r="C1174" s="1" t="n">
        <v>371</v>
      </c>
      <c r="D1174" s="4" t="n">
        <v>0</v>
      </c>
      <c r="E1174" s="1" t="s">
        <v>1949</v>
      </c>
    </row>
    <row r="1175" customFormat="false" ht="15" hidden="false" customHeight="true" outlineLevel="0" collapsed="false">
      <c r="A1175" s="1" t="n">
        <v>50047</v>
      </c>
      <c r="B1175" s="3" t="n">
        <v>44067</v>
      </c>
      <c r="C1175" s="1" t="n">
        <v>121</v>
      </c>
      <c r="D1175" s="4" t="n">
        <v>0</v>
      </c>
      <c r="E1175" s="1" t="s">
        <v>1949</v>
      </c>
    </row>
    <row r="1176" customFormat="false" ht="15" hidden="false" customHeight="true" outlineLevel="0" collapsed="false">
      <c r="A1176" s="1" t="n">
        <v>51406</v>
      </c>
      <c r="B1176" s="3" t="n">
        <v>44034</v>
      </c>
      <c r="C1176" s="1" t="n">
        <v>996</v>
      </c>
      <c r="D1176" s="4" t="n">
        <v>666</v>
      </c>
      <c r="E1176" s="1" t="s">
        <v>1950</v>
      </c>
    </row>
    <row r="1177" customFormat="false" ht="15" hidden="false" customHeight="true" outlineLevel="0" collapsed="false">
      <c r="A1177" s="1" t="n">
        <v>50393</v>
      </c>
      <c r="B1177" s="3" t="n">
        <v>43997</v>
      </c>
      <c r="C1177" s="1" t="n">
        <v>739</v>
      </c>
      <c r="D1177" s="4" t="n">
        <v>472</v>
      </c>
      <c r="E1177" s="1" t="s">
        <v>1950</v>
      </c>
    </row>
    <row r="1178" customFormat="false" ht="15" hidden="false" customHeight="true" outlineLevel="0" collapsed="false">
      <c r="A1178" s="1" t="n">
        <v>50440</v>
      </c>
      <c r="B1178" s="3" t="n">
        <v>44017</v>
      </c>
      <c r="C1178" s="1" t="n">
        <v>1588</v>
      </c>
      <c r="D1178" s="4" t="n">
        <v>516</v>
      </c>
      <c r="E1178" s="1" t="s">
        <v>1950</v>
      </c>
    </row>
    <row r="1179" customFormat="false" ht="15" hidden="false" customHeight="true" outlineLevel="0" collapsed="false">
      <c r="A1179" s="1" t="n">
        <v>51965</v>
      </c>
      <c r="B1179" s="3" t="n">
        <v>44055</v>
      </c>
      <c r="C1179" s="1" t="n">
        <v>1105</v>
      </c>
      <c r="D1179" s="4" t="n">
        <v>0</v>
      </c>
      <c r="E1179" s="1" t="s">
        <v>1949</v>
      </c>
    </row>
    <row r="1180" customFormat="false" ht="15" hidden="false" customHeight="true" outlineLevel="0" collapsed="false">
      <c r="A1180" s="1" t="n">
        <v>50004</v>
      </c>
      <c r="B1180" s="3" t="n">
        <v>44038</v>
      </c>
      <c r="C1180" s="1" t="n">
        <v>1243</v>
      </c>
      <c r="D1180" s="4" t="n">
        <v>0</v>
      </c>
      <c r="E1180" s="1" t="s">
        <v>1949</v>
      </c>
    </row>
    <row r="1181" customFormat="false" ht="15" hidden="false" customHeight="true" outlineLevel="0" collapsed="false">
      <c r="A1181" s="1" t="n">
        <v>50052</v>
      </c>
      <c r="B1181" s="3" t="n">
        <v>44005</v>
      </c>
      <c r="C1181" s="1" t="n">
        <v>1392</v>
      </c>
      <c r="D1181" s="4" t="n">
        <v>258</v>
      </c>
      <c r="E1181" s="1" t="s">
        <v>1950</v>
      </c>
    </row>
    <row r="1182" customFormat="false" ht="15" hidden="false" customHeight="true" outlineLevel="0" collapsed="false">
      <c r="A1182" s="1" t="n">
        <v>50807</v>
      </c>
      <c r="B1182" s="3" t="n">
        <v>44044</v>
      </c>
      <c r="C1182" s="1" t="n">
        <v>1494</v>
      </c>
      <c r="D1182" s="4" t="n">
        <v>545</v>
      </c>
      <c r="E1182" s="1" t="s">
        <v>1950</v>
      </c>
    </row>
    <row r="1183" customFormat="false" ht="15" hidden="false" customHeight="true" outlineLevel="0" collapsed="false">
      <c r="A1183" s="1" t="n">
        <v>50783</v>
      </c>
      <c r="B1183" s="3" t="n">
        <v>44017</v>
      </c>
      <c r="C1183" s="1" t="n">
        <v>898</v>
      </c>
      <c r="D1183" s="4" t="n">
        <v>448</v>
      </c>
      <c r="E1183" s="1" t="s">
        <v>1950</v>
      </c>
    </row>
    <row r="1184" customFormat="false" ht="15" hidden="false" customHeight="true" outlineLevel="0" collapsed="false">
      <c r="A1184" s="1" t="n">
        <v>51118</v>
      </c>
      <c r="B1184" s="3" t="n">
        <v>44018</v>
      </c>
      <c r="C1184" s="1" t="n">
        <v>1413</v>
      </c>
      <c r="D1184" s="4" t="n">
        <v>0</v>
      </c>
      <c r="E1184" s="1" t="s">
        <v>1949</v>
      </c>
    </row>
    <row r="1185" customFormat="false" ht="15" hidden="false" customHeight="true" outlineLevel="0" collapsed="false">
      <c r="A1185" s="1" t="n">
        <v>51687</v>
      </c>
      <c r="B1185" s="3" t="n">
        <v>44053</v>
      </c>
      <c r="C1185" s="1" t="n">
        <v>1315</v>
      </c>
      <c r="D1185" s="4" t="n">
        <v>0</v>
      </c>
      <c r="E1185" s="1" t="s">
        <v>1949</v>
      </c>
    </row>
    <row r="1186" customFormat="false" ht="15" hidden="false" customHeight="true" outlineLevel="0" collapsed="false">
      <c r="A1186" s="1" t="n">
        <v>51748</v>
      </c>
      <c r="B1186" s="3" t="n">
        <v>44044</v>
      </c>
      <c r="C1186" s="1" t="n">
        <v>1864</v>
      </c>
      <c r="D1186" s="4" t="n">
        <v>0</v>
      </c>
      <c r="E1186" s="1" t="s">
        <v>1949</v>
      </c>
    </row>
    <row r="1187" customFormat="false" ht="15" hidden="false" customHeight="true" outlineLevel="0" collapsed="false">
      <c r="A1187" s="1" t="n">
        <v>50602</v>
      </c>
      <c r="B1187" s="3" t="n">
        <v>44050</v>
      </c>
      <c r="C1187" s="1" t="n">
        <v>1650</v>
      </c>
      <c r="D1187" s="4" t="n">
        <v>0</v>
      </c>
      <c r="E1187" s="1" t="s">
        <v>1949</v>
      </c>
    </row>
    <row r="1188" customFormat="false" ht="15" hidden="false" customHeight="true" outlineLevel="0" collapsed="false">
      <c r="A1188" s="1" t="n">
        <v>51048</v>
      </c>
      <c r="B1188" s="3" t="n">
        <v>44007</v>
      </c>
      <c r="C1188" s="1" t="n">
        <v>54</v>
      </c>
      <c r="D1188" s="4" t="n">
        <v>102</v>
      </c>
      <c r="E1188" s="1" t="s">
        <v>1950</v>
      </c>
    </row>
    <row r="1189" customFormat="false" ht="15" hidden="false" customHeight="true" outlineLevel="0" collapsed="false">
      <c r="A1189" s="1" t="n">
        <v>50612</v>
      </c>
      <c r="B1189" s="3" t="n">
        <v>43986</v>
      </c>
      <c r="C1189" s="1" t="n">
        <v>1752</v>
      </c>
      <c r="D1189" s="4" t="n">
        <v>699</v>
      </c>
      <c r="E1189" s="1" t="s">
        <v>1950</v>
      </c>
    </row>
    <row r="1190" customFormat="false" ht="15" hidden="false" customHeight="true" outlineLevel="0" collapsed="false">
      <c r="A1190" s="1" t="n">
        <v>50319</v>
      </c>
      <c r="B1190" s="3" t="n">
        <v>43997</v>
      </c>
      <c r="C1190" s="1" t="n">
        <v>704</v>
      </c>
      <c r="D1190" s="4" t="n">
        <v>0</v>
      </c>
      <c r="E1190" s="1" t="s">
        <v>1949</v>
      </c>
    </row>
    <row r="1191" customFormat="false" ht="15" hidden="false" customHeight="true" outlineLevel="0" collapsed="false">
      <c r="A1191" s="1" t="n">
        <v>50464</v>
      </c>
      <c r="B1191" s="3" t="n">
        <v>44052</v>
      </c>
      <c r="C1191" s="1" t="n">
        <v>453</v>
      </c>
      <c r="D1191" s="4" t="n">
        <v>0</v>
      </c>
      <c r="E1191" s="1" t="s">
        <v>1949</v>
      </c>
    </row>
    <row r="1192" customFormat="false" ht="15" hidden="false" customHeight="true" outlineLevel="0" collapsed="false">
      <c r="A1192" s="1" t="n">
        <v>50071</v>
      </c>
      <c r="B1192" s="3" t="n">
        <v>44069</v>
      </c>
      <c r="C1192" s="1" t="n">
        <v>1849</v>
      </c>
      <c r="D1192" s="4" t="n">
        <v>132</v>
      </c>
      <c r="E1192" s="1" t="s">
        <v>1950</v>
      </c>
    </row>
    <row r="1193" customFormat="false" ht="15" hidden="false" customHeight="true" outlineLevel="0" collapsed="false">
      <c r="A1193" s="1" t="n">
        <v>50000</v>
      </c>
      <c r="B1193" s="3" t="n">
        <v>43989</v>
      </c>
      <c r="C1193" s="1" t="n">
        <v>653</v>
      </c>
      <c r="D1193" s="4" t="n">
        <v>0</v>
      </c>
      <c r="E1193" s="1" t="s">
        <v>1949</v>
      </c>
    </row>
    <row r="1194" customFormat="false" ht="15" hidden="false" customHeight="true" outlineLevel="0" collapsed="false">
      <c r="A1194" s="1" t="n">
        <v>51762</v>
      </c>
      <c r="B1194" s="3" t="n">
        <v>44044</v>
      </c>
      <c r="C1194" s="1" t="n">
        <v>174</v>
      </c>
      <c r="D1194" s="4" t="n">
        <v>0</v>
      </c>
      <c r="E1194" s="1" t="s">
        <v>1949</v>
      </c>
    </row>
    <row r="1195" customFormat="false" ht="15" hidden="false" customHeight="true" outlineLevel="0" collapsed="false">
      <c r="A1195" s="1" t="n">
        <v>51261</v>
      </c>
      <c r="B1195" s="3" t="n">
        <v>44067</v>
      </c>
      <c r="C1195" s="1" t="n">
        <v>1094</v>
      </c>
      <c r="D1195" s="4" t="n">
        <v>0</v>
      </c>
      <c r="E1195" s="1" t="s">
        <v>1949</v>
      </c>
    </row>
    <row r="1196" customFormat="false" ht="15" hidden="false" customHeight="true" outlineLevel="0" collapsed="false">
      <c r="A1196" s="1" t="n">
        <v>50362</v>
      </c>
      <c r="B1196" s="3" t="n">
        <v>43992</v>
      </c>
      <c r="C1196" s="1" t="n">
        <v>326</v>
      </c>
      <c r="D1196" s="4" t="n">
        <v>0</v>
      </c>
      <c r="E1196" s="1" t="s">
        <v>1949</v>
      </c>
    </row>
    <row r="1197" customFormat="false" ht="15" hidden="false" customHeight="true" outlineLevel="0" collapsed="false">
      <c r="A1197" s="1" t="n">
        <v>50601</v>
      </c>
      <c r="B1197" s="3" t="n">
        <v>44037</v>
      </c>
      <c r="C1197" s="1" t="n">
        <v>899</v>
      </c>
      <c r="D1197" s="4" t="n">
        <v>0</v>
      </c>
      <c r="E1197" s="1" t="s">
        <v>1949</v>
      </c>
    </row>
    <row r="1198" customFormat="false" ht="15" hidden="false" customHeight="true" outlineLevel="0" collapsed="false">
      <c r="A1198" s="1" t="n">
        <v>50806</v>
      </c>
      <c r="B1198" s="3" t="n">
        <v>44008</v>
      </c>
      <c r="C1198" s="1" t="n">
        <v>1215</v>
      </c>
      <c r="D1198" s="4" t="n">
        <v>0</v>
      </c>
      <c r="E1198" s="1" t="s">
        <v>1949</v>
      </c>
    </row>
    <row r="1199" customFormat="false" ht="15" hidden="false" customHeight="true" outlineLevel="0" collapsed="false">
      <c r="A1199" s="1" t="n">
        <v>50307</v>
      </c>
      <c r="B1199" s="3" t="n">
        <v>44052</v>
      </c>
      <c r="C1199" s="1" t="n">
        <v>338</v>
      </c>
      <c r="D1199" s="4" t="n">
        <v>889</v>
      </c>
      <c r="E1199" s="1" t="s">
        <v>1950</v>
      </c>
    </row>
    <row r="1200" customFormat="false" ht="15" hidden="false" customHeight="true" outlineLevel="0" collapsed="false">
      <c r="A1200" s="1" t="n">
        <v>50619</v>
      </c>
      <c r="B1200" s="3" t="n">
        <v>44006</v>
      </c>
      <c r="C1200" s="1" t="n">
        <v>178</v>
      </c>
      <c r="D1200" s="4" t="n">
        <v>0</v>
      </c>
      <c r="E1200" s="1" t="s">
        <v>1949</v>
      </c>
    </row>
    <row r="1201" customFormat="false" ht="15" hidden="false" customHeight="true" outlineLevel="0" collapsed="false">
      <c r="A1201" s="1" t="n">
        <v>51596</v>
      </c>
      <c r="B1201" s="3" t="n">
        <v>44019</v>
      </c>
      <c r="C1201" s="1" t="n">
        <v>995</v>
      </c>
      <c r="D1201" s="4" t="n">
        <v>192</v>
      </c>
      <c r="E1201" s="1" t="s">
        <v>1950</v>
      </c>
    </row>
    <row r="1202" customFormat="false" ht="15" hidden="false" customHeight="true" outlineLevel="0" collapsed="false">
      <c r="A1202" s="1" t="n">
        <v>51776</v>
      </c>
      <c r="B1202" s="3" t="n">
        <v>43986</v>
      </c>
      <c r="C1202" s="1" t="n">
        <v>589</v>
      </c>
      <c r="D1202" s="4" t="n">
        <v>622</v>
      </c>
      <c r="E1202" s="1" t="s">
        <v>1950</v>
      </c>
    </row>
    <row r="1203" customFormat="false" ht="15" hidden="false" customHeight="true" outlineLevel="0" collapsed="false">
      <c r="A1203" s="1" t="n">
        <v>51431</v>
      </c>
      <c r="B1203" s="3" t="n">
        <v>44030</v>
      </c>
      <c r="C1203" s="1" t="n">
        <v>295</v>
      </c>
      <c r="D1203" s="4" t="n">
        <v>0</v>
      </c>
      <c r="E1203" s="1" t="s">
        <v>1949</v>
      </c>
    </row>
    <row r="1204" customFormat="false" ht="15" hidden="false" customHeight="true" outlineLevel="0" collapsed="false">
      <c r="A1204" s="1" t="n">
        <v>51289</v>
      </c>
      <c r="B1204" s="3" t="n">
        <v>44022</v>
      </c>
      <c r="C1204" s="1" t="n">
        <v>263</v>
      </c>
      <c r="D1204" s="4" t="n">
        <v>0</v>
      </c>
      <c r="E1204" s="1" t="s">
        <v>1949</v>
      </c>
    </row>
    <row r="1205" customFormat="false" ht="15" hidden="false" customHeight="true" outlineLevel="0" collapsed="false">
      <c r="A1205" s="1" t="n">
        <v>51464</v>
      </c>
      <c r="B1205" s="3" t="n">
        <v>44004</v>
      </c>
      <c r="C1205" s="1" t="n">
        <v>289</v>
      </c>
      <c r="D1205" s="4" t="n">
        <v>321</v>
      </c>
      <c r="E1205" s="1" t="s">
        <v>1950</v>
      </c>
    </row>
    <row r="1206" customFormat="false" ht="15" hidden="false" customHeight="true" outlineLevel="0" collapsed="false">
      <c r="A1206" s="1" t="n">
        <v>50575</v>
      </c>
      <c r="B1206" s="3" t="n">
        <v>43998</v>
      </c>
      <c r="C1206" s="1" t="n">
        <v>171</v>
      </c>
      <c r="D1206" s="4" t="n">
        <v>0</v>
      </c>
      <c r="E1206" s="1" t="s">
        <v>1949</v>
      </c>
    </row>
    <row r="1207" customFormat="false" ht="15" hidden="false" customHeight="true" outlineLevel="0" collapsed="false">
      <c r="A1207" s="1" t="n">
        <v>51354</v>
      </c>
      <c r="B1207" s="3" t="n">
        <v>43995</v>
      </c>
      <c r="C1207" s="1" t="n">
        <v>1873</v>
      </c>
      <c r="D1207" s="4" t="n">
        <v>0</v>
      </c>
      <c r="E1207" s="1" t="s">
        <v>1949</v>
      </c>
    </row>
    <row r="1208" customFormat="false" ht="15" hidden="false" customHeight="true" outlineLevel="0" collapsed="false">
      <c r="A1208" s="1" t="n">
        <v>50834</v>
      </c>
      <c r="B1208" s="3" t="n">
        <v>43988</v>
      </c>
      <c r="C1208" s="1" t="n">
        <v>402</v>
      </c>
      <c r="D1208" s="4" t="n">
        <v>0</v>
      </c>
      <c r="E1208" s="1" t="s">
        <v>1949</v>
      </c>
    </row>
    <row r="1209" customFormat="false" ht="15" hidden="false" customHeight="true" outlineLevel="0" collapsed="false">
      <c r="A1209" s="1" t="n">
        <v>51385</v>
      </c>
      <c r="B1209" s="3" t="n">
        <v>44058</v>
      </c>
      <c r="C1209" s="1" t="n">
        <v>351</v>
      </c>
      <c r="D1209" s="4" t="n">
        <v>0</v>
      </c>
      <c r="E1209" s="1" t="s">
        <v>1949</v>
      </c>
    </row>
    <row r="1210" customFormat="false" ht="15" hidden="false" customHeight="true" outlineLevel="0" collapsed="false">
      <c r="A1210" s="1" t="n">
        <v>51787</v>
      </c>
      <c r="B1210" s="3" t="n">
        <v>44069</v>
      </c>
      <c r="C1210" s="1" t="n">
        <v>1663</v>
      </c>
      <c r="D1210" s="4" t="n">
        <v>781</v>
      </c>
      <c r="E1210" s="1" t="s">
        <v>1950</v>
      </c>
    </row>
    <row r="1211" customFormat="false" ht="15" hidden="false" customHeight="true" outlineLevel="0" collapsed="false">
      <c r="A1211" s="1" t="n">
        <v>50968</v>
      </c>
      <c r="B1211" s="3" t="n">
        <v>43990</v>
      </c>
      <c r="C1211" s="1" t="n">
        <v>1021</v>
      </c>
      <c r="D1211" s="4" t="n">
        <v>0</v>
      </c>
      <c r="E1211" s="1" t="s">
        <v>1949</v>
      </c>
    </row>
    <row r="1212" customFormat="false" ht="15" hidden="false" customHeight="true" outlineLevel="0" collapsed="false">
      <c r="A1212" s="1" t="n">
        <v>50546</v>
      </c>
      <c r="B1212" s="3" t="n">
        <v>44024</v>
      </c>
      <c r="C1212" s="1" t="n">
        <v>1481</v>
      </c>
      <c r="D1212" s="4" t="n">
        <v>235</v>
      </c>
      <c r="E1212" s="1" t="s">
        <v>1950</v>
      </c>
    </row>
    <row r="1213" customFormat="false" ht="15" hidden="false" customHeight="true" outlineLevel="0" collapsed="false">
      <c r="A1213" s="1" t="n">
        <v>50475</v>
      </c>
      <c r="B1213" s="3" t="n">
        <v>43994</v>
      </c>
      <c r="C1213" s="1" t="n">
        <v>1559</v>
      </c>
      <c r="D1213" s="4" t="n">
        <v>0</v>
      </c>
      <c r="E1213" s="1" t="s">
        <v>1949</v>
      </c>
    </row>
    <row r="1214" customFormat="false" ht="15" hidden="false" customHeight="true" outlineLevel="0" collapsed="false">
      <c r="A1214" s="1" t="n">
        <v>51485</v>
      </c>
      <c r="B1214" s="3" t="n">
        <v>44063</v>
      </c>
      <c r="C1214" s="1" t="n">
        <v>29</v>
      </c>
      <c r="D1214" s="4" t="n">
        <v>0</v>
      </c>
      <c r="E1214" s="1" t="s">
        <v>1949</v>
      </c>
    </row>
    <row r="1215" customFormat="false" ht="15" hidden="false" customHeight="true" outlineLevel="0" collapsed="false">
      <c r="A1215" s="1" t="n">
        <v>51650</v>
      </c>
      <c r="B1215" s="3" t="n">
        <v>44053</v>
      </c>
      <c r="C1215" s="1" t="n">
        <v>1820</v>
      </c>
      <c r="D1215" s="4" t="n">
        <v>236</v>
      </c>
      <c r="E1215" s="1" t="s">
        <v>1950</v>
      </c>
    </row>
    <row r="1216" customFormat="false" ht="15" hidden="false" customHeight="true" outlineLevel="0" collapsed="false">
      <c r="A1216" s="1" t="n">
        <v>51008</v>
      </c>
      <c r="B1216" s="3" t="n">
        <v>44062</v>
      </c>
      <c r="C1216" s="1" t="n">
        <v>1404</v>
      </c>
      <c r="D1216" s="4" t="n">
        <v>0</v>
      </c>
      <c r="E1216" s="1" t="s">
        <v>1949</v>
      </c>
    </row>
    <row r="1217" customFormat="false" ht="15" hidden="false" customHeight="true" outlineLevel="0" collapsed="false">
      <c r="A1217" s="1" t="n">
        <v>51469</v>
      </c>
      <c r="B1217" s="3" t="n">
        <v>44057</v>
      </c>
      <c r="C1217" s="1" t="n">
        <v>403</v>
      </c>
      <c r="D1217" s="4" t="n">
        <v>0</v>
      </c>
      <c r="E1217" s="1" t="s">
        <v>1949</v>
      </c>
    </row>
    <row r="1218" customFormat="false" ht="15" hidden="false" customHeight="true" outlineLevel="0" collapsed="false">
      <c r="A1218" s="1" t="n">
        <v>51649</v>
      </c>
      <c r="B1218" s="3" t="n">
        <v>44062</v>
      </c>
      <c r="C1218" s="1" t="n">
        <v>210</v>
      </c>
      <c r="D1218" s="4" t="n">
        <v>0</v>
      </c>
      <c r="E1218" s="1" t="s">
        <v>1949</v>
      </c>
    </row>
    <row r="1219" customFormat="false" ht="15" hidden="false" customHeight="true" outlineLevel="0" collapsed="false">
      <c r="A1219" s="1" t="n">
        <v>51634</v>
      </c>
      <c r="B1219" s="3" t="n">
        <v>43998</v>
      </c>
      <c r="C1219" s="1" t="n">
        <v>1888</v>
      </c>
      <c r="D1219" s="4" t="n">
        <v>0</v>
      </c>
      <c r="E1219" s="1" t="s">
        <v>1949</v>
      </c>
    </row>
    <row r="1220" customFormat="false" ht="15" hidden="false" customHeight="true" outlineLevel="0" collapsed="false">
      <c r="A1220" s="1" t="n">
        <v>51340</v>
      </c>
      <c r="B1220" s="3" t="n">
        <v>43990</v>
      </c>
      <c r="C1220" s="1" t="n">
        <v>481</v>
      </c>
      <c r="D1220" s="4" t="n">
        <v>0</v>
      </c>
      <c r="E1220" s="1" t="s">
        <v>1949</v>
      </c>
    </row>
    <row r="1221" customFormat="false" ht="15" hidden="false" customHeight="true" outlineLevel="0" collapsed="false">
      <c r="A1221" s="1" t="n">
        <v>51611</v>
      </c>
      <c r="B1221" s="3" t="n">
        <v>44040</v>
      </c>
      <c r="C1221" s="1" t="n">
        <v>1818</v>
      </c>
      <c r="D1221" s="4" t="n">
        <v>425</v>
      </c>
      <c r="E1221" s="1" t="s">
        <v>1950</v>
      </c>
    </row>
    <row r="1222" customFormat="false" ht="15" hidden="false" customHeight="true" outlineLevel="0" collapsed="false">
      <c r="A1222" s="1" t="n">
        <v>51448</v>
      </c>
      <c r="B1222" s="3" t="n">
        <v>44015</v>
      </c>
      <c r="C1222" s="1" t="n">
        <v>599</v>
      </c>
      <c r="D1222" s="4" t="n">
        <v>0</v>
      </c>
      <c r="E1222" s="1" t="s">
        <v>1949</v>
      </c>
    </row>
    <row r="1223" customFormat="false" ht="15" hidden="false" customHeight="true" outlineLevel="0" collapsed="false">
      <c r="A1223" s="1" t="n">
        <v>51248</v>
      </c>
      <c r="B1223" s="3" t="n">
        <v>43995</v>
      </c>
      <c r="C1223" s="1" t="n">
        <v>1468</v>
      </c>
      <c r="D1223" s="4" t="n">
        <v>877</v>
      </c>
      <c r="E1223" s="1" t="s">
        <v>1950</v>
      </c>
    </row>
    <row r="1224" customFormat="false" ht="15" hidden="false" customHeight="true" outlineLevel="0" collapsed="false">
      <c r="A1224" s="1" t="n">
        <v>50471</v>
      </c>
      <c r="B1224" s="3" t="n">
        <v>44065</v>
      </c>
      <c r="C1224" s="1" t="n">
        <v>1044</v>
      </c>
      <c r="D1224" s="4" t="n">
        <v>0</v>
      </c>
      <c r="E1224" s="1" t="s">
        <v>1949</v>
      </c>
    </row>
    <row r="1225" customFormat="false" ht="15" hidden="false" customHeight="true" outlineLevel="0" collapsed="false">
      <c r="A1225" s="1" t="n">
        <v>51028</v>
      </c>
      <c r="B1225" s="3" t="n">
        <v>44042</v>
      </c>
      <c r="C1225" s="1" t="n">
        <v>952</v>
      </c>
      <c r="D1225" s="4" t="n">
        <v>0</v>
      </c>
      <c r="E1225" s="1" t="s">
        <v>1949</v>
      </c>
    </row>
    <row r="1226" customFormat="false" ht="15" hidden="false" customHeight="true" outlineLevel="0" collapsed="false">
      <c r="A1226" s="1" t="n">
        <v>50654</v>
      </c>
      <c r="B1226" s="3" t="n">
        <v>43995</v>
      </c>
      <c r="C1226" s="1" t="n">
        <v>1721</v>
      </c>
      <c r="D1226" s="4" t="n">
        <v>0</v>
      </c>
      <c r="E1226" s="1" t="s">
        <v>1949</v>
      </c>
    </row>
    <row r="1227" customFormat="false" ht="15" hidden="false" customHeight="true" outlineLevel="0" collapsed="false">
      <c r="A1227" s="1" t="n">
        <v>50621</v>
      </c>
      <c r="B1227" s="3" t="n">
        <v>44027</v>
      </c>
      <c r="C1227" s="1" t="n">
        <v>700</v>
      </c>
      <c r="D1227" s="4" t="n">
        <v>0</v>
      </c>
      <c r="E1227" s="1" t="s">
        <v>1949</v>
      </c>
    </row>
    <row r="1228" customFormat="false" ht="15" hidden="false" customHeight="true" outlineLevel="0" collapsed="false">
      <c r="A1228" s="1" t="n">
        <v>51877</v>
      </c>
      <c r="B1228" s="3" t="n">
        <v>43993</v>
      </c>
      <c r="C1228" s="1" t="n">
        <v>1946</v>
      </c>
      <c r="D1228" s="4" t="n">
        <v>0</v>
      </c>
      <c r="E1228" s="1" t="s">
        <v>1949</v>
      </c>
    </row>
    <row r="1229" customFormat="false" ht="15" hidden="false" customHeight="true" outlineLevel="0" collapsed="false">
      <c r="A1229" s="1" t="n">
        <v>51812</v>
      </c>
      <c r="B1229" s="3" t="n">
        <v>44069</v>
      </c>
      <c r="C1229" s="1" t="n">
        <v>1905</v>
      </c>
      <c r="D1229" s="4" t="n">
        <v>577</v>
      </c>
      <c r="E1229" s="1" t="s">
        <v>1950</v>
      </c>
    </row>
    <row r="1230" customFormat="false" ht="15" hidden="false" customHeight="true" outlineLevel="0" collapsed="false">
      <c r="A1230" s="1" t="n">
        <v>51873</v>
      </c>
      <c r="B1230" s="3" t="n">
        <v>44060</v>
      </c>
      <c r="C1230" s="1" t="n">
        <v>491</v>
      </c>
      <c r="D1230" s="4" t="n">
        <v>0</v>
      </c>
      <c r="E1230" s="1" t="s">
        <v>1949</v>
      </c>
    </row>
    <row r="1231" customFormat="false" ht="15" hidden="false" customHeight="true" outlineLevel="0" collapsed="false">
      <c r="A1231" s="1" t="n">
        <v>51587</v>
      </c>
      <c r="B1231" s="3" t="n">
        <v>43986</v>
      </c>
      <c r="C1231" s="1" t="n">
        <v>1534</v>
      </c>
      <c r="D1231" s="4" t="n">
        <v>0</v>
      </c>
      <c r="E1231" s="1" t="s">
        <v>1949</v>
      </c>
    </row>
    <row r="1232" customFormat="false" ht="15" hidden="false" customHeight="true" outlineLevel="0" collapsed="false">
      <c r="A1232" s="1" t="n">
        <v>50129</v>
      </c>
      <c r="B1232" s="3" t="n">
        <v>44008</v>
      </c>
      <c r="C1232" s="1" t="n">
        <v>1661</v>
      </c>
      <c r="D1232" s="4" t="n">
        <v>702</v>
      </c>
      <c r="E1232" s="1" t="s">
        <v>1950</v>
      </c>
    </row>
    <row r="1233" customFormat="false" ht="15" hidden="false" customHeight="true" outlineLevel="0" collapsed="false">
      <c r="A1233" s="1" t="n">
        <v>50831</v>
      </c>
      <c r="B1233" s="3" t="n">
        <v>44053</v>
      </c>
      <c r="C1233" s="1" t="n">
        <v>1257</v>
      </c>
      <c r="D1233" s="4" t="n">
        <v>783</v>
      </c>
      <c r="E1233" s="1" t="s">
        <v>1950</v>
      </c>
    </row>
    <row r="1234" customFormat="false" ht="15" hidden="false" customHeight="true" outlineLevel="0" collapsed="false">
      <c r="A1234" s="1" t="n">
        <v>50399</v>
      </c>
      <c r="B1234" s="3" t="n">
        <v>44010</v>
      </c>
      <c r="C1234" s="1" t="n">
        <v>1577</v>
      </c>
      <c r="D1234" s="4" t="n">
        <v>657</v>
      </c>
      <c r="E1234" s="1" t="s">
        <v>1950</v>
      </c>
    </row>
    <row r="1235" customFormat="false" ht="15" hidden="false" customHeight="true" outlineLevel="0" collapsed="false">
      <c r="A1235" s="1" t="n">
        <v>50095</v>
      </c>
      <c r="B1235" s="3" t="n">
        <v>43993</v>
      </c>
      <c r="C1235" s="1" t="n">
        <v>1845</v>
      </c>
      <c r="D1235" s="4" t="n">
        <v>0</v>
      </c>
      <c r="E1235" s="1" t="s">
        <v>1949</v>
      </c>
    </row>
    <row r="1236" customFormat="false" ht="15" hidden="false" customHeight="true" outlineLevel="0" collapsed="false">
      <c r="A1236" s="1" t="n">
        <v>50308</v>
      </c>
      <c r="B1236" s="3" t="n">
        <v>44044</v>
      </c>
      <c r="C1236" s="1" t="n">
        <v>925</v>
      </c>
      <c r="D1236" s="4" t="n">
        <v>794</v>
      </c>
      <c r="E1236" s="1" t="s">
        <v>1950</v>
      </c>
    </row>
    <row r="1237" customFormat="false" ht="15" hidden="false" customHeight="true" outlineLevel="0" collapsed="false">
      <c r="A1237" s="1" t="n">
        <v>50326</v>
      </c>
      <c r="B1237" s="3" t="n">
        <v>44050</v>
      </c>
      <c r="C1237" s="1" t="n">
        <v>522</v>
      </c>
      <c r="D1237" s="4" t="n">
        <v>0</v>
      </c>
      <c r="E1237" s="1" t="s">
        <v>1949</v>
      </c>
    </row>
    <row r="1238" customFormat="false" ht="15" hidden="false" customHeight="true" outlineLevel="0" collapsed="false">
      <c r="A1238" s="1" t="n">
        <v>50616</v>
      </c>
      <c r="B1238" s="3" t="n">
        <v>44031</v>
      </c>
      <c r="C1238" s="1" t="n">
        <v>640</v>
      </c>
      <c r="D1238" s="4" t="n">
        <v>309</v>
      </c>
      <c r="E1238" s="1" t="s">
        <v>1950</v>
      </c>
    </row>
    <row r="1239" customFormat="false" ht="15" hidden="false" customHeight="true" outlineLevel="0" collapsed="false">
      <c r="A1239" s="1" t="n">
        <v>51268</v>
      </c>
      <c r="B1239" s="3" t="n">
        <v>43997</v>
      </c>
      <c r="C1239" s="1" t="n">
        <v>1201</v>
      </c>
      <c r="D1239" s="4" t="n">
        <v>0</v>
      </c>
      <c r="E1239" s="1" t="s">
        <v>1949</v>
      </c>
    </row>
    <row r="1240" customFormat="false" ht="15" hidden="false" customHeight="true" outlineLevel="0" collapsed="false">
      <c r="A1240" s="1" t="n">
        <v>51264</v>
      </c>
      <c r="B1240" s="3" t="n">
        <v>44033</v>
      </c>
      <c r="C1240" s="1" t="n">
        <v>1411</v>
      </c>
      <c r="D1240" s="4" t="n">
        <v>0</v>
      </c>
      <c r="E1240" s="1" t="s">
        <v>1949</v>
      </c>
    </row>
    <row r="1241" customFormat="false" ht="15" hidden="false" customHeight="true" outlineLevel="0" collapsed="false">
      <c r="A1241" s="1" t="n">
        <v>51458</v>
      </c>
      <c r="B1241" s="3" t="n">
        <v>44032</v>
      </c>
      <c r="C1241" s="1" t="n">
        <v>1515</v>
      </c>
      <c r="D1241" s="4" t="n">
        <v>263</v>
      </c>
      <c r="E1241" s="1" t="s">
        <v>1950</v>
      </c>
    </row>
    <row r="1242" customFormat="false" ht="15" hidden="false" customHeight="true" outlineLevel="0" collapsed="false">
      <c r="A1242" s="1" t="n">
        <v>51139</v>
      </c>
      <c r="B1242" s="3" t="n">
        <v>43999</v>
      </c>
      <c r="C1242" s="1" t="n">
        <v>1434</v>
      </c>
      <c r="D1242" s="4" t="n">
        <v>119</v>
      </c>
      <c r="E1242" s="1" t="s">
        <v>1950</v>
      </c>
    </row>
    <row r="1243" customFormat="false" ht="15" hidden="false" customHeight="true" outlineLevel="0" collapsed="false">
      <c r="A1243" s="1" t="n">
        <v>51285</v>
      </c>
      <c r="B1243" s="3" t="n">
        <v>44058</v>
      </c>
      <c r="C1243" s="1" t="n">
        <v>1288</v>
      </c>
      <c r="D1243" s="4" t="n">
        <v>323</v>
      </c>
      <c r="E1243" s="1" t="s">
        <v>1950</v>
      </c>
    </row>
    <row r="1244" customFormat="false" ht="15" hidden="false" customHeight="true" outlineLevel="0" collapsed="false">
      <c r="A1244" s="1" t="n">
        <v>51350</v>
      </c>
      <c r="B1244" s="3" t="n">
        <v>43994</v>
      </c>
      <c r="C1244" s="1" t="n">
        <v>154</v>
      </c>
      <c r="D1244" s="4" t="n">
        <v>0</v>
      </c>
      <c r="E1244" s="1" t="s">
        <v>1949</v>
      </c>
    </row>
    <row r="1245" customFormat="false" ht="15" hidden="false" customHeight="true" outlineLevel="0" collapsed="false">
      <c r="A1245" s="1" t="n">
        <v>50943</v>
      </c>
      <c r="B1245" s="3" t="n">
        <v>44014</v>
      </c>
      <c r="C1245" s="1" t="n">
        <v>737</v>
      </c>
      <c r="D1245" s="4" t="n">
        <v>275</v>
      </c>
      <c r="E1245" s="1" t="s">
        <v>1950</v>
      </c>
    </row>
    <row r="1246" customFormat="false" ht="15" hidden="false" customHeight="true" outlineLevel="0" collapsed="false">
      <c r="A1246" s="1" t="n">
        <v>50844</v>
      </c>
      <c r="B1246" s="3" t="n">
        <v>44023</v>
      </c>
      <c r="C1246" s="1" t="n">
        <v>1950</v>
      </c>
      <c r="D1246" s="4" t="n">
        <v>0</v>
      </c>
      <c r="E1246" s="1" t="s">
        <v>1949</v>
      </c>
    </row>
    <row r="1247" customFormat="false" ht="15" hidden="false" customHeight="true" outlineLevel="0" collapsed="false">
      <c r="A1247" s="1" t="n">
        <v>51267</v>
      </c>
      <c r="B1247" s="3" t="n">
        <v>44047</v>
      </c>
      <c r="C1247" s="1" t="n">
        <v>1774</v>
      </c>
      <c r="D1247" s="4" t="n">
        <v>0</v>
      </c>
      <c r="E1247" s="1" t="s">
        <v>1949</v>
      </c>
    </row>
    <row r="1248" customFormat="false" ht="15" hidden="false" customHeight="true" outlineLevel="0" collapsed="false">
      <c r="A1248" s="1" t="n">
        <v>50123</v>
      </c>
      <c r="B1248" s="3" t="n">
        <v>43998</v>
      </c>
      <c r="C1248" s="1" t="n">
        <v>852</v>
      </c>
      <c r="D1248" s="4" t="n">
        <v>0</v>
      </c>
      <c r="E1248" s="1" t="s">
        <v>1949</v>
      </c>
    </row>
    <row r="1249" customFormat="false" ht="15" hidden="false" customHeight="true" outlineLevel="0" collapsed="false">
      <c r="A1249" s="1" t="n">
        <v>50915</v>
      </c>
      <c r="B1249" s="3" t="n">
        <v>44004</v>
      </c>
      <c r="C1249" s="1" t="n">
        <v>1460</v>
      </c>
      <c r="D1249" s="4" t="n">
        <v>801</v>
      </c>
      <c r="E1249" s="1" t="s">
        <v>1950</v>
      </c>
    </row>
    <row r="1250" customFormat="false" ht="15" hidden="false" customHeight="true" outlineLevel="0" collapsed="false">
      <c r="A1250" s="1" t="n">
        <v>50679</v>
      </c>
      <c r="B1250" s="3" t="n">
        <v>43994</v>
      </c>
      <c r="C1250" s="1" t="n">
        <v>324</v>
      </c>
      <c r="D1250" s="4" t="n">
        <v>267</v>
      </c>
      <c r="E1250" s="1" t="s">
        <v>1950</v>
      </c>
    </row>
    <row r="1251" customFormat="false" ht="15" hidden="false" customHeight="true" outlineLevel="0" collapsed="false">
      <c r="A1251" s="1" t="n">
        <v>51544</v>
      </c>
      <c r="B1251" s="3" t="n">
        <v>44025</v>
      </c>
      <c r="C1251" s="1" t="n">
        <v>107</v>
      </c>
      <c r="D1251" s="4" t="n">
        <v>0</v>
      </c>
      <c r="E1251" s="1" t="s">
        <v>1949</v>
      </c>
    </row>
    <row r="1252" customFormat="false" ht="15" hidden="false" customHeight="true" outlineLevel="0" collapsed="false">
      <c r="A1252" s="1" t="n">
        <v>50201</v>
      </c>
      <c r="B1252" s="3" t="n">
        <v>44025</v>
      </c>
      <c r="C1252" s="1" t="n">
        <v>582</v>
      </c>
      <c r="D1252" s="4" t="n">
        <v>386</v>
      </c>
      <c r="E1252" s="1" t="s">
        <v>1950</v>
      </c>
    </row>
    <row r="1253" customFormat="false" ht="15" hidden="false" customHeight="true" outlineLevel="0" collapsed="false">
      <c r="A1253" s="1" t="n">
        <v>51678</v>
      </c>
      <c r="B1253" s="3" t="n">
        <v>44052</v>
      </c>
      <c r="C1253" s="1" t="n">
        <v>1756</v>
      </c>
      <c r="D1253" s="4" t="n">
        <v>0</v>
      </c>
      <c r="E1253" s="1" t="s">
        <v>1949</v>
      </c>
    </row>
    <row r="1254" customFormat="false" ht="15" hidden="false" customHeight="true" outlineLevel="0" collapsed="false">
      <c r="A1254" s="1" t="n">
        <v>51952</v>
      </c>
      <c r="B1254" s="3" t="n">
        <v>44057</v>
      </c>
      <c r="C1254" s="1" t="n">
        <v>973</v>
      </c>
      <c r="D1254" s="4" t="n">
        <v>630</v>
      </c>
      <c r="E1254" s="1" t="s">
        <v>1950</v>
      </c>
    </row>
    <row r="1255" customFormat="false" ht="15" hidden="false" customHeight="true" outlineLevel="0" collapsed="false">
      <c r="A1255" s="1" t="n">
        <v>51968</v>
      </c>
      <c r="B1255" s="3" t="n">
        <v>44059</v>
      </c>
      <c r="C1255" s="1" t="n">
        <v>841</v>
      </c>
      <c r="D1255" s="4" t="n">
        <v>0</v>
      </c>
      <c r="E1255" s="1" t="s">
        <v>1949</v>
      </c>
    </row>
    <row r="1256" customFormat="false" ht="15" hidden="false" customHeight="true" outlineLevel="0" collapsed="false">
      <c r="A1256" s="1" t="n">
        <v>50773</v>
      </c>
      <c r="B1256" s="3" t="n">
        <v>44016</v>
      </c>
      <c r="C1256" s="1" t="n">
        <v>1019</v>
      </c>
      <c r="D1256" s="4" t="n">
        <v>103</v>
      </c>
      <c r="E1256" s="1" t="s">
        <v>1950</v>
      </c>
    </row>
    <row r="1257" customFormat="false" ht="15" hidden="false" customHeight="true" outlineLevel="0" collapsed="false">
      <c r="A1257" s="1" t="n">
        <v>51173</v>
      </c>
      <c r="B1257" s="3" t="n">
        <v>44060</v>
      </c>
      <c r="C1257" s="1" t="n">
        <v>1932</v>
      </c>
      <c r="D1257" s="4" t="n">
        <v>0</v>
      </c>
      <c r="E1257" s="1" t="s">
        <v>1949</v>
      </c>
    </row>
    <row r="1258" customFormat="false" ht="15" hidden="false" customHeight="true" outlineLevel="0" collapsed="false">
      <c r="A1258" s="1" t="n">
        <v>51881</v>
      </c>
      <c r="B1258" s="3" t="n">
        <v>43992</v>
      </c>
      <c r="C1258" s="1" t="n">
        <v>1311</v>
      </c>
      <c r="D1258" s="4" t="n">
        <v>0</v>
      </c>
      <c r="E1258" s="1" t="s">
        <v>1949</v>
      </c>
    </row>
    <row r="1259" customFormat="false" ht="15" hidden="false" customHeight="true" outlineLevel="0" collapsed="false">
      <c r="A1259" s="1" t="n">
        <v>51491</v>
      </c>
      <c r="B1259" s="3" t="n">
        <v>43991</v>
      </c>
      <c r="C1259" s="1" t="n">
        <v>1310</v>
      </c>
      <c r="D1259" s="4" t="n">
        <v>620</v>
      </c>
      <c r="E1259" s="1" t="s">
        <v>1950</v>
      </c>
    </row>
    <row r="1260" customFormat="false" ht="15" hidden="false" customHeight="true" outlineLevel="0" collapsed="false">
      <c r="A1260" s="1" t="n">
        <v>50476</v>
      </c>
      <c r="B1260" s="3" t="n">
        <v>44010</v>
      </c>
      <c r="C1260" s="1" t="n">
        <v>248</v>
      </c>
      <c r="D1260" s="4" t="n">
        <v>118</v>
      </c>
      <c r="E1260" s="1" t="s">
        <v>1950</v>
      </c>
    </row>
    <row r="1261" customFormat="false" ht="15" hidden="false" customHeight="true" outlineLevel="0" collapsed="false">
      <c r="A1261" s="1" t="n">
        <v>51225</v>
      </c>
      <c r="B1261" s="3" t="n">
        <v>43984</v>
      </c>
      <c r="C1261" s="1" t="n">
        <v>1533</v>
      </c>
      <c r="D1261" s="4" t="n">
        <v>892</v>
      </c>
      <c r="E1261" s="1" t="s">
        <v>1950</v>
      </c>
    </row>
    <row r="1262" customFormat="false" ht="15" hidden="false" customHeight="true" outlineLevel="0" collapsed="false">
      <c r="A1262" s="1" t="n">
        <v>51838</v>
      </c>
      <c r="B1262" s="3" t="n">
        <v>44024</v>
      </c>
      <c r="C1262" s="1" t="n">
        <v>1502</v>
      </c>
      <c r="D1262" s="4" t="n">
        <v>0</v>
      </c>
      <c r="E1262" s="1" t="s">
        <v>1949</v>
      </c>
    </row>
    <row r="1263" customFormat="false" ht="15" hidden="false" customHeight="true" outlineLevel="0" collapsed="false">
      <c r="A1263" s="1" t="n">
        <v>51219</v>
      </c>
      <c r="B1263" s="3" t="n">
        <v>44011</v>
      </c>
      <c r="C1263" s="1" t="n">
        <v>359</v>
      </c>
      <c r="D1263" s="4" t="n">
        <v>137</v>
      </c>
      <c r="E1263" s="1" t="s">
        <v>1950</v>
      </c>
    </row>
    <row r="1264" customFormat="false" ht="15" hidden="false" customHeight="true" outlineLevel="0" collapsed="false">
      <c r="A1264" s="1" t="n">
        <v>50869</v>
      </c>
      <c r="B1264" s="3" t="n">
        <v>44064</v>
      </c>
      <c r="C1264" s="1" t="n">
        <v>1265</v>
      </c>
      <c r="D1264" s="4" t="n">
        <v>0</v>
      </c>
      <c r="E1264" s="1" t="s">
        <v>1949</v>
      </c>
    </row>
    <row r="1265" customFormat="false" ht="15" hidden="false" customHeight="true" outlineLevel="0" collapsed="false">
      <c r="A1265" s="1" t="n">
        <v>50802</v>
      </c>
      <c r="B1265" s="3" t="n">
        <v>44028</v>
      </c>
      <c r="C1265" s="1" t="n">
        <v>1293</v>
      </c>
      <c r="D1265" s="4" t="n">
        <v>0</v>
      </c>
      <c r="E1265" s="1" t="s">
        <v>1949</v>
      </c>
    </row>
    <row r="1266" customFormat="false" ht="15" hidden="false" customHeight="true" outlineLevel="0" collapsed="false">
      <c r="A1266" s="1" t="n">
        <v>50011</v>
      </c>
      <c r="B1266" s="3" t="n">
        <v>44035</v>
      </c>
      <c r="C1266" s="1" t="n">
        <v>657</v>
      </c>
      <c r="D1266" s="4" t="n">
        <v>760</v>
      </c>
      <c r="E1266" s="1" t="s">
        <v>1950</v>
      </c>
    </row>
    <row r="1267" customFormat="false" ht="15" hidden="false" customHeight="true" outlineLevel="0" collapsed="false">
      <c r="A1267" s="1" t="n">
        <v>50255</v>
      </c>
      <c r="B1267" s="3" t="n">
        <v>44058</v>
      </c>
      <c r="C1267" s="1" t="n">
        <v>1132</v>
      </c>
      <c r="D1267" s="4" t="n">
        <v>482</v>
      </c>
      <c r="E1267" s="1" t="s">
        <v>1950</v>
      </c>
    </row>
    <row r="1268" customFormat="false" ht="15" hidden="false" customHeight="true" outlineLevel="0" collapsed="false">
      <c r="A1268" s="1" t="n">
        <v>51176</v>
      </c>
      <c r="B1268" s="3" t="n">
        <v>44002</v>
      </c>
      <c r="C1268" s="1" t="n">
        <v>398</v>
      </c>
      <c r="D1268" s="4" t="n">
        <v>722</v>
      </c>
      <c r="E1268" s="1" t="s">
        <v>1950</v>
      </c>
    </row>
    <row r="1269" customFormat="false" ht="15" hidden="false" customHeight="true" outlineLevel="0" collapsed="false">
      <c r="A1269" s="1" t="n">
        <v>51120</v>
      </c>
      <c r="B1269" s="3" t="n">
        <v>44001</v>
      </c>
      <c r="C1269" s="1" t="n">
        <v>82</v>
      </c>
      <c r="D1269" s="4" t="n">
        <v>0</v>
      </c>
      <c r="E1269" s="1" t="s">
        <v>1949</v>
      </c>
    </row>
    <row r="1270" customFormat="false" ht="15" hidden="false" customHeight="true" outlineLevel="0" collapsed="false">
      <c r="A1270" s="1" t="n">
        <v>50411</v>
      </c>
      <c r="B1270" s="3" t="n">
        <v>44058</v>
      </c>
      <c r="C1270" s="1" t="n">
        <v>519</v>
      </c>
      <c r="D1270" s="4" t="n">
        <v>0</v>
      </c>
      <c r="E1270" s="1" t="s">
        <v>1949</v>
      </c>
    </row>
    <row r="1271" customFormat="false" ht="15" hidden="false" customHeight="true" outlineLevel="0" collapsed="false">
      <c r="A1271" s="1" t="n">
        <v>50209</v>
      </c>
      <c r="B1271" s="3" t="n">
        <v>44042</v>
      </c>
      <c r="C1271" s="1" t="n">
        <v>538</v>
      </c>
      <c r="D1271" s="4" t="n">
        <v>540</v>
      </c>
      <c r="E1271" s="1" t="s">
        <v>1950</v>
      </c>
    </row>
    <row r="1272" customFormat="false" ht="15" hidden="false" customHeight="true" outlineLevel="0" collapsed="false">
      <c r="A1272" s="1" t="n">
        <v>50108</v>
      </c>
      <c r="B1272" s="3" t="n">
        <v>43984</v>
      </c>
      <c r="C1272" s="1" t="n">
        <v>1031</v>
      </c>
      <c r="D1272" s="4" t="n">
        <v>0</v>
      </c>
      <c r="E1272" s="1" t="s">
        <v>1949</v>
      </c>
    </row>
    <row r="1273" customFormat="false" ht="15" hidden="false" customHeight="true" outlineLevel="0" collapsed="false">
      <c r="A1273" s="1" t="n">
        <v>50169</v>
      </c>
      <c r="B1273" s="3" t="n">
        <v>43999</v>
      </c>
      <c r="C1273" s="1" t="n">
        <v>297</v>
      </c>
      <c r="D1273" s="4" t="n">
        <v>0</v>
      </c>
      <c r="E1273" s="1" t="s">
        <v>1949</v>
      </c>
    </row>
    <row r="1274" customFormat="false" ht="15" hidden="false" customHeight="true" outlineLevel="0" collapsed="false">
      <c r="A1274" s="1" t="n">
        <v>51276</v>
      </c>
      <c r="B1274" s="3" t="n">
        <v>44004</v>
      </c>
      <c r="C1274" s="1" t="n">
        <v>774</v>
      </c>
      <c r="D1274" s="4" t="n">
        <v>0</v>
      </c>
      <c r="E1274" s="1" t="s">
        <v>1949</v>
      </c>
    </row>
    <row r="1275" customFormat="false" ht="15" hidden="false" customHeight="true" outlineLevel="0" collapsed="false">
      <c r="A1275" s="1" t="n">
        <v>50106</v>
      </c>
      <c r="B1275" s="3" t="n">
        <v>44009</v>
      </c>
      <c r="C1275" s="1" t="n">
        <v>1103</v>
      </c>
      <c r="D1275" s="4" t="n">
        <v>0</v>
      </c>
      <c r="E1275" s="1" t="s">
        <v>1949</v>
      </c>
    </row>
    <row r="1276" customFormat="false" ht="15" hidden="false" customHeight="true" outlineLevel="0" collapsed="false">
      <c r="A1276" s="1" t="n">
        <v>50525</v>
      </c>
      <c r="B1276" s="3" t="n">
        <v>43998</v>
      </c>
      <c r="C1276" s="1" t="n">
        <v>1677</v>
      </c>
      <c r="D1276" s="4" t="n">
        <v>0</v>
      </c>
      <c r="E1276" s="1" t="s">
        <v>1949</v>
      </c>
    </row>
    <row r="1277" customFormat="false" ht="15" hidden="false" customHeight="true" outlineLevel="0" collapsed="false">
      <c r="A1277" s="1" t="n">
        <v>51295</v>
      </c>
      <c r="B1277" s="3" t="n">
        <v>44064</v>
      </c>
      <c r="C1277" s="1" t="n">
        <v>1795</v>
      </c>
      <c r="D1277" s="4" t="n">
        <v>138</v>
      </c>
      <c r="E1277" s="1" t="s">
        <v>1950</v>
      </c>
    </row>
    <row r="1278" customFormat="false" ht="15" hidden="false" customHeight="true" outlineLevel="0" collapsed="false">
      <c r="A1278" s="1" t="n">
        <v>50850</v>
      </c>
      <c r="B1278" s="3" t="n">
        <v>44041</v>
      </c>
      <c r="C1278" s="1" t="n">
        <v>452</v>
      </c>
      <c r="D1278" s="4" t="n">
        <v>428</v>
      </c>
      <c r="E1278" s="1" t="s">
        <v>1950</v>
      </c>
    </row>
    <row r="1279" customFormat="false" ht="15" hidden="false" customHeight="true" outlineLevel="0" collapsed="false">
      <c r="A1279" s="1" t="n">
        <v>50388</v>
      </c>
      <c r="B1279" s="3" t="n">
        <v>44047</v>
      </c>
      <c r="C1279" s="1" t="n">
        <v>608</v>
      </c>
      <c r="D1279" s="4" t="n">
        <v>0</v>
      </c>
      <c r="E1279" s="1" t="s">
        <v>1949</v>
      </c>
    </row>
    <row r="1280" customFormat="false" ht="15" hidden="false" customHeight="true" outlineLevel="0" collapsed="false">
      <c r="A1280" s="1" t="n">
        <v>50329</v>
      </c>
      <c r="B1280" s="3" t="n">
        <v>44045</v>
      </c>
      <c r="C1280" s="1" t="n">
        <v>920</v>
      </c>
      <c r="D1280" s="4" t="n">
        <v>0</v>
      </c>
      <c r="E1280" s="1" t="s">
        <v>1949</v>
      </c>
    </row>
    <row r="1281" customFormat="false" ht="15" hidden="false" customHeight="true" outlineLevel="0" collapsed="false">
      <c r="A1281" s="1" t="n">
        <v>51303</v>
      </c>
      <c r="B1281" s="3" t="n">
        <v>43995</v>
      </c>
      <c r="C1281" s="1" t="n">
        <v>781</v>
      </c>
      <c r="D1281" s="4" t="n">
        <v>818</v>
      </c>
      <c r="E1281" s="1" t="s">
        <v>1950</v>
      </c>
    </row>
    <row r="1282" customFormat="false" ht="15" hidden="false" customHeight="true" outlineLevel="0" collapsed="false">
      <c r="A1282" s="1" t="n">
        <v>50694</v>
      </c>
      <c r="B1282" s="3" t="n">
        <v>44000</v>
      </c>
      <c r="C1282" s="1" t="n">
        <v>135</v>
      </c>
      <c r="D1282" s="4" t="n">
        <v>146</v>
      </c>
      <c r="E1282" s="1" t="s">
        <v>1950</v>
      </c>
    </row>
    <row r="1283" customFormat="false" ht="15" hidden="false" customHeight="true" outlineLevel="0" collapsed="false">
      <c r="A1283" s="1" t="n">
        <v>50685</v>
      </c>
      <c r="B1283" s="3" t="n">
        <v>44052</v>
      </c>
      <c r="C1283" s="1" t="n">
        <v>395</v>
      </c>
      <c r="D1283" s="4" t="n">
        <v>263</v>
      </c>
      <c r="E1283" s="1" t="s">
        <v>1950</v>
      </c>
    </row>
    <row r="1284" customFormat="false" ht="15" hidden="false" customHeight="true" outlineLevel="0" collapsed="false">
      <c r="A1284" s="1" t="n">
        <v>50914</v>
      </c>
      <c r="B1284" s="3" t="n">
        <v>44071</v>
      </c>
      <c r="C1284" s="1" t="n">
        <v>1002</v>
      </c>
      <c r="D1284" s="4" t="n">
        <v>829</v>
      </c>
      <c r="E1284" s="1" t="s">
        <v>1950</v>
      </c>
    </row>
    <row r="1285" customFormat="false" ht="15" hidden="false" customHeight="true" outlineLevel="0" collapsed="false">
      <c r="A1285" s="1" t="n">
        <v>51778</v>
      </c>
      <c r="B1285" s="3" t="n">
        <v>44041</v>
      </c>
      <c r="C1285" s="1" t="n">
        <v>1509</v>
      </c>
      <c r="D1285" s="4" t="n">
        <v>0</v>
      </c>
      <c r="E1285" s="1" t="s">
        <v>1949</v>
      </c>
    </row>
    <row r="1286" customFormat="false" ht="15" hidden="false" customHeight="true" outlineLevel="0" collapsed="false">
      <c r="A1286" s="1" t="n">
        <v>51466</v>
      </c>
      <c r="B1286" s="3" t="n">
        <v>44016</v>
      </c>
      <c r="C1286" s="1" t="n">
        <v>460</v>
      </c>
      <c r="D1286" s="4" t="n">
        <v>248</v>
      </c>
      <c r="E1286" s="1" t="s">
        <v>1950</v>
      </c>
    </row>
    <row r="1287" customFormat="false" ht="15" hidden="false" customHeight="true" outlineLevel="0" collapsed="false">
      <c r="A1287" s="1" t="n">
        <v>50830</v>
      </c>
      <c r="B1287" s="3" t="n">
        <v>44041</v>
      </c>
      <c r="C1287" s="1" t="n">
        <v>1048</v>
      </c>
      <c r="D1287" s="4" t="n">
        <v>0</v>
      </c>
      <c r="E1287" s="1" t="s">
        <v>1949</v>
      </c>
    </row>
    <row r="1288" customFormat="false" ht="15" hidden="false" customHeight="true" outlineLevel="0" collapsed="false">
      <c r="A1288" s="1" t="n">
        <v>50782</v>
      </c>
      <c r="B1288" s="3" t="n">
        <v>43994</v>
      </c>
      <c r="C1288" s="1" t="n">
        <v>273</v>
      </c>
      <c r="D1288" s="4" t="n">
        <v>0</v>
      </c>
      <c r="E1288" s="1" t="s">
        <v>1949</v>
      </c>
    </row>
    <row r="1289" customFormat="false" ht="15" hidden="false" customHeight="true" outlineLevel="0" collapsed="false">
      <c r="A1289" s="1" t="n">
        <v>51763</v>
      </c>
      <c r="B1289" s="3" t="n">
        <v>44043</v>
      </c>
      <c r="C1289" s="1" t="n">
        <v>156</v>
      </c>
      <c r="D1289" s="4" t="n">
        <v>0</v>
      </c>
      <c r="E1289" s="1" t="s">
        <v>1949</v>
      </c>
    </row>
    <row r="1290" customFormat="false" ht="15" hidden="false" customHeight="true" outlineLevel="0" collapsed="false">
      <c r="A1290" s="1" t="n">
        <v>50636</v>
      </c>
      <c r="B1290" s="3" t="n">
        <v>43983</v>
      </c>
      <c r="C1290" s="1" t="n">
        <v>1799</v>
      </c>
      <c r="D1290" s="4" t="n">
        <v>243</v>
      </c>
      <c r="E1290" s="1" t="s">
        <v>1950</v>
      </c>
    </row>
    <row r="1291" customFormat="false" ht="15" hidden="false" customHeight="true" outlineLevel="0" collapsed="false">
      <c r="A1291" s="1" t="n">
        <v>51550</v>
      </c>
      <c r="B1291" s="3" t="n">
        <v>44050</v>
      </c>
      <c r="C1291" s="1" t="n">
        <v>1497</v>
      </c>
      <c r="D1291" s="4" t="n">
        <v>0</v>
      </c>
      <c r="E1291" s="1" t="s">
        <v>1949</v>
      </c>
    </row>
    <row r="1292" customFormat="false" ht="15" hidden="false" customHeight="true" outlineLevel="0" collapsed="false">
      <c r="A1292" s="1" t="n">
        <v>51775</v>
      </c>
      <c r="B1292" s="3" t="n">
        <v>43987</v>
      </c>
      <c r="C1292" s="1" t="n">
        <v>764</v>
      </c>
      <c r="D1292" s="4" t="n">
        <v>0</v>
      </c>
      <c r="E1292" s="1" t="s">
        <v>1949</v>
      </c>
    </row>
    <row r="1293" customFormat="false" ht="15" hidden="false" customHeight="true" outlineLevel="0" collapsed="false">
      <c r="A1293" s="1" t="n">
        <v>50180</v>
      </c>
      <c r="B1293" s="3" t="n">
        <v>44071</v>
      </c>
      <c r="C1293" s="1" t="n">
        <v>1787</v>
      </c>
      <c r="D1293" s="4" t="n">
        <v>0</v>
      </c>
      <c r="E1293" s="1" t="s">
        <v>1949</v>
      </c>
    </row>
    <row r="1294" customFormat="false" ht="15" hidden="false" customHeight="true" outlineLevel="0" collapsed="false">
      <c r="A1294" s="1" t="n">
        <v>50716</v>
      </c>
      <c r="B1294" s="3" t="n">
        <v>43999</v>
      </c>
      <c r="C1294" s="1" t="n">
        <v>408</v>
      </c>
      <c r="D1294" s="4" t="n">
        <v>0</v>
      </c>
      <c r="E1294" s="1" t="s">
        <v>1949</v>
      </c>
    </row>
    <row r="1295" customFormat="false" ht="15" hidden="false" customHeight="true" outlineLevel="0" collapsed="false">
      <c r="A1295" s="1" t="n">
        <v>50741</v>
      </c>
      <c r="B1295" s="3" t="n">
        <v>43996</v>
      </c>
      <c r="C1295" s="1" t="n">
        <v>1282</v>
      </c>
      <c r="D1295" s="4" t="n">
        <v>0</v>
      </c>
      <c r="E1295" s="1" t="s">
        <v>1949</v>
      </c>
    </row>
    <row r="1296" customFormat="false" ht="15" hidden="false" customHeight="true" outlineLevel="0" collapsed="false">
      <c r="A1296" s="1" t="n">
        <v>51270</v>
      </c>
      <c r="B1296" s="3" t="n">
        <v>44018</v>
      </c>
      <c r="C1296" s="1" t="n">
        <v>309</v>
      </c>
      <c r="D1296" s="4" t="n">
        <v>172</v>
      </c>
      <c r="E1296" s="1" t="s">
        <v>1950</v>
      </c>
    </row>
    <row r="1297" customFormat="false" ht="15" hidden="false" customHeight="true" outlineLevel="0" collapsed="false">
      <c r="A1297" s="1" t="n">
        <v>50200</v>
      </c>
      <c r="B1297" s="3" t="n">
        <v>44028</v>
      </c>
      <c r="C1297" s="1" t="n">
        <v>958</v>
      </c>
      <c r="D1297" s="4" t="n">
        <v>143</v>
      </c>
      <c r="E1297" s="1" t="s">
        <v>1950</v>
      </c>
    </row>
    <row r="1298" customFormat="false" ht="15" hidden="false" customHeight="true" outlineLevel="0" collapsed="false">
      <c r="A1298" s="1" t="n">
        <v>51894</v>
      </c>
      <c r="B1298" s="3" t="n">
        <v>44032</v>
      </c>
      <c r="C1298" s="1" t="n">
        <v>1506</v>
      </c>
      <c r="D1298" s="4" t="n">
        <v>877</v>
      </c>
      <c r="E1298" s="1" t="s">
        <v>1950</v>
      </c>
    </row>
    <row r="1299" customFormat="false" ht="15" hidden="false" customHeight="true" outlineLevel="0" collapsed="false">
      <c r="A1299" s="1" t="n">
        <v>50835</v>
      </c>
      <c r="B1299" s="3" t="n">
        <v>44069</v>
      </c>
      <c r="C1299" s="1" t="n">
        <v>1224</v>
      </c>
      <c r="D1299" s="4" t="n">
        <v>152</v>
      </c>
      <c r="E1299" s="1" t="s">
        <v>1950</v>
      </c>
    </row>
    <row r="1300" customFormat="false" ht="15" hidden="false" customHeight="true" outlineLevel="0" collapsed="false">
      <c r="A1300" s="1" t="n">
        <v>50587</v>
      </c>
      <c r="B1300" s="3" t="n">
        <v>44038</v>
      </c>
      <c r="C1300" s="1" t="n">
        <v>902</v>
      </c>
      <c r="D1300" s="4" t="n">
        <v>0</v>
      </c>
      <c r="E1300" s="1" t="s">
        <v>1949</v>
      </c>
    </row>
    <row r="1301" customFormat="false" ht="15" hidden="false" customHeight="true" outlineLevel="0" collapsed="false">
      <c r="A1301" s="1" t="n">
        <v>51089</v>
      </c>
      <c r="B1301" s="3" t="n">
        <v>43991</v>
      </c>
      <c r="C1301" s="1" t="n">
        <v>523</v>
      </c>
      <c r="D1301" s="4" t="n">
        <v>0</v>
      </c>
      <c r="E1301" s="1" t="s">
        <v>1949</v>
      </c>
    </row>
    <row r="1302" customFormat="false" ht="15" hidden="false" customHeight="true" outlineLevel="0" collapsed="false">
      <c r="A1302" s="1" t="n">
        <v>50077</v>
      </c>
      <c r="B1302" s="3" t="n">
        <v>44008</v>
      </c>
      <c r="C1302" s="1" t="n">
        <v>486</v>
      </c>
      <c r="D1302" s="4" t="n">
        <v>255</v>
      </c>
      <c r="E1302" s="1" t="s">
        <v>1950</v>
      </c>
    </row>
    <row r="1303" customFormat="false" ht="15" hidden="false" customHeight="true" outlineLevel="0" collapsed="false">
      <c r="A1303" s="1" t="n">
        <v>50555</v>
      </c>
      <c r="B1303" s="3" t="n">
        <v>43984</v>
      </c>
      <c r="C1303" s="1" t="n">
        <v>307</v>
      </c>
      <c r="D1303" s="4" t="n">
        <v>271</v>
      </c>
      <c r="E1303" s="1" t="s">
        <v>1950</v>
      </c>
    </row>
    <row r="1304" customFormat="false" ht="15" hidden="false" customHeight="true" outlineLevel="0" collapsed="false">
      <c r="A1304" s="1" t="n">
        <v>51125</v>
      </c>
      <c r="B1304" s="3" t="n">
        <v>44000</v>
      </c>
      <c r="C1304" s="1" t="n">
        <v>32</v>
      </c>
      <c r="D1304" s="4" t="n">
        <v>0</v>
      </c>
      <c r="E1304" s="1" t="s">
        <v>1949</v>
      </c>
    </row>
    <row r="1305" customFormat="false" ht="15" hidden="false" customHeight="true" outlineLevel="0" collapsed="false">
      <c r="A1305" s="1" t="n">
        <v>50173</v>
      </c>
      <c r="B1305" s="3" t="n">
        <v>44022</v>
      </c>
      <c r="C1305" s="1" t="n">
        <v>850</v>
      </c>
      <c r="D1305" s="4" t="n">
        <v>762</v>
      </c>
      <c r="E1305" s="1" t="s">
        <v>1950</v>
      </c>
    </row>
    <row r="1306" customFormat="false" ht="15" hidden="false" customHeight="true" outlineLevel="0" collapsed="false">
      <c r="A1306" s="1" t="n">
        <v>51932</v>
      </c>
      <c r="B1306" s="3" t="n">
        <v>44069</v>
      </c>
      <c r="C1306" s="1" t="n">
        <v>794</v>
      </c>
      <c r="D1306" s="4" t="n">
        <v>431</v>
      </c>
      <c r="E1306" s="1" t="s">
        <v>1950</v>
      </c>
    </row>
    <row r="1307" customFormat="false" ht="15" hidden="false" customHeight="true" outlineLevel="0" collapsed="false">
      <c r="A1307" s="1" t="n">
        <v>50054</v>
      </c>
      <c r="B1307" s="3" t="n">
        <v>43995</v>
      </c>
      <c r="C1307" s="1" t="n">
        <v>276</v>
      </c>
      <c r="D1307" s="4" t="n">
        <v>0</v>
      </c>
      <c r="E1307" s="1" t="s">
        <v>1949</v>
      </c>
    </row>
    <row r="1308" customFormat="false" ht="15" hidden="false" customHeight="true" outlineLevel="0" collapsed="false">
      <c r="A1308" s="1" t="n">
        <v>51437</v>
      </c>
      <c r="B1308" s="3" t="n">
        <v>43997</v>
      </c>
      <c r="C1308" s="1" t="n">
        <v>1662</v>
      </c>
      <c r="D1308" s="4" t="n">
        <v>0</v>
      </c>
      <c r="E1308" s="1" t="s">
        <v>1949</v>
      </c>
    </row>
    <row r="1309" customFormat="false" ht="15" hidden="false" customHeight="true" outlineLevel="0" collapsed="false">
      <c r="A1309" s="1" t="n">
        <v>50019</v>
      </c>
      <c r="B1309" s="3" t="n">
        <v>44072</v>
      </c>
      <c r="C1309" s="1" t="n">
        <v>1648</v>
      </c>
      <c r="D1309" s="4" t="n">
        <v>0</v>
      </c>
      <c r="E1309" s="1" t="s">
        <v>1949</v>
      </c>
    </row>
    <row r="1310" customFormat="false" ht="15" hidden="false" customHeight="true" outlineLevel="0" collapsed="false">
      <c r="A1310" s="1" t="n">
        <v>51237</v>
      </c>
      <c r="B1310" s="3" t="n">
        <v>44057</v>
      </c>
      <c r="C1310" s="1" t="n">
        <v>1333</v>
      </c>
      <c r="D1310" s="4" t="n">
        <v>808</v>
      </c>
      <c r="E1310" s="1" t="s">
        <v>1950</v>
      </c>
    </row>
    <row r="1311" customFormat="false" ht="15" hidden="false" customHeight="true" outlineLevel="0" collapsed="false">
      <c r="A1311" s="1" t="n">
        <v>51930</v>
      </c>
      <c r="B1311" s="3" t="n">
        <v>44004</v>
      </c>
      <c r="C1311" s="1" t="n">
        <v>927</v>
      </c>
      <c r="D1311" s="4" t="n">
        <v>720</v>
      </c>
      <c r="E1311" s="1" t="s">
        <v>1950</v>
      </c>
    </row>
    <row r="1312" customFormat="false" ht="15" hidden="false" customHeight="true" outlineLevel="0" collapsed="false">
      <c r="A1312" s="1" t="n">
        <v>50769</v>
      </c>
      <c r="B1312" s="3" t="n">
        <v>44067</v>
      </c>
      <c r="C1312" s="1" t="n">
        <v>1844</v>
      </c>
      <c r="D1312" s="4" t="n">
        <v>0</v>
      </c>
      <c r="E1312" s="1" t="s">
        <v>1949</v>
      </c>
    </row>
    <row r="1313" customFormat="false" ht="15" hidden="false" customHeight="true" outlineLevel="0" collapsed="false">
      <c r="A1313" s="1" t="n">
        <v>50823</v>
      </c>
      <c r="B1313" s="3" t="n">
        <v>44062</v>
      </c>
      <c r="C1313" s="1" t="n">
        <v>1869</v>
      </c>
      <c r="D1313" s="4" t="n">
        <v>617</v>
      </c>
      <c r="E1313" s="1" t="s">
        <v>1950</v>
      </c>
    </row>
    <row r="1314" customFormat="false" ht="15" hidden="false" customHeight="true" outlineLevel="0" collapsed="false">
      <c r="A1314" s="1" t="n">
        <v>50205</v>
      </c>
      <c r="B1314" s="3" t="n">
        <v>44008</v>
      </c>
      <c r="C1314" s="1" t="n">
        <v>227</v>
      </c>
      <c r="D1314" s="4" t="n">
        <v>307</v>
      </c>
      <c r="E1314" s="1" t="s">
        <v>1950</v>
      </c>
    </row>
    <row r="1315" customFormat="false" ht="15" hidden="false" customHeight="true" outlineLevel="0" collapsed="false">
      <c r="A1315" s="1" t="n">
        <v>50456</v>
      </c>
      <c r="B1315" s="3" t="n">
        <v>44068</v>
      </c>
      <c r="C1315" s="1" t="n">
        <v>1532</v>
      </c>
      <c r="D1315" s="4" t="n">
        <v>648</v>
      </c>
      <c r="E1315" s="1" t="s">
        <v>1950</v>
      </c>
    </row>
    <row r="1316" customFormat="false" ht="15" hidden="false" customHeight="true" outlineLevel="0" collapsed="false">
      <c r="A1316" s="1" t="n">
        <v>51259</v>
      </c>
      <c r="B1316" s="3" t="n">
        <v>44061</v>
      </c>
      <c r="C1316" s="1" t="n">
        <v>308</v>
      </c>
      <c r="D1316" s="4" t="n">
        <v>0</v>
      </c>
      <c r="E1316" s="1" t="s">
        <v>1949</v>
      </c>
    </row>
    <row r="1317" customFormat="false" ht="15" hidden="false" customHeight="true" outlineLevel="0" collapsed="false">
      <c r="A1317" s="1" t="n">
        <v>51503</v>
      </c>
      <c r="B1317" s="3" t="n">
        <v>44066</v>
      </c>
      <c r="C1317" s="1" t="n">
        <v>922</v>
      </c>
      <c r="D1317" s="4" t="n">
        <v>772</v>
      </c>
      <c r="E1317" s="1" t="s">
        <v>1950</v>
      </c>
    </row>
    <row r="1318" customFormat="false" ht="15" hidden="false" customHeight="true" outlineLevel="0" collapsed="false">
      <c r="A1318" s="1" t="n">
        <v>50488</v>
      </c>
      <c r="B1318" s="3" t="n">
        <v>43997</v>
      </c>
      <c r="C1318" s="1" t="n">
        <v>353</v>
      </c>
      <c r="D1318" s="4" t="n">
        <v>172</v>
      </c>
      <c r="E1318" s="1" t="s">
        <v>1950</v>
      </c>
    </row>
    <row r="1319" customFormat="false" ht="15" hidden="false" customHeight="true" outlineLevel="0" collapsed="false">
      <c r="A1319" s="1" t="n">
        <v>51972</v>
      </c>
      <c r="B1319" s="3" t="n">
        <v>44017</v>
      </c>
      <c r="C1319" s="1" t="n">
        <v>1821</v>
      </c>
      <c r="D1319" s="4" t="n">
        <v>0</v>
      </c>
      <c r="E1319" s="1" t="s">
        <v>1949</v>
      </c>
    </row>
    <row r="1320" customFormat="false" ht="15" hidden="false" customHeight="true" outlineLevel="0" collapsed="false">
      <c r="A1320" s="1" t="n">
        <v>50040</v>
      </c>
      <c r="B1320" s="3" t="n">
        <v>44009</v>
      </c>
      <c r="C1320" s="1" t="n">
        <v>1587</v>
      </c>
      <c r="D1320" s="4" t="n">
        <v>285</v>
      </c>
      <c r="E1320" s="1" t="s">
        <v>1950</v>
      </c>
    </row>
    <row r="1321" customFormat="false" ht="15" hidden="false" customHeight="true" outlineLevel="0" collapsed="false">
      <c r="A1321" s="1" t="n">
        <v>50451</v>
      </c>
      <c r="B1321" s="3" t="n">
        <v>44045</v>
      </c>
      <c r="C1321" s="1" t="n">
        <v>539</v>
      </c>
      <c r="D1321" s="4" t="n">
        <v>871</v>
      </c>
      <c r="E1321" s="1" t="s">
        <v>1950</v>
      </c>
    </row>
    <row r="1322" customFormat="false" ht="15" hidden="false" customHeight="true" outlineLevel="0" collapsed="false">
      <c r="A1322" s="1" t="n">
        <v>51870</v>
      </c>
      <c r="B1322" s="3" t="n">
        <v>44051</v>
      </c>
      <c r="C1322" s="1" t="n">
        <v>153</v>
      </c>
      <c r="D1322" s="4" t="n">
        <v>838</v>
      </c>
      <c r="E1322" s="1" t="s">
        <v>1950</v>
      </c>
    </row>
    <row r="1323" customFormat="false" ht="15" hidden="false" customHeight="true" outlineLevel="0" collapsed="false">
      <c r="A1323" s="1" t="n">
        <v>50623</v>
      </c>
      <c r="B1323" s="3" t="n">
        <v>43992</v>
      </c>
      <c r="C1323" s="1" t="n">
        <v>163</v>
      </c>
      <c r="D1323" s="4" t="n">
        <v>688</v>
      </c>
      <c r="E1323" s="1" t="s">
        <v>1950</v>
      </c>
    </row>
    <row r="1324" customFormat="false" ht="15" hidden="false" customHeight="true" outlineLevel="0" collapsed="false">
      <c r="A1324" s="1" t="n">
        <v>51939</v>
      </c>
      <c r="B1324" s="3" t="n">
        <v>44050</v>
      </c>
      <c r="C1324" s="1" t="n">
        <v>430</v>
      </c>
      <c r="D1324" s="4" t="n">
        <v>0</v>
      </c>
      <c r="E1324" s="1" t="s">
        <v>1949</v>
      </c>
    </row>
    <row r="1325" customFormat="false" ht="15" hidden="false" customHeight="true" outlineLevel="0" collapsed="false">
      <c r="A1325" s="1" t="n">
        <v>51756</v>
      </c>
      <c r="B1325" s="3" t="n">
        <v>43993</v>
      </c>
      <c r="C1325" s="1" t="n">
        <v>431</v>
      </c>
      <c r="D1325" s="4" t="n">
        <v>131</v>
      </c>
      <c r="E1325" s="1" t="s">
        <v>1950</v>
      </c>
    </row>
    <row r="1326" customFormat="false" ht="15" hidden="false" customHeight="true" outlineLevel="0" collapsed="false">
      <c r="A1326" s="1" t="n">
        <v>51154</v>
      </c>
      <c r="B1326" s="3" t="n">
        <v>44047</v>
      </c>
      <c r="C1326" s="1" t="n">
        <v>989</v>
      </c>
      <c r="D1326" s="4" t="n">
        <v>0</v>
      </c>
      <c r="E1326" s="1" t="s">
        <v>1949</v>
      </c>
    </row>
    <row r="1327" customFormat="false" ht="15" hidden="false" customHeight="true" outlineLevel="0" collapsed="false">
      <c r="A1327" s="1" t="n">
        <v>50292</v>
      </c>
      <c r="B1327" s="3" t="n">
        <v>44033</v>
      </c>
      <c r="C1327" s="1" t="n">
        <v>1908</v>
      </c>
      <c r="D1327" s="4" t="n">
        <v>332</v>
      </c>
      <c r="E1327" s="1" t="s">
        <v>1950</v>
      </c>
    </row>
    <row r="1328" customFormat="false" ht="15" hidden="false" customHeight="true" outlineLevel="0" collapsed="false">
      <c r="A1328" s="1" t="n">
        <v>50888</v>
      </c>
      <c r="B1328" s="3" t="n">
        <v>44057</v>
      </c>
      <c r="C1328" s="1" t="n">
        <v>761</v>
      </c>
      <c r="D1328" s="4" t="n">
        <v>0</v>
      </c>
      <c r="E1328" s="1" t="s">
        <v>1949</v>
      </c>
    </row>
    <row r="1329" customFormat="false" ht="15" hidden="false" customHeight="true" outlineLevel="0" collapsed="false">
      <c r="A1329" s="1" t="n">
        <v>50658</v>
      </c>
      <c r="B1329" s="3" t="n">
        <v>44043</v>
      </c>
      <c r="C1329" s="1" t="n">
        <v>1916</v>
      </c>
      <c r="D1329" s="4" t="n">
        <v>110</v>
      </c>
      <c r="E1329" s="1" t="s">
        <v>1950</v>
      </c>
    </row>
    <row r="1330" customFormat="false" ht="15" hidden="false" customHeight="true" outlineLevel="0" collapsed="false">
      <c r="A1330" s="1" t="n">
        <v>50256</v>
      </c>
      <c r="B1330" s="3" t="n">
        <v>44016</v>
      </c>
      <c r="C1330" s="1" t="n">
        <v>286</v>
      </c>
      <c r="D1330" s="4" t="n">
        <v>0</v>
      </c>
      <c r="E1330" s="1" t="s">
        <v>1949</v>
      </c>
    </row>
    <row r="1331" customFormat="false" ht="15" hidden="false" customHeight="true" outlineLevel="0" collapsed="false">
      <c r="A1331" s="1" t="n">
        <v>51753</v>
      </c>
      <c r="B1331" s="3" t="n">
        <v>44022</v>
      </c>
      <c r="C1331" s="1" t="n">
        <v>40</v>
      </c>
      <c r="D1331" s="4" t="n">
        <v>634</v>
      </c>
      <c r="E1331" s="1" t="s">
        <v>1950</v>
      </c>
    </row>
    <row r="1332" customFormat="false" ht="15" hidden="false" customHeight="true" outlineLevel="0" collapsed="false">
      <c r="A1332" s="1" t="n">
        <v>50009</v>
      </c>
      <c r="B1332" s="3" t="n">
        <v>43995</v>
      </c>
      <c r="C1332" s="1" t="n">
        <v>1527</v>
      </c>
      <c r="D1332" s="4" t="n">
        <v>0</v>
      </c>
      <c r="E1332" s="1" t="s">
        <v>1949</v>
      </c>
    </row>
    <row r="1333" customFormat="false" ht="15" hidden="false" customHeight="true" outlineLevel="0" collapsed="false">
      <c r="A1333" s="1" t="n">
        <v>51145</v>
      </c>
      <c r="B1333" s="3" t="n">
        <v>43999</v>
      </c>
      <c r="C1333" s="1" t="n">
        <v>180</v>
      </c>
      <c r="D1333" s="4" t="n">
        <v>0</v>
      </c>
      <c r="E1333" s="1" t="s">
        <v>1949</v>
      </c>
    </row>
    <row r="1334" customFormat="false" ht="15" hidden="false" customHeight="true" outlineLevel="0" collapsed="false">
      <c r="A1334" s="1" t="n">
        <v>51086</v>
      </c>
      <c r="B1334" s="3" t="n">
        <v>44039</v>
      </c>
      <c r="C1334" s="1" t="n">
        <v>88</v>
      </c>
      <c r="D1334" s="4" t="n">
        <v>291</v>
      </c>
      <c r="E1334" s="1" t="s">
        <v>1950</v>
      </c>
    </row>
    <row r="1335" customFormat="false" ht="15" hidden="false" customHeight="true" outlineLevel="0" collapsed="false">
      <c r="A1335" s="1" t="n">
        <v>51238</v>
      </c>
      <c r="B1335" s="3" t="n">
        <v>44038</v>
      </c>
      <c r="C1335" s="1" t="n">
        <v>617</v>
      </c>
      <c r="D1335" s="4" t="n">
        <v>409</v>
      </c>
      <c r="E1335" s="1" t="s">
        <v>1950</v>
      </c>
    </row>
    <row r="1336" customFormat="false" ht="15" hidden="false" customHeight="true" outlineLevel="0" collapsed="false">
      <c r="A1336" s="1" t="n">
        <v>51014</v>
      </c>
      <c r="B1336" s="3" t="n">
        <v>44019</v>
      </c>
      <c r="C1336" s="1" t="n">
        <v>112</v>
      </c>
      <c r="D1336" s="4" t="n">
        <v>780</v>
      </c>
      <c r="E1336" s="1" t="s">
        <v>1950</v>
      </c>
    </row>
    <row r="1337" customFormat="false" ht="15" hidden="false" customHeight="true" outlineLevel="0" collapsed="false">
      <c r="A1337" s="1" t="n">
        <v>50758</v>
      </c>
      <c r="B1337" s="3" t="n">
        <v>44049</v>
      </c>
      <c r="C1337" s="1" t="n">
        <v>1748</v>
      </c>
      <c r="D1337" s="4" t="n">
        <v>0</v>
      </c>
      <c r="E1337" s="1" t="s">
        <v>1949</v>
      </c>
    </row>
    <row r="1338" customFormat="false" ht="15" hidden="false" customHeight="true" outlineLevel="0" collapsed="false">
      <c r="A1338" s="1" t="n">
        <v>51180</v>
      </c>
      <c r="B1338" s="3" t="n">
        <v>44043</v>
      </c>
      <c r="C1338" s="1" t="n">
        <v>1373</v>
      </c>
      <c r="D1338" s="4" t="n">
        <v>0</v>
      </c>
      <c r="E1338" s="1" t="s">
        <v>1949</v>
      </c>
    </row>
    <row r="1339" customFormat="false" ht="15" hidden="false" customHeight="true" outlineLevel="0" collapsed="false">
      <c r="A1339" s="1" t="n">
        <v>50896</v>
      </c>
      <c r="B1339" s="3" t="n">
        <v>44063</v>
      </c>
      <c r="C1339" s="1" t="n">
        <v>970</v>
      </c>
      <c r="D1339" s="4" t="n">
        <v>233</v>
      </c>
      <c r="E1339" s="1" t="s">
        <v>1950</v>
      </c>
    </row>
    <row r="1340" customFormat="false" ht="15" hidden="false" customHeight="true" outlineLevel="0" collapsed="false">
      <c r="A1340" s="1" t="n">
        <v>50494</v>
      </c>
      <c r="B1340" s="3" t="n">
        <v>44050</v>
      </c>
      <c r="C1340" s="1" t="n">
        <v>1706</v>
      </c>
      <c r="D1340" s="4" t="n">
        <v>0</v>
      </c>
      <c r="E1340" s="1" t="s">
        <v>1949</v>
      </c>
    </row>
    <row r="1341" customFormat="false" ht="15" hidden="false" customHeight="true" outlineLevel="0" collapsed="false">
      <c r="A1341" s="1" t="n">
        <v>50515</v>
      </c>
      <c r="B1341" s="3" t="n">
        <v>43982</v>
      </c>
      <c r="C1341" s="1" t="n">
        <v>1728</v>
      </c>
      <c r="D1341" s="4" t="n">
        <v>0</v>
      </c>
      <c r="E1341" s="1" t="s">
        <v>1949</v>
      </c>
    </row>
    <row r="1342" customFormat="false" ht="15" hidden="false" customHeight="true" outlineLevel="0" collapsed="false">
      <c r="A1342" s="1" t="n">
        <v>51767</v>
      </c>
      <c r="B1342" s="3" t="n">
        <v>44021</v>
      </c>
      <c r="C1342" s="1" t="n">
        <v>1805</v>
      </c>
      <c r="D1342" s="4" t="n">
        <v>0</v>
      </c>
      <c r="E1342" s="1" t="s">
        <v>1949</v>
      </c>
    </row>
    <row r="1343" customFormat="false" ht="15" hidden="false" customHeight="true" outlineLevel="0" collapsed="false">
      <c r="A1343" s="1" t="n">
        <v>50922</v>
      </c>
      <c r="B1343" s="3" t="n">
        <v>44047</v>
      </c>
      <c r="C1343" s="1" t="n">
        <v>177</v>
      </c>
      <c r="D1343" s="4" t="n">
        <v>0</v>
      </c>
      <c r="E1343" s="1" t="s">
        <v>1949</v>
      </c>
    </row>
    <row r="1344" customFormat="false" ht="15" hidden="false" customHeight="true" outlineLevel="0" collapsed="false">
      <c r="A1344" s="1" t="n">
        <v>51580</v>
      </c>
      <c r="B1344" s="3" t="n">
        <v>44009</v>
      </c>
      <c r="C1344" s="1" t="n">
        <v>1733</v>
      </c>
      <c r="D1344" s="4" t="n">
        <v>0</v>
      </c>
      <c r="E1344" s="1" t="s">
        <v>1949</v>
      </c>
    </row>
    <row r="1345" customFormat="false" ht="15" hidden="false" customHeight="true" outlineLevel="0" collapsed="false">
      <c r="A1345" s="1" t="n">
        <v>50286</v>
      </c>
      <c r="B1345" s="3" t="n">
        <v>44024</v>
      </c>
      <c r="C1345" s="1" t="n">
        <v>144</v>
      </c>
      <c r="D1345" s="4" t="n">
        <v>0</v>
      </c>
      <c r="E1345" s="1" t="s">
        <v>1949</v>
      </c>
    </row>
    <row r="1346" customFormat="false" ht="15" hidden="false" customHeight="true" outlineLevel="0" collapsed="false">
      <c r="A1346" s="1" t="n">
        <v>51609</v>
      </c>
      <c r="B1346" s="3" t="n">
        <v>44047</v>
      </c>
      <c r="C1346" s="1" t="n">
        <v>1626</v>
      </c>
      <c r="D1346" s="4" t="n">
        <v>656</v>
      </c>
      <c r="E1346" s="1" t="s">
        <v>1950</v>
      </c>
    </row>
    <row r="1347" customFormat="false" ht="15" hidden="false" customHeight="true" outlineLevel="0" collapsed="false">
      <c r="A1347" s="1" t="n">
        <v>50955</v>
      </c>
      <c r="B1347" s="3" t="n">
        <v>44018</v>
      </c>
      <c r="C1347" s="1" t="n">
        <v>908</v>
      </c>
      <c r="D1347" s="4" t="n">
        <v>485</v>
      </c>
      <c r="E1347" s="1" t="s">
        <v>1950</v>
      </c>
    </row>
    <row r="1348" customFormat="false" ht="15" hidden="false" customHeight="true" outlineLevel="0" collapsed="false">
      <c r="A1348" s="1" t="n">
        <v>50039</v>
      </c>
      <c r="B1348" s="3" t="n">
        <v>44071</v>
      </c>
      <c r="C1348" s="1" t="n">
        <v>1540</v>
      </c>
      <c r="D1348" s="4" t="n">
        <v>0</v>
      </c>
      <c r="E1348" s="1" t="s">
        <v>1949</v>
      </c>
    </row>
    <row r="1349" customFormat="false" ht="15" hidden="false" customHeight="true" outlineLevel="0" collapsed="false">
      <c r="A1349" s="1" t="n">
        <v>50354</v>
      </c>
      <c r="B1349" s="3" t="n">
        <v>44033</v>
      </c>
      <c r="C1349" s="1" t="n">
        <v>1701</v>
      </c>
      <c r="D1349" s="4" t="n">
        <v>497</v>
      </c>
      <c r="E1349" s="1" t="s">
        <v>1950</v>
      </c>
    </row>
    <row r="1350" customFormat="false" ht="15" hidden="false" customHeight="true" outlineLevel="0" collapsed="false">
      <c r="A1350" s="1" t="n">
        <v>50558</v>
      </c>
      <c r="B1350" s="3" t="n">
        <v>44057</v>
      </c>
      <c r="C1350" s="1" t="n">
        <v>1096</v>
      </c>
      <c r="D1350" s="4" t="n">
        <v>0</v>
      </c>
      <c r="E1350" s="1" t="s">
        <v>1949</v>
      </c>
    </row>
    <row r="1351" customFormat="false" ht="15" hidden="false" customHeight="true" outlineLevel="0" collapsed="false">
      <c r="A1351" s="1" t="n">
        <v>51777</v>
      </c>
      <c r="B1351" s="3" t="n">
        <v>44048</v>
      </c>
      <c r="C1351" s="1" t="n">
        <v>56</v>
      </c>
      <c r="D1351" s="4" t="n">
        <v>0</v>
      </c>
      <c r="E1351" s="1" t="s">
        <v>1949</v>
      </c>
    </row>
    <row r="1352" customFormat="false" ht="15" hidden="false" customHeight="true" outlineLevel="0" collapsed="false">
      <c r="A1352" s="1" t="n">
        <v>50747</v>
      </c>
      <c r="B1352" s="3" t="n">
        <v>44025</v>
      </c>
      <c r="C1352" s="1" t="n">
        <v>668</v>
      </c>
      <c r="D1352" s="4" t="n">
        <v>157</v>
      </c>
      <c r="E1352" s="1" t="s">
        <v>1950</v>
      </c>
    </row>
    <row r="1353" customFormat="false" ht="15" hidden="false" customHeight="true" outlineLevel="0" collapsed="false">
      <c r="A1353" s="1" t="n">
        <v>50648</v>
      </c>
      <c r="B1353" s="3" t="n">
        <v>44048</v>
      </c>
      <c r="C1353" s="1" t="n">
        <v>1472</v>
      </c>
      <c r="D1353" s="4" t="n">
        <v>0</v>
      </c>
      <c r="E1353" s="1" t="s">
        <v>1949</v>
      </c>
    </row>
    <row r="1354" customFormat="false" ht="15" hidden="false" customHeight="true" outlineLevel="0" collapsed="false">
      <c r="A1354" s="1" t="n">
        <v>50759</v>
      </c>
      <c r="B1354" s="3" t="n">
        <v>44024</v>
      </c>
      <c r="C1354" s="1" t="n">
        <v>1893</v>
      </c>
      <c r="D1354" s="4" t="n">
        <v>0</v>
      </c>
      <c r="E1354" s="1" t="s">
        <v>1949</v>
      </c>
    </row>
    <row r="1355" customFormat="false" ht="15" hidden="false" customHeight="true" outlineLevel="0" collapsed="false">
      <c r="A1355" s="1" t="n">
        <v>50333</v>
      </c>
      <c r="B1355" s="3" t="n">
        <v>44011</v>
      </c>
      <c r="C1355" s="1" t="n">
        <v>1433</v>
      </c>
      <c r="D1355" s="4" t="n">
        <v>0</v>
      </c>
      <c r="E1355" s="1" t="s">
        <v>1949</v>
      </c>
    </row>
    <row r="1356" customFormat="false" ht="15" hidden="false" customHeight="true" outlineLevel="0" collapsed="false">
      <c r="A1356" s="1" t="n">
        <v>51217</v>
      </c>
      <c r="B1356" s="3" t="n">
        <v>44066</v>
      </c>
      <c r="C1356" s="1" t="n">
        <v>272</v>
      </c>
      <c r="D1356" s="4" t="n">
        <v>0</v>
      </c>
      <c r="E1356" s="1" t="s">
        <v>1949</v>
      </c>
    </row>
    <row r="1357" customFormat="false" ht="15" hidden="false" customHeight="true" outlineLevel="0" collapsed="false">
      <c r="A1357" s="1" t="n">
        <v>51797</v>
      </c>
      <c r="B1357" s="3" t="n">
        <v>44003</v>
      </c>
      <c r="C1357" s="1" t="n">
        <v>1043</v>
      </c>
      <c r="D1357" s="4" t="n">
        <v>0</v>
      </c>
      <c r="E1357" s="1" t="s">
        <v>1949</v>
      </c>
    </row>
    <row r="1358" customFormat="false" ht="15" hidden="false" customHeight="true" outlineLevel="0" collapsed="false">
      <c r="A1358" s="1" t="n">
        <v>50796</v>
      </c>
      <c r="B1358" s="3" t="n">
        <v>44033</v>
      </c>
      <c r="C1358" s="1" t="n">
        <v>663</v>
      </c>
      <c r="D1358" s="4" t="n">
        <v>0</v>
      </c>
      <c r="E1358" s="1" t="s">
        <v>1949</v>
      </c>
    </row>
    <row r="1359" customFormat="false" ht="15" hidden="false" customHeight="true" outlineLevel="0" collapsed="false">
      <c r="A1359" s="1" t="n">
        <v>50020</v>
      </c>
      <c r="B1359" s="3" t="n">
        <v>44019</v>
      </c>
      <c r="C1359" s="1" t="n">
        <v>1764</v>
      </c>
      <c r="D1359" s="4" t="n">
        <v>0</v>
      </c>
      <c r="E1359" s="1" t="s">
        <v>1949</v>
      </c>
    </row>
    <row r="1360" customFormat="false" ht="15" hidden="false" customHeight="true" outlineLevel="0" collapsed="false">
      <c r="A1360" s="1" t="n">
        <v>50872</v>
      </c>
      <c r="B1360" s="3" t="n">
        <v>44014</v>
      </c>
      <c r="C1360" s="1" t="n">
        <v>1565</v>
      </c>
      <c r="D1360" s="4" t="n">
        <v>610</v>
      </c>
      <c r="E1360" s="1" t="s">
        <v>1950</v>
      </c>
    </row>
    <row r="1361" customFormat="false" ht="15" hidden="false" customHeight="true" outlineLevel="0" collapsed="false">
      <c r="A1361" s="1" t="n">
        <v>51773</v>
      </c>
      <c r="B1361" s="3" t="n">
        <v>44061</v>
      </c>
      <c r="C1361" s="1" t="n">
        <v>229</v>
      </c>
      <c r="D1361" s="4" t="n">
        <v>0</v>
      </c>
      <c r="E1361" s="1" t="s">
        <v>1949</v>
      </c>
    </row>
    <row r="1362" customFormat="false" ht="15" hidden="false" customHeight="true" outlineLevel="0" collapsed="false">
      <c r="A1362" s="1" t="n">
        <v>50430</v>
      </c>
      <c r="B1362" s="3" t="n">
        <v>44049</v>
      </c>
      <c r="C1362" s="1" t="n">
        <v>1278</v>
      </c>
      <c r="D1362" s="4" t="n">
        <v>0</v>
      </c>
      <c r="E1362" s="1" t="s">
        <v>1949</v>
      </c>
    </row>
    <row r="1363" customFormat="false" ht="15" hidden="false" customHeight="true" outlineLevel="0" collapsed="false">
      <c r="A1363" s="1" t="n">
        <v>50933</v>
      </c>
      <c r="B1363" s="3" t="n">
        <v>43987</v>
      </c>
      <c r="C1363" s="1" t="n">
        <v>224</v>
      </c>
      <c r="D1363" s="4" t="n">
        <v>703</v>
      </c>
      <c r="E1363" s="1" t="s">
        <v>1950</v>
      </c>
    </row>
    <row r="1364" customFormat="false" ht="15" hidden="false" customHeight="true" outlineLevel="0" collapsed="false">
      <c r="A1364" s="1" t="n">
        <v>51031</v>
      </c>
      <c r="B1364" s="3" t="n">
        <v>44021</v>
      </c>
      <c r="C1364" s="1" t="n">
        <v>1119</v>
      </c>
      <c r="D1364" s="4" t="n">
        <v>0</v>
      </c>
      <c r="E1364" s="1" t="s">
        <v>1949</v>
      </c>
    </row>
    <row r="1365" customFormat="false" ht="15" hidden="false" customHeight="true" outlineLevel="0" collapsed="false">
      <c r="A1365" s="1" t="n">
        <v>51792</v>
      </c>
      <c r="B1365" s="3" t="n">
        <v>44054</v>
      </c>
      <c r="C1365" s="1" t="n">
        <v>1151</v>
      </c>
      <c r="D1365" s="4" t="n">
        <v>640</v>
      </c>
      <c r="E1365" s="1" t="s">
        <v>1950</v>
      </c>
    </row>
    <row r="1366" customFormat="false" ht="15" hidden="false" customHeight="true" outlineLevel="0" collapsed="false">
      <c r="A1366" s="1" t="n">
        <v>50518</v>
      </c>
      <c r="B1366" s="3" t="n">
        <v>44057</v>
      </c>
      <c r="C1366" s="1" t="n">
        <v>1270</v>
      </c>
      <c r="D1366" s="4" t="n">
        <v>0</v>
      </c>
      <c r="E1366" s="1" t="s">
        <v>1949</v>
      </c>
    </row>
    <row r="1367" customFormat="false" ht="15" hidden="false" customHeight="true" outlineLevel="0" collapsed="false">
      <c r="A1367" s="1" t="n">
        <v>51404</v>
      </c>
      <c r="B1367" s="3" t="n">
        <v>43996</v>
      </c>
      <c r="C1367" s="1" t="n">
        <v>1744</v>
      </c>
      <c r="D1367" s="4" t="n">
        <v>0</v>
      </c>
      <c r="E1367" s="1" t="s">
        <v>1949</v>
      </c>
    </row>
    <row r="1368" customFormat="false" ht="15" hidden="false" customHeight="true" outlineLevel="0" collapsed="false">
      <c r="A1368" s="1" t="n">
        <v>51824</v>
      </c>
      <c r="B1368" s="3" t="n">
        <v>44006</v>
      </c>
      <c r="C1368" s="1" t="n">
        <v>999</v>
      </c>
      <c r="D1368" s="4" t="n">
        <v>749</v>
      </c>
      <c r="E1368" s="1" t="s">
        <v>1950</v>
      </c>
    </row>
    <row r="1369" customFormat="false" ht="15" hidden="false" customHeight="true" outlineLevel="0" collapsed="false">
      <c r="A1369" s="1" t="n">
        <v>50210</v>
      </c>
      <c r="B1369" s="3" t="n">
        <v>44034</v>
      </c>
      <c r="C1369" s="1" t="n">
        <v>1357</v>
      </c>
      <c r="D1369" s="4" t="n">
        <v>0</v>
      </c>
      <c r="E1369" s="1" t="s">
        <v>1949</v>
      </c>
    </row>
    <row r="1370" customFormat="false" ht="15" hidden="false" customHeight="true" outlineLevel="0" collapsed="false">
      <c r="A1370" s="1" t="n">
        <v>50784</v>
      </c>
      <c r="B1370" s="3" t="n">
        <v>44036</v>
      </c>
      <c r="C1370" s="1" t="n">
        <v>366</v>
      </c>
      <c r="D1370" s="4" t="n">
        <v>0</v>
      </c>
      <c r="E1370" s="1" t="s">
        <v>1949</v>
      </c>
    </row>
    <row r="1371" customFormat="false" ht="15" hidden="false" customHeight="true" outlineLevel="0" collapsed="false">
      <c r="A1371" s="1" t="n">
        <v>51733</v>
      </c>
      <c r="B1371" s="3" t="n">
        <v>44029</v>
      </c>
      <c r="C1371" s="1" t="n">
        <v>851</v>
      </c>
      <c r="D1371" s="4" t="n">
        <v>319</v>
      </c>
      <c r="E1371" s="1" t="s">
        <v>1950</v>
      </c>
    </row>
    <row r="1372" customFormat="false" ht="15" hidden="false" customHeight="true" outlineLevel="0" collapsed="false">
      <c r="A1372" s="1" t="n">
        <v>51065</v>
      </c>
      <c r="B1372" s="3" t="n">
        <v>44027</v>
      </c>
      <c r="C1372" s="1" t="n">
        <v>341</v>
      </c>
      <c r="D1372" s="4" t="n">
        <v>862</v>
      </c>
      <c r="E1372" s="1" t="s">
        <v>1950</v>
      </c>
    </row>
    <row r="1373" customFormat="false" ht="15" hidden="false" customHeight="true" outlineLevel="0" collapsed="false">
      <c r="A1373" s="1" t="n">
        <v>50792</v>
      </c>
      <c r="B1373" s="3" t="n">
        <v>44007</v>
      </c>
      <c r="C1373" s="1" t="n">
        <v>576</v>
      </c>
      <c r="D1373" s="4" t="n">
        <v>0</v>
      </c>
      <c r="E1373" s="1" t="s">
        <v>1949</v>
      </c>
    </row>
    <row r="1374" customFormat="false" ht="15" hidden="false" customHeight="true" outlineLevel="0" collapsed="false">
      <c r="A1374" s="1" t="n">
        <v>51628</v>
      </c>
      <c r="B1374" s="3" t="n">
        <v>44036</v>
      </c>
      <c r="C1374" s="1" t="n">
        <v>1766</v>
      </c>
      <c r="D1374" s="4" t="n">
        <v>659</v>
      </c>
      <c r="E1374" s="1" t="s">
        <v>1950</v>
      </c>
    </row>
    <row r="1375" customFormat="false" ht="15" hidden="false" customHeight="true" outlineLevel="0" collapsed="false">
      <c r="A1375" s="1" t="n">
        <v>50305</v>
      </c>
      <c r="B1375" s="3" t="n">
        <v>44070</v>
      </c>
      <c r="C1375" s="1" t="n">
        <v>466</v>
      </c>
      <c r="D1375" s="4" t="n">
        <v>723</v>
      </c>
      <c r="E1375" s="1" t="s">
        <v>1950</v>
      </c>
    </row>
    <row r="1376" customFormat="false" ht="15" hidden="false" customHeight="true" outlineLevel="0" collapsed="false">
      <c r="A1376" s="1" t="n">
        <v>51190</v>
      </c>
      <c r="B1376" s="3" t="n">
        <v>44037</v>
      </c>
      <c r="C1376" s="1" t="n">
        <v>1440</v>
      </c>
      <c r="D1376" s="4" t="n">
        <v>0</v>
      </c>
      <c r="E1376" s="1" t="s">
        <v>1949</v>
      </c>
    </row>
    <row r="1377" customFormat="false" ht="15" hidden="false" customHeight="true" outlineLevel="0" collapsed="false">
      <c r="A1377" s="1" t="n">
        <v>50927</v>
      </c>
      <c r="B1377" s="3" t="n">
        <v>44004</v>
      </c>
      <c r="C1377" s="1" t="n">
        <v>505</v>
      </c>
      <c r="D1377" s="4" t="n">
        <v>212</v>
      </c>
      <c r="E1377" s="1" t="s">
        <v>1950</v>
      </c>
    </row>
    <row r="1378" customFormat="false" ht="15" hidden="false" customHeight="true" outlineLevel="0" collapsed="false">
      <c r="A1378" s="1" t="n">
        <v>51887</v>
      </c>
      <c r="B1378" s="3" t="n">
        <v>44063</v>
      </c>
      <c r="C1378" s="1" t="n">
        <v>45</v>
      </c>
      <c r="D1378" s="4" t="n">
        <v>583</v>
      </c>
      <c r="E1378" s="1" t="s">
        <v>1950</v>
      </c>
    </row>
    <row r="1379" customFormat="false" ht="15" hidden="false" customHeight="true" outlineLevel="0" collapsed="false">
      <c r="A1379" s="1" t="n">
        <v>50833</v>
      </c>
      <c r="B1379" s="3" t="n">
        <v>44071</v>
      </c>
      <c r="C1379" s="1" t="n">
        <v>1418</v>
      </c>
      <c r="D1379" s="4" t="n">
        <v>557</v>
      </c>
      <c r="E1379" s="1" t="s">
        <v>1950</v>
      </c>
    </row>
    <row r="1380" customFormat="false" ht="15" hidden="false" customHeight="true" outlineLevel="0" collapsed="false">
      <c r="A1380" s="1" t="n">
        <v>50801</v>
      </c>
      <c r="B1380" s="3" t="n">
        <v>44042</v>
      </c>
      <c r="C1380" s="1" t="n">
        <v>992</v>
      </c>
      <c r="D1380" s="4" t="n">
        <v>117</v>
      </c>
      <c r="E1380" s="1" t="s">
        <v>1950</v>
      </c>
    </row>
    <row r="1381" customFormat="false" ht="15" hidden="false" customHeight="true" outlineLevel="0" collapsed="false">
      <c r="A1381" s="1" t="n">
        <v>51027</v>
      </c>
      <c r="B1381" s="3" t="n">
        <v>43988</v>
      </c>
      <c r="C1381" s="1" t="n">
        <v>1478</v>
      </c>
      <c r="D1381" s="4" t="n">
        <v>0</v>
      </c>
      <c r="E1381" s="1" t="s">
        <v>1949</v>
      </c>
    </row>
    <row r="1382" customFormat="false" ht="15" hidden="false" customHeight="true" outlineLevel="0" collapsed="false">
      <c r="A1382" s="1" t="n">
        <v>51324</v>
      </c>
      <c r="B1382" s="3" t="n">
        <v>44024</v>
      </c>
      <c r="C1382" s="1" t="n">
        <v>1129</v>
      </c>
      <c r="D1382" s="4" t="n">
        <v>158</v>
      </c>
      <c r="E1382" s="1" t="s">
        <v>1950</v>
      </c>
    </row>
    <row r="1383" customFormat="false" ht="15" hidden="false" customHeight="true" outlineLevel="0" collapsed="false">
      <c r="A1383" s="1" t="n">
        <v>51799</v>
      </c>
      <c r="B1383" s="3" t="n">
        <v>43990</v>
      </c>
      <c r="C1383" s="1" t="n">
        <v>1405</v>
      </c>
      <c r="D1383" s="4" t="n">
        <v>0</v>
      </c>
      <c r="E1383" s="1" t="s">
        <v>1949</v>
      </c>
    </row>
    <row r="1384" customFormat="false" ht="15" hidden="false" customHeight="true" outlineLevel="0" collapsed="false">
      <c r="A1384" s="1" t="n">
        <v>50337</v>
      </c>
      <c r="B1384" s="3" t="n">
        <v>43999</v>
      </c>
      <c r="C1384" s="1" t="n">
        <v>1398</v>
      </c>
      <c r="D1384" s="4" t="n">
        <v>631</v>
      </c>
      <c r="E1384" s="1" t="s">
        <v>1950</v>
      </c>
    </row>
    <row r="1385" customFormat="false" ht="15" hidden="false" customHeight="true" outlineLevel="0" collapsed="false">
      <c r="A1385" s="1" t="n">
        <v>51992</v>
      </c>
      <c r="B1385" s="3" t="n">
        <v>44068</v>
      </c>
      <c r="C1385" s="1" t="n">
        <v>1366</v>
      </c>
      <c r="D1385" s="4" t="n">
        <v>0</v>
      </c>
      <c r="E1385" s="1" t="s">
        <v>1949</v>
      </c>
    </row>
    <row r="1386" customFormat="false" ht="15" hidden="false" customHeight="true" outlineLevel="0" collapsed="false">
      <c r="A1386" s="1" t="n">
        <v>50794</v>
      </c>
      <c r="B1386" s="3" t="n">
        <v>43992</v>
      </c>
      <c r="C1386" s="1" t="n">
        <v>1479</v>
      </c>
      <c r="D1386" s="4" t="n">
        <v>275</v>
      </c>
      <c r="E1386" s="1" t="s">
        <v>1950</v>
      </c>
    </row>
    <row r="1387" customFormat="false" ht="15" hidden="false" customHeight="true" outlineLevel="0" collapsed="false">
      <c r="A1387" s="1" t="n">
        <v>51653</v>
      </c>
      <c r="B1387" s="3" t="n">
        <v>43988</v>
      </c>
      <c r="C1387" s="1" t="n">
        <v>1679</v>
      </c>
      <c r="D1387" s="4" t="n">
        <v>655</v>
      </c>
      <c r="E1387" s="1" t="s">
        <v>1950</v>
      </c>
    </row>
    <row r="1388" customFormat="false" ht="15" hidden="false" customHeight="true" outlineLevel="0" collapsed="false">
      <c r="A1388" s="1" t="n">
        <v>50468</v>
      </c>
      <c r="B1388" s="3" t="n">
        <v>44000</v>
      </c>
      <c r="C1388" s="1" t="n">
        <v>759</v>
      </c>
      <c r="D1388" s="4" t="n">
        <v>0</v>
      </c>
      <c r="E1388" s="1" t="s">
        <v>1949</v>
      </c>
    </row>
    <row r="1389" customFormat="false" ht="15" hidden="false" customHeight="true" outlineLevel="0" collapsed="false">
      <c r="A1389" s="1" t="n">
        <v>51483</v>
      </c>
      <c r="B1389" s="3" t="n">
        <v>44024</v>
      </c>
      <c r="C1389" s="1" t="n">
        <v>778</v>
      </c>
      <c r="D1389" s="4" t="n">
        <v>232</v>
      </c>
      <c r="E1389" s="1" t="s">
        <v>1950</v>
      </c>
    </row>
    <row r="1390" customFormat="false" ht="15" hidden="false" customHeight="true" outlineLevel="0" collapsed="false">
      <c r="A1390" s="1" t="n">
        <v>51569</v>
      </c>
      <c r="B1390" s="3" t="n">
        <v>44044</v>
      </c>
      <c r="C1390" s="1" t="n">
        <v>1901</v>
      </c>
      <c r="D1390" s="4" t="n">
        <v>0</v>
      </c>
      <c r="E1390" s="1" t="s">
        <v>1949</v>
      </c>
    </row>
    <row r="1391" customFormat="false" ht="15" hidden="false" customHeight="true" outlineLevel="0" collapsed="false">
      <c r="A1391" s="1" t="n">
        <v>51315</v>
      </c>
      <c r="B1391" s="3" t="n">
        <v>44050</v>
      </c>
      <c r="C1391" s="1" t="n">
        <v>299</v>
      </c>
      <c r="D1391" s="4" t="n">
        <v>0</v>
      </c>
      <c r="E1391" s="1" t="s">
        <v>1949</v>
      </c>
    </row>
    <row r="1392" customFormat="false" ht="15" hidden="false" customHeight="true" outlineLevel="0" collapsed="false">
      <c r="A1392" s="1" t="n">
        <v>51623</v>
      </c>
      <c r="B1392" s="3" t="n">
        <v>44056</v>
      </c>
      <c r="C1392" s="1" t="n">
        <v>1894</v>
      </c>
      <c r="D1392" s="4" t="n">
        <v>0</v>
      </c>
      <c r="E1392" s="1" t="s">
        <v>1949</v>
      </c>
    </row>
    <row r="1393" customFormat="false" ht="15" hidden="false" customHeight="true" outlineLevel="0" collapsed="false">
      <c r="A1393" s="1" t="n">
        <v>51606</v>
      </c>
      <c r="B1393" s="3" t="n">
        <v>44069</v>
      </c>
      <c r="C1393" s="1" t="n">
        <v>1484</v>
      </c>
      <c r="D1393" s="4" t="n">
        <v>591</v>
      </c>
      <c r="E1393" s="1" t="s">
        <v>1950</v>
      </c>
    </row>
    <row r="1394" customFormat="false" ht="15" hidden="false" customHeight="true" outlineLevel="0" collapsed="false">
      <c r="A1394" s="1" t="n">
        <v>50347</v>
      </c>
      <c r="B1394" s="3" t="n">
        <v>43998</v>
      </c>
      <c r="C1394" s="1" t="n">
        <v>1830</v>
      </c>
      <c r="D1394" s="4" t="n">
        <v>0</v>
      </c>
      <c r="E1394" s="1" t="s">
        <v>1949</v>
      </c>
    </row>
    <row r="1395" customFormat="false" ht="15" hidden="false" customHeight="true" outlineLevel="0" collapsed="false">
      <c r="A1395" s="1" t="n">
        <v>51936</v>
      </c>
      <c r="B1395" s="3" t="n">
        <v>44033</v>
      </c>
      <c r="C1395" s="1" t="n">
        <v>1101</v>
      </c>
      <c r="D1395" s="4" t="n">
        <v>0</v>
      </c>
      <c r="E1395" s="1" t="s">
        <v>1949</v>
      </c>
    </row>
    <row r="1396" customFormat="false" ht="15" hidden="false" customHeight="true" outlineLevel="0" collapsed="false">
      <c r="A1396" s="1" t="n">
        <v>50891</v>
      </c>
      <c r="B1396" s="3" t="n">
        <v>44014</v>
      </c>
      <c r="C1396" s="1" t="n">
        <v>78</v>
      </c>
      <c r="D1396" s="4" t="n">
        <v>743</v>
      </c>
      <c r="E1396" s="1" t="s">
        <v>1950</v>
      </c>
    </row>
    <row r="1397" customFormat="false" ht="15" hidden="false" customHeight="true" outlineLevel="0" collapsed="false">
      <c r="A1397" s="1" t="n">
        <v>50026</v>
      </c>
      <c r="B1397" s="3" t="n">
        <v>44020</v>
      </c>
      <c r="C1397" s="1" t="n">
        <v>1670</v>
      </c>
      <c r="D1397" s="4" t="n">
        <v>0</v>
      </c>
      <c r="E1397" s="1" t="s">
        <v>1949</v>
      </c>
    </row>
    <row r="1398" customFormat="false" ht="15" hidden="false" customHeight="true" outlineLevel="0" collapsed="false">
      <c r="A1398" s="1" t="n">
        <v>51597</v>
      </c>
      <c r="B1398" s="3" t="n">
        <v>44017</v>
      </c>
      <c r="C1398" s="1" t="n">
        <v>1360</v>
      </c>
      <c r="D1398" s="4" t="n">
        <v>760</v>
      </c>
      <c r="E1398" s="1" t="s">
        <v>1950</v>
      </c>
    </row>
    <row r="1399" customFormat="false" ht="15" hidden="false" customHeight="true" outlineLevel="0" collapsed="false">
      <c r="A1399" s="1" t="n">
        <v>51935</v>
      </c>
      <c r="B1399" s="3" t="n">
        <v>44049</v>
      </c>
      <c r="C1399" s="1" t="n">
        <v>380</v>
      </c>
      <c r="D1399" s="4" t="n">
        <v>784</v>
      </c>
      <c r="E1399" s="1" t="s">
        <v>1950</v>
      </c>
    </row>
    <row r="1400" customFormat="false" ht="15" hidden="false" customHeight="true" outlineLevel="0" collapsed="false">
      <c r="A1400" s="1" t="n">
        <v>50670</v>
      </c>
      <c r="B1400" s="3" t="n">
        <v>44005</v>
      </c>
      <c r="C1400" s="1" t="n">
        <v>957</v>
      </c>
      <c r="D1400" s="4" t="n">
        <v>0</v>
      </c>
      <c r="E1400" s="1" t="s">
        <v>1949</v>
      </c>
    </row>
    <row r="1401" customFormat="false" ht="15" hidden="false" customHeight="true" outlineLevel="0" collapsed="false">
      <c r="A1401" s="1" t="n">
        <v>50309</v>
      </c>
      <c r="B1401" s="3" t="n">
        <v>44003</v>
      </c>
      <c r="C1401" s="1" t="n">
        <v>241</v>
      </c>
      <c r="D1401" s="4" t="n">
        <v>179</v>
      </c>
      <c r="E1401" s="1" t="s">
        <v>1950</v>
      </c>
    </row>
    <row r="1402" customFormat="false" ht="15" hidden="false" customHeight="true" outlineLevel="0" collapsed="false">
      <c r="A1402" s="1" t="n">
        <v>51381</v>
      </c>
      <c r="B1402" s="3" t="n">
        <v>44043</v>
      </c>
      <c r="C1402" s="1" t="n">
        <v>773</v>
      </c>
      <c r="D1402" s="4" t="n">
        <v>560</v>
      </c>
      <c r="E1402" s="1" t="s">
        <v>1950</v>
      </c>
    </row>
    <row r="1403" customFormat="false" ht="15" hidden="false" customHeight="true" outlineLevel="0" collapsed="false">
      <c r="A1403" s="1" t="n">
        <v>51387</v>
      </c>
      <c r="B1403" s="3" t="n">
        <v>44007</v>
      </c>
      <c r="C1403" s="1" t="n">
        <v>1529</v>
      </c>
      <c r="D1403" s="4" t="n">
        <v>0</v>
      </c>
      <c r="E1403" s="1" t="s">
        <v>1949</v>
      </c>
    </row>
    <row r="1404" customFormat="false" ht="15" hidden="false" customHeight="true" outlineLevel="0" collapsed="false">
      <c r="A1404" s="1" t="n">
        <v>51808</v>
      </c>
      <c r="B1404" s="3" t="n">
        <v>44065</v>
      </c>
      <c r="C1404" s="1" t="n">
        <v>942</v>
      </c>
      <c r="D1404" s="4" t="n">
        <v>0</v>
      </c>
      <c r="E1404" s="1" t="s">
        <v>1949</v>
      </c>
    </row>
    <row r="1405" customFormat="false" ht="15" hidden="false" customHeight="true" outlineLevel="0" collapsed="false">
      <c r="A1405" s="1" t="n">
        <v>50986</v>
      </c>
      <c r="B1405" s="3" t="n">
        <v>44041</v>
      </c>
      <c r="C1405" s="1" t="n">
        <v>474</v>
      </c>
      <c r="D1405" s="4" t="n">
        <v>538</v>
      </c>
      <c r="E1405" s="1" t="s">
        <v>1950</v>
      </c>
    </row>
    <row r="1406" customFormat="false" ht="15" hidden="false" customHeight="true" outlineLevel="0" collapsed="false">
      <c r="A1406" s="1" t="n">
        <v>50722</v>
      </c>
      <c r="B1406" s="3" t="n">
        <v>44064</v>
      </c>
      <c r="C1406" s="1" t="n">
        <v>79</v>
      </c>
      <c r="D1406" s="4" t="n">
        <v>0</v>
      </c>
      <c r="E1406" s="1" t="s">
        <v>1949</v>
      </c>
    </row>
    <row r="1407" customFormat="false" ht="15" hidden="false" customHeight="true" outlineLevel="0" collapsed="false">
      <c r="A1407" s="1" t="n">
        <v>50134</v>
      </c>
      <c r="B1407" s="3" t="n">
        <v>44021</v>
      </c>
      <c r="C1407" s="1" t="n">
        <v>245</v>
      </c>
      <c r="D1407" s="4" t="n">
        <v>707</v>
      </c>
      <c r="E1407" s="1" t="s">
        <v>1950</v>
      </c>
    </row>
    <row r="1408" customFormat="false" ht="15" hidden="false" customHeight="true" outlineLevel="0" collapsed="false">
      <c r="A1408" s="1" t="n">
        <v>51561</v>
      </c>
      <c r="B1408" s="3" t="n">
        <v>43998</v>
      </c>
      <c r="C1408" s="1" t="n">
        <v>1971</v>
      </c>
      <c r="D1408" s="4" t="n">
        <v>0</v>
      </c>
      <c r="E1408" s="1" t="s">
        <v>1949</v>
      </c>
    </row>
    <row r="1409" customFormat="false" ht="15" hidden="false" customHeight="true" outlineLevel="0" collapsed="false">
      <c r="A1409" s="1" t="n">
        <v>50652</v>
      </c>
      <c r="B1409" s="3" t="n">
        <v>44021</v>
      </c>
      <c r="C1409" s="1" t="n">
        <v>373</v>
      </c>
      <c r="D1409" s="4" t="n">
        <v>0</v>
      </c>
      <c r="E1409" s="1" t="s">
        <v>1949</v>
      </c>
    </row>
    <row r="1410" customFormat="false" ht="15" hidden="false" customHeight="true" outlineLevel="0" collapsed="false">
      <c r="A1410" s="1" t="n">
        <v>50290</v>
      </c>
      <c r="B1410" s="3" t="n">
        <v>43994</v>
      </c>
      <c r="C1410" s="1" t="n">
        <v>1513</v>
      </c>
      <c r="D1410" s="4" t="n">
        <v>0</v>
      </c>
      <c r="E1410" s="1" t="s">
        <v>1949</v>
      </c>
    </row>
    <row r="1411" customFormat="false" ht="15" hidden="false" customHeight="true" outlineLevel="0" collapsed="false">
      <c r="A1411" s="1" t="n">
        <v>51530</v>
      </c>
      <c r="B1411" s="3" t="n">
        <v>44055</v>
      </c>
      <c r="C1411" s="1" t="n">
        <v>1859</v>
      </c>
      <c r="D1411" s="4" t="n">
        <v>163</v>
      </c>
      <c r="E1411" s="1" t="s">
        <v>1950</v>
      </c>
    </row>
    <row r="1412" customFormat="false" ht="15" hidden="false" customHeight="true" outlineLevel="0" collapsed="false">
      <c r="A1412" s="1" t="n">
        <v>51590</v>
      </c>
      <c r="B1412" s="3" t="n">
        <v>44068</v>
      </c>
      <c r="C1412" s="1" t="n">
        <v>731</v>
      </c>
      <c r="D1412" s="4" t="n">
        <v>337</v>
      </c>
      <c r="E1412" s="1" t="s">
        <v>1950</v>
      </c>
    </row>
    <row r="1413" customFormat="false" ht="15" hidden="false" customHeight="true" outlineLevel="0" collapsed="false">
      <c r="A1413" s="1" t="n">
        <v>50382</v>
      </c>
      <c r="B1413" s="3" t="n">
        <v>44051</v>
      </c>
      <c r="C1413" s="1" t="n">
        <v>1517</v>
      </c>
      <c r="D1413" s="4" t="n">
        <v>0</v>
      </c>
      <c r="E1413" s="1" t="s">
        <v>1949</v>
      </c>
    </row>
    <row r="1414" customFormat="false" ht="15" hidden="false" customHeight="true" outlineLevel="0" collapsed="false">
      <c r="A1414" s="1" t="n">
        <v>51150</v>
      </c>
      <c r="B1414" s="3" t="n">
        <v>44020</v>
      </c>
      <c r="C1414" s="1" t="n">
        <v>239</v>
      </c>
      <c r="D1414" s="4" t="n">
        <v>0</v>
      </c>
      <c r="E1414" s="1" t="s">
        <v>1949</v>
      </c>
    </row>
    <row r="1415" customFormat="false" ht="15" hidden="false" customHeight="true" outlineLevel="0" collapsed="false">
      <c r="A1415" s="1" t="n">
        <v>51334</v>
      </c>
      <c r="B1415" s="3" t="n">
        <v>44031</v>
      </c>
      <c r="C1415" s="1" t="n">
        <v>860</v>
      </c>
      <c r="D1415" s="4" t="n">
        <v>886</v>
      </c>
      <c r="E1415" s="1" t="s">
        <v>1950</v>
      </c>
    </row>
    <row r="1416" customFormat="false" ht="15" hidden="false" customHeight="true" outlineLevel="0" collapsed="false">
      <c r="A1416" s="1" t="n">
        <v>50176</v>
      </c>
      <c r="B1416" s="3" t="n">
        <v>44050</v>
      </c>
      <c r="C1416" s="1" t="n">
        <v>1871</v>
      </c>
      <c r="D1416" s="4" t="n">
        <v>769</v>
      </c>
      <c r="E1416" s="1" t="s">
        <v>1950</v>
      </c>
    </row>
    <row r="1417" customFormat="false" ht="15" hidden="false" customHeight="true" outlineLevel="0" collapsed="false">
      <c r="A1417" s="1" t="n">
        <v>50346</v>
      </c>
      <c r="B1417" s="3" t="n">
        <v>44015</v>
      </c>
      <c r="C1417" s="1" t="n">
        <v>1341</v>
      </c>
      <c r="D1417" s="4" t="n">
        <v>0</v>
      </c>
      <c r="E1417" s="1" t="s">
        <v>1949</v>
      </c>
    </row>
    <row r="1418" customFormat="false" ht="15" hidden="false" customHeight="true" outlineLevel="0" collapsed="false">
      <c r="A1418" s="1" t="n">
        <v>50842</v>
      </c>
      <c r="B1418" s="3" t="n">
        <v>43989</v>
      </c>
      <c r="C1418" s="1" t="n">
        <v>823</v>
      </c>
      <c r="D1418" s="4" t="n">
        <v>0</v>
      </c>
      <c r="E1418" s="1" t="s">
        <v>1949</v>
      </c>
    </row>
    <row r="1419" customFormat="false" ht="15" hidden="false" customHeight="true" outlineLevel="0" collapsed="false">
      <c r="A1419" s="1" t="n">
        <v>51495</v>
      </c>
      <c r="B1419" s="3" t="n">
        <v>44056</v>
      </c>
      <c r="C1419" s="1" t="n">
        <v>1796</v>
      </c>
      <c r="D1419" s="4" t="n">
        <v>373</v>
      </c>
      <c r="E1419" s="1" t="s">
        <v>1950</v>
      </c>
    </row>
    <row r="1420" customFormat="false" ht="15" hidden="false" customHeight="true" outlineLevel="0" collapsed="false">
      <c r="A1420" s="1" t="n">
        <v>51451</v>
      </c>
      <c r="B1420" s="3" t="n">
        <v>44007</v>
      </c>
      <c r="C1420" s="1" t="n">
        <v>611</v>
      </c>
      <c r="D1420" s="4" t="n">
        <v>0</v>
      </c>
      <c r="E1420" s="1" t="s">
        <v>1949</v>
      </c>
    </row>
    <row r="1421" customFormat="false" ht="15" hidden="false" customHeight="true" outlineLevel="0" collapsed="false">
      <c r="A1421" s="1" t="n">
        <v>51105</v>
      </c>
      <c r="B1421" s="3" t="n">
        <v>44032</v>
      </c>
      <c r="C1421" s="1" t="n">
        <v>1707</v>
      </c>
      <c r="D1421" s="4" t="n">
        <v>837</v>
      </c>
      <c r="E1421" s="1" t="s">
        <v>1950</v>
      </c>
    </row>
    <row r="1422" customFormat="false" ht="15" hidden="false" customHeight="true" outlineLevel="0" collapsed="false">
      <c r="A1422" s="1" t="n">
        <v>51635</v>
      </c>
      <c r="B1422" s="3" t="n">
        <v>44038</v>
      </c>
      <c r="C1422" s="1" t="n">
        <v>52</v>
      </c>
      <c r="D1422" s="4" t="n">
        <v>590</v>
      </c>
      <c r="E1422" s="1" t="s">
        <v>1950</v>
      </c>
    </row>
    <row r="1423" customFormat="false" ht="15" hidden="false" customHeight="true" outlineLevel="0" collapsed="false">
      <c r="A1423" s="1" t="n">
        <v>50190</v>
      </c>
      <c r="B1423" s="3" t="n">
        <v>44071</v>
      </c>
      <c r="C1423" s="1" t="n">
        <v>801</v>
      </c>
      <c r="D1423" s="4" t="n">
        <v>0</v>
      </c>
      <c r="E1423" s="1" t="s">
        <v>1949</v>
      </c>
    </row>
    <row r="1424" customFormat="false" ht="15" hidden="false" customHeight="true" outlineLevel="0" collapsed="false">
      <c r="A1424" s="1" t="n">
        <v>50707</v>
      </c>
      <c r="B1424" s="3" t="n">
        <v>44014</v>
      </c>
      <c r="C1424" s="1" t="n">
        <v>415</v>
      </c>
      <c r="D1424" s="4" t="n">
        <v>463</v>
      </c>
      <c r="E1424" s="1" t="s">
        <v>1950</v>
      </c>
    </row>
    <row r="1425" customFormat="false" ht="15" hidden="false" customHeight="true" outlineLevel="0" collapsed="false">
      <c r="A1425" s="1" t="n">
        <v>50227</v>
      </c>
      <c r="B1425" s="3" t="n">
        <v>44028</v>
      </c>
      <c r="C1425" s="1" t="n">
        <v>350</v>
      </c>
      <c r="D1425" s="4" t="n">
        <v>219</v>
      </c>
      <c r="E1425" s="1" t="s">
        <v>1950</v>
      </c>
    </row>
    <row r="1426" customFormat="false" ht="15" hidden="false" customHeight="true" outlineLevel="0" collapsed="false">
      <c r="A1426" s="1" t="n">
        <v>50376</v>
      </c>
      <c r="B1426" s="3" t="n">
        <v>44052</v>
      </c>
      <c r="C1426" s="1" t="n">
        <v>1936</v>
      </c>
      <c r="D1426" s="4" t="n">
        <v>404</v>
      </c>
      <c r="E1426" s="1" t="s">
        <v>1950</v>
      </c>
    </row>
    <row r="1427" customFormat="false" ht="15" hidden="false" customHeight="true" outlineLevel="0" collapsed="false">
      <c r="A1427" s="1" t="n">
        <v>51990</v>
      </c>
      <c r="B1427" s="3" t="n">
        <v>44005</v>
      </c>
      <c r="C1427" s="1" t="n">
        <v>820</v>
      </c>
      <c r="D1427" s="4" t="n">
        <v>0</v>
      </c>
      <c r="E1427" s="1" t="s">
        <v>1949</v>
      </c>
    </row>
    <row r="1428" customFormat="false" ht="15" hidden="false" customHeight="true" outlineLevel="0" collapsed="false">
      <c r="A1428" s="1" t="n">
        <v>51902</v>
      </c>
      <c r="B1428" s="3" t="n">
        <v>44060</v>
      </c>
      <c r="C1428" s="1" t="n">
        <v>503</v>
      </c>
      <c r="D1428" s="4" t="n">
        <v>0</v>
      </c>
      <c r="E1428" s="1" t="s">
        <v>1949</v>
      </c>
    </row>
    <row r="1429" customFormat="false" ht="15" hidden="false" customHeight="true" outlineLevel="0" collapsed="false">
      <c r="A1429" s="1" t="n">
        <v>51987</v>
      </c>
      <c r="B1429" s="3" t="n">
        <v>44005</v>
      </c>
      <c r="C1429" s="1" t="n">
        <v>1334</v>
      </c>
      <c r="D1429" s="4" t="n">
        <v>0</v>
      </c>
      <c r="E1429" s="1" t="s">
        <v>1949</v>
      </c>
    </row>
    <row r="1430" customFormat="false" ht="15" hidden="false" customHeight="true" outlineLevel="0" collapsed="false">
      <c r="A1430" s="1" t="n">
        <v>51092</v>
      </c>
      <c r="B1430" s="3" t="n">
        <v>44044</v>
      </c>
      <c r="C1430" s="1" t="n">
        <v>1542</v>
      </c>
      <c r="D1430" s="4" t="n">
        <v>0</v>
      </c>
      <c r="E1430" s="1" t="s">
        <v>1949</v>
      </c>
    </row>
    <row r="1431" customFormat="false" ht="15" hidden="false" customHeight="true" outlineLevel="0" collapsed="false">
      <c r="A1431" s="1" t="n">
        <v>50501</v>
      </c>
      <c r="B1431" s="3" t="n">
        <v>44030</v>
      </c>
      <c r="C1431" s="1" t="n">
        <v>1775</v>
      </c>
      <c r="D1431" s="4" t="n">
        <v>0</v>
      </c>
      <c r="E1431" s="1" t="s">
        <v>1949</v>
      </c>
    </row>
    <row r="1432" customFormat="false" ht="15" hidden="false" customHeight="true" outlineLevel="0" collapsed="false">
      <c r="A1432" s="1" t="n">
        <v>51872</v>
      </c>
      <c r="B1432" s="3" t="n">
        <v>44015</v>
      </c>
      <c r="C1432" s="1" t="n">
        <v>584</v>
      </c>
      <c r="D1432" s="4" t="n">
        <v>0</v>
      </c>
      <c r="E1432" s="1" t="s">
        <v>1949</v>
      </c>
    </row>
    <row r="1433" customFormat="false" ht="15" hidden="false" customHeight="true" outlineLevel="0" collapsed="false">
      <c r="A1433" s="1" t="n">
        <v>50383</v>
      </c>
      <c r="B1433" s="3" t="n">
        <v>44049</v>
      </c>
      <c r="C1433" s="1" t="n">
        <v>161</v>
      </c>
      <c r="D1433" s="4" t="n">
        <v>0</v>
      </c>
      <c r="E1433" s="1" t="s">
        <v>1949</v>
      </c>
    </row>
    <row r="1434" customFormat="false" ht="15" hidden="false" customHeight="true" outlineLevel="0" collapsed="false">
      <c r="A1434" s="1" t="n">
        <v>51577</v>
      </c>
      <c r="B1434" s="3" t="n">
        <v>44012</v>
      </c>
      <c r="C1434" s="1" t="n">
        <v>1020</v>
      </c>
      <c r="D1434" s="4" t="n">
        <v>197</v>
      </c>
      <c r="E1434" s="1" t="s">
        <v>1950</v>
      </c>
    </row>
    <row r="1435" customFormat="false" ht="15" hidden="false" customHeight="true" outlineLevel="0" collapsed="false">
      <c r="A1435" s="1" t="n">
        <v>51332</v>
      </c>
      <c r="B1435" s="3" t="n">
        <v>44046</v>
      </c>
      <c r="C1435" s="1" t="n">
        <v>1085</v>
      </c>
      <c r="D1435" s="4" t="n">
        <v>0</v>
      </c>
      <c r="E1435" s="1" t="s">
        <v>1949</v>
      </c>
    </row>
    <row r="1436" customFormat="false" ht="15" hidden="false" customHeight="true" outlineLevel="0" collapsed="false">
      <c r="A1436" s="1" t="n">
        <v>51069</v>
      </c>
      <c r="B1436" s="3" t="n">
        <v>44023</v>
      </c>
      <c r="C1436" s="1" t="n">
        <v>340</v>
      </c>
      <c r="D1436" s="4" t="n">
        <v>253</v>
      </c>
      <c r="E1436" s="1" t="s">
        <v>1950</v>
      </c>
    </row>
    <row r="1437" customFormat="false" ht="15" hidden="false" customHeight="true" outlineLevel="0" collapsed="false">
      <c r="A1437" s="1" t="n">
        <v>51520</v>
      </c>
      <c r="B1437" s="3" t="n">
        <v>44035</v>
      </c>
      <c r="C1437" s="1" t="n">
        <v>1421</v>
      </c>
      <c r="D1437" s="4" t="n">
        <v>0</v>
      </c>
      <c r="E1437" s="1" t="s">
        <v>1949</v>
      </c>
    </row>
    <row r="1438" customFormat="false" ht="15" hidden="false" customHeight="true" outlineLevel="0" collapsed="false">
      <c r="A1438" s="1" t="n">
        <v>50120</v>
      </c>
      <c r="B1438" s="3" t="n">
        <v>44052</v>
      </c>
      <c r="C1438" s="1" t="n">
        <v>715</v>
      </c>
      <c r="D1438" s="4" t="n">
        <v>882</v>
      </c>
      <c r="E1438" s="1" t="s">
        <v>1950</v>
      </c>
    </row>
    <row r="1439" customFormat="false" ht="15" hidden="false" customHeight="true" outlineLevel="0" collapsed="false">
      <c r="A1439" s="1" t="n">
        <v>50620</v>
      </c>
      <c r="B1439" s="3" t="n">
        <v>43984</v>
      </c>
      <c r="C1439" s="1" t="n">
        <v>1850</v>
      </c>
      <c r="D1439" s="4" t="n">
        <v>0</v>
      </c>
      <c r="E1439" s="1" t="s">
        <v>1949</v>
      </c>
    </row>
    <row r="1440" customFormat="false" ht="15" hidden="false" customHeight="true" outlineLevel="0" collapsed="false">
      <c r="A1440" s="1" t="n">
        <v>50778</v>
      </c>
      <c r="B1440" s="3" t="n">
        <v>44043</v>
      </c>
      <c r="C1440" s="1" t="n">
        <v>35</v>
      </c>
      <c r="D1440" s="4" t="n">
        <v>0</v>
      </c>
      <c r="E1440" s="1" t="s">
        <v>1949</v>
      </c>
    </row>
    <row r="1441" customFormat="false" ht="15" hidden="false" customHeight="true" outlineLevel="0" collapsed="false">
      <c r="A1441" s="1" t="n">
        <v>50119</v>
      </c>
      <c r="B1441" s="3" t="n">
        <v>44033</v>
      </c>
      <c r="C1441" s="1" t="n">
        <v>687</v>
      </c>
      <c r="D1441" s="4" t="n">
        <v>412</v>
      </c>
      <c r="E1441" s="1" t="s">
        <v>1950</v>
      </c>
    </row>
    <row r="1442" customFormat="false" ht="15" hidden="false" customHeight="true" outlineLevel="0" collapsed="false">
      <c r="A1442" s="1" t="n">
        <v>51785</v>
      </c>
      <c r="B1442" s="3" t="n">
        <v>44055</v>
      </c>
      <c r="C1442" s="1" t="n">
        <v>1371</v>
      </c>
      <c r="D1442" s="4" t="n">
        <v>546</v>
      </c>
      <c r="E1442" s="1" t="s">
        <v>1950</v>
      </c>
    </row>
    <row r="1443" customFormat="false" ht="15" hidden="false" customHeight="true" outlineLevel="0" collapsed="false">
      <c r="A1443" s="1" t="n">
        <v>50351</v>
      </c>
      <c r="B1443" s="3" t="n">
        <v>43989</v>
      </c>
      <c r="C1443" s="1" t="n">
        <v>1450</v>
      </c>
      <c r="D1443" s="4" t="n">
        <v>599</v>
      </c>
      <c r="E1443" s="1" t="s">
        <v>1950</v>
      </c>
    </row>
    <row r="1444" customFormat="false" ht="15" hidden="false" customHeight="true" outlineLevel="0" collapsed="false">
      <c r="A1444" s="1" t="n">
        <v>51667</v>
      </c>
      <c r="B1444" s="3" t="n">
        <v>44004</v>
      </c>
      <c r="C1444" s="1" t="n">
        <v>255</v>
      </c>
      <c r="D1444" s="4" t="n">
        <v>329</v>
      </c>
      <c r="E1444" s="1" t="s">
        <v>1950</v>
      </c>
    </row>
    <row r="1445" customFormat="false" ht="15" hidden="false" customHeight="true" outlineLevel="0" collapsed="false">
      <c r="A1445" s="1" t="n">
        <v>51005</v>
      </c>
      <c r="B1445" s="3" t="n">
        <v>44028</v>
      </c>
      <c r="C1445" s="1" t="n">
        <v>1150</v>
      </c>
      <c r="D1445" s="4" t="n">
        <v>0</v>
      </c>
      <c r="E1445" s="1" t="s">
        <v>1949</v>
      </c>
    </row>
    <row r="1446" customFormat="false" ht="15" hidden="false" customHeight="true" outlineLevel="0" collapsed="false">
      <c r="A1446" s="1" t="n">
        <v>51011</v>
      </c>
      <c r="B1446" s="3" t="n">
        <v>43993</v>
      </c>
      <c r="C1446" s="1" t="n">
        <v>31</v>
      </c>
      <c r="D1446" s="4" t="n">
        <v>672</v>
      </c>
      <c r="E1446" s="1" t="s">
        <v>1950</v>
      </c>
    </row>
    <row r="1447" customFormat="false" ht="15" hidden="false" customHeight="true" outlineLevel="0" collapsed="false">
      <c r="A1447" s="1" t="n">
        <v>50484</v>
      </c>
      <c r="B1447" s="3" t="n">
        <v>44043</v>
      </c>
      <c r="C1447" s="1" t="n">
        <v>1528</v>
      </c>
      <c r="D1447" s="4" t="n">
        <v>456</v>
      </c>
      <c r="E1447" s="1" t="s">
        <v>1950</v>
      </c>
    </row>
    <row r="1448" customFormat="false" ht="15" hidden="false" customHeight="true" outlineLevel="0" collapsed="false">
      <c r="A1448" s="1" t="n">
        <v>50580</v>
      </c>
      <c r="B1448" s="3" t="n">
        <v>44042</v>
      </c>
      <c r="C1448" s="1" t="n">
        <v>66</v>
      </c>
      <c r="D1448" s="4" t="n">
        <v>134</v>
      </c>
      <c r="E1448" s="1" t="s">
        <v>1950</v>
      </c>
    </row>
    <row r="1449" customFormat="false" ht="15" hidden="false" customHeight="true" outlineLevel="0" collapsed="false">
      <c r="A1449" s="1" t="n">
        <v>51421</v>
      </c>
      <c r="B1449" s="3" t="n">
        <v>44021</v>
      </c>
      <c r="C1449" s="1" t="n">
        <v>1149</v>
      </c>
      <c r="D1449" s="4" t="n">
        <v>0</v>
      </c>
      <c r="E1449" s="1" t="s">
        <v>1949</v>
      </c>
    </row>
    <row r="1450" customFormat="false" ht="15" hidden="false" customHeight="true" outlineLevel="0" collapsed="false">
      <c r="A1450" s="1" t="n">
        <v>51893</v>
      </c>
      <c r="B1450" s="3" t="n">
        <v>44053</v>
      </c>
      <c r="C1450" s="1" t="n">
        <v>1359</v>
      </c>
      <c r="D1450" s="4" t="n">
        <v>0</v>
      </c>
      <c r="E1450" s="1" t="s">
        <v>1949</v>
      </c>
    </row>
    <row r="1451" customFormat="false" ht="15" hidden="false" customHeight="true" outlineLevel="0" collapsed="false">
      <c r="A1451" s="1" t="n">
        <v>50012</v>
      </c>
      <c r="B1451" s="3" t="n">
        <v>44072</v>
      </c>
      <c r="C1451" s="1" t="n">
        <v>412</v>
      </c>
      <c r="D1451" s="4" t="n">
        <v>0</v>
      </c>
      <c r="E1451" s="1" t="s">
        <v>1949</v>
      </c>
    </row>
    <row r="1452" customFormat="false" ht="15" hidden="false" customHeight="true" outlineLevel="0" collapsed="false">
      <c r="A1452" s="1" t="n">
        <v>50158</v>
      </c>
      <c r="B1452" s="3" t="n">
        <v>44044</v>
      </c>
      <c r="C1452" s="1" t="n">
        <v>1671</v>
      </c>
      <c r="D1452" s="4" t="n">
        <v>0</v>
      </c>
      <c r="E1452" s="1" t="s">
        <v>1949</v>
      </c>
    </row>
    <row r="1453" customFormat="false" ht="15" hidden="false" customHeight="true" outlineLevel="0" collapsed="false">
      <c r="A1453" s="1" t="n">
        <v>51024</v>
      </c>
      <c r="B1453" s="3" t="n">
        <v>43994</v>
      </c>
      <c r="C1453" s="1" t="n">
        <v>541</v>
      </c>
      <c r="D1453" s="4" t="n">
        <v>435</v>
      </c>
      <c r="E1453" s="1" t="s">
        <v>1950</v>
      </c>
    </row>
    <row r="1454" customFormat="false" ht="15" hidden="false" customHeight="true" outlineLevel="0" collapsed="false">
      <c r="A1454" s="1" t="n">
        <v>50592</v>
      </c>
      <c r="B1454" s="3" t="n">
        <v>44023</v>
      </c>
      <c r="C1454" s="1" t="n">
        <v>1327</v>
      </c>
      <c r="D1454" s="4" t="n">
        <v>643</v>
      </c>
      <c r="E1454" s="1" t="s">
        <v>1950</v>
      </c>
    </row>
    <row r="1455" customFormat="false" ht="15" hidden="false" customHeight="true" outlineLevel="0" collapsed="false">
      <c r="A1455" s="1" t="n">
        <v>50545</v>
      </c>
      <c r="B1455" s="3" t="n">
        <v>44011</v>
      </c>
      <c r="C1455" s="1" t="n">
        <v>1113</v>
      </c>
      <c r="D1455" s="4" t="n">
        <v>126</v>
      </c>
      <c r="E1455" s="1" t="s">
        <v>1950</v>
      </c>
    </row>
    <row r="1456" customFormat="false" ht="15" hidden="false" customHeight="true" outlineLevel="0" collapsed="false">
      <c r="A1456" s="1" t="n">
        <v>50409</v>
      </c>
      <c r="B1456" s="3" t="n">
        <v>44069</v>
      </c>
      <c r="C1456" s="1" t="n">
        <v>1767</v>
      </c>
      <c r="D1456" s="4" t="n">
        <v>0</v>
      </c>
      <c r="E1456" s="1" t="s">
        <v>1949</v>
      </c>
    </row>
    <row r="1457" customFormat="false" ht="15" hidden="false" customHeight="true" outlineLevel="0" collapsed="false">
      <c r="A1457" s="1" t="n">
        <v>51339</v>
      </c>
      <c r="B1457" s="3" t="n">
        <v>44027</v>
      </c>
      <c r="C1457" s="1" t="n">
        <v>885</v>
      </c>
      <c r="D1457" s="4" t="n">
        <v>826</v>
      </c>
      <c r="E1457" s="1" t="s">
        <v>1950</v>
      </c>
    </row>
    <row r="1458" customFormat="false" ht="15" hidden="false" customHeight="true" outlineLevel="0" collapsed="false">
      <c r="A1458" s="1" t="n">
        <v>50827</v>
      </c>
      <c r="B1458" s="3" t="n">
        <v>44067</v>
      </c>
      <c r="C1458" s="1" t="n">
        <v>401</v>
      </c>
      <c r="D1458" s="4" t="n">
        <v>0</v>
      </c>
      <c r="E1458" s="1" t="s">
        <v>1949</v>
      </c>
    </row>
    <row r="1459" customFormat="false" ht="15" hidden="false" customHeight="true" outlineLevel="0" collapsed="false">
      <c r="A1459" s="1" t="n">
        <v>50576</v>
      </c>
      <c r="B1459" s="3" t="n">
        <v>44071</v>
      </c>
      <c r="C1459" s="1" t="n">
        <v>1091</v>
      </c>
      <c r="D1459" s="4" t="n">
        <v>0</v>
      </c>
      <c r="E1459" s="1" t="s">
        <v>1949</v>
      </c>
    </row>
    <row r="1460" customFormat="false" ht="15" hidden="false" customHeight="true" outlineLevel="0" collapsed="false">
      <c r="A1460" s="1" t="n">
        <v>50868</v>
      </c>
      <c r="B1460" s="3" t="n">
        <v>44071</v>
      </c>
      <c r="C1460" s="1" t="n">
        <v>1207</v>
      </c>
      <c r="D1460" s="4" t="n">
        <v>767</v>
      </c>
      <c r="E1460" s="1" t="s">
        <v>1950</v>
      </c>
    </row>
    <row r="1461" customFormat="false" ht="15" hidden="false" customHeight="true" outlineLevel="0" collapsed="false">
      <c r="A1461" s="1" t="n">
        <v>51568</v>
      </c>
      <c r="B1461" s="3" t="n">
        <v>44005</v>
      </c>
      <c r="C1461" s="1" t="n">
        <v>1746</v>
      </c>
      <c r="D1461" s="4" t="n">
        <v>522</v>
      </c>
      <c r="E1461" s="1" t="s">
        <v>1950</v>
      </c>
    </row>
    <row r="1462" customFormat="false" ht="15" hidden="false" customHeight="true" outlineLevel="0" collapsed="false">
      <c r="A1462" s="1" t="n">
        <v>50609</v>
      </c>
      <c r="B1462" s="3" t="n">
        <v>44068</v>
      </c>
      <c r="C1462" s="1" t="n">
        <v>1943</v>
      </c>
      <c r="D1462" s="4" t="n">
        <v>0</v>
      </c>
      <c r="E1462" s="1" t="s">
        <v>1949</v>
      </c>
    </row>
    <row r="1463" customFormat="false" ht="15" hidden="false" customHeight="true" outlineLevel="0" collapsed="false">
      <c r="A1463" s="1" t="n">
        <v>50711</v>
      </c>
      <c r="B1463" s="3" t="n">
        <v>44034</v>
      </c>
      <c r="C1463" s="1" t="n">
        <v>1898</v>
      </c>
      <c r="D1463" s="4" t="n">
        <v>0</v>
      </c>
      <c r="E1463" s="1" t="s">
        <v>1949</v>
      </c>
    </row>
    <row r="1464" customFormat="false" ht="15" hidden="false" customHeight="true" outlineLevel="0" collapsed="false">
      <c r="A1464" s="1" t="n">
        <v>51144</v>
      </c>
      <c r="B1464" s="3" t="n">
        <v>43990</v>
      </c>
      <c r="C1464" s="1" t="n">
        <v>1133</v>
      </c>
      <c r="D1464" s="4" t="n">
        <v>0</v>
      </c>
      <c r="E1464" s="1" t="s">
        <v>1949</v>
      </c>
    </row>
    <row r="1465" customFormat="false" ht="15" hidden="false" customHeight="true" outlineLevel="0" collapsed="false">
      <c r="A1465" s="1" t="n">
        <v>50163</v>
      </c>
      <c r="B1465" s="3" t="n">
        <v>44024</v>
      </c>
      <c r="C1465" s="1" t="n">
        <v>126</v>
      </c>
      <c r="D1465" s="4" t="n">
        <v>0</v>
      </c>
      <c r="E1465" s="1" t="s">
        <v>1949</v>
      </c>
    </row>
    <row r="1466" customFormat="false" ht="15" hidden="false" customHeight="true" outlineLevel="0" collapsed="false">
      <c r="A1466" s="1" t="n">
        <v>51523</v>
      </c>
      <c r="B1466" s="3" t="n">
        <v>44057</v>
      </c>
      <c r="C1466" s="1" t="n">
        <v>167</v>
      </c>
      <c r="D1466" s="4" t="n">
        <v>0</v>
      </c>
      <c r="E1466" s="1" t="s">
        <v>1949</v>
      </c>
    </row>
    <row r="1467" customFormat="false" ht="15" hidden="false" customHeight="true" outlineLevel="0" collapsed="false">
      <c r="A1467" s="1" t="n">
        <v>50232</v>
      </c>
      <c r="B1467" s="3" t="n">
        <v>43991</v>
      </c>
      <c r="C1467" s="1" t="n">
        <v>1374</v>
      </c>
      <c r="D1467" s="4" t="n">
        <v>498</v>
      </c>
      <c r="E1467" s="1" t="s">
        <v>1950</v>
      </c>
    </row>
    <row r="1468" customFormat="false" ht="15" hidden="false" customHeight="true" outlineLevel="0" collapsed="false">
      <c r="A1468" s="1" t="n">
        <v>51950</v>
      </c>
      <c r="B1468" s="3" t="n">
        <v>44060</v>
      </c>
      <c r="C1468" s="1" t="n">
        <v>1295</v>
      </c>
      <c r="D1468" s="4" t="n">
        <v>0</v>
      </c>
      <c r="E1468" s="1" t="s">
        <v>1949</v>
      </c>
    </row>
    <row r="1469" customFormat="false" ht="15" hidden="false" customHeight="true" outlineLevel="0" collapsed="false">
      <c r="A1469" s="1" t="n">
        <v>50887</v>
      </c>
      <c r="B1469" s="3" t="n">
        <v>44032</v>
      </c>
      <c r="C1469" s="1" t="n">
        <v>420</v>
      </c>
      <c r="D1469" s="4" t="n">
        <v>0</v>
      </c>
      <c r="E1469" s="1" t="s">
        <v>1949</v>
      </c>
    </row>
    <row r="1470" customFormat="false" ht="15" hidden="false" customHeight="true" outlineLevel="0" collapsed="false">
      <c r="A1470" s="1" t="n">
        <v>51518</v>
      </c>
      <c r="B1470" s="3" t="n">
        <v>44039</v>
      </c>
      <c r="C1470" s="1" t="n">
        <v>1198</v>
      </c>
      <c r="D1470" s="4" t="n">
        <v>0</v>
      </c>
      <c r="E1470" s="1" t="s">
        <v>1949</v>
      </c>
    </row>
    <row r="1471" customFormat="false" ht="15" hidden="false" customHeight="true" outlineLevel="0" collapsed="false">
      <c r="A1471" s="1" t="n">
        <v>50496</v>
      </c>
      <c r="B1471" s="3" t="n">
        <v>44026</v>
      </c>
      <c r="C1471" s="1" t="n">
        <v>1597</v>
      </c>
      <c r="D1471" s="4" t="n">
        <v>0</v>
      </c>
      <c r="E1471" s="1" t="s">
        <v>1949</v>
      </c>
    </row>
    <row r="1472" customFormat="false" ht="15" hidden="false" customHeight="true" outlineLevel="0" collapsed="false">
      <c r="A1472" s="1" t="n">
        <v>51308</v>
      </c>
      <c r="B1472" s="3" t="n">
        <v>44010</v>
      </c>
      <c r="C1472" s="1" t="n">
        <v>1407</v>
      </c>
      <c r="D1472" s="4" t="n">
        <v>307</v>
      </c>
      <c r="E1472" s="1" t="s">
        <v>1950</v>
      </c>
    </row>
    <row r="1473" customFormat="false" ht="15" hidden="false" customHeight="true" outlineLevel="0" collapsed="false">
      <c r="A1473" s="1" t="n">
        <v>50810</v>
      </c>
      <c r="B1473" s="3" t="n">
        <v>43992</v>
      </c>
      <c r="C1473" s="1" t="n">
        <v>782</v>
      </c>
      <c r="D1473" s="4" t="n">
        <v>353</v>
      </c>
      <c r="E1473" s="1" t="s">
        <v>1950</v>
      </c>
    </row>
    <row r="1474" customFormat="false" ht="15" hidden="false" customHeight="true" outlineLevel="0" collapsed="false">
      <c r="A1474" s="1" t="n">
        <v>50721</v>
      </c>
      <c r="B1474" s="3" t="n">
        <v>44000</v>
      </c>
      <c r="C1474" s="1" t="n">
        <v>1186</v>
      </c>
      <c r="D1474" s="4" t="n">
        <v>897</v>
      </c>
      <c r="E1474" s="1" t="s">
        <v>1950</v>
      </c>
    </row>
    <row r="1475" customFormat="false" ht="15" hidden="false" customHeight="true" outlineLevel="0" collapsed="false">
      <c r="A1475" s="1" t="n">
        <v>51249</v>
      </c>
      <c r="B1475" s="3" t="n">
        <v>44054</v>
      </c>
      <c r="C1475" s="1" t="n">
        <v>766</v>
      </c>
      <c r="D1475" s="4" t="n">
        <v>521</v>
      </c>
      <c r="E1475" s="1" t="s">
        <v>1950</v>
      </c>
    </row>
    <row r="1476" customFormat="false" ht="15" hidden="false" customHeight="true" outlineLevel="0" collapsed="false">
      <c r="A1476" s="1" t="n">
        <v>50853</v>
      </c>
      <c r="B1476" s="3" t="n">
        <v>44014</v>
      </c>
      <c r="C1476" s="1" t="n">
        <v>533</v>
      </c>
      <c r="D1476" s="4" t="n">
        <v>311</v>
      </c>
      <c r="E1476" s="1" t="s">
        <v>1950</v>
      </c>
    </row>
    <row r="1477" customFormat="false" ht="15" hidden="false" customHeight="true" outlineLevel="0" collapsed="false">
      <c r="A1477" s="1" t="n">
        <v>51766</v>
      </c>
      <c r="B1477" s="3" t="n">
        <v>44029</v>
      </c>
      <c r="C1477" s="1" t="n">
        <v>1071</v>
      </c>
      <c r="D1477" s="4" t="n">
        <v>0</v>
      </c>
      <c r="E1477" s="1" t="s">
        <v>1949</v>
      </c>
    </row>
    <row r="1478" customFormat="false" ht="15" hidden="false" customHeight="true" outlineLevel="0" collapsed="false">
      <c r="A1478" s="1" t="n">
        <v>50214</v>
      </c>
      <c r="B1478" s="3" t="n">
        <v>43998</v>
      </c>
      <c r="C1478" s="1" t="n">
        <v>1770</v>
      </c>
      <c r="D1478" s="4" t="n">
        <v>0</v>
      </c>
      <c r="E1478" s="1" t="s">
        <v>1949</v>
      </c>
    </row>
    <row r="1479" customFormat="false" ht="15" hidden="false" customHeight="true" outlineLevel="0" collapsed="false">
      <c r="A1479" s="1" t="n">
        <v>50038</v>
      </c>
      <c r="B1479" s="3" t="n">
        <v>44023</v>
      </c>
      <c r="C1479" s="1" t="n">
        <v>1642</v>
      </c>
      <c r="D1479" s="4" t="n">
        <v>796</v>
      </c>
      <c r="E1479" s="1" t="s">
        <v>1950</v>
      </c>
    </row>
    <row r="1480" customFormat="false" ht="15" hidden="false" customHeight="true" outlineLevel="0" collapsed="false">
      <c r="A1480" s="1" t="n">
        <v>50562</v>
      </c>
      <c r="B1480" s="3" t="n">
        <v>44055</v>
      </c>
      <c r="C1480" s="1" t="n">
        <v>22</v>
      </c>
      <c r="D1480" s="4" t="n">
        <v>301</v>
      </c>
      <c r="E1480" s="1" t="s">
        <v>1950</v>
      </c>
    </row>
    <row r="1481" customFormat="false" ht="15" hidden="false" customHeight="true" outlineLevel="0" collapsed="false">
      <c r="A1481" s="1" t="n">
        <v>51226</v>
      </c>
      <c r="B1481" s="3" t="n">
        <v>44060</v>
      </c>
      <c r="C1481" s="1" t="n">
        <v>1644</v>
      </c>
      <c r="D1481" s="4" t="n">
        <v>0</v>
      </c>
      <c r="E1481" s="1" t="s">
        <v>1949</v>
      </c>
    </row>
    <row r="1482" customFormat="false" ht="15" hidden="false" customHeight="true" outlineLevel="0" collapsed="false">
      <c r="A1482" s="1" t="n">
        <v>50517</v>
      </c>
      <c r="B1482" s="3" t="n">
        <v>44068</v>
      </c>
      <c r="C1482" s="1" t="n">
        <v>1453</v>
      </c>
      <c r="D1482" s="4" t="n">
        <v>0</v>
      </c>
      <c r="E1482" s="1" t="s">
        <v>1949</v>
      </c>
    </row>
    <row r="1483" customFormat="false" ht="15" hidden="false" customHeight="true" outlineLevel="0" collapsed="false">
      <c r="A1483" s="1" t="n">
        <v>50754</v>
      </c>
      <c r="B1483" s="3" t="n">
        <v>44068</v>
      </c>
      <c r="C1483" s="1" t="n">
        <v>242</v>
      </c>
      <c r="D1483" s="4" t="n">
        <v>0</v>
      </c>
      <c r="E1483" s="1" t="s">
        <v>1949</v>
      </c>
    </row>
    <row r="1484" customFormat="false" ht="15" hidden="false" customHeight="true" outlineLevel="0" collapsed="false">
      <c r="A1484" s="1" t="n">
        <v>50083</v>
      </c>
      <c r="B1484" s="3" t="n">
        <v>44025</v>
      </c>
      <c r="C1484" s="1" t="n">
        <v>1139</v>
      </c>
      <c r="D1484" s="4" t="n">
        <v>295</v>
      </c>
      <c r="E1484" s="1" t="s">
        <v>1950</v>
      </c>
    </row>
    <row r="1485" customFormat="false" ht="15" hidden="false" customHeight="true" outlineLevel="0" collapsed="false">
      <c r="A1485" s="1" t="n">
        <v>51251</v>
      </c>
      <c r="B1485" s="3" t="n">
        <v>43990</v>
      </c>
      <c r="C1485" s="1" t="n">
        <v>1213</v>
      </c>
      <c r="D1485" s="4" t="n">
        <v>586</v>
      </c>
      <c r="E1485" s="1" t="s">
        <v>1950</v>
      </c>
    </row>
    <row r="1486" customFormat="false" ht="15" hidden="false" customHeight="true" outlineLevel="0" collapsed="false">
      <c r="A1486" s="1" t="n">
        <v>50160</v>
      </c>
      <c r="B1486" s="3" t="n">
        <v>44057</v>
      </c>
      <c r="C1486" s="1" t="n">
        <v>1964</v>
      </c>
      <c r="D1486" s="4" t="n">
        <v>0</v>
      </c>
      <c r="E1486" s="1" t="s">
        <v>1949</v>
      </c>
    </row>
    <row r="1487" customFormat="false" ht="15" hidden="false" customHeight="true" outlineLevel="0" collapsed="false">
      <c r="A1487" s="1" t="n">
        <v>50398</v>
      </c>
      <c r="B1487" s="3" t="n">
        <v>43994</v>
      </c>
      <c r="C1487" s="1" t="n">
        <v>310</v>
      </c>
      <c r="D1487" s="4" t="n">
        <v>0</v>
      </c>
      <c r="E1487" s="1" t="s">
        <v>1949</v>
      </c>
    </row>
    <row r="1488" customFormat="false" ht="15" hidden="false" customHeight="true" outlineLevel="0" collapsed="false">
      <c r="A1488" s="1" t="n">
        <v>50336</v>
      </c>
      <c r="B1488" s="3" t="n">
        <v>43989</v>
      </c>
      <c r="C1488" s="1" t="n">
        <v>837</v>
      </c>
      <c r="D1488" s="4" t="n">
        <v>758</v>
      </c>
      <c r="E1488" s="1" t="s">
        <v>1950</v>
      </c>
    </row>
    <row r="1489" customFormat="false" ht="15" hidden="false" customHeight="true" outlineLevel="0" collapsed="false">
      <c r="A1489" s="1" t="n">
        <v>51040</v>
      </c>
      <c r="B1489" s="3" t="n">
        <v>44067</v>
      </c>
      <c r="C1489" s="1" t="n">
        <v>471</v>
      </c>
      <c r="D1489" s="4" t="n">
        <v>138</v>
      </c>
      <c r="E1489" s="1" t="s">
        <v>1950</v>
      </c>
    </row>
    <row r="1490" customFormat="false" ht="15" hidden="false" customHeight="true" outlineLevel="0" collapsed="false">
      <c r="A1490" s="1" t="n">
        <v>50118</v>
      </c>
      <c r="B1490" s="3" t="n">
        <v>44009</v>
      </c>
      <c r="C1490" s="1" t="n">
        <v>75</v>
      </c>
      <c r="D1490" s="4" t="n">
        <v>892</v>
      </c>
      <c r="E1490" s="1" t="s">
        <v>1950</v>
      </c>
    </row>
    <row r="1491" customFormat="false" ht="15" hidden="false" customHeight="true" outlineLevel="0" collapsed="false">
      <c r="A1491" s="1" t="n">
        <v>51275</v>
      </c>
      <c r="B1491" s="3" t="n">
        <v>43985</v>
      </c>
      <c r="C1491" s="1" t="n">
        <v>693</v>
      </c>
      <c r="D1491" s="4" t="n">
        <v>414</v>
      </c>
      <c r="E1491" s="1" t="s">
        <v>1950</v>
      </c>
    </row>
    <row r="1492" customFormat="false" ht="15" hidden="false" customHeight="true" outlineLevel="0" collapsed="false">
      <c r="A1492" s="1" t="n">
        <v>51019</v>
      </c>
      <c r="B1492" s="3" t="n">
        <v>44044</v>
      </c>
      <c r="C1492" s="1" t="n">
        <v>921</v>
      </c>
      <c r="D1492" s="4" t="n">
        <v>0</v>
      </c>
      <c r="E1492" s="1" t="s">
        <v>1949</v>
      </c>
    </row>
    <row r="1493" customFormat="false" ht="15" hidden="false" customHeight="true" outlineLevel="0" collapsed="false">
      <c r="A1493" s="1" t="n">
        <v>50861</v>
      </c>
      <c r="B1493" s="3" t="n">
        <v>44009</v>
      </c>
      <c r="C1493" s="1" t="n">
        <v>1885</v>
      </c>
      <c r="D1493" s="4" t="n">
        <v>0</v>
      </c>
      <c r="E1493" s="1" t="s">
        <v>1949</v>
      </c>
    </row>
    <row r="1494" customFormat="false" ht="15" hidden="false" customHeight="true" outlineLevel="0" collapsed="false">
      <c r="A1494" s="1" t="n">
        <v>50469</v>
      </c>
      <c r="B1494" s="3" t="n">
        <v>44037</v>
      </c>
      <c r="C1494" s="1" t="n">
        <v>1487</v>
      </c>
      <c r="D1494" s="4" t="n">
        <v>556</v>
      </c>
      <c r="E1494" s="1" t="s">
        <v>1950</v>
      </c>
    </row>
    <row r="1495" customFormat="false" ht="15" hidden="false" customHeight="true" outlineLevel="0" collapsed="false">
      <c r="A1495" s="1" t="n">
        <v>50808</v>
      </c>
      <c r="B1495" s="3" t="n">
        <v>43995</v>
      </c>
      <c r="C1495" s="1" t="n">
        <v>1291</v>
      </c>
      <c r="D1495" s="4" t="n">
        <v>636</v>
      </c>
      <c r="E1495" s="1" t="s">
        <v>1950</v>
      </c>
    </row>
    <row r="1496" customFormat="false" ht="15" hidden="false" customHeight="true" outlineLevel="0" collapsed="false">
      <c r="A1496" s="1" t="n">
        <v>50219</v>
      </c>
      <c r="B1496" s="3" t="n">
        <v>44007</v>
      </c>
      <c r="C1496" s="1" t="n">
        <v>138</v>
      </c>
      <c r="D1496" s="4" t="n">
        <v>0</v>
      </c>
      <c r="E1496" s="1" t="s">
        <v>1949</v>
      </c>
    </row>
    <row r="1497" customFormat="false" ht="15" hidden="false" customHeight="true" outlineLevel="0" collapsed="false">
      <c r="A1497" s="1" t="n">
        <v>51472</v>
      </c>
      <c r="B1497" s="3" t="n">
        <v>44051</v>
      </c>
      <c r="C1497" s="1" t="n">
        <v>673</v>
      </c>
      <c r="D1497" s="4" t="n">
        <v>0</v>
      </c>
      <c r="E1497" s="1" t="s">
        <v>1949</v>
      </c>
    </row>
    <row r="1498" customFormat="false" ht="15" hidden="false" customHeight="true" outlineLevel="0" collapsed="false">
      <c r="A1498" s="1" t="n">
        <v>50673</v>
      </c>
      <c r="B1498" s="3" t="n">
        <v>44054</v>
      </c>
      <c r="C1498" s="1" t="n">
        <v>777</v>
      </c>
      <c r="D1498" s="4" t="n">
        <v>0</v>
      </c>
      <c r="E1498" s="1" t="s">
        <v>1949</v>
      </c>
    </row>
    <row r="1499" customFormat="false" ht="15" hidden="false" customHeight="true" outlineLevel="0" collapsed="false">
      <c r="A1499" s="1" t="n">
        <v>50678</v>
      </c>
      <c r="B1499" s="3" t="n">
        <v>44049</v>
      </c>
      <c r="C1499" s="1" t="n">
        <v>1303</v>
      </c>
      <c r="D1499" s="4" t="n">
        <v>316</v>
      </c>
      <c r="E1499" s="1" t="s">
        <v>1950</v>
      </c>
    </row>
    <row r="1500" customFormat="false" ht="15" hidden="false" customHeight="true" outlineLevel="0" collapsed="false">
      <c r="A1500" s="1" t="n">
        <v>51006</v>
      </c>
      <c r="B1500" s="3" t="n">
        <v>43993</v>
      </c>
      <c r="C1500" s="1" t="n">
        <v>697</v>
      </c>
      <c r="D1500" s="4" t="n">
        <v>0</v>
      </c>
      <c r="E1500" s="1" t="s">
        <v>1949</v>
      </c>
    </row>
    <row r="1501" customFormat="false" ht="15" hidden="false" customHeight="true" outlineLevel="0" collapsed="false">
      <c r="A1501" s="1" t="n">
        <v>51409</v>
      </c>
      <c r="B1501" s="3" t="n">
        <v>44051</v>
      </c>
      <c r="C1501" s="1" t="n">
        <v>843</v>
      </c>
      <c r="D1501" s="4" t="n">
        <v>729</v>
      </c>
      <c r="E1501" s="1" t="s">
        <v>1950</v>
      </c>
    </row>
    <row r="1502" customFormat="false" ht="15" hidden="false" customHeight="true" outlineLevel="0" collapsed="false">
      <c r="A1502" s="1" t="n">
        <v>50625</v>
      </c>
      <c r="B1502" s="3" t="n">
        <v>44028</v>
      </c>
      <c r="C1502" s="1" t="n">
        <v>444</v>
      </c>
      <c r="D1502" s="4" t="n">
        <v>830</v>
      </c>
      <c r="E1502" s="1" t="s">
        <v>1950</v>
      </c>
    </row>
    <row r="1503" customFormat="false" ht="15" hidden="false" customHeight="true" outlineLevel="0" collapsed="false">
      <c r="A1503" s="1" t="n">
        <v>51107</v>
      </c>
      <c r="B1503" s="3" t="n">
        <v>44048</v>
      </c>
      <c r="C1503" s="1" t="n">
        <v>1735</v>
      </c>
      <c r="D1503" s="4" t="n">
        <v>356</v>
      </c>
      <c r="E1503" s="1" t="s">
        <v>1950</v>
      </c>
    </row>
    <row r="1504" customFormat="false" ht="15" hidden="false" customHeight="true" outlineLevel="0" collapsed="false">
      <c r="A1504" s="1" t="n">
        <v>51386</v>
      </c>
      <c r="B1504" s="3" t="n">
        <v>44070</v>
      </c>
      <c r="C1504" s="1" t="n">
        <v>815</v>
      </c>
      <c r="D1504" s="4" t="n">
        <v>0</v>
      </c>
      <c r="E1504" s="1" t="s">
        <v>1949</v>
      </c>
    </row>
    <row r="1505" customFormat="false" ht="15" hidden="false" customHeight="true" outlineLevel="0" collapsed="false">
      <c r="A1505" s="1" t="n">
        <v>50136</v>
      </c>
      <c r="B1505" s="3" t="n">
        <v>44042</v>
      </c>
      <c r="C1505" s="1" t="n">
        <v>1266</v>
      </c>
      <c r="D1505" s="4" t="n">
        <v>0</v>
      </c>
      <c r="E1505" s="1" t="s">
        <v>1949</v>
      </c>
    </row>
    <row r="1506" customFormat="false" ht="15" hidden="false" customHeight="true" outlineLevel="0" collapsed="false">
      <c r="A1506" s="1" t="n">
        <v>51348</v>
      </c>
      <c r="B1506" s="3" t="n">
        <v>43985</v>
      </c>
      <c r="C1506" s="1" t="n">
        <v>119</v>
      </c>
      <c r="D1506" s="4" t="n">
        <v>0</v>
      </c>
      <c r="E1506" s="1" t="s">
        <v>1949</v>
      </c>
    </row>
    <row r="1507" customFormat="false" ht="15" hidden="false" customHeight="true" outlineLevel="0" collapsed="false">
      <c r="A1507" s="1" t="n">
        <v>50593</v>
      </c>
      <c r="B1507" s="3" t="n">
        <v>44007</v>
      </c>
      <c r="C1507" s="1" t="n">
        <v>262</v>
      </c>
      <c r="D1507" s="4" t="n">
        <v>756</v>
      </c>
      <c r="E1507" s="1" t="s">
        <v>1950</v>
      </c>
    </row>
    <row r="1508" customFormat="false" ht="15" hidden="false" customHeight="true" outlineLevel="0" collapsed="false">
      <c r="A1508" s="1" t="n">
        <v>50925</v>
      </c>
      <c r="B1508" s="3" t="n">
        <v>44053</v>
      </c>
      <c r="C1508" s="1" t="n">
        <v>1467</v>
      </c>
      <c r="D1508" s="4" t="n">
        <v>413</v>
      </c>
      <c r="E1508" s="1" t="s">
        <v>1950</v>
      </c>
    </row>
    <row r="1509" customFormat="false" ht="15" hidden="false" customHeight="true" outlineLevel="0" collapsed="false">
      <c r="A1509" s="1" t="n">
        <v>50520</v>
      </c>
      <c r="B1509" s="3" t="n">
        <v>44050</v>
      </c>
      <c r="C1509" s="1" t="n">
        <v>504</v>
      </c>
      <c r="D1509" s="4" t="n">
        <v>0</v>
      </c>
      <c r="E1509" s="1" t="s">
        <v>1949</v>
      </c>
    </row>
    <row r="1510" customFormat="false" ht="15" hidden="false" customHeight="true" outlineLevel="0" collapsed="false">
      <c r="A1510" s="1" t="n">
        <v>50695</v>
      </c>
      <c r="B1510" s="3" t="n">
        <v>44052</v>
      </c>
      <c r="C1510" s="1" t="n">
        <v>861</v>
      </c>
      <c r="D1510" s="4" t="n">
        <v>0</v>
      </c>
      <c r="E1510" s="1" t="s">
        <v>1949</v>
      </c>
    </row>
    <row r="1511" customFormat="false" ht="15" hidden="false" customHeight="true" outlineLevel="0" collapsed="false">
      <c r="A1511" s="1" t="n">
        <v>50418</v>
      </c>
      <c r="B1511" s="3" t="n">
        <v>44027</v>
      </c>
      <c r="C1511" s="1" t="n">
        <v>1917</v>
      </c>
      <c r="D1511" s="4" t="n">
        <v>0</v>
      </c>
      <c r="E1511" s="1" t="s">
        <v>1949</v>
      </c>
    </row>
    <row r="1512" customFormat="false" ht="15" hidden="false" customHeight="true" outlineLevel="0" collapsed="false">
      <c r="A1512" s="1" t="n">
        <v>51643</v>
      </c>
      <c r="B1512" s="3" t="n">
        <v>44065</v>
      </c>
      <c r="C1512" s="1" t="n">
        <v>1211</v>
      </c>
      <c r="D1512" s="4" t="n">
        <v>604</v>
      </c>
      <c r="E1512" s="1" t="s">
        <v>1950</v>
      </c>
    </row>
    <row r="1513" customFormat="false" ht="15" hidden="false" customHeight="true" outlineLevel="0" collapsed="false">
      <c r="A1513" s="1" t="n">
        <v>51758</v>
      </c>
      <c r="B1513" s="3" t="n">
        <v>44015</v>
      </c>
      <c r="C1513" s="1" t="n">
        <v>748</v>
      </c>
      <c r="D1513" s="4" t="n">
        <v>0</v>
      </c>
      <c r="E1513" s="1" t="s">
        <v>1949</v>
      </c>
    </row>
    <row r="1514" customFormat="false" ht="15" hidden="false" customHeight="true" outlineLevel="0" collapsed="false">
      <c r="A1514" s="1" t="n">
        <v>50067</v>
      </c>
      <c r="B1514" s="3" t="n">
        <v>44066</v>
      </c>
      <c r="C1514" s="1" t="n">
        <v>717</v>
      </c>
      <c r="D1514" s="4" t="n">
        <v>0</v>
      </c>
      <c r="E1514" s="1" t="s">
        <v>1949</v>
      </c>
    </row>
    <row r="1515" customFormat="false" ht="15" hidden="false" customHeight="true" outlineLevel="0" collapsed="false">
      <c r="A1515" s="1" t="n">
        <v>50497</v>
      </c>
      <c r="B1515" s="3" t="n">
        <v>44043</v>
      </c>
      <c r="C1515" s="1" t="n">
        <v>1348</v>
      </c>
      <c r="D1515" s="4" t="n">
        <v>841</v>
      </c>
      <c r="E1515" s="1" t="s">
        <v>1950</v>
      </c>
    </row>
    <row r="1516" customFormat="false" ht="15" hidden="false" customHeight="true" outlineLevel="0" collapsed="false">
      <c r="A1516" s="1" t="n">
        <v>50251</v>
      </c>
      <c r="B1516" s="3" t="n">
        <v>44052</v>
      </c>
      <c r="C1516" s="1" t="n">
        <v>470</v>
      </c>
      <c r="D1516" s="4" t="n">
        <v>0</v>
      </c>
      <c r="E1516" s="1" t="s">
        <v>1949</v>
      </c>
    </row>
    <row r="1517" customFormat="false" ht="15" hidden="false" customHeight="true" outlineLevel="0" collapsed="false">
      <c r="A1517" s="1" t="n">
        <v>51641</v>
      </c>
      <c r="B1517" s="3" t="n">
        <v>44042</v>
      </c>
      <c r="C1517" s="1" t="n">
        <v>1969</v>
      </c>
      <c r="D1517" s="4" t="n">
        <v>0</v>
      </c>
      <c r="E1517" s="1" t="s">
        <v>1949</v>
      </c>
    </row>
    <row r="1518" customFormat="false" ht="15" hidden="false" customHeight="true" outlineLevel="0" collapsed="false">
      <c r="A1518" s="1" t="n">
        <v>50863</v>
      </c>
      <c r="B1518" s="3" t="n">
        <v>44062</v>
      </c>
      <c r="C1518" s="1" t="n">
        <v>60</v>
      </c>
      <c r="D1518" s="4" t="n">
        <v>552</v>
      </c>
      <c r="E1518" s="1" t="s">
        <v>1950</v>
      </c>
    </row>
    <row r="1519" customFormat="false" ht="15" hidden="false" customHeight="true" outlineLevel="0" collapsed="false">
      <c r="A1519" s="1" t="n">
        <v>51892</v>
      </c>
      <c r="B1519" s="3" t="n">
        <v>44012</v>
      </c>
      <c r="C1519" s="1" t="n">
        <v>593</v>
      </c>
      <c r="D1519" s="4" t="n">
        <v>0</v>
      </c>
      <c r="E1519" s="1" t="s">
        <v>1949</v>
      </c>
    </row>
    <row r="1520" customFormat="false" ht="15" hidden="false" customHeight="true" outlineLevel="0" collapsed="false">
      <c r="A1520" s="1" t="n">
        <v>50154</v>
      </c>
      <c r="B1520" s="3" t="n">
        <v>43992</v>
      </c>
      <c r="C1520" s="1" t="n">
        <v>998</v>
      </c>
      <c r="D1520" s="4" t="n">
        <v>0</v>
      </c>
      <c r="E1520" s="1" t="s">
        <v>1949</v>
      </c>
    </row>
    <row r="1521" customFormat="false" ht="15" hidden="false" customHeight="true" outlineLevel="0" collapsed="false">
      <c r="A1521" s="1" t="n">
        <v>50805</v>
      </c>
      <c r="B1521" s="3" t="n">
        <v>44013</v>
      </c>
      <c r="C1521" s="1" t="n">
        <v>1345</v>
      </c>
      <c r="D1521" s="4" t="n">
        <v>0</v>
      </c>
      <c r="E1521" s="1" t="s">
        <v>1949</v>
      </c>
    </row>
    <row r="1522" customFormat="false" ht="15" hidden="false" customHeight="true" outlineLevel="0" collapsed="false">
      <c r="A1522" s="1" t="n">
        <v>50406</v>
      </c>
      <c r="B1522" s="3" t="n">
        <v>44066</v>
      </c>
      <c r="C1522" s="1" t="n">
        <v>1853</v>
      </c>
      <c r="D1522" s="4" t="n">
        <v>538</v>
      </c>
      <c r="E1522" s="1" t="s">
        <v>1950</v>
      </c>
    </row>
    <row r="1523" customFormat="false" ht="15" hidden="false" customHeight="true" outlineLevel="0" collapsed="false">
      <c r="A1523" s="1" t="n">
        <v>50080</v>
      </c>
      <c r="B1523" s="3" t="n">
        <v>44024</v>
      </c>
      <c r="C1523" s="1" t="n">
        <v>1897</v>
      </c>
      <c r="D1523" s="4" t="n">
        <v>0</v>
      </c>
      <c r="E1523" s="1" t="s">
        <v>1949</v>
      </c>
    </row>
    <row r="1524" customFormat="false" ht="15" hidden="false" customHeight="true" outlineLevel="0" collapsed="false">
      <c r="A1524" s="1" t="n">
        <v>51665</v>
      </c>
      <c r="B1524" s="3" t="n">
        <v>44049</v>
      </c>
      <c r="C1524" s="1" t="n">
        <v>1617</v>
      </c>
      <c r="D1524" s="4" t="n">
        <v>0</v>
      </c>
      <c r="E1524" s="1" t="s">
        <v>1949</v>
      </c>
    </row>
    <row r="1525" customFormat="false" ht="15" hidden="false" customHeight="true" outlineLevel="0" collapsed="false">
      <c r="A1525" s="1" t="n">
        <v>50532</v>
      </c>
      <c r="B1525" s="3" t="n">
        <v>44053</v>
      </c>
      <c r="C1525" s="1" t="n">
        <v>143</v>
      </c>
      <c r="D1525" s="4" t="n">
        <v>405</v>
      </c>
      <c r="E1525" s="1" t="s">
        <v>1950</v>
      </c>
    </row>
    <row r="1526" customFormat="false" ht="15" hidden="false" customHeight="true" outlineLevel="0" collapsed="false">
      <c r="A1526" s="1" t="n">
        <v>51632</v>
      </c>
      <c r="B1526" s="3" t="n">
        <v>44029</v>
      </c>
      <c r="C1526" s="1" t="n">
        <v>629</v>
      </c>
      <c r="D1526" s="4" t="n">
        <v>863</v>
      </c>
      <c r="E1526" s="1" t="s">
        <v>1950</v>
      </c>
    </row>
    <row r="1527" customFormat="false" ht="15" hidden="false" customHeight="true" outlineLevel="0" collapsed="false">
      <c r="A1527" s="1" t="n">
        <v>50881</v>
      </c>
      <c r="B1527" s="3" t="n">
        <v>44028</v>
      </c>
      <c r="C1527" s="1" t="n">
        <v>512</v>
      </c>
      <c r="D1527" s="4" t="n">
        <v>599</v>
      </c>
      <c r="E1527" s="1" t="s">
        <v>1950</v>
      </c>
    </row>
    <row r="1528" customFormat="false" ht="15" hidden="false" customHeight="true" outlineLevel="0" collapsed="false">
      <c r="A1528" s="1" t="n">
        <v>51007</v>
      </c>
      <c r="B1528" s="3" t="n">
        <v>43989</v>
      </c>
      <c r="C1528" s="1" t="n">
        <v>1110</v>
      </c>
      <c r="D1528" s="4" t="n">
        <v>571</v>
      </c>
      <c r="E1528" s="1" t="s">
        <v>1950</v>
      </c>
    </row>
    <row r="1529" customFormat="false" ht="15" hidden="false" customHeight="true" outlineLevel="0" collapsed="false">
      <c r="A1529" s="1" t="n">
        <v>50504</v>
      </c>
      <c r="B1529" s="3" t="n">
        <v>44020</v>
      </c>
      <c r="C1529" s="1" t="n">
        <v>1007</v>
      </c>
      <c r="D1529" s="4" t="n">
        <v>522</v>
      </c>
      <c r="E1529" s="1" t="s">
        <v>1950</v>
      </c>
    </row>
    <row r="1530" customFormat="false" ht="15" hidden="false" customHeight="true" outlineLevel="0" collapsed="false">
      <c r="A1530" s="1" t="n">
        <v>51377</v>
      </c>
      <c r="B1530" s="3" t="n">
        <v>44041</v>
      </c>
      <c r="C1530" s="1" t="n">
        <v>1286</v>
      </c>
      <c r="D1530" s="4" t="n">
        <v>0</v>
      </c>
      <c r="E1530" s="1" t="s">
        <v>1949</v>
      </c>
    </row>
    <row r="1531" customFormat="false" ht="15" hidden="false" customHeight="true" outlineLevel="0" collapsed="false">
      <c r="A1531" s="1" t="n">
        <v>50939</v>
      </c>
      <c r="B1531" s="3" t="n">
        <v>44002</v>
      </c>
      <c r="C1531" s="1" t="n">
        <v>392</v>
      </c>
      <c r="D1531" s="4" t="n">
        <v>0</v>
      </c>
      <c r="E1531" s="1" t="s">
        <v>1949</v>
      </c>
    </row>
    <row r="1532" customFormat="false" ht="15" hidden="false" customHeight="true" outlineLevel="0" collapsed="false">
      <c r="A1532" s="1" t="n">
        <v>50313</v>
      </c>
      <c r="B1532" s="3" t="n">
        <v>44035</v>
      </c>
      <c r="C1532" s="1" t="n">
        <v>1452</v>
      </c>
      <c r="D1532" s="4" t="n">
        <v>0</v>
      </c>
      <c r="E1532" s="1" t="s">
        <v>1949</v>
      </c>
    </row>
    <row r="1533" customFormat="false" ht="15" hidden="false" customHeight="true" outlineLevel="0" collapsed="false">
      <c r="A1533" s="1" t="n">
        <v>50416</v>
      </c>
      <c r="B1533" s="3" t="n">
        <v>44067</v>
      </c>
      <c r="C1533" s="1" t="n">
        <v>482</v>
      </c>
      <c r="D1533" s="4" t="n">
        <v>864</v>
      </c>
      <c r="E1533" s="1" t="s">
        <v>1950</v>
      </c>
    </row>
    <row r="1534" customFormat="false" ht="15" hidden="false" customHeight="true" outlineLevel="0" collapsed="false">
      <c r="A1534" s="1" t="n">
        <v>50550</v>
      </c>
      <c r="B1534" s="3" t="n">
        <v>44063</v>
      </c>
      <c r="C1534" s="1" t="n">
        <v>1827</v>
      </c>
      <c r="D1534" s="4" t="n">
        <v>637</v>
      </c>
      <c r="E1534" s="1" t="s">
        <v>1950</v>
      </c>
    </row>
    <row r="1535" customFormat="false" ht="15" hidden="false" customHeight="true" outlineLevel="0" collapsed="false">
      <c r="A1535" s="1" t="n">
        <v>51769</v>
      </c>
      <c r="B1535" s="3" t="n">
        <v>44037</v>
      </c>
      <c r="C1535" s="1" t="n">
        <v>757</v>
      </c>
      <c r="D1535" s="4" t="n">
        <v>0</v>
      </c>
      <c r="E1535" s="1" t="s">
        <v>1949</v>
      </c>
    </row>
    <row r="1536" customFormat="false" ht="15" hidden="false" customHeight="true" outlineLevel="0" collapsed="false">
      <c r="A1536" s="1" t="n">
        <v>51178</v>
      </c>
      <c r="B1536" s="3" t="n">
        <v>44052</v>
      </c>
      <c r="C1536" s="1" t="n">
        <v>810</v>
      </c>
      <c r="D1536" s="4" t="n">
        <v>0</v>
      </c>
      <c r="E1536" s="1" t="s">
        <v>1949</v>
      </c>
    </row>
    <row r="1537" customFormat="false" ht="15" hidden="false" customHeight="true" outlineLevel="0" collapsed="false">
      <c r="A1537" s="1" t="n">
        <v>51944</v>
      </c>
      <c r="B1537" s="3" t="n">
        <v>44037</v>
      </c>
      <c r="C1537" s="1" t="n">
        <v>1228</v>
      </c>
      <c r="D1537" s="4" t="n">
        <v>0</v>
      </c>
      <c r="E1537" s="1" t="s">
        <v>1949</v>
      </c>
    </row>
    <row r="1538" customFormat="false" ht="15" hidden="false" customHeight="true" outlineLevel="0" collapsed="false">
      <c r="A1538" s="1" t="n">
        <v>50611</v>
      </c>
      <c r="B1538" s="3" t="n">
        <v>43982</v>
      </c>
      <c r="C1538" s="1" t="n">
        <v>532</v>
      </c>
      <c r="D1538" s="4" t="n">
        <v>0</v>
      </c>
      <c r="E1538" s="1" t="s">
        <v>1949</v>
      </c>
    </row>
    <row r="1539" customFormat="false" ht="15" hidden="false" customHeight="true" outlineLevel="0" collapsed="false">
      <c r="A1539" s="1" t="n">
        <v>51209</v>
      </c>
      <c r="B1539" s="3" t="n">
        <v>43993</v>
      </c>
      <c r="C1539" s="1" t="n">
        <v>1109</v>
      </c>
      <c r="D1539" s="4" t="n">
        <v>795</v>
      </c>
      <c r="E1539" s="1" t="s">
        <v>1950</v>
      </c>
    </row>
    <row r="1540" customFormat="false" ht="15" hidden="false" customHeight="true" outlineLevel="0" collapsed="false">
      <c r="A1540" s="1" t="n">
        <v>50581</v>
      </c>
      <c r="B1540" s="3" t="n">
        <v>43989</v>
      </c>
      <c r="C1540" s="1" t="n">
        <v>260</v>
      </c>
      <c r="D1540" s="4" t="n">
        <v>0</v>
      </c>
      <c r="E1540" s="1" t="s">
        <v>1949</v>
      </c>
    </row>
    <row r="1541" customFormat="false" ht="15" hidden="false" customHeight="true" outlineLevel="0" collapsed="false">
      <c r="A1541" s="1" t="n">
        <v>50350</v>
      </c>
      <c r="B1541" s="3" t="n">
        <v>44022</v>
      </c>
      <c r="C1541" s="1" t="n">
        <v>1370</v>
      </c>
      <c r="D1541" s="4" t="n">
        <v>790</v>
      </c>
      <c r="E1541" s="1" t="s">
        <v>1950</v>
      </c>
    </row>
    <row r="1542" customFormat="false" ht="15" hidden="false" customHeight="true" outlineLevel="0" collapsed="false">
      <c r="A1542" s="1" t="n">
        <v>50339</v>
      </c>
      <c r="B1542" s="3" t="n">
        <v>44043</v>
      </c>
      <c r="C1542" s="1" t="n">
        <v>1742</v>
      </c>
      <c r="D1542" s="4" t="n">
        <v>0</v>
      </c>
      <c r="E1542" s="1" t="s">
        <v>1949</v>
      </c>
    </row>
    <row r="1543" customFormat="false" ht="15" hidden="false" customHeight="true" outlineLevel="0" collapsed="false">
      <c r="A1543" s="1" t="n">
        <v>50315</v>
      </c>
      <c r="B1543" s="3" t="n">
        <v>43994</v>
      </c>
      <c r="C1543" s="1" t="n">
        <v>583</v>
      </c>
      <c r="D1543" s="4" t="n">
        <v>496</v>
      </c>
      <c r="E1543" s="1" t="s">
        <v>1950</v>
      </c>
    </row>
    <row r="1544" customFormat="false" ht="15" hidden="false" customHeight="true" outlineLevel="0" collapsed="false">
      <c r="A1544" s="1" t="n">
        <v>50380</v>
      </c>
      <c r="B1544" s="3" t="n">
        <v>44056</v>
      </c>
      <c r="C1544" s="1" t="n">
        <v>1784</v>
      </c>
      <c r="D1544" s="4" t="n">
        <v>193</v>
      </c>
      <c r="E1544" s="1" t="s">
        <v>1950</v>
      </c>
    </row>
    <row r="1545" customFormat="false" ht="15" hidden="false" customHeight="true" outlineLevel="0" collapsed="false">
      <c r="A1545" s="1" t="n">
        <v>50060</v>
      </c>
      <c r="B1545" s="3" t="n">
        <v>44060</v>
      </c>
      <c r="C1545" s="1" t="n">
        <v>302</v>
      </c>
      <c r="D1545" s="4" t="n">
        <v>0</v>
      </c>
      <c r="E1545" s="1" t="s">
        <v>1949</v>
      </c>
    </row>
    <row r="1546" customFormat="false" ht="15" hidden="false" customHeight="true" outlineLevel="0" collapsed="false">
      <c r="A1546" s="1" t="n">
        <v>51734</v>
      </c>
      <c r="B1546" s="3" t="n">
        <v>43983</v>
      </c>
      <c r="C1546" s="1" t="n">
        <v>383</v>
      </c>
      <c r="D1546" s="4" t="n">
        <v>0</v>
      </c>
      <c r="E1546" s="1" t="s">
        <v>1949</v>
      </c>
    </row>
    <row r="1547" customFormat="false" ht="15" hidden="false" customHeight="true" outlineLevel="0" collapsed="false">
      <c r="A1547" s="1" t="n">
        <v>51130</v>
      </c>
      <c r="B1547" s="3" t="n">
        <v>44049</v>
      </c>
      <c r="C1547" s="1" t="n">
        <v>1918</v>
      </c>
      <c r="D1547" s="4" t="n">
        <v>0</v>
      </c>
      <c r="E1547" s="1" t="s">
        <v>1949</v>
      </c>
    </row>
    <row r="1548" customFormat="false" ht="15" hidden="false" customHeight="true" outlineLevel="0" collapsed="false">
      <c r="A1548" s="1" t="n">
        <v>51063</v>
      </c>
      <c r="B1548" s="3" t="n">
        <v>44052</v>
      </c>
      <c r="C1548" s="1" t="n">
        <v>1705</v>
      </c>
      <c r="D1548" s="4" t="n">
        <v>0</v>
      </c>
      <c r="E1548" s="1" t="s">
        <v>1949</v>
      </c>
    </row>
    <row r="1549" customFormat="false" ht="15" hidden="false" customHeight="true" outlineLevel="0" collapsed="false">
      <c r="A1549" s="1" t="n">
        <v>50105</v>
      </c>
      <c r="B1549" s="3" t="n">
        <v>44071</v>
      </c>
      <c r="C1549" s="1" t="n">
        <v>790</v>
      </c>
      <c r="D1549" s="4" t="n">
        <v>541</v>
      </c>
      <c r="E1549" s="1" t="s">
        <v>1950</v>
      </c>
    </row>
    <row r="1550" customFormat="false" ht="15" hidden="false" customHeight="true" outlineLevel="0" collapsed="false">
      <c r="A1550" s="1" t="n">
        <v>51691</v>
      </c>
      <c r="B1550" s="3" t="n">
        <v>44003</v>
      </c>
      <c r="C1550" s="1" t="n">
        <v>940</v>
      </c>
      <c r="D1550" s="4" t="n">
        <v>159</v>
      </c>
      <c r="E1550" s="1" t="s">
        <v>1950</v>
      </c>
    </row>
    <row r="1551" customFormat="false" ht="15" hidden="false" customHeight="true" outlineLevel="0" collapsed="false">
      <c r="A1551" s="1" t="n">
        <v>51947</v>
      </c>
      <c r="B1551" s="3" t="n">
        <v>44040</v>
      </c>
      <c r="C1551" s="1" t="n">
        <v>406</v>
      </c>
      <c r="D1551" s="4" t="n">
        <v>0</v>
      </c>
      <c r="E1551" s="1" t="s">
        <v>1949</v>
      </c>
    </row>
    <row r="1552" customFormat="false" ht="15" hidden="false" customHeight="true" outlineLevel="0" collapsed="false">
      <c r="A1552" s="1" t="n">
        <v>50975</v>
      </c>
      <c r="B1552" s="3" t="n">
        <v>44002</v>
      </c>
      <c r="C1552" s="1" t="n">
        <v>1141</v>
      </c>
      <c r="D1552" s="4" t="n">
        <v>357</v>
      </c>
      <c r="E1552" s="1" t="s">
        <v>1950</v>
      </c>
    </row>
    <row r="1553" customFormat="false" ht="15" hidden="false" customHeight="true" outlineLevel="0" collapsed="false">
      <c r="A1553" s="1" t="n">
        <v>50478</v>
      </c>
      <c r="B1553" s="3" t="n">
        <v>43986</v>
      </c>
      <c r="C1553" s="1" t="n">
        <v>628</v>
      </c>
      <c r="D1553" s="4" t="n">
        <v>0</v>
      </c>
      <c r="E1553" s="1" t="s">
        <v>1949</v>
      </c>
    </row>
    <row r="1554" customFormat="false" ht="15" hidden="false" customHeight="true" outlineLevel="0" collapsed="false">
      <c r="A1554" s="1" t="n">
        <v>51878</v>
      </c>
      <c r="B1554" s="3" t="n">
        <v>44061</v>
      </c>
      <c r="C1554" s="1" t="n">
        <v>732</v>
      </c>
      <c r="D1554" s="4" t="n">
        <v>295</v>
      </c>
      <c r="E1554" s="1" t="s">
        <v>1950</v>
      </c>
    </row>
    <row r="1555" customFormat="false" ht="15" hidden="false" customHeight="true" outlineLevel="0" collapsed="false">
      <c r="A1555" s="1" t="n">
        <v>50294</v>
      </c>
      <c r="B1555" s="3" t="n">
        <v>44047</v>
      </c>
      <c r="C1555" s="1" t="n">
        <v>1600</v>
      </c>
      <c r="D1555" s="4" t="n">
        <v>888</v>
      </c>
      <c r="E1555" s="1" t="s">
        <v>1950</v>
      </c>
    </row>
    <row r="1556" customFormat="false" ht="15" hidden="false" customHeight="true" outlineLevel="0" collapsed="false">
      <c r="A1556" s="1" t="n">
        <v>51318</v>
      </c>
      <c r="B1556" s="3" t="n">
        <v>44003</v>
      </c>
      <c r="C1556" s="1" t="n">
        <v>784</v>
      </c>
      <c r="D1556" s="4" t="n">
        <v>862</v>
      </c>
      <c r="E1556" s="1" t="s">
        <v>1950</v>
      </c>
    </row>
    <row r="1557" customFormat="false" ht="15" hidden="false" customHeight="true" outlineLevel="0" collapsed="false">
      <c r="A1557" s="1" t="n">
        <v>51631</v>
      </c>
      <c r="B1557" s="3" t="n">
        <v>44064</v>
      </c>
      <c r="C1557" s="1" t="n">
        <v>469</v>
      </c>
      <c r="D1557" s="4" t="n">
        <v>119</v>
      </c>
      <c r="E1557" s="1" t="s">
        <v>1950</v>
      </c>
    </row>
    <row r="1558" customFormat="false" ht="15" hidden="false" customHeight="true" outlineLevel="0" collapsed="false">
      <c r="A1558" s="1" t="n">
        <v>50181</v>
      </c>
      <c r="B1558" s="3" t="n">
        <v>43982</v>
      </c>
      <c r="C1558" s="1" t="n">
        <v>266</v>
      </c>
      <c r="D1558" s="4" t="n">
        <v>0</v>
      </c>
      <c r="E1558" s="1" t="s">
        <v>1949</v>
      </c>
    </row>
    <row r="1559" customFormat="false" ht="15" hidden="false" customHeight="true" outlineLevel="0" collapsed="false">
      <c r="A1559" s="1" t="n">
        <v>51380</v>
      </c>
      <c r="B1559" s="3" t="n">
        <v>44003</v>
      </c>
      <c r="C1559" s="1" t="n">
        <v>1569</v>
      </c>
      <c r="D1559" s="4" t="n">
        <v>0</v>
      </c>
      <c r="E1559" s="1" t="s">
        <v>1949</v>
      </c>
    </row>
    <row r="1560" customFormat="false" ht="15" hidden="false" customHeight="true" outlineLevel="0" collapsed="false">
      <c r="A1560" s="1" t="n">
        <v>50327</v>
      </c>
      <c r="B1560" s="3" t="n">
        <v>44050</v>
      </c>
      <c r="C1560" s="1" t="n">
        <v>609</v>
      </c>
      <c r="D1560" s="4" t="n">
        <v>0</v>
      </c>
      <c r="E1560" s="1" t="s">
        <v>1949</v>
      </c>
    </row>
    <row r="1561" customFormat="false" ht="15" hidden="false" customHeight="true" outlineLevel="0" collapsed="false">
      <c r="A1561" s="1" t="n">
        <v>50472</v>
      </c>
      <c r="B1561" s="3" t="n">
        <v>43997</v>
      </c>
      <c r="C1561" s="1" t="n">
        <v>941</v>
      </c>
      <c r="D1561" s="4" t="n">
        <v>0</v>
      </c>
      <c r="E1561" s="1" t="s">
        <v>1949</v>
      </c>
    </row>
    <row r="1562" customFormat="false" ht="15" hidden="false" customHeight="true" outlineLevel="0" collapsed="false">
      <c r="A1562" s="1" t="n">
        <v>50167</v>
      </c>
      <c r="B1562" s="3" t="n">
        <v>44036</v>
      </c>
      <c r="C1562" s="1" t="n">
        <v>1131</v>
      </c>
      <c r="D1562" s="4" t="n">
        <v>426</v>
      </c>
      <c r="E1562" s="1" t="s">
        <v>1950</v>
      </c>
    </row>
    <row r="1563" customFormat="false" ht="15" hidden="false" customHeight="true" outlineLevel="0" collapsed="false">
      <c r="A1563" s="1" t="n">
        <v>51676</v>
      </c>
      <c r="B1563" s="3" t="n">
        <v>44008</v>
      </c>
      <c r="C1563" s="1" t="n">
        <v>1235</v>
      </c>
      <c r="D1563" s="4" t="n">
        <v>0</v>
      </c>
      <c r="E1563" s="1" t="s">
        <v>1949</v>
      </c>
    </row>
    <row r="1564" customFormat="false" ht="15" hidden="false" customHeight="true" outlineLevel="0" collapsed="false">
      <c r="A1564" s="1" t="n">
        <v>51284</v>
      </c>
      <c r="B1564" s="3" t="n">
        <v>43984</v>
      </c>
      <c r="C1564" s="1" t="n">
        <v>605</v>
      </c>
      <c r="D1564" s="4" t="n">
        <v>0</v>
      </c>
      <c r="E1564" s="1" t="s">
        <v>1949</v>
      </c>
    </row>
    <row r="1565" customFormat="false" ht="15" hidden="false" customHeight="true" outlineLevel="0" collapsed="false">
      <c r="A1565" s="1" t="n">
        <v>51601</v>
      </c>
      <c r="B1565" s="3" t="n">
        <v>44018</v>
      </c>
      <c r="C1565" s="1" t="n">
        <v>1126</v>
      </c>
      <c r="D1565" s="4" t="n">
        <v>393</v>
      </c>
      <c r="E1565" s="1" t="s">
        <v>1950</v>
      </c>
    </row>
    <row r="1566" customFormat="false" ht="15" hidden="false" customHeight="true" outlineLevel="0" collapsed="false">
      <c r="A1566" s="1" t="n">
        <v>51498</v>
      </c>
      <c r="B1566" s="3" t="n">
        <v>43988</v>
      </c>
      <c r="C1566" s="1" t="n">
        <v>665</v>
      </c>
      <c r="D1566" s="4" t="n">
        <v>0</v>
      </c>
      <c r="E1566" s="1" t="s">
        <v>1949</v>
      </c>
    </row>
    <row r="1567" customFormat="false" ht="15" hidden="false" customHeight="true" outlineLevel="0" collapsed="false">
      <c r="A1567" s="1" t="n">
        <v>51335</v>
      </c>
      <c r="B1567" s="3" t="n">
        <v>43991</v>
      </c>
      <c r="C1567" s="1" t="n">
        <v>937</v>
      </c>
      <c r="D1567" s="4" t="n">
        <v>0</v>
      </c>
      <c r="E1567" s="1" t="s">
        <v>1949</v>
      </c>
    </row>
    <row r="1568" customFormat="false" ht="15" hidden="false" customHeight="true" outlineLevel="0" collapsed="false">
      <c r="A1568" s="1" t="n">
        <v>50023</v>
      </c>
      <c r="B1568" s="3" t="n">
        <v>44071</v>
      </c>
      <c r="C1568" s="1" t="n">
        <v>587</v>
      </c>
      <c r="D1568" s="4" t="n">
        <v>868</v>
      </c>
      <c r="E1568" s="1" t="s">
        <v>1950</v>
      </c>
    </row>
    <row r="1569" customFormat="false" ht="15" hidden="false" customHeight="true" outlineLevel="0" collapsed="false">
      <c r="A1569" s="1" t="n">
        <v>50984</v>
      </c>
      <c r="B1569" s="3" t="n">
        <v>43986</v>
      </c>
      <c r="C1569" s="1" t="n">
        <v>875</v>
      </c>
      <c r="D1569" s="4" t="n">
        <v>0</v>
      </c>
      <c r="E1569" s="1" t="s">
        <v>1949</v>
      </c>
    </row>
    <row r="1570" customFormat="false" ht="15" hidden="false" customHeight="true" outlineLevel="0" collapsed="false">
      <c r="A1570" s="1" t="n">
        <v>51108</v>
      </c>
      <c r="B1570" s="3" t="n">
        <v>43985</v>
      </c>
      <c r="C1570" s="1" t="n">
        <v>1238</v>
      </c>
      <c r="D1570" s="4" t="n">
        <v>155</v>
      </c>
      <c r="E1570" s="1" t="s">
        <v>1950</v>
      </c>
    </row>
    <row r="1571" customFormat="false" ht="15" hidden="false" customHeight="true" outlineLevel="0" collapsed="false">
      <c r="A1571" s="1" t="n">
        <v>51914</v>
      </c>
      <c r="B1571" s="3" t="n">
        <v>44003</v>
      </c>
      <c r="C1571" s="1" t="n">
        <v>1344</v>
      </c>
      <c r="D1571" s="4" t="n">
        <v>0</v>
      </c>
      <c r="E1571" s="1" t="s">
        <v>1949</v>
      </c>
    </row>
    <row r="1572" customFormat="false" ht="15" hidden="false" customHeight="true" outlineLevel="0" collapsed="false">
      <c r="A1572" s="1" t="n">
        <v>51010</v>
      </c>
      <c r="B1572" s="3" t="n">
        <v>44048</v>
      </c>
      <c r="C1572" s="1" t="n">
        <v>1378</v>
      </c>
      <c r="D1572" s="4" t="n">
        <v>417</v>
      </c>
      <c r="E1572" s="1" t="s">
        <v>1950</v>
      </c>
    </row>
    <row r="1573" customFormat="false" ht="15" hidden="false" customHeight="true" outlineLevel="0" collapsed="false">
      <c r="A1573" s="1" t="n">
        <v>51528</v>
      </c>
      <c r="B1573" s="3" t="n">
        <v>44022</v>
      </c>
      <c r="C1573" s="1" t="n">
        <v>127</v>
      </c>
      <c r="D1573" s="4" t="n">
        <v>0</v>
      </c>
      <c r="E1573" s="1" t="s">
        <v>1949</v>
      </c>
    </row>
    <row r="1574" customFormat="false" ht="15" hidden="false" customHeight="true" outlineLevel="0" collapsed="false">
      <c r="A1574" s="1" t="n">
        <v>50010</v>
      </c>
      <c r="B1574" s="3" t="n">
        <v>44043</v>
      </c>
      <c r="C1574" s="1" t="n">
        <v>1855</v>
      </c>
      <c r="D1574" s="4" t="n">
        <v>338</v>
      </c>
      <c r="E1574" s="1" t="s">
        <v>1950</v>
      </c>
    </row>
    <row r="1575" customFormat="false" ht="15" hidden="false" customHeight="true" outlineLevel="0" collapsed="false">
      <c r="A1575" s="1" t="n">
        <v>50377</v>
      </c>
      <c r="B1575" s="3" t="n">
        <v>44045</v>
      </c>
      <c r="C1575" s="1" t="n">
        <v>1723</v>
      </c>
      <c r="D1575" s="4" t="n">
        <v>0</v>
      </c>
      <c r="E1575" s="1" t="s">
        <v>1949</v>
      </c>
    </row>
    <row r="1576" customFormat="false" ht="15" hidden="false" customHeight="true" outlineLevel="0" collapsed="false">
      <c r="A1576" s="1" t="n">
        <v>50889</v>
      </c>
      <c r="B1576" s="3" t="n">
        <v>44001</v>
      </c>
      <c r="C1576" s="1" t="n">
        <v>716</v>
      </c>
      <c r="D1576" s="4" t="n">
        <v>735</v>
      </c>
      <c r="E1576" s="1" t="s">
        <v>1950</v>
      </c>
    </row>
    <row r="1577" customFormat="false" ht="15" hidden="false" customHeight="true" outlineLevel="0" collapsed="false">
      <c r="A1577" s="1" t="n">
        <v>50027</v>
      </c>
      <c r="B1577" s="3" t="n">
        <v>44050</v>
      </c>
      <c r="C1577" s="1" t="n">
        <v>1159</v>
      </c>
      <c r="D1577" s="4" t="n">
        <v>548</v>
      </c>
      <c r="E1577" s="1" t="s">
        <v>1950</v>
      </c>
    </row>
    <row r="1578" customFormat="false" ht="15" hidden="false" customHeight="true" outlineLevel="0" collapsed="false">
      <c r="A1578" s="1" t="n">
        <v>50141</v>
      </c>
      <c r="B1578" s="3" t="n">
        <v>44024</v>
      </c>
      <c r="C1578" s="1" t="n">
        <v>370</v>
      </c>
      <c r="D1578" s="4" t="n">
        <v>0</v>
      </c>
      <c r="E1578" s="1" t="s">
        <v>1949</v>
      </c>
    </row>
    <row r="1579" customFormat="false" ht="15" hidden="false" customHeight="true" outlineLevel="0" collapsed="false">
      <c r="A1579" s="1" t="n">
        <v>51657</v>
      </c>
      <c r="B1579" s="3" t="n">
        <v>44063</v>
      </c>
      <c r="C1579" s="1" t="n">
        <v>1954</v>
      </c>
      <c r="D1579" s="4" t="n">
        <v>472</v>
      </c>
      <c r="E1579" s="1" t="s">
        <v>1950</v>
      </c>
    </row>
    <row r="1580" customFormat="false" ht="15" hidden="false" customHeight="true" outlineLevel="0" collapsed="false">
      <c r="A1580" s="1" t="n">
        <v>50594</v>
      </c>
      <c r="B1580" s="3" t="n">
        <v>44036</v>
      </c>
      <c r="C1580" s="1" t="n">
        <v>564</v>
      </c>
      <c r="D1580" s="4" t="n">
        <v>0</v>
      </c>
      <c r="E1580" s="1" t="s">
        <v>1949</v>
      </c>
    </row>
    <row r="1581" customFormat="false" ht="15" hidden="false" customHeight="true" outlineLevel="0" collapsed="false">
      <c r="A1581" s="1" t="n">
        <v>51273</v>
      </c>
      <c r="B1581" s="3" t="n">
        <v>44042</v>
      </c>
      <c r="C1581" s="1" t="n">
        <v>1989</v>
      </c>
      <c r="D1581" s="4" t="n">
        <v>0</v>
      </c>
      <c r="E1581" s="1" t="s">
        <v>1949</v>
      </c>
    </row>
    <row r="1582" customFormat="false" ht="15" hidden="false" customHeight="true" outlineLevel="0" collapsed="false">
      <c r="A1582" s="1" t="n">
        <v>50002</v>
      </c>
      <c r="B1582" s="3" t="n">
        <v>44034</v>
      </c>
      <c r="C1582" s="1" t="n">
        <v>689</v>
      </c>
      <c r="D1582" s="4" t="n">
        <v>0</v>
      </c>
      <c r="E1582" s="1" t="s">
        <v>1949</v>
      </c>
    </row>
    <row r="1583" customFormat="false" ht="15" hidden="false" customHeight="true" outlineLevel="0" collapsed="false">
      <c r="A1583" s="1" t="n">
        <v>51298</v>
      </c>
      <c r="B1583" s="3" t="n">
        <v>43983</v>
      </c>
      <c r="C1583" s="1" t="n">
        <v>1204</v>
      </c>
      <c r="D1583" s="4" t="n">
        <v>0</v>
      </c>
      <c r="E1583" s="1" t="s">
        <v>1949</v>
      </c>
    </row>
    <row r="1584" customFormat="false" ht="15" hidden="false" customHeight="true" outlineLevel="0" collapsed="false">
      <c r="A1584" s="1" t="n">
        <v>50693</v>
      </c>
      <c r="B1584" s="3" t="n">
        <v>44052</v>
      </c>
      <c r="C1584" s="1" t="n">
        <v>216</v>
      </c>
      <c r="D1584" s="4" t="n">
        <v>370</v>
      </c>
      <c r="E1584" s="1" t="s">
        <v>1950</v>
      </c>
    </row>
    <row r="1585" customFormat="false" ht="15" hidden="false" customHeight="true" outlineLevel="0" collapsed="false">
      <c r="A1585" s="1" t="n">
        <v>51848</v>
      </c>
      <c r="B1585" s="3" t="n">
        <v>44024</v>
      </c>
      <c r="C1585" s="1" t="n">
        <v>802</v>
      </c>
      <c r="D1585" s="4" t="n">
        <v>0</v>
      </c>
      <c r="E1585" s="1" t="s">
        <v>1949</v>
      </c>
    </row>
    <row r="1586" customFormat="false" ht="15" hidden="false" customHeight="true" outlineLevel="0" collapsed="false">
      <c r="A1586" s="1" t="n">
        <v>50720</v>
      </c>
      <c r="B1586" s="3" t="n">
        <v>44037</v>
      </c>
      <c r="C1586" s="1" t="n">
        <v>1729</v>
      </c>
      <c r="D1586" s="4" t="n">
        <v>0</v>
      </c>
      <c r="E1586" s="1" t="s">
        <v>1949</v>
      </c>
    </row>
    <row r="1587" customFormat="false" ht="15" hidden="false" customHeight="true" outlineLevel="0" collapsed="false">
      <c r="A1587" s="1" t="n">
        <v>51375</v>
      </c>
      <c r="B1587" s="3" t="n">
        <v>44071</v>
      </c>
      <c r="C1587" s="1" t="n">
        <v>1720</v>
      </c>
      <c r="D1587" s="4" t="n">
        <v>0</v>
      </c>
      <c r="E1587" s="1" t="s">
        <v>1949</v>
      </c>
    </row>
    <row r="1588" customFormat="false" ht="15" hidden="false" customHeight="true" outlineLevel="0" collapsed="false">
      <c r="A1588" s="1" t="n">
        <v>50007</v>
      </c>
      <c r="B1588" s="3" t="n">
        <v>44042</v>
      </c>
      <c r="C1588" s="1" t="n">
        <v>1112</v>
      </c>
      <c r="D1588" s="4" t="n">
        <v>891</v>
      </c>
      <c r="E1588" s="1" t="s">
        <v>1950</v>
      </c>
    </row>
    <row r="1589" customFormat="false" ht="15" hidden="false" customHeight="true" outlineLevel="0" collapsed="false">
      <c r="A1589" s="1" t="n">
        <v>51432</v>
      </c>
      <c r="B1589" s="3" t="n">
        <v>43982</v>
      </c>
      <c r="C1589" s="1" t="n">
        <v>98</v>
      </c>
      <c r="D1589" s="4" t="n">
        <v>453</v>
      </c>
      <c r="E1589" s="1" t="s">
        <v>1950</v>
      </c>
    </row>
    <row r="1590" customFormat="false" ht="15" hidden="false" customHeight="true" outlineLevel="0" collapsed="false">
      <c r="A1590" s="1" t="n">
        <v>50301</v>
      </c>
      <c r="B1590" s="3" t="n">
        <v>43982</v>
      </c>
      <c r="C1590" s="1" t="n">
        <v>1973</v>
      </c>
      <c r="D1590" s="4" t="n">
        <v>752</v>
      </c>
      <c r="E1590" s="1" t="s">
        <v>1950</v>
      </c>
    </row>
    <row r="1591" customFormat="false" ht="15" hidden="false" customHeight="true" outlineLevel="0" collapsed="false">
      <c r="A1591" s="1" t="n">
        <v>50994</v>
      </c>
      <c r="B1591" s="3" t="n">
        <v>44067</v>
      </c>
      <c r="C1591" s="1" t="n">
        <v>1955</v>
      </c>
      <c r="D1591" s="4" t="n">
        <v>0</v>
      </c>
      <c r="E1591" s="1" t="s">
        <v>1949</v>
      </c>
    </row>
    <row r="1592" customFormat="false" ht="15" hidden="false" customHeight="true" outlineLevel="0" collapsed="false">
      <c r="A1592" s="1" t="n">
        <v>51109</v>
      </c>
      <c r="B1592" s="3" t="n">
        <v>44045</v>
      </c>
      <c r="C1592" s="1" t="n">
        <v>1368</v>
      </c>
      <c r="D1592" s="4" t="n">
        <v>0</v>
      </c>
      <c r="E1592" s="1" t="s">
        <v>1949</v>
      </c>
    </row>
    <row r="1593" customFormat="false" ht="15" hidden="false" customHeight="true" outlineLevel="0" collapsed="false">
      <c r="A1593" s="1" t="n">
        <v>51926</v>
      </c>
      <c r="B1593" s="3" t="n">
        <v>44017</v>
      </c>
      <c r="C1593" s="1" t="n">
        <v>1745</v>
      </c>
      <c r="D1593" s="4" t="n">
        <v>0</v>
      </c>
      <c r="E1593" s="1" t="s">
        <v>1949</v>
      </c>
    </row>
    <row r="1594" customFormat="false" ht="15" hidden="false" customHeight="true" outlineLevel="0" collapsed="false">
      <c r="A1594" s="1" t="n">
        <v>50952</v>
      </c>
      <c r="B1594" s="3" t="n">
        <v>44003</v>
      </c>
      <c r="C1594" s="1" t="n">
        <v>1165</v>
      </c>
      <c r="D1594" s="4" t="n">
        <v>547</v>
      </c>
      <c r="E1594" s="1" t="s">
        <v>1950</v>
      </c>
    </row>
    <row r="1595" customFormat="false" ht="15" hidden="false" customHeight="true" outlineLevel="0" collapsed="false">
      <c r="A1595" s="1" t="n">
        <v>51079</v>
      </c>
      <c r="B1595" s="3" t="n">
        <v>44000</v>
      </c>
      <c r="C1595" s="1" t="n">
        <v>1924</v>
      </c>
      <c r="D1595" s="4" t="n">
        <v>562</v>
      </c>
      <c r="E1595" s="1" t="s">
        <v>1950</v>
      </c>
    </row>
    <row r="1596" customFormat="false" ht="15" hidden="false" customHeight="true" outlineLevel="0" collapsed="false">
      <c r="A1596" s="1" t="n">
        <v>51920</v>
      </c>
      <c r="B1596" s="3" t="n">
        <v>44026</v>
      </c>
      <c r="C1596" s="1" t="n">
        <v>318</v>
      </c>
      <c r="D1596" s="4" t="n">
        <v>0</v>
      </c>
      <c r="E1596" s="1" t="s">
        <v>1949</v>
      </c>
    </row>
    <row r="1597" customFormat="false" ht="15" hidden="false" customHeight="true" outlineLevel="0" collapsed="false">
      <c r="A1597" s="1" t="n">
        <v>51637</v>
      </c>
      <c r="B1597" s="3" t="n">
        <v>44068</v>
      </c>
      <c r="C1597" s="1" t="n">
        <v>869</v>
      </c>
      <c r="D1597" s="4" t="n">
        <v>0</v>
      </c>
      <c r="E1597" s="1" t="s">
        <v>1949</v>
      </c>
    </row>
    <row r="1598" customFormat="false" ht="15" hidden="false" customHeight="true" outlineLevel="0" collapsed="false">
      <c r="A1598" s="1" t="n">
        <v>51548</v>
      </c>
      <c r="B1598" s="3" t="n">
        <v>43985</v>
      </c>
      <c r="C1598" s="1" t="n">
        <v>677</v>
      </c>
      <c r="D1598" s="4" t="n">
        <v>0</v>
      </c>
      <c r="E1598" s="1" t="s">
        <v>1949</v>
      </c>
    </row>
    <row r="1599" customFormat="false" ht="15" hidden="false" customHeight="true" outlineLevel="0" collapsed="false">
      <c r="A1599" s="1" t="n">
        <v>50905</v>
      </c>
      <c r="B1599" s="3" t="n">
        <v>44003</v>
      </c>
      <c r="C1599" s="1" t="n">
        <v>1298</v>
      </c>
      <c r="D1599" s="4" t="n">
        <v>599</v>
      </c>
      <c r="E1599" s="1" t="s">
        <v>1950</v>
      </c>
    </row>
    <row r="1600" customFormat="false" ht="15" hidden="false" customHeight="true" outlineLevel="0" collapsed="false">
      <c r="A1600" s="1" t="n">
        <v>51517</v>
      </c>
      <c r="B1600" s="3" t="n">
        <v>44039</v>
      </c>
      <c r="C1600" s="1" t="n">
        <v>923</v>
      </c>
      <c r="D1600" s="4" t="n">
        <v>0</v>
      </c>
      <c r="E1600" s="1" t="s">
        <v>1949</v>
      </c>
    </row>
    <row r="1601" customFormat="false" ht="15" hidden="false" customHeight="true" outlineLevel="0" collapsed="false">
      <c r="A1601" s="1" t="n">
        <v>50671</v>
      </c>
      <c r="B1601" s="3" t="n">
        <v>44072</v>
      </c>
      <c r="C1601" s="1" t="n">
        <v>556</v>
      </c>
      <c r="D1601" s="4" t="n">
        <v>0</v>
      </c>
      <c r="E1601" s="1" t="s">
        <v>1949</v>
      </c>
    </row>
    <row r="1602" customFormat="false" ht="15" hidden="false" customHeight="true" outlineLevel="0" collapsed="false">
      <c r="A1602" s="1" t="n">
        <v>50053</v>
      </c>
      <c r="B1602" s="3" t="n">
        <v>44031</v>
      </c>
      <c r="C1602" s="1" t="n">
        <v>1797</v>
      </c>
      <c r="D1602" s="4" t="n">
        <v>143</v>
      </c>
      <c r="E1602" s="1" t="s">
        <v>1950</v>
      </c>
    </row>
    <row r="1603" customFormat="false" ht="15" hidden="false" customHeight="true" outlineLevel="0" collapsed="false">
      <c r="A1603" s="1" t="n">
        <v>51098</v>
      </c>
      <c r="B1603" s="3" t="n">
        <v>44057</v>
      </c>
      <c r="C1603" s="1" t="n">
        <v>55</v>
      </c>
      <c r="D1603" s="4" t="n">
        <v>101</v>
      </c>
      <c r="E1603" s="1" t="s">
        <v>1950</v>
      </c>
    </row>
    <row r="1604" customFormat="false" ht="15" hidden="false" customHeight="true" outlineLevel="0" collapsed="false">
      <c r="A1604" s="1" t="n">
        <v>50950</v>
      </c>
      <c r="B1604" s="3" t="n">
        <v>44061</v>
      </c>
      <c r="C1604" s="1" t="n">
        <v>1570</v>
      </c>
      <c r="D1604" s="4" t="n">
        <v>0</v>
      </c>
      <c r="E1604" s="1" t="s">
        <v>1949</v>
      </c>
    </row>
    <row r="1605" customFormat="false" ht="15" hidden="false" customHeight="true" outlineLevel="0" collapsed="false">
      <c r="A1605" s="1" t="n">
        <v>51728</v>
      </c>
      <c r="B1605" s="3" t="n">
        <v>44014</v>
      </c>
      <c r="C1605" s="1" t="n">
        <v>328</v>
      </c>
      <c r="D1605" s="4" t="n">
        <v>0</v>
      </c>
      <c r="E1605" s="1" t="s">
        <v>1949</v>
      </c>
    </row>
    <row r="1606" customFormat="false" ht="15" hidden="false" customHeight="true" outlineLevel="0" collapsed="false">
      <c r="A1606" s="1" t="n">
        <v>51941</v>
      </c>
      <c r="B1606" s="3" t="n">
        <v>44048</v>
      </c>
      <c r="C1606" s="1" t="n">
        <v>1190</v>
      </c>
      <c r="D1606" s="4" t="n">
        <v>0</v>
      </c>
      <c r="E1606" s="1" t="s">
        <v>1949</v>
      </c>
    </row>
    <row r="1607" customFormat="false" ht="15" hidden="false" customHeight="true" outlineLevel="0" collapsed="false">
      <c r="A1607" s="1" t="n">
        <v>50848</v>
      </c>
      <c r="B1607" s="3" t="n">
        <v>44052</v>
      </c>
      <c r="C1607" s="1" t="n">
        <v>694</v>
      </c>
      <c r="D1607" s="4" t="n">
        <v>165</v>
      </c>
      <c r="E1607" s="1" t="s">
        <v>1950</v>
      </c>
    </row>
    <row r="1608" customFormat="false" ht="15" hidden="false" customHeight="true" outlineLevel="0" collapsed="false">
      <c r="A1608" s="1" t="n">
        <v>51410</v>
      </c>
      <c r="B1608" s="3" t="n">
        <v>44053</v>
      </c>
      <c r="C1608" s="1" t="n">
        <v>409</v>
      </c>
      <c r="D1608" s="4" t="n">
        <v>868</v>
      </c>
      <c r="E1608" s="1" t="s">
        <v>1950</v>
      </c>
    </row>
    <row r="1609" customFormat="false" ht="15" hidden="false" customHeight="true" outlineLevel="0" collapsed="false">
      <c r="A1609" s="1" t="n">
        <v>51781</v>
      </c>
      <c r="B1609" s="3" t="n">
        <v>44017</v>
      </c>
      <c r="C1609" s="1" t="n">
        <v>1807</v>
      </c>
      <c r="D1609" s="4" t="n">
        <v>0</v>
      </c>
      <c r="E1609" s="1" t="s">
        <v>1949</v>
      </c>
    </row>
    <row r="1610" customFormat="false" ht="15" hidden="false" customHeight="true" outlineLevel="0" collapsed="false">
      <c r="A1610" s="1" t="n">
        <v>50142</v>
      </c>
      <c r="B1610" s="3" t="n">
        <v>44068</v>
      </c>
      <c r="C1610" s="1" t="n">
        <v>489</v>
      </c>
      <c r="D1610" s="4" t="n">
        <v>0</v>
      </c>
      <c r="E1610" s="1" t="s">
        <v>1949</v>
      </c>
    </row>
    <row r="1611" customFormat="false" ht="15" hidden="false" customHeight="true" outlineLevel="0" collapsed="false">
      <c r="A1611" s="1" t="n">
        <v>51369</v>
      </c>
      <c r="B1611" s="3" t="n">
        <v>43987</v>
      </c>
      <c r="C1611" s="1" t="n">
        <v>1267</v>
      </c>
      <c r="D1611" s="4" t="n">
        <v>0</v>
      </c>
      <c r="E1611" s="1" t="s">
        <v>1949</v>
      </c>
    </row>
    <row r="1612" customFormat="false" ht="15" hidden="false" customHeight="true" outlineLevel="0" collapsed="false">
      <c r="A1612" s="1" t="n">
        <v>51516</v>
      </c>
      <c r="B1612" s="3" t="n">
        <v>44057</v>
      </c>
      <c r="C1612" s="1" t="n">
        <v>548</v>
      </c>
      <c r="D1612" s="4" t="n">
        <v>0</v>
      </c>
      <c r="E1612" s="1" t="s">
        <v>1949</v>
      </c>
    </row>
    <row r="1613" customFormat="false" ht="15" hidden="false" customHeight="true" outlineLevel="0" collapsed="false">
      <c r="A1613" s="1" t="n">
        <v>50364</v>
      </c>
      <c r="B1613" s="3" t="n">
        <v>44068</v>
      </c>
      <c r="C1613" s="1" t="n">
        <v>811</v>
      </c>
      <c r="D1613" s="4" t="n">
        <v>769</v>
      </c>
      <c r="E1613" s="1" t="s">
        <v>1950</v>
      </c>
    </row>
    <row r="1614" customFormat="false" ht="15" hidden="false" customHeight="true" outlineLevel="0" collapsed="false">
      <c r="A1614" s="1" t="n">
        <v>51953</v>
      </c>
      <c r="B1614" s="3" t="n">
        <v>44007</v>
      </c>
      <c r="C1614" s="1" t="n">
        <v>264</v>
      </c>
      <c r="D1614" s="4" t="n">
        <v>737</v>
      </c>
      <c r="E1614" s="1" t="s">
        <v>1950</v>
      </c>
    </row>
    <row r="1615" customFormat="false" ht="15" hidden="false" customHeight="true" outlineLevel="0" collapsed="false">
      <c r="A1615" s="1" t="n">
        <v>51864</v>
      </c>
      <c r="B1615" s="3" t="n">
        <v>44043</v>
      </c>
      <c r="C1615" s="1" t="n">
        <v>772</v>
      </c>
      <c r="D1615" s="4" t="n">
        <v>114</v>
      </c>
      <c r="E1615" s="1" t="s">
        <v>1950</v>
      </c>
    </row>
    <row r="1616" customFormat="false" ht="15" hidden="false" customHeight="true" outlineLevel="0" collapsed="false">
      <c r="A1616" s="1" t="n">
        <v>51645</v>
      </c>
      <c r="B1616" s="3" t="n">
        <v>44019</v>
      </c>
      <c r="C1616" s="1" t="n">
        <v>1584</v>
      </c>
      <c r="D1616" s="4" t="n">
        <v>662</v>
      </c>
      <c r="E1616" s="1" t="s">
        <v>1950</v>
      </c>
    </row>
    <row r="1617" customFormat="false" ht="15" hidden="false" customHeight="true" outlineLevel="0" collapsed="false">
      <c r="A1617" s="1" t="n">
        <v>51009</v>
      </c>
      <c r="B1617" s="3" t="n">
        <v>44016</v>
      </c>
      <c r="C1617" s="1" t="n">
        <v>1966</v>
      </c>
      <c r="D1617" s="4" t="n">
        <v>0</v>
      </c>
      <c r="E1617" s="1" t="s">
        <v>1949</v>
      </c>
    </row>
    <row r="1618" customFormat="false" ht="15" hidden="false" customHeight="true" outlineLevel="0" collapsed="false">
      <c r="A1618" s="1" t="n">
        <v>50299</v>
      </c>
      <c r="B1618" s="3" t="n">
        <v>44061</v>
      </c>
      <c r="C1618" s="1" t="n">
        <v>1591</v>
      </c>
      <c r="D1618" s="4" t="n">
        <v>111</v>
      </c>
      <c r="E1618" s="1" t="s">
        <v>1950</v>
      </c>
    </row>
    <row r="1619" customFormat="false" ht="15" hidden="false" customHeight="true" outlineLevel="0" collapsed="false">
      <c r="A1619" s="1" t="n">
        <v>51279</v>
      </c>
      <c r="B1619" s="3" t="n">
        <v>44000</v>
      </c>
      <c r="C1619" s="1" t="n">
        <v>1903</v>
      </c>
      <c r="D1619" s="4" t="n">
        <v>0</v>
      </c>
      <c r="E1619" s="1" t="s">
        <v>1949</v>
      </c>
    </row>
    <row r="1620" customFormat="false" ht="15" hidden="false" customHeight="true" outlineLevel="0" collapsed="false">
      <c r="A1620" s="1" t="n">
        <v>51072</v>
      </c>
      <c r="B1620" s="3" t="n">
        <v>44002</v>
      </c>
      <c r="C1620" s="1" t="n">
        <v>397</v>
      </c>
      <c r="D1620" s="4" t="n">
        <v>0</v>
      </c>
      <c r="E1620" s="1" t="s">
        <v>1949</v>
      </c>
    </row>
    <row r="1621" customFormat="false" ht="15" hidden="false" customHeight="true" outlineLevel="0" collapsed="false">
      <c r="A1621" s="1" t="n">
        <v>51016</v>
      </c>
      <c r="B1621" s="3" t="n">
        <v>44011</v>
      </c>
      <c r="C1621" s="1" t="n">
        <v>187</v>
      </c>
      <c r="D1621" s="4" t="n">
        <v>892</v>
      </c>
      <c r="E1621" s="1" t="s">
        <v>1950</v>
      </c>
    </row>
    <row r="1622" customFormat="false" ht="15" hidden="false" customHeight="true" outlineLevel="0" collapsed="false">
      <c r="A1622" s="1" t="n">
        <v>51806</v>
      </c>
      <c r="B1622" s="3" t="n">
        <v>44033</v>
      </c>
      <c r="C1622" s="1" t="n">
        <v>1410</v>
      </c>
      <c r="D1622" s="4" t="n">
        <v>282</v>
      </c>
      <c r="E1622" s="1" t="s">
        <v>1950</v>
      </c>
    </row>
    <row r="1623" customFormat="false" ht="15" hidden="false" customHeight="true" outlineLevel="0" collapsed="false">
      <c r="A1623" s="1" t="n">
        <v>50269</v>
      </c>
      <c r="B1623" s="3" t="n">
        <v>44024</v>
      </c>
      <c r="C1623" s="1" t="n">
        <v>944</v>
      </c>
      <c r="D1623" s="4" t="n">
        <v>863</v>
      </c>
      <c r="E1623" s="1" t="s">
        <v>1950</v>
      </c>
    </row>
    <row r="1624" customFormat="false" ht="15" hidden="false" customHeight="true" outlineLevel="0" collapsed="false">
      <c r="A1624" s="1" t="n">
        <v>50069</v>
      </c>
      <c r="B1624" s="3" t="n">
        <v>44017</v>
      </c>
      <c r="C1624" s="1" t="n">
        <v>21</v>
      </c>
      <c r="D1624" s="4" t="n">
        <v>353</v>
      </c>
      <c r="E1624" s="1" t="s">
        <v>1950</v>
      </c>
    </row>
    <row r="1625" customFormat="false" ht="15" hidden="false" customHeight="true" outlineLevel="0" collapsed="false">
      <c r="A1625" s="1" t="n">
        <v>50396</v>
      </c>
      <c r="B1625" s="3" t="n">
        <v>44033</v>
      </c>
      <c r="C1625" s="1" t="n">
        <v>247</v>
      </c>
      <c r="D1625" s="4" t="n">
        <v>223</v>
      </c>
      <c r="E1625" s="1" t="s">
        <v>1950</v>
      </c>
    </row>
    <row r="1626" customFormat="false" ht="15" hidden="false" customHeight="true" outlineLevel="0" collapsed="false">
      <c r="A1626" s="1" t="n">
        <v>51423</v>
      </c>
      <c r="B1626" s="3" t="n">
        <v>44029</v>
      </c>
      <c r="C1626" s="1" t="n">
        <v>1981</v>
      </c>
      <c r="D1626" s="4" t="n">
        <v>836</v>
      </c>
      <c r="E1626" s="1" t="s">
        <v>1950</v>
      </c>
    </row>
    <row r="1627" customFormat="false" ht="15" hidden="false" customHeight="true" outlineLevel="0" collapsed="false">
      <c r="A1627" s="1" t="n">
        <v>51973</v>
      </c>
      <c r="B1627" s="3" t="n">
        <v>44055</v>
      </c>
      <c r="C1627" s="1" t="n">
        <v>770</v>
      </c>
      <c r="D1627" s="4" t="n">
        <v>0</v>
      </c>
      <c r="E1627" s="1" t="s">
        <v>1949</v>
      </c>
    </row>
    <row r="1628" customFormat="false" ht="15" hidden="false" customHeight="true" outlineLevel="0" collapsed="false">
      <c r="A1628" s="1" t="n">
        <v>50386</v>
      </c>
      <c r="B1628" s="3" t="n">
        <v>44013</v>
      </c>
      <c r="C1628" s="1" t="n">
        <v>208</v>
      </c>
      <c r="D1628" s="4" t="n">
        <v>0</v>
      </c>
      <c r="E1628" s="1" t="s">
        <v>1949</v>
      </c>
    </row>
    <row r="1629" customFormat="false" ht="15" hidden="false" customHeight="true" outlineLevel="0" collapsed="false">
      <c r="A1629" s="1" t="n">
        <v>50479</v>
      </c>
      <c r="B1629" s="3" t="n">
        <v>44001</v>
      </c>
      <c r="C1629" s="1" t="n">
        <v>959</v>
      </c>
      <c r="D1629" s="4" t="n">
        <v>0</v>
      </c>
      <c r="E1629" s="1" t="s">
        <v>1949</v>
      </c>
    </row>
    <row r="1630" customFormat="false" ht="15" hidden="false" customHeight="true" outlineLevel="0" collapsed="false">
      <c r="A1630" s="1" t="n">
        <v>50614</v>
      </c>
      <c r="B1630" s="3" t="n">
        <v>44011</v>
      </c>
      <c r="C1630" s="1" t="n">
        <v>80</v>
      </c>
      <c r="D1630" s="4" t="n">
        <v>619</v>
      </c>
      <c r="E1630" s="1" t="s">
        <v>1950</v>
      </c>
    </row>
    <row r="1631" customFormat="false" ht="15" hidden="false" customHeight="true" outlineLevel="0" collapsed="false">
      <c r="A1631" s="1" t="n">
        <v>51494</v>
      </c>
      <c r="B1631" s="3" t="n">
        <v>43989</v>
      </c>
      <c r="C1631" s="1" t="n">
        <v>561</v>
      </c>
      <c r="D1631" s="4" t="n">
        <v>0</v>
      </c>
      <c r="E1631" s="1" t="s">
        <v>1949</v>
      </c>
    </row>
    <row r="1632" customFormat="false" ht="15" hidden="false" customHeight="true" outlineLevel="0" collapsed="false">
      <c r="A1632" s="1" t="n">
        <v>51743</v>
      </c>
      <c r="B1632" s="3" t="n">
        <v>44070</v>
      </c>
      <c r="C1632" s="1" t="n">
        <v>1822</v>
      </c>
      <c r="D1632" s="4" t="n">
        <v>0</v>
      </c>
      <c r="E1632" s="1" t="s">
        <v>1949</v>
      </c>
    </row>
    <row r="1633" customFormat="false" ht="15" hidden="false" customHeight="true" outlineLevel="0" collapsed="false">
      <c r="A1633" s="1" t="n">
        <v>51457</v>
      </c>
      <c r="B1633" s="3" t="n">
        <v>43982</v>
      </c>
      <c r="C1633" s="1" t="n">
        <v>1511</v>
      </c>
      <c r="D1633" s="4" t="n">
        <v>685</v>
      </c>
      <c r="E1633" s="1" t="s">
        <v>1950</v>
      </c>
    </row>
    <row r="1634" customFormat="false" ht="15" hidden="false" customHeight="true" outlineLevel="0" collapsed="false">
      <c r="A1634" s="1" t="n">
        <v>51508</v>
      </c>
      <c r="B1634" s="3" t="n">
        <v>44054</v>
      </c>
      <c r="C1634" s="1" t="n">
        <v>300</v>
      </c>
      <c r="D1634" s="4" t="n">
        <v>0</v>
      </c>
      <c r="E1634" s="1" t="s">
        <v>1949</v>
      </c>
    </row>
    <row r="1635" customFormat="false" ht="15" hidden="false" customHeight="true" outlineLevel="0" collapsed="false">
      <c r="A1635" s="1" t="n">
        <v>51301</v>
      </c>
      <c r="B1635" s="3" t="n">
        <v>44035</v>
      </c>
      <c r="C1635" s="1" t="n">
        <v>292</v>
      </c>
      <c r="D1635" s="4" t="n">
        <v>0</v>
      </c>
      <c r="E1635" s="1" t="s">
        <v>1949</v>
      </c>
    </row>
    <row r="1636" customFormat="false" ht="15" hidden="false" customHeight="true" outlineLevel="0" collapsed="false">
      <c r="A1636" s="1" t="n">
        <v>51018</v>
      </c>
      <c r="B1636" s="3" t="n">
        <v>43988</v>
      </c>
      <c r="C1636" s="1" t="n">
        <v>1619</v>
      </c>
      <c r="D1636" s="4" t="n">
        <v>352</v>
      </c>
      <c r="E1636" s="1" t="s">
        <v>1950</v>
      </c>
    </row>
    <row r="1637" customFormat="false" ht="15" hidden="false" customHeight="true" outlineLevel="0" collapsed="false">
      <c r="A1637" s="1" t="n">
        <v>50348</v>
      </c>
      <c r="B1637" s="3" t="n">
        <v>44005</v>
      </c>
      <c r="C1637" s="1" t="n">
        <v>1801</v>
      </c>
      <c r="D1637" s="4" t="n">
        <v>0</v>
      </c>
      <c r="E1637" s="1" t="s">
        <v>1949</v>
      </c>
    </row>
    <row r="1638" customFormat="false" ht="15" hidden="false" customHeight="true" outlineLevel="0" collapsed="false">
      <c r="A1638" s="1" t="n">
        <v>50768</v>
      </c>
      <c r="B1638" s="3" t="n">
        <v>43990</v>
      </c>
      <c r="C1638" s="1" t="n">
        <v>1928</v>
      </c>
      <c r="D1638" s="4" t="n">
        <v>0</v>
      </c>
      <c r="E1638" s="1" t="s">
        <v>1949</v>
      </c>
    </row>
    <row r="1639" customFormat="false" ht="15" hidden="false" customHeight="true" outlineLevel="0" collapsed="false">
      <c r="A1639" s="1" t="n">
        <v>51037</v>
      </c>
      <c r="B1639" s="3" t="n">
        <v>44069</v>
      </c>
      <c r="C1639" s="1" t="n">
        <v>65</v>
      </c>
      <c r="D1639" s="4" t="n">
        <v>0</v>
      </c>
      <c r="E1639" s="1" t="s">
        <v>1949</v>
      </c>
    </row>
    <row r="1640" customFormat="false" ht="15" hidden="false" customHeight="true" outlineLevel="0" collapsed="false">
      <c r="A1640" s="1" t="n">
        <v>50997</v>
      </c>
      <c r="B1640" s="3" t="n">
        <v>44001</v>
      </c>
      <c r="C1640" s="1" t="n">
        <v>1277</v>
      </c>
      <c r="D1640" s="4" t="n">
        <v>295</v>
      </c>
      <c r="E1640" s="1" t="s">
        <v>1950</v>
      </c>
    </row>
    <row r="1641" customFormat="false" ht="15" hidden="false" customHeight="true" outlineLevel="0" collapsed="false">
      <c r="A1641" s="1" t="n">
        <v>51290</v>
      </c>
      <c r="B1641" s="3" t="n">
        <v>43983</v>
      </c>
      <c r="C1641" s="1" t="n">
        <v>375</v>
      </c>
      <c r="D1641" s="4" t="n">
        <v>655</v>
      </c>
      <c r="E1641" s="1" t="s">
        <v>1950</v>
      </c>
    </row>
    <row r="1642" customFormat="false" ht="15" hidden="false" customHeight="true" outlineLevel="0" collapsed="false">
      <c r="A1642" s="1" t="n">
        <v>51739</v>
      </c>
      <c r="B1642" s="3" t="n">
        <v>43991</v>
      </c>
      <c r="C1642" s="1" t="n">
        <v>446</v>
      </c>
      <c r="D1642" s="4" t="n">
        <v>100</v>
      </c>
      <c r="E1642" s="1" t="s">
        <v>1950</v>
      </c>
    </row>
    <row r="1643" customFormat="false" ht="15" hidden="false" customHeight="true" outlineLevel="0" collapsed="false">
      <c r="A1643" s="1" t="n">
        <v>50410</v>
      </c>
      <c r="B1643" s="3" t="n">
        <v>44062</v>
      </c>
      <c r="C1643" s="1" t="n">
        <v>1240</v>
      </c>
      <c r="D1643" s="4" t="n">
        <v>593</v>
      </c>
      <c r="E1643" s="1" t="s">
        <v>1950</v>
      </c>
    </row>
    <row r="1644" customFormat="false" ht="15" hidden="false" customHeight="true" outlineLevel="0" collapsed="false">
      <c r="A1644" s="1" t="n">
        <v>51537</v>
      </c>
      <c r="B1644" s="3" t="n">
        <v>44004</v>
      </c>
      <c r="C1644" s="1" t="n">
        <v>692</v>
      </c>
      <c r="D1644" s="4" t="n">
        <v>561</v>
      </c>
      <c r="E1644" s="1" t="s">
        <v>1950</v>
      </c>
    </row>
    <row r="1645" customFormat="false" ht="15" hidden="false" customHeight="true" outlineLevel="0" collapsed="false">
      <c r="A1645" s="1" t="n">
        <v>50084</v>
      </c>
      <c r="B1645" s="3" t="n">
        <v>44053</v>
      </c>
      <c r="C1645" s="1" t="n">
        <v>592</v>
      </c>
      <c r="D1645" s="4" t="n">
        <v>0</v>
      </c>
      <c r="E1645" s="1" t="s">
        <v>1949</v>
      </c>
    </row>
    <row r="1646" customFormat="false" ht="15" hidden="false" customHeight="true" outlineLevel="0" collapsed="false">
      <c r="A1646" s="1" t="n">
        <v>50427</v>
      </c>
      <c r="B1646" s="3" t="n">
        <v>43983</v>
      </c>
      <c r="C1646" s="1" t="n">
        <v>1401</v>
      </c>
      <c r="D1646" s="4" t="n">
        <v>777</v>
      </c>
      <c r="E1646" s="1" t="s">
        <v>1950</v>
      </c>
    </row>
    <row r="1647" customFormat="false" ht="15" hidden="false" customHeight="true" outlineLevel="0" collapsed="false">
      <c r="A1647" s="1" t="n">
        <v>50147</v>
      </c>
      <c r="B1647" s="3" t="n">
        <v>44071</v>
      </c>
      <c r="C1647" s="1" t="n">
        <v>557</v>
      </c>
      <c r="D1647" s="4" t="n">
        <v>0</v>
      </c>
      <c r="E1647" s="1" t="s">
        <v>1949</v>
      </c>
    </row>
    <row r="1648" customFormat="false" ht="15" hidden="false" customHeight="true" outlineLevel="0" collapsed="false">
      <c r="A1648" s="1" t="n">
        <v>50369</v>
      </c>
      <c r="B1648" s="3" t="n">
        <v>44026</v>
      </c>
      <c r="C1648" s="1" t="n">
        <v>1372</v>
      </c>
      <c r="D1648" s="4" t="n">
        <v>593</v>
      </c>
      <c r="E1648" s="1" t="s">
        <v>1950</v>
      </c>
    </row>
    <row r="1649" customFormat="false" ht="15" hidden="false" customHeight="true" outlineLevel="0" collapsed="false">
      <c r="A1649" s="1" t="n">
        <v>50999</v>
      </c>
      <c r="B1649" s="3" t="n">
        <v>44000</v>
      </c>
      <c r="C1649" s="1" t="n">
        <v>1145</v>
      </c>
      <c r="D1649" s="4" t="n">
        <v>0</v>
      </c>
      <c r="E1649" s="1" t="s">
        <v>1949</v>
      </c>
    </row>
    <row r="1650" customFormat="false" ht="15" hidden="false" customHeight="true" outlineLevel="0" collapsed="false">
      <c r="A1650" s="1" t="n">
        <v>50522</v>
      </c>
      <c r="B1650" s="3" t="n">
        <v>44028</v>
      </c>
      <c r="C1650" s="1" t="n">
        <v>381</v>
      </c>
      <c r="D1650" s="4" t="n">
        <v>756</v>
      </c>
      <c r="E1650" s="1" t="s">
        <v>1950</v>
      </c>
    </row>
    <row r="1651" customFormat="false" ht="15" hidden="false" customHeight="true" outlineLevel="0" collapsed="false">
      <c r="A1651" s="1" t="n">
        <v>51540</v>
      </c>
      <c r="B1651" s="3" t="n">
        <v>44032</v>
      </c>
      <c r="C1651" s="1" t="n">
        <v>1739</v>
      </c>
      <c r="D1651" s="4" t="n">
        <v>0</v>
      </c>
      <c r="E1651" s="1" t="s">
        <v>1949</v>
      </c>
    </row>
    <row r="1652" customFormat="false" ht="15" hidden="false" customHeight="true" outlineLevel="0" collapsed="false">
      <c r="A1652" s="1" t="n">
        <v>51376</v>
      </c>
      <c r="B1652" s="3" t="n">
        <v>44029</v>
      </c>
      <c r="C1652" s="1" t="n">
        <v>1856</v>
      </c>
      <c r="D1652" s="4" t="n">
        <v>738</v>
      </c>
      <c r="E1652" s="1" t="s">
        <v>1950</v>
      </c>
    </row>
    <row r="1653" customFormat="false" ht="15" hidden="false" customHeight="true" outlineLevel="0" collapsed="false">
      <c r="A1653" s="1" t="n">
        <v>50841</v>
      </c>
      <c r="B1653" s="3" t="n">
        <v>44006</v>
      </c>
      <c r="C1653" s="1" t="n">
        <v>269</v>
      </c>
      <c r="D1653" s="4" t="n">
        <v>185</v>
      </c>
      <c r="E1653" s="1" t="s">
        <v>1950</v>
      </c>
    </row>
    <row r="1654" customFormat="false" ht="15" hidden="false" customHeight="true" outlineLevel="0" collapsed="false">
      <c r="A1654" s="1" t="n">
        <v>51648</v>
      </c>
      <c r="B1654" s="3" t="n">
        <v>43993</v>
      </c>
      <c r="C1654" s="1" t="n">
        <v>912</v>
      </c>
      <c r="D1654" s="4" t="n">
        <v>781</v>
      </c>
      <c r="E1654" s="1" t="s">
        <v>1950</v>
      </c>
    </row>
    <row r="1655" customFormat="false" ht="15" hidden="false" customHeight="true" outlineLevel="0" collapsed="false">
      <c r="A1655" s="1" t="n">
        <v>51002</v>
      </c>
      <c r="B1655" s="3" t="n">
        <v>43988</v>
      </c>
      <c r="C1655" s="1" t="n">
        <v>639</v>
      </c>
      <c r="D1655" s="4" t="n">
        <v>0</v>
      </c>
      <c r="E1655" s="1" t="s">
        <v>1949</v>
      </c>
    </row>
    <row r="1656" customFormat="false" ht="15" hidden="false" customHeight="true" outlineLevel="0" collapsed="false">
      <c r="A1656" s="1" t="n">
        <v>51683</v>
      </c>
      <c r="B1656" s="3" t="n">
        <v>44017</v>
      </c>
      <c r="C1656" s="1" t="n">
        <v>211</v>
      </c>
      <c r="D1656" s="4" t="n">
        <v>0</v>
      </c>
      <c r="E1656" s="1" t="s">
        <v>1949</v>
      </c>
    </row>
    <row r="1657" customFormat="false" ht="15" hidden="false" customHeight="true" outlineLevel="0" collapsed="false">
      <c r="A1657" s="1" t="n">
        <v>50712</v>
      </c>
      <c r="B1657" s="3" t="n">
        <v>43983</v>
      </c>
      <c r="C1657" s="1" t="n">
        <v>1230</v>
      </c>
      <c r="D1657" s="4" t="n">
        <v>738</v>
      </c>
      <c r="E1657" s="1" t="s">
        <v>1950</v>
      </c>
    </row>
    <row r="1658" customFormat="false" ht="15" hidden="false" customHeight="true" outlineLevel="0" collapsed="false">
      <c r="A1658" s="1" t="n">
        <v>50682</v>
      </c>
      <c r="B1658" s="3" t="n">
        <v>44002</v>
      </c>
      <c r="C1658" s="1" t="n">
        <v>1987</v>
      </c>
      <c r="D1658" s="4" t="n">
        <v>647</v>
      </c>
      <c r="E1658" s="1" t="s">
        <v>1950</v>
      </c>
    </row>
    <row r="1659" customFormat="false" ht="15" hidden="false" customHeight="true" outlineLevel="0" collapsed="false">
      <c r="A1659" s="1" t="n">
        <v>50431</v>
      </c>
      <c r="B1659" s="3" t="n">
        <v>44001</v>
      </c>
      <c r="C1659" s="1" t="n">
        <v>1736</v>
      </c>
      <c r="D1659" s="4" t="n">
        <v>826</v>
      </c>
      <c r="E1659" s="1" t="s">
        <v>1950</v>
      </c>
    </row>
    <row r="1660" customFormat="false" ht="15" hidden="false" customHeight="true" outlineLevel="0" collapsed="false">
      <c r="A1660" s="1" t="n">
        <v>51433</v>
      </c>
      <c r="B1660" s="3" t="n">
        <v>44038</v>
      </c>
      <c r="C1660" s="1" t="n">
        <v>169</v>
      </c>
      <c r="D1660" s="4" t="n">
        <v>0</v>
      </c>
      <c r="E1660" s="1" t="s">
        <v>1949</v>
      </c>
    </row>
    <row r="1661" customFormat="false" ht="15" hidden="false" customHeight="true" outlineLevel="0" collapsed="false">
      <c r="A1661" s="1" t="n">
        <v>50573</v>
      </c>
      <c r="B1661" s="3" t="n">
        <v>44026</v>
      </c>
      <c r="C1661" s="1" t="n">
        <v>632</v>
      </c>
      <c r="D1661" s="4" t="n">
        <v>898</v>
      </c>
      <c r="E1661" s="1" t="s">
        <v>1950</v>
      </c>
    </row>
    <row r="1662" customFormat="false" ht="15" hidden="false" customHeight="true" outlineLevel="0" collapsed="false">
      <c r="A1662" s="1" t="n">
        <v>50676</v>
      </c>
      <c r="B1662" s="3" t="n">
        <v>44064</v>
      </c>
      <c r="C1662" s="1" t="n">
        <v>531</v>
      </c>
      <c r="D1662" s="4" t="n">
        <v>0</v>
      </c>
      <c r="E1662" s="1" t="s">
        <v>1949</v>
      </c>
    </row>
    <row r="1663" customFormat="false" ht="15" hidden="false" customHeight="true" outlineLevel="0" collapsed="false">
      <c r="A1663" s="1" t="n">
        <v>51078</v>
      </c>
      <c r="B1663" s="3" t="n">
        <v>44031</v>
      </c>
      <c r="C1663" s="1" t="n">
        <v>1001</v>
      </c>
      <c r="D1663" s="4" t="n">
        <v>826</v>
      </c>
      <c r="E1663" s="1" t="s">
        <v>1950</v>
      </c>
    </row>
    <row r="1664" customFormat="false" ht="15" hidden="false" customHeight="true" outlineLevel="0" collapsed="false">
      <c r="A1664" s="1" t="n">
        <v>51475</v>
      </c>
      <c r="B1664" s="3" t="n">
        <v>43991</v>
      </c>
      <c r="C1664" s="1" t="n">
        <v>1610</v>
      </c>
      <c r="D1664" s="4" t="n">
        <v>885</v>
      </c>
      <c r="E1664" s="1" t="s">
        <v>1950</v>
      </c>
    </row>
    <row r="1665" customFormat="false" ht="15" hidden="false" customHeight="true" outlineLevel="0" collapsed="false">
      <c r="A1665" s="1" t="n">
        <v>50705</v>
      </c>
      <c r="B1665" s="3" t="n">
        <v>44028</v>
      </c>
      <c r="C1665" s="1" t="n">
        <v>1975</v>
      </c>
      <c r="D1665" s="4" t="n">
        <v>462</v>
      </c>
      <c r="E1665" s="1" t="s">
        <v>1950</v>
      </c>
    </row>
    <row r="1666" customFormat="false" ht="15" hidden="false" customHeight="true" outlineLevel="0" collapsed="false">
      <c r="A1666" s="1" t="n">
        <v>51062</v>
      </c>
      <c r="B1666" s="3" t="n">
        <v>44054</v>
      </c>
      <c r="C1666" s="1" t="n">
        <v>966</v>
      </c>
      <c r="D1666" s="4" t="n">
        <v>361</v>
      </c>
      <c r="E1666" s="1" t="s">
        <v>1950</v>
      </c>
    </row>
    <row r="1667" customFormat="false" ht="15" hidden="false" customHeight="true" outlineLevel="0" collapsed="false">
      <c r="A1667" s="1" t="n">
        <v>50447</v>
      </c>
      <c r="B1667" s="3" t="n">
        <v>44060</v>
      </c>
      <c r="C1667" s="1" t="n">
        <v>1285</v>
      </c>
      <c r="D1667" s="4" t="n">
        <v>0</v>
      </c>
      <c r="E1667" s="1" t="s">
        <v>1949</v>
      </c>
    </row>
    <row r="1668" customFormat="false" ht="15" hidden="false" customHeight="true" outlineLevel="0" collapsed="false">
      <c r="A1668" s="1" t="n">
        <v>51135</v>
      </c>
      <c r="B1668" s="3" t="n">
        <v>44030</v>
      </c>
      <c r="C1668" s="1" t="n">
        <v>287</v>
      </c>
      <c r="D1668" s="4" t="n">
        <v>0</v>
      </c>
      <c r="E1668" s="1" t="s">
        <v>1949</v>
      </c>
    </row>
    <row r="1669" customFormat="false" ht="15" hidden="false" customHeight="true" outlineLevel="0" collapsed="false">
      <c r="A1669" s="1" t="n">
        <v>51057</v>
      </c>
      <c r="B1669" s="3" t="n">
        <v>44037</v>
      </c>
      <c r="C1669" s="1" t="n">
        <v>1163</v>
      </c>
      <c r="D1669" s="4" t="n">
        <v>0</v>
      </c>
      <c r="E1669" s="1" t="s">
        <v>1949</v>
      </c>
    </row>
    <row r="1670" customFormat="false" ht="15" hidden="false" customHeight="true" outlineLevel="0" collapsed="false">
      <c r="A1670" s="1" t="n">
        <v>51223</v>
      </c>
      <c r="B1670" s="3" t="n">
        <v>44037</v>
      </c>
      <c r="C1670" s="1" t="n">
        <v>1051</v>
      </c>
      <c r="D1670" s="4" t="n">
        <v>0</v>
      </c>
      <c r="E1670" s="1" t="s">
        <v>1949</v>
      </c>
    </row>
    <row r="1671" customFormat="false" ht="15" hidden="false" customHeight="true" outlineLevel="0" collapsed="false">
      <c r="A1671" s="1" t="n">
        <v>51610</v>
      </c>
      <c r="B1671" s="3" t="n">
        <v>44013</v>
      </c>
      <c r="C1671" s="1" t="n">
        <v>845</v>
      </c>
      <c r="D1671" s="4" t="n">
        <v>672</v>
      </c>
      <c r="E1671" s="1" t="s">
        <v>1950</v>
      </c>
    </row>
    <row r="1672" customFormat="false" ht="15" hidden="false" customHeight="true" outlineLevel="0" collapsed="false">
      <c r="A1672" s="1" t="n">
        <v>50033</v>
      </c>
      <c r="B1672" s="3" t="n">
        <v>43985</v>
      </c>
      <c r="C1672" s="1" t="n">
        <v>1713</v>
      </c>
      <c r="D1672" s="4" t="n">
        <v>678</v>
      </c>
      <c r="E1672" s="1" t="s">
        <v>1950</v>
      </c>
    </row>
    <row r="1673" customFormat="false" ht="15" hidden="false" customHeight="true" outlineLevel="0" collapsed="false">
      <c r="A1673" s="1" t="n">
        <v>51543</v>
      </c>
      <c r="B1673" s="3" t="n">
        <v>44013</v>
      </c>
      <c r="C1673" s="1" t="n">
        <v>1475</v>
      </c>
      <c r="D1673" s="4" t="n">
        <v>0</v>
      </c>
      <c r="E1673" s="1" t="s">
        <v>1949</v>
      </c>
    </row>
    <row r="1674" customFormat="false" ht="15" hidden="false" customHeight="true" outlineLevel="0" collapsed="false">
      <c r="A1674" s="1" t="n">
        <v>50051</v>
      </c>
      <c r="B1674" s="3" t="n">
        <v>44072</v>
      </c>
      <c r="C1674" s="1" t="n">
        <v>1963</v>
      </c>
      <c r="D1674" s="4" t="n">
        <v>0</v>
      </c>
      <c r="E1674" s="1" t="s">
        <v>1949</v>
      </c>
    </row>
    <row r="1675" customFormat="false" ht="15" hidden="false" customHeight="true" outlineLevel="0" collapsed="false">
      <c r="A1675" s="1" t="n">
        <v>50405</v>
      </c>
      <c r="B1675" s="3" t="n">
        <v>44013</v>
      </c>
      <c r="C1675" s="1" t="n">
        <v>1618</v>
      </c>
      <c r="D1675" s="4" t="n">
        <v>160</v>
      </c>
      <c r="E1675" s="1" t="s">
        <v>1950</v>
      </c>
    </row>
    <row r="1676" customFormat="false" ht="15" hidden="false" customHeight="true" outlineLevel="0" collapsed="false">
      <c r="A1676" s="1" t="n">
        <v>51630</v>
      </c>
      <c r="B1676" s="3" t="n">
        <v>44070</v>
      </c>
      <c r="C1676" s="1" t="n">
        <v>1632</v>
      </c>
      <c r="D1676" s="4" t="n">
        <v>0</v>
      </c>
      <c r="E1676" s="1" t="s">
        <v>1949</v>
      </c>
    </row>
    <row r="1677" customFormat="false" ht="15" hidden="false" customHeight="true" outlineLevel="0" collapsed="false">
      <c r="A1677" s="1" t="n">
        <v>50001</v>
      </c>
      <c r="B1677" s="3" t="n">
        <v>44005</v>
      </c>
      <c r="C1677" s="1" t="n">
        <v>1592</v>
      </c>
      <c r="D1677" s="4" t="n">
        <v>0</v>
      </c>
      <c r="E1677" s="1" t="s">
        <v>1949</v>
      </c>
    </row>
    <row r="1678" customFormat="false" ht="15" hidden="false" customHeight="true" outlineLevel="0" collapsed="false">
      <c r="A1678" s="1" t="n">
        <v>50699</v>
      </c>
      <c r="B1678" s="3" t="n">
        <v>44017</v>
      </c>
      <c r="C1678" s="1" t="n">
        <v>1143</v>
      </c>
      <c r="D1678" s="4" t="n">
        <v>0</v>
      </c>
      <c r="E1678" s="1" t="s">
        <v>1949</v>
      </c>
    </row>
    <row r="1679" customFormat="false" ht="15" hidden="false" customHeight="true" outlineLevel="0" collapsed="false">
      <c r="A1679" s="1" t="n">
        <v>50285</v>
      </c>
      <c r="B1679" s="3" t="n">
        <v>44065</v>
      </c>
      <c r="C1679" s="1" t="n">
        <v>1967</v>
      </c>
      <c r="D1679" s="4" t="n">
        <v>508</v>
      </c>
      <c r="E1679" s="1" t="s">
        <v>1950</v>
      </c>
    </row>
    <row r="1680" customFormat="false" ht="15" hidden="false" customHeight="true" outlineLevel="0" collapsed="false">
      <c r="A1680" s="1" t="n">
        <v>50220</v>
      </c>
      <c r="B1680" s="3" t="n">
        <v>43987</v>
      </c>
      <c r="C1680" s="1" t="n">
        <v>62</v>
      </c>
      <c r="D1680" s="4" t="n">
        <v>0</v>
      </c>
      <c r="E1680" s="1" t="s">
        <v>1949</v>
      </c>
    </row>
    <row r="1681" customFormat="false" ht="15" hidden="false" customHeight="true" outlineLevel="0" collapsed="false">
      <c r="A1681" s="1" t="n">
        <v>51982</v>
      </c>
      <c r="B1681" s="3" t="n">
        <v>44029</v>
      </c>
      <c r="C1681" s="1" t="n">
        <v>225</v>
      </c>
      <c r="D1681" s="4" t="n">
        <v>145</v>
      </c>
      <c r="E1681" s="1" t="s">
        <v>1950</v>
      </c>
    </row>
    <row r="1682" customFormat="false" ht="15" hidden="false" customHeight="true" outlineLevel="0" collapsed="false">
      <c r="A1682" s="1" t="n">
        <v>50646</v>
      </c>
      <c r="B1682" s="3" t="n">
        <v>43992</v>
      </c>
      <c r="C1682" s="1" t="n">
        <v>270</v>
      </c>
      <c r="D1682" s="4" t="n">
        <v>618</v>
      </c>
      <c r="E1682" s="1" t="s">
        <v>1950</v>
      </c>
    </row>
    <row r="1683" customFormat="false" ht="15" hidden="false" customHeight="true" outlineLevel="0" collapsed="false">
      <c r="A1683" s="1" t="n">
        <v>50743</v>
      </c>
      <c r="B1683" s="3" t="n">
        <v>44050</v>
      </c>
      <c r="C1683" s="1" t="n">
        <v>656</v>
      </c>
      <c r="D1683" s="4" t="n">
        <v>0</v>
      </c>
      <c r="E1683" s="1" t="s">
        <v>1949</v>
      </c>
    </row>
    <row r="1684" customFormat="false" ht="15" hidden="false" customHeight="true" outlineLevel="0" collapsed="false">
      <c r="A1684" s="1" t="n">
        <v>51342</v>
      </c>
      <c r="B1684" s="3" t="n">
        <v>44052</v>
      </c>
      <c r="C1684" s="1" t="n">
        <v>1173</v>
      </c>
      <c r="D1684" s="4" t="n">
        <v>738</v>
      </c>
      <c r="E1684" s="1" t="s">
        <v>1950</v>
      </c>
    </row>
    <row r="1685" customFormat="false" ht="15" hidden="false" customHeight="true" outlineLevel="0" collapsed="false">
      <c r="A1685" s="1" t="n">
        <v>50795</v>
      </c>
      <c r="B1685" s="3" t="n">
        <v>44003</v>
      </c>
      <c r="C1685" s="1" t="n">
        <v>1755</v>
      </c>
      <c r="D1685" s="4" t="n">
        <v>0</v>
      </c>
      <c r="E1685" s="1" t="s">
        <v>1949</v>
      </c>
    </row>
    <row r="1686" customFormat="false" ht="15" hidden="false" customHeight="true" outlineLevel="0" collapsed="false">
      <c r="A1686" s="1" t="n">
        <v>51146</v>
      </c>
      <c r="B1686" s="3" t="n">
        <v>44019</v>
      </c>
      <c r="C1686" s="1" t="n">
        <v>1972</v>
      </c>
      <c r="D1686" s="4" t="n">
        <v>900</v>
      </c>
      <c r="E1686" s="1" t="s">
        <v>1950</v>
      </c>
    </row>
    <row r="1687" customFormat="false" ht="15" hidden="false" customHeight="true" outlineLevel="0" collapsed="false">
      <c r="A1687" s="1" t="n">
        <v>51184</v>
      </c>
      <c r="B1687" s="3" t="n">
        <v>43986</v>
      </c>
      <c r="C1687" s="1" t="n">
        <v>1130</v>
      </c>
      <c r="D1687" s="4" t="n">
        <v>530</v>
      </c>
      <c r="E1687" s="1" t="s">
        <v>1950</v>
      </c>
    </row>
    <row r="1688" customFormat="false" ht="15" hidden="false" customHeight="true" outlineLevel="0" collapsed="false">
      <c r="A1688" s="1" t="n">
        <v>51898</v>
      </c>
      <c r="B1688" s="3" t="n">
        <v>43987</v>
      </c>
      <c r="C1688" s="1" t="n">
        <v>1526</v>
      </c>
      <c r="D1688" s="4" t="n">
        <v>137</v>
      </c>
      <c r="E1688" s="1" t="s">
        <v>1950</v>
      </c>
    </row>
    <row r="1689" customFormat="false" ht="15" hidden="false" customHeight="true" outlineLevel="0" collapsed="false">
      <c r="A1689" s="1" t="n">
        <v>50641</v>
      </c>
      <c r="B1689" s="3" t="n">
        <v>44012</v>
      </c>
      <c r="C1689" s="1" t="n">
        <v>789</v>
      </c>
      <c r="D1689" s="4" t="n">
        <v>178</v>
      </c>
      <c r="E1689" s="1" t="s">
        <v>1950</v>
      </c>
    </row>
    <row r="1690" customFormat="false" ht="15" hidden="false" customHeight="true" outlineLevel="0" collapsed="false">
      <c r="A1690" s="1" t="n">
        <v>51269</v>
      </c>
      <c r="B1690" s="3" t="n">
        <v>44042</v>
      </c>
      <c r="C1690" s="1" t="n">
        <v>1342</v>
      </c>
      <c r="D1690" s="4" t="n">
        <v>663</v>
      </c>
      <c r="E1690" s="1" t="s">
        <v>1950</v>
      </c>
    </row>
    <row r="1691" customFormat="false" ht="15" hidden="false" customHeight="true" outlineLevel="0" collapsed="false">
      <c r="A1691" s="1" t="n">
        <v>51511</v>
      </c>
      <c r="B1691" s="3" t="n">
        <v>44070</v>
      </c>
      <c r="C1691" s="1" t="n">
        <v>1322</v>
      </c>
      <c r="D1691" s="4" t="n">
        <v>0</v>
      </c>
      <c r="E1691" s="1" t="s">
        <v>1949</v>
      </c>
    </row>
    <row r="1692" customFormat="false" ht="15" hidden="false" customHeight="true" outlineLevel="0" collapsed="false">
      <c r="A1692" s="1" t="n">
        <v>50473</v>
      </c>
      <c r="B1692" s="3" t="n">
        <v>44044</v>
      </c>
      <c r="C1692" s="1" t="n">
        <v>1992</v>
      </c>
      <c r="D1692" s="4" t="n">
        <v>306</v>
      </c>
      <c r="E1692" s="1" t="s">
        <v>1950</v>
      </c>
    </row>
    <row r="1693" customFormat="false" ht="15" hidden="false" customHeight="true" outlineLevel="0" collapsed="false">
      <c r="A1693" s="1" t="n">
        <v>50178</v>
      </c>
      <c r="B1693" s="3" t="n">
        <v>44013</v>
      </c>
      <c r="C1693" s="1" t="n">
        <v>170</v>
      </c>
      <c r="D1693" s="4" t="n">
        <v>586</v>
      </c>
      <c r="E1693" s="1" t="s">
        <v>1950</v>
      </c>
    </row>
    <row r="1694" customFormat="false" ht="15" hidden="false" customHeight="true" outlineLevel="0" collapsed="false">
      <c r="A1694" s="1" t="n">
        <v>50505</v>
      </c>
      <c r="B1694" s="3" t="n">
        <v>44055</v>
      </c>
      <c r="C1694" s="1" t="n">
        <v>1712</v>
      </c>
      <c r="D1694" s="4" t="n">
        <v>860</v>
      </c>
      <c r="E1694" s="1" t="s">
        <v>1950</v>
      </c>
    </row>
    <row r="1695" customFormat="false" ht="15" hidden="false" customHeight="true" outlineLevel="0" collapsed="false">
      <c r="A1695" s="1" t="n">
        <v>50480</v>
      </c>
      <c r="B1695" s="3" t="n">
        <v>43987</v>
      </c>
      <c r="C1695" s="1" t="n">
        <v>104</v>
      </c>
      <c r="D1695" s="4" t="n">
        <v>123</v>
      </c>
      <c r="E1695" s="1" t="s">
        <v>1950</v>
      </c>
    </row>
    <row r="1696" customFormat="false" ht="15" hidden="false" customHeight="true" outlineLevel="0" collapsed="false">
      <c r="A1696" s="1" t="n">
        <v>50578</v>
      </c>
      <c r="B1696" s="3" t="n">
        <v>44025</v>
      </c>
      <c r="C1696" s="1" t="n">
        <v>1737</v>
      </c>
      <c r="D1696" s="4" t="n">
        <v>0</v>
      </c>
      <c r="E1696" s="1" t="s">
        <v>1949</v>
      </c>
    </row>
    <row r="1697" customFormat="false" ht="15" hidden="false" customHeight="true" outlineLevel="0" collapsed="false">
      <c r="A1697" s="1" t="n">
        <v>51479</v>
      </c>
      <c r="B1697" s="3" t="n">
        <v>43991</v>
      </c>
      <c r="C1697" s="1" t="n">
        <v>226</v>
      </c>
      <c r="D1697" s="4" t="n">
        <v>519</v>
      </c>
      <c r="E1697" s="1" t="s">
        <v>1950</v>
      </c>
    </row>
    <row r="1698" customFormat="false" ht="15" hidden="false" customHeight="true" outlineLevel="0" collapsed="false">
      <c r="A1698" s="1" t="n">
        <v>50714</v>
      </c>
      <c r="B1698" s="3" t="n">
        <v>44032</v>
      </c>
      <c r="C1698" s="1" t="n">
        <v>1549</v>
      </c>
      <c r="D1698" s="4" t="n">
        <v>0</v>
      </c>
      <c r="E1698" s="1" t="s">
        <v>1949</v>
      </c>
    </row>
    <row r="1699" customFormat="false" ht="15" hidden="false" customHeight="true" outlineLevel="0" collapsed="false">
      <c r="A1699" s="1" t="n">
        <v>50921</v>
      </c>
      <c r="B1699" s="3" t="n">
        <v>44069</v>
      </c>
      <c r="C1699" s="1" t="n">
        <v>1852</v>
      </c>
      <c r="D1699" s="4" t="n">
        <v>250</v>
      </c>
      <c r="E1699" s="1" t="s">
        <v>1950</v>
      </c>
    </row>
    <row r="1700" customFormat="false" ht="15" hidden="false" customHeight="true" outlineLevel="0" collapsed="false">
      <c r="A1700" s="1" t="n">
        <v>50467</v>
      </c>
      <c r="B1700" s="3" t="n">
        <v>43988</v>
      </c>
      <c r="C1700" s="1" t="n">
        <v>344</v>
      </c>
      <c r="D1700" s="4" t="n">
        <v>730</v>
      </c>
      <c r="E1700" s="1" t="s">
        <v>1950</v>
      </c>
    </row>
    <row r="1701" customFormat="false" ht="15" hidden="false" customHeight="true" outlineLevel="0" collapsed="false">
      <c r="A1701" s="1" t="n">
        <v>51964</v>
      </c>
      <c r="B1701" s="3" t="n">
        <v>44024</v>
      </c>
      <c r="C1701" s="1" t="n">
        <v>707</v>
      </c>
      <c r="D1701" s="4" t="n">
        <v>512</v>
      </c>
      <c r="E1701" s="1" t="s">
        <v>1950</v>
      </c>
    </row>
    <row r="1702" customFormat="false" ht="15" hidden="false" customHeight="true" outlineLevel="0" collapsed="false">
      <c r="A1702" s="1" t="n">
        <v>51293</v>
      </c>
      <c r="B1702" s="3" t="n">
        <v>43993</v>
      </c>
      <c r="C1702" s="1" t="n">
        <v>1678</v>
      </c>
      <c r="D1702" s="4" t="n">
        <v>757</v>
      </c>
      <c r="E1702" s="1" t="s">
        <v>1950</v>
      </c>
    </row>
    <row r="1703" customFormat="false" ht="15" hidden="false" customHeight="true" outlineLevel="0" collapsed="false">
      <c r="A1703" s="1" t="n">
        <v>50924</v>
      </c>
      <c r="B1703" s="3" t="n">
        <v>44045</v>
      </c>
      <c r="C1703" s="1" t="n">
        <v>1394</v>
      </c>
      <c r="D1703" s="4" t="n">
        <v>873</v>
      </c>
      <c r="E1703" s="1" t="s">
        <v>1950</v>
      </c>
    </row>
    <row r="1704" customFormat="false" ht="15" hidden="false" customHeight="true" outlineLevel="0" collapsed="false">
      <c r="A1704" s="1" t="n">
        <v>51420</v>
      </c>
      <c r="B1704" s="3" t="n">
        <v>44058</v>
      </c>
      <c r="C1704" s="1" t="n">
        <v>1385</v>
      </c>
      <c r="D1704" s="4" t="n">
        <v>0</v>
      </c>
      <c r="E1704" s="1" t="s">
        <v>1949</v>
      </c>
    </row>
    <row r="1705" customFormat="false" ht="15" hidden="false" customHeight="true" outlineLevel="0" collapsed="false">
      <c r="A1705" s="1" t="n">
        <v>51211</v>
      </c>
      <c r="B1705" s="3" t="n">
        <v>44010</v>
      </c>
      <c r="C1705" s="1" t="n">
        <v>1877</v>
      </c>
      <c r="D1705" s="4" t="n">
        <v>478</v>
      </c>
      <c r="E1705" s="1" t="s">
        <v>1950</v>
      </c>
    </row>
    <row r="1706" customFormat="false" ht="15" hidden="false" customHeight="true" outlineLevel="0" collapsed="false">
      <c r="A1706" s="1" t="n">
        <v>50458</v>
      </c>
      <c r="B1706" s="3" t="n">
        <v>44068</v>
      </c>
      <c r="C1706" s="1" t="n">
        <v>982</v>
      </c>
      <c r="D1706" s="4" t="n">
        <v>311</v>
      </c>
      <c r="E1706" s="1" t="s">
        <v>1950</v>
      </c>
    </row>
    <row r="1707" customFormat="false" ht="15" hidden="false" customHeight="true" outlineLevel="0" collapsed="false">
      <c r="A1707" s="1" t="n">
        <v>51791</v>
      </c>
      <c r="B1707" s="3" t="n">
        <v>44029</v>
      </c>
      <c r="C1707" s="1" t="n">
        <v>1817</v>
      </c>
      <c r="D1707" s="4" t="n">
        <v>0</v>
      </c>
      <c r="E1707" s="1" t="s">
        <v>1949</v>
      </c>
    </row>
    <row r="1708" customFormat="false" ht="15" hidden="false" customHeight="true" outlineLevel="0" collapsed="false">
      <c r="A1708" s="1" t="n">
        <v>50702</v>
      </c>
      <c r="B1708" s="3" t="n">
        <v>44066</v>
      </c>
      <c r="C1708" s="1" t="n">
        <v>414</v>
      </c>
      <c r="D1708" s="4" t="n">
        <v>0</v>
      </c>
      <c r="E1708" s="1" t="s">
        <v>1949</v>
      </c>
    </row>
    <row r="1709" customFormat="false" ht="15" hidden="false" customHeight="true" outlineLevel="0" collapsed="false">
      <c r="A1709" s="1" t="n">
        <v>50224</v>
      </c>
      <c r="B1709" s="3" t="n">
        <v>44053</v>
      </c>
      <c r="C1709" s="1" t="n">
        <v>933</v>
      </c>
      <c r="D1709" s="4" t="n">
        <v>672</v>
      </c>
      <c r="E1709" s="1" t="s">
        <v>1950</v>
      </c>
    </row>
    <row r="1710" customFormat="false" ht="15" hidden="false" customHeight="true" outlineLevel="0" collapsed="false">
      <c r="A1710" s="1" t="n">
        <v>50618</v>
      </c>
      <c r="B1710" s="3" t="n">
        <v>44024</v>
      </c>
      <c r="C1710" s="1" t="n">
        <v>1362</v>
      </c>
      <c r="D1710" s="4" t="n">
        <v>0</v>
      </c>
      <c r="E1710" s="1" t="s">
        <v>1949</v>
      </c>
    </row>
    <row r="1711" customFormat="false" ht="15" hidden="false" customHeight="true" outlineLevel="0" collapsed="false">
      <c r="A1711" s="1" t="n">
        <v>51859</v>
      </c>
      <c r="B1711" s="3" t="n">
        <v>44003</v>
      </c>
      <c r="C1711" s="1" t="n">
        <v>1858</v>
      </c>
      <c r="D1711" s="4" t="n">
        <v>413</v>
      </c>
      <c r="E1711" s="1" t="s">
        <v>1950</v>
      </c>
    </row>
    <row r="1712" customFormat="false" ht="15" hidden="false" customHeight="true" outlineLevel="0" collapsed="false">
      <c r="A1712" s="1" t="n">
        <v>51906</v>
      </c>
      <c r="B1712" s="3" t="n">
        <v>43997</v>
      </c>
      <c r="C1712" s="1" t="n">
        <v>1944</v>
      </c>
      <c r="D1712" s="4" t="n">
        <v>0</v>
      </c>
      <c r="E1712" s="1" t="s">
        <v>1949</v>
      </c>
    </row>
    <row r="1713" customFormat="false" ht="15" hidden="false" customHeight="true" outlineLevel="0" collapsed="false">
      <c r="A1713" s="1" t="n">
        <v>50489</v>
      </c>
      <c r="B1713" s="3" t="n">
        <v>44032</v>
      </c>
      <c r="C1713" s="1" t="n">
        <v>760</v>
      </c>
      <c r="D1713" s="4" t="n">
        <v>448</v>
      </c>
      <c r="E1713" s="1" t="s">
        <v>1950</v>
      </c>
    </row>
    <row r="1714" customFormat="false" ht="15" hidden="false" customHeight="true" outlineLevel="0" collapsed="false">
      <c r="A1714" s="1" t="n">
        <v>51038</v>
      </c>
      <c r="B1714" s="3" t="n">
        <v>44016</v>
      </c>
      <c r="C1714" s="1" t="n">
        <v>314</v>
      </c>
      <c r="D1714" s="4" t="n">
        <v>226</v>
      </c>
      <c r="E1714" s="1" t="s">
        <v>1950</v>
      </c>
    </row>
    <row r="1715" customFormat="false" ht="15" hidden="false" customHeight="true" outlineLevel="0" collapsed="false">
      <c r="A1715" s="1" t="n">
        <v>50674</v>
      </c>
      <c r="B1715" s="3" t="n">
        <v>44039</v>
      </c>
      <c r="C1715" s="1" t="n">
        <v>805</v>
      </c>
      <c r="D1715" s="4" t="n">
        <v>0</v>
      </c>
      <c r="E1715" s="1" t="s">
        <v>1949</v>
      </c>
    </row>
    <row r="1716" customFormat="false" ht="15" hidden="false" customHeight="true" outlineLevel="0" collapsed="false">
      <c r="A1716" s="1" t="n">
        <v>51454</v>
      </c>
      <c r="B1716" s="3" t="n">
        <v>44014</v>
      </c>
      <c r="C1716" s="1" t="n">
        <v>461</v>
      </c>
      <c r="D1716" s="4" t="n">
        <v>500</v>
      </c>
      <c r="E1716" s="1" t="s">
        <v>1950</v>
      </c>
    </row>
    <row r="1717" customFormat="false" ht="15" hidden="false" customHeight="true" outlineLevel="0" collapsed="false">
      <c r="A1717" s="1" t="n">
        <v>50029</v>
      </c>
      <c r="B1717" s="3" t="n">
        <v>44010</v>
      </c>
      <c r="C1717" s="1" t="n">
        <v>987</v>
      </c>
      <c r="D1717" s="4" t="n">
        <v>166</v>
      </c>
      <c r="E1717" s="1" t="s">
        <v>1950</v>
      </c>
    </row>
    <row r="1718" customFormat="false" ht="15" hidden="false" customHeight="true" outlineLevel="0" collapsed="false">
      <c r="A1718" s="1" t="n">
        <v>51489</v>
      </c>
      <c r="B1718" s="3" t="n">
        <v>43997</v>
      </c>
      <c r="C1718" s="1" t="n">
        <v>938</v>
      </c>
      <c r="D1718" s="4" t="n">
        <v>0</v>
      </c>
      <c r="E1718" s="1" t="s">
        <v>1949</v>
      </c>
    </row>
    <row r="1719" customFormat="false" ht="15" hidden="false" customHeight="true" outlineLevel="0" collapsed="false">
      <c r="A1719" s="1" t="n">
        <v>51379</v>
      </c>
      <c r="B1719" s="3" t="n">
        <v>44057</v>
      </c>
      <c r="C1719" s="1" t="n">
        <v>1891</v>
      </c>
      <c r="D1719" s="4" t="n">
        <v>0</v>
      </c>
      <c r="E1719" s="1" t="s">
        <v>1949</v>
      </c>
    </row>
    <row r="1720" customFormat="false" ht="15" hidden="false" customHeight="true" outlineLevel="0" collapsed="false">
      <c r="A1720" s="1" t="n">
        <v>50715</v>
      </c>
      <c r="B1720" s="3" t="n">
        <v>44065</v>
      </c>
      <c r="C1720" s="1" t="n">
        <v>58</v>
      </c>
      <c r="D1720" s="4" t="n">
        <v>737</v>
      </c>
      <c r="E1720" s="1" t="s">
        <v>1950</v>
      </c>
    </row>
    <row r="1721" customFormat="false" ht="15" hidden="false" customHeight="true" outlineLevel="0" collapsed="false">
      <c r="A1721" s="1" t="n">
        <v>51411</v>
      </c>
      <c r="B1721" s="3" t="n">
        <v>44015</v>
      </c>
      <c r="C1721" s="1" t="n">
        <v>1751</v>
      </c>
      <c r="D1721" s="4" t="n">
        <v>0</v>
      </c>
      <c r="E1721" s="1" t="s">
        <v>1949</v>
      </c>
    </row>
    <row r="1722" customFormat="false" ht="15" hidden="false" customHeight="true" outlineLevel="0" collapsed="false">
      <c r="A1722" s="1" t="n">
        <v>51884</v>
      </c>
      <c r="B1722" s="3" t="n">
        <v>44033</v>
      </c>
      <c r="C1722" s="1" t="n">
        <v>1422</v>
      </c>
      <c r="D1722" s="4" t="n">
        <v>0</v>
      </c>
      <c r="E1722" s="1" t="s">
        <v>1949</v>
      </c>
    </row>
    <row r="1723" customFormat="false" ht="15" hidden="false" customHeight="true" outlineLevel="0" collapsed="false">
      <c r="A1723" s="1" t="n">
        <v>51705</v>
      </c>
      <c r="B1723" s="3" t="n">
        <v>43997</v>
      </c>
      <c r="C1723" s="1" t="n">
        <v>876</v>
      </c>
      <c r="D1723" s="4" t="n">
        <v>560</v>
      </c>
      <c r="E1723" s="1" t="s">
        <v>1950</v>
      </c>
    </row>
    <row r="1724" customFormat="false" ht="15" hidden="false" customHeight="true" outlineLevel="0" collapsed="false">
      <c r="A1724" s="1" t="n">
        <v>50876</v>
      </c>
      <c r="B1724" s="3" t="n">
        <v>44048</v>
      </c>
      <c r="C1724" s="1" t="n">
        <v>964</v>
      </c>
      <c r="D1724" s="4" t="n">
        <v>0</v>
      </c>
      <c r="E1724" s="1" t="s">
        <v>1949</v>
      </c>
    </row>
    <row r="1725" customFormat="false" ht="15" hidden="false" customHeight="true" outlineLevel="0" collapsed="false">
      <c r="A1725" s="1" t="n">
        <v>50150</v>
      </c>
      <c r="B1725" s="3" t="n">
        <v>44062</v>
      </c>
      <c r="C1725" s="1" t="n">
        <v>1906</v>
      </c>
      <c r="D1725" s="4" t="n">
        <v>0</v>
      </c>
      <c r="E1725" s="1" t="s">
        <v>1949</v>
      </c>
    </row>
    <row r="1726" customFormat="false" ht="15" hidden="false" customHeight="true" outlineLevel="0" collapsed="false">
      <c r="A1726" s="1" t="n">
        <v>50989</v>
      </c>
      <c r="B1726" s="3" t="n">
        <v>43992</v>
      </c>
      <c r="C1726" s="1" t="n">
        <v>1181</v>
      </c>
      <c r="D1726" s="4" t="n">
        <v>374</v>
      </c>
      <c r="E1726" s="1" t="s">
        <v>1950</v>
      </c>
    </row>
    <row r="1727" customFormat="false" ht="15" hidden="false" customHeight="true" outlineLevel="0" collapsed="false">
      <c r="A1727" s="1" t="n">
        <v>51407</v>
      </c>
      <c r="B1727" s="3" t="n">
        <v>44008</v>
      </c>
      <c r="C1727" s="1" t="n">
        <v>478</v>
      </c>
      <c r="D1727" s="4" t="n">
        <v>0</v>
      </c>
      <c r="E1727" s="1" t="s">
        <v>1949</v>
      </c>
    </row>
    <row r="1728" customFormat="false" ht="15" hidden="false" customHeight="true" outlineLevel="0" collapsed="false">
      <c r="A1728" s="1" t="n">
        <v>50282</v>
      </c>
      <c r="B1728" s="3" t="n">
        <v>44047</v>
      </c>
      <c r="C1728" s="1" t="n">
        <v>1336</v>
      </c>
      <c r="D1728" s="4" t="n">
        <v>871</v>
      </c>
      <c r="E1728" s="1" t="s">
        <v>1950</v>
      </c>
    </row>
    <row r="1729" customFormat="false" ht="15" hidden="false" customHeight="true" outlineLevel="0" collapsed="false">
      <c r="A1729" s="1" t="n">
        <v>51946</v>
      </c>
      <c r="B1729" s="3" t="n">
        <v>44016</v>
      </c>
      <c r="C1729" s="1" t="n">
        <v>1259</v>
      </c>
      <c r="D1729" s="4" t="n">
        <v>0</v>
      </c>
      <c r="E1729" s="1" t="s">
        <v>1949</v>
      </c>
    </row>
    <row r="1730" customFormat="false" ht="15" hidden="false" customHeight="true" outlineLevel="0" collapsed="false">
      <c r="A1730" s="1" t="n">
        <v>51399</v>
      </c>
      <c r="B1730" s="3" t="n">
        <v>44054</v>
      </c>
      <c r="C1730" s="1" t="n">
        <v>95</v>
      </c>
      <c r="D1730" s="4" t="n">
        <v>0</v>
      </c>
      <c r="E1730" s="1" t="s">
        <v>1949</v>
      </c>
    </row>
    <row r="1731" customFormat="false" ht="15" hidden="false" customHeight="true" outlineLevel="0" collapsed="false">
      <c r="A1731" s="1" t="n">
        <v>51670</v>
      </c>
      <c r="B1731" s="3" t="n">
        <v>44056</v>
      </c>
      <c r="C1731" s="1" t="n">
        <v>1896</v>
      </c>
      <c r="D1731" s="4" t="n">
        <v>416</v>
      </c>
      <c r="E1731" s="1" t="s">
        <v>1950</v>
      </c>
    </row>
    <row r="1732" customFormat="false" ht="15" hidden="false" customHeight="true" outlineLevel="0" collapsed="false">
      <c r="A1732" s="1" t="n">
        <v>51905</v>
      </c>
      <c r="B1732" s="3" t="n">
        <v>44061</v>
      </c>
      <c r="C1732" s="1" t="n">
        <v>741</v>
      </c>
      <c r="D1732" s="4" t="n">
        <v>450</v>
      </c>
      <c r="E1732" s="1" t="s">
        <v>1950</v>
      </c>
    </row>
    <row r="1733" customFormat="false" ht="15" hidden="false" customHeight="true" outlineLevel="0" collapsed="false">
      <c r="A1733" s="1" t="n">
        <v>51798</v>
      </c>
      <c r="B1733" s="3" t="n">
        <v>43992</v>
      </c>
      <c r="C1733" s="1" t="n">
        <v>1480</v>
      </c>
      <c r="D1733" s="4" t="n">
        <v>849</v>
      </c>
      <c r="E1733" s="1" t="s">
        <v>1950</v>
      </c>
    </row>
    <row r="1734" customFormat="false" ht="15" hidden="false" customHeight="true" outlineLevel="0" collapsed="false">
      <c r="A1734" s="1" t="n">
        <v>50449</v>
      </c>
      <c r="B1734" s="3" t="n">
        <v>44025</v>
      </c>
      <c r="C1734" s="1" t="n">
        <v>1782</v>
      </c>
      <c r="D1734" s="4" t="n">
        <v>303</v>
      </c>
      <c r="E1734" s="1" t="s">
        <v>1950</v>
      </c>
    </row>
    <row r="1735" customFormat="false" ht="15" hidden="false" customHeight="true" outlineLevel="0" collapsed="false">
      <c r="A1735" s="1" t="n">
        <v>50717</v>
      </c>
      <c r="B1735" s="3" t="n">
        <v>44014</v>
      </c>
      <c r="C1735" s="1" t="n">
        <v>719</v>
      </c>
      <c r="D1735" s="4" t="n">
        <v>485</v>
      </c>
      <c r="E1735" s="1" t="s">
        <v>1950</v>
      </c>
    </row>
    <row r="1736" customFormat="false" ht="15" hidden="false" customHeight="true" outlineLevel="0" collapsed="false">
      <c r="A1736" s="1" t="n">
        <v>51430</v>
      </c>
      <c r="B1736" s="3" t="n">
        <v>44019</v>
      </c>
      <c r="C1736" s="1" t="n">
        <v>113</v>
      </c>
      <c r="D1736" s="4" t="n">
        <v>0</v>
      </c>
      <c r="E1736" s="1" t="s">
        <v>1949</v>
      </c>
    </row>
    <row r="1737" customFormat="false" ht="15" hidden="false" customHeight="true" outlineLevel="0" collapsed="false">
      <c r="A1737" s="1" t="n">
        <v>50465</v>
      </c>
      <c r="B1737" s="3" t="n">
        <v>43984</v>
      </c>
      <c r="C1737" s="1" t="n">
        <v>1586</v>
      </c>
      <c r="D1737" s="4" t="n">
        <v>0</v>
      </c>
      <c r="E1737" s="1" t="s">
        <v>1949</v>
      </c>
    </row>
    <row r="1738" customFormat="false" ht="15" hidden="false" customHeight="true" outlineLevel="0" collapsed="false">
      <c r="A1738" s="1" t="n">
        <v>51445</v>
      </c>
      <c r="B1738" s="3" t="n">
        <v>43983</v>
      </c>
      <c r="C1738" s="1" t="n">
        <v>1524</v>
      </c>
      <c r="D1738" s="4" t="n">
        <v>0</v>
      </c>
      <c r="E1738" s="1" t="s">
        <v>1949</v>
      </c>
    </row>
    <row r="1739" customFormat="false" ht="15" hidden="false" customHeight="true" outlineLevel="0" collapsed="false">
      <c r="A1739" s="1" t="n">
        <v>51435</v>
      </c>
      <c r="B1739" s="3" t="n">
        <v>44013</v>
      </c>
      <c r="C1739" s="1" t="n">
        <v>1695</v>
      </c>
      <c r="D1739" s="4" t="n">
        <v>588</v>
      </c>
      <c r="E1739" s="1" t="s">
        <v>1950</v>
      </c>
    </row>
    <row r="1740" customFormat="false" ht="15" hidden="false" customHeight="true" outlineLevel="0" collapsed="false">
      <c r="A1740" s="1" t="n">
        <v>51462</v>
      </c>
      <c r="B1740" s="3" t="n">
        <v>44032</v>
      </c>
      <c r="C1740" s="1" t="n">
        <v>465</v>
      </c>
      <c r="D1740" s="4" t="n">
        <v>410</v>
      </c>
      <c r="E1740" s="1" t="s">
        <v>1950</v>
      </c>
    </row>
    <row r="1741" customFormat="false" ht="15" hidden="false" customHeight="true" outlineLevel="0" collapsed="false">
      <c r="A1741" s="1" t="n">
        <v>51043</v>
      </c>
      <c r="B1741" s="3" t="n">
        <v>44051</v>
      </c>
      <c r="C1741" s="1" t="n">
        <v>787</v>
      </c>
      <c r="D1741" s="4" t="n">
        <v>700</v>
      </c>
      <c r="E1741" s="1" t="s">
        <v>1950</v>
      </c>
    </row>
    <row r="1742" customFormat="false" ht="15" hidden="false" customHeight="true" outlineLevel="0" collapsed="false">
      <c r="A1742" s="1" t="n">
        <v>51203</v>
      </c>
      <c r="B1742" s="3" t="n">
        <v>43987</v>
      </c>
      <c r="C1742" s="1" t="n">
        <v>1367</v>
      </c>
      <c r="D1742" s="4" t="n">
        <v>0</v>
      </c>
      <c r="E1742" s="1" t="s">
        <v>1949</v>
      </c>
    </row>
    <row r="1743" customFormat="false" ht="15" hidden="false" customHeight="true" outlineLevel="0" collapsed="false">
      <c r="A1743" s="1" t="n">
        <v>50847</v>
      </c>
      <c r="B1743" s="3" t="n">
        <v>44023</v>
      </c>
      <c r="C1743" s="1" t="n">
        <v>274</v>
      </c>
      <c r="D1743" s="4" t="n">
        <v>0</v>
      </c>
      <c r="E1743" s="1" t="s">
        <v>1949</v>
      </c>
    </row>
    <row r="1744" customFormat="false" ht="15" hidden="false" customHeight="true" outlineLevel="0" collapsed="false">
      <c r="A1744" s="1" t="n">
        <v>51924</v>
      </c>
      <c r="B1744" s="3" t="n">
        <v>44049</v>
      </c>
      <c r="C1744" s="1" t="n">
        <v>1191</v>
      </c>
      <c r="D1744" s="4" t="n">
        <v>0</v>
      </c>
      <c r="E1744" s="1" t="s">
        <v>1949</v>
      </c>
    </row>
    <row r="1745" customFormat="false" ht="15" hidden="false" customHeight="true" outlineLevel="0" collapsed="false">
      <c r="A1745" s="1" t="n">
        <v>50760</v>
      </c>
      <c r="B1745" s="3" t="n">
        <v>44039</v>
      </c>
      <c r="C1745" s="1" t="n">
        <v>1197</v>
      </c>
      <c r="D1745" s="4" t="n">
        <v>0</v>
      </c>
      <c r="E1745" s="1" t="s">
        <v>1949</v>
      </c>
    </row>
    <row r="1746" customFormat="false" ht="15" hidden="false" customHeight="true" outlineLevel="0" collapsed="false">
      <c r="A1746" s="1" t="n">
        <v>50477</v>
      </c>
      <c r="B1746" s="3" t="n">
        <v>44006</v>
      </c>
      <c r="C1746" s="1" t="n">
        <v>1878</v>
      </c>
      <c r="D1746" s="4" t="n">
        <v>0</v>
      </c>
      <c r="E1746" s="1" t="s">
        <v>1949</v>
      </c>
    </row>
    <row r="1747" customFormat="false" ht="15" hidden="false" customHeight="true" outlineLevel="0" collapsed="false">
      <c r="A1747" s="1" t="n">
        <v>51202</v>
      </c>
      <c r="B1747" s="3" t="n">
        <v>44041</v>
      </c>
      <c r="C1747" s="1" t="n">
        <v>217</v>
      </c>
      <c r="D1747" s="4" t="n">
        <v>853</v>
      </c>
      <c r="E1747" s="1" t="s">
        <v>1950</v>
      </c>
    </row>
    <row r="1748" customFormat="false" ht="15" hidden="false" customHeight="true" outlineLevel="0" collapsed="false">
      <c r="A1748" s="1" t="n">
        <v>51187</v>
      </c>
      <c r="B1748" s="3" t="n">
        <v>43996</v>
      </c>
      <c r="C1748" s="1" t="n">
        <v>862</v>
      </c>
      <c r="D1748" s="4" t="n">
        <v>0</v>
      </c>
      <c r="E1748" s="1" t="s">
        <v>1949</v>
      </c>
    </row>
    <row r="1749" customFormat="false" ht="15" hidden="false" customHeight="true" outlineLevel="0" collapsed="false">
      <c r="A1749" s="1" t="n">
        <v>51562</v>
      </c>
      <c r="B1749" s="3" t="n">
        <v>44003</v>
      </c>
      <c r="C1749" s="1" t="n">
        <v>87</v>
      </c>
      <c r="D1749" s="4" t="n">
        <v>0</v>
      </c>
      <c r="E1749" s="1" t="s">
        <v>1949</v>
      </c>
    </row>
    <row r="1750" customFormat="false" ht="15" hidden="false" customHeight="true" outlineLevel="0" collapsed="false">
      <c r="A1750" s="1" t="n">
        <v>51408</v>
      </c>
      <c r="B1750" s="3" t="n">
        <v>44058</v>
      </c>
      <c r="C1750" s="1" t="n">
        <v>818</v>
      </c>
      <c r="D1750" s="4" t="n">
        <v>0</v>
      </c>
      <c r="E1750" s="1" t="s">
        <v>1949</v>
      </c>
    </row>
    <row r="1751" customFormat="false" ht="15" hidden="false" customHeight="true" outlineLevel="0" collapsed="false">
      <c r="A1751" s="1" t="n">
        <v>51738</v>
      </c>
      <c r="B1751" s="3" t="n">
        <v>44062</v>
      </c>
      <c r="C1751" s="1" t="n">
        <v>520</v>
      </c>
      <c r="D1751" s="4" t="n">
        <v>0</v>
      </c>
      <c r="E1751" s="1" t="s">
        <v>1949</v>
      </c>
    </row>
    <row r="1752" customFormat="false" ht="15" hidden="false" customHeight="true" outlineLevel="0" collapsed="false">
      <c r="A1752" s="1" t="n">
        <v>51000</v>
      </c>
      <c r="B1752" s="3" t="n">
        <v>44026</v>
      </c>
      <c r="C1752" s="1" t="n">
        <v>1406</v>
      </c>
      <c r="D1752" s="4" t="n">
        <v>0</v>
      </c>
      <c r="E1752" s="1" t="s">
        <v>1949</v>
      </c>
    </row>
    <row r="1753" customFormat="false" ht="15" hidden="false" customHeight="true" outlineLevel="0" collapsed="false">
      <c r="A1753" s="1" t="n">
        <v>51988</v>
      </c>
      <c r="B1753" s="3" t="n">
        <v>44046</v>
      </c>
      <c r="C1753" s="1" t="n">
        <v>630</v>
      </c>
      <c r="D1753" s="4" t="n">
        <v>673</v>
      </c>
      <c r="E1753" s="1" t="s">
        <v>1950</v>
      </c>
    </row>
    <row r="1754" customFormat="false" ht="15" hidden="false" customHeight="true" outlineLevel="0" collapsed="false">
      <c r="A1754" s="1" t="n">
        <v>51817</v>
      </c>
      <c r="B1754" s="3" t="n">
        <v>44050</v>
      </c>
      <c r="C1754" s="1" t="n">
        <v>779</v>
      </c>
      <c r="D1754" s="4" t="n">
        <v>468</v>
      </c>
      <c r="E1754" s="1" t="s">
        <v>1950</v>
      </c>
    </row>
    <row r="1755" customFormat="false" ht="15" hidden="false" customHeight="true" outlineLevel="0" collapsed="false">
      <c r="A1755" s="1" t="n">
        <v>50298</v>
      </c>
      <c r="B1755" s="3" t="n">
        <v>43999</v>
      </c>
      <c r="C1755" s="1" t="n">
        <v>1004</v>
      </c>
      <c r="D1755" s="4" t="n">
        <v>0</v>
      </c>
      <c r="E1755" s="1" t="s">
        <v>1949</v>
      </c>
    </row>
    <row r="1756" customFormat="false" ht="15" hidden="false" customHeight="true" outlineLevel="0" collapsed="false">
      <c r="A1756" s="1" t="n">
        <v>51813</v>
      </c>
      <c r="B1756" s="3" t="n">
        <v>44024</v>
      </c>
      <c r="C1756" s="1" t="n">
        <v>23</v>
      </c>
      <c r="D1756" s="4" t="n">
        <v>672</v>
      </c>
      <c r="E1756" s="1" t="s">
        <v>1950</v>
      </c>
    </row>
    <row r="1757" customFormat="false" ht="15" hidden="false" customHeight="true" outlineLevel="0" collapsed="false">
      <c r="A1757" s="1" t="n">
        <v>51453</v>
      </c>
      <c r="B1757" s="3" t="n">
        <v>43990</v>
      </c>
      <c r="C1757" s="1" t="n">
        <v>1338</v>
      </c>
      <c r="D1757" s="4" t="n">
        <v>0</v>
      </c>
      <c r="E1757" s="1" t="s">
        <v>1949</v>
      </c>
    </row>
    <row r="1758" customFormat="false" ht="15" hidden="false" customHeight="true" outlineLevel="0" collapsed="false">
      <c r="A1758" s="1" t="n">
        <v>50529</v>
      </c>
      <c r="B1758" s="3" t="n">
        <v>44054</v>
      </c>
      <c r="C1758" s="1" t="n">
        <v>1685</v>
      </c>
      <c r="D1758" s="4" t="n">
        <v>0</v>
      </c>
      <c r="E1758" s="1" t="s">
        <v>1949</v>
      </c>
    </row>
    <row r="1759" customFormat="false" ht="15" hidden="false" customHeight="true" outlineLevel="0" collapsed="false">
      <c r="A1759" s="1" t="n">
        <v>50738</v>
      </c>
      <c r="B1759" s="3" t="n">
        <v>43994</v>
      </c>
      <c r="C1759" s="1" t="n">
        <v>109</v>
      </c>
      <c r="D1759" s="4" t="n">
        <v>0</v>
      </c>
      <c r="E1759" s="1" t="s">
        <v>1949</v>
      </c>
    </row>
    <row r="1760" customFormat="false" ht="15" hidden="false" customHeight="true" outlineLevel="0" collapsed="false">
      <c r="A1760" s="1" t="n">
        <v>50059</v>
      </c>
      <c r="B1760" s="3" t="n">
        <v>44066</v>
      </c>
      <c r="C1760" s="1" t="n">
        <v>601</v>
      </c>
      <c r="D1760" s="4" t="n">
        <v>556</v>
      </c>
      <c r="E1760" s="1" t="s">
        <v>1950</v>
      </c>
    </row>
    <row r="1761" customFormat="false" ht="15" hidden="false" customHeight="true" outlineLevel="0" collapsed="false">
      <c r="A1761" s="1" t="n">
        <v>51564</v>
      </c>
      <c r="B1761" s="3" t="n">
        <v>44067</v>
      </c>
      <c r="C1761" s="1" t="n">
        <v>11</v>
      </c>
      <c r="D1761" s="4" t="n">
        <v>0</v>
      </c>
      <c r="E1761" s="1" t="s">
        <v>1949</v>
      </c>
    </row>
    <row r="1762" customFormat="false" ht="15" hidden="false" customHeight="true" outlineLevel="0" collapsed="false">
      <c r="A1762" s="1" t="n">
        <v>51615</v>
      </c>
      <c r="B1762" s="3" t="n">
        <v>44026</v>
      </c>
      <c r="C1762" s="1" t="n">
        <v>1933</v>
      </c>
      <c r="D1762" s="4" t="n">
        <v>0</v>
      </c>
      <c r="E1762" s="1" t="s">
        <v>1949</v>
      </c>
    </row>
    <row r="1763" customFormat="false" ht="15" hidden="false" customHeight="true" outlineLevel="0" collapsed="false">
      <c r="A1763" s="1" t="n">
        <v>51165</v>
      </c>
      <c r="B1763" s="3" t="n">
        <v>44023</v>
      </c>
      <c r="C1763" s="1" t="n">
        <v>1290</v>
      </c>
      <c r="D1763" s="4" t="n">
        <v>169</v>
      </c>
      <c r="E1763" s="1" t="s">
        <v>1950</v>
      </c>
    </row>
    <row r="1764" customFormat="false" ht="15" hidden="false" customHeight="true" outlineLevel="0" collapsed="false">
      <c r="A1764" s="1" t="n">
        <v>51158</v>
      </c>
      <c r="B1764" s="3" t="n">
        <v>44010</v>
      </c>
      <c r="C1764" s="1" t="n">
        <v>573</v>
      </c>
      <c r="D1764" s="4" t="n">
        <v>0</v>
      </c>
      <c r="E1764" s="1" t="s">
        <v>1949</v>
      </c>
    </row>
    <row r="1765" customFormat="false" ht="15" hidden="false" customHeight="true" outlineLevel="0" collapsed="false">
      <c r="A1765" s="1" t="n">
        <v>50988</v>
      </c>
      <c r="B1765" s="3" t="n">
        <v>44070</v>
      </c>
      <c r="C1765" s="1" t="n">
        <v>1927</v>
      </c>
      <c r="D1765" s="4" t="n">
        <v>590</v>
      </c>
      <c r="E1765" s="1" t="s">
        <v>1950</v>
      </c>
    </row>
    <row r="1766" customFormat="false" ht="15" hidden="false" customHeight="true" outlineLevel="0" collapsed="false">
      <c r="A1766" s="1" t="n">
        <v>50474</v>
      </c>
      <c r="B1766" s="3" t="n">
        <v>44036</v>
      </c>
      <c r="C1766" s="1" t="n">
        <v>1256</v>
      </c>
      <c r="D1766" s="4" t="n">
        <v>0</v>
      </c>
      <c r="E1766" s="1" t="s">
        <v>1949</v>
      </c>
    </row>
    <row r="1767" customFormat="false" ht="15" hidden="false" customHeight="true" outlineLevel="0" collapsed="false">
      <c r="A1767" s="1" t="n">
        <v>50734</v>
      </c>
      <c r="B1767" s="3" t="n">
        <v>44056</v>
      </c>
      <c r="C1767" s="1" t="n">
        <v>1090</v>
      </c>
      <c r="D1767" s="4" t="n">
        <v>196</v>
      </c>
      <c r="E1767" s="1" t="s">
        <v>1950</v>
      </c>
    </row>
    <row r="1768" customFormat="false" ht="15" hidden="false" customHeight="true" outlineLevel="0" collapsed="false">
      <c r="A1768" s="1" t="n">
        <v>50727</v>
      </c>
      <c r="B1768" s="3" t="n">
        <v>44024</v>
      </c>
      <c r="C1768" s="1" t="n">
        <v>1080</v>
      </c>
      <c r="D1768" s="4" t="n">
        <v>571</v>
      </c>
      <c r="E1768" s="1" t="s">
        <v>1950</v>
      </c>
    </row>
    <row r="1769" customFormat="false" ht="15" hidden="false" customHeight="true" outlineLevel="0" collapsed="false">
      <c r="A1769" s="1" t="n">
        <v>51907</v>
      </c>
      <c r="B1769" s="3" t="n">
        <v>43982</v>
      </c>
      <c r="C1769" s="1" t="n">
        <v>725</v>
      </c>
      <c r="D1769" s="4" t="n">
        <v>0</v>
      </c>
      <c r="E1769" s="1" t="s">
        <v>1949</v>
      </c>
    </row>
    <row r="1770" customFormat="false" ht="15" hidden="false" customHeight="true" outlineLevel="0" collapsed="false">
      <c r="A1770" s="1" t="n">
        <v>51364</v>
      </c>
      <c r="B1770" s="3" t="n">
        <v>44013</v>
      </c>
      <c r="C1770" s="1" t="n">
        <v>261</v>
      </c>
      <c r="D1770" s="4" t="n">
        <v>0</v>
      </c>
      <c r="E1770" s="1" t="s">
        <v>1949</v>
      </c>
    </row>
    <row r="1771" customFormat="false" ht="15" hidden="false" customHeight="true" outlineLevel="0" collapsed="false">
      <c r="A1771" s="1" t="n">
        <v>51036</v>
      </c>
      <c r="B1771" s="3" t="n">
        <v>44047</v>
      </c>
      <c r="C1771" s="1" t="n">
        <v>1544</v>
      </c>
      <c r="D1771" s="4" t="n">
        <v>0</v>
      </c>
      <c r="E1771" s="1" t="s">
        <v>1949</v>
      </c>
    </row>
    <row r="1772" customFormat="false" ht="15" hidden="false" customHeight="true" outlineLevel="0" collapsed="false">
      <c r="A1772" s="1" t="n">
        <v>50246</v>
      </c>
      <c r="B1772" s="3" t="n">
        <v>43985</v>
      </c>
      <c r="C1772" s="1" t="n">
        <v>515</v>
      </c>
      <c r="D1772" s="4" t="n">
        <v>0</v>
      </c>
      <c r="E1772" s="1" t="s">
        <v>1949</v>
      </c>
    </row>
    <row r="1773" customFormat="false" ht="15" hidden="false" customHeight="true" outlineLevel="0" collapsed="false">
      <c r="A1773" s="1" t="n">
        <v>51921</v>
      </c>
      <c r="B1773" s="3" t="n">
        <v>44053</v>
      </c>
      <c r="C1773" s="1" t="n">
        <v>555</v>
      </c>
      <c r="D1773" s="4" t="n">
        <v>178</v>
      </c>
      <c r="E1773" s="1" t="s">
        <v>1950</v>
      </c>
    </row>
    <row r="1774" customFormat="false" ht="15" hidden="false" customHeight="true" outlineLevel="0" collapsed="false">
      <c r="A1774" s="1" t="n">
        <v>50017</v>
      </c>
      <c r="B1774" s="3" t="n">
        <v>44049</v>
      </c>
      <c r="C1774" s="1" t="n">
        <v>1155</v>
      </c>
      <c r="D1774" s="4" t="n">
        <v>674</v>
      </c>
      <c r="E1774" s="1" t="s">
        <v>1950</v>
      </c>
    </row>
    <row r="1775" customFormat="false" ht="15" hidden="false" customHeight="true" outlineLevel="0" collapsed="false">
      <c r="A1775" s="1" t="n">
        <v>51073</v>
      </c>
      <c r="B1775" s="3" t="n">
        <v>43988</v>
      </c>
      <c r="C1775" s="1" t="n">
        <v>236</v>
      </c>
      <c r="D1775" s="4" t="n">
        <v>185</v>
      </c>
      <c r="E1775" s="1" t="s">
        <v>1950</v>
      </c>
    </row>
    <row r="1776" customFormat="false" ht="15" hidden="false" customHeight="true" outlineLevel="0" collapsed="false">
      <c r="A1776" s="1" t="n">
        <v>51772</v>
      </c>
      <c r="B1776" s="3" t="n">
        <v>44068</v>
      </c>
      <c r="C1776" s="1" t="n">
        <v>125</v>
      </c>
      <c r="D1776" s="4" t="n">
        <v>0</v>
      </c>
      <c r="E1776" s="1" t="s">
        <v>1949</v>
      </c>
    </row>
    <row r="1777" customFormat="false" ht="15" hidden="false" customHeight="true" outlineLevel="0" collapsed="false">
      <c r="A1777" s="1" t="n">
        <v>50537</v>
      </c>
      <c r="B1777" s="3" t="n">
        <v>44044</v>
      </c>
      <c r="C1777" s="1" t="n">
        <v>1438</v>
      </c>
      <c r="D1777" s="4" t="n">
        <v>692</v>
      </c>
      <c r="E1777" s="1" t="s">
        <v>1950</v>
      </c>
    </row>
    <row r="1778" customFormat="false" ht="15" hidden="false" customHeight="true" outlineLevel="0" collapsed="false">
      <c r="A1778" s="1" t="n">
        <v>51034</v>
      </c>
      <c r="B1778" s="3" t="n">
        <v>44010</v>
      </c>
      <c r="C1778" s="1" t="n">
        <v>786</v>
      </c>
      <c r="D1778" s="4" t="n">
        <v>461</v>
      </c>
      <c r="E1778" s="1" t="s">
        <v>1950</v>
      </c>
    </row>
    <row r="1779" customFormat="false" ht="15" hidden="false" customHeight="true" outlineLevel="0" collapsed="false">
      <c r="A1779" s="1" t="n">
        <v>51013</v>
      </c>
      <c r="B1779" s="3" t="n">
        <v>44036</v>
      </c>
      <c r="C1779" s="1" t="n">
        <v>678</v>
      </c>
      <c r="D1779" s="4" t="n">
        <v>732</v>
      </c>
      <c r="E1779" s="1" t="s">
        <v>1950</v>
      </c>
    </row>
    <row r="1780" customFormat="false" ht="15" hidden="false" customHeight="true" outlineLevel="0" collapsed="false">
      <c r="A1780" s="1" t="n">
        <v>50373</v>
      </c>
      <c r="B1780" s="3" t="n">
        <v>44020</v>
      </c>
      <c r="C1780" s="1" t="n">
        <v>377</v>
      </c>
      <c r="D1780" s="4" t="n">
        <v>0</v>
      </c>
      <c r="E1780" s="1" t="s">
        <v>1949</v>
      </c>
    </row>
    <row r="1781" customFormat="false" ht="15" hidden="false" customHeight="true" outlineLevel="0" collapsed="false">
      <c r="A1781" s="1" t="n">
        <v>50613</v>
      </c>
      <c r="B1781" s="3" t="n">
        <v>44008</v>
      </c>
      <c r="C1781" s="1" t="n">
        <v>563</v>
      </c>
      <c r="D1781" s="4" t="n">
        <v>114</v>
      </c>
      <c r="E1781" s="1" t="s">
        <v>1950</v>
      </c>
    </row>
    <row r="1782" customFormat="false" ht="15" hidden="false" customHeight="true" outlineLevel="0" collapsed="false">
      <c r="A1782" s="1" t="n">
        <v>51181</v>
      </c>
      <c r="B1782" s="3" t="n">
        <v>44008</v>
      </c>
      <c r="C1782" s="1" t="n">
        <v>1837</v>
      </c>
      <c r="D1782" s="4" t="n">
        <v>0</v>
      </c>
      <c r="E1782" s="1" t="s">
        <v>1949</v>
      </c>
    </row>
    <row r="1783" customFormat="false" ht="15" hidden="false" customHeight="true" outlineLevel="0" collapsed="false">
      <c r="A1783" s="1" t="n">
        <v>51604</v>
      </c>
      <c r="B1783" s="3" t="n">
        <v>44035</v>
      </c>
      <c r="C1783" s="1" t="n">
        <v>1760</v>
      </c>
      <c r="D1783" s="4" t="n">
        <v>0</v>
      </c>
      <c r="E1783" s="1" t="s">
        <v>1949</v>
      </c>
    </row>
    <row r="1784" customFormat="false" ht="15" hidden="false" customHeight="true" outlineLevel="0" collapsed="false">
      <c r="A1784" s="1" t="n">
        <v>50490</v>
      </c>
      <c r="B1784" s="3" t="n">
        <v>44026</v>
      </c>
      <c r="C1784" s="1" t="n">
        <v>835</v>
      </c>
      <c r="D1784" s="4" t="n">
        <v>859</v>
      </c>
      <c r="E1784" s="1" t="s">
        <v>1950</v>
      </c>
    </row>
    <row r="1785" customFormat="false" ht="15" hidden="false" customHeight="true" outlineLevel="0" collapsed="false">
      <c r="A1785" s="1" t="n">
        <v>50276</v>
      </c>
      <c r="B1785" s="3" t="n">
        <v>44005</v>
      </c>
      <c r="C1785" s="1" t="n">
        <v>1931</v>
      </c>
      <c r="D1785" s="4" t="n">
        <v>0</v>
      </c>
      <c r="E1785" s="1" t="s">
        <v>1949</v>
      </c>
    </row>
    <row r="1786" customFormat="false" ht="15" hidden="false" customHeight="true" outlineLevel="0" collapsed="false">
      <c r="A1786" s="1" t="n">
        <v>51727</v>
      </c>
      <c r="B1786" s="3" t="n">
        <v>44009</v>
      </c>
      <c r="C1786" s="1" t="n">
        <v>708</v>
      </c>
      <c r="D1786" s="4" t="n">
        <v>0</v>
      </c>
      <c r="E1786" s="1" t="s">
        <v>1949</v>
      </c>
    </row>
    <row r="1787" customFormat="false" ht="15" hidden="false" customHeight="true" outlineLevel="0" collapsed="false">
      <c r="A1787" s="1" t="n">
        <v>51291</v>
      </c>
      <c r="B1787" s="3" t="n">
        <v>44051</v>
      </c>
      <c r="C1787" s="1" t="n">
        <v>1771</v>
      </c>
      <c r="D1787" s="4" t="n">
        <v>0</v>
      </c>
      <c r="E1787" s="1" t="s">
        <v>1949</v>
      </c>
    </row>
    <row r="1788" customFormat="false" ht="15" hidden="false" customHeight="true" outlineLevel="0" collapsed="false">
      <c r="A1788" s="1" t="n">
        <v>51392</v>
      </c>
      <c r="B1788" s="3" t="n">
        <v>44027</v>
      </c>
      <c r="C1788" s="1" t="n">
        <v>1427</v>
      </c>
      <c r="D1788" s="4" t="n">
        <v>363</v>
      </c>
      <c r="E1788" s="1" t="s">
        <v>1950</v>
      </c>
    </row>
    <row r="1789" customFormat="false" ht="15" hidden="false" customHeight="true" outlineLevel="0" collapsed="false">
      <c r="A1789" s="1" t="n">
        <v>51208</v>
      </c>
      <c r="B1789" s="3" t="n">
        <v>44048</v>
      </c>
      <c r="C1789" s="1" t="n">
        <v>926</v>
      </c>
      <c r="D1789" s="4" t="n">
        <v>522</v>
      </c>
      <c r="E1789" s="1" t="s">
        <v>1950</v>
      </c>
    </row>
    <row r="1790" customFormat="false" ht="15" hidden="false" customHeight="true" outlineLevel="0" collapsed="false">
      <c r="A1790" s="1" t="n">
        <v>51074</v>
      </c>
      <c r="B1790" s="3" t="n">
        <v>44030</v>
      </c>
      <c r="C1790" s="1" t="n">
        <v>721</v>
      </c>
      <c r="D1790" s="4" t="n">
        <v>0</v>
      </c>
      <c r="E1790" s="1" t="s">
        <v>1949</v>
      </c>
    </row>
    <row r="1791" customFormat="false" ht="15" hidden="false" customHeight="true" outlineLevel="0" collapsed="false">
      <c r="A1791" s="1" t="n">
        <v>51866</v>
      </c>
      <c r="B1791" s="3" t="n">
        <v>44029</v>
      </c>
      <c r="C1791" s="1" t="n">
        <v>1307</v>
      </c>
      <c r="D1791" s="4" t="n">
        <v>0</v>
      </c>
      <c r="E1791" s="1" t="s">
        <v>1949</v>
      </c>
    </row>
    <row r="1792" customFormat="false" ht="15" hidden="false" customHeight="true" outlineLevel="0" collapsed="false">
      <c r="A1792" s="1" t="n">
        <v>50503</v>
      </c>
      <c r="B1792" s="3" t="n">
        <v>44054</v>
      </c>
      <c r="C1792" s="1" t="n">
        <v>683</v>
      </c>
      <c r="D1792" s="4" t="n">
        <v>656</v>
      </c>
      <c r="E1792" s="1" t="s">
        <v>1950</v>
      </c>
    </row>
    <row r="1793" customFormat="false" ht="15" hidden="false" customHeight="true" outlineLevel="0" collapsed="false">
      <c r="A1793" s="1" t="n">
        <v>50677</v>
      </c>
      <c r="B1793" s="3" t="n">
        <v>44061</v>
      </c>
      <c r="C1793" s="1" t="n">
        <v>1574</v>
      </c>
      <c r="D1793" s="4" t="n">
        <v>0</v>
      </c>
      <c r="E1793" s="1" t="s">
        <v>1949</v>
      </c>
    </row>
    <row r="1794" customFormat="false" ht="15" hidden="false" customHeight="true" outlineLevel="0" collapsed="false">
      <c r="A1794" s="1" t="n">
        <v>50179</v>
      </c>
      <c r="B1794" s="3" t="n">
        <v>44034</v>
      </c>
      <c r="C1794" s="1" t="n">
        <v>190</v>
      </c>
      <c r="D1794" s="4" t="n">
        <v>847</v>
      </c>
      <c r="E1794" s="1" t="s">
        <v>1950</v>
      </c>
    </row>
    <row r="1795" customFormat="false" ht="15" hidden="false" customHeight="true" outlineLevel="0" collapsed="false">
      <c r="A1795" s="1" t="n">
        <v>50718</v>
      </c>
      <c r="B1795" s="3" t="n">
        <v>43992</v>
      </c>
      <c r="C1795" s="1" t="n">
        <v>1391</v>
      </c>
      <c r="D1795" s="4" t="n">
        <v>0</v>
      </c>
      <c r="E1795" s="1" t="s">
        <v>1949</v>
      </c>
    </row>
    <row r="1796" customFormat="false" ht="15" hidden="false" customHeight="true" outlineLevel="0" collapsed="false">
      <c r="A1796" s="1" t="n">
        <v>51081</v>
      </c>
      <c r="B1796" s="3" t="n">
        <v>43983</v>
      </c>
      <c r="C1796" s="1" t="n">
        <v>866</v>
      </c>
      <c r="D1796" s="4" t="n">
        <v>104</v>
      </c>
      <c r="E1796" s="1" t="s">
        <v>1950</v>
      </c>
    </row>
    <row r="1797" customFormat="false" ht="15" hidden="false" customHeight="true" outlineLevel="0" collapsed="false">
      <c r="A1797" s="1" t="n">
        <v>50770</v>
      </c>
      <c r="B1797" s="3" t="n">
        <v>43998</v>
      </c>
      <c r="C1797" s="1" t="n">
        <v>425</v>
      </c>
      <c r="D1797" s="4" t="n">
        <v>809</v>
      </c>
      <c r="E1797" s="1" t="s">
        <v>1950</v>
      </c>
    </row>
    <row r="1798" customFormat="false" ht="15" hidden="false" customHeight="true" outlineLevel="0" collapsed="false">
      <c r="A1798" s="1" t="n">
        <v>51960</v>
      </c>
      <c r="B1798" s="3" t="n">
        <v>44026</v>
      </c>
      <c r="C1798" s="1" t="n">
        <v>1255</v>
      </c>
      <c r="D1798" s="4" t="n">
        <v>646</v>
      </c>
      <c r="E1798" s="1" t="s">
        <v>1950</v>
      </c>
    </row>
    <row r="1799" customFormat="false" ht="15" hidden="false" customHeight="true" outlineLevel="0" collapsed="false">
      <c r="A1799" s="1" t="n">
        <v>51136</v>
      </c>
      <c r="B1799" s="3" t="n">
        <v>44040</v>
      </c>
      <c r="C1799" s="1" t="n">
        <v>743</v>
      </c>
      <c r="D1799" s="4" t="n">
        <v>273</v>
      </c>
      <c r="E1799" s="1" t="s">
        <v>1950</v>
      </c>
    </row>
    <row r="1800" customFormat="false" ht="15" hidden="false" customHeight="true" outlineLevel="0" collapsed="false">
      <c r="A1800" s="1" t="n">
        <v>50538</v>
      </c>
      <c r="B1800" s="3" t="n">
        <v>44046</v>
      </c>
      <c r="C1800" s="1" t="n">
        <v>1757</v>
      </c>
      <c r="D1800" s="4" t="n">
        <v>0</v>
      </c>
      <c r="E1800" s="1" t="s">
        <v>1949</v>
      </c>
    </row>
    <row r="1801" customFormat="false" ht="15" hidden="false" customHeight="true" outlineLevel="0" collapsed="false">
      <c r="A1801" s="1" t="n">
        <v>51937</v>
      </c>
      <c r="B1801" s="3" t="n">
        <v>44064</v>
      </c>
      <c r="C1801" s="1" t="n">
        <v>1242</v>
      </c>
      <c r="D1801" s="4" t="n">
        <v>664</v>
      </c>
      <c r="E1801" s="1" t="s">
        <v>1950</v>
      </c>
    </row>
    <row r="1802" customFormat="false" ht="15" hidden="false" customHeight="true" outlineLevel="0" collapsed="false">
      <c r="A1802" s="1" t="n">
        <v>50937</v>
      </c>
      <c r="B1802" s="3" t="n">
        <v>44050</v>
      </c>
      <c r="C1802" s="1" t="n">
        <v>901</v>
      </c>
      <c r="D1802" s="4" t="n">
        <v>858</v>
      </c>
      <c r="E1802" s="1" t="s">
        <v>1950</v>
      </c>
    </row>
    <row r="1803" customFormat="false" ht="15" hidden="false" customHeight="true" outlineLevel="0" collapsed="false">
      <c r="A1803" s="1" t="n">
        <v>51207</v>
      </c>
      <c r="B1803" s="3" t="n">
        <v>44009</v>
      </c>
      <c r="C1803" s="1" t="n">
        <v>44</v>
      </c>
      <c r="D1803" s="4" t="n">
        <v>351</v>
      </c>
      <c r="E1803" s="1" t="s">
        <v>1950</v>
      </c>
    </row>
    <row r="1804" customFormat="false" ht="15" hidden="false" customHeight="true" outlineLevel="0" collapsed="false">
      <c r="A1804" s="1" t="n">
        <v>50381</v>
      </c>
      <c r="B1804" s="3" t="n">
        <v>44042</v>
      </c>
      <c r="C1804" s="1" t="n">
        <v>51</v>
      </c>
      <c r="D1804" s="4" t="n">
        <v>0</v>
      </c>
      <c r="E1804" s="1" t="s">
        <v>1949</v>
      </c>
    </row>
    <row r="1805" customFormat="false" ht="15" hidden="false" customHeight="true" outlineLevel="0" collapsed="false">
      <c r="A1805" s="1" t="n">
        <v>51603</v>
      </c>
      <c r="B1805" s="3" t="n">
        <v>44009</v>
      </c>
      <c r="C1805" s="1" t="n">
        <v>498</v>
      </c>
      <c r="D1805" s="4" t="n">
        <v>507</v>
      </c>
      <c r="E1805" s="1" t="s">
        <v>1950</v>
      </c>
    </row>
    <row r="1806" customFormat="false" ht="15" hidden="false" customHeight="true" outlineLevel="0" collapsed="false">
      <c r="A1806" s="1" t="n">
        <v>51119</v>
      </c>
      <c r="B1806" s="3" t="n">
        <v>44060</v>
      </c>
      <c r="C1806" s="1" t="n">
        <v>1921</v>
      </c>
      <c r="D1806" s="4" t="n">
        <v>0</v>
      </c>
      <c r="E1806" s="1" t="s">
        <v>1949</v>
      </c>
    </row>
    <row r="1807" customFormat="false" ht="15" hidden="false" customHeight="true" outlineLevel="0" collapsed="false">
      <c r="A1807" s="1" t="n">
        <v>50099</v>
      </c>
      <c r="B1807" s="3" t="n">
        <v>43982</v>
      </c>
      <c r="C1807" s="1" t="n">
        <v>1666</v>
      </c>
      <c r="D1807" s="4" t="n">
        <v>272</v>
      </c>
      <c r="E1807" s="1" t="s">
        <v>1950</v>
      </c>
    </row>
    <row r="1808" customFormat="false" ht="15" hidden="false" customHeight="true" outlineLevel="0" collapsed="false">
      <c r="A1808" s="1" t="n">
        <v>51828</v>
      </c>
      <c r="B1808" s="3" t="n">
        <v>44042</v>
      </c>
      <c r="C1808" s="1" t="n">
        <v>1495</v>
      </c>
      <c r="D1808" s="4" t="n">
        <v>0</v>
      </c>
      <c r="E1808" s="1" t="s">
        <v>1949</v>
      </c>
    </row>
    <row r="1809" customFormat="false" ht="15" hidden="false" customHeight="true" outlineLevel="0" collapsed="false">
      <c r="A1809" s="1" t="n">
        <v>50551</v>
      </c>
      <c r="B1809" s="3" t="n">
        <v>44039</v>
      </c>
      <c r="C1809" s="1" t="n">
        <v>932</v>
      </c>
      <c r="D1809" s="4" t="n">
        <v>239</v>
      </c>
      <c r="E1809" s="1" t="s">
        <v>1950</v>
      </c>
    </row>
    <row r="1810" customFormat="false" ht="15" hidden="false" customHeight="true" outlineLevel="0" collapsed="false">
      <c r="A1810" s="1" t="n">
        <v>51626</v>
      </c>
      <c r="B1810" s="3" t="n">
        <v>44068</v>
      </c>
      <c r="C1810" s="1" t="n">
        <v>1778</v>
      </c>
      <c r="D1810" s="4" t="n">
        <v>0</v>
      </c>
      <c r="E1810" s="1" t="s">
        <v>1949</v>
      </c>
    </row>
    <row r="1811" customFormat="false" ht="15" hidden="false" customHeight="true" outlineLevel="0" collapsed="false">
      <c r="A1811" s="1" t="n">
        <v>50280</v>
      </c>
      <c r="B1811" s="3" t="n">
        <v>44011</v>
      </c>
      <c r="C1811" s="1" t="n">
        <v>426</v>
      </c>
      <c r="D1811" s="4" t="n">
        <v>0</v>
      </c>
      <c r="E1811" s="1" t="s">
        <v>1949</v>
      </c>
    </row>
    <row r="1812" customFormat="false" ht="15" hidden="false" customHeight="true" outlineLevel="0" collapsed="false">
      <c r="A1812" s="1" t="n">
        <v>50572</v>
      </c>
      <c r="B1812" s="3" t="n">
        <v>44071</v>
      </c>
      <c r="C1812" s="1" t="n">
        <v>2</v>
      </c>
      <c r="D1812" s="4" t="n">
        <v>548</v>
      </c>
      <c r="E1812" s="1" t="s">
        <v>1950</v>
      </c>
    </row>
    <row r="1813" customFormat="false" ht="15" hidden="false" customHeight="true" outlineLevel="0" collapsed="false">
      <c r="A1813" s="1" t="n">
        <v>51061</v>
      </c>
      <c r="B1813" s="3" t="n">
        <v>44057</v>
      </c>
      <c r="C1813" s="1" t="n">
        <v>1708</v>
      </c>
      <c r="D1813" s="4" t="n">
        <v>0</v>
      </c>
      <c r="E1813" s="1" t="s">
        <v>1949</v>
      </c>
    </row>
    <row r="1814" customFormat="false" ht="15" hidden="false" customHeight="true" outlineLevel="0" collapsed="false">
      <c r="A1814" s="1" t="n">
        <v>50453</v>
      </c>
      <c r="B1814" s="3" t="n">
        <v>44039</v>
      </c>
      <c r="C1814" s="1" t="n">
        <v>751</v>
      </c>
      <c r="D1814" s="4" t="n">
        <v>759</v>
      </c>
      <c r="E1814" s="1" t="s">
        <v>1950</v>
      </c>
    </row>
    <row r="1815" customFormat="false" ht="15" hidden="false" customHeight="true" outlineLevel="0" collapsed="false">
      <c r="A1815" s="1" t="n">
        <v>50061</v>
      </c>
      <c r="B1815" s="3" t="n">
        <v>44020</v>
      </c>
      <c r="C1815" s="1" t="n">
        <v>658</v>
      </c>
      <c r="D1815" s="4" t="n">
        <v>491</v>
      </c>
      <c r="E1815" s="1" t="s">
        <v>1950</v>
      </c>
    </row>
    <row r="1816" customFormat="false" ht="15" hidden="false" customHeight="true" outlineLevel="0" collapsed="false">
      <c r="A1816" s="1" t="n">
        <v>51478</v>
      </c>
      <c r="B1816" s="3" t="n">
        <v>44048</v>
      </c>
      <c r="C1816" s="1" t="n">
        <v>139</v>
      </c>
      <c r="D1816" s="4" t="n">
        <v>497</v>
      </c>
      <c r="E1816" s="1" t="s">
        <v>1950</v>
      </c>
    </row>
    <row r="1817" customFormat="false" ht="15" hidden="false" customHeight="true" outlineLevel="0" collapsed="false">
      <c r="A1817" s="1" t="n">
        <v>50615</v>
      </c>
      <c r="B1817" s="3" t="n">
        <v>44018</v>
      </c>
      <c r="C1817" s="1" t="n">
        <v>117</v>
      </c>
      <c r="D1817" s="4" t="n">
        <v>669</v>
      </c>
      <c r="E1817" s="1" t="s">
        <v>1950</v>
      </c>
    </row>
    <row r="1818" customFormat="false" ht="15" hidden="false" customHeight="true" outlineLevel="0" collapsed="false">
      <c r="A1818" s="1" t="n">
        <v>51450</v>
      </c>
      <c r="B1818" s="3" t="n">
        <v>44069</v>
      </c>
      <c r="C1818" s="1" t="n">
        <v>710</v>
      </c>
      <c r="D1818" s="4" t="n">
        <v>0</v>
      </c>
      <c r="E1818" s="1" t="s">
        <v>1949</v>
      </c>
    </row>
    <row r="1819" customFormat="false" ht="15" hidden="false" customHeight="true" outlineLevel="0" collapsed="false">
      <c r="A1819" s="1" t="n">
        <v>51737</v>
      </c>
      <c r="B1819" s="3" t="n">
        <v>44033</v>
      </c>
      <c r="C1819" s="1" t="n">
        <v>1178</v>
      </c>
      <c r="D1819" s="4" t="n">
        <v>0</v>
      </c>
      <c r="E1819" s="1" t="s">
        <v>1949</v>
      </c>
    </row>
    <row r="1820" customFormat="false" ht="15" hidden="false" customHeight="true" outlineLevel="0" collapsed="false">
      <c r="A1820" s="1" t="n">
        <v>51022</v>
      </c>
      <c r="B1820" s="3" t="n">
        <v>44019</v>
      </c>
      <c r="C1820" s="1" t="n">
        <v>939</v>
      </c>
      <c r="D1820" s="4" t="n">
        <v>299</v>
      </c>
      <c r="E1820" s="1" t="s">
        <v>1950</v>
      </c>
    </row>
    <row r="1821" customFormat="false" ht="15" hidden="false" customHeight="true" outlineLevel="0" collapsed="false">
      <c r="A1821" s="1" t="n">
        <v>50151</v>
      </c>
      <c r="B1821" s="3" t="n">
        <v>44064</v>
      </c>
      <c r="C1821" s="1" t="n">
        <v>1325</v>
      </c>
      <c r="D1821" s="4" t="n">
        <v>0</v>
      </c>
      <c r="E1821" s="1" t="s">
        <v>1949</v>
      </c>
    </row>
    <row r="1822" customFormat="false" ht="15" hidden="false" customHeight="true" outlineLevel="0" collapsed="false">
      <c r="A1822" s="1" t="n">
        <v>51362</v>
      </c>
      <c r="B1822" s="3" t="n">
        <v>43997</v>
      </c>
      <c r="C1822" s="1" t="n">
        <v>1111</v>
      </c>
      <c r="D1822" s="4" t="n">
        <v>0</v>
      </c>
      <c r="E1822" s="1" t="s">
        <v>1949</v>
      </c>
    </row>
    <row r="1823" customFormat="false" ht="15" hidden="false" customHeight="true" outlineLevel="0" collapsed="false">
      <c r="A1823" s="1" t="n">
        <v>51214</v>
      </c>
      <c r="B1823" s="3" t="n">
        <v>44066</v>
      </c>
      <c r="C1823" s="1" t="n">
        <v>1555</v>
      </c>
      <c r="D1823" s="4" t="n">
        <v>0</v>
      </c>
      <c r="E1823" s="1" t="s">
        <v>1949</v>
      </c>
    </row>
    <row r="1824" customFormat="false" ht="15" hidden="false" customHeight="true" outlineLevel="0" collapsed="false">
      <c r="A1824" s="1" t="n">
        <v>51502</v>
      </c>
      <c r="B1824" s="3" t="n">
        <v>44030</v>
      </c>
      <c r="C1824" s="1" t="n">
        <v>1492</v>
      </c>
      <c r="D1824" s="4" t="n">
        <v>804</v>
      </c>
      <c r="E1824" s="1" t="s">
        <v>1950</v>
      </c>
    </row>
    <row r="1825" customFormat="false" ht="15" hidden="false" customHeight="true" outlineLevel="0" collapsed="false">
      <c r="A1825" s="1" t="n">
        <v>51679</v>
      </c>
      <c r="B1825" s="3" t="n">
        <v>44048</v>
      </c>
      <c r="C1825" s="1" t="n">
        <v>1451</v>
      </c>
      <c r="D1825" s="4" t="n">
        <v>0</v>
      </c>
      <c r="E1825" s="1" t="s">
        <v>1949</v>
      </c>
    </row>
    <row r="1826" customFormat="false" ht="15" hidden="false" customHeight="true" outlineLevel="0" collapsed="false">
      <c r="A1826" s="1" t="n">
        <v>50111</v>
      </c>
      <c r="B1826" s="3" t="n">
        <v>44049</v>
      </c>
      <c r="C1826" s="1" t="n">
        <v>417</v>
      </c>
      <c r="D1826" s="4" t="n">
        <v>406</v>
      </c>
      <c r="E1826" s="1" t="s">
        <v>1950</v>
      </c>
    </row>
    <row r="1827" customFormat="false" ht="15" hidden="false" customHeight="true" outlineLevel="0" collapsed="false">
      <c r="A1827" s="1" t="n">
        <v>51720</v>
      </c>
      <c r="B1827" s="3" t="n">
        <v>43997</v>
      </c>
      <c r="C1827" s="1" t="n">
        <v>134</v>
      </c>
      <c r="D1827" s="4" t="n">
        <v>0</v>
      </c>
      <c r="E1827" s="1" t="s">
        <v>1949</v>
      </c>
    </row>
    <row r="1828" customFormat="false" ht="15" hidden="false" customHeight="true" outlineLevel="0" collapsed="false">
      <c r="A1828" s="1" t="n">
        <v>51755</v>
      </c>
      <c r="B1828" s="3" t="n">
        <v>44068</v>
      </c>
      <c r="C1828" s="1" t="n">
        <v>1638</v>
      </c>
      <c r="D1828" s="4" t="n">
        <v>0</v>
      </c>
      <c r="E1828" s="1" t="s">
        <v>1949</v>
      </c>
    </row>
    <row r="1829" customFormat="false" ht="15" hidden="false" customHeight="true" outlineLevel="0" collapsed="false">
      <c r="A1829" s="1" t="n">
        <v>50969</v>
      </c>
      <c r="B1829" s="3" t="n">
        <v>44047</v>
      </c>
      <c r="C1829" s="1" t="n">
        <v>240</v>
      </c>
      <c r="D1829" s="4" t="n">
        <v>118</v>
      </c>
      <c r="E1829" s="1" t="s">
        <v>1950</v>
      </c>
    </row>
    <row r="1830" customFormat="false" ht="15" hidden="false" customHeight="true" outlineLevel="0" collapsed="false">
      <c r="A1830" s="1" t="n">
        <v>51004</v>
      </c>
      <c r="B1830" s="3" t="n">
        <v>44067</v>
      </c>
      <c r="C1830" s="1" t="n">
        <v>1447</v>
      </c>
      <c r="D1830" s="4" t="n">
        <v>0</v>
      </c>
      <c r="E1830" s="1" t="s">
        <v>1949</v>
      </c>
    </row>
    <row r="1831" customFormat="false" ht="15" hidden="false" customHeight="true" outlineLevel="0" collapsed="false">
      <c r="A1831" s="1" t="n">
        <v>50022</v>
      </c>
      <c r="B1831" s="3" t="n">
        <v>43988</v>
      </c>
      <c r="C1831" s="1" t="n">
        <v>1435</v>
      </c>
      <c r="D1831" s="4" t="n">
        <v>0</v>
      </c>
      <c r="E1831" s="1" t="s">
        <v>1949</v>
      </c>
    </row>
    <row r="1832" customFormat="false" ht="15" hidden="false" customHeight="true" outlineLevel="0" collapsed="false">
      <c r="A1832" s="1" t="n">
        <v>50987</v>
      </c>
      <c r="B1832" s="3" t="n">
        <v>44064</v>
      </c>
      <c r="C1832" s="1" t="n">
        <v>496</v>
      </c>
      <c r="D1832" s="4" t="n">
        <v>222</v>
      </c>
      <c r="E1832" s="1" t="s">
        <v>1950</v>
      </c>
    </row>
    <row r="1833" customFormat="false" ht="15" hidden="false" customHeight="true" outlineLevel="0" collapsed="false">
      <c r="A1833" s="1" t="n">
        <v>50248</v>
      </c>
      <c r="B1833" s="3" t="n">
        <v>44050</v>
      </c>
      <c r="C1833" s="1" t="n">
        <v>524</v>
      </c>
      <c r="D1833" s="4" t="n">
        <v>721</v>
      </c>
      <c r="E1833" s="1" t="s">
        <v>1950</v>
      </c>
    </row>
    <row r="1834" customFormat="false" ht="15" hidden="false" customHeight="true" outlineLevel="0" collapsed="false">
      <c r="A1834" s="1" t="n">
        <v>50253</v>
      </c>
      <c r="B1834" s="3" t="n">
        <v>44061</v>
      </c>
      <c r="C1834" s="1" t="n">
        <v>1384</v>
      </c>
      <c r="D1834" s="4" t="n">
        <v>109</v>
      </c>
      <c r="E1834" s="1" t="s">
        <v>1950</v>
      </c>
    </row>
    <row r="1835" customFormat="false" ht="15" hidden="false" customHeight="true" outlineLevel="0" collapsed="false">
      <c r="A1835" s="1" t="n">
        <v>51876</v>
      </c>
      <c r="B1835" s="3" t="n">
        <v>43993</v>
      </c>
      <c r="C1835" s="1" t="n">
        <v>1245</v>
      </c>
      <c r="D1835" s="4" t="n">
        <v>0</v>
      </c>
      <c r="E1835" s="1" t="s">
        <v>1949</v>
      </c>
    </row>
    <row r="1836" customFormat="false" ht="15" hidden="false" customHeight="true" outlineLevel="0" collapsed="false">
      <c r="A1836" s="1" t="n">
        <v>51891</v>
      </c>
      <c r="B1836" s="3" t="n">
        <v>43993</v>
      </c>
      <c r="C1836" s="1" t="n">
        <v>1098</v>
      </c>
      <c r="D1836" s="4" t="n">
        <v>0</v>
      </c>
      <c r="E1836" s="1" t="s">
        <v>1949</v>
      </c>
    </row>
    <row r="1837" customFormat="false" ht="15" hidden="false" customHeight="true" outlineLevel="0" collapsed="false">
      <c r="A1837" s="1" t="n">
        <v>51020</v>
      </c>
      <c r="B1837" s="3" t="n">
        <v>44030</v>
      </c>
      <c r="C1837" s="1" t="n">
        <v>77</v>
      </c>
      <c r="D1837" s="4" t="n">
        <v>809</v>
      </c>
      <c r="E1837" s="1" t="s">
        <v>1950</v>
      </c>
    </row>
    <row r="1838" customFormat="false" ht="15" hidden="false" customHeight="true" outlineLevel="0" collapsed="false">
      <c r="A1838" s="1" t="n">
        <v>50683</v>
      </c>
      <c r="B1838" s="3" t="n">
        <v>44007</v>
      </c>
      <c r="C1838" s="1" t="n">
        <v>1017</v>
      </c>
      <c r="D1838" s="4" t="n">
        <v>0</v>
      </c>
      <c r="E1838" s="1" t="s">
        <v>1949</v>
      </c>
    </row>
    <row r="1839" customFormat="false" ht="15" hidden="false" customHeight="true" outlineLevel="0" collapsed="false">
      <c r="A1839" s="1" t="n">
        <v>51232</v>
      </c>
      <c r="B1839" s="3" t="n">
        <v>44064</v>
      </c>
      <c r="C1839" s="1" t="n">
        <v>1412</v>
      </c>
      <c r="D1839" s="4" t="n">
        <v>0</v>
      </c>
      <c r="E1839" s="1" t="s">
        <v>1949</v>
      </c>
    </row>
    <row r="1840" customFormat="false" ht="15" hidden="false" customHeight="true" outlineLevel="0" collapsed="false">
      <c r="A1840" s="1" t="n">
        <v>51837</v>
      </c>
      <c r="B1840" s="3" t="n">
        <v>44040</v>
      </c>
      <c r="C1840" s="1" t="n">
        <v>991</v>
      </c>
      <c r="D1840" s="4" t="n">
        <v>470</v>
      </c>
      <c r="E1840" s="1" t="s">
        <v>1950</v>
      </c>
    </row>
    <row r="1841" customFormat="false" ht="15" hidden="false" customHeight="true" outlineLevel="0" collapsed="false">
      <c r="A1841" s="1" t="n">
        <v>51654</v>
      </c>
      <c r="B1841" s="3" t="n">
        <v>44026</v>
      </c>
      <c r="C1841" s="1" t="n">
        <v>234</v>
      </c>
      <c r="D1841" s="4" t="n">
        <v>0</v>
      </c>
      <c r="E1841" s="1" t="s">
        <v>1949</v>
      </c>
    </row>
    <row r="1842" customFormat="false" ht="15" hidden="false" customHeight="true" outlineLevel="0" collapsed="false">
      <c r="A1842" s="1" t="n">
        <v>51442</v>
      </c>
      <c r="B1842" s="3" t="n">
        <v>44035</v>
      </c>
      <c r="C1842" s="1" t="n">
        <v>244</v>
      </c>
      <c r="D1842" s="4" t="n">
        <v>541</v>
      </c>
      <c r="E1842" s="1" t="s">
        <v>1950</v>
      </c>
    </row>
    <row r="1843" customFormat="false" ht="15" hidden="false" customHeight="true" outlineLevel="0" collapsed="false">
      <c r="A1843" s="1" t="n">
        <v>51123</v>
      </c>
      <c r="B1843" s="3" t="n">
        <v>44020</v>
      </c>
      <c r="C1843" s="1" t="n">
        <v>1328</v>
      </c>
      <c r="D1843" s="4" t="n">
        <v>672</v>
      </c>
      <c r="E1843" s="1" t="s">
        <v>1950</v>
      </c>
    </row>
    <row r="1844" customFormat="false" ht="15" hidden="false" customHeight="true" outlineLevel="0" collapsed="false">
      <c r="A1844" s="1" t="n">
        <v>50607</v>
      </c>
      <c r="B1844" s="3" t="n">
        <v>44024</v>
      </c>
      <c r="C1844" s="1" t="n">
        <v>1667</v>
      </c>
      <c r="D1844" s="4" t="n">
        <v>294</v>
      </c>
      <c r="E1844" s="1" t="s">
        <v>1950</v>
      </c>
    </row>
    <row r="1845" customFormat="false" ht="15" hidden="false" customHeight="true" outlineLevel="0" collapsed="false">
      <c r="A1845" s="1" t="n">
        <v>50217</v>
      </c>
      <c r="B1845" s="3" t="n">
        <v>44025</v>
      </c>
      <c r="C1845" s="1" t="n">
        <v>988</v>
      </c>
      <c r="D1845" s="4" t="n">
        <v>0</v>
      </c>
      <c r="E1845" s="1" t="s">
        <v>1949</v>
      </c>
    </row>
    <row r="1846" customFormat="false" ht="15" hidden="false" customHeight="true" outlineLevel="0" collapsed="false">
      <c r="A1846" s="1" t="n">
        <v>51169</v>
      </c>
      <c r="B1846" s="3" t="n">
        <v>44042</v>
      </c>
      <c r="C1846" s="1" t="n">
        <v>574</v>
      </c>
      <c r="D1846" s="4" t="n">
        <v>896</v>
      </c>
      <c r="E1846" s="1" t="s">
        <v>1950</v>
      </c>
    </row>
    <row r="1847" customFormat="false" ht="15" hidden="false" customHeight="true" outlineLevel="0" collapsed="false">
      <c r="A1847" s="1" t="n">
        <v>51582</v>
      </c>
      <c r="B1847" s="3" t="n">
        <v>44015</v>
      </c>
      <c r="C1847" s="1" t="n">
        <v>1363</v>
      </c>
      <c r="D1847" s="4" t="n">
        <v>0</v>
      </c>
      <c r="E1847" s="1" t="s">
        <v>1949</v>
      </c>
    </row>
    <row r="1848" customFormat="false" ht="15" hidden="false" customHeight="true" outlineLevel="0" collapsed="false">
      <c r="A1848" s="1" t="n">
        <v>51288</v>
      </c>
      <c r="B1848" s="3" t="n">
        <v>44028</v>
      </c>
      <c r="C1848" s="1" t="n">
        <v>364</v>
      </c>
      <c r="D1848" s="4" t="n">
        <v>337</v>
      </c>
      <c r="E1848" s="1" t="s">
        <v>1950</v>
      </c>
    </row>
    <row r="1849" customFormat="false" ht="15" hidden="false" customHeight="true" outlineLevel="0" collapsed="false">
      <c r="A1849" s="1" t="n">
        <v>51323</v>
      </c>
      <c r="B1849" s="3" t="n">
        <v>43989</v>
      </c>
      <c r="C1849" s="1" t="n">
        <v>803</v>
      </c>
      <c r="D1849" s="4" t="n">
        <v>423</v>
      </c>
      <c r="E1849" s="1" t="s">
        <v>1950</v>
      </c>
    </row>
    <row r="1850" customFormat="false" ht="15" hidden="false" customHeight="true" outlineLevel="0" collapsed="false">
      <c r="A1850" s="1" t="n">
        <v>51928</v>
      </c>
      <c r="B1850" s="3" t="n">
        <v>44012</v>
      </c>
      <c r="C1850" s="1" t="n">
        <v>1716</v>
      </c>
      <c r="D1850" s="4" t="n">
        <v>0</v>
      </c>
      <c r="E1850" s="1" t="s">
        <v>1949</v>
      </c>
    </row>
    <row r="1851" customFormat="false" ht="15" hidden="false" customHeight="true" outlineLevel="0" collapsed="false">
      <c r="A1851" s="1" t="n">
        <v>50931</v>
      </c>
      <c r="B1851" s="3" t="n">
        <v>43989</v>
      </c>
      <c r="C1851" s="1" t="n">
        <v>857</v>
      </c>
      <c r="D1851" s="4" t="n">
        <v>851</v>
      </c>
      <c r="E1851" s="1" t="s">
        <v>1950</v>
      </c>
    </row>
    <row r="1852" customFormat="false" ht="15" hidden="false" customHeight="true" outlineLevel="0" collapsed="false">
      <c r="A1852" s="1" t="n">
        <v>50608</v>
      </c>
      <c r="B1852" s="3" t="n">
        <v>44017</v>
      </c>
      <c r="C1852" s="1" t="n">
        <v>1092</v>
      </c>
      <c r="D1852" s="4" t="n">
        <v>0</v>
      </c>
      <c r="E1852" s="1" t="s">
        <v>1949</v>
      </c>
    </row>
    <row r="1853" customFormat="false" ht="15" hidden="false" customHeight="true" outlineLevel="0" collapsed="false">
      <c r="A1853" s="1" t="n">
        <v>51538</v>
      </c>
      <c r="B1853" s="3" t="n">
        <v>43999</v>
      </c>
      <c r="C1853" s="1" t="n">
        <v>369</v>
      </c>
      <c r="D1853" s="4" t="n">
        <v>747</v>
      </c>
      <c r="E1853" s="1" t="s">
        <v>1950</v>
      </c>
    </row>
    <row r="1854" customFormat="false" ht="15" hidden="false" customHeight="true" outlineLevel="0" collapsed="false">
      <c r="A1854" s="1" t="n">
        <v>50560</v>
      </c>
      <c r="B1854" s="3" t="n">
        <v>43993</v>
      </c>
      <c r="C1854" s="1" t="n">
        <v>1521</v>
      </c>
      <c r="D1854" s="4" t="n">
        <v>812</v>
      </c>
      <c r="E1854" s="1" t="s">
        <v>1950</v>
      </c>
    </row>
    <row r="1855" customFormat="false" ht="15" hidden="false" customHeight="true" outlineLevel="0" collapsed="false">
      <c r="A1855" s="1" t="n">
        <v>51863</v>
      </c>
      <c r="B1855" s="3" t="n">
        <v>44037</v>
      </c>
      <c r="C1855" s="1" t="n">
        <v>442</v>
      </c>
      <c r="D1855" s="4" t="n">
        <v>332</v>
      </c>
      <c r="E1855" s="1" t="s">
        <v>1950</v>
      </c>
    </row>
    <row r="1856" customFormat="false" ht="15" hidden="false" customHeight="true" outlineLevel="0" collapsed="false">
      <c r="A1856" s="1" t="n">
        <v>50797</v>
      </c>
      <c r="B1856" s="3" t="n">
        <v>44054</v>
      </c>
      <c r="C1856" s="1" t="n">
        <v>679</v>
      </c>
      <c r="D1856" s="4" t="n">
        <v>0</v>
      </c>
      <c r="E1856" s="1" t="s">
        <v>1949</v>
      </c>
    </row>
    <row r="1857" customFormat="false" ht="15" hidden="false" customHeight="true" outlineLevel="0" collapsed="false">
      <c r="A1857" s="1" t="n">
        <v>51213</v>
      </c>
      <c r="B1857" s="3" t="n">
        <v>44064</v>
      </c>
      <c r="C1857" s="1" t="n">
        <v>1280</v>
      </c>
      <c r="D1857" s="4" t="n">
        <v>333</v>
      </c>
      <c r="E1857" s="1" t="s">
        <v>1950</v>
      </c>
    </row>
    <row r="1858" customFormat="false" ht="15" hidden="false" customHeight="true" outlineLevel="0" collapsed="false">
      <c r="A1858" s="1" t="n">
        <v>51684</v>
      </c>
      <c r="B1858" s="3" t="n">
        <v>43999</v>
      </c>
      <c r="C1858" s="1" t="n">
        <v>882</v>
      </c>
      <c r="D1858" s="4" t="n">
        <v>0</v>
      </c>
      <c r="E1858" s="1" t="s">
        <v>1949</v>
      </c>
    </row>
    <row r="1859" customFormat="false" ht="15" hidden="false" customHeight="true" outlineLevel="0" collapsed="false">
      <c r="A1859" s="1" t="n">
        <v>51788</v>
      </c>
      <c r="B1859" s="3" t="n">
        <v>43986</v>
      </c>
      <c r="C1859" s="1" t="n">
        <v>50</v>
      </c>
      <c r="D1859" s="4" t="n">
        <v>0</v>
      </c>
      <c r="E1859" s="1" t="s">
        <v>1949</v>
      </c>
    </row>
    <row r="1860" customFormat="false" ht="15" hidden="false" customHeight="true" outlineLevel="0" collapsed="false">
      <c r="A1860" s="1" t="n">
        <v>51412</v>
      </c>
      <c r="B1860" s="3" t="n">
        <v>44043</v>
      </c>
      <c r="C1860" s="1" t="n">
        <v>416</v>
      </c>
      <c r="D1860" s="4" t="n">
        <v>0</v>
      </c>
      <c r="E1860" s="1" t="s">
        <v>1949</v>
      </c>
    </row>
    <row r="1861" customFormat="false" ht="15" hidden="false" customHeight="true" outlineLevel="0" collapsed="false">
      <c r="A1861" s="1" t="n">
        <v>51918</v>
      </c>
      <c r="B1861" s="3" t="n">
        <v>44037</v>
      </c>
      <c r="C1861" s="1" t="n">
        <v>74</v>
      </c>
      <c r="D1861" s="4" t="n">
        <v>0</v>
      </c>
      <c r="E1861" s="1" t="s">
        <v>1949</v>
      </c>
    </row>
    <row r="1862" customFormat="false" ht="15" hidden="false" customHeight="true" outlineLevel="0" collapsed="false">
      <c r="A1862" s="1" t="n">
        <v>50110</v>
      </c>
      <c r="B1862" s="3" t="n">
        <v>44041</v>
      </c>
      <c r="C1862" s="1" t="n">
        <v>1675</v>
      </c>
      <c r="D1862" s="4" t="n">
        <v>119</v>
      </c>
      <c r="E1862" s="1" t="s">
        <v>1950</v>
      </c>
    </row>
    <row r="1863" customFormat="false" ht="15" hidden="false" customHeight="true" outlineLevel="0" collapsed="false">
      <c r="A1863" s="1" t="n">
        <v>50642</v>
      </c>
      <c r="B1863" s="3" t="n">
        <v>44041</v>
      </c>
      <c r="C1863" s="1" t="n">
        <v>1262</v>
      </c>
      <c r="D1863" s="4" t="n">
        <v>0</v>
      </c>
      <c r="E1863" s="1" t="s">
        <v>1949</v>
      </c>
    </row>
    <row r="1864" customFormat="false" ht="15" hidden="false" customHeight="true" outlineLevel="0" collapsed="false">
      <c r="A1864" s="1" t="n">
        <v>51245</v>
      </c>
      <c r="B1864" s="3" t="n">
        <v>43987</v>
      </c>
      <c r="C1864" s="1" t="n">
        <v>620</v>
      </c>
      <c r="D1864" s="4" t="n">
        <v>658</v>
      </c>
      <c r="E1864" s="1" t="s">
        <v>1950</v>
      </c>
    </row>
    <row r="1865" customFormat="false" ht="15" hidden="false" customHeight="true" outlineLevel="0" collapsed="false">
      <c r="A1865" s="1" t="n">
        <v>51827</v>
      </c>
      <c r="B1865" s="3" t="n">
        <v>44050</v>
      </c>
      <c r="C1865" s="1" t="n">
        <v>1504</v>
      </c>
      <c r="D1865" s="4" t="n">
        <v>760</v>
      </c>
      <c r="E1865" s="1" t="s">
        <v>1950</v>
      </c>
    </row>
    <row r="1866" customFormat="false" ht="15" hidden="false" customHeight="true" outlineLevel="0" collapsed="false">
      <c r="A1866" s="1" t="n">
        <v>50126</v>
      </c>
      <c r="B1866" s="3" t="n">
        <v>44005</v>
      </c>
      <c r="C1866" s="1" t="n">
        <v>762</v>
      </c>
      <c r="D1866" s="4" t="n">
        <v>238</v>
      </c>
      <c r="E1866" s="1" t="s">
        <v>1950</v>
      </c>
    </row>
    <row r="1867" customFormat="false" ht="15" hidden="false" customHeight="true" outlineLevel="0" collapsed="false">
      <c r="A1867" s="1" t="n">
        <v>51790</v>
      </c>
      <c r="B1867" s="3" t="n">
        <v>43988</v>
      </c>
      <c r="C1867" s="1" t="n">
        <v>396</v>
      </c>
      <c r="D1867" s="4" t="n">
        <v>836</v>
      </c>
      <c r="E1867" s="1" t="s">
        <v>1950</v>
      </c>
    </row>
    <row r="1868" customFormat="false" ht="15" hidden="false" customHeight="true" outlineLevel="0" collapsed="false">
      <c r="A1868" s="1" t="n">
        <v>50990</v>
      </c>
      <c r="B1868" s="3" t="n">
        <v>44041</v>
      </c>
      <c r="C1868" s="1" t="n">
        <v>339</v>
      </c>
      <c r="D1868" s="4" t="n">
        <v>560</v>
      </c>
      <c r="E1868" s="1" t="s">
        <v>1950</v>
      </c>
    </row>
    <row r="1869" customFormat="false" ht="15" hidden="false" customHeight="true" outlineLevel="0" collapsed="false">
      <c r="A1869" s="1" t="n">
        <v>50345</v>
      </c>
      <c r="B1869" s="3" t="n">
        <v>44014</v>
      </c>
      <c r="C1869" s="1" t="n">
        <v>1476</v>
      </c>
      <c r="D1869" s="4" t="n">
        <v>127</v>
      </c>
      <c r="E1869" s="1" t="s">
        <v>1950</v>
      </c>
    </row>
    <row r="1870" customFormat="false" ht="15" hidden="false" customHeight="true" outlineLevel="0" collapsed="false">
      <c r="A1870" s="1" t="n">
        <v>50804</v>
      </c>
      <c r="B1870" s="3" t="n">
        <v>44058</v>
      </c>
      <c r="C1870" s="1" t="n">
        <v>1432</v>
      </c>
      <c r="D1870" s="4" t="n">
        <v>0</v>
      </c>
      <c r="E1870" s="1" t="s">
        <v>1949</v>
      </c>
    </row>
    <row r="1871" customFormat="false" ht="15" hidden="false" customHeight="true" outlineLevel="0" collapsed="false">
      <c r="A1871" s="1" t="n">
        <v>51306</v>
      </c>
      <c r="B1871" s="3" t="n">
        <v>43990</v>
      </c>
      <c r="C1871" s="1" t="n">
        <v>518</v>
      </c>
      <c r="D1871" s="4" t="n">
        <v>561</v>
      </c>
      <c r="E1871" s="1" t="s">
        <v>1950</v>
      </c>
    </row>
    <row r="1872" customFormat="false" ht="15" hidden="false" customHeight="true" outlineLevel="0" collapsed="false">
      <c r="A1872" s="1" t="n">
        <v>50564</v>
      </c>
      <c r="B1872" s="3" t="n">
        <v>44014</v>
      </c>
      <c r="C1872" s="1" t="n">
        <v>631</v>
      </c>
      <c r="D1872" s="4" t="n">
        <v>0</v>
      </c>
      <c r="E1872" s="1" t="s">
        <v>1949</v>
      </c>
    </row>
    <row r="1873" customFormat="false" ht="15" hidden="false" customHeight="true" outlineLevel="0" collapsed="false">
      <c r="A1873" s="1" t="n">
        <v>51741</v>
      </c>
      <c r="B1873" s="3" t="n">
        <v>44061</v>
      </c>
      <c r="C1873" s="1" t="n">
        <v>597</v>
      </c>
      <c r="D1873" s="4" t="n">
        <v>890</v>
      </c>
      <c r="E1873" s="1" t="s">
        <v>1950</v>
      </c>
    </row>
    <row r="1874" customFormat="false" ht="15" hidden="false" customHeight="true" outlineLevel="0" collapsed="false">
      <c r="A1874" s="1" t="n">
        <v>51713</v>
      </c>
      <c r="B1874" s="3" t="n">
        <v>44003</v>
      </c>
      <c r="C1874" s="1" t="n">
        <v>890</v>
      </c>
      <c r="D1874" s="4" t="n">
        <v>0</v>
      </c>
      <c r="E1874" s="1" t="s">
        <v>1949</v>
      </c>
    </row>
    <row r="1875" customFormat="false" ht="15" hidden="false" customHeight="true" outlineLevel="0" collapsed="false">
      <c r="A1875" s="1" t="n">
        <v>50499</v>
      </c>
      <c r="B1875" s="3" t="n">
        <v>44030</v>
      </c>
      <c r="C1875" s="1" t="n">
        <v>103</v>
      </c>
      <c r="D1875" s="4" t="n">
        <v>382</v>
      </c>
      <c r="E1875" s="1" t="s">
        <v>1950</v>
      </c>
    </row>
    <row r="1876" customFormat="false" ht="15" hidden="false" customHeight="true" outlineLevel="0" collapsed="false">
      <c r="A1876" s="1" t="n">
        <v>51283</v>
      </c>
      <c r="B1876" s="3" t="n">
        <v>44067</v>
      </c>
      <c r="C1876" s="1" t="n">
        <v>1167</v>
      </c>
      <c r="D1876" s="4" t="n">
        <v>0</v>
      </c>
      <c r="E1876" s="1" t="s">
        <v>1949</v>
      </c>
    </row>
    <row r="1877" customFormat="false" ht="15" hidden="false" customHeight="true" outlineLevel="0" collapsed="false">
      <c r="A1877" s="1" t="n">
        <v>51948</v>
      </c>
      <c r="B1877" s="3" t="n">
        <v>43995</v>
      </c>
      <c r="C1877" s="1" t="n">
        <v>46</v>
      </c>
      <c r="D1877" s="4" t="n">
        <v>0</v>
      </c>
      <c r="E1877" s="1" t="s">
        <v>1949</v>
      </c>
    </row>
    <row r="1878" customFormat="false" ht="15" hidden="false" customHeight="true" outlineLevel="0" collapsed="false">
      <c r="A1878" s="1" t="n">
        <v>51710</v>
      </c>
      <c r="B1878" s="3" t="n">
        <v>44051</v>
      </c>
      <c r="C1878" s="1" t="n">
        <v>1</v>
      </c>
      <c r="D1878" s="4" t="n">
        <v>0</v>
      </c>
      <c r="E1878" s="1" t="s">
        <v>1949</v>
      </c>
    </row>
    <row r="1879" customFormat="false" ht="15" hidden="false" customHeight="true" outlineLevel="0" collapsed="false">
      <c r="A1879" s="1" t="n">
        <v>50524</v>
      </c>
      <c r="B1879" s="3" t="n">
        <v>44037</v>
      </c>
      <c r="C1879" s="1" t="n">
        <v>1722</v>
      </c>
      <c r="D1879" s="4" t="n">
        <v>378</v>
      </c>
      <c r="E1879" s="1" t="s">
        <v>1950</v>
      </c>
    </row>
    <row r="1880" customFormat="false" ht="15" hidden="false" customHeight="true" outlineLevel="0" collapsed="false">
      <c r="A1880" s="1" t="n">
        <v>51509</v>
      </c>
      <c r="B1880" s="3" t="n">
        <v>44005</v>
      </c>
      <c r="C1880" s="1" t="n">
        <v>1741</v>
      </c>
      <c r="D1880" s="4" t="n">
        <v>0</v>
      </c>
      <c r="E1880" s="1" t="s">
        <v>1949</v>
      </c>
    </row>
    <row r="1881" customFormat="false" ht="15" hidden="false" customHeight="true" outlineLevel="0" collapsed="false">
      <c r="A1881" s="1" t="n">
        <v>51102</v>
      </c>
      <c r="B1881" s="3" t="n">
        <v>44003</v>
      </c>
      <c r="C1881" s="1" t="n">
        <v>1006</v>
      </c>
      <c r="D1881" s="4" t="n">
        <v>688</v>
      </c>
      <c r="E1881" s="1" t="s">
        <v>1950</v>
      </c>
    </row>
    <row r="1882" customFormat="false" ht="15" hidden="false" customHeight="true" outlineLevel="0" collapsed="false">
      <c r="A1882" s="1" t="n">
        <v>50762</v>
      </c>
      <c r="B1882" s="3" t="n">
        <v>44007</v>
      </c>
      <c r="C1882" s="1" t="n">
        <v>1842</v>
      </c>
      <c r="D1882" s="4" t="n">
        <v>0</v>
      </c>
      <c r="E1882" s="1" t="s">
        <v>1949</v>
      </c>
    </row>
    <row r="1883" customFormat="false" ht="15" hidden="false" customHeight="true" outlineLevel="0" collapsed="false">
      <c r="A1883" s="1" t="n">
        <v>50122</v>
      </c>
      <c r="B1883" s="3" t="n">
        <v>44023</v>
      </c>
      <c r="C1883" s="1" t="n">
        <v>372</v>
      </c>
      <c r="D1883" s="4" t="n">
        <v>674</v>
      </c>
      <c r="E1883" s="1" t="s">
        <v>1950</v>
      </c>
    </row>
    <row r="1884" customFormat="false" ht="15" hidden="false" customHeight="true" outlineLevel="0" collapsed="false">
      <c r="A1884" s="1" t="n">
        <v>50439</v>
      </c>
      <c r="B1884" s="3" t="n">
        <v>44008</v>
      </c>
      <c r="C1884" s="1" t="n">
        <v>1244</v>
      </c>
      <c r="D1884" s="4" t="n">
        <v>0</v>
      </c>
      <c r="E1884" s="1" t="s">
        <v>1949</v>
      </c>
    </row>
    <row r="1885" customFormat="false" ht="15" hidden="false" customHeight="true" outlineLevel="0" collapsed="false">
      <c r="A1885" s="1" t="n">
        <v>51394</v>
      </c>
      <c r="B1885" s="3" t="n">
        <v>43995</v>
      </c>
      <c r="C1885" s="1" t="n">
        <v>1323</v>
      </c>
      <c r="D1885" s="4" t="n">
        <v>0</v>
      </c>
      <c r="E1885" s="1" t="s">
        <v>1949</v>
      </c>
    </row>
    <row r="1886" customFormat="false" ht="15" hidden="false" customHeight="true" outlineLevel="0" collapsed="false">
      <c r="A1886" s="1" t="n">
        <v>51714</v>
      </c>
      <c r="B1886" s="3" t="n">
        <v>44016</v>
      </c>
      <c r="C1886" s="1" t="n">
        <v>1613</v>
      </c>
      <c r="D1886" s="4" t="n">
        <v>328</v>
      </c>
      <c r="E1886" s="1" t="s">
        <v>1950</v>
      </c>
    </row>
    <row r="1887" customFormat="false" ht="15" hidden="false" customHeight="true" outlineLevel="0" collapsed="false">
      <c r="A1887" s="1" t="n">
        <v>50672</v>
      </c>
      <c r="B1887" s="3" t="n">
        <v>44039</v>
      </c>
      <c r="C1887" s="1" t="n">
        <v>681</v>
      </c>
      <c r="D1887" s="4" t="n">
        <v>790</v>
      </c>
      <c r="E1887" s="1" t="s">
        <v>1950</v>
      </c>
    </row>
    <row r="1888" customFormat="false" ht="15" hidden="false" customHeight="true" outlineLevel="0" collapsed="false">
      <c r="A1888" s="1" t="n">
        <v>50567</v>
      </c>
      <c r="B1888" s="3" t="n">
        <v>44005</v>
      </c>
      <c r="C1888" s="1" t="n">
        <v>1603</v>
      </c>
      <c r="D1888" s="4" t="n">
        <v>562</v>
      </c>
      <c r="E1888" s="1" t="s">
        <v>1950</v>
      </c>
    </row>
    <row r="1889" customFormat="false" ht="15" hidden="false" customHeight="true" outlineLevel="0" collapsed="false">
      <c r="A1889" s="1" t="n">
        <v>51138</v>
      </c>
      <c r="B1889" s="3" t="n">
        <v>44072</v>
      </c>
      <c r="C1889" s="1" t="n">
        <v>47</v>
      </c>
      <c r="D1889" s="4" t="n">
        <v>0</v>
      </c>
      <c r="E1889" s="1" t="s">
        <v>1949</v>
      </c>
    </row>
    <row r="1890" customFormat="false" ht="15" hidden="false" customHeight="true" outlineLevel="0" collapsed="false">
      <c r="A1890" s="1" t="n">
        <v>50130</v>
      </c>
      <c r="B1890" s="3" t="n">
        <v>44020</v>
      </c>
      <c r="C1890" s="1" t="n">
        <v>1157</v>
      </c>
      <c r="D1890" s="4" t="n">
        <v>782</v>
      </c>
      <c r="E1890" s="1" t="s">
        <v>1950</v>
      </c>
    </row>
    <row r="1891" customFormat="false" ht="15" hidden="false" customHeight="true" outlineLevel="0" collapsed="false">
      <c r="A1891" s="1" t="n">
        <v>50571</v>
      </c>
      <c r="B1891" s="3" t="n">
        <v>44011</v>
      </c>
      <c r="C1891" s="1" t="n">
        <v>14</v>
      </c>
      <c r="D1891" s="4" t="n">
        <v>636</v>
      </c>
      <c r="E1891" s="1" t="s">
        <v>1950</v>
      </c>
    </row>
    <row r="1892" customFormat="false" ht="15" hidden="false" customHeight="true" outlineLevel="0" collapsed="false">
      <c r="A1892" s="1" t="n">
        <v>51725</v>
      </c>
      <c r="B1892" s="3" t="n">
        <v>44072</v>
      </c>
      <c r="C1892" s="1" t="n">
        <v>1134</v>
      </c>
      <c r="D1892" s="4" t="n">
        <v>0</v>
      </c>
      <c r="E1892" s="1" t="s">
        <v>1949</v>
      </c>
    </row>
    <row r="1893" customFormat="false" ht="15" hidden="false" customHeight="true" outlineLevel="0" collapsed="false">
      <c r="A1893" s="1" t="n">
        <v>50557</v>
      </c>
      <c r="B1893" s="3" t="n">
        <v>44009</v>
      </c>
      <c r="C1893" s="1" t="n">
        <v>1881</v>
      </c>
      <c r="D1893" s="4" t="n">
        <v>0</v>
      </c>
      <c r="E1893" s="1" t="s">
        <v>1949</v>
      </c>
    </row>
    <row r="1894" customFormat="false" ht="15" hidden="false" customHeight="true" outlineLevel="0" collapsed="false">
      <c r="A1894" s="1" t="n">
        <v>51664</v>
      </c>
      <c r="B1894" s="3" t="n">
        <v>44004</v>
      </c>
      <c r="C1894" s="1" t="n">
        <v>197</v>
      </c>
      <c r="D1894" s="4" t="n">
        <v>847</v>
      </c>
      <c r="E1894" s="1" t="s">
        <v>1950</v>
      </c>
    </row>
    <row r="1895" customFormat="false" ht="15" hidden="false" customHeight="true" outlineLevel="0" collapsed="false">
      <c r="A1895" s="1" t="n">
        <v>51742</v>
      </c>
      <c r="B1895" s="3" t="n">
        <v>44008</v>
      </c>
      <c r="C1895" s="1" t="n">
        <v>89</v>
      </c>
      <c r="D1895" s="4" t="n">
        <v>677</v>
      </c>
      <c r="E1895" s="1" t="s">
        <v>1950</v>
      </c>
    </row>
    <row r="1896" customFormat="false" ht="15" hidden="false" customHeight="true" outlineLevel="0" collapsed="false">
      <c r="A1896" s="1" t="n">
        <v>50435</v>
      </c>
      <c r="B1896" s="3" t="n">
        <v>44023</v>
      </c>
      <c r="C1896" s="1" t="n">
        <v>1361</v>
      </c>
      <c r="D1896" s="4" t="n">
        <v>405</v>
      </c>
      <c r="E1896" s="1" t="s">
        <v>1950</v>
      </c>
    </row>
    <row r="1897" customFormat="false" ht="15" hidden="false" customHeight="true" outlineLevel="0" collapsed="false">
      <c r="A1897" s="1" t="n">
        <v>50483</v>
      </c>
      <c r="B1897" s="3" t="n">
        <v>44032</v>
      </c>
      <c r="C1897" s="1" t="n">
        <v>525</v>
      </c>
      <c r="D1897" s="4" t="n">
        <v>592</v>
      </c>
      <c r="E1897" s="1" t="s">
        <v>1950</v>
      </c>
    </row>
    <row r="1898" customFormat="false" ht="15" hidden="false" customHeight="true" outlineLevel="0" collapsed="false">
      <c r="A1898" s="1" t="n">
        <v>50144</v>
      </c>
      <c r="B1898" s="3" t="n">
        <v>44070</v>
      </c>
      <c r="C1898" s="1" t="n">
        <v>1443</v>
      </c>
      <c r="D1898" s="4" t="n">
        <v>105</v>
      </c>
      <c r="E1898" s="1" t="s">
        <v>1950</v>
      </c>
    </row>
    <row r="1899" customFormat="false" ht="15" hidden="false" customHeight="true" outlineLevel="0" collapsed="false">
      <c r="A1899" s="1" t="n">
        <v>50726</v>
      </c>
      <c r="B1899" s="3" t="n">
        <v>44028</v>
      </c>
      <c r="C1899" s="1" t="n">
        <v>1154</v>
      </c>
      <c r="D1899" s="4" t="n">
        <v>478</v>
      </c>
      <c r="E1899" s="1" t="s">
        <v>1950</v>
      </c>
    </row>
    <row r="1900" customFormat="false" ht="15" hidden="false" customHeight="true" outlineLevel="0" collapsed="false">
      <c r="A1900" s="1" t="n">
        <v>50470</v>
      </c>
      <c r="B1900" s="3" t="n">
        <v>44048</v>
      </c>
      <c r="C1900" s="1" t="n">
        <v>497</v>
      </c>
      <c r="D1900" s="4" t="n">
        <v>599</v>
      </c>
      <c r="E1900" s="1" t="s">
        <v>1950</v>
      </c>
    </row>
    <row r="1901" customFormat="false" ht="15" hidden="false" customHeight="true" outlineLevel="0" collapsed="false">
      <c r="A1901" s="1" t="n">
        <v>51091</v>
      </c>
      <c r="B1901" s="3" t="n">
        <v>43996</v>
      </c>
      <c r="C1901" s="1" t="n">
        <v>943</v>
      </c>
      <c r="D1901" s="4" t="n">
        <v>615</v>
      </c>
      <c r="E1901" s="1" t="s">
        <v>1950</v>
      </c>
    </row>
    <row r="1902" customFormat="false" ht="15" hidden="false" customHeight="true" outlineLevel="0" collapsed="false">
      <c r="A1902" s="1" t="n">
        <v>50317</v>
      </c>
      <c r="B1902" s="3" t="n">
        <v>43986</v>
      </c>
      <c r="C1902" s="1" t="n">
        <v>1583</v>
      </c>
      <c r="D1902" s="4" t="n">
        <v>0</v>
      </c>
      <c r="E1902" s="1" t="s">
        <v>1949</v>
      </c>
    </row>
    <row r="1903" customFormat="false" ht="15" hidden="false" customHeight="true" outlineLevel="0" collapsed="false">
      <c r="A1903" s="1" t="n">
        <v>50272</v>
      </c>
      <c r="B1903" s="3" t="n">
        <v>44035</v>
      </c>
      <c r="C1903" s="1" t="n">
        <v>1202</v>
      </c>
      <c r="D1903" s="4" t="n">
        <v>135</v>
      </c>
      <c r="E1903" s="1" t="s">
        <v>1950</v>
      </c>
    </row>
    <row r="1904" customFormat="false" ht="15" hidden="false" customHeight="true" outlineLevel="0" collapsed="false">
      <c r="A1904" s="1" t="n">
        <v>51171</v>
      </c>
      <c r="B1904" s="3" t="n">
        <v>43993</v>
      </c>
      <c r="C1904" s="1" t="n">
        <v>6</v>
      </c>
      <c r="D1904" s="4" t="n">
        <v>320</v>
      </c>
      <c r="E1904" s="1" t="s">
        <v>1950</v>
      </c>
    </row>
    <row r="1905" customFormat="false" ht="15" hidden="false" customHeight="true" outlineLevel="0" collapsed="false">
      <c r="A1905" s="1" t="n">
        <v>51735</v>
      </c>
      <c r="B1905" s="3" t="n">
        <v>44006</v>
      </c>
      <c r="C1905" s="1" t="n">
        <v>1535</v>
      </c>
      <c r="D1905" s="4" t="n">
        <v>0</v>
      </c>
      <c r="E1905" s="1" t="s">
        <v>1949</v>
      </c>
    </row>
    <row r="1906" customFormat="false" ht="15" hidden="false" customHeight="true" outlineLevel="0" collapsed="false">
      <c r="A1906" s="1" t="n">
        <v>50998</v>
      </c>
      <c r="B1906" s="3" t="n">
        <v>44006</v>
      </c>
      <c r="C1906" s="1" t="n">
        <v>1072</v>
      </c>
      <c r="D1906" s="4" t="n">
        <v>0</v>
      </c>
      <c r="E1906" s="1" t="s">
        <v>1949</v>
      </c>
    </row>
    <row r="1907" customFormat="false" ht="15" hidden="false" customHeight="true" outlineLevel="0" collapsed="false">
      <c r="A1907" s="1" t="n">
        <v>50132</v>
      </c>
      <c r="B1907" s="3" t="n">
        <v>44036</v>
      </c>
      <c r="C1907" s="1" t="n">
        <v>331</v>
      </c>
      <c r="D1907" s="4" t="n">
        <v>0</v>
      </c>
      <c r="E1907" s="1" t="s">
        <v>1949</v>
      </c>
    </row>
    <row r="1908" customFormat="false" ht="15" hidden="false" customHeight="true" outlineLevel="0" collapsed="false">
      <c r="A1908" s="1" t="n">
        <v>50650</v>
      </c>
      <c r="B1908" s="3" t="n">
        <v>43989</v>
      </c>
      <c r="C1908" s="1" t="n">
        <v>892</v>
      </c>
      <c r="D1908" s="4" t="n">
        <v>472</v>
      </c>
      <c r="E1908" s="1" t="s">
        <v>1950</v>
      </c>
    </row>
    <row r="1909" customFormat="false" ht="15" hidden="false" customHeight="true" outlineLevel="0" collapsed="false">
      <c r="A1909" s="1" t="n">
        <v>50669</v>
      </c>
      <c r="B1909" s="3" t="n">
        <v>44043</v>
      </c>
      <c r="C1909" s="1" t="n">
        <v>206</v>
      </c>
      <c r="D1909" s="4" t="n">
        <v>597</v>
      </c>
      <c r="E1909" s="1" t="s">
        <v>1950</v>
      </c>
    </row>
    <row r="1910" customFormat="false" ht="15" hidden="false" customHeight="true" outlineLevel="0" collapsed="false">
      <c r="A1910" s="1" t="n">
        <v>50882</v>
      </c>
      <c r="B1910" s="3" t="n">
        <v>44004</v>
      </c>
      <c r="C1910" s="1" t="n">
        <v>501</v>
      </c>
      <c r="D1910" s="4" t="n">
        <v>213</v>
      </c>
      <c r="E1910" s="1" t="s">
        <v>1950</v>
      </c>
    </row>
    <row r="1911" customFormat="false" ht="15" hidden="false" customHeight="true" outlineLevel="0" collapsed="false">
      <c r="A1911" s="1" t="n">
        <v>51807</v>
      </c>
      <c r="B1911" s="3" t="n">
        <v>44050</v>
      </c>
      <c r="C1911" s="1" t="n">
        <v>1802</v>
      </c>
      <c r="D1911" s="4" t="n">
        <v>0</v>
      </c>
      <c r="E1911" s="1" t="s">
        <v>1949</v>
      </c>
    </row>
    <row r="1912" customFormat="false" ht="15" hidden="false" customHeight="true" outlineLevel="0" collapsed="false">
      <c r="A1912" s="1" t="n">
        <v>51662</v>
      </c>
      <c r="B1912" s="3" t="n">
        <v>43990</v>
      </c>
      <c r="C1912" s="1" t="n">
        <v>1491</v>
      </c>
      <c r="D1912" s="4" t="n">
        <v>553</v>
      </c>
      <c r="E1912" s="1" t="s">
        <v>1950</v>
      </c>
    </row>
    <row r="1913" customFormat="false" ht="15" hidden="false" customHeight="true" outlineLevel="0" collapsed="false">
      <c r="A1913" s="1" t="n">
        <v>51835</v>
      </c>
      <c r="B1913" s="3" t="n">
        <v>44018</v>
      </c>
      <c r="C1913" s="1" t="n">
        <v>1351</v>
      </c>
      <c r="D1913" s="4" t="n">
        <v>172</v>
      </c>
      <c r="E1913" s="1" t="s">
        <v>1950</v>
      </c>
    </row>
    <row r="1914" customFormat="false" ht="15" hidden="false" customHeight="true" outlineLevel="0" collapsed="false">
      <c r="A1914" s="1" t="n">
        <v>51307</v>
      </c>
      <c r="B1914" s="3" t="n">
        <v>43988</v>
      </c>
      <c r="C1914" s="1" t="n">
        <v>400</v>
      </c>
      <c r="D1914" s="4" t="n">
        <v>200</v>
      </c>
      <c r="E1914" s="1" t="s">
        <v>1950</v>
      </c>
    </row>
    <row r="1915" customFormat="false" ht="15" hidden="false" customHeight="true" outlineLevel="0" collapsed="false">
      <c r="A1915" s="1" t="n">
        <v>50091</v>
      </c>
      <c r="B1915" s="3" t="n">
        <v>44014</v>
      </c>
      <c r="C1915" s="1" t="n">
        <v>488</v>
      </c>
      <c r="D1915" s="4" t="n">
        <v>0</v>
      </c>
      <c r="E1915" s="1" t="s">
        <v>1949</v>
      </c>
    </row>
    <row r="1916" customFormat="false" ht="15" hidden="false" customHeight="true" outlineLevel="0" collapsed="false">
      <c r="A1916" s="1" t="n">
        <v>51919</v>
      </c>
      <c r="B1916" s="3" t="n">
        <v>44043</v>
      </c>
      <c r="C1916" s="1" t="n">
        <v>1672</v>
      </c>
      <c r="D1916" s="4" t="n">
        <v>0</v>
      </c>
      <c r="E1916" s="1" t="s">
        <v>1949</v>
      </c>
    </row>
    <row r="1917" customFormat="false" ht="15" hidden="false" customHeight="true" outlineLevel="0" collapsed="false">
      <c r="A1917" s="1" t="n">
        <v>51874</v>
      </c>
      <c r="B1917" s="3" t="n">
        <v>44050</v>
      </c>
      <c r="C1917" s="1" t="n">
        <v>1978</v>
      </c>
      <c r="D1917" s="4" t="n">
        <v>0</v>
      </c>
      <c r="E1917" s="1" t="s">
        <v>1949</v>
      </c>
    </row>
    <row r="1918" customFormat="false" ht="15" hidden="false" customHeight="true" outlineLevel="0" collapsed="false">
      <c r="A1918" s="1" t="n">
        <v>50068</v>
      </c>
      <c r="B1918" s="3" t="n">
        <v>43993</v>
      </c>
      <c r="C1918" s="1" t="n">
        <v>1078</v>
      </c>
      <c r="D1918" s="4" t="n">
        <v>0</v>
      </c>
      <c r="E1918" s="1" t="s">
        <v>1949</v>
      </c>
    </row>
    <row r="1919" customFormat="false" ht="15" hidden="false" customHeight="true" outlineLevel="0" collapsed="false">
      <c r="A1919" s="1" t="n">
        <v>51888</v>
      </c>
      <c r="B1919" s="3" t="n">
        <v>43984</v>
      </c>
      <c r="C1919" s="1" t="n">
        <v>610</v>
      </c>
      <c r="D1919" s="4" t="n">
        <v>632</v>
      </c>
      <c r="E1919" s="1" t="s">
        <v>1950</v>
      </c>
    </row>
    <row r="1920" customFormat="false" ht="15" hidden="false" customHeight="true" outlineLevel="0" collapsed="false">
      <c r="A1920" s="1" t="n">
        <v>50242</v>
      </c>
      <c r="B1920" s="3" t="n">
        <v>44064</v>
      </c>
      <c r="C1920" s="1" t="n">
        <v>742</v>
      </c>
      <c r="D1920" s="4" t="n">
        <v>0</v>
      </c>
      <c r="E1920" s="1" t="s">
        <v>1949</v>
      </c>
    </row>
    <row r="1921" customFormat="false" ht="15" hidden="false" customHeight="true" outlineLevel="0" collapsed="false">
      <c r="A1921" s="1" t="n">
        <v>51196</v>
      </c>
      <c r="B1921" s="3" t="n">
        <v>44025</v>
      </c>
      <c r="C1921" s="1" t="n">
        <v>1039</v>
      </c>
      <c r="D1921" s="4" t="n">
        <v>212</v>
      </c>
      <c r="E1921" s="1" t="s">
        <v>1950</v>
      </c>
    </row>
    <row r="1922" customFormat="false" ht="15" hidden="false" customHeight="true" outlineLevel="0" collapsed="false">
      <c r="A1922" s="1" t="n">
        <v>51984</v>
      </c>
      <c r="B1922" s="3" t="n">
        <v>44065</v>
      </c>
      <c r="C1922" s="1" t="n">
        <v>916</v>
      </c>
      <c r="D1922" s="4" t="n">
        <v>0</v>
      </c>
      <c r="E1922" s="1" t="s">
        <v>1949</v>
      </c>
    </row>
    <row r="1923" customFormat="false" ht="15" hidden="false" customHeight="true" outlineLevel="0" collapsed="false">
      <c r="A1923" s="1" t="n">
        <v>51901</v>
      </c>
      <c r="B1923" s="3" t="n">
        <v>43985</v>
      </c>
      <c r="C1923" s="1" t="n">
        <v>1958</v>
      </c>
      <c r="D1923" s="4" t="n">
        <v>263</v>
      </c>
      <c r="E1923" s="1" t="s">
        <v>1950</v>
      </c>
    </row>
    <row r="1924" customFormat="false" ht="15" hidden="false" customHeight="true" outlineLevel="0" collapsed="false">
      <c r="A1924" s="1" t="n">
        <v>51496</v>
      </c>
      <c r="B1924" s="3" t="n">
        <v>44037</v>
      </c>
      <c r="C1924" s="1" t="n">
        <v>915</v>
      </c>
      <c r="D1924" s="4" t="n">
        <v>850</v>
      </c>
      <c r="E1924" s="1" t="s">
        <v>1950</v>
      </c>
    </row>
    <row r="1925" customFormat="false" ht="15" hidden="false" customHeight="true" outlineLevel="0" collapsed="false">
      <c r="A1925" s="1" t="n">
        <v>51784</v>
      </c>
      <c r="B1925" s="3" t="n">
        <v>44007</v>
      </c>
      <c r="C1925" s="1" t="n">
        <v>1941</v>
      </c>
      <c r="D1925" s="4" t="n">
        <v>0</v>
      </c>
      <c r="E1925" s="1" t="s">
        <v>1949</v>
      </c>
    </row>
    <row r="1926" customFormat="false" ht="15" hidden="false" customHeight="true" outlineLevel="0" collapsed="false">
      <c r="A1926" s="1" t="n">
        <v>50544</v>
      </c>
      <c r="B1926" s="3" t="n">
        <v>43999</v>
      </c>
      <c r="C1926" s="1" t="n">
        <v>1115</v>
      </c>
      <c r="D1926" s="4" t="n">
        <v>228</v>
      </c>
      <c r="E1926" s="1" t="s">
        <v>1950</v>
      </c>
    </row>
    <row r="1927" customFormat="false" ht="15" hidden="false" customHeight="true" outlineLevel="0" collapsed="false">
      <c r="A1927" s="1" t="n">
        <v>50403</v>
      </c>
      <c r="B1927" s="3" t="n">
        <v>44065</v>
      </c>
      <c r="C1927" s="1" t="n">
        <v>638</v>
      </c>
      <c r="D1927" s="4" t="n">
        <v>0</v>
      </c>
      <c r="E1927" s="1" t="s">
        <v>1949</v>
      </c>
    </row>
    <row r="1928" customFormat="false" ht="15" hidden="false" customHeight="true" outlineLevel="0" collapsed="false">
      <c r="A1928" s="1" t="n">
        <v>51583</v>
      </c>
      <c r="B1928" s="3" t="n">
        <v>44055</v>
      </c>
      <c r="C1928" s="1" t="n">
        <v>1013</v>
      </c>
      <c r="D1928" s="4" t="n">
        <v>0</v>
      </c>
      <c r="E1928" s="1" t="s">
        <v>1949</v>
      </c>
    </row>
    <row r="1929" customFormat="false" ht="15" hidden="false" customHeight="true" outlineLevel="0" collapsed="false">
      <c r="A1929" s="1" t="n">
        <v>50589</v>
      </c>
      <c r="B1929" s="3" t="n">
        <v>44041</v>
      </c>
      <c r="C1929" s="1" t="n">
        <v>500</v>
      </c>
      <c r="D1929" s="4" t="n">
        <v>0</v>
      </c>
      <c r="E1929" s="1" t="s">
        <v>1949</v>
      </c>
    </row>
    <row r="1930" customFormat="false" ht="15" hidden="false" customHeight="true" outlineLevel="0" collapsed="false">
      <c r="A1930" s="1" t="n">
        <v>50392</v>
      </c>
      <c r="B1930" s="3" t="n">
        <v>44018</v>
      </c>
      <c r="C1930" s="1" t="n">
        <v>713</v>
      </c>
      <c r="D1930" s="4" t="n">
        <v>534</v>
      </c>
      <c r="E1930" s="1" t="s">
        <v>1950</v>
      </c>
    </row>
    <row r="1931" customFormat="false" ht="15" hidden="false" customHeight="true" outlineLevel="0" collapsed="false">
      <c r="A1931" s="1" t="n">
        <v>51974</v>
      </c>
      <c r="B1931" s="3" t="n">
        <v>44072</v>
      </c>
      <c r="C1931" s="1" t="n">
        <v>1815</v>
      </c>
      <c r="D1931" s="4" t="n">
        <v>0</v>
      </c>
      <c r="E1931" s="1" t="s">
        <v>1949</v>
      </c>
    </row>
    <row r="1932" customFormat="false" ht="15" hidden="false" customHeight="true" outlineLevel="0" collapsed="false">
      <c r="A1932" s="1" t="n">
        <v>50899</v>
      </c>
      <c r="B1932" s="3" t="n">
        <v>44021</v>
      </c>
      <c r="C1932" s="1" t="n">
        <v>283</v>
      </c>
      <c r="D1932" s="4" t="n">
        <v>718</v>
      </c>
      <c r="E1932" s="1" t="s">
        <v>1950</v>
      </c>
    </row>
    <row r="1933" customFormat="false" ht="15" hidden="false" customHeight="true" outlineLevel="0" collapsed="false">
      <c r="A1933" s="1" t="n">
        <v>50058</v>
      </c>
      <c r="B1933" s="3" t="n">
        <v>44034</v>
      </c>
      <c r="C1933" s="1" t="n">
        <v>1769</v>
      </c>
      <c r="D1933" s="4" t="n">
        <v>383</v>
      </c>
      <c r="E1933" s="1" t="s">
        <v>1950</v>
      </c>
    </row>
    <row r="1934" customFormat="false" ht="15" hidden="false" customHeight="true" outlineLevel="0" collapsed="false">
      <c r="A1934" s="1" t="n">
        <v>50789</v>
      </c>
      <c r="B1934" s="3" t="n">
        <v>44039</v>
      </c>
      <c r="C1934" s="1" t="n">
        <v>1000</v>
      </c>
      <c r="D1934" s="4" t="n">
        <v>785</v>
      </c>
      <c r="E1934" s="1" t="s">
        <v>1950</v>
      </c>
    </row>
    <row r="1935" customFormat="false" ht="15" hidden="false" customHeight="true" outlineLevel="0" collapsed="false">
      <c r="A1935" s="1" t="n">
        <v>50890</v>
      </c>
      <c r="B1935" s="3" t="n">
        <v>44020</v>
      </c>
      <c r="C1935" s="1" t="n">
        <v>1988</v>
      </c>
      <c r="D1935" s="4" t="n">
        <v>0</v>
      </c>
      <c r="E1935" s="1" t="s">
        <v>1949</v>
      </c>
    </row>
    <row r="1936" customFormat="false" ht="15" hidden="false" customHeight="true" outlineLevel="0" collapsed="false">
      <c r="A1936" s="1" t="n">
        <v>50159</v>
      </c>
      <c r="B1936" s="3" t="n">
        <v>44025</v>
      </c>
      <c r="C1936" s="1" t="n">
        <v>530</v>
      </c>
      <c r="D1936" s="4" t="n">
        <v>340</v>
      </c>
      <c r="E1936" s="1" t="s">
        <v>1950</v>
      </c>
    </row>
    <row r="1937" customFormat="false" ht="15" hidden="false" customHeight="true" outlineLevel="0" collapsed="false">
      <c r="A1937" s="1" t="n">
        <v>51506</v>
      </c>
      <c r="B1937" s="3" t="n">
        <v>44063</v>
      </c>
      <c r="C1937" s="1" t="n">
        <v>97</v>
      </c>
      <c r="D1937" s="4" t="n">
        <v>418</v>
      </c>
      <c r="E1937" s="1" t="s">
        <v>1950</v>
      </c>
    </row>
    <row r="1938" customFormat="false" ht="15" hidden="false" customHeight="true" outlineLevel="0" collapsed="false">
      <c r="A1938" s="1" t="n">
        <v>51993</v>
      </c>
      <c r="B1938" s="3" t="n">
        <v>44011</v>
      </c>
      <c r="C1938" s="1" t="n">
        <v>70</v>
      </c>
      <c r="D1938" s="4" t="n">
        <v>0</v>
      </c>
      <c r="E1938" s="1" t="s">
        <v>1949</v>
      </c>
    </row>
    <row r="1939" customFormat="false" ht="15" hidden="false" customHeight="true" outlineLevel="0" collapsed="false">
      <c r="A1939" s="1" t="n">
        <v>50461</v>
      </c>
      <c r="B1939" s="3" t="n">
        <v>44040</v>
      </c>
      <c r="C1939" s="1" t="n">
        <v>13</v>
      </c>
      <c r="D1939" s="4" t="n">
        <v>623</v>
      </c>
      <c r="E1939" s="1" t="s">
        <v>1950</v>
      </c>
    </row>
    <row r="1940" customFormat="false" ht="15" hidden="false" customHeight="true" outlineLevel="0" collapsed="false">
      <c r="A1940" s="1" t="n">
        <v>50089</v>
      </c>
      <c r="B1940" s="3" t="n">
        <v>43994</v>
      </c>
      <c r="C1940" s="1" t="n">
        <v>1034</v>
      </c>
      <c r="D1940" s="4" t="n">
        <v>125</v>
      </c>
      <c r="E1940" s="1" t="s">
        <v>1950</v>
      </c>
    </row>
    <row r="1941" customFormat="false" ht="15" hidden="false" customHeight="true" outlineLevel="0" collapsed="false">
      <c r="A1941" s="1" t="n">
        <v>51836</v>
      </c>
      <c r="B1941" s="3" t="n">
        <v>43998</v>
      </c>
      <c r="C1941" s="1" t="n">
        <v>1086</v>
      </c>
      <c r="D1941" s="4" t="n">
        <v>781</v>
      </c>
      <c r="E1941" s="1" t="s">
        <v>1950</v>
      </c>
    </row>
    <row r="1942" customFormat="false" ht="15" hidden="false" customHeight="true" outlineLevel="0" collapsed="false">
      <c r="A1942" s="1" t="n">
        <v>50277</v>
      </c>
      <c r="B1942" s="3" t="n">
        <v>44058</v>
      </c>
      <c r="C1942" s="1" t="n">
        <v>1983</v>
      </c>
      <c r="D1942" s="4" t="n">
        <v>789</v>
      </c>
      <c r="E1942" s="1" t="s">
        <v>1950</v>
      </c>
    </row>
    <row r="1943" customFormat="false" ht="15" hidden="false" customHeight="true" outlineLevel="0" collapsed="false">
      <c r="A1943" s="1" t="n">
        <v>51166</v>
      </c>
      <c r="B1943" s="3" t="n">
        <v>43988</v>
      </c>
      <c r="C1943" s="1" t="n">
        <v>615</v>
      </c>
      <c r="D1943" s="4" t="n">
        <v>389</v>
      </c>
      <c r="E1943" s="1" t="s">
        <v>1950</v>
      </c>
    </row>
    <row r="1944" customFormat="false" ht="15" hidden="false" customHeight="true" outlineLevel="0" collapsed="false">
      <c r="A1944" s="1" t="n">
        <v>50767</v>
      </c>
      <c r="B1944" s="3" t="n">
        <v>43996</v>
      </c>
      <c r="C1944" s="1" t="n">
        <v>1724</v>
      </c>
      <c r="D1944" s="4" t="n">
        <v>0</v>
      </c>
      <c r="E1944" s="1" t="s">
        <v>1949</v>
      </c>
    </row>
    <row r="1945" customFormat="false" ht="15" hidden="false" customHeight="true" outlineLevel="0" collapsed="false">
      <c r="A1945" s="1" t="n">
        <v>51242</v>
      </c>
      <c r="B1945" s="3" t="n">
        <v>44023</v>
      </c>
      <c r="C1945" s="1" t="n">
        <v>1174</v>
      </c>
      <c r="D1945" s="4" t="n">
        <v>0</v>
      </c>
      <c r="E1945" s="1" t="s">
        <v>1949</v>
      </c>
    </row>
    <row r="1946" customFormat="false" ht="15" hidden="false" customHeight="true" outlineLevel="0" collapsed="false">
      <c r="A1946" s="1" t="n">
        <v>50332</v>
      </c>
      <c r="B1946" s="3" t="n">
        <v>44035</v>
      </c>
      <c r="C1946" s="1" t="n">
        <v>654</v>
      </c>
      <c r="D1946" s="4" t="n">
        <v>692</v>
      </c>
      <c r="E1946" s="1" t="s">
        <v>1950</v>
      </c>
    </row>
    <row r="1947" customFormat="false" ht="15" hidden="false" customHeight="true" outlineLevel="0" collapsed="false">
      <c r="A1947" s="1" t="n">
        <v>51875</v>
      </c>
      <c r="B1947" s="3" t="n">
        <v>44031</v>
      </c>
      <c r="C1947" s="1" t="n">
        <v>1868</v>
      </c>
      <c r="D1947" s="4" t="n">
        <v>0</v>
      </c>
      <c r="E1947" s="1" t="s">
        <v>1949</v>
      </c>
    </row>
    <row r="1948" customFormat="false" ht="15" hidden="false" customHeight="true" outlineLevel="0" collapsed="false">
      <c r="A1948" s="1" t="n">
        <v>51055</v>
      </c>
      <c r="B1948" s="3" t="n">
        <v>44066</v>
      </c>
      <c r="C1948" s="1" t="n">
        <v>137</v>
      </c>
      <c r="D1948" s="4" t="n">
        <v>735</v>
      </c>
      <c r="E1948" s="1" t="s">
        <v>1950</v>
      </c>
    </row>
    <row r="1949" customFormat="false" ht="15" hidden="false" customHeight="true" outlineLevel="0" collapsed="false">
      <c r="A1949" s="1" t="n">
        <v>51598</v>
      </c>
      <c r="B1949" s="3" t="n">
        <v>44002</v>
      </c>
      <c r="C1949" s="1" t="n">
        <v>429</v>
      </c>
      <c r="D1949" s="4" t="n">
        <v>514</v>
      </c>
      <c r="E1949" s="1" t="s">
        <v>1950</v>
      </c>
    </row>
    <row r="1950" customFormat="false" ht="15" hidden="false" customHeight="true" outlineLevel="0" collapsed="false">
      <c r="A1950" s="1" t="n">
        <v>50318</v>
      </c>
      <c r="B1950" s="3" t="n">
        <v>44010</v>
      </c>
      <c r="C1950" s="1" t="n">
        <v>384</v>
      </c>
      <c r="D1950" s="4" t="n">
        <v>0</v>
      </c>
      <c r="E1950" s="1" t="s">
        <v>1949</v>
      </c>
    </row>
    <row r="1951" customFormat="false" ht="15" hidden="false" customHeight="true" outlineLevel="0" collapsed="false">
      <c r="A1951" s="1" t="n">
        <v>51925</v>
      </c>
      <c r="B1951" s="3" t="n">
        <v>44020</v>
      </c>
      <c r="C1951" s="1" t="n">
        <v>1762</v>
      </c>
      <c r="D1951" s="4" t="n">
        <v>0</v>
      </c>
      <c r="E1951" s="1" t="s">
        <v>1949</v>
      </c>
    </row>
    <row r="1952" customFormat="false" ht="15" hidden="false" customHeight="true" outlineLevel="0" collapsed="false">
      <c r="A1952" s="1" t="n">
        <v>51783</v>
      </c>
      <c r="B1952" s="3" t="n">
        <v>44038</v>
      </c>
      <c r="C1952" s="1" t="n">
        <v>17</v>
      </c>
      <c r="D1952" s="4" t="n">
        <v>616</v>
      </c>
      <c r="E1952" s="1" t="s">
        <v>1950</v>
      </c>
    </row>
    <row r="1953" customFormat="false" ht="15" hidden="false" customHeight="true" outlineLevel="0" collapsed="false">
      <c r="A1953" s="1" t="n">
        <v>50375</v>
      </c>
      <c r="B1953" s="3" t="n">
        <v>44036</v>
      </c>
      <c r="C1953" s="1" t="n">
        <v>1193</v>
      </c>
      <c r="D1953" s="4" t="n">
        <v>0</v>
      </c>
      <c r="E1953" s="1" t="s">
        <v>1949</v>
      </c>
    </row>
    <row r="1954" customFormat="false" ht="15" hidden="false" customHeight="true" outlineLevel="0" collapsed="false">
      <c r="A1954" s="1" t="n">
        <v>50920</v>
      </c>
      <c r="B1954" s="3" t="n">
        <v>44018</v>
      </c>
      <c r="C1954" s="1" t="n">
        <v>918</v>
      </c>
      <c r="D1954" s="4" t="n">
        <v>351</v>
      </c>
      <c r="E1954" s="1" t="s">
        <v>1950</v>
      </c>
    </row>
    <row r="1955" customFormat="false" ht="15" hidden="false" customHeight="true" outlineLevel="0" collapsed="false">
      <c r="A1955" s="1" t="n">
        <v>50093</v>
      </c>
      <c r="B1955" s="3" t="n">
        <v>43984</v>
      </c>
      <c r="C1955" s="1" t="n">
        <v>1977</v>
      </c>
      <c r="D1955" s="4" t="n">
        <v>203</v>
      </c>
      <c r="E1955" s="1" t="s">
        <v>1950</v>
      </c>
    </row>
    <row r="1956" customFormat="false" ht="15" hidden="false" customHeight="true" outlineLevel="0" collapsed="false">
      <c r="A1956" s="1" t="n">
        <v>50044</v>
      </c>
      <c r="B1956" s="3" t="n">
        <v>44049</v>
      </c>
      <c r="C1956" s="1" t="n">
        <v>1715</v>
      </c>
      <c r="D1956" s="4" t="n">
        <v>0</v>
      </c>
      <c r="E1956" s="1" t="s">
        <v>1949</v>
      </c>
    </row>
    <row r="1957" customFormat="false" ht="15" hidden="false" customHeight="true" outlineLevel="0" collapsed="false">
      <c r="A1957" s="1" t="n">
        <v>50195</v>
      </c>
      <c r="B1957" s="3" t="n">
        <v>43988</v>
      </c>
      <c r="C1957" s="1" t="n">
        <v>1399</v>
      </c>
      <c r="D1957" s="4" t="n">
        <v>616</v>
      </c>
      <c r="E1957" s="1" t="s">
        <v>1950</v>
      </c>
    </row>
    <row r="1958" customFormat="false" ht="15" hidden="false" customHeight="true" outlineLevel="0" collapsed="false">
      <c r="A1958" s="1" t="n">
        <v>51780</v>
      </c>
      <c r="B1958" s="3" t="n">
        <v>44038</v>
      </c>
      <c r="C1958" s="1" t="n">
        <v>151</v>
      </c>
      <c r="D1958" s="4" t="n">
        <v>0</v>
      </c>
      <c r="E1958" s="1" t="s">
        <v>1949</v>
      </c>
    </row>
    <row r="1959" customFormat="false" ht="15" hidden="false" customHeight="true" outlineLevel="0" collapsed="false">
      <c r="A1959" s="1" t="n">
        <v>50231</v>
      </c>
      <c r="B1959" s="3" t="n">
        <v>44043</v>
      </c>
      <c r="C1959" s="1" t="n">
        <v>323</v>
      </c>
      <c r="D1959" s="4" t="n">
        <v>0</v>
      </c>
      <c r="E1959" s="1" t="s">
        <v>1949</v>
      </c>
    </row>
    <row r="1960" customFormat="false" ht="15" hidden="false" customHeight="true" outlineLevel="0" collapsed="false">
      <c r="A1960" s="1" t="n">
        <v>51026</v>
      </c>
      <c r="B1960" s="3" t="n">
        <v>43999</v>
      </c>
      <c r="C1960" s="1" t="n">
        <v>1445</v>
      </c>
      <c r="D1960" s="4" t="n">
        <v>835</v>
      </c>
      <c r="E1960" s="1" t="s">
        <v>1950</v>
      </c>
    </row>
    <row r="1961" customFormat="false" ht="15" hidden="false" customHeight="true" outlineLevel="0" collapsed="false">
      <c r="A1961" s="1" t="n">
        <v>50934</v>
      </c>
      <c r="B1961" s="3" t="n">
        <v>44065</v>
      </c>
      <c r="C1961" s="1" t="n">
        <v>730</v>
      </c>
      <c r="D1961" s="4" t="n">
        <v>0</v>
      </c>
      <c r="E1961" s="1" t="s">
        <v>1949</v>
      </c>
    </row>
    <row r="1962" customFormat="false" ht="15" hidden="false" customHeight="true" outlineLevel="0" collapsed="false">
      <c r="A1962" s="1" t="n">
        <v>51852</v>
      </c>
      <c r="B1962" s="3" t="n">
        <v>43998</v>
      </c>
      <c r="C1962" s="1" t="n">
        <v>321</v>
      </c>
      <c r="D1962" s="4" t="n">
        <v>899</v>
      </c>
      <c r="E1962" s="1" t="s">
        <v>1950</v>
      </c>
    </row>
    <row r="1963" customFormat="false" ht="15" hidden="false" customHeight="true" outlineLevel="0" collapsed="false">
      <c r="A1963" s="1" t="n">
        <v>50274</v>
      </c>
      <c r="B1963" s="3" t="n">
        <v>44056</v>
      </c>
      <c r="C1963" s="1" t="n">
        <v>1564</v>
      </c>
      <c r="D1963" s="4" t="n">
        <v>0</v>
      </c>
      <c r="E1963" s="1" t="s">
        <v>1949</v>
      </c>
    </row>
    <row r="1964" customFormat="false" ht="15" hidden="false" customHeight="true" outlineLevel="0" collapsed="false">
      <c r="A1964" s="1" t="n">
        <v>51847</v>
      </c>
      <c r="B1964" s="3" t="n">
        <v>44003</v>
      </c>
      <c r="C1964" s="1" t="n">
        <v>1892</v>
      </c>
      <c r="D1964" s="4" t="n">
        <v>835</v>
      </c>
      <c r="E1964" s="1" t="s">
        <v>1950</v>
      </c>
    </row>
    <row r="1965" customFormat="false" ht="15" hidden="false" customHeight="true" outlineLevel="0" collapsed="false">
      <c r="A1965" s="1" t="n">
        <v>51607</v>
      </c>
      <c r="B1965" s="3" t="n">
        <v>44058</v>
      </c>
      <c r="C1965" s="1" t="n">
        <v>76</v>
      </c>
      <c r="D1965" s="4" t="n">
        <v>0</v>
      </c>
      <c r="E1965" s="1" t="s">
        <v>1949</v>
      </c>
    </row>
    <row r="1966" customFormat="false" ht="15" hidden="false" customHeight="true" outlineLevel="0" collapsed="false">
      <c r="A1966" s="1" t="n">
        <v>50947</v>
      </c>
      <c r="B1966" s="3" t="n">
        <v>44002</v>
      </c>
      <c r="C1966" s="1" t="n">
        <v>711</v>
      </c>
      <c r="D1966" s="4" t="n">
        <v>0</v>
      </c>
      <c r="E1966" s="1" t="s">
        <v>1949</v>
      </c>
    </row>
    <row r="1967" customFormat="false" ht="15" hidden="false" customHeight="true" outlineLevel="0" collapsed="false">
      <c r="A1967" s="1" t="n">
        <v>51642</v>
      </c>
      <c r="B1967" s="3" t="n">
        <v>44059</v>
      </c>
      <c r="C1967" s="1" t="n">
        <v>619</v>
      </c>
      <c r="D1967" s="4" t="n">
        <v>667</v>
      </c>
      <c r="E1967" s="1" t="s">
        <v>1950</v>
      </c>
    </row>
    <row r="1968" customFormat="false" ht="15" hidden="false" customHeight="true" outlineLevel="0" collapsed="false">
      <c r="A1968" s="1" t="n">
        <v>50275</v>
      </c>
      <c r="B1968" s="3" t="n">
        <v>44006</v>
      </c>
      <c r="C1968" s="1" t="n">
        <v>1314</v>
      </c>
      <c r="D1968" s="4" t="n">
        <v>0</v>
      </c>
      <c r="E1968" s="1" t="s">
        <v>1949</v>
      </c>
    </row>
    <row r="1969" customFormat="false" ht="15" hidden="false" customHeight="true" outlineLevel="0" collapsed="false">
      <c r="A1969" s="1" t="n">
        <v>50156</v>
      </c>
      <c r="B1969" s="3" t="n">
        <v>44065</v>
      </c>
      <c r="C1969" s="1" t="n">
        <v>1028</v>
      </c>
      <c r="D1969" s="4" t="n">
        <v>211</v>
      </c>
      <c r="E1969" s="1" t="s">
        <v>1950</v>
      </c>
    </row>
    <row r="1970" customFormat="false" ht="15" hidden="false" customHeight="true" outlineLevel="0" collapsed="false">
      <c r="A1970" s="1" t="n">
        <v>50967</v>
      </c>
      <c r="B1970" s="3" t="n">
        <v>44066</v>
      </c>
      <c r="C1970" s="1" t="n">
        <v>1183</v>
      </c>
      <c r="D1970" s="4" t="n">
        <v>718</v>
      </c>
      <c r="E1970" s="1" t="s">
        <v>1950</v>
      </c>
    </row>
    <row r="1971" customFormat="false" ht="15" hidden="false" customHeight="true" outlineLevel="0" collapsed="false">
      <c r="A1971" s="1" t="n">
        <v>50582</v>
      </c>
      <c r="B1971" s="3" t="n">
        <v>43987</v>
      </c>
      <c r="C1971" s="1" t="n">
        <v>537</v>
      </c>
      <c r="D1971" s="4" t="n">
        <v>201</v>
      </c>
      <c r="E1971" s="1" t="s">
        <v>1950</v>
      </c>
    </row>
    <row r="1972" customFormat="false" ht="15" hidden="false" customHeight="true" outlineLevel="0" collapsed="false">
      <c r="A1972" s="1" t="n">
        <v>51560</v>
      </c>
      <c r="B1972" s="3" t="n">
        <v>44045</v>
      </c>
      <c r="C1972" s="1" t="n">
        <v>393</v>
      </c>
      <c r="D1972" s="4" t="n">
        <v>191</v>
      </c>
      <c r="E1972" s="1" t="s">
        <v>1950</v>
      </c>
    </row>
    <row r="1973" customFormat="false" ht="15" hidden="false" customHeight="true" outlineLevel="0" collapsed="false">
      <c r="A1973" s="1" t="n">
        <v>51771</v>
      </c>
      <c r="B1973" s="3" t="n">
        <v>43985</v>
      </c>
      <c r="C1973" s="1" t="n">
        <v>15</v>
      </c>
      <c r="D1973" s="4" t="n">
        <v>0</v>
      </c>
      <c r="E1973" s="1" t="s">
        <v>1949</v>
      </c>
    </row>
    <row r="1974" customFormat="false" ht="15" hidden="false" customHeight="true" outlineLevel="0" collapsed="false">
      <c r="A1974" s="1" t="n">
        <v>51644</v>
      </c>
      <c r="B1974" s="3" t="n">
        <v>44057</v>
      </c>
      <c r="C1974" s="1" t="n">
        <v>1414</v>
      </c>
      <c r="D1974" s="4" t="n">
        <v>0</v>
      </c>
      <c r="E1974" s="1" t="s">
        <v>1949</v>
      </c>
    </row>
    <row r="1975" customFormat="false" ht="15" hidden="false" customHeight="true" outlineLevel="0" collapsed="false">
      <c r="A1975" s="1" t="n">
        <v>51531</v>
      </c>
      <c r="B1975" s="3" t="n">
        <v>44065</v>
      </c>
      <c r="C1975" s="1" t="n">
        <v>855</v>
      </c>
      <c r="D1975" s="4" t="n">
        <v>237</v>
      </c>
      <c r="E1975" s="1" t="s">
        <v>1950</v>
      </c>
    </row>
    <row r="1976" customFormat="false" ht="15" hidden="false" customHeight="true" outlineLevel="0" collapsed="false">
      <c r="A1976" s="1" t="n">
        <v>51909</v>
      </c>
      <c r="B1976" s="3" t="n">
        <v>44028</v>
      </c>
      <c r="C1976" s="1" t="n">
        <v>271</v>
      </c>
      <c r="D1976" s="4" t="n">
        <v>411</v>
      </c>
      <c r="E1976" s="1" t="s">
        <v>1950</v>
      </c>
    </row>
    <row r="1977" customFormat="false" ht="15" hidden="false" customHeight="true" outlineLevel="0" collapsed="false">
      <c r="A1977" s="1" t="n">
        <v>50185</v>
      </c>
      <c r="B1977" s="3" t="n">
        <v>44021</v>
      </c>
      <c r="C1977" s="1" t="n">
        <v>1732</v>
      </c>
      <c r="D1977" s="4" t="n">
        <v>780</v>
      </c>
      <c r="E1977" s="1" t="s">
        <v>1950</v>
      </c>
    </row>
    <row r="1978" customFormat="false" ht="15" hidden="false" customHeight="true" outlineLevel="0" collapsed="false">
      <c r="A1978" s="1" t="n">
        <v>50419</v>
      </c>
      <c r="B1978" s="3" t="n">
        <v>44057</v>
      </c>
      <c r="C1978" s="1" t="n">
        <v>517</v>
      </c>
      <c r="D1978" s="4" t="n">
        <v>0</v>
      </c>
      <c r="E1978" s="1" t="s">
        <v>1949</v>
      </c>
    </row>
    <row r="1979" customFormat="false" ht="15" hidden="false" customHeight="true" outlineLevel="0" collapsed="false">
      <c r="A1979" s="1" t="n">
        <v>51760</v>
      </c>
      <c r="B1979" s="3" t="n">
        <v>44021</v>
      </c>
      <c r="C1979" s="1" t="n">
        <v>1099</v>
      </c>
      <c r="D1979" s="4" t="n">
        <v>0</v>
      </c>
      <c r="E1979" s="1" t="s">
        <v>1949</v>
      </c>
    </row>
    <row r="1980" customFormat="false" ht="15" hidden="false" customHeight="true" outlineLevel="0" collapsed="false">
      <c r="A1980" s="1" t="n">
        <v>50895</v>
      </c>
      <c r="B1980" s="3" t="n">
        <v>44028</v>
      </c>
      <c r="C1980" s="1" t="n">
        <v>1050</v>
      </c>
      <c r="D1980" s="4" t="n">
        <v>0</v>
      </c>
      <c r="E1980" s="1" t="s">
        <v>1949</v>
      </c>
    </row>
    <row r="1981" customFormat="false" ht="15" hidden="false" customHeight="true" outlineLevel="0" collapsed="false">
      <c r="A1981" s="1" t="n">
        <v>51398</v>
      </c>
      <c r="B1981" s="3" t="n">
        <v>44037</v>
      </c>
      <c r="C1981" s="1" t="n">
        <v>1448</v>
      </c>
      <c r="D1981" s="4" t="n">
        <v>690</v>
      </c>
      <c r="E1981" s="1" t="s">
        <v>1950</v>
      </c>
    </row>
    <row r="1982" customFormat="false" ht="15" hidden="false" customHeight="true" outlineLevel="0" collapsed="false">
      <c r="A1982" s="1" t="n">
        <v>50637</v>
      </c>
      <c r="B1982" s="3" t="n">
        <v>44056</v>
      </c>
      <c r="C1982" s="1" t="n">
        <v>1976</v>
      </c>
      <c r="D1982" s="4" t="n">
        <v>0</v>
      </c>
      <c r="E1982" s="1" t="s">
        <v>1949</v>
      </c>
    </row>
    <row r="1983" customFormat="false" ht="15" hidden="false" customHeight="true" outlineLevel="0" collapsed="false">
      <c r="A1983" s="1" t="n">
        <v>51823</v>
      </c>
      <c r="B1983" s="3" t="n">
        <v>44021</v>
      </c>
      <c r="C1983" s="1" t="n">
        <v>960</v>
      </c>
      <c r="D1983" s="4" t="n">
        <v>0</v>
      </c>
      <c r="E1983" s="1" t="s">
        <v>1949</v>
      </c>
    </row>
    <row r="1984" customFormat="false" ht="15" hidden="false" customHeight="true" outlineLevel="0" collapsed="false">
      <c r="A1984" s="1" t="n">
        <v>51205</v>
      </c>
      <c r="B1984" s="3" t="n">
        <v>43985</v>
      </c>
      <c r="C1984" s="1" t="n">
        <v>1003</v>
      </c>
      <c r="D1984" s="4" t="n">
        <v>0</v>
      </c>
      <c r="E1984" s="1" t="s">
        <v>1949</v>
      </c>
    </row>
    <row r="1985" customFormat="false" ht="15" hidden="false" customHeight="true" outlineLevel="0" collapsed="false">
      <c r="A1985" s="1" t="n">
        <v>51147</v>
      </c>
      <c r="B1985" s="3" t="n">
        <v>43982</v>
      </c>
      <c r="C1985" s="1" t="n">
        <v>571</v>
      </c>
      <c r="D1985" s="4" t="n">
        <v>468</v>
      </c>
      <c r="E1985" s="1" t="s">
        <v>1950</v>
      </c>
    </row>
    <row r="1986" customFormat="false" ht="15" hidden="false" customHeight="true" outlineLevel="0" collapsed="false">
      <c r="A1986" s="1" t="n">
        <v>50191</v>
      </c>
      <c r="B1986" s="3" t="n">
        <v>44041</v>
      </c>
      <c r="C1986" s="1" t="n">
        <v>1984</v>
      </c>
      <c r="D1986" s="4" t="n">
        <v>740</v>
      </c>
      <c r="E1986" s="1" t="s">
        <v>1950</v>
      </c>
    </row>
    <row r="1987" customFormat="false" ht="15" hidden="false" customHeight="true" outlineLevel="0" collapsed="false">
      <c r="A1987" s="1" t="n">
        <v>50511</v>
      </c>
      <c r="B1987" s="3" t="n">
        <v>44027</v>
      </c>
      <c r="C1987" s="1" t="n">
        <v>388</v>
      </c>
      <c r="D1987" s="4" t="n">
        <v>500</v>
      </c>
      <c r="E1987" s="1" t="s">
        <v>1950</v>
      </c>
    </row>
    <row r="1988" customFormat="false" ht="15" hidden="false" customHeight="true" outlineLevel="0" collapsed="false">
      <c r="A1988" s="1" t="n">
        <v>50025</v>
      </c>
      <c r="B1988" s="3" t="n">
        <v>44047</v>
      </c>
      <c r="C1988" s="1" t="n">
        <v>1697</v>
      </c>
      <c r="D1988" s="4" t="n">
        <v>0</v>
      </c>
      <c r="E1988" s="1" t="s">
        <v>1949</v>
      </c>
    </row>
    <row r="1989" customFormat="false" ht="15" hidden="false" customHeight="true" outlineLevel="0" collapsed="false">
      <c r="A1989" s="1" t="n">
        <v>50867</v>
      </c>
      <c r="B1989" s="3" t="n">
        <v>44031</v>
      </c>
      <c r="C1989" s="1" t="n">
        <v>485</v>
      </c>
      <c r="D1989" s="4" t="n">
        <v>513</v>
      </c>
      <c r="E1989" s="1" t="s">
        <v>1950</v>
      </c>
    </row>
    <row r="1990" customFormat="false" ht="15" hidden="false" customHeight="true" outlineLevel="0" collapsed="false">
      <c r="A1990" s="1" t="n">
        <v>51803</v>
      </c>
      <c r="B1990" s="3" t="n">
        <v>43997</v>
      </c>
      <c r="C1990" s="1" t="n">
        <v>1249</v>
      </c>
      <c r="D1990" s="4" t="n">
        <v>859</v>
      </c>
      <c r="E1990" s="1" t="s">
        <v>1950</v>
      </c>
    </row>
    <row r="1991" customFormat="false" ht="15" hidden="false" customHeight="true" outlineLevel="0" collapsed="false">
      <c r="A1991" s="1" t="n">
        <v>51197</v>
      </c>
      <c r="B1991" s="3" t="n">
        <v>44062</v>
      </c>
      <c r="C1991" s="1" t="n">
        <v>641</v>
      </c>
      <c r="D1991" s="4" t="n">
        <v>0</v>
      </c>
      <c r="E1991" s="1" t="s">
        <v>1949</v>
      </c>
    </row>
    <row r="1992" customFormat="false" ht="15" hidden="false" customHeight="true" outlineLevel="0" collapsed="false">
      <c r="A1992" s="1" t="n">
        <v>51287</v>
      </c>
      <c r="B1992" s="3" t="n">
        <v>44060</v>
      </c>
      <c r="C1992" s="1" t="n">
        <v>1624</v>
      </c>
      <c r="D1992" s="4" t="n">
        <v>0</v>
      </c>
      <c r="E1992" s="1" t="s">
        <v>1949</v>
      </c>
    </row>
    <row r="1993" customFormat="false" ht="15" hidden="false" customHeight="true" outlineLevel="0" collapsed="false">
      <c r="A1993" s="1" t="n">
        <v>51912</v>
      </c>
      <c r="B1993" s="3" t="n">
        <v>44007</v>
      </c>
      <c r="C1993" s="1" t="n">
        <v>1200</v>
      </c>
      <c r="D1993" s="4" t="n">
        <v>0</v>
      </c>
      <c r="E1993" s="1" t="s">
        <v>1949</v>
      </c>
    </row>
    <row r="1994" customFormat="false" ht="15" hidden="false" customHeight="true" outlineLevel="0" collapsed="false">
      <c r="A1994" s="1" t="n">
        <v>51956</v>
      </c>
      <c r="B1994" s="3" t="n">
        <v>44042</v>
      </c>
      <c r="C1994" s="1" t="n">
        <v>1561</v>
      </c>
      <c r="D1994" s="4" t="n">
        <v>0</v>
      </c>
      <c r="E1994" s="1" t="s">
        <v>1949</v>
      </c>
    </row>
    <row r="1995" customFormat="false" ht="15" hidden="false" customHeight="true" outlineLevel="0" collapsed="false">
      <c r="A1995" s="1" t="n">
        <v>51856</v>
      </c>
      <c r="B1995" s="3" t="n">
        <v>44011</v>
      </c>
      <c r="C1995" s="1" t="n">
        <v>1562</v>
      </c>
      <c r="D1995" s="4" t="n">
        <v>872</v>
      </c>
      <c r="E1995" s="1" t="s">
        <v>1950</v>
      </c>
    </row>
    <row r="1996" customFormat="false" ht="15" hidden="false" customHeight="true" outlineLevel="0" collapsed="false">
      <c r="D1996" s="4"/>
    </row>
    <row r="1997" customFormat="false" ht="15" hidden="false" customHeight="true" outlineLevel="0" collapsed="false">
      <c r="D1997" s="4"/>
    </row>
    <row r="1998" customFormat="false" ht="15" hidden="false" customHeight="true" outlineLevel="0" collapsed="false">
      <c r="D1998" s="4"/>
    </row>
    <row r="1999" customFormat="false" ht="15" hidden="false" customHeight="true" outlineLevel="0" collapsed="false">
      <c r="D1999" s="4"/>
    </row>
    <row r="2000" customFormat="false" ht="15" hidden="false" customHeight="true" outlineLevel="0" collapsed="false">
      <c r="D2000" s="4"/>
    </row>
    <row r="2001" customFormat="false" ht="15" hidden="false" customHeight="true" outlineLevel="0" collapsed="false">
      <c r="D2001" s="4"/>
    </row>
    <row r="2002" customFormat="false" ht="15" hidden="false" customHeight="true" outlineLevel="0" collapsed="false">
      <c r="D2002" s="4"/>
    </row>
    <row r="2003" customFormat="false" ht="15" hidden="false" customHeight="true" outlineLevel="0" collapsed="false">
      <c r="D2003" s="4"/>
    </row>
    <row r="2004" customFormat="false" ht="15" hidden="false" customHeight="true" outlineLevel="0" collapsed="false">
      <c r="D2004" s="4"/>
    </row>
    <row r="2005" customFormat="false" ht="15" hidden="false" customHeight="true" outlineLevel="0" collapsed="false">
      <c r="D2005" s="4"/>
    </row>
    <row r="2006" customFormat="false" ht="15" hidden="false" customHeight="true" outlineLevel="0" collapsed="false">
      <c r="D2006" s="4"/>
    </row>
    <row r="2007" customFormat="false" ht="15" hidden="false" customHeight="true" outlineLevel="0" collapsed="false">
      <c r="D2007" s="4"/>
    </row>
    <row r="2008" customFormat="false" ht="15" hidden="false" customHeight="true" outlineLevel="0" collapsed="false">
      <c r="D2008" s="4"/>
    </row>
    <row r="2009" customFormat="false" ht="15" hidden="false" customHeight="true" outlineLevel="0" collapsed="false">
      <c r="D2009" s="4"/>
    </row>
    <row r="2010" customFormat="false" ht="15" hidden="false" customHeight="true" outlineLevel="0" collapsed="false">
      <c r="D2010" s="4"/>
    </row>
    <row r="2011" customFormat="false" ht="15" hidden="false" customHeight="true" outlineLevel="0" collapsed="false">
      <c r="D2011" s="4"/>
    </row>
    <row r="2012" customFormat="false" ht="15" hidden="false" customHeight="true" outlineLevel="0" collapsed="false">
      <c r="D2012" s="4"/>
    </row>
    <row r="2013" customFormat="false" ht="15" hidden="false" customHeight="true" outlineLevel="0" collapsed="false">
      <c r="D2013" s="4"/>
    </row>
    <row r="2014" customFormat="false" ht="15" hidden="false" customHeight="true" outlineLevel="0" collapsed="false">
      <c r="D2014" s="4"/>
    </row>
    <row r="2015" customFormat="false" ht="15" hidden="false" customHeight="true" outlineLevel="0" collapsed="false">
      <c r="D2015" s="4"/>
    </row>
    <row r="2016" customFormat="false" ht="15" hidden="false" customHeight="true" outlineLevel="0" collapsed="false">
      <c r="D2016" s="4"/>
    </row>
    <row r="2017" customFormat="false" ht="15" hidden="false" customHeight="true" outlineLevel="0" collapsed="false">
      <c r="D2017" s="4"/>
    </row>
    <row r="2018" customFormat="false" ht="15" hidden="false" customHeight="true" outlineLevel="0" collapsed="false">
      <c r="D2018" s="4"/>
    </row>
    <row r="2019" customFormat="false" ht="15" hidden="false" customHeight="true" outlineLevel="0" collapsed="false">
      <c r="D2019" s="4"/>
    </row>
    <row r="2020" customFormat="false" ht="15" hidden="false" customHeight="true" outlineLevel="0" collapsed="false">
      <c r="D2020" s="4"/>
    </row>
    <row r="2021" customFormat="false" ht="15" hidden="false" customHeight="true" outlineLevel="0" collapsed="false">
      <c r="D2021" s="4"/>
    </row>
    <row r="2022" customFormat="false" ht="15" hidden="false" customHeight="true" outlineLevel="0" collapsed="false">
      <c r="D2022" s="4"/>
    </row>
    <row r="2023" customFormat="false" ht="15" hidden="false" customHeight="true" outlineLevel="0" collapsed="false">
      <c r="D2023" s="4"/>
    </row>
    <row r="2024" customFormat="false" ht="15" hidden="false" customHeight="true" outlineLevel="0" collapsed="false">
      <c r="D2024" s="4"/>
    </row>
    <row r="2025" customFormat="false" ht="15" hidden="false" customHeight="true" outlineLevel="0" collapsed="false">
      <c r="D2025" s="4"/>
    </row>
    <row r="2026" customFormat="false" ht="15" hidden="false" customHeight="true" outlineLevel="0" collapsed="false">
      <c r="D2026" s="4"/>
    </row>
    <row r="2027" customFormat="false" ht="15" hidden="false" customHeight="true" outlineLevel="0" collapsed="false">
      <c r="D2027" s="4"/>
    </row>
    <row r="2028" customFormat="false" ht="15" hidden="false" customHeight="true" outlineLevel="0" collapsed="false">
      <c r="D2028" s="4"/>
    </row>
    <row r="2029" customFormat="false" ht="15" hidden="false" customHeight="true" outlineLevel="0" collapsed="false">
      <c r="D2029" s="4"/>
    </row>
    <row r="2030" customFormat="false" ht="15" hidden="false" customHeight="true" outlineLevel="0" collapsed="false">
      <c r="D2030" s="4"/>
    </row>
    <row r="2031" customFormat="false" ht="15" hidden="false" customHeight="true" outlineLevel="0" collapsed="false">
      <c r="D2031" s="4"/>
    </row>
    <row r="2032" customFormat="false" ht="15" hidden="false" customHeight="true" outlineLevel="0" collapsed="false">
      <c r="D2032" s="4"/>
    </row>
    <row r="2033" customFormat="false" ht="15" hidden="false" customHeight="true" outlineLevel="0" collapsed="false">
      <c r="D2033" s="4"/>
    </row>
    <row r="2034" customFormat="false" ht="15" hidden="false" customHeight="true" outlineLevel="0" collapsed="false">
      <c r="D2034" s="4"/>
    </row>
    <row r="2035" customFormat="false" ht="15" hidden="false" customHeight="true" outlineLevel="0" collapsed="false">
      <c r="D2035" s="4"/>
    </row>
    <row r="2036" customFormat="false" ht="15" hidden="false" customHeight="true" outlineLevel="0" collapsed="false">
      <c r="D2036" s="4"/>
    </row>
    <row r="2037" customFormat="false" ht="15" hidden="false" customHeight="true" outlineLevel="0" collapsed="false">
      <c r="D2037" s="4"/>
    </row>
    <row r="2038" customFormat="false" ht="15" hidden="false" customHeight="true" outlineLevel="0" collapsed="false">
      <c r="D2038" s="4"/>
    </row>
    <row r="2039" customFormat="false" ht="15" hidden="false" customHeight="true" outlineLevel="0" collapsed="false">
      <c r="D2039" s="4"/>
    </row>
    <row r="2040" customFormat="false" ht="15" hidden="false" customHeight="true" outlineLevel="0" collapsed="false">
      <c r="D2040" s="4"/>
    </row>
    <row r="2041" customFormat="false" ht="15" hidden="false" customHeight="true" outlineLevel="0" collapsed="false">
      <c r="D2041" s="4"/>
    </row>
    <row r="2042" customFormat="false" ht="15" hidden="false" customHeight="true" outlineLevel="0" collapsed="false">
      <c r="D2042" s="4"/>
    </row>
    <row r="2043" customFormat="false" ht="15" hidden="false" customHeight="true" outlineLevel="0" collapsed="false">
      <c r="D2043" s="4"/>
    </row>
    <row r="2044" customFormat="false" ht="15" hidden="false" customHeight="true" outlineLevel="0" collapsed="false">
      <c r="D2044" s="4"/>
    </row>
    <row r="2045" customFormat="false" ht="15" hidden="false" customHeight="true" outlineLevel="0" collapsed="false">
      <c r="D2045" s="4"/>
    </row>
    <row r="2046" customFormat="false" ht="15" hidden="false" customHeight="true" outlineLevel="0" collapsed="false">
      <c r="D2046" s="4"/>
    </row>
    <row r="2047" customFormat="false" ht="15" hidden="false" customHeight="true" outlineLevel="0" collapsed="false">
      <c r="D2047" s="4"/>
    </row>
    <row r="2048" customFormat="false" ht="15" hidden="false" customHeight="true" outlineLevel="0" collapsed="false">
      <c r="D2048" s="4"/>
    </row>
    <row r="2049" customFormat="false" ht="15" hidden="false" customHeight="true" outlineLevel="0" collapsed="false">
      <c r="D2049" s="4"/>
    </row>
    <row r="2050" customFormat="false" ht="15" hidden="false" customHeight="true" outlineLevel="0" collapsed="false">
      <c r="D2050" s="4"/>
    </row>
    <row r="2051" customFormat="false" ht="15" hidden="false" customHeight="true" outlineLevel="0" collapsed="false">
      <c r="D2051" s="4"/>
    </row>
    <row r="2052" customFormat="false" ht="15" hidden="false" customHeight="true" outlineLevel="0" collapsed="false">
      <c r="D2052" s="4"/>
    </row>
    <row r="2053" customFormat="false" ht="15" hidden="false" customHeight="true" outlineLevel="0" collapsed="false">
      <c r="D2053" s="4"/>
    </row>
    <row r="2054" customFormat="false" ht="15" hidden="false" customHeight="true" outlineLevel="0" collapsed="false">
      <c r="D2054" s="4"/>
    </row>
    <row r="2055" customFormat="false" ht="15" hidden="false" customHeight="true" outlineLevel="0" collapsed="false">
      <c r="D2055" s="4"/>
    </row>
    <row r="2056" customFormat="false" ht="15" hidden="false" customHeight="true" outlineLevel="0" collapsed="false">
      <c r="D2056" s="4"/>
    </row>
    <row r="2057" customFormat="false" ht="15" hidden="false" customHeight="true" outlineLevel="0" collapsed="false">
      <c r="D2057" s="4"/>
    </row>
    <row r="2058" customFormat="false" ht="15" hidden="false" customHeight="true" outlineLevel="0" collapsed="false">
      <c r="D2058" s="4"/>
    </row>
    <row r="2059" customFormat="false" ht="15" hidden="false" customHeight="true" outlineLevel="0" collapsed="false">
      <c r="D2059" s="4"/>
    </row>
    <row r="2060" customFormat="false" ht="15" hidden="false" customHeight="true" outlineLevel="0" collapsed="false">
      <c r="D2060" s="4"/>
    </row>
    <row r="2061" customFormat="false" ht="15" hidden="false" customHeight="true" outlineLevel="0" collapsed="false">
      <c r="D2061" s="4"/>
    </row>
    <row r="2062" customFormat="false" ht="15" hidden="false" customHeight="true" outlineLevel="0" collapsed="false">
      <c r="D2062" s="4"/>
    </row>
    <row r="2063" customFormat="false" ht="15" hidden="false" customHeight="true" outlineLevel="0" collapsed="false">
      <c r="D2063" s="4"/>
    </row>
    <row r="2064" customFormat="false" ht="15" hidden="false" customHeight="true" outlineLevel="0" collapsed="false">
      <c r="D2064" s="4"/>
    </row>
    <row r="2065" customFormat="false" ht="15" hidden="false" customHeight="true" outlineLevel="0" collapsed="false">
      <c r="D2065" s="4"/>
    </row>
    <row r="2066" customFormat="false" ht="15" hidden="false" customHeight="true" outlineLevel="0" collapsed="false">
      <c r="D2066" s="4"/>
    </row>
    <row r="2067" customFormat="false" ht="15" hidden="false" customHeight="true" outlineLevel="0" collapsed="false">
      <c r="D2067" s="4"/>
    </row>
    <row r="2068" customFormat="false" ht="15" hidden="false" customHeight="true" outlineLevel="0" collapsed="false">
      <c r="D2068" s="4"/>
    </row>
    <row r="2069" customFormat="false" ht="15" hidden="false" customHeight="true" outlineLevel="0" collapsed="false">
      <c r="D2069" s="4"/>
    </row>
    <row r="2070" customFormat="false" ht="15" hidden="false" customHeight="true" outlineLevel="0" collapsed="false">
      <c r="D2070" s="4"/>
    </row>
    <row r="2071" customFormat="false" ht="15" hidden="false" customHeight="true" outlineLevel="0" collapsed="false">
      <c r="D2071" s="4"/>
    </row>
    <row r="2072" customFormat="false" ht="15" hidden="false" customHeight="true" outlineLevel="0" collapsed="false">
      <c r="D2072" s="4"/>
    </row>
    <row r="2073" customFormat="false" ht="15" hidden="false" customHeight="true" outlineLevel="0" collapsed="false">
      <c r="D2073" s="4"/>
    </row>
    <row r="2074" customFormat="false" ht="15" hidden="false" customHeight="true" outlineLevel="0" collapsed="false">
      <c r="D2074" s="4"/>
    </row>
    <row r="2075" customFormat="false" ht="15" hidden="false" customHeight="true" outlineLevel="0" collapsed="false">
      <c r="D2075" s="4"/>
    </row>
    <row r="2076" customFormat="false" ht="15" hidden="false" customHeight="true" outlineLevel="0" collapsed="false">
      <c r="D2076" s="4"/>
    </row>
    <row r="2077" customFormat="false" ht="15" hidden="false" customHeight="true" outlineLevel="0" collapsed="false">
      <c r="D2077" s="4"/>
    </row>
    <row r="2078" customFormat="false" ht="15" hidden="false" customHeight="true" outlineLevel="0" collapsed="false">
      <c r="D2078" s="4"/>
    </row>
    <row r="2079" customFormat="false" ht="15" hidden="false" customHeight="true" outlineLevel="0" collapsed="false">
      <c r="D2079" s="4"/>
    </row>
    <row r="2080" customFormat="false" ht="15" hidden="false" customHeight="true" outlineLevel="0" collapsed="false">
      <c r="D2080" s="4"/>
    </row>
    <row r="2081" customFormat="false" ht="15" hidden="false" customHeight="true" outlineLevel="0" collapsed="false">
      <c r="D2081" s="4"/>
    </row>
    <row r="2082" customFormat="false" ht="15" hidden="false" customHeight="true" outlineLevel="0" collapsed="false">
      <c r="D2082" s="4"/>
    </row>
    <row r="2083" customFormat="false" ht="15" hidden="false" customHeight="true" outlineLevel="0" collapsed="false">
      <c r="D2083" s="4"/>
    </row>
    <row r="2084" customFormat="false" ht="15" hidden="false" customHeight="true" outlineLevel="0" collapsed="false">
      <c r="D2084" s="4"/>
    </row>
    <row r="2085" customFormat="false" ht="15" hidden="false" customHeight="true" outlineLevel="0" collapsed="false">
      <c r="D2085" s="4"/>
    </row>
    <row r="2086" customFormat="false" ht="15" hidden="false" customHeight="true" outlineLevel="0" collapsed="false">
      <c r="D2086" s="4"/>
    </row>
    <row r="2087" customFormat="false" ht="15" hidden="false" customHeight="true" outlineLevel="0" collapsed="false">
      <c r="D2087" s="4"/>
    </row>
    <row r="2088" customFormat="false" ht="15" hidden="false" customHeight="true" outlineLevel="0" collapsed="false">
      <c r="D2088" s="4"/>
    </row>
    <row r="2089" customFormat="false" ht="15" hidden="false" customHeight="true" outlineLevel="0" collapsed="false">
      <c r="D2089" s="4"/>
    </row>
    <row r="2090" customFormat="false" ht="15" hidden="false" customHeight="true" outlineLevel="0" collapsed="false">
      <c r="D2090" s="4"/>
    </row>
    <row r="2091" customFormat="false" ht="15" hidden="false" customHeight="true" outlineLevel="0" collapsed="false">
      <c r="D2091" s="4"/>
    </row>
    <row r="2092" customFormat="false" ht="15" hidden="false" customHeight="true" outlineLevel="0" collapsed="false">
      <c r="D2092" s="4"/>
    </row>
    <row r="2093" customFormat="false" ht="15" hidden="false" customHeight="true" outlineLevel="0" collapsed="false">
      <c r="D2093" s="4"/>
    </row>
    <row r="2094" customFormat="false" ht="15" hidden="false" customHeight="true" outlineLevel="0" collapsed="false">
      <c r="D2094" s="4"/>
    </row>
    <row r="2095" customFormat="false" ht="15" hidden="false" customHeight="true" outlineLevel="0" collapsed="false">
      <c r="D2095" s="4"/>
    </row>
    <row r="2096" customFormat="false" ht="15" hidden="false" customHeight="true" outlineLevel="0" collapsed="false">
      <c r="D2096" s="4"/>
    </row>
    <row r="2097" customFormat="false" ht="15" hidden="false" customHeight="true" outlineLevel="0" collapsed="false">
      <c r="D2097" s="4"/>
    </row>
    <row r="2098" customFormat="false" ht="15" hidden="false" customHeight="true" outlineLevel="0" collapsed="false">
      <c r="D2098" s="4"/>
    </row>
    <row r="2099" customFormat="false" ht="15" hidden="false" customHeight="true" outlineLevel="0" collapsed="false">
      <c r="D2099" s="4"/>
    </row>
    <row r="2100" customFormat="false" ht="15" hidden="false" customHeight="true" outlineLevel="0" collapsed="false">
      <c r="D2100" s="4"/>
    </row>
    <row r="2101" customFormat="false" ht="15" hidden="false" customHeight="true" outlineLevel="0" collapsed="false">
      <c r="D2101" s="4"/>
    </row>
    <row r="2102" customFormat="false" ht="15" hidden="false" customHeight="true" outlineLevel="0" collapsed="false">
      <c r="D2102" s="4"/>
    </row>
    <row r="2103" customFormat="false" ht="15" hidden="false" customHeight="true" outlineLevel="0" collapsed="false">
      <c r="D2103" s="4"/>
    </row>
    <row r="2104" customFormat="false" ht="15" hidden="false" customHeight="true" outlineLevel="0" collapsed="false">
      <c r="D2104" s="4"/>
    </row>
    <row r="2105" customFormat="false" ht="15" hidden="false" customHeight="true" outlineLevel="0" collapsed="false">
      <c r="D2105" s="4"/>
    </row>
    <row r="2106" customFormat="false" ht="15" hidden="false" customHeight="true" outlineLevel="0" collapsed="false">
      <c r="D2106" s="4"/>
    </row>
    <row r="2107" customFormat="false" ht="15" hidden="false" customHeight="true" outlineLevel="0" collapsed="false">
      <c r="D2107" s="4"/>
    </row>
    <row r="2108" customFormat="false" ht="15" hidden="false" customHeight="true" outlineLevel="0" collapsed="false">
      <c r="D2108" s="4"/>
    </row>
    <row r="2109" customFormat="false" ht="15" hidden="false" customHeight="true" outlineLevel="0" collapsed="false">
      <c r="D2109" s="4"/>
    </row>
    <row r="2110" customFormat="false" ht="15" hidden="false" customHeight="true" outlineLevel="0" collapsed="false">
      <c r="D2110" s="4"/>
    </row>
    <row r="2111" customFormat="false" ht="15" hidden="false" customHeight="true" outlineLevel="0" collapsed="false">
      <c r="D2111" s="4"/>
    </row>
    <row r="2112" customFormat="false" ht="15" hidden="false" customHeight="true" outlineLevel="0" collapsed="false">
      <c r="D2112" s="4"/>
    </row>
    <row r="2113" customFormat="false" ht="15" hidden="false" customHeight="true" outlineLevel="0" collapsed="false">
      <c r="D2113" s="4"/>
    </row>
    <row r="2114" customFormat="false" ht="15" hidden="false" customHeight="true" outlineLevel="0" collapsed="false">
      <c r="D2114" s="4"/>
    </row>
    <row r="2115" customFormat="false" ht="15" hidden="false" customHeight="true" outlineLevel="0" collapsed="false">
      <c r="D2115" s="4"/>
    </row>
    <row r="2116" customFormat="false" ht="15" hidden="false" customHeight="true" outlineLevel="0" collapsed="false">
      <c r="D2116" s="4"/>
    </row>
    <row r="2117" customFormat="false" ht="15" hidden="false" customHeight="true" outlineLevel="0" collapsed="false">
      <c r="D2117" s="4"/>
    </row>
    <row r="2118" customFormat="false" ht="15" hidden="false" customHeight="true" outlineLevel="0" collapsed="false">
      <c r="D2118" s="4"/>
    </row>
    <row r="2119" customFormat="false" ht="15" hidden="false" customHeight="true" outlineLevel="0" collapsed="false">
      <c r="D2119" s="4"/>
    </row>
    <row r="2120" customFormat="false" ht="15" hidden="false" customHeight="true" outlineLevel="0" collapsed="false">
      <c r="D2120" s="4"/>
    </row>
    <row r="2121" customFormat="false" ht="15" hidden="false" customHeight="true" outlineLevel="0" collapsed="false">
      <c r="D2121" s="4"/>
    </row>
    <row r="2122" customFormat="false" ht="15" hidden="false" customHeight="true" outlineLevel="0" collapsed="false">
      <c r="D2122" s="4"/>
    </row>
    <row r="2123" customFormat="false" ht="15" hidden="false" customHeight="true" outlineLevel="0" collapsed="false">
      <c r="D2123" s="4"/>
    </row>
    <row r="2124" customFormat="false" ht="15" hidden="false" customHeight="true" outlineLevel="0" collapsed="false">
      <c r="D2124" s="4"/>
    </row>
    <row r="2125" customFormat="false" ht="15" hidden="false" customHeight="true" outlineLevel="0" collapsed="false">
      <c r="D2125" s="4"/>
    </row>
    <row r="2126" customFormat="false" ht="15" hidden="false" customHeight="true" outlineLevel="0" collapsed="false">
      <c r="D2126" s="4"/>
    </row>
    <row r="2127" customFormat="false" ht="15" hidden="false" customHeight="true" outlineLevel="0" collapsed="false">
      <c r="D2127" s="4"/>
    </row>
    <row r="2128" customFormat="false" ht="15" hidden="false" customHeight="true" outlineLevel="0" collapsed="false">
      <c r="D2128" s="4"/>
    </row>
    <row r="2129" customFormat="false" ht="15" hidden="false" customHeight="true" outlineLevel="0" collapsed="false">
      <c r="D2129" s="4"/>
    </row>
    <row r="2130" customFormat="false" ht="15" hidden="false" customHeight="true" outlineLevel="0" collapsed="false">
      <c r="D2130" s="4"/>
    </row>
    <row r="2131" customFormat="false" ht="15" hidden="false" customHeight="true" outlineLevel="0" collapsed="false">
      <c r="D2131" s="4"/>
    </row>
    <row r="2132" customFormat="false" ht="15" hidden="false" customHeight="true" outlineLevel="0" collapsed="false">
      <c r="D2132" s="4"/>
    </row>
    <row r="2133" customFormat="false" ht="15" hidden="false" customHeight="true" outlineLevel="0" collapsed="false">
      <c r="D2133" s="4"/>
    </row>
    <row r="2134" customFormat="false" ht="15" hidden="false" customHeight="true" outlineLevel="0" collapsed="false">
      <c r="D2134" s="4"/>
    </row>
    <row r="2135" customFormat="false" ht="15" hidden="false" customHeight="true" outlineLevel="0" collapsed="false">
      <c r="D2135" s="4"/>
    </row>
    <row r="2136" customFormat="false" ht="15" hidden="false" customHeight="true" outlineLevel="0" collapsed="false">
      <c r="D2136" s="4"/>
    </row>
    <row r="2137" customFormat="false" ht="15" hidden="false" customHeight="true" outlineLevel="0" collapsed="false">
      <c r="D2137" s="4"/>
    </row>
    <row r="2138" customFormat="false" ht="15" hidden="false" customHeight="true" outlineLevel="0" collapsed="false">
      <c r="D2138" s="4"/>
    </row>
    <row r="2139" customFormat="false" ht="15" hidden="false" customHeight="true" outlineLevel="0" collapsed="false">
      <c r="D2139" s="4"/>
    </row>
    <row r="2140" customFormat="false" ht="15" hidden="false" customHeight="true" outlineLevel="0" collapsed="false">
      <c r="D2140" s="4"/>
    </row>
    <row r="2141" customFormat="false" ht="15" hidden="false" customHeight="true" outlineLevel="0" collapsed="false">
      <c r="D2141" s="4"/>
    </row>
    <row r="2142" customFormat="false" ht="15" hidden="false" customHeight="true" outlineLevel="0" collapsed="false">
      <c r="D2142" s="4"/>
    </row>
    <row r="2143" customFormat="false" ht="15" hidden="false" customHeight="true" outlineLevel="0" collapsed="false">
      <c r="D2143" s="4"/>
    </row>
    <row r="2144" customFormat="false" ht="15" hidden="false" customHeight="true" outlineLevel="0" collapsed="false">
      <c r="D2144" s="4"/>
    </row>
    <row r="2145" customFormat="false" ht="15" hidden="false" customHeight="true" outlineLevel="0" collapsed="false">
      <c r="D2145" s="4"/>
    </row>
    <row r="2146" customFormat="false" ht="15" hidden="false" customHeight="true" outlineLevel="0" collapsed="false">
      <c r="D2146" s="4"/>
    </row>
    <row r="2147" customFormat="false" ht="15" hidden="false" customHeight="true" outlineLevel="0" collapsed="false">
      <c r="D2147" s="4"/>
    </row>
    <row r="2148" customFormat="false" ht="15" hidden="false" customHeight="true" outlineLevel="0" collapsed="false">
      <c r="D2148" s="4"/>
    </row>
    <row r="2149" customFormat="false" ht="15" hidden="false" customHeight="true" outlineLevel="0" collapsed="false">
      <c r="D2149" s="4"/>
    </row>
    <row r="2150" customFormat="false" ht="15" hidden="false" customHeight="true" outlineLevel="0" collapsed="false">
      <c r="D2150" s="4"/>
    </row>
    <row r="2151" customFormat="false" ht="15" hidden="false" customHeight="true" outlineLevel="0" collapsed="false">
      <c r="D2151" s="4"/>
    </row>
    <row r="2152" customFormat="false" ht="15" hidden="false" customHeight="true" outlineLevel="0" collapsed="false">
      <c r="D2152" s="4"/>
    </row>
    <row r="2153" customFormat="false" ht="15" hidden="false" customHeight="true" outlineLevel="0" collapsed="false">
      <c r="D2153" s="4"/>
    </row>
    <row r="2154" customFormat="false" ht="15" hidden="false" customHeight="true" outlineLevel="0" collapsed="false">
      <c r="D2154" s="4"/>
    </row>
    <row r="2155" customFormat="false" ht="15" hidden="false" customHeight="true" outlineLevel="0" collapsed="false">
      <c r="D2155" s="4"/>
    </row>
    <row r="2156" customFormat="false" ht="15" hidden="false" customHeight="true" outlineLevel="0" collapsed="false">
      <c r="D2156" s="4"/>
    </row>
    <row r="2157" customFormat="false" ht="15" hidden="false" customHeight="true" outlineLevel="0" collapsed="false">
      <c r="D2157" s="4"/>
    </row>
    <row r="2158" customFormat="false" ht="15" hidden="false" customHeight="true" outlineLevel="0" collapsed="false">
      <c r="D2158" s="4"/>
    </row>
    <row r="2159" customFormat="false" ht="15" hidden="false" customHeight="true" outlineLevel="0" collapsed="false">
      <c r="D2159" s="4"/>
    </row>
    <row r="2160" customFormat="false" ht="15" hidden="false" customHeight="true" outlineLevel="0" collapsed="false">
      <c r="D2160" s="4"/>
    </row>
    <row r="2161" customFormat="false" ht="15" hidden="false" customHeight="true" outlineLevel="0" collapsed="false">
      <c r="D2161" s="4"/>
    </row>
    <row r="2162" customFormat="false" ht="15" hidden="false" customHeight="true" outlineLevel="0" collapsed="false">
      <c r="D2162" s="4"/>
    </row>
    <row r="2163" customFormat="false" ht="15" hidden="false" customHeight="true" outlineLevel="0" collapsed="false">
      <c r="D2163" s="4"/>
    </row>
    <row r="2164" customFormat="false" ht="15" hidden="false" customHeight="true" outlineLevel="0" collapsed="false">
      <c r="D2164" s="4"/>
    </row>
    <row r="2165" customFormat="false" ht="15" hidden="false" customHeight="true" outlineLevel="0" collapsed="false">
      <c r="D2165" s="4"/>
    </row>
    <row r="2166" customFormat="false" ht="15" hidden="false" customHeight="true" outlineLevel="0" collapsed="false">
      <c r="D2166" s="4"/>
    </row>
    <row r="2167" customFormat="false" ht="15" hidden="false" customHeight="true" outlineLevel="0" collapsed="false">
      <c r="D2167" s="4"/>
    </row>
    <row r="2168" customFormat="false" ht="15" hidden="false" customHeight="true" outlineLevel="0" collapsed="false">
      <c r="D2168" s="4"/>
    </row>
    <row r="2169" customFormat="false" ht="15" hidden="false" customHeight="true" outlineLevel="0" collapsed="false">
      <c r="D2169" s="4"/>
    </row>
    <row r="2170" customFormat="false" ht="15" hidden="false" customHeight="true" outlineLevel="0" collapsed="false">
      <c r="D2170" s="4"/>
    </row>
    <row r="2171" customFormat="false" ht="15" hidden="false" customHeight="true" outlineLevel="0" collapsed="false">
      <c r="D2171" s="4"/>
    </row>
    <row r="2172" customFormat="false" ht="15" hidden="false" customHeight="true" outlineLevel="0" collapsed="false">
      <c r="D2172" s="4"/>
    </row>
    <row r="2173" customFormat="false" ht="15" hidden="false" customHeight="true" outlineLevel="0" collapsed="false">
      <c r="D2173" s="4"/>
    </row>
    <row r="2174" customFormat="false" ht="15" hidden="false" customHeight="true" outlineLevel="0" collapsed="false">
      <c r="D2174" s="4"/>
    </row>
    <row r="2175" customFormat="false" ht="15" hidden="false" customHeight="true" outlineLevel="0" collapsed="false">
      <c r="D2175" s="4"/>
    </row>
    <row r="2176" customFormat="false" ht="15" hidden="false" customHeight="true" outlineLevel="0" collapsed="false">
      <c r="D2176" s="4"/>
    </row>
    <row r="2177" customFormat="false" ht="15" hidden="false" customHeight="true" outlineLevel="0" collapsed="false">
      <c r="D2177" s="4"/>
    </row>
    <row r="2178" customFormat="false" ht="15" hidden="false" customHeight="true" outlineLevel="0" collapsed="false">
      <c r="D2178" s="4"/>
    </row>
    <row r="2179" customFormat="false" ht="15" hidden="false" customHeight="true" outlineLevel="0" collapsed="false">
      <c r="D2179" s="4"/>
    </row>
    <row r="2180" customFormat="false" ht="15" hidden="false" customHeight="true" outlineLevel="0" collapsed="false">
      <c r="D2180" s="4"/>
    </row>
    <row r="2181" customFormat="false" ht="15" hidden="false" customHeight="true" outlineLevel="0" collapsed="false">
      <c r="D2181" s="4"/>
    </row>
    <row r="2182" customFormat="false" ht="15" hidden="false" customHeight="true" outlineLevel="0" collapsed="false">
      <c r="D2182" s="4"/>
    </row>
    <row r="2183" customFormat="false" ht="15" hidden="false" customHeight="true" outlineLevel="0" collapsed="false">
      <c r="D2183" s="4"/>
    </row>
    <row r="2184" customFormat="false" ht="15" hidden="false" customHeight="true" outlineLevel="0" collapsed="false">
      <c r="D2184" s="4"/>
    </row>
    <row r="2185" customFormat="false" ht="15" hidden="false" customHeight="true" outlineLevel="0" collapsed="false">
      <c r="D2185" s="4"/>
    </row>
    <row r="2186" customFormat="false" ht="15" hidden="false" customHeight="true" outlineLevel="0" collapsed="false">
      <c r="D2186" s="4"/>
    </row>
    <row r="2187" customFormat="false" ht="15" hidden="false" customHeight="true" outlineLevel="0" collapsed="false">
      <c r="D2187" s="4"/>
    </row>
    <row r="2188" customFormat="false" ht="15" hidden="false" customHeight="true" outlineLevel="0" collapsed="false">
      <c r="D2188" s="4"/>
    </row>
    <row r="2189" customFormat="false" ht="15" hidden="false" customHeight="true" outlineLevel="0" collapsed="false">
      <c r="D2189" s="4"/>
    </row>
    <row r="2190" customFormat="false" ht="15" hidden="false" customHeight="true" outlineLevel="0" collapsed="false">
      <c r="D2190" s="4"/>
    </row>
    <row r="2191" customFormat="false" ht="15" hidden="false" customHeight="true" outlineLevel="0" collapsed="false">
      <c r="D2191" s="4"/>
    </row>
    <row r="2192" customFormat="false" ht="15" hidden="false" customHeight="true" outlineLevel="0" collapsed="false">
      <c r="D2192" s="4"/>
    </row>
    <row r="2193" customFormat="false" ht="15" hidden="false" customHeight="true" outlineLevel="0" collapsed="false">
      <c r="D2193" s="4"/>
    </row>
    <row r="2194" customFormat="false" ht="15" hidden="false" customHeight="true" outlineLevel="0" collapsed="false">
      <c r="D2194" s="4"/>
    </row>
    <row r="2195" customFormat="false" ht="15" hidden="false" customHeight="true" outlineLevel="0" collapsed="false">
      <c r="D2195" s="4"/>
    </row>
    <row r="2196" customFormat="false" ht="15" hidden="false" customHeight="true" outlineLevel="0" collapsed="false">
      <c r="D2196" s="4"/>
    </row>
    <row r="2197" customFormat="false" ht="15" hidden="false" customHeight="true" outlineLevel="0" collapsed="false">
      <c r="D2197" s="4"/>
    </row>
    <row r="2198" customFormat="false" ht="15" hidden="false" customHeight="true" outlineLevel="0" collapsed="false">
      <c r="D2198" s="4"/>
    </row>
    <row r="2199" customFormat="false" ht="15" hidden="false" customHeight="true" outlineLevel="0" collapsed="false">
      <c r="D2199" s="4"/>
    </row>
    <row r="2200" customFormat="false" ht="15" hidden="false" customHeight="true" outlineLevel="0" collapsed="false">
      <c r="D2200" s="4"/>
    </row>
    <row r="2201" customFormat="false" ht="15" hidden="false" customHeight="true" outlineLevel="0" collapsed="false">
      <c r="D2201" s="4"/>
    </row>
    <row r="2202" customFormat="false" ht="15" hidden="false" customHeight="true" outlineLevel="0" collapsed="false">
      <c r="D2202" s="4"/>
    </row>
    <row r="2203" customFormat="false" ht="15" hidden="false" customHeight="true" outlineLevel="0" collapsed="false">
      <c r="D2203" s="4"/>
    </row>
    <row r="2204" customFormat="false" ht="15" hidden="false" customHeight="true" outlineLevel="0" collapsed="false">
      <c r="D2204" s="4"/>
    </row>
    <row r="2205" customFormat="false" ht="15" hidden="false" customHeight="true" outlineLevel="0" collapsed="false">
      <c r="D2205" s="4"/>
    </row>
    <row r="2206" customFormat="false" ht="15" hidden="false" customHeight="true" outlineLevel="0" collapsed="false">
      <c r="D2206" s="4"/>
    </row>
    <row r="2207" customFormat="false" ht="15" hidden="false" customHeight="true" outlineLevel="0" collapsed="false">
      <c r="D2207" s="4"/>
    </row>
    <row r="2208" customFormat="false" ht="15" hidden="false" customHeight="true" outlineLevel="0" collapsed="false">
      <c r="D2208" s="4"/>
    </row>
    <row r="2209" customFormat="false" ht="15" hidden="false" customHeight="true" outlineLevel="0" collapsed="false">
      <c r="D2209" s="4"/>
    </row>
    <row r="2210" customFormat="false" ht="15" hidden="false" customHeight="true" outlineLevel="0" collapsed="false">
      <c r="D2210" s="4"/>
    </row>
    <row r="2211" customFormat="false" ht="15" hidden="false" customHeight="true" outlineLevel="0" collapsed="false">
      <c r="D2211" s="4"/>
    </row>
    <row r="2212" customFormat="false" ht="15" hidden="false" customHeight="true" outlineLevel="0" collapsed="false">
      <c r="D2212" s="4"/>
    </row>
    <row r="2213" customFormat="false" ht="15" hidden="false" customHeight="true" outlineLevel="0" collapsed="false">
      <c r="D2213" s="4"/>
    </row>
    <row r="2214" customFormat="false" ht="15" hidden="false" customHeight="true" outlineLevel="0" collapsed="false">
      <c r="D2214" s="4"/>
    </row>
    <row r="2215" customFormat="false" ht="15" hidden="false" customHeight="true" outlineLevel="0" collapsed="false">
      <c r="D2215" s="4"/>
    </row>
    <row r="2216" customFormat="false" ht="15" hidden="false" customHeight="true" outlineLevel="0" collapsed="false">
      <c r="D2216" s="4"/>
    </row>
    <row r="2217" customFormat="false" ht="15" hidden="false" customHeight="true" outlineLevel="0" collapsed="false">
      <c r="D2217" s="4"/>
    </row>
    <row r="2218" customFormat="false" ht="15" hidden="false" customHeight="true" outlineLevel="0" collapsed="false">
      <c r="D2218" s="4"/>
    </row>
    <row r="2219" customFormat="false" ht="15" hidden="false" customHeight="true" outlineLevel="0" collapsed="false">
      <c r="D2219" s="4"/>
    </row>
    <row r="2220" customFormat="false" ht="15" hidden="false" customHeight="true" outlineLevel="0" collapsed="false">
      <c r="D2220" s="4"/>
    </row>
    <row r="2221" customFormat="false" ht="15" hidden="false" customHeight="true" outlineLevel="0" collapsed="false">
      <c r="D2221" s="4"/>
    </row>
    <row r="2222" customFormat="false" ht="15" hidden="false" customHeight="true" outlineLevel="0" collapsed="false">
      <c r="D2222" s="4"/>
    </row>
    <row r="2223" customFormat="false" ht="15" hidden="false" customHeight="true" outlineLevel="0" collapsed="false">
      <c r="D2223" s="4"/>
    </row>
    <row r="2224" customFormat="false" ht="15" hidden="false" customHeight="true" outlineLevel="0" collapsed="false">
      <c r="D2224" s="4"/>
    </row>
    <row r="2225" customFormat="false" ht="15" hidden="false" customHeight="true" outlineLevel="0" collapsed="false">
      <c r="D2225" s="4"/>
    </row>
    <row r="2226" customFormat="false" ht="15" hidden="false" customHeight="true" outlineLevel="0" collapsed="false">
      <c r="D2226" s="4"/>
    </row>
    <row r="2227" customFormat="false" ht="15" hidden="false" customHeight="true" outlineLevel="0" collapsed="false">
      <c r="D2227" s="4"/>
    </row>
    <row r="2228" customFormat="false" ht="15" hidden="false" customHeight="true" outlineLevel="0" collapsed="false">
      <c r="D2228" s="4"/>
    </row>
    <row r="2229" customFormat="false" ht="15" hidden="false" customHeight="true" outlineLevel="0" collapsed="false">
      <c r="D2229" s="4"/>
    </row>
    <row r="2230" customFormat="false" ht="15" hidden="false" customHeight="true" outlineLevel="0" collapsed="false">
      <c r="D2230" s="4"/>
    </row>
    <row r="2231" customFormat="false" ht="15" hidden="false" customHeight="true" outlineLevel="0" collapsed="false">
      <c r="D2231" s="4"/>
    </row>
    <row r="2232" customFormat="false" ht="15" hidden="false" customHeight="true" outlineLevel="0" collapsed="false">
      <c r="D2232" s="4"/>
    </row>
    <row r="2233" customFormat="false" ht="15" hidden="false" customHeight="true" outlineLevel="0" collapsed="false">
      <c r="D2233" s="4"/>
    </row>
    <row r="2234" customFormat="false" ht="15" hidden="false" customHeight="true" outlineLevel="0" collapsed="false">
      <c r="D2234" s="4"/>
    </row>
    <row r="2235" customFormat="false" ht="15" hidden="false" customHeight="true" outlineLevel="0" collapsed="false">
      <c r="D2235" s="4"/>
    </row>
    <row r="2236" customFormat="false" ht="15" hidden="false" customHeight="true" outlineLevel="0" collapsed="false">
      <c r="D2236" s="4"/>
    </row>
    <row r="2237" customFormat="false" ht="15" hidden="false" customHeight="true" outlineLevel="0" collapsed="false">
      <c r="D2237" s="4"/>
    </row>
    <row r="2238" customFormat="false" ht="15" hidden="false" customHeight="true" outlineLevel="0" collapsed="false">
      <c r="D2238" s="4"/>
    </row>
    <row r="2239" customFormat="false" ht="15" hidden="false" customHeight="true" outlineLevel="0" collapsed="false">
      <c r="D2239" s="4"/>
    </row>
    <row r="2240" customFormat="false" ht="15" hidden="false" customHeight="true" outlineLevel="0" collapsed="false">
      <c r="D2240" s="4"/>
    </row>
    <row r="2241" customFormat="false" ht="15" hidden="false" customHeight="true" outlineLevel="0" collapsed="false">
      <c r="D2241" s="4"/>
    </row>
    <row r="2242" customFormat="false" ht="15" hidden="false" customHeight="true" outlineLevel="0" collapsed="false">
      <c r="D2242" s="4"/>
    </row>
    <row r="2243" customFormat="false" ht="15" hidden="false" customHeight="true" outlineLevel="0" collapsed="false">
      <c r="D2243" s="4"/>
    </row>
    <row r="2244" customFormat="false" ht="15" hidden="false" customHeight="true" outlineLevel="0" collapsed="false">
      <c r="D2244" s="4"/>
    </row>
    <row r="2245" customFormat="false" ht="15" hidden="false" customHeight="true" outlineLevel="0" collapsed="false">
      <c r="D2245" s="4"/>
    </row>
    <row r="2246" customFormat="false" ht="15" hidden="false" customHeight="true" outlineLevel="0" collapsed="false">
      <c r="D2246" s="4"/>
    </row>
    <row r="2247" customFormat="false" ht="15" hidden="false" customHeight="true" outlineLevel="0" collapsed="false">
      <c r="D2247" s="4"/>
    </row>
    <row r="2248" customFormat="false" ht="15" hidden="false" customHeight="true" outlineLevel="0" collapsed="false">
      <c r="D2248" s="4"/>
    </row>
    <row r="2249" customFormat="false" ht="15" hidden="false" customHeight="true" outlineLevel="0" collapsed="false">
      <c r="D2249" s="4"/>
    </row>
    <row r="2250" customFormat="false" ht="15" hidden="false" customHeight="true" outlineLevel="0" collapsed="false">
      <c r="D2250" s="4"/>
    </row>
    <row r="2251" customFormat="false" ht="15" hidden="false" customHeight="true" outlineLevel="0" collapsed="false">
      <c r="D2251" s="4"/>
    </row>
    <row r="2252" customFormat="false" ht="15" hidden="false" customHeight="true" outlineLevel="0" collapsed="false">
      <c r="D2252" s="4"/>
    </row>
    <row r="2253" customFormat="false" ht="15" hidden="false" customHeight="true" outlineLevel="0" collapsed="false">
      <c r="D2253" s="4"/>
    </row>
    <row r="2254" customFormat="false" ht="15" hidden="false" customHeight="true" outlineLevel="0" collapsed="false">
      <c r="D2254" s="4"/>
    </row>
    <row r="2255" customFormat="false" ht="15" hidden="false" customHeight="true" outlineLevel="0" collapsed="false">
      <c r="D2255" s="4"/>
    </row>
    <row r="2256" customFormat="false" ht="15" hidden="false" customHeight="true" outlineLevel="0" collapsed="false">
      <c r="D2256" s="4"/>
    </row>
    <row r="2257" customFormat="false" ht="15" hidden="false" customHeight="true" outlineLevel="0" collapsed="false">
      <c r="D2257" s="4"/>
    </row>
    <row r="2258" customFormat="false" ht="15" hidden="false" customHeight="true" outlineLevel="0" collapsed="false">
      <c r="D2258" s="4"/>
    </row>
    <row r="2259" customFormat="false" ht="15" hidden="false" customHeight="true" outlineLevel="0" collapsed="false">
      <c r="D2259" s="4"/>
    </row>
    <row r="2260" customFormat="false" ht="15" hidden="false" customHeight="true" outlineLevel="0" collapsed="false">
      <c r="D2260" s="4"/>
    </row>
    <row r="2261" customFormat="false" ht="15" hidden="false" customHeight="true" outlineLevel="0" collapsed="false">
      <c r="D2261" s="4"/>
    </row>
    <row r="2262" customFormat="false" ht="15" hidden="false" customHeight="true" outlineLevel="0" collapsed="false">
      <c r="D2262" s="4"/>
    </row>
    <row r="2263" customFormat="false" ht="15" hidden="false" customHeight="true" outlineLevel="0" collapsed="false">
      <c r="D2263" s="4"/>
    </row>
    <row r="2264" customFormat="false" ht="15" hidden="false" customHeight="true" outlineLevel="0" collapsed="false">
      <c r="D2264" s="4"/>
    </row>
    <row r="2265" customFormat="false" ht="15" hidden="false" customHeight="true" outlineLevel="0" collapsed="false">
      <c r="D2265" s="4"/>
    </row>
    <row r="2266" customFormat="false" ht="15" hidden="false" customHeight="true" outlineLevel="0" collapsed="false">
      <c r="D2266" s="4"/>
    </row>
    <row r="2267" customFormat="false" ht="15" hidden="false" customHeight="true" outlineLevel="0" collapsed="false">
      <c r="D2267" s="4"/>
    </row>
    <row r="2268" customFormat="false" ht="15" hidden="false" customHeight="true" outlineLevel="0" collapsed="false">
      <c r="D2268" s="4"/>
    </row>
    <row r="2269" customFormat="false" ht="15" hidden="false" customHeight="true" outlineLevel="0" collapsed="false">
      <c r="D2269" s="4"/>
    </row>
    <row r="2270" customFormat="false" ht="15" hidden="false" customHeight="true" outlineLevel="0" collapsed="false">
      <c r="D2270" s="4"/>
    </row>
    <row r="2271" customFormat="false" ht="15" hidden="false" customHeight="true" outlineLevel="0" collapsed="false">
      <c r="D2271" s="4"/>
    </row>
    <row r="2272" customFormat="false" ht="15" hidden="false" customHeight="true" outlineLevel="0" collapsed="false">
      <c r="D2272" s="4"/>
    </row>
    <row r="2273" customFormat="false" ht="15" hidden="false" customHeight="true" outlineLevel="0" collapsed="false">
      <c r="D2273" s="4"/>
    </row>
    <row r="2274" customFormat="false" ht="15" hidden="false" customHeight="true" outlineLevel="0" collapsed="false">
      <c r="D2274" s="4"/>
    </row>
    <row r="2275" customFormat="false" ht="15" hidden="false" customHeight="true" outlineLevel="0" collapsed="false">
      <c r="D2275" s="4"/>
    </row>
    <row r="2276" customFormat="false" ht="15" hidden="false" customHeight="true" outlineLevel="0" collapsed="false">
      <c r="D2276" s="4"/>
    </row>
    <row r="2277" customFormat="false" ht="15" hidden="false" customHeight="true" outlineLevel="0" collapsed="false">
      <c r="D2277" s="4"/>
    </row>
    <row r="2278" customFormat="false" ht="15" hidden="false" customHeight="true" outlineLevel="0" collapsed="false">
      <c r="D2278" s="4"/>
    </row>
    <row r="2279" customFormat="false" ht="15" hidden="false" customHeight="true" outlineLevel="0" collapsed="false">
      <c r="D2279" s="4"/>
    </row>
    <row r="2280" customFormat="false" ht="15" hidden="false" customHeight="true" outlineLevel="0" collapsed="false">
      <c r="D2280" s="4"/>
    </row>
    <row r="2281" customFormat="false" ht="15" hidden="false" customHeight="true" outlineLevel="0" collapsed="false">
      <c r="D2281" s="4"/>
    </row>
    <row r="2282" customFormat="false" ht="15" hidden="false" customHeight="true" outlineLevel="0" collapsed="false">
      <c r="D2282" s="4"/>
    </row>
    <row r="2283" customFormat="false" ht="15" hidden="false" customHeight="true" outlineLevel="0" collapsed="false">
      <c r="D2283" s="4"/>
    </row>
    <row r="2284" customFormat="false" ht="15" hidden="false" customHeight="true" outlineLevel="0" collapsed="false">
      <c r="D2284" s="4"/>
    </row>
    <row r="2285" customFormat="false" ht="15" hidden="false" customHeight="true" outlineLevel="0" collapsed="false">
      <c r="D2285" s="4"/>
    </row>
    <row r="2286" customFormat="false" ht="15" hidden="false" customHeight="true" outlineLevel="0" collapsed="false">
      <c r="D2286" s="4"/>
    </row>
    <row r="2287" customFormat="false" ht="15" hidden="false" customHeight="true" outlineLevel="0" collapsed="false">
      <c r="D2287" s="4"/>
    </row>
    <row r="2288" customFormat="false" ht="15" hidden="false" customHeight="true" outlineLevel="0" collapsed="false">
      <c r="D2288" s="4"/>
    </row>
    <row r="2289" customFormat="false" ht="15" hidden="false" customHeight="true" outlineLevel="0" collapsed="false">
      <c r="D2289" s="4"/>
    </row>
    <row r="2290" customFormat="false" ht="15" hidden="false" customHeight="true" outlineLevel="0" collapsed="false">
      <c r="D2290" s="4"/>
    </row>
    <row r="2291" customFormat="false" ht="15" hidden="false" customHeight="true" outlineLevel="0" collapsed="false">
      <c r="D2291" s="4"/>
    </row>
    <row r="2292" customFormat="false" ht="15" hidden="false" customHeight="true" outlineLevel="0" collapsed="false">
      <c r="D2292" s="4"/>
    </row>
    <row r="2293" customFormat="false" ht="15" hidden="false" customHeight="true" outlineLevel="0" collapsed="false">
      <c r="D2293" s="4"/>
    </row>
    <row r="2294" customFormat="false" ht="15" hidden="false" customHeight="true" outlineLevel="0" collapsed="false">
      <c r="D2294" s="4"/>
    </row>
    <row r="2295" customFormat="false" ht="15" hidden="false" customHeight="true" outlineLevel="0" collapsed="false">
      <c r="D2295" s="4"/>
    </row>
    <row r="2296" customFormat="false" ht="15" hidden="false" customHeight="true" outlineLevel="0" collapsed="false">
      <c r="D2296" s="4"/>
    </row>
    <row r="2297" customFormat="false" ht="15" hidden="false" customHeight="true" outlineLevel="0" collapsed="false">
      <c r="D2297" s="4"/>
    </row>
    <row r="2298" customFormat="false" ht="15" hidden="false" customHeight="true" outlineLevel="0" collapsed="false">
      <c r="D2298" s="4"/>
    </row>
    <row r="2299" customFormat="false" ht="15" hidden="false" customHeight="true" outlineLevel="0" collapsed="false">
      <c r="D2299" s="4"/>
    </row>
    <row r="2300" customFormat="false" ht="15" hidden="false" customHeight="true" outlineLevel="0" collapsed="false">
      <c r="D2300" s="4"/>
    </row>
    <row r="2301" customFormat="false" ht="15" hidden="false" customHeight="true" outlineLevel="0" collapsed="false">
      <c r="D2301" s="4"/>
    </row>
    <row r="2302" customFormat="false" ht="15" hidden="false" customHeight="true" outlineLevel="0" collapsed="false">
      <c r="D2302" s="4"/>
    </row>
    <row r="2303" customFormat="false" ht="15" hidden="false" customHeight="true" outlineLevel="0" collapsed="false">
      <c r="D2303" s="4"/>
    </row>
    <row r="2304" customFormat="false" ht="15" hidden="false" customHeight="true" outlineLevel="0" collapsed="false">
      <c r="D2304" s="4"/>
    </row>
    <row r="2305" customFormat="false" ht="15" hidden="false" customHeight="true" outlineLevel="0" collapsed="false">
      <c r="D2305" s="4"/>
    </row>
    <row r="2306" customFormat="false" ht="15" hidden="false" customHeight="true" outlineLevel="0" collapsed="false">
      <c r="D2306" s="4"/>
    </row>
    <row r="2307" customFormat="false" ht="15" hidden="false" customHeight="true" outlineLevel="0" collapsed="false">
      <c r="D2307" s="4"/>
    </row>
    <row r="2308" customFormat="false" ht="15" hidden="false" customHeight="true" outlineLevel="0" collapsed="false">
      <c r="D2308" s="4"/>
    </row>
    <row r="2309" customFormat="false" ht="15" hidden="false" customHeight="true" outlineLevel="0" collapsed="false">
      <c r="D2309" s="4"/>
    </row>
    <row r="2310" customFormat="false" ht="15" hidden="false" customHeight="true" outlineLevel="0" collapsed="false">
      <c r="D2310" s="4"/>
    </row>
    <row r="2311" customFormat="false" ht="15" hidden="false" customHeight="true" outlineLevel="0" collapsed="false">
      <c r="D2311" s="4"/>
    </row>
    <row r="2312" customFormat="false" ht="15" hidden="false" customHeight="true" outlineLevel="0" collapsed="false">
      <c r="D2312" s="4"/>
    </row>
    <row r="2313" customFormat="false" ht="15" hidden="false" customHeight="true" outlineLevel="0" collapsed="false">
      <c r="D2313" s="4"/>
    </row>
    <row r="2314" customFormat="false" ht="15" hidden="false" customHeight="true" outlineLevel="0" collapsed="false">
      <c r="D2314" s="4"/>
    </row>
    <row r="2315" customFormat="false" ht="15" hidden="false" customHeight="true" outlineLevel="0" collapsed="false">
      <c r="D2315" s="4"/>
    </row>
    <row r="2316" customFormat="false" ht="15" hidden="false" customHeight="true" outlineLevel="0" collapsed="false">
      <c r="D2316" s="4"/>
    </row>
    <row r="2317" customFormat="false" ht="15" hidden="false" customHeight="true" outlineLevel="0" collapsed="false">
      <c r="D2317" s="4"/>
    </row>
    <row r="2318" customFormat="false" ht="15" hidden="false" customHeight="true" outlineLevel="0" collapsed="false">
      <c r="D2318" s="4"/>
    </row>
    <row r="2319" customFormat="false" ht="15" hidden="false" customHeight="true" outlineLevel="0" collapsed="false">
      <c r="D2319" s="4"/>
    </row>
    <row r="2320" customFormat="false" ht="15" hidden="false" customHeight="true" outlineLevel="0" collapsed="false">
      <c r="D2320" s="4"/>
    </row>
    <row r="2321" customFormat="false" ht="15" hidden="false" customHeight="true" outlineLevel="0" collapsed="false">
      <c r="D2321" s="4"/>
    </row>
    <row r="2322" customFormat="false" ht="15" hidden="false" customHeight="true" outlineLevel="0" collapsed="false">
      <c r="D2322" s="4"/>
    </row>
    <row r="2323" customFormat="false" ht="15" hidden="false" customHeight="true" outlineLevel="0" collapsed="false">
      <c r="D2323" s="4"/>
    </row>
    <row r="2324" customFormat="false" ht="15" hidden="false" customHeight="true" outlineLevel="0" collapsed="false">
      <c r="D2324" s="4"/>
    </row>
    <row r="2325" customFormat="false" ht="15" hidden="false" customHeight="true" outlineLevel="0" collapsed="false">
      <c r="D2325" s="4"/>
    </row>
    <row r="2326" customFormat="false" ht="15" hidden="false" customHeight="true" outlineLevel="0" collapsed="false">
      <c r="D2326" s="4"/>
    </row>
    <row r="2327" customFormat="false" ht="15" hidden="false" customHeight="true" outlineLevel="0" collapsed="false">
      <c r="D2327" s="4"/>
    </row>
    <row r="2328" customFormat="false" ht="15" hidden="false" customHeight="true" outlineLevel="0" collapsed="false">
      <c r="D2328" s="4"/>
    </row>
    <row r="2329" customFormat="false" ht="15" hidden="false" customHeight="true" outlineLevel="0" collapsed="false">
      <c r="D2329" s="4"/>
    </row>
    <row r="2330" customFormat="false" ht="15" hidden="false" customHeight="true" outlineLevel="0" collapsed="false">
      <c r="D2330" s="4"/>
    </row>
    <row r="2331" customFormat="false" ht="15" hidden="false" customHeight="true" outlineLevel="0" collapsed="false">
      <c r="D2331" s="4"/>
    </row>
    <row r="2332" customFormat="false" ht="15" hidden="false" customHeight="true" outlineLevel="0" collapsed="false">
      <c r="D2332" s="4"/>
    </row>
    <row r="2333" customFormat="false" ht="15" hidden="false" customHeight="true" outlineLevel="0" collapsed="false">
      <c r="D2333" s="4"/>
    </row>
    <row r="2334" customFormat="false" ht="15" hidden="false" customHeight="true" outlineLevel="0" collapsed="false">
      <c r="D2334" s="4"/>
    </row>
    <row r="2335" customFormat="false" ht="15" hidden="false" customHeight="true" outlineLevel="0" collapsed="false">
      <c r="D2335" s="4"/>
    </row>
    <row r="2336" customFormat="false" ht="15" hidden="false" customHeight="true" outlineLevel="0" collapsed="false">
      <c r="D2336" s="4"/>
    </row>
    <row r="2337" customFormat="false" ht="15" hidden="false" customHeight="true" outlineLevel="0" collapsed="false">
      <c r="D2337" s="4"/>
    </row>
    <row r="2338" customFormat="false" ht="15" hidden="false" customHeight="true" outlineLevel="0" collapsed="false">
      <c r="D2338" s="4"/>
    </row>
    <row r="2339" customFormat="false" ht="15" hidden="false" customHeight="true" outlineLevel="0" collapsed="false">
      <c r="D2339" s="4"/>
    </row>
    <row r="2340" customFormat="false" ht="15" hidden="false" customHeight="true" outlineLevel="0" collapsed="false">
      <c r="D2340" s="4"/>
    </row>
    <row r="2341" customFormat="false" ht="15" hidden="false" customHeight="true" outlineLevel="0" collapsed="false">
      <c r="D2341" s="4"/>
    </row>
    <row r="2342" customFormat="false" ht="15" hidden="false" customHeight="true" outlineLevel="0" collapsed="false">
      <c r="D2342" s="4"/>
    </row>
    <row r="2343" customFormat="false" ht="15" hidden="false" customHeight="true" outlineLevel="0" collapsed="false">
      <c r="D2343" s="4"/>
    </row>
    <row r="2344" customFormat="false" ht="15" hidden="false" customHeight="true" outlineLevel="0" collapsed="false">
      <c r="D2344" s="4"/>
    </row>
    <row r="2345" customFormat="false" ht="15" hidden="false" customHeight="true" outlineLevel="0" collapsed="false">
      <c r="D2345" s="4"/>
    </row>
    <row r="2346" customFormat="false" ht="15" hidden="false" customHeight="true" outlineLevel="0" collapsed="false">
      <c r="D2346" s="4"/>
    </row>
    <row r="2347" customFormat="false" ht="15" hidden="false" customHeight="true" outlineLevel="0" collapsed="false">
      <c r="D2347" s="4"/>
    </row>
    <row r="2348" customFormat="false" ht="15" hidden="false" customHeight="true" outlineLevel="0" collapsed="false">
      <c r="D2348" s="4"/>
    </row>
    <row r="2349" customFormat="false" ht="15" hidden="false" customHeight="true" outlineLevel="0" collapsed="false">
      <c r="D2349" s="4"/>
    </row>
    <row r="2350" customFormat="false" ht="15" hidden="false" customHeight="true" outlineLevel="0" collapsed="false">
      <c r="D2350" s="4"/>
    </row>
    <row r="2351" customFormat="false" ht="15" hidden="false" customHeight="true" outlineLevel="0" collapsed="false">
      <c r="D2351" s="4"/>
    </row>
    <row r="2352" customFormat="false" ht="15" hidden="false" customHeight="true" outlineLevel="0" collapsed="false">
      <c r="D2352" s="4"/>
    </row>
    <row r="2353" customFormat="false" ht="15" hidden="false" customHeight="true" outlineLevel="0" collapsed="false">
      <c r="D2353" s="4"/>
    </row>
    <row r="2354" customFormat="false" ht="15" hidden="false" customHeight="true" outlineLevel="0" collapsed="false">
      <c r="D2354" s="4"/>
    </row>
    <row r="2355" customFormat="false" ht="15" hidden="false" customHeight="true" outlineLevel="0" collapsed="false">
      <c r="D2355" s="4"/>
    </row>
    <row r="2356" customFormat="false" ht="15" hidden="false" customHeight="true" outlineLevel="0" collapsed="false">
      <c r="D2356" s="4"/>
    </row>
    <row r="2357" customFormat="false" ht="15" hidden="false" customHeight="true" outlineLevel="0" collapsed="false">
      <c r="D2357" s="4"/>
    </row>
    <row r="2358" customFormat="false" ht="15" hidden="false" customHeight="true" outlineLevel="0" collapsed="false">
      <c r="D2358" s="4"/>
    </row>
    <row r="2359" customFormat="false" ht="15" hidden="false" customHeight="true" outlineLevel="0" collapsed="false">
      <c r="D2359" s="4"/>
    </row>
    <row r="2360" customFormat="false" ht="15" hidden="false" customHeight="true" outlineLevel="0" collapsed="false">
      <c r="D2360" s="4"/>
    </row>
    <row r="2361" customFormat="false" ht="15" hidden="false" customHeight="true" outlineLevel="0" collapsed="false">
      <c r="D2361" s="4"/>
    </row>
    <row r="2362" customFormat="false" ht="15" hidden="false" customHeight="true" outlineLevel="0" collapsed="false">
      <c r="D2362" s="4"/>
    </row>
    <row r="2363" customFormat="false" ht="15" hidden="false" customHeight="true" outlineLevel="0" collapsed="false">
      <c r="D2363" s="4"/>
    </row>
    <row r="2364" customFormat="false" ht="15" hidden="false" customHeight="true" outlineLevel="0" collapsed="false">
      <c r="D2364" s="4"/>
    </row>
    <row r="2365" customFormat="false" ht="15" hidden="false" customHeight="true" outlineLevel="0" collapsed="false">
      <c r="D2365" s="4"/>
    </row>
    <row r="2366" customFormat="false" ht="15" hidden="false" customHeight="true" outlineLevel="0" collapsed="false">
      <c r="D2366" s="4"/>
    </row>
    <row r="2367" customFormat="false" ht="15" hidden="false" customHeight="true" outlineLevel="0" collapsed="false">
      <c r="D2367" s="4"/>
    </row>
    <row r="2368" customFormat="false" ht="15" hidden="false" customHeight="true" outlineLevel="0" collapsed="false">
      <c r="D2368" s="4"/>
    </row>
    <row r="2369" customFormat="false" ht="15" hidden="false" customHeight="true" outlineLevel="0" collapsed="false">
      <c r="D2369" s="4"/>
    </row>
    <row r="2370" customFormat="false" ht="15" hidden="false" customHeight="true" outlineLevel="0" collapsed="false">
      <c r="D2370" s="4"/>
    </row>
    <row r="2371" customFormat="false" ht="15" hidden="false" customHeight="true" outlineLevel="0" collapsed="false">
      <c r="D2371" s="4"/>
    </row>
    <row r="2372" customFormat="false" ht="15" hidden="false" customHeight="true" outlineLevel="0" collapsed="false">
      <c r="D2372" s="4"/>
    </row>
    <row r="2373" customFormat="false" ht="15" hidden="false" customHeight="true" outlineLevel="0" collapsed="false">
      <c r="D2373" s="4"/>
    </row>
    <row r="2374" customFormat="false" ht="15" hidden="false" customHeight="true" outlineLevel="0" collapsed="false">
      <c r="D2374" s="4"/>
    </row>
    <row r="2375" customFormat="false" ht="15" hidden="false" customHeight="true" outlineLevel="0" collapsed="false">
      <c r="D2375" s="4"/>
    </row>
    <row r="2376" customFormat="false" ht="15" hidden="false" customHeight="true" outlineLevel="0" collapsed="false">
      <c r="D2376" s="4"/>
    </row>
    <row r="2377" customFormat="false" ht="15" hidden="false" customHeight="true" outlineLevel="0" collapsed="false">
      <c r="D2377" s="4"/>
    </row>
    <row r="2378" customFormat="false" ht="15" hidden="false" customHeight="true" outlineLevel="0" collapsed="false">
      <c r="D2378" s="4"/>
    </row>
    <row r="2379" customFormat="false" ht="15" hidden="false" customHeight="true" outlineLevel="0" collapsed="false">
      <c r="D2379" s="4"/>
    </row>
    <row r="2380" customFormat="false" ht="15" hidden="false" customHeight="true" outlineLevel="0" collapsed="false">
      <c r="D2380" s="4"/>
    </row>
    <row r="2381" customFormat="false" ht="15" hidden="false" customHeight="true" outlineLevel="0" collapsed="false">
      <c r="D2381" s="4"/>
    </row>
    <row r="2382" customFormat="false" ht="15" hidden="false" customHeight="true" outlineLevel="0" collapsed="false">
      <c r="D2382" s="4"/>
    </row>
    <row r="2383" customFormat="false" ht="15" hidden="false" customHeight="true" outlineLevel="0" collapsed="false">
      <c r="D2383" s="4"/>
    </row>
    <row r="2384" customFormat="false" ht="15" hidden="false" customHeight="true" outlineLevel="0" collapsed="false">
      <c r="D2384" s="4"/>
    </row>
    <row r="2385" customFormat="false" ht="15" hidden="false" customHeight="true" outlineLevel="0" collapsed="false">
      <c r="D2385" s="4"/>
    </row>
    <row r="2386" customFormat="false" ht="15" hidden="false" customHeight="true" outlineLevel="0" collapsed="false">
      <c r="D2386" s="4"/>
    </row>
    <row r="2387" customFormat="false" ht="15" hidden="false" customHeight="true" outlineLevel="0" collapsed="false">
      <c r="D2387" s="4"/>
    </row>
    <row r="2388" customFormat="false" ht="15" hidden="false" customHeight="true" outlineLevel="0" collapsed="false">
      <c r="D2388" s="4"/>
    </row>
    <row r="2389" customFormat="false" ht="15" hidden="false" customHeight="true" outlineLevel="0" collapsed="false">
      <c r="D2389" s="4"/>
    </row>
    <row r="2390" customFormat="false" ht="15" hidden="false" customHeight="true" outlineLevel="0" collapsed="false">
      <c r="D2390" s="4"/>
    </row>
    <row r="2391" customFormat="false" ht="15" hidden="false" customHeight="true" outlineLevel="0" collapsed="false">
      <c r="D2391" s="4"/>
    </row>
    <row r="2392" customFormat="false" ht="15" hidden="false" customHeight="true" outlineLevel="0" collapsed="false">
      <c r="D2392" s="4"/>
    </row>
    <row r="2393" customFormat="false" ht="15" hidden="false" customHeight="true" outlineLevel="0" collapsed="false">
      <c r="D2393" s="4"/>
    </row>
    <row r="2394" customFormat="false" ht="15" hidden="false" customHeight="true" outlineLevel="0" collapsed="false">
      <c r="D2394" s="4"/>
    </row>
    <row r="2395" customFormat="false" ht="15" hidden="false" customHeight="true" outlineLevel="0" collapsed="false">
      <c r="D2395" s="4"/>
    </row>
    <row r="2396" customFormat="false" ht="15" hidden="false" customHeight="true" outlineLevel="0" collapsed="false">
      <c r="D2396" s="4"/>
    </row>
    <row r="2397" customFormat="false" ht="15" hidden="false" customHeight="true" outlineLevel="0" collapsed="false">
      <c r="D2397" s="4"/>
    </row>
    <row r="2398" customFormat="false" ht="15" hidden="false" customHeight="true" outlineLevel="0" collapsed="false">
      <c r="D2398" s="4"/>
    </row>
    <row r="2399" customFormat="false" ht="15" hidden="false" customHeight="true" outlineLevel="0" collapsed="false">
      <c r="D2399" s="4"/>
    </row>
    <row r="2400" customFormat="false" ht="15" hidden="false" customHeight="true" outlineLevel="0" collapsed="false">
      <c r="D2400" s="4"/>
    </row>
    <row r="2401" customFormat="false" ht="15" hidden="false" customHeight="true" outlineLevel="0" collapsed="false">
      <c r="D2401" s="4"/>
    </row>
    <row r="2402" customFormat="false" ht="15" hidden="false" customHeight="true" outlineLevel="0" collapsed="false">
      <c r="D2402" s="4"/>
    </row>
    <row r="2403" customFormat="false" ht="15" hidden="false" customHeight="true" outlineLevel="0" collapsed="false">
      <c r="D2403" s="4"/>
    </row>
    <row r="2404" customFormat="false" ht="15" hidden="false" customHeight="true" outlineLevel="0" collapsed="false">
      <c r="D2404" s="4"/>
    </row>
    <row r="2405" customFormat="false" ht="15" hidden="false" customHeight="true" outlineLevel="0" collapsed="false">
      <c r="D2405" s="4"/>
    </row>
    <row r="2406" customFormat="false" ht="15" hidden="false" customHeight="true" outlineLevel="0" collapsed="false">
      <c r="D2406" s="4"/>
    </row>
    <row r="2407" customFormat="false" ht="15" hidden="false" customHeight="true" outlineLevel="0" collapsed="false">
      <c r="D2407" s="4"/>
    </row>
    <row r="2408" customFormat="false" ht="15" hidden="false" customHeight="true" outlineLevel="0" collapsed="false">
      <c r="D2408" s="4"/>
    </row>
    <row r="2409" customFormat="false" ht="15" hidden="false" customHeight="true" outlineLevel="0" collapsed="false">
      <c r="D2409" s="4"/>
    </row>
    <row r="2410" customFormat="false" ht="15" hidden="false" customHeight="true" outlineLevel="0" collapsed="false">
      <c r="D2410" s="4"/>
    </row>
    <row r="2411" customFormat="false" ht="15" hidden="false" customHeight="true" outlineLevel="0" collapsed="false">
      <c r="D2411" s="4"/>
    </row>
    <row r="2412" customFormat="false" ht="15" hidden="false" customHeight="true" outlineLevel="0" collapsed="false">
      <c r="D2412" s="4"/>
    </row>
    <row r="2413" customFormat="false" ht="15" hidden="false" customHeight="true" outlineLevel="0" collapsed="false">
      <c r="D2413" s="4"/>
    </row>
    <row r="2414" customFormat="false" ht="15" hidden="false" customHeight="true" outlineLevel="0" collapsed="false">
      <c r="D2414" s="4"/>
    </row>
    <row r="2415" customFormat="false" ht="15" hidden="false" customHeight="true" outlineLevel="0" collapsed="false">
      <c r="D2415" s="4"/>
    </row>
    <row r="2416" customFormat="false" ht="15" hidden="false" customHeight="true" outlineLevel="0" collapsed="false">
      <c r="D2416" s="4"/>
    </row>
    <row r="2417" customFormat="false" ht="15" hidden="false" customHeight="true" outlineLevel="0" collapsed="false">
      <c r="D2417" s="4"/>
    </row>
    <row r="2418" customFormat="false" ht="15" hidden="false" customHeight="true" outlineLevel="0" collapsed="false">
      <c r="D2418" s="4"/>
    </row>
    <row r="2419" customFormat="false" ht="15" hidden="false" customHeight="true" outlineLevel="0" collapsed="false">
      <c r="D2419" s="4"/>
    </row>
    <row r="2420" customFormat="false" ht="15" hidden="false" customHeight="true" outlineLevel="0" collapsed="false">
      <c r="D2420" s="4"/>
    </row>
    <row r="2421" customFormat="false" ht="15" hidden="false" customHeight="true" outlineLevel="0" collapsed="false">
      <c r="D2421" s="4"/>
    </row>
    <row r="2422" customFormat="false" ht="15" hidden="false" customHeight="true" outlineLevel="0" collapsed="false">
      <c r="D2422" s="4"/>
    </row>
    <row r="2423" customFormat="false" ht="15" hidden="false" customHeight="true" outlineLevel="0" collapsed="false">
      <c r="D2423" s="4"/>
    </row>
    <row r="2424" customFormat="false" ht="15" hidden="false" customHeight="true" outlineLevel="0" collapsed="false">
      <c r="D2424" s="4"/>
    </row>
    <row r="2425" customFormat="false" ht="15" hidden="false" customHeight="true" outlineLevel="0" collapsed="false">
      <c r="D2425" s="4"/>
    </row>
    <row r="2426" customFormat="false" ht="15" hidden="false" customHeight="true" outlineLevel="0" collapsed="false">
      <c r="D2426" s="4"/>
    </row>
    <row r="2427" customFormat="false" ht="15" hidden="false" customHeight="true" outlineLevel="0" collapsed="false">
      <c r="D2427" s="4"/>
    </row>
    <row r="2428" customFormat="false" ht="15" hidden="false" customHeight="true" outlineLevel="0" collapsed="false">
      <c r="D2428" s="4"/>
    </row>
    <row r="2429" customFormat="false" ht="15" hidden="false" customHeight="true" outlineLevel="0" collapsed="false">
      <c r="D2429" s="4"/>
    </row>
    <row r="2430" customFormat="false" ht="15" hidden="false" customHeight="true" outlineLevel="0" collapsed="false">
      <c r="D2430" s="4"/>
    </row>
    <row r="2431" customFormat="false" ht="15" hidden="false" customHeight="true" outlineLevel="0" collapsed="false">
      <c r="D2431" s="4"/>
    </row>
    <row r="2432" customFormat="false" ht="15" hidden="false" customHeight="true" outlineLevel="0" collapsed="false">
      <c r="D2432" s="4"/>
    </row>
    <row r="2433" customFormat="false" ht="15" hidden="false" customHeight="true" outlineLevel="0" collapsed="false">
      <c r="D2433" s="4"/>
    </row>
    <row r="2434" customFormat="false" ht="15" hidden="false" customHeight="true" outlineLevel="0" collapsed="false">
      <c r="D2434" s="4"/>
    </row>
    <row r="2435" customFormat="false" ht="15" hidden="false" customHeight="true" outlineLevel="0" collapsed="false">
      <c r="D2435" s="4"/>
    </row>
    <row r="2436" customFormat="false" ht="15" hidden="false" customHeight="true" outlineLevel="0" collapsed="false">
      <c r="D2436" s="4"/>
    </row>
    <row r="2437" customFormat="false" ht="15" hidden="false" customHeight="true" outlineLevel="0" collapsed="false">
      <c r="D2437" s="4"/>
    </row>
    <row r="2438" customFormat="false" ht="15" hidden="false" customHeight="true" outlineLevel="0" collapsed="false">
      <c r="D2438" s="4"/>
    </row>
    <row r="2439" customFormat="false" ht="15" hidden="false" customHeight="true" outlineLevel="0" collapsed="false">
      <c r="D2439" s="4"/>
    </row>
    <row r="2440" customFormat="false" ht="15" hidden="false" customHeight="true" outlineLevel="0" collapsed="false">
      <c r="D2440" s="4"/>
    </row>
    <row r="2441" customFormat="false" ht="15" hidden="false" customHeight="true" outlineLevel="0" collapsed="false">
      <c r="D2441" s="4"/>
    </row>
    <row r="2442" customFormat="false" ht="15" hidden="false" customHeight="true" outlineLevel="0" collapsed="false">
      <c r="D2442" s="4"/>
    </row>
    <row r="2443" customFormat="false" ht="15" hidden="false" customHeight="true" outlineLevel="0" collapsed="false">
      <c r="D2443" s="4"/>
    </row>
    <row r="2444" customFormat="false" ht="15" hidden="false" customHeight="true" outlineLevel="0" collapsed="false">
      <c r="D2444" s="4"/>
    </row>
    <row r="2445" customFormat="false" ht="15" hidden="false" customHeight="true" outlineLevel="0" collapsed="false">
      <c r="D2445" s="4"/>
    </row>
    <row r="2446" customFormat="false" ht="15" hidden="false" customHeight="true" outlineLevel="0" collapsed="false">
      <c r="D2446" s="4"/>
    </row>
    <row r="2447" customFormat="false" ht="15" hidden="false" customHeight="true" outlineLevel="0" collapsed="false">
      <c r="D2447" s="4"/>
    </row>
    <row r="2448" customFormat="false" ht="15" hidden="false" customHeight="true" outlineLevel="0" collapsed="false">
      <c r="D2448" s="4"/>
    </row>
    <row r="2449" customFormat="false" ht="15" hidden="false" customHeight="true" outlineLevel="0" collapsed="false">
      <c r="D2449" s="4"/>
    </row>
    <row r="2450" customFormat="false" ht="15" hidden="false" customHeight="true" outlineLevel="0" collapsed="false">
      <c r="D2450" s="4"/>
    </row>
    <row r="2451" customFormat="false" ht="15" hidden="false" customHeight="true" outlineLevel="0" collapsed="false">
      <c r="D2451" s="4"/>
    </row>
    <row r="2452" customFormat="false" ht="15" hidden="false" customHeight="true" outlineLevel="0" collapsed="false">
      <c r="D2452" s="4"/>
    </row>
    <row r="2453" customFormat="false" ht="15" hidden="false" customHeight="true" outlineLevel="0" collapsed="false">
      <c r="D2453" s="4"/>
    </row>
    <row r="2454" customFormat="false" ht="15" hidden="false" customHeight="true" outlineLevel="0" collapsed="false">
      <c r="D2454" s="4"/>
    </row>
    <row r="2455" customFormat="false" ht="15" hidden="false" customHeight="true" outlineLevel="0" collapsed="false">
      <c r="D2455" s="4"/>
    </row>
    <row r="2456" customFormat="false" ht="15" hidden="false" customHeight="true" outlineLevel="0" collapsed="false">
      <c r="D2456" s="4"/>
    </row>
    <row r="2457" customFormat="false" ht="15" hidden="false" customHeight="true" outlineLevel="0" collapsed="false">
      <c r="D2457" s="4"/>
    </row>
    <row r="2458" customFormat="false" ht="15" hidden="false" customHeight="true" outlineLevel="0" collapsed="false">
      <c r="D2458" s="4"/>
    </row>
    <row r="2459" customFormat="false" ht="15" hidden="false" customHeight="true" outlineLevel="0" collapsed="false">
      <c r="D2459" s="4"/>
    </row>
    <row r="2460" customFormat="false" ht="15" hidden="false" customHeight="true" outlineLevel="0" collapsed="false">
      <c r="D2460" s="4"/>
    </row>
    <row r="2461" customFormat="false" ht="15" hidden="false" customHeight="true" outlineLevel="0" collapsed="false">
      <c r="D2461" s="4"/>
    </row>
    <row r="2462" customFormat="false" ht="15" hidden="false" customHeight="true" outlineLevel="0" collapsed="false">
      <c r="D2462" s="4"/>
    </row>
    <row r="2463" customFormat="false" ht="15" hidden="false" customHeight="true" outlineLevel="0" collapsed="false">
      <c r="D2463" s="4"/>
    </row>
    <row r="2464" customFormat="false" ht="15" hidden="false" customHeight="true" outlineLevel="0" collapsed="false">
      <c r="D2464" s="4"/>
    </row>
    <row r="2465" customFormat="false" ht="15" hidden="false" customHeight="true" outlineLevel="0" collapsed="false">
      <c r="D2465" s="4"/>
    </row>
    <row r="2466" customFormat="false" ht="15" hidden="false" customHeight="true" outlineLevel="0" collapsed="false">
      <c r="D2466" s="4"/>
    </row>
    <row r="2467" customFormat="false" ht="15" hidden="false" customHeight="true" outlineLevel="0" collapsed="false">
      <c r="D2467" s="4"/>
    </row>
    <row r="2468" customFormat="false" ht="15" hidden="false" customHeight="true" outlineLevel="0" collapsed="false">
      <c r="D2468" s="4"/>
    </row>
    <row r="2469" customFormat="false" ht="15" hidden="false" customHeight="true" outlineLevel="0" collapsed="false">
      <c r="D2469" s="4"/>
    </row>
    <row r="2470" customFormat="false" ht="15" hidden="false" customHeight="true" outlineLevel="0" collapsed="false">
      <c r="D2470" s="4"/>
    </row>
    <row r="2471" customFormat="false" ht="15" hidden="false" customHeight="true" outlineLevel="0" collapsed="false">
      <c r="D2471" s="4"/>
    </row>
    <row r="2472" customFormat="false" ht="15" hidden="false" customHeight="true" outlineLevel="0" collapsed="false">
      <c r="D2472" s="4"/>
    </row>
    <row r="2473" customFormat="false" ht="15" hidden="false" customHeight="true" outlineLevel="0" collapsed="false">
      <c r="D2473" s="4"/>
    </row>
    <row r="2474" customFormat="false" ht="15" hidden="false" customHeight="true" outlineLevel="0" collapsed="false">
      <c r="D2474" s="4"/>
    </row>
    <row r="2475" customFormat="false" ht="15" hidden="false" customHeight="true" outlineLevel="0" collapsed="false">
      <c r="D2475" s="4"/>
    </row>
    <row r="2476" customFormat="false" ht="15" hidden="false" customHeight="true" outlineLevel="0" collapsed="false">
      <c r="D2476" s="4"/>
    </row>
    <row r="2477" customFormat="false" ht="15" hidden="false" customHeight="true" outlineLevel="0" collapsed="false">
      <c r="D2477" s="4"/>
    </row>
    <row r="2478" customFormat="false" ht="15" hidden="false" customHeight="true" outlineLevel="0" collapsed="false">
      <c r="D2478" s="4"/>
    </row>
    <row r="2479" customFormat="false" ht="15" hidden="false" customHeight="true" outlineLevel="0" collapsed="false">
      <c r="D2479" s="4"/>
    </row>
    <row r="2480" customFormat="false" ht="15" hidden="false" customHeight="true" outlineLevel="0" collapsed="false">
      <c r="D2480" s="4"/>
    </row>
    <row r="2481" customFormat="false" ht="15" hidden="false" customHeight="true" outlineLevel="0" collapsed="false">
      <c r="D2481" s="4"/>
    </row>
    <row r="2482" customFormat="false" ht="15" hidden="false" customHeight="true" outlineLevel="0" collapsed="false">
      <c r="D2482" s="4"/>
    </row>
    <row r="2483" customFormat="false" ht="15" hidden="false" customHeight="true" outlineLevel="0" collapsed="false">
      <c r="D2483" s="4"/>
    </row>
    <row r="2484" customFormat="false" ht="15" hidden="false" customHeight="true" outlineLevel="0" collapsed="false">
      <c r="D2484" s="4"/>
    </row>
    <row r="2485" customFormat="false" ht="15" hidden="false" customHeight="true" outlineLevel="0" collapsed="false">
      <c r="D2485" s="4"/>
    </row>
    <row r="2486" customFormat="false" ht="15" hidden="false" customHeight="true" outlineLevel="0" collapsed="false">
      <c r="D2486" s="4"/>
    </row>
    <row r="2487" customFormat="false" ht="15" hidden="false" customHeight="true" outlineLevel="0" collapsed="false">
      <c r="D2487" s="4"/>
    </row>
    <row r="2488" customFormat="false" ht="15" hidden="false" customHeight="true" outlineLevel="0" collapsed="false">
      <c r="D2488" s="4"/>
    </row>
    <row r="2489" customFormat="false" ht="15" hidden="false" customHeight="true" outlineLevel="0" collapsed="false">
      <c r="D2489" s="4"/>
    </row>
    <row r="2490" customFormat="false" ht="15" hidden="false" customHeight="true" outlineLevel="0" collapsed="false">
      <c r="D2490" s="4"/>
    </row>
    <row r="2491" customFormat="false" ht="15" hidden="false" customHeight="true" outlineLevel="0" collapsed="false">
      <c r="D2491" s="4"/>
    </row>
    <row r="2492" customFormat="false" ht="15" hidden="false" customHeight="true" outlineLevel="0" collapsed="false">
      <c r="D2492" s="4"/>
    </row>
    <row r="2493" customFormat="false" ht="15" hidden="false" customHeight="true" outlineLevel="0" collapsed="false">
      <c r="D2493" s="4"/>
    </row>
    <row r="2494" customFormat="false" ht="15" hidden="false" customHeight="true" outlineLevel="0" collapsed="false">
      <c r="D2494" s="4"/>
    </row>
    <row r="2495" customFormat="false" ht="15" hidden="false" customHeight="true" outlineLevel="0" collapsed="false">
      <c r="D2495" s="4"/>
    </row>
    <row r="2496" customFormat="false" ht="15" hidden="false" customHeight="true" outlineLevel="0" collapsed="false">
      <c r="D2496" s="4"/>
    </row>
    <row r="2497" customFormat="false" ht="15" hidden="false" customHeight="true" outlineLevel="0" collapsed="false">
      <c r="D2497" s="4"/>
    </row>
    <row r="2498" customFormat="false" ht="15" hidden="false" customHeight="true" outlineLevel="0" collapsed="false">
      <c r="D2498" s="4"/>
    </row>
    <row r="2499" customFormat="false" ht="15" hidden="false" customHeight="true" outlineLevel="0" collapsed="false">
      <c r="D2499" s="4"/>
    </row>
    <row r="2500" customFormat="false" ht="15" hidden="false" customHeight="true" outlineLevel="0" collapsed="false">
      <c r="D2500" s="4"/>
    </row>
    <row r="2501" customFormat="false" ht="15" hidden="false" customHeight="true" outlineLevel="0" collapsed="false">
      <c r="D2501" s="4"/>
    </row>
    <row r="2502" customFormat="false" ht="15" hidden="false" customHeight="true" outlineLevel="0" collapsed="false">
      <c r="D2502" s="4"/>
    </row>
    <row r="2503" customFormat="false" ht="15" hidden="false" customHeight="true" outlineLevel="0" collapsed="false">
      <c r="D2503" s="4"/>
    </row>
    <row r="2504" customFormat="false" ht="15" hidden="false" customHeight="true" outlineLevel="0" collapsed="false">
      <c r="D2504" s="4"/>
    </row>
    <row r="2505" customFormat="false" ht="15" hidden="false" customHeight="true" outlineLevel="0" collapsed="false">
      <c r="D2505" s="4"/>
    </row>
    <row r="2506" customFormat="false" ht="15" hidden="false" customHeight="true" outlineLevel="0" collapsed="false">
      <c r="D2506" s="4"/>
    </row>
    <row r="2507" customFormat="false" ht="15" hidden="false" customHeight="true" outlineLevel="0" collapsed="false">
      <c r="D2507" s="4"/>
    </row>
    <row r="2508" customFormat="false" ht="15" hidden="false" customHeight="true" outlineLevel="0" collapsed="false">
      <c r="D2508" s="4"/>
    </row>
    <row r="2509" customFormat="false" ht="15" hidden="false" customHeight="true" outlineLevel="0" collapsed="false">
      <c r="D2509" s="4"/>
    </row>
    <row r="2510" customFormat="false" ht="15" hidden="false" customHeight="true" outlineLevel="0" collapsed="false">
      <c r="D2510" s="4"/>
    </row>
    <row r="2511" customFormat="false" ht="15" hidden="false" customHeight="true" outlineLevel="0" collapsed="false">
      <c r="D2511" s="4"/>
    </row>
    <row r="2512" customFormat="false" ht="15" hidden="false" customHeight="true" outlineLevel="0" collapsed="false">
      <c r="D2512" s="4"/>
    </row>
    <row r="2513" customFormat="false" ht="15" hidden="false" customHeight="true" outlineLevel="0" collapsed="false">
      <c r="D2513" s="4"/>
    </row>
    <row r="2514" customFormat="false" ht="15" hidden="false" customHeight="true" outlineLevel="0" collapsed="false">
      <c r="D2514" s="4"/>
    </row>
    <row r="2515" customFormat="false" ht="15" hidden="false" customHeight="true" outlineLevel="0" collapsed="false">
      <c r="D2515" s="4"/>
    </row>
    <row r="2516" customFormat="false" ht="15" hidden="false" customHeight="true" outlineLevel="0" collapsed="false">
      <c r="D2516" s="4"/>
    </row>
    <row r="2517" customFormat="false" ht="15" hidden="false" customHeight="true" outlineLevel="0" collapsed="false">
      <c r="D2517" s="4"/>
    </row>
    <row r="2518" customFormat="false" ht="15" hidden="false" customHeight="true" outlineLevel="0" collapsed="false">
      <c r="D2518" s="4"/>
    </row>
    <row r="2519" customFormat="false" ht="15" hidden="false" customHeight="true" outlineLevel="0" collapsed="false">
      <c r="D2519" s="4"/>
    </row>
    <row r="2520" customFormat="false" ht="15" hidden="false" customHeight="true" outlineLevel="0" collapsed="false">
      <c r="D2520" s="4"/>
    </row>
    <row r="2521" customFormat="false" ht="15" hidden="false" customHeight="true" outlineLevel="0" collapsed="false">
      <c r="D2521" s="4"/>
    </row>
    <row r="2522" customFormat="false" ht="15" hidden="false" customHeight="true" outlineLevel="0" collapsed="false">
      <c r="D2522" s="4"/>
    </row>
    <row r="2523" customFormat="false" ht="15" hidden="false" customHeight="true" outlineLevel="0" collapsed="false">
      <c r="D2523" s="4"/>
    </row>
    <row r="2524" customFormat="false" ht="15" hidden="false" customHeight="true" outlineLevel="0" collapsed="false">
      <c r="D2524" s="4"/>
    </row>
    <row r="2525" customFormat="false" ht="15" hidden="false" customHeight="true" outlineLevel="0" collapsed="false">
      <c r="D2525" s="4"/>
    </row>
    <row r="2526" customFormat="false" ht="15" hidden="false" customHeight="true" outlineLevel="0" collapsed="false">
      <c r="D2526" s="4"/>
    </row>
    <row r="2527" customFormat="false" ht="15" hidden="false" customHeight="true" outlineLevel="0" collapsed="false">
      <c r="D2527" s="4"/>
    </row>
    <row r="2528" customFormat="false" ht="15" hidden="false" customHeight="true" outlineLevel="0" collapsed="false">
      <c r="D2528" s="4"/>
    </row>
    <row r="2529" customFormat="false" ht="15" hidden="false" customHeight="true" outlineLevel="0" collapsed="false">
      <c r="D2529" s="4"/>
    </row>
    <row r="2530" customFormat="false" ht="15" hidden="false" customHeight="true" outlineLevel="0" collapsed="false">
      <c r="D2530" s="4"/>
    </row>
    <row r="2531" customFormat="false" ht="15" hidden="false" customHeight="true" outlineLevel="0" collapsed="false">
      <c r="D2531" s="4"/>
    </row>
    <row r="2532" customFormat="false" ht="15" hidden="false" customHeight="true" outlineLevel="0" collapsed="false">
      <c r="D2532" s="4"/>
    </row>
    <row r="2533" customFormat="false" ht="15" hidden="false" customHeight="true" outlineLevel="0" collapsed="false">
      <c r="D2533" s="4"/>
    </row>
    <row r="2534" customFormat="false" ht="15" hidden="false" customHeight="true" outlineLevel="0" collapsed="false">
      <c r="D2534" s="4"/>
    </row>
    <row r="2535" customFormat="false" ht="15" hidden="false" customHeight="true" outlineLevel="0" collapsed="false">
      <c r="D2535" s="4"/>
    </row>
    <row r="2536" customFormat="false" ht="15" hidden="false" customHeight="true" outlineLevel="0" collapsed="false">
      <c r="D2536" s="4"/>
    </row>
    <row r="2537" customFormat="false" ht="15" hidden="false" customHeight="true" outlineLevel="0" collapsed="false">
      <c r="D2537" s="4"/>
    </row>
    <row r="2538" customFormat="false" ht="15" hidden="false" customHeight="true" outlineLevel="0" collapsed="false">
      <c r="D2538" s="4"/>
    </row>
    <row r="2539" customFormat="false" ht="15" hidden="false" customHeight="true" outlineLevel="0" collapsed="false">
      <c r="D2539" s="4"/>
    </row>
    <row r="2540" customFormat="false" ht="15" hidden="false" customHeight="true" outlineLevel="0" collapsed="false">
      <c r="D2540" s="4"/>
    </row>
    <row r="2541" customFormat="false" ht="15" hidden="false" customHeight="true" outlineLevel="0" collapsed="false">
      <c r="D2541" s="4"/>
    </row>
    <row r="2542" customFormat="false" ht="15" hidden="false" customHeight="true" outlineLevel="0" collapsed="false">
      <c r="D2542" s="4"/>
    </row>
    <row r="2543" customFormat="false" ht="15" hidden="false" customHeight="true" outlineLevel="0" collapsed="false">
      <c r="D2543" s="4"/>
    </row>
    <row r="2544" customFormat="false" ht="15" hidden="false" customHeight="true" outlineLevel="0" collapsed="false">
      <c r="D2544" s="4"/>
    </row>
    <row r="2545" customFormat="false" ht="15" hidden="false" customHeight="true" outlineLevel="0" collapsed="false">
      <c r="D2545" s="4"/>
    </row>
    <row r="2546" customFormat="false" ht="15" hidden="false" customHeight="true" outlineLevel="0" collapsed="false">
      <c r="D2546" s="4"/>
    </row>
    <row r="2547" customFormat="false" ht="15" hidden="false" customHeight="true" outlineLevel="0" collapsed="false">
      <c r="D2547" s="4"/>
    </row>
    <row r="2548" customFormat="false" ht="15" hidden="false" customHeight="true" outlineLevel="0" collapsed="false">
      <c r="D2548" s="4"/>
    </row>
    <row r="2549" customFormat="false" ht="15" hidden="false" customHeight="true" outlineLevel="0" collapsed="false">
      <c r="D2549" s="4"/>
    </row>
    <row r="2550" customFormat="false" ht="15" hidden="false" customHeight="true" outlineLevel="0" collapsed="false">
      <c r="D2550" s="4"/>
    </row>
    <row r="2551" customFormat="false" ht="15" hidden="false" customHeight="true" outlineLevel="0" collapsed="false">
      <c r="D2551" s="4"/>
    </row>
    <row r="2552" customFormat="false" ht="15" hidden="false" customHeight="true" outlineLevel="0" collapsed="false">
      <c r="D2552" s="4"/>
    </row>
    <row r="2553" customFormat="false" ht="15" hidden="false" customHeight="true" outlineLevel="0" collapsed="false">
      <c r="D2553" s="4"/>
    </row>
    <row r="2554" customFormat="false" ht="15" hidden="false" customHeight="true" outlineLevel="0" collapsed="false">
      <c r="D2554" s="4"/>
    </row>
    <row r="2555" customFormat="false" ht="15" hidden="false" customHeight="true" outlineLevel="0" collapsed="false">
      <c r="D2555" s="4"/>
    </row>
    <row r="2556" customFormat="false" ht="15" hidden="false" customHeight="true" outlineLevel="0" collapsed="false">
      <c r="D2556" s="4"/>
    </row>
    <row r="2557" customFormat="false" ht="15" hidden="false" customHeight="true" outlineLevel="0" collapsed="false">
      <c r="D2557" s="4"/>
    </row>
    <row r="2558" customFormat="false" ht="15" hidden="false" customHeight="true" outlineLevel="0" collapsed="false">
      <c r="D2558" s="4"/>
    </row>
    <row r="2559" customFormat="false" ht="15" hidden="false" customHeight="true" outlineLevel="0" collapsed="false">
      <c r="D2559" s="4"/>
    </row>
    <row r="2560" customFormat="false" ht="15" hidden="false" customHeight="true" outlineLevel="0" collapsed="false">
      <c r="D2560" s="4"/>
    </row>
    <row r="2561" customFormat="false" ht="15" hidden="false" customHeight="true" outlineLevel="0" collapsed="false">
      <c r="D2561" s="4"/>
    </row>
    <row r="2562" customFormat="false" ht="15" hidden="false" customHeight="true" outlineLevel="0" collapsed="false">
      <c r="D2562" s="4"/>
    </row>
    <row r="2563" customFormat="false" ht="15" hidden="false" customHeight="true" outlineLevel="0" collapsed="false">
      <c r="D2563" s="4"/>
    </row>
    <row r="2564" customFormat="false" ht="15" hidden="false" customHeight="true" outlineLevel="0" collapsed="false">
      <c r="D2564" s="4"/>
    </row>
    <row r="2565" customFormat="false" ht="15" hidden="false" customHeight="true" outlineLevel="0" collapsed="false">
      <c r="D2565" s="4"/>
    </row>
    <row r="2566" customFormat="false" ht="15" hidden="false" customHeight="true" outlineLevel="0" collapsed="false">
      <c r="D2566" s="4"/>
    </row>
    <row r="2567" customFormat="false" ht="15" hidden="false" customHeight="true" outlineLevel="0" collapsed="false">
      <c r="D2567" s="4"/>
    </row>
    <row r="2568" customFormat="false" ht="15" hidden="false" customHeight="true" outlineLevel="0" collapsed="false">
      <c r="D2568" s="4"/>
    </row>
    <row r="2569" customFormat="false" ht="15" hidden="false" customHeight="true" outlineLevel="0" collapsed="false">
      <c r="D2569" s="4"/>
    </row>
    <row r="2570" customFormat="false" ht="15" hidden="false" customHeight="true" outlineLevel="0" collapsed="false">
      <c r="D2570" s="4"/>
    </row>
    <row r="2571" customFormat="false" ht="15" hidden="false" customHeight="true" outlineLevel="0" collapsed="false">
      <c r="D2571" s="4"/>
    </row>
    <row r="2572" customFormat="false" ht="15" hidden="false" customHeight="true" outlineLevel="0" collapsed="false">
      <c r="D2572" s="4"/>
    </row>
    <row r="2573" customFormat="false" ht="15" hidden="false" customHeight="true" outlineLevel="0" collapsed="false">
      <c r="D2573" s="4"/>
    </row>
    <row r="2574" customFormat="false" ht="15" hidden="false" customHeight="true" outlineLevel="0" collapsed="false">
      <c r="D2574" s="4"/>
    </row>
    <row r="2575" customFormat="false" ht="15" hidden="false" customHeight="true" outlineLevel="0" collapsed="false">
      <c r="D2575" s="4"/>
    </row>
    <row r="2576" customFormat="false" ht="15" hidden="false" customHeight="true" outlineLevel="0" collapsed="false">
      <c r="D2576" s="4"/>
    </row>
    <row r="2577" customFormat="false" ht="15" hidden="false" customHeight="true" outlineLevel="0" collapsed="false">
      <c r="D2577" s="4"/>
    </row>
    <row r="2578" customFormat="false" ht="15" hidden="false" customHeight="true" outlineLevel="0" collapsed="false">
      <c r="D2578" s="4"/>
    </row>
    <row r="2579" customFormat="false" ht="15" hidden="false" customHeight="true" outlineLevel="0" collapsed="false">
      <c r="D2579" s="4"/>
    </row>
    <row r="2580" customFormat="false" ht="15" hidden="false" customHeight="true" outlineLevel="0" collapsed="false">
      <c r="D2580" s="4"/>
    </row>
    <row r="2581" customFormat="false" ht="15" hidden="false" customHeight="true" outlineLevel="0" collapsed="false">
      <c r="D2581" s="4"/>
    </row>
    <row r="2582" customFormat="false" ht="15" hidden="false" customHeight="true" outlineLevel="0" collapsed="false">
      <c r="D2582" s="4"/>
    </row>
    <row r="2583" customFormat="false" ht="15" hidden="false" customHeight="true" outlineLevel="0" collapsed="false">
      <c r="D2583" s="4"/>
    </row>
    <row r="2584" customFormat="false" ht="15" hidden="false" customHeight="true" outlineLevel="0" collapsed="false">
      <c r="D2584" s="4"/>
    </row>
    <row r="2585" customFormat="false" ht="15" hidden="false" customHeight="true" outlineLevel="0" collapsed="false">
      <c r="D2585" s="4"/>
    </row>
    <row r="2586" customFormat="false" ht="15" hidden="false" customHeight="true" outlineLevel="0" collapsed="false">
      <c r="D2586" s="4"/>
    </row>
    <row r="2587" customFormat="false" ht="15" hidden="false" customHeight="true" outlineLevel="0" collapsed="false">
      <c r="D2587" s="4"/>
    </row>
    <row r="2588" customFormat="false" ht="15" hidden="false" customHeight="true" outlineLevel="0" collapsed="false">
      <c r="D2588" s="4"/>
    </row>
    <row r="2589" customFormat="false" ht="15" hidden="false" customHeight="true" outlineLevel="0" collapsed="false">
      <c r="D2589" s="4"/>
    </row>
    <row r="2590" customFormat="false" ht="15" hidden="false" customHeight="true" outlineLevel="0" collapsed="false">
      <c r="D2590" s="4"/>
    </row>
    <row r="2591" customFormat="false" ht="15" hidden="false" customHeight="true" outlineLevel="0" collapsed="false">
      <c r="D2591" s="4"/>
    </row>
    <row r="2592" customFormat="false" ht="15" hidden="false" customHeight="true" outlineLevel="0" collapsed="false">
      <c r="D2592" s="4"/>
    </row>
    <row r="2593" customFormat="false" ht="15" hidden="false" customHeight="true" outlineLevel="0" collapsed="false">
      <c r="D2593" s="4"/>
    </row>
    <row r="2594" customFormat="false" ht="15" hidden="false" customHeight="true" outlineLevel="0" collapsed="false">
      <c r="D2594" s="4"/>
    </row>
    <row r="2595" customFormat="false" ht="15" hidden="false" customHeight="true" outlineLevel="0" collapsed="false">
      <c r="D2595" s="4"/>
    </row>
    <row r="2596" customFormat="false" ht="15" hidden="false" customHeight="true" outlineLevel="0" collapsed="false">
      <c r="D2596" s="4"/>
    </row>
    <row r="2597" customFormat="false" ht="15" hidden="false" customHeight="true" outlineLevel="0" collapsed="false">
      <c r="D2597" s="4"/>
    </row>
    <row r="2598" customFormat="false" ht="15" hidden="false" customHeight="true" outlineLevel="0" collapsed="false">
      <c r="D2598" s="4"/>
    </row>
    <row r="2599" customFormat="false" ht="15" hidden="false" customHeight="true" outlineLevel="0" collapsed="false">
      <c r="D2599" s="4"/>
    </row>
    <row r="2600" customFormat="false" ht="15" hidden="false" customHeight="true" outlineLevel="0" collapsed="false">
      <c r="D2600" s="4"/>
    </row>
    <row r="2601" customFormat="false" ht="15" hidden="false" customHeight="true" outlineLevel="0" collapsed="false">
      <c r="D2601" s="4"/>
    </row>
    <row r="2602" customFormat="false" ht="15" hidden="false" customHeight="true" outlineLevel="0" collapsed="false">
      <c r="D2602" s="4"/>
    </row>
    <row r="2603" customFormat="false" ht="15" hidden="false" customHeight="true" outlineLevel="0" collapsed="false">
      <c r="D2603" s="4"/>
    </row>
    <row r="2604" customFormat="false" ht="15" hidden="false" customHeight="true" outlineLevel="0" collapsed="false">
      <c r="D2604" s="4"/>
    </row>
    <row r="2605" customFormat="false" ht="15" hidden="false" customHeight="true" outlineLevel="0" collapsed="false">
      <c r="D2605" s="4"/>
    </row>
    <row r="2606" customFormat="false" ht="15" hidden="false" customHeight="true" outlineLevel="0" collapsed="false">
      <c r="D2606" s="4"/>
    </row>
    <row r="2607" customFormat="false" ht="15" hidden="false" customHeight="true" outlineLevel="0" collapsed="false">
      <c r="D2607" s="4"/>
    </row>
    <row r="2608" customFormat="false" ht="15" hidden="false" customHeight="true" outlineLevel="0" collapsed="false">
      <c r="D2608" s="4"/>
    </row>
    <row r="2609" customFormat="false" ht="15" hidden="false" customHeight="true" outlineLevel="0" collapsed="false">
      <c r="D2609" s="4"/>
    </row>
    <row r="2610" customFormat="false" ht="15" hidden="false" customHeight="true" outlineLevel="0" collapsed="false">
      <c r="D2610" s="4"/>
    </row>
    <row r="2611" customFormat="false" ht="15" hidden="false" customHeight="true" outlineLevel="0" collapsed="false">
      <c r="D2611" s="4"/>
    </row>
    <row r="2612" customFormat="false" ht="15" hidden="false" customHeight="true" outlineLevel="0" collapsed="false">
      <c r="D2612" s="4"/>
    </row>
    <row r="2613" customFormat="false" ht="15" hidden="false" customHeight="true" outlineLevel="0" collapsed="false">
      <c r="D2613" s="4"/>
    </row>
    <row r="2614" customFormat="false" ht="15" hidden="false" customHeight="true" outlineLevel="0" collapsed="false">
      <c r="D2614" s="4"/>
    </row>
    <row r="2615" customFormat="false" ht="15" hidden="false" customHeight="true" outlineLevel="0" collapsed="false">
      <c r="D2615" s="4"/>
    </row>
    <row r="2616" customFormat="false" ht="15" hidden="false" customHeight="true" outlineLevel="0" collapsed="false">
      <c r="D2616" s="4"/>
    </row>
    <row r="2617" customFormat="false" ht="15" hidden="false" customHeight="true" outlineLevel="0" collapsed="false">
      <c r="D2617" s="4"/>
    </row>
    <row r="2618" customFormat="false" ht="15" hidden="false" customHeight="true" outlineLevel="0" collapsed="false">
      <c r="D2618" s="4"/>
    </row>
    <row r="2619" customFormat="false" ht="15" hidden="false" customHeight="true" outlineLevel="0" collapsed="false">
      <c r="D2619" s="4"/>
    </row>
    <row r="2620" customFormat="false" ht="15" hidden="false" customHeight="true" outlineLevel="0" collapsed="false">
      <c r="D2620" s="4"/>
    </row>
    <row r="2621" customFormat="false" ht="15" hidden="false" customHeight="true" outlineLevel="0" collapsed="false">
      <c r="D2621" s="4"/>
    </row>
    <row r="2622" customFormat="false" ht="15" hidden="false" customHeight="true" outlineLevel="0" collapsed="false">
      <c r="D2622" s="4"/>
    </row>
    <row r="2623" customFormat="false" ht="15" hidden="false" customHeight="true" outlineLevel="0" collapsed="false">
      <c r="D2623" s="4"/>
    </row>
    <row r="2624" customFormat="false" ht="15" hidden="false" customHeight="true" outlineLevel="0" collapsed="false">
      <c r="D2624" s="4"/>
    </row>
    <row r="2625" customFormat="false" ht="15" hidden="false" customHeight="true" outlineLevel="0" collapsed="false">
      <c r="D2625" s="4"/>
    </row>
    <row r="2626" customFormat="false" ht="15" hidden="false" customHeight="true" outlineLevel="0" collapsed="false">
      <c r="D2626" s="4"/>
    </row>
    <row r="2627" customFormat="false" ht="15" hidden="false" customHeight="true" outlineLevel="0" collapsed="false">
      <c r="D2627" s="4"/>
    </row>
    <row r="2628" customFormat="false" ht="15" hidden="false" customHeight="true" outlineLevel="0" collapsed="false">
      <c r="D2628" s="4"/>
    </row>
    <row r="2629" customFormat="false" ht="15" hidden="false" customHeight="true" outlineLevel="0" collapsed="false">
      <c r="D2629" s="4"/>
    </row>
    <row r="2630" customFormat="false" ht="15" hidden="false" customHeight="true" outlineLevel="0" collapsed="false">
      <c r="D2630" s="4"/>
    </row>
    <row r="2631" customFormat="false" ht="15" hidden="false" customHeight="true" outlineLevel="0" collapsed="false">
      <c r="D2631" s="4"/>
    </row>
    <row r="2632" customFormat="false" ht="15" hidden="false" customHeight="true" outlineLevel="0" collapsed="false">
      <c r="D2632" s="4"/>
    </row>
    <row r="2633" customFormat="false" ht="15" hidden="false" customHeight="true" outlineLevel="0" collapsed="false">
      <c r="D2633" s="4"/>
    </row>
    <row r="2634" customFormat="false" ht="15" hidden="false" customHeight="true" outlineLevel="0" collapsed="false">
      <c r="D2634" s="4"/>
    </row>
    <row r="2635" customFormat="false" ht="15" hidden="false" customHeight="true" outlineLevel="0" collapsed="false">
      <c r="D2635" s="4"/>
    </row>
    <row r="2636" customFormat="false" ht="15" hidden="false" customHeight="true" outlineLevel="0" collapsed="false">
      <c r="D2636" s="4"/>
    </row>
    <row r="2637" customFormat="false" ht="15" hidden="false" customHeight="true" outlineLevel="0" collapsed="false">
      <c r="D2637" s="4"/>
    </row>
    <row r="2638" customFormat="false" ht="15" hidden="false" customHeight="true" outlineLevel="0" collapsed="false">
      <c r="D2638" s="4"/>
    </row>
    <row r="2639" customFormat="false" ht="15" hidden="false" customHeight="true" outlineLevel="0" collapsed="false">
      <c r="D2639" s="4"/>
    </row>
    <row r="2640" customFormat="false" ht="15" hidden="false" customHeight="true" outlineLevel="0" collapsed="false">
      <c r="D2640" s="4"/>
    </row>
    <row r="2641" customFormat="false" ht="15" hidden="false" customHeight="true" outlineLevel="0" collapsed="false">
      <c r="D2641" s="4"/>
    </row>
    <row r="2642" customFormat="false" ht="15" hidden="false" customHeight="true" outlineLevel="0" collapsed="false">
      <c r="D2642" s="4"/>
    </row>
    <row r="2643" customFormat="false" ht="15" hidden="false" customHeight="true" outlineLevel="0" collapsed="false">
      <c r="D2643" s="4"/>
    </row>
    <row r="2644" customFormat="false" ht="15" hidden="false" customHeight="true" outlineLevel="0" collapsed="false">
      <c r="D2644" s="4"/>
    </row>
    <row r="2645" customFormat="false" ht="15" hidden="false" customHeight="true" outlineLevel="0" collapsed="false">
      <c r="D2645" s="4"/>
    </row>
    <row r="2646" customFormat="false" ht="15" hidden="false" customHeight="true" outlineLevel="0" collapsed="false">
      <c r="D2646" s="4"/>
    </row>
    <row r="2647" customFormat="false" ht="15" hidden="false" customHeight="true" outlineLevel="0" collapsed="false">
      <c r="D2647" s="4"/>
    </row>
    <row r="2648" customFormat="false" ht="15" hidden="false" customHeight="true" outlineLevel="0" collapsed="false">
      <c r="D2648" s="4"/>
    </row>
    <row r="2649" customFormat="false" ht="15" hidden="false" customHeight="true" outlineLevel="0" collapsed="false">
      <c r="D2649" s="4"/>
    </row>
    <row r="2650" customFormat="false" ht="15" hidden="false" customHeight="true" outlineLevel="0" collapsed="false">
      <c r="D2650" s="4"/>
    </row>
    <row r="2651" customFormat="false" ht="15" hidden="false" customHeight="true" outlineLevel="0" collapsed="false">
      <c r="D2651" s="4"/>
    </row>
    <row r="2652" customFormat="false" ht="15" hidden="false" customHeight="true" outlineLevel="0" collapsed="false">
      <c r="D2652" s="4"/>
    </row>
    <row r="2653" customFormat="false" ht="15" hidden="false" customHeight="true" outlineLevel="0" collapsed="false">
      <c r="D2653" s="4"/>
    </row>
    <row r="2654" customFormat="false" ht="15" hidden="false" customHeight="true" outlineLevel="0" collapsed="false">
      <c r="D2654" s="4"/>
    </row>
    <row r="2655" customFormat="false" ht="15" hidden="false" customHeight="true" outlineLevel="0" collapsed="false">
      <c r="D2655" s="4"/>
    </row>
    <row r="2656" customFormat="false" ht="15" hidden="false" customHeight="true" outlineLevel="0" collapsed="false">
      <c r="D2656" s="4"/>
    </row>
    <row r="2657" customFormat="false" ht="15" hidden="false" customHeight="true" outlineLevel="0" collapsed="false">
      <c r="D2657" s="4"/>
    </row>
    <row r="2658" customFormat="false" ht="15" hidden="false" customHeight="true" outlineLevel="0" collapsed="false">
      <c r="D2658" s="4"/>
    </row>
    <row r="2659" customFormat="false" ht="15" hidden="false" customHeight="true" outlineLevel="0" collapsed="false">
      <c r="D2659" s="4"/>
    </row>
    <row r="2660" customFormat="false" ht="15" hidden="false" customHeight="true" outlineLevel="0" collapsed="false">
      <c r="D2660" s="4"/>
    </row>
    <row r="2661" customFormat="false" ht="15" hidden="false" customHeight="true" outlineLevel="0" collapsed="false">
      <c r="D2661" s="4"/>
    </row>
    <row r="2662" customFormat="false" ht="15" hidden="false" customHeight="true" outlineLevel="0" collapsed="false">
      <c r="D2662" s="4"/>
    </row>
    <row r="2663" customFormat="false" ht="15" hidden="false" customHeight="true" outlineLevel="0" collapsed="false">
      <c r="D2663" s="4"/>
    </row>
    <row r="2664" customFormat="false" ht="15" hidden="false" customHeight="true" outlineLevel="0" collapsed="false">
      <c r="D2664" s="4"/>
    </row>
    <row r="2665" customFormat="false" ht="15" hidden="false" customHeight="true" outlineLevel="0" collapsed="false">
      <c r="D2665" s="4"/>
    </row>
    <row r="2666" customFormat="false" ht="15" hidden="false" customHeight="true" outlineLevel="0" collapsed="false">
      <c r="D2666" s="4"/>
    </row>
    <row r="2667" customFormat="false" ht="15" hidden="false" customHeight="true" outlineLevel="0" collapsed="false">
      <c r="D2667" s="4"/>
    </row>
    <row r="2668" customFormat="false" ht="15" hidden="false" customHeight="true" outlineLevel="0" collapsed="false">
      <c r="D2668" s="4"/>
    </row>
    <row r="2669" customFormat="false" ht="15" hidden="false" customHeight="true" outlineLevel="0" collapsed="false">
      <c r="D2669" s="4"/>
    </row>
    <row r="2670" customFormat="false" ht="15" hidden="false" customHeight="true" outlineLevel="0" collapsed="false">
      <c r="D2670" s="4"/>
    </row>
    <row r="2671" customFormat="false" ht="15" hidden="false" customHeight="true" outlineLevel="0" collapsed="false">
      <c r="D2671" s="4"/>
    </row>
    <row r="2672" customFormat="false" ht="15" hidden="false" customHeight="true" outlineLevel="0" collapsed="false">
      <c r="D2672" s="4"/>
    </row>
    <row r="2673" customFormat="false" ht="15" hidden="false" customHeight="true" outlineLevel="0" collapsed="false">
      <c r="D2673" s="4"/>
    </row>
    <row r="2674" customFormat="false" ht="15" hidden="false" customHeight="true" outlineLevel="0" collapsed="false">
      <c r="D2674" s="4"/>
    </row>
    <row r="2675" customFormat="false" ht="15" hidden="false" customHeight="true" outlineLevel="0" collapsed="false">
      <c r="D2675" s="4"/>
    </row>
    <row r="2676" customFormat="false" ht="15" hidden="false" customHeight="true" outlineLevel="0" collapsed="false">
      <c r="D2676" s="4"/>
    </row>
    <row r="2677" customFormat="false" ht="15" hidden="false" customHeight="true" outlineLevel="0" collapsed="false">
      <c r="D2677" s="4"/>
    </row>
    <row r="2678" customFormat="false" ht="15" hidden="false" customHeight="true" outlineLevel="0" collapsed="false">
      <c r="D2678" s="4"/>
    </row>
    <row r="2679" customFormat="false" ht="15" hidden="false" customHeight="true" outlineLevel="0" collapsed="false">
      <c r="D2679" s="4"/>
    </row>
    <row r="2680" customFormat="false" ht="15" hidden="false" customHeight="true" outlineLevel="0" collapsed="false">
      <c r="D2680" s="4"/>
    </row>
    <row r="2681" customFormat="false" ht="15" hidden="false" customHeight="true" outlineLevel="0" collapsed="false">
      <c r="D2681" s="4"/>
    </row>
    <row r="2682" customFormat="false" ht="15" hidden="false" customHeight="true" outlineLevel="0" collapsed="false">
      <c r="D2682" s="4"/>
    </row>
    <row r="2683" customFormat="false" ht="15" hidden="false" customHeight="true" outlineLevel="0" collapsed="false">
      <c r="D2683" s="4"/>
    </row>
    <row r="2684" customFormat="false" ht="15" hidden="false" customHeight="true" outlineLevel="0" collapsed="false">
      <c r="D2684" s="4"/>
    </row>
    <row r="2685" customFormat="false" ht="15" hidden="false" customHeight="true" outlineLevel="0" collapsed="false">
      <c r="D2685" s="4"/>
    </row>
    <row r="2686" customFormat="false" ht="15" hidden="false" customHeight="true" outlineLevel="0" collapsed="false">
      <c r="D2686" s="4"/>
    </row>
    <row r="2687" customFormat="false" ht="15" hidden="false" customHeight="true" outlineLevel="0" collapsed="false">
      <c r="D2687" s="4"/>
    </row>
    <row r="2688" customFormat="false" ht="15" hidden="false" customHeight="true" outlineLevel="0" collapsed="false">
      <c r="D2688" s="4"/>
    </row>
    <row r="2689" customFormat="false" ht="15" hidden="false" customHeight="true" outlineLevel="0" collapsed="false">
      <c r="D2689" s="4"/>
    </row>
    <row r="2690" customFormat="false" ht="15" hidden="false" customHeight="true" outlineLevel="0" collapsed="false">
      <c r="D2690" s="4"/>
    </row>
    <row r="2691" customFormat="false" ht="15" hidden="false" customHeight="true" outlineLevel="0" collapsed="false">
      <c r="D2691" s="4"/>
    </row>
    <row r="2692" customFormat="false" ht="15" hidden="false" customHeight="true" outlineLevel="0" collapsed="false">
      <c r="D2692" s="4"/>
    </row>
    <row r="2693" customFormat="false" ht="15" hidden="false" customHeight="true" outlineLevel="0" collapsed="false">
      <c r="D2693" s="4"/>
    </row>
    <row r="2694" customFormat="false" ht="15" hidden="false" customHeight="true" outlineLevel="0" collapsed="false">
      <c r="D2694" s="4"/>
    </row>
    <row r="2695" customFormat="false" ht="15" hidden="false" customHeight="true" outlineLevel="0" collapsed="false">
      <c r="D2695" s="4"/>
    </row>
    <row r="2696" customFormat="false" ht="15" hidden="false" customHeight="true" outlineLevel="0" collapsed="false">
      <c r="D2696" s="4"/>
    </row>
    <row r="2697" customFormat="false" ht="15" hidden="false" customHeight="true" outlineLevel="0" collapsed="false">
      <c r="D2697" s="4"/>
    </row>
    <row r="2698" customFormat="false" ht="15" hidden="false" customHeight="true" outlineLevel="0" collapsed="false">
      <c r="D2698" s="4"/>
    </row>
    <row r="2699" customFormat="false" ht="15" hidden="false" customHeight="true" outlineLevel="0" collapsed="false">
      <c r="D2699" s="4"/>
    </row>
    <row r="2700" customFormat="false" ht="15" hidden="false" customHeight="true" outlineLevel="0" collapsed="false">
      <c r="D2700" s="4"/>
    </row>
    <row r="2701" customFormat="false" ht="15" hidden="false" customHeight="true" outlineLevel="0" collapsed="false">
      <c r="D2701" s="4"/>
    </row>
    <row r="2702" customFormat="false" ht="15" hidden="false" customHeight="true" outlineLevel="0" collapsed="false">
      <c r="D2702" s="4"/>
    </row>
    <row r="2703" customFormat="false" ht="15" hidden="false" customHeight="true" outlineLevel="0" collapsed="false">
      <c r="D2703" s="4"/>
    </row>
    <row r="2704" customFormat="false" ht="15" hidden="false" customHeight="true" outlineLevel="0" collapsed="false">
      <c r="D2704" s="4"/>
    </row>
    <row r="2705" customFormat="false" ht="15" hidden="false" customHeight="true" outlineLevel="0" collapsed="false">
      <c r="D2705" s="4"/>
    </row>
    <row r="2706" customFormat="false" ht="15" hidden="false" customHeight="true" outlineLevel="0" collapsed="false">
      <c r="D2706" s="4"/>
    </row>
    <row r="2707" customFormat="false" ht="15" hidden="false" customHeight="true" outlineLevel="0" collapsed="false">
      <c r="D2707" s="4"/>
    </row>
    <row r="2708" customFormat="false" ht="15" hidden="false" customHeight="true" outlineLevel="0" collapsed="false">
      <c r="D2708" s="4"/>
    </row>
    <row r="2709" customFormat="false" ht="15" hidden="false" customHeight="true" outlineLevel="0" collapsed="false">
      <c r="D2709" s="4"/>
    </row>
    <row r="2710" customFormat="false" ht="15" hidden="false" customHeight="true" outlineLevel="0" collapsed="false">
      <c r="D2710" s="4"/>
    </row>
    <row r="2711" customFormat="false" ht="15" hidden="false" customHeight="true" outlineLevel="0" collapsed="false">
      <c r="D2711" s="4"/>
    </row>
    <row r="2712" customFormat="false" ht="15" hidden="false" customHeight="true" outlineLevel="0" collapsed="false">
      <c r="D2712" s="4"/>
    </row>
    <row r="2713" customFormat="false" ht="15" hidden="false" customHeight="true" outlineLevel="0" collapsed="false">
      <c r="D2713" s="4"/>
    </row>
    <row r="2714" customFormat="false" ht="15" hidden="false" customHeight="true" outlineLevel="0" collapsed="false">
      <c r="D2714" s="4"/>
    </row>
    <row r="2715" customFormat="false" ht="15" hidden="false" customHeight="true" outlineLevel="0" collapsed="false">
      <c r="D2715" s="4"/>
    </row>
    <row r="2716" customFormat="false" ht="15" hidden="false" customHeight="true" outlineLevel="0" collapsed="false">
      <c r="D2716" s="4"/>
    </row>
    <row r="2717" customFormat="false" ht="15" hidden="false" customHeight="true" outlineLevel="0" collapsed="false">
      <c r="D2717" s="4"/>
    </row>
    <row r="2718" customFormat="false" ht="15" hidden="false" customHeight="true" outlineLevel="0" collapsed="false">
      <c r="D2718" s="4"/>
    </row>
    <row r="2719" customFormat="false" ht="15" hidden="false" customHeight="true" outlineLevel="0" collapsed="false">
      <c r="D2719" s="4"/>
    </row>
    <row r="2720" customFormat="false" ht="15" hidden="false" customHeight="true" outlineLevel="0" collapsed="false">
      <c r="D2720" s="4"/>
    </row>
    <row r="2721" customFormat="false" ht="15" hidden="false" customHeight="true" outlineLevel="0" collapsed="false">
      <c r="D2721" s="4"/>
    </row>
    <row r="2722" customFormat="false" ht="15" hidden="false" customHeight="true" outlineLevel="0" collapsed="false">
      <c r="D2722" s="4"/>
    </row>
    <row r="2723" customFormat="false" ht="15" hidden="false" customHeight="true" outlineLevel="0" collapsed="false">
      <c r="D2723" s="4"/>
    </row>
    <row r="2724" customFormat="false" ht="15" hidden="false" customHeight="true" outlineLevel="0" collapsed="false">
      <c r="D2724" s="4"/>
    </row>
    <row r="2725" customFormat="false" ht="15" hidden="false" customHeight="true" outlineLevel="0" collapsed="false">
      <c r="D2725" s="4"/>
    </row>
    <row r="2726" customFormat="false" ht="15" hidden="false" customHeight="true" outlineLevel="0" collapsed="false">
      <c r="D2726" s="4"/>
    </row>
    <row r="2727" customFormat="false" ht="15" hidden="false" customHeight="true" outlineLevel="0" collapsed="false">
      <c r="D2727" s="4"/>
    </row>
    <row r="2728" customFormat="false" ht="15" hidden="false" customHeight="true" outlineLevel="0" collapsed="false">
      <c r="D2728" s="4"/>
    </row>
    <row r="2729" customFormat="false" ht="15" hidden="false" customHeight="true" outlineLevel="0" collapsed="false">
      <c r="D2729" s="4"/>
    </row>
    <row r="2730" customFormat="false" ht="15" hidden="false" customHeight="true" outlineLevel="0" collapsed="false">
      <c r="D2730" s="4"/>
    </row>
    <row r="2731" customFormat="false" ht="15" hidden="false" customHeight="true" outlineLevel="0" collapsed="false">
      <c r="D2731" s="4"/>
    </row>
    <row r="2732" customFormat="false" ht="15" hidden="false" customHeight="true" outlineLevel="0" collapsed="false">
      <c r="D2732" s="4"/>
    </row>
    <row r="2733" customFormat="false" ht="15" hidden="false" customHeight="true" outlineLevel="0" collapsed="false">
      <c r="D2733" s="4"/>
    </row>
    <row r="2734" customFormat="false" ht="15" hidden="false" customHeight="true" outlineLevel="0" collapsed="false">
      <c r="D2734" s="4"/>
    </row>
    <row r="2735" customFormat="false" ht="15" hidden="false" customHeight="true" outlineLevel="0" collapsed="false">
      <c r="D2735" s="4"/>
    </row>
    <row r="2736" customFormat="false" ht="15" hidden="false" customHeight="true" outlineLevel="0" collapsed="false">
      <c r="D2736" s="4"/>
    </row>
    <row r="2737" customFormat="false" ht="15" hidden="false" customHeight="true" outlineLevel="0" collapsed="false">
      <c r="D2737" s="4"/>
    </row>
    <row r="2738" customFormat="false" ht="15" hidden="false" customHeight="true" outlineLevel="0" collapsed="false">
      <c r="D2738" s="4"/>
    </row>
    <row r="2739" customFormat="false" ht="15" hidden="false" customHeight="true" outlineLevel="0" collapsed="false">
      <c r="D2739" s="4"/>
    </row>
    <row r="2740" customFormat="false" ht="15" hidden="false" customHeight="true" outlineLevel="0" collapsed="false">
      <c r="D2740" s="4"/>
    </row>
    <row r="2741" customFormat="false" ht="15" hidden="false" customHeight="true" outlineLevel="0" collapsed="false">
      <c r="D2741" s="4"/>
    </row>
    <row r="2742" customFormat="false" ht="15" hidden="false" customHeight="true" outlineLevel="0" collapsed="false">
      <c r="D2742" s="4"/>
    </row>
    <row r="2743" customFormat="false" ht="15" hidden="false" customHeight="true" outlineLevel="0" collapsed="false">
      <c r="D2743" s="4"/>
    </row>
    <row r="2744" customFormat="false" ht="15" hidden="false" customHeight="true" outlineLevel="0" collapsed="false">
      <c r="D2744" s="4"/>
    </row>
    <row r="2745" customFormat="false" ht="15" hidden="false" customHeight="true" outlineLevel="0" collapsed="false">
      <c r="D2745" s="4"/>
    </row>
    <row r="2746" customFormat="false" ht="15" hidden="false" customHeight="true" outlineLevel="0" collapsed="false">
      <c r="D2746" s="4"/>
    </row>
    <row r="2747" customFormat="false" ht="15" hidden="false" customHeight="true" outlineLevel="0" collapsed="false">
      <c r="D2747" s="4"/>
    </row>
    <row r="2748" customFormat="false" ht="15" hidden="false" customHeight="true" outlineLevel="0" collapsed="false">
      <c r="D2748" s="4"/>
    </row>
    <row r="2749" customFormat="false" ht="15" hidden="false" customHeight="true" outlineLevel="0" collapsed="false">
      <c r="D2749" s="4"/>
    </row>
    <row r="2750" customFormat="false" ht="15" hidden="false" customHeight="true" outlineLevel="0" collapsed="false">
      <c r="D2750" s="4"/>
    </row>
    <row r="2751" customFormat="false" ht="15" hidden="false" customHeight="true" outlineLevel="0" collapsed="false">
      <c r="D2751" s="4"/>
    </row>
    <row r="2752" customFormat="false" ht="15" hidden="false" customHeight="true" outlineLevel="0" collapsed="false">
      <c r="D2752" s="4"/>
    </row>
    <row r="2753" customFormat="false" ht="15" hidden="false" customHeight="true" outlineLevel="0" collapsed="false">
      <c r="D2753" s="4"/>
    </row>
    <row r="2754" customFormat="false" ht="15" hidden="false" customHeight="true" outlineLevel="0" collapsed="false">
      <c r="D2754" s="4"/>
    </row>
    <row r="2755" customFormat="false" ht="15" hidden="false" customHeight="true" outlineLevel="0" collapsed="false">
      <c r="D2755" s="4"/>
    </row>
    <row r="2756" customFormat="false" ht="15" hidden="false" customHeight="true" outlineLevel="0" collapsed="false">
      <c r="D2756" s="4"/>
    </row>
    <row r="2757" customFormat="false" ht="15" hidden="false" customHeight="true" outlineLevel="0" collapsed="false">
      <c r="D2757" s="4"/>
    </row>
    <row r="2758" customFormat="false" ht="15" hidden="false" customHeight="true" outlineLevel="0" collapsed="false">
      <c r="D2758" s="4"/>
    </row>
    <row r="2759" customFormat="false" ht="15" hidden="false" customHeight="true" outlineLevel="0" collapsed="false">
      <c r="D2759" s="4"/>
    </row>
    <row r="2760" customFormat="false" ht="15" hidden="false" customHeight="true" outlineLevel="0" collapsed="false">
      <c r="D2760" s="4"/>
    </row>
    <row r="2761" customFormat="false" ht="15" hidden="false" customHeight="true" outlineLevel="0" collapsed="false">
      <c r="D2761" s="4"/>
    </row>
    <row r="2762" customFormat="false" ht="15" hidden="false" customHeight="true" outlineLevel="0" collapsed="false">
      <c r="D2762" s="4"/>
    </row>
    <row r="2763" customFormat="false" ht="15" hidden="false" customHeight="true" outlineLevel="0" collapsed="false">
      <c r="D2763" s="4"/>
    </row>
    <row r="2764" customFormat="false" ht="15" hidden="false" customHeight="true" outlineLevel="0" collapsed="false">
      <c r="D2764" s="4"/>
    </row>
    <row r="2765" customFormat="false" ht="15" hidden="false" customHeight="true" outlineLevel="0" collapsed="false">
      <c r="D2765" s="4"/>
    </row>
    <row r="2766" customFormat="false" ht="15" hidden="false" customHeight="true" outlineLevel="0" collapsed="false">
      <c r="D2766" s="4"/>
    </row>
    <row r="2767" customFormat="false" ht="15" hidden="false" customHeight="true" outlineLevel="0" collapsed="false">
      <c r="D2767" s="4"/>
    </row>
    <row r="2768" customFormat="false" ht="15" hidden="false" customHeight="true" outlineLevel="0" collapsed="false">
      <c r="D2768" s="4"/>
    </row>
    <row r="2769" customFormat="false" ht="15" hidden="false" customHeight="true" outlineLevel="0" collapsed="false">
      <c r="D2769" s="4"/>
    </row>
    <row r="2770" customFormat="false" ht="15" hidden="false" customHeight="true" outlineLevel="0" collapsed="false">
      <c r="D2770" s="4"/>
    </row>
    <row r="2771" customFormat="false" ht="15" hidden="false" customHeight="true" outlineLevel="0" collapsed="false">
      <c r="D2771" s="4"/>
    </row>
    <row r="2772" customFormat="false" ht="15" hidden="false" customHeight="true" outlineLevel="0" collapsed="false">
      <c r="D2772" s="4"/>
    </row>
    <row r="2773" customFormat="false" ht="15" hidden="false" customHeight="true" outlineLevel="0" collapsed="false">
      <c r="D2773" s="4"/>
    </row>
    <row r="2774" customFormat="false" ht="15" hidden="false" customHeight="true" outlineLevel="0" collapsed="false">
      <c r="D2774" s="4"/>
    </row>
    <row r="2775" customFormat="false" ht="15" hidden="false" customHeight="true" outlineLevel="0" collapsed="false">
      <c r="D2775" s="4"/>
    </row>
    <row r="2776" customFormat="false" ht="15" hidden="false" customHeight="true" outlineLevel="0" collapsed="false">
      <c r="D2776" s="4"/>
    </row>
    <row r="2777" customFormat="false" ht="15" hidden="false" customHeight="true" outlineLevel="0" collapsed="false">
      <c r="D2777" s="4"/>
    </row>
    <row r="2778" customFormat="false" ht="15" hidden="false" customHeight="true" outlineLevel="0" collapsed="false">
      <c r="D2778" s="4"/>
    </row>
    <row r="2779" customFormat="false" ht="15" hidden="false" customHeight="true" outlineLevel="0" collapsed="false">
      <c r="D2779" s="4"/>
    </row>
    <row r="2780" customFormat="false" ht="15" hidden="false" customHeight="true" outlineLevel="0" collapsed="false">
      <c r="D2780" s="4"/>
    </row>
    <row r="2781" customFormat="false" ht="15" hidden="false" customHeight="true" outlineLevel="0" collapsed="false">
      <c r="D2781" s="4"/>
    </row>
    <row r="2782" customFormat="false" ht="15" hidden="false" customHeight="true" outlineLevel="0" collapsed="false">
      <c r="D2782" s="4"/>
    </row>
    <row r="2783" customFormat="false" ht="15" hidden="false" customHeight="true" outlineLevel="0" collapsed="false">
      <c r="D2783" s="4"/>
    </row>
    <row r="2784" customFormat="false" ht="15" hidden="false" customHeight="true" outlineLevel="0" collapsed="false">
      <c r="D2784" s="4"/>
    </row>
    <row r="2785" customFormat="false" ht="15" hidden="false" customHeight="true" outlineLevel="0" collapsed="false">
      <c r="D2785" s="4"/>
    </row>
    <row r="2786" customFormat="false" ht="15" hidden="false" customHeight="true" outlineLevel="0" collapsed="false">
      <c r="D2786" s="4"/>
    </row>
    <row r="2787" customFormat="false" ht="15" hidden="false" customHeight="true" outlineLevel="0" collapsed="false">
      <c r="D2787" s="4"/>
    </row>
    <row r="2788" customFormat="false" ht="15" hidden="false" customHeight="true" outlineLevel="0" collapsed="false">
      <c r="D2788" s="4"/>
    </row>
    <row r="2789" customFormat="false" ht="15" hidden="false" customHeight="true" outlineLevel="0" collapsed="false">
      <c r="D2789" s="4"/>
    </row>
    <row r="2790" customFormat="false" ht="15" hidden="false" customHeight="true" outlineLevel="0" collapsed="false">
      <c r="D2790" s="4"/>
    </row>
    <row r="2791" customFormat="false" ht="15" hidden="false" customHeight="true" outlineLevel="0" collapsed="false">
      <c r="D2791" s="4"/>
    </row>
    <row r="2792" customFormat="false" ht="15" hidden="false" customHeight="true" outlineLevel="0" collapsed="false">
      <c r="D2792" s="4"/>
    </row>
    <row r="2793" customFormat="false" ht="15" hidden="false" customHeight="true" outlineLevel="0" collapsed="false">
      <c r="D2793" s="4"/>
    </row>
    <row r="2794" customFormat="false" ht="15" hidden="false" customHeight="true" outlineLevel="0" collapsed="false">
      <c r="D2794" s="4"/>
    </row>
    <row r="2795" customFormat="false" ht="15" hidden="false" customHeight="true" outlineLevel="0" collapsed="false">
      <c r="D2795" s="4"/>
    </row>
    <row r="2796" customFormat="false" ht="15" hidden="false" customHeight="true" outlineLevel="0" collapsed="false">
      <c r="D2796" s="4"/>
    </row>
    <row r="2797" customFormat="false" ht="15" hidden="false" customHeight="true" outlineLevel="0" collapsed="false">
      <c r="D2797" s="4"/>
    </row>
    <row r="2798" customFormat="false" ht="15" hidden="false" customHeight="true" outlineLevel="0" collapsed="false">
      <c r="D2798" s="4"/>
    </row>
    <row r="2799" customFormat="false" ht="15" hidden="false" customHeight="true" outlineLevel="0" collapsed="false">
      <c r="D2799" s="4"/>
    </row>
    <row r="2800" customFormat="false" ht="15" hidden="false" customHeight="true" outlineLevel="0" collapsed="false">
      <c r="D2800" s="4"/>
    </row>
    <row r="2801" customFormat="false" ht="15" hidden="false" customHeight="true" outlineLevel="0" collapsed="false">
      <c r="D2801" s="4"/>
    </row>
    <row r="2802" customFormat="false" ht="15" hidden="false" customHeight="true" outlineLevel="0" collapsed="false">
      <c r="D2802" s="4"/>
    </row>
    <row r="2803" customFormat="false" ht="15" hidden="false" customHeight="true" outlineLevel="0" collapsed="false">
      <c r="D2803" s="4"/>
    </row>
    <row r="2804" customFormat="false" ht="15" hidden="false" customHeight="true" outlineLevel="0" collapsed="false">
      <c r="D2804" s="4"/>
    </row>
    <row r="2805" customFormat="false" ht="15" hidden="false" customHeight="true" outlineLevel="0" collapsed="false">
      <c r="D2805" s="4"/>
    </row>
    <row r="2806" customFormat="false" ht="15" hidden="false" customHeight="true" outlineLevel="0" collapsed="false">
      <c r="D2806" s="4"/>
    </row>
    <row r="2807" customFormat="false" ht="15" hidden="false" customHeight="true" outlineLevel="0" collapsed="false">
      <c r="D2807" s="4"/>
    </row>
    <row r="2808" customFormat="false" ht="15" hidden="false" customHeight="true" outlineLevel="0" collapsed="false">
      <c r="D2808" s="4"/>
    </row>
    <row r="2809" customFormat="false" ht="15" hidden="false" customHeight="true" outlineLevel="0" collapsed="false">
      <c r="D2809" s="4"/>
    </row>
    <row r="2810" customFormat="false" ht="15" hidden="false" customHeight="true" outlineLevel="0" collapsed="false">
      <c r="D2810" s="4"/>
    </row>
    <row r="2811" customFormat="false" ht="15" hidden="false" customHeight="true" outlineLevel="0" collapsed="false">
      <c r="D2811" s="4"/>
    </row>
    <row r="2812" customFormat="false" ht="15" hidden="false" customHeight="true" outlineLevel="0" collapsed="false">
      <c r="D2812" s="4"/>
    </row>
    <row r="2813" customFormat="false" ht="15" hidden="false" customHeight="true" outlineLevel="0" collapsed="false">
      <c r="D2813" s="4"/>
    </row>
    <row r="2814" customFormat="false" ht="15" hidden="false" customHeight="true" outlineLevel="0" collapsed="false">
      <c r="D2814" s="4"/>
    </row>
    <row r="2815" customFormat="false" ht="15" hidden="false" customHeight="true" outlineLevel="0" collapsed="false">
      <c r="D2815" s="4"/>
    </row>
    <row r="2816" customFormat="false" ht="15" hidden="false" customHeight="true" outlineLevel="0" collapsed="false">
      <c r="D2816" s="4"/>
    </row>
    <row r="2817" customFormat="false" ht="15" hidden="false" customHeight="true" outlineLevel="0" collapsed="false">
      <c r="D2817" s="4"/>
    </row>
    <row r="2818" customFormat="false" ht="15" hidden="false" customHeight="true" outlineLevel="0" collapsed="false">
      <c r="D2818" s="4"/>
    </row>
    <row r="2819" customFormat="false" ht="15" hidden="false" customHeight="true" outlineLevel="0" collapsed="false">
      <c r="D2819" s="4"/>
    </row>
    <row r="2820" customFormat="false" ht="15" hidden="false" customHeight="true" outlineLevel="0" collapsed="false">
      <c r="D2820" s="4"/>
    </row>
    <row r="2821" customFormat="false" ht="15" hidden="false" customHeight="true" outlineLevel="0" collapsed="false">
      <c r="D2821" s="4"/>
    </row>
    <row r="2822" customFormat="false" ht="15" hidden="false" customHeight="true" outlineLevel="0" collapsed="false">
      <c r="D2822" s="4"/>
    </row>
    <row r="2823" customFormat="false" ht="15" hidden="false" customHeight="true" outlineLevel="0" collapsed="false">
      <c r="D2823" s="4"/>
    </row>
    <row r="2824" customFormat="false" ht="15" hidden="false" customHeight="true" outlineLevel="0" collapsed="false">
      <c r="D2824" s="4"/>
    </row>
    <row r="2825" customFormat="false" ht="15" hidden="false" customHeight="true" outlineLevel="0" collapsed="false">
      <c r="D2825" s="4"/>
    </row>
    <row r="2826" customFormat="false" ht="15" hidden="false" customHeight="true" outlineLevel="0" collapsed="false">
      <c r="D2826" s="4"/>
    </row>
    <row r="2827" customFormat="false" ht="15" hidden="false" customHeight="true" outlineLevel="0" collapsed="false">
      <c r="D2827" s="4"/>
    </row>
    <row r="2828" customFormat="false" ht="15" hidden="false" customHeight="true" outlineLevel="0" collapsed="false">
      <c r="D2828" s="4"/>
    </row>
    <row r="2829" customFormat="false" ht="15" hidden="false" customHeight="true" outlineLevel="0" collapsed="false">
      <c r="D2829" s="4"/>
    </row>
    <row r="2830" customFormat="false" ht="15" hidden="false" customHeight="true" outlineLevel="0" collapsed="false">
      <c r="D2830" s="4"/>
    </row>
    <row r="2831" customFormat="false" ht="15" hidden="false" customHeight="true" outlineLevel="0" collapsed="false">
      <c r="D2831" s="4"/>
    </row>
    <row r="2832" customFormat="false" ht="15" hidden="false" customHeight="true" outlineLevel="0" collapsed="false">
      <c r="D2832" s="4"/>
    </row>
    <row r="2833" customFormat="false" ht="15" hidden="false" customHeight="true" outlineLevel="0" collapsed="false">
      <c r="D2833" s="4"/>
    </row>
    <row r="2834" customFormat="false" ht="15" hidden="false" customHeight="true" outlineLevel="0" collapsed="false">
      <c r="D2834" s="4"/>
    </row>
    <row r="2835" customFormat="false" ht="15" hidden="false" customHeight="true" outlineLevel="0" collapsed="false">
      <c r="D2835" s="4"/>
    </row>
    <row r="2836" customFormat="false" ht="15" hidden="false" customHeight="true" outlineLevel="0" collapsed="false">
      <c r="D2836" s="4"/>
    </row>
    <row r="2837" customFormat="false" ht="15" hidden="false" customHeight="true" outlineLevel="0" collapsed="false">
      <c r="D2837" s="4"/>
    </row>
    <row r="2838" customFormat="false" ht="15" hidden="false" customHeight="true" outlineLevel="0" collapsed="false">
      <c r="D2838" s="4"/>
    </row>
    <row r="2839" customFormat="false" ht="15" hidden="false" customHeight="true" outlineLevel="0" collapsed="false">
      <c r="D2839" s="4"/>
    </row>
    <row r="2840" customFormat="false" ht="15" hidden="false" customHeight="true" outlineLevel="0" collapsed="false">
      <c r="D2840" s="4"/>
    </row>
    <row r="2841" customFormat="false" ht="15" hidden="false" customHeight="true" outlineLevel="0" collapsed="false">
      <c r="D2841" s="4"/>
    </row>
    <row r="2842" customFormat="false" ht="15" hidden="false" customHeight="true" outlineLevel="0" collapsed="false">
      <c r="D2842" s="4"/>
    </row>
    <row r="2843" customFormat="false" ht="15" hidden="false" customHeight="true" outlineLevel="0" collapsed="false">
      <c r="D2843" s="4"/>
    </row>
    <row r="2844" customFormat="false" ht="15" hidden="false" customHeight="true" outlineLevel="0" collapsed="false">
      <c r="D2844" s="4"/>
    </row>
    <row r="2845" customFormat="false" ht="15" hidden="false" customHeight="true" outlineLevel="0" collapsed="false">
      <c r="D2845" s="4"/>
    </row>
    <row r="2846" customFormat="false" ht="15" hidden="false" customHeight="true" outlineLevel="0" collapsed="false">
      <c r="D2846" s="4"/>
    </row>
    <row r="2847" customFormat="false" ht="15" hidden="false" customHeight="true" outlineLevel="0" collapsed="false">
      <c r="D2847" s="4"/>
    </row>
    <row r="2848" customFormat="false" ht="15" hidden="false" customHeight="true" outlineLevel="0" collapsed="false">
      <c r="D2848" s="4"/>
    </row>
    <row r="2849" customFormat="false" ht="15" hidden="false" customHeight="true" outlineLevel="0" collapsed="false">
      <c r="D2849" s="4"/>
    </row>
    <row r="2850" customFormat="false" ht="15" hidden="false" customHeight="true" outlineLevel="0" collapsed="false">
      <c r="D2850" s="4"/>
    </row>
    <row r="2851" customFormat="false" ht="15" hidden="false" customHeight="true" outlineLevel="0" collapsed="false">
      <c r="D2851" s="4"/>
    </row>
    <row r="2852" customFormat="false" ht="15" hidden="false" customHeight="true" outlineLevel="0" collapsed="false">
      <c r="D2852" s="4"/>
    </row>
    <row r="2853" customFormat="false" ht="15" hidden="false" customHeight="true" outlineLevel="0" collapsed="false">
      <c r="D2853" s="4"/>
    </row>
    <row r="2854" customFormat="false" ht="15" hidden="false" customHeight="true" outlineLevel="0" collapsed="false">
      <c r="D2854" s="4"/>
    </row>
    <row r="2855" customFormat="false" ht="15" hidden="false" customHeight="true" outlineLevel="0" collapsed="false">
      <c r="D2855" s="4"/>
    </row>
    <row r="2856" customFormat="false" ht="15" hidden="false" customHeight="true" outlineLevel="0" collapsed="false">
      <c r="D2856" s="4"/>
    </row>
    <row r="2857" customFormat="false" ht="15" hidden="false" customHeight="true" outlineLevel="0" collapsed="false">
      <c r="D2857" s="4"/>
    </row>
    <row r="2858" customFormat="false" ht="15" hidden="false" customHeight="true" outlineLevel="0" collapsed="false">
      <c r="D2858" s="4"/>
    </row>
    <row r="2859" customFormat="false" ht="15" hidden="false" customHeight="true" outlineLevel="0" collapsed="false">
      <c r="D2859" s="4"/>
    </row>
    <row r="2860" customFormat="false" ht="15" hidden="false" customHeight="true" outlineLevel="0" collapsed="false">
      <c r="D2860" s="4"/>
    </row>
    <row r="2861" customFormat="false" ht="15" hidden="false" customHeight="true" outlineLevel="0" collapsed="false">
      <c r="D2861" s="4"/>
    </row>
    <row r="2862" customFormat="false" ht="15" hidden="false" customHeight="true" outlineLevel="0" collapsed="false">
      <c r="D2862" s="4"/>
    </row>
    <row r="2863" customFormat="false" ht="15" hidden="false" customHeight="true" outlineLevel="0" collapsed="false">
      <c r="D2863" s="4"/>
    </row>
    <row r="2864" customFormat="false" ht="15" hidden="false" customHeight="true" outlineLevel="0" collapsed="false">
      <c r="D2864" s="4"/>
    </row>
    <row r="2865" customFormat="false" ht="15" hidden="false" customHeight="true" outlineLevel="0" collapsed="false">
      <c r="D2865" s="4"/>
    </row>
    <row r="2866" customFormat="false" ht="15" hidden="false" customHeight="true" outlineLevel="0" collapsed="false">
      <c r="D2866" s="4"/>
    </row>
    <row r="2867" customFormat="false" ht="15" hidden="false" customHeight="true" outlineLevel="0" collapsed="false">
      <c r="D2867" s="4"/>
    </row>
    <row r="2868" customFormat="false" ht="15" hidden="false" customHeight="true" outlineLevel="0" collapsed="false">
      <c r="D2868" s="4"/>
    </row>
    <row r="2869" customFormat="false" ht="15" hidden="false" customHeight="true" outlineLevel="0" collapsed="false">
      <c r="D2869" s="4"/>
    </row>
    <row r="2870" customFormat="false" ht="15" hidden="false" customHeight="true" outlineLevel="0" collapsed="false">
      <c r="D2870" s="4"/>
    </row>
    <row r="2871" customFormat="false" ht="15" hidden="false" customHeight="true" outlineLevel="0" collapsed="false">
      <c r="D2871" s="4"/>
    </row>
    <row r="2872" customFormat="false" ht="15" hidden="false" customHeight="true" outlineLevel="0" collapsed="false">
      <c r="D2872" s="4"/>
    </row>
    <row r="2873" customFormat="false" ht="15" hidden="false" customHeight="true" outlineLevel="0" collapsed="false">
      <c r="D2873" s="4"/>
    </row>
    <row r="2874" customFormat="false" ht="15" hidden="false" customHeight="true" outlineLevel="0" collapsed="false">
      <c r="D2874" s="4"/>
    </row>
    <row r="2875" customFormat="false" ht="15" hidden="false" customHeight="true" outlineLevel="0" collapsed="false">
      <c r="D2875" s="4"/>
    </row>
    <row r="2876" customFormat="false" ht="15" hidden="false" customHeight="true" outlineLevel="0" collapsed="false">
      <c r="D2876" s="4"/>
    </row>
    <row r="2877" customFormat="false" ht="15" hidden="false" customHeight="true" outlineLevel="0" collapsed="false">
      <c r="D2877" s="4"/>
    </row>
    <row r="2878" customFormat="false" ht="15" hidden="false" customHeight="true" outlineLevel="0" collapsed="false">
      <c r="D2878" s="4"/>
    </row>
    <row r="2879" customFormat="false" ht="15" hidden="false" customHeight="true" outlineLevel="0" collapsed="false">
      <c r="D2879" s="4"/>
    </row>
    <row r="2880" customFormat="false" ht="15" hidden="false" customHeight="true" outlineLevel="0" collapsed="false">
      <c r="D2880" s="4"/>
    </row>
    <row r="2881" customFormat="false" ht="15" hidden="false" customHeight="true" outlineLevel="0" collapsed="false">
      <c r="D2881" s="4"/>
    </row>
    <row r="2882" customFormat="false" ht="15" hidden="false" customHeight="true" outlineLevel="0" collapsed="false">
      <c r="D2882" s="4"/>
    </row>
    <row r="2883" customFormat="false" ht="15" hidden="false" customHeight="true" outlineLevel="0" collapsed="false">
      <c r="D2883" s="4"/>
    </row>
    <row r="2884" customFormat="false" ht="15" hidden="false" customHeight="true" outlineLevel="0" collapsed="false">
      <c r="D2884" s="4"/>
    </row>
    <row r="2885" customFormat="false" ht="15" hidden="false" customHeight="true" outlineLevel="0" collapsed="false">
      <c r="D2885" s="4"/>
    </row>
    <row r="2886" customFormat="false" ht="15" hidden="false" customHeight="true" outlineLevel="0" collapsed="false">
      <c r="D2886" s="4"/>
    </row>
    <row r="2887" customFormat="false" ht="15" hidden="false" customHeight="true" outlineLevel="0" collapsed="false">
      <c r="D2887" s="4"/>
    </row>
    <row r="2888" customFormat="false" ht="15" hidden="false" customHeight="true" outlineLevel="0" collapsed="false">
      <c r="D2888" s="4"/>
    </row>
    <row r="2889" customFormat="false" ht="15" hidden="false" customHeight="true" outlineLevel="0" collapsed="false">
      <c r="D2889" s="4"/>
    </row>
    <row r="2890" customFormat="false" ht="15" hidden="false" customHeight="true" outlineLevel="0" collapsed="false">
      <c r="D2890" s="4"/>
    </row>
    <row r="2891" customFormat="false" ht="15" hidden="false" customHeight="true" outlineLevel="0" collapsed="false">
      <c r="D2891" s="4"/>
    </row>
    <row r="2892" customFormat="false" ht="15" hidden="false" customHeight="true" outlineLevel="0" collapsed="false">
      <c r="D2892" s="4"/>
    </row>
    <row r="2893" customFormat="false" ht="15" hidden="false" customHeight="true" outlineLevel="0" collapsed="false">
      <c r="D2893" s="4"/>
    </row>
    <row r="2894" customFormat="false" ht="15" hidden="false" customHeight="true" outlineLevel="0" collapsed="false">
      <c r="D2894" s="4"/>
    </row>
    <row r="2895" customFormat="false" ht="15" hidden="false" customHeight="true" outlineLevel="0" collapsed="false">
      <c r="D2895" s="4"/>
    </row>
    <row r="2896" customFormat="false" ht="15" hidden="false" customHeight="true" outlineLevel="0" collapsed="false">
      <c r="D2896" s="4"/>
    </row>
    <row r="2897" customFormat="false" ht="15" hidden="false" customHeight="true" outlineLevel="0" collapsed="false">
      <c r="D2897" s="4"/>
    </row>
    <row r="2898" customFormat="false" ht="15" hidden="false" customHeight="true" outlineLevel="0" collapsed="false">
      <c r="D2898" s="4"/>
    </row>
    <row r="2899" customFormat="false" ht="15" hidden="false" customHeight="true" outlineLevel="0" collapsed="false">
      <c r="D2899" s="4"/>
    </row>
    <row r="2900" customFormat="false" ht="15" hidden="false" customHeight="true" outlineLevel="0" collapsed="false">
      <c r="D2900" s="4"/>
    </row>
    <row r="2901" customFormat="false" ht="15" hidden="false" customHeight="true" outlineLevel="0" collapsed="false">
      <c r="D2901" s="4"/>
    </row>
    <row r="2902" customFormat="false" ht="15" hidden="false" customHeight="true" outlineLevel="0" collapsed="false">
      <c r="D2902" s="4"/>
    </row>
    <row r="2903" customFormat="false" ht="15" hidden="false" customHeight="true" outlineLevel="0" collapsed="false">
      <c r="D2903" s="4"/>
    </row>
    <row r="2904" customFormat="false" ht="15" hidden="false" customHeight="true" outlineLevel="0" collapsed="false">
      <c r="D2904" s="4"/>
    </row>
    <row r="2905" customFormat="false" ht="15" hidden="false" customHeight="true" outlineLevel="0" collapsed="false">
      <c r="D2905" s="4"/>
    </row>
    <row r="2906" customFormat="false" ht="15" hidden="false" customHeight="true" outlineLevel="0" collapsed="false">
      <c r="D2906" s="4"/>
    </row>
    <row r="2907" customFormat="false" ht="15" hidden="false" customHeight="true" outlineLevel="0" collapsed="false">
      <c r="D2907" s="4"/>
    </row>
    <row r="2908" customFormat="false" ht="15" hidden="false" customHeight="true" outlineLevel="0" collapsed="false">
      <c r="D2908" s="4"/>
    </row>
    <row r="2909" customFormat="false" ht="15" hidden="false" customHeight="true" outlineLevel="0" collapsed="false">
      <c r="D2909" s="4"/>
    </row>
    <row r="2910" customFormat="false" ht="15" hidden="false" customHeight="true" outlineLevel="0" collapsed="false">
      <c r="D2910" s="4"/>
    </row>
    <row r="2911" customFormat="false" ht="15" hidden="false" customHeight="true" outlineLevel="0" collapsed="false">
      <c r="D2911" s="4"/>
    </row>
    <row r="2912" customFormat="false" ht="15" hidden="false" customHeight="true" outlineLevel="0" collapsed="false">
      <c r="D2912" s="4"/>
    </row>
    <row r="2913" customFormat="false" ht="15" hidden="false" customHeight="true" outlineLevel="0" collapsed="false">
      <c r="D2913" s="4"/>
    </row>
    <row r="2914" customFormat="false" ht="15" hidden="false" customHeight="true" outlineLevel="0" collapsed="false">
      <c r="D2914" s="4"/>
    </row>
    <row r="2915" customFormat="false" ht="15" hidden="false" customHeight="true" outlineLevel="0" collapsed="false">
      <c r="D2915" s="4"/>
    </row>
    <row r="2916" customFormat="false" ht="15" hidden="false" customHeight="true" outlineLevel="0" collapsed="false">
      <c r="D2916" s="4"/>
    </row>
    <row r="2917" customFormat="false" ht="15" hidden="false" customHeight="true" outlineLevel="0" collapsed="false">
      <c r="D2917" s="4"/>
    </row>
    <row r="2918" customFormat="false" ht="15" hidden="false" customHeight="true" outlineLevel="0" collapsed="false">
      <c r="D2918" s="4"/>
    </row>
    <row r="2919" customFormat="false" ht="15" hidden="false" customHeight="true" outlineLevel="0" collapsed="false">
      <c r="D2919" s="4"/>
    </row>
    <row r="2920" customFormat="false" ht="15" hidden="false" customHeight="true" outlineLevel="0" collapsed="false">
      <c r="D2920" s="4"/>
    </row>
    <row r="2921" customFormat="false" ht="15" hidden="false" customHeight="true" outlineLevel="0" collapsed="false">
      <c r="D2921" s="4"/>
    </row>
    <row r="2922" customFormat="false" ht="15" hidden="false" customHeight="true" outlineLevel="0" collapsed="false">
      <c r="D2922" s="4"/>
    </row>
    <row r="2923" customFormat="false" ht="15" hidden="false" customHeight="true" outlineLevel="0" collapsed="false">
      <c r="D2923" s="4"/>
    </row>
    <row r="2924" customFormat="false" ht="15" hidden="false" customHeight="true" outlineLevel="0" collapsed="false">
      <c r="D2924" s="4"/>
    </row>
    <row r="2925" customFormat="false" ht="15" hidden="false" customHeight="true" outlineLevel="0" collapsed="false">
      <c r="D2925" s="4"/>
    </row>
    <row r="2926" customFormat="false" ht="15" hidden="false" customHeight="true" outlineLevel="0" collapsed="false">
      <c r="D2926" s="4"/>
    </row>
    <row r="2927" customFormat="false" ht="15" hidden="false" customHeight="true" outlineLevel="0" collapsed="false">
      <c r="D2927" s="4"/>
    </row>
    <row r="2928" customFormat="false" ht="15" hidden="false" customHeight="true" outlineLevel="0" collapsed="false">
      <c r="D2928" s="4"/>
    </row>
    <row r="2929" customFormat="false" ht="15" hidden="false" customHeight="true" outlineLevel="0" collapsed="false">
      <c r="D2929" s="4"/>
    </row>
    <row r="2930" customFormat="false" ht="15" hidden="false" customHeight="true" outlineLevel="0" collapsed="false">
      <c r="D2930" s="4"/>
    </row>
    <row r="2931" customFormat="false" ht="15" hidden="false" customHeight="true" outlineLevel="0" collapsed="false">
      <c r="D2931" s="4"/>
    </row>
    <row r="2932" customFormat="false" ht="15" hidden="false" customHeight="true" outlineLevel="0" collapsed="false">
      <c r="D2932" s="4"/>
    </row>
    <row r="2933" customFormat="false" ht="15" hidden="false" customHeight="true" outlineLevel="0" collapsed="false">
      <c r="D2933" s="4"/>
    </row>
    <row r="2934" customFormat="false" ht="15" hidden="false" customHeight="true" outlineLevel="0" collapsed="false">
      <c r="D2934" s="4"/>
    </row>
    <row r="2935" customFormat="false" ht="15" hidden="false" customHeight="true" outlineLevel="0" collapsed="false">
      <c r="D2935" s="4"/>
    </row>
    <row r="2936" customFormat="false" ht="15" hidden="false" customHeight="true" outlineLevel="0" collapsed="false">
      <c r="D2936" s="4"/>
    </row>
    <row r="2937" customFormat="false" ht="15" hidden="false" customHeight="true" outlineLevel="0" collapsed="false">
      <c r="D2937" s="4"/>
    </row>
    <row r="2938" customFormat="false" ht="15" hidden="false" customHeight="true" outlineLevel="0" collapsed="false">
      <c r="D2938" s="4"/>
    </row>
    <row r="2939" customFormat="false" ht="15" hidden="false" customHeight="true" outlineLevel="0" collapsed="false">
      <c r="D2939" s="4"/>
    </row>
    <row r="2940" customFormat="false" ht="15" hidden="false" customHeight="true" outlineLevel="0" collapsed="false">
      <c r="D2940" s="4"/>
    </row>
    <row r="2941" customFormat="false" ht="15" hidden="false" customHeight="true" outlineLevel="0" collapsed="false">
      <c r="D2941" s="4"/>
    </row>
    <row r="2942" customFormat="false" ht="15" hidden="false" customHeight="true" outlineLevel="0" collapsed="false">
      <c r="D2942" s="4"/>
    </row>
    <row r="2943" customFormat="false" ht="15" hidden="false" customHeight="true" outlineLevel="0" collapsed="false">
      <c r="D2943" s="4"/>
    </row>
    <row r="2944" customFormat="false" ht="15" hidden="false" customHeight="true" outlineLevel="0" collapsed="false">
      <c r="D2944" s="4"/>
    </row>
    <row r="2945" customFormat="false" ht="15" hidden="false" customHeight="true" outlineLevel="0" collapsed="false">
      <c r="D2945" s="4"/>
    </row>
    <row r="2946" customFormat="false" ht="15" hidden="false" customHeight="true" outlineLevel="0" collapsed="false">
      <c r="D2946" s="4"/>
    </row>
    <row r="2947" customFormat="false" ht="15" hidden="false" customHeight="true" outlineLevel="0" collapsed="false">
      <c r="D2947" s="4"/>
    </row>
    <row r="2948" customFormat="false" ht="15" hidden="false" customHeight="true" outlineLevel="0" collapsed="false">
      <c r="D2948" s="4"/>
    </row>
    <row r="2949" customFormat="false" ht="15" hidden="false" customHeight="true" outlineLevel="0" collapsed="false">
      <c r="D2949" s="4"/>
    </row>
    <row r="2950" customFormat="false" ht="15" hidden="false" customHeight="true" outlineLevel="0" collapsed="false">
      <c r="D2950" s="4"/>
    </row>
    <row r="2951" customFormat="false" ht="15" hidden="false" customHeight="true" outlineLevel="0" collapsed="false">
      <c r="D2951" s="4"/>
    </row>
    <row r="2952" customFormat="false" ht="15" hidden="false" customHeight="true" outlineLevel="0" collapsed="false">
      <c r="D2952" s="4"/>
    </row>
    <row r="2953" customFormat="false" ht="15" hidden="false" customHeight="true" outlineLevel="0" collapsed="false">
      <c r="D2953" s="4"/>
    </row>
    <row r="2954" customFormat="false" ht="15" hidden="false" customHeight="true" outlineLevel="0" collapsed="false">
      <c r="D2954" s="4"/>
    </row>
    <row r="2955" customFormat="false" ht="15" hidden="false" customHeight="true" outlineLevel="0" collapsed="false">
      <c r="D2955" s="4"/>
    </row>
    <row r="2956" customFormat="false" ht="15" hidden="false" customHeight="true" outlineLevel="0" collapsed="false">
      <c r="D2956" s="4"/>
    </row>
    <row r="2957" customFormat="false" ht="15" hidden="false" customHeight="true" outlineLevel="0" collapsed="false">
      <c r="D2957" s="4"/>
    </row>
    <row r="2958" customFormat="false" ht="15" hidden="false" customHeight="true" outlineLevel="0" collapsed="false">
      <c r="D2958" s="4"/>
    </row>
    <row r="2959" customFormat="false" ht="15" hidden="false" customHeight="true" outlineLevel="0" collapsed="false">
      <c r="D2959" s="4"/>
    </row>
    <row r="2960" customFormat="false" ht="15" hidden="false" customHeight="true" outlineLevel="0" collapsed="false">
      <c r="D2960" s="4"/>
    </row>
    <row r="2961" customFormat="false" ht="15" hidden="false" customHeight="true" outlineLevel="0" collapsed="false">
      <c r="D2961" s="4"/>
    </row>
    <row r="2962" customFormat="false" ht="15" hidden="false" customHeight="true" outlineLevel="0" collapsed="false">
      <c r="D2962" s="4"/>
    </row>
    <row r="2963" customFormat="false" ht="15" hidden="false" customHeight="true" outlineLevel="0" collapsed="false">
      <c r="D2963" s="4"/>
    </row>
    <row r="2964" customFormat="false" ht="15" hidden="false" customHeight="true" outlineLevel="0" collapsed="false">
      <c r="D2964" s="4"/>
    </row>
    <row r="2965" customFormat="false" ht="15" hidden="false" customHeight="true" outlineLevel="0" collapsed="false">
      <c r="D2965" s="4"/>
    </row>
    <row r="2966" customFormat="false" ht="15" hidden="false" customHeight="true" outlineLevel="0" collapsed="false">
      <c r="D2966" s="4"/>
    </row>
    <row r="2967" customFormat="false" ht="15" hidden="false" customHeight="true" outlineLevel="0" collapsed="false">
      <c r="D2967" s="4"/>
    </row>
    <row r="2968" customFormat="false" ht="15" hidden="false" customHeight="true" outlineLevel="0" collapsed="false">
      <c r="D2968" s="4"/>
    </row>
    <row r="2969" customFormat="false" ht="15" hidden="false" customHeight="true" outlineLevel="0" collapsed="false">
      <c r="D2969" s="4"/>
    </row>
    <row r="2970" customFormat="false" ht="15" hidden="false" customHeight="true" outlineLevel="0" collapsed="false">
      <c r="D2970" s="4"/>
    </row>
    <row r="2971" customFormat="false" ht="15" hidden="false" customHeight="true" outlineLevel="0" collapsed="false">
      <c r="D2971" s="4"/>
    </row>
    <row r="2972" customFormat="false" ht="15" hidden="false" customHeight="true" outlineLevel="0" collapsed="false">
      <c r="D2972" s="4"/>
    </row>
    <row r="2973" customFormat="false" ht="15" hidden="false" customHeight="true" outlineLevel="0" collapsed="false">
      <c r="D2973" s="4"/>
    </row>
    <row r="2974" customFormat="false" ht="15" hidden="false" customHeight="true" outlineLevel="0" collapsed="false">
      <c r="D2974" s="4"/>
    </row>
    <row r="2975" customFormat="false" ht="15" hidden="false" customHeight="true" outlineLevel="0" collapsed="false">
      <c r="D2975" s="4"/>
    </row>
    <row r="2976" customFormat="false" ht="15" hidden="false" customHeight="true" outlineLevel="0" collapsed="false">
      <c r="D2976" s="4"/>
    </row>
    <row r="2977" customFormat="false" ht="15" hidden="false" customHeight="true" outlineLevel="0" collapsed="false">
      <c r="D2977" s="4"/>
    </row>
    <row r="2978" customFormat="false" ht="15" hidden="false" customHeight="true" outlineLevel="0" collapsed="false">
      <c r="D2978" s="4"/>
    </row>
    <row r="2979" customFormat="false" ht="15" hidden="false" customHeight="true" outlineLevel="0" collapsed="false">
      <c r="D2979" s="4"/>
    </row>
    <row r="2980" customFormat="false" ht="15" hidden="false" customHeight="true" outlineLevel="0" collapsed="false">
      <c r="D2980" s="4"/>
    </row>
    <row r="2981" customFormat="false" ht="15" hidden="false" customHeight="true" outlineLevel="0" collapsed="false">
      <c r="D2981" s="4"/>
    </row>
    <row r="2982" customFormat="false" ht="15" hidden="false" customHeight="true" outlineLevel="0" collapsed="false">
      <c r="D2982" s="4"/>
    </row>
    <row r="2983" customFormat="false" ht="15" hidden="false" customHeight="true" outlineLevel="0" collapsed="false">
      <c r="D2983" s="4"/>
    </row>
    <row r="2984" customFormat="false" ht="15" hidden="false" customHeight="true" outlineLevel="0" collapsed="false">
      <c r="D2984" s="4"/>
    </row>
    <row r="2985" customFormat="false" ht="15" hidden="false" customHeight="true" outlineLevel="0" collapsed="false">
      <c r="D2985" s="4"/>
    </row>
    <row r="2986" customFormat="false" ht="15" hidden="false" customHeight="true" outlineLevel="0" collapsed="false">
      <c r="D2986" s="4"/>
    </row>
    <row r="2987" customFormat="false" ht="15" hidden="false" customHeight="true" outlineLevel="0" collapsed="false">
      <c r="D2987" s="4"/>
    </row>
    <row r="2988" customFormat="false" ht="15" hidden="false" customHeight="true" outlineLevel="0" collapsed="false">
      <c r="D2988" s="4"/>
    </row>
    <row r="2989" customFormat="false" ht="15" hidden="false" customHeight="true" outlineLevel="0" collapsed="false">
      <c r="D2989" s="4"/>
    </row>
    <row r="2990" customFormat="false" ht="15" hidden="false" customHeight="true" outlineLevel="0" collapsed="false">
      <c r="D2990" s="4"/>
    </row>
    <row r="2991" customFormat="false" ht="15" hidden="false" customHeight="true" outlineLevel="0" collapsed="false">
      <c r="D2991" s="4"/>
    </row>
    <row r="2992" customFormat="false" ht="15" hidden="false" customHeight="true" outlineLevel="0" collapsed="false">
      <c r="D2992" s="4"/>
    </row>
    <row r="2993" customFormat="false" ht="15" hidden="false" customHeight="true" outlineLevel="0" collapsed="false">
      <c r="D2993" s="4"/>
    </row>
    <row r="2994" customFormat="false" ht="15" hidden="false" customHeight="true" outlineLevel="0" collapsed="false">
      <c r="D2994" s="4"/>
    </row>
    <row r="2995" customFormat="false" ht="15" hidden="false" customHeight="true" outlineLevel="0" collapsed="false">
      <c r="D299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3.7"/>
    <col collapsed="false" customWidth="true" hidden="false" outlineLevel="0" max="3" min="3" style="1" width="19.41"/>
    <col collapsed="false" customWidth="true" hidden="false" outlineLevel="0" max="4" min="4" style="1" width="13.99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3"/>
    <col collapsed="false" customWidth="true" hidden="false" outlineLevel="0" max="13" min="13" style="0" width="14"/>
  </cols>
  <sheetData>
    <row r="1" customFormat="false" ht="15" hidden="false" customHeight="true" outlineLevel="0" collapsed="false">
      <c r="A1" s="2" t="s">
        <v>1951</v>
      </c>
      <c r="B1" s="2" t="s">
        <v>1945</v>
      </c>
      <c r="C1" s="2" t="s">
        <v>1952</v>
      </c>
      <c r="D1" s="2" t="s">
        <v>1953</v>
      </c>
      <c r="E1" s="2" t="s">
        <v>1954</v>
      </c>
      <c r="F1" s="2" t="s">
        <v>1955</v>
      </c>
      <c r="G1" s="2" t="s">
        <v>1956</v>
      </c>
      <c r="H1" s="2" t="s">
        <v>0</v>
      </c>
      <c r="I1" s="2" t="s">
        <v>4</v>
      </c>
      <c r="J1" s="2" t="s">
        <v>1947</v>
      </c>
      <c r="K1" s="2" t="s">
        <v>1948</v>
      </c>
      <c r="L1" s="2" t="s">
        <v>1957</v>
      </c>
      <c r="M1" s="2" t="s">
        <v>1958</v>
      </c>
    </row>
    <row r="2" customFormat="false" ht="15" hidden="false" customHeight="true" outlineLevel="0" collapsed="false">
      <c r="A2" s="1" t="n">
        <v>100232</v>
      </c>
      <c r="B2" s="1" t="n">
        <v>51952</v>
      </c>
      <c r="C2" s="1" t="n">
        <v>23</v>
      </c>
      <c r="D2" s="1" t="n">
        <v>8</v>
      </c>
      <c r="E2" s="1" t="str">
        <f aca="false">VLOOKUP(C2,Меню!$A$2:$C$24,2,FALSE())</f>
        <v>Пицца с тунцом</v>
      </c>
      <c r="F2" s="1" t="n">
        <f aca="false">VLOOKUP(C2,Меню!$A$2:$C$24,3,FALSE())</f>
        <v>520</v>
      </c>
      <c r="G2" s="5" t="n">
        <f aca="false">VLOOKUP(B2,Заказы!$A$2:$E$2995,2,FALSE())</f>
        <v>44057</v>
      </c>
      <c r="H2" s="1" t="n">
        <f aca="false">VLOOKUP(B2,Заказы!$A$2:$E$2995,3,FALSE())</f>
        <v>973</v>
      </c>
      <c r="I2" s="1" t="str">
        <f aca="false">VLOOKUP(H2,Клиенты!$A$2:$E$1995,5,FALSE())</f>
        <v>г. Нальчик</v>
      </c>
      <c r="J2" s="1" t="n">
        <f aca="false">VLOOKUP(B2,Заказы!$A$2:$E$2995,4,FALSE())</f>
        <v>630</v>
      </c>
      <c r="K2" s="1" t="str">
        <f aca="false">VLOOKUP(B2,Заказы!$A$2:$E$2995,5,FALSE())</f>
        <v>Выполнено</v>
      </c>
      <c r="L2" s="1" t="n">
        <f aca="false">D2*F2+J2</f>
        <v>4790</v>
      </c>
      <c r="M2" s="1" t="n">
        <f aca="false">IF(AND(E2="Пицца Труслейка",I2="г. Москва",K2="Выполнено",G2&gt;=DATE(2020,7,1),G2&lt;DATE(2020,8,1)),L2,0)</f>
        <v>0</v>
      </c>
    </row>
    <row r="3" customFormat="false" ht="15" hidden="false" customHeight="true" outlineLevel="0" collapsed="false">
      <c r="A3" s="1" t="n">
        <v>101855</v>
      </c>
      <c r="B3" s="1" t="n">
        <v>51303</v>
      </c>
      <c r="C3" s="1" t="n">
        <v>16</v>
      </c>
      <c r="D3" s="1" t="n">
        <v>1</v>
      </c>
      <c r="E3" s="1" t="str">
        <f aca="false">VLOOKUP(C3,Меню!$A$2:$C$24,2,FALSE())</f>
        <v>Пицца Флорида</v>
      </c>
      <c r="F3" s="1" t="n">
        <f aca="false">VLOOKUP(C3,Меню!$A$2:$C$24,3,FALSE())</f>
        <v>535</v>
      </c>
      <c r="G3" s="5" t="n">
        <f aca="false">VLOOKUP(B3,Заказы!$A$2:$E$2995,2,FALSE())</f>
        <v>43995</v>
      </c>
      <c r="H3" s="1" t="n">
        <f aca="false">VLOOKUP(B3,Заказы!$A$2:$E$2995,3,FALSE())</f>
        <v>781</v>
      </c>
      <c r="I3" s="1" t="str">
        <f aca="false">VLOOKUP(H3,Клиенты!$A$2:$E$1995,5,FALSE())</f>
        <v>г. Москва</v>
      </c>
      <c r="J3" s="1" t="n">
        <f aca="false">VLOOKUP(B3,Заказы!$A$2:$E$2995,4,FALSE())</f>
        <v>818</v>
      </c>
      <c r="K3" s="1" t="str">
        <f aca="false">VLOOKUP(B3,Заказы!$A$2:$E$2995,5,FALSE())</f>
        <v>Выполнено</v>
      </c>
      <c r="L3" s="1" t="n">
        <f aca="false">D3*F3+J3</f>
        <v>1353</v>
      </c>
      <c r="M3" s="1" t="n">
        <f aca="false">IF(AND(E3="Пицца Труслейка",I3="г. Москва",K3="Выполнено",G3&gt;=DATE(2020,7,1),G3&lt;DATE(2020,8,1)),L3,0)</f>
        <v>0</v>
      </c>
    </row>
    <row r="4" customFormat="false" ht="15" hidden="false" customHeight="true" outlineLevel="0" collapsed="false">
      <c r="A4" s="1" t="n">
        <v>101359</v>
      </c>
      <c r="B4" s="1" t="n">
        <v>51855</v>
      </c>
      <c r="C4" s="1" t="n">
        <v>12</v>
      </c>
      <c r="D4" s="1" t="n">
        <v>4</v>
      </c>
      <c r="E4" s="1" t="str">
        <f aca="false">VLOOKUP(C4,Меню!$A$2:$C$24,2,FALSE())</f>
        <v>Пицца Салями с трюфелем</v>
      </c>
      <c r="F4" s="1" t="n">
        <f aca="false">VLOOKUP(C4,Меню!$A$2:$C$24,3,FALSE())</f>
        <v>525</v>
      </c>
      <c r="G4" s="5" t="n">
        <f aca="false">VLOOKUP(B4,Заказы!$A$2:$E$2995,2,FALSE())</f>
        <v>44025</v>
      </c>
      <c r="H4" s="1" t="n">
        <f aca="false">VLOOKUP(B4,Заказы!$A$2:$E$2995,3,FALSE())</f>
        <v>905</v>
      </c>
      <c r="I4" s="1" t="str">
        <f aca="false">VLOOKUP(H4,Клиенты!$A$2:$E$1995,5,FALSE())</f>
        <v>г. Георгиевск</v>
      </c>
      <c r="J4" s="1" t="n">
        <f aca="false">VLOOKUP(B4,Заказы!$A$2:$E$2995,4,FALSE())</f>
        <v>273</v>
      </c>
      <c r="K4" s="1" t="str">
        <f aca="false">VLOOKUP(B4,Заказы!$A$2:$E$2995,5,FALSE())</f>
        <v>Выполнено</v>
      </c>
      <c r="L4" s="1" t="n">
        <f aca="false">D4*F4+J4</f>
        <v>2373</v>
      </c>
      <c r="M4" s="1" t="n">
        <f aca="false">IF(AND(E4="Пицца Труслейка",I4="г. Москва",K4="Выполнено",G4&gt;=DATE(2020,7,1),G4&lt;DATE(2020,8,1)),L4,0)</f>
        <v>0</v>
      </c>
    </row>
    <row r="5" customFormat="false" ht="15" hidden="false" customHeight="true" outlineLevel="0" collapsed="false">
      <c r="A5" s="1" t="n">
        <v>100958</v>
      </c>
      <c r="B5" s="1" t="n">
        <v>51584</v>
      </c>
      <c r="C5" s="1" t="n">
        <v>21</v>
      </c>
      <c r="D5" s="1" t="n">
        <v>10</v>
      </c>
      <c r="E5" s="1" t="str">
        <f aca="false">VLOOKUP(C5,Меню!$A$2:$C$24,2,FALSE())</f>
        <v>Пицца с креветками и цукини</v>
      </c>
      <c r="F5" s="1" t="n">
        <f aca="false">VLOOKUP(C5,Меню!$A$2:$C$24,3,FALSE())</f>
        <v>600</v>
      </c>
      <c r="G5" s="5" t="n">
        <f aca="false">VLOOKUP(B5,Заказы!$A$2:$E$2995,2,FALSE())</f>
        <v>43989</v>
      </c>
      <c r="H5" s="1" t="n">
        <f aca="false">VLOOKUP(B5,Заказы!$A$2:$E$2995,3,FALSE())</f>
        <v>1664</v>
      </c>
      <c r="I5" s="1" t="str">
        <f aca="false">VLOOKUP(H5,Клиенты!$A$2:$E$1995,5,FALSE())</f>
        <v>г. Владимир</v>
      </c>
      <c r="J5" s="1" t="n">
        <f aca="false">VLOOKUP(B5,Заказы!$A$2:$E$2995,4,FALSE())</f>
        <v>0</v>
      </c>
      <c r="K5" s="1" t="str">
        <f aca="false">VLOOKUP(B5,Заказы!$A$2:$E$2995,5,FALSE())</f>
        <v>Не выполнено</v>
      </c>
      <c r="L5" s="1" t="n">
        <f aca="false">D5*F5+J5</f>
        <v>6000</v>
      </c>
      <c r="M5" s="1" t="n">
        <f aca="false">IF(AND(E5="Пицца Труслейка",I5="г. Москва",K5="Выполнено",G5&gt;=DATE(2020,7,1),G5&lt;DATE(2020,8,1)),L5,0)</f>
        <v>0</v>
      </c>
    </row>
    <row r="6" customFormat="false" ht="15" hidden="false" customHeight="true" outlineLevel="0" collapsed="false">
      <c r="A6" s="1" t="n">
        <v>100643</v>
      </c>
      <c r="B6" s="1" t="n">
        <v>50802</v>
      </c>
      <c r="C6" s="1" t="n">
        <v>7</v>
      </c>
      <c r="D6" s="1" t="n">
        <v>10</v>
      </c>
      <c r="E6" s="1" t="str">
        <f aca="false">VLOOKUP(C6,Меню!$A$2:$C$24,2,FALSE())</f>
        <v>Пицца Карбонара</v>
      </c>
      <c r="F6" s="1" t="n">
        <f aca="false">VLOOKUP(C6,Меню!$A$2:$C$24,3,FALSE())</f>
        <v>625</v>
      </c>
      <c r="G6" s="5" t="n">
        <f aca="false">VLOOKUP(B6,Заказы!$A$2:$E$2995,2,FALSE())</f>
        <v>44028</v>
      </c>
      <c r="H6" s="1" t="n">
        <f aca="false">VLOOKUP(B6,Заказы!$A$2:$E$2995,3,FALSE())</f>
        <v>1293</v>
      </c>
      <c r="I6" s="1" t="str">
        <f aca="false">VLOOKUP(H6,Клиенты!$A$2:$E$1995,5,FALSE())</f>
        <v>г. Йошкар-Ола</v>
      </c>
      <c r="J6" s="1" t="n">
        <f aca="false">VLOOKUP(B6,Заказы!$A$2:$E$2995,4,FALSE())</f>
        <v>0</v>
      </c>
      <c r="K6" s="1" t="str">
        <f aca="false">VLOOKUP(B6,Заказы!$A$2:$E$2995,5,FALSE())</f>
        <v>Не выполнено</v>
      </c>
      <c r="L6" s="1" t="n">
        <f aca="false">D6*F6+J6</f>
        <v>6250</v>
      </c>
      <c r="M6" s="1" t="n">
        <f aca="false">IF(AND(E6="Пицца Труслейка",I6="г. Москва",K6="Выполнено",G6&gt;=DATE(2020,7,1),G6&lt;DATE(2020,8,1)),L6,0)</f>
        <v>0</v>
      </c>
    </row>
    <row r="7" customFormat="false" ht="15" hidden="false" customHeight="true" outlineLevel="0" collapsed="false">
      <c r="A7" s="1" t="n">
        <v>101000</v>
      </c>
      <c r="B7" s="1" t="n">
        <v>51959</v>
      </c>
      <c r="C7" s="1" t="n">
        <v>18</v>
      </c>
      <c r="D7" s="1" t="n">
        <v>3</v>
      </c>
      <c r="E7" s="1" t="str">
        <f aca="false">VLOOKUP(C7,Меню!$A$2:$C$24,2,FALSE())</f>
        <v>Пицца Царская</v>
      </c>
      <c r="F7" s="1" t="n">
        <f aca="false">VLOOKUP(C7,Меню!$A$2:$C$24,3,FALSE())</f>
        <v>620</v>
      </c>
      <c r="G7" s="5" t="n">
        <f aca="false">VLOOKUP(B7,Заказы!$A$2:$E$2995,2,FALSE())</f>
        <v>44000</v>
      </c>
      <c r="H7" s="1" t="n">
        <f aca="false">VLOOKUP(B7,Заказы!$A$2:$E$2995,3,FALSE())</f>
        <v>949</v>
      </c>
      <c r="I7" s="1" t="str">
        <f aca="false">VLOOKUP(H7,Клиенты!$A$2:$E$1995,5,FALSE())</f>
        <v>г. Полярный</v>
      </c>
      <c r="J7" s="1" t="n">
        <f aca="false">VLOOKUP(B7,Заказы!$A$2:$E$2995,4,FALSE())</f>
        <v>286</v>
      </c>
      <c r="K7" s="1" t="str">
        <f aca="false">VLOOKUP(B7,Заказы!$A$2:$E$2995,5,FALSE())</f>
        <v>Выполнено</v>
      </c>
      <c r="L7" s="1" t="n">
        <f aca="false">D7*F7+J7</f>
        <v>2146</v>
      </c>
      <c r="M7" s="1" t="n">
        <f aca="false">IF(AND(E7="Пицца Труслейка",I7="г. Москва",K7="Выполнено",G7&gt;=DATE(2020,7,1),G7&lt;DATE(2020,8,1)),L7,0)</f>
        <v>0</v>
      </c>
    </row>
    <row r="8" customFormat="false" ht="15" hidden="false" customHeight="true" outlineLevel="0" collapsed="false">
      <c r="A8" s="1" t="n">
        <v>101785</v>
      </c>
      <c r="B8" s="1" t="n">
        <v>50363</v>
      </c>
      <c r="C8" s="1" t="n">
        <v>16</v>
      </c>
      <c r="D8" s="1" t="n">
        <v>8</v>
      </c>
      <c r="E8" s="1" t="str">
        <f aca="false">VLOOKUP(C8,Меню!$A$2:$C$24,2,FALSE())</f>
        <v>Пицца Флорида</v>
      </c>
      <c r="F8" s="1" t="n">
        <f aca="false">VLOOKUP(C8,Меню!$A$2:$C$24,3,FALSE())</f>
        <v>535</v>
      </c>
      <c r="G8" s="5" t="n">
        <f aca="false">VLOOKUP(B8,Заказы!$A$2:$E$2995,2,FALSE())</f>
        <v>43991</v>
      </c>
      <c r="H8" s="1" t="n">
        <f aca="false">VLOOKUP(B8,Заказы!$A$2:$E$2995,3,FALSE())</f>
        <v>1466</v>
      </c>
      <c r="I8" s="1" t="str">
        <f aca="false">VLOOKUP(H8,Клиенты!$A$2:$E$1995,5,FALSE())</f>
        <v>г. Чёрмоз</v>
      </c>
      <c r="J8" s="1" t="n">
        <f aca="false">VLOOKUP(B8,Заказы!$A$2:$E$2995,4,FALSE())</f>
        <v>306</v>
      </c>
      <c r="K8" s="1" t="str">
        <f aca="false">VLOOKUP(B8,Заказы!$A$2:$E$2995,5,FALSE())</f>
        <v>Выполнено</v>
      </c>
      <c r="L8" s="1" t="n">
        <f aca="false">D8*F8+J8</f>
        <v>4586</v>
      </c>
      <c r="M8" s="1" t="n">
        <f aca="false">IF(AND(E8="Пицца Труслейка",I8="г. Москва",K8="Выполнено",G8&gt;=DATE(2020,7,1),G8&lt;DATE(2020,8,1)),L8,0)</f>
        <v>0</v>
      </c>
    </row>
    <row r="9" customFormat="false" ht="15" hidden="false" customHeight="true" outlineLevel="0" collapsed="false">
      <c r="A9" s="1" t="n">
        <v>100185</v>
      </c>
      <c r="B9" s="1" t="n">
        <v>51490</v>
      </c>
      <c r="C9" s="1" t="n">
        <v>23</v>
      </c>
      <c r="D9" s="1" t="n">
        <v>2</v>
      </c>
      <c r="E9" s="1" t="str">
        <f aca="false">VLOOKUP(C9,Меню!$A$2:$C$24,2,FALSE())</f>
        <v>Пицца с тунцом</v>
      </c>
      <c r="F9" s="1" t="n">
        <f aca="false">VLOOKUP(C9,Меню!$A$2:$C$24,3,FALSE())</f>
        <v>520</v>
      </c>
      <c r="G9" s="5" t="n">
        <f aca="false">VLOOKUP(B9,Заказы!$A$2:$E$2995,2,FALSE())</f>
        <v>44048</v>
      </c>
      <c r="H9" s="1" t="n">
        <f aca="false">VLOOKUP(B9,Заказы!$A$2:$E$2995,3,FALSE())</f>
        <v>783</v>
      </c>
      <c r="I9" s="1" t="str">
        <f aca="false">VLOOKUP(H9,Клиенты!$A$2:$E$1995,5,FALSE())</f>
        <v>г. Красноармейск</v>
      </c>
      <c r="J9" s="1" t="n">
        <f aca="false">VLOOKUP(B9,Заказы!$A$2:$E$2995,4,FALSE())</f>
        <v>0</v>
      </c>
      <c r="K9" s="1" t="str">
        <f aca="false">VLOOKUP(B9,Заказы!$A$2:$E$2995,5,FALSE())</f>
        <v>Не выполнено</v>
      </c>
      <c r="L9" s="1" t="n">
        <f aca="false">D9*F9+J9</f>
        <v>1040</v>
      </c>
      <c r="M9" s="1" t="n">
        <f aca="false">IF(AND(E9="Пицца Труслейка",I9="г. Москва",K9="Выполнено",G9&gt;=DATE(2020,7,1),G9&lt;DATE(2020,8,1)),L9,0)</f>
        <v>0</v>
      </c>
    </row>
    <row r="10" customFormat="false" ht="15" hidden="false" customHeight="true" outlineLevel="0" collapsed="false">
      <c r="A10" s="1" t="n">
        <v>101328</v>
      </c>
      <c r="B10" s="1" t="n">
        <v>50717</v>
      </c>
      <c r="C10" s="1" t="n">
        <v>6</v>
      </c>
      <c r="D10" s="1" t="n">
        <v>8</v>
      </c>
      <c r="E10" s="1" t="str">
        <f aca="false">VLOOKUP(C10,Меню!$A$2:$C$24,2,FALSE())</f>
        <v>Пицца Капричиоза</v>
      </c>
      <c r="F10" s="1" t="n">
        <f aca="false">VLOOKUP(C10,Меню!$A$2:$C$24,3,FALSE())</f>
        <v>570</v>
      </c>
      <c r="G10" s="5" t="n">
        <f aca="false">VLOOKUP(B10,Заказы!$A$2:$E$2995,2,FALSE())</f>
        <v>44014</v>
      </c>
      <c r="H10" s="1" t="n">
        <f aca="false">VLOOKUP(B10,Заказы!$A$2:$E$2995,3,FALSE())</f>
        <v>719</v>
      </c>
      <c r="I10" s="1" t="str">
        <f aca="false">VLOOKUP(H10,Клиенты!$A$2:$E$1995,5,FALSE())</f>
        <v>г. Томмот</v>
      </c>
      <c r="J10" s="1" t="n">
        <f aca="false">VLOOKUP(B10,Заказы!$A$2:$E$2995,4,FALSE())</f>
        <v>485</v>
      </c>
      <c r="K10" s="1" t="str">
        <f aca="false">VLOOKUP(B10,Заказы!$A$2:$E$2995,5,FALSE())</f>
        <v>Выполнено</v>
      </c>
      <c r="L10" s="1" t="n">
        <f aca="false">D10*F10+J10</f>
        <v>5045</v>
      </c>
      <c r="M10" s="1" t="n">
        <f aca="false">IF(AND(E10="Пицца Труслейка",I10="г. Москва",K10="Выполнено",G10&gt;=DATE(2020,7,1),G10&lt;DATE(2020,8,1)),L10,0)</f>
        <v>0</v>
      </c>
    </row>
    <row r="11" customFormat="false" ht="15" hidden="false" customHeight="true" outlineLevel="0" collapsed="false">
      <c r="A11" s="1" t="n">
        <v>101131</v>
      </c>
      <c r="B11" s="1" t="n">
        <v>51681</v>
      </c>
      <c r="C11" s="1" t="n">
        <v>4</v>
      </c>
      <c r="D11" s="1" t="n">
        <v>4</v>
      </c>
      <c r="E11" s="1" t="str">
        <f aca="false">VLOOKUP(C11,Меню!$A$2:$C$24,2,FALSE())</f>
        <v>Пицца Труслейка</v>
      </c>
      <c r="F11" s="1" t="n">
        <f aca="false">VLOOKUP(C11,Меню!$A$2:$C$24,3,FALSE())</f>
        <v>610</v>
      </c>
      <c r="G11" s="5" t="n">
        <f aca="false">VLOOKUP(B11,Заказы!$A$2:$E$2995,2,FALSE())</f>
        <v>44028</v>
      </c>
      <c r="H11" s="1" t="n">
        <f aca="false">VLOOKUP(B11,Заказы!$A$2:$E$2995,3,FALSE())</f>
        <v>1349</v>
      </c>
      <c r="I11" s="1" t="str">
        <f aca="false">VLOOKUP(H11,Клиенты!$A$2:$E$1995,5,FALSE())</f>
        <v>г. Москва</v>
      </c>
      <c r="J11" s="1" t="n">
        <f aca="false">VLOOKUP(B11,Заказы!$A$2:$E$2995,4,FALSE())</f>
        <v>0</v>
      </c>
      <c r="K11" s="1" t="str">
        <f aca="false">VLOOKUP(B11,Заказы!$A$2:$E$2995,5,FALSE())</f>
        <v>Не выполнено</v>
      </c>
      <c r="L11" s="1" t="n">
        <f aca="false">D11*F11+J11</f>
        <v>2440</v>
      </c>
      <c r="M11" s="1" t="n">
        <f aca="false">IF(AND(E11="Пицца Труслейка",I11="г. Москва",K11="Выполнено",G11&gt;=DATE(2020,7,1),G11&lt;DATE(2020,8,1)),L11,0)</f>
        <v>0</v>
      </c>
    </row>
    <row r="12" customFormat="false" ht="15" hidden="false" customHeight="true" outlineLevel="0" collapsed="false">
      <c r="A12" s="1" t="n">
        <v>101577</v>
      </c>
      <c r="B12" s="1" t="n">
        <v>50053</v>
      </c>
      <c r="C12" s="1" t="n">
        <v>3</v>
      </c>
      <c r="D12" s="1" t="n">
        <v>1</v>
      </c>
      <c r="E12" s="1" t="str">
        <f aca="false">VLOOKUP(C12,Меню!$A$2:$C$24,2,FALSE())</f>
        <v>Пицца Диабло</v>
      </c>
      <c r="F12" s="1" t="n">
        <f aca="false">VLOOKUP(C12,Меню!$A$2:$C$24,3,FALSE())</f>
        <v>590</v>
      </c>
      <c r="G12" s="5" t="n">
        <f aca="false">VLOOKUP(B12,Заказы!$A$2:$E$2995,2,FALSE())</f>
        <v>44031</v>
      </c>
      <c r="H12" s="1" t="n">
        <f aca="false">VLOOKUP(B12,Заказы!$A$2:$E$2995,3,FALSE())</f>
        <v>1797</v>
      </c>
      <c r="I12" s="1" t="str">
        <f aca="false">VLOOKUP(H12,Клиенты!$A$2:$E$1995,5,FALSE())</f>
        <v>г. Северо-Курильск</v>
      </c>
      <c r="J12" s="1" t="n">
        <f aca="false">VLOOKUP(B12,Заказы!$A$2:$E$2995,4,FALSE())</f>
        <v>143</v>
      </c>
      <c r="K12" s="1" t="str">
        <f aca="false">VLOOKUP(B12,Заказы!$A$2:$E$2995,5,FALSE())</f>
        <v>Выполнено</v>
      </c>
      <c r="L12" s="1" t="n">
        <f aca="false">D12*F12+J12</f>
        <v>733</v>
      </c>
      <c r="M12" s="1" t="n">
        <f aca="false">IF(AND(E12="Пицца Труслейка",I12="г. Москва",K12="Выполнено",G12&gt;=DATE(2020,7,1),G12&lt;DATE(2020,8,1)),L12,0)</f>
        <v>0</v>
      </c>
    </row>
    <row r="13" customFormat="false" ht="15" hidden="false" customHeight="true" outlineLevel="0" collapsed="false">
      <c r="A13" s="1" t="n">
        <v>101743</v>
      </c>
      <c r="B13" s="1" t="n">
        <v>51525</v>
      </c>
      <c r="C13" s="1" t="n">
        <v>21</v>
      </c>
      <c r="D13" s="1" t="n">
        <v>3</v>
      </c>
      <c r="E13" s="1" t="str">
        <f aca="false">VLOOKUP(C13,Меню!$A$2:$C$24,2,FALSE())</f>
        <v>Пицца с креветками и цукини</v>
      </c>
      <c r="F13" s="1" t="n">
        <f aca="false">VLOOKUP(C13,Меню!$A$2:$C$24,3,FALSE())</f>
        <v>600</v>
      </c>
      <c r="G13" s="5" t="n">
        <f aca="false">VLOOKUP(B13,Заказы!$A$2:$E$2995,2,FALSE())</f>
        <v>44062</v>
      </c>
      <c r="H13" s="1" t="n">
        <f aca="false">VLOOKUP(B13,Заказы!$A$2:$E$2995,3,FALSE())</f>
        <v>26</v>
      </c>
      <c r="I13" s="1" t="str">
        <f aca="false">VLOOKUP(H13,Клиенты!$A$2:$E$1995,5,FALSE())</f>
        <v>г. Киреевск</v>
      </c>
      <c r="J13" s="1" t="n">
        <f aca="false">VLOOKUP(B13,Заказы!$A$2:$E$2995,4,FALSE())</f>
        <v>596</v>
      </c>
      <c r="K13" s="1" t="str">
        <f aca="false">VLOOKUP(B13,Заказы!$A$2:$E$2995,5,FALSE())</f>
        <v>Выполнено</v>
      </c>
      <c r="L13" s="1" t="n">
        <f aca="false">D13*F13+J13</f>
        <v>2396</v>
      </c>
      <c r="M13" s="1" t="n">
        <f aca="false">IF(AND(E13="Пицца Труслейка",I13="г. Москва",K13="Выполнено",G13&gt;=DATE(2020,7,1),G13&lt;DATE(2020,8,1)),L13,0)</f>
        <v>0</v>
      </c>
    </row>
    <row r="14" customFormat="false" ht="15" hidden="false" customHeight="true" outlineLevel="0" collapsed="false">
      <c r="A14" s="1" t="n">
        <v>101326</v>
      </c>
      <c r="B14" s="1" t="n">
        <v>50424</v>
      </c>
      <c r="C14" s="1" t="n">
        <v>15</v>
      </c>
      <c r="D14" s="1" t="n">
        <v>8</v>
      </c>
      <c r="E14" s="1" t="str">
        <f aca="false">VLOOKUP(C14,Меню!$A$2:$C$24,2,FALSE())</f>
        <v>Пицца Тропиканка</v>
      </c>
      <c r="F14" s="1" t="n">
        <f aca="false">VLOOKUP(C14,Меню!$A$2:$C$24,3,FALSE())</f>
        <v>605</v>
      </c>
      <c r="G14" s="5" t="n">
        <f aca="false">VLOOKUP(B14,Заказы!$A$2:$E$2995,2,FALSE())</f>
        <v>44058</v>
      </c>
      <c r="H14" s="1" t="n">
        <f aca="false">VLOOKUP(B14,Заказы!$A$2:$E$2995,3,FALSE())</f>
        <v>222</v>
      </c>
      <c r="I14" s="1" t="str">
        <f aca="false">VLOOKUP(H14,Клиенты!$A$2:$E$1995,5,FALSE())</f>
        <v>г. Хотьково</v>
      </c>
      <c r="J14" s="1" t="n">
        <f aca="false">VLOOKUP(B14,Заказы!$A$2:$E$2995,4,FALSE())</f>
        <v>692</v>
      </c>
      <c r="K14" s="1" t="str">
        <f aca="false">VLOOKUP(B14,Заказы!$A$2:$E$2995,5,FALSE())</f>
        <v>Выполнено</v>
      </c>
      <c r="L14" s="1" t="n">
        <f aca="false">D14*F14+J14</f>
        <v>5532</v>
      </c>
      <c r="M14" s="1" t="n">
        <f aca="false">IF(AND(E14="Пицца Труслейка",I14="г. Москва",K14="Выполнено",G14&gt;=DATE(2020,7,1),G14&lt;DATE(2020,8,1)),L14,0)</f>
        <v>0</v>
      </c>
    </row>
    <row r="15" customFormat="false" ht="15" hidden="false" customHeight="true" outlineLevel="0" collapsed="false">
      <c r="A15" s="1" t="n">
        <v>100840</v>
      </c>
      <c r="B15" s="1" t="n">
        <v>50783</v>
      </c>
      <c r="C15" s="1" t="n">
        <v>9</v>
      </c>
      <c r="D15" s="1" t="n">
        <v>5</v>
      </c>
      <c r="E15" s="1" t="str">
        <f aca="false">VLOOKUP(C15,Меню!$A$2:$C$24,2,FALSE())</f>
        <v>Пицца Острая с беконом</v>
      </c>
      <c r="F15" s="1" t="n">
        <f aca="false">VLOOKUP(C15,Меню!$A$2:$C$24,3,FALSE())</f>
        <v>540</v>
      </c>
      <c r="G15" s="5" t="n">
        <f aca="false">VLOOKUP(B15,Заказы!$A$2:$E$2995,2,FALSE())</f>
        <v>44017</v>
      </c>
      <c r="H15" s="1" t="n">
        <f aca="false">VLOOKUP(B15,Заказы!$A$2:$E$2995,3,FALSE())</f>
        <v>898</v>
      </c>
      <c r="I15" s="1" t="str">
        <f aca="false">VLOOKUP(H15,Клиенты!$A$2:$E$1995,5,FALSE())</f>
        <v>г. Ефремов</v>
      </c>
      <c r="J15" s="1" t="n">
        <f aca="false">VLOOKUP(B15,Заказы!$A$2:$E$2995,4,FALSE())</f>
        <v>448</v>
      </c>
      <c r="K15" s="1" t="str">
        <f aca="false">VLOOKUP(B15,Заказы!$A$2:$E$2995,5,FALSE())</f>
        <v>Выполнено</v>
      </c>
      <c r="L15" s="1" t="n">
        <f aca="false">D15*F15+J15</f>
        <v>3148</v>
      </c>
      <c r="M15" s="1" t="n">
        <f aca="false">IF(AND(E15="Пицца Труслейка",I15="г. Москва",K15="Выполнено",G15&gt;=DATE(2020,7,1),G15&lt;DATE(2020,8,1)),L15,0)</f>
        <v>0</v>
      </c>
    </row>
    <row r="16" customFormat="false" ht="15" hidden="false" customHeight="true" outlineLevel="0" collapsed="false">
      <c r="A16" s="1" t="n">
        <v>100996</v>
      </c>
      <c r="B16" s="1" t="n">
        <v>50748</v>
      </c>
      <c r="C16" s="1" t="n">
        <v>17</v>
      </c>
      <c r="D16" s="1" t="n">
        <v>10</v>
      </c>
      <c r="E16" s="1" t="str">
        <f aca="false">VLOOKUP(C16,Меню!$A$2:$C$24,2,FALSE())</f>
        <v>Пицца Френч Фрайз</v>
      </c>
      <c r="F16" s="1" t="n">
        <f aca="false">VLOOKUP(C16,Меню!$A$2:$C$24,3,FALSE())</f>
        <v>515</v>
      </c>
      <c r="G16" s="5" t="n">
        <f aca="false">VLOOKUP(B16,Заказы!$A$2:$E$2995,2,FALSE())</f>
        <v>44008</v>
      </c>
      <c r="H16" s="1" t="n">
        <f aca="false">VLOOKUP(B16,Заказы!$A$2:$E$2995,3,FALSE())</f>
        <v>953</v>
      </c>
      <c r="I16" s="1" t="str">
        <f aca="false">VLOOKUP(H16,Клиенты!$A$2:$E$1995,5,FALSE())</f>
        <v>г. Киржач</v>
      </c>
      <c r="J16" s="1" t="n">
        <f aca="false">VLOOKUP(B16,Заказы!$A$2:$E$2995,4,FALSE())</f>
        <v>0</v>
      </c>
      <c r="K16" s="1" t="str">
        <f aca="false">VLOOKUP(B16,Заказы!$A$2:$E$2995,5,FALSE())</f>
        <v>Не выполнено</v>
      </c>
      <c r="L16" s="1" t="n">
        <f aca="false">D16*F16+J16</f>
        <v>5150</v>
      </c>
      <c r="M16" s="1" t="n">
        <f aca="false">IF(AND(E16="Пицца Труслейка",I16="г. Москва",K16="Выполнено",G16&gt;=DATE(2020,7,1),G16&lt;DATE(2020,8,1)),L16,0)</f>
        <v>0</v>
      </c>
    </row>
    <row r="17" customFormat="false" ht="15" hidden="false" customHeight="true" outlineLevel="0" collapsed="false">
      <c r="A17" s="1" t="n">
        <v>101667</v>
      </c>
      <c r="B17" s="1" t="n">
        <v>51702</v>
      </c>
      <c r="C17" s="1" t="n">
        <v>4</v>
      </c>
      <c r="D17" s="1" t="n">
        <v>3</v>
      </c>
      <c r="E17" s="1" t="str">
        <f aca="false">VLOOKUP(C17,Меню!$A$2:$C$24,2,FALSE())</f>
        <v>Пицца Труслейка</v>
      </c>
      <c r="F17" s="1" t="n">
        <f aca="false">VLOOKUP(C17,Меню!$A$2:$C$24,3,FALSE())</f>
        <v>610</v>
      </c>
      <c r="G17" s="5" t="n">
        <f aca="false">VLOOKUP(B17,Заказы!$A$2:$E$2995,2,FALSE())</f>
        <v>44064</v>
      </c>
      <c r="H17" s="1" t="n">
        <f aca="false">VLOOKUP(B17,Заказы!$A$2:$E$2995,3,FALSE())</f>
        <v>1919</v>
      </c>
      <c r="I17" s="1" t="str">
        <f aca="false">VLOOKUP(H17,Клиенты!$A$2:$E$1995,5,FALSE())</f>
        <v>г. Москва</v>
      </c>
      <c r="J17" s="1" t="n">
        <f aca="false">VLOOKUP(B17,Заказы!$A$2:$E$2995,4,FALSE())</f>
        <v>324</v>
      </c>
      <c r="K17" s="1" t="str">
        <f aca="false">VLOOKUP(B17,Заказы!$A$2:$E$2995,5,FALSE())</f>
        <v>Выполнено</v>
      </c>
      <c r="L17" s="1" t="n">
        <f aca="false">D17*F17+J17</f>
        <v>2154</v>
      </c>
      <c r="M17" s="1" t="n">
        <f aca="false">IF(AND(E17="Пицца Труслейка",I17="г. Москва",K17="Выполнено",G17&gt;=DATE(2020,7,1),G17&lt;DATE(2020,8,1)),L17,0)</f>
        <v>0</v>
      </c>
    </row>
    <row r="18" customFormat="false" ht="15" hidden="false" customHeight="true" outlineLevel="0" collapsed="false">
      <c r="A18" s="1" t="n">
        <v>101158</v>
      </c>
      <c r="B18" s="1" t="n">
        <v>50306</v>
      </c>
      <c r="C18" s="1" t="n">
        <v>2</v>
      </c>
      <c r="D18" s="1" t="n">
        <v>1</v>
      </c>
      <c r="E18" s="1" t="str">
        <f aca="false">VLOOKUP(C18,Меню!$A$2:$C$24,2,FALSE())</f>
        <v>Пицца Двойная пепперони</v>
      </c>
      <c r="F18" s="1" t="n">
        <f aca="false">VLOOKUP(C18,Меню!$A$2:$C$24,3,FALSE())</f>
        <v>575</v>
      </c>
      <c r="G18" s="5" t="n">
        <f aca="false">VLOOKUP(B18,Заказы!$A$2:$E$2995,2,FALSE())</f>
        <v>44046</v>
      </c>
      <c r="H18" s="1" t="n">
        <f aca="false">VLOOKUP(B18,Заказы!$A$2:$E$2995,3,FALSE())</f>
        <v>722</v>
      </c>
      <c r="I18" s="1" t="str">
        <f aca="false">VLOOKUP(H18,Клиенты!$A$2:$E$1995,5,FALSE())</f>
        <v>г. Сельцо</v>
      </c>
      <c r="J18" s="1" t="n">
        <f aca="false">VLOOKUP(B18,Заказы!$A$2:$E$2995,4,FALSE())</f>
        <v>590</v>
      </c>
      <c r="K18" s="1" t="str">
        <f aca="false">VLOOKUP(B18,Заказы!$A$2:$E$2995,5,FALSE())</f>
        <v>Выполнено</v>
      </c>
      <c r="L18" s="1" t="n">
        <f aca="false">D18*F18+J18</f>
        <v>1165</v>
      </c>
      <c r="M18" s="1" t="n">
        <f aca="false">IF(AND(E18="Пицца Труслейка",I18="г. Москва",K18="Выполнено",G18&gt;=DATE(2020,7,1),G18&lt;DATE(2020,8,1)),L18,0)</f>
        <v>0</v>
      </c>
    </row>
    <row r="19" customFormat="false" ht="15" hidden="false" customHeight="true" outlineLevel="0" collapsed="false">
      <c r="A19" s="1" t="n">
        <v>101604</v>
      </c>
      <c r="B19" s="1" t="n">
        <v>50042</v>
      </c>
      <c r="C19" s="1" t="n">
        <v>19</v>
      </c>
      <c r="D19" s="1" t="n">
        <v>1</v>
      </c>
      <c r="E19" s="1" t="str">
        <f aca="false">VLOOKUP(C19,Меню!$A$2:$C$24,2,FALSE())</f>
        <v>Пицца Цезарь</v>
      </c>
      <c r="F19" s="1" t="n">
        <f aca="false">VLOOKUP(C19,Меню!$A$2:$C$24,3,FALSE())</f>
        <v>630</v>
      </c>
      <c r="G19" s="5" t="n">
        <f aca="false">VLOOKUP(B19,Заказы!$A$2:$E$2995,2,FALSE())</f>
        <v>44062</v>
      </c>
      <c r="H19" s="1" t="n">
        <f aca="false">VLOOKUP(B19,Заказы!$A$2:$E$2995,3,FALSE())</f>
        <v>1104</v>
      </c>
      <c r="I19" s="1" t="str">
        <f aca="false">VLOOKUP(H19,Клиенты!$A$2:$E$1995,5,FALSE())</f>
        <v>г. Ростов-на-Дону</v>
      </c>
      <c r="J19" s="1" t="n">
        <f aca="false">VLOOKUP(B19,Заказы!$A$2:$E$2995,4,FALSE())</f>
        <v>308</v>
      </c>
      <c r="K19" s="1" t="str">
        <f aca="false">VLOOKUP(B19,Заказы!$A$2:$E$2995,5,FALSE())</f>
        <v>Выполнено</v>
      </c>
      <c r="L19" s="1" t="n">
        <f aca="false">D19*F19+J19</f>
        <v>938</v>
      </c>
      <c r="M19" s="1" t="n">
        <f aca="false">IF(AND(E19="Пицца Труслейка",I19="г. Москва",K19="Выполнено",G19&gt;=DATE(2020,7,1),G19&lt;DATE(2020,8,1)),L19,0)</f>
        <v>0</v>
      </c>
    </row>
    <row r="20" customFormat="false" ht="15" hidden="false" customHeight="true" outlineLevel="0" collapsed="false">
      <c r="A20" s="1" t="n">
        <v>101302</v>
      </c>
      <c r="B20" s="1" t="n">
        <v>51450</v>
      </c>
      <c r="C20" s="1" t="n">
        <v>17</v>
      </c>
      <c r="D20" s="1" t="n">
        <v>1</v>
      </c>
      <c r="E20" s="1" t="str">
        <f aca="false">VLOOKUP(C20,Меню!$A$2:$C$24,2,FALSE())</f>
        <v>Пицца Френч Фрайз</v>
      </c>
      <c r="F20" s="1" t="n">
        <f aca="false">VLOOKUP(C20,Меню!$A$2:$C$24,3,FALSE())</f>
        <v>515</v>
      </c>
      <c r="G20" s="5" t="n">
        <f aca="false">VLOOKUP(B20,Заказы!$A$2:$E$2995,2,FALSE())</f>
        <v>44069</v>
      </c>
      <c r="H20" s="1" t="n">
        <f aca="false">VLOOKUP(B20,Заказы!$A$2:$E$2995,3,FALSE())</f>
        <v>710</v>
      </c>
      <c r="I20" s="1" t="str">
        <f aca="false">VLOOKUP(H20,Клиенты!$A$2:$E$1995,5,FALSE())</f>
        <v>г. Москва</v>
      </c>
      <c r="J20" s="1" t="n">
        <f aca="false">VLOOKUP(B20,Заказы!$A$2:$E$2995,4,FALSE())</f>
        <v>0</v>
      </c>
      <c r="K20" s="1" t="str">
        <f aca="false">VLOOKUP(B20,Заказы!$A$2:$E$2995,5,FALSE())</f>
        <v>Не выполнено</v>
      </c>
      <c r="L20" s="1" t="n">
        <f aca="false">D20*F20+J20</f>
        <v>515</v>
      </c>
      <c r="M20" s="1" t="n">
        <f aca="false">IF(AND(E20="Пицца Труслейка",I20="г. Москва",K20="Выполнено",G20&gt;=DATE(2020,7,1),G20&lt;DATE(2020,8,1)),L20,0)</f>
        <v>0</v>
      </c>
    </row>
    <row r="21" customFormat="false" ht="15" hidden="false" customHeight="true" outlineLevel="0" collapsed="false">
      <c r="A21" s="1" t="n">
        <v>100474</v>
      </c>
      <c r="B21" s="1" t="n">
        <v>51567</v>
      </c>
      <c r="C21" s="1" t="n">
        <v>4</v>
      </c>
      <c r="D21" s="1" t="n">
        <v>7</v>
      </c>
      <c r="E21" s="1" t="str">
        <f aca="false">VLOOKUP(C21,Меню!$A$2:$C$24,2,FALSE())</f>
        <v>Пицца Труслейка</v>
      </c>
      <c r="F21" s="1" t="n">
        <f aca="false">VLOOKUP(C21,Меню!$A$2:$C$24,3,FALSE())</f>
        <v>610</v>
      </c>
      <c r="G21" s="5" t="n">
        <f aca="false">VLOOKUP(B21,Заказы!$A$2:$E$2995,2,FALSE())</f>
        <v>44055</v>
      </c>
      <c r="H21" s="1" t="n">
        <f aca="false">VLOOKUP(B21,Заказы!$A$2:$E$2995,3,FALSE())</f>
        <v>140</v>
      </c>
      <c r="I21" s="1" t="str">
        <f aca="false">VLOOKUP(H21,Клиенты!$A$2:$E$1995,5,FALSE())</f>
        <v>г. Москва</v>
      </c>
      <c r="J21" s="1" t="n">
        <f aca="false">VLOOKUP(B21,Заказы!$A$2:$E$2995,4,FALSE())</f>
        <v>202</v>
      </c>
      <c r="K21" s="1" t="str">
        <f aca="false">VLOOKUP(B21,Заказы!$A$2:$E$2995,5,FALSE())</f>
        <v>Выполнено</v>
      </c>
      <c r="L21" s="1" t="n">
        <f aca="false">D21*F21+J21</f>
        <v>4472</v>
      </c>
      <c r="M21" s="1" t="n">
        <f aca="false">IF(AND(E21="Пицца Труслейка",I21="г. Москва",K21="Выполнено",G21&gt;=DATE(2020,7,1),G21&lt;DATE(2020,8,1)),L21,0)</f>
        <v>0</v>
      </c>
    </row>
    <row r="22" customFormat="false" ht="15" hidden="false" customHeight="true" outlineLevel="0" collapsed="false">
      <c r="A22" s="1" t="n">
        <v>101541</v>
      </c>
      <c r="B22" s="1" t="n">
        <v>50845</v>
      </c>
      <c r="C22" s="1" t="n">
        <v>4</v>
      </c>
      <c r="D22" s="1" t="n">
        <v>10</v>
      </c>
      <c r="E22" s="1" t="str">
        <f aca="false">VLOOKUP(C22,Меню!$A$2:$C$24,2,FALSE())</f>
        <v>Пицца Труслейка</v>
      </c>
      <c r="F22" s="1" t="n">
        <f aca="false">VLOOKUP(C22,Меню!$A$2:$C$24,3,FALSE())</f>
        <v>610</v>
      </c>
      <c r="G22" s="5" t="n">
        <f aca="false">VLOOKUP(B22,Заказы!$A$2:$E$2995,2,FALSE())</f>
        <v>43998</v>
      </c>
      <c r="H22" s="1" t="n">
        <f aca="false">VLOOKUP(B22,Заказы!$A$2:$E$2995,3,FALSE())</f>
        <v>1049</v>
      </c>
      <c r="I22" s="1" t="str">
        <f aca="false">VLOOKUP(H22,Клиенты!$A$2:$E$1995,5,FALSE())</f>
        <v>г. Барнаул</v>
      </c>
      <c r="J22" s="1" t="n">
        <f aca="false">VLOOKUP(B22,Заказы!$A$2:$E$2995,4,FALSE())</f>
        <v>228</v>
      </c>
      <c r="K22" s="1" t="str">
        <f aca="false">VLOOKUP(B22,Заказы!$A$2:$E$2995,5,FALSE())</f>
        <v>Выполнено</v>
      </c>
      <c r="L22" s="1" t="n">
        <f aca="false">D22*F22+J22</f>
        <v>6328</v>
      </c>
      <c r="M22" s="1" t="n">
        <f aca="false">IF(AND(E22="Пицца Труслейка",I22="г. Москва",K22="Выполнено",G22&gt;=DATE(2020,7,1),G22&lt;DATE(2020,8,1)),L22,0)</f>
        <v>0</v>
      </c>
    </row>
    <row r="23" customFormat="false" ht="15" hidden="false" customHeight="true" outlineLevel="0" collapsed="false">
      <c r="A23" s="1" t="n">
        <v>100679</v>
      </c>
      <c r="B23" s="1" t="n">
        <v>50785</v>
      </c>
      <c r="C23" s="1" t="n">
        <v>5</v>
      </c>
      <c r="D23" s="1" t="n">
        <v>8</v>
      </c>
      <c r="E23" s="1" t="str">
        <f aca="false">VLOOKUP(C23,Меню!$A$2:$C$24,2,FALSE())</f>
        <v>Пицца Жюльен</v>
      </c>
      <c r="F23" s="1" t="n">
        <f aca="false">VLOOKUP(C23,Меню!$A$2:$C$24,3,FALSE())</f>
        <v>580</v>
      </c>
      <c r="G23" s="5" t="n">
        <f aca="false">VLOOKUP(B23,Заказы!$A$2:$E$2995,2,FALSE())</f>
        <v>44050</v>
      </c>
      <c r="H23" s="1" t="n">
        <f aca="false">VLOOKUP(B23,Заказы!$A$2:$E$2995,3,FALSE())</f>
        <v>873</v>
      </c>
      <c r="I23" s="1" t="str">
        <f aca="false">VLOOKUP(H23,Клиенты!$A$2:$E$1995,5,FALSE())</f>
        <v>г. Петрозаводск</v>
      </c>
      <c r="J23" s="1" t="n">
        <f aca="false">VLOOKUP(B23,Заказы!$A$2:$E$2995,4,FALSE())</f>
        <v>239</v>
      </c>
      <c r="K23" s="1" t="str">
        <f aca="false">VLOOKUP(B23,Заказы!$A$2:$E$2995,5,FALSE())</f>
        <v>Выполнено</v>
      </c>
      <c r="L23" s="1" t="n">
        <f aca="false">D23*F23+J23</f>
        <v>4879</v>
      </c>
      <c r="M23" s="1" t="n">
        <f aca="false">IF(AND(E23="Пицца Труслейка",I23="г. Москва",K23="Выполнено",G23&gt;=DATE(2020,7,1),G23&lt;DATE(2020,8,1)),L23,0)</f>
        <v>0</v>
      </c>
    </row>
    <row r="24" customFormat="false" ht="15" hidden="false" customHeight="true" outlineLevel="0" collapsed="false">
      <c r="A24" s="1" t="n">
        <v>101712</v>
      </c>
      <c r="B24" s="1" t="n">
        <v>50642</v>
      </c>
      <c r="C24" s="1" t="n">
        <v>9</v>
      </c>
      <c r="D24" s="1" t="n">
        <v>1</v>
      </c>
      <c r="E24" s="1" t="str">
        <f aca="false">VLOOKUP(C24,Меню!$A$2:$C$24,2,FALSE())</f>
        <v>Пицца Острая с беконом</v>
      </c>
      <c r="F24" s="1" t="n">
        <f aca="false">VLOOKUP(C24,Меню!$A$2:$C$24,3,FALSE())</f>
        <v>540</v>
      </c>
      <c r="G24" s="5" t="n">
        <f aca="false">VLOOKUP(B24,Заказы!$A$2:$E$2995,2,FALSE())</f>
        <v>44041</v>
      </c>
      <c r="H24" s="1" t="n">
        <f aca="false">VLOOKUP(B24,Заказы!$A$2:$E$2995,3,FALSE())</f>
        <v>1262</v>
      </c>
      <c r="I24" s="1" t="str">
        <f aca="false">VLOOKUP(H24,Клиенты!$A$2:$E$1995,5,FALSE())</f>
        <v>г. Костерёво</v>
      </c>
      <c r="J24" s="1" t="n">
        <f aca="false">VLOOKUP(B24,Заказы!$A$2:$E$2995,4,FALSE())</f>
        <v>0</v>
      </c>
      <c r="K24" s="1" t="str">
        <f aca="false">VLOOKUP(B24,Заказы!$A$2:$E$2995,5,FALSE())</f>
        <v>Не выполнено</v>
      </c>
      <c r="L24" s="1" t="n">
        <f aca="false">D24*F24+J24</f>
        <v>540</v>
      </c>
      <c r="M24" s="1" t="n">
        <f aca="false">IF(AND(E24="Пицца Труслейка",I24="г. Москва",K24="Выполнено",G24&gt;=DATE(2020,7,1),G24&lt;DATE(2020,8,1)),L24,0)</f>
        <v>0</v>
      </c>
    </row>
    <row r="25" customFormat="false" ht="15" hidden="false" customHeight="true" outlineLevel="0" collapsed="false">
      <c r="A25" s="1" t="n">
        <v>100964</v>
      </c>
      <c r="B25" s="1" t="n">
        <v>50210</v>
      </c>
      <c r="C25" s="1" t="n">
        <v>17</v>
      </c>
      <c r="D25" s="1" t="n">
        <v>7</v>
      </c>
      <c r="E25" s="1" t="str">
        <f aca="false">VLOOKUP(C25,Меню!$A$2:$C$24,2,FALSE())</f>
        <v>Пицца Френч Фрайз</v>
      </c>
      <c r="F25" s="1" t="n">
        <f aca="false">VLOOKUP(C25,Меню!$A$2:$C$24,3,FALSE())</f>
        <v>515</v>
      </c>
      <c r="G25" s="5" t="n">
        <f aca="false">VLOOKUP(B25,Заказы!$A$2:$E$2995,2,FALSE())</f>
        <v>44034</v>
      </c>
      <c r="H25" s="1" t="n">
        <f aca="false">VLOOKUP(B25,Заказы!$A$2:$E$2995,3,FALSE())</f>
        <v>1357</v>
      </c>
      <c r="I25" s="1" t="str">
        <f aca="false">VLOOKUP(H25,Клиенты!$A$2:$E$1995,5,FALSE())</f>
        <v>г. Пущино</v>
      </c>
      <c r="J25" s="1" t="n">
        <f aca="false">VLOOKUP(B25,Заказы!$A$2:$E$2995,4,FALSE())</f>
        <v>0</v>
      </c>
      <c r="K25" s="1" t="str">
        <f aca="false">VLOOKUP(B25,Заказы!$A$2:$E$2995,5,FALSE())</f>
        <v>Не выполнено</v>
      </c>
      <c r="L25" s="1" t="n">
        <f aca="false">D25*F25+J25</f>
        <v>3605</v>
      </c>
      <c r="M25" s="1" t="n">
        <f aca="false">IF(AND(E25="Пицца Труслейка",I25="г. Москва",K25="Выполнено",G25&gt;=DATE(2020,7,1),G25&lt;DATE(2020,8,1)),L25,0)</f>
        <v>0</v>
      </c>
    </row>
    <row r="26" customFormat="false" ht="15" hidden="false" customHeight="true" outlineLevel="0" collapsed="false">
      <c r="A26" s="1" t="n">
        <v>100348</v>
      </c>
      <c r="B26" s="1" t="n">
        <v>50856</v>
      </c>
      <c r="C26" s="1" t="n">
        <v>23</v>
      </c>
      <c r="D26" s="1" t="n">
        <v>1</v>
      </c>
      <c r="E26" s="1" t="str">
        <f aca="false">VLOOKUP(C26,Меню!$A$2:$C$24,2,FALSE())</f>
        <v>Пицца с тунцом</v>
      </c>
      <c r="F26" s="1" t="n">
        <f aca="false">VLOOKUP(C26,Меню!$A$2:$C$24,3,FALSE())</f>
        <v>520</v>
      </c>
      <c r="G26" s="5" t="n">
        <f aca="false">VLOOKUP(B26,Заказы!$A$2:$E$2995,2,FALSE())</f>
        <v>44009</v>
      </c>
      <c r="H26" s="1" t="n">
        <f aca="false">VLOOKUP(B26,Заказы!$A$2:$E$2995,3,FALSE())</f>
        <v>906</v>
      </c>
      <c r="I26" s="1" t="str">
        <f aca="false">VLOOKUP(H26,Клиенты!$A$2:$E$1995,5,FALSE())</f>
        <v>г. Нарьян-Мар</v>
      </c>
      <c r="J26" s="1" t="n">
        <f aca="false">VLOOKUP(B26,Заказы!$A$2:$E$2995,4,FALSE())</f>
        <v>455</v>
      </c>
      <c r="K26" s="1" t="str">
        <f aca="false">VLOOKUP(B26,Заказы!$A$2:$E$2995,5,FALSE())</f>
        <v>Выполнено</v>
      </c>
      <c r="L26" s="1" t="n">
        <f aca="false">D26*F26+J26</f>
        <v>975</v>
      </c>
      <c r="M26" s="1" t="n">
        <f aca="false">IF(AND(E26="Пицца Труслейка",I26="г. Москва",K26="Выполнено",G26&gt;=DATE(2020,7,1),G26&lt;DATE(2020,8,1)),L26,0)</f>
        <v>0</v>
      </c>
    </row>
    <row r="27" customFormat="false" ht="15" hidden="false" customHeight="true" outlineLevel="0" collapsed="false">
      <c r="A27" s="1" t="n">
        <v>100396</v>
      </c>
      <c r="B27" s="1" t="n">
        <v>51389</v>
      </c>
      <c r="C27" s="1" t="n">
        <v>8</v>
      </c>
      <c r="D27" s="1" t="n">
        <v>4</v>
      </c>
      <c r="E27" s="1" t="str">
        <f aca="false">VLOOKUP(C27,Меню!$A$2:$C$24,2,FALSE())</f>
        <v>Пицца Мясная</v>
      </c>
      <c r="F27" s="1" t="n">
        <f aca="false">VLOOKUP(C27,Меню!$A$2:$C$24,3,FALSE())</f>
        <v>615</v>
      </c>
      <c r="G27" s="5" t="n">
        <f aca="false">VLOOKUP(B27,Заказы!$A$2:$E$2995,2,FALSE())</f>
        <v>44055</v>
      </c>
      <c r="H27" s="1" t="n">
        <f aca="false">VLOOKUP(B27,Заказы!$A$2:$E$2995,3,FALSE())</f>
        <v>145</v>
      </c>
      <c r="I27" s="1" t="str">
        <f aca="false">VLOOKUP(H27,Клиенты!$A$2:$E$1995,5,FALSE())</f>
        <v>г. Берёзовский</v>
      </c>
      <c r="J27" s="1" t="n">
        <f aca="false">VLOOKUP(B27,Заказы!$A$2:$E$2995,4,FALSE())</f>
        <v>682</v>
      </c>
      <c r="K27" s="1" t="str">
        <f aca="false">VLOOKUP(B27,Заказы!$A$2:$E$2995,5,FALSE())</f>
        <v>Выполнено</v>
      </c>
      <c r="L27" s="1" t="n">
        <f aca="false">D27*F27+J27</f>
        <v>3142</v>
      </c>
      <c r="M27" s="1" t="n">
        <f aca="false">IF(AND(E27="Пицца Труслейка",I27="г. Москва",K27="Выполнено",G27&gt;=DATE(2020,7,1),G27&lt;DATE(2020,8,1)),L27,0)</f>
        <v>0</v>
      </c>
    </row>
    <row r="28" customFormat="false" ht="15" hidden="false" customHeight="true" outlineLevel="0" collapsed="false">
      <c r="A28" s="1" t="n">
        <v>101613</v>
      </c>
      <c r="B28" s="1" t="n">
        <v>50034</v>
      </c>
      <c r="C28" s="1" t="n">
        <v>6</v>
      </c>
      <c r="D28" s="1" t="n">
        <v>6</v>
      </c>
      <c r="E28" s="1" t="str">
        <f aca="false">VLOOKUP(C28,Меню!$A$2:$C$24,2,FALSE())</f>
        <v>Пицца Капричиоза</v>
      </c>
      <c r="F28" s="1" t="n">
        <f aca="false">VLOOKUP(C28,Меню!$A$2:$C$24,3,FALSE())</f>
        <v>570</v>
      </c>
      <c r="G28" s="5" t="n">
        <f aca="false">VLOOKUP(B28,Заказы!$A$2:$E$2995,2,FALSE())</f>
        <v>44066</v>
      </c>
      <c r="H28" s="1" t="n">
        <f aca="false">VLOOKUP(B28,Заказы!$A$2:$E$2995,3,FALSE())</f>
        <v>623</v>
      </c>
      <c r="I28" s="1" t="str">
        <f aca="false">VLOOKUP(H28,Клиенты!$A$2:$E$1995,5,FALSE())</f>
        <v>г. Кореновск</v>
      </c>
      <c r="J28" s="1" t="n">
        <f aca="false">VLOOKUP(B28,Заказы!$A$2:$E$2995,4,FALSE())</f>
        <v>0</v>
      </c>
      <c r="K28" s="1" t="str">
        <f aca="false">VLOOKUP(B28,Заказы!$A$2:$E$2995,5,FALSE())</f>
        <v>Не выполнено</v>
      </c>
      <c r="L28" s="1" t="n">
        <f aca="false">D28*F28+J28</f>
        <v>3420</v>
      </c>
      <c r="M28" s="1" t="n">
        <f aca="false">IF(AND(E28="Пицца Труслейка",I28="г. Москва",K28="Выполнено",G28&gt;=DATE(2020,7,1),G28&lt;DATE(2020,8,1)),L28,0)</f>
        <v>0</v>
      </c>
    </row>
    <row r="29" customFormat="false" ht="15" hidden="false" customHeight="true" outlineLevel="0" collapsed="false">
      <c r="A29" s="1" t="n">
        <v>100838</v>
      </c>
      <c r="B29" s="1" t="n">
        <v>50757</v>
      </c>
      <c r="C29" s="1" t="n">
        <v>2</v>
      </c>
      <c r="D29" s="1" t="n">
        <v>7</v>
      </c>
      <c r="E29" s="1" t="str">
        <f aca="false">VLOOKUP(C29,Меню!$A$2:$C$24,2,FALSE())</f>
        <v>Пицца Двойная пепперони</v>
      </c>
      <c r="F29" s="1" t="n">
        <f aca="false">VLOOKUP(C29,Меню!$A$2:$C$24,3,FALSE())</f>
        <v>575</v>
      </c>
      <c r="G29" s="5" t="n">
        <f aca="false">VLOOKUP(B29,Заказы!$A$2:$E$2995,2,FALSE())</f>
        <v>44051</v>
      </c>
      <c r="H29" s="1" t="n">
        <f aca="false">VLOOKUP(B29,Заказы!$A$2:$E$2995,3,FALSE())</f>
        <v>1553</v>
      </c>
      <c r="I29" s="1" t="str">
        <f aca="false">VLOOKUP(H29,Клиенты!$A$2:$E$1995,5,FALSE())</f>
        <v>г. Нальчик</v>
      </c>
      <c r="J29" s="1" t="n">
        <f aca="false">VLOOKUP(B29,Заказы!$A$2:$E$2995,4,FALSE())</f>
        <v>840</v>
      </c>
      <c r="K29" s="1" t="str">
        <f aca="false">VLOOKUP(B29,Заказы!$A$2:$E$2995,5,FALSE())</f>
        <v>Выполнено</v>
      </c>
      <c r="L29" s="1" t="n">
        <f aca="false">D29*F29+J29</f>
        <v>4865</v>
      </c>
      <c r="M29" s="1" t="n">
        <f aca="false">IF(AND(E29="Пицца Труслейка",I29="г. Москва",K29="Выполнено",G29&gt;=DATE(2020,7,1),G29&lt;DATE(2020,8,1)),L29,0)</f>
        <v>0</v>
      </c>
    </row>
    <row r="30" customFormat="false" ht="15" hidden="false" customHeight="true" outlineLevel="0" collapsed="false">
      <c r="A30" s="1" t="n">
        <v>101097</v>
      </c>
      <c r="B30" s="1" t="n">
        <v>50181</v>
      </c>
      <c r="C30" s="1" t="n">
        <v>16</v>
      </c>
      <c r="D30" s="1" t="n">
        <v>8</v>
      </c>
      <c r="E30" s="1" t="str">
        <f aca="false">VLOOKUP(C30,Меню!$A$2:$C$24,2,FALSE())</f>
        <v>Пицца Флорида</v>
      </c>
      <c r="F30" s="1" t="n">
        <f aca="false">VLOOKUP(C30,Меню!$A$2:$C$24,3,FALSE())</f>
        <v>535</v>
      </c>
      <c r="G30" s="5" t="n">
        <f aca="false">VLOOKUP(B30,Заказы!$A$2:$E$2995,2,FALSE())</f>
        <v>43982</v>
      </c>
      <c r="H30" s="1" t="n">
        <f aca="false">VLOOKUP(B30,Заказы!$A$2:$E$2995,3,FALSE())</f>
        <v>266</v>
      </c>
      <c r="I30" s="1" t="str">
        <f aca="false">VLOOKUP(H30,Клиенты!$A$2:$E$1995,5,FALSE())</f>
        <v>г. Йошкар-Ола</v>
      </c>
      <c r="J30" s="1" t="n">
        <f aca="false">VLOOKUP(B30,Заказы!$A$2:$E$2995,4,FALSE())</f>
        <v>0</v>
      </c>
      <c r="K30" s="1" t="str">
        <f aca="false">VLOOKUP(B30,Заказы!$A$2:$E$2995,5,FALSE())</f>
        <v>Не выполнено</v>
      </c>
      <c r="L30" s="1" t="n">
        <f aca="false">D30*F30+J30</f>
        <v>4280</v>
      </c>
      <c r="M30" s="1" t="n">
        <f aca="false">IF(AND(E30="Пицца Труслейка",I30="г. Москва",K30="Выполнено",G30&gt;=DATE(2020,7,1),G30&lt;DATE(2020,8,1)),L30,0)</f>
        <v>0</v>
      </c>
    </row>
    <row r="31" customFormat="false" ht="15" hidden="false" customHeight="true" outlineLevel="0" collapsed="false">
      <c r="A31" s="1" t="n">
        <v>100299</v>
      </c>
      <c r="B31" s="1" t="n">
        <v>50174</v>
      </c>
      <c r="C31" s="1" t="n">
        <v>4</v>
      </c>
      <c r="D31" s="1" t="n">
        <v>3</v>
      </c>
      <c r="E31" s="1" t="str">
        <f aca="false">VLOOKUP(C31,Меню!$A$2:$C$24,2,FALSE())</f>
        <v>Пицца Труслейка</v>
      </c>
      <c r="F31" s="1" t="n">
        <f aca="false">VLOOKUP(C31,Меню!$A$2:$C$24,3,FALSE())</f>
        <v>610</v>
      </c>
      <c r="G31" s="5" t="n">
        <f aca="false">VLOOKUP(B31,Заказы!$A$2:$E$2995,2,FALSE())</f>
        <v>44020</v>
      </c>
      <c r="H31" s="1" t="n">
        <f aca="false">VLOOKUP(B31,Заказы!$A$2:$E$2995,3,FALSE())</f>
        <v>690</v>
      </c>
      <c r="I31" s="1" t="str">
        <f aca="false">VLOOKUP(H31,Клиенты!$A$2:$E$1995,5,FALSE())</f>
        <v>г. Москва</v>
      </c>
      <c r="J31" s="1" t="n">
        <f aca="false">VLOOKUP(B31,Заказы!$A$2:$E$2995,4,FALSE())</f>
        <v>337</v>
      </c>
      <c r="K31" s="1" t="str">
        <f aca="false">VLOOKUP(B31,Заказы!$A$2:$E$2995,5,FALSE())</f>
        <v>Выполнено</v>
      </c>
      <c r="L31" s="1" t="n">
        <f aca="false">D31*F31+J31</f>
        <v>2167</v>
      </c>
      <c r="M31" s="1" t="n">
        <f aca="false">IF(AND(E31="Пицца Труслейка",I31="г. Москва",K31="Выполнено",G31&gt;=DATE(2020,7,1),G31&lt;DATE(2020,8,1)),L31,0)</f>
        <v>2167</v>
      </c>
    </row>
    <row r="32" customFormat="false" ht="15" hidden="false" customHeight="true" outlineLevel="0" collapsed="false">
      <c r="A32" s="1" t="n">
        <v>101002</v>
      </c>
      <c r="B32" s="1" t="n">
        <v>51822</v>
      </c>
      <c r="C32" s="1" t="n">
        <v>7</v>
      </c>
      <c r="D32" s="1" t="n">
        <v>8</v>
      </c>
      <c r="E32" s="1" t="str">
        <f aca="false">VLOOKUP(C32,Меню!$A$2:$C$24,2,FALSE())</f>
        <v>Пицца Карбонара</v>
      </c>
      <c r="F32" s="1" t="n">
        <f aca="false">VLOOKUP(C32,Меню!$A$2:$C$24,3,FALSE())</f>
        <v>625</v>
      </c>
      <c r="G32" s="5" t="n">
        <f aca="false">VLOOKUP(B32,Заказы!$A$2:$E$2995,2,FALSE())</f>
        <v>43992</v>
      </c>
      <c r="H32" s="1" t="n">
        <f aca="false">VLOOKUP(B32,Заказы!$A$2:$E$2995,3,FALSE())</f>
        <v>1520</v>
      </c>
      <c r="I32" s="1" t="str">
        <f aca="false">VLOOKUP(H32,Клиенты!$A$2:$E$1995,5,FALSE())</f>
        <v>г. Москва</v>
      </c>
      <c r="J32" s="1" t="n">
        <f aca="false">VLOOKUP(B32,Заказы!$A$2:$E$2995,4,FALSE())</f>
        <v>577</v>
      </c>
      <c r="K32" s="1" t="str">
        <f aca="false">VLOOKUP(B32,Заказы!$A$2:$E$2995,5,FALSE())</f>
        <v>Выполнено</v>
      </c>
      <c r="L32" s="1" t="n">
        <f aca="false">D32*F32+J32</f>
        <v>5577</v>
      </c>
      <c r="M32" s="1" t="n">
        <f aca="false">IF(AND(E32="Пицца Труслейка",I32="г. Москва",K32="Выполнено",G32&gt;=DATE(2020,7,1),G32&lt;DATE(2020,8,1)),L32,0)</f>
        <v>0</v>
      </c>
    </row>
    <row r="33" customFormat="false" ht="15" hidden="false" customHeight="true" outlineLevel="0" collapsed="false">
      <c r="A33" s="1" t="n">
        <v>100903</v>
      </c>
      <c r="B33" s="1" t="n">
        <v>50990</v>
      </c>
      <c r="C33" s="1" t="n">
        <v>14</v>
      </c>
      <c r="D33" s="1" t="n">
        <v>3</v>
      </c>
      <c r="E33" s="1" t="str">
        <f aca="false">VLOOKUP(C33,Меню!$A$2:$C$24,2,FALSE())</f>
        <v>Пицца Сырный цыпленок</v>
      </c>
      <c r="F33" s="1" t="n">
        <f aca="false">VLOOKUP(C33,Меню!$A$2:$C$24,3,FALSE())</f>
        <v>555</v>
      </c>
      <c r="G33" s="5" t="n">
        <f aca="false">VLOOKUP(B33,Заказы!$A$2:$E$2995,2,FALSE())</f>
        <v>44041</v>
      </c>
      <c r="H33" s="1" t="n">
        <f aca="false">VLOOKUP(B33,Заказы!$A$2:$E$2995,3,FALSE())</f>
        <v>339</v>
      </c>
      <c r="I33" s="1" t="str">
        <f aca="false">VLOOKUP(H33,Клиенты!$A$2:$E$1995,5,FALSE())</f>
        <v>г. Лесозаводск</v>
      </c>
      <c r="J33" s="1" t="n">
        <f aca="false">VLOOKUP(B33,Заказы!$A$2:$E$2995,4,FALSE())</f>
        <v>560</v>
      </c>
      <c r="K33" s="1" t="str">
        <f aca="false">VLOOKUP(B33,Заказы!$A$2:$E$2995,5,FALSE())</f>
        <v>Выполнено</v>
      </c>
      <c r="L33" s="1" t="n">
        <f aca="false">D33*F33+J33</f>
        <v>2225</v>
      </c>
      <c r="M33" s="1" t="n">
        <f aca="false">IF(AND(E33="Пицца Труслейка",I33="г. Москва",K33="Выполнено",G33&gt;=DATE(2020,7,1),G33&lt;DATE(2020,8,1)),L33,0)</f>
        <v>0</v>
      </c>
    </row>
    <row r="34" customFormat="false" ht="15" hidden="false" customHeight="true" outlineLevel="0" collapsed="false">
      <c r="A34" s="1" t="n">
        <v>101143</v>
      </c>
      <c r="B34" s="1" t="n">
        <v>51273</v>
      </c>
      <c r="C34" s="1" t="n">
        <v>15</v>
      </c>
      <c r="D34" s="1" t="n">
        <v>5</v>
      </c>
      <c r="E34" s="1" t="str">
        <f aca="false">VLOOKUP(C34,Меню!$A$2:$C$24,2,FALSE())</f>
        <v>Пицца Тропиканка</v>
      </c>
      <c r="F34" s="1" t="n">
        <f aca="false">VLOOKUP(C34,Меню!$A$2:$C$24,3,FALSE())</f>
        <v>605</v>
      </c>
      <c r="G34" s="5" t="n">
        <f aca="false">VLOOKUP(B34,Заказы!$A$2:$E$2995,2,FALSE())</f>
        <v>44042</v>
      </c>
      <c r="H34" s="1" t="n">
        <f aca="false">VLOOKUP(B34,Заказы!$A$2:$E$2995,3,FALSE())</f>
        <v>1989</v>
      </c>
      <c r="I34" s="1" t="str">
        <f aca="false">VLOOKUP(H34,Клиенты!$A$2:$E$1995,5,FALSE())</f>
        <v>г. Грозный</v>
      </c>
      <c r="J34" s="1" t="n">
        <f aca="false">VLOOKUP(B34,Заказы!$A$2:$E$2995,4,FALSE())</f>
        <v>0</v>
      </c>
      <c r="K34" s="1" t="str">
        <f aca="false">VLOOKUP(B34,Заказы!$A$2:$E$2995,5,FALSE())</f>
        <v>Не выполнено</v>
      </c>
      <c r="L34" s="1" t="n">
        <f aca="false">D34*F34+J34</f>
        <v>3025</v>
      </c>
      <c r="M34" s="1" t="n">
        <f aca="false">IF(AND(E34="Пицца Труслейка",I34="г. Москва",K34="Выполнено",G34&gt;=DATE(2020,7,1),G34&lt;DATE(2020,8,1)),L34,0)</f>
        <v>0</v>
      </c>
    </row>
    <row r="35" customFormat="false" ht="15" hidden="false" customHeight="true" outlineLevel="0" collapsed="false">
      <c r="A35" s="1" t="n">
        <v>101415</v>
      </c>
      <c r="B35" s="1" t="n">
        <v>50564</v>
      </c>
      <c r="C35" s="1" t="n">
        <v>3</v>
      </c>
      <c r="D35" s="1" t="n">
        <v>2</v>
      </c>
      <c r="E35" s="1" t="str">
        <f aca="false">VLOOKUP(C35,Меню!$A$2:$C$24,2,FALSE())</f>
        <v>Пицца Диабло</v>
      </c>
      <c r="F35" s="1" t="n">
        <f aca="false">VLOOKUP(C35,Меню!$A$2:$C$24,3,FALSE())</f>
        <v>590</v>
      </c>
      <c r="G35" s="5" t="n">
        <f aca="false">VLOOKUP(B35,Заказы!$A$2:$E$2995,2,FALSE())</f>
        <v>44014</v>
      </c>
      <c r="H35" s="1" t="n">
        <f aca="false">VLOOKUP(B35,Заказы!$A$2:$E$2995,3,FALSE())</f>
        <v>631</v>
      </c>
      <c r="I35" s="1" t="str">
        <f aca="false">VLOOKUP(H35,Клиенты!$A$2:$E$1995,5,FALSE())</f>
        <v>г. Покачи</v>
      </c>
      <c r="J35" s="1" t="n">
        <f aca="false">VLOOKUP(B35,Заказы!$A$2:$E$2995,4,FALSE())</f>
        <v>0</v>
      </c>
      <c r="K35" s="1" t="str">
        <f aca="false">VLOOKUP(B35,Заказы!$A$2:$E$2995,5,FALSE())</f>
        <v>Не выполнено</v>
      </c>
      <c r="L35" s="1" t="n">
        <f aca="false">D35*F35+J35</f>
        <v>1180</v>
      </c>
      <c r="M35" s="1" t="n">
        <f aca="false">IF(AND(E35="Пицца Труслейка",I35="г. Москва",K35="Выполнено",G35&gt;=DATE(2020,7,1),G35&lt;DATE(2020,8,1)),L35,0)</f>
        <v>0</v>
      </c>
    </row>
    <row r="36" customFormat="false" ht="15" hidden="false" customHeight="true" outlineLevel="0" collapsed="false">
      <c r="A36" s="1" t="n">
        <v>101316</v>
      </c>
      <c r="B36" s="1" t="n">
        <v>50917</v>
      </c>
      <c r="C36" s="1" t="n">
        <v>20</v>
      </c>
      <c r="D36" s="1" t="n">
        <v>2</v>
      </c>
      <c r="E36" s="1" t="str">
        <f aca="false">VLOOKUP(C36,Меню!$A$2:$C$24,2,FALSE())</f>
        <v>Пицца пиканте</v>
      </c>
      <c r="F36" s="1" t="n">
        <f aca="false">VLOOKUP(C36,Меню!$A$2:$C$24,3,FALSE())</f>
        <v>585</v>
      </c>
      <c r="G36" s="5" t="n">
        <f aca="false">VLOOKUP(B36,Заказы!$A$2:$E$2995,2,FALSE())</f>
        <v>44009</v>
      </c>
      <c r="H36" s="1" t="n">
        <f aca="false">VLOOKUP(B36,Заказы!$A$2:$E$2995,3,FALSE())</f>
        <v>1121</v>
      </c>
      <c r="I36" s="1" t="str">
        <f aca="false">VLOOKUP(H36,Клиенты!$A$2:$E$1995,5,FALSE())</f>
        <v>г. Урай</v>
      </c>
      <c r="J36" s="1" t="n">
        <f aca="false">VLOOKUP(B36,Заказы!$A$2:$E$2995,4,FALSE())</f>
        <v>0</v>
      </c>
      <c r="K36" s="1" t="str">
        <f aca="false">VLOOKUP(B36,Заказы!$A$2:$E$2995,5,FALSE())</f>
        <v>Не выполнено</v>
      </c>
      <c r="L36" s="1" t="n">
        <f aca="false">D36*F36+J36</f>
        <v>1170</v>
      </c>
      <c r="M36" s="1" t="n">
        <f aca="false">IF(AND(E36="Пицца Труслейка",I36="г. Москва",K36="Выполнено",G36&gt;=DATE(2020,7,1),G36&lt;DATE(2020,8,1)),L36,0)</f>
        <v>0</v>
      </c>
    </row>
    <row r="37" customFormat="false" ht="15" hidden="false" customHeight="true" outlineLevel="0" collapsed="false">
      <c r="A37" s="1" t="n">
        <v>101435</v>
      </c>
      <c r="B37" s="1" t="n">
        <v>50566</v>
      </c>
      <c r="C37" s="1" t="n">
        <v>12</v>
      </c>
      <c r="D37" s="1" t="n">
        <v>8</v>
      </c>
      <c r="E37" s="1" t="str">
        <f aca="false">VLOOKUP(C37,Меню!$A$2:$C$24,2,FALSE())</f>
        <v>Пицца Салями с трюфелем</v>
      </c>
      <c r="F37" s="1" t="n">
        <f aca="false">VLOOKUP(C37,Меню!$A$2:$C$24,3,FALSE())</f>
        <v>525</v>
      </c>
      <c r="G37" s="5" t="n">
        <f aca="false">VLOOKUP(B37,Заказы!$A$2:$E$2995,2,FALSE())</f>
        <v>44032</v>
      </c>
      <c r="H37" s="1" t="n">
        <f aca="false">VLOOKUP(B37,Заказы!$A$2:$E$2995,3,FALSE())</f>
        <v>94</v>
      </c>
      <c r="I37" s="1" t="str">
        <f aca="false">VLOOKUP(H37,Клиенты!$A$2:$E$1995,5,FALSE())</f>
        <v>г. Свободный</v>
      </c>
      <c r="J37" s="1" t="n">
        <f aca="false">VLOOKUP(B37,Заказы!$A$2:$E$2995,4,FALSE())</f>
        <v>0</v>
      </c>
      <c r="K37" s="1" t="str">
        <f aca="false">VLOOKUP(B37,Заказы!$A$2:$E$2995,5,FALSE())</f>
        <v>Не выполнено</v>
      </c>
      <c r="L37" s="1" t="n">
        <f aca="false">D37*F37+J37</f>
        <v>4200</v>
      </c>
      <c r="M37" s="1" t="n">
        <f aca="false">IF(AND(E37="Пицца Труслейка",I37="г. Москва",K37="Выполнено",G37&gt;=DATE(2020,7,1),G37&lt;DATE(2020,8,1)),L37,0)</f>
        <v>0</v>
      </c>
    </row>
    <row r="38" customFormat="false" ht="15" hidden="false" customHeight="true" outlineLevel="0" collapsed="false">
      <c r="A38" s="1" t="n">
        <v>101452</v>
      </c>
      <c r="B38" s="1" t="n">
        <v>51180</v>
      </c>
      <c r="C38" s="1" t="n">
        <v>13</v>
      </c>
      <c r="D38" s="1" t="n">
        <v>6</v>
      </c>
      <c r="E38" s="1" t="str">
        <f aca="false">VLOOKUP(C38,Меню!$A$2:$C$24,2,FALSE())</f>
        <v>Пицца Сырная</v>
      </c>
      <c r="F38" s="1" t="n">
        <f aca="false">VLOOKUP(C38,Меню!$A$2:$C$24,3,FALSE())</f>
        <v>635</v>
      </c>
      <c r="G38" s="5" t="n">
        <f aca="false">VLOOKUP(B38,Заказы!$A$2:$E$2995,2,FALSE())</f>
        <v>44043</v>
      </c>
      <c r="H38" s="1" t="n">
        <f aca="false">VLOOKUP(B38,Заказы!$A$2:$E$2995,3,FALSE())</f>
        <v>1373</v>
      </c>
      <c r="I38" s="1" t="str">
        <f aca="false">VLOOKUP(H38,Клиенты!$A$2:$E$1995,5,FALSE())</f>
        <v>г. Новопавловск</v>
      </c>
      <c r="J38" s="1" t="n">
        <f aca="false">VLOOKUP(B38,Заказы!$A$2:$E$2995,4,FALSE())</f>
        <v>0</v>
      </c>
      <c r="K38" s="1" t="str">
        <f aca="false">VLOOKUP(B38,Заказы!$A$2:$E$2995,5,FALSE())</f>
        <v>Не выполнено</v>
      </c>
      <c r="L38" s="1" t="n">
        <f aca="false">D38*F38+J38</f>
        <v>3810</v>
      </c>
      <c r="M38" s="1" t="n">
        <f aca="false">IF(AND(E38="Пицца Труслейка",I38="г. Москва",K38="Выполнено",G38&gt;=DATE(2020,7,1),G38&lt;DATE(2020,8,1)),L38,0)</f>
        <v>0</v>
      </c>
    </row>
    <row r="39" customFormat="false" ht="15" hidden="false" customHeight="true" outlineLevel="0" collapsed="false">
      <c r="A39" s="1" t="n">
        <v>100357</v>
      </c>
      <c r="B39" s="1" t="n">
        <v>50283</v>
      </c>
      <c r="C39" s="1" t="n">
        <v>2</v>
      </c>
      <c r="D39" s="1" t="n">
        <v>5</v>
      </c>
      <c r="E39" s="1" t="str">
        <f aca="false">VLOOKUP(C39,Меню!$A$2:$C$24,2,FALSE())</f>
        <v>Пицца Двойная пепперони</v>
      </c>
      <c r="F39" s="1" t="n">
        <f aca="false">VLOOKUP(C39,Меню!$A$2:$C$24,3,FALSE())</f>
        <v>575</v>
      </c>
      <c r="G39" s="5" t="n">
        <f aca="false">VLOOKUP(B39,Заказы!$A$2:$E$2995,2,FALSE())</f>
        <v>44041</v>
      </c>
      <c r="H39" s="1" t="n">
        <f aca="false">VLOOKUP(B39,Заказы!$A$2:$E$2995,3,FALSE())</f>
        <v>81</v>
      </c>
      <c r="I39" s="1" t="str">
        <f aca="false">VLOOKUP(H39,Клиенты!$A$2:$E$1995,5,FALSE())</f>
        <v>г. Ак-Довурак</v>
      </c>
      <c r="J39" s="1" t="n">
        <f aca="false">VLOOKUP(B39,Заказы!$A$2:$E$2995,4,FALSE())</f>
        <v>0</v>
      </c>
      <c r="K39" s="1" t="str">
        <f aca="false">VLOOKUP(B39,Заказы!$A$2:$E$2995,5,FALSE())</f>
        <v>Не выполнено</v>
      </c>
      <c r="L39" s="1" t="n">
        <f aca="false">D39*F39+J39</f>
        <v>2875</v>
      </c>
      <c r="M39" s="1" t="n">
        <f aca="false">IF(AND(E39="Пицца Труслейка",I39="г. Москва",K39="Выполнено",G39&gt;=DATE(2020,7,1),G39&lt;DATE(2020,8,1)),L39,0)</f>
        <v>0</v>
      </c>
    </row>
    <row r="40" customFormat="false" ht="15" hidden="false" customHeight="true" outlineLevel="0" collapsed="false">
      <c r="A40" s="1" t="n">
        <v>101514</v>
      </c>
      <c r="B40" s="1" t="n">
        <v>50083</v>
      </c>
      <c r="C40" s="1" t="n">
        <v>16</v>
      </c>
      <c r="D40" s="1" t="n">
        <v>3</v>
      </c>
      <c r="E40" s="1" t="str">
        <f aca="false">VLOOKUP(C40,Меню!$A$2:$C$24,2,FALSE())</f>
        <v>Пицца Флорида</v>
      </c>
      <c r="F40" s="1" t="n">
        <f aca="false">VLOOKUP(C40,Меню!$A$2:$C$24,3,FALSE())</f>
        <v>535</v>
      </c>
      <c r="G40" s="5" t="n">
        <f aca="false">VLOOKUP(B40,Заказы!$A$2:$E$2995,2,FALSE())</f>
        <v>44025</v>
      </c>
      <c r="H40" s="1" t="n">
        <f aca="false">VLOOKUP(B40,Заказы!$A$2:$E$2995,3,FALSE())</f>
        <v>1139</v>
      </c>
      <c r="I40" s="1" t="str">
        <f aca="false">VLOOKUP(H40,Клиенты!$A$2:$E$1995,5,FALSE())</f>
        <v>г. Улан-Удэ</v>
      </c>
      <c r="J40" s="1" t="n">
        <f aca="false">VLOOKUP(B40,Заказы!$A$2:$E$2995,4,FALSE())</f>
        <v>295</v>
      </c>
      <c r="K40" s="1" t="str">
        <f aca="false">VLOOKUP(B40,Заказы!$A$2:$E$2995,5,FALSE())</f>
        <v>Выполнено</v>
      </c>
      <c r="L40" s="1" t="n">
        <f aca="false">D40*F40+J40</f>
        <v>1900</v>
      </c>
      <c r="M40" s="1" t="n">
        <f aca="false">IF(AND(E40="Пицца Труслейка",I40="г. Москва",K40="Выполнено",G40&gt;=DATE(2020,7,1),G40&lt;DATE(2020,8,1)),L40,0)</f>
        <v>0</v>
      </c>
    </row>
    <row r="41" customFormat="false" ht="15" hidden="false" customHeight="true" outlineLevel="0" collapsed="false">
      <c r="A41" s="1" t="n">
        <v>100233</v>
      </c>
      <c r="B41" s="1" t="n">
        <v>51063</v>
      </c>
      <c r="C41" s="1" t="n">
        <v>4</v>
      </c>
      <c r="D41" s="1" t="n">
        <v>8</v>
      </c>
      <c r="E41" s="1" t="str">
        <f aca="false">VLOOKUP(C41,Меню!$A$2:$C$24,2,FALSE())</f>
        <v>Пицца Труслейка</v>
      </c>
      <c r="F41" s="1" t="n">
        <f aca="false">VLOOKUP(C41,Меню!$A$2:$C$24,3,FALSE())</f>
        <v>610</v>
      </c>
      <c r="G41" s="5" t="n">
        <f aca="false">VLOOKUP(B41,Заказы!$A$2:$E$2995,2,FALSE())</f>
        <v>44052</v>
      </c>
      <c r="H41" s="1" t="n">
        <f aca="false">VLOOKUP(B41,Заказы!$A$2:$E$2995,3,FALSE())</f>
        <v>1705</v>
      </c>
      <c r="I41" s="1" t="str">
        <f aca="false">VLOOKUP(H41,Клиенты!$A$2:$E$1995,5,FALSE())</f>
        <v>г. Абакан</v>
      </c>
      <c r="J41" s="1" t="n">
        <f aca="false">VLOOKUP(B41,Заказы!$A$2:$E$2995,4,FALSE())</f>
        <v>0</v>
      </c>
      <c r="K41" s="1" t="str">
        <f aca="false">VLOOKUP(B41,Заказы!$A$2:$E$2995,5,FALSE())</f>
        <v>Не выполнено</v>
      </c>
      <c r="L41" s="1" t="n">
        <f aca="false">D41*F41+J41</f>
        <v>4880</v>
      </c>
      <c r="M41" s="1" t="n">
        <f aca="false">IF(AND(E41="Пицца Труслейка",I41="г. Москва",K41="Выполнено",G41&gt;=DATE(2020,7,1),G41&lt;DATE(2020,8,1)),L41,0)</f>
        <v>0</v>
      </c>
    </row>
    <row r="42" customFormat="false" ht="15" hidden="false" customHeight="true" outlineLevel="0" collapsed="false">
      <c r="A42" s="1" t="n">
        <v>101004</v>
      </c>
      <c r="B42" s="1" t="n">
        <v>51336</v>
      </c>
      <c r="C42" s="1" t="n">
        <v>20</v>
      </c>
      <c r="D42" s="1" t="n">
        <v>10</v>
      </c>
      <c r="E42" s="1" t="str">
        <f aca="false">VLOOKUP(C42,Меню!$A$2:$C$24,2,FALSE())</f>
        <v>Пицца пиканте</v>
      </c>
      <c r="F42" s="1" t="n">
        <f aca="false">VLOOKUP(C42,Меню!$A$2:$C$24,3,FALSE())</f>
        <v>585</v>
      </c>
      <c r="G42" s="5" t="n">
        <f aca="false">VLOOKUP(B42,Заказы!$A$2:$E$2995,2,FALSE())</f>
        <v>43986</v>
      </c>
      <c r="H42" s="1" t="n">
        <f aca="false">VLOOKUP(B42,Заказы!$A$2:$E$2995,3,FALSE())</f>
        <v>1425</v>
      </c>
      <c r="I42" s="1" t="str">
        <f aca="false">VLOOKUP(H42,Клиенты!$A$2:$E$1995,5,FALSE())</f>
        <v>г. Балашов</v>
      </c>
      <c r="J42" s="1" t="n">
        <f aca="false">VLOOKUP(B42,Заказы!$A$2:$E$2995,4,FALSE())</f>
        <v>654</v>
      </c>
      <c r="K42" s="1" t="str">
        <f aca="false">VLOOKUP(B42,Заказы!$A$2:$E$2995,5,FALSE())</f>
        <v>Выполнено</v>
      </c>
      <c r="L42" s="1" t="n">
        <f aca="false">D42*F42+J42</f>
        <v>6504</v>
      </c>
      <c r="M42" s="1" t="n">
        <f aca="false">IF(AND(E42="Пицца Труслейка",I42="г. Москва",K42="Выполнено",G42&gt;=DATE(2020,7,1),G42&lt;DATE(2020,8,1)),L42,0)</f>
        <v>0</v>
      </c>
    </row>
    <row r="43" customFormat="false" ht="15" hidden="false" customHeight="true" outlineLevel="0" collapsed="false">
      <c r="A43" s="1" t="n">
        <v>101479</v>
      </c>
      <c r="B43" s="1" t="n">
        <v>51057</v>
      </c>
      <c r="C43" s="1" t="n">
        <v>9</v>
      </c>
      <c r="D43" s="1" t="n">
        <v>4</v>
      </c>
      <c r="E43" s="1" t="str">
        <f aca="false">VLOOKUP(C43,Меню!$A$2:$C$24,2,FALSE())</f>
        <v>Пицца Острая с беконом</v>
      </c>
      <c r="F43" s="1" t="n">
        <f aca="false">VLOOKUP(C43,Меню!$A$2:$C$24,3,FALSE())</f>
        <v>540</v>
      </c>
      <c r="G43" s="5" t="n">
        <f aca="false">VLOOKUP(B43,Заказы!$A$2:$E$2995,2,FALSE())</f>
        <v>44037</v>
      </c>
      <c r="H43" s="1" t="n">
        <f aca="false">VLOOKUP(B43,Заказы!$A$2:$E$2995,3,FALSE())</f>
        <v>1163</v>
      </c>
      <c r="I43" s="1" t="str">
        <f aca="false">VLOOKUP(H43,Клиенты!$A$2:$E$1995,5,FALSE())</f>
        <v>г. Ногинск</v>
      </c>
      <c r="J43" s="1" t="n">
        <f aca="false">VLOOKUP(B43,Заказы!$A$2:$E$2995,4,FALSE())</f>
        <v>0</v>
      </c>
      <c r="K43" s="1" t="str">
        <f aca="false">VLOOKUP(B43,Заказы!$A$2:$E$2995,5,FALSE())</f>
        <v>Не выполнено</v>
      </c>
      <c r="L43" s="1" t="n">
        <f aca="false">D43*F43+J43</f>
        <v>2160</v>
      </c>
      <c r="M43" s="1" t="n">
        <f aca="false">IF(AND(E43="Пицца Труслейка",I43="г. Москва",K43="Выполнено",G43&gt;=DATE(2020,7,1),G43&lt;DATE(2020,8,1)),L43,0)</f>
        <v>0</v>
      </c>
    </row>
    <row r="44" customFormat="false" ht="15" hidden="false" customHeight="true" outlineLevel="0" collapsed="false">
      <c r="A44" s="1" t="n">
        <v>101511</v>
      </c>
      <c r="B44" s="1" t="n">
        <v>50718</v>
      </c>
      <c r="C44" s="1" t="n">
        <v>10</v>
      </c>
      <c r="D44" s="1" t="n">
        <v>7</v>
      </c>
      <c r="E44" s="1" t="str">
        <f aca="false">VLOOKUP(C44,Меню!$A$2:$C$24,2,FALSE())</f>
        <v>Пицца Пепперони фреш</v>
      </c>
      <c r="F44" s="1" t="n">
        <f aca="false">VLOOKUP(C44,Меню!$A$2:$C$24,3,FALSE())</f>
        <v>565</v>
      </c>
      <c r="G44" s="5" t="n">
        <f aca="false">VLOOKUP(B44,Заказы!$A$2:$E$2995,2,FALSE())</f>
        <v>43992</v>
      </c>
      <c r="H44" s="1" t="n">
        <f aca="false">VLOOKUP(B44,Заказы!$A$2:$E$2995,3,FALSE())</f>
        <v>1391</v>
      </c>
      <c r="I44" s="1" t="str">
        <f aca="false">VLOOKUP(H44,Клиенты!$A$2:$E$1995,5,FALSE())</f>
        <v>г. Кирово-Чепецк</v>
      </c>
      <c r="J44" s="1" t="n">
        <f aca="false">VLOOKUP(B44,Заказы!$A$2:$E$2995,4,FALSE())</f>
        <v>0</v>
      </c>
      <c r="K44" s="1" t="str">
        <f aca="false">VLOOKUP(B44,Заказы!$A$2:$E$2995,5,FALSE())</f>
        <v>Не выполнено</v>
      </c>
      <c r="L44" s="1" t="n">
        <f aca="false">D44*F44+J44</f>
        <v>3955</v>
      </c>
      <c r="M44" s="1" t="n">
        <f aca="false">IF(AND(E44="Пицца Труслейка",I44="г. Москва",K44="Выполнено",G44&gt;=DATE(2020,7,1),G44&lt;DATE(2020,8,1)),L44,0)</f>
        <v>0</v>
      </c>
    </row>
    <row r="45" customFormat="false" ht="15" hidden="false" customHeight="true" outlineLevel="0" collapsed="false">
      <c r="A45" s="1" t="n">
        <v>100931</v>
      </c>
      <c r="B45" s="1" t="n">
        <v>50912</v>
      </c>
      <c r="C45" s="1" t="n">
        <v>13</v>
      </c>
      <c r="D45" s="1" t="n">
        <v>2</v>
      </c>
      <c r="E45" s="1" t="str">
        <f aca="false">VLOOKUP(C45,Меню!$A$2:$C$24,2,FALSE())</f>
        <v>Пицца Сырная</v>
      </c>
      <c r="F45" s="1" t="n">
        <f aca="false">VLOOKUP(C45,Меню!$A$2:$C$24,3,FALSE())</f>
        <v>635</v>
      </c>
      <c r="G45" s="5" t="n">
        <f aca="false">VLOOKUP(B45,Заказы!$A$2:$E$2995,2,FALSE())</f>
        <v>43983</v>
      </c>
      <c r="H45" s="1" t="n">
        <f aca="false">VLOOKUP(B45,Заказы!$A$2:$E$2995,3,FALSE())</f>
        <v>390</v>
      </c>
      <c r="I45" s="1" t="str">
        <f aca="false">VLOOKUP(H45,Клиенты!$A$2:$E$1995,5,FALSE())</f>
        <v>г. Москва</v>
      </c>
      <c r="J45" s="1" t="n">
        <f aca="false">VLOOKUP(B45,Заказы!$A$2:$E$2995,4,FALSE())</f>
        <v>553</v>
      </c>
      <c r="K45" s="1" t="str">
        <f aca="false">VLOOKUP(B45,Заказы!$A$2:$E$2995,5,FALSE())</f>
        <v>Выполнено</v>
      </c>
      <c r="L45" s="1" t="n">
        <f aca="false">D45*F45+J45</f>
        <v>1823</v>
      </c>
      <c r="M45" s="1" t="n">
        <f aca="false">IF(AND(E45="Пицца Труслейка",I45="г. Москва",K45="Выполнено",G45&gt;=DATE(2020,7,1),G45&lt;DATE(2020,8,1)),L45,0)</f>
        <v>0</v>
      </c>
    </row>
    <row r="46" customFormat="false" ht="15" hidden="false" customHeight="true" outlineLevel="0" collapsed="false">
      <c r="A46" s="1" t="n">
        <v>100604</v>
      </c>
      <c r="B46" s="1" t="n">
        <v>51387</v>
      </c>
      <c r="C46" s="1" t="n">
        <v>2</v>
      </c>
      <c r="D46" s="1" t="n">
        <v>5</v>
      </c>
      <c r="E46" s="1" t="str">
        <f aca="false">VLOOKUP(C46,Меню!$A$2:$C$24,2,FALSE())</f>
        <v>Пицца Двойная пепперони</v>
      </c>
      <c r="F46" s="1" t="n">
        <f aca="false">VLOOKUP(C46,Меню!$A$2:$C$24,3,FALSE())</f>
        <v>575</v>
      </c>
      <c r="G46" s="5" t="n">
        <f aca="false">VLOOKUP(B46,Заказы!$A$2:$E$2995,2,FALSE())</f>
        <v>44007</v>
      </c>
      <c r="H46" s="1" t="n">
        <f aca="false">VLOOKUP(B46,Заказы!$A$2:$E$2995,3,FALSE())</f>
        <v>1529</v>
      </c>
      <c r="I46" s="1" t="str">
        <f aca="false">VLOOKUP(H46,Клиенты!$A$2:$E$1995,5,FALSE())</f>
        <v>г. Гуково</v>
      </c>
      <c r="J46" s="1" t="n">
        <f aca="false">VLOOKUP(B46,Заказы!$A$2:$E$2995,4,FALSE())</f>
        <v>0</v>
      </c>
      <c r="K46" s="1" t="str">
        <f aca="false">VLOOKUP(B46,Заказы!$A$2:$E$2995,5,FALSE())</f>
        <v>Не выполнено</v>
      </c>
      <c r="L46" s="1" t="n">
        <f aca="false">D46*F46+J46</f>
        <v>2875</v>
      </c>
      <c r="M46" s="1" t="n">
        <f aca="false">IF(AND(E46="Пицца Труслейка",I46="г. Москва",K46="Выполнено",G46&gt;=DATE(2020,7,1),G46&lt;DATE(2020,8,1)),L46,0)</f>
        <v>0</v>
      </c>
    </row>
    <row r="47" customFormat="false" ht="15" hidden="false" customHeight="true" outlineLevel="0" collapsed="false">
      <c r="A47" s="1" t="n">
        <v>100320</v>
      </c>
      <c r="B47" s="1" t="n">
        <v>50133</v>
      </c>
      <c r="C47" s="1" t="n">
        <v>3</v>
      </c>
      <c r="D47" s="1" t="n">
        <v>9</v>
      </c>
      <c r="E47" s="1" t="str">
        <f aca="false">VLOOKUP(C47,Меню!$A$2:$C$24,2,FALSE())</f>
        <v>Пицца Диабло</v>
      </c>
      <c r="F47" s="1" t="n">
        <f aca="false">VLOOKUP(C47,Меню!$A$2:$C$24,3,FALSE())</f>
        <v>590</v>
      </c>
      <c r="G47" s="5" t="n">
        <f aca="false">VLOOKUP(B47,Заказы!$A$2:$E$2995,2,FALSE())</f>
        <v>44021</v>
      </c>
      <c r="H47" s="1" t="n">
        <f aca="false">VLOOKUP(B47,Заказы!$A$2:$E$2995,3,FALSE())</f>
        <v>507</v>
      </c>
      <c r="I47" s="1" t="str">
        <f aca="false">VLOOKUP(H47,Клиенты!$A$2:$E$1995,5,FALSE())</f>
        <v>г. Ханты-Мансийск</v>
      </c>
      <c r="J47" s="1" t="n">
        <f aca="false">VLOOKUP(B47,Заказы!$A$2:$E$2995,4,FALSE())</f>
        <v>0</v>
      </c>
      <c r="K47" s="1" t="str">
        <f aca="false">VLOOKUP(B47,Заказы!$A$2:$E$2995,5,FALSE())</f>
        <v>Не выполнено</v>
      </c>
      <c r="L47" s="1" t="n">
        <f aca="false">D47*F47+J47</f>
        <v>5310</v>
      </c>
      <c r="M47" s="1" t="n">
        <f aca="false">IF(AND(E47="Пицца Труслейка",I47="г. Москва",K47="Выполнено",G47&gt;=DATE(2020,7,1),G47&lt;DATE(2020,8,1)),L47,0)</f>
        <v>0</v>
      </c>
    </row>
    <row r="48" customFormat="false" ht="15" hidden="false" customHeight="true" outlineLevel="0" collapsed="false">
      <c r="A48" s="1" t="n">
        <v>101194</v>
      </c>
      <c r="B48" s="1" t="n">
        <v>50927</v>
      </c>
      <c r="C48" s="1" t="n">
        <v>21</v>
      </c>
      <c r="D48" s="1" t="n">
        <v>8</v>
      </c>
      <c r="E48" s="1" t="str">
        <f aca="false">VLOOKUP(C48,Меню!$A$2:$C$24,2,FALSE())</f>
        <v>Пицца с креветками и цукини</v>
      </c>
      <c r="F48" s="1" t="n">
        <f aca="false">VLOOKUP(C48,Меню!$A$2:$C$24,3,FALSE())</f>
        <v>600</v>
      </c>
      <c r="G48" s="5" t="n">
        <f aca="false">VLOOKUP(B48,Заказы!$A$2:$E$2995,2,FALSE())</f>
        <v>44004</v>
      </c>
      <c r="H48" s="1" t="n">
        <f aca="false">VLOOKUP(B48,Заказы!$A$2:$E$2995,3,FALSE())</f>
        <v>505</v>
      </c>
      <c r="I48" s="1" t="str">
        <f aca="false">VLOOKUP(H48,Клиенты!$A$2:$E$1995,5,FALSE())</f>
        <v>г. Кохма</v>
      </c>
      <c r="J48" s="1" t="n">
        <f aca="false">VLOOKUP(B48,Заказы!$A$2:$E$2995,4,FALSE())</f>
        <v>212</v>
      </c>
      <c r="K48" s="1" t="str">
        <f aca="false">VLOOKUP(B48,Заказы!$A$2:$E$2995,5,FALSE())</f>
        <v>Выполнено</v>
      </c>
      <c r="L48" s="1" t="n">
        <f aca="false">D48*F48+J48</f>
        <v>5012</v>
      </c>
      <c r="M48" s="1" t="n">
        <f aca="false">IF(AND(E48="Пицца Труслейка",I48="г. Москва",K48="Выполнено",G48&gt;=DATE(2020,7,1),G48&lt;DATE(2020,8,1)),L48,0)</f>
        <v>0</v>
      </c>
    </row>
    <row r="49" customFormat="false" ht="15" hidden="false" customHeight="true" outlineLevel="0" collapsed="false">
      <c r="A49" s="1" t="n">
        <v>101944</v>
      </c>
      <c r="B49" s="1" t="n">
        <v>50090</v>
      </c>
      <c r="C49" s="1" t="n">
        <v>5</v>
      </c>
      <c r="D49" s="1" t="n">
        <v>1</v>
      </c>
      <c r="E49" s="1" t="str">
        <f aca="false">VLOOKUP(C49,Меню!$A$2:$C$24,2,FALSE())</f>
        <v>Пицца Жюльен</v>
      </c>
      <c r="F49" s="1" t="n">
        <f aca="false">VLOOKUP(C49,Меню!$A$2:$C$24,3,FALSE())</f>
        <v>580</v>
      </c>
      <c r="G49" s="5" t="n">
        <f aca="false">VLOOKUP(B49,Заказы!$A$2:$E$2995,2,FALSE())</f>
        <v>44066</v>
      </c>
      <c r="H49" s="1" t="n">
        <f aca="false">VLOOKUP(B49,Заказы!$A$2:$E$2995,3,FALSE())</f>
        <v>1643</v>
      </c>
      <c r="I49" s="1" t="str">
        <f aca="false">VLOOKUP(H49,Клиенты!$A$2:$E$1995,5,FALSE())</f>
        <v>г. Козьмодемьянск</v>
      </c>
      <c r="J49" s="1" t="n">
        <f aca="false">VLOOKUP(B49,Заказы!$A$2:$E$2995,4,FALSE())</f>
        <v>720</v>
      </c>
      <c r="K49" s="1" t="str">
        <f aca="false">VLOOKUP(B49,Заказы!$A$2:$E$2995,5,FALSE())</f>
        <v>Выполнено</v>
      </c>
      <c r="L49" s="1" t="n">
        <f aca="false">D49*F49+J49</f>
        <v>1300</v>
      </c>
      <c r="M49" s="1" t="n">
        <f aca="false">IF(AND(E49="Пицца Труслейка",I49="г. Москва",K49="Выполнено",G49&gt;=DATE(2020,7,1),G49&lt;DATE(2020,8,1)),L49,0)</f>
        <v>0</v>
      </c>
    </row>
    <row r="50" customFormat="false" ht="15" hidden="false" customHeight="true" outlineLevel="0" collapsed="false">
      <c r="A50" s="1" t="n">
        <v>101332</v>
      </c>
      <c r="B50" s="1" t="n">
        <v>51464</v>
      </c>
      <c r="C50" s="1" t="n">
        <v>14</v>
      </c>
      <c r="D50" s="1" t="n">
        <v>7</v>
      </c>
      <c r="E50" s="1" t="str">
        <f aca="false">VLOOKUP(C50,Меню!$A$2:$C$24,2,FALSE())</f>
        <v>Пицца Сырный цыпленок</v>
      </c>
      <c r="F50" s="1" t="n">
        <f aca="false">VLOOKUP(C50,Меню!$A$2:$C$24,3,FALSE())</f>
        <v>555</v>
      </c>
      <c r="G50" s="5" t="n">
        <f aca="false">VLOOKUP(B50,Заказы!$A$2:$E$2995,2,FALSE())</f>
        <v>44004</v>
      </c>
      <c r="H50" s="1" t="n">
        <f aca="false">VLOOKUP(B50,Заказы!$A$2:$E$2995,3,FALSE())</f>
        <v>289</v>
      </c>
      <c r="I50" s="1" t="str">
        <f aca="false">VLOOKUP(H50,Клиенты!$A$2:$E$1995,5,FALSE())</f>
        <v>г. Воскресенск</v>
      </c>
      <c r="J50" s="1" t="n">
        <f aca="false">VLOOKUP(B50,Заказы!$A$2:$E$2995,4,FALSE())</f>
        <v>321</v>
      </c>
      <c r="K50" s="1" t="str">
        <f aca="false">VLOOKUP(B50,Заказы!$A$2:$E$2995,5,FALSE())</f>
        <v>Выполнено</v>
      </c>
      <c r="L50" s="1" t="n">
        <f aca="false">D50*F50+J50</f>
        <v>4206</v>
      </c>
      <c r="M50" s="1" t="n">
        <f aca="false">IF(AND(E50="Пицца Труслейка",I50="г. Москва",K50="Выполнено",G50&gt;=DATE(2020,7,1),G50&lt;DATE(2020,8,1)),L50,0)</f>
        <v>0</v>
      </c>
    </row>
    <row r="51" customFormat="false" ht="15" hidden="false" customHeight="true" outlineLevel="0" collapsed="false">
      <c r="A51" s="1" t="n">
        <v>101172</v>
      </c>
      <c r="B51" s="1" t="n">
        <v>51793</v>
      </c>
      <c r="C51" s="1" t="n">
        <v>4</v>
      </c>
      <c r="D51" s="1" t="n">
        <v>3</v>
      </c>
      <c r="E51" s="1" t="str">
        <f aca="false">VLOOKUP(C51,Меню!$A$2:$C$24,2,FALSE())</f>
        <v>Пицца Труслейка</v>
      </c>
      <c r="F51" s="1" t="n">
        <f aca="false">VLOOKUP(C51,Меню!$A$2:$C$24,3,FALSE())</f>
        <v>610</v>
      </c>
      <c r="G51" s="5" t="n">
        <f aca="false">VLOOKUP(B51,Заказы!$A$2:$E$2995,2,FALSE())</f>
        <v>43983</v>
      </c>
      <c r="H51" s="1" t="n">
        <f aca="false">VLOOKUP(B51,Заказы!$A$2:$E$2995,3,FALSE())</f>
        <v>967</v>
      </c>
      <c r="I51" s="1" t="str">
        <f aca="false">VLOOKUP(H51,Клиенты!$A$2:$E$1995,5,FALSE())</f>
        <v>г. Дюртюли</v>
      </c>
      <c r="J51" s="1" t="n">
        <f aca="false">VLOOKUP(B51,Заказы!$A$2:$E$2995,4,FALSE())</f>
        <v>683</v>
      </c>
      <c r="K51" s="1" t="str">
        <f aca="false">VLOOKUP(B51,Заказы!$A$2:$E$2995,5,FALSE())</f>
        <v>Выполнено</v>
      </c>
      <c r="L51" s="1" t="n">
        <f aca="false">D51*F51+J51</f>
        <v>2513</v>
      </c>
      <c r="M51" s="1" t="n">
        <f aca="false">IF(AND(E51="Пицца Труслейка",I51="г. Москва",K51="Выполнено",G51&gt;=DATE(2020,7,1),G51&lt;DATE(2020,8,1)),L51,0)</f>
        <v>0</v>
      </c>
    </row>
    <row r="52" customFormat="false" ht="15" hidden="false" customHeight="true" outlineLevel="0" collapsed="false">
      <c r="A52" s="1" t="n">
        <v>100413</v>
      </c>
      <c r="B52" s="1" t="n">
        <v>51278</v>
      </c>
      <c r="C52" s="1" t="n">
        <v>13</v>
      </c>
      <c r="D52" s="1" t="n">
        <v>3</v>
      </c>
      <c r="E52" s="1" t="str">
        <f aca="false">VLOOKUP(C52,Меню!$A$2:$C$24,2,FALSE())</f>
        <v>Пицца Сырная</v>
      </c>
      <c r="F52" s="1" t="n">
        <f aca="false">VLOOKUP(C52,Меню!$A$2:$C$24,3,FALSE())</f>
        <v>635</v>
      </c>
      <c r="G52" s="5" t="n">
        <f aca="false">VLOOKUP(B52,Заказы!$A$2:$E$2995,2,FALSE())</f>
        <v>44046</v>
      </c>
      <c r="H52" s="1" t="n">
        <f aca="false">VLOOKUP(B52,Заказы!$A$2:$E$2995,3,FALSE())</f>
        <v>1531</v>
      </c>
      <c r="I52" s="1" t="str">
        <f aca="false">VLOOKUP(H52,Клиенты!$A$2:$E$1995,5,FALSE())</f>
        <v>г. Кызыл</v>
      </c>
      <c r="J52" s="1" t="n">
        <f aca="false">VLOOKUP(B52,Заказы!$A$2:$E$2995,4,FALSE())</f>
        <v>267</v>
      </c>
      <c r="K52" s="1" t="str">
        <f aca="false">VLOOKUP(B52,Заказы!$A$2:$E$2995,5,FALSE())</f>
        <v>Выполнено</v>
      </c>
      <c r="L52" s="1" t="n">
        <f aca="false">D52*F52+J52</f>
        <v>2172</v>
      </c>
      <c r="M52" s="1" t="n">
        <f aca="false">IF(AND(E52="Пицца Труслейка",I52="г. Москва",K52="Выполнено",G52&gt;=DATE(2020,7,1),G52&lt;DATE(2020,8,1)),L52,0)</f>
        <v>0</v>
      </c>
    </row>
    <row r="53" customFormat="false" ht="15" hidden="false" customHeight="true" outlineLevel="0" collapsed="false">
      <c r="A53" s="1" t="n">
        <v>101346</v>
      </c>
      <c r="B53" s="1" t="n">
        <v>51521</v>
      </c>
      <c r="C53" s="1" t="n">
        <v>2</v>
      </c>
      <c r="D53" s="1" t="n">
        <v>7</v>
      </c>
      <c r="E53" s="1" t="str">
        <f aca="false">VLOOKUP(C53,Меню!$A$2:$C$24,2,FALSE())</f>
        <v>Пицца Двойная пепперони</v>
      </c>
      <c r="F53" s="1" t="n">
        <f aca="false">VLOOKUP(C53,Меню!$A$2:$C$24,3,FALSE())</f>
        <v>575</v>
      </c>
      <c r="G53" s="5" t="n">
        <f aca="false">VLOOKUP(B53,Заказы!$A$2:$E$2995,2,FALSE())</f>
        <v>44034</v>
      </c>
      <c r="H53" s="1" t="n">
        <f aca="false">VLOOKUP(B53,Заказы!$A$2:$E$2995,3,FALSE())</f>
        <v>1188</v>
      </c>
      <c r="I53" s="1" t="str">
        <f aca="false">VLOOKUP(H53,Клиенты!$A$2:$E$1995,5,FALSE())</f>
        <v>г. Калининск</v>
      </c>
      <c r="J53" s="1" t="n">
        <f aca="false">VLOOKUP(B53,Заказы!$A$2:$E$2995,4,FALSE())</f>
        <v>681</v>
      </c>
      <c r="K53" s="1" t="str">
        <f aca="false">VLOOKUP(B53,Заказы!$A$2:$E$2995,5,FALSE())</f>
        <v>Выполнено</v>
      </c>
      <c r="L53" s="1" t="n">
        <f aca="false">D53*F53+J53</f>
        <v>4706</v>
      </c>
      <c r="M53" s="1" t="n">
        <f aca="false">IF(AND(E53="Пицца Труслейка",I53="г. Москва",K53="Выполнено",G53&gt;=DATE(2020,7,1),G53&lt;DATE(2020,8,1)),L53,0)</f>
        <v>0</v>
      </c>
    </row>
    <row r="54" customFormat="false" ht="15" hidden="false" customHeight="true" outlineLevel="0" collapsed="false">
      <c r="A54" s="1" t="n">
        <v>100898</v>
      </c>
      <c r="B54" s="1" t="n">
        <v>51768</v>
      </c>
      <c r="C54" s="1" t="n">
        <v>16</v>
      </c>
      <c r="D54" s="1" t="n">
        <v>7</v>
      </c>
      <c r="E54" s="1" t="str">
        <f aca="false">VLOOKUP(C54,Меню!$A$2:$C$24,2,FALSE())</f>
        <v>Пицца Флорида</v>
      </c>
      <c r="F54" s="1" t="n">
        <f aca="false">VLOOKUP(C54,Меню!$A$2:$C$24,3,FALSE())</f>
        <v>535</v>
      </c>
      <c r="G54" s="5" t="n">
        <f aca="false">VLOOKUP(B54,Заказы!$A$2:$E$2995,2,FALSE())</f>
        <v>44071</v>
      </c>
      <c r="H54" s="1" t="n">
        <f aca="false">VLOOKUP(B54,Заказы!$A$2:$E$2995,3,FALSE())</f>
        <v>1616</v>
      </c>
      <c r="I54" s="1" t="str">
        <f aca="false">VLOOKUP(H54,Клиенты!$A$2:$E$1995,5,FALSE())</f>
        <v>г. Дигора</v>
      </c>
      <c r="J54" s="1" t="n">
        <f aca="false">VLOOKUP(B54,Заказы!$A$2:$E$2995,4,FALSE())</f>
        <v>0</v>
      </c>
      <c r="K54" s="1" t="str">
        <f aca="false">VLOOKUP(B54,Заказы!$A$2:$E$2995,5,FALSE())</f>
        <v>Не выполнено</v>
      </c>
      <c r="L54" s="1" t="n">
        <f aca="false">D54*F54+J54</f>
        <v>3745</v>
      </c>
      <c r="M54" s="1" t="n">
        <f aca="false">IF(AND(E54="Пицца Труслейка",I54="г. Москва",K54="Выполнено",G54&gt;=DATE(2020,7,1),G54&lt;DATE(2020,8,1)),L54,0)</f>
        <v>0</v>
      </c>
    </row>
    <row r="55" customFormat="false" ht="15" hidden="false" customHeight="true" outlineLevel="0" collapsed="false">
      <c r="A55" s="1" t="n">
        <v>100719</v>
      </c>
      <c r="B55" s="1" t="n">
        <v>50170</v>
      </c>
      <c r="C55" s="1" t="n">
        <v>19</v>
      </c>
      <c r="D55" s="1" t="n">
        <v>2</v>
      </c>
      <c r="E55" s="1" t="str">
        <f aca="false">VLOOKUP(C55,Меню!$A$2:$C$24,2,FALSE())</f>
        <v>Пицца Цезарь</v>
      </c>
      <c r="F55" s="1" t="n">
        <f aca="false">VLOOKUP(C55,Меню!$A$2:$C$24,3,FALSE())</f>
        <v>630</v>
      </c>
      <c r="G55" s="5" t="n">
        <f aca="false">VLOOKUP(B55,Заказы!$A$2:$E$2995,2,FALSE())</f>
        <v>44047</v>
      </c>
      <c r="H55" s="1" t="n">
        <f aca="false">VLOOKUP(B55,Заказы!$A$2:$E$2995,3,FALSE())</f>
        <v>1382</v>
      </c>
      <c r="I55" s="1" t="str">
        <f aca="false">VLOOKUP(H55,Клиенты!$A$2:$E$1995,5,FALSE())</f>
        <v>г. Полярный</v>
      </c>
      <c r="J55" s="1" t="n">
        <f aca="false">VLOOKUP(B55,Заказы!$A$2:$E$2995,4,FALSE())</f>
        <v>0</v>
      </c>
      <c r="K55" s="1" t="str">
        <f aca="false">VLOOKUP(B55,Заказы!$A$2:$E$2995,5,FALSE())</f>
        <v>Не выполнено</v>
      </c>
      <c r="L55" s="1" t="n">
        <f aca="false">D55*F55+J55</f>
        <v>1260</v>
      </c>
      <c r="M55" s="1" t="n">
        <f aca="false">IF(AND(E55="Пицца Труслейка",I55="г. Москва",K55="Выполнено",G55&gt;=DATE(2020,7,1),G55&lt;DATE(2020,8,1)),L55,0)</f>
        <v>0</v>
      </c>
    </row>
    <row r="56" customFormat="false" ht="15" hidden="false" customHeight="true" outlineLevel="0" collapsed="false">
      <c r="A56" s="1" t="n">
        <v>101773</v>
      </c>
      <c r="B56" s="1" t="n">
        <v>51563</v>
      </c>
      <c r="C56" s="1" t="n">
        <v>14</v>
      </c>
      <c r="D56" s="1" t="n">
        <v>9</v>
      </c>
      <c r="E56" s="1" t="str">
        <f aca="false">VLOOKUP(C56,Меню!$A$2:$C$24,2,FALSE())</f>
        <v>Пицца Сырный цыпленок</v>
      </c>
      <c r="F56" s="1" t="n">
        <f aca="false">VLOOKUP(C56,Меню!$A$2:$C$24,3,FALSE())</f>
        <v>555</v>
      </c>
      <c r="G56" s="5" t="n">
        <f aca="false">VLOOKUP(B56,Заказы!$A$2:$E$2995,2,FALSE())</f>
        <v>44052</v>
      </c>
      <c r="H56" s="1" t="n">
        <f aca="false">VLOOKUP(B56,Заказы!$A$2:$E$2995,3,FALSE())</f>
        <v>1192</v>
      </c>
      <c r="I56" s="1" t="str">
        <f aca="false">VLOOKUP(H56,Клиенты!$A$2:$E$1995,5,FALSE())</f>
        <v>г. Кыштым</v>
      </c>
      <c r="J56" s="1" t="n">
        <f aca="false">VLOOKUP(B56,Заказы!$A$2:$E$2995,4,FALSE())</f>
        <v>101</v>
      </c>
      <c r="K56" s="1" t="str">
        <f aca="false">VLOOKUP(B56,Заказы!$A$2:$E$2995,5,FALSE())</f>
        <v>Выполнено</v>
      </c>
      <c r="L56" s="1" t="n">
        <f aca="false">D56*F56+J56</f>
        <v>5096</v>
      </c>
      <c r="M56" s="1" t="n">
        <f aca="false">IF(AND(E56="Пицца Труслейка",I56="г. Москва",K56="Выполнено",G56&gt;=DATE(2020,7,1),G56&lt;DATE(2020,8,1)),L56,0)</f>
        <v>0</v>
      </c>
    </row>
    <row r="57" customFormat="false" ht="15" hidden="false" customHeight="true" outlineLevel="0" collapsed="false">
      <c r="A57" s="1" t="n">
        <v>101222</v>
      </c>
      <c r="B57" s="1" t="n">
        <v>51652</v>
      </c>
      <c r="C57" s="1" t="n">
        <v>10</v>
      </c>
      <c r="D57" s="1" t="n">
        <v>9</v>
      </c>
      <c r="E57" s="1" t="str">
        <f aca="false">VLOOKUP(C57,Меню!$A$2:$C$24,2,FALSE())</f>
        <v>Пицца Пепперони фреш</v>
      </c>
      <c r="F57" s="1" t="n">
        <f aca="false">VLOOKUP(C57,Меню!$A$2:$C$24,3,FALSE())</f>
        <v>565</v>
      </c>
      <c r="G57" s="5" t="n">
        <f aca="false">VLOOKUP(B57,Заказы!$A$2:$E$2995,2,FALSE())</f>
        <v>43982</v>
      </c>
      <c r="H57" s="1" t="n">
        <f aca="false">VLOOKUP(B57,Заказы!$A$2:$E$2995,3,FALSE())</f>
        <v>1915</v>
      </c>
      <c r="I57" s="1" t="str">
        <f aca="false">VLOOKUP(H57,Клиенты!$A$2:$E$1995,5,FALSE())</f>
        <v>г. Похвистнево</v>
      </c>
      <c r="J57" s="1" t="n">
        <f aca="false">VLOOKUP(B57,Заказы!$A$2:$E$2995,4,FALSE())</f>
        <v>231</v>
      </c>
      <c r="K57" s="1" t="str">
        <f aca="false">VLOOKUP(B57,Заказы!$A$2:$E$2995,5,FALSE())</f>
        <v>Выполнено</v>
      </c>
      <c r="L57" s="1" t="n">
        <f aca="false">D57*F57+J57</f>
        <v>5316</v>
      </c>
      <c r="M57" s="1" t="n">
        <f aca="false">IF(AND(E57="Пицца Труслейка",I57="г. Москва",K57="Выполнено",G57&gt;=DATE(2020,7,1),G57&lt;DATE(2020,8,1)),L57,0)</f>
        <v>0</v>
      </c>
    </row>
    <row r="58" customFormat="false" ht="15" hidden="false" customHeight="true" outlineLevel="0" collapsed="false">
      <c r="A58" s="1" t="n">
        <v>101715</v>
      </c>
      <c r="B58" s="1" t="n">
        <v>51432</v>
      </c>
      <c r="C58" s="1" t="n">
        <v>14</v>
      </c>
      <c r="D58" s="1" t="n">
        <v>7</v>
      </c>
      <c r="E58" s="1" t="str">
        <f aca="false">VLOOKUP(C58,Меню!$A$2:$C$24,2,FALSE())</f>
        <v>Пицца Сырный цыпленок</v>
      </c>
      <c r="F58" s="1" t="n">
        <f aca="false">VLOOKUP(C58,Меню!$A$2:$C$24,3,FALSE())</f>
        <v>555</v>
      </c>
      <c r="G58" s="5" t="n">
        <f aca="false">VLOOKUP(B58,Заказы!$A$2:$E$2995,2,FALSE())</f>
        <v>43982</v>
      </c>
      <c r="H58" s="1" t="n">
        <f aca="false">VLOOKUP(B58,Заказы!$A$2:$E$2995,3,FALSE())</f>
        <v>98</v>
      </c>
      <c r="I58" s="1" t="str">
        <f aca="false">VLOOKUP(H58,Клиенты!$A$2:$E$1995,5,FALSE())</f>
        <v>г. Зеленогорск</v>
      </c>
      <c r="J58" s="1" t="n">
        <f aca="false">VLOOKUP(B58,Заказы!$A$2:$E$2995,4,FALSE())</f>
        <v>453</v>
      </c>
      <c r="K58" s="1" t="str">
        <f aca="false">VLOOKUP(B58,Заказы!$A$2:$E$2995,5,FALSE())</f>
        <v>Выполнено</v>
      </c>
      <c r="L58" s="1" t="n">
        <f aca="false">D58*F58+J58</f>
        <v>4338</v>
      </c>
      <c r="M58" s="1" t="n">
        <f aca="false">IF(AND(E58="Пицца Труслейка",I58="г. Москва",K58="Выполнено",G58&gt;=DATE(2020,7,1),G58&lt;DATE(2020,8,1)),L58,0)</f>
        <v>0</v>
      </c>
    </row>
    <row r="59" customFormat="false" ht="15" hidden="false" customHeight="true" outlineLevel="0" collapsed="false">
      <c r="A59" s="1" t="n">
        <v>101939</v>
      </c>
      <c r="B59" s="1" t="n">
        <v>50463</v>
      </c>
      <c r="C59" s="1" t="n">
        <v>6</v>
      </c>
      <c r="D59" s="1" t="n">
        <v>5</v>
      </c>
      <c r="E59" s="1" t="str">
        <f aca="false">VLOOKUP(C59,Меню!$A$2:$C$24,2,FALSE())</f>
        <v>Пицца Капричиоза</v>
      </c>
      <c r="F59" s="1" t="n">
        <f aca="false">VLOOKUP(C59,Меню!$A$2:$C$24,3,FALSE())</f>
        <v>570</v>
      </c>
      <c r="G59" s="5" t="n">
        <f aca="false">VLOOKUP(B59,Заказы!$A$2:$E$2995,2,FALSE())</f>
        <v>44061</v>
      </c>
      <c r="H59" s="1" t="n">
        <f aca="false">VLOOKUP(B59,Заказы!$A$2:$E$2995,3,FALSE())</f>
        <v>568</v>
      </c>
      <c r="I59" s="1" t="str">
        <f aca="false">VLOOKUP(H59,Клиенты!$A$2:$E$1995,5,FALSE())</f>
        <v>г. Грязи</v>
      </c>
      <c r="J59" s="1" t="n">
        <f aca="false">VLOOKUP(B59,Заказы!$A$2:$E$2995,4,FALSE())</f>
        <v>0</v>
      </c>
      <c r="K59" s="1" t="str">
        <f aca="false">VLOOKUP(B59,Заказы!$A$2:$E$2995,5,FALSE())</f>
        <v>Не выполнено</v>
      </c>
      <c r="L59" s="1" t="n">
        <f aca="false">D59*F59+J59</f>
        <v>2850</v>
      </c>
      <c r="M59" s="1" t="n">
        <f aca="false">IF(AND(E59="Пицца Труслейка",I59="г. Москва",K59="Выполнено",G59&gt;=DATE(2020,7,1),G59&lt;DATE(2020,8,1)),L59,0)</f>
        <v>0</v>
      </c>
    </row>
    <row r="60" customFormat="false" ht="15" hidden="false" customHeight="true" outlineLevel="0" collapsed="false">
      <c r="A60" s="1" t="n">
        <v>100178</v>
      </c>
      <c r="B60" s="1" t="n">
        <v>51887</v>
      </c>
      <c r="C60" s="1" t="n">
        <v>14</v>
      </c>
      <c r="D60" s="1" t="n">
        <v>7</v>
      </c>
      <c r="E60" s="1" t="str">
        <f aca="false">VLOOKUP(C60,Меню!$A$2:$C$24,2,FALSE())</f>
        <v>Пицца Сырный цыпленок</v>
      </c>
      <c r="F60" s="1" t="n">
        <f aca="false">VLOOKUP(C60,Меню!$A$2:$C$24,3,FALSE())</f>
        <v>555</v>
      </c>
      <c r="G60" s="5" t="n">
        <f aca="false">VLOOKUP(B60,Заказы!$A$2:$E$2995,2,FALSE())</f>
        <v>44063</v>
      </c>
      <c r="H60" s="1" t="n">
        <f aca="false">VLOOKUP(B60,Заказы!$A$2:$E$2995,3,FALSE())</f>
        <v>45</v>
      </c>
      <c r="I60" s="1" t="str">
        <f aca="false">VLOOKUP(H60,Клиенты!$A$2:$E$1995,5,FALSE())</f>
        <v>г. Казань</v>
      </c>
      <c r="J60" s="1" t="n">
        <f aca="false">VLOOKUP(B60,Заказы!$A$2:$E$2995,4,FALSE())</f>
        <v>583</v>
      </c>
      <c r="K60" s="1" t="str">
        <f aca="false">VLOOKUP(B60,Заказы!$A$2:$E$2995,5,FALSE())</f>
        <v>Выполнено</v>
      </c>
      <c r="L60" s="1" t="n">
        <f aca="false">D60*F60+J60</f>
        <v>4468</v>
      </c>
      <c r="M60" s="1" t="n">
        <f aca="false">IF(AND(E60="Пицца Труслейка",I60="г. Москва",K60="Выполнено",G60&gt;=DATE(2020,7,1),G60&lt;DATE(2020,8,1)),L60,0)</f>
        <v>0</v>
      </c>
    </row>
    <row r="61" customFormat="false" ht="15" hidden="false" customHeight="true" outlineLevel="0" collapsed="false">
      <c r="A61" s="1" t="n">
        <v>101986</v>
      </c>
      <c r="B61" s="1" t="n">
        <v>50317</v>
      </c>
      <c r="C61" s="1" t="n">
        <v>4</v>
      </c>
      <c r="D61" s="1" t="n">
        <v>8</v>
      </c>
      <c r="E61" s="1" t="str">
        <f aca="false">VLOOKUP(C61,Меню!$A$2:$C$24,2,FALSE())</f>
        <v>Пицца Труслейка</v>
      </c>
      <c r="F61" s="1" t="n">
        <f aca="false">VLOOKUP(C61,Меню!$A$2:$C$24,3,FALSE())</f>
        <v>610</v>
      </c>
      <c r="G61" s="5" t="n">
        <f aca="false">VLOOKUP(B61,Заказы!$A$2:$E$2995,2,FALSE())</f>
        <v>43986</v>
      </c>
      <c r="H61" s="1" t="n">
        <f aca="false">VLOOKUP(B61,Заказы!$A$2:$E$2995,3,FALSE())</f>
        <v>1583</v>
      </c>
      <c r="I61" s="1" t="str">
        <f aca="false">VLOOKUP(H61,Клиенты!$A$2:$E$1995,5,FALSE())</f>
        <v>г. Батайск</v>
      </c>
      <c r="J61" s="1" t="n">
        <f aca="false">VLOOKUP(B61,Заказы!$A$2:$E$2995,4,FALSE())</f>
        <v>0</v>
      </c>
      <c r="K61" s="1" t="str">
        <f aca="false">VLOOKUP(B61,Заказы!$A$2:$E$2995,5,FALSE())</f>
        <v>Не выполнено</v>
      </c>
      <c r="L61" s="1" t="n">
        <f aca="false">D61*F61+J61</f>
        <v>4880</v>
      </c>
      <c r="M61" s="1" t="n">
        <f aca="false">IF(AND(E61="Пицца Труслейка",I61="г. Москва",K61="Выполнено",G61&gt;=DATE(2020,7,1),G61&lt;DATE(2020,8,1)),L61,0)</f>
        <v>0</v>
      </c>
    </row>
    <row r="62" customFormat="false" ht="15" hidden="false" customHeight="true" outlineLevel="0" collapsed="false">
      <c r="A62" s="1" t="n">
        <v>101168</v>
      </c>
      <c r="B62" s="1" t="n">
        <v>51520</v>
      </c>
      <c r="C62" s="1" t="n">
        <v>21</v>
      </c>
      <c r="D62" s="1" t="n">
        <v>10</v>
      </c>
      <c r="E62" s="1" t="str">
        <f aca="false">VLOOKUP(C62,Меню!$A$2:$C$24,2,FALSE())</f>
        <v>Пицца с креветками и цукини</v>
      </c>
      <c r="F62" s="1" t="n">
        <f aca="false">VLOOKUP(C62,Меню!$A$2:$C$24,3,FALSE())</f>
        <v>600</v>
      </c>
      <c r="G62" s="5" t="n">
        <f aca="false">VLOOKUP(B62,Заказы!$A$2:$E$2995,2,FALSE())</f>
        <v>44035</v>
      </c>
      <c r="H62" s="1" t="n">
        <f aca="false">VLOOKUP(B62,Заказы!$A$2:$E$2995,3,FALSE())</f>
        <v>1421</v>
      </c>
      <c r="I62" s="1" t="str">
        <f aca="false">VLOOKUP(H62,Клиенты!$A$2:$E$1995,5,FALSE())</f>
        <v>г. Верещагино</v>
      </c>
      <c r="J62" s="1" t="n">
        <f aca="false">VLOOKUP(B62,Заказы!$A$2:$E$2995,4,FALSE())</f>
        <v>0</v>
      </c>
      <c r="K62" s="1" t="str">
        <f aca="false">VLOOKUP(B62,Заказы!$A$2:$E$2995,5,FALSE())</f>
        <v>Не выполнено</v>
      </c>
      <c r="L62" s="1" t="n">
        <f aca="false">D62*F62+J62</f>
        <v>6000</v>
      </c>
      <c r="M62" s="1" t="n">
        <f aca="false">IF(AND(E62="Пицца Труслейка",I62="г. Москва",K62="Выполнено",G62&gt;=DATE(2020,7,1),G62&lt;DATE(2020,8,1)),L62,0)</f>
        <v>0</v>
      </c>
    </row>
    <row r="63" customFormat="false" ht="15" hidden="false" customHeight="true" outlineLevel="0" collapsed="false">
      <c r="A63" s="1" t="n">
        <v>100475</v>
      </c>
      <c r="B63" s="1" t="n">
        <v>50991</v>
      </c>
      <c r="C63" s="1" t="n">
        <v>14</v>
      </c>
      <c r="D63" s="1" t="n">
        <v>3</v>
      </c>
      <c r="E63" s="1" t="str">
        <f aca="false">VLOOKUP(C63,Меню!$A$2:$C$24,2,FALSE())</f>
        <v>Пицца Сырный цыпленок</v>
      </c>
      <c r="F63" s="1" t="n">
        <f aca="false">VLOOKUP(C63,Меню!$A$2:$C$24,3,FALSE())</f>
        <v>555</v>
      </c>
      <c r="G63" s="5" t="n">
        <f aca="false">VLOOKUP(B63,Заказы!$A$2:$E$2995,2,FALSE())</f>
        <v>44041</v>
      </c>
      <c r="H63" s="1" t="n">
        <f aca="false">VLOOKUP(B63,Заказы!$A$2:$E$2995,3,FALSE())</f>
        <v>1800</v>
      </c>
      <c r="I63" s="1" t="str">
        <f aca="false">VLOOKUP(H63,Клиенты!$A$2:$E$1995,5,FALSE())</f>
        <v>г. Москва</v>
      </c>
      <c r="J63" s="1" t="n">
        <f aca="false">VLOOKUP(B63,Заказы!$A$2:$E$2995,4,FALSE())</f>
        <v>727</v>
      </c>
      <c r="K63" s="1" t="str">
        <f aca="false">VLOOKUP(B63,Заказы!$A$2:$E$2995,5,FALSE())</f>
        <v>Выполнено</v>
      </c>
      <c r="L63" s="1" t="n">
        <f aca="false">D63*F63+J63</f>
        <v>2392</v>
      </c>
      <c r="M63" s="1" t="n">
        <f aca="false">IF(AND(E63="Пицца Труслейка",I63="г. Москва",K63="Выполнено",G63&gt;=DATE(2020,7,1),G63&lt;DATE(2020,8,1)),L63,0)</f>
        <v>0</v>
      </c>
    </row>
    <row r="64" customFormat="false" ht="15" hidden="false" customHeight="true" outlineLevel="0" collapsed="false">
      <c r="A64" s="1" t="n">
        <v>101981</v>
      </c>
      <c r="B64" s="1" t="n">
        <v>50844</v>
      </c>
      <c r="C64" s="1" t="n">
        <v>15</v>
      </c>
      <c r="D64" s="1" t="n">
        <v>7</v>
      </c>
      <c r="E64" s="1" t="str">
        <f aca="false">VLOOKUP(C64,Меню!$A$2:$C$24,2,FALSE())</f>
        <v>Пицца Тропиканка</v>
      </c>
      <c r="F64" s="1" t="n">
        <f aca="false">VLOOKUP(C64,Меню!$A$2:$C$24,3,FALSE())</f>
        <v>605</v>
      </c>
      <c r="G64" s="5" t="n">
        <f aca="false">VLOOKUP(B64,Заказы!$A$2:$E$2995,2,FALSE())</f>
        <v>44023</v>
      </c>
      <c r="H64" s="1" t="n">
        <f aca="false">VLOOKUP(B64,Заказы!$A$2:$E$2995,3,FALSE())</f>
        <v>1950</v>
      </c>
      <c r="I64" s="1" t="str">
        <f aca="false">VLOOKUP(H64,Клиенты!$A$2:$E$1995,5,FALSE())</f>
        <v>г. Москва</v>
      </c>
      <c r="J64" s="1" t="n">
        <f aca="false">VLOOKUP(B64,Заказы!$A$2:$E$2995,4,FALSE())</f>
        <v>0</v>
      </c>
      <c r="K64" s="1" t="str">
        <f aca="false">VLOOKUP(B64,Заказы!$A$2:$E$2995,5,FALSE())</f>
        <v>Не выполнено</v>
      </c>
      <c r="L64" s="1" t="n">
        <f aca="false">D64*F64+J64</f>
        <v>4235</v>
      </c>
      <c r="M64" s="1" t="n">
        <f aca="false">IF(AND(E64="Пицца Труслейка",I64="г. Москва",K64="Выполнено",G64&gt;=DATE(2020,7,1),G64&lt;DATE(2020,8,1)),L64,0)</f>
        <v>0</v>
      </c>
    </row>
    <row r="65" customFormat="false" ht="15" hidden="false" customHeight="true" outlineLevel="0" collapsed="false">
      <c r="A65" s="1" t="n">
        <v>101684</v>
      </c>
      <c r="B65" s="1" t="n">
        <v>50530</v>
      </c>
      <c r="C65" s="1" t="n">
        <v>15</v>
      </c>
      <c r="D65" s="1" t="n">
        <v>10</v>
      </c>
      <c r="E65" s="1" t="str">
        <f aca="false">VLOOKUP(C65,Меню!$A$2:$C$24,2,FALSE())</f>
        <v>Пицца Тропиканка</v>
      </c>
      <c r="F65" s="1" t="n">
        <f aca="false">VLOOKUP(C65,Меню!$A$2:$C$24,3,FALSE())</f>
        <v>605</v>
      </c>
      <c r="G65" s="5" t="n">
        <f aca="false">VLOOKUP(B65,Заказы!$A$2:$E$2995,2,FALSE())</f>
        <v>44013</v>
      </c>
      <c r="H65" s="1" t="n">
        <f aca="false">VLOOKUP(B65,Заказы!$A$2:$E$2995,3,FALSE())</f>
        <v>591</v>
      </c>
      <c r="I65" s="1" t="str">
        <f aca="false">VLOOKUP(H65,Клиенты!$A$2:$E$1995,5,FALSE())</f>
        <v>г. Спас-Деменск</v>
      </c>
      <c r="J65" s="1" t="n">
        <f aca="false">VLOOKUP(B65,Заказы!$A$2:$E$2995,4,FALSE())</f>
        <v>0</v>
      </c>
      <c r="K65" s="1" t="str">
        <f aca="false">VLOOKUP(B65,Заказы!$A$2:$E$2995,5,FALSE())</f>
        <v>Не выполнено</v>
      </c>
      <c r="L65" s="1" t="n">
        <f aca="false">D65*F65+J65</f>
        <v>6050</v>
      </c>
      <c r="M65" s="1" t="n">
        <f aca="false">IF(AND(E65="Пицца Труслейка",I65="г. Москва",K65="Выполнено",G65&gt;=DATE(2020,7,1),G65&lt;DATE(2020,8,1)),L65,0)</f>
        <v>0</v>
      </c>
    </row>
    <row r="66" customFormat="false" ht="15" hidden="false" customHeight="true" outlineLevel="0" collapsed="false">
      <c r="A66" s="1" t="n">
        <v>100472</v>
      </c>
      <c r="B66" s="1" t="n">
        <v>51511</v>
      </c>
      <c r="C66" s="1" t="n">
        <v>13</v>
      </c>
      <c r="D66" s="1" t="n">
        <v>1</v>
      </c>
      <c r="E66" s="1" t="str">
        <f aca="false">VLOOKUP(C66,Меню!$A$2:$C$24,2,FALSE())</f>
        <v>Пицца Сырная</v>
      </c>
      <c r="F66" s="1" t="n">
        <f aca="false">VLOOKUP(C66,Меню!$A$2:$C$24,3,FALSE())</f>
        <v>635</v>
      </c>
      <c r="G66" s="5" t="n">
        <f aca="false">VLOOKUP(B66,Заказы!$A$2:$E$2995,2,FALSE())</f>
        <v>44070</v>
      </c>
      <c r="H66" s="1" t="n">
        <f aca="false">VLOOKUP(B66,Заказы!$A$2:$E$2995,3,FALSE())</f>
        <v>1322</v>
      </c>
      <c r="I66" s="1" t="str">
        <f aca="false">VLOOKUP(H66,Клиенты!$A$2:$E$1995,5,FALSE())</f>
        <v>г. Одинцово</v>
      </c>
      <c r="J66" s="1" t="n">
        <f aca="false">VLOOKUP(B66,Заказы!$A$2:$E$2995,4,FALSE())</f>
        <v>0</v>
      </c>
      <c r="K66" s="1" t="str">
        <f aca="false">VLOOKUP(B66,Заказы!$A$2:$E$2995,5,FALSE())</f>
        <v>Не выполнено</v>
      </c>
      <c r="L66" s="1" t="n">
        <f aca="false">D66*F66+J66</f>
        <v>635</v>
      </c>
      <c r="M66" s="1" t="n">
        <f aca="false">IF(AND(E66="Пицца Труслейка",I66="г. Москва",K66="Выполнено",G66&gt;=DATE(2020,7,1),G66&lt;DATE(2020,8,1)),L66,0)</f>
        <v>0</v>
      </c>
    </row>
    <row r="67" customFormat="false" ht="15" hidden="false" customHeight="true" outlineLevel="0" collapsed="false">
      <c r="A67" s="1" t="n">
        <v>101695</v>
      </c>
      <c r="B67" s="1" t="n">
        <v>50751</v>
      </c>
      <c r="C67" s="1" t="n">
        <v>13</v>
      </c>
      <c r="D67" s="1" t="n">
        <v>10</v>
      </c>
      <c r="E67" s="1" t="str">
        <f aca="false">VLOOKUP(C67,Меню!$A$2:$C$24,2,FALSE())</f>
        <v>Пицца Сырная</v>
      </c>
      <c r="F67" s="1" t="n">
        <f aca="false">VLOOKUP(C67,Меню!$A$2:$C$24,3,FALSE())</f>
        <v>635</v>
      </c>
      <c r="G67" s="5" t="n">
        <f aca="false">VLOOKUP(B67,Заказы!$A$2:$E$2995,2,FALSE())</f>
        <v>43998</v>
      </c>
      <c r="H67" s="1" t="n">
        <f aca="false">VLOOKUP(B67,Заказы!$A$2:$E$2995,3,FALSE())</f>
        <v>1062</v>
      </c>
      <c r="I67" s="1" t="str">
        <f aca="false">VLOOKUP(H67,Клиенты!$A$2:$E$1995,5,FALSE())</f>
        <v>г. Рубцовск</v>
      </c>
      <c r="J67" s="1" t="n">
        <f aca="false">VLOOKUP(B67,Заказы!$A$2:$E$2995,4,FALSE())</f>
        <v>782</v>
      </c>
      <c r="K67" s="1" t="str">
        <f aca="false">VLOOKUP(B67,Заказы!$A$2:$E$2995,5,FALSE())</f>
        <v>Выполнено</v>
      </c>
      <c r="L67" s="1" t="n">
        <f aca="false">D67*F67+J67</f>
        <v>7132</v>
      </c>
      <c r="M67" s="1" t="n">
        <f aca="false">IF(AND(E67="Пицца Труслейка",I67="г. Москва",K67="Выполнено",G67&gt;=DATE(2020,7,1),G67&lt;DATE(2020,8,1)),L67,0)</f>
        <v>0</v>
      </c>
    </row>
    <row r="68" customFormat="false" ht="15" hidden="false" customHeight="true" outlineLevel="0" collapsed="false">
      <c r="A68" s="1" t="n">
        <v>101648</v>
      </c>
      <c r="B68" s="1" t="n">
        <v>51017</v>
      </c>
      <c r="C68" s="1" t="n">
        <v>16</v>
      </c>
      <c r="D68" s="1" t="n">
        <v>5</v>
      </c>
      <c r="E68" s="1" t="str">
        <f aca="false">VLOOKUP(C68,Меню!$A$2:$C$24,2,FALSE())</f>
        <v>Пицца Флорида</v>
      </c>
      <c r="F68" s="1" t="n">
        <f aca="false">VLOOKUP(C68,Меню!$A$2:$C$24,3,FALSE())</f>
        <v>535</v>
      </c>
      <c r="G68" s="5" t="n">
        <f aca="false">VLOOKUP(B68,Заказы!$A$2:$E$2995,2,FALSE())</f>
        <v>44060</v>
      </c>
      <c r="H68" s="1" t="n">
        <f aca="false">VLOOKUP(B68,Заказы!$A$2:$E$2995,3,FALSE())</f>
        <v>8</v>
      </c>
      <c r="I68" s="1" t="str">
        <f aca="false">VLOOKUP(H68,Клиенты!$A$2:$E$1995,5,FALSE())</f>
        <v>г. Приморск</v>
      </c>
      <c r="J68" s="1" t="n">
        <f aca="false">VLOOKUP(B68,Заказы!$A$2:$E$2995,4,FALSE())</f>
        <v>541</v>
      </c>
      <c r="K68" s="1" t="str">
        <f aca="false">VLOOKUP(B68,Заказы!$A$2:$E$2995,5,FALSE())</f>
        <v>Выполнено</v>
      </c>
      <c r="L68" s="1" t="n">
        <f aca="false">D68*F68+J68</f>
        <v>3216</v>
      </c>
      <c r="M68" s="1" t="n">
        <f aca="false">IF(AND(E68="Пицца Труслейка",I68="г. Москва",K68="Выполнено",G68&gt;=DATE(2020,7,1),G68&lt;DATE(2020,8,1)),L68,0)</f>
        <v>0</v>
      </c>
    </row>
    <row r="69" customFormat="false" ht="15" hidden="false" customHeight="true" outlineLevel="0" collapsed="false">
      <c r="A69" s="1" t="n">
        <v>100208</v>
      </c>
      <c r="B69" s="1" t="n">
        <v>51967</v>
      </c>
      <c r="C69" s="1" t="n">
        <v>18</v>
      </c>
      <c r="D69" s="1" t="n">
        <v>7</v>
      </c>
      <c r="E69" s="1" t="str">
        <f aca="false">VLOOKUP(C69,Меню!$A$2:$C$24,2,FALSE())</f>
        <v>Пицца Царская</v>
      </c>
      <c r="F69" s="1" t="n">
        <f aca="false">VLOOKUP(C69,Меню!$A$2:$C$24,3,FALSE())</f>
        <v>620</v>
      </c>
      <c r="G69" s="5" t="n">
        <f aca="false">VLOOKUP(B69,Заказы!$A$2:$E$2995,2,FALSE())</f>
        <v>44005</v>
      </c>
      <c r="H69" s="1" t="n">
        <f aca="false">VLOOKUP(B69,Заказы!$A$2:$E$2995,3,FALSE())</f>
        <v>1107</v>
      </c>
      <c r="I69" s="1" t="str">
        <f aca="false">VLOOKUP(H69,Клиенты!$A$2:$E$1995,5,FALSE())</f>
        <v>г. Петушки</v>
      </c>
      <c r="J69" s="1" t="n">
        <f aca="false">VLOOKUP(B69,Заказы!$A$2:$E$2995,4,FALSE())</f>
        <v>656</v>
      </c>
      <c r="K69" s="1" t="str">
        <f aca="false">VLOOKUP(B69,Заказы!$A$2:$E$2995,5,FALSE())</f>
        <v>Выполнено</v>
      </c>
      <c r="L69" s="1" t="n">
        <f aca="false">D69*F69+J69</f>
        <v>4996</v>
      </c>
      <c r="M69" s="1" t="n">
        <f aca="false">IF(AND(E69="Пицца Труслейка",I69="г. Москва",K69="Выполнено",G69&gt;=DATE(2020,7,1),G69&lt;DATE(2020,8,1)),L69,0)</f>
        <v>0</v>
      </c>
    </row>
    <row r="70" customFormat="false" ht="15" hidden="false" customHeight="true" outlineLevel="0" collapsed="false">
      <c r="A70" s="1" t="n">
        <v>101867</v>
      </c>
      <c r="B70" s="1" t="n">
        <v>50551</v>
      </c>
      <c r="C70" s="1" t="n">
        <v>22</v>
      </c>
      <c r="D70" s="1" t="n">
        <v>9</v>
      </c>
      <c r="E70" s="1" t="str">
        <f aca="false">VLOOKUP(C70,Меню!$A$2:$C$24,2,FALSE())</f>
        <v>Пицца с поркеттой и фриарелли</v>
      </c>
      <c r="F70" s="1" t="n">
        <f aca="false">VLOOKUP(C70,Меню!$A$2:$C$24,3,FALSE())</f>
        <v>550</v>
      </c>
      <c r="G70" s="5" t="n">
        <f aca="false">VLOOKUP(B70,Заказы!$A$2:$E$2995,2,FALSE())</f>
        <v>44039</v>
      </c>
      <c r="H70" s="1" t="n">
        <f aca="false">VLOOKUP(B70,Заказы!$A$2:$E$2995,3,FALSE())</f>
        <v>932</v>
      </c>
      <c r="I70" s="1" t="str">
        <f aca="false">VLOOKUP(H70,Клиенты!$A$2:$E$1995,5,FALSE())</f>
        <v>г. Мантурово</v>
      </c>
      <c r="J70" s="1" t="n">
        <f aca="false">VLOOKUP(B70,Заказы!$A$2:$E$2995,4,FALSE())</f>
        <v>239</v>
      </c>
      <c r="K70" s="1" t="str">
        <f aca="false">VLOOKUP(B70,Заказы!$A$2:$E$2995,5,FALSE())</f>
        <v>Выполнено</v>
      </c>
      <c r="L70" s="1" t="n">
        <f aca="false">D70*F70+J70</f>
        <v>5189</v>
      </c>
      <c r="M70" s="1" t="n">
        <f aca="false">IF(AND(E70="Пицца Труслейка",I70="г. Москва",K70="Выполнено",G70&gt;=DATE(2020,7,1),G70&lt;DATE(2020,8,1)),L70,0)</f>
        <v>0</v>
      </c>
    </row>
    <row r="71" customFormat="false" ht="15" hidden="false" customHeight="true" outlineLevel="0" collapsed="false">
      <c r="A71" s="1" t="n">
        <v>100749</v>
      </c>
      <c r="B71" s="1" t="n">
        <v>50495</v>
      </c>
      <c r="C71" s="1" t="n">
        <v>4</v>
      </c>
      <c r="D71" s="1" t="n">
        <v>6</v>
      </c>
      <c r="E71" s="1" t="str">
        <f aca="false">VLOOKUP(C71,Меню!$A$2:$C$24,2,FALSE())</f>
        <v>Пицца Труслейка</v>
      </c>
      <c r="F71" s="1" t="n">
        <f aca="false">VLOOKUP(C71,Меню!$A$2:$C$24,3,FALSE())</f>
        <v>610</v>
      </c>
      <c r="G71" s="5" t="n">
        <f aca="false">VLOOKUP(B71,Заказы!$A$2:$E$2995,2,FALSE())</f>
        <v>44040</v>
      </c>
      <c r="H71" s="1" t="n">
        <f aca="false">VLOOKUP(B71,Заказы!$A$2:$E$2995,3,FALSE())</f>
        <v>495</v>
      </c>
      <c r="I71" s="1" t="str">
        <f aca="false">VLOOKUP(H71,Клиенты!$A$2:$E$1995,5,FALSE())</f>
        <v>г. Котово</v>
      </c>
      <c r="J71" s="1" t="n">
        <f aca="false">VLOOKUP(B71,Заказы!$A$2:$E$2995,4,FALSE())</f>
        <v>0</v>
      </c>
      <c r="K71" s="1" t="str">
        <f aca="false">VLOOKUP(B71,Заказы!$A$2:$E$2995,5,FALSE())</f>
        <v>Не выполнено</v>
      </c>
      <c r="L71" s="1" t="n">
        <f aca="false">D71*F71+J71</f>
        <v>3660</v>
      </c>
      <c r="M71" s="1" t="n">
        <f aca="false">IF(AND(E71="Пицца Труслейка",I71="г. Москва",K71="Выполнено",G71&gt;=DATE(2020,7,1),G71&lt;DATE(2020,8,1)),L71,0)</f>
        <v>0</v>
      </c>
    </row>
    <row r="72" customFormat="false" ht="15" hidden="false" customHeight="true" outlineLevel="0" collapsed="false">
      <c r="A72" s="1" t="n">
        <v>101313</v>
      </c>
      <c r="B72" s="1" t="n">
        <v>51161</v>
      </c>
      <c r="C72" s="1" t="n">
        <v>11</v>
      </c>
      <c r="D72" s="1" t="n">
        <v>8</v>
      </c>
      <c r="E72" s="1" t="str">
        <f aca="false">VLOOKUP(C72,Меню!$A$2:$C$24,2,FALSE())</f>
        <v>Пицца Песто</v>
      </c>
      <c r="F72" s="1" t="n">
        <f aca="false">VLOOKUP(C72,Меню!$A$2:$C$24,3,FALSE())</f>
        <v>530</v>
      </c>
      <c r="G72" s="5" t="n">
        <f aca="false">VLOOKUP(B72,Заказы!$A$2:$E$2995,2,FALSE())</f>
        <v>44067</v>
      </c>
      <c r="H72" s="1" t="n">
        <f aca="false">VLOOKUP(B72,Заказы!$A$2:$E$2995,3,FALSE())</f>
        <v>1365</v>
      </c>
      <c r="I72" s="1" t="str">
        <f aca="false">VLOOKUP(H72,Клиенты!$A$2:$E$1995,5,FALSE())</f>
        <v>г. Лысьва</v>
      </c>
      <c r="J72" s="1" t="n">
        <f aca="false">VLOOKUP(B72,Заказы!$A$2:$E$2995,4,FALSE())</f>
        <v>0</v>
      </c>
      <c r="K72" s="1" t="str">
        <f aca="false">VLOOKUP(B72,Заказы!$A$2:$E$2995,5,FALSE())</f>
        <v>Не выполнено</v>
      </c>
      <c r="L72" s="1" t="n">
        <f aca="false">D72*F72+J72</f>
        <v>4240</v>
      </c>
      <c r="M72" s="1" t="n">
        <f aca="false">IF(AND(E72="Пицца Труслейка",I72="г. Москва",K72="Выполнено",G72&gt;=DATE(2020,7,1),G72&lt;DATE(2020,8,1)),L72,0)</f>
        <v>0</v>
      </c>
    </row>
    <row r="73" customFormat="false" ht="15" hidden="false" customHeight="true" outlineLevel="0" collapsed="false">
      <c r="A73" s="1" t="n">
        <v>100933</v>
      </c>
      <c r="B73" s="1" t="n">
        <v>51092</v>
      </c>
      <c r="C73" s="1" t="n">
        <v>20</v>
      </c>
      <c r="D73" s="1" t="n">
        <v>6</v>
      </c>
      <c r="E73" s="1" t="str">
        <f aca="false">VLOOKUP(C73,Меню!$A$2:$C$24,2,FALSE())</f>
        <v>Пицца пиканте</v>
      </c>
      <c r="F73" s="1" t="n">
        <f aca="false">VLOOKUP(C73,Меню!$A$2:$C$24,3,FALSE())</f>
        <v>585</v>
      </c>
      <c r="G73" s="5" t="n">
        <f aca="false">VLOOKUP(B73,Заказы!$A$2:$E$2995,2,FALSE())</f>
        <v>44044</v>
      </c>
      <c r="H73" s="1" t="n">
        <f aca="false">VLOOKUP(B73,Заказы!$A$2:$E$2995,3,FALSE())</f>
        <v>1542</v>
      </c>
      <c r="I73" s="1" t="str">
        <f aca="false">VLOOKUP(H73,Клиенты!$A$2:$E$1995,5,FALSE())</f>
        <v>г. Карабаново</v>
      </c>
      <c r="J73" s="1" t="n">
        <f aca="false">VLOOKUP(B73,Заказы!$A$2:$E$2995,4,FALSE())</f>
        <v>0</v>
      </c>
      <c r="K73" s="1" t="str">
        <f aca="false">VLOOKUP(B73,Заказы!$A$2:$E$2995,5,FALSE())</f>
        <v>Не выполнено</v>
      </c>
      <c r="L73" s="1" t="n">
        <f aca="false">D73*F73+J73</f>
        <v>3510</v>
      </c>
      <c r="M73" s="1" t="n">
        <f aca="false">IF(AND(E73="Пицца Труслейка",I73="г. Москва",K73="Выполнено",G73&gt;=DATE(2020,7,1),G73&lt;DATE(2020,8,1)),L73,0)</f>
        <v>0</v>
      </c>
    </row>
    <row r="74" customFormat="false" ht="15" hidden="false" customHeight="true" outlineLevel="0" collapsed="false">
      <c r="A74" s="1" t="n">
        <v>101940</v>
      </c>
      <c r="B74" s="1" t="n">
        <v>51458</v>
      </c>
      <c r="C74" s="1" t="n">
        <v>1</v>
      </c>
      <c r="D74" s="1" t="n">
        <v>8</v>
      </c>
      <c r="E74" s="1" t="str">
        <f aca="false">VLOOKUP(C74,Меню!$A$2:$C$24,2,FALSE())</f>
        <v>Пицца Гавайская</v>
      </c>
      <c r="F74" s="1" t="n">
        <f aca="false">VLOOKUP(C74,Меню!$A$2:$C$24,3,FALSE())</f>
        <v>545</v>
      </c>
      <c r="G74" s="5" t="n">
        <f aca="false">VLOOKUP(B74,Заказы!$A$2:$E$2995,2,FALSE())</f>
        <v>44032</v>
      </c>
      <c r="H74" s="1" t="n">
        <f aca="false">VLOOKUP(B74,Заказы!$A$2:$E$2995,3,FALSE())</f>
        <v>1515</v>
      </c>
      <c r="I74" s="1" t="str">
        <f aca="false">VLOOKUP(H74,Клиенты!$A$2:$E$1995,5,FALSE())</f>
        <v>г. Сосновоборск</v>
      </c>
      <c r="J74" s="1" t="n">
        <f aca="false">VLOOKUP(B74,Заказы!$A$2:$E$2995,4,FALSE())</f>
        <v>263</v>
      </c>
      <c r="K74" s="1" t="str">
        <f aca="false">VLOOKUP(B74,Заказы!$A$2:$E$2995,5,FALSE())</f>
        <v>Выполнено</v>
      </c>
      <c r="L74" s="1" t="n">
        <f aca="false">D74*F74+J74</f>
        <v>4623</v>
      </c>
      <c r="M74" s="1" t="n">
        <f aca="false">IF(AND(E74="Пицца Труслейка",I74="г. Москва",K74="Выполнено",G74&gt;=DATE(2020,7,1),G74&lt;DATE(2020,8,1)),L74,0)</f>
        <v>0</v>
      </c>
    </row>
    <row r="75" customFormat="false" ht="15" hidden="false" customHeight="true" outlineLevel="0" collapsed="false">
      <c r="A75" s="1" t="n">
        <v>101345</v>
      </c>
      <c r="B75" s="1" t="n">
        <v>51251</v>
      </c>
      <c r="C75" s="1" t="n">
        <v>6</v>
      </c>
      <c r="D75" s="1" t="n">
        <v>4</v>
      </c>
      <c r="E75" s="1" t="str">
        <f aca="false">VLOOKUP(C75,Меню!$A$2:$C$24,2,FALSE())</f>
        <v>Пицца Капричиоза</v>
      </c>
      <c r="F75" s="1" t="n">
        <f aca="false">VLOOKUP(C75,Меню!$A$2:$C$24,3,FALSE())</f>
        <v>570</v>
      </c>
      <c r="G75" s="5" t="n">
        <f aca="false">VLOOKUP(B75,Заказы!$A$2:$E$2995,2,FALSE())</f>
        <v>43990</v>
      </c>
      <c r="H75" s="1" t="n">
        <f aca="false">VLOOKUP(B75,Заказы!$A$2:$E$2995,3,FALSE())</f>
        <v>1213</v>
      </c>
      <c r="I75" s="1" t="str">
        <f aca="false">VLOOKUP(H75,Клиенты!$A$2:$E$1995,5,FALSE())</f>
        <v>г. Краснокамск</v>
      </c>
      <c r="J75" s="1" t="n">
        <f aca="false">VLOOKUP(B75,Заказы!$A$2:$E$2995,4,FALSE())</f>
        <v>586</v>
      </c>
      <c r="K75" s="1" t="str">
        <f aca="false">VLOOKUP(B75,Заказы!$A$2:$E$2995,5,FALSE())</f>
        <v>Выполнено</v>
      </c>
      <c r="L75" s="1" t="n">
        <f aca="false">D75*F75+J75</f>
        <v>2866</v>
      </c>
      <c r="M75" s="1" t="n">
        <f aca="false">IF(AND(E75="Пицца Труслейка",I75="г. Москва",K75="Выполнено",G75&gt;=DATE(2020,7,1),G75&lt;DATE(2020,8,1)),L75,0)</f>
        <v>0</v>
      </c>
    </row>
    <row r="76" customFormat="false" ht="15" hidden="false" customHeight="true" outlineLevel="0" collapsed="false">
      <c r="A76" s="1" t="n">
        <v>100925</v>
      </c>
      <c r="B76" s="1" t="n">
        <v>50184</v>
      </c>
      <c r="C76" s="1" t="n">
        <v>19</v>
      </c>
      <c r="D76" s="1" t="n">
        <v>8</v>
      </c>
      <c r="E76" s="1" t="str">
        <f aca="false">VLOOKUP(C76,Меню!$A$2:$C$24,2,FALSE())</f>
        <v>Пицца Цезарь</v>
      </c>
      <c r="F76" s="1" t="n">
        <f aca="false">VLOOKUP(C76,Меню!$A$2:$C$24,3,FALSE())</f>
        <v>630</v>
      </c>
      <c r="G76" s="5" t="n">
        <f aca="false">VLOOKUP(B76,Заказы!$A$2:$E$2995,2,FALSE())</f>
        <v>44057</v>
      </c>
      <c r="H76" s="1" t="n">
        <f aca="false">VLOOKUP(B76,Заказы!$A$2:$E$2995,3,FALSE())</f>
        <v>166</v>
      </c>
      <c r="I76" s="1" t="str">
        <f aca="false">VLOOKUP(H76,Клиенты!$A$2:$E$1995,5,FALSE())</f>
        <v>г. Пермь</v>
      </c>
      <c r="J76" s="1" t="n">
        <f aca="false">VLOOKUP(B76,Заказы!$A$2:$E$2995,4,FALSE())</f>
        <v>191</v>
      </c>
      <c r="K76" s="1" t="str">
        <f aca="false">VLOOKUP(B76,Заказы!$A$2:$E$2995,5,FALSE())</f>
        <v>Выполнено</v>
      </c>
      <c r="L76" s="1" t="n">
        <f aca="false">D76*F76+J76</f>
        <v>5231</v>
      </c>
      <c r="M76" s="1" t="n">
        <f aca="false">IF(AND(E76="Пицца Труслейка",I76="г. Москва",K76="Выполнено",G76&gt;=DATE(2020,7,1),G76&lt;DATE(2020,8,1)),L76,0)</f>
        <v>0</v>
      </c>
    </row>
    <row r="77" customFormat="false" ht="15" hidden="false" customHeight="true" outlineLevel="0" collapsed="false">
      <c r="A77" s="1" t="n">
        <v>100071</v>
      </c>
      <c r="B77" s="1" t="n">
        <v>50849</v>
      </c>
      <c r="C77" s="1" t="n">
        <v>23</v>
      </c>
      <c r="D77" s="1" t="n">
        <v>5</v>
      </c>
      <c r="E77" s="1" t="str">
        <f aca="false">VLOOKUP(C77,Меню!$A$2:$C$24,2,FALSE())</f>
        <v>Пицца с тунцом</v>
      </c>
      <c r="F77" s="1" t="n">
        <f aca="false">VLOOKUP(C77,Меню!$A$2:$C$24,3,FALSE())</f>
        <v>520</v>
      </c>
      <c r="G77" s="5" t="n">
        <f aca="false">VLOOKUP(B77,Заказы!$A$2:$E$2995,2,FALSE())</f>
        <v>44019</v>
      </c>
      <c r="H77" s="1" t="n">
        <f aca="false">VLOOKUP(B77,Заказы!$A$2:$E$2995,3,FALSE())</f>
        <v>1253</v>
      </c>
      <c r="I77" s="1" t="str">
        <f aca="false">VLOOKUP(H77,Клиенты!$A$2:$E$1995,5,FALSE())</f>
        <v>г. Зима</v>
      </c>
      <c r="J77" s="1" t="n">
        <f aca="false">VLOOKUP(B77,Заказы!$A$2:$E$2995,4,FALSE())</f>
        <v>0</v>
      </c>
      <c r="K77" s="1" t="str">
        <f aca="false">VLOOKUP(B77,Заказы!$A$2:$E$2995,5,FALSE())</f>
        <v>Не выполнено</v>
      </c>
      <c r="L77" s="1" t="n">
        <f aca="false">D77*F77+J77</f>
        <v>2600</v>
      </c>
      <c r="M77" s="1" t="n">
        <f aca="false">IF(AND(E77="Пицца Труслейка",I77="г. Москва",K77="Выполнено",G77&gt;=DATE(2020,7,1),G77&lt;DATE(2020,8,1)),L77,0)</f>
        <v>0</v>
      </c>
    </row>
    <row r="78" customFormat="false" ht="15" hidden="false" customHeight="true" outlineLevel="0" collapsed="false">
      <c r="A78" s="1" t="n">
        <v>100253</v>
      </c>
      <c r="B78" s="1" t="n">
        <v>50807</v>
      </c>
      <c r="C78" s="1" t="n">
        <v>11</v>
      </c>
      <c r="D78" s="1" t="n">
        <v>6</v>
      </c>
      <c r="E78" s="1" t="str">
        <f aca="false">VLOOKUP(C78,Меню!$A$2:$C$24,2,FALSE())</f>
        <v>Пицца Песто</v>
      </c>
      <c r="F78" s="1" t="n">
        <f aca="false">VLOOKUP(C78,Меню!$A$2:$C$24,3,FALSE())</f>
        <v>530</v>
      </c>
      <c r="G78" s="5" t="n">
        <f aca="false">VLOOKUP(B78,Заказы!$A$2:$E$2995,2,FALSE())</f>
        <v>44044</v>
      </c>
      <c r="H78" s="1" t="n">
        <f aca="false">VLOOKUP(B78,Заказы!$A$2:$E$2995,3,FALSE())</f>
        <v>1494</v>
      </c>
      <c r="I78" s="1" t="str">
        <f aca="false">VLOOKUP(H78,Клиенты!$A$2:$E$1995,5,FALSE())</f>
        <v>г. Новоульяновск</v>
      </c>
      <c r="J78" s="1" t="n">
        <f aca="false">VLOOKUP(B78,Заказы!$A$2:$E$2995,4,FALSE())</f>
        <v>545</v>
      </c>
      <c r="K78" s="1" t="str">
        <f aca="false">VLOOKUP(B78,Заказы!$A$2:$E$2995,5,FALSE())</f>
        <v>Выполнено</v>
      </c>
      <c r="L78" s="1" t="n">
        <f aca="false">D78*F78+J78</f>
        <v>3725</v>
      </c>
      <c r="M78" s="1" t="n">
        <f aca="false">IF(AND(E78="Пицца Труслейка",I78="г. Москва",K78="Выполнено",G78&gt;=DATE(2020,7,1),G78&lt;DATE(2020,8,1)),L78,0)</f>
        <v>0</v>
      </c>
    </row>
    <row r="79" customFormat="false" ht="15" hidden="false" customHeight="true" outlineLevel="0" collapsed="false">
      <c r="A79" s="1" t="n">
        <v>101426</v>
      </c>
      <c r="B79" s="1" t="n">
        <v>50119</v>
      </c>
      <c r="C79" s="1" t="n">
        <v>6</v>
      </c>
      <c r="D79" s="1" t="n">
        <v>4</v>
      </c>
      <c r="E79" s="1" t="str">
        <f aca="false">VLOOKUP(C79,Меню!$A$2:$C$24,2,FALSE())</f>
        <v>Пицца Капричиоза</v>
      </c>
      <c r="F79" s="1" t="n">
        <f aca="false">VLOOKUP(C79,Меню!$A$2:$C$24,3,FALSE())</f>
        <v>570</v>
      </c>
      <c r="G79" s="5" t="n">
        <f aca="false">VLOOKUP(B79,Заказы!$A$2:$E$2995,2,FALSE())</f>
        <v>44033</v>
      </c>
      <c r="H79" s="1" t="n">
        <f aca="false">VLOOKUP(B79,Заказы!$A$2:$E$2995,3,FALSE())</f>
        <v>687</v>
      </c>
      <c r="I79" s="1" t="str">
        <f aca="false">VLOOKUP(H79,Клиенты!$A$2:$E$1995,5,FALSE())</f>
        <v>г. Кизляр</v>
      </c>
      <c r="J79" s="1" t="n">
        <f aca="false">VLOOKUP(B79,Заказы!$A$2:$E$2995,4,FALSE())</f>
        <v>412</v>
      </c>
      <c r="K79" s="1" t="str">
        <f aca="false">VLOOKUP(B79,Заказы!$A$2:$E$2995,5,FALSE())</f>
        <v>Выполнено</v>
      </c>
      <c r="L79" s="1" t="n">
        <f aca="false">D79*F79+J79</f>
        <v>2692</v>
      </c>
      <c r="M79" s="1" t="n">
        <f aca="false">IF(AND(E79="Пицца Труслейка",I79="г. Москва",K79="Выполнено",G79&gt;=DATE(2020,7,1),G79&lt;DATE(2020,8,1)),L79,0)</f>
        <v>0</v>
      </c>
    </row>
    <row r="80" customFormat="false" ht="15" hidden="false" customHeight="true" outlineLevel="0" collapsed="false">
      <c r="A80" s="1" t="n">
        <v>100410</v>
      </c>
      <c r="B80" s="1" t="n">
        <v>50544</v>
      </c>
      <c r="C80" s="1" t="n">
        <v>10</v>
      </c>
      <c r="D80" s="1" t="n">
        <v>3</v>
      </c>
      <c r="E80" s="1" t="str">
        <f aca="false">VLOOKUP(C80,Меню!$A$2:$C$24,2,FALSE())</f>
        <v>Пицца Пепперони фреш</v>
      </c>
      <c r="F80" s="1" t="n">
        <f aca="false">VLOOKUP(C80,Меню!$A$2:$C$24,3,FALSE())</f>
        <v>565</v>
      </c>
      <c r="G80" s="5" t="n">
        <f aca="false">VLOOKUP(B80,Заказы!$A$2:$E$2995,2,FALSE())</f>
        <v>43999</v>
      </c>
      <c r="H80" s="1" t="n">
        <f aca="false">VLOOKUP(B80,Заказы!$A$2:$E$2995,3,FALSE())</f>
        <v>1115</v>
      </c>
      <c r="I80" s="1" t="str">
        <f aca="false">VLOOKUP(H80,Клиенты!$A$2:$E$1995,5,FALSE())</f>
        <v>г. Дигора</v>
      </c>
      <c r="J80" s="1" t="n">
        <f aca="false">VLOOKUP(B80,Заказы!$A$2:$E$2995,4,FALSE())</f>
        <v>228</v>
      </c>
      <c r="K80" s="1" t="str">
        <f aca="false">VLOOKUP(B80,Заказы!$A$2:$E$2995,5,FALSE())</f>
        <v>Выполнено</v>
      </c>
      <c r="L80" s="1" t="n">
        <f aca="false">D80*F80+J80</f>
        <v>1923</v>
      </c>
      <c r="M80" s="1" t="n">
        <f aca="false">IF(AND(E80="Пицца Труслейка",I80="г. Москва",K80="Выполнено",G80&gt;=DATE(2020,7,1),G80&lt;DATE(2020,8,1)),L80,0)</f>
        <v>0</v>
      </c>
    </row>
    <row r="81" customFormat="false" ht="15" hidden="false" customHeight="true" outlineLevel="0" collapsed="false">
      <c r="A81" s="1" t="n">
        <v>100505</v>
      </c>
      <c r="B81" s="1" t="n">
        <v>50648</v>
      </c>
      <c r="C81" s="1" t="n">
        <v>4</v>
      </c>
      <c r="D81" s="1" t="n">
        <v>7</v>
      </c>
      <c r="E81" s="1" t="str">
        <f aca="false">VLOOKUP(C81,Меню!$A$2:$C$24,2,FALSE())</f>
        <v>Пицца Труслейка</v>
      </c>
      <c r="F81" s="1" t="n">
        <f aca="false">VLOOKUP(C81,Меню!$A$2:$C$24,3,FALSE())</f>
        <v>610</v>
      </c>
      <c r="G81" s="5" t="n">
        <f aca="false">VLOOKUP(B81,Заказы!$A$2:$E$2995,2,FALSE())</f>
        <v>44048</v>
      </c>
      <c r="H81" s="1" t="n">
        <f aca="false">VLOOKUP(B81,Заказы!$A$2:$E$2995,3,FALSE())</f>
        <v>1472</v>
      </c>
      <c r="I81" s="1" t="str">
        <f aca="false">VLOOKUP(H81,Клиенты!$A$2:$E$1995,5,FALSE())</f>
        <v>г. Дмитровск</v>
      </c>
      <c r="J81" s="1" t="n">
        <f aca="false">VLOOKUP(B81,Заказы!$A$2:$E$2995,4,FALSE())</f>
        <v>0</v>
      </c>
      <c r="K81" s="1" t="str">
        <f aca="false">VLOOKUP(B81,Заказы!$A$2:$E$2995,5,FALSE())</f>
        <v>Не выполнено</v>
      </c>
      <c r="L81" s="1" t="n">
        <f aca="false">D81*F81+J81</f>
        <v>4270</v>
      </c>
      <c r="M81" s="1" t="n">
        <f aca="false">IF(AND(E81="Пицца Труслейка",I81="г. Москва",K81="Выполнено",G81&gt;=DATE(2020,7,1),G81&lt;DATE(2020,8,1)),L81,0)</f>
        <v>0</v>
      </c>
    </row>
    <row r="82" customFormat="false" ht="15" hidden="false" customHeight="true" outlineLevel="0" collapsed="false">
      <c r="A82" s="1" t="n">
        <v>100718</v>
      </c>
      <c r="B82" s="1" t="n">
        <v>51829</v>
      </c>
      <c r="C82" s="1" t="n">
        <v>15</v>
      </c>
      <c r="D82" s="1" t="n">
        <v>2</v>
      </c>
      <c r="E82" s="1" t="str">
        <f aca="false">VLOOKUP(C82,Меню!$A$2:$C$24,2,FALSE())</f>
        <v>Пицца Тропиканка</v>
      </c>
      <c r="F82" s="1" t="n">
        <f aca="false">VLOOKUP(C82,Меню!$A$2:$C$24,3,FALSE())</f>
        <v>605</v>
      </c>
      <c r="G82" s="5" t="n">
        <f aca="false">VLOOKUP(B82,Заказы!$A$2:$E$2995,2,FALSE())</f>
        <v>44064</v>
      </c>
      <c r="H82" s="1" t="n">
        <f aca="false">VLOOKUP(B82,Заказы!$A$2:$E$2995,3,FALSE())</f>
        <v>1530</v>
      </c>
      <c r="I82" s="1" t="str">
        <f aca="false">VLOOKUP(H82,Клиенты!$A$2:$E$1995,5,FALSE())</f>
        <v>г. Москва</v>
      </c>
      <c r="J82" s="1" t="n">
        <f aca="false">VLOOKUP(B82,Заказы!$A$2:$E$2995,4,FALSE())</f>
        <v>0</v>
      </c>
      <c r="K82" s="1" t="str">
        <f aca="false">VLOOKUP(B82,Заказы!$A$2:$E$2995,5,FALSE())</f>
        <v>Не выполнено</v>
      </c>
      <c r="L82" s="1" t="n">
        <f aca="false">D82*F82+J82</f>
        <v>1210</v>
      </c>
      <c r="M82" s="1" t="n">
        <f aca="false">IF(AND(E82="Пицца Труслейка",I82="г. Москва",K82="Выполнено",G82&gt;=DATE(2020,7,1),G82&lt;DATE(2020,8,1)),L82,0)</f>
        <v>0</v>
      </c>
    </row>
    <row r="83" customFormat="false" ht="15" hidden="false" customHeight="true" outlineLevel="0" collapsed="false">
      <c r="A83" s="1" t="n">
        <v>100361</v>
      </c>
      <c r="B83" s="1" t="n">
        <v>50975</v>
      </c>
      <c r="C83" s="1" t="n">
        <v>11</v>
      </c>
      <c r="D83" s="1" t="n">
        <v>7</v>
      </c>
      <c r="E83" s="1" t="str">
        <f aca="false">VLOOKUP(C83,Меню!$A$2:$C$24,2,FALSE())</f>
        <v>Пицца Песто</v>
      </c>
      <c r="F83" s="1" t="n">
        <f aca="false">VLOOKUP(C83,Меню!$A$2:$C$24,3,FALSE())</f>
        <v>530</v>
      </c>
      <c r="G83" s="5" t="n">
        <f aca="false">VLOOKUP(B83,Заказы!$A$2:$E$2995,2,FALSE())</f>
        <v>44002</v>
      </c>
      <c r="H83" s="1" t="n">
        <f aca="false">VLOOKUP(B83,Заказы!$A$2:$E$2995,3,FALSE())</f>
        <v>1141</v>
      </c>
      <c r="I83" s="1" t="str">
        <f aca="false">VLOOKUP(H83,Клиенты!$A$2:$E$1995,5,FALSE())</f>
        <v>г. Краснознаменск</v>
      </c>
      <c r="J83" s="1" t="n">
        <f aca="false">VLOOKUP(B83,Заказы!$A$2:$E$2995,4,FALSE())</f>
        <v>357</v>
      </c>
      <c r="K83" s="1" t="str">
        <f aca="false">VLOOKUP(B83,Заказы!$A$2:$E$2995,5,FALSE())</f>
        <v>Выполнено</v>
      </c>
      <c r="L83" s="1" t="n">
        <f aca="false">D83*F83+J83</f>
        <v>4067</v>
      </c>
      <c r="M83" s="1" t="n">
        <f aca="false">IF(AND(E83="Пицца Труслейка",I83="г. Москва",K83="Выполнено",G83&gt;=DATE(2020,7,1),G83&lt;DATE(2020,8,1)),L83,0)</f>
        <v>0</v>
      </c>
    </row>
    <row r="84" customFormat="false" ht="15" hidden="false" customHeight="true" outlineLevel="0" collapsed="false">
      <c r="A84" s="1" t="n">
        <v>101102</v>
      </c>
      <c r="B84" s="1" t="n">
        <v>51403</v>
      </c>
      <c r="C84" s="1" t="n">
        <v>4</v>
      </c>
      <c r="D84" s="1" t="n">
        <v>1</v>
      </c>
      <c r="E84" s="1" t="str">
        <f aca="false">VLOOKUP(C84,Меню!$A$2:$C$24,2,FALSE())</f>
        <v>Пицца Труслейка</v>
      </c>
      <c r="F84" s="1" t="n">
        <f aca="false">VLOOKUP(C84,Меню!$A$2:$C$24,3,FALSE())</f>
        <v>610</v>
      </c>
      <c r="G84" s="5" t="n">
        <f aca="false">VLOOKUP(B84,Заказы!$A$2:$E$2995,2,FALSE())</f>
        <v>44066</v>
      </c>
      <c r="H84" s="1" t="n">
        <f aca="false">VLOOKUP(B84,Заказы!$A$2:$E$2995,3,FALSE())</f>
        <v>428</v>
      </c>
      <c r="I84" s="1" t="str">
        <f aca="false">VLOOKUP(H84,Клиенты!$A$2:$E$1995,5,FALSE())</f>
        <v>г. Оленегорск</v>
      </c>
      <c r="J84" s="1" t="n">
        <f aca="false">VLOOKUP(B84,Заказы!$A$2:$E$2995,4,FALSE())</f>
        <v>0</v>
      </c>
      <c r="K84" s="1" t="str">
        <f aca="false">VLOOKUP(B84,Заказы!$A$2:$E$2995,5,FALSE())</f>
        <v>Не выполнено</v>
      </c>
      <c r="L84" s="1" t="n">
        <f aca="false">D84*F84+J84</f>
        <v>610</v>
      </c>
      <c r="M84" s="1" t="n">
        <f aca="false">IF(AND(E84="Пицца Труслейка",I84="г. Москва",K84="Выполнено",G84&gt;=DATE(2020,7,1),G84&lt;DATE(2020,8,1)),L84,0)</f>
        <v>0</v>
      </c>
    </row>
    <row r="85" customFormat="false" ht="15" hidden="false" customHeight="true" outlineLevel="0" collapsed="false">
      <c r="A85" s="1" t="n">
        <v>101706</v>
      </c>
      <c r="B85" s="1" t="n">
        <v>51421</v>
      </c>
      <c r="C85" s="1" t="n">
        <v>10</v>
      </c>
      <c r="D85" s="1" t="n">
        <v>5</v>
      </c>
      <c r="E85" s="1" t="str">
        <f aca="false">VLOOKUP(C85,Меню!$A$2:$C$24,2,FALSE())</f>
        <v>Пицца Пепперони фреш</v>
      </c>
      <c r="F85" s="1" t="n">
        <f aca="false">VLOOKUP(C85,Меню!$A$2:$C$24,3,FALSE())</f>
        <v>565</v>
      </c>
      <c r="G85" s="5" t="n">
        <f aca="false">VLOOKUP(B85,Заказы!$A$2:$E$2995,2,FALSE())</f>
        <v>44021</v>
      </c>
      <c r="H85" s="1" t="n">
        <f aca="false">VLOOKUP(B85,Заказы!$A$2:$E$2995,3,FALSE())</f>
        <v>1149</v>
      </c>
      <c r="I85" s="1" t="str">
        <f aca="false">VLOOKUP(H85,Клиенты!$A$2:$E$1995,5,FALSE())</f>
        <v>г. Находка</v>
      </c>
      <c r="J85" s="1" t="n">
        <f aca="false">VLOOKUP(B85,Заказы!$A$2:$E$2995,4,FALSE())</f>
        <v>0</v>
      </c>
      <c r="K85" s="1" t="str">
        <f aca="false">VLOOKUP(B85,Заказы!$A$2:$E$2995,5,FALSE())</f>
        <v>Не выполнено</v>
      </c>
      <c r="L85" s="1" t="n">
        <f aca="false">D85*F85+J85</f>
        <v>2825</v>
      </c>
      <c r="M85" s="1" t="n">
        <f aca="false">IF(AND(E85="Пицца Труслейка",I85="г. Москва",K85="Выполнено",G85&gt;=DATE(2020,7,1),G85&lt;DATE(2020,8,1)),L85,0)</f>
        <v>0</v>
      </c>
    </row>
    <row r="86" customFormat="false" ht="15" hidden="false" customHeight="true" outlineLevel="0" collapsed="false">
      <c r="A86" s="1" t="n">
        <v>100344</v>
      </c>
      <c r="B86" s="1" t="n">
        <v>51239</v>
      </c>
      <c r="C86" s="1" t="n">
        <v>7</v>
      </c>
      <c r="D86" s="1" t="n">
        <v>10</v>
      </c>
      <c r="E86" s="1" t="str">
        <f aca="false">VLOOKUP(C86,Меню!$A$2:$C$24,2,FALSE())</f>
        <v>Пицца Карбонара</v>
      </c>
      <c r="F86" s="1" t="n">
        <f aca="false">VLOOKUP(C86,Меню!$A$2:$C$24,3,FALSE())</f>
        <v>625</v>
      </c>
      <c r="G86" s="5" t="n">
        <f aca="false">VLOOKUP(B86,Заказы!$A$2:$E$2995,2,FALSE())</f>
        <v>44030</v>
      </c>
      <c r="H86" s="1" t="n">
        <f aca="false">VLOOKUP(B86,Заказы!$A$2:$E$2995,3,FALSE())</f>
        <v>1252</v>
      </c>
      <c r="I86" s="1" t="str">
        <f aca="false">VLOOKUP(H86,Клиенты!$A$2:$E$1995,5,FALSE())</f>
        <v>г. Морозовск</v>
      </c>
      <c r="J86" s="1" t="n">
        <f aca="false">VLOOKUP(B86,Заказы!$A$2:$E$2995,4,FALSE())</f>
        <v>250</v>
      </c>
      <c r="K86" s="1" t="str">
        <f aca="false">VLOOKUP(B86,Заказы!$A$2:$E$2995,5,FALSE())</f>
        <v>Выполнено</v>
      </c>
      <c r="L86" s="1" t="n">
        <f aca="false">D86*F86+J86</f>
        <v>6500</v>
      </c>
      <c r="M86" s="1" t="n">
        <f aca="false">IF(AND(E86="Пицца Труслейка",I86="г. Москва",K86="Выполнено",G86&gt;=DATE(2020,7,1),G86&lt;DATE(2020,8,1)),L86,0)</f>
        <v>0</v>
      </c>
    </row>
    <row r="87" customFormat="false" ht="15" hidden="false" customHeight="true" outlineLevel="0" collapsed="false">
      <c r="A87" s="1" t="n">
        <v>101451</v>
      </c>
      <c r="B87" s="1" t="n">
        <v>51594</v>
      </c>
      <c r="C87" s="1" t="n">
        <v>9</v>
      </c>
      <c r="D87" s="1" t="n">
        <v>5</v>
      </c>
      <c r="E87" s="1" t="str">
        <f aca="false">VLOOKUP(C87,Меню!$A$2:$C$24,2,FALSE())</f>
        <v>Пицца Острая с беконом</v>
      </c>
      <c r="F87" s="1" t="n">
        <f aca="false">VLOOKUP(C87,Меню!$A$2:$C$24,3,FALSE())</f>
        <v>540</v>
      </c>
      <c r="G87" s="5" t="n">
        <f aca="false">VLOOKUP(B87,Заказы!$A$2:$E$2995,2,FALSE())</f>
        <v>44056</v>
      </c>
      <c r="H87" s="1" t="n">
        <f aca="false">VLOOKUP(B87,Заказы!$A$2:$E$2995,3,FALSE())</f>
        <v>1698</v>
      </c>
      <c r="I87" s="1" t="str">
        <f aca="false">VLOOKUP(H87,Клиенты!$A$2:$E$1995,5,FALSE())</f>
        <v>г. Егорьевск</v>
      </c>
      <c r="J87" s="1" t="n">
        <f aca="false">VLOOKUP(B87,Заказы!$A$2:$E$2995,4,FALSE())</f>
        <v>716</v>
      </c>
      <c r="K87" s="1" t="str">
        <f aca="false">VLOOKUP(B87,Заказы!$A$2:$E$2995,5,FALSE())</f>
        <v>Выполнено</v>
      </c>
      <c r="L87" s="1" t="n">
        <f aca="false">D87*F87+J87</f>
        <v>3416</v>
      </c>
      <c r="M87" s="1" t="n">
        <f aca="false">IF(AND(E87="Пицца Труслейка",I87="г. Москва",K87="Выполнено",G87&gt;=DATE(2020,7,1),G87&lt;DATE(2020,8,1)),L87,0)</f>
        <v>0</v>
      </c>
    </row>
    <row r="88" customFormat="false" ht="15" hidden="false" customHeight="true" outlineLevel="0" collapsed="false">
      <c r="A88" s="1" t="n">
        <v>100084</v>
      </c>
      <c r="B88" s="1" t="n">
        <v>51701</v>
      </c>
      <c r="C88" s="1" t="n">
        <v>13</v>
      </c>
      <c r="D88" s="1" t="n">
        <v>7</v>
      </c>
      <c r="E88" s="1" t="str">
        <f aca="false">VLOOKUP(C88,Меню!$A$2:$C$24,2,FALSE())</f>
        <v>Пицца Сырная</v>
      </c>
      <c r="F88" s="1" t="n">
        <f aca="false">VLOOKUP(C88,Меню!$A$2:$C$24,3,FALSE())</f>
        <v>635</v>
      </c>
      <c r="G88" s="5" t="n">
        <f aca="false">VLOOKUP(B88,Заказы!$A$2:$E$2995,2,FALSE())</f>
        <v>44006</v>
      </c>
      <c r="H88" s="1" t="n">
        <f aca="false">VLOOKUP(B88,Заказы!$A$2:$E$2995,3,FALSE())</f>
        <v>554</v>
      </c>
      <c r="I88" s="1" t="str">
        <f aca="false">VLOOKUP(H88,Клиенты!$A$2:$E$1995,5,FALSE())</f>
        <v>г. Талица</v>
      </c>
      <c r="J88" s="1" t="n">
        <f aca="false">VLOOKUP(B88,Заказы!$A$2:$E$2995,4,FALSE())</f>
        <v>0</v>
      </c>
      <c r="K88" s="1" t="str">
        <f aca="false">VLOOKUP(B88,Заказы!$A$2:$E$2995,5,FALSE())</f>
        <v>Не выполнено</v>
      </c>
      <c r="L88" s="1" t="n">
        <f aca="false">D88*F88+J88</f>
        <v>4445</v>
      </c>
      <c r="M88" s="1" t="n">
        <f aca="false">IF(AND(E88="Пицца Труслейка",I88="г. Москва",K88="Выполнено",G88&gt;=DATE(2020,7,1),G88&lt;DATE(2020,8,1)),L88,0)</f>
        <v>0</v>
      </c>
    </row>
    <row r="89" customFormat="false" ht="15" hidden="false" customHeight="true" outlineLevel="0" collapsed="false">
      <c r="A89" s="1" t="n">
        <v>101166</v>
      </c>
      <c r="B89" s="1" t="n">
        <v>50328</v>
      </c>
      <c r="C89" s="1" t="n">
        <v>9</v>
      </c>
      <c r="D89" s="1" t="n">
        <v>9</v>
      </c>
      <c r="E89" s="1" t="str">
        <f aca="false">VLOOKUP(C89,Меню!$A$2:$C$24,2,FALSE())</f>
        <v>Пицца Острая с беконом</v>
      </c>
      <c r="F89" s="1" t="n">
        <f aca="false">VLOOKUP(C89,Меню!$A$2:$C$24,3,FALSE())</f>
        <v>540</v>
      </c>
      <c r="G89" s="5" t="n">
        <f aca="false">VLOOKUP(B89,Заказы!$A$2:$E$2995,2,FALSE())</f>
        <v>44055</v>
      </c>
      <c r="H89" s="1" t="n">
        <f aca="false">VLOOKUP(B89,Заказы!$A$2:$E$2995,3,FALSE())</f>
        <v>313</v>
      </c>
      <c r="I89" s="1" t="str">
        <f aca="false">VLOOKUP(H89,Клиенты!$A$2:$E$1995,5,FALSE())</f>
        <v>г. Тырныауз</v>
      </c>
      <c r="J89" s="1" t="n">
        <f aca="false">VLOOKUP(B89,Заказы!$A$2:$E$2995,4,FALSE())</f>
        <v>213</v>
      </c>
      <c r="K89" s="1" t="str">
        <f aca="false">VLOOKUP(B89,Заказы!$A$2:$E$2995,5,FALSE())</f>
        <v>Выполнено</v>
      </c>
      <c r="L89" s="1" t="n">
        <f aca="false">D89*F89+J89</f>
        <v>5073</v>
      </c>
      <c r="M89" s="1" t="n">
        <f aca="false">IF(AND(E89="Пицца Труслейка",I89="г. Москва",K89="Выполнено",G89&gt;=DATE(2020,7,1),G89&lt;DATE(2020,8,1)),L89,0)</f>
        <v>0</v>
      </c>
    </row>
    <row r="90" customFormat="false" ht="15" hidden="false" customHeight="true" outlineLevel="0" collapsed="false">
      <c r="A90" s="1" t="n">
        <v>101629</v>
      </c>
      <c r="B90" s="1" t="n">
        <v>51379</v>
      </c>
      <c r="C90" s="1" t="n">
        <v>2</v>
      </c>
      <c r="D90" s="1" t="n">
        <v>7</v>
      </c>
      <c r="E90" s="1" t="str">
        <f aca="false">VLOOKUP(C90,Меню!$A$2:$C$24,2,FALSE())</f>
        <v>Пицца Двойная пепперони</v>
      </c>
      <c r="F90" s="1" t="n">
        <f aca="false">VLOOKUP(C90,Меню!$A$2:$C$24,3,FALSE())</f>
        <v>575</v>
      </c>
      <c r="G90" s="5" t="n">
        <f aca="false">VLOOKUP(B90,Заказы!$A$2:$E$2995,2,FALSE())</f>
        <v>44057</v>
      </c>
      <c r="H90" s="1" t="n">
        <f aca="false">VLOOKUP(B90,Заказы!$A$2:$E$2995,3,FALSE())</f>
        <v>1891</v>
      </c>
      <c r="I90" s="1" t="str">
        <f aca="false">VLOOKUP(H90,Клиенты!$A$2:$E$1995,5,FALSE())</f>
        <v>г. Чегем</v>
      </c>
      <c r="J90" s="1" t="n">
        <f aca="false">VLOOKUP(B90,Заказы!$A$2:$E$2995,4,FALSE())</f>
        <v>0</v>
      </c>
      <c r="K90" s="1" t="str">
        <f aca="false">VLOOKUP(B90,Заказы!$A$2:$E$2995,5,FALSE())</f>
        <v>Не выполнено</v>
      </c>
      <c r="L90" s="1" t="n">
        <f aca="false">D90*F90+J90</f>
        <v>4025</v>
      </c>
      <c r="M90" s="1" t="n">
        <f aca="false">IF(AND(E90="Пицца Труслейка",I90="г. Москва",K90="Выполнено",G90&gt;=DATE(2020,7,1),G90&lt;DATE(2020,8,1)),L90,0)</f>
        <v>0</v>
      </c>
    </row>
    <row r="91" customFormat="false" ht="15" hidden="false" customHeight="true" outlineLevel="0" collapsed="false">
      <c r="A91" s="1" t="n">
        <v>101800</v>
      </c>
      <c r="B91" s="1" t="n">
        <v>50038</v>
      </c>
      <c r="C91" s="1" t="n">
        <v>4</v>
      </c>
      <c r="D91" s="1" t="n">
        <v>3</v>
      </c>
      <c r="E91" s="1" t="str">
        <f aca="false">VLOOKUP(C91,Меню!$A$2:$C$24,2,FALSE())</f>
        <v>Пицца Труслейка</v>
      </c>
      <c r="F91" s="1" t="n">
        <f aca="false">VLOOKUP(C91,Меню!$A$2:$C$24,3,FALSE())</f>
        <v>610</v>
      </c>
      <c r="G91" s="5" t="n">
        <f aca="false">VLOOKUP(B91,Заказы!$A$2:$E$2995,2,FALSE())</f>
        <v>44023</v>
      </c>
      <c r="H91" s="1" t="n">
        <f aca="false">VLOOKUP(B91,Заказы!$A$2:$E$2995,3,FALSE())</f>
        <v>1642</v>
      </c>
      <c r="I91" s="1" t="str">
        <f aca="false">VLOOKUP(H91,Клиенты!$A$2:$E$1995,5,FALSE())</f>
        <v>г. Мураши</v>
      </c>
      <c r="J91" s="1" t="n">
        <f aca="false">VLOOKUP(B91,Заказы!$A$2:$E$2995,4,FALSE())</f>
        <v>796</v>
      </c>
      <c r="K91" s="1" t="str">
        <f aca="false">VLOOKUP(B91,Заказы!$A$2:$E$2995,5,FALSE())</f>
        <v>Выполнено</v>
      </c>
      <c r="L91" s="1" t="n">
        <f aca="false">D91*F91+J91</f>
        <v>2626</v>
      </c>
      <c r="M91" s="1" t="n">
        <f aca="false">IF(AND(E91="Пицца Труслейка",I91="г. Москва",K91="Выполнено",G91&gt;=DATE(2020,7,1),G91&lt;DATE(2020,8,1)),L91,0)</f>
        <v>0</v>
      </c>
    </row>
    <row r="92" customFormat="false" ht="15" hidden="false" customHeight="true" outlineLevel="0" collapsed="false">
      <c r="A92" s="1" t="n">
        <v>101364</v>
      </c>
      <c r="B92" s="1" t="n">
        <v>51717</v>
      </c>
      <c r="C92" s="1" t="n">
        <v>11</v>
      </c>
      <c r="D92" s="1" t="n">
        <v>1</v>
      </c>
      <c r="E92" s="1" t="str">
        <f aca="false">VLOOKUP(C92,Меню!$A$2:$C$24,2,FALSE())</f>
        <v>Пицца Песто</v>
      </c>
      <c r="F92" s="1" t="n">
        <f aca="false">VLOOKUP(C92,Меню!$A$2:$C$24,3,FALSE())</f>
        <v>530</v>
      </c>
      <c r="G92" s="5" t="n">
        <f aca="false">VLOOKUP(B92,Заказы!$A$2:$E$2995,2,FALSE())</f>
        <v>44050</v>
      </c>
      <c r="H92" s="1" t="n">
        <f aca="false">VLOOKUP(B92,Заказы!$A$2:$E$2995,3,FALSE())</f>
        <v>1037</v>
      </c>
      <c r="I92" s="1" t="str">
        <f aca="false">VLOOKUP(H92,Клиенты!$A$2:$E$1995,5,FALSE())</f>
        <v>г. Кяхта</v>
      </c>
      <c r="J92" s="1" t="n">
        <f aca="false">VLOOKUP(B92,Заказы!$A$2:$E$2995,4,FALSE())</f>
        <v>393</v>
      </c>
      <c r="K92" s="1" t="str">
        <f aca="false">VLOOKUP(B92,Заказы!$A$2:$E$2995,5,FALSE())</f>
        <v>Выполнено</v>
      </c>
      <c r="L92" s="1" t="n">
        <f aca="false">D92*F92+J92</f>
        <v>923</v>
      </c>
      <c r="M92" s="1" t="n">
        <f aca="false">IF(AND(E92="Пицца Труслейка",I92="г. Москва",K92="Выполнено",G92&gt;=DATE(2020,7,1),G92&lt;DATE(2020,8,1)),L92,0)</f>
        <v>0</v>
      </c>
    </row>
    <row r="93" customFormat="false" ht="15" hidden="false" customHeight="true" outlineLevel="0" collapsed="false">
      <c r="A93" s="1" t="n">
        <v>100592</v>
      </c>
      <c r="B93" s="1" t="n">
        <v>50355</v>
      </c>
      <c r="C93" s="1" t="n">
        <v>1</v>
      </c>
      <c r="D93" s="1" t="n">
        <v>9</v>
      </c>
      <c r="E93" s="1" t="str">
        <f aca="false">VLOOKUP(C93,Меню!$A$2:$C$24,2,FALSE())</f>
        <v>Пицца Гавайская</v>
      </c>
      <c r="F93" s="1" t="n">
        <f aca="false">VLOOKUP(C93,Меню!$A$2:$C$24,3,FALSE())</f>
        <v>545</v>
      </c>
      <c r="G93" s="5" t="n">
        <f aca="false">VLOOKUP(B93,Заказы!$A$2:$E$2995,2,FALSE())</f>
        <v>44059</v>
      </c>
      <c r="H93" s="1" t="n">
        <f aca="false">VLOOKUP(B93,Заказы!$A$2:$E$2995,3,FALSE())</f>
        <v>1260</v>
      </c>
      <c r="I93" s="1" t="str">
        <f aca="false">VLOOKUP(H93,Клиенты!$A$2:$E$1995,5,FALSE())</f>
        <v>г. Москва</v>
      </c>
      <c r="J93" s="1" t="n">
        <f aca="false">VLOOKUP(B93,Заказы!$A$2:$E$2995,4,FALSE())</f>
        <v>0</v>
      </c>
      <c r="K93" s="1" t="str">
        <f aca="false">VLOOKUP(B93,Заказы!$A$2:$E$2995,5,FALSE())</f>
        <v>Не выполнено</v>
      </c>
      <c r="L93" s="1" t="n">
        <f aca="false">D93*F93+J93</f>
        <v>4905</v>
      </c>
      <c r="M93" s="1" t="n">
        <f aca="false">IF(AND(E93="Пицца Труслейка",I93="г. Москва",K93="Выполнено",G93&gt;=DATE(2020,7,1),G93&lt;DATE(2020,8,1)),L93,0)</f>
        <v>0</v>
      </c>
    </row>
    <row r="94" customFormat="false" ht="15" hidden="false" customHeight="true" outlineLevel="0" collapsed="false">
      <c r="A94" s="1" t="n">
        <v>101863</v>
      </c>
      <c r="B94" s="1" t="n">
        <v>50354</v>
      </c>
      <c r="C94" s="1" t="n">
        <v>4</v>
      </c>
      <c r="D94" s="1" t="n">
        <v>4</v>
      </c>
      <c r="E94" s="1" t="str">
        <f aca="false">VLOOKUP(C94,Меню!$A$2:$C$24,2,FALSE())</f>
        <v>Пицца Труслейка</v>
      </c>
      <c r="F94" s="1" t="n">
        <f aca="false">VLOOKUP(C94,Меню!$A$2:$C$24,3,FALSE())</f>
        <v>610</v>
      </c>
      <c r="G94" s="5" t="n">
        <f aca="false">VLOOKUP(B94,Заказы!$A$2:$E$2995,2,FALSE())</f>
        <v>44033</v>
      </c>
      <c r="H94" s="1" t="n">
        <f aca="false">VLOOKUP(B94,Заказы!$A$2:$E$2995,3,FALSE())</f>
        <v>1701</v>
      </c>
      <c r="I94" s="1" t="str">
        <f aca="false">VLOOKUP(H94,Клиенты!$A$2:$E$1995,5,FALSE())</f>
        <v>г. Байкальск</v>
      </c>
      <c r="J94" s="1" t="n">
        <f aca="false">VLOOKUP(B94,Заказы!$A$2:$E$2995,4,FALSE())</f>
        <v>497</v>
      </c>
      <c r="K94" s="1" t="str">
        <f aca="false">VLOOKUP(B94,Заказы!$A$2:$E$2995,5,FALSE())</f>
        <v>Выполнено</v>
      </c>
      <c r="L94" s="1" t="n">
        <f aca="false">D94*F94+J94</f>
        <v>2937</v>
      </c>
      <c r="M94" s="1" t="n">
        <f aca="false">IF(AND(E94="Пицца Труслейка",I94="г. Москва",K94="Выполнено",G94&gt;=DATE(2020,7,1),G94&lt;DATE(2020,8,1)),L94,0)</f>
        <v>0</v>
      </c>
    </row>
    <row r="95" customFormat="false" ht="15" hidden="false" customHeight="true" outlineLevel="0" collapsed="false">
      <c r="A95" s="1" t="n">
        <v>100596</v>
      </c>
      <c r="B95" s="1" t="n">
        <v>51737</v>
      </c>
      <c r="C95" s="1" t="n">
        <v>14</v>
      </c>
      <c r="D95" s="1" t="n">
        <v>3</v>
      </c>
      <c r="E95" s="1" t="str">
        <f aca="false">VLOOKUP(C95,Меню!$A$2:$C$24,2,FALSE())</f>
        <v>Пицца Сырный цыпленок</v>
      </c>
      <c r="F95" s="1" t="n">
        <f aca="false">VLOOKUP(C95,Меню!$A$2:$C$24,3,FALSE())</f>
        <v>555</v>
      </c>
      <c r="G95" s="5" t="n">
        <f aca="false">VLOOKUP(B95,Заказы!$A$2:$E$2995,2,FALSE())</f>
        <v>44033</v>
      </c>
      <c r="H95" s="1" t="n">
        <f aca="false">VLOOKUP(B95,Заказы!$A$2:$E$2995,3,FALSE())</f>
        <v>1178</v>
      </c>
      <c r="I95" s="1" t="str">
        <f aca="false">VLOOKUP(H95,Клиенты!$A$2:$E$1995,5,FALSE())</f>
        <v>г. Сорск</v>
      </c>
      <c r="J95" s="1" t="n">
        <f aca="false">VLOOKUP(B95,Заказы!$A$2:$E$2995,4,FALSE())</f>
        <v>0</v>
      </c>
      <c r="K95" s="1" t="str">
        <f aca="false">VLOOKUP(B95,Заказы!$A$2:$E$2995,5,FALSE())</f>
        <v>Не выполнено</v>
      </c>
      <c r="L95" s="1" t="n">
        <f aca="false">D95*F95+J95</f>
        <v>1665</v>
      </c>
      <c r="M95" s="1" t="n">
        <f aca="false">IF(AND(E95="Пицца Труслейка",I95="г. Москва",K95="Выполнено",G95&gt;=DATE(2020,7,1),G95&lt;DATE(2020,8,1)),L95,0)</f>
        <v>0</v>
      </c>
    </row>
    <row r="96" customFormat="false" ht="15" hidden="false" customHeight="true" outlineLevel="0" collapsed="false">
      <c r="A96" s="1" t="n">
        <v>100074</v>
      </c>
      <c r="B96" s="1" t="n">
        <v>51295</v>
      </c>
      <c r="C96" s="1" t="n">
        <v>1</v>
      </c>
      <c r="D96" s="1" t="n">
        <v>4</v>
      </c>
      <c r="E96" s="1" t="str">
        <f aca="false">VLOOKUP(C96,Меню!$A$2:$C$24,2,FALSE())</f>
        <v>Пицца Гавайская</v>
      </c>
      <c r="F96" s="1" t="n">
        <f aca="false">VLOOKUP(C96,Меню!$A$2:$C$24,3,FALSE())</f>
        <v>545</v>
      </c>
      <c r="G96" s="5" t="n">
        <f aca="false">VLOOKUP(B96,Заказы!$A$2:$E$2995,2,FALSE())</f>
        <v>44064</v>
      </c>
      <c r="H96" s="1" t="n">
        <f aca="false">VLOOKUP(B96,Заказы!$A$2:$E$2995,3,FALSE())</f>
        <v>1795</v>
      </c>
      <c r="I96" s="1" t="str">
        <f aca="false">VLOOKUP(H96,Клиенты!$A$2:$E$1995,5,FALSE())</f>
        <v>г. Саяногорск</v>
      </c>
      <c r="J96" s="1" t="n">
        <f aca="false">VLOOKUP(B96,Заказы!$A$2:$E$2995,4,FALSE())</f>
        <v>138</v>
      </c>
      <c r="K96" s="1" t="str">
        <f aca="false">VLOOKUP(B96,Заказы!$A$2:$E$2995,5,FALSE())</f>
        <v>Выполнено</v>
      </c>
      <c r="L96" s="1" t="n">
        <f aca="false">D96*F96+J96</f>
        <v>2318</v>
      </c>
      <c r="M96" s="1" t="n">
        <f aca="false">IF(AND(E96="Пицца Труслейка",I96="г. Москва",K96="Выполнено",G96&gt;=DATE(2020,7,1),G96&lt;DATE(2020,8,1)),L96,0)</f>
        <v>0</v>
      </c>
    </row>
    <row r="97" customFormat="false" ht="15" hidden="false" customHeight="true" outlineLevel="0" collapsed="false">
      <c r="A97" s="1" t="n">
        <v>100117</v>
      </c>
      <c r="B97" s="1" t="n">
        <v>50823</v>
      </c>
      <c r="C97" s="1" t="n">
        <v>11</v>
      </c>
      <c r="D97" s="1" t="n">
        <v>4</v>
      </c>
      <c r="E97" s="1" t="str">
        <f aca="false">VLOOKUP(C97,Меню!$A$2:$C$24,2,FALSE())</f>
        <v>Пицца Песто</v>
      </c>
      <c r="F97" s="1" t="n">
        <f aca="false">VLOOKUP(C97,Меню!$A$2:$C$24,3,FALSE())</f>
        <v>530</v>
      </c>
      <c r="G97" s="5" t="n">
        <f aca="false">VLOOKUP(B97,Заказы!$A$2:$E$2995,2,FALSE())</f>
        <v>44062</v>
      </c>
      <c r="H97" s="1" t="n">
        <f aca="false">VLOOKUP(B97,Заказы!$A$2:$E$2995,3,FALSE())</f>
        <v>1869</v>
      </c>
      <c r="I97" s="1" t="str">
        <f aca="false">VLOOKUP(H97,Клиенты!$A$2:$E$1995,5,FALSE())</f>
        <v>г. Нолинск</v>
      </c>
      <c r="J97" s="1" t="n">
        <f aca="false">VLOOKUP(B97,Заказы!$A$2:$E$2995,4,FALSE())</f>
        <v>617</v>
      </c>
      <c r="K97" s="1" t="str">
        <f aca="false">VLOOKUP(B97,Заказы!$A$2:$E$2995,5,FALSE())</f>
        <v>Выполнено</v>
      </c>
      <c r="L97" s="1" t="n">
        <f aca="false">D97*F97+J97</f>
        <v>2737</v>
      </c>
      <c r="M97" s="1" t="n">
        <f aca="false">IF(AND(E97="Пицца Труслейка",I97="г. Москва",K97="Выполнено",G97&gt;=DATE(2020,7,1),G97&lt;DATE(2020,8,1)),L97,0)</f>
        <v>0</v>
      </c>
    </row>
    <row r="98" customFormat="false" ht="15" hidden="false" customHeight="true" outlineLevel="0" collapsed="false">
      <c r="A98" s="1" t="n">
        <v>101354</v>
      </c>
      <c r="B98" s="1" t="n">
        <v>51191</v>
      </c>
      <c r="C98" s="1" t="n">
        <v>6</v>
      </c>
      <c r="D98" s="1" t="n">
        <v>8</v>
      </c>
      <c r="E98" s="1" t="str">
        <f aca="false">VLOOKUP(C98,Меню!$A$2:$C$24,2,FALSE())</f>
        <v>Пицца Капричиоза</v>
      </c>
      <c r="F98" s="1" t="n">
        <f aca="false">VLOOKUP(C98,Меню!$A$2:$C$24,3,FALSE())</f>
        <v>570</v>
      </c>
      <c r="G98" s="5" t="n">
        <f aca="false">VLOOKUP(B98,Заказы!$A$2:$E$2995,2,FALSE())</f>
        <v>44050</v>
      </c>
      <c r="H98" s="1" t="n">
        <f aca="false">VLOOKUP(B98,Заказы!$A$2:$E$2995,3,FALSE())</f>
        <v>511</v>
      </c>
      <c r="I98" s="1" t="str">
        <f aca="false">VLOOKUP(H98,Клиенты!$A$2:$E$1995,5,FALSE())</f>
        <v>г. Закаменск</v>
      </c>
      <c r="J98" s="1" t="n">
        <f aca="false">VLOOKUP(B98,Заказы!$A$2:$E$2995,4,FALSE())</f>
        <v>0</v>
      </c>
      <c r="K98" s="1" t="str">
        <f aca="false">VLOOKUP(B98,Заказы!$A$2:$E$2995,5,FALSE())</f>
        <v>Не выполнено</v>
      </c>
      <c r="L98" s="1" t="n">
        <f aca="false">D98*F98+J98</f>
        <v>4560</v>
      </c>
      <c r="M98" s="1" t="n">
        <f aca="false">IF(AND(E98="Пицца Труслейка",I98="г. Москва",K98="Выполнено",G98&gt;=DATE(2020,7,1),G98&lt;DATE(2020,8,1)),L98,0)</f>
        <v>0</v>
      </c>
    </row>
    <row r="99" customFormat="false" ht="15" hidden="false" customHeight="true" outlineLevel="0" collapsed="false">
      <c r="A99" s="1" t="n">
        <v>101845</v>
      </c>
      <c r="B99" s="1" t="n">
        <v>51004</v>
      </c>
      <c r="C99" s="1" t="n">
        <v>16</v>
      </c>
      <c r="D99" s="1" t="n">
        <v>4</v>
      </c>
      <c r="E99" s="1" t="str">
        <f aca="false">VLOOKUP(C99,Меню!$A$2:$C$24,2,FALSE())</f>
        <v>Пицца Флорида</v>
      </c>
      <c r="F99" s="1" t="n">
        <f aca="false">VLOOKUP(C99,Меню!$A$2:$C$24,3,FALSE())</f>
        <v>535</v>
      </c>
      <c r="G99" s="5" t="n">
        <f aca="false">VLOOKUP(B99,Заказы!$A$2:$E$2995,2,FALSE())</f>
        <v>44067</v>
      </c>
      <c r="H99" s="1" t="n">
        <f aca="false">VLOOKUP(B99,Заказы!$A$2:$E$2995,3,FALSE())</f>
        <v>1447</v>
      </c>
      <c r="I99" s="1" t="str">
        <f aca="false">VLOOKUP(H99,Клиенты!$A$2:$E$1995,5,FALSE())</f>
        <v>г. Приморско-Ахтарск</v>
      </c>
      <c r="J99" s="1" t="n">
        <f aca="false">VLOOKUP(B99,Заказы!$A$2:$E$2995,4,FALSE())</f>
        <v>0</v>
      </c>
      <c r="K99" s="1" t="str">
        <f aca="false">VLOOKUP(B99,Заказы!$A$2:$E$2995,5,FALSE())</f>
        <v>Не выполнено</v>
      </c>
      <c r="L99" s="1" t="n">
        <f aca="false">D99*F99+J99</f>
        <v>2140</v>
      </c>
      <c r="M99" s="1" t="n">
        <f aca="false">IF(AND(E99="Пицца Труслейка",I99="г. Москва",K99="Выполнено",G99&gt;=DATE(2020,7,1),G99&lt;DATE(2020,8,1)),L99,0)</f>
        <v>0</v>
      </c>
    </row>
    <row r="100" customFormat="false" ht="15" hidden="false" customHeight="true" outlineLevel="0" collapsed="false">
      <c r="A100" s="1" t="n">
        <v>100401</v>
      </c>
      <c r="B100" s="1" t="n">
        <v>50709</v>
      </c>
      <c r="C100" s="1" t="n">
        <v>9</v>
      </c>
      <c r="D100" s="1" t="n">
        <v>5</v>
      </c>
      <c r="E100" s="1" t="str">
        <f aca="false">VLOOKUP(C100,Меню!$A$2:$C$24,2,FALSE())</f>
        <v>Пицца Острая с беконом</v>
      </c>
      <c r="F100" s="1" t="n">
        <f aca="false">VLOOKUP(C100,Меню!$A$2:$C$24,3,FALSE())</f>
        <v>540</v>
      </c>
      <c r="G100" s="5" t="n">
        <f aca="false">VLOOKUP(B100,Заказы!$A$2:$E$2995,2,FALSE())</f>
        <v>44071</v>
      </c>
      <c r="H100" s="1" t="n">
        <f aca="false">VLOOKUP(B100,Заказы!$A$2:$E$2995,3,FALSE())</f>
        <v>1276</v>
      </c>
      <c r="I100" s="1" t="str">
        <f aca="false">VLOOKUP(H100,Клиенты!$A$2:$E$1995,5,FALSE())</f>
        <v>г. Братск</v>
      </c>
      <c r="J100" s="1" t="n">
        <f aca="false">VLOOKUP(B100,Заказы!$A$2:$E$2995,4,FALSE())</f>
        <v>0</v>
      </c>
      <c r="K100" s="1" t="str">
        <f aca="false">VLOOKUP(B100,Заказы!$A$2:$E$2995,5,FALSE())</f>
        <v>Не выполнено</v>
      </c>
      <c r="L100" s="1" t="n">
        <f aca="false">D100*F100+J100</f>
        <v>2700</v>
      </c>
      <c r="M100" s="1" t="n">
        <f aca="false">IF(AND(E100="Пицца Труслейка",I100="г. Москва",K100="Выполнено",G100&gt;=DATE(2020,7,1),G100&lt;DATE(2020,8,1)),L100,0)</f>
        <v>0</v>
      </c>
    </row>
    <row r="101" customFormat="false" ht="15" hidden="false" customHeight="true" outlineLevel="0" collapsed="false">
      <c r="A101" s="1" t="n">
        <v>100416</v>
      </c>
      <c r="B101" s="1" t="n">
        <v>51624</v>
      </c>
      <c r="C101" s="1" t="n">
        <v>4</v>
      </c>
      <c r="D101" s="1" t="n">
        <v>8</v>
      </c>
      <c r="E101" s="1" t="str">
        <f aca="false">VLOOKUP(C101,Меню!$A$2:$C$24,2,FALSE())</f>
        <v>Пицца Труслейка</v>
      </c>
      <c r="F101" s="1" t="n">
        <f aca="false">VLOOKUP(C101,Меню!$A$2:$C$24,3,FALSE())</f>
        <v>610</v>
      </c>
      <c r="G101" s="5" t="n">
        <f aca="false">VLOOKUP(B101,Заказы!$A$2:$E$2995,2,FALSE())</f>
        <v>44001</v>
      </c>
      <c r="H101" s="1" t="n">
        <f aca="false">VLOOKUP(B101,Заказы!$A$2:$E$2995,3,FALSE())</f>
        <v>1522</v>
      </c>
      <c r="I101" s="1" t="str">
        <f aca="false">VLOOKUP(H101,Клиенты!$A$2:$E$1995,5,FALSE())</f>
        <v>г. Красноармейск</v>
      </c>
      <c r="J101" s="1" t="n">
        <f aca="false">VLOOKUP(B101,Заказы!$A$2:$E$2995,4,FALSE())</f>
        <v>722</v>
      </c>
      <c r="K101" s="1" t="str">
        <f aca="false">VLOOKUP(B101,Заказы!$A$2:$E$2995,5,FALSE())</f>
        <v>Выполнено</v>
      </c>
      <c r="L101" s="1" t="n">
        <f aca="false">D101*F101+J101</f>
        <v>5602</v>
      </c>
      <c r="M101" s="1" t="n">
        <f aca="false">IF(AND(E101="Пицца Труслейка",I101="г. Москва",K101="Выполнено",G101&gt;=DATE(2020,7,1),G101&lt;DATE(2020,8,1)),L101,0)</f>
        <v>0</v>
      </c>
    </row>
    <row r="102" customFormat="false" ht="15" hidden="false" customHeight="true" outlineLevel="0" collapsed="false">
      <c r="A102" s="1" t="n">
        <v>101652</v>
      </c>
      <c r="B102" s="1" t="n">
        <v>51211</v>
      </c>
      <c r="C102" s="1" t="n">
        <v>8</v>
      </c>
      <c r="D102" s="1" t="n">
        <v>7</v>
      </c>
      <c r="E102" s="1" t="str">
        <f aca="false">VLOOKUP(C102,Меню!$A$2:$C$24,2,FALSE())</f>
        <v>Пицца Мясная</v>
      </c>
      <c r="F102" s="1" t="n">
        <f aca="false">VLOOKUP(C102,Меню!$A$2:$C$24,3,FALSE())</f>
        <v>615</v>
      </c>
      <c r="G102" s="5" t="n">
        <f aca="false">VLOOKUP(B102,Заказы!$A$2:$E$2995,2,FALSE())</f>
        <v>44010</v>
      </c>
      <c r="H102" s="1" t="n">
        <f aca="false">VLOOKUP(B102,Заказы!$A$2:$E$2995,3,FALSE())</f>
        <v>1877</v>
      </c>
      <c r="I102" s="1" t="str">
        <f aca="false">VLOOKUP(H102,Клиенты!$A$2:$E$1995,5,FALSE())</f>
        <v>г. Няндома</v>
      </c>
      <c r="J102" s="1" t="n">
        <f aca="false">VLOOKUP(B102,Заказы!$A$2:$E$2995,4,FALSE())</f>
        <v>478</v>
      </c>
      <c r="K102" s="1" t="str">
        <f aca="false">VLOOKUP(B102,Заказы!$A$2:$E$2995,5,FALSE())</f>
        <v>Выполнено</v>
      </c>
      <c r="L102" s="1" t="n">
        <f aca="false">D102*F102+J102</f>
        <v>4783</v>
      </c>
      <c r="M102" s="1" t="n">
        <f aca="false">IF(AND(E102="Пицца Труслейка",I102="г. Москва",K102="Выполнено",G102&gt;=DATE(2020,7,1),G102&lt;DATE(2020,8,1)),L102,0)</f>
        <v>0</v>
      </c>
    </row>
    <row r="103" customFormat="false" ht="15" hidden="false" customHeight="true" outlineLevel="0" collapsed="false">
      <c r="A103" s="1" t="n">
        <v>100352</v>
      </c>
      <c r="B103" s="1" t="n">
        <v>50582</v>
      </c>
      <c r="C103" s="1" t="n">
        <v>19</v>
      </c>
      <c r="D103" s="1" t="n">
        <v>2</v>
      </c>
      <c r="E103" s="1" t="str">
        <f aca="false">VLOOKUP(C103,Меню!$A$2:$C$24,2,FALSE())</f>
        <v>Пицца Цезарь</v>
      </c>
      <c r="F103" s="1" t="n">
        <f aca="false">VLOOKUP(C103,Меню!$A$2:$C$24,3,FALSE())</f>
        <v>630</v>
      </c>
      <c r="G103" s="5" t="n">
        <f aca="false">VLOOKUP(B103,Заказы!$A$2:$E$2995,2,FALSE())</f>
        <v>43987</v>
      </c>
      <c r="H103" s="1" t="n">
        <f aca="false">VLOOKUP(B103,Заказы!$A$2:$E$2995,3,FALSE())</f>
        <v>537</v>
      </c>
      <c r="I103" s="1" t="str">
        <f aca="false">VLOOKUP(H103,Клиенты!$A$2:$E$1995,5,FALSE())</f>
        <v>г. Гвардейск</v>
      </c>
      <c r="J103" s="1" t="n">
        <f aca="false">VLOOKUP(B103,Заказы!$A$2:$E$2995,4,FALSE())</f>
        <v>201</v>
      </c>
      <c r="K103" s="1" t="str">
        <f aca="false">VLOOKUP(B103,Заказы!$A$2:$E$2995,5,FALSE())</f>
        <v>Выполнено</v>
      </c>
      <c r="L103" s="1" t="n">
        <f aca="false">D103*F103+J103</f>
        <v>1461</v>
      </c>
      <c r="M103" s="1" t="n">
        <f aca="false">IF(AND(E103="Пицца Труслейка",I103="г. Москва",K103="Выполнено",G103&gt;=DATE(2020,7,1),G103&lt;DATE(2020,8,1)),L103,0)</f>
        <v>0</v>
      </c>
    </row>
    <row r="104" customFormat="false" ht="15" hidden="false" customHeight="true" outlineLevel="0" collapsed="false">
      <c r="A104" s="1" t="n">
        <v>100207</v>
      </c>
      <c r="B104" s="1" t="n">
        <v>50047</v>
      </c>
      <c r="C104" s="1" t="n">
        <v>1</v>
      </c>
      <c r="D104" s="1" t="n">
        <v>7</v>
      </c>
      <c r="E104" s="1" t="str">
        <f aca="false">VLOOKUP(C104,Меню!$A$2:$C$24,2,FALSE())</f>
        <v>Пицца Гавайская</v>
      </c>
      <c r="F104" s="1" t="n">
        <f aca="false">VLOOKUP(C104,Меню!$A$2:$C$24,3,FALSE())</f>
        <v>545</v>
      </c>
      <c r="G104" s="5" t="n">
        <f aca="false">VLOOKUP(B104,Заказы!$A$2:$E$2995,2,FALSE())</f>
        <v>44067</v>
      </c>
      <c r="H104" s="1" t="n">
        <f aca="false">VLOOKUP(B104,Заказы!$A$2:$E$2995,3,FALSE())</f>
        <v>121</v>
      </c>
      <c r="I104" s="1" t="str">
        <f aca="false">VLOOKUP(H104,Клиенты!$A$2:$E$1995,5,FALSE())</f>
        <v>г. Армавир</v>
      </c>
      <c r="J104" s="1" t="n">
        <f aca="false">VLOOKUP(B104,Заказы!$A$2:$E$2995,4,FALSE())</f>
        <v>0</v>
      </c>
      <c r="K104" s="1" t="str">
        <f aca="false">VLOOKUP(B104,Заказы!$A$2:$E$2995,5,FALSE())</f>
        <v>Не выполнено</v>
      </c>
      <c r="L104" s="1" t="n">
        <f aca="false">D104*F104+J104</f>
        <v>3815</v>
      </c>
      <c r="M104" s="1" t="n">
        <f aca="false">IF(AND(E104="Пицца Труслейка",I104="г. Москва",K104="Выполнено",G104&gt;=DATE(2020,7,1),G104&lt;DATE(2020,8,1)),L104,0)</f>
        <v>0</v>
      </c>
    </row>
    <row r="105" customFormat="false" ht="15" hidden="false" customHeight="true" outlineLevel="0" collapsed="false">
      <c r="A105" s="1" t="n">
        <v>100203</v>
      </c>
      <c r="B105" s="1" t="n">
        <v>51957</v>
      </c>
      <c r="C105" s="1" t="n">
        <v>9</v>
      </c>
      <c r="D105" s="1" t="n">
        <v>1</v>
      </c>
      <c r="E105" s="1" t="str">
        <f aca="false">VLOOKUP(C105,Меню!$A$2:$C$24,2,FALSE())</f>
        <v>Пицца Острая с беконом</v>
      </c>
      <c r="F105" s="1" t="n">
        <f aca="false">VLOOKUP(C105,Меню!$A$2:$C$24,3,FALSE())</f>
        <v>540</v>
      </c>
      <c r="G105" s="5" t="n">
        <f aca="false">VLOOKUP(B105,Заказы!$A$2:$E$2995,2,FALSE())</f>
        <v>44048</v>
      </c>
      <c r="H105" s="1" t="n">
        <f aca="false">VLOOKUP(B105,Заказы!$A$2:$E$2995,3,FALSE())</f>
        <v>1930</v>
      </c>
      <c r="I105" s="1" t="str">
        <f aca="false">VLOOKUP(H105,Клиенты!$A$2:$E$1995,5,FALSE())</f>
        <v>г. Москва</v>
      </c>
      <c r="J105" s="1" t="n">
        <f aca="false">VLOOKUP(B105,Заказы!$A$2:$E$2995,4,FALSE())</f>
        <v>0</v>
      </c>
      <c r="K105" s="1" t="str">
        <f aca="false">VLOOKUP(B105,Заказы!$A$2:$E$2995,5,FALSE())</f>
        <v>Не выполнено</v>
      </c>
      <c r="L105" s="1" t="n">
        <f aca="false">D105*F105+J105</f>
        <v>540</v>
      </c>
      <c r="M105" s="1" t="n">
        <f aca="false">IF(AND(E105="Пицца Труслейка",I105="г. Москва",K105="Выполнено",G105&gt;=DATE(2020,7,1),G105&lt;DATE(2020,8,1)),L105,0)</f>
        <v>0</v>
      </c>
    </row>
    <row r="106" customFormat="false" ht="15" hidden="false" customHeight="true" outlineLevel="0" collapsed="false">
      <c r="A106" s="1" t="n">
        <v>101385</v>
      </c>
      <c r="B106" s="1" t="n">
        <v>51316</v>
      </c>
      <c r="C106" s="1" t="n">
        <v>12</v>
      </c>
      <c r="D106" s="1" t="n">
        <v>6</v>
      </c>
      <c r="E106" s="1" t="str">
        <f aca="false">VLOOKUP(C106,Меню!$A$2:$C$24,2,FALSE())</f>
        <v>Пицца Салями с трюфелем</v>
      </c>
      <c r="F106" s="1" t="n">
        <f aca="false">VLOOKUP(C106,Меню!$A$2:$C$24,3,FALSE())</f>
        <v>525</v>
      </c>
      <c r="G106" s="5" t="n">
        <f aca="false">VLOOKUP(B106,Заказы!$A$2:$E$2995,2,FALSE())</f>
        <v>43995</v>
      </c>
      <c r="H106" s="1" t="n">
        <f aca="false">VLOOKUP(B106,Заказы!$A$2:$E$2995,3,FALSE())</f>
        <v>278</v>
      </c>
      <c r="I106" s="1" t="str">
        <f aca="false">VLOOKUP(H106,Клиенты!$A$2:$E$1995,5,FALSE())</f>
        <v>г. Кашира</v>
      </c>
      <c r="J106" s="1" t="n">
        <f aca="false">VLOOKUP(B106,Заказы!$A$2:$E$2995,4,FALSE())</f>
        <v>334</v>
      </c>
      <c r="K106" s="1" t="str">
        <f aca="false">VLOOKUP(B106,Заказы!$A$2:$E$2995,5,FALSE())</f>
        <v>Выполнено</v>
      </c>
      <c r="L106" s="1" t="n">
        <f aca="false">D106*F106+J106</f>
        <v>3484</v>
      </c>
      <c r="M106" s="1" t="n">
        <f aca="false">IF(AND(E106="Пицца Труслейка",I106="г. Москва",K106="Выполнено",G106&gt;=DATE(2020,7,1),G106&lt;DATE(2020,8,1)),L106,0)</f>
        <v>0</v>
      </c>
    </row>
    <row r="107" customFormat="false" ht="15" hidden="false" customHeight="true" outlineLevel="0" collapsed="false">
      <c r="A107" s="1" t="n">
        <v>100147</v>
      </c>
      <c r="B107" s="1" t="n">
        <v>51204</v>
      </c>
      <c r="C107" s="1" t="n">
        <v>9</v>
      </c>
      <c r="D107" s="1" t="n">
        <v>4</v>
      </c>
      <c r="E107" s="1" t="str">
        <f aca="false">VLOOKUP(C107,Меню!$A$2:$C$24,2,FALSE())</f>
        <v>Пицца Острая с беконом</v>
      </c>
      <c r="F107" s="1" t="n">
        <f aca="false">VLOOKUP(C107,Меню!$A$2:$C$24,3,FALSE())</f>
        <v>540</v>
      </c>
      <c r="G107" s="5" t="n">
        <f aca="false">VLOOKUP(B107,Заказы!$A$2:$E$2995,2,FALSE())</f>
        <v>44071</v>
      </c>
      <c r="H107" s="1" t="n">
        <f aca="false">VLOOKUP(B107,Заказы!$A$2:$E$2995,3,FALSE())</f>
        <v>1512</v>
      </c>
      <c r="I107" s="1" t="str">
        <f aca="false">VLOOKUP(H107,Клиенты!$A$2:$E$1995,5,FALSE())</f>
        <v>г. Волгоград</v>
      </c>
      <c r="J107" s="1" t="n">
        <f aca="false">VLOOKUP(B107,Заказы!$A$2:$E$2995,4,FALSE())</f>
        <v>882</v>
      </c>
      <c r="K107" s="1" t="str">
        <f aca="false">VLOOKUP(B107,Заказы!$A$2:$E$2995,5,FALSE())</f>
        <v>Выполнено</v>
      </c>
      <c r="L107" s="1" t="n">
        <f aca="false">D107*F107+J107</f>
        <v>3042</v>
      </c>
      <c r="M107" s="1" t="n">
        <f aca="false">IF(AND(E107="Пицца Труслейка",I107="г. Москва",K107="Выполнено",G107&gt;=DATE(2020,7,1),G107&lt;DATE(2020,8,1)),L107,0)</f>
        <v>0</v>
      </c>
    </row>
    <row r="108" customFormat="false" ht="15" hidden="false" customHeight="true" outlineLevel="0" collapsed="false">
      <c r="A108" s="1" t="n">
        <v>101331</v>
      </c>
      <c r="B108" s="1" t="n">
        <v>51285</v>
      </c>
      <c r="C108" s="1" t="n">
        <v>22</v>
      </c>
      <c r="D108" s="1" t="n">
        <v>2</v>
      </c>
      <c r="E108" s="1" t="str">
        <f aca="false">VLOOKUP(C108,Меню!$A$2:$C$24,2,FALSE())</f>
        <v>Пицца с поркеттой и фриарелли</v>
      </c>
      <c r="F108" s="1" t="n">
        <f aca="false">VLOOKUP(C108,Меню!$A$2:$C$24,3,FALSE())</f>
        <v>550</v>
      </c>
      <c r="G108" s="5" t="n">
        <f aca="false">VLOOKUP(B108,Заказы!$A$2:$E$2995,2,FALSE())</f>
        <v>44058</v>
      </c>
      <c r="H108" s="1" t="n">
        <f aca="false">VLOOKUP(B108,Заказы!$A$2:$E$2995,3,FALSE())</f>
        <v>1288</v>
      </c>
      <c r="I108" s="1" t="str">
        <f aca="false">VLOOKUP(H108,Клиенты!$A$2:$E$1995,5,FALSE())</f>
        <v>г. Пугачёв</v>
      </c>
      <c r="J108" s="1" t="n">
        <f aca="false">VLOOKUP(B108,Заказы!$A$2:$E$2995,4,FALSE())</f>
        <v>323</v>
      </c>
      <c r="K108" s="1" t="str">
        <f aca="false">VLOOKUP(B108,Заказы!$A$2:$E$2995,5,FALSE())</f>
        <v>Выполнено</v>
      </c>
      <c r="L108" s="1" t="n">
        <f aca="false">D108*F108+J108</f>
        <v>1423</v>
      </c>
      <c r="M108" s="1" t="n">
        <f aca="false">IF(AND(E108="Пицца Труслейка",I108="г. Москва",K108="Выполнено",G108&gt;=DATE(2020,7,1),G108&lt;DATE(2020,8,1)),L108,0)</f>
        <v>0</v>
      </c>
    </row>
    <row r="109" customFormat="false" ht="15" hidden="false" customHeight="true" outlineLevel="0" collapsed="false">
      <c r="A109" s="1" t="n">
        <v>101085</v>
      </c>
      <c r="B109" s="1" t="n">
        <v>50901</v>
      </c>
      <c r="C109" s="1" t="n">
        <v>17</v>
      </c>
      <c r="D109" s="1" t="n">
        <v>1</v>
      </c>
      <c r="E109" s="1" t="str">
        <f aca="false">VLOOKUP(C109,Меню!$A$2:$C$24,2,FALSE())</f>
        <v>Пицца Френч Фрайз</v>
      </c>
      <c r="F109" s="1" t="n">
        <f aca="false">VLOOKUP(C109,Меню!$A$2:$C$24,3,FALSE())</f>
        <v>515</v>
      </c>
      <c r="G109" s="5" t="n">
        <f aca="false">VLOOKUP(B109,Заказы!$A$2:$E$2995,2,FALSE())</f>
        <v>44014</v>
      </c>
      <c r="H109" s="1" t="n">
        <f aca="false">VLOOKUP(B109,Заказы!$A$2:$E$2995,3,FALSE())</f>
        <v>626</v>
      </c>
      <c r="I109" s="1" t="str">
        <f aca="false">VLOOKUP(H109,Клиенты!$A$2:$E$1995,5,FALSE())</f>
        <v>г. Кольчугино</v>
      </c>
      <c r="J109" s="1" t="n">
        <f aca="false">VLOOKUP(B109,Заказы!$A$2:$E$2995,4,FALSE())</f>
        <v>0</v>
      </c>
      <c r="K109" s="1" t="str">
        <f aca="false">VLOOKUP(B109,Заказы!$A$2:$E$2995,5,FALSE())</f>
        <v>Не выполнено</v>
      </c>
      <c r="L109" s="1" t="n">
        <f aca="false">D109*F109+J109</f>
        <v>515</v>
      </c>
      <c r="M109" s="1" t="n">
        <f aca="false">IF(AND(E109="Пицца Труслейка",I109="г. Москва",K109="Выполнено",G109&gt;=DATE(2020,7,1),G109&lt;DATE(2020,8,1)),L109,0)</f>
        <v>0</v>
      </c>
    </row>
    <row r="110" customFormat="false" ht="15" hidden="false" customHeight="true" outlineLevel="0" collapsed="false">
      <c r="A110" s="1" t="n">
        <v>101549</v>
      </c>
      <c r="B110" s="1" t="n">
        <v>50112</v>
      </c>
      <c r="C110" s="1" t="n">
        <v>17</v>
      </c>
      <c r="D110" s="1" t="n">
        <v>1</v>
      </c>
      <c r="E110" s="1" t="str">
        <f aca="false">VLOOKUP(C110,Меню!$A$2:$C$24,2,FALSE())</f>
        <v>Пицца Френч Фрайз</v>
      </c>
      <c r="F110" s="1" t="n">
        <f aca="false">VLOOKUP(C110,Меню!$A$2:$C$24,3,FALSE())</f>
        <v>515</v>
      </c>
      <c r="G110" s="5" t="n">
        <f aca="false">VLOOKUP(B110,Заказы!$A$2:$E$2995,2,FALSE())</f>
        <v>44058</v>
      </c>
      <c r="H110" s="1" t="n">
        <f aca="false">VLOOKUP(B110,Заказы!$A$2:$E$2995,3,FALSE())</f>
        <v>625</v>
      </c>
      <c r="I110" s="1" t="str">
        <f aca="false">VLOOKUP(H110,Клиенты!$A$2:$E$1995,5,FALSE())</f>
        <v>г. Заволжье</v>
      </c>
      <c r="J110" s="1" t="n">
        <f aca="false">VLOOKUP(B110,Заказы!$A$2:$E$2995,4,FALSE())</f>
        <v>0</v>
      </c>
      <c r="K110" s="1" t="str">
        <f aca="false">VLOOKUP(B110,Заказы!$A$2:$E$2995,5,FALSE())</f>
        <v>Не выполнено</v>
      </c>
      <c r="L110" s="1" t="n">
        <f aca="false">D110*F110+J110</f>
        <v>515</v>
      </c>
      <c r="M110" s="1" t="n">
        <f aca="false">IF(AND(E110="Пицца Труслейка",I110="г. Москва",K110="Выполнено",G110&gt;=DATE(2020,7,1),G110&lt;DATE(2020,8,1)),L110,0)</f>
        <v>0</v>
      </c>
    </row>
    <row r="111" customFormat="false" ht="15" hidden="false" customHeight="true" outlineLevel="0" collapsed="false">
      <c r="A111" s="1" t="n">
        <v>101812</v>
      </c>
      <c r="B111" s="1" t="n">
        <v>50767</v>
      </c>
      <c r="C111" s="1" t="n">
        <v>4</v>
      </c>
      <c r="D111" s="1" t="n">
        <v>2</v>
      </c>
      <c r="E111" s="1" t="str">
        <f aca="false">VLOOKUP(C111,Меню!$A$2:$C$24,2,FALSE())</f>
        <v>Пицца Труслейка</v>
      </c>
      <c r="F111" s="1" t="n">
        <f aca="false">VLOOKUP(C111,Меню!$A$2:$C$24,3,FALSE())</f>
        <v>610</v>
      </c>
      <c r="G111" s="5" t="n">
        <f aca="false">VLOOKUP(B111,Заказы!$A$2:$E$2995,2,FALSE())</f>
        <v>43996</v>
      </c>
      <c r="H111" s="1" t="n">
        <f aca="false">VLOOKUP(B111,Заказы!$A$2:$E$2995,3,FALSE())</f>
        <v>1724</v>
      </c>
      <c r="I111" s="1" t="str">
        <f aca="false">VLOOKUP(H111,Клиенты!$A$2:$E$1995,5,FALSE())</f>
        <v>г. Вяземский</v>
      </c>
      <c r="J111" s="1" t="n">
        <f aca="false">VLOOKUP(B111,Заказы!$A$2:$E$2995,4,FALSE())</f>
        <v>0</v>
      </c>
      <c r="K111" s="1" t="str">
        <f aca="false">VLOOKUP(B111,Заказы!$A$2:$E$2995,5,FALSE())</f>
        <v>Не выполнено</v>
      </c>
      <c r="L111" s="1" t="n">
        <f aca="false">D111*F111+J111</f>
        <v>1220</v>
      </c>
      <c r="M111" s="1" t="n">
        <f aca="false">IF(AND(E111="Пицца Труслейка",I111="г. Москва",K111="Выполнено",G111&gt;=DATE(2020,7,1),G111&lt;DATE(2020,8,1)),L111,0)</f>
        <v>0</v>
      </c>
    </row>
    <row r="112" customFormat="false" ht="15" hidden="false" customHeight="true" outlineLevel="0" collapsed="false">
      <c r="A112" s="1" t="n">
        <v>101530</v>
      </c>
      <c r="B112" s="1" t="n">
        <v>51437</v>
      </c>
      <c r="C112" s="1" t="n">
        <v>23</v>
      </c>
      <c r="D112" s="1" t="n">
        <v>7</v>
      </c>
      <c r="E112" s="1" t="str">
        <f aca="false">VLOOKUP(C112,Меню!$A$2:$C$24,2,FALSE())</f>
        <v>Пицца с тунцом</v>
      </c>
      <c r="F112" s="1" t="n">
        <f aca="false">VLOOKUP(C112,Меню!$A$2:$C$24,3,FALSE())</f>
        <v>520</v>
      </c>
      <c r="G112" s="5" t="n">
        <f aca="false">VLOOKUP(B112,Заказы!$A$2:$E$2995,2,FALSE())</f>
        <v>43997</v>
      </c>
      <c r="H112" s="1" t="n">
        <f aca="false">VLOOKUP(B112,Заказы!$A$2:$E$2995,3,FALSE())</f>
        <v>1662</v>
      </c>
      <c r="I112" s="1" t="str">
        <f aca="false">VLOOKUP(H112,Клиенты!$A$2:$E$1995,5,FALSE())</f>
        <v>г. Железногорск</v>
      </c>
      <c r="J112" s="1" t="n">
        <f aca="false">VLOOKUP(B112,Заказы!$A$2:$E$2995,4,FALSE())</f>
        <v>0</v>
      </c>
      <c r="K112" s="1" t="str">
        <f aca="false">VLOOKUP(B112,Заказы!$A$2:$E$2995,5,FALSE())</f>
        <v>Не выполнено</v>
      </c>
      <c r="L112" s="1" t="n">
        <f aca="false">D112*F112+J112</f>
        <v>3640</v>
      </c>
      <c r="M112" s="1" t="n">
        <f aca="false">IF(AND(E112="Пицца Труслейка",I112="г. Москва",K112="Выполнено",G112&gt;=DATE(2020,7,1),G112&lt;DATE(2020,8,1)),L112,0)</f>
        <v>0</v>
      </c>
    </row>
    <row r="113" customFormat="false" ht="15" hidden="false" customHeight="true" outlineLevel="0" collapsed="false">
      <c r="A113" s="1" t="n">
        <v>100629</v>
      </c>
      <c r="B113" s="1" t="n">
        <v>51552</v>
      </c>
      <c r="C113" s="1" t="n">
        <v>6</v>
      </c>
      <c r="D113" s="1" t="n">
        <v>7</v>
      </c>
      <c r="E113" s="1" t="str">
        <f aca="false">VLOOKUP(C113,Меню!$A$2:$C$24,2,FALSE())</f>
        <v>Пицца Капричиоза</v>
      </c>
      <c r="F113" s="1" t="n">
        <f aca="false">VLOOKUP(C113,Меню!$A$2:$C$24,3,FALSE())</f>
        <v>570</v>
      </c>
      <c r="G113" s="5" t="n">
        <f aca="false">VLOOKUP(B113,Заказы!$A$2:$E$2995,2,FALSE())</f>
        <v>44007</v>
      </c>
      <c r="H113" s="1" t="n">
        <f aca="false">VLOOKUP(B113,Заказы!$A$2:$E$2995,3,FALSE())</f>
        <v>1124</v>
      </c>
      <c r="I113" s="1" t="str">
        <f aca="false">VLOOKUP(H113,Клиенты!$A$2:$E$1995,5,FALSE())</f>
        <v>г. Грязи</v>
      </c>
      <c r="J113" s="1" t="n">
        <f aca="false">VLOOKUP(B113,Заказы!$A$2:$E$2995,4,FALSE())</f>
        <v>536</v>
      </c>
      <c r="K113" s="1" t="str">
        <f aca="false">VLOOKUP(B113,Заказы!$A$2:$E$2995,5,FALSE())</f>
        <v>Выполнено</v>
      </c>
      <c r="L113" s="1" t="n">
        <f aca="false">D113*F113+J113</f>
        <v>4526</v>
      </c>
      <c r="M113" s="1" t="n">
        <f aca="false">IF(AND(E113="Пицца Труслейка",I113="г. Москва",K113="Выполнено",G113&gt;=DATE(2020,7,1),G113&lt;DATE(2020,8,1)),L113,0)</f>
        <v>0</v>
      </c>
    </row>
    <row r="114" customFormat="false" ht="15" hidden="false" customHeight="true" outlineLevel="0" collapsed="false">
      <c r="A114" s="1" t="n">
        <v>100779</v>
      </c>
      <c r="B114" s="1" t="n">
        <v>51315</v>
      </c>
      <c r="C114" s="1" t="n">
        <v>19</v>
      </c>
      <c r="D114" s="1" t="n">
        <v>6</v>
      </c>
      <c r="E114" s="1" t="str">
        <f aca="false">VLOOKUP(C114,Меню!$A$2:$C$24,2,FALSE())</f>
        <v>Пицца Цезарь</v>
      </c>
      <c r="F114" s="1" t="n">
        <f aca="false">VLOOKUP(C114,Меню!$A$2:$C$24,3,FALSE())</f>
        <v>630</v>
      </c>
      <c r="G114" s="5" t="n">
        <f aca="false">VLOOKUP(B114,Заказы!$A$2:$E$2995,2,FALSE())</f>
        <v>44050</v>
      </c>
      <c r="H114" s="1" t="n">
        <f aca="false">VLOOKUP(B114,Заказы!$A$2:$E$2995,3,FALSE())</f>
        <v>299</v>
      </c>
      <c r="I114" s="1" t="str">
        <f aca="false">VLOOKUP(H114,Клиенты!$A$2:$E$1995,5,FALSE())</f>
        <v>г. Лебедянь</v>
      </c>
      <c r="J114" s="1" t="n">
        <f aca="false">VLOOKUP(B114,Заказы!$A$2:$E$2995,4,FALSE())</f>
        <v>0</v>
      </c>
      <c r="K114" s="1" t="str">
        <f aca="false">VLOOKUP(B114,Заказы!$A$2:$E$2995,5,FALSE())</f>
        <v>Не выполнено</v>
      </c>
      <c r="L114" s="1" t="n">
        <f aca="false">D114*F114+J114</f>
        <v>3780</v>
      </c>
      <c r="M114" s="1" t="n">
        <f aca="false">IF(AND(E114="Пицца Труслейка",I114="г. Москва",K114="Выполнено",G114&gt;=DATE(2020,7,1),G114&lt;DATE(2020,8,1)),L114,0)</f>
        <v>0</v>
      </c>
    </row>
    <row r="115" customFormat="false" ht="15" hidden="false" customHeight="true" outlineLevel="0" collapsed="false">
      <c r="A115" s="1" t="n">
        <v>101038</v>
      </c>
      <c r="B115" s="1" t="n">
        <v>50277</v>
      </c>
      <c r="C115" s="1" t="n">
        <v>8</v>
      </c>
      <c r="D115" s="1" t="n">
        <v>9</v>
      </c>
      <c r="E115" s="1" t="str">
        <f aca="false">VLOOKUP(C115,Меню!$A$2:$C$24,2,FALSE())</f>
        <v>Пицца Мясная</v>
      </c>
      <c r="F115" s="1" t="n">
        <f aca="false">VLOOKUP(C115,Меню!$A$2:$C$24,3,FALSE())</f>
        <v>615</v>
      </c>
      <c r="G115" s="5" t="n">
        <f aca="false">VLOOKUP(B115,Заказы!$A$2:$E$2995,2,FALSE())</f>
        <v>44058</v>
      </c>
      <c r="H115" s="1" t="n">
        <f aca="false">VLOOKUP(B115,Заказы!$A$2:$E$2995,3,FALSE())</f>
        <v>1983</v>
      </c>
      <c r="I115" s="1" t="str">
        <f aca="false">VLOOKUP(H115,Клиенты!$A$2:$E$1995,5,FALSE())</f>
        <v>г. Знаменск</v>
      </c>
      <c r="J115" s="1" t="n">
        <f aca="false">VLOOKUP(B115,Заказы!$A$2:$E$2995,4,FALSE())</f>
        <v>789</v>
      </c>
      <c r="K115" s="1" t="str">
        <f aca="false">VLOOKUP(B115,Заказы!$A$2:$E$2995,5,FALSE())</f>
        <v>Выполнено</v>
      </c>
      <c r="L115" s="1" t="n">
        <f aca="false">D115*F115+J115</f>
        <v>6324</v>
      </c>
      <c r="M115" s="1" t="n">
        <f aca="false">IF(AND(E115="Пицца Труслейка",I115="г. Москва",K115="Выполнено",G115&gt;=DATE(2020,7,1),G115&lt;DATE(2020,8,1)),L115,0)</f>
        <v>0</v>
      </c>
    </row>
    <row r="116" customFormat="false" ht="15" hidden="false" customHeight="true" outlineLevel="0" collapsed="false">
      <c r="A116" s="1" t="n">
        <v>100810</v>
      </c>
      <c r="B116" s="1" t="n">
        <v>51028</v>
      </c>
      <c r="C116" s="1" t="n">
        <v>18</v>
      </c>
      <c r="D116" s="1" t="n">
        <v>4</v>
      </c>
      <c r="E116" s="1" t="str">
        <f aca="false">VLOOKUP(C116,Меню!$A$2:$C$24,2,FALSE())</f>
        <v>Пицца Царская</v>
      </c>
      <c r="F116" s="1" t="n">
        <f aca="false">VLOOKUP(C116,Меню!$A$2:$C$24,3,FALSE())</f>
        <v>620</v>
      </c>
      <c r="G116" s="5" t="n">
        <f aca="false">VLOOKUP(B116,Заказы!$A$2:$E$2995,2,FALSE())</f>
        <v>44042</v>
      </c>
      <c r="H116" s="1" t="n">
        <f aca="false">VLOOKUP(B116,Заказы!$A$2:$E$2995,3,FALSE())</f>
        <v>952</v>
      </c>
      <c r="I116" s="1" t="str">
        <f aca="false">VLOOKUP(H116,Клиенты!$A$2:$E$1995,5,FALSE())</f>
        <v>г. Сосногорск</v>
      </c>
      <c r="J116" s="1" t="n">
        <f aca="false">VLOOKUP(B116,Заказы!$A$2:$E$2995,4,FALSE())</f>
        <v>0</v>
      </c>
      <c r="K116" s="1" t="str">
        <f aca="false">VLOOKUP(B116,Заказы!$A$2:$E$2995,5,FALSE())</f>
        <v>Не выполнено</v>
      </c>
      <c r="L116" s="1" t="n">
        <f aca="false">D116*F116+J116</f>
        <v>2480</v>
      </c>
      <c r="M116" s="1" t="n">
        <f aca="false">IF(AND(E116="Пицца Труслейка",I116="г. Москва",K116="Выполнено",G116&gt;=DATE(2020,7,1),G116&lt;DATE(2020,8,1)),L116,0)</f>
        <v>0</v>
      </c>
    </row>
    <row r="117" customFormat="false" ht="15" hidden="false" customHeight="true" outlineLevel="0" collapsed="false">
      <c r="A117" s="1" t="n">
        <v>100446</v>
      </c>
      <c r="B117" s="1" t="n">
        <v>51853</v>
      </c>
      <c r="C117" s="1" t="n">
        <v>5</v>
      </c>
      <c r="D117" s="1" t="n">
        <v>5</v>
      </c>
      <c r="E117" s="1" t="str">
        <f aca="false">VLOOKUP(C117,Меню!$A$2:$C$24,2,FALSE())</f>
        <v>Пицца Жюльен</v>
      </c>
      <c r="F117" s="1" t="n">
        <f aca="false">VLOOKUP(C117,Меню!$A$2:$C$24,3,FALSE())</f>
        <v>580</v>
      </c>
      <c r="G117" s="5" t="n">
        <f aca="false">VLOOKUP(B117,Заказы!$A$2:$E$2995,2,FALSE())</f>
        <v>43992</v>
      </c>
      <c r="H117" s="1" t="n">
        <f aca="false">VLOOKUP(B117,Заказы!$A$2:$E$2995,3,FALSE())</f>
        <v>1505</v>
      </c>
      <c r="I117" s="1" t="str">
        <f aca="false">VLOOKUP(H117,Клиенты!$A$2:$E$1995,5,FALSE())</f>
        <v>г. Мурманск</v>
      </c>
      <c r="J117" s="1" t="n">
        <f aca="false">VLOOKUP(B117,Заказы!$A$2:$E$2995,4,FALSE())</f>
        <v>0</v>
      </c>
      <c r="K117" s="1" t="str">
        <f aca="false">VLOOKUP(B117,Заказы!$A$2:$E$2995,5,FALSE())</f>
        <v>Не выполнено</v>
      </c>
      <c r="L117" s="1" t="n">
        <f aca="false">D117*F117+J117</f>
        <v>2900</v>
      </c>
      <c r="M117" s="1" t="n">
        <f aca="false">IF(AND(E117="Пицца Труслейка",I117="г. Москва",K117="Выполнено",G117&gt;=DATE(2020,7,1),G117&lt;DATE(2020,8,1)),L117,0)</f>
        <v>0</v>
      </c>
    </row>
    <row r="118" customFormat="false" ht="15" hidden="false" customHeight="true" outlineLevel="0" collapsed="false">
      <c r="A118" s="1" t="n">
        <v>100520</v>
      </c>
      <c r="B118" s="1" t="n">
        <v>51712</v>
      </c>
      <c r="C118" s="1" t="n">
        <v>10</v>
      </c>
      <c r="D118" s="1" t="n">
        <v>5</v>
      </c>
      <c r="E118" s="1" t="str">
        <f aca="false">VLOOKUP(C118,Меню!$A$2:$C$24,2,FALSE())</f>
        <v>Пицца Пепперони фреш</v>
      </c>
      <c r="F118" s="1" t="n">
        <f aca="false">VLOOKUP(C118,Меню!$A$2:$C$24,3,FALSE())</f>
        <v>565</v>
      </c>
      <c r="G118" s="5" t="n">
        <f aca="false">VLOOKUP(B118,Заказы!$A$2:$E$2995,2,FALSE())</f>
        <v>44060</v>
      </c>
      <c r="H118" s="1" t="n">
        <f aca="false">VLOOKUP(B118,Заказы!$A$2:$E$2995,3,FALSE())</f>
        <v>702</v>
      </c>
      <c r="I118" s="1" t="str">
        <f aca="false">VLOOKUP(H118,Клиенты!$A$2:$E$1995,5,FALSE())</f>
        <v>г. Чекалин</v>
      </c>
      <c r="J118" s="1" t="n">
        <f aca="false">VLOOKUP(B118,Заказы!$A$2:$E$2995,4,FALSE())</f>
        <v>137</v>
      </c>
      <c r="K118" s="1" t="str">
        <f aca="false">VLOOKUP(B118,Заказы!$A$2:$E$2995,5,FALSE())</f>
        <v>Выполнено</v>
      </c>
      <c r="L118" s="1" t="n">
        <f aca="false">D118*F118+J118</f>
        <v>2962</v>
      </c>
      <c r="M118" s="1" t="n">
        <f aca="false">IF(AND(E118="Пицца Труслейка",I118="г. Москва",K118="Выполнено",G118&gt;=DATE(2020,7,1),G118&lt;DATE(2020,8,1)),L118,0)</f>
        <v>0</v>
      </c>
    </row>
    <row r="119" customFormat="false" ht="15" hidden="false" customHeight="true" outlineLevel="0" collapsed="false">
      <c r="A119" s="1" t="n">
        <v>101992</v>
      </c>
      <c r="B119" s="1" t="n">
        <v>51699</v>
      </c>
      <c r="C119" s="1" t="n">
        <v>9</v>
      </c>
      <c r="D119" s="1" t="n">
        <v>7</v>
      </c>
      <c r="E119" s="1" t="str">
        <f aca="false">VLOOKUP(C119,Меню!$A$2:$C$24,2,FALSE())</f>
        <v>Пицца Острая с беконом</v>
      </c>
      <c r="F119" s="1" t="n">
        <f aca="false">VLOOKUP(C119,Меню!$A$2:$C$24,3,FALSE())</f>
        <v>540</v>
      </c>
      <c r="G119" s="5" t="n">
        <f aca="false">VLOOKUP(B119,Заказы!$A$2:$E$2995,2,FALSE())</f>
        <v>44011</v>
      </c>
      <c r="H119" s="1" t="n">
        <f aca="false">VLOOKUP(B119,Заказы!$A$2:$E$2995,3,FALSE())</f>
        <v>1232</v>
      </c>
      <c r="I119" s="1" t="str">
        <f aca="false">VLOOKUP(H119,Клиенты!$A$2:$E$1995,5,FALSE())</f>
        <v>г. Благодарный</v>
      </c>
      <c r="J119" s="1" t="n">
        <f aca="false">VLOOKUP(B119,Заказы!$A$2:$E$2995,4,FALSE())</f>
        <v>0</v>
      </c>
      <c r="K119" s="1" t="str">
        <f aca="false">VLOOKUP(B119,Заказы!$A$2:$E$2995,5,FALSE())</f>
        <v>Не выполнено</v>
      </c>
      <c r="L119" s="1" t="n">
        <f aca="false">D119*F119+J119</f>
        <v>3780</v>
      </c>
      <c r="M119" s="1" t="n">
        <f aca="false">IF(AND(E119="Пицца Труслейка",I119="г. Москва",K119="Выполнено",G119&gt;=DATE(2020,7,1),G119&lt;DATE(2020,8,1)),L119,0)</f>
        <v>0</v>
      </c>
    </row>
    <row r="120" customFormat="false" ht="15" hidden="false" customHeight="true" outlineLevel="0" collapsed="false">
      <c r="A120" s="1" t="n">
        <v>101906</v>
      </c>
      <c r="B120" s="1" t="n">
        <v>50805</v>
      </c>
      <c r="C120" s="1" t="n">
        <v>1</v>
      </c>
      <c r="D120" s="1" t="n">
        <v>9</v>
      </c>
      <c r="E120" s="1" t="str">
        <f aca="false">VLOOKUP(C120,Меню!$A$2:$C$24,2,FALSE())</f>
        <v>Пицца Гавайская</v>
      </c>
      <c r="F120" s="1" t="n">
        <f aca="false">VLOOKUP(C120,Меню!$A$2:$C$24,3,FALSE())</f>
        <v>545</v>
      </c>
      <c r="G120" s="5" t="n">
        <f aca="false">VLOOKUP(B120,Заказы!$A$2:$E$2995,2,FALSE())</f>
        <v>44013</v>
      </c>
      <c r="H120" s="1" t="n">
        <f aca="false">VLOOKUP(B120,Заказы!$A$2:$E$2995,3,FALSE())</f>
        <v>1345</v>
      </c>
      <c r="I120" s="1" t="str">
        <f aca="false">VLOOKUP(H120,Клиенты!$A$2:$E$1995,5,FALSE())</f>
        <v>г. Вилюйск</v>
      </c>
      <c r="J120" s="1" t="n">
        <f aca="false">VLOOKUP(B120,Заказы!$A$2:$E$2995,4,FALSE())</f>
        <v>0</v>
      </c>
      <c r="K120" s="1" t="str">
        <f aca="false">VLOOKUP(B120,Заказы!$A$2:$E$2995,5,FALSE())</f>
        <v>Не выполнено</v>
      </c>
      <c r="L120" s="1" t="n">
        <f aca="false">D120*F120+J120</f>
        <v>4905</v>
      </c>
      <c r="M120" s="1" t="n">
        <f aca="false">IF(AND(E120="Пицца Труслейка",I120="г. Москва",K120="Выполнено",G120&gt;=DATE(2020,7,1),G120&lt;DATE(2020,8,1)),L120,0)</f>
        <v>0</v>
      </c>
    </row>
    <row r="121" customFormat="false" ht="15" hidden="false" customHeight="true" outlineLevel="0" collapsed="false">
      <c r="A121" s="1" t="n">
        <v>101866</v>
      </c>
      <c r="B121" s="1" t="n">
        <v>50919</v>
      </c>
      <c r="C121" s="1" t="n">
        <v>4</v>
      </c>
      <c r="D121" s="1" t="n">
        <v>9</v>
      </c>
      <c r="E121" s="1" t="str">
        <f aca="false">VLOOKUP(C121,Меню!$A$2:$C$24,2,FALSE())</f>
        <v>Пицца Труслейка</v>
      </c>
      <c r="F121" s="1" t="n">
        <f aca="false">VLOOKUP(C121,Меню!$A$2:$C$24,3,FALSE())</f>
        <v>610</v>
      </c>
      <c r="G121" s="5" t="n">
        <f aca="false">VLOOKUP(B121,Заказы!$A$2:$E$2995,2,FALSE())</f>
        <v>44056</v>
      </c>
      <c r="H121" s="1" t="n">
        <f aca="false">VLOOKUP(B121,Заказы!$A$2:$E$2995,3,FALSE())</f>
        <v>1287</v>
      </c>
      <c r="I121" s="1" t="str">
        <f aca="false">VLOOKUP(H121,Клиенты!$A$2:$E$1995,5,FALSE())</f>
        <v>г. Билибино</v>
      </c>
      <c r="J121" s="1" t="n">
        <f aca="false">VLOOKUP(B121,Заказы!$A$2:$E$2995,4,FALSE())</f>
        <v>839</v>
      </c>
      <c r="K121" s="1" t="str">
        <f aca="false">VLOOKUP(B121,Заказы!$A$2:$E$2995,5,FALSE())</f>
        <v>Выполнено</v>
      </c>
      <c r="L121" s="1" t="n">
        <f aca="false">D121*F121+J121</f>
        <v>6329</v>
      </c>
      <c r="M121" s="1" t="n">
        <f aca="false">IF(AND(E121="Пицца Труслейка",I121="г. Москва",K121="Выполнено",G121&gt;=DATE(2020,7,1),G121&lt;DATE(2020,8,1)),L121,0)</f>
        <v>0</v>
      </c>
    </row>
    <row r="122" customFormat="false" ht="15" hidden="false" customHeight="true" outlineLevel="0" collapsed="false">
      <c r="A122" s="1" t="n">
        <v>101029</v>
      </c>
      <c r="B122" s="1" t="n">
        <v>50687</v>
      </c>
      <c r="C122" s="1" t="n">
        <v>7</v>
      </c>
      <c r="D122" s="1" t="n">
        <v>1</v>
      </c>
      <c r="E122" s="1" t="str">
        <f aca="false">VLOOKUP(C122,Меню!$A$2:$C$24,2,FALSE())</f>
        <v>Пицца Карбонара</v>
      </c>
      <c r="F122" s="1" t="n">
        <f aca="false">VLOOKUP(C122,Меню!$A$2:$C$24,3,FALSE())</f>
        <v>625</v>
      </c>
      <c r="G122" s="5" t="n">
        <f aca="false">VLOOKUP(B122,Заказы!$A$2:$E$2995,2,FALSE())</f>
        <v>44030</v>
      </c>
      <c r="H122" s="1" t="n">
        <f aca="false">VLOOKUP(B122,Заказы!$A$2:$E$2995,3,FALSE())</f>
        <v>1629</v>
      </c>
      <c r="I122" s="1" t="str">
        <f aca="false">VLOOKUP(H122,Клиенты!$A$2:$E$1995,5,FALSE())</f>
        <v>г. Октябрьский</v>
      </c>
      <c r="J122" s="1" t="n">
        <f aca="false">VLOOKUP(B122,Заказы!$A$2:$E$2995,4,FALSE())</f>
        <v>304</v>
      </c>
      <c r="K122" s="1" t="str">
        <f aca="false">VLOOKUP(B122,Заказы!$A$2:$E$2995,5,FALSE())</f>
        <v>Выполнено</v>
      </c>
      <c r="L122" s="1" t="n">
        <f aca="false">D122*F122+J122</f>
        <v>929</v>
      </c>
      <c r="M122" s="1" t="n">
        <f aca="false">IF(AND(E122="Пицца Труслейка",I122="г. Москва",K122="Выполнено",G122&gt;=DATE(2020,7,1),G122&lt;DATE(2020,8,1)),L122,0)</f>
        <v>0</v>
      </c>
    </row>
    <row r="123" customFormat="false" ht="15" hidden="false" customHeight="true" outlineLevel="0" collapsed="false">
      <c r="A123" s="1" t="n">
        <v>101365</v>
      </c>
      <c r="B123" s="1" t="n">
        <v>50145</v>
      </c>
      <c r="C123" s="1" t="n">
        <v>8</v>
      </c>
      <c r="D123" s="1" t="n">
        <v>5</v>
      </c>
      <c r="E123" s="1" t="str">
        <f aca="false">VLOOKUP(C123,Меню!$A$2:$C$24,2,FALSE())</f>
        <v>Пицца Мясная</v>
      </c>
      <c r="F123" s="1" t="n">
        <f aca="false">VLOOKUP(C123,Меню!$A$2:$C$24,3,FALSE())</f>
        <v>615</v>
      </c>
      <c r="G123" s="5" t="n">
        <f aca="false">VLOOKUP(B123,Заказы!$A$2:$E$2995,2,FALSE())</f>
        <v>44049</v>
      </c>
      <c r="H123" s="1" t="n">
        <f aca="false">VLOOKUP(B123,Заказы!$A$2:$E$2995,3,FALSE())</f>
        <v>435</v>
      </c>
      <c r="I123" s="1" t="str">
        <f aca="false">VLOOKUP(H123,Клиенты!$A$2:$E$1995,5,FALSE())</f>
        <v>г. Ладушкин</v>
      </c>
      <c r="J123" s="1" t="n">
        <f aca="false">VLOOKUP(B123,Заказы!$A$2:$E$2995,4,FALSE())</f>
        <v>0</v>
      </c>
      <c r="K123" s="1" t="str">
        <f aca="false">VLOOKUP(B123,Заказы!$A$2:$E$2995,5,FALSE())</f>
        <v>Не выполнено</v>
      </c>
      <c r="L123" s="1" t="n">
        <f aca="false">D123*F123+J123</f>
        <v>3075</v>
      </c>
      <c r="M123" s="1" t="n">
        <f aca="false">IF(AND(E123="Пицца Труслейка",I123="г. Москва",K123="Выполнено",G123&gt;=DATE(2020,7,1),G123&lt;DATE(2020,8,1)),L123,0)</f>
        <v>0</v>
      </c>
    </row>
    <row r="124" customFormat="false" ht="15" hidden="false" customHeight="true" outlineLevel="0" collapsed="false">
      <c r="A124" s="1" t="n">
        <v>100441</v>
      </c>
      <c r="B124" s="1" t="n">
        <v>50875</v>
      </c>
      <c r="C124" s="1" t="n">
        <v>17</v>
      </c>
      <c r="D124" s="1" t="n">
        <v>4</v>
      </c>
      <c r="E124" s="1" t="str">
        <f aca="false">VLOOKUP(C124,Меню!$A$2:$C$24,2,FALSE())</f>
        <v>Пицца Френч Фрайз</v>
      </c>
      <c r="F124" s="1" t="n">
        <f aca="false">VLOOKUP(C124,Меню!$A$2:$C$24,3,FALSE())</f>
        <v>515</v>
      </c>
      <c r="G124" s="5" t="n">
        <f aca="false">VLOOKUP(B124,Заказы!$A$2:$E$2995,2,FALSE())</f>
        <v>44040</v>
      </c>
      <c r="H124" s="1" t="n">
        <f aca="false">VLOOKUP(B124,Заказы!$A$2:$E$2995,3,FALSE())</f>
        <v>1065</v>
      </c>
      <c r="I124" s="1" t="str">
        <f aca="false">VLOOKUP(H124,Клиенты!$A$2:$E$1995,5,FALSE())</f>
        <v>г. Бирюсинск</v>
      </c>
      <c r="J124" s="1" t="n">
        <f aca="false">VLOOKUP(B124,Заказы!$A$2:$E$2995,4,FALSE())</f>
        <v>458</v>
      </c>
      <c r="K124" s="1" t="str">
        <f aca="false">VLOOKUP(B124,Заказы!$A$2:$E$2995,5,FALSE())</f>
        <v>Выполнено</v>
      </c>
      <c r="L124" s="1" t="n">
        <f aca="false">D124*F124+J124</f>
        <v>2518</v>
      </c>
      <c r="M124" s="1" t="n">
        <f aca="false">IF(AND(E124="Пицца Труслейка",I124="г. Москва",K124="Выполнено",G124&gt;=DATE(2020,7,1),G124&lt;DATE(2020,8,1)),L124,0)</f>
        <v>0</v>
      </c>
    </row>
    <row r="125" customFormat="false" ht="15" hidden="false" customHeight="true" outlineLevel="0" collapsed="false">
      <c r="A125" s="1" t="n">
        <v>100611</v>
      </c>
      <c r="B125" s="1" t="n">
        <v>50504</v>
      </c>
      <c r="C125" s="1" t="n">
        <v>20</v>
      </c>
      <c r="D125" s="1" t="n">
        <v>9</v>
      </c>
      <c r="E125" s="1" t="str">
        <f aca="false">VLOOKUP(C125,Меню!$A$2:$C$24,2,FALSE())</f>
        <v>Пицца пиканте</v>
      </c>
      <c r="F125" s="1" t="n">
        <f aca="false">VLOOKUP(C125,Меню!$A$2:$C$24,3,FALSE())</f>
        <v>585</v>
      </c>
      <c r="G125" s="5" t="n">
        <f aca="false">VLOOKUP(B125,Заказы!$A$2:$E$2995,2,FALSE())</f>
        <v>44020</v>
      </c>
      <c r="H125" s="1" t="n">
        <f aca="false">VLOOKUP(B125,Заказы!$A$2:$E$2995,3,FALSE())</f>
        <v>1007</v>
      </c>
      <c r="I125" s="1" t="str">
        <f aca="false">VLOOKUP(H125,Клиенты!$A$2:$E$1995,5,FALSE())</f>
        <v>г. Знаменск</v>
      </c>
      <c r="J125" s="1" t="n">
        <f aca="false">VLOOKUP(B125,Заказы!$A$2:$E$2995,4,FALSE())</f>
        <v>522</v>
      </c>
      <c r="K125" s="1" t="str">
        <f aca="false">VLOOKUP(B125,Заказы!$A$2:$E$2995,5,FALSE())</f>
        <v>Выполнено</v>
      </c>
      <c r="L125" s="1" t="n">
        <f aca="false">D125*F125+J125</f>
        <v>5787</v>
      </c>
      <c r="M125" s="1" t="n">
        <f aca="false">IF(AND(E125="Пицца Труслейка",I125="г. Москва",K125="Выполнено",G125&gt;=DATE(2020,7,1),G125&lt;DATE(2020,8,1)),L125,0)</f>
        <v>0</v>
      </c>
    </row>
    <row r="126" customFormat="false" ht="15" hidden="false" customHeight="true" outlineLevel="0" collapsed="false">
      <c r="A126" s="1" t="n">
        <v>101053</v>
      </c>
      <c r="B126" s="1" t="n">
        <v>50512</v>
      </c>
      <c r="C126" s="1" t="n">
        <v>5</v>
      </c>
      <c r="D126" s="1" t="n">
        <v>1</v>
      </c>
      <c r="E126" s="1" t="str">
        <f aca="false">VLOOKUP(C126,Меню!$A$2:$C$24,2,FALSE())</f>
        <v>Пицца Жюльен</v>
      </c>
      <c r="F126" s="1" t="n">
        <f aca="false">VLOOKUP(C126,Меню!$A$2:$C$24,3,FALSE())</f>
        <v>580</v>
      </c>
      <c r="G126" s="5" t="n">
        <f aca="false">VLOOKUP(B126,Заказы!$A$2:$E$2995,2,FALSE())</f>
        <v>44051</v>
      </c>
      <c r="H126" s="1" t="n">
        <f aca="false">VLOOKUP(B126,Заказы!$A$2:$E$2995,3,FALSE())</f>
        <v>806</v>
      </c>
      <c r="I126" s="1" t="str">
        <f aca="false">VLOOKUP(H126,Клиенты!$A$2:$E$1995,5,FALSE())</f>
        <v>г. Когалым</v>
      </c>
      <c r="J126" s="1" t="n">
        <f aca="false">VLOOKUP(B126,Заказы!$A$2:$E$2995,4,FALSE())</f>
        <v>747</v>
      </c>
      <c r="K126" s="1" t="str">
        <f aca="false">VLOOKUP(B126,Заказы!$A$2:$E$2995,5,FALSE())</f>
        <v>Выполнено</v>
      </c>
      <c r="L126" s="1" t="n">
        <f aca="false">D126*F126+J126</f>
        <v>1327</v>
      </c>
      <c r="M126" s="1" t="n">
        <f aca="false">IF(AND(E126="Пицца Труслейка",I126="г. Москва",K126="Выполнено",G126&gt;=DATE(2020,7,1),G126&lt;DATE(2020,8,1)),L126,0)</f>
        <v>0</v>
      </c>
    </row>
    <row r="127" customFormat="false" ht="15" hidden="false" customHeight="true" outlineLevel="0" collapsed="false">
      <c r="A127" s="1" t="n">
        <v>100555</v>
      </c>
      <c r="B127" s="1" t="n">
        <v>50336</v>
      </c>
      <c r="C127" s="1" t="n">
        <v>11</v>
      </c>
      <c r="D127" s="1" t="n">
        <v>1</v>
      </c>
      <c r="E127" s="1" t="str">
        <f aca="false">VLOOKUP(C127,Меню!$A$2:$C$24,2,FALSE())</f>
        <v>Пицца Песто</v>
      </c>
      <c r="F127" s="1" t="n">
        <f aca="false">VLOOKUP(C127,Меню!$A$2:$C$24,3,FALSE())</f>
        <v>530</v>
      </c>
      <c r="G127" s="5" t="n">
        <f aca="false">VLOOKUP(B127,Заказы!$A$2:$E$2995,2,FALSE())</f>
        <v>43989</v>
      </c>
      <c r="H127" s="1" t="n">
        <f aca="false">VLOOKUP(B127,Заказы!$A$2:$E$2995,3,FALSE())</f>
        <v>837</v>
      </c>
      <c r="I127" s="1" t="str">
        <f aca="false">VLOOKUP(H127,Клиенты!$A$2:$E$1995,5,FALSE())</f>
        <v>г. Дубна</v>
      </c>
      <c r="J127" s="1" t="n">
        <f aca="false">VLOOKUP(B127,Заказы!$A$2:$E$2995,4,FALSE())</f>
        <v>758</v>
      </c>
      <c r="K127" s="1" t="str">
        <f aca="false">VLOOKUP(B127,Заказы!$A$2:$E$2995,5,FALSE())</f>
        <v>Выполнено</v>
      </c>
      <c r="L127" s="1" t="n">
        <f aca="false">D127*F127+J127</f>
        <v>1288</v>
      </c>
      <c r="M127" s="1" t="n">
        <f aca="false">IF(AND(E127="Пицца Труслейка",I127="г. Москва",K127="Выполнено",G127&gt;=DATE(2020,7,1),G127&lt;DATE(2020,8,1)),L127,0)</f>
        <v>0</v>
      </c>
    </row>
    <row r="128" customFormat="false" ht="15" hidden="false" customHeight="true" outlineLevel="0" collapsed="false">
      <c r="A128" s="1" t="n">
        <v>100125</v>
      </c>
      <c r="B128" s="1" t="n">
        <v>50492</v>
      </c>
      <c r="C128" s="1" t="n">
        <v>14</v>
      </c>
      <c r="D128" s="1" t="n">
        <v>6</v>
      </c>
      <c r="E128" s="1" t="str">
        <f aca="false">VLOOKUP(C128,Меню!$A$2:$C$24,2,FALSE())</f>
        <v>Пицца Сырный цыпленок</v>
      </c>
      <c r="F128" s="1" t="n">
        <f aca="false">VLOOKUP(C128,Меню!$A$2:$C$24,3,FALSE())</f>
        <v>555</v>
      </c>
      <c r="G128" s="5" t="n">
        <f aca="false">VLOOKUP(B128,Заказы!$A$2:$E$2995,2,FALSE())</f>
        <v>44044</v>
      </c>
      <c r="H128" s="1" t="n">
        <f aca="false">VLOOKUP(B128,Заказы!$A$2:$E$2995,3,FALSE())</f>
        <v>1660</v>
      </c>
      <c r="I128" s="1" t="str">
        <f aca="false">VLOOKUP(H128,Клиенты!$A$2:$E$1995,5,FALSE())</f>
        <v>г. Москва</v>
      </c>
      <c r="J128" s="1" t="n">
        <f aca="false">VLOOKUP(B128,Заказы!$A$2:$E$2995,4,FALSE())</f>
        <v>0</v>
      </c>
      <c r="K128" s="1" t="str">
        <f aca="false">VLOOKUP(B128,Заказы!$A$2:$E$2995,5,FALSE())</f>
        <v>Не выполнено</v>
      </c>
      <c r="L128" s="1" t="n">
        <f aca="false">D128*F128+J128</f>
        <v>3330</v>
      </c>
      <c r="M128" s="1" t="n">
        <f aca="false">IF(AND(E128="Пицца Труслейка",I128="г. Москва",K128="Выполнено",G128&gt;=DATE(2020,7,1),G128&lt;DATE(2020,8,1)),L128,0)</f>
        <v>0</v>
      </c>
    </row>
    <row r="129" customFormat="false" ht="15" hidden="false" customHeight="true" outlineLevel="0" collapsed="false">
      <c r="A129" s="1" t="n">
        <v>100150</v>
      </c>
      <c r="B129" s="1" t="n">
        <v>50543</v>
      </c>
      <c r="C129" s="1" t="n">
        <v>9</v>
      </c>
      <c r="D129" s="1" t="n">
        <v>7</v>
      </c>
      <c r="E129" s="1" t="str">
        <f aca="false">VLOOKUP(C129,Меню!$A$2:$C$24,2,FALSE())</f>
        <v>Пицца Острая с беконом</v>
      </c>
      <c r="F129" s="1" t="n">
        <f aca="false">VLOOKUP(C129,Меню!$A$2:$C$24,3,FALSE())</f>
        <v>540</v>
      </c>
      <c r="G129" s="5" t="n">
        <f aca="false">VLOOKUP(B129,Заказы!$A$2:$E$2995,2,FALSE())</f>
        <v>44024</v>
      </c>
      <c r="H129" s="1" t="n">
        <f aca="false">VLOOKUP(B129,Заказы!$A$2:$E$2995,3,FALSE())</f>
        <v>832</v>
      </c>
      <c r="I129" s="1" t="str">
        <f aca="false">VLOOKUP(H129,Клиенты!$A$2:$E$1995,5,FALSE())</f>
        <v>г. Анжеро-Судженск</v>
      </c>
      <c r="J129" s="1" t="n">
        <f aca="false">VLOOKUP(B129,Заказы!$A$2:$E$2995,4,FALSE())</f>
        <v>874</v>
      </c>
      <c r="K129" s="1" t="str">
        <f aca="false">VLOOKUP(B129,Заказы!$A$2:$E$2995,5,FALSE())</f>
        <v>Выполнено</v>
      </c>
      <c r="L129" s="1" t="n">
        <f aca="false">D129*F129+J129</f>
        <v>4654</v>
      </c>
      <c r="M129" s="1" t="n">
        <f aca="false">IF(AND(E129="Пицца Труслейка",I129="г. Москва",K129="Выполнено",G129&gt;=DATE(2020,7,1),G129&lt;DATE(2020,8,1)),L129,0)</f>
        <v>0</v>
      </c>
    </row>
    <row r="130" customFormat="false" ht="15" hidden="false" customHeight="true" outlineLevel="0" collapsed="false">
      <c r="A130" s="1" t="n">
        <v>101618</v>
      </c>
      <c r="B130" s="1" t="n">
        <v>50075</v>
      </c>
      <c r="C130" s="1" t="n">
        <v>4</v>
      </c>
      <c r="D130" s="1" t="n">
        <v>8</v>
      </c>
      <c r="E130" s="1" t="str">
        <f aca="false">VLOOKUP(C130,Меню!$A$2:$C$24,2,FALSE())</f>
        <v>Пицца Труслейка</v>
      </c>
      <c r="F130" s="1" t="n">
        <f aca="false">VLOOKUP(C130,Меню!$A$2:$C$24,3,FALSE())</f>
        <v>610</v>
      </c>
      <c r="G130" s="5" t="n">
        <f aca="false">VLOOKUP(B130,Заказы!$A$2:$E$2995,2,FALSE())</f>
        <v>44031</v>
      </c>
      <c r="H130" s="1" t="n">
        <f aca="false">VLOOKUP(B130,Заказы!$A$2:$E$2995,3,FALSE())</f>
        <v>1408</v>
      </c>
      <c r="I130" s="1" t="str">
        <f aca="false">VLOOKUP(H130,Клиенты!$A$2:$E$1995,5,FALSE())</f>
        <v>г. Орехово-Зуево</v>
      </c>
      <c r="J130" s="1" t="n">
        <f aca="false">VLOOKUP(B130,Заказы!$A$2:$E$2995,4,FALSE())</f>
        <v>255</v>
      </c>
      <c r="K130" s="1" t="str">
        <f aca="false">VLOOKUP(B130,Заказы!$A$2:$E$2995,5,FALSE())</f>
        <v>Выполнено</v>
      </c>
      <c r="L130" s="1" t="n">
        <f aca="false">D130*F130+J130</f>
        <v>5135</v>
      </c>
      <c r="M130" s="1" t="n">
        <f aca="false">IF(AND(E130="Пицца Труслейка",I130="г. Москва",K130="Выполнено",G130&gt;=DATE(2020,7,1),G130&lt;DATE(2020,8,1)),L130,0)</f>
        <v>0</v>
      </c>
    </row>
    <row r="131" customFormat="false" ht="15" hidden="false" customHeight="true" outlineLevel="0" collapsed="false">
      <c r="A131" s="1" t="n">
        <v>100127</v>
      </c>
      <c r="B131" s="1" t="n">
        <v>51489</v>
      </c>
      <c r="C131" s="1" t="n">
        <v>4</v>
      </c>
      <c r="D131" s="1" t="n">
        <v>3</v>
      </c>
      <c r="E131" s="1" t="str">
        <f aca="false">VLOOKUP(C131,Меню!$A$2:$C$24,2,FALSE())</f>
        <v>Пицца Труслейка</v>
      </c>
      <c r="F131" s="1" t="n">
        <f aca="false">VLOOKUP(C131,Меню!$A$2:$C$24,3,FALSE())</f>
        <v>610</v>
      </c>
      <c r="G131" s="5" t="n">
        <f aca="false">VLOOKUP(B131,Заказы!$A$2:$E$2995,2,FALSE())</f>
        <v>43997</v>
      </c>
      <c r="H131" s="1" t="n">
        <f aca="false">VLOOKUP(B131,Заказы!$A$2:$E$2995,3,FALSE())</f>
        <v>938</v>
      </c>
      <c r="I131" s="1" t="str">
        <f aca="false">VLOOKUP(H131,Клиенты!$A$2:$E$1995,5,FALSE())</f>
        <v>г. Кубинка</v>
      </c>
      <c r="J131" s="1" t="n">
        <f aca="false">VLOOKUP(B131,Заказы!$A$2:$E$2995,4,FALSE())</f>
        <v>0</v>
      </c>
      <c r="K131" s="1" t="str">
        <f aca="false">VLOOKUP(B131,Заказы!$A$2:$E$2995,5,FALSE())</f>
        <v>Не выполнено</v>
      </c>
      <c r="L131" s="1" t="n">
        <f aca="false">D131*F131+J131</f>
        <v>1830</v>
      </c>
      <c r="M131" s="1" t="n">
        <f aca="false">IF(AND(E131="Пицца Труслейка",I131="г. Москва",K131="Выполнено",G131&gt;=DATE(2020,7,1),G131&lt;DATE(2020,8,1)),L131,0)</f>
        <v>0</v>
      </c>
    </row>
    <row r="132" customFormat="false" ht="15" hidden="false" customHeight="true" outlineLevel="0" collapsed="false">
      <c r="A132" s="1" t="n">
        <v>100831</v>
      </c>
      <c r="B132" s="1" t="n">
        <v>51825</v>
      </c>
      <c r="C132" s="1" t="n">
        <v>1</v>
      </c>
      <c r="D132" s="1" t="n">
        <v>10</v>
      </c>
      <c r="E132" s="1" t="str">
        <f aca="false">VLOOKUP(C132,Меню!$A$2:$C$24,2,FALSE())</f>
        <v>Пицца Гавайская</v>
      </c>
      <c r="F132" s="1" t="n">
        <f aca="false">VLOOKUP(C132,Меню!$A$2:$C$24,3,FALSE())</f>
        <v>545</v>
      </c>
      <c r="G132" s="5" t="n">
        <f aca="false">VLOOKUP(B132,Заказы!$A$2:$E$2995,2,FALSE())</f>
        <v>44066</v>
      </c>
      <c r="H132" s="1" t="n">
        <f aca="false">VLOOKUP(B132,Заказы!$A$2:$E$2995,3,FALSE())</f>
        <v>1079</v>
      </c>
      <c r="I132" s="1" t="str">
        <f aca="false">VLOOKUP(H132,Клиенты!$A$2:$E$1995,5,FALSE())</f>
        <v>г. Щёлково</v>
      </c>
      <c r="J132" s="1" t="n">
        <f aca="false">VLOOKUP(B132,Заказы!$A$2:$E$2995,4,FALSE())</f>
        <v>764</v>
      </c>
      <c r="K132" s="1" t="str">
        <f aca="false">VLOOKUP(B132,Заказы!$A$2:$E$2995,5,FALSE())</f>
        <v>Выполнено</v>
      </c>
      <c r="L132" s="1" t="n">
        <f aca="false">D132*F132+J132</f>
        <v>6214</v>
      </c>
      <c r="M132" s="1" t="n">
        <f aca="false">IF(AND(E132="Пицца Труслейка",I132="г. Москва",K132="Выполнено",G132&gt;=DATE(2020,7,1),G132&lt;DATE(2020,8,1)),L132,0)</f>
        <v>0</v>
      </c>
    </row>
    <row r="133" customFormat="false" ht="15" hidden="false" customHeight="true" outlineLevel="0" collapsed="false">
      <c r="A133" s="1" t="n">
        <v>101548</v>
      </c>
      <c r="B133" s="1" t="n">
        <v>50508</v>
      </c>
      <c r="C133" s="1" t="n">
        <v>23</v>
      </c>
      <c r="D133" s="1" t="n">
        <v>10</v>
      </c>
      <c r="E133" s="1" t="str">
        <f aca="false">VLOOKUP(C133,Меню!$A$2:$C$24,2,FALSE())</f>
        <v>Пицца с тунцом</v>
      </c>
      <c r="F133" s="1" t="n">
        <f aca="false">VLOOKUP(C133,Меню!$A$2:$C$24,3,FALSE())</f>
        <v>520</v>
      </c>
      <c r="G133" s="5" t="n">
        <f aca="false">VLOOKUP(B133,Заказы!$A$2:$E$2995,2,FALSE())</f>
        <v>43990</v>
      </c>
      <c r="H133" s="1" t="n">
        <f aca="false">VLOOKUP(B133,Заказы!$A$2:$E$2995,3,FALSE())</f>
        <v>985</v>
      </c>
      <c r="I133" s="1" t="str">
        <f aca="false">VLOOKUP(H133,Клиенты!$A$2:$E$1995,5,FALSE())</f>
        <v>г. Зубцов</v>
      </c>
      <c r="J133" s="1" t="n">
        <f aca="false">VLOOKUP(B133,Заказы!$A$2:$E$2995,4,FALSE())</f>
        <v>0</v>
      </c>
      <c r="K133" s="1" t="str">
        <f aca="false">VLOOKUP(B133,Заказы!$A$2:$E$2995,5,FALSE())</f>
        <v>Не выполнено</v>
      </c>
      <c r="L133" s="1" t="n">
        <f aca="false">D133*F133+J133</f>
        <v>5200</v>
      </c>
      <c r="M133" s="1" t="n">
        <f aca="false">IF(AND(E133="Пицца Труслейка",I133="г. Москва",K133="Выполнено",G133&gt;=DATE(2020,7,1),G133&lt;DATE(2020,8,1)),L133,0)</f>
        <v>0</v>
      </c>
    </row>
    <row r="134" customFormat="false" ht="15" hidden="false" customHeight="true" outlineLevel="0" collapsed="false">
      <c r="A134" s="1" t="n">
        <v>101897</v>
      </c>
      <c r="B134" s="1" t="n">
        <v>50454</v>
      </c>
      <c r="C134" s="1" t="n">
        <v>11</v>
      </c>
      <c r="D134" s="1" t="n">
        <v>4</v>
      </c>
      <c r="E134" s="1" t="str">
        <f aca="false">VLOOKUP(C134,Меню!$A$2:$C$24,2,FALSE())</f>
        <v>Пицца Песто</v>
      </c>
      <c r="F134" s="1" t="n">
        <f aca="false">VLOOKUP(C134,Меню!$A$2:$C$24,3,FALSE())</f>
        <v>530</v>
      </c>
      <c r="G134" s="5" t="n">
        <f aca="false">VLOOKUP(B134,Заказы!$A$2:$E$2995,2,FALSE())</f>
        <v>44071</v>
      </c>
      <c r="H134" s="1" t="n">
        <f aca="false">VLOOKUP(B134,Заказы!$A$2:$E$2995,3,FALSE())</f>
        <v>1608</v>
      </c>
      <c r="I134" s="1" t="str">
        <f aca="false">VLOOKUP(H134,Клиенты!$A$2:$E$1995,5,FALSE())</f>
        <v>г. Липки</v>
      </c>
      <c r="J134" s="1" t="n">
        <f aca="false">VLOOKUP(B134,Заказы!$A$2:$E$2995,4,FALSE())</f>
        <v>0</v>
      </c>
      <c r="K134" s="1" t="str">
        <f aca="false">VLOOKUP(B134,Заказы!$A$2:$E$2995,5,FALSE())</f>
        <v>Не выполнено</v>
      </c>
      <c r="L134" s="1" t="n">
        <f aca="false">D134*F134+J134</f>
        <v>2120</v>
      </c>
      <c r="M134" s="1" t="n">
        <f aca="false">IF(AND(E134="Пицца Труслейка",I134="г. Москва",K134="Выполнено",G134&gt;=DATE(2020,7,1),G134&lt;DATE(2020,8,1)),L134,0)</f>
        <v>0</v>
      </c>
    </row>
    <row r="135" customFormat="false" ht="15" hidden="false" customHeight="true" outlineLevel="0" collapsed="false">
      <c r="A135" s="1" t="n">
        <v>100794</v>
      </c>
      <c r="B135" s="1" t="n">
        <v>50289</v>
      </c>
      <c r="C135" s="1" t="n">
        <v>6</v>
      </c>
      <c r="D135" s="1" t="n">
        <v>7</v>
      </c>
      <c r="E135" s="1" t="str">
        <f aca="false">VLOOKUP(C135,Меню!$A$2:$C$24,2,FALSE())</f>
        <v>Пицца Капричиоза</v>
      </c>
      <c r="F135" s="1" t="n">
        <f aca="false">VLOOKUP(C135,Меню!$A$2:$C$24,3,FALSE())</f>
        <v>570</v>
      </c>
      <c r="G135" s="5" t="n">
        <f aca="false">VLOOKUP(B135,Заказы!$A$2:$E$2995,2,FALSE())</f>
        <v>44045</v>
      </c>
      <c r="H135" s="1" t="n">
        <f aca="false">VLOOKUP(B135,Заказы!$A$2:$E$2995,3,FALSE())</f>
        <v>1316</v>
      </c>
      <c r="I135" s="1" t="str">
        <f aca="false">VLOOKUP(H135,Клиенты!$A$2:$E$1995,5,FALSE())</f>
        <v>г. Северск</v>
      </c>
      <c r="J135" s="1" t="n">
        <f aca="false">VLOOKUP(B135,Заказы!$A$2:$E$2995,4,FALSE())</f>
        <v>832</v>
      </c>
      <c r="K135" s="1" t="str">
        <f aca="false">VLOOKUP(B135,Заказы!$A$2:$E$2995,5,FALSE())</f>
        <v>Выполнено</v>
      </c>
      <c r="L135" s="1" t="n">
        <f aca="false">D135*F135+J135</f>
        <v>4822</v>
      </c>
      <c r="M135" s="1" t="n">
        <f aca="false">IF(AND(E135="Пицца Труслейка",I135="г. Москва",K135="Выполнено",G135&gt;=DATE(2020,7,1),G135&lt;DATE(2020,8,1)),L135,0)</f>
        <v>0</v>
      </c>
    </row>
    <row r="136" customFormat="false" ht="15" hidden="false" customHeight="true" outlineLevel="0" collapsed="false">
      <c r="A136" s="1" t="n">
        <v>100894</v>
      </c>
      <c r="B136" s="1" t="n">
        <v>51673</v>
      </c>
      <c r="C136" s="1" t="n">
        <v>9</v>
      </c>
      <c r="D136" s="1" t="n">
        <v>2</v>
      </c>
      <c r="E136" s="1" t="str">
        <f aca="false">VLOOKUP(C136,Меню!$A$2:$C$24,2,FALSE())</f>
        <v>Пицца Острая с беконом</v>
      </c>
      <c r="F136" s="1" t="n">
        <f aca="false">VLOOKUP(C136,Меню!$A$2:$C$24,3,FALSE())</f>
        <v>540</v>
      </c>
      <c r="G136" s="5" t="n">
        <f aca="false">VLOOKUP(B136,Заказы!$A$2:$E$2995,2,FALSE())</f>
        <v>44029</v>
      </c>
      <c r="H136" s="1" t="n">
        <f aca="false">VLOOKUP(B136,Заказы!$A$2:$E$2995,3,FALSE())</f>
        <v>1454</v>
      </c>
      <c r="I136" s="1" t="str">
        <f aca="false">VLOOKUP(H136,Клиенты!$A$2:$E$1995,5,FALSE())</f>
        <v>г. Окуловка</v>
      </c>
      <c r="J136" s="1" t="n">
        <f aca="false">VLOOKUP(B136,Заказы!$A$2:$E$2995,4,FALSE())</f>
        <v>692</v>
      </c>
      <c r="K136" s="1" t="str">
        <f aca="false">VLOOKUP(B136,Заказы!$A$2:$E$2995,5,FALSE())</f>
        <v>Выполнено</v>
      </c>
      <c r="L136" s="1" t="n">
        <f aca="false">D136*F136+J136</f>
        <v>1772</v>
      </c>
      <c r="M136" s="1" t="n">
        <f aca="false">IF(AND(E136="Пицца Труслейка",I136="г. Москва",K136="Выполнено",G136&gt;=DATE(2020,7,1),G136&lt;DATE(2020,8,1)),L136,0)</f>
        <v>0</v>
      </c>
    </row>
    <row r="137" customFormat="false" ht="15" hidden="false" customHeight="true" outlineLevel="0" collapsed="false">
      <c r="A137" s="1" t="n">
        <v>100006</v>
      </c>
      <c r="B137" s="1" t="n">
        <v>51819</v>
      </c>
      <c r="C137" s="1" t="n">
        <v>18</v>
      </c>
      <c r="D137" s="1" t="n">
        <v>8</v>
      </c>
      <c r="E137" s="1" t="str">
        <f aca="false">VLOOKUP(C137,Меню!$A$2:$C$24,2,FALSE())</f>
        <v>Пицца Царская</v>
      </c>
      <c r="F137" s="1" t="n">
        <f aca="false">VLOOKUP(C137,Меню!$A$2:$C$24,3,FALSE())</f>
        <v>620</v>
      </c>
      <c r="G137" s="5" t="n">
        <f aca="false">VLOOKUP(B137,Заказы!$A$2:$E$2995,2,FALSE())</f>
        <v>44061</v>
      </c>
      <c r="H137" s="1" t="n">
        <f aca="false">VLOOKUP(B137,Заказы!$A$2:$E$2995,3,FALSE())</f>
        <v>510</v>
      </c>
      <c r="I137" s="1" t="str">
        <f aca="false">VLOOKUP(H137,Клиенты!$A$2:$E$1995,5,FALSE())</f>
        <v>г. Москва</v>
      </c>
      <c r="J137" s="1" t="n">
        <f aca="false">VLOOKUP(B137,Заказы!$A$2:$E$2995,4,FALSE())</f>
        <v>0</v>
      </c>
      <c r="K137" s="1" t="str">
        <f aca="false">VLOOKUP(B137,Заказы!$A$2:$E$2995,5,FALSE())</f>
        <v>Не выполнено</v>
      </c>
      <c r="L137" s="1" t="n">
        <f aca="false">D137*F137+J137</f>
        <v>4960</v>
      </c>
      <c r="M137" s="1" t="n">
        <f aca="false">IF(AND(E137="Пицца Труслейка",I137="г. Москва",K137="Выполнено",G137&gt;=DATE(2020,7,1),G137&lt;DATE(2020,8,1)),L137,0)</f>
        <v>0</v>
      </c>
    </row>
    <row r="138" customFormat="false" ht="15" hidden="false" customHeight="true" outlineLevel="0" collapsed="false">
      <c r="A138" s="1" t="n">
        <v>101123</v>
      </c>
      <c r="B138" s="1" t="n">
        <v>51159</v>
      </c>
      <c r="C138" s="1" t="n">
        <v>18</v>
      </c>
      <c r="D138" s="1" t="n">
        <v>5</v>
      </c>
      <c r="E138" s="1" t="str">
        <f aca="false">VLOOKUP(C138,Меню!$A$2:$C$24,2,FALSE())</f>
        <v>Пицца Царская</v>
      </c>
      <c r="F138" s="1" t="n">
        <f aca="false">VLOOKUP(C138,Меню!$A$2:$C$24,3,FALSE())</f>
        <v>620</v>
      </c>
      <c r="G138" s="5" t="n">
        <f aca="false">VLOOKUP(B138,Заказы!$A$2:$E$2995,2,FALSE())</f>
        <v>44002</v>
      </c>
      <c r="H138" s="1" t="n">
        <f aca="false">VLOOKUP(B138,Заказы!$A$2:$E$2995,3,FALSE())</f>
        <v>1205</v>
      </c>
      <c r="I138" s="1" t="str">
        <f aca="false">VLOOKUP(H138,Клиенты!$A$2:$E$1995,5,FALSE())</f>
        <v>г. Киселёвск</v>
      </c>
      <c r="J138" s="1" t="n">
        <f aca="false">VLOOKUP(B138,Заказы!$A$2:$E$2995,4,FALSE())</f>
        <v>0</v>
      </c>
      <c r="K138" s="1" t="str">
        <f aca="false">VLOOKUP(B138,Заказы!$A$2:$E$2995,5,FALSE())</f>
        <v>Не выполнено</v>
      </c>
      <c r="L138" s="1" t="n">
        <f aca="false">D138*F138+J138</f>
        <v>3100</v>
      </c>
      <c r="M138" s="1" t="n">
        <f aca="false">IF(AND(E138="Пицца Труслейка",I138="г. Москва",K138="Выполнено",G138&gt;=DATE(2020,7,1),G138&lt;DATE(2020,8,1)),L138,0)</f>
        <v>0</v>
      </c>
    </row>
    <row r="139" customFormat="false" ht="15" hidden="false" customHeight="true" outlineLevel="0" collapsed="false">
      <c r="A139" s="1" t="n">
        <v>101093</v>
      </c>
      <c r="B139" s="1" t="n">
        <v>50822</v>
      </c>
      <c r="C139" s="1" t="n">
        <v>2</v>
      </c>
      <c r="D139" s="1" t="n">
        <v>3</v>
      </c>
      <c r="E139" s="1" t="str">
        <f aca="false">VLOOKUP(C139,Меню!$A$2:$C$24,2,FALSE())</f>
        <v>Пицца Двойная пепперони</v>
      </c>
      <c r="F139" s="1" t="n">
        <f aca="false">VLOOKUP(C139,Меню!$A$2:$C$24,3,FALSE())</f>
        <v>575</v>
      </c>
      <c r="G139" s="5" t="n">
        <f aca="false">VLOOKUP(B139,Заказы!$A$2:$E$2995,2,FALSE())</f>
        <v>44044</v>
      </c>
      <c r="H139" s="1" t="n">
        <f aca="false">VLOOKUP(B139,Заказы!$A$2:$E$2995,3,FALSE())</f>
        <v>946</v>
      </c>
      <c r="I139" s="1" t="str">
        <f aca="false">VLOOKUP(H139,Клиенты!$A$2:$E$1995,5,FALSE())</f>
        <v>г. Воткинск</v>
      </c>
      <c r="J139" s="1" t="n">
        <f aca="false">VLOOKUP(B139,Заказы!$A$2:$E$2995,4,FALSE())</f>
        <v>0</v>
      </c>
      <c r="K139" s="1" t="str">
        <f aca="false">VLOOKUP(B139,Заказы!$A$2:$E$2995,5,FALSE())</f>
        <v>Не выполнено</v>
      </c>
      <c r="L139" s="1" t="n">
        <f aca="false">D139*F139+J139</f>
        <v>1725</v>
      </c>
      <c r="M139" s="1" t="n">
        <f aca="false">IF(AND(E139="Пицца Труслейка",I139="г. Москва",K139="Выполнено",G139&gt;=DATE(2020,7,1),G139&lt;DATE(2020,8,1)),L139,0)</f>
        <v>0</v>
      </c>
    </row>
    <row r="140" customFormat="false" ht="15" hidden="false" customHeight="true" outlineLevel="0" collapsed="false">
      <c r="A140" s="1" t="n">
        <v>101273</v>
      </c>
      <c r="B140" s="1" t="n">
        <v>51795</v>
      </c>
      <c r="C140" s="1" t="n">
        <v>3</v>
      </c>
      <c r="D140" s="1" t="n">
        <v>7</v>
      </c>
      <c r="E140" s="1" t="str">
        <f aca="false">VLOOKUP(C140,Меню!$A$2:$C$24,2,FALSE())</f>
        <v>Пицца Диабло</v>
      </c>
      <c r="F140" s="1" t="n">
        <f aca="false">VLOOKUP(C140,Меню!$A$2:$C$24,3,FALSE())</f>
        <v>590</v>
      </c>
      <c r="G140" s="5" t="n">
        <f aca="false">VLOOKUP(B140,Заказы!$A$2:$E$2995,2,FALSE())</f>
        <v>44054</v>
      </c>
      <c r="H140" s="1" t="n">
        <f aca="false">VLOOKUP(B140,Заказы!$A$2:$E$2995,3,FALSE())</f>
        <v>1358</v>
      </c>
      <c r="I140" s="1" t="str">
        <f aca="false">VLOOKUP(H140,Клиенты!$A$2:$E$1995,5,FALSE())</f>
        <v>г. Курганинск</v>
      </c>
      <c r="J140" s="1" t="n">
        <f aca="false">VLOOKUP(B140,Заказы!$A$2:$E$2995,4,FALSE())</f>
        <v>0</v>
      </c>
      <c r="K140" s="1" t="str">
        <f aca="false">VLOOKUP(B140,Заказы!$A$2:$E$2995,5,FALSE())</f>
        <v>Не выполнено</v>
      </c>
      <c r="L140" s="1" t="n">
        <f aca="false">D140*F140+J140</f>
        <v>4130</v>
      </c>
      <c r="M140" s="1" t="n">
        <f aca="false">IF(AND(E140="Пицца Труслейка",I140="г. Москва",K140="Выполнено",G140&gt;=DATE(2020,7,1),G140&lt;DATE(2020,8,1)),L140,0)</f>
        <v>0</v>
      </c>
    </row>
    <row r="141" customFormat="false" ht="15" hidden="false" customHeight="true" outlineLevel="0" collapsed="false">
      <c r="A141" s="1" t="n">
        <v>101174</v>
      </c>
      <c r="B141" s="1" t="n">
        <v>50414</v>
      </c>
      <c r="C141" s="1" t="n">
        <v>4</v>
      </c>
      <c r="D141" s="1" t="n">
        <v>10</v>
      </c>
      <c r="E141" s="1" t="str">
        <f aca="false">VLOOKUP(C141,Меню!$A$2:$C$24,2,FALSE())</f>
        <v>Пицца Труслейка</v>
      </c>
      <c r="F141" s="1" t="n">
        <f aca="false">VLOOKUP(C141,Меню!$A$2:$C$24,3,FALSE())</f>
        <v>610</v>
      </c>
      <c r="G141" s="5" t="n">
        <f aca="false">VLOOKUP(B141,Заказы!$A$2:$E$2995,2,FALSE())</f>
        <v>44045</v>
      </c>
      <c r="H141" s="1" t="n">
        <f aca="false">VLOOKUP(B141,Заказы!$A$2:$E$2995,3,FALSE())</f>
        <v>1731</v>
      </c>
      <c r="I141" s="1" t="str">
        <f aca="false">VLOOKUP(H141,Клиенты!$A$2:$E$1995,5,FALSE())</f>
        <v>г. Красавино</v>
      </c>
      <c r="J141" s="1" t="n">
        <f aca="false">VLOOKUP(B141,Заказы!$A$2:$E$2995,4,FALSE())</f>
        <v>635</v>
      </c>
      <c r="K141" s="1" t="str">
        <f aca="false">VLOOKUP(B141,Заказы!$A$2:$E$2995,5,FALSE())</f>
        <v>Выполнено</v>
      </c>
      <c r="L141" s="1" t="n">
        <f aca="false">D141*F141+J141</f>
        <v>6735</v>
      </c>
      <c r="M141" s="1" t="n">
        <f aca="false">IF(AND(E141="Пицца Труслейка",I141="г. Москва",K141="Выполнено",G141&gt;=DATE(2020,7,1),G141&lt;DATE(2020,8,1)),L141,0)</f>
        <v>0</v>
      </c>
    </row>
    <row r="142" customFormat="false" ht="15" hidden="false" customHeight="true" outlineLevel="0" collapsed="false">
      <c r="A142" s="1" t="n">
        <v>101431</v>
      </c>
      <c r="B142" s="1" t="n">
        <v>50795</v>
      </c>
      <c r="C142" s="1" t="n">
        <v>20</v>
      </c>
      <c r="D142" s="1" t="n">
        <v>7</v>
      </c>
      <c r="E142" s="1" t="str">
        <f aca="false">VLOOKUP(C142,Меню!$A$2:$C$24,2,FALSE())</f>
        <v>Пицца пиканте</v>
      </c>
      <c r="F142" s="1" t="n">
        <f aca="false">VLOOKUP(C142,Меню!$A$2:$C$24,3,FALSE())</f>
        <v>585</v>
      </c>
      <c r="G142" s="5" t="n">
        <f aca="false">VLOOKUP(B142,Заказы!$A$2:$E$2995,2,FALSE())</f>
        <v>44003</v>
      </c>
      <c r="H142" s="1" t="n">
        <f aca="false">VLOOKUP(B142,Заказы!$A$2:$E$2995,3,FALSE())</f>
        <v>1755</v>
      </c>
      <c r="I142" s="1" t="str">
        <f aca="false">VLOOKUP(H142,Клиенты!$A$2:$E$1995,5,FALSE())</f>
        <v>г. Алагир</v>
      </c>
      <c r="J142" s="1" t="n">
        <f aca="false">VLOOKUP(B142,Заказы!$A$2:$E$2995,4,FALSE())</f>
        <v>0</v>
      </c>
      <c r="K142" s="1" t="str">
        <f aca="false">VLOOKUP(B142,Заказы!$A$2:$E$2995,5,FALSE())</f>
        <v>Не выполнено</v>
      </c>
      <c r="L142" s="1" t="n">
        <f aca="false">D142*F142+J142</f>
        <v>4095</v>
      </c>
      <c r="M142" s="1" t="n">
        <f aca="false">IF(AND(E142="Пицца Труслейка",I142="г. Москва",K142="Выполнено",G142&gt;=DATE(2020,7,1),G142&lt;DATE(2020,8,1)),L142,0)</f>
        <v>0</v>
      </c>
    </row>
    <row r="143" customFormat="false" ht="15" hidden="false" customHeight="true" outlineLevel="0" collapsed="false">
      <c r="A143" s="1" t="n">
        <v>100602</v>
      </c>
      <c r="B143" s="1" t="n">
        <v>50067</v>
      </c>
      <c r="C143" s="1" t="n">
        <v>17</v>
      </c>
      <c r="D143" s="1" t="n">
        <v>10</v>
      </c>
      <c r="E143" s="1" t="str">
        <f aca="false">VLOOKUP(C143,Меню!$A$2:$C$24,2,FALSE())</f>
        <v>Пицца Френч Фрайз</v>
      </c>
      <c r="F143" s="1" t="n">
        <f aca="false">VLOOKUP(C143,Меню!$A$2:$C$24,3,FALSE())</f>
        <v>515</v>
      </c>
      <c r="G143" s="5" t="n">
        <f aca="false">VLOOKUP(B143,Заказы!$A$2:$E$2995,2,FALSE())</f>
        <v>44066</v>
      </c>
      <c r="H143" s="1" t="n">
        <f aca="false">VLOOKUP(B143,Заказы!$A$2:$E$2995,3,FALSE())</f>
        <v>717</v>
      </c>
      <c r="I143" s="1" t="str">
        <f aca="false">VLOOKUP(H143,Клиенты!$A$2:$E$1995,5,FALSE())</f>
        <v>г. Медынь</v>
      </c>
      <c r="J143" s="1" t="n">
        <f aca="false">VLOOKUP(B143,Заказы!$A$2:$E$2995,4,FALSE())</f>
        <v>0</v>
      </c>
      <c r="K143" s="1" t="str">
        <f aca="false">VLOOKUP(B143,Заказы!$A$2:$E$2995,5,FALSE())</f>
        <v>Не выполнено</v>
      </c>
      <c r="L143" s="1" t="n">
        <f aca="false">D143*F143+J143</f>
        <v>5150</v>
      </c>
      <c r="M143" s="1" t="n">
        <f aca="false">IF(AND(E143="Пицца Труслейка",I143="г. Москва",K143="Выполнено",G143&gt;=DATE(2020,7,1),G143&lt;DATE(2020,8,1)),L143,0)</f>
        <v>0</v>
      </c>
    </row>
    <row r="144" customFormat="false" ht="15" hidden="false" customHeight="true" outlineLevel="0" collapsed="false">
      <c r="A144" s="1" t="n">
        <v>100793</v>
      </c>
      <c r="B144" s="1" t="n">
        <v>50638</v>
      </c>
      <c r="C144" s="1" t="n">
        <v>4</v>
      </c>
      <c r="D144" s="1" t="n">
        <v>1</v>
      </c>
      <c r="E144" s="1" t="str">
        <f aca="false">VLOOKUP(C144,Меню!$A$2:$C$24,2,FALSE())</f>
        <v>Пицца Труслейка</v>
      </c>
      <c r="F144" s="1" t="n">
        <f aca="false">VLOOKUP(C144,Меню!$A$2:$C$24,3,FALSE())</f>
        <v>610</v>
      </c>
      <c r="G144" s="5" t="n">
        <f aca="false">VLOOKUP(B144,Заказы!$A$2:$E$2995,2,FALSE())</f>
        <v>44020</v>
      </c>
      <c r="H144" s="1" t="n">
        <f aca="false">VLOOKUP(B144,Заказы!$A$2:$E$2995,3,FALSE())</f>
        <v>301</v>
      </c>
      <c r="I144" s="1" t="str">
        <f aca="false">VLOOKUP(H144,Клиенты!$A$2:$E$1995,5,FALSE())</f>
        <v>г. Камызяк</v>
      </c>
      <c r="J144" s="1" t="n">
        <f aca="false">VLOOKUP(B144,Заказы!$A$2:$E$2995,4,FALSE())</f>
        <v>0</v>
      </c>
      <c r="K144" s="1" t="str">
        <f aca="false">VLOOKUP(B144,Заказы!$A$2:$E$2995,5,FALSE())</f>
        <v>Не выполнено</v>
      </c>
      <c r="L144" s="1" t="n">
        <f aca="false">D144*F144+J144</f>
        <v>610</v>
      </c>
      <c r="M144" s="1" t="n">
        <f aca="false">IF(AND(E144="Пицца Труслейка",I144="г. Москва",K144="Выполнено",G144&gt;=DATE(2020,7,1),G144&lt;DATE(2020,8,1)),L144,0)</f>
        <v>0</v>
      </c>
    </row>
    <row r="145" customFormat="false" ht="15" hidden="false" customHeight="true" outlineLevel="0" collapsed="false">
      <c r="A145" s="1" t="n">
        <v>101320</v>
      </c>
      <c r="B145" s="1" t="n">
        <v>50786</v>
      </c>
      <c r="C145" s="1" t="n">
        <v>6</v>
      </c>
      <c r="D145" s="1" t="n">
        <v>10</v>
      </c>
      <c r="E145" s="1" t="str">
        <f aca="false">VLOOKUP(C145,Меню!$A$2:$C$24,2,FALSE())</f>
        <v>Пицца Капричиоза</v>
      </c>
      <c r="F145" s="1" t="n">
        <f aca="false">VLOOKUP(C145,Меню!$A$2:$C$24,3,FALSE())</f>
        <v>570</v>
      </c>
      <c r="G145" s="5" t="n">
        <f aca="false">VLOOKUP(B145,Заказы!$A$2:$E$2995,2,FALSE())</f>
        <v>44056</v>
      </c>
      <c r="H145" s="1" t="n">
        <f aca="false">VLOOKUP(B145,Заказы!$A$2:$E$2995,3,FALSE())</f>
        <v>445</v>
      </c>
      <c r="I145" s="1" t="str">
        <f aca="false">VLOOKUP(H145,Клиенты!$A$2:$E$1995,5,FALSE())</f>
        <v>г. Ставрополь</v>
      </c>
      <c r="J145" s="1" t="n">
        <f aca="false">VLOOKUP(B145,Заказы!$A$2:$E$2995,4,FALSE())</f>
        <v>656</v>
      </c>
      <c r="K145" s="1" t="str">
        <f aca="false">VLOOKUP(B145,Заказы!$A$2:$E$2995,5,FALSE())</f>
        <v>Выполнено</v>
      </c>
      <c r="L145" s="1" t="n">
        <f aca="false">D145*F145+J145</f>
        <v>6356</v>
      </c>
      <c r="M145" s="1" t="n">
        <f aca="false">IF(AND(E145="Пицца Труслейка",I145="г. Москва",K145="Выполнено",G145&gt;=DATE(2020,7,1),G145&lt;DATE(2020,8,1)),L145,0)</f>
        <v>0</v>
      </c>
    </row>
    <row r="146" customFormat="false" ht="15" hidden="false" customHeight="true" outlineLevel="0" collapsed="false">
      <c r="A146" s="1" t="n">
        <v>101945</v>
      </c>
      <c r="B146" s="1" t="n">
        <v>50948</v>
      </c>
      <c r="C146" s="1" t="n">
        <v>17</v>
      </c>
      <c r="D146" s="1" t="n">
        <v>10</v>
      </c>
      <c r="E146" s="1" t="str">
        <f aca="false">VLOOKUP(C146,Меню!$A$2:$C$24,2,FALSE())</f>
        <v>Пицца Френч Фрайз</v>
      </c>
      <c r="F146" s="1" t="n">
        <f aca="false">VLOOKUP(C146,Меню!$A$2:$C$24,3,FALSE())</f>
        <v>515</v>
      </c>
      <c r="G146" s="5" t="n">
        <f aca="false">VLOOKUP(B146,Заказы!$A$2:$E$2995,2,FALSE())</f>
        <v>44040</v>
      </c>
      <c r="H146" s="1" t="n">
        <f aca="false">VLOOKUP(B146,Заказы!$A$2:$E$2995,3,FALSE())</f>
        <v>357</v>
      </c>
      <c r="I146" s="1" t="str">
        <f aca="false">VLOOKUP(H146,Клиенты!$A$2:$E$1995,5,FALSE())</f>
        <v>г. Кириши</v>
      </c>
      <c r="J146" s="1" t="n">
        <f aca="false">VLOOKUP(B146,Заказы!$A$2:$E$2995,4,FALSE())</f>
        <v>0</v>
      </c>
      <c r="K146" s="1" t="str">
        <f aca="false">VLOOKUP(B146,Заказы!$A$2:$E$2995,5,FALSE())</f>
        <v>Не выполнено</v>
      </c>
      <c r="L146" s="1" t="n">
        <f aca="false">D146*F146+J146</f>
        <v>5150</v>
      </c>
      <c r="M146" s="1" t="n">
        <f aca="false">IF(AND(E146="Пицца Труслейка",I146="г. Москва",K146="Выполнено",G146&gt;=DATE(2020,7,1),G146&lt;DATE(2020,8,1)),L146,0)</f>
        <v>0</v>
      </c>
    </row>
    <row r="147" customFormat="false" ht="15" hidden="false" customHeight="true" outlineLevel="0" collapsed="false">
      <c r="A147" s="1" t="n">
        <v>101673</v>
      </c>
      <c r="B147" s="1" t="n">
        <v>51120</v>
      </c>
      <c r="C147" s="1" t="n">
        <v>12</v>
      </c>
      <c r="D147" s="1" t="n">
        <v>8</v>
      </c>
      <c r="E147" s="1" t="str">
        <f aca="false">VLOOKUP(C147,Меню!$A$2:$C$24,2,FALSE())</f>
        <v>Пицца Салями с трюфелем</v>
      </c>
      <c r="F147" s="1" t="n">
        <f aca="false">VLOOKUP(C147,Меню!$A$2:$C$24,3,FALSE())</f>
        <v>525</v>
      </c>
      <c r="G147" s="5" t="n">
        <f aca="false">VLOOKUP(B147,Заказы!$A$2:$E$2995,2,FALSE())</f>
        <v>44001</v>
      </c>
      <c r="H147" s="1" t="n">
        <f aca="false">VLOOKUP(B147,Заказы!$A$2:$E$2995,3,FALSE())</f>
        <v>82</v>
      </c>
      <c r="I147" s="1" t="str">
        <f aca="false">VLOOKUP(H147,Клиенты!$A$2:$E$1995,5,FALSE())</f>
        <v>г. Калязин</v>
      </c>
      <c r="J147" s="1" t="n">
        <f aca="false">VLOOKUP(B147,Заказы!$A$2:$E$2995,4,FALSE())</f>
        <v>0</v>
      </c>
      <c r="K147" s="1" t="str">
        <f aca="false">VLOOKUP(B147,Заказы!$A$2:$E$2995,5,FALSE())</f>
        <v>Не выполнено</v>
      </c>
      <c r="L147" s="1" t="n">
        <f aca="false">D147*F147+J147</f>
        <v>4200</v>
      </c>
      <c r="M147" s="1" t="n">
        <f aca="false">IF(AND(E147="Пицца Труслейка",I147="г. Москва",K147="Выполнено",G147&gt;=DATE(2020,7,1),G147&lt;DATE(2020,8,1)),L147,0)</f>
        <v>0</v>
      </c>
    </row>
    <row r="148" customFormat="false" ht="15" hidden="false" customHeight="true" outlineLevel="0" collapsed="false">
      <c r="A148" s="1" t="n">
        <v>101421</v>
      </c>
      <c r="B148" s="1" t="n">
        <v>51327</v>
      </c>
      <c r="C148" s="1" t="n">
        <v>3</v>
      </c>
      <c r="D148" s="1" t="n">
        <v>1</v>
      </c>
      <c r="E148" s="1" t="str">
        <f aca="false">VLOOKUP(C148,Меню!$A$2:$C$24,2,FALSE())</f>
        <v>Пицца Диабло</v>
      </c>
      <c r="F148" s="1" t="n">
        <f aca="false">VLOOKUP(C148,Меню!$A$2:$C$24,3,FALSE())</f>
        <v>590</v>
      </c>
      <c r="G148" s="5" t="n">
        <f aca="false">VLOOKUP(B148,Заказы!$A$2:$E$2995,2,FALSE())</f>
        <v>44070</v>
      </c>
      <c r="H148" s="1" t="n">
        <f aca="false">VLOOKUP(B148,Заказы!$A$2:$E$2995,3,FALSE())</f>
        <v>1935</v>
      </c>
      <c r="I148" s="1" t="str">
        <f aca="false">VLOOKUP(H148,Клиенты!$A$2:$E$1995,5,FALSE())</f>
        <v>г. Каменск-Шахтинский</v>
      </c>
      <c r="J148" s="1" t="n">
        <f aca="false">VLOOKUP(B148,Заказы!$A$2:$E$2995,4,FALSE())</f>
        <v>0</v>
      </c>
      <c r="K148" s="1" t="str">
        <f aca="false">VLOOKUP(B148,Заказы!$A$2:$E$2995,5,FALSE())</f>
        <v>Не выполнено</v>
      </c>
      <c r="L148" s="1" t="n">
        <f aca="false">D148*F148+J148</f>
        <v>590</v>
      </c>
      <c r="M148" s="1" t="n">
        <f aca="false">IF(AND(E148="Пицца Труслейка",I148="г. Москва",K148="Выполнено",G148&gt;=DATE(2020,7,1),G148&lt;DATE(2020,8,1)),L148,0)</f>
        <v>0</v>
      </c>
    </row>
    <row r="149" customFormat="false" ht="15" hidden="false" customHeight="true" outlineLevel="0" collapsed="false">
      <c r="A149" s="1" t="n">
        <v>101342</v>
      </c>
      <c r="B149" s="1" t="n">
        <v>51974</v>
      </c>
      <c r="C149" s="1" t="n">
        <v>8</v>
      </c>
      <c r="D149" s="1" t="n">
        <v>1</v>
      </c>
      <c r="E149" s="1" t="str">
        <f aca="false">VLOOKUP(C149,Меню!$A$2:$C$24,2,FALSE())</f>
        <v>Пицца Мясная</v>
      </c>
      <c r="F149" s="1" t="n">
        <f aca="false">VLOOKUP(C149,Меню!$A$2:$C$24,3,FALSE())</f>
        <v>615</v>
      </c>
      <c r="G149" s="5" t="n">
        <f aca="false">VLOOKUP(B149,Заказы!$A$2:$E$2995,2,FALSE())</f>
        <v>44072</v>
      </c>
      <c r="H149" s="1" t="n">
        <f aca="false">VLOOKUP(B149,Заказы!$A$2:$E$2995,3,FALSE())</f>
        <v>1815</v>
      </c>
      <c r="I149" s="1" t="str">
        <f aca="false">VLOOKUP(H149,Клиенты!$A$2:$E$1995,5,FALSE())</f>
        <v>г. Дубна</v>
      </c>
      <c r="J149" s="1" t="n">
        <f aca="false">VLOOKUP(B149,Заказы!$A$2:$E$2995,4,FALSE())</f>
        <v>0</v>
      </c>
      <c r="K149" s="1" t="str">
        <f aca="false">VLOOKUP(B149,Заказы!$A$2:$E$2995,5,FALSE())</f>
        <v>Не выполнено</v>
      </c>
      <c r="L149" s="1" t="n">
        <f aca="false">D149*F149+J149</f>
        <v>615</v>
      </c>
      <c r="M149" s="1" t="n">
        <f aca="false">IF(AND(E149="Пицца Труслейка",I149="г. Москва",K149="Выполнено",G149&gt;=DATE(2020,7,1),G149&lt;DATE(2020,8,1)),L149,0)</f>
        <v>0</v>
      </c>
    </row>
    <row r="150" customFormat="false" ht="15" hidden="false" customHeight="true" outlineLevel="0" collapsed="false">
      <c r="A150" s="1" t="n">
        <v>101556</v>
      </c>
      <c r="B150" s="1" t="n">
        <v>50730</v>
      </c>
      <c r="C150" s="1" t="n">
        <v>8</v>
      </c>
      <c r="D150" s="1" t="n">
        <v>1</v>
      </c>
      <c r="E150" s="1" t="str">
        <f aca="false">VLOOKUP(C150,Меню!$A$2:$C$24,2,FALSE())</f>
        <v>Пицца Мясная</v>
      </c>
      <c r="F150" s="1" t="n">
        <f aca="false">VLOOKUP(C150,Меню!$A$2:$C$24,3,FALSE())</f>
        <v>615</v>
      </c>
      <c r="G150" s="5" t="n">
        <f aca="false">VLOOKUP(B150,Заказы!$A$2:$E$2995,2,FALSE())</f>
        <v>44024</v>
      </c>
      <c r="H150" s="1" t="n">
        <f aca="false">VLOOKUP(B150,Заказы!$A$2:$E$2995,3,FALSE())</f>
        <v>895</v>
      </c>
      <c r="I150" s="1" t="str">
        <f aca="false">VLOOKUP(H150,Клиенты!$A$2:$E$1995,5,FALSE())</f>
        <v>г. Мантурово</v>
      </c>
      <c r="J150" s="1" t="n">
        <f aca="false">VLOOKUP(B150,Заказы!$A$2:$E$2995,4,FALSE())</f>
        <v>0</v>
      </c>
      <c r="K150" s="1" t="str">
        <f aca="false">VLOOKUP(B150,Заказы!$A$2:$E$2995,5,FALSE())</f>
        <v>Не выполнено</v>
      </c>
      <c r="L150" s="1" t="n">
        <f aca="false">D150*F150+J150</f>
        <v>615</v>
      </c>
      <c r="M150" s="1" t="n">
        <f aca="false">IF(AND(E150="Пицца Труслейка",I150="г. Москва",K150="Выполнено",G150&gt;=DATE(2020,7,1),G150&lt;DATE(2020,8,1)),L150,0)</f>
        <v>0</v>
      </c>
    </row>
    <row r="151" customFormat="false" ht="15" hidden="false" customHeight="true" outlineLevel="0" collapsed="false">
      <c r="A151" s="1" t="n">
        <v>100373</v>
      </c>
      <c r="B151" s="1" t="n">
        <v>51586</v>
      </c>
      <c r="C151" s="1" t="n">
        <v>4</v>
      </c>
      <c r="D151" s="1" t="n">
        <v>5</v>
      </c>
      <c r="E151" s="1" t="str">
        <f aca="false">VLOOKUP(C151,Меню!$A$2:$C$24,2,FALSE())</f>
        <v>Пицца Труслейка</v>
      </c>
      <c r="F151" s="1" t="n">
        <f aca="false">VLOOKUP(C151,Меню!$A$2:$C$24,3,FALSE())</f>
        <v>610</v>
      </c>
      <c r="G151" s="5" t="n">
        <f aca="false">VLOOKUP(B151,Заказы!$A$2:$E$2995,2,FALSE())</f>
        <v>44056</v>
      </c>
      <c r="H151" s="1" t="n">
        <f aca="false">VLOOKUP(B151,Заказы!$A$2:$E$2995,3,FALSE())</f>
        <v>1832</v>
      </c>
      <c r="I151" s="1" t="str">
        <f aca="false">VLOOKUP(H151,Клиенты!$A$2:$E$1995,5,FALSE())</f>
        <v>г. Карачаевск</v>
      </c>
      <c r="J151" s="1" t="n">
        <f aca="false">VLOOKUP(B151,Заказы!$A$2:$E$2995,4,FALSE())</f>
        <v>268</v>
      </c>
      <c r="K151" s="1" t="str">
        <f aca="false">VLOOKUP(B151,Заказы!$A$2:$E$2995,5,FALSE())</f>
        <v>Выполнено</v>
      </c>
      <c r="L151" s="1" t="n">
        <f aca="false">D151*F151+J151</f>
        <v>3318</v>
      </c>
      <c r="M151" s="1" t="n">
        <f aca="false">IF(AND(E151="Пицца Труслейка",I151="г. Москва",K151="Выполнено",G151&gt;=DATE(2020,7,1),G151&lt;DATE(2020,8,1)),L151,0)</f>
        <v>0</v>
      </c>
    </row>
    <row r="152" customFormat="false" ht="15" hidden="false" customHeight="true" outlineLevel="0" collapsed="false">
      <c r="A152" s="1" t="n">
        <v>100973</v>
      </c>
      <c r="B152" s="1" t="n">
        <v>51449</v>
      </c>
      <c r="C152" s="1" t="n">
        <v>5</v>
      </c>
      <c r="D152" s="1" t="n">
        <v>4</v>
      </c>
      <c r="E152" s="1" t="str">
        <f aca="false">VLOOKUP(C152,Меню!$A$2:$C$24,2,FALSE())</f>
        <v>Пицца Жюльен</v>
      </c>
      <c r="F152" s="1" t="n">
        <f aca="false">VLOOKUP(C152,Меню!$A$2:$C$24,3,FALSE())</f>
        <v>580</v>
      </c>
      <c r="G152" s="5" t="n">
        <f aca="false">VLOOKUP(B152,Заказы!$A$2:$E$2995,2,FALSE())</f>
        <v>44036</v>
      </c>
      <c r="H152" s="1" t="n">
        <f aca="false">VLOOKUP(B152,Заказы!$A$2:$E$2995,3,FALSE())</f>
        <v>930</v>
      </c>
      <c r="I152" s="1" t="str">
        <f aca="false">VLOOKUP(H152,Клиенты!$A$2:$E$1995,5,FALSE())</f>
        <v>г. Москва</v>
      </c>
      <c r="J152" s="1" t="n">
        <f aca="false">VLOOKUP(B152,Заказы!$A$2:$E$2995,4,FALSE())</f>
        <v>790</v>
      </c>
      <c r="K152" s="1" t="str">
        <f aca="false">VLOOKUP(B152,Заказы!$A$2:$E$2995,5,FALSE())</f>
        <v>Выполнено</v>
      </c>
      <c r="L152" s="1" t="n">
        <f aca="false">D152*F152+J152</f>
        <v>3110</v>
      </c>
      <c r="M152" s="1" t="n">
        <f aca="false">IF(AND(E152="Пицца Труслейка",I152="г. Москва",K152="Выполнено",G152&gt;=DATE(2020,7,1),G152&lt;DATE(2020,8,1)),L152,0)</f>
        <v>0</v>
      </c>
    </row>
    <row r="153" customFormat="false" ht="15" hidden="false" customHeight="true" outlineLevel="0" collapsed="false">
      <c r="A153" s="1" t="n">
        <v>100338</v>
      </c>
      <c r="B153" s="1" t="n">
        <v>50048</v>
      </c>
      <c r="C153" s="1" t="n">
        <v>6</v>
      </c>
      <c r="D153" s="1" t="n">
        <v>8</v>
      </c>
      <c r="E153" s="1" t="str">
        <f aca="false">VLOOKUP(C153,Меню!$A$2:$C$24,2,FALSE())</f>
        <v>Пицца Капричиоза</v>
      </c>
      <c r="F153" s="1" t="n">
        <f aca="false">VLOOKUP(C153,Меню!$A$2:$C$24,3,FALSE())</f>
        <v>570</v>
      </c>
      <c r="G153" s="5" t="n">
        <f aca="false">VLOOKUP(B153,Заказы!$A$2:$E$2995,2,FALSE())</f>
        <v>44020</v>
      </c>
      <c r="H153" s="1" t="n">
        <f aca="false">VLOOKUP(B153,Заказы!$A$2:$E$2995,3,FALSE())</f>
        <v>1248</v>
      </c>
      <c r="I153" s="1" t="str">
        <f aca="false">VLOOKUP(H153,Клиенты!$A$2:$E$1995,5,FALSE())</f>
        <v>г. Очёр</v>
      </c>
      <c r="J153" s="1" t="n">
        <f aca="false">VLOOKUP(B153,Заказы!$A$2:$E$2995,4,FALSE())</f>
        <v>573</v>
      </c>
      <c r="K153" s="1" t="str">
        <f aca="false">VLOOKUP(B153,Заказы!$A$2:$E$2995,5,FALSE())</f>
        <v>Выполнено</v>
      </c>
      <c r="L153" s="1" t="n">
        <f aca="false">D153*F153+J153</f>
        <v>5133</v>
      </c>
      <c r="M153" s="1" t="n">
        <f aca="false">IF(AND(E153="Пицца Труслейка",I153="г. Москва",K153="Выполнено",G153&gt;=DATE(2020,7,1),G153&lt;DATE(2020,8,1)),L153,0)</f>
        <v>0</v>
      </c>
    </row>
    <row r="154" customFormat="false" ht="15" hidden="false" customHeight="true" outlineLevel="0" collapsed="false">
      <c r="A154" s="1" t="n">
        <v>101672</v>
      </c>
      <c r="B154" s="1" t="n">
        <v>50183</v>
      </c>
      <c r="C154" s="1" t="n">
        <v>15</v>
      </c>
      <c r="D154" s="1" t="n">
        <v>6</v>
      </c>
      <c r="E154" s="1" t="str">
        <f aca="false">VLOOKUP(C154,Меню!$A$2:$C$24,2,FALSE())</f>
        <v>Пицца Тропиканка</v>
      </c>
      <c r="F154" s="1" t="n">
        <f aca="false">VLOOKUP(C154,Меню!$A$2:$C$24,3,FALSE())</f>
        <v>605</v>
      </c>
      <c r="G154" s="5" t="n">
        <f aca="false">VLOOKUP(B154,Заказы!$A$2:$E$2995,2,FALSE())</f>
        <v>43994</v>
      </c>
      <c r="H154" s="1" t="n">
        <f aca="false">VLOOKUP(B154,Заказы!$A$2:$E$2995,3,FALSE())</f>
        <v>389</v>
      </c>
      <c r="I154" s="1" t="str">
        <f aca="false">VLOOKUP(H154,Клиенты!$A$2:$E$1995,5,FALSE())</f>
        <v>г. Кашин</v>
      </c>
      <c r="J154" s="1" t="n">
        <f aca="false">VLOOKUP(B154,Заказы!$A$2:$E$2995,4,FALSE())</f>
        <v>339</v>
      </c>
      <c r="K154" s="1" t="str">
        <f aca="false">VLOOKUP(B154,Заказы!$A$2:$E$2995,5,FALSE())</f>
        <v>Выполнено</v>
      </c>
      <c r="L154" s="1" t="n">
        <f aca="false">D154*F154+J154</f>
        <v>3969</v>
      </c>
      <c r="M154" s="1" t="n">
        <f aca="false">IF(AND(E154="Пицца Труслейка",I154="г. Москва",K154="Выполнено",G154&gt;=DATE(2020,7,1),G154&lt;DATE(2020,8,1)),L154,0)</f>
        <v>0</v>
      </c>
    </row>
    <row r="155" customFormat="false" ht="15" hidden="false" customHeight="true" outlineLevel="0" collapsed="false">
      <c r="A155" s="1" t="n">
        <v>101425</v>
      </c>
      <c r="B155" s="1" t="n">
        <v>51608</v>
      </c>
      <c r="C155" s="1" t="n">
        <v>12</v>
      </c>
      <c r="D155" s="1" t="n">
        <v>8</v>
      </c>
      <c r="E155" s="1" t="str">
        <f aca="false">VLOOKUP(C155,Меню!$A$2:$C$24,2,FALSE())</f>
        <v>Пицца Салями с трюфелем</v>
      </c>
      <c r="F155" s="1" t="n">
        <f aca="false">VLOOKUP(C155,Меню!$A$2:$C$24,3,FALSE())</f>
        <v>525</v>
      </c>
      <c r="G155" s="5" t="n">
        <f aca="false">VLOOKUP(B155,Заказы!$A$2:$E$2995,2,FALSE())</f>
        <v>44040</v>
      </c>
      <c r="H155" s="1" t="n">
        <f aca="false">VLOOKUP(B155,Заказы!$A$2:$E$2995,3,FALSE())</f>
        <v>1519</v>
      </c>
      <c r="I155" s="1" t="str">
        <f aca="false">VLOOKUP(H155,Клиенты!$A$2:$E$1995,5,FALSE())</f>
        <v>г. Боровичи</v>
      </c>
      <c r="J155" s="1" t="n">
        <f aca="false">VLOOKUP(B155,Заказы!$A$2:$E$2995,4,FALSE())</f>
        <v>462</v>
      </c>
      <c r="K155" s="1" t="str">
        <f aca="false">VLOOKUP(B155,Заказы!$A$2:$E$2995,5,FALSE())</f>
        <v>Выполнено</v>
      </c>
      <c r="L155" s="1" t="n">
        <f aca="false">D155*F155+J155</f>
        <v>4662</v>
      </c>
      <c r="M155" s="1" t="n">
        <f aca="false">IF(AND(E155="Пицца Труслейка",I155="г. Москва",K155="Выполнено",G155&gt;=DATE(2020,7,1),G155&lt;DATE(2020,8,1)),L155,0)</f>
        <v>0</v>
      </c>
    </row>
    <row r="156" customFormat="false" ht="15" hidden="false" customHeight="true" outlineLevel="0" collapsed="false">
      <c r="A156" s="1" t="n">
        <v>101241</v>
      </c>
      <c r="B156" s="1" t="n">
        <v>50322</v>
      </c>
      <c r="C156" s="1" t="n">
        <v>14</v>
      </c>
      <c r="D156" s="1" t="n">
        <v>5</v>
      </c>
      <c r="E156" s="1" t="str">
        <f aca="false">VLOOKUP(C156,Меню!$A$2:$C$24,2,FALSE())</f>
        <v>Пицца Сырный цыпленок</v>
      </c>
      <c r="F156" s="1" t="n">
        <f aca="false">VLOOKUP(C156,Меню!$A$2:$C$24,3,FALSE())</f>
        <v>555</v>
      </c>
      <c r="G156" s="5" t="n">
        <f aca="false">VLOOKUP(B156,Заказы!$A$2:$E$2995,2,FALSE())</f>
        <v>43987</v>
      </c>
      <c r="H156" s="1" t="n">
        <f aca="false">VLOOKUP(B156,Заказы!$A$2:$E$2995,3,FALSE())</f>
        <v>195</v>
      </c>
      <c r="I156" s="1" t="str">
        <f aca="false">VLOOKUP(H156,Клиенты!$A$2:$E$1995,5,FALSE())</f>
        <v>г. Вязьма</v>
      </c>
      <c r="J156" s="1" t="n">
        <f aca="false">VLOOKUP(B156,Заказы!$A$2:$E$2995,4,FALSE())</f>
        <v>0</v>
      </c>
      <c r="K156" s="1" t="str">
        <f aca="false">VLOOKUP(B156,Заказы!$A$2:$E$2995,5,FALSE())</f>
        <v>Не выполнено</v>
      </c>
      <c r="L156" s="1" t="n">
        <f aca="false">D156*F156+J156</f>
        <v>2775</v>
      </c>
      <c r="M156" s="1" t="n">
        <f aca="false">IF(AND(E156="Пицца Труслейка",I156="г. Москва",K156="Выполнено",G156&gt;=DATE(2020,7,1),G156&lt;DATE(2020,8,1)),L156,0)</f>
        <v>0</v>
      </c>
    </row>
    <row r="157" customFormat="false" ht="15" hidden="false" customHeight="true" outlineLevel="0" collapsed="false">
      <c r="A157" s="1" t="n">
        <v>100457</v>
      </c>
      <c r="B157" s="1" t="n">
        <v>51341</v>
      </c>
      <c r="C157" s="1" t="n">
        <v>11</v>
      </c>
      <c r="D157" s="1" t="n">
        <v>10</v>
      </c>
      <c r="E157" s="1" t="str">
        <f aca="false">VLOOKUP(C157,Меню!$A$2:$C$24,2,FALSE())</f>
        <v>Пицца Песто</v>
      </c>
      <c r="F157" s="1" t="n">
        <f aca="false">VLOOKUP(C157,Меню!$A$2:$C$24,3,FALSE())</f>
        <v>530</v>
      </c>
      <c r="G157" s="5" t="n">
        <f aca="false">VLOOKUP(B157,Заказы!$A$2:$E$2995,2,FALSE())</f>
        <v>43999</v>
      </c>
      <c r="H157" s="1" t="n">
        <f aca="false">VLOOKUP(B157,Заказы!$A$2:$E$2995,3,FALSE())</f>
        <v>562</v>
      </c>
      <c r="I157" s="1" t="str">
        <f aca="false">VLOOKUP(H157,Клиенты!$A$2:$E$1995,5,FALSE())</f>
        <v>г. Сафоново</v>
      </c>
      <c r="J157" s="1" t="n">
        <f aca="false">VLOOKUP(B157,Заказы!$A$2:$E$2995,4,FALSE())</f>
        <v>0</v>
      </c>
      <c r="K157" s="1" t="str">
        <f aca="false">VLOOKUP(B157,Заказы!$A$2:$E$2995,5,FALSE())</f>
        <v>Не выполнено</v>
      </c>
      <c r="L157" s="1" t="n">
        <f aca="false">D157*F157+J157</f>
        <v>5300</v>
      </c>
      <c r="M157" s="1" t="n">
        <f aca="false">IF(AND(E157="Пицца Труслейка",I157="г. Москва",K157="Выполнено",G157&gt;=DATE(2020,7,1),G157&lt;DATE(2020,8,1)),L157,0)</f>
        <v>0</v>
      </c>
    </row>
    <row r="158" customFormat="false" ht="15" hidden="false" customHeight="true" outlineLevel="0" collapsed="false">
      <c r="A158" s="1" t="n">
        <v>100949</v>
      </c>
      <c r="B158" s="1" t="n">
        <v>50962</v>
      </c>
      <c r="C158" s="1" t="n">
        <v>2</v>
      </c>
      <c r="D158" s="1" t="n">
        <v>5</v>
      </c>
      <c r="E158" s="1" t="str">
        <f aca="false">VLOOKUP(C158,Меню!$A$2:$C$24,2,FALSE())</f>
        <v>Пицца Двойная пепперони</v>
      </c>
      <c r="F158" s="1" t="n">
        <f aca="false">VLOOKUP(C158,Меню!$A$2:$C$24,3,FALSE())</f>
        <v>575</v>
      </c>
      <c r="G158" s="5" t="n">
        <f aca="false">VLOOKUP(B158,Заказы!$A$2:$E$2995,2,FALSE())</f>
        <v>44044</v>
      </c>
      <c r="H158" s="1" t="n">
        <f aca="false">VLOOKUP(B158,Заказы!$A$2:$E$2995,3,FALSE())</f>
        <v>1809</v>
      </c>
      <c r="I158" s="1" t="str">
        <f aca="false">VLOOKUP(H158,Клиенты!$A$2:$E$1995,5,FALSE())</f>
        <v>г. Партизанск</v>
      </c>
      <c r="J158" s="1" t="n">
        <f aca="false">VLOOKUP(B158,Заказы!$A$2:$E$2995,4,FALSE())</f>
        <v>0</v>
      </c>
      <c r="K158" s="1" t="str">
        <f aca="false">VLOOKUP(B158,Заказы!$A$2:$E$2995,5,FALSE())</f>
        <v>Не выполнено</v>
      </c>
      <c r="L158" s="1" t="n">
        <f aca="false">D158*F158+J158</f>
        <v>2875</v>
      </c>
      <c r="M158" s="1" t="n">
        <f aca="false">IF(AND(E158="Пицца Труслейка",I158="г. Москва",K158="Выполнено",G158&gt;=DATE(2020,7,1),G158&lt;DATE(2020,8,1)),L158,0)</f>
        <v>0</v>
      </c>
    </row>
    <row r="159" customFormat="false" ht="15" hidden="false" customHeight="true" outlineLevel="0" collapsed="false">
      <c r="A159" s="1" t="n">
        <v>100509</v>
      </c>
      <c r="B159" s="1" t="n">
        <v>51274</v>
      </c>
      <c r="C159" s="1" t="n">
        <v>20</v>
      </c>
      <c r="D159" s="1" t="n">
        <v>9</v>
      </c>
      <c r="E159" s="1" t="str">
        <f aca="false">VLOOKUP(C159,Меню!$A$2:$C$24,2,FALSE())</f>
        <v>Пицца пиканте</v>
      </c>
      <c r="F159" s="1" t="n">
        <f aca="false">VLOOKUP(C159,Меню!$A$2:$C$24,3,FALSE())</f>
        <v>585</v>
      </c>
      <c r="G159" s="5" t="n">
        <f aca="false">VLOOKUP(B159,Заказы!$A$2:$E$2995,2,FALSE())</f>
        <v>44030</v>
      </c>
      <c r="H159" s="1" t="n">
        <f aca="false">VLOOKUP(B159,Заказы!$A$2:$E$2995,3,FALSE())</f>
        <v>1582</v>
      </c>
      <c r="I159" s="1" t="str">
        <f aca="false">VLOOKUP(H159,Клиенты!$A$2:$E$1995,5,FALSE())</f>
        <v>г. Волхов</v>
      </c>
      <c r="J159" s="1" t="n">
        <f aca="false">VLOOKUP(B159,Заказы!$A$2:$E$2995,4,FALSE())</f>
        <v>505</v>
      </c>
      <c r="K159" s="1" t="str">
        <f aca="false">VLOOKUP(B159,Заказы!$A$2:$E$2995,5,FALSE())</f>
        <v>Выполнено</v>
      </c>
      <c r="L159" s="1" t="n">
        <f aca="false">D159*F159+J159</f>
        <v>5770</v>
      </c>
      <c r="M159" s="1" t="n">
        <f aca="false">IF(AND(E159="Пицца Труслейка",I159="г. Москва",K159="Выполнено",G159&gt;=DATE(2020,7,1),G159&lt;DATE(2020,8,1)),L159,0)</f>
        <v>0</v>
      </c>
    </row>
    <row r="160" customFormat="false" ht="15" hidden="false" customHeight="true" outlineLevel="0" collapsed="false">
      <c r="A160" s="1" t="n">
        <v>101278</v>
      </c>
      <c r="B160" s="1" t="n">
        <v>50697</v>
      </c>
      <c r="C160" s="1" t="n">
        <v>3</v>
      </c>
      <c r="D160" s="1" t="n">
        <v>3</v>
      </c>
      <c r="E160" s="1" t="str">
        <f aca="false">VLOOKUP(C160,Меню!$A$2:$C$24,2,FALSE())</f>
        <v>Пицца Диабло</v>
      </c>
      <c r="F160" s="1" t="n">
        <f aca="false">VLOOKUP(C160,Меню!$A$2:$C$24,3,FALSE())</f>
        <v>590</v>
      </c>
      <c r="G160" s="5" t="n">
        <f aca="false">VLOOKUP(B160,Заказы!$A$2:$E$2995,2,FALSE())</f>
        <v>43997</v>
      </c>
      <c r="H160" s="1" t="n">
        <f aca="false">VLOOKUP(B160,Заказы!$A$2:$E$2995,3,FALSE())</f>
        <v>749</v>
      </c>
      <c r="I160" s="1" t="str">
        <f aca="false">VLOOKUP(H160,Клиенты!$A$2:$E$1995,5,FALSE())</f>
        <v>г. Бугульма</v>
      </c>
      <c r="J160" s="1" t="n">
        <f aca="false">VLOOKUP(B160,Заказы!$A$2:$E$2995,4,FALSE())</f>
        <v>0</v>
      </c>
      <c r="K160" s="1" t="str">
        <f aca="false">VLOOKUP(B160,Заказы!$A$2:$E$2995,5,FALSE())</f>
        <v>Не выполнено</v>
      </c>
      <c r="L160" s="1" t="n">
        <f aca="false">D160*F160+J160</f>
        <v>1770</v>
      </c>
      <c r="M160" s="1" t="n">
        <f aca="false">IF(AND(E160="Пицца Труслейка",I160="г. Москва",K160="Выполнено",G160&gt;=DATE(2020,7,1),G160&lt;DATE(2020,8,1)),L160,0)</f>
        <v>0</v>
      </c>
    </row>
    <row r="161" customFormat="false" ht="15" hidden="false" customHeight="true" outlineLevel="0" collapsed="false">
      <c r="A161" s="1" t="n">
        <v>100002</v>
      </c>
      <c r="B161" s="1" t="n">
        <v>50622</v>
      </c>
      <c r="C161" s="1" t="n">
        <v>4</v>
      </c>
      <c r="D161" s="1" t="n">
        <v>2</v>
      </c>
      <c r="E161" s="1" t="str">
        <f aca="false">VLOOKUP(C161,Меню!$A$2:$C$24,2,FALSE())</f>
        <v>Пицца Труслейка</v>
      </c>
      <c r="F161" s="1" t="n">
        <f aca="false">VLOOKUP(C161,Меню!$A$2:$C$24,3,FALSE())</f>
        <v>610</v>
      </c>
      <c r="G161" s="5" t="n">
        <f aca="false">VLOOKUP(B161,Заказы!$A$2:$E$2995,2,FALSE())</f>
        <v>44042</v>
      </c>
      <c r="H161" s="1" t="n">
        <f aca="false">VLOOKUP(B161,Заказы!$A$2:$E$2995,3,FALSE())</f>
        <v>506</v>
      </c>
      <c r="I161" s="1" t="str">
        <f aca="false">VLOOKUP(H161,Клиенты!$A$2:$E$1995,5,FALSE())</f>
        <v>г. Оренбург</v>
      </c>
      <c r="J161" s="1" t="n">
        <f aca="false">VLOOKUP(B161,Заказы!$A$2:$E$2995,4,FALSE())</f>
        <v>654</v>
      </c>
      <c r="K161" s="1" t="str">
        <f aca="false">VLOOKUP(B161,Заказы!$A$2:$E$2995,5,FALSE())</f>
        <v>Выполнено</v>
      </c>
      <c r="L161" s="1" t="n">
        <f aca="false">D161*F161+J161</f>
        <v>1874</v>
      </c>
      <c r="M161" s="1" t="n">
        <f aca="false">IF(AND(E161="Пицца Труслейка",I161="г. Москва",K161="Выполнено",G161&gt;=DATE(2020,7,1),G161&lt;DATE(2020,8,1)),L161,0)</f>
        <v>0</v>
      </c>
    </row>
    <row r="162" customFormat="false" ht="15" hidden="false" customHeight="true" outlineLevel="0" collapsed="false">
      <c r="A162" s="1" t="n">
        <v>101073</v>
      </c>
      <c r="B162" s="1" t="n">
        <v>51690</v>
      </c>
      <c r="C162" s="1" t="n">
        <v>17</v>
      </c>
      <c r="D162" s="1" t="n">
        <v>9</v>
      </c>
      <c r="E162" s="1" t="str">
        <f aca="false">VLOOKUP(C162,Меню!$A$2:$C$24,2,FALSE())</f>
        <v>Пицца Френч Фрайз</v>
      </c>
      <c r="F162" s="1" t="n">
        <f aca="false">VLOOKUP(C162,Меню!$A$2:$C$24,3,FALSE())</f>
        <v>515</v>
      </c>
      <c r="G162" s="5" t="n">
        <f aca="false">VLOOKUP(B162,Заказы!$A$2:$E$2995,2,FALSE())</f>
        <v>44013</v>
      </c>
      <c r="H162" s="1" t="n">
        <f aca="false">VLOOKUP(B162,Заказы!$A$2:$E$2995,3,FALSE())</f>
        <v>1175</v>
      </c>
      <c r="I162" s="1" t="str">
        <f aca="false">VLOOKUP(H162,Клиенты!$A$2:$E$1995,5,FALSE())</f>
        <v>г. Тольятти</v>
      </c>
      <c r="J162" s="1" t="n">
        <f aca="false">VLOOKUP(B162,Заказы!$A$2:$E$2995,4,FALSE())</f>
        <v>566</v>
      </c>
      <c r="K162" s="1" t="str">
        <f aca="false">VLOOKUP(B162,Заказы!$A$2:$E$2995,5,FALSE())</f>
        <v>Выполнено</v>
      </c>
      <c r="L162" s="1" t="n">
        <f aca="false">D162*F162+J162</f>
        <v>5201</v>
      </c>
      <c r="M162" s="1" t="n">
        <f aca="false">IF(AND(E162="Пицца Труслейка",I162="г. Москва",K162="Выполнено",G162&gt;=DATE(2020,7,1),G162&lt;DATE(2020,8,1)),L162,0)</f>
        <v>0</v>
      </c>
    </row>
    <row r="163" customFormat="false" ht="15" hidden="false" customHeight="true" outlineLevel="0" collapsed="false">
      <c r="A163" s="1" t="n">
        <v>100612</v>
      </c>
      <c r="B163" s="1" t="n">
        <v>51412</v>
      </c>
      <c r="C163" s="1" t="n">
        <v>8</v>
      </c>
      <c r="D163" s="1" t="n">
        <v>4</v>
      </c>
      <c r="E163" s="1" t="str">
        <f aca="false">VLOOKUP(C163,Меню!$A$2:$C$24,2,FALSE())</f>
        <v>Пицца Мясная</v>
      </c>
      <c r="F163" s="1" t="n">
        <f aca="false">VLOOKUP(C163,Меню!$A$2:$C$24,3,FALSE())</f>
        <v>615</v>
      </c>
      <c r="G163" s="5" t="n">
        <f aca="false">VLOOKUP(B163,Заказы!$A$2:$E$2995,2,FALSE())</f>
        <v>44043</v>
      </c>
      <c r="H163" s="1" t="n">
        <f aca="false">VLOOKUP(B163,Заказы!$A$2:$E$2995,3,FALSE())</f>
        <v>416</v>
      </c>
      <c r="I163" s="1" t="str">
        <f aca="false">VLOOKUP(H163,Клиенты!$A$2:$E$1995,5,FALSE())</f>
        <v>г. Спасск-Рязанский</v>
      </c>
      <c r="J163" s="1" t="n">
        <f aca="false">VLOOKUP(B163,Заказы!$A$2:$E$2995,4,FALSE())</f>
        <v>0</v>
      </c>
      <c r="K163" s="1" t="str">
        <f aca="false">VLOOKUP(B163,Заказы!$A$2:$E$2995,5,FALSE())</f>
        <v>Не выполнено</v>
      </c>
      <c r="L163" s="1" t="n">
        <f aca="false">D163*F163+J163</f>
        <v>2460</v>
      </c>
      <c r="M163" s="1" t="n">
        <f aca="false">IF(AND(E163="Пицца Труслейка",I163="г. Москва",K163="Выполнено",G163&gt;=DATE(2020,7,1),G163&lt;DATE(2020,8,1)),L163,0)</f>
        <v>0</v>
      </c>
    </row>
    <row r="164" customFormat="false" ht="15" hidden="false" customHeight="true" outlineLevel="0" collapsed="false">
      <c r="A164" s="1" t="n">
        <v>100813</v>
      </c>
      <c r="B164" s="1" t="n">
        <v>51260</v>
      </c>
      <c r="C164" s="1" t="n">
        <v>15</v>
      </c>
      <c r="D164" s="1" t="n">
        <v>3</v>
      </c>
      <c r="E164" s="1" t="str">
        <f aca="false">VLOOKUP(C164,Меню!$A$2:$C$24,2,FALSE())</f>
        <v>Пицца Тропиканка</v>
      </c>
      <c r="F164" s="1" t="n">
        <f aca="false">VLOOKUP(C164,Меню!$A$2:$C$24,3,FALSE())</f>
        <v>605</v>
      </c>
      <c r="G164" s="5" t="n">
        <f aca="false">VLOOKUP(B164,Заказы!$A$2:$E$2995,2,FALSE())</f>
        <v>44006</v>
      </c>
      <c r="H164" s="1" t="n">
        <f aca="false">VLOOKUP(B164,Заказы!$A$2:$E$2995,3,FALSE())</f>
        <v>872</v>
      </c>
      <c r="I164" s="1" t="str">
        <f aca="false">VLOOKUP(H164,Клиенты!$A$2:$E$1995,5,FALSE())</f>
        <v>г. Лобня</v>
      </c>
      <c r="J164" s="1" t="n">
        <f aca="false">VLOOKUP(B164,Заказы!$A$2:$E$2995,4,FALSE())</f>
        <v>693</v>
      </c>
      <c r="K164" s="1" t="str">
        <f aca="false">VLOOKUP(B164,Заказы!$A$2:$E$2995,5,FALSE())</f>
        <v>Выполнено</v>
      </c>
      <c r="L164" s="1" t="n">
        <f aca="false">D164*F164+J164</f>
        <v>2508</v>
      </c>
      <c r="M164" s="1" t="n">
        <f aca="false">IF(AND(E164="Пицца Труслейка",I164="г. Москва",K164="Выполнено",G164&gt;=DATE(2020,7,1),G164&lt;DATE(2020,8,1)),L164,0)</f>
        <v>0</v>
      </c>
    </row>
    <row r="165" customFormat="false" ht="15" hidden="false" customHeight="true" outlineLevel="0" collapsed="false">
      <c r="A165" s="1" t="n">
        <v>101403</v>
      </c>
      <c r="B165" s="1" t="n">
        <v>50085</v>
      </c>
      <c r="C165" s="1" t="n">
        <v>10</v>
      </c>
      <c r="D165" s="1" t="n">
        <v>1</v>
      </c>
      <c r="E165" s="1" t="str">
        <f aca="false">VLOOKUP(C165,Меню!$A$2:$C$24,2,FALSE())</f>
        <v>Пицца Пепперони фреш</v>
      </c>
      <c r="F165" s="1" t="n">
        <f aca="false">VLOOKUP(C165,Меню!$A$2:$C$24,3,FALSE())</f>
        <v>565</v>
      </c>
      <c r="G165" s="5" t="n">
        <f aca="false">VLOOKUP(B165,Заказы!$A$2:$E$2995,2,FALSE())</f>
        <v>44036</v>
      </c>
      <c r="H165" s="1" t="n">
        <f aca="false">VLOOKUP(B165,Заказы!$A$2:$E$2995,3,FALSE())</f>
        <v>1647</v>
      </c>
      <c r="I165" s="1" t="str">
        <f aca="false">VLOOKUP(H165,Клиенты!$A$2:$E$1995,5,FALSE())</f>
        <v>г. Алейск</v>
      </c>
      <c r="J165" s="1" t="n">
        <f aca="false">VLOOKUP(B165,Заказы!$A$2:$E$2995,4,FALSE())</f>
        <v>689</v>
      </c>
      <c r="K165" s="1" t="str">
        <f aca="false">VLOOKUP(B165,Заказы!$A$2:$E$2995,5,FALSE())</f>
        <v>Выполнено</v>
      </c>
      <c r="L165" s="1" t="n">
        <f aca="false">D165*F165+J165</f>
        <v>1254</v>
      </c>
      <c r="M165" s="1" t="n">
        <f aca="false">IF(AND(E165="Пицца Труслейка",I165="г. Москва",K165="Выполнено",G165&gt;=DATE(2020,7,1),G165&lt;DATE(2020,8,1)),L165,0)</f>
        <v>0</v>
      </c>
    </row>
    <row r="166" customFormat="false" ht="15" hidden="false" customHeight="true" outlineLevel="0" collapsed="false">
      <c r="A166" s="1" t="n">
        <v>101371</v>
      </c>
      <c r="B166" s="1" t="n">
        <v>51985</v>
      </c>
      <c r="C166" s="1" t="n">
        <v>9</v>
      </c>
      <c r="D166" s="1" t="n">
        <v>1</v>
      </c>
      <c r="E166" s="1" t="str">
        <f aca="false">VLOOKUP(C166,Меню!$A$2:$C$24,2,FALSE())</f>
        <v>Пицца Острая с беконом</v>
      </c>
      <c r="F166" s="1" t="n">
        <f aca="false">VLOOKUP(C166,Меню!$A$2:$C$24,3,FALSE())</f>
        <v>540</v>
      </c>
      <c r="G166" s="5" t="n">
        <f aca="false">VLOOKUP(B166,Заказы!$A$2:$E$2995,2,FALSE())</f>
        <v>44048</v>
      </c>
      <c r="H166" s="1" t="n">
        <f aca="false">VLOOKUP(B166,Заказы!$A$2:$E$2995,3,FALSE())</f>
        <v>1839</v>
      </c>
      <c r="I166" s="1" t="str">
        <f aca="false">VLOOKUP(H166,Клиенты!$A$2:$E$1995,5,FALSE())</f>
        <v>г. Воркута</v>
      </c>
      <c r="J166" s="1" t="n">
        <f aca="false">VLOOKUP(B166,Заказы!$A$2:$E$2995,4,FALSE())</f>
        <v>382</v>
      </c>
      <c r="K166" s="1" t="str">
        <f aca="false">VLOOKUP(B166,Заказы!$A$2:$E$2995,5,FALSE())</f>
        <v>Выполнено</v>
      </c>
      <c r="L166" s="1" t="n">
        <f aca="false">D166*F166+J166</f>
        <v>922</v>
      </c>
      <c r="M166" s="1" t="n">
        <f aca="false">IF(AND(E166="Пицца Труслейка",I166="г. Москва",K166="Выполнено",G166&gt;=DATE(2020,7,1),G166&lt;DATE(2020,8,1)),L166,0)</f>
        <v>0</v>
      </c>
    </row>
    <row r="167" customFormat="false" ht="15" hidden="false" customHeight="true" outlineLevel="0" collapsed="false">
      <c r="A167" s="1" t="n">
        <v>101922</v>
      </c>
      <c r="B167" s="1" t="n">
        <v>50742</v>
      </c>
      <c r="C167" s="1" t="n">
        <v>11</v>
      </c>
      <c r="D167" s="1" t="n">
        <v>8</v>
      </c>
      <c r="E167" s="1" t="str">
        <f aca="false">VLOOKUP(C167,Меню!$A$2:$C$24,2,FALSE())</f>
        <v>Пицца Песто</v>
      </c>
      <c r="F167" s="1" t="n">
        <f aca="false">VLOOKUP(C167,Меню!$A$2:$C$24,3,FALSE())</f>
        <v>530</v>
      </c>
      <c r="G167" s="5" t="n">
        <f aca="false">VLOOKUP(B167,Заказы!$A$2:$E$2995,2,FALSE())</f>
        <v>44038</v>
      </c>
      <c r="H167" s="1" t="n">
        <f aca="false">VLOOKUP(B167,Заказы!$A$2:$E$2995,3,FALSE())</f>
        <v>1974</v>
      </c>
      <c r="I167" s="1" t="str">
        <f aca="false">VLOOKUP(H167,Клиенты!$A$2:$E$1995,5,FALSE())</f>
        <v>г. Костерёво</v>
      </c>
      <c r="J167" s="1" t="n">
        <f aca="false">VLOOKUP(B167,Заказы!$A$2:$E$2995,4,FALSE())</f>
        <v>737</v>
      </c>
      <c r="K167" s="1" t="str">
        <f aca="false">VLOOKUP(B167,Заказы!$A$2:$E$2995,5,FALSE())</f>
        <v>Выполнено</v>
      </c>
      <c r="L167" s="1" t="n">
        <f aca="false">D167*F167+J167</f>
        <v>4977</v>
      </c>
      <c r="M167" s="1" t="n">
        <f aca="false">IF(AND(E167="Пицца Труслейка",I167="г. Москва",K167="Выполнено",G167&gt;=DATE(2020,7,1),G167&lt;DATE(2020,8,1)),L167,0)</f>
        <v>0</v>
      </c>
    </row>
    <row r="168" customFormat="false" ht="15" hidden="false" customHeight="true" outlineLevel="0" collapsed="false">
      <c r="A168" s="1" t="n">
        <v>101443</v>
      </c>
      <c r="B168" s="1" t="n">
        <v>51377</v>
      </c>
      <c r="C168" s="1" t="n">
        <v>1</v>
      </c>
      <c r="D168" s="1" t="n">
        <v>8</v>
      </c>
      <c r="E168" s="1" t="str">
        <f aca="false">VLOOKUP(C168,Меню!$A$2:$C$24,2,FALSE())</f>
        <v>Пицца Гавайская</v>
      </c>
      <c r="F168" s="1" t="n">
        <f aca="false">VLOOKUP(C168,Меню!$A$2:$C$24,3,FALSE())</f>
        <v>545</v>
      </c>
      <c r="G168" s="5" t="n">
        <f aca="false">VLOOKUP(B168,Заказы!$A$2:$E$2995,2,FALSE())</f>
        <v>44041</v>
      </c>
      <c r="H168" s="1" t="n">
        <f aca="false">VLOOKUP(B168,Заказы!$A$2:$E$2995,3,FALSE())</f>
        <v>1286</v>
      </c>
      <c r="I168" s="1" t="str">
        <f aca="false">VLOOKUP(H168,Клиенты!$A$2:$E$1995,5,FALSE())</f>
        <v>г. Суворов</v>
      </c>
      <c r="J168" s="1" t="n">
        <f aca="false">VLOOKUP(B168,Заказы!$A$2:$E$2995,4,FALSE())</f>
        <v>0</v>
      </c>
      <c r="K168" s="1" t="str">
        <f aca="false">VLOOKUP(B168,Заказы!$A$2:$E$2995,5,FALSE())</f>
        <v>Не выполнено</v>
      </c>
      <c r="L168" s="1" t="n">
        <f aca="false">D168*F168+J168</f>
        <v>4360</v>
      </c>
      <c r="M168" s="1" t="n">
        <f aca="false">IF(AND(E168="Пицца Труслейка",I168="г. Москва",K168="Выполнено",G168&gt;=DATE(2020,7,1),G168&lt;DATE(2020,8,1)),L168,0)</f>
        <v>0</v>
      </c>
    </row>
    <row r="169" customFormat="false" ht="15" hidden="false" customHeight="true" outlineLevel="0" collapsed="false">
      <c r="A169" s="1" t="n">
        <v>100595</v>
      </c>
      <c r="B169" s="1" t="n">
        <v>51144</v>
      </c>
      <c r="C169" s="1" t="n">
        <v>21</v>
      </c>
      <c r="D169" s="1" t="n">
        <v>9</v>
      </c>
      <c r="E169" s="1" t="str">
        <f aca="false">VLOOKUP(C169,Меню!$A$2:$C$24,2,FALSE())</f>
        <v>Пицца с креветками и цукини</v>
      </c>
      <c r="F169" s="1" t="n">
        <f aca="false">VLOOKUP(C169,Меню!$A$2:$C$24,3,FALSE())</f>
        <v>600</v>
      </c>
      <c r="G169" s="5" t="n">
        <f aca="false">VLOOKUP(B169,Заказы!$A$2:$E$2995,2,FALSE())</f>
        <v>43990</v>
      </c>
      <c r="H169" s="1" t="n">
        <f aca="false">VLOOKUP(B169,Заказы!$A$2:$E$2995,3,FALSE())</f>
        <v>1133</v>
      </c>
      <c r="I169" s="1" t="str">
        <f aca="false">VLOOKUP(H169,Клиенты!$A$2:$E$1995,5,FALSE())</f>
        <v>г. Фролово</v>
      </c>
      <c r="J169" s="1" t="n">
        <f aca="false">VLOOKUP(B169,Заказы!$A$2:$E$2995,4,FALSE())</f>
        <v>0</v>
      </c>
      <c r="K169" s="1" t="str">
        <f aca="false">VLOOKUP(B169,Заказы!$A$2:$E$2995,5,FALSE())</f>
        <v>Не выполнено</v>
      </c>
      <c r="L169" s="1" t="n">
        <f aca="false">D169*F169+J169</f>
        <v>5400</v>
      </c>
      <c r="M169" s="1" t="n">
        <f aca="false">IF(AND(E169="Пицца Труслейка",I169="г. Москва",K169="Выполнено",G169&gt;=DATE(2020,7,1),G169&lt;DATE(2020,8,1)),L169,0)</f>
        <v>0</v>
      </c>
    </row>
    <row r="170" customFormat="false" ht="15" hidden="false" customHeight="true" outlineLevel="0" collapsed="false">
      <c r="A170" s="1" t="n">
        <v>100143</v>
      </c>
      <c r="B170" s="1" t="n">
        <v>51599</v>
      </c>
      <c r="C170" s="1" t="n">
        <v>13</v>
      </c>
      <c r="D170" s="1" t="n">
        <v>1</v>
      </c>
      <c r="E170" s="1" t="str">
        <f aca="false">VLOOKUP(C170,Меню!$A$2:$C$24,2,FALSE())</f>
        <v>Пицца Сырная</v>
      </c>
      <c r="F170" s="1" t="n">
        <f aca="false">VLOOKUP(C170,Меню!$A$2:$C$24,3,FALSE())</f>
        <v>635</v>
      </c>
      <c r="G170" s="5" t="n">
        <f aca="false">VLOOKUP(B170,Заказы!$A$2:$E$2995,2,FALSE())</f>
        <v>44010</v>
      </c>
      <c r="H170" s="1" t="n">
        <f aca="false">VLOOKUP(B170,Заказы!$A$2:$E$2995,3,FALSE())</f>
        <v>1659</v>
      </c>
      <c r="I170" s="1" t="str">
        <f aca="false">VLOOKUP(H170,Клиенты!$A$2:$E$1995,5,FALSE())</f>
        <v>г. Черепаново</v>
      </c>
      <c r="J170" s="1" t="n">
        <f aca="false">VLOOKUP(B170,Заказы!$A$2:$E$2995,4,FALSE())</f>
        <v>488</v>
      </c>
      <c r="K170" s="1" t="str">
        <f aca="false">VLOOKUP(B170,Заказы!$A$2:$E$2995,5,FALSE())</f>
        <v>Выполнено</v>
      </c>
      <c r="L170" s="1" t="n">
        <f aca="false">D170*F170+J170</f>
        <v>1123</v>
      </c>
      <c r="M170" s="1" t="n">
        <f aca="false">IF(AND(E170="Пицца Труслейка",I170="г. Москва",K170="Выполнено",G170&gt;=DATE(2020,7,1),G170&lt;DATE(2020,8,1)),L170,0)</f>
        <v>0</v>
      </c>
    </row>
    <row r="171" customFormat="false" ht="15" hidden="false" customHeight="true" outlineLevel="0" collapsed="false">
      <c r="A171" s="1" t="n">
        <v>100525</v>
      </c>
      <c r="B171" s="1" t="n">
        <v>50509</v>
      </c>
      <c r="C171" s="1" t="n">
        <v>4</v>
      </c>
      <c r="D171" s="1" t="n">
        <v>8</v>
      </c>
      <c r="E171" s="1" t="str">
        <f aca="false">VLOOKUP(C171,Меню!$A$2:$C$24,2,FALSE())</f>
        <v>Пицца Труслейка</v>
      </c>
      <c r="F171" s="1" t="n">
        <f aca="false">VLOOKUP(C171,Меню!$A$2:$C$24,3,FALSE())</f>
        <v>610</v>
      </c>
      <c r="G171" s="5" t="n">
        <f aca="false">VLOOKUP(B171,Заказы!$A$2:$E$2995,2,FALSE())</f>
        <v>44049</v>
      </c>
      <c r="H171" s="1" t="n">
        <f aca="false">VLOOKUP(B171,Заказы!$A$2:$E$2995,3,FALSE())</f>
        <v>836</v>
      </c>
      <c r="I171" s="1" t="str">
        <f aca="false">VLOOKUP(H171,Клиенты!$A$2:$E$1995,5,FALSE())</f>
        <v>г. Палласовка</v>
      </c>
      <c r="J171" s="1" t="n">
        <f aca="false">VLOOKUP(B171,Заказы!$A$2:$E$2995,4,FALSE())</f>
        <v>779</v>
      </c>
      <c r="K171" s="1" t="str">
        <f aca="false">VLOOKUP(B171,Заказы!$A$2:$E$2995,5,FALSE())</f>
        <v>Выполнено</v>
      </c>
      <c r="L171" s="1" t="n">
        <f aca="false">D171*F171+J171</f>
        <v>5659</v>
      </c>
      <c r="M171" s="1" t="n">
        <f aca="false">IF(AND(E171="Пицца Труслейка",I171="г. Москва",K171="Выполнено",G171&gt;=DATE(2020,7,1),G171&lt;DATE(2020,8,1)),L171,0)</f>
        <v>0</v>
      </c>
    </row>
    <row r="172" customFormat="false" ht="15" hidden="false" customHeight="true" outlineLevel="0" collapsed="false">
      <c r="A172" s="1" t="n">
        <v>101054</v>
      </c>
      <c r="B172" s="1" t="n">
        <v>51981</v>
      </c>
      <c r="C172" s="1" t="n">
        <v>16</v>
      </c>
      <c r="D172" s="1" t="n">
        <v>6</v>
      </c>
      <c r="E172" s="1" t="str">
        <f aca="false">VLOOKUP(C172,Меню!$A$2:$C$24,2,FALSE())</f>
        <v>Пицца Флорида</v>
      </c>
      <c r="F172" s="1" t="n">
        <f aca="false">VLOOKUP(C172,Меню!$A$2:$C$24,3,FALSE())</f>
        <v>535</v>
      </c>
      <c r="G172" s="5" t="n">
        <f aca="false">VLOOKUP(B172,Заказы!$A$2:$E$2995,2,FALSE())</f>
        <v>44048</v>
      </c>
      <c r="H172" s="1" t="n">
        <f aca="false">VLOOKUP(B172,Заказы!$A$2:$E$2995,3,FALSE())</f>
        <v>1036</v>
      </c>
      <c r="I172" s="1" t="str">
        <f aca="false">VLOOKUP(H172,Клиенты!$A$2:$E$1995,5,FALSE())</f>
        <v>г. Плёс</v>
      </c>
      <c r="J172" s="1" t="n">
        <f aca="false">VLOOKUP(B172,Заказы!$A$2:$E$2995,4,FALSE())</f>
        <v>0</v>
      </c>
      <c r="K172" s="1" t="str">
        <f aca="false">VLOOKUP(B172,Заказы!$A$2:$E$2995,5,FALSE())</f>
        <v>Не выполнено</v>
      </c>
      <c r="L172" s="1" t="n">
        <f aca="false">D172*F172+J172</f>
        <v>3210</v>
      </c>
      <c r="M172" s="1" t="n">
        <f aca="false">IF(AND(E172="Пицца Труслейка",I172="г. Москва",K172="Выполнено",G172&gt;=DATE(2020,7,1),G172&lt;DATE(2020,8,1)),L172,0)</f>
        <v>0</v>
      </c>
    </row>
    <row r="173" customFormat="false" ht="15" hidden="false" customHeight="true" outlineLevel="0" collapsed="false">
      <c r="A173" s="1" t="n">
        <v>101542</v>
      </c>
      <c r="B173" s="1" t="n">
        <v>51340</v>
      </c>
      <c r="C173" s="1" t="n">
        <v>9</v>
      </c>
      <c r="D173" s="1" t="n">
        <v>1</v>
      </c>
      <c r="E173" s="1" t="str">
        <f aca="false">VLOOKUP(C173,Меню!$A$2:$C$24,2,FALSE())</f>
        <v>Пицца Острая с беконом</v>
      </c>
      <c r="F173" s="1" t="n">
        <f aca="false">VLOOKUP(C173,Меню!$A$2:$C$24,3,FALSE())</f>
        <v>540</v>
      </c>
      <c r="G173" s="5" t="n">
        <f aca="false">VLOOKUP(B173,Заказы!$A$2:$E$2995,2,FALSE())</f>
        <v>43990</v>
      </c>
      <c r="H173" s="1" t="n">
        <f aca="false">VLOOKUP(B173,Заказы!$A$2:$E$2995,3,FALSE())</f>
        <v>481</v>
      </c>
      <c r="I173" s="1" t="str">
        <f aca="false">VLOOKUP(H173,Клиенты!$A$2:$E$1995,5,FALSE())</f>
        <v>г. Приволжск</v>
      </c>
      <c r="J173" s="1" t="n">
        <f aca="false">VLOOKUP(B173,Заказы!$A$2:$E$2995,4,FALSE())</f>
        <v>0</v>
      </c>
      <c r="K173" s="1" t="str">
        <f aca="false">VLOOKUP(B173,Заказы!$A$2:$E$2995,5,FALSE())</f>
        <v>Не выполнено</v>
      </c>
      <c r="L173" s="1" t="n">
        <f aca="false">D173*F173+J173</f>
        <v>540</v>
      </c>
      <c r="M173" s="1" t="n">
        <f aca="false">IF(AND(E173="Пицца Труслейка",I173="г. Москва",K173="Выполнено",G173&gt;=DATE(2020,7,1),G173&lt;DATE(2020,8,1)),L173,0)</f>
        <v>0</v>
      </c>
    </row>
    <row r="174" customFormat="false" ht="15" hidden="false" customHeight="true" outlineLevel="0" collapsed="false">
      <c r="A174" s="1" t="n">
        <v>100032</v>
      </c>
      <c r="B174" s="1" t="n">
        <v>50307</v>
      </c>
      <c r="C174" s="1" t="n">
        <v>20</v>
      </c>
      <c r="D174" s="1" t="n">
        <v>2</v>
      </c>
      <c r="E174" s="1" t="str">
        <f aca="false">VLOOKUP(C174,Меню!$A$2:$C$24,2,FALSE())</f>
        <v>Пицца пиканте</v>
      </c>
      <c r="F174" s="1" t="n">
        <f aca="false">VLOOKUP(C174,Меню!$A$2:$C$24,3,FALSE())</f>
        <v>585</v>
      </c>
      <c r="G174" s="5" t="n">
        <f aca="false">VLOOKUP(B174,Заказы!$A$2:$E$2995,2,FALSE())</f>
        <v>44052</v>
      </c>
      <c r="H174" s="1" t="n">
        <f aca="false">VLOOKUP(B174,Заказы!$A$2:$E$2995,3,FALSE())</f>
        <v>338</v>
      </c>
      <c r="I174" s="1" t="str">
        <f aca="false">VLOOKUP(H174,Клиенты!$A$2:$E$1995,5,FALSE())</f>
        <v>г. Якутск</v>
      </c>
      <c r="J174" s="1" t="n">
        <f aca="false">VLOOKUP(B174,Заказы!$A$2:$E$2995,4,FALSE())</f>
        <v>889</v>
      </c>
      <c r="K174" s="1" t="str">
        <f aca="false">VLOOKUP(B174,Заказы!$A$2:$E$2995,5,FALSE())</f>
        <v>Выполнено</v>
      </c>
      <c r="L174" s="1" t="n">
        <f aca="false">D174*F174+J174</f>
        <v>2059</v>
      </c>
      <c r="M174" s="1" t="n">
        <f aca="false">IF(AND(E174="Пицца Труслейка",I174="г. Москва",K174="Выполнено",G174&gt;=DATE(2020,7,1),G174&lt;DATE(2020,8,1)),L174,0)</f>
        <v>0</v>
      </c>
    </row>
    <row r="175" customFormat="false" ht="15" hidden="false" customHeight="true" outlineLevel="0" collapsed="false">
      <c r="A175" s="1" t="n">
        <v>101295</v>
      </c>
      <c r="B175" s="1" t="n">
        <v>50240</v>
      </c>
      <c r="C175" s="1" t="n">
        <v>21</v>
      </c>
      <c r="D175" s="1" t="n">
        <v>9</v>
      </c>
      <c r="E175" s="1" t="str">
        <f aca="false">VLOOKUP(C175,Меню!$A$2:$C$24,2,FALSE())</f>
        <v>Пицца с креветками и цукини</v>
      </c>
      <c r="F175" s="1" t="n">
        <f aca="false">VLOOKUP(C175,Меню!$A$2:$C$24,3,FALSE())</f>
        <v>600</v>
      </c>
      <c r="G175" s="5" t="n">
        <f aca="false">VLOOKUP(B175,Заказы!$A$2:$E$2995,2,FALSE())</f>
        <v>44048</v>
      </c>
      <c r="H175" s="1" t="n">
        <f aca="false">VLOOKUP(B175,Заказы!$A$2:$E$2995,3,FALSE())</f>
        <v>1461</v>
      </c>
      <c r="I175" s="1" t="str">
        <f aca="false">VLOOKUP(H175,Клиенты!$A$2:$E$1995,5,FALSE())</f>
        <v>г. Батайск</v>
      </c>
      <c r="J175" s="1" t="n">
        <f aca="false">VLOOKUP(B175,Заказы!$A$2:$E$2995,4,FALSE())</f>
        <v>130</v>
      </c>
      <c r="K175" s="1" t="str">
        <f aca="false">VLOOKUP(B175,Заказы!$A$2:$E$2995,5,FALSE())</f>
        <v>Выполнено</v>
      </c>
      <c r="L175" s="1" t="n">
        <f aca="false">D175*F175+J175</f>
        <v>5530</v>
      </c>
      <c r="M175" s="1" t="n">
        <f aca="false">IF(AND(E175="Пицца Труслейка",I175="г. Москва",K175="Выполнено",G175&gt;=DATE(2020,7,1),G175&lt;DATE(2020,8,1)),L175,0)</f>
        <v>0</v>
      </c>
    </row>
    <row r="176" customFormat="false" ht="15" hidden="false" customHeight="true" outlineLevel="0" collapsed="false">
      <c r="A176" s="1" t="n">
        <v>100919</v>
      </c>
      <c r="B176" s="1" t="n">
        <v>51272</v>
      </c>
      <c r="C176" s="1" t="n">
        <v>4</v>
      </c>
      <c r="D176" s="1" t="n">
        <v>10</v>
      </c>
      <c r="E176" s="1" t="str">
        <f aca="false">VLOOKUP(C176,Меню!$A$2:$C$24,2,FALSE())</f>
        <v>Пицца Труслейка</v>
      </c>
      <c r="F176" s="1" t="n">
        <f aca="false">VLOOKUP(C176,Меню!$A$2:$C$24,3,FALSE())</f>
        <v>610</v>
      </c>
      <c r="G176" s="5" t="n">
        <f aca="false">VLOOKUP(B176,Заказы!$A$2:$E$2995,2,FALSE())</f>
        <v>43998</v>
      </c>
      <c r="H176" s="1" t="n">
        <f aca="false">VLOOKUP(B176,Заказы!$A$2:$E$2995,3,FALSE())</f>
        <v>1420</v>
      </c>
      <c r="I176" s="1" t="str">
        <f aca="false">VLOOKUP(H176,Клиенты!$A$2:$E$1995,5,FALSE())</f>
        <v>г. Москва</v>
      </c>
      <c r="J176" s="1" t="n">
        <f aca="false">VLOOKUP(B176,Заказы!$A$2:$E$2995,4,FALSE())</f>
        <v>0</v>
      </c>
      <c r="K176" s="1" t="str">
        <f aca="false">VLOOKUP(B176,Заказы!$A$2:$E$2995,5,FALSE())</f>
        <v>Не выполнено</v>
      </c>
      <c r="L176" s="1" t="n">
        <f aca="false">D176*F176+J176</f>
        <v>6100</v>
      </c>
      <c r="M176" s="1" t="n">
        <f aca="false">IF(AND(E176="Пицца Труслейка",I176="г. Москва",K176="Выполнено",G176&gt;=DATE(2020,7,1),G176&lt;DATE(2020,8,1)),L176,0)</f>
        <v>0</v>
      </c>
    </row>
    <row r="177" customFormat="false" ht="15" hidden="false" customHeight="true" outlineLevel="0" collapsed="false">
      <c r="A177" s="1" t="n">
        <v>100526</v>
      </c>
      <c r="B177" s="1" t="n">
        <v>50989</v>
      </c>
      <c r="C177" s="1" t="n">
        <v>16</v>
      </c>
      <c r="D177" s="1" t="n">
        <v>3</v>
      </c>
      <c r="E177" s="1" t="str">
        <f aca="false">VLOOKUP(C177,Меню!$A$2:$C$24,2,FALSE())</f>
        <v>Пицца Флорида</v>
      </c>
      <c r="F177" s="1" t="n">
        <f aca="false">VLOOKUP(C177,Меню!$A$2:$C$24,3,FALSE())</f>
        <v>535</v>
      </c>
      <c r="G177" s="5" t="n">
        <f aca="false">VLOOKUP(B177,Заказы!$A$2:$E$2995,2,FALSE())</f>
        <v>43992</v>
      </c>
      <c r="H177" s="1" t="n">
        <f aca="false">VLOOKUP(B177,Заказы!$A$2:$E$2995,3,FALSE())</f>
        <v>1181</v>
      </c>
      <c r="I177" s="1" t="str">
        <f aca="false">VLOOKUP(H177,Клиенты!$A$2:$E$1995,5,FALSE())</f>
        <v>г. Волгодонск</v>
      </c>
      <c r="J177" s="1" t="n">
        <f aca="false">VLOOKUP(B177,Заказы!$A$2:$E$2995,4,FALSE())</f>
        <v>374</v>
      </c>
      <c r="K177" s="1" t="str">
        <f aca="false">VLOOKUP(B177,Заказы!$A$2:$E$2995,5,FALSE())</f>
        <v>Выполнено</v>
      </c>
      <c r="L177" s="1" t="n">
        <f aca="false">D177*F177+J177</f>
        <v>1979</v>
      </c>
      <c r="M177" s="1" t="n">
        <f aca="false">IF(AND(E177="Пицца Труслейка",I177="г. Москва",K177="Выполнено",G177&gt;=DATE(2020,7,1),G177&lt;DATE(2020,8,1)),L177,0)</f>
        <v>0</v>
      </c>
    </row>
    <row r="178" customFormat="false" ht="15" hidden="false" customHeight="true" outlineLevel="0" collapsed="false">
      <c r="A178" s="1" t="n">
        <v>101677</v>
      </c>
      <c r="B178" s="1" t="n">
        <v>50136</v>
      </c>
      <c r="C178" s="1" t="n">
        <v>10</v>
      </c>
      <c r="D178" s="1" t="n">
        <v>2</v>
      </c>
      <c r="E178" s="1" t="str">
        <f aca="false">VLOOKUP(C178,Меню!$A$2:$C$24,2,FALSE())</f>
        <v>Пицца Пепперони фреш</v>
      </c>
      <c r="F178" s="1" t="n">
        <f aca="false">VLOOKUP(C178,Меню!$A$2:$C$24,3,FALSE())</f>
        <v>565</v>
      </c>
      <c r="G178" s="5" t="n">
        <f aca="false">VLOOKUP(B178,Заказы!$A$2:$E$2995,2,FALSE())</f>
        <v>44042</v>
      </c>
      <c r="H178" s="1" t="n">
        <f aca="false">VLOOKUP(B178,Заказы!$A$2:$E$2995,3,FALSE())</f>
        <v>1266</v>
      </c>
      <c r="I178" s="1" t="str">
        <f aca="false">VLOOKUP(H178,Клиенты!$A$2:$E$1995,5,FALSE())</f>
        <v>г. Брянск</v>
      </c>
      <c r="J178" s="1" t="n">
        <f aca="false">VLOOKUP(B178,Заказы!$A$2:$E$2995,4,FALSE())</f>
        <v>0</v>
      </c>
      <c r="K178" s="1" t="str">
        <f aca="false">VLOOKUP(B178,Заказы!$A$2:$E$2995,5,FALSE())</f>
        <v>Не выполнено</v>
      </c>
      <c r="L178" s="1" t="n">
        <f aca="false">D178*F178+J178</f>
        <v>1130</v>
      </c>
      <c r="M178" s="1" t="n">
        <f aca="false">IF(AND(E178="Пицца Труслейка",I178="г. Москва",K178="Выполнено",G178&gt;=DATE(2020,7,1),G178&lt;DATE(2020,8,1)),L178,0)</f>
        <v>0</v>
      </c>
    </row>
    <row r="179" customFormat="false" ht="15" hidden="false" customHeight="true" outlineLevel="0" collapsed="false">
      <c r="A179" s="1" t="n">
        <v>101786</v>
      </c>
      <c r="B179" s="1" t="n">
        <v>51044</v>
      </c>
      <c r="C179" s="1" t="n">
        <v>7</v>
      </c>
      <c r="D179" s="1" t="n">
        <v>5</v>
      </c>
      <c r="E179" s="1" t="str">
        <f aca="false">VLOOKUP(C179,Меню!$A$2:$C$24,2,FALSE())</f>
        <v>Пицца Карбонара</v>
      </c>
      <c r="F179" s="1" t="n">
        <f aca="false">VLOOKUP(C179,Меню!$A$2:$C$24,3,FALSE())</f>
        <v>625</v>
      </c>
      <c r="G179" s="5" t="n">
        <f aca="false">VLOOKUP(B179,Заказы!$A$2:$E$2995,2,FALSE())</f>
        <v>44015</v>
      </c>
      <c r="H179" s="1" t="n">
        <f aca="false">VLOOKUP(B179,Заказы!$A$2:$E$2995,3,FALSE())</f>
        <v>616</v>
      </c>
      <c r="I179" s="1" t="str">
        <f aca="false">VLOOKUP(H179,Клиенты!$A$2:$E$1995,5,FALSE())</f>
        <v>г. Балтийск</v>
      </c>
      <c r="J179" s="1" t="n">
        <f aca="false">VLOOKUP(B179,Заказы!$A$2:$E$2995,4,FALSE())</f>
        <v>491</v>
      </c>
      <c r="K179" s="1" t="str">
        <f aca="false">VLOOKUP(B179,Заказы!$A$2:$E$2995,5,FALSE())</f>
        <v>Выполнено</v>
      </c>
      <c r="L179" s="1" t="n">
        <f aca="false">D179*F179+J179</f>
        <v>3616</v>
      </c>
      <c r="M179" s="1" t="n">
        <f aca="false">IF(AND(E179="Пицца Труслейка",I179="г. Москва",K179="Выполнено",G179&gt;=DATE(2020,7,1),G179&lt;DATE(2020,8,1)),L179,0)</f>
        <v>0</v>
      </c>
    </row>
    <row r="180" customFormat="false" ht="15" hidden="false" customHeight="true" outlineLevel="0" collapsed="false">
      <c r="A180" s="1" t="n">
        <v>101889</v>
      </c>
      <c r="B180" s="1" t="n">
        <v>50377</v>
      </c>
      <c r="C180" s="1" t="n">
        <v>20</v>
      </c>
      <c r="D180" s="1" t="n">
        <v>5</v>
      </c>
      <c r="E180" s="1" t="str">
        <f aca="false">VLOOKUP(C180,Меню!$A$2:$C$24,2,FALSE())</f>
        <v>Пицца пиканте</v>
      </c>
      <c r="F180" s="1" t="n">
        <f aca="false">VLOOKUP(C180,Меню!$A$2:$C$24,3,FALSE())</f>
        <v>585</v>
      </c>
      <c r="G180" s="5" t="n">
        <f aca="false">VLOOKUP(B180,Заказы!$A$2:$E$2995,2,FALSE())</f>
        <v>44045</v>
      </c>
      <c r="H180" s="1" t="n">
        <f aca="false">VLOOKUP(B180,Заказы!$A$2:$E$2995,3,FALSE())</f>
        <v>1723</v>
      </c>
      <c r="I180" s="1" t="str">
        <f aca="false">VLOOKUP(H180,Клиенты!$A$2:$E$1995,5,FALSE())</f>
        <v>г. Омск</v>
      </c>
      <c r="J180" s="1" t="n">
        <f aca="false">VLOOKUP(B180,Заказы!$A$2:$E$2995,4,FALSE())</f>
        <v>0</v>
      </c>
      <c r="K180" s="1" t="str">
        <f aca="false">VLOOKUP(B180,Заказы!$A$2:$E$2995,5,FALSE())</f>
        <v>Не выполнено</v>
      </c>
      <c r="L180" s="1" t="n">
        <f aca="false">D180*F180+J180</f>
        <v>2925</v>
      </c>
      <c r="M180" s="1" t="n">
        <f aca="false">IF(AND(E180="Пицца Труслейка",I180="г. Москва",K180="Выполнено",G180&gt;=DATE(2020,7,1),G180&lt;DATE(2020,8,1)),L180,0)</f>
        <v>0</v>
      </c>
    </row>
    <row r="181" customFormat="false" ht="15" hidden="false" customHeight="true" outlineLevel="0" collapsed="false">
      <c r="A181" s="1" t="n">
        <v>100807</v>
      </c>
      <c r="B181" s="1" t="n">
        <v>51094</v>
      </c>
      <c r="C181" s="1" t="n">
        <v>4</v>
      </c>
      <c r="D181" s="1" t="n">
        <v>1</v>
      </c>
      <c r="E181" s="1" t="str">
        <f aca="false">VLOOKUP(C181,Меню!$A$2:$C$24,2,FALSE())</f>
        <v>Пицца Труслейка</v>
      </c>
      <c r="F181" s="1" t="n">
        <f aca="false">VLOOKUP(C181,Меню!$A$2:$C$24,3,FALSE())</f>
        <v>610</v>
      </c>
      <c r="G181" s="5" t="n">
        <f aca="false">VLOOKUP(B181,Заказы!$A$2:$E$2995,2,FALSE())</f>
        <v>44022</v>
      </c>
      <c r="H181" s="1" t="n">
        <f aca="false">VLOOKUP(B181,Заказы!$A$2:$E$2995,3,FALSE())</f>
        <v>1182</v>
      </c>
      <c r="I181" s="1" t="str">
        <f aca="false">VLOOKUP(H181,Клиенты!$A$2:$E$1995,5,FALSE())</f>
        <v>г. Пошехонье</v>
      </c>
      <c r="J181" s="1" t="n">
        <f aca="false">VLOOKUP(B181,Заказы!$A$2:$E$2995,4,FALSE())</f>
        <v>0</v>
      </c>
      <c r="K181" s="1" t="str">
        <f aca="false">VLOOKUP(B181,Заказы!$A$2:$E$2995,5,FALSE())</f>
        <v>Не выполнено</v>
      </c>
      <c r="L181" s="1" t="n">
        <f aca="false">D181*F181+J181</f>
        <v>610</v>
      </c>
      <c r="M181" s="1" t="n">
        <f aca="false">IF(AND(E181="Пицца Труслейка",I181="г. Москва",K181="Выполнено",G181&gt;=DATE(2020,7,1),G181&lt;DATE(2020,8,1)),L181,0)</f>
        <v>0</v>
      </c>
    </row>
    <row r="182" customFormat="false" ht="15" hidden="false" customHeight="true" outlineLevel="0" collapsed="false">
      <c r="A182" s="1" t="n">
        <v>101283</v>
      </c>
      <c r="B182" s="1" t="n">
        <v>51021</v>
      </c>
      <c r="C182" s="1" t="n">
        <v>10</v>
      </c>
      <c r="D182" s="1" t="n">
        <v>6</v>
      </c>
      <c r="E182" s="1" t="str">
        <f aca="false">VLOOKUP(C182,Меню!$A$2:$C$24,2,FALSE())</f>
        <v>Пицца Пепперони фреш</v>
      </c>
      <c r="F182" s="1" t="n">
        <f aca="false">VLOOKUP(C182,Меню!$A$2:$C$24,3,FALSE())</f>
        <v>565</v>
      </c>
      <c r="G182" s="5" t="n">
        <f aca="false">VLOOKUP(B182,Заказы!$A$2:$E$2995,2,FALSE())</f>
        <v>44057</v>
      </c>
      <c r="H182" s="1" t="n">
        <f aca="false">VLOOKUP(B182,Заказы!$A$2:$E$2995,3,FALSE())</f>
        <v>1654</v>
      </c>
      <c r="I182" s="1" t="str">
        <f aca="false">VLOOKUP(H182,Клиенты!$A$2:$E$1995,5,FALSE())</f>
        <v>г. Котлас</v>
      </c>
      <c r="J182" s="1" t="n">
        <f aca="false">VLOOKUP(B182,Заказы!$A$2:$E$2995,4,FALSE())</f>
        <v>0</v>
      </c>
      <c r="K182" s="1" t="str">
        <f aca="false">VLOOKUP(B182,Заказы!$A$2:$E$2995,5,FALSE())</f>
        <v>Не выполнено</v>
      </c>
      <c r="L182" s="1" t="n">
        <f aca="false">D182*F182+J182</f>
        <v>3390</v>
      </c>
      <c r="M182" s="1" t="n">
        <f aca="false">IF(AND(E182="Пицца Труслейка",I182="г. Москва",K182="Выполнено",G182&gt;=DATE(2020,7,1),G182&lt;DATE(2020,8,1)),L182,0)</f>
        <v>0</v>
      </c>
    </row>
    <row r="183" customFormat="false" ht="15" hidden="false" customHeight="true" outlineLevel="0" collapsed="false">
      <c r="A183" s="1" t="n">
        <v>100468</v>
      </c>
      <c r="B183" s="1" t="n">
        <v>50974</v>
      </c>
      <c r="C183" s="1" t="n">
        <v>5</v>
      </c>
      <c r="D183" s="1" t="n">
        <v>10</v>
      </c>
      <c r="E183" s="1" t="str">
        <f aca="false">VLOOKUP(C183,Меню!$A$2:$C$24,2,FALSE())</f>
        <v>Пицца Жюльен</v>
      </c>
      <c r="F183" s="1" t="n">
        <f aca="false">VLOOKUP(C183,Меню!$A$2:$C$24,3,FALSE())</f>
        <v>580</v>
      </c>
      <c r="G183" s="5" t="n">
        <f aca="false">VLOOKUP(B183,Заказы!$A$2:$E$2995,2,FALSE())</f>
        <v>44018</v>
      </c>
      <c r="H183" s="1" t="n">
        <f aca="false">VLOOKUP(B183,Заказы!$A$2:$E$2995,3,FALSE())</f>
        <v>221</v>
      </c>
      <c r="I183" s="1" t="str">
        <f aca="false">VLOOKUP(H183,Клиенты!$A$2:$E$1995,5,FALSE())</f>
        <v>г. Осинники</v>
      </c>
      <c r="J183" s="1" t="n">
        <f aca="false">VLOOKUP(B183,Заказы!$A$2:$E$2995,4,FALSE())</f>
        <v>139</v>
      </c>
      <c r="K183" s="1" t="str">
        <f aca="false">VLOOKUP(B183,Заказы!$A$2:$E$2995,5,FALSE())</f>
        <v>Выполнено</v>
      </c>
      <c r="L183" s="1" t="n">
        <f aca="false">D183*F183+J183</f>
        <v>5939</v>
      </c>
      <c r="M183" s="1" t="n">
        <f aca="false">IF(AND(E183="Пицца Труслейка",I183="г. Москва",K183="Выполнено",G183&gt;=DATE(2020,7,1),G183&lt;DATE(2020,8,1)),L183,0)</f>
        <v>0</v>
      </c>
    </row>
    <row r="184" customFormat="false" ht="15" hidden="false" customHeight="true" outlineLevel="0" collapsed="false">
      <c r="A184" s="1" t="n">
        <v>101267</v>
      </c>
      <c r="B184" s="1" t="n">
        <v>50464</v>
      </c>
      <c r="C184" s="1" t="n">
        <v>6</v>
      </c>
      <c r="D184" s="1" t="n">
        <v>2</v>
      </c>
      <c r="E184" s="1" t="str">
        <f aca="false">VLOOKUP(C184,Меню!$A$2:$C$24,2,FALSE())</f>
        <v>Пицца Капричиоза</v>
      </c>
      <c r="F184" s="1" t="n">
        <f aca="false">VLOOKUP(C184,Меню!$A$2:$C$24,3,FALSE())</f>
        <v>570</v>
      </c>
      <c r="G184" s="5" t="n">
        <f aca="false">VLOOKUP(B184,Заказы!$A$2:$E$2995,2,FALSE())</f>
        <v>44052</v>
      </c>
      <c r="H184" s="1" t="n">
        <f aca="false">VLOOKUP(B184,Заказы!$A$2:$E$2995,3,FALSE())</f>
        <v>453</v>
      </c>
      <c r="I184" s="1" t="str">
        <f aca="false">VLOOKUP(H184,Клиенты!$A$2:$E$1995,5,FALSE())</f>
        <v>г. Новохопёрск</v>
      </c>
      <c r="J184" s="1" t="n">
        <f aca="false">VLOOKUP(B184,Заказы!$A$2:$E$2995,4,FALSE())</f>
        <v>0</v>
      </c>
      <c r="K184" s="1" t="str">
        <f aca="false">VLOOKUP(B184,Заказы!$A$2:$E$2995,5,FALSE())</f>
        <v>Не выполнено</v>
      </c>
      <c r="L184" s="1" t="n">
        <f aca="false">D184*F184+J184</f>
        <v>1140</v>
      </c>
      <c r="M184" s="1" t="n">
        <f aca="false">IF(AND(E184="Пицца Труслейка",I184="г. Москва",K184="Выполнено",G184&gt;=DATE(2020,7,1),G184&lt;DATE(2020,8,1)),L184,0)</f>
        <v>0</v>
      </c>
    </row>
    <row r="185" customFormat="false" ht="15" hidden="false" customHeight="true" outlineLevel="0" collapsed="false">
      <c r="A185" s="1" t="n">
        <v>101466</v>
      </c>
      <c r="B185" s="1" t="n">
        <v>50130</v>
      </c>
      <c r="C185" s="1" t="n">
        <v>17</v>
      </c>
      <c r="D185" s="1" t="n">
        <v>10</v>
      </c>
      <c r="E185" s="1" t="str">
        <f aca="false">VLOOKUP(C185,Меню!$A$2:$C$24,2,FALSE())</f>
        <v>Пицца Френч Фрайз</v>
      </c>
      <c r="F185" s="1" t="n">
        <f aca="false">VLOOKUP(C185,Меню!$A$2:$C$24,3,FALSE())</f>
        <v>515</v>
      </c>
      <c r="G185" s="5" t="n">
        <f aca="false">VLOOKUP(B185,Заказы!$A$2:$E$2995,2,FALSE())</f>
        <v>44020</v>
      </c>
      <c r="H185" s="1" t="n">
        <f aca="false">VLOOKUP(B185,Заказы!$A$2:$E$2995,3,FALSE())</f>
        <v>1157</v>
      </c>
      <c r="I185" s="1" t="str">
        <f aca="false">VLOOKUP(H185,Клиенты!$A$2:$E$1995,5,FALSE())</f>
        <v>г. Морозовск</v>
      </c>
      <c r="J185" s="1" t="n">
        <f aca="false">VLOOKUP(B185,Заказы!$A$2:$E$2995,4,FALSE())</f>
        <v>782</v>
      </c>
      <c r="K185" s="1" t="str">
        <f aca="false">VLOOKUP(B185,Заказы!$A$2:$E$2995,5,FALSE())</f>
        <v>Выполнено</v>
      </c>
      <c r="L185" s="1" t="n">
        <f aca="false">D185*F185+J185</f>
        <v>5932</v>
      </c>
      <c r="M185" s="1" t="n">
        <f aca="false">IF(AND(E185="Пицца Труслейка",I185="г. Москва",K185="Выполнено",G185&gt;=DATE(2020,7,1),G185&lt;DATE(2020,8,1)),L185,0)</f>
        <v>0</v>
      </c>
    </row>
    <row r="186" customFormat="false" ht="15" hidden="false" customHeight="true" outlineLevel="0" collapsed="false">
      <c r="A186" s="1" t="n">
        <v>101589</v>
      </c>
      <c r="B186" s="1" t="n">
        <v>51786</v>
      </c>
      <c r="C186" s="1" t="n">
        <v>4</v>
      </c>
      <c r="D186" s="1" t="n">
        <v>3</v>
      </c>
      <c r="E186" s="1" t="str">
        <f aca="false">VLOOKUP(C186,Меню!$A$2:$C$24,2,FALSE())</f>
        <v>Пицца Труслейка</v>
      </c>
      <c r="F186" s="1" t="n">
        <f aca="false">VLOOKUP(C186,Меню!$A$2:$C$24,3,FALSE())</f>
        <v>610</v>
      </c>
      <c r="G186" s="5" t="n">
        <f aca="false">VLOOKUP(B186,Заказы!$A$2:$E$2995,2,FALSE())</f>
        <v>44008</v>
      </c>
      <c r="H186" s="1" t="n">
        <f aca="false">VLOOKUP(B186,Заказы!$A$2:$E$2995,3,FALSE())</f>
        <v>258</v>
      </c>
      <c r="I186" s="1" t="str">
        <f aca="false">VLOOKUP(H186,Клиенты!$A$2:$E$1995,5,FALSE())</f>
        <v>г. Инсар</v>
      </c>
      <c r="J186" s="1" t="n">
        <f aca="false">VLOOKUP(B186,Заказы!$A$2:$E$2995,4,FALSE())</f>
        <v>0</v>
      </c>
      <c r="K186" s="1" t="str">
        <f aca="false">VLOOKUP(B186,Заказы!$A$2:$E$2995,5,FALSE())</f>
        <v>Не выполнено</v>
      </c>
      <c r="L186" s="1" t="n">
        <f aca="false">D186*F186+J186</f>
        <v>1830</v>
      </c>
      <c r="M186" s="1" t="n">
        <f aca="false">IF(AND(E186="Пицца Труслейка",I186="г. Москва",K186="Выполнено",G186&gt;=DATE(2020,7,1),G186&lt;DATE(2020,8,1)),L186,0)</f>
        <v>0</v>
      </c>
    </row>
    <row r="187" customFormat="false" ht="15" hidden="false" customHeight="true" outlineLevel="0" collapsed="false">
      <c r="A187" s="1" t="n">
        <v>101780</v>
      </c>
      <c r="B187" s="1" t="n">
        <v>51470</v>
      </c>
      <c r="C187" s="1" t="n">
        <v>21</v>
      </c>
      <c r="D187" s="1" t="n">
        <v>8</v>
      </c>
      <c r="E187" s="1" t="str">
        <f aca="false">VLOOKUP(C187,Меню!$A$2:$C$24,2,FALSE())</f>
        <v>Пицца с креветками и цукини</v>
      </c>
      <c r="F187" s="1" t="n">
        <f aca="false">VLOOKUP(C187,Меню!$A$2:$C$24,3,FALSE())</f>
        <v>600</v>
      </c>
      <c r="G187" s="5" t="n">
        <f aca="false">VLOOKUP(B187,Заказы!$A$2:$E$2995,2,FALSE())</f>
        <v>44030</v>
      </c>
      <c r="H187" s="1" t="n">
        <f aca="false">VLOOKUP(B187,Заказы!$A$2:$E$2995,3,FALSE())</f>
        <v>1780</v>
      </c>
      <c r="I187" s="1" t="str">
        <f aca="false">VLOOKUP(H187,Клиенты!$A$2:$E$1995,5,FALSE())</f>
        <v>г. Москва</v>
      </c>
      <c r="J187" s="1" t="n">
        <f aca="false">VLOOKUP(B187,Заказы!$A$2:$E$2995,4,FALSE())</f>
        <v>0</v>
      </c>
      <c r="K187" s="1" t="str">
        <f aca="false">VLOOKUP(B187,Заказы!$A$2:$E$2995,5,FALSE())</f>
        <v>Не выполнено</v>
      </c>
      <c r="L187" s="1" t="n">
        <f aca="false">D187*F187+J187</f>
        <v>4800</v>
      </c>
      <c r="M187" s="1" t="n">
        <f aca="false">IF(AND(E187="Пицца Труслейка",I187="г. Москва",K187="Выполнено",G187&gt;=DATE(2020,7,1),G187&lt;DATE(2020,8,1)),L187,0)</f>
        <v>0</v>
      </c>
    </row>
    <row r="188" customFormat="false" ht="15" hidden="false" customHeight="true" outlineLevel="0" collapsed="false">
      <c r="A188" s="1" t="n">
        <v>101260</v>
      </c>
      <c r="B188" s="1" t="n">
        <v>50152</v>
      </c>
      <c r="C188" s="1" t="n">
        <v>21</v>
      </c>
      <c r="D188" s="1" t="n">
        <v>7</v>
      </c>
      <c r="E188" s="1" t="str">
        <f aca="false">VLOOKUP(C188,Меню!$A$2:$C$24,2,FALSE())</f>
        <v>Пицца с креветками и цукини</v>
      </c>
      <c r="F188" s="1" t="n">
        <f aca="false">VLOOKUP(C188,Меню!$A$2:$C$24,3,FALSE())</f>
        <v>600</v>
      </c>
      <c r="G188" s="5" t="n">
        <f aca="false">VLOOKUP(B188,Заказы!$A$2:$E$2995,2,FALSE())</f>
        <v>44022</v>
      </c>
      <c r="H188" s="1" t="n">
        <f aca="false">VLOOKUP(B188,Заказы!$A$2:$E$2995,3,FALSE())</f>
        <v>1702</v>
      </c>
      <c r="I188" s="1" t="str">
        <f aca="false">VLOOKUP(H188,Клиенты!$A$2:$E$1995,5,FALSE())</f>
        <v>г. Йошкар-Ола</v>
      </c>
      <c r="J188" s="1" t="n">
        <f aca="false">VLOOKUP(B188,Заказы!$A$2:$E$2995,4,FALSE())</f>
        <v>0</v>
      </c>
      <c r="K188" s="1" t="str">
        <f aca="false">VLOOKUP(B188,Заказы!$A$2:$E$2995,5,FALSE())</f>
        <v>Не выполнено</v>
      </c>
      <c r="L188" s="1" t="n">
        <f aca="false">D188*F188+J188</f>
        <v>4200</v>
      </c>
      <c r="M188" s="1" t="n">
        <f aca="false">IF(AND(E188="Пицца Труслейка",I188="г. Москва",K188="Выполнено",G188&gt;=DATE(2020,7,1),G188&lt;DATE(2020,8,1)),L188,0)</f>
        <v>0</v>
      </c>
    </row>
    <row r="189" customFormat="false" ht="15" hidden="false" customHeight="true" outlineLevel="0" collapsed="false">
      <c r="A189" s="1" t="n">
        <v>100483</v>
      </c>
      <c r="B189" s="1" t="n">
        <v>51106</v>
      </c>
      <c r="C189" s="1" t="n">
        <v>15</v>
      </c>
      <c r="D189" s="1" t="n">
        <v>6</v>
      </c>
      <c r="E189" s="1" t="str">
        <f aca="false">VLOOKUP(C189,Меню!$A$2:$C$24,2,FALSE())</f>
        <v>Пицца Тропиканка</v>
      </c>
      <c r="F189" s="1" t="n">
        <f aca="false">VLOOKUP(C189,Меню!$A$2:$C$24,3,FALSE())</f>
        <v>605</v>
      </c>
      <c r="G189" s="5" t="n">
        <f aca="false">VLOOKUP(B189,Заказы!$A$2:$E$2995,2,FALSE())</f>
        <v>43996</v>
      </c>
      <c r="H189" s="1" t="n">
        <f aca="false">VLOOKUP(B189,Заказы!$A$2:$E$2995,3,FALSE())</f>
        <v>1683</v>
      </c>
      <c r="I189" s="1" t="str">
        <f aca="false">VLOOKUP(H189,Клиенты!$A$2:$E$1995,5,FALSE())</f>
        <v>г. Коломна</v>
      </c>
      <c r="J189" s="1" t="n">
        <f aca="false">VLOOKUP(B189,Заказы!$A$2:$E$2995,4,FALSE())</f>
        <v>729</v>
      </c>
      <c r="K189" s="1" t="str">
        <f aca="false">VLOOKUP(B189,Заказы!$A$2:$E$2995,5,FALSE())</f>
        <v>Выполнено</v>
      </c>
      <c r="L189" s="1" t="n">
        <f aca="false">D189*F189+J189</f>
        <v>4359</v>
      </c>
      <c r="M189" s="1" t="n">
        <f aca="false">IF(AND(E189="Пицца Труслейка",I189="г. Москва",K189="Выполнено",G189&gt;=DATE(2020,7,1),G189&lt;DATE(2020,8,1)),L189,0)</f>
        <v>0</v>
      </c>
    </row>
    <row r="190" customFormat="false" ht="15" hidden="false" customHeight="true" outlineLevel="0" collapsed="false">
      <c r="A190" s="1" t="n">
        <v>101917</v>
      </c>
      <c r="B190" s="1" t="n">
        <v>51429</v>
      </c>
      <c r="C190" s="1" t="n">
        <v>13</v>
      </c>
      <c r="D190" s="1" t="n">
        <v>8</v>
      </c>
      <c r="E190" s="1" t="str">
        <f aca="false">VLOOKUP(C190,Меню!$A$2:$C$24,2,FALSE())</f>
        <v>Пицца Сырная</v>
      </c>
      <c r="F190" s="1" t="n">
        <f aca="false">VLOOKUP(C190,Меню!$A$2:$C$24,3,FALSE())</f>
        <v>635</v>
      </c>
      <c r="G190" s="5" t="n">
        <f aca="false">VLOOKUP(B190,Заказы!$A$2:$E$2995,2,FALSE())</f>
        <v>43987</v>
      </c>
      <c r="H190" s="1" t="n">
        <f aca="false">VLOOKUP(B190,Заказы!$A$2:$E$2995,3,FALSE())</f>
        <v>1225</v>
      </c>
      <c r="I190" s="1" t="str">
        <f aca="false">VLOOKUP(H190,Клиенты!$A$2:$E$1995,5,FALSE())</f>
        <v>г. Волосово</v>
      </c>
      <c r="J190" s="1" t="n">
        <f aca="false">VLOOKUP(B190,Заказы!$A$2:$E$2995,4,FALSE())</f>
        <v>727</v>
      </c>
      <c r="K190" s="1" t="str">
        <f aca="false">VLOOKUP(B190,Заказы!$A$2:$E$2995,5,FALSE())</f>
        <v>Выполнено</v>
      </c>
      <c r="L190" s="1" t="n">
        <f aca="false">D190*F190+J190</f>
        <v>5807</v>
      </c>
      <c r="M190" s="1" t="n">
        <f aca="false">IF(AND(E190="Пицца Труслейка",I190="г. Москва",K190="Выполнено",G190&gt;=DATE(2020,7,1),G190&lt;DATE(2020,8,1)),L190,0)</f>
        <v>0</v>
      </c>
    </row>
    <row r="191" customFormat="false" ht="15" hidden="false" customHeight="true" outlineLevel="0" collapsed="false">
      <c r="A191" s="1" t="n">
        <v>100252</v>
      </c>
      <c r="B191" s="1" t="n">
        <v>51958</v>
      </c>
      <c r="C191" s="1" t="n">
        <v>4</v>
      </c>
      <c r="D191" s="1" t="n">
        <v>4</v>
      </c>
      <c r="E191" s="1" t="str">
        <f aca="false">VLOOKUP(C191,Меню!$A$2:$C$24,2,FALSE())</f>
        <v>Пицца Труслейка</v>
      </c>
      <c r="F191" s="1" t="n">
        <f aca="false">VLOOKUP(C191,Меню!$A$2:$C$24,3,FALSE())</f>
        <v>610</v>
      </c>
      <c r="G191" s="5" t="n">
        <f aca="false">VLOOKUP(B191,Заказы!$A$2:$E$2995,2,FALSE())</f>
        <v>43994</v>
      </c>
      <c r="H191" s="1" t="n">
        <f aca="false">VLOOKUP(B191,Заказы!$A$2:$E$2995,3,FALSE())</f>
        <v>727</v>
      </c>
      <c r="I191" s="1" t="str">
        <f aca="false">VLOOKUP(H191,Клиенты!$A$2:$E$1995,5,FALSE())</f>
        <v>г. Никольск</v>
      </c>
      <c r="J191" s="1" t="n">
        <f aca="false">VLOOKUP(B191,Заказы!$A$2:$E$2995,4,FALSE())</f>
        <v>0</v>
      </c>
      <c r="K191" s="1" t="str">
        <f aca="false">VLOOKUP(B191,Заказы!$A$2:$E$2995,5,FALSE())</f>
        <v>Не выполнено</v>
      </c>
      <c r="L191" s="1" t="n">
        <f aca="false">D191*F191+J191</f>
        <v>2440</v>
      </c>
      <c r="M191" s="1" t="n">
        <f aca="false">IF(AND(E191="Пицца Труслейка",I191="г. Москва",K191="Выполнено",G191&gt;=DATE(2020,7,1),G191&lt;DATE(2020,8,1)),L191,0)</f>
        <v>0</v>
      </c>
    </row>
    <row r="192" customFormat="false" ht="15" hidden="false" customHeight="true" outlineLevel="0" collapsed="false">
      <c r="A192" s="1" t="n">
        <v>101658</v>
      </c>
      <c r="B192" s="1" t="n">
        <v>50886</v>
      </c>
      <c r="C192" s="1" t="n">
        <v>13</v>
      </c>
      <c r="D192" s="1" t="n">
        <v>7</v>
      </c>
      <c r="E192" s="1" t="str">
        <f aca="false">VLOOKUP(C192,Меню!$A$2:$C$24,2,FALSE())</f>
        <v>Пицца Сырная</v>
      </c>
      <c r="F192" s="1" t="n">
        <f aca="false">VLOOKUP(C192,Меню!$A$2:$C$24,3,FALSE())</f>
        <v>635</v>
      </c>
      <c r="G192" s="5" t="n">
        <f aca="false">VLOOKUP(B192,Заказы!$A$2:$E$2995,2,FALSE())</f>
        <v>43986</v>
      </c>
      <c r="H192" s="1" t="n">
        <f aca="false">VLOOKUP(B192,Заказы!$A$2:$E$2995,3,FALSE())</f>
        <v>1059</v>
      </c>
      <c r="I192" s="1" t="str">
        <f aca="false">VLOOKUP(H192,Клиенты!$A$2:$E$1995,5,FALSE())</f>
        <v>г. Макаров</v>
      </c>
      <c r="J192" s="1" t="n">
        <f aca="false">VLOOKUP(B192,Заказы!$A$2:$E$2995,4,FALSE())</f>
        <v>0</v>
      </c>
      <c r="K192" s="1" t="str">
        <f aca="false">VLOOKUP(B192,Заказы!$A$2:$E$2995,5,FALSE())</f>
        <v>Не выполнено</v>
      </c>
      <c r="L192" s="1" t="n">
        <f aca="false">D192*F192+J192</f>
        <v>4445</v>
      </c>
      <c r="M192" s="1" t="n">
        <f aca="false">IF(AND(E192="Пицца Труслейка",I192="г. Москва",K192="Выполнено",G192&gt;=DATE(2020,7,1),G192&lt;DATE(2020,8,1)),L192,0)</f>
        <v>0</v>
      </c>
    </row>
    <row r="193" customFormat="false" ht="15" hidden="false" customHeight="true" outlineLevel="0" collapsed="false">
      <c r="A193" s="1" t="n">
        <v>101574</v>
      </c>
      <c r="B193" s="1" t="n">
        <v>50037</v>
      </c>
      <c r="C193" s="1" t="n">
        <v>5</v>
      </c>
      <c r="D193" s="1" t="n">
        <v>10</v>
      </c>
      <c r="E193" s="1" t="str">
        <f aca="false">VLOOKUP(C193,Меню!$A$2:$C$24,2,FALSE())</f>
        <v>Пицца Жюльен</v>
      </c>
      <c r="F193" s="1" t="n">
        <f aca="false">VLOOKUP(C193,Меню!$A$2:$C$24,3,FALSE())</f>
        <v>580</v>
      </c>
      <c r="G193" s="5" t="n">
        <f aca="false">VLOOKUP(B193,Заказы!$A$2:$E$2995,2,FALSE())</f>
        <v>44035</v>
      </c>
      <c r="H193" s="1" t="n">
        <f aca="false">VLOOKUP(B193,Заказы!$A$2:$E$2995,3,FALSE())</f>
        <v>1093</v>
      </c>
      <c r="I193" s="1" t="str">
        <f aca="false">VLOOKUP(H193,Клиенты!$A$2:$E$1995,5,FALSE())</f>
        <v>г. Десногорск</v>
      </c>
      <c r="J193" s="1" t="n">
        <f aca="false">VLOOKUP(B193,Заказы!$A$2:$E$2995,4,FALSE())</f>
        <v>541</v>
      </c>
      <c r="K193" s="1" t="str">
        <f aca="false">VLOOKUP(B193,Заказы!$A$2:$E$2995,5,FALSE())</f>
        <v>Выполнено</v>
      </c>
      <c r="L193" s="1" t="n">
        <f aca="false">D193*F193+J193</f>
        <v>6341</v>
      </c>
      <c r="M193" s="1" t="n">
        <f aca="false">IF(AND(E193="Пицца Труслейка",I193="г. Москва",K193="Выполнено",G193&gt;=DATE(2020,7,1),G193&lt;DATE(2020,8,1)),L193,0)</f>
        <v>0</v>
      </c>
    </row>
    <row r="194" customFormat="false" ht="15" hidden="false" customHeight="true" outlineLevel="0" collapsed="false">
      <c r="A194" s="1" t="n">
        <v>101965</v>
      </c>
      <c r="B194" s="1" t="n">
        <v>51312</v>
      </c>
      <c r="C194" s="1" t="n">
        <v>19</v>
      </c>
      <c r="D194" s="1" t="n">
        <v>3</v>
      </c>
      <c r="E194" s="1" t="str">
        <f aca="false">VLOOKUP(C194,Меню!$A$2:$C$24,2,FALSE())</f>
        <v>Пицца Цезарь</v>
      </c>
      <c r="F194" s="1" t="n">
        <f aca="false">VLOOKUP(C194,Меню!$A$2:$C$24,3,FALSE())</f>
        <v>630</v>
      </c>
      <c r="G194" s="5" t="n">
        <f aca="false">VLOOKUP(B194,Заказы!$A$2:$E$2995,2,FALSE())</f>
        <v>44041</v>
      </c>
      <c r="H194" s="1" t="n">
        <f aca="false">VLOOKUP(B194,Заказы!$A$2:$E$2995,3,FALSE())</f>
        <v>158</v>
      </c>
      <c r="I194" s="1" t="str">
        <f aca="false">VLOOKUP(H194,Клиенты!$A$2:$E$1995,5,FALSE())</f>
        <v>г. Болхов</v>
      </c>
      <c r="J194" s="1" t="n">
        <f aca="false">VLOOKUP(B194,Заказы!$A$2:$E$2995,4,FALSE())</f>
        <v>0</v>
      </c>
      <c r="K194" s="1" t="str">
        <f aca="false">VLOOKUP(B194,Заказы!$A$2:$E$2995,5,FALSE())</f>
        <v>Не выполнено</v>
      </c>
      <c r="L194" s="1" t="n">
        <f aca="false">D194*F194+J194</f>
        <v>1890</v>
      </c>
      <c r="M194" s="1" t="n">
        <f aca="false">IF(AND(E194="Пицца Труслейка",I194="г. Москва",K194="Выполнено",G194&gt;=DATE(2020,7,1),G194&lt;DATE(2020,8,1)),L194,0)</f>
        <v>0</v>
      </c>
    </row>
    <row r="195" customFormat="false" ht="15" hidden="false" customHeight="true" outlineLevel="0" collapsed="false">
      <c r="A195" s="1" t="n">
        <v>101854</v>
      </c>
      <c r="B195" s="1" t="n">
        <v>50340</v>
      </c>
      <c r="C195" s="1" t="n">
        <v>6</v>
      </c>
      <c r="D195" s="1" t="n">
        <v>2</v>
      </c>
      <c r="E195" s="1" t="str">
        <f aca="false">VLOOKUP(C195,Меню!$A$2:$C$24,2,FALSE())</f>
        <v>Пицца Капричиоза</v>
      </c>
      <c r="F195" s="1" t="n">
        <f aca="false">VLOOKUP(C195,Меню!$A$2:$C$24,3,FALSE())</f>
        <v>570</v>
      </c>
      <c r="G195" s="5" t="n">
        <f aca="false">VLOOKUP(B195,Заказы!$A$2:$E$2995,2,FALSE())</f>
        <v>44014</v>
      </c>
      <c r="H195" s="1" t="n">
        <f aca="false">VLOOKUP(B195,Заказы!$A$2:$E$2995,3,FALSE())</f>
        <v>253</v>
      </c>
      <c r="I195" s="1" t="str">
        <f aca="false">VLOOKUP(H195,Клиенты!$A$2:$E$1995,5,FALSE())</f>
        <v>г. Черноголовка</v>
      </c>
      <c r="J195" s="1" t="n">
        <f aca="false">VLOOKUP(B195,Заказы!$A$2:$E$2995,4,FALSE())</f>
        <v>696</v>
      </c>
      <c r="K195" s="1" t="str">
        <f aca="false">VLOOKUP(B195,Заказы!$A$2:$E$2995,5,FALSE())</f>
        <v>Выполнено</v>
      </c>
      <c r="L195" s="1" t="n">
        <f aca="false">D195*F195+J195</f>
        <v>1836</v>
      </c>
      <c r="M195" s="1" t="n">
        <f aca="false">IF(AND(E195="Пицца Труслейка",I195="г. Москва",K195="Выполнено",G195&gt;=DATE(2020,7,1),G195&lt;DATE(2020,8,1)),L195,0)</f>
        <v>0</v>
      </c>
    </row>
    <row r="196" customFormat="false" ht="15" hidden="false" customHeight="true" outlineLevel="0" collapsed="false">
      <c r="A196" s="1" t="n">
        <v>100486</v>
      </c>
      <c r="B196" s="1" t="n">
        <v>50400</v>
      </c>
      <c r="C196" s="1" t="n">
        <v>13</v>
      </c>
      <c r="D196" s="1" t="n">
        <v>7</v>
      </c>
      <c r="E196" s="1" t="str">
        <f aca="false">VLOOKUP(C196,Меню!$A$2:$C$24,2,FALSE())</f>
        <v>Пицца Сырная</v>
      </c>
      <c r="F196" s="1" t="n">
        <f aca="false">VLOOKUP(C196,Меню!$A$2:$C$24,3,FALSE())</f>
        <v>635</v>
      </c>
      <c r="G196" s="5" t="n">
        <f aca="false">VLOOKUP(B196,Заказы!$A$2:$E$2995,2,FALSE())</f>
        <v>43988</v>
      </c>
      <c r="H196" s="1" t="n">
        <f aca="false">VLOOKUP(B196,Заказы!$A$2:$E$2995,3,FALSE())</f>
        <v>1208</v>
      </c>
      <c r="I196" s="1" t="str">
        <f aca="false">VLOOKUP(H196,Клиенты!$A$2:$E$1995,5,FALSE())</f>
        <v>г. Баксан</v>
      </c>
      <c r="J196" s="1" t="n">
        <f aca="false">VLOOKUP(B196,Заказы!$A$2:$E$2995,4,FALSE())</f>
        <v>469</v>
      </c>
      <c r="K196" s="1" t="str">
        <f aca="false">VLOOKUP(B196,Заказы!$A$2:$E$2995,5,FALSE())</f>
        <v>Выполнено</v>
      </c>
      <c r="L196" s="1" t="n">
        <f aca="false">D196*F196+J196</f>
        <v>4914</v>
      </c>
      <c r="M196" s="1" t="n">
        <f aca="false">IF(AND(E196="Пицца Труслейка",I196="г. Москва",K196="Выполнено",G196&gt;=DATE(2020,7,1),G196&lt;DATE(2020,8,1)),L196,0)</f>
        <v>0</v>
      </c>
    </row>
    <row r="197" customFormat="false" ht="15" hidden="false" customHeight="true" outlineLevel="0" collapsed="false">
      <c r="A197" s="1" t="n">
        <v>100544</v>
      </c>
      <c r="B197" s="1" t="n">
        <v>50980</v>
      </c>
      <c r="C197" s="1" t="n">
        <v>23</v>
      </c>
      <c r="D197" s="1" t="n">
        <v>3</v>
      </c>
      <c r="E197" s="1" t="str">
        <f aca="false">VLOOKUP(C197,Меню!$A$2:$C$24,2,FALSE())</f>
        <v>Пицца с тунцом</v>
      </c>
      <c r="F197" s="1" t="n">
        <f aca="false">VLOOKUP(C197,Меню!$A$2:$C$24,3,FALSE())</f>
        <v>520</v>
      </c>
      <c r="G197" s="5" t="n">
        <f aca="false">VLOOKUP(B197,Заказы!$A$2:$E$2995,2,FALSE())</f>
        <v>44039</v>
      </c>
      <c r="H197" s="1" t="n">
        <f aca="false">VLOOKUP(B197,Заказы!$A$2:$E$2995,3,FALSE())</f>
        <v>1166</v>
      </c>
      <c r="I197" s="1" t="str">
        <f aca="false">VLOOKUP(H197,Клиенты!$A$2:$E$1995,5,FALSE())</f>
        <v>г. Трёхгорный</v>
      </c>
      <c r="J197" s="1" t="n">
        <f aca="false">VLOOKUP(B197,Заказы!$A$2:$E$2995,4,FALSE())</f>
        <v>0</v>
      </c>
      <c r="K197" s="1" t="str">
        <f aca="false">VLOOKUP(B197,Заказы!$A$2:$E$2995,5,FALSE())</f>
        <v>Не выполнено</v>
      </c>
      <c r="L197" s="1" t="n">
        <f aca="false">D197*F197+J197</f>
        <v>1560</v>
      </c>
      <c r="M197" s="1" t="n">
        <f aca="false">IF(AND(E197="Пицца Труслейка",I197="г. Москва",K197="Выполнено",G197&gt;=DATE(2020,7,1),G197&lt;DATE(2020,8,1)),L197,0)</f>
        <v>0</v>
      </c>
    </row>
    <row r="198" customFormat="false" ht="15" hidden="false" customHeight="true" outlineLevel="0" collapsed="false">
      <c r="A198" s="1" t="n">
        <v>101196</v>
      </c>
      <c r="B198" s="1" t="n">
        <v>51074</v>
      </c>
      <c r="C198" s="1" t="n">
        <v>8</v>
      </c>
      <c r="D198" s="1" t="n">
        <v>6</v>
      </c>
      <c r="E198" s="1" t="str">
        <f aca="false">VLOOKUP(C198,Меню!$A$2:$C$24,2,FALSE())</f>
        <v>Пицца Мясная</v>
      </c>
      <c r="F198" s="1" t="n">
        <f aca="false">VLOOKUP(C198,Меню!$A$2:$C$24,3,FALSE())</f>
        <v>615</v>
      </c>
      <c r="G198" s="5" t="n">
        <f aca="false">VLOOKUP(B198,Заказы!$A$2:$E$2995,2,FALSE())</f>
        <v>44030</v>
      </c>
      <c r="H198" s="1" t="n">
        <f aca="false">VLOOKUP(B198,Заказы!$A$2:$E$2995,3,FALSE())</f>
        <v>721</v>
      </c>
      <c r="I198" s="1" t="str">
        <f aca="false">VLOOKUP(H198,Клиенты!$A$2:$E$1995,5,FALSE())</f>
        <v>г. Никольск</v>
      </c>
      <c r="J198" s="1" t="n">
        <f aca="false">VLOOKUP(B198,Заказы!$A$2:$E$2995,4,FALSE())</f>
        <v>0</v>
      </c>
      <c r="K198" s="1" t="str">
        <f aca="false">VLOOKUP(B198,Заказы!$A$2:$E$2995,5,FALSE())</f>
        <v>Не выполнено</v>
      </c>
      <c r="L198" s="1" t="n">
        <f aca="false">D198*F198+J198</f>
        <v>3690</v>
      </c>
      <c r="M198" s="1" t="n">
        <f aca="false">IF(AND(E198="Пицца Труслейка",I198="г. Москва",K198="Выполнено",G198&gt;=DATE(2020,7,1),G198&lt;DATE(2020,8,1)),L198,0)</f>
        <v>0</v>
      </c>
    </row>
    <row r="199" customFormat="false" ht="15" hidden="false" customHeight="true" outlineLevel="0" collapsed="false">
      <c r="A199" s="1" t="n">
        <v>100289</v>
      </c>
      <c r="B199" s="1" t="n">
        <v>50928</v>
      </c>
      <c r="C199" s="1" t="n">
        <v>2</v>
      </c>
      <c r="D199" s="1" t="n">
        <v>4</v>
      </c>
      <c r="E199" s="1" t="str">
        <f aca="false">VLOOKUP(C199,Меню!$A$2:$C$24,2,FALSE())</f>
        <v>Пицца Двойная пепперони</v>
      </c>
      <c r="F199" s="1" t="n">
        <f aca="false">VLOOKUP(C199,Меню!$A$2:$C$24,3,FALSE())</f>
        <v>575</v>
      </c>
      <c r="G199" s="5" t="n">
        <f aca="false">VLOOKUP(B199,Заказы!$A$2:$E$2995,2,FALSE())</f>
        <v>44002</v>
      </c>
      <c r="H199" s="1" t="n">
        <f aca="false">VLOOKUP(B199,Заказы!$A$2:$E$2995,3,FALSE())</f>
        <v>864</v>
      </c>
      <c r="I199" s="1" t="str">
        <f aca="false">VLOOKUP(H199,Клиенты!$A$2:$E$1995,5,FALSE())</f>
        <v>г. Карталы</v>
      </c>
      <c r="J199" s="1" t="n">
        <f aca="false">VLOOKUP(B199,Заказы!$A$2:$E$2995,4,FALSE())</f>
        <v>443</v>
      </c>
      <c r="K199" s="1" t="str">
        <f aca="false">VLOOKUP(B199,Заказы!$A$2:$E$2995,5,FALSE())</f>
        <v>Выполнено</v>
      </c>
      <c r="L199" s="1" t="n">
        <f aca="false">D199*F199+J199</f>
        <v>2743</v>
      </c>
      <c r="M199" s="1" t="n">
        <f aca="false">IF(AND(E199="Пицца Труслейка",I199="г. Москва",K199="Выполнено",G199&gt;=DATE(2020,7,1),G199&lt;DATE(2020,8,1)),L199,0)</f>
        <v>0</v>
      </c>
    </row>
    <row r="200" customFormat="false" ht="15" hidden="false" customHeight="true" outlineLevel="0" collapsed="false">
      <c r="A200" s="1" t="n">
        <v>100304</v>
      </c>
      <c r="B200" s="1" t="n">
        <v>51022</v>
      </c>
      <c r="C200" s="1" t="n">
        <v>16</v>
      </c>
      <c r="D200" s="1" t="n">
        <v>3</v>
      </c>
      <c r="E200" s="1" t="str">
        <f aca="false">VLOOKUP(C200,Меню!$A$2:$C$24,2,FALSE())</f>
        <v>Пицца Флорида</v>
      </c>
      <c r="F200" s="1" t="n">
        <f aca="false">VLOOKUP(C200,Меню!$A$2:$C$24,3,FALSE())</f>
        <v>535</v>
      </c>
      <c r="G200" s="5" t="n">
        <f aca="false">VLOOKUP(B200,Заказы!$A$2:$E$2995,2,FALSE())</f>
        <v>44019</v>
      </c>
      <c r="H200" s="1" t="n">
        <f aca="false">VLOOKUP(B200,Заказы!$A$2:$E$2995,3,FALSE())</f>
        <v>939</v>
      </c>
      <c r="I200" s="1" t="str">
        <f aca="false">VLOOKUP(H200,Клиенты!$A$2:$E$1995,5,FALSE())</f>
        <v>г. Кизилюрт</v>
      </c>
      <c r="J200" s="1" t="n">
        <f aca="false">VLOOKUP(B200,Заказы!$A$2:$E$2995,4,FALSE())</f>
        <v>299</v>
      </c>
      <c r="K200" s="1" t="str">
        <f aca="false">VLOOKUP(B200,Заказы!$A$2:$E$2995,5,FALSE())</f>
        <v>Выполнено</v>
      </c>
      <c r="L200" s="1" t="n">
        <f aca="false">D200*F200+J200</f>
        <v>1904</v>
      </c>
      <c r="M200" s="1" t="n">
        <f aca="false">IF(AND(E200="Пицца Труслейка",I200="г. Москва",K200="Выполнено",G200&gt;=DATE(2020,7,1),G200&lt;DATE(2020,8,1)),L200,0)</f>
        <v>0</v>
      </c>
    </row>
    <row r="201" customFormat="false" ht="15" hidden="false" customHeight="true" outlineLevel="0" collapsed="false">
      <c r="A201" s="1" t="n">
        <v>101558</v>
      </c>
      <c r="B201" s="1" t="n">
        <v>50994</v>
      </c>
      <c r="C201" s="1" t="n">
        <v>4</v>
      </c>
      <c r="D201" s="1" t="n">
        <v>3</v>
      </c>
      <c r="E201" s="1" t="str">
        <f aca="false">VLOOKUP(C201,Меню!$A$2:$C$24,2,FALSE())</f>
        <v>Пицца Труслейка</v>
      </c>
      <c r="F201" s="1" t="n">
        <f aca="false">VLOOKUP(C201,Меню!$A$2:$C$24,3,FALSE())</f>
        <v>610</v>
      </c>
      <c r="G201" s="5" t="n">
        <f aca="false">VLOOKUP(B201,Заказы!$A$2:$E$2995,2,FALSE())</f>
        <v>44067</v>
      </c>
      <c r="H201" s="1" t="n">
        <f aca="false">VLOOKUP(B201,Заказы!$A$2:$E$2995,3,FALSE())</f>
        <v>1955</v>
      </c>
      <c r="I201" s="1" t="str">
        <f aca="false">VLOOKUP(H201,Клиенты!$A$2:$E$1995,5,FALSE())</f>
        <v>г. Сальск</v>
      </c>
      <c r="J201" s="1" t="n">
        <f aca="false">VLOOKUP(B201,Заказы!$A$2:$E$2995,4,FALSE())</f>
        <v>0</v>
      </c>
      <c r="K201" s="1" t="str">
        <f aca="false">VLOOKUP(B201,Заказы!$A$2:$E$2995,5,FALSE())</f>
        <v>Не выполнено</v>
      </c>
      <c r="L201" s="1" t="n">
        <f aca="false">D201*F201+J201</f>
        <v>1830</v>
      </c>
      <c r="M201" s="1" t="n">
        <f aca="false">IF(AND(E201="Пицца Труслейка",I201="г. Москва",K201="Выполнено",G201&gt;=DATE(2020,7,1),G201&lt;DATE(2020,8,1)),L201,0)</f>
        <v>0</v>
      </c>
    </row>
    <row r="202" customFormat="false" ht="15" hidden="false" customHeight="true" outlineLevel="0" collapsed="false">
      <c r="A202" s="1" t="n">
        <v>100018</v>
      </c>
      <c r="B202" s="1" t="n">
        <v>51666</v>
      </c>
      <c r="C202" s="1" t="n">
        <v>14</v>
      </c>
      <c r="D202" s="1" t="n">
        <v>3</v>
      </c>
      <c r="E202" s="1" t="str">
        <f aca="false">VLOOKUP(C202,Меню!$A$2:$C$24,2,FALSE())</f>
        <v>Пицца Сырный цыпленок</v>
      </c>
      <c r="F202" s="1" t="n">
        <f aca="false">VLOOKUP(C202,Меню!$A$2:$C$24,3,FALSE())</f>
        <v>555</v>
      </c>
      <c r="G202" s="5" t="n">
        <f aca="false">VLOOKUP(B202,Заказы!$A$2:$E$2995,2,FALSE())</f>
        <v>44018</v>
      </c>
      <c r="H202" s="1" t="n">
        <f aca="false">VLOOKUP(B202,Заказы!$A$2:$E$2995,3,FALSE())</f>
        <v>1284</v>
      </c>
      <c r="I202" s="1" t="str">
        <f aca="false">VLOOKUP(H202,Клиенты!$A$2:$E$1995,5,FALSE())</f>
        <v>г. Муравленко</v>
      </c>
      <c r="J202" s="1" t="n">
        <f aca="false">VLOOKUP(B202,Заказы!$A$2:$E$2995,4,FALSE())</f>
        <v>835</v>
      </c>
      <c r="K202" s="1" t="str">
        <f aca="false">VLOOKUP(B202,Заказы!$A$2:$E$2995,5,FALSE())</f>
        <v>Выполнено</v>
      </c>
      <c r="L202" s="1" t="n">
        <f aca="false">D202*F202+J202</f>
        <v>2500</v>
      </c>
      <c r="M202" s="1" t="n">
        <f aca="false">IF(AND(E202="Пицца Труслейка",I202="г. Москва",K202="Выполнено",G202&gt;=DATE(2020,7,1),G202&lt;DATE(2020,8,1)),L202,0)</f>
        <v>0</v>
      </c>
    </row>
    <row r="203" customFormat="false" ht="15" hidden="false" customHeight="true" outlineLevel="0" collapsed="false">
      <c r="A203" s="1" t="n">
        <v>101330</v>
      </c>
      <c r="B203" s="1" t="n">
        <v>51170</v>
      </c>
      <c r="C203" s="1" t="n">
        <v>3</v>
      </c>
      <c r="D203" s="1" t="n">
        <v>3</v>
      </c>
      <c r="E203" s="1" t="str">
        <f aca="false">VLOOKUP(C203,Меню!$A$2:$C$24,2,FALSE())</f>
        <v>Пицца Диабло</v>
      </c>
      <c r="F203" s="1" t="n">
        <f aca="false">VLOOKUP(C203,Меню!$A$2:$C$24,3,FALSE())</f>
        <v>590</v>
      </c>
      <c r="G203" s="5" t="n">
        <f aca="false">VLOOKUP(B203,Заказы!$A$2:$E$2995,2,FALSE())</f>
        <v>43982</v>
      </c>
      <c r="H203" s="1" t="n">
        <f aca="false">VLOOKUP(B203,Заказы!$A$2:$E$2995,3,FALSE())</f>
        <v>1846</v>
      </c>
      <c r="I203" s="1" t="str">
        <f aca="false">VLOOKUP(H203,Клиенты!$A$2:$E$1995,5,FALSE())</f>
        <v>г. Белозерск</v>
      </c>
      <c r="J203" s="1" t="n">
        <f aca="false">VLOOKUP(B203,Заказы!$A$2:$E$2995,4,FALSE())</f>
        <v>0</v>
      </c>
      <c r="K203" s="1" t="str">
        <f aca="false">VLOOKUP(B203,Заказы!$A$2:$E$2995,5,FALSE())</f>
        <v>Не выполнено</v>
      </c>
      <c r="L203" s="1" t="n">
        <f aca="false">D203*F203+J203</f>
        <v>1770</v>
      </c>
      <c r="M203" s="1" t="n">
        <f aca="false">IF(AND(E203="Пицца Труслейка",I203="г. Москва",K203="Выполнено",G203&gt;=DATE(2020,7,1),G203&lt;DATE(2020,8,1)),L203,0)</f>
        <v>0</v>
      </c>
    </row>
    <row r="204" customFormat="false" ht="15" hidden="false" customHeight="true" outlineLevel="0" collapsed="false">
      <c r="A204" s="1" t="n">
        <v>101128</v>
      </c>
      <c r="B204" s="1" t="n">
        <v>51881</v>
      </c>
      <c r="C204" s="1" t="n">
        <v>20</v>
      </c>
      <c r="D204" s="1" t="n">
        <v>9</v>
      </c>
      <c r="E204" s="1" t="str">
        <f aca="false">VLOOKUP(C204,Меню!$A$2:$C$24,2,FALSE())</f>
        <v>Пицца пиканте</v>
      </c>
      <c r="F204" s="1" t="n">
        <f aca="false">VLOOKUP(C204,Меню!$A$2:$C$24,3,FALSE())</f>
        <v>585</v>
      </c>
      <c r="G204" s="5" t="n">
        <f aca="false">VLOOKUP(B204,Заказы!$A$2:$E$2995,2,FALSE())</f>
        <v>43992</v>
      </c>
      <c r="H204" s="1" t="n">
        <f aca="false">VLOOKUP(B204,Заказы!$A$2:$E$2995,3,FALSE())</f>
        <v>1311</v>
      </c>
      <c r="I204" s="1" t="str">
        <f aca="false">VLOOKUP(H204,Клиенты!$A$2:$E$1995,5,FALSE())</f>
        <v>г. Полесск</v>
      </c>
      <c r="J204" s="1" t="n">
        <f aca="false">VLOOKUP(B204,Заказы!$A$2:$E$2995,4,FALSE())</f>
        <v>0</v>
      </c>
      <c r="K204" s="1" t="str">
        <f aca="false">VLOOKUP(B204,Заказы!$A$2:$E$2995,5,FALSE())</f>
        <v>Не выполнено</v>
      </c>
      <c r="L204" s="1" t="n">
        <f aca="false">D204*F204+J204</f>
        <v>5265</v>
      </c>
      <c r="M204" s="1" t="n">
        <f aca="false">IF(AND(E204="Пицца Труслейка",I204="г. Москва",K204="Выполнено",G204&gt;=DATE(2020,7,1),G204&lt;DATE(2020,8,1)),L204,0)</f>
        <v>0</v>
      </c>
    </row>
    <row r="205" customFormat="false" ht="15" hidden="false" customHeight="true" outlineLevel="0" collapsed="false">
      <c r="A205" s="1" t="n">
        <v>101590</v>
      </c>
      <c r="B205" s="1" t="n">
        <v>51978</v>
      </c>
      <c r="C205" s="1" t="n">
        <v>4</v>
      </c>
      <c r="D205" s="1" t="n">
        <v>8</v>
      </c>
      <c r="E205" s="1" t="str">
        <f aca="false">VLOOKUP(C205,Меню!$A$2:$C$24,2,FALSE())</f>
        <v>Пицца Труслейка</v>
      </c>
      <c r="F205" s="1" t="n">
        <f aca="false">VLOOKUP(C205,Меню!$A$2:$C$24,3,FALSE())</f>
        <v>610</v>
      </c>
      <c r="G205" s="5" t="n">
        <f aca="false">VLOOKUP(B205,Заказы!$A$2:$E$2995,2,FALSE())</f>
        <v>44022</v>
      </c>
      <c r="H205" s="1" t="n">
        <f aca="false">VLOOKUP(B205,Заказы!$A$2:$E$2995,3,FALSE())</f>
        <v>635</v>
      </c>
      <c r="I205" s="1" t="str">
        <f aca="false">VLOOKUP(H205,Клиенты!$A$2:$E$1995,5,FALSE())</f>
        <v>г. Верея</v>
      </c>
      <c r="J205" s="1" t="n">
        <f aca="false">VLOOKUP(B205,Заказы!$A$2:$E$2995,4,FALSE())</f>
        <v>0</v>
      </c>
      <c r="K205" s="1" t="str">
        <f aca="false">VLOOKUP(B205,Заказы!$A$2:$E$2995,5,FALSE())</f>
        <v>Не выполнено</v>
      </c>
      <c r="L205" s="1" t="n">
        <f aca="false">D205*F205+J205</f>
        <v>4880</v>
      </c>
      <c r="M205" s="1" t="n">
        <f aca="false">IF(AND(E205="Пицца Труслейка",I205="г. Москва",K205="Выполнено",G205&gt;=DATE(2020,7,1),G205&lt;DATE(2020,8,1)),L205,0)</f>
        <v>0</v>
      </c>
    </row>
    <row r="206" customFormat="false" ht="15" hidden="false" customHeight="true" outlineLevel="0" collapsed="false">
      <c r="A206" s="1" t="n">
        <v>101771</v>
      </c>
      <c r="B206" s="1" t="n">
        <v>50353</v>
      </c>
      <c r="C206" s="1" t="n">
        <v>11</v>
      </c>
      <c r="D206" s="1" t="n">
        <v>3</v>
      </c>
      <c r="E206" s="1" t="str">
        <f aca="false">VLOOKUP(C206,Меню!$A$2:$C$24,2,FALSE())</f>
        <v>Пицца Песто</v>
      </c>
      <c r="F206" s="1" t="n">
        <f aca="false">VLOOKUP(C206,Меню!$A$2:$C$24,3,FALSE())</f>
        <v>530</v>
      </c>
      <c r="G206" s="5" t="n">
        <f aca="false">VLOOKUP(B206,Заказы!$A$2:$E$2995,2,FALSE())</f>
        <v>43984</v>
      </c>
      <c r="H206" s="1" t="n">
        <f aca="false">VLOOKUP(B206,Заказы!$A$2:$E$2995,3,FALSE())</f>
        <v>69</v>
      </c>
      <c r="I206" s="1" t="str">
        <f aca="false">VLOOKUP(H206,Клиенты!$A$2:$E$1995,5,FALSE())</f>
        <v>г. Курильск</v>
      </c>
      <c r="J206" s="1" t="n">
        <f aca="false">VLOOKUP(B206,Заказы!$A$2:$E$2995,4,FALSE())</f>
        <v>0</v>
      </c>
      <c r="K206" s="1" t="str">
        <f aca="false">VLOOKUP(B206,Заказы!$A$2:$E$2995,5,FALSE())</f>
        <v>Не выполнено</v>
      </c>
      <c r="L206" s="1" t="n">
        <f aca="false">D206*F206+J206</f>
        <v>1590</v>
      </c>
      <c r="M206" s="1" t="n">
        <f aca="false">IF(AND(E206="Пицца Труслейка",I206="г. Москва",K206="Выполнено",G206&gt;=DATE(2020,7,1),G206&lt;DATE(2020,8,1)),L206,0)</f>
        <v>0</v>
      </c>
    </row>
    <row r="207" customFormat="false" ht="15" hidden="false" customHeight="true" outlineLevel="0" collapsed="false">
      <c r="A207" s="1" t="n">
        <v>100578</v>
      </c>
      <c r="B207" s="1" t="n">
        <v>51851</v>
      </c>
      <c r="C207" s="1" t="n">
        <v>6</v>
      </c>
      <c r="D207" s="1" t="n">
        <v>1</v>
      </c>
      <c r="E207" s="1" t="str">
        <f aca="false">VLOOKUP(C207,Меню!$A$2:$C$24,2,FALSE())</f>
        <v>Пицца Капричиоза</v>
      </c>
      <c r="F207" s="1" t="n">
        <f aca="false">VLOOKUP(C207,Меню!$A$2:$C$24,3,FALSE())</f>
        <v>570</v>
      </c>
      <c r="G207" s="5" t="n">
        <f aca="false">VLOOKUP(B207,Заказы!$A$2:$E$2995,2,FALSE())</f>
        <v>44046</v>
      </c>
      <c r="H207" s="1" t="n">
        <f aca="false">VLOOKUP(B207,Заказы!$A$2:$E$2995,3,FALSE())</f>
        <v>879</v>
      </c>
      <c r="I207" s="1" t="str">
        <f aca="false">VLOOKUP(H207,Клиенты!$A$2:$E$1995,5,FALSE())</f>
        <v>г. Харовск</v>
      </c>
      <c r="J207" s="1" t="n">
        <f aca="false">VLOOKUP(B207,Заказы!$A$2:$E$2995,4,FALSE())</f>
        <v>0</v>
      </c>
      <c r="K207" s="1" t="str">
        <f aca="false">VLOOKUP(B207,Заказы!$A$2:$E$2995,5,FALSE())</f>
        <v>Не выполнено</v>
      </c>
      <c r="L207" s="1" t="n">
        <f aca="false">D207*F207+J207</f>
        <v>570</v>
      </c>
      <c r="M207" s="1" t="n">
        <f aca="false">IF(AND(E207="Пицца Труслейка",I207="г. Москва",K207="Выполнено",G207&gt;=DATE(2020,7,1),G207&lt;DATE(2020,8,1)),L207,0)</f>
        <v>0</v>
      </c>
    </row>
    <row r="208" customFormat="false" ht="15" hidden="false" customHeight="true" outlineLevel="0" collapsed="false">
      <c r="A208" s="1" t="n">
        <v>101795</v>
      </c>
      <c r="B208" s="1" t="n">
        <v>51807</v>
      </c>
      <c r="C208" s="1" t="n">
        <v>4</v>
      </c>
      <c r="D208" s="1" t="n">
        <v>2</v>
      </c>
      <c r="E208" s="1" t="str">
        <f aca="false">VLOOKUP(C208,Меню!$A$2:$C$24,2,FALSE())</f>
        <v>Пицца Труслейка</v>
      </c>
      <c r="F208" s="1" t="n">
        <f aca="false">VLOOKUP(C208,Меню!$A$2:$C$24,3,FALSE())</f>
        <v>610</v>
      </c>
      <c r="G208" s="5" t="n">
        <f aca="false">VLOOKUP(B208,Заказы!$A$2:$E$2995,2,FALSE())</f>
        <v>44050</v>
      </c>
      <c r="H208" s="1" t="n">
        <f aca="false">VLOOKUP(B208,Заказы!$A$2:$E$2995,3,FALSE())</f>
        <v>1802</v>
      </c>
      <c r="I208" s="1" t="str">
        <f aca="false">VLOOKUP(H208,Клиенты!$A$2:$E$1995,5,FALSE())</f>
        <v>г. Мурино</v>
      </c>
      <c r="J208" s="1" t="n">
        <f aca="false">VLOOKUP(B208,Заказы!$A$2:$E$2995,4,FALSE())</f>
        <v>0</v>
      </c>
      <c r="K208" s="1" t="str">
        <f aca="false">VLOOKUP(B208,Заказы!$A$2:$E$2995,5,FALSE())</f>
        <v>Не выполнено</v>
      </c>
      <c r="L208" s="1" t="n">
        <f aca="false">D208*F208+J208</f>
        <v>1220</v>
      </c>
      <c r="M208" s="1" t="n">
        <f aca="false">IF(AND(E208="Пицца Труслейка",I208="г. Москва",K208="Выполнено",G208&gt;=DATE(2020,7,1),G208&lt;DATE(2020,8,1)),L208,0)</f>
        <v>0</v>
      </c>
    </row>
    <row r="209" customFormat="false" ht="15" hidden="false" customHeight="true" outlineLevel="0" collapsed="false">
      <c r="A209" s="1" t="n">
        <v>101125</v>
      </c>
      <c r="B209" s="1" t="n">
        <v>51523</v>
      </c>
      <c r="C209" s="1" t="n">
        <v>4</v>
      </c>
      <c r="D209" s="1" t="n">
        <v>1</v>
      </c>
      <c r="E209" s="1" t="str">
        <f aca="false">VLOOKUP(C209,Меню!$A$2:$C$24,2,FALSE())</f>
        <v>Пицца Труслейка</v>
      </c>
      <c r="F209" s="1" t="n">
        <f aca="false">VLOOKUP(C209,Меню!$A$2:$C$24,3,FALSE())</f>
        <v>610</v>
      </c>
      <c r="G209" s="5" t="n">
        <f aca="false">VLOOKUP(B209,Заказы!$A$2:$E$2995,2,FALSE())</f>
        <v>44057</v>
      </c>
      <c r="H209" s="1" t="n">
        <f aca="false">VLOOKUP(B209,Заказы!$A$2:$E$2995,3,FALSE())</f>
        <v>167</v>
      </c>
      <c r="I209" s="1" t="str">
        <f aca="false">VLOOKUP(H209,Клиенты!$A$2:$E$1995,5,FALSE())</f>
        <v>г. Мончегорск</v>
      </c>
      <c r="J209" s="1" t="n">
        <f aca="false">VLOOKUP(B209,Заказы!$A$2:$E$2995,4,FALSE())</f>
        <v>0</v>
      </c>
      <c r="K209" s="1" t="str">
        <f aca="false">VLOOKUP(B209,Заказы!$A$2:$E$2995,5,FALSE())</f>
        <v>Не выполнено</v>
      </c>
      <c r="L209" s="1" t="n">
        <f aca="false">D209*F209+J209</f>
        <v>610</v>
      </c>
      <c r="M209" s="1" t="n">
        <f aca="false">IF(AND(E209="Пицца Труслейка",I209="г. Москва",K209="Выполнено",G209&gt;=DATE(2020,7,1),G209&lt;DATE(2020,8,1)),L209,0)</f>
        <v>0</v>
      </c>
    </row>
    <row r="210" customFormat="false" ht="15" hidden="false" customHeight="true" outlineLevel="0" collapsed="false">
      <c r="A210" s="1" t="n">
        <v>100668</v>
      </c>
      <c r="B210" s="1" t="n">
        <v>51408</v>
      </c>
      <c r="C210" s="1" t="n">
        <v>12</v>
      </c>
      <c r="D210" s="1" t="n">
        <v>10</v>
      </c>
      <c r="E210" s="1" t="str">
        <f aca="false">VLOOKUP(C210,Меню!$A$2:$C$24,2,FALSE())</f>
        <v>Пицца Салями с трюфелем</v>
      </c>
      <c r="F210" s="1" t="n">
        <f aca="false">VLOOKUP(C210,Меню!$A$2:$C$24,3,FALSE())</f>
        <v>525</v>
      </c>
      <c r="G210" s="5" t="n">
        <f aca="false">VLOOKUP(B210,Заказы!$A$2:$E$2995,2,FALSE())</f>
        <v>44058</v>
      </c>
      <c r="H210" s="1" t="n">
        <f aca="false">VLOOKUP(B210,Заказы!$A$2:$E$2995,3,FALSE())</f>
        <v>818</v>
      </c>
      <c r="I210" s="1" t="str">
        <f aca="false">VLOOKUP(H210,Клиенты!$A$2:$E$1995,5,FALSE())</f>
        <v>г. Поронайск</v>
      </c>
      <c r="J210" s="1" t="n">
        <f aca="false">VLOOKUP(B210,Заказы!$A$2:$E$2995,4,FALSE())</f>
        <v>0</v>
      </c>
      <c r="K210" s="1" t="str">
        <f aca="false">VLOOKUP(B210,Заказы!$A$2:$E$2995,5,FALSE())</f>
        <v>Не выполнено</v>
      </c>
      <c r="L210" s="1" t="n">
        <f aca="false">D210*F210+J210</f>
        <v>5250</v>
      </c>
      <c r="M210" s="1" t="n">
        <f aca="false">IF(AND(E210="Пицца Труслейка",I210="г. Москва",K210="Выполнено",G210&gt;=DATE(2020,7,1),G210&lt;DATE(2020,8,1)),L210,0)</f>
        <v>0</v>
      </c>
    </row>
    <row r="211" customFormat="false" ht="15" hidden="false" customHeight="true" outlineLevel="0" collapsed="false">
      <c r="A211" s="1" t="n">
        <v>100287</v>
      </c>
      <c r="B211" s="1" t="n">
        <v>50941</v>
      </c>
      <c r="C211" s="1" t="n">
        <v>4</v>
      </c>
      <c r="D211" s="1" t="n">
        <v>4</v>
      </c>
      <c r="E211" s="1" t="str">
        <f aca="false">VLOOKUP(C211,Меню!$A$2:$C$24,2,FALSE())</f>
        <v>Пицца Труслейка</v>
      </c>
      <c r="F211" s="1" t="n">
        <f aca="false">VLOOKUP(C211,Меню!$A$2:$C$24,3,FALSE())</f>
        <v>610</v>
      </c>
      <c r="G211" s="5" t="n">
        <f aca="false">VLOOKUP(B211,Заказы!$A$2:$E$2995,2,FALSE())</f>
        <v>44048</v>
      </c>
      <c r="H211" s="1" t="n">
        <f aca="false">VLOOKUP(B211,Заказы!$A$2:$E$2995,3,FALSE())</f>
        <v>1548</v>
      </c>
      <c r="I211" s="1" t="str">
        <f aca="false">VLOOKUP(H211,Клиенты!$A$2:$E$1995,5,FALSE())</f>
        <v>г. Всеволожск</v>
      </c>
      <c r="J211" s="1" t="n">
        <f aca="false">VLOOKUP(B211,Заказы!$A$2:$E$2995,4,FALSE())</f>
        <v>387</v>
      </c>
      <c r="K211" s="1" t="str">
        <f aca="false">VLOOKUP(B211,Заказы!$A$2:$E$2995,5,FALSE())</f>
        <v>Выполнено</v>
      </c>
      <c r="L211" s="1" t="n">
        <f aca="false">D211*F211+J211</f>
        <v>2827</v>
      </c>
      <c r="M211" s="1" t="n">
        <f aca="false">IF(AND(E211="Пицца Труслейка",I211="г. Москва",K211="Выполнено",G211&gt;=DATE(2020,7,1),G211&lt;DATE(2020,8,1)),L211,0)</f>
        <v>0</v>
      </c>
    </row>
    <row r="212" customFormat="false" ht="15" hidden="false" customHeight="true" outlineLevel="0" collapsed="false">
      <c r="A212" s="1" t="n">
        <v>100778</v>
      </c>
      <c r="B212" s="1" t="n">
        <v>50453</v>
      </c>
      <c r="C212" s="1" t="n">
        <v>1</v>
      </c>
      <c r="D212" s="1" t="n">
        <v>3</v>
      </c>
      <c r="E212" s="1" t="str">
        <f aca="false">VLOOKUP(C212,Меню!$A$2:$C$24,2,FALSE())</f>
        <v>Пицца Гавайская</v>
      </c>
      <c r="F212" s="1" t="n">
        <f aca="false">VLOOKUP(C212,Меню!$A$2:$C$24,3,FALSE())</f>
        <v>545</v>
      </c>
      <c r="G212" s="5" t="n">
        <f aca="false">VLOOKUP(B212,Заказы!$A$2:$E$2995,2,FALSE())</f>
        <v>44039</v>
      </c>
      <c r="H212" s="1" t="n">
        <f aca="false">VLOOKUP(B212,Заказы!$A$2:$E$2995,3,FALSE())</f>
        <v>751</v>
      </c>
      <c r="I212" s="1" t="str">
        <f aca="false">VLOOKUP(H212,Клиенты!$A$2:$E$1995,5,FALSE())</f>
        <v>г. Дегтярск</v>
      </c>
      <c r="J212" s="1" t="n">
        <f aca="false">VLOOKUP(B212,Заказы!$A$2:$E$2995,4,FALSE())</f>
        <v>759</v>
      </c>
      <c r="K212" s="1" t="str">
        <f aca="false">VLOOKUP(B212,Заказы!$A$2:$E$2995,5,FALSE())</f>
        <v>Выполнено</v>
      </c>
      <c r="L212" s="1" t="n">
        <f aca="false">D212*F212+J212</f>
        <v>2394</v>
      </c>
      <c r="M212" s="1" t="n">
        <f aca="false">IF(AND(E212="Пицца Труслейка",I212="г. Москва",K212="Выполнено",G212&gt;=DATE(2020,7,1),G212&lt;DATE(2020,8,1)),L212,0)</f>
        <v>0</v>
      </c>
    </row>
    <row r="213" customFormat="false" ht="15" hidden="false" customHeight="true" outlineLevel="0" collapsed="false">
      <c r="A213" s="1" t="n">
        <v>101343</v>
      </c>
      <c r="B213" s="1" t="n">
        <v>50116</v>
      </c>
      <c r="C213" s="1" t="n">
        <v>15</v>
      </c>
      <c r="D213" s="1" t="n">
        <v>10</v>
      </c>
      <c r="E213" s="1" t="str">
        <f aca="false">VLOOKUP(C213,Меню!$A$2:$C$24,2,FALSE())</f>
        <v>Пицца Тропиканка</v>
      </c>
      <c r="F213" s="1" t="n">
        <f aca="false">VLOOKUP(C213,Меню!$A$2:$C$24,3,FALSE())</f>
        <v>605</v>
      </c>
      <c r="G213" s="5" t="n">
        <f aca="false">VLOOKUP(B213,Заказы!$A$2:$E$2995,2,FALSE())</f>
        <v>44050</v>
      </c>
      <c r="H213" s="1" t="n">
        <f aca="false">VLOOKUP(B213,Заказы!$A$2:$E$2995,3,FALSE())</f>
        <v>468</v>
      </c>
      <c r="I213" s="1" t="str">
        <f aca="false">VLOOKUP(H213,Клиенты!$A$2:$E$1995,5,FALSE())</f>
        <v>г. Острогожск</v>
      </c>
      <c r="J213" s="1" t="n">
        <f aca="false">VLOOKUP(B213,Заказы!$A$2:$E$2995,4,FALSE())</f>
        <v>773</v>
      </c>
      <c r="K213" s="1" t="str">
        <f aca="false">VLOOKUP(B213,Заказы!$A$2:$E$2995,5,FALSE())</f>
        <v>Выполнено</v>
      </c>
      <c r="L213" s="1" t="n">
        <f aca="false">D213*F213+J213</f>
        <v>6823</v>
      </c>
      <c r="M213" s="1" t="n">
        <f aca="false">IF(AND(E213="Пицца Труслейка",I213="г. Москва",K213="Выполнено",G213&gt;=DATE(2020,7,1),G213&lt;DATE(2020,8,1)),L213,0)</f>
        <v>0</v>
      </c>
    </row>
    <row r="214" customFormat="false" ht="15" hidden="false" customHeight="true" outlineLevel="0" collapsed="false">
      <c r="A214" s="1" t="n">
        <v>101545</v>
      </c>
      <c r="B214" s="1" t="n">
        <v>50645</v>
      </c>
      <c r="C214" s="1" t="n">
        <v>15</v>
      </c>
      <c r="D214" s="1" t="n">
        <v>8</v>
      </c>
      <c r="E214" s="1" t="str">
        <f aca="false">VLOOKUP(C214,Меню!$A$2:$C$24,2,FALSE())</f>
        <v>Пицца Тропиканка</v>
      </c>
      <c r="F214" s="1" t="n">
        <f aca="false">VLOOKUP(C214,Меню!$A$2:$C$24,3,FALSE())</f>
        <v>605</v>
      </c>
      <c r="G214" s="5" t="n">
        <f aca="false">VLOOKUP(B214,Заказы!$A$2:$E$2995,2,FALSE())</f>
        <v>44033</v>
      </c>
      <c r="H214" s="1" t="n">
        <f aca="false">VLOOKUP(B214,Заказы!$A$2:$E$2995,3,FALSE())</f>
        <v>1653</v>
      </c>
      <c r="I214" s="1" t="str">
        <f aca="false">VLOOKUP(H214,Клиенты!$A$2:$E$1995,5,FALSE())</f>
        <v>г. Березники</v>
      </c>
      <c r="J214" s="1" t="n">
        <f aca="false">VLOOKUP(B214,Заказы!$A$2:$E$2995,4,FALSE())</f>
        <v>0</v>
      </c>
      <c r="K214" s="1" t="str">
        <f aca="false">VLOOKUP(B214,Заказы!$A$2:$E$2995,5,FALSE())</f>
        <v>Не выполнено</v>
      </c>
      <c r="L214" s="1" t="n">
        <f aca="false">D214*F214+J214</f>
        <v>4840</v>
      </c>
      <c r="M214" s="1" t="n">
        <f aca="false">IF(AND(E214="Пицца Труслейка",I214="г. Москва",K214="Выполнено",G214&gt;=DATE(2020,7,1),G214&lt;DATE(2020,8,1)),L214,0)</f>
        <v>0</v>
      </c>
    </row>
    <row r="215" customFormat="false" ht="15" hidden="false" customHeight="true" outlineLevel="0" collapsed="false">
      <c r="A215" s="1" t="n">
        <v>101734</v>
      </c>
      <c r="B215" s="1" t="n">
        <v>50831</v>
      </c>
      <c r="C215" s="1" t="n">
        <v>23</v>
      </c>
      <c r="D215" s="1" t="n">
        <v>9</v>
      </c>
      <c r="E215" s="1" t="str">
        <f aca="false">VLOOKUP(C215,Меню!$A$2:$C$24,2,FALSE())</f>
        <v>Пицца с тунцом</v>
      </c>
      <c r="F215" s="1" t="n">
        <f aca="false">VLOOKUP(C215,Меню!$A$2:$C$24,3,FALSE())</f>
        <v>520</v>
      </c>
      <c r="G215" s="5" t="n">
        <f aca="false">VLOOKUP(B215,Заказы!$A$2:$E$2995,2,FALSE())</f>
        <v>44053</v>
      </c>
      <c r="H215" s="1" t="n">
        <f aca="false">VLOOKUP(B215,Заказы!$A$2:$E$2995,3,FALSE())</f>
        <v>1257</v>
      </c>
      <c r="I215" s="1" t="str">
        <f aca="false">VLOOKUP(H215,Клиенты!$A$2:$E$1995,5,FALSE())</f>
        <v>г. Арамиль</v>
      </c>
      <c r="J215" s="1" t="n">
        <f aca="false">VLOOKUP(B215,Заказы!$A$2:$E$2995,4,FALSE())</f>
        <v>783</v>
      </c>
      <c r="K215" s="1" t="str">
        <f aca="false">VLOOKUP(B215,Заказы!$A$2:$E$2995,5,FALSE())</f>
        <v>Выполнено</v>
      </c>
      <c r="L215" s="1" t="n">
        <f aca="false">D215*F215+J215</f>
        <v>5463</v>
      </c>
      <c r="M215" s="1" t="n">
        <f aca="false">IF(AND(E215="Пицца Труслейка",I215="г. Москва",K215="Выполнено",G215&gt;=DATE(2020,7,1),G215&lt;DATE(2020,8,1)),L215,0)</f>
        <v>0</v>
      </c>
    </row>
    <row r="216" customFormat="false" ht="15" hidden="false" customHeight="true" outlineLevel="0" collapsed="false">
      <c r="A216" s="1" t="n">
        <v>100107</v>
      </c>
      <c r="B216" s="1" t="n">
        <v>51732</v>
      </c>
      <c r="C216" s="1" t="n">
        <v>23</v>
      </c>
      <c r="D216" s="1" t="n">
        <v>2</v>
      </c>
      <c r="E216" s="1" t="str">
        <f aca="false">VLOOKUP(C216,Меню!$A$2:$C$24,2,FALSE())</f>
        <v>Пицца с тунцом</v>
      </c>
      <c r="F216" s="1" t="n">
        <f aca="false">VLOOKUP(C216,Меню!$A$2:$C$24,3,FALSE())</f>
        <v>520</v>
      </c>
      <c r="G216" s="5" t="n">
        <f aca="false">VLOOKUP(B216,Заказы!$A$2:$E$2995,2,FALSE())</f>
        <v>44012</v>
      </c>
      <c r="H216" s="1" t="n">
        <f aca="false">VLOOKUP(B216,Заказы!$A$2:$E$2995,3,FALSE())</f>
        <v>903</v>
      </c>
      <c r="I216" s="1" t="str">
        <f aca="false">VLOOKUP(H216,Клиенты!$A$2:$E$1995,5,FALSE())</f>
        <v>г. Городище</v>
      </c>
      <c r="J216" s="1" t="n">
        <f aca="false">VLOOKUP(B216,Заказы!$A$2:$E$2995,4,FALSE())</f>
        <v>0</v>
      </c>
      <c r="K216" s="1" t="str">
        <f aca="false">VLOOKUP(B216,Заказы!$A$2:$E$2995,5,FALSE())</f>
        <v>Не выполнено</v>
      </c>
      <c r="L216" s="1" t="n">
        <f aca="false">D216*F216+J216</f>
        <v>1040</v>
      </c>
      <c r="M216" s="1" t="n">
        <f aca="false">IF(AND(E216="Пицца Труслейка",I216="г. Москва",K216="Выполнено",G216&gt;=DATE(2020,7,1),G216&lt;DATE(2020,8,1)),L216,0)</f>
        <v>0</v>
      </c>
    </row>
    <row r="217" customFormat="false" ht="15" hidden="false" customHeight="true" outlineLevel="0" collapsed="false">
      <c r="A217" s="1" t="n">
        <v>101376</v>
      </c>
      <c r="B217" s="1" t="n">
        <v>50236</v>
      </c>
      <c r="C217" s="1" t="n">
        <v>15</v>
      </c>
      <c r="D217" s="1" t="n">
        <v>7</v>
      </c>
      <c r="E217" s="1" t="str">
        <f aca="false">VLOOKUP(C217,Меню!$A$2:$C$24,2,FALSE())</f>
        <v>Пицца Тропиканка</v>
      </c>
      <c r="F217" s="1" t="n">
        <f aca="false">VLOOKUP(C217,Меню!$A$2:$C$24,3,FALSE())</f>
        <v>605</v>
      </c>
      <c r="G217" s="5" t="n">
        <f aca="false">VLOOKUP(B217,Заказы!$A$2:$E$2995,2,FALSE())</f>
        <v>44059</v>
      </c>
      <c r="H217" s="1" t="n">
        <f aca="false">VLOOKUP(B217,Заказы!$A$2:$E$2995,3,FALSE())</f>
        <v>1634</v>
      </c>
      <c r="I217" s="1" t="str">
        <f aca="false">VLOOKUP(H217,Клиенты!$A$2:$E$1995,5,FALSE())</f>
        <v>г. Шиханы</v>
      </c>
      <c r="J217" s="1" t="n">
        <f aca="false">VLOOKUP(B217,Заказы!$A$2:$E$2995,4,FALSE())</f>
        <v>200</v>
      </c>
      <c r="K217" s="1" t="str">
        <f aca="false">VLOOKUP(B217,Заказы!$A$2:$E$2995,5,FALSE())</f>
        <v>Выполнено</v>
      </c>
      <c r="L217" s="1" t="n">
        <f aca="false">D217*F217+J217</f>
        <v>4435</v>
      </c>
      <c r="M217" s="1" t="n">
        <f aca="false">IF(AND(E217="Пицца Труслейка",I217="г. Москва",K217="Выполнено",G217&gt;=DATE(2020,7,1),G217&lt;DATE(2020,8,1)),L217,0)</f>
        <v>0</v>
      </c>
    </row>
    <row r="218" customFormat="false" ht="15" hidden="false" customHeight="true" outlineLevel="0" collapsed="false">
      <c r="A218" s="1" t="n">
        <v>101240</v>
      </c>
      <c r="B218" s="1" t="n">
        <v>51832</v>
      </c>
      <c r="C218" s="1" t="n">
        <v>19</v>
      </c>
      <c r="D218" s="1" t="n">
        <v>9</v>
      </c>
      <c r="E218" s="1" t="str">
        <f aca="false">VLOOKUP(C218,Меню!$A$2:$C$24,2,FALSE())</f>
        <v>Пицца Цезарь</v>
      </c>
      <c r="F218" s="1" t="n">
        <f aca="false">VLOOKUP(C218,Меню!$A$2:$C$24,3,FALSE())</f>
        <v>630</v>
      </c>
      <c r="G218" s="5" t="n">
        <f aca="false">VLOOKUP(B218,Заказы!$A$2:$E$2995,2,FALSE())</f>
        <v>43983</v>
      </c>
      <c r="H218" s="1" t="n">
        <f aca="false">VLOOKUP(B218,Заказы!$A$2:$E$2995,3,FALSE())</f>
        <v>1246</v>
      </c>
      <c r="I218" s="1" t="str">
        <f aca="false">VLOOKUP(H218,Клиенты!$A$2:$E$1995,5,FALSE())</f>
        <v>г. Тутаев</v>
      </c>
      <c r="J218" s="1" t="n">
        <f aca="false">VLOOKUP(B218,Заказы!$A$2:$E$2995,4,FALSE())</f>
        <v>296</v>
      </c>
      <c r="K218" s="1" t="str">
        <f aca="false">VLOOKUP(B218,Заказы!$A$2:$E$2995,5,FALSE())</f>
        <v>Выполнено</v>
      </c>
      <c r="L218" s="1" t="n">
        <f aca="false">D218*F218+J218</f>
        <v>5966</v>
      </c>
      <c r="M218" s="1" t="n">
        <f aca="false">IF(AND(E218="Пицца Труслейка",I218="г. Москва",K218="Выполнено",G218&gt;=DATE(2020,7,1),G218&lt;DATE(2020,8,1)),L218,0)</f>
        <v>0</v>
      </c>
    </row>
    <row r="219" customFormat="false" ht="15" hidden="false" customHeight="true" outlineLevel="0" collapsed="false">
      <c r="A219" s="1" t="n">
        <v>100842</v>
      </c>
      <c r="B219" s="1" t="n">
        <v>51805</v>
      </c>
      <c r="C219" s="1" t="n">
        <v>21</v>
      </c>
      <c r="D219" s="1" t="n">
        <v>8</v>
      </c>
      <c r="E219" s="1" t="str">
        <f aca="false">VLOOKUP(C219,Меню!$A$2:$C$24,2,FALSE())</f>
        <v>Пицца с креветками и цукини</v>
      </c>
      <c r="F219" s="1" t="n">
        <f aca="false">VLOOKUP(C219,Меню!$A$2:$C$24,3,FALSE())</f>
        <v>600</v>
      </c>
      <c r="G219" s="5" t="n">
        <f aca="false">VLOOKUP(B219,Заказы!$A$2:$E$2995,2,FALSE())</f>
        <v>44032</v>
      </c>
      <c r="H219" s="1" t="n">
        <f aca="false">VLOOKUP(B219,Заказы!$A$2:$E$2995,3,FALSE())</f>
        <v>1514</v>
      </c>
      <c r="I219" s="1" t="str">
        <f aca="false">VLOOKUP(H219,Клиенты!$A$2:$E$1995,5,FALSE())</f>
        <v>г. Красноуфимск</v>
      </c>
      <c r="J219" s="1" t="n">
        <f aca="false">VLOOKUP(B219,Заказы!$A$2:$E$2995,4,FALSE())</f>
        <v>0</v>
      </c>
      <c r="K219" s="1" t="str">
        <f aca="false">VLOOKUP(B219,Заказы!$A$2:$E$2995,5,FALSE())</f>
        <v>Не выполнено</v>
      </c>
      <c r="L219" s="1" t="n">
        <f aca="false">D219*F219+J219</f>
        <v>4800</v>
      </c>
      <c r="M219" s="1" t="n">
        <f aca="false">IF(AND(E219="Пицца Труслейка",I219="г. Москва",K219="Выполнено",G219&gt;=DATE(2020,7,1),G219&lt;DATE(2020,8,1)),L219,0)</f>
        <v>0</v>
      </c>
    </row>
    <row r="220" customFormat="false" ht="15" hidden="false" customHeight="true" outlineLevel="0" collapsed="false">
      <c r="A220" s="1" t="n">
        <v>100610</v>
      </c>
      <c r="B220" s="1" t="n">
        <v>51745</v>
      </c>
      <c r="C220" s="1" t="n">
        <v>8</v>
      </c>
      <c r="D220" s="1" t="n">
        <v>7</v>
      </c>
      <c r="E220" s="1" t="str">
        <f aca="false">VLOOKUP(C220,Меню!$A$2:$C$24,2,FALSE())</f>
        <v>Пицца Мясная</v>
      </c>
      <c r="F220" s="1" t="n">
        <f aca="false">VLOOKUP(C220,Меню!$A$2:$C$24,3,FALSE())</f>
        <v>615</v>
      </c>
      <c r="G220" s="5" t="n">
        <f aca="false">VLOOKUP(B220,Заказы!$A$2:$E$2995,2,FALSE())</f>
        <v>44013</v>
      </c>
      <c r="H220" s="1" t="n">
        <f aca="false">VLOOKUP(B220,Заказы!$A$2:$E$2995,3,FALSE())</f>
        <v>910</v>
      </c>
      <c r="I220" s="1" t="str">
        <f aca="false">VLOOKUP(H220,Клиенты!$A$2:$E$1995,5,FALSE())</f>
        <v>г. Москва</v>
      </c>
      <c r="J220" s="1" t="n">
        <f aca="false">VLOOKUP(B220,Заказы!$A$2:$E$2995,4,FALSE())</f>
        <v>114</v>
      </c>
      <c r="K220" s="1" t="str">
        <f aca="false">VLOOKUP(B220,Заказы!$A$2:$E$2995,5,FALSE())</f>
        <v>Выполнено</v>
      </c>
      <c r="L220" s="1" t="n">
        <f aca="false">D220*F220+J220</f>
        <v>4419</v>
      </c>
      <c r="M220" s="1" t="n">
        <f aca="false">IF(AND(E220="Пицца Труслейка",I220="г. Москва",K220="Выполнено",G220&gt;=DATE(2020,7,1),G220&lt;DATE(2020,8,1)),L220,0)</f>
        <v>0</v>
      </c>
    </row>
    <row r="221" customFormat="false" ht="15" hidden="false" customHeight="true" outlineLevel="0" collapsed="false">
      <c r="A221" s="1" t="n">
        <v>100625</v>
      </c>
      <c r="B221" s="1" t="n">
        <v>51296</v>
      </c>
      <c r="C221" s="1" t="n">
        <v>4</v>
      </c>
      <c r="D221" s="1" t="n">
        <v>3</v>
      </c>
      <c r="E221" s="1" t="str">
        <f aca="false">VLOOKUP(C221,Меню!$A$2:$C$24,2,FALSE())</f>
        <v>Пицца Труслейка</v>
      </c>
      <c r="F221" s="1" t="n">
        <f aca="false">VLOOKUP(C221,Меню!$A$2:$C$24,3,FALSE())</f>
        <v>610</v>
      </c>
      <c r="G221" s="5" t="n">
        <f aca="false">VLOOKUP(B221,Заказы!$A$2:$E$2995,2,FALSE())</f>
        <v>44047</v>
      </c>
      <c r="H221" s="1" t="n">
        <f aca="false">VLOOKUP(B221,Заказы!$A$2:$E$2995,3,FALSE())</f>
        <v>1621</v>
      </c>
      <c r="I221" s="1" t="str">
        <f aca="false">VLOOKUP(H221,Клиенты!$A$2:$E$1995,5,FALSE())</f>
        <v>г. Зарайск</v>
      </c>
      <c r="J221" s="1" t="n">
        <f aca="false">VLOOKUP(B221,Заказы!$A$2:$E$2995,4,FALSE())</f>
        <v>666</v>
      </c>
      <c r="K221" s="1" t="str">
        <f aca="false">VLOOKUP(B221,Заказы!$A$2:$E$2995,5,FALSE())</f>
        <v>Выполнено</v>
      </c>
      <c r="L221" s="1" t="n">
        <f aca="false">D221*F221+J221</f>
        <v>2496</v>
      </c>
      <c r="M221" s="1" t="n">
        <f aca="false">IF(AND(E221="Пицца Труслейка",I221="г. Москва",K221="Выполнено",G221&gt;=DATE(2020,7,1),G221&lt;DATE(2020,8,1)),L221,0)</f>
        <v>0</v>
      </c>
    </row>
    <row r="222" customFormat="false" ht="15" hidden="false" customHeight="true" outlineLevel="0" collapsed="false">
      <c r="A222" s="1" t="n">
        <v>100912</v>
      </c>
      <c r="B222" s="1" t="n">
        <v>51931</v>
      </c>
      <c r="C222" s="1" t="n">
        <v>23</v>
      </c>
      <c r="D222" s="1" t="n">
        <v>7</v>
      </c>
      <c r="E222" s="1" t="str">
        <f aca="false">VLOOKUP(C222,Меню!$A$2:$C$24,2,FALSE())</f>
        <v>Пицца с тунцом</v>
      </c>
      <c r="F222" s="1" t="n">
        <f aca="false">VLOOKUP(C222,Меню!$A$2:$C$24,3,FALSE())</f>
        <v>520</v>
      </c>
      <c r="G222" s="5" t="n">
        <f aca="false">VLOOKUP(B222,Заказы!$A$2:$E$2995,2,FALSE())</f>
        <v>44049</v>
      </c>
      <c r="H222" s="1" t="n">
        <f aca="false">VLOOKUP(B222,Заказы!$A$2:$E$2995,3,FALSE())</f>
        <v>699</v>
      </c>
      <c r="I222" s="1" t="str">
        <f aca="false">VLOOKUP(H222,Клиенты!$A$2:$E$1995,5,FALSE())</f>
        <v>г. Губкин</v>
      </c>
      <c r="J222" s="1" t="n">
        <f aca="false">VLOOKUP(B222,Заказы!$A$2:$E$2995,4,FALSE())</f>
        <v>118</v>
      </c>
      <c r="K222" s="1" t="str">
        <f aca="false">VLOOKUP(B222,Заказы!$A$2:$E$2995,5,FALSE())</f>
        <v>Выполнено</v>
      </c>
      <c r="L222" s="1" t="n">
        <f aca="false">D222*F222+J222</f>
        <v>3758</v>
      </c>
      <c r="M222" s="1" t="n">
        <f aca="false">IF(AND(E222="Пицца Труслейка",I222="г. Москва",K222="Выполнено",G222&gt;=DATE(2020,7,1),G222&lt;DATE(2020,8,1)),L222,0)</f>
        <v>0</v>
      </c>
    </row>
    <row r="223" customFormat="false" ht="15" hidden="false" customHeight="true" outlineLevel="0" collapsed="false">
      <c r="A223" s="1" t="n">
        <v>100733</v>
      </c>
      <c r="B223" s="1" t="n">
        <v>51849</v>
      </c>
      <c r="C223" s="1" t="n">
        <v>8</v>
      </c>
      <c r="D223" s="1" t="n">
        <v>8</v>
      </c>
      <c r="E223" s="1" t="str">
        <f aca="false">VLOOKUP(C223,Меню!$A$2:$C$24,2,FALSE())</f>
        <v>Пицца Мясная</v>
      </c>
      <c r="F223" s="1" t="n">
        <f aca="false">VLOOKUP(C223,Меню!$A$2:$C$24,3,FALSE())</f>
        <v>615</v>
      </c>
      <c r="G223" s="5" t="n">
        <f aca="false">VLOOKUP(B223,Заказы!$A$2:$E$2995,2,FALSE())</f>
        <v>44057</v>
      </c>
      <c r="H223" s="1" t="n">
        <f aca="false">VLOOKUP(B223,Заказы!$A$2:$E$2995,3,FALSE())</f>
        <v>1041</v>
      </c>
      <c r="I223" s="1" t="str">
        <f aca="false">VLOOKUP(H223,Клиенты!$A$2:$E$1995,5,FALSE())</f>
        <v>г. Салехард</v>
      </c>
      <c r="J223" s="1" t="n">
        <f aca="false">VLOOKUP(B223,Заказы!$A$2:$E$2995,4,FALSE())</f>
        <v>315</v>
      </c>
      <c r="K223" s="1" t="str">
        <f aca="false">VLOOKUP(B223,Заказы!$A$2:$E$2995,5,FALSE())</f>
        <v>Выполнено</v>
      </c>
      <c r="L223" s="1" t="n">
        <f aca="false">D223*F223+J223</f>
        <v>5235</v>
      </c>
      <c r="M223" s="1" t="n">
        <f aca="false">IF(AND(E223="Пицца Труслейка",I223="г. Москва",K223="Выполнено",G223&gt;=DATE(2020,7,1),G223&lt;DATE(2020,8,1)),L223,0)</f>
        <v>0</v>
      </c>
    </row>
    <row r="224" customFormat="false" ht="15" hidden="false" customHeight="true" outlineLevel="0" collapsed="false">
      <c r="A224" s="1" t="n">
        <v>100523</v>
      </c>
      <c r="B224" s="1" t="n">
        <v>51252</v>
      </c>
      <c r="C224" s="1" t="n">
        <v>1</v>
      </c>
      <c r="D224" s="1" t="n">
        <v>10</v>
      </c>
      <c r="E224" s="1" t="str">
        <f aca="false">VLOOKUP(C224,Меню!$A$2:$C$24,2,FALSE())</f>
        <v>Пицца Гавайская</v>
      </c>
      <c r="F224" s="1" t="n">
        <f aca="false">VLOOKUP(C224,Меню!$A$2:$C$24,3,FALSE())</f>
        <v>545</v>
      </c>
      <c r="G224" s="5" t="n">
        <f aca="false">VLOOKUP(B224,Заказы!$A$2:$E$2995,2,FALSE())</f>
        <v>44007</v>
      </c>
      <c r="H224" s="1" t="n">
        <f aca="false">VLOOKUP(B224,Заказы!$A$2:$E$2995,3,FALSE())</f>
        <v>1566</v>
      </c>
      <c r="I224" s="1" t="str">
        <f aca="false">VLOOKUP(H224,Клиенты!$A$2:$E$1995,5,FALSE())</f>
        <v>г. Знаменск</v>
      </c>
      <c r="J224" s="1" t="n">
        <f aca="false">VLOOKUP(B224,Заказы!$A$2:$E$2995,4,FALSE())</f>
        <v>285</v>
      </c>
      <c r="K224" s="1" t="str">
        <f aca="false">VLOOKUP(B224,Заказы!$A$2:$E$2995,5,FALSE())</f>
        <v>Выполнено</v>
      </c>
      <c r="L224" s="1" t="n">
        <f aca="false">D224*F224+J224</f>
        <v>5735</v>
      </c>
      <c r="M224" s="1" t="n">
        <f aca="false">IF(AND(E224="Пицца Труслейка",I224="г. Москва",K224="Выполнено",G224&gt;=DATE(2020,7,1),G224&lt;DATE(2020,8,1)),L224,0)</f>
        <v>0</v>
      </c>
    </row>
    <row r="225" customFormat="false" ht="15" hidden="false" customHeight="true" outlineLevel="0" collapsed="false">
      <c r="A225" s="1" t="n">
        <v>101105</v>
      </c>
      <c r="B225" s="1" t="n">
        <v>51879</v>
      </c>
      <c r="C225" s="1" t="n">
        <v>16</v>
      </c>
      <c r="D225" s="1" t="n">
        <v>10</v>
      </c>
      <c r="E225" s="1" t="str">
        <f aca="false">VLOOKUP(C225,Меню!$A$2:$C$24,2,FALSE())</f>
        <v>Пицца Флорида</v>
      </c>
      <c r="F225" s="1" t="n">
        <f aca="false">VLOOKUP(C225,Меню!$A$2:$C$24,3,FALSE())</f>
        <v>535</v>
      </c>
      <c r="G225" s="5" t="n">
        <f aca="false">VLOOKUP(B225,Заказы!$A$2:$E$2995,2,FALSE())</f>
        <v>44064</v>
      </c>
      <c r="H225" s="1" t="n">
        <f aca="false">VLOOKUP(B225,Заказы!$A$2:$E$2995,3,FALSE())</f>
        <v>714</v>
      </c>
      <c r="I225" s="1" t="str">
        <f aca="false">VLOOKUP(H225,Клиенты!$A$2:$E$1995,5,FALSE())</f>
        <v>г. Дрезна</v>
      </c>
      <c r="J225" s="1" t="n">
        <f aca="false">VLOOKUP(B225,Заказы!$A$2:$E$2995,4,FALSE())</f>
        <v>657</v>
      </c>
      <c r="K225" s="1" t="str">
        <f aca="false">VLOOKUP(B225,Заказы!$A$2:$E$2995,5,FALSE())</f>
        <v>Выполнено</v>
      </c>
      <c r="L225" s="1" t="n">
        <f aca="false">D225*F225+J225</f>
        <v>6007</v>
      </c>
      <c r="M225" s="1" t="n">
        <f aca="false">IF(AND(E225="Пицца Труслейка",I225="г. Москва",K225="Выполнено",G225&gt;=DATE(2020,7,1),G225&lt;DATE(2020,8,1)),L225,0)</f>
        <v>0</v>
      </c>
    </row>
    <row r="226" customFormat="false" ht="15" hidden="false" customHeight="true" outlineLevel="0" collapsed="false">
      <c r="A226" s="1" t="n">
        <v>101858</v>
      </c>
      <c r="B226" s="1" t="n">
        <v>50814</v>
      </c>
      <c r="C226" s="1" t="n">
        <v>4</v>
      </c>
      <c r="D226" s="1" t="n">
        <v>2</v>
      </c>
      <c r="E226" s="1" t="str">
        <f aca="false">VLOOKUP(C226,Меню!$A$2:$C$24,2,FALSE())</f>
        <v>Пицца Труслейка</v>
      </c>
      <c r="F226" s="1" t="n">
        <f aca="false">VLOOKUP(C226,Меню!$A$2:$C$24,3,FALSE())</f>
        <v>610</v>
      </c>
      <c r="G226" s="5" t="n">
        <f aca="false">VLOOKUP(B226,Заказы!$A$2:$E$2995,2,FALSE())</f>
        <v>44052</v>
      </c>
      <c r="H226" s="1" t="n">
        <f aca="false">VLOOKUP(B226,Заказы!$A$2:$E$2995,3,FALSE())</f>
        <v>1646</v>
      </c>
      <c r="I226" s="1" t="str">
        <f aca="false">VLOOKUP(H226,Клиенты!$A$2:$E$1995,5,FALSE())</f>
        <v>г. Опочка</v>
      </c>
      <c r="J226" s="1" t="n">
        <f aca="false">VLOOKUP(B226,Заказы!$A$2:$E$2995,4,FALSE())</f>
        <v>0</v>
      </c>
      <c r="K226" s="1" t="str">
        <f aca="false">VLOOKUP(B226,Заказы!$A$2:$E$2995,5,FALSE())</f>
        <v>Не выполнено</v>
      </c>
      <c r="L226" s="1" t="n">
        <f aca="false">D226*F226+J226</f>
        <v>1220</v>
      </c>
      <c r="M226" s="1" t="n">
        <f aca="false">IF(AND(E226="Пицца Труслейка",I226="г. Москва",K226="Выполнено",G226&gt;=DATE(2020,7,1),G226&lt;DATE(2020,8,1)),L226,0)</f>
        <v>0</v>
      </c>
    </row>
    <row r="227" customFormat="false" ht="15" hidden="false" customHeight="true" outlineLevel="0" collapsed="false">
      <c r="A227" s="1" t="n">
        <v>101442</v>
      </c>
      <c r="B227" s="1" t="n">
        <v>50572</v>
      </c>
      <c r="C227" s="1" t="n">
        <v>21</v>
      </c>
      <c r="D227" s="1" t="n">
        <v>4</v>
      </c>
      <c r="E227" s="1" t="str">
        <f aca="false">VLOOKUP(C227,Меню!$A$2:$C$24,2,FALSE())</f>
        <v>Пицца с креветками и цукини</v>
      </c>
      <c r="F227" s="1" t="n">
        <f aca="false">VLOOKUP(C227,Меню!$A$2:$C$24,3,FALSE())</f>
        <v>600</v>
      </c>
      <c r="G227" s="5" t="n">
        <f aca="false">VLOOKUP(B227,Заказы!$A$2:$E$2995,2,FALSE())</f>
        <v>44071</v>
      </c>
      <c r="H227" s="1" t="n">
        <f aca="false">VLOOKUP(B227,Заказы!$A$2:$E$2995,3,FALSE())</f>
        <v>2</v>
      </c>
      <c r="I227" s="1" t="str">
        <f aca="false">VLOOKUP(H227,Клиенты!$A$2:$E$1995,5,FALSE())</f>
        <v>г. Саяногорск</v>
      </c>
      <c r="J227" s="1" t="n">
        <f aca="false">VLOOKUP(B227,Заказы!$A$2:$E$2995,4,FALSE())</f>
        <v>548</v>
      </c>
      <c r="K227" s="1" t="str">
        <f aca="false">VLOOKUP(B227,Заказы!$A$2:$E$2995,5,FALSE())</f>
        <v>Выполнено</v>
      </c>
      <c r="L227" s="1" t="n">
        <f aca="false">D227*F227+J227</f>
        <v>2948</v>
      </c>
      <c r="M227" s="1" t="n">
        <f aca="false">IF(AND(E227="Пицца Труслейка",I227="г. Москва",K227="Выполнено",G227&gt;=DATE(2020,7,1),G227&lt;DATE(2020,8,1)),L227,0)</f>
        <v>0</v>
      </c>
    </row>
    <row r="228" customFormat="false" ht="15" hidden="false" customHeight="true" outlineLevel="0" collapsed="false">
      <c r="A228" s="1" t="n">
        <v>100212</v>
      </c>
      <c r="B228" s="1" t="n">
        <v>51772</v>
      </c>
      <c r="C228" s="1" t="n">
        <v>18</v>
      </c>
      <c r="D228" s="1" t="n">
        <v>10</v>
      </c>
      <c r="E228" s="1" t="str">
        <f aca="false">VLOOKUP(C228,Меню!$A$2:$C$24,2,FALSE())</f>
        <v>Пицца Царская</v>
      </c>
      <c r="F228" s="1" t="n">
        <f aca="false">VLOOKUP(C228,Меню!$A$2:$C$24,3,FALSE())</f>
        <v>620</v>
      </c>
      <c r="G228" s="5" t="n">
        <f aca="false">VLOOKUP(B228,Заказы!$A$2:$E$2995,2,FALSE())</f>
        <v>44068</v>
      </c>
      <c r="H228" s="1" t="n">
        <f aca="false">VLOOKUP(B228,Заказы!$A$2:$E$2995,3,FALSE())</f>
        <v>125</v>
      </c>
      <c r="I228" s="1" t="str">
        <f aca="false">VLOOKUP(H228,Клиенты!$A$2:$E$1995,5,FALSE())</f>
        <v>г. Ак-Довурак</v>
      </c>
      <c r="J228" s="1" t="n">
        <f aca="false">VLOOKUP(B228,Заказы!$A$2:$E$2995,4,FALSE())</f>
        <v>0</v>
      </c>
      <c r="K228" s="1" t="str">
        <f aca="false">VLOOKUP(B228,Заказы!$A$2:$E$2995,5,FALSE())</f>
        <v>Не выполнено</v>
      </c>
      <c r="L228" s="1" t="n">
        <f aca="false">D228*F228+J228</f>
        <v>6200</v>
      </c>
      <c r="M228" s="1" t="n">
        <f aca="false">IF(AND(E228="Пицца Труслейка",I228="г. Москва",K228="Выполнено",G228&gt;=DATE(2020,7,1),G228&lt;DATE(2020,8,1)),L228,0)</f>
        <v>0</v>
      </c>
    </row>
    <row r="229" customFormat="false" ht="15" hidden="false" customHeight="true" outlineLevel="0" collapsed="false">
      <c r="A229" s="1" t="n">
        <v>101971</v>
      </c>
      <c r="B229" s="1" t="n">
        <v>51570</v>
      </c>
      <c r="C229" s="1" t="n">
        <v>9</v>
      </c>
      <c r="D229" s="1" t="n">
        <v>7</v>
      </c>
      <c r="E229" s="1" t="str">
        <f aca="false">VLOOKUP(C229,Меню!$A$2:$C$24,2,FALSE())</f>
        <v>Пицца Острая с беконом</v>
      </c>
      <c r="F229" s="1" t="n">
        <f aca="false">VLOOKUP(C229,Меню!$A$2:$C$24,3,FALSE())</f>
        <v>540</v>
      </c>
      <c r="G229" s="5" t="n">
        <f aca="false">VLOOKUP(B229,Заказы!$A$2:$E$2995,2,FALSE())</f>
        <v>44006</v>
      </c>
      <c r="H229" s="1" t="n">
        <f aca="false">VLOOKUP(B229,Заказы!$A$2:$E$2995,3,FALSE())</f>
        <v>684</v>
      </c>
      <c r="I229" s="1" t="str">
        <f aca="false">VLOOKUP(H229,Клиенты!$A$2:$E$1995,5,FALSE())</f>
        <v>г. Арамиль</v>
      </c>
      <c r="J229" s="1" t="n">
        <f aca="false">VLOOKUP(B229,Заказы!$A$2:$E$2995,4,FALSE())</f>
        <v>0</v>
      </c>
      <c r="K229" s="1" t="str">
        <f aca="false">VLOOKUP(B229,Заказы!$A$2:$E$2995,5,FALSE())</f>
        <v>Не выполнено</v>
      </c>
      <c r="L229" s="1" t="n">
        <f aca="false">D229*F229+J229</f>
        <v>3780</v>
      </c>
      <c r="M229" s="1" t="n">
        <f aca="false">IF(AND(E229="Пицца Труслейка",I229="г. Москва",K229="Выполнено",G229&gt;=DATE(2020,7,1),G229&lt;DATE(2020,8,1)),L229,0)</f>
        <v>0</v>
      </c>
    </row>
    <row r="230" customFormat="false" ht="15" hidden="false" customHeight="true" outlineLevel="0" collapsed="false">
      <c r="A230" s="1" t="n">
        <v>100402</v>
      </c>
      <c r="B230" s="1" t="n">
        <v>51578</v>
      </c>
      <c r="C230" s="1" t="n">
        <v>13</v>
      </c>
      <c r="D230" s="1" t="n">
        <v>10</v>
      </c>
      <c r="E230" s="1" t="str">
        <f aca="false">VLOOKUP(C230,Меню!$A$2:$C$24,2,FALSE())</f>
        <v>Пицца Сырная</v>
      </c>
      <c r="F230" s="1" t="n">
        <f aca="false">VLOOKUP(C230,Меню!$A$2:$C$24,3,FALSE())</f>
        <v>635</v>
      </c>
      <c r="G230" s="5" t="n">
        <f aca="false">VLOOKUP(B230,Заказы!$A$2:$E$2995,2,FALSE())</f>
        <v>44016</v>
      </c>
      <c r="H230" s="1" t="n">
        <f aca="false">VLOOKUP(B230,Заказы!$A$2:$E$2995,3,FALSE())</f>
        <v>316</v>
      </c>
      <c r="I230" s="1" t="str">
        <f aca="false">VLOOKUP(H230,Клиенты!$A$2:$E$1995,5,FALSE())</f>
        <v>г. Комсомольск</v>
      </c>
      <c r="J230" s="1" t="n">
        <f aca="false">VLOOKUP(B230,Заказы!$A$2:$E$2995,4,FALSE())</f>
        <v>0</v>
      </c>
      <c r="K230" s="1" t="str">
        <f aca="false">VLOOKUP(B230,Заказы!$A$2:$E$2995,5,FALSE())</f>
        <v>Не выполнено</v>
      </c>
      <c r="L230" s="1" t="n">
        <f aca="false">D230*F230+J230</f>
        <v>6350</v>
      </c>
      <c r="M230" s="1" t="n">
        <f aca="false">IF(AND(E230="Пицца Труслейка",I230="г. Москва",K230="Выполнено",G230&gt;=DATE(2020,7,1),G230&lt;DATE(2020,8,1)),L230,0)</f>
        <v>0</v>
      </c>
    </row>
    <row r="231" customFormat="false" ht="15" hidden="false" customHeight="true" outlineLevel="0" collapsed="false">
      <c r="A231" s="1" t="n">
        <v>100389</v>
      </c>
      <c r="B231" s="1" t="n">
        <v>51228</v>
      </c>
      <c r="C231" s="1" t="n">
        <v>4</v>
      </c>
      <c r="D231" s="1" t="n">
        <v>6</v>
      </c>
      <c r="E231" s="1" t="str">
        <f aca="false">VLOOKUP(C231,Меню!$A$2:$C$24,2,FALSE())</f>
        <v>Пицца Труслейка</v>
      </c>
      <c r="F231" s="1" t="n">
        <f aca="false">VLOOKUP(C231,Меню!$A$2:$C$24,3,FALSE())</f>
        <v>610</v>
      </c>
      <c r="G231" s="5" t="n">
        <f aca="false">VLOOKUP(B231,Заказы!$A$2:$E$2995,2,FALSE())</f>
        <v>43985</v>
      </c>
      <c r="H231" s="1" t="n">
        <f aca="false">VLOOKUP(B231,Заказы!$A$2:$E$2995,3,FALSE())</f>
        <v>214</v>
      </c>
      <c r="I231" s="1" t="str">
        <f aca="false">VLOOKUP(H231,Клиенты!$A$2:$E$1995,5,FALSE())</f>
        <v>г. Осташков</v>
      </c>
      <c r="J231" s="1" t="n">
        <f aca="false">VLOOKUP(B231,Заказы!$A$2:$E$2995,4,FALSE())</f>
        <v>0</v>
      </c>
      <c r="K231" s="1" t="str">
        <f aca="false">VLOOKUP(B231,Заказы!$A$2:$E$2995,5,FALSE())</f>
        <v>Не выполнено</v>
      </c>
      <c r="L231" s="1" t="n">
        <f aca="false">D231*F231+J231</f>
        <v>3660</v>
      </c>
      <c r="M231" s="1" t="n">
        <f aca="false">IF(AND(E231="Пицца Труслейка",I231="г. Москва",K231="Выполнено",G231&gt;=DATE(2020,7,1),G231&lt;DATE(2020,8,1)),L231,0)</f>
        <v>0</v>
      </c>
    </row>
    <row r="232" customFormat="false" ht="15" hidden="false" customHeight="true" outlineLevel="0" collapsed="false">
      <c r="A232" s="1" t="n">
        <v>101752</v>
      </c>
      <c r="B232" s="1" t="n">
        <v>51980</v>
      </c>
      <c r="C232" s="1" t="n">
        <v>5</v>
      </c>
      <c r="D232" s="1" t="n">
        <v>4</v>
      </c>
      <c r="E232" s="1" t="str">
        <f aca="false">VLOOKUP(C232,Меню!$A$2:$C$24,2,FALSE())</f>
        <v>Пицца Жюльен</v>
      </c>
      <c r="F232" s="1" t="n">
        <f aca="false">VLOOKUP(C232,Меню!$A$2:$C$24,3,FALSE())</f>
        <v>580</v>
      </c>
      <c r="G232" s="5" t="n">
        <f aca="false">VLOOKUP(B232,Заказы!$A$2:$E$2995,2,FALSE())</f>
        <v>43984</v>
      </c>
      <c r="H232" s="1" t="n">
        <f aca="false">VLOOKUP(B232,Заказы!$A$2:$E$2995,3,FALSE())</f>
        <v>1027</v>
      </c>
      <c r="I232" s="1" t="str">
        <f aca="false">VLOOKUP(H232,Клиенты!$A$2:$E$1995,5,FALSE())</f>
        <v>г. Нарьян-Мар</v>
      </c>
      <c r="J232" s="1" t="n">
        <f aca="false">VLOOKUP(B232,Заказы!$A$2:$E$2995,4,FALSE())</f>
        <v>664</v>
      </c>
      <c r="K232" s="1" t="str">
        <f aca="false">VLOOKUP(B232,Заказы!$A$2:$E$2995,5,FALSE())</f>
        <v>Выполнено</v>
      </c>
      <c r="L232" s="1" t="n">
        <f aca="false">D232*F232+J232</f>
        <v>2984</v>
      </c>
      <c r="M232" s="1" t="n">
        <f aca="false">IF(AND(E232="Пицца Труслейка",I232="г. Москва",K232="Выполнено",G232&gt;=DATE(2020,7,1),G232&lt;DATE(2020,8,1)),L232,0)</f>
        <v>0</v>
      </c>
    </row>
    <row r="233" customFormat="false" ht="15" hidden="false" customHeight="true" outlineLevel="0" collapsed="false">
      <c r="A233" s="1" t="n">
        <v>100531</v>
      </c>
      <c r="B233" s="1" t="n">
        <v>51550</v>
      </c>
      <c r="C233" s="1" t="n">
        <v>10</v>
      </c>
      <c r="D233" s="1" t="n">
        <v>5</v>
      </c>
      <c r="E233" s="1" t="str">
        <f aca="false">VLOOKUP(C233,Меню!$A$2:$C$24,2,FALSE())</f>
        <v>Пицца Пепперони фреш</v>
      </c>
      <c r="F233" s="1" t="n">
        <f aca="false">VLOOKUP(C233,Меню!$A$2:$C$24,3,FALSE())</f>
        <v>565</v>
      </c>
      <c r="G233" s="5" t="n">
        <f aca="false">VLOOKUP(B233,Заказы!$A$2:$E$2995,2,FALSE())</f>
        <v>44050</v>
      </c>
      <c r="H233" s="1" t="n">
        <f aca="false">VLOOKUP(B233,Заказы!$A$2:$E$2995,3,FALSE())</f>
        <v>1497</v>
      </c>
      <c r="I233" s="1" t="str">
        <f aca="false">VLOOKUP(H233,Клиенты!$A$2:$E$1995,5,FALSE())</f>
        <v>г. Тихорецк</v>
      </c>
      <c r="J233" s="1" t="n">
        <f aca="false">VLOOKUP(B233,Заказы!$A$2:$E$2995,4,FALSE())</f>
        <v>0</v>
      </c>
      <c r="K233" s="1" t="str">
        <f aca="false">VLOOKUP(B233,Заказы!$A$2:$E$2995,5,FALSE())</f>
        <v>Не выполнено</v>
      </c>
      <c r="L233" s="1" t="n">
        <f aca="false">D233*F233+J233</f>
        <v>2825</v>
      </c>
      <c r="M233" s="1" t="n">
        <f aca="false">IF(AND(E233="Пицца Труслейка",I233="г. Москва",K233="Выполнено",G233&gt;=DATE(2020,7,1),G233&lt;DATE(2020,8,1)),L233,0)</f>
        <v>0</v>
      </c>
    </row>
    <row r="234" customFormat="false" ht="15" hidden="false" customHeight="true" outlineLevel="0" collapsed="false">
      <c r="A234" s="1" t="n">
        <v>101229</v>
      </c>
      <c r="B234" s="1" t="n">
        <v>51813</v>
      </c>
      <c r="C234" s="1" t="n">
        <v>1</v>
      </c>
      <c r="D234" s="1" t="n">
        <v>10</v>
      </c>
      <c r="E234" s="1" t="str">
        <f aca="false">VLOOKUP(C234,Меню!$A$2:$C$24,2,FALSE())</f>
        <v>Пицца Гавайская</v>
      </c>
      <c r="F234" s="1" t="n">
        <f aca="false">VLOOKUP(C234,Меню!$A$2:$C$24,3,FALSE())</f>
        <v>545</v>
      </c>
      <c r="G234" s="5" t="n">
        <f aca="false">VLOOKUP(B234,Заказы!$A$2:$E$2995,2,FALSE())</f>
        <v>44024</v>
      </c>
      <c r="H234" s="1" t="n">
        <f aca="false">VLOOKUP(B234,Заказы!$A$2:$E$2995,3,FALSE())</f>
        <v>23</v>
      </c>
      <c r="I234" s="1" t="str">
        <f aca="false">VLOOKUP(H234,Клиенты!$A$2:$E$1995,5,FALSE())</f>
        <v>г. Тейково</v>
      </c>
      <c r="J234" s="1" t="n">
        <f aca="false">VLOOKUP(B234,Заказы!$A$2:$E$2995,4,FALSE())</f>
        <v>672</v>
      </c>
      <c r="K234" s="1" t="str">
        <f aca="false">VLOOKUP(B234,Заказы!$A$2:$E$2995,5,FALSE())</f>
        <v>Выполнено</v>
      </c>
      <c r="L234" s="1" t="n">
        <f aca="false">D234*F234+J234</f>
        <v>6122</v>
      </c>
      <c r="M234" s="1" t="n">
        <f aca="false">IF(AND(E234="Пицца Труслейка",I234="г. Москва",K234="Выполнено",G234&gt;=DATE(2020,7,1),G234&lt;DATE(2020,8,1)),L234,0)</f>
        <v>0</v>
      </c>
    </row>
    <row r="235" customFormat="false" ht="15" hidden="false" customHeight="true" outlineLevel="0" collapsed="false">
      <c r="A235" s="1" t="n">
        <v>100823</v>
      </c>
      <c r="B235" s="1" t="n">
        <v>51431</v>
      </c>
      <c r="C235" s="1" t="n">
        <v>23</v>
      </c>
      <c r="D235" s="1" t="n">
        <v>2</v>
      </c>
      <c r="E235" s="1" t="str">
        <f aca="false">VLOOKUP(C235,Меню!$A$2:$C$24,2,FALSE())</f>
        <v>Пицца с тунцом</v>
      </c>
      <c r="F235" s="1" t="n">
        <f aca="false">VLOOKUP(C235,Меню!$A$2:$C$24,3,FALSE())</f>
        <v>520</v>
      </c>
      <c r="G235" s="5" t="n">
        <f aca="false">VLOOKUP(B235,Заказы!$A$2:$E$2995,2,FALSE())</f>
        <v>44030</v>
      </c>
      <c r="H235" s="1" t="n">
        <f aca="false">VLOOKUP(B235,Заказы!$A$2:$E$2995,3,FALSE())</f>
        <v>295</v>
      </c>
      <c r="I235" s="1" t="str">
        <f aca="false">VLOOKUP(H235,Клиенты!$A$2:$E$1995,5,FALSE())</f>
        <v>г. Вольск</v>
      </c>
      <c r="J235" s="1" t="n">
        <f aca="false">VLOOKUP(B235,Заказы!$A$2:$E$2995,4,FALSE())</f>
        <v>0</v>
      </c>
      <c r="K235" s="1" t="str">
        <f aca="false">VLOOKUP(B235,Заказы!$A$2:$E$2995,5,FALSE())</f>
        <v>Не выполнено</v>
      </c>
      <c r="L235" s="1" t="n">
        <f aca="false">D235*F235+J235</f>
        <v>1040</v>
      </c>
      <c r="M235" s="1" t="n">
        <f aca="false">IF(AND(E235="Пицца Труслейка",I235="г. Москва",K235="Выполнено",G235&gt;=DATE(2020,7,1),G235&lt;DATE(2020,8,1)),L235,0)</f>
        <v>0</v>
      </c>
    </row>
    <row r="236" customFormat="false" ht="15" hidden="false" customHeight="true" outlineLevel="0" collapsed="false">
      <c r="A236" s="1" t="n">
        <v>101936</v>
      </c>
      <c r="B236" s="1" t="n">
        <v>50796</v>
      </c>
      <c r="C236" s="1" t="n">
        <v>22</v>
      </c>
      <c r="D236" s="1" t="n">
        <v>9</v>
      </c>
      <c r="E236" s="1" t="str">
        <f aca="false">VLOOKUP(C236,Меню!$A$2:$C$24,2,FALSE())</f>
        <v>Пицца с поркеттой и фриарелли</v>
      </c>
      <c r="F236" s="1" t="n">
        <f aca="false">VLOOKUP(C236,Меню!$A$2:$C$24,3,FALSE())</f>
        <v>550</v>
      </c>
      <c r="G236" s="5" t="n">
        <f aca="false">VLOOKUP(B236,Заказы!$A$2:$E$2995,2,FALSE())</f>
        <v>44033</v>
      </c>
      <c r="H236" s="1" t="n">
        <f aca="false">VLOOKUP(B236,Заказы!$A$2:$E$2995,3,FALSE())</f>
        <v>663</v>
      </c>
      <c r="I236" s="1" t="str">
        <f aca="false">VLOOKUP(H236,Клиенты!$A$2:$E$1995,5,FALSE())</f>
        <v>г. Курск</v>
      </c>
      <c r="J236" s="1" t="n">
        <f aca="false">VLOOKUP(B236,Заказы!$A$2:$E$2995,4,FALSE())</f>
        <v>0</v>
      </c>
      <c r="K236" s="1" t="str">
        <f aca="false">VLOOKUP(B236,Заказы!$A$2:$E$2995,5,FALSE())</f>
        <v>Не выполнено</v>
      </c>
      <c r="L236" s="1" t="n">
        <f aca="false">D236*F236+J236</f>
        <v>4950</v>
      </c>
      <c r="M236" s="1" t="n">
        <f aca="false">IF(AND(E236="Пицца Труслейка",I236="г. Москва",K236="Выполнено",G236&gt;=DATE(2020,7,1),G236&lt;DATE(2020,8,1)),L236,0)</f>
        <v>0</v>
      </c>
    </row>
    <row r="237" customFormat="false" ht="15" hidden="false" customHeight="true" outlineLevel="0" collapsed="false">
      <c r="A237" s="1" t="n">
        <v>100431</v>
      </c>
      <c r="B237" s="1" t="n">
        <v>50837</v>
      </c>
      <c r="C237" s="1" t="n">
        <v>10</v>
      </c>
      <c r="D237" s="1" t="n">
        <v>7</v>
      </c>
      <c r="E237" s="1" t="str">
        <f aca="false">VLOOKUP(C237,Меню!$A$2:$C$24,2,FALSE())</f>
        <v>Пицца Пепперони фреш</v>
      </c>
      <c r="F237" s="1" t="n">
        <f aca="false">VLOOKUP(C237,Меню!$A$2:$C$24,3,FALSE())</f>
        <v>565</v>
      </c>
      <c r="G237" s="5" t="n">
        <f aca="false">VLOOKUP(B237,Заказы!$A$2:$E$2995,2,FALSE())</f>
        <v>43987</v>
      </c>
      <c r="H237" s="1" t="n">
        <f aca="false">VLOOKUP(B237,Заказы!$A$2:$E$2995,3,FALSE())</f>
        <v>1831</v>
      </c>
      <c r="I237" s="1" t="str">
        <f aca="false">VLOOKUP(H237,Клиенты!$A$2:$E$1995,5,FALSE())</f>
        <v>г. Буинск</v>
      </c>
      <c r="J237" s="1" t="n">
        <f aca="false">VLOOKUP(B237,Заказы!$A$2:$E$2995,4,FALSE())</f>
        <v>0</v>
      </c>
      <c r="K237" s="1" t="str">
        <f aca="false">VLOOKUP(B237,Заказы!$A$2:$E$2995,5,FALSE())</f>
        <v>Не выполнено</v>
      </c>
      <c r="L237" s="1" t="n">
        <f aca="false">D237*F237+J237</f>
        <v>3955</v>
      </c>
      <c r="M237" s="1" t="n">
        <f aca="false">IF(AND(E237="Пицца Труслейка",I237="г. Москва",K237="Выполнено",G237&gt;=DATE(2020,7,1),G237&lt;DATE(2020,8,1)),L237,0)</f>
        <v>0</v>
      </c>
    </row>
    <row r="238" customFormat="false" ht="15" hidden="false" customHeight="true" outlineLevel="0" collapsed="false">
      <c r="A238" s="1" t="n">
        <v>101567</v>
      </c>
      <c r="B238" s="1" t="n">
        <v>51405</v>
      </c>
      <c r="C238" s="1" t="n">
        <v>9</v>
      </c>
      <c r="D238" s="1" t="n">
        <v>6</v>
      </c>
      <c r="E238" s="1" t="str">
        <f aca="false">VLOOKUP(C238,Меню!$A$2:$C$24,2,FALSE())</f>
        <v>Пицца Острая с беконом</v>
      </c>
      <c r="F238" s="1" t="n">
        <f aca="false">VLOOKUP(C238,Меню!$A$2:$C$24,3,FALSE())</f>
        <v>540</v>
      </c>
      <c r="G238" s="5" t="n">
        <f aca="false">VLOOKUP(B238,Заказы!$A$2:$E$2995,2,FALSE())</f>
        <v>44013</v>
      </c>
      <c r="H238" s="1" t="n">
        <f aca="false">VLOOKUP(B238,Заказы!$A$2:$E$2995,3,FALSE())</f>
        <v>1718</v>
      </c>
      <c r="I238" s="1" t="str">
        <f aca="false">VLOOKUP(H238,Клиенты!$A$2:$E$1995,5,FALSE())</f>
        <v>г. Туринск</v>
      </c>
      <c r="J238" s="1" t="n">
        <f aca="false">VLOOKUP(B238,Заказы!$A$2:$E$2995,4,FALSE())</f>
        <v>158</v>
      </c>
      <c r="K238" s="1" t="str">
        <f aca="false">VLOOKUP(B238,Заказы!$A$2:$E$2995,5,FALSE())</f>
        <v>Выполнено</v>
      </c>
      <c r="L238" s="1" t="n">
        <f aca="false">D238*F238+J238</f>
        <v>3398</v>
      </c>
      <c r="M238" s="1" t="n">
        <f aca="false">IF(AND(E238="Пицца Труслейка",I238="г. Москва",K238="Выполнено",G238&gt;=DATE(2020,7,1),G238&lt;DATE(2020,8,1)),L238,0)</f>
        <v>0</v>
      </c>
    </row>
    <row r="239" customFormat="false" ht="15" hidden="false" customHeight="true" outlineLevel="0" collapsed="false">
      <c r="A239" s="1" t="n">
        <v>101724</v>
      </c>
      <c r="B239" s="1" t="n">
        <v>51841</v>
      </c>
      <c r="C239" s="1" t="n">
        <v>19</v>
      </c>
      <c r="D239" s="1" t="n">
        <v>10</v>
      </c>
      <c r="E239" s="1" t="str">
        <f aca="false">VLOOKUP(C239,Меню!$A$2:$C$24,2,FALSE())</f>
        <v>Пицца Цезарь</v>
      </c>
      <c r="F239" s="1" t="n">
        <f aca="false">VLOOKUP(C239,Меню!$A$2:$C$24,3,FALSE())</f>
        <v>630</v>
      </c>
      <c r="G239" s="5" t="n">
        <f aca="false">VLOOKUP(B239,Заказы!$A$2:$E$2995,2,FALSE())</f>
        <v>44020</v>
      </c>
      <c r="H239" s="1" t="n">
        <f aca="false">VLOOKUP(B239,Заказы!$A$2:$E$2995,3,FALSE())</f>
        <v>724</v>
      </c>
      <c r="I239" s="1" t="str">
        <f aca="false">VLOOKUP(H239,Клиенты!$A$2:$E$1995,5,FALSE())</f>
        <v>г. Аркадак</v>
      </c>
      <c r="J239" s="1" t="n">
        <f aca="false">VLOOKUP(B239,Заказы!$A$2:$E$2995,4,FALSE())</f>
        <v>708</v>
      </c>
      <c r="K239" s="1" t="str">
        <f aca="false">VLOOKUP(B239,Заказы!$A$2:$E$2995,5,FALSE())</f>
        <v>Выполнено</v>
      </c>
      <c r="L239" s="1" t="n">
        <f aca="false">D239*F239+J239</f>
        <v>7008</v>
      </c>
      <c r="M239" s="1" t="n">
        <f aca="false">IF(AND(E239="Пицца Труслейка",I239="г. Москва",K239="Выполнено",G239&gt;=DATE(2020,7,1),G239&lt;DATE(2020,8,1)),L239,0)</f>
        <v>0</v>
      </c>
    </row>
    <row r="240" customFormat="false" ht="15" hidden="false" customHeight="true" outlineLevel="0" collapsed="false">
      <c r="A240" s="1" t="n">
        <v>101477</v>
      </c>
      <c r="B240" s="1" t="n">
        <v>51225</v>
      </c>
      <c r="C240" s="1" t="n">
        <v>6</v>
      </c>
      <c r="D240" s="1" t="n">
        <v>6</v>
      </c>
      <c r="E240" s="1" t="str">
        <f aca="false">VLOOKUP(C240,Меню!$A$2:$C$24,2,FALSE())</f>
        <v>Пицца Капричиоза</v>
      </c>
      <c r="F240" s="1" t="n">
        <f aca="false">VLOOKUP(C240,Меню!$A$2:$C$24,3,FALSE())</f>
        <v>570</v>
      </c>
      <c r="G240" s="5" t="n">
        <f aca="false">VLOOKUP(B240,Заказы!$A$2:$E$2995,2,FALSE())</f>
        <v>43984</v>
      </c>
      <c r="H240" s="1" t="n">
        <f aca="false">VLOOKUP(B240,Заказы!$A$2:$E$2995,3,FALSE())</f>
        <v>1533</v>
      </c>
      <c r="I240" s="1" t="str">
        <f aca="false">VLOOKUP(H240,Клиенты!$A$2:$E$1995,5,FALSE())</f>
        <v>г. Зеленогорск</v>
      </c>
      <c r="J240" s="1" t="n">
        <f aca="false">VLOOKUP(B240,Заказы!$A$2:$E$2995,4,FALSE())</f>
        <v>892</v>
      </c>
      <c r="K240" s="1" t="str">
        <f aca="false">VLOOKUP(B240,Заказы!$A$2:$E$2995,5,FALSE())</f>
        <v>Выполнено</v>
      </c>
      <c r="L240" s="1" t="n">
        <f aca="false">D240*F240+J240</f>
        <v>4312</v>
      </c>
      <c r="M240" s="1" t="n">
        <f aca="false">IF(AND(E240="Пицца Труслейка",I240="г. Москва",K240="Выполнено",G240&gt;=DATE(2020,7,1),G240&lt;DATE(2020,8,1)),L240,0)</f>
        <v>0</v>
      </c>
    </row>
    <row r="241" customFormat="false" ht="15" hidden="false" customHeight="true" outlineLevel="0" collapsed="false">
      <c r="A241" s="1" t="n">
        <v>101079</v>
      </c>
      <c r="B241" s="1" t="n">
        <v>51657</v>
      </c>
      <c r="C241" s="1" t="n">
        <v>4</v>
      </c>
      <c r="D241" s="1" t="n">
        <v>4</v>
      </c>
      <c r="E241" s="1" t="str">
        <f aca="false">VLOOKUP(C241,Меню!$A$2:$C$24,2,FALSE())</f>
        <v>Пицца Труслейка</v>
      </c>
      <c r="F241" s="1" t="n">
        <f aca="false">VLOOKUP(C241,Меню!$A$2:$C$24,3,FALSE())</f>
        <v>610</v>
      </c>
      <c r="G241" s="5" t="n">
        <f aca="false">VLOOKUP(B241,Заказы!$A$2:$E$2995,2,FALSE())</f>
        <v>44063</v>
      </c>
      <c r="H241" s="1" t="n">
        <f aca="false">VLOOKUP(B241,Заказы!$A$2:$E$2995,3,FALSE())</f>
        <v>1954</v>
      </c>
      <c r="I241" s="1" t="str">
        <f aca="false">VLOOKUP(H241,Клиенты!$A$2:$E$1995,5,FALSE())</f>
        <v>г. Светлоград</v>
      </c>
      <c r="J241" s="1" t="n">
        <f aca="false">VLOOKUP(B241,Заказы!$A$2:$E$2995,4,FALSE())</f>
        <v>472</v>
      </c>
      <c r="K241" s="1" t="str">
        <f aca="false">VLOOKUP(B241,Заказы!$A$2:$E$2995,5,FALSE())</f>
        <v>Выполнено</v>
      </c>
      <c r="L241" s="1" t="n">
        <f aca="false">D241*F241+J241</f>
        <v>2912</v>
      </c>
      <c r="M241" s="1" t="n">
        <f aca="false">IF(AND(E241="Пицца Труслейка",I241="г. Москва",K241="Выполнено",G241&gt;=DATE(2020,7,1),G241&lt;DATE(2020,8,1)),L241,0)</f>
        <v>0</v>
      </c>
    </row>
    <row r="242" customFormat="false" ht="15" hidden="false" customHeight="true" outlineLevel="0" collapsed="false">
      <c r="A242" s="1" t="n">
        <v>100803</v>
      </c>
      <c r="B242" s="1" t="n">
        <v>51473</v>
      </c>
      <c r="C242" s="1" t="n">
        <v>16</v>
      </c>
      <c r="D242" s="1" t="n">
        <v>3</v>
      </c>
      <c r="E242" s="1" t="str">
        <f aca="false">VLOOKUP(C242,Меню!$A$2:$C$24,2,FALSE())</f>
        <v>Пицца Флорида</v>
      </c>
      <c r="F242" s="1" t="n">
        <f aca="false">VLOOKUP(C242,Меню!$A$2:$C$24,3,FALSE())</f>
        <v>535</v>
      </c>
      <c r="G242" s="5" t="n">
        <f aca="false">VLOOKUP(B242,Заказы!$A$2:$E$2995,2,FALSE())</f>
        <v>44000</v>
      </c>
      <c r="H242" s="1" t="n">
        <f aca="false">VLOOKUP(B242,Заказы!$A$2:$E$2995,3,FALSE())</f>
        <v>1319</v>
      </c>
      <c r="I242" s="1" t="str">
        <f aca="false">VLOOKUP(H242,Клиенты!$A$2:$E$1995,5,FALSE())</f>
        <v>г. Мариинск</v>
      </c>
      <c r="J242" s="1" t="n">
        <f aca="false">VLOOKUP(B242,Заказы!$A$2:$E$2995,4,FALSE())</f>
        <v>523</v>
      </c>
      <c r="K242" s="1" t="str">
        <f aca="false">VLOOKUP(B242,Заказы!$A$2:$E$2995,5,FALSE())</f>
        <v>Выполнено</v>
      </c>
      <c r="L242" s="1" t="n">
        <f aca="false">D242*F242+J242</f>
        <v>2128</v>
      </c>
      <c r="M242" s="1" t="n">
        <f aca="false">IF(AND(E242="Пицца Труслейка",I242="г. Москва",K242="Выполнено",G242&gt;=DATE(2020,7,1),G242&lt;DATE(2020,8,1)),L242,0)</f>
        <v>0</v>
      </c>
    </row>
    <row r="243" customFormat="false" ht="15" hidden="false" customHeight="true" outlineLevel="0" collapsed="false">
      <c r="A243" s="1" t="n">
        <v>101814</v>
      </c>
      <c r="B243" s="1" t="n">
        <v>50482</v>
      </c>
      <c r="C243" s="1" t="n">
        <v>23</v>
      </c>
      <c r="D243" s="1" t="n">
        <v>6</v>
      </c>
      <c r="E243" s="1" t="str">
        <f aca="false">VLOOKUP(C243,Меню!$A$2:$C$24,2,FALSE())</f>
        <v>Пицца с тунцом</v>
      </c>
      <c r="F243" s="1" t="n">
        <f aca="false">VLOOKUP(C243,Меню!$A$2:$C$24,3,FALSE())</f>
        <v>520</v>
      </c>
      <c r="G243" s="5" t="n">
        <f aca="false">VLOOKUP(B243,Заказы!$A$2:$E$2995,2,FALSE())</f>
        <v>44025</v>
      </c>
      <c r="H243" s="1" t="n">
        <f aca="false">VLOOKUP(B243,Заказы!$A$2:$E$2995,3,FALSE())</f>
        <v>1024</v>
      </c>
      <c r="I243" s="1" t="str">
        <f aca="false">VLOOKUP(H243,Клиенты!$A$2:$E$1995,5,FALSE())</f>
        <v>г. Псков</v>
      </c>
      <c r="J243" s="1" t="n">
        <f aca="false">VLOOKUP(B243,Заказы!$A$2:$E$2995,4,FALSE())</f>
        <v>480</v>
      </c>
      <c r="K243" s="1" t="str">
        <f aca="false">VLOOKUP(B243,Заказы!$A$2:$E$2995,5,FALSE())</f>
        <v>Выполнено</v>
      </c>
      <c r="L243" s="1" t="n">
        <f aca="false">D243*F243+J243</f>
        <v>3600</v>
      </c>
      <c r="M243" s="1" t="n">
        <f aca="false">IF(AND(E243="Пицца Труслейка",I243="г. Москва",K243="Выполнено",G243&gt;=DATE(2020,7,1),G243&lt;DATE(2020,8,1)),L243,0)</f>
        <v>0</v>
      </c>
    </row>
    <row r="244" customFormat="false" ht="15" hidden="false" customHeight="true" outlineLevel="0" collapsed="false">
      <c r="A244" s="1" t="n">
        <v>101879</v>
      </c>
      <c r="B244" s="1" t="n">
        <v>50299</v>
      </c>
      <c r="C244" s="1" t="n">
        <v>22</v>
      </c>
      <c r="D244" s="1" t="n">
        <v>7</v>
      </c>
      <c r="E244" s="1" t="str">
        <f aca="false">VLOOKUP(C244,Меню!$A$2:$C$24,2,FALSE())</f>
        <v>Пицца с поркеттой и фриарелли</v>
      </c>
      <c r="F244" s="1" t="n">
        <f aca="false">VLOOKUP(C244,Меню!$A$2:$C$24,3,FALSE())</f>
        <v>550</v>
      </c>
      <c r="G244" s="5" t="n">
        <f aca="false">VLOOKUP(B244,Заказы!$A$2:$E$2995,2,FALSE())</f>
        <v>44061</v>
      </c>
      <c r="H244" s="1" t="n">
        <f aca="false">VLOOKUP(B244,Заказы!$A$2:$E$2995,3,FALSE())</f>
        <v>1591</v>
      </c>
      <c r="I244" s="1" t="str">
        <f aca="false">VLOOKUP(H244,Клиенты!$A$2:$E$1995,5,FALSE())</f>
        <v>г. Урай</v>
      </c>
      <c r="J244" s="1" t="n">
        <f aca="false">VLOOKUP(B244,Заказы!$A$2:$E$2995,4,FALSE())</f>
        <v>111</v>
      </c>
      <c r="K244" s="1" t="str">
        <f aca="false">VLOOKUP(B244,Заказы!$A$2:$E$2995,5,FALSE())</f>
        <v>Выполнено</v>
      </c>
      <c r="L244" s="1" t="n">
        <f aca="false">D244*F244+J244</f>
        <v>3961</v>
      </c>
      <c r="M244" s="1" t="n">
        <f aca="false">IF(AND(E244="Пицца Труслейка",I244="г. Москва",K244="Выполнено",G244&gt;=DATE(2020,7,1),G244&lt;DATE(2020,8,1)),L244,0)</f>
        <v>0</v>
      </c>
    </row>
    <row r="245" customFormat="false" ht="15" hidden="false" customHeight="true" outlineLevel="0" collapsed="false">
      <c r="A245" s="1" t="n">
        <v>101622</v>
      </c>
      <c r="B245" s="1" t="n">
        <v>51724</v>
      </c>
      <c r="C245" s="1" t="n">
        <v>5</v>
      </c>
      <c r="D245" s="1" t="n">
        <v>9</v>
      </c>
      <c r="E245" s="1" t="str">
        <f aca="false">VLOOKUP(C245,Меню!$A$2:$C$24,2,FALSE())</f>
        <v>Пицца Жюльен</v>
      </c>
      <c r="F245" s="1" t="n">
        <f aca="false">VLOOKUP(C245,Меню!$A$2:$C$24,3,FALSE())</f>
        <v>580</v>
      </c>
      <c r="G245" s="5" t="n">
        <f aca="false">VLOOKUP(B245,Заказы!$A$2:$E$2995,2,FALSE())</f>
        <v>44044</v>
      </c>
      <c r="H245" s="1" t="n">
        <f aca="false">VLOOKUP(B245,Заказы!$A$2:$E$2995,3,FALSE())</f>
        <v>877</v>
      </c>
      <c r="I245" s="1" t="str">
        <f aca="false">VLOOKUP(H245,Клиенты!$A$2:$E$1995,5,FALSE())</f>
        <v>г. Сергач</v>
      </c>
      <c r="J245" s="1" t="n">
        <f aca="false">VLOOKUP(B245,Заказы!$A$2:$E$2995,4,FALSE())</f>
        <v>0</v>
      </c>
      <c r="K245" s="1" t="str">
        <f aca="false">VLOOKUP(B245,Заказы!$A$2:$E$2995,5,FALSE())</f>
        <v>Не выполнено</v>
      </c>
      <c r="L245" s="1" t="n">
        <f aca="false">D245*F245+J245</f>
        <v>5220</v>
      </c>
      <c r="M245" s="1" t="n">
        <f aca="false">IF(AND(E245="Пицца Труслейка",I245="г. Москва",K245="Выполнено",G245&gt;=DATE(2020,7,1),G245&lt;DATE(2020,8,1)),L245,0)</f>
        <v>0</v>
      </c>
    </row>
    <row r="246" customFormat="false" ht="15" hidden="false" customHeight="true" outlineLevel="0" collapsed="false">
      <c r="A246" s="1" t="n">
        <v>100773</v>
      </c>
      <c r="B246" s="1" t="n">
        <v>50843</v>
      </c>
      <c r="C246" s="1" t="n">
        <v>6</v>
      </c>
      <c r="D246" s="1" t="n">
        <v>10</v>
      </c>
      <c r="E246" s="1" t="str">
        <f aca="false">VLOOKUP(C246,Меню!$A$2:$C$24,2,FALSE())</f>
        <v>Пицца Капричиоза</v>
      </c>
      <c r="F246" s="1" t="n">
        <f aca="false">VLOOKUP(C246,Меню!$A$2:$C$24,3,FALSE())</f>
        <v>570</v>
      </c>
      <c r="G246" s="5" t="n">
        <f aca="false">VLOOKUP(B246,Заказы!$A$2:$E$2995,2,FALSE())</f>
        <v>44008</v>
      </c>
      <c r="H246" s="1" t="n">
        <f aca="false">VLOOKUP(B246,Заказы!$A$2:$E$2995,3,FALSE())</f>
        <v>399</v>
      </c>
      <c r="I246" s="1" t="str">
        <f aca="false">VLOOKUP(H246,Клиенты!$A$2:$E$1995,5,FALSE())</f>
        <v>г. Сретенск</v>
      </c>
      <c r="J246" s="1" t="n">
        <f aca="false">VLOOKUP(B246,Заказы!$A$2:$E$2995,4,FALSE())</f>
        <v>0</v>
      </c>
      <c r="K246" s="1" t="str">
        <f aca="false">VLOOKUP(B246,Заказы!$A$2:$E$2995,5,FALSE())</f>
        <v>Не выполнено</v>
      </c>
      <c r="L246" s="1" t="n">
        <f aca="false">D246*F246+J246</f>
        <v>5700</v>
      </c>
      <c r="M246" s="1" t="n">
        <f aca="false">IF(AND(E246="Пицца Труслейка",I246="г. Москва",K246="Выполнено",G246&gt;=DATE(2020,7,1),G246&lt;DATE(2020,8,1)),L246,0)</f>
        <v>0</v>
      </c>
    </row>
    <row r="247" customFormat="false" ht="15" hidden="false" customHeight="true" outlineLevel="0" collapsed="false">
      <c r="A247" s="1" t="n">
        <v>100839</v>
      </c>
      <c r="B247" s="1" t="n">
        <v>51257</v>
      </c>
      <c r="C247" s="1" t="n">
        <v>16</v>
      </c>
      <c r="D247" s="1" t="n">
        <v>3</v>
      </c>
      <c r="E247" s="1" t="str">
        <f aca="false">VLOOKUP(C247,Меню!$A$2:$C$24,2,FALSE())</f>
        <v>Пицца Флорида</v>
      </c>
      <c r="F247" s="1" t="n">
        <f aca="false">VLOOKUP(C247,Меню!$A$2:$C$24,3,FALSE())</f>
        <v>535</v>
      </c>
      <c r="G247" s="5" t="n">
        <f aca="false">VLOOKUP(B247,Заказы!$A$2:$E$2995,2,FALSE())</f>
        <v>44070</v>
      </c>
      <c r="H247" s="1" t="n">
        <f aca="false">VLOOKUP(B247,Заказы!$A$2:$E$2995,3,FALSE())</f>
        <v>1331</v>
      </c>
      <c r="I247" s="1" t="str">
        <f aca="false">VLOOKUP(H247,Клиенты!$A$2:$E$1995,5,FALSE())</f>
        <v>г. Балашиха</v>
      </c>
      <c r="J247" s="1" t="n">
        <f aca="false">VLOOKUP(B247,Заказы!$A$2:$E$2995,4,FALSE())</f>
        <v>0</v>
      </c>
      <c r="K247" s="1" t="str">
        <f aca="false">VLOOKUP(B247,Заказы!$A$2:$E$2995,5,FALSE())</f>
        <v>Не выполнено</v>
      </c>
      <c r="L247" s="1" t="n">
        <f aca="false">D247*F247+J247</f>
        <v>1605</v>
      </c>
      <c r="M247" s="1" t="n">
        <f aca="false">IF(AND(E247="Пицца Труслейка",I247="г. Москва",K247="Выполнено",G247&gt;=DATE(2020,7,1),G247&lt;DATE(2020,8,1)),L247,0)</f>
        <v>0</v>
      </c>
    </row>
    <row r="248" customFormat="false" ht="15" hidden="false" customHeight="true" outlineLevel="0" collapsed="false">
      <c r="A248" s="1" t="n">
        <v>100210</v>
      </c>
      <c r="B248" s="1" t="n">
        <v>51263</v>
      </c>
      <c r="C248" s="1" t="n">
        <v>21</v>
      </c>
      <c r="D248" s="1" t="n">
        <v>4</v>
      </c>
      <c r="E248" s="1" t="str">
        <f aca="false">VLOOKUP(C248,Меню!$A$2:$C$24,2,FALSE())</f>
        <v>Пицца с креветками и цукини</v>
      </c>
      <c r="F248" s="1" t="n">
        <f aca="false">VLOOKUP(C248,Меню!$A$2:$C$24,3,FALSE())</f>
        <v>600</v>
      </c>
      <c r="G248" s="5" t="n">
        <f aca="false">VLOOKUP(B248,Заказы!$A$2:$E$2995,2,FALSE())</f>
        <v>44008</v>
      </c>
      <c r="H248" s="1" t="n">
        <f aca="false">VLOOKUP(B248,Заказы!$A$2:$E$2995,3,FALSE())</f>
        <v>394</v>
      </c>
      <c r="I248" s="1" t="str">
        <f aca="false">VLOOKUP(H248,Клиенты!$A$2:$E$1995,5,FALSE())</f>
        <v>г. Спас-Клепики</v>
      </c>
      <c r="J248" s="1" t="n">
        <f aca="false">VLOOKUP(B248,Заказы!$A$2:$E$2995,4,FALSE())</f>
        <v>0</v>
      </c>
      <c r="K248" s="1" t="str">
        <f aca="false">VLOOKUP(B248,Заказы!$A$2:$E$2995,5,FALSE())</f>
        <v>Не выполнено</v>
      </c>
      <c r="L248" s="1" t="n">
        <f aca="false">D248*F248+J248</f>
        <v>2400</v>
      </c>
      <c r="M248" s="1" t="n">
        <f aca="false">IF(AND(E248="Пицца Труслейка",I248="г. Москва",K248="Выполнено",G248&gt;=DATE(2020,7,1),G248&lt;DATE(2020,8,1)),L248,0)</f>
        <v>0</v>
      </c>
    </row>
    <row r="249" customFormat="false" ht="15" hidden="false" customHeight="true" outlineLevel="0" collapsed="false">
      <c r="A249" s="1" t="n">
        <v>100003</v>
      </c>
      <c r="B249" s="1" t="n">
        <v>50895</v>
      </c>
      <c r="C249" s="1" t="n">
        <v>8</v>
      </c>
      <c r="D249" s="1" t="n">
        <v>10</v>
      </c>
      <c r="E249" s="1" t="str">
        <f aca="false">VLOOKUP(C249,Меню!$A$2:$C$24,2,FALSE())</f>
        <v>Пицца Мясная</v>
      </c>
      <c r="F249" s="1" t="n">
        <f aca="false">VLOOKUP(C249,Меню!$A$2:$C$24,3,FALSE())</f>
        <v>615</v>
      </c>
      <c r="G249" s="5" t="n">
        <f aca="false">VLOOKUP(B249,Заказы!$A$2:$E$2995,2,FALSE())</f>
        <v>44028</v>
      </c>
      <c r="H249" s="1" t="n">
        <f aca="false">VLOOKUP(B249,Заказы!$A$2:$E$2995,3,FALSE())</f>
        <v>1050</v>
      </c>
      <c r="I249" s="1" t="str">
        <f aca="false">VLOOKUP(H249,Клиенты!$A$2:$E$1995,5,FALSE())</f>
        <v>г. Москва</v>
      </c>
      <c r="J249" s="1" t="n">
        <f aca="false">VLOOKUP(B249,Заказы!$A$2:$E$2995,4,FALSE())</f>
        <v>0</v>
      </c>
      <c r="K249" s="1" t="str">
        <f aca="false">VLOOKUP(B249,Заказы!$A$2:$E$2995,5,FALSE())</f>
        <v>Не выполнено</v>
      </c>
      <c r="L249" s="1" t="n">
        <f aca="false">D249*F249+J249</f>
        <v>6150</v>
      </c>
      <c r="M249" s="1" t="n">
        <f aca="false">IF(AND(E249="Пицца Труслейка",I249="г. Москва",K249="Выполнено",G249&gt;=DATE(2020,7,1),G249&lt;DATE(2020,8,1)),L249,0)</f>
        <v>0</v>
      </c>
    </row>
    <row r="250" customFormat="false" ht="15" hidden="false" customHeight="true" outlineLevel="0" collapsed="false">
      <c r="A250" s="1" t="n">
        <v>100672</v>
      </c>
      <c r="B250" s="1" t="n">
        <v>51905</v>
      </c>
      <c r="C250" s="1" t="n">
        <v>12</v>
      </c>
      <c r="D250" s="1" t="n">
        <v>2</v>
      </c>
      <c r="E250" s="1" t="str">
        <f aca="false">VLOOKUP(C250,Меню!$A$2:$C$24,2,FALSE())</f>
        <v>Пицца Салями с трюфелем</v>
      </c>
      <c r="F250" s="1" t="n">
        <f aca="false">VLOOKUP(C250,Меню!$A$2:$C$24,3,FALSE())</f>
        <v>525</v>
      </c>
      <c r="G250" s="5" t="n">
        <f aca="false">VLOOKUP(B250,Заказы!$A$2:$E$2995,2,FALSE())</f>
        <v>44061</v>
      </c>
      <c r="H250" s="1" t="n">
        <f aca="false">VLOOKUP(B250,Заказы!$A$2:$E$2995,3,FALSE())</f>
        <v>741</v>
      </c>
      <c r="I250" s="1" t="str">
        <f aca="false">VLOOKUP(H250,Клиенты!$A$2:$E$1995,5,FALSE())</f>
        <v>г. Подольск</v>
      </c>
      <c r="J250" s="1" t="n">
        <f aca="false">VLOOKUP(B250,Заказы!$A$2:$E$2995,4,FALSE())</f>
        <v>450</v>
      </c>
      <c r="K250" s="1" t="str">
        <f aca="false">VLOOKUP(B250,Заказы!$A$2:$E$2995,5,FALSE())</f>
        <v>Выполнено</v>
      </c>
      <c r="L250" s="1" t="n">
        <f aca="false">D250*F250+J250</f>
        <v>1500</v>
      </c>
      <c r="M250" s="1" t="n">
        <f aca="false">IF(AND(E250="Пицца Труслейка",I250="г. Москва",K250="Выполнено",G250&gt;=DATE(2020,7,1),G250&lt;DATE(2020,8,1)),L250,0)</f>
        <v>0</v>
      </c>
    </row>
    <row r="251" customFormat="false" ht="15" hidden="false" customHeight="true" outlineLevel="0" collapsed="false">
      <c r="A251" s="1" t="n">
        <v>101754</v>
      </c>
      <c r="B251" s="1" t="n">
        <v>51457</v>
      </c>
      <c r="C251" s="1" t="n">
        <v>4</v>
      </c>
      <c r="D251" s="1" t="n">
        <v>9</v>
      </c>
      <c r="E251" s="1" t="str">
        <f aca="false">VLOOKUP(C251,Меню!$A$2:$C$24,2,FALSE())</f>
        <v>Пицца Труслейка</v>
      </c>
      <c r="F251" s="1" t="n">
        <f aca="false">VLOOKUP(C251,Меню!$A$2:$C$24,3,FALSE())</f>
        <v>610</v>
      </c>
      <c r="G251" s="5" t="n">
        <f aca="false">VLOOKUP(B251,Заказы!$A$2:$E$2995,2,FALSE())</f>
        <v>43982</v>
      </c>
      <c r="H251" s="1" t="n">
        <f aca="false">VLOOKUP(B251,Заказы!$A$2:$E$2995,3,FALSE())</f>
        <v>1511</v>
      </c>
      <c r="I251" s="1" t="str">
        <f aca="false">VLOOKUP(H251,Клиенты!$A$2:$E$1995,5,FALSE())</f>
        <v>г. Старица</v>
      </c>
      <c r="J251" s="1" t="n">
        <f aca="false">VLOOKUP(B251,Заказы!$A$2:$E$2995,4,FALSE())</f>
        <v>685</v>
      </c>
      <c r="K251" s="1" t="str">
        <f aca="false">VLOOKUP(B251,Заказы!$A$2:$E$2995,5,FALSE())</f>
        <v>Выполнено</v>
      </c>
      <c r="L251" s="1" t="n">
        <f aca="false">D251*F251+J251</f>
        <v>6175</v>
      </c>
      <c r="M251" s="1" t="n">
        <f aca="false">IF(AND(E251="Пицца Труслейка",I251="г. Москва",K251="Выполнено",G251&gt;=DATE(2020,7,1),G251&lt;DATE(2020,8,1)),L251,0)</f>
        <v>0</v>
      </c>
    </row>
    <row r="252" customFormat="false" ht="15" hidden="false" customHeight="true" outlineLevel="0" collapsed="false">
      <c r="A252" s="1" t="n">
        <v>101350</v>
      </c>
      <c r="B252" s="1" t="n">
        <v>50627</v>
      </c>
      <c r="C252" s="1" t="n">
        <v>14</v>
      </c>
      <c r="D252" s="1" t="n">
        <v>3</v>
      </c>
      <c r="E252" s="1" t="str">
        <f aca="false">VLOOKUP(C252,Меню!$A$2:$C$24,2,FALSE())</f>
        <v>Пицца Сырный цыпленок</v>
      </c>
      <c r="F252" s="1" t="n">
        <f aca="false">VLOOKUP(C252,Меню!$A$2:$C$24,3,FALSE())</f>
        <v>555</v>
      </c>
      <c r="G252" s="5" t="n">
        <f aca="false">VLOOKUP(B252,Заказы!$A$2:$E$2995,2,FALSE())</f>
        <v>44037</v>
      </c>
      <c r="H252" s="1" t="n">
        <f aca="false">VLOOKUP(B252,Заказы!$A$2:$E$2995,3,FALSE())</f>
        <v>1640</v>
      </c>
      <c r="I252" s="1" t="str">
        <f aca="false">VLOOKUP(H252,Клиенты!$A$2:$E$1995,5,FALSE())</f>
        <v>г. Москва</v>
      </c>
      <c r="J252" s="1" t="n">
        <f aca="false">VLOOKUP(B252,Заказы!$A$2:$E$2995,4,FALSE())</f>
        <v>0</v>
      </c>
      <c r="K252" s="1" t="str">
        <f aca="false">VLOOKUP(B252,Заказы!$A$2:$E$2995,5,FALSE())</f>
        <v>Не выполнено</v>
      </c>
      <c r="L252" s="1" t="n">
        <f aca="false">D252*F252+J252</f>
        <v>1665</v>
      </c>
      <c r="M252" s="1" t="n">
        <f aca="false">IF(AND(E252="Пицца Труслейка",I252="г. Москва",K252="Выполнено",G252&gt;=DATE(2020,7,1),G252&lt;DATE(2020,8,1)),L252,0)</f>
        <v>0</v>
      </c>
    </row>
    <row r="253" customFormat="false" ht="15" hidden="false" customHeight="true" outlineLevel="0" collapsed="false">
      <c r="A253" s="1" t="n">
        <v>101616</v>
      </c>
      <c r="B253" s="1" t="n">
        <v>50212</v>
      </c>
      <c r="C253" s="1" t="n">
        <v>16</v>
      </c>
      <c r="D253" s="1" t="n">
        <v>7</v>
      </c>
      <c r="E253" s="1" t="str">
        <f aca="false">VLOOKUP(C253,Меню!$A$2:$C$24,2,FALSE())</f>
        <v>Пицца Флорида</v>
      </c>
      <c r="F253" s="1" t="n">
        <f aca="false">VLOOKUP(C253,Меню!$A$2:$C$24,3,FALSE())</f>
        <v>535</v>
      </c>
      <c r="G253" s="5" t="n">
        <f aca="false">VLOOKUP(B253,Заказы!$A$2:$E$2995,2,FALSE())</f>
        <v>44049</v>
      </c>
      <c r="H253" s="1" t="n">
        <f aca="false">VLOOKUP(B253,Заказы!$A$2:$E$2995,3,FALSE())</f>
        <v>181</v>
      </c>
      <c r="I253" s="1" t="str">
        <f aca="false">VLOOKUP(H253,Клиенты!$A$2:$E$1995,5,FALSE())</f>
        <v>г. Олёкминск</v>
      </c>
      <c r="J253" s="1" t="n">
        <f aca="false">VLOOKUP(B253,Заказы!$A$2:$E$2995,4,FALSE())</f>
        <v>0</v>
      </c>
      <c r="K253" s="1" t="str">
        <f aca="false">VLOOKUP(B253,Заказы!$A$2:$E$2995,5,FALSE())</f>
        <v>Не выполнено</v>
      </c>
      <c r="L253" s="1" t="n">
        <f aca="false">D253*F253+J253</f>
        <v>3745</v>
      </c>
      <c r="M253" s="1" t="n">
        <f aca="false">IF(AND(E253="Пицца Труслейка",I253="г. Москва",K253="Выполнено",G253&gt;=DATE(2020,7,1),G253&lt;DATE(2020,8,1)),L253,0)</f>
        <v>0</v>
      </c>
    </row>
    <row r="254" customFormat="false" ht="15" hidden="false" customHeight="true" outlineLevel="0" collapsed="false">
      <c r="A254" s="1" t="n">
        <v>101841</v>
      </c>
      <c r="B254" s="1" t="n">
        <v>50957</v>
      </c>
      <c r="C254" s="1" t="n">
        <v>3</v>
      </c>
      <c r="D254" s="1" t="n">
        <v>1</v>
      </c>
      <c r="E254" s="1" t="str">
        <f aca="false">VLOOKUP(C254,Меню!$A$2:$C$24,2,FALSE())</f>
        <v>Пицца Диабло</v>
      </c>
      <c r="F254" s="1" t="n">
        <f aca="false">VLOOKUP(C254,Меню!$A$2:$C$24,3,FALSE())</f>
        <v>590</v>
      </c>
      <c r="G254" s="5" t="n">
        <f aca="false">VLOOKUP(B254,Заказы!$A$2:$E$2995,2,FALSE())</f>
        <v>44027</v>
      </c>
      <c r="H254" s="1" t="n">
        <f aca="false">VLOOKUP(B254,Заказы!$A$2:$E$2995,3,FALSE())</f>
        <v>92</v>
      </c>
      <c r="I254" s="1" t="str">
        <f aca="false">VLOOKUP(H254,Клиенты!$A$2:$E$1995,5,FALSE())</f>
        <v>г. Новороссийск</v>
      </c>
      <c r="J254" s="1" t="n">
        <f aca="false">VLOOKUP(B254,Заказы!$A$2:$E$2995,4,FALSE())</f>
        <v>563</v>
      </c>
      <c r="K254" s="1" t="str">
        <f aca="false">VLOOKUP(B254,Заказы!$A$2:$E$2995,5,FALSE())</f>
        <v>Выполнено</v>
      </c>
      <c r="L254" s="1" t="n">
        <f aca="false">D254*F254+J254</f>
        <v>1153</v>
      </c>
      <c r="M254" s="1" t="n">
        <f aca="false">IF(AND(E254="Пицца Труслейка",I254="г. Москва",K254="Выполнено",G254&gt;=DATE(2020,7,1),G254&lt;DATE(2020,8,1)),L254,0)</f>
        <v>0</v>
      </c>
    </row>
    <row r="255" customFormat="false" ht="15" hidden="false" customHeight="true" outlineLevel="0" collapsed="false">
      <c r="A255" s="1" t="n">
        <v>101822</v>
      </c>
      <c r="B255" s="1" t="n">
        <v>51128</v>
      </c>
      <c r="C255" s="1" t="n">
        <v>23</v>
      </c>
      <c r="D255" s="1" t="n">
        <v>1</v>
      </c>
      <c r="E255" s="1" t="str">
        <f aca="false">VLOOKUP(C255,Меню!$A$2:$C$24,2,FALSE())</f>
        <v>Пицца с тунцом</v>
      </c>
      <c r="F255" s="1" t="n">
        <f aca="false">VLOOKUP(C255,Меню!$A$2:$C$24,3,FALSE())</f>
        <v>520</v>
      </c>
      <c r="G255" s="5" t="n">
        <f aca="false">VLOOKUP(B255,Заказы!$A$2:$E$2995,2,FALSE())</f>
        <v>43999</v>
      </c>
      <c r="H255" s="1" t="n">
        <f aca="false">VLOOKUP(B255,Заказы!$A$2:$E$2995,3,FALSE())</f>
        <v>405</v>
      </c>
      <c r="I255" s="1" t="str">
        <f aca="false">VLOOKUP(H255,Клиенты!$A$2:$E$1995,5,FALSE())</f>
        <v>г. Ленинск</v>
      </c>
      <c r="J255" s="1" t="n">
        <f aca="false">VLOOKUP(B255,Заказы!$A$2:$E$2995,4,FALSE())</f>
        <v>559</v>
      </c>
      <c r="K255" s="1" t="str">
        <f aca="false">VLOOKUP(B255,Заказы!$A$2:$E$2995,5,FALSE())</f>
        <v>Выполнено</v>
      </c>
      <c r="L255" s="1" t="n">
        <f aca="false">D255*F255+J255</f>
        <v>1079</v>
      </c>
      <c r="M255" s="1" t="n">
        <f aca="false">IF(AND(E255="Пицца Труслейка",I255="г. Москва",K255="Выполнено",G255&gt;=DATE(2020,7,1),G255&lt;DATE(2020,8,1)),L255,0)</f>
        <v>0</v>
      </c>
    </row>
    <row r="256" customFormat="false" ht="15" hidden="false" customHeight="true" outlineLevel="0" collapsed="false">
      <c r="A256" s="1" t="n">
        <v>100206</v>
      </c>
      <c r="B256" s="1" t="n">
        <v>51016</v>
      </c>
      <c r="C256" s="1" t="n">
        <v>15</v>
      </c>
      <c r="D256" s="1" t="n">
        <v>3</v>
      </c>
      <c r="E256" s="1" t="str">
        <f aca="false">VLOOKUP(C256,Меню!$A$2:$C$24,2,FALSE())</f>
        <v>Пицца Тропиканка</v>
      </c>
      <c r="F256" s="1" t="n">
        <f aca="false">VLOOKUP(C256,Меню!$A$2:$C$24,3,FALSE())</f>
        <v>605</v>
      </c>
      <c r="G256" s="5" t="n">
        <f aca="false">VLOOKUP(B256,Заказы!$A$2:$E$2995,2,FALSE())</f>
        <v>44011</v>
      </c>
      <c r="H256" s="1" t="n">
        <f aca="false">VLOOKUP(B256,Заказы!$A$2:$E$2995,3,FALSE())</f>
        <v>187</v>
      </c>
      <c r="I256" s="1" t="str">
        <f aca="false">VLOOKUP(H256,Клиенты!$A$2:$E$1995,5,FALSE())</f>
        <v>г. Учалы</v>
      </c>
      <c r="J256" s="1" t="n">
        <f aca="false">VLOOKUP(B256,Заказы!$A$2:$E$2995,4,FALSE())</f>
        <v>892</v>
      </c>
      <c r="K256" s="1" t="str">
        <f aca="false">VLOOKUP(B256,Заказы!$A$2:$E$2995,5,FALSE())</f>
        <v>Выполнено</v>
      </c>
      <c r="L256" s="1" t="n">
        <f aca="false">D256*F256+J256</f>
        <v>2707</v>
      </c>
      <c r="M256" s="1" t="n">
        <f aca="false">IF(AND(E256="Пицца Труслейка",I256="г. Москва",K256="Выполнено",G256&gt;=DATE(2020,7,1),G256&lt;DATE(2020,8,1)),L256,0)</f>
        <v>0</v>
      </c>
    </row>
    <row r="257" customFormat="false" ht="15" hidden="false" customHeight="true" outlineLevel="0" collapsed="false">
      <c r="A257" s="1" t="n">
        <v>101336</v>
      </c>
      <c r="B257" s="1" t="n">
        <v>50278</v>
      </c>
      <c r="C257" s="1" t="n">
        <v>8</v>
      </c>
      <c r="D257" s="1" t="n">
        <v>1</v>
      </c>
      <c r="E257" s="1" t="str">
        <f aca="false">VLOOKUP(C257,Меню!$A$2:$C$24,2,FALSE())</f>
        <v>Пицца Мясная</v>
      </c>
      <c r="F257" s="1" t="n">
        <f aca="false">VLOOKUP(C257,Меню!$A$2:$C$24,3,FALSE())</f>
        <v>615</v>
      </c>
      <c r="G257" s="5" t="n">
        <f aca="false">VLOOKUP(B257,Заказы!$A$2:$E$2995,2,FALSE())</f>
        <v>44037</v>
      </c>
      <c r="H257" s="1" t="n">
        <f aca="false">VLOOKUP(B257,Заказы!$A$2:$E$2995,3,FALSE())</f>
        <v>800</v>
      </c>
      <c r="I257" s="1" t="str">
        <f aca="false">VLOOKUP(H257,Клиенты!$A$2:$E$1995,5,FALSE())</f>
        <v>г. Москва</v>
      </c>
      <c r="J257" s="1" t="n">
        <f aca="false">VLOOKUP(B257,Заказы!$A$2:$E$2995,4,FALSE())</f>
        <v>292</v>
      </c>
      <c r="K257" s="1" t="str">
        <f aca="false">VLOOKUP(B257,Заказы!$A$2:$E$2995,5,FALSE())</f>
        <v>Выполнено</v>
      </c>
      <c r="L257" s="1" t="n">
        <f aca="false">D257*F257+J257</f>
        <v>907</v>
      </c>
      <c r="M257" s="1" t="n">
        <f aca="false">IF(AND(E257="Пицца Труслейка",I257="г. Москва",K257="Выполнено",G257&gt;=DATE(2020,7,1),G257&lt;DATE(2020,8,1)),L257,0)</f>
        <v>0</v>
      </c>
    </row>
    <row r="258" customFormat="false" ht="15" hidden="false" customHeight="true" outlineLevel="0" collapsed="false">
      <c r="A258" s="1" t="n">
        <v>100936</v>
      </c>
      <c r="B258" s="1" t="n">
        <v>50703</v>
      </c>
      <c r="C258" s="1" t="n">
        <v>23</v>
      </c>
      <c r="D258" s="1" t="n">
        <v>3</v>
      </c>
      <c r="E258" s="1" t="str">
        <f aca="false">VLOOKUP(C258,Меню!$A$2:$C$24,2,FALSE())</f>
        <v>Пицца с тунцом</v>
      </c>
      <c r="F258" s="1" t="n">
        <f aca="false">VLOOKUP(C258,Меню!$A$2:$C$24,3,FALSE())</f>
        <v>520</v>
      </c>
      <c r="G258" s="5" t="n">
        <f aca="false">VLOOKUP(B258,Заказы!$A$2:$E$2995,2,FALSE())</f>
        <v>44039</v>
      </c>
      <c r="H258" s="1" t="n">
        <f aca="false">VLOOKUP(B258,Заказы!$A$2:$E$2995,3,FALSE())</f>
        <v>849</v>
      </c>
      <c r="I258" s="1" t="str">
        <f aca="false">VLOOKUP(H258,Клиенты!$A$2:$E$1995,5,FALSE())</f>
        <v>г. Приозерск</v>
      </c>
      <c r="J258" s="1" t="n">
        <f aca="false">VLOOKUP(B258,Заказы!$A$2:$E$2995,4,FALSE())</f>
        <v>550</v>
      </c>
      <c r="K258" s="1" t="str">
        <f aca="false">VLOOKUP(B258,Заказы!$A$2:$E$2995,5,FALSE())</f>
        <v>Выполнено</v>
      </c>
      <c r="L258" s="1" t="n">
        <f aca="false">D258*F258+J258</f>
        <v>2110</v>
      </c>
      <c r="M258" s="1" t="n">
        <f aca="false">IF(AND(E258="Пицца Труслейка",I258="г. Москва",K258="Выполнено",G258&gt;=DATE(2020,7,1),G258&lt;DATE(2020,8,1)),L258,0)</f>
        <v>0</v>
      </c>
    </row>
    <row r="259" customFormat="false" ht="15" hidden="false" customHeight="true" outlineLevel="0" collapsed="false">
      <c r="A259" s="1" t="n">
        <v>100536</v>
      </c>
      <c r="B259" s="1" t="n">
        <v>50032</v>
      </c>
      <c r="C259" s="1" t="n">
        <v>1</v>
      </c>
      <c r="D259" s="1" t="n">
        <v>8</v>
      </c>
      <c r="E259" s="1" t="str">
        <f aca="false">VLOOKUP(C259,Меню!$A$2:$C$24,2,FALSE())</f>
        <v>Пицца Гавайская</v>
      </c>
      <c r="F259" s="1" t="n">
        <f aca="false">VLOOKUP(C259,Меню!$A$2:$C$24,3,FALSE())</f>
        <v>545</v>
      </c>
      <c r="G259" s="5" t="n">
        <f aca="false">VLOOKUP(B259,Заказы!$A$2:$E$2995,2,FALSE())</f>
        <v>44044</v>
      </c>
      <c r="H259" s="1" t="n">
        <f aca="false">VLOOKUP(B259,Заказы!$A$2:$E$2995,3,FALSE())</f>
        <v>1082</v>
      </c>
      <c r="I259" s="1" t="str">
        <f aca="false">VLOOKUP(H259,Клиенты!$A$2:$E$1995,5,FALSE())</f>
        <v>г. Киренск</v>
      </c>
      <c r="J259" s="1" t="n">
        <f aca="false">VLOOKUP(B259,Заказы!$A$2:$E$2995,4,FALSE())</f>
        <v>540</v>
      </c>
      <c r="K259" s="1" t="str">
        <f aca="false">VLOOKUP(B259,Заказы!$A$2:$E$2995,5,FALSE())</f>
        <v>Выполнено</v>
      </c>
      <c r="L259" s="1" t="n">
        <f aca="false">D259*F259+J259</f>
        <v>4900</v>
      </c>
      <c r="M259" s="1" t="n">
        <f aca="false">IF(AND(E259="Пицца Труслейка",I259="г. Москва",K259="Выполнено",G259&gt;=DATE(2020,7,1),G259&lt;DATE(2020,8,1)),L259,0)</f>
        <v>0</v>
      </c>
    </row>
    <row r="260" customFormat="false" ht="15" hidden="false" customHeight="true" outlineLevel="0" collapsed="false">
      <c r="A260" s="1" t="n">
        <v>101369</v>
      </c>
      <c r="B260" s="1" t="n">
        <v>50202</v>
      </c>
      <c r="C260" s="1" t="n">
        <v>17</v>
      </c>
      <c r="D260" s="1" t="n">
        <v>2</v>
      </c>
      <c r="E260" s="1" t="str">
        <f aca="false">VLOOKUP(C260,Меню!$A$2:$C$24,2,FALSE())</f>
        <v>Пицца Френч Фрайз</v>
      </c>
      <c r="F260" s="1" t="n">
        <f aca="false">VLOOKUP(C260,Меню!$A$2:$C$24,3,FALSE())</f>
        <v>515</v>
      </c>
      <c r="G260" s="5" t="n">
        <f aca="false">VLOOKUP(B260,Заказы!$A$2:$E$2995,2,FALSE())</f>
        <v>44009</v>
      </c>
      <c r="H260" s="1" t="n">
        <f aca="false">VLOOKUP(B260,Заказы!$A$2:$E$2995,3,FALSE())</f>
        <v>827</v>
      </c>
      <c r="I260" s="1" t="str">
        <f aca="false">VLOOKUP(H260,Клиенты!$A$2:$E$1995,5,FALSE())</f>
        <v>г. Макаров</v>
      </c>
      <c r="J260" s="1" t="n">
        <f aca="false">VLOOKUP(B260,Заказы!$A$2:$E$2995,4,FALSE())</f>
        <v>636</v>
      </c>
      <c r="K260" s="1" t="str">
        <f aca="false">VLOOKUP(B260,Заказы!$A$2:$E$2995,5,FALSE())</f>
        <v>Выполнено</v>
      </c>
      <c r="L260" s="1" t="n">
        <f aca="false">D260*F260+J260</f>
        <v>1666</v>
      </c>
      <c r="M260" s="1" t="n">
        <f aca="false">IF(AND(E260="Пицца Труслейка",I260="г. Москва",K260="Выполнено",G260&gt;=DATE(2020,7,1),G260&lt;DATE(2020,8,1)),L260,0)</f>
        <v>0</v>
      </c>
    </row>
    <row r="261" customFormat="false" ht="15" hidden="false" customHeight="true" outlineLevel="0" collapsed="false">
      <c r="A261" s="1" t="n">
        <v>101483</v>
      </c>
      <c r="B261" s="1" t="n">
        <v>51757</v>
      </c>
      <c r="C261" s="1" t="n">
        <v>4</v>
      </c>
      <c r="D261" s="1" t="n">
        <v>3</v>
      </c>
      <c r="E261" s="1" t="str">
        <f aca="false">VLOOKUP(C261,Меню!$A$2:$C$24,2,FALSE())</f>
        <v>Пицца Труслейка</v>
      </c>
      <c r="F261" s="1" t="n">
        <f aca="false">VLOOKUP(C261,Меню!$A$2:$C$24,3,FALSE())</f>
        <v>610</v>
      </c>
      <c r="G261" s="5" t="n">
        <f aca="false">VLOOKUP(B261,Заказы!$A$2:$E$2995,2,FALSE())</f>
        <v>43995</v>
      </c>
      <c r="H261" s="1" t="n">
        <f aca="false">VLOOKUP(B261,Заказы!$A$2:$E$2995,3,FALSE())</f>
        <v>1980</v>
      </c>
      <c r="I261" s="1" t="str">
        <f aca="false">VLOOKUP(H261,Клиенты!$A$2:$E$1995,5,FALSE())</f>
        <v>г. Москва</v>
      </c>
      <c r="J261" s="1" t="n">
        <f aca="false">VLOOKUP(B261,Заказы!$A$2:$E$2995,4,FALSE())</f>
        <v>0</v>
      </c>
      <c r="K261" s="1" t="str">
        <f aca="false">VLOOKUP(B261,Заказы!$A$2:$E$2995,5,FALSE())</f>
        <v>Не выполнено</v>
      </c>
      <c r="L261" s="1" t="n">
        <f aca="false">D261*F261+J261</f>
        <v>1830</v>
      </c>
      <c r="M261" s="1" t="n">
        <f aca="false">IF(AND(E261="Пицца Труслейка",I261="г. Москва",K261="Выполнено",G261&gt;=DATE(2020,7,1),G261&lt;DATE(2020,8,1)),L261,0)</f>
        <v>0</v>
      </c>
    </row>
    <row r="262" customFormat="false" ht="15" hidden="false" customHeight="true" outlineLevel="0" collapsed="false">
      <c r="A262" s="1" t="n">
        <v>100552</v>
      </c>
      <c r="B262" s="1" t="n">
        <v>51070</v>
      </c>
      <c r="C262" s="1" t="n">
        <v>22</v>
      </c>
      <c r="D262" s="1" t="n">
        <v>10</v>
      </c>
      <c r="E262" s="1" t="str">
        <f aca="false">VLOOKUP(C262,Меню!$A$2:$C$24,2,FALSE())</f>
        <v>Пицца с поркеттой и фриарелли</v>
      </c>
      <c r="F262" s="1" t="n">
        <f aca="false">VLOOKUP(C262,Меню!$A$2:$C$24,3,FALSE())</f>
        <v>550</v>
      </c>
      <c r="G262" s="5" t="n">
        <f aca="false">VLOOKUP(B262,Заказы!$A$2:$E$2995,2,FALSE())</f>
        <v>44055</v>
      </c>
      <c r="H262" s="1" t="n">
        <f aca="false">VLOOKUP(B262,Заказы!$A$2:$E$2995,3,FALSE())</f>
        <v>1441</v>
      </c>
      <c r="I262" s="1" t="str">
        <f aca="false">VLOOKUP(H262,Клиенты!$A$2:$E$1995,5,FALSE())</f>
        <v>г. Мытищи</v>
      </c>
      <c r="J262" s="1" t="n">
        <f aca="false">VLOOKUP(B262,Заказы!$A$2:$E$2995,4,FALSE())</f>
        <v>0</v>
      </c>
      <c r="K262" s="1" t="str">
        <f aca="false">VLOOKUP(B262,Заказы!$A$2:$E$2995,5,FALSE())</f>
        <v>Не выполнено</v>
      </c>
      <c r="L262" s="1" t="n">
        <f aca="false">D262*F262+J262</f>
        <v>5500</v>
      </c>
      <c r="M262" s="1" t="n">
        <f aca="false">IF(AND(E262="Пицца Труслейка",I262="г. Москва",K262="Выполнено",G262&gt;=DATE(2020,7,1),G262&lt;DATE(2020,8,1)),L262,0)</f>
        <v>0</v>
      </c>
    </row>
    <row r="263" customFormat="false" ht="15" hidden="false" customHeight="true" outlineLevel="0" collapsed="false">
      <c r="A263" s="1" t="n">
        <v>100056</v>
      </c>
      <c r="B263" s="1" t="n">
        <v>51460</v>
      </c>
      <c r="C263" s="1" t="n">
        <v>17</v>
      </c>
      <c r="D263" s="1" t="n">
        <v>3</v>
      </c>
      <c r="E263" s="1" t="str">
        <f aca="false">VLOOKUP(C263,Меню!$A$2:$C$24,2,FALSE())</f>
        <v>Пицца Френч Фрайз</v>
      </c>
      <c r="F263" s="1" t="n">
        <f aca="false">VLOOKUP(C263,Меню!$A$2:$C$24,3,FALSE())</f>
        <v>515</v>
      </c>
      <c r="G263" s="5" t="n">
        <f aca="false">VLOOKUP(B263,Заказы!$A$2:$E$2995,2,FALSE())</f>
        <v>44071</v>
      </c>
      <c r="H263" s="1" t="n">
        <f aca="false">VLOOKUP(B263,Заказы!$A$2:$E$2995,3,FALSE())</f>
        <v>914</v>
      </c>
      <c r="I263" s="1" t="str">
        <f aca="false">VLOOKUP(H263,Клиенты!$A$2:$E$1995,5,FALSE())</f>
        <v>г. Новоуральск</v>
      </c>
      <c r="J263" s="1" t="n">
        <f aca="false">VLOOKUP(B263,Заказы!$A$2:$E$2995,4,FALSE())</f>
        <v>314</v>
      </c>
      <c r="K263" s="1" t="str">
        <f aca="false">VLOOKUP(B263,Заказы!$A$2:$E$2995,5,FALSE())</f>
        <v>Выполнено</v>
      </c>
      <c r="L263" s="1" t="n">
        <f aca="false">D263*F263+J263</f>
        <v>1859</v>
      </c>
      <c r="M263" s="1" t="n">
        <f aca="false">IF(AND(E263="Пицца Труслейка",I263="г. Москва",K263="Выполнено",G263&gt;=DATE(2020,7,1),G263&lt;DATE(2020,8,1)),L263,0)</f>
        <v>0</v>
      </c>
    </row>
    <row r="264" customFormat="false" ht="15" hidden="false" customHeight="true" outlineLevel="0" collapsed="false">
      <c r="A264" s="1" t="n">
        <v>101458</v>
      </c>
      <c r="B264" s="1" t="n">
        <v>51605</v>
      </c>
      <c r="C264" s="1" t="n">
        <v>9</v>
      </c>
      <c r="D264" s="1" t="n">
        <v>5</v>
      </c>
      <c r="E264" s="1" t="str">
        <f aca="false">VLOOKUP(C264,Меню!$A$2:$C$24,2,FALSE())</f>
        <v>Пицца Острая с беконом</v>
      </c>
      <c r="F264" s="1" t="n">
        <f aca="false">VLOOKUP(C264,Меню!$A$2:$C$24,3,FALSE())</f>
        <v>540</v>
      </c>
      <c r="G264" s="5" t="n">
        <f aca="false">VLOOKUP(B264,Заказы!$A$2:$E$2995,2,FALSE())</f>
        <v>44026</v>
      </c>
      <c r="H264" s="1" t="n">
        <f aca="false">VLOOKUP(B264,Заказы!$A$2:$E$2995,3,FALSE())</f>
        <v>1305</v>
      </c>
      <c r="I264" s="1" t="str">
        <f aca="false">VLOOKUP(H264,Клиенты!$A$2:$E$1995,5,FALSE())</f>
        <v>г. Пятигорск</v>
      </c>
      <c r="J264" s="1" t="n">
        <f aca="false">VLOOKUP(B264,Заказы!$A$2:$E$2995,4,FALSE())</f>
        <v>121</v>
      </c>
      <c r="K264" s="1" t="str">
        <f aca="false">VLOOKUP(B264,Заказы!$A$2:$E$2995,5,FALSE())</f>
        <v>Выполнено</v>
      </c>
      <c r="L264" s="1" t="n">
        <f aca="false">D264*F264+J264</f>
        <v>2821</v>
      </c>
      <c r="M264" s="1" t="n">
        <f aca="false">IF(AND(E264="Пицца Труслейка",I264="г. Москва",K264="Выполнено",G264&gt;=DATE(2020,7,1),G264&lt;DATE(2020,8,1)),L264,0)</f>
        <v>0</v>
      </c>
    </row>
    <row r="265" customFormat="false" ht="15" hidden="false" customHeight="true" outlineLevel="0" collapsed="false">
      <c r="A265" s="1" t="n">
        <v>101579</v>
      </c>
      <c r="B265" s="1" t="n">
        <v>50332</v>
      </c>
      <c r="C265" s="1" t="n">
        <v>22</v>
      </c>
      <c r="D265" s="1" t="n">
        <v>6</v>
      </c>
      <c r="E265" s="1" t="str">
        <f aca="false">VLOOKUP(C265,Меню!$A$2:$C$24,2,FALSE())</f>
        <v>Пицца с поркеттой и фриарелли</v>
      </c>
      <c r="F265" s="1" t="n">
        <f aca="false">VLOOKUP(C265,Меню!$A$2:$C$24,3,FALSE())</f>
        <v>550</v>
      </c>
      <c r="G265" s="5" t="n">
        <f aca="false">VLOOKUP(B265,Заказы!$A$2:$E$2995,2,FALSE())</f>
        <v>44035</v>
      </c>
      <c r="H265" s="1" t="n">
        <f aca="false">VLOOKUP(B265,Заказы!$A$2:$E$2995,3,FALSE())</f>
        <v>654</v>
      </c>
      <c r="I265" s="1" t="str">
        <f aca="false">VLOOKUP(H265,Клиенты!$A$2:$E$1995,5,FALSE())</f>
        <v>г. Ростов-на-Дону</v>
      </c>
      <c r="J265" s="1" t="n">
        <f aca="false">VLOOKUP(B265,Заказы!$A$2:$E$2995,4,FALSE())</f>
        <v>692</v>
      </c>
      <c r="K265" s="1" t="str">
        <f aca="false">VLOOKUP(B265,Заказы!$A$2:$E$2995,5,FALSE())</f>
        <v>Выполнено</v>
      </c>
      <c r="L265" s="1" t="n">
        <f aca="false">D265*F265+J265</f>
        <v>3992</v>
      </c>
      <c r="M265" s="1" t="n">
        <f aca="false">IF(AND(E265="Пицца Труслейка",I265="г. Москва",K265="Выполнено",G265&gt;=DATE(2020,7,1),G265&lt;DATE(2020,8,1)),L265,0)</f>
        <v>0</v>
      </c>
    </row>
    <row r="266" customFormat="false" ht="15" hidden="false" customHeight="true" outlineLevel="0" collapsed="false">
      <c r="A266" s="1" t="n">
        <v>100534</v>
      </c>
      <c r="B266" s="1" t="n">
        <v>51006</v>
      </c>
      <c r="C266" s="1" t="n">
        <v>12</v>
      </c>
      <c r="D266" s="1" t="n">
        <v>10</v>
      </c>
      <c r="E266" s="1" t="str">
        <f aca="false">VLOOKUP(C266,Меню!$A$2:$C$24,2,FALSE())</f>
        <v>Пицца Салями с трюфелем</v>
      </c>
      <c r="F266" s="1" t="n">
        <f aca="false">VLOOKUP(C266,Меню!$A$2:$C$24,3,FALSE())</f>
        <v>525</v>
      </c>
      <c r="G266" s="5" t="n">
        <f aca="false">VLOOKUP(B266,Заказы!$A$2:$E$2995,2,FALSE())</f>
        <v>43993</v>
      </c>
      <c r="H266" s="1" t="n">
        <f aca="false">VLOOKUP(B266,Заказы!$A$2:$E$2995,3,FALSE())</f>
        <v>697</v>
      </c>
      <c r="I266" s="1" t="str">
        <f aca="false">VLOOKUP(H266,Клиенты!$A$2:$E$1995,5,FALSE())</f>
        <v>г. Старица</v>
      </c>
      <c r="J266" s="1" t="n">
        <f aca="false">VLOOKUP(B266,Заказы!$A$2:$E$2995,4,FALSE())</f>
        <v>0</v>
      </c>
      <c r="K266" s="1" t="str">
        <f aca="false">VLOOKUP(B266,Заказы!$A$2:$E$2995,5,FALSE())</f>
        <v>Не выполнено</v>
      </c>
      <c r="L266" s="1" t="n">
        <f aca="false">D266*F266+J266</f>
        <v>5250</v>
      </c>
      <c r="M266" s="1" t="n">
        <f aca="false">IF(AND(E266="Пицца Труслейка",I266="г. Москва",K266="Выполнено",G266&gt;=DATE(2020,7,1),G266&lt;DATE(2020,8,1)),L266,0)</f>
        <v>0</v>
      </c>
    </row>
    <row r="267" customFormat="false" ht="15" hidden="false" customHeight="true" outlineLevel="0" collapsed="false">
      <c r="A267" s="1" t="n">
        <v>100781</v>
      </c>
      <c r="B267" s="1" t="n">
        <v>51474</v>
      </c>
      <c r="C267" s="1" t="n">
        <v>17</v>
      </c>
      <c r="D267" s="1" t="n">
        <v>8</v>
      </c>
      <c r="E267" s="1" t="str">
        <f aca="false">VLOOKUP(C267,Меню!$A$2:$C$24,2,FALSE())</f>
        <v>Пицца Френч Фрайз</v>
      </c>
      <c r="F267" s="1" t="n">
        <f aca="false">VLOOKUP(C267,Меню!$A$2:$C$24,3,FALSE())</f>
        <v>515</v>
      </c>
      <c r="G267" s="5" t="n">
        <f aca="false">VLOOKUP(B267,Заказы!$A$2:$E$2995,2,FALSE())</f>
        <v>44022</v>
      </c>
      <c r="H267" s="1" t="n">
        <f aca="false">VLOOKUP(B267,Заказы!$A$2:$E$2995,3,FALSE())</f>
        <v>150</v>
      </c>
      <c r="I267" s="1" t="str">
        <f aca="false">VLOOKUP(H267,Клиенты!$A$2:$E$1995,5,FALSE())</f>
        <v>г. Москва</v>
      </c>
      <c r="J267" s="1" t="n">
        <f aca="false">VLOOKUP(B267,Заказы!$A$2:$E$2995,4,FALSE())</f>
        <v>119</v>
      </c>
      <c r="K267" s="1" t="str">
        <f aca="false">VLOOKUP(B267,Заказы!$A$2:$E$2995,5,FALSE())</f>
        <v>Выполнено</v>
      </c>
      <c r="L267" s="1" t="n">
        <f aca="false">D267*F267+J267</f>
        <v>4239</v>
      </c>
      <c r="M267" s="1" t="n">
        <f aca="false">IF(AND(E267="Пицца Труслейка",I267="г. Москва",K267="Выполнено",G267&gt;=DATE(2020,7,1),G267&lt;DATE(2020,8,1)),L267,0)</f>
        <v>0</v>
      </c>
    </row>
    <row r="268" customFormat="false" ht="15" hidden="false" customHeight="true" outlineLevel="0" collapsed="false">
      <c r="A268" s="1" t="n">
        <v>100380</v>
      </c>
      <c r="B268" s="1" t="n">
        <v>51283</v>
      </c>
      <c r="C268" s="1" t="n">
        <v>22</v>
      </c>
      <c r="D268" s="1" t="n">
        <v>2</v>
      </c>
      <c r="E268" s="1" t="str">
        <f aca="false">VLOOKUP(C268,Меню!$A$2:$C$24,2,FALSE())</f>
        <v>Пицца с поркеттой и фриарелли</v>
      </c>
      <c r="F268" s="1" t="n">
        <f aca="false">VLOOKUP(C268,Меню!$A$2:$C$24,3,FALSE())</f>
        <v>550</v>
      </c>
      <c r="G268" s="5" t="n">
        <f aca="false">VLOOKUP(B268,Заказы!$A$2:$E$2995,2,FALSE())</f>
        <v>44067</v>
      </c>
      <c r="H268" s="1" t="n">
        <f aca="false">VLOOKUP(B268,Заказы!$A$2:$E$2995,3,FALSE())</f>
        <v>1167</v>
      </c>
      <c r="I268" s="1" t="str">
        <f aca="false">VLOOKUP(H268,Клиенты!$A$2:$E$1995,5,FALSE())</f>
        <v>г. Воткинск</v>
      </c>
      <c r="J268" s="1" t="n">
        <f aca="false">VLOOKUP(B268,Заказы!$A$2:$E$2995,4,FALSE())</f>
        <v>0</v>
      </c>
      <c r="K268" s="1" t="str">
        <f aca="false">VLOOKUP(B268,Заказы!$A$2:$E$2995,5,FALSE())</f>
        <v>Не выполнено</v>
      </c>
      <c r="L268" s="1" t="n">
        <f aca="false">D268*F268+J268</f>
        <v>1100</v>
      </c>
      <c r="M268" s="1" t="n">
        <f aca="false">IF(AND(E268="Пицца Труслейка",I268="г. Москва",K268="Выполнено",G268&gt;=DATE(2020,7,1),G268&lt;DATE(2020,8,1)),L268,0)</f>
        <v>0</v>
      </c>
    </row>
    <row r="269" customFormat="false" ht="15" hidden="false" customHeight="true" outlineLevel="0" collapsed="false">
      <c r="A269" s="1" t="n">
        <v>100549</v>
      </c>
      <c r="B269" s="1" t="n">
        <v>50765</v>
      </c>
      <c r="C269" s="1" t="n">
        <v>22</v>
      </c>
      <c r="D269" s="1" t="n">
        <v>9</v>
      </c>
      <c r="E269" s="1" t="str">
        <f aca="false">VLOOKUP(C269,Меню!$A$2:$C$24,2,FALSE())</f>
        <v>Пицца с поркеттой и фриарелли</v>
      </c>
      <c r="F269" s="1" t="n">
        <f aca="false">VLOOKUP(C269,Меню!$A$2:$C$24,3,FALSE())</f>
        <v>550</v>
      </c>
      <c r="G269" s="5" t="n">
        <f aca="false">VLOOKUP(B269,Заказы!$A$2:$E$2995,2,FALSE())</f>
        <v>44063</v>
      </c>
      <c r="H269" s="1" t="n">
        <f aca="false">VLOOKUP(B269,Заказы!$A$2:$E$2995,3,FALSE())</f>
        <v>1636</v>
      </c>
      <c r="I269" s="1" t="str">
        <f aca="false">VLOOKUP(H269,Клиенты!$A$2:$E$1995,5,FALSE())</f>
        <v>г. Лабинск</v>
      </c>
      <c r="J269" s="1" t="n">
        <f aca="false">VLOOKUP(B269,Заказы!$A$2:$E$2995,4,FALSE())</f>
        <v>129</v>
      </c>
      <c r="K269" s="1" t="str">
        <f aca="false">VLOOKUP(B269,Заказы!$A$2:$E$2995,5,FALSE())</f>
        <v>Выполнено</v>
      </c>
      <c r="L269" s="1" t="n">
        <f aca="false">D269*F269+J269</f>
        <v>5079</v>
      </c>
      <c r="M269" s="1" t="n">
        <f aca="false">IF(AND(E269="Пицца Труслейка",I269="г. Москва",K269="Выполнено",G269&gt;=DATE(2020,7,1),G269&lt;DATE(2020,8,1)),L269,0)</f>
        <v>0</v>
      </c>
    </row>
    <row r="270" customFormat="false" ht="15" hidden="false" customHeight="true" outlineLevel="0" collapsed="false">
      <c r="A270" s="1" t="n">
        <v>101164</v>
      </c>
      <c r="B270" s="1" t="n">
        <v>51581</v>
      </c>
      <c r="C270" s="1" t="n">
        <v>5</v>
      </c>
      <c r="D270" s="1" t="n">
        <v>5</v>
      </c>
      <c r="E270" s="1" t="str">
        <f aca="false">VLOOKUP(C270,Меню!$A$2:$C$24,2,FALSE())</f>
        <v>Пицца Жюльен</v>
      </c>
      <c r="F270" s="1" t="n">
        <f aca="false">VLOOKUP(C270,Меню!$A$2:$C$24,3,FALSE())</f>
        <v>580</v>
      </c>
      <c r="G270" s="5" t="n">
        <f aca="false">VLOOKUP(B270,Заказы!$A$2:$E$2995,2,FALSE())</f>
        <v>44040</v>
      </c>
      <c r="H270" s="1" t="n">
        <f aca="false">VLOOKUP(B270,Заказы!$A$2:$E$2995,3,FALSE())</f>
        <v>1776</v>
      </c>
      <c r="I270" s="1" t="str">
        <f aca="false">VLOOKUP(H270,Клиенты!$A$2:$E$1995,5,FALSE())</f>
        <v>г. Донской</v>
      </c>
      <c r="J270" s="1" t="n">
        <f aca="false">VLOOKUP(B270,Заказы!$A$2:$E$2995,4,FALSE())</f>
        <v>838</v>
      </c>
      <c r="K270" s="1" t="str">
        <f aca="false">VLOOKUP(B270,Заказы!$A$2:$E$2995,5,FALSE())</f>
        <v>Выполнено</v>
      </c>
      <c r="L270" s="1" t="n">
        <f aca="false">D270*F270+J270</f>
        <v>3738</v>
      </c>
      <c r="M270" s="1" t="n">
        <f aca="false">IF(AND(E270="Пицца Труслейка",I270="г. Москва",K270="Выполнено",G270&gt;=DATE(2020,7,1),G270&lt;DATE(2020,8,1)),L270,0)</f>
        <v>0</v>
      </c>
    </row>
    <row r="271" customFormat="false" ht="15" hidden="false" customHeight="true" outlineLevel="0" collapsed="false">
      <c r="A271" s="1" t="n">
        <v>100819</v>
      </c>
      <c r="B271" s="1" t="n">
        <v>51060</v>
      </c>
      <c r="C271" s="1" t="n">
        <v>4</v>
      </c>
      <c r="D271" s="1" t="n">
        <v>4</v>
      </c>
      <c r="E271" s="1" t="str">
        <f aca="false">VLOOKUP(C271,Меню!$A$2:$C$24,2,FALSE())</f>
        <v>Пицца Труслейка</v>
      </c>
      <c r="F271" s="1" t="n">
        <f aca="false">VLOOKUP(C271,Меню!$A$2:$C$24,3,FALSE())</f>
        <v>610</v>
      </c>
      <c r="G271" s="5" t="n">
        <f aca="false">VLOOKUP(B271,Заказы!$A$2:$E$2995,2,FALSE())</f>
        <v>43997</v>
      </c>
      <c r="H271" s="1" t="n">
        <f aca="false">VLOOKUP(B271,Заказы!$A$2:$E$2995,3,FALSE())</f>
        <v>1375</v>
      </c>
      <c r="I271" s="1" t="str">
        <f aca="false">VLOOKUP(H271,Клиенты!$A$2:$E$1995,5,FALSE())</f>
        <v>г. Звенигово</v>
      </c>
      <c r="J271" s="1" t="n">
        <f aca="false">VLOOKUP(B271,Заказы!$A$2:$E$2995,4,FALSE())</f>
        <v>265</v>
      </c>
      <c r="K271" s="1" t="str">
        <f aca="false">VLOOKUP(B271,Заказы!$A$2:$E$2995,5,FALSE())</f>
        <v>Выполнено</v>
      </c>
      <c r="L271" s="1" t="n">
        <f aca="false">D271*F271+J271</f>
        <v>2705</v>
      </c>
      <c r="M271" s="1" t="n">
        <f aca="false">IF(AND(E271="Пицца Труслейка",I271="г. Москва",K271="Выполнено",G271&gt;=DATE(2020,7,1),G271&lt;DATE(2020,8,1)),L271,0)</f>
        <v>0</v>
      </c>
    </row>
    <row r="272" customFormat="false" ht="15" hidden="false" customHeight="true" outlineLevel="0" collapsed="false">
      <c r="A272" s="1" t="n">
        <v>101463</v>
      </c>
      <c r="B272" s="1" t="n">
        <v>50326</v>
      </c>
      <c r="C272" s="1" t="n">
        <v>7</v>
      </c>
      <c r="D272" s="1" t="n">
        <v>10</v>
      </c>
      <c r="E272" s="1" t="str">
        <f aca="false">VLOOKUP(C272,Меню!$A$2:$C$24,2,FALSE())</f>
        <v>Пицца Карбонара</v>
      </c>
      <c r="F272" s="1" t="n">
        <f aca="false">VLOOKUP(C272,Меню!$A$2:$C$24,3,FALSE())</f>
        <v>625</v>
      </c>
      <c r="G272" s="5" t="n">
        <f aca="false">VLOOKUP(B272,Заказы!$A$2:$E$2995,2,FALSE())</f>
        <v>44050</v>
      </c>
      <c r="H272" s="1" t="n">
        <f aca="false">VLOOKUP(B272,Заказы!$A$2:$E$2995,3,FALSE())</f>
        <v>522</v>
      </c>
      <c r="I272" s="1" t="str">
        <f aca="false">VLOOKUP(H272,Клиенты!$A$2:$E$1995,5,FALSE())</f>
        <v>г. Духовщина</v>
      </c>
      <c r="J272" s="1" t="n">
        <f aca="false">VLOOKUP(B272,Заказы!$A$2:$E$2995,4,FALSE())</f>
        <v>0</v>
      </c>
      <c r="K272" s="1" t="str">
        <f aca="false">VLOOKUP(B272,Заказы!$A$2:$E$2995,5,FALSE())</f>
        <v>Не выполнено</v>
      </c>
      <c r="L272" s="1" t="n">
        <f aca="false">D272*F272+J272</f>
        <v>6250</v>
      </c>
      <c r="M272" s="1" t="n">
        <f aca="false">IF(AND(E272="Пицца Труслейка",I272="г. Москва",K272="Выполнено",G272&gt;=DATE(2020,7,1),G272&lt;DATE(2020,8,1)),L272,0)</f>
        <v>0</v>
      </c>
    </row>
    <row r="273" customFormat="false" ht="15" hidden="false" customHeight="true" outlineLevel="0" collapsed="false">
      <c r="A273" s="1" t="n">
        <v>100609</v>
      </c>
      <c r="B273" s="1" t="n">
        <v>50144</v>
      </c>
      <c r="C273" s="1" t="n">
        <v>3</v>
      </c>
      <c r="D273" s="1" t="n">
        <v>10</v>
      </c>
      <c r="E273" s="1" t="str">
        <f aca="false">VLOOKUP(C273,Меню!$A$2:$C$24,2,FALSE())</f>
        <v>Пицца Диабло</v>
      </c>
      <c r="F273" s="1" t="n">
        <f aca="false">VLOOKUP(C273,Меню!$A$2:$C$24,3,FALSE())</f>
        <v>590</v>
      </c>
      <c r="G273" s="5" t="n">
        <f aca="false">VLOOKUP(B273,Заказы!$A$2:$E$2995,2,FALSE())</f>
        <v>44070</v>
      </c>
      <c r="H273" s="1" t="n">
        <f aca="false">VLOOKUP(B273,Заказы!$A$2:$E$2995,3,FALSE())</f>
        <v>1443</v>
      </c>
      <c r="I273" s="1" t="str">
        <f aca="false">VLOOKUP(H273,Клиенты!$A$2:$E$1995,5,FALSE())</f>
        <v>г. Вологда</v>
      </c>
      <c r="J273" s="1" t="n">
        <f aca="false">VLOOKUP(B273,Заказы!$A$2:$E$2995,4,FALSE())</f>
        <v>105</v>
      </c>
      <c r="K273" s="1" t="str">
        <f aca="false">VLOOKUP(B273,Заказы!$A$2:$E$2995,5,FALSE())</f>
        <v>Выполнено</v>
      </c>
      <c r="L273" s="1" t="n">
        <f aca="false">D273*F273+J273</f>
        <v>6005</v>
      </c>
      <c r="M273" s="1" t="n">
        <f aca="false">IF(AND(E273="Пицца Труслейка",I273="г. Москва",K273="Выполнено",G273&gt;=DATE(2020,7,1),G273&lt;DATE(2020,8,1)),L273,0)</f>
        <v>0</v>
      </c>
    </row>
    <row r="274" customFormat="false" ht="15" hidden="false" customHeight="true" outlineLevel="0" collapsed="false">
      <c r="A274" s="1" t="n">
        <v>100784</v>
      </c>
      <c r="B274" s="1" t="n">
        <v>51774</v>
      </c>
      <c r="C274" s="1" t="n">
        <v>5</v>
      </c>
      <c r="D274" s="1" t="n">
        <v>10</v>
      </c>
      <c r="E274" s="1" t="str">
        <f aca="false">VLOOKUP(C274,Меню!$A$2:$C$24,2,FALSE())</f>
        <v>Пицца Жюльен</v>
      </c>
      <c r="F274" s="1" t="n">
        <f aca="false">VLOOKUP(C274,Меню!$A$2:$C$24,3,FALSE())</f>
        <v>580</v>
      </c>
      <c r="G274" s="5" t="n">
        <f aca="false">VLOOKUP(B274,Заказы!$A$2:$E$2995,2,FALSE())</f>
        <v>44001</v>
      </c>
      <c r="H274" s="1" t="n">
        <f aca="false">VLOOKUP(B274,Заказы!$A$2:$E$2995,3,FALSE())</f>
        <v>363</v>
      </c>
      <c r="I274" s="1" t="str">
        <f aca="false">VLOOKUP(H274,Клиенты!$A$2:$E$1995,5,FALSE())</f>
        <v>г. Сысерть</v>
      </c>
      <c r="J274" s="1" t="n">
        <f aca="false">VLOOKUP(B274,Заказы!$A$2:$E$2995,4,FALSE())</f>
        <v>0</v>
      </c>
      <c r="K274" s="1" t="str">
        <f aca="false">VLOOKUP(B274,Заказы!$A$2:$E$2995,5,FALSE())</f>
        <v>Не выполнено</v>
      </c>
      <c r="L274" s="1" t="n">
        <f aca="false">D274*F274+J274</f>
        <v>5800</v>
      </c>
      <c r="M274" s="1" t="n">
        <f aca="false">IF(AND(E274="Пицца Труслейка",I274="г. Москва",K274="Выполнено",G274&gt;=DATE(2020,7,1),G274&lt;DATE(2020,8,1)),L274,0)</f>
        <v>0</v>
      </c>
    </row>
    <row r="275" customFormat="false" ht="15" hidden="false" customHeight="true" outlineLevel="0" collapsed="false">
      <c r="A275" s="1" t="n">
        <v>101202</v>
      </c>
      <c r="B275" s="1" t="n">
        <v>51685</v>
      </c>
      <c r="C275" s="1" t="n">
        <v>1</v>
      </c>
      <c r="D275" s="1" t="n">
        <v>10</v>
      </c>
      <c r="E275" s="1" t="str">
        <f aca="false">VLOOKUP(C275,Меню!$A$2:$C$24,2,FALSE())</f>
        <v>Пицца Гавайская</v>
      </c>
      <c r="F275" s="1" t="n">
        <f aca="false">VLOOKUP(C275,Меню!$A$2:$C$24,3,FALSE())</f>
        <v>545</v>
      </c>
      <c r="G275" s="5" t="n">
        <f aca="false">VLOOKUP(B275,Заказы!$A$2:$E$2995,2,FALSE())</f>
        <v>44062</v>
      </c>
      <c r="H275" s="1" t="n">
        <f aca="false">VLOOKUP(B275,Заказы!$A$2:$E$2995,3,FALSE())</f>
        <v>219</v>
      </c>
      <c r="I275" s="1" t="str">
        <f aca="false">VLOOKUP(H275,Клиенты!$A$2:$E$1995,5,FALSE())</f>
        <v>г. Омутнинск</v>
      </c>
      <c r="J275" s="1" t="n">
        <f aca="false">VLOOKUP(B275,Заказы!$A$2:$E$2995,4,FALSE())</f>
        <v>0</v>
      </c>
      <c r="K275" s="1" t="str">
        <f aca="false">VLOOKUP(B275,Заказы!$A$2:$E$2995,5,FALSE())</f>
        <v>Не выполнено</v>
      </c>
      <c r="L275" s="1" t="n">
        <f aca="false">D275*F275+J275</f>
        <v>5450</v>
      </c>
      <c r="M275" s="1" t="n">
        <f aca="false">IF(AND(E275="Пицца Труслейка",I275="г. Москва",K275="Выполнено",G275&gt;=DATE(2020,7,1),G275&lt;DATE(2020,8,1)),L275,0)</f>
        <v>0</v>
      </c>
    </row>
    <row r="276" customFormat="false" ht="15" hidden="false" customHeight="true" outlineLevel="0" collapsed="false">
      <c r="A276" s="1" t="n">
        <v>101878</v>
      </c>
      <c r="B276" s="1" t="n">
        <v>51934</v>
      </c>
      <c r="C276" s="1" t="n">
        <v>13</v>
      </c>
      <c r="D276" s="1" t="n">
        <v>3</v>
      </c>
      <c r="E276" s="1" t="str">
        <f aca="false">VLOOKUP(C276,Меню!$A$2:$C$24,2,FALSE())</f>
        <v>Пицца Сырная</v>
      </c>
      <c r="F276" s="1" t="n">
        <f aca="false">VLOOKUP(C276,Меню!$A$2:$C$24,3,FALSE())</f>
        <v>635</v>
      </c>
      <c r="G276" s="5" t="n">
        <f aca="false">VLOOKUP(B276,Заказы!$A$2:$E$2995,2,FALSE())</f>
        <v>44069</v>
      </c>
      <c r="H276" s="1" t="n">
        <f aca="false">VLOOKUP(B276,Заказы!$A$2:$E$2995,3,FALSE())</f>
        <v>1687</v>
      </c>
      <c r="I276" s="1" t="str">
        <f aca="false">VLOOKUP(H276,Клиенты!$A$2:$E$1995,5,FALSE())</f>
        <v>г. Чита</v>
      </c>
      <c r="J276" s="1" t="n">
        <f aca="false">VLOOKUP(B276,Заказы!$A$2:$E$2995,4,FALSE())</f>
        <v>0</v>
      </c>
      <c r="K276" s="1" t="str">
        <f aca="false">VLOOKUP(B276,Заказы!$A$2:$E$2995,5,FALSE())</f>
        <v>Не выполнено</v>
      </c>
      <c r="L276" s="1" t="n">
        <f aca="false">D276*F276+J276</f>
        <v>1905</v>
      </c>
      <c r="M276" s="1" t="n">
        <f aca="false">IF(AND(E276="Пицца Труслейка",I276="г. Москва",K276="Выполнено",G276&gt;=DATE(2020,7,1),G276&lt;DATE(2020,8,1)),L276,0)</f>
        <v>0</v>
      </c>
    </row>
    <row r="277" customFormat="false" ht="15" hidden="false" customHeight="true" outlineLevel="0" collapsed="false">
      <c r="A277" s="1" t="n">
        <v>100960</v>
      </c>
      <c r="B277" s="1" t="n">
        <v>51784</v>
      </c>
      <c r="C277" s="1" t="n">
        <v>18</v>
      </c>
      <c r="D277" s="1" t="n">
        <v>5</v>
      </c>
      <c r="E277" s="1" t="str">
        <f aca="false">VLOOKUP(C277,Меню!$A$2:$C$24,2,FALSE())</f>
        <v>Пицца Царская</v>
      </c>
      <c r="F277" s="1" t="n">
        <f aca="false">VLOOKUP(C277,Меню!$A$2:$C$24,3,FALSE())</f>
        <v>620</v>
      </c>
      <c r="G277" s="5" t="n">
        <f aca="false">VLOOKUP(B277,Заказы!$A$2:$E$2995,2,FALSE())</f>
        <v>44007</v>
      </c>
      <c r="H277" s="1" t="n">
        <f aca="false">VLOOKUP(B277,Заказы!$A$2:$E$2995,3,FALSE())</f>
        <v>1941</v>
      </c>
      <c r="I277" s="1" t="str">
        <f aca="false">VLOOKUP(H277,Клиенты!$A$2:$E$1995,5,FALSE())</f>
        <v>г. Ясногорск</v>
      </c>
      <c r="J277" s="1" t="n">
        <f aca="false">VLOOKUP(B277,Заказы!$A$2:$E$2995,4,FALSE())</f>
        <v>0</v>
      </c>
      <c r="K277" s="1" t="str">
        <f aca="false">VLOOKUP(B277,Заказы!$A$2:$E$2995,5,FALSE())</f>
        <v>Не выполнено</v>
      </c>
      <c r="L277" s="1" t="n">
        <f aca="false">D277*F277+J277</f>
        <v>3100</v>
      </c>
      <c r="M277" s="1" t="n">
        <f aca="false">IF(AND(E277="Пицца Труслейка",I277="г. Москва",K277="Выполнено",G277&gt;=DATE(2020,7,1),G277&lt;DATE(2020,8,1)),L277,0)</f>
        <v>0</v>
      </c>
    </row>
    <row r="278" customFormat="false" ht="15" hidden="false" customHeight="true" outlineLevel="0" collapsed="false">
      <c r="A278" s="1" t="n">
        <v>101767</v>
      </c>
      <c r="B278" s="1" t="n">
        <v>51054</v>
      </c>
      <c r="C278" s="1" t="n">
        <v>1</v>
      </c>
      <c r="D278" s="1" t="n">
        <v>4</v>
      </c>
      <c r="E278" s="1" t="str">
        <f aca="false">VLOOKUP(C278,Меню!$A$2:$C$24,2,FALSE())</f>
        <v>Пицца Гавайская</v>
      </c>
      <c r="F278" s="1" t="n">
        <f aca="false">VLOOKUP(C278,Меню!$A$2:$C$24,3,FALSE())</f>
        <v>545</v>
      </c>
      <c r="G278" s="5" t="n">
        <f aca="false">VLOOKUP(B278,Заказы!$A$2:$E$2995,2,FALSE())</f>
        <v>44037</v>
      </c>
      <c r="H278" s="1" t="n">
        <f aca="false">VLOOKUP(B278,Заказы!$A$2:$E$2995,3,FALSE())</f>
        <v>250</v>
      </c>
      <c r="I278" s="1" t="str">
        <f aca="false">VLOOKUP(H278,Клиенты!$A$2:$E$1995,5,FALSE())</f>
        <v>г. Москва</v>
      </c>
      <c r="J278" s="1" t="n">
        <f aca="false">VLOOKUP(B278,Заказы!$A$2:$E$2995,4,FALSE())</f>
        <v>335</v>
      </c>
      <c r="K278" s="1" t="str">
        <f aca="false">VLOOKUP(B278,Заказы!$A$2:$E$2995,5,FALSE())</f>
        <v>Выполнено</v>
      </c>
      <c r="L278" s="1" t="n">
        <f aca="false">D278*F278+J278</f>
        <v>2515</v>
      </c>
      <c r="M278" s="1" t="n">
        <f aca="false">IF(AND(E278="Пицца Труслейка",I278="г. Москва",K278="Выполнено",G278&gt;=DATE(2020,7,1),G278&lt;DATE(2020,8,1)),L278,0)</f>
        <v>0</v>
      </c>
    </row>
    <row r="279" customFormat="false" ht="15" hidden="false" customHeight="true" outlineLevel="0" collapsed="false">
      <c r="A279" s="1" t="n">
        <v>100101</v>
      </c>
      <c r="B279" s="1" t="n">
        <v>50602</v>
      </c>
      <c r="C279" s="1" t="n">
        <v>17</v>
      </c>
      <c r="D279" s="1" t="n">
        <v>10</v>
      </c>
      <c r="E279" s="1" t="str">
        <f aca="false">VLOOKUP(C279,Меню!$A$2:$C$24,2,FALSE())</f>
        <v>Пицца Френч Фрайз</v>
      </c>
      <c r="F279" s="1" t="n">
        <f aca="false">VLOOKUP(C279,Меню!$A$2:$C$24,3,FALSE())</f>
        <v>515</v>
      </c>
      <c r="G279" s="5" t="n">
        <f aca="false">VLOOKUP(B279,Заказы!$A$2:$E$2995,2,FALSE())</f>
        <v>44050</v>
      </c>
      <c r="H279" s="1" t="n">
        <f aca="false">VLOOKUP(B279,Заказы!$A$2:$E$2995,3,FALSE())</f>
        <v>1650</v>
      </c>
      <c r="I279" s="1" t="str">
        <f aca="false">VLOOKUP(H279,Клиенты!$A$2:$E$1995,5,FALSE())</f>
        <v>г. Москва</v>
      </c>
      <c r="J279" s="1" t="n">
        <f aca="false">VLOOKUP(B279,Заказы!$A$2:$E$2995,4,FALSE())</f>
        <v>0</v>
      </c>
      <c r="K279" s="1" t="str">
        <f aca="false">VLOOKUP(B279,Заказы!$A$2:$E$2995,5,FALSE())</f>
        <v>Не выполнено</v>
      </c>
      <c r="L279" s="1" t="n">
        <f aca="false">D279*F279+J279</f>
        <v>5150</v>
      </c>
      <c r="M279" s="1" t="n">
        <f aca="false">IF(AND(E279="Пицца Труслейка",I279="г. Москва",K279="Выполнено",G279&gt;=DATE(2020,7,1),G279&lt;DATE(2020,8,1)),L279,0)</f>
        <v>0</v>
      </c>
    </row>
    <row r="280" customFormat="false" ht="15" hidden="false" customHeight="true" outlineLevel="0" collapsed="false">
      <c r="A280" s="1" t="n">
        <v>100929</v>
      </c>
      <c r="B280" s="1" t="n">
        <v>51029</v>
      </c>
      <c r="C280" s="1" t="n">
        <v>23</v>
      </c>
      <c r="D280" s="1" t="n">
        <v>10</v>
      </c>
      <c r="E280" s="1" t="str">
        <f aca="false">VLOOKUP(C280,Меню!$A$2:$C$24,2,FALSE())</f>
        <v>Пицца с тунцом</v>
      </c>
      <c r="F280" s="1" t="n">
        <f aca="false">VLOOKUP(C280,Меню!$A$2:$C$24,3,FALSE())</f>
        <v>520</v>
      </c>
      <c r="G280" s="5" t="n">
        <f aca="false">VLOOKUP(B280,Заказы!$A$2:$E$2995,2,FALSE())</f>
        <v>44016</v>
      </c>
      <c r="H280" s="1" t="n">
        <f aca="false">VLOOKUP(B280,Заказы!$A$2:$E$2995,3,FALSE())</f>
        <v>650</v>
      </c>
      <c r="I280" s="1" t="str">
        <f aca="false">VLOOKUP(H280,Клиенты!$A$2:$E$1995,5,FALSE())</f>
        <v>г. Москва</v>
      </c>
      <c r="J280" s="1" t="n">
        <f aca="false">VLOOKUP(B280,Заказы!$A$2:$E$2995,4,FALSE())</f>
        <v>0</v>
      </c>
      <c r="K280" s="1" t="str">
        <f aca="false">VLOOKUP(B280,Заказы!$A$2:$E$2995,5,FALSE())</f>
        <v>Не выполнено</v>
      </c>
      <c r="L280" s="1" t="n">
        <f aca="false">D280*F280+J280</f>
        <v>5200</v>
      </c>
      <c r="M280" s="1" t="n">
        <f aca="false">IF(AND(E280="Пицца Труслейка",I280="г. Москва",K280="Выполнено",G280&gt;=DATE(2020,7,1),G280&lt;DATE(2020,8,1)),L280,0)</f>
        <v>0</v>
      </c>
    </row>
    <row r="281" customFormat="false" ht="15" hidden="false" customHeight="true" outlineLevel="0" collapsed="false">
      <c r="A281" s="1" t="n">
        <v>101329</v>
      </c>
      <c r="B281" s="1" t="n">
        <v>50179</v>
      </c>
      <c r="C281" s="1" t="n">
        <v>4</v>
      </c>
      <c r="D281" s="1" t="n">
        <v>10</v>
      </c>
      <c r="E281" s="1" t="str">
        <f aca="false">VLOOKUP(C281,Меню!$A$2:$C$24,2,FALSE())</f>
        <v>Пицца Труслейка</v>
      </c>
      <c r="F281" s="1" t="n">
        <f aca="false">VLOOKUP(C281,Меню!$A$2:$C$24,3,FALSE())</f>
        <v>610</v>
      </c>
      <c r="G281" s="5" t="n">
        <f aca="false">VLOOKUP(B281,Заказы!$A$2:$E$2995,2,FALSE())</f>
        <v>44034</v>
      </c>
      <c r="H281" s="1" t="n">
        <f aca="false">VLOOKUP(B281,Заказы!$A$2:$E$2995,3,FALSE())</f>
        <v>190</v>
      </c>
      <c r="I281" s="1" t="str">
        <f aca="false">VLOOKUP(H281,Клиенты!$A$2:$E$1995,5,FALSE())</f>
        <v>г. Москва</v>
      </c>
      <c r="J281" s="1" t="n">
        <f aca="false">VLOOKUP(B281,Заказы!$A$2:$E$2995,4,FALSE())</f>
        <v>847</v>
      </c>
      <c r="K281" s="1" t="str">
        <f aca="false">VLOOKUP(B281,Заказы!$A$2:$E$2995,5,FALSE())</f>
        <v>Выполнено</v>
      </c>
      <c r="L281" s="1" t="n">
        <f aca="false">D281*F281+J281</f>
        <v>6947</v>
      </c>
      <c r="M281" s="1" t="n">
        <f aca="false">IF(AND(E281="Пицца Труслейка",I281="г. Москва",K281="Выполнено",G281&gt;=DATE(2020,7,1),G281&lt;DATE(2020,8,1)),L281,0)</f>
        <v>6947</v>
      </c>
    </row>
    <row r="282" customFormat="false" ht="15" hidden="false" customHeight="true" outlineLevel="0" collapsed="false">
      <c r="A282" s="1" t="n">
        <v>100583</v>
      </c>
      <c r="B282" s="1" t="n">
        <v>50443</v>
      </c>
      <c r="C282" s="1" t="n">
        <v>11</v>
      </c>
      <c r="D282" s="1" t="n">
        <v>3</v>
      </c>
      <c r="E282" s="1" t="str">
        <f aca="false">VLOOKUP(C282,Меню!$A$2:$C$24,2,FALSE())</f>
        <v>Пицца Песто</v>
      </c>
      <c r="F282" s="1" t="n">
        <f aca="false">VLOOKUP(C282,Меню!$A$2:$C$24,3,FALSE())</f>
        <v>530</v>
      </c>
      <c r="G282" s="5" t="n">
        <f aca="false">VLOOKUP(B282,Заказы!$A$2:$E$2995,2,FALSE())</f>
        <v>44005</v>
      </c>
      <c r="H282" s="1" t="n">
        <f aca="false">VLOOKUP(B282,Заказы!$A$2:$E$2995,3,FALSE())</f>
        <v>1684</v>
      </c>
      <c r="I282" s="1" t="str">
        <f aca="false">VLOOKUP(H282,Клиенты!$A$2:$E$1995,5,FALSE())</f>
        <v>г. Арамиль</v>
      </c>
      <c r="J282" s="1" t="n">
        <f aca="false">VLOOKUP(B282,Заказы!$A$2:$E$2995,4,FALSE())</f>
        <v>886</v>
      </c>
      <c r="K282" s="1" t="str">
        <f aca="false">VLOOKUP(B282,Заказы!$A$2:$E$2995,5,FALSE())</f>
        <v>Выполнено</v>
      </c>
      <c r="L282" s="1" t="n">
        <f aca="false">D282*F282+J282</f>
        <v>2476</v>
      </c>
      <c r="M282" s="1" t="n">
        <f aca="false">IF(AND(E282="Пицца Труслейка",I282="г. Москва",K282="Выполнено",G282&gt;=DATE(2020,7,1),G282&lt;DATE(2020,8,1)),L282,0)</f>
        <v>0</v>
      </c>
    </row>
    <row r="283" customFormat="false" ht="15" hidden="false" customHeight="true" outlineLevel="0" collapsed="false">
      <c r="A283" s="1" t="n">
        <v>100377</v>
      </c>
      <c r="B283" s="1" t="n">
        <v>50098</v>
      </c>
      <c r="C283" s="1" t="n">
        <v>21</v>
      </c>
      <c r="D283" s="1" t="n">
        <v>9</v>
      </c>
      <c r="E283" s="1" t="str">
        <f aca="false">VLOOKUP(C283,Меню!$A$2:$C$24,2,FALSE())</f>
        <v>Пицца с креветками и цукини</v>
      </c>
      <c r="F283" s="1" t="n">
        <f aca="false">VLOOKUP(C283,Меню!$A$2:$C$24,3,FALSE())</f>
        <v>600</v>
      </c>
      <c r="G283" s="5" t="n">
        <f aca="false">VLOOKUP(B283,Заказы!$A$2:$E$2995,2,FALSE())</f>
        <v>43989</v>
      </c>
      <c r="H283" s="1" t="n">
        <f aca="false">VLOOKUP(B283,Заказы!$A$2:$E$2995,3,FALSE())</f>
        <v>672</v>
      </c>
      <c r="I283" s="1" t="str">
        <f aca="false">VLOOKUP(H283,Клиенты!$A$2:$E$1995,5,FALSE())</f>
        <v>г. Навашино</v>
      </c>
      <c r="J283" s="1" t="n">
        <f aca="false">VLOOKUP(B283,Заказы!$A$2:$E$2995,4,FALSE())</f>
        <v>0</v>
      </c>
      <c r="K283" s="1" t="str">
        <f aca="false">VLOOKUP(B283,Заказы!$A$2:$E$2995,5,FALSE())</f>
        <v>Не выполнено</v>
      </c>
      <c r="L283" s="1" t="n">
        <f aca="false">D283*F283+J283</f>
        <v>5400</v>
      </c>
      <c r="M283" s="1" t="n">
        <f aca="false">IF(AND(E283="Пицца Труслейка",I283="г. Москва",K283="Выполнено",G283&gt;=DATE(2020,7,1),G283&lt;DATE(2020,8,1)),L283,0)</f>
        <v>0</v>
      </c>
    </row>
    <row r="284" customFormat="false" ht="15" hidden="false" customHeight="true" outlineLevel="0" collapsed="false">
      <c r="A284" s="1" t="n">
        <v>100063</v>
      </c>
      <c r="B284" s="1" t="n">
        <v>50604</v>
      </c>
      <c r="C284" s="1" t="n">
        <v>15</v>
      </c>
      <c r="D284" s="1" t="n">
        <v>10</v>
      </c>
      <c r="E284" s="1" t="str">
        <f aca="false">VLOOKUP(C284,Меню!$A$2:$C$24,2,FALSE())</f>
        <v>Пицца Тропиканка</v>
      </c>
      <c r="F284" s="1" t="n">
        <f aca="false">VLOOKUP(C284,Меню!$A$2:$C$24,3,FALSE())</f>
        <v>605</v>
      </c>
      <c r="G284" s="5" t="n">
        <f aca="false">VLOOKUP(B284,Заказы!$A$2:$E$2995,2,FALSE())</f>
        <v>44031</v>
      </c>
      <c r="H284" s="1" t="n">
        <f aca="false">VLOOKUP(B284,Заказы!$A$2:$E$2995,3,FALSE())</f>
        <v>1625</v>
      </c>
      <c r="I284" s="1" t="str">
        <f aca="false">VLOOKUP(H284,Клиенты!$A$2:$E$1995,5,FALSE())</f>
        <v>г. Приморско-Ахтарск</v>
      </c>
      <c r="J284" s="1" t="n">
        <f aca="false">VLOOKUP(B284,Заказы!$A$2:$E$2995,4,FALSE())</f>
        <v>420</v>
      </c>
      <c r="K284" s="1" t="str">
        <f aca="false">VLOOKUP(B284,Заказы!$A$2:$E$2995,5,FALSE())</f>
        <v>Выполнено</v>
      </c>
      <c r="L284" s="1" t="n">
        <f aca="false">D284*F284+J284</f>
        <v>6470</v>
      </c>
      <c r="M284" s="1" t="n">
        <f aca="false">IF(AND(E284="Пицца Труслейка",I284="г. Москва",K284="Выполнено",G284&gt;=DATE(2020,7,1),G284&lt;DATE(2020,8,1)),L284,0)</f>
        <v>0</v>
      </c>
    </row>
    <row r="285" customFormat="false" ht="15" hidden="false" customHeight="true" outlineLevel="0" collapsed="false">
      <c r="A285" s="1" t="n">
        <v>101970</v>
      </c>
      <c r="B285" s="1" t="n">
        <v>51731</v>
      </c>
      <c r="C285" s="1" t="n">
        <v>12</v>
      </c>
      <c r="D285" s="1" t="n">
        <v>9</v>
      </c>
      <c r="E285" s="1" t="str">
        <f aca="false">VLOOKUP(C285,Меню!$A$2:$C$24,2,FALSE())</f>
        <v>Пицца Салями с трюфелем</v>
      </c>
      <c r="F285" s="1" t="n">
        <f aca="false">VLOOKUP(C285,Меню!$A$2:$C$24,3,FALSE())</f>
        <v>525</v>
      </c>
      <c r="G285" s="5" t="n">
        <f aca="false">VLOOKUP(B285,Заказы!$A$2:$E$2995,2,FALSE())</f>
        <v>44067</v>
      </c>
      <c r="H285" s="1" t="n">
        <f aca="false">VLOOKUP(B285,Заказы!$A$2:$E$2995,3,FALSE())</f>
        <v>887</v>
      </c>
      <c r="I285" s="1" t="str">
        <f aca="false">VLOOKUP(H285,Клиенты!$A$2:$E$1995,5,FALSE())</f>
        <v>г. Дорогобуж</v>
      </c>
      <c r="J285" s="1" t="n">
        <f aca="false">VLOOKUP(B285,Заказы!$A$2:$E$2995,4,FALSE())</f>
        <v>328</v>
      </c>
      <c r="K285" s="1" t="str">
        <f aca="false">VLOOKUP(B285,Заказы!$A$2:$E$2995,5,FALSE())</f>
        <v>Выполнено</v>
      </c>
      <c r="L285" s="1" t="n">
        <f aca="false">D285*F285+J285</f>
        <v>5053</v>
      </c>
      <c r="M285" s="1" t="n">
        <f aca="false">IF(AND(E285="Пицца Труслейка",I285="г. Москва",K285="Выполнено",G285&gt;=DATE(2020,7,1),G285&lt;DATE(2020,8,1)),L285,0)</f>
        <v>0</v>
      </c>
    </row>
    <row r="286" customFormat="false" ht="15" hidden="false" customHeight="true" outlineLevel="0" collapsed="false">
      <c r="A286" s="1" t="n">
        <v>101152</v>
      </c>
      <c r="B286" s="1" t="n">
        <v>50313</v>
      </c>
      <c r="C286" s="1" t="n">
        <v>21</v>
      </c>
      <c r="D286" s="1" t="n">
        <v>7</v>
      </c>
      <c r="E286" s="1" t="str">
        <f aca="false">VLOOKUP(C286,Меню!$A$2:$C$24,2,FALSE())</f>
        <v>Пицца с креветками и цукини</v>
      </c>
      <c r="F286" s="1" t="n">
        <f aca="false">VLOOKUP(C286,Меню!$A$2:$C$24,3,FALSE())</f>
        <v>600</v>
      </c>
      <c r="G286" s="5" t="n">
        <f aca="false">VLOOKUP(B286,Заказы!$A$2:$E$2995,2,FALSE())</f>
        <v>44035</v>
      </c>
      <c r="H286" s="1" t="n">
        <f aca="false">VLOOKUP(B286,Заказы!$A$2:$E$2995,3,FALSE())</f>
        <v>1452</v>
      </c>
      <c r="I286" s="1" t="str">
        <f aca="false">VLOOKUP(H286,Клиенты!$A$2:$E$1995,5,FALSE())</f>
        <v>г. Камызяк</v>
      </c>
      <c r="J286" s="1" t="n">
        <f aca="false">VLOOKUP(B286,Заказы!$A$2:$E$2995,4,FALSE())</f>
        <v>0</v>
      </c>
      <c r="K286" s="1" t="str">
        <f aca="false">VLOOKUP(B286,Заказы!$A$2:$E$2995,5,FALSE())</f>
        <v>Не выполнено</v>
      </c>
      <c r="L286" s="1" t="n">
        <f aca="false">D286*F286+J286</f>
        <v>4200</v>
      </c>
      <c r="M286" s="1" t="n">
        <f aca="false">IF(AND(E286="Пицца Труслейка",I286="г. Москва",K286="Выполнено",G286&gt;=DATE(2020,7,1),G286&lt;DATE(2020,8,1)),L286,0)</f>
        <v>0</v>
      </c>
    </row>
    <row r="287" customFormat="false" ht="15" hidden="false" customHeight="true" outlineLevel="0" collapsed="false">
      <c r="A287" s="1" t="n">
        <v>101151</v>
      </c>
      <c r="B287" s="1" t="n">
        <v>50866</v>
      </c>
      <c r="C287" s="1" t="n">
        <v>20</v>
      </c>
      <c r="D287" s="1" t="n">
        <v>6</v>
      </c>
      <c r="E287" s="1" t="str">
        <f aca="false">VLOOKUP(C287,Меню!$A$2:$C$24,2,FALSE())</f>
        <v>Пицца пиканте</v>
      </c>
      <c r="F287" s="1" t="n">
        <f aca="false">VLOOKUP(C287,Меню!$A$2:$C$24,3,FALSE())</f>
        <v>585</v>
      </c>
      <c r="G287" s="5" t="n">
        <f aca="false">VLOOKUP(B287,Заказы!$A$2:$E$2995,2,FALSE())</f>
        <v>44063</v>
      </c>
      <c r="H287" s="1" t="n">
        <f aca="false">VLOOKUP(B287,Заказы!$A$2:$E$2995,3,FALSE())</f>
        <v>189</v>
      </c>
      <c r="I287" s="1" t="str">
        <f aca="false">VLOOKUP(H287,Клиенты!$A$2:$E$1995,5,FALSE())</f>
        <v>г. Южно-Сахалинск</v>
      </c>
      <c r="J287" s="1" t="n">
        <f aca="false">VLOOKUP(B287,Заказы!$A$2:$E$2995,4,FALSE())</f>
        <v>0</v>
      </c>
      <c r="K287" s="1" t="str">
        <f aca="false">VLOOKUP(B287,Заказы!$A$2:$E$2995,5,FALSE())</f>
        <v>Не выполнено</v>
      </c>
      <c r="L287" s="1" t="n">
        <f aca="false">D287*F287+J287</f>
        <v>3510</v>
      </c>
      <c r="M287" s="1" t="n">
        <f aca="false">IF(AND(E287="Пицца Труслейка",I287="г. Москва",K287="Выполнено",G287&gt;=DATE(2020,7,1),G287&lt;DATE(2020,8,1)),L287,0)</f>
        <v>0</v>
      </c>
    </row>
    <row r="288" customFormat="false" ht="15" hidden="false" customHeight="true" outlineLevel="0" collapsed="false">
      <c r="A288" s="1" t="n">
        <v>101208</v>
      </c>
      <c r="B288" s="1" t="n">
        <v>50228</v>
      </c>
      <c r="C288" s="1" t="n">
        <v>10</v>
      </c>
      <c r="D288" s="1" t="n">
        <v>7</v>
      </c>
      <c r="E288" s="1" t="str">
        <f aca="false">VLOOKUP(C288,Меню!$A$2:$C$24,2,FALSE())</f>
        <v>Пицца Пепперони фреш</v>
      </c>
      <c r="F288" s="1" t="n">
        <f aca="false">VLOOKUP(C288,Меню!$A$2:$C$24,3,FALSE())</f>
        <v>565</v>
      </c>
      <c r="G288" s="5" t="n">
        <f aca="false">VLOOKUP(B288,Заказы!$A$2:$E$2995,2,FALSE())</f>
        <v>44072</v>
      </c>
      <c r="H288" s="1" t="n">
        <f aca="false">VLOOKUP(B288,Заказы!$A$2:$E$2995,3,FALSE())</f>
        <v>1699</v>
      </c>
      <c r="I288" s="1" t="str">
        <f aca="false">VLOOKUP(H288,Клиенты!$A$2:$E$1995,5,FALSE())</f>
        <v>г. Лыткарино</v>
      </c>
      <c r="J288" s="1" t="n">
        <f aca="false">VLOOKUP(B288,Заказы!$A$2:$E$2995,4,FALSE())</f>
        <v>854</v>
      </c>
      <c r="K288" s="1" t="str">
        <f aca="false">VLOOKUP(B288,Заказы!$A$2:$E$2995,5,FALSE())</f>
        <v>Выполнено</v>
      </c>
      <c r="L288" s="1" t="n">
        <f aca="false">D288*F288+J288</f>
        <v>4809</v>
      </c>
      <c r="M288" s="1" t="n">
        <f aca="false">IF(AND(E288="Пицца Труслейка",I288="г. Москва",K288="Выполнено",G288&gt;=DATE(2020,7,1),G288&lt;DATE(2020,8,1)),L288,0)</f>
        <v>0</v>
      </c>
    </row>
    <row r="289" customFormat="false" ht="15" hidden="false" customHeight="true" outlineLevel="0" collapsed="false">
      <c r="A289" s="1" t="n">
        <v>100995</v>
      </c>
      <c r="B289" s="1" t="n">
        <v>51562</v>
      </c>
      <c r="C289" s="1" t="n">
        <v>8</v>
      </c>
      <c r="D289" s="1" t="n">
        <v>8</v>
      </c>
      <c r="E289" s="1" t="str">
        <f aca="false">VLOOKUP(C289,Меню!$A$2:$C$24,2,FALSE())</f>
        <v>Пицца Мясная</v>
      </c>
      <c r="F289" s="1" t="n">
        <f aca="false">VLOOKUP(C289,Меню!$A$2:$C$24,3,FALSE())</f>
        <v>615</v>
      </c>
      <c r="G289" s="5" t="n">
        <f aca="false">VLOOKUP(B289,Заказы!$A$2:$E$2995,2,FALSE())</f>
        <v>44003</v>
      </c>
      <c r="H289" s="1" t="n">
        <f aca="false">VLOOKUP(B289,Заказы!$A$2:$E$2995,3,FALSE())</f>
        <v>87</v>
      </c>
      <c r="I289" s="1" t="str">
        <f aca="false">VLOOKUP(H289,Клиенты!$A$2:$E$1995,5,FALSE())</f>
        <v>г. Пионерский</v>
      </c>
      <c r="J289" s="1" t="n">
        <f aca="false">VLOOKUP(B289,Заказы!$A$2:$E$2995,4,FALSE())</f>
        <v>0</v>
      </c>
      <c r="K289" s="1" t="str">
        <f aca="false">VLOOKUP(B289,Заказы!$A$2:$E$2995,5,FALSE())</f>
        <v>Не выполнено</v>
      </c>
      <c r="L289" s="1" t="n">
        <f aca="false">D289*F289+J289</f>
        <v>4920</v>
      </c>
      <c r="M289" s="1" t="n">
        <f aca="false">IF(AND(E289="Пицца Труслейка",I289="г. Москва",K289="Выполнено",G289&gt;=DATE(2020,7,1),G289&lt;DATE(2020,8,1)),L289,0)</f>
        <v>0</v>
      </c>
    </row>
    <row r="290" customFormat="false" ht="15" hidden="false" customHeight="true" outlineLevel="0" collapsed="false">
      <c r="A290" s="1" t="n">
        <v>100558</v>
      </c>
      <c r="B290" s="1" t="n">
        <v>50209</v>
      </c>
      <c r="C290" s="1" t="n">
        <v>6</v>
      </c>
      <c r="D290" s="1" t="n">
        <v>2</v>
      </c>
      <c r="E290" s="1" t="str">
        <f aca="false">VLOOKUP(C290,Меню!$A$2:$C$24,2,FALSE())</f>
        <v>Пицца Капричиоза</v>
      </c>
      <c r="F290" s="1" t="n">
        <f aca="false">VLOOKUP(C290,Меню!$A$2:$C$24,3,FALSE())</f>
        <v>570</v>
      </c>
      <c r="G290" s="5" t="n">
        <f aca="false">VLOOKUP(B290,Заказы!$A$2:$E$2995,2,FALSE())</f>
        <v>44042</v>
      </c>
      <c r="H290" s="1" t="n">
        <f aca="false">VLOOKUP(B290,Заказы!$A$2:$E$2995,3,FALSE())</f>
        <v>538</v>
      </c>
      <c r="I290" s="1" t="str">
        <f aca="false">VLOOKUP(H290,Клиенты!$A$2:$E$1995,5,FALSE())</f>
        <v>г. Таганрог</v>
      </c>
      <c r="J290" s="1" t="n">
        <f aca="false">VLOOKUP(B290,Заказы!$A$2:$E$2995,4,FALSE())</f>
        <v>540</v>
      </c>
      <c r="K290" s="1" t="str">
        <f aca="false">VLOOKUP(B290,Заказы!$A$2:$E$2995,5,FALSE())</f>
        <v>Выполнено</v>
      </c>
      <c r="L290" s="1" t="n">
        <f aca="false">D290*F290+J290</f>
        <v>1680</v>
      </c>
      <c r="M290" s="1" t="n">
        <f aca="false">IF(AND(E290="Пицца Труслейка",I290="г. Москва",K290="Выполнено",G290&gt;=DATE(2020,7,1),G290&lt;DATE(2020,8,1)),L290,0)</f>
        <v>0</v>
      </c>
    </row>
    <row r="291" customFormat="false" ht="15" hidden="false" customHeight="true" outlineLevel="0" collapsed="false">
      <c r="A291" s="1" t="n">
        <v>101832</v>
      </c>
      <c r="B291" s="1" t="n">
        <v>51117</v>
      </c>
      <c r="C291" s="1" t="n">
        <v>4</v>
      </c>
      <c r="D291" s="1" t="n">
        <v>10</v>
      </c>
      <c r="E291" s="1" t="str">
        <f aca="false">VLOOKUP(C291,Меню!$A$2:$C$24,2,FALSE())</f>
        <v>Пицца Труслейка</v>
      </c>
      <c r="F291" s="1" t="n">
        <f aca="false">VLOOKUP(C291,Меню!$A$2:$C$24,3,FALSE())</f>
        <v>610</v>
      </c>
      <c r="G291" s="5" t="n">
        <f aca="false">VLOOKUP(B291,Заказы!$A$2:$E$2995,2,FALSE())</f>
        <v>44024</v>
      </c>
      <c r="H291" s="1" t="n">
        <f aca="false">VLOOKUP(B291,Заказы!$A$2:$E$2995,3,FALSE())</f>
        <v>1824</v>
      </c>
      <c r="I291" s="1" t="str">
        <f aca="false">VLOOKUP(H291,Клиенты!$A$2:$E$1995,5,FALSE())</f>
        <v>г. Канаш</v>
      </c>
      <c r="J291" s="1" t="n">
        <f aca="false">VLOOKUP(B291,Заказы!$A$2:$E$2995,4,FALSE())</f>
        <v>0</v>
      </c>
      <c r="K291" s="1" t="str">
        <f aca="false">VLOOKUP(B291,Заказы!$A$2:$E$2995,5,FALSE())</f>
        <v>Не выполнено</v>
      </c>
      <c r="L291" s="1" t="n">
        <f aca="false">D291*F291+J291</f>
        <v>6100</v>
      </c>
      <c r="M291" s="1" t="n">
        <f aca="false">IF(AND(E291="Пицца Труслейка",I291="г. Москва",K291="Выполнено",G291&gt;=DATE(2020,7,1),G291&lt;DATE(2020,8,1)),L291,0)</f>
        <v>0</v>
      </c>
    </row>
    <row r="292" customFormat="false" ht="15" hidden="false" customHeight="true" outlineLevel="0" collapsed="false">
      <c r="A292" s="1" t="n">
        <v>101924</v>
      </c>
      <c r="B292" s="1" t="n">
        <v>50871</v>
      </c>
      <c r="C292" s="1" t="n">
        <v>1</v>
      </c>
      <c r="D292" s="1" t="n">
        <v>7</v>
      </c>
      <c r="E292" s="1" t="str">
        <f aca="false">VLOOKUP(C292,Меню!$A$2:$C$24,2,FALSE())</f>
        <v>Пицца Гавайская</v>
      </c>
      <c r="F292" s="1" t="n">
        <f aca="false">VLOOKUP(C292,Меню!$A$2:$C$24,3,FALSE())</f>
        <v>545</v>
      </c>
      <c r="G292" s="5" t="n">
        <f aca="false">VLOOKUP(B292,Заказы!$A$2:$E$2995,2,FALSE())</f>
        <v>44015</v>
      </c>
      <c r="H292" s="1" t="n">
        <f aca="false">VLOOKUP(B292,Заказы!$A$2:$E$2995,3,FALSE())</f>
        <v>907</v>
      </c>
      <c r="I292" s="1" t="str">
        <f aca="false">VLOOKUP(H292,Клиенты!$A$2:$E$1995,5,FALSE())</f>
        <v>г. Навашино</v>
      </c>
      <c r="J292" s="1" t="n">
        <f aca="false">VLOOKUP(B292,Заказы!$A$2:$E$2995,4,FALSE())</f>
        <v>0</v>
      </c>
      <c r="K292" s="1" t="str">
        <f aca="false">VLOOKUP(B292,Заказы!$A$2:$E$2995,5,FALSE())</f>
        <v>Не выполнено</v>
      </c>
      <c r="L292" s="1" t="n">
        <f aca="false">D292*F292+J292</f>
        <v>3815</v>
      </c>
      <c r="M292" s="1" t="n">
        <f aca="false">IF(AND(E292="Пицца Труслейка",I292="г. Москва",K292="Выполнено",G292&gt;=DATE(2020,7,1),G292&lt;DATE(2020,8,1)),L292,0)</f>
        <v>0</v>
      </c>
    </row>
    <row r="293" customFormat="false" ht="15" hidden="false" customHeight="true" outlineLevel="0" collapsed="false">
      <c r="A293" s="1" t="n">
        <v>100342</v>
      </c>
      <c r="B293" s="1" t="n">
        <v>51158</v>
      </c>
      <c r="C293" s="1" t="n">
        <v>16</v>
      </c>
      <c r="D293" s="1" t="n">
        <v>1</v>
      </c>
      <c r="E293" s="1" t="str">
        <f aca="false">VLOOKUP(C293,Меню!$A$2:$C$24,2,FALSE())</f>
        <v>Пицца Флорида</v>
      </c>
      <c r="F293" s="1" t="n">
        <f aca="false">VLOOKUP(C293,Меню!$A$2:$C$24,3,FALSE())</f>
        <v>535</v>
      </c>
      <c r="G293" s="5" t="n">
        <f aca="false">VLOOKUP(B293,Заказы!$A$2:$E$2995,2,FALSE())</f>
        <v>44010</v>
      </c>
      <c r="H293" s="1" t="n">
        <f aca="false">VLOOKUP(B293,Заказы!$A$2:$E$2995,3,FALSE())</f>
        <v>573</v>
      </c>
      <c r="I293" s="1" t="str">
        <f aca="false">VLOOKUP(H293,Клиенты!$A$2:$E$1995,5,FALSE())</f>
        <v>г. Кремёнки</v>
      </c>
      <c r="J293" s="1" t="n">
        <f aca="false">VLOOKUP(B293,Заказы!$A$2:$E$2995,4,FALSE())</f>
        <v>0</v>
      </c>
      <c r="K293" s="1" t="str">
        <f aca="false">VLOOKUP(B293,Заказы!$A$2:$E$2995,5,FALSE())</f>
        <v>Не выполнено</v>
      </c>
      <c r="L293" s="1" t="n">
        <f aca="false">D293*F293+J293</f>
        <v>535</v>
      </c>
      <c r="M293" s="1" t="n">
        <f aca="false">IF(AND(E293="Пицца Труслейка",I293="г. Москва",K293="Выполнено",G293&gt;=DATE(2020,7,1),G293&lt;DATE(2020,8,1)),L293,0)</f>
        <v>0</v>
      </c>
    </row>
    <row r="294" customFormat="false" ht="15" hidden="false" customHeight="true" outlineLevel="0" collapsed="false">
      <c r="A294" s="1" t="n">
        <v>100297</v>
      </c>
      <c r="B294" s="1" t="n">
        <v>50632</v>
      </c>
      <c r="C294" s="1" t="n">
        <v>20</v>
      </c>
      <c r="D294" s="1" t="n">
        <v>1</v>
      </c>
      <c r="E294" s="1" t="str">
        <f aca="false">VLOOKUP(C294,Меню!$A$2:$C$24,2,FALSE())</f>
        <v>Пицца пиканте</v>
      </c>
      <c r="F294" s="1" t="n">
        <f aca="false">VLOOKUP(C294,Меню!$A$2:$C$24,3,FALSE())</f>
        <v>585</v>
      </c>
      <c r="G294" s="5" t="n">
        <f aca="false">VLOOKUP(B294,Заказы!$A$2:$E$2995,2,FALSE())</f>
        <v>44065</v>
      </c>
      <c r="H294" s="1" t="n">
        <f aca="false">VLOOKUP(B294,Заказы!$A$2:$E$2995,3,FALSE())</f>
        <v>1836</v>
      </c>
      <c r="I294" s="1" t="str">
        <f aca="false">VLOOKUP(H294,Клиенты!$A$2:$E$1995,5,FALSE())</f>
        <v>г. Шлиссельбург</v>
      </c>
      <c r="J294" s="1" t="n">
        <f aca="false">VLOOKUP(B294,Заказы!$A$2:$E$2995,4,FALSE())</f>
        <v>0</v>
      </c>
      <c r="K294" s="1" t="str">
        <f aca="false">VLOOKUP(B294,Заказы!$A$2:$E$2995,5,FALSE())</f>
        <v>Не выполнено</v>
      </c>
      <c r="L294" s="1" t="n">
        <f aca="false">D294*F294+J294</f>
        <v>585</v>
      </c>
      <c r="M294" s="1" t="n">
        <f aca="false">IF(AND(E294="Пицца Труслейка",I294="г. Москва",K294="Выполнено",G294&gt;=DATE(2020,7,1),G294&lt;DATE(2020,8,1)),L294,0)</f>
        <v>0</v>
      </c>
    </row>
    <row r="295" customFormat="false" ht="15" hidden="false" customHeight="true" outlineLevel="0" collapsed="false">
      <c r="A295" s="1" t="n">
        <v>100905</v>
      </c>
      <c r="B295" s="1" t="n">
        <v>51954</v>
      </c>
      <c r="C295" s="1" t="n">
        <v>22</v>
      </c>
      <c r="D295" s="1" t="n">
        <v>9</v>
      </c>
      <c r="E295" s="1" t="str">
        <f aca="false">VLOOKUP(C295,Меню!$A$2:$C$24,2,FALSE())</f>
        <v>Пицца с поркеттой и фриарелли</v>
      </c>
      <c r="F295" s="1" t="n">
        <f aca="false">VLOOKUP(C295,Меню!$A$2:$C$24,3,FALSE())</f>
        <v>550</v>
      </c>
      <c r="G295" s="5" t="n">
        <f aca="false">VLOOKUP(B295,Заказы!$A$2:$E$2995,2,FALSE())</f>
        <v>44052</v>
      </c>
      <c r="H295" s="1" t="n">
        <f aca="false">VLOOKUP(B295,Заказы!$A$2:$E$2995,3,FALSE())</f>
        <v>1147</v>
      </c>
      <c r="I295" s="1" t="str">
        <f aca="false">VLOOKUP(H295,Клиенты!$A$2:$E$1995,5,FALSE())</f>
        <v>г. Коммунар</v>
      </c>
      <c r="J295" s="1" t="n">
        <f aca="false">VLOOKUP(B295,Заказы!$A$2:$E$2995,4,FALSE())</f>
        <v>0</v>
      </c>
      <c r="K295" s="1" t="str">
        <f aca="false">VLOOKUP(B295,Заказы!$A$2:$E$2995,5,FALSE())</f>
        <v>Не выполнено</v>
      </c>
      <c r="L295" s="1" t="n">
        <f aca="false">D295*F295+J295</f>
        <v>4950</v>
      </c>
      <c r="M295" s="1" t="n">
        <f aca="false">IF(AND(E295="Пицца Труслейка",I295="г. Москва",K295="Выполнено",G295&gt;=DATE(2020,7,1),G295&lt;DATE(2020,8,1)),L295,0)</f>
        <v>0</v>
      </c>
    </row>
    <row r="296" customFormat="false" ht="15" hidden="false" customHeight="true" outlineLevel="0" collapsed="false">
      <c r="A296" s="1" t="n">
        <v>100199</v>
      </c>
      <c r="B296" s="1" t="n">
        <v>51378</v>
      </c>
      <c r="C296" s="1" t="n">
        <v>12</v>
      </c>
      <c r="D296" s="1" t="n">
        <v>1</v>
      </c>
      <c r="E296" s="1" t="str">
        <f aca="false">VLOOKUP(C296,Меню!$A$2:$C$24,2,FALSE())</f>
        <v>Пицца Салями с трюфелем</v>
      </c>
      <c r="F296" s="1" t="n">
        <f aca="false">VLOOKUP(C296,Меню!$A$2:$C$24,3,FALSE())</f>
        <v>525</v>
      </c>
      <c r="G296" s="5" t="n">
        <f aca="false">VLOOKUP(B296,Заказы!$A$2:$E$2995,2,FALSE())</f>
        <v>44022</v>
      </c>
      <c r="H296" s="1" t="n">
        <f aca="false">VLOOKUP(B296,Заказы!$A$2:$E$2995,3,FALSE())</f>
        <v>1834</v>
      </c>
      <c r="I296" s="1" t="str">
        <f aca="false">VLOOKUP(H296,Клиенты!$A$2:$E$1995,5,FALSE())</f>
        <v>г. Юрюзань</v>
      </c>
      <c r="J296" s="1" t="n">
        <f aca="false">VLOOKUP(B296,Заказы!$A$2:$E$2995,4,FALSE())</f>
        <v>0</v>
      </c>
      <c r="K296" s="1" t="str">
        <f aca="false">VLOOKUP(B296,Заказы!$A$2:$E$2995,5,FALSE())</f>
        <v>Не выполнено</v>
      </c>
      <c r="L296" s="1" t="n">
        <f aca="false">D296*F296+J296</f>
        <v>525</v>
      </c>
      <c r="M296" s="1" t="n">
        <f aca="false">IF(AND(E296="Пицца Труслейка",I296="г. Москва",K296="Выполнено",G296&gt;=DATE(2020,7,1),G296&lt;DATE(2020,8,1)),L296,0)</f>
        <v>0</v>
      </c>
    </row>
    <row r="297" customFormat="false" ht="15" hidden="false" customHeight="true" outlineLevel="0" collapsed="false">
      <c r="A297" s="1" t="n">
        <v>100088</v>
      </c>
      <c r="B297" s="1" t="n">
        <v>50071</v>
      </c>
      <c r="C297" s="1" t="n">
        <v>10</v>
      </c>
      <c r="D297" s="1" t="n">
        <v>3</v>
      </c>
      <c r="E297" s="1" t="str">
        <f aca="false">VLOOKUP(C297,Меню!$A$2:$C$24,2,FALSE())</f>
        <v>Пицца Пепперони фреш</v>
      </c>
      <c r="F297" s="1" t="n">
        <f aca="false">VLOOKUP(C297,Меню!$A$2:$C$24,3,FALSE())</f>
        <v>565</v>
      </c>
      <c r="G297" s="5" t="n">
        <f aca="false">VLOOKUP(B297,Заказы!$A$2:$E$2995,2,FALSE())</f>
        <v>44069</v>
      </c>
      <c r="H297" s="1" t="n">
        <f aca="false">VLOOKUP(B297,Заказы!$A$2:$E$2995,3,FALSE())</f>
        <v>1849</v>
      </c>
      <c r="I297" s="1" t="str">
        <f aca="false">VLOOKUP(H297,Клиенты!$A$2:$E$1995,5,FALSE())</f>
        <v>г. Белоярский</v>
      </c>
      <c r="J297" s="1" t="n">
        <f aca="false">VLOOKUP(B297,Заказы!$A$2:$E$2995,4,FALSE())</f>
        <v>132</v>
      </c>
      <c r="K297" s="1" t="str">
        <f aca="false">VLOOKUP(B297,Заказы!$A$2:$E$2995,5,FALSE())</f>
        <v>Выполнено</v>
      </c>
      <c r="L297" s="1" t="n">
        <f aca="false">D297*F297+J297</f>
        <v>1827</v>
      </c>
      <c r="M297" s="1" t="n">
        <f aca="false">IF(AND(E297="Пицца Труслейка",I297="г. Москва",K297="Выполнено",G297&gt;=DATE(2020,7,1),G297&lt;DATE(2020,8,1)),L297,0)</f>
        <v>0</v>
      </c>
    </row>
    <row r="298" customFormat="false" ht="15" hidden="false" customHeight="true" outlineLevel="0" collapsed="false">
      <c r="A298" s="1" t="n">
        <v>100335</v>
      </c>
      <c r="B298" s="1" t="n">
        <v>51964</v>
      </c>
      <c r="C298" s="1" t="n">
        <v>22</v>
      </c>
      <c r="D298" s="1" t="n">
        <v>10</v>
      </c>
      <c r="E298" s="1" t="str">
        <f aca="false">VLOOKUP(C298,Меню!$A$2:$C$24,2,FALSE())</f>
        <v>Пицца с поркеттой и фриарелли</v>
      </c>
      <c r="F298" s="1" t="n">
        <f aca="false">VLOOKUP(C298,Меню!$A$2:$C$24,3,FALSE())</f>
        <v>550</v>
      </c>
      <c r="G298" s="5" t="n">
        <f aca="false">VLOOKUP(B298,Заказы!$A$2:$E$2995,2,FALSE())</f>
        <v>44024</v>
      </c>
      <c r="H298" s="1" t="n">
        <f aca="false">VLOOKUP(B298,Заказы!$A$2:$E$2995,3,FALSE())</f>
        <v>707</v>
      </c>
      <c r="I298" s="1" t="str">
        <f aca="false">VLOOKUP(H298,Клиенты!$A$2:$E$1995,5,FALSE())</f>
        <v>г. Тулун</v>
      </c>
      <c r="J298" s="1" t="n">
        <f aca="false">VLOOKUP(B298,Заказы!$A$2:$E$2995,4,FALSE())</f>
        <v>512</v>
      </c>
      <c r="K298" s="1" t="str">
        <f aca="false">VLOOKUP(B298,Заказы!$A$2:$E$2995,5,FALSE())</f>
        <v>Выполнено</v>
      </c>
      <c r="L298" s="1" t="n">
        <f aca="false">D298*F298+J298</f>
        <v>6012</v>
      </c>
      <c r="M298" s="1" t="n">
        <f aca="false">IF(AND(E298="Пицца Труслейка",I298="г. Москва",K298="Выполнено",G298&gt;=DATE(2020,7,1),G298&lt;DATE(2020,8,1)),L298,0)</f>
        <v>0</v>
      </c>
    </row>
    <row r="299" customFormat="false" ht="15" hidden="false" customHeight="true" outlineLevel="0" collapsed="false">
      <c r="A299" s="1" t="n">
        <v>101961</v>
      </c>
      <c r="B299" s="1" t="n">
        <v>50020</v>
      </c>
      <c r="C299" s="1" t="n">
        <v>17</v>
      </c>
      <c r="D299" s="1" t="n">
        <v>6</v>
      </c>
      <c r="E299" s="1" t="str">
        <f aca="false">VLOOKUP(C299,Меню!$A$2:$C$24,2,FALSE())</f>
        <v>Пицца Френч Фрайз</v>
      </c>
      <c r="F299" s="1" t="n">
        <f aca="false">VLOOKUP(C299,Меню!$A$2:$C$24,3,FALSE())</f>
        <v>515</v>
      </c>
      <c r="G299" s="5" t="n">
        <f aca="false">VLOOKUP(B299,Заказы!$A$2:$E$2995,2,FALSE())</f>
        <v>44019</v>
      </c>
      <c r="H299" s="1" t="n">
        <f aca="false">VLOOKUP(B299,Заказы!$A$2:$E$2995,3,FALSE())</f>
        <v>1764</v>
      </c>
      <c r="I299" s="1" t="str">
        <f aca="false">VLOOKUP(H299,Клиенты!$A$2:$E$1995,5,FALSE())</f>
        <v>г. Новоалтайск</v>
      </c>
      <c r="J299" s="1" t="n">
        <f aca="false">VLOOKUP(B299,Заказы!$A$2:$E$2995,4,FALSE())</f>
        <v>0</v>
      </c>
      <c r="K299" s="1" t="str">
        <f aca="false">VLOOKUP(B299,Заказы!$A$2:$E$2995,5,FALSE())</f>
        <v>Не выполнено</v>
      </c>
      <c r="L299" s="1" t="n">
        <f aca="false">D299*F299+J299</f>
        <v>3090</v>
      </c>
      <c r="M299" s="1" t="n">
        <f aca="false">IF(AND(E299="Пицца Труслейка",I299="г. Москва",K299="Выполнено",G299&gt;=DATE(2020,7,1),G299&lt;DATE(2020,8,1)),L299,0)</f>
        <v>0</v>
      </c>
    </row>
    <row r="300" customFormat="false" ht="15" hidden="false" customHeight="true" outlineLevel="0" collapsed="false">
      <c r="A300" s="1" t="n">
        <v>101963</v>
      </c>
      <c r="B300" s="1" t="n">
        <v>50213</v>
      </c>
      <c r="C300" s="1" t="n">
        <v>4</v>
      </c>
      <c r="D300" s="1" t="n">
        <v>8</v>
      </c>
      <c r="E300" s="1" t="str">
        <f aca="false">VLOOKUP(C300,Меню!$A$2:$C$24,2,FALSE())</f>
        <v>Пицца Труслейка</v>
      </c>
      <c r="F300" s="1" t="n">
        <f aca="false">VLOOKUP(C300,Меню!$A$2:$C$24,3,FALSE())</f>
        <v>610</v>
      </c>
      <c r="G300" s="5" t="n">
        <f aca="false">VLOOKUP(B300,Заказы!$A$2:$E$2995,2,FALSE())</f>
        <v>44060</v>
      </c>
      <c r="H300" s="1" t="n">
        <f aca="false">VLOOKUP(B300,Заказы!$A$2:$E$2995,3,FALSE())</f>
        <v>447</v>
      </c>
      <c r="I300" s="1" t="str">
        <f aca="false">VLOOKUP(H300,Клиенты!$A$2:$E$1995,5,FALSE())</f>
        <v>г. Фатеж</v>
      </c>
      <c r="J300" s="1" t="n">
        <f aca="false">VLOOKUP(B300,Заказы!$A$2:$E$2995,4,FALSE())</f>
        <v>614</v>
      </c>
      <c r="K300" s="1" t="str">
        <f aca="false">VLOOKUP(B300,Заказы!$A$2:$E$2995,5,FALSE())</f>
        <v>Выполнено</v>
      </c>
      <c r="L300" s="1" t="n">
        <f aca="false">D300*F300+J300</f>
        <v>5494</v>
      </c>
      <c r="M300" s="1" t="n">
        <f aca="false">IF(AND(E300="Пицца Труслейка",I300="г. Москва",K300="Выполнено",G300&gt;=DATE(2020,7,1),G300&lt;DATE(2020,8,1)),L300,0)</f>
        <v>0</v>
      </c>
    </row>
    <row r="301" customFormat="false" ht="15" hidden="false" customHeight="true" outlineLevel="0" collapsed="false">
      <c r="A301" s="1" t="n">
        <v>101955</v>
      </c>
      <c r="B301" s="1" t="n">
        <v>51077</v>
      </c>
      <c r="C301" s="1" t="n">
        <v>4</v>
      </c>
      <c r="D301" s="1" t="n">
        <v>1</v>
      </c>
      <c r="E301" s="1" t="str">
        <f aca="false">VLOOKUP(C301,Меню!$A$2:$C$24,2,FALSE())</f>
        <v>Пицца Труслейка</v>
      </c>
      <c r="F301" s="1" t="n">
        <f aca="false">VLOOKUP(C301,Меню!$A$2:$C$24,3,FALSE())</f>
        <v>610</v>
      </c>
      <c r="G301" s="5" t="n">
        <f aca="false">VLOOKUP(B301,Заказы!$A$2:$E$2995,2,FALSE())</f>
        <v>44032</v>
      </c>
      <c r="H301" s="1" t="n">
        <f aca="false">VLOOKUP(B301,Заказы!$A$2:$E$2995,3,FALSE())</f>
        <v>1424</v>
      </c>
      <c r="I301" s="1" t="str">
        <f aca="false">VLOOKUP(H301,Клиенты!$A$2:$E$1995,5,FALSE())</f>
        <v>г. Череповец</v>
      </c>
      <c r="J301" s="1" t="n">
        <f aca="false">VLOOKUP(B301,Заказы!$A$2:$E$2995,4,FALSE())</f>
        <v>274</v>
      </c>
      <c r="K301" s="1" t="str">
        <f aca="false">VLOOKUP(B301,Заказы!$A$2:$E$2995,5,FALSE())</f>
        <v>Выполнено</v>
      </c>
      <c r="L301" s="1" t="n">
        <f aca="false">D301*F301+J301</f>
        <v>884</v>
      </c>
      <c r="M301" s="1" t="n">
        <f aca="false">IF(AND(E301="Пицца Труслейка",I301="г. Москва",K301="Выполнено",G301&gt;=DATE(2020,7,1),G301&lt;DATE(2020,8,1)),L301,0)</f>
        <v>0</v>
      </c>
    </row>
    <row r="302" customFormat="false" ht="15" hidden="false" customHeight="true" outlineLevel="0" collapsed="false">
      <c r="A302" s="1" t="n">
        <v>101655</v>
      </c>
      <c r="B302" s="1" t="n">
        <v>50448</v>
      </c>
      <c r="C302" s="1" t="n">
        <v>19</v>
      </c>
      <c r="D302" s="1" t="n">
        <v>2</v>
      </c>
      <c r="E302" s="1" t="str">
        <f aca="false">VLOOKUP(C302,Меню!$A$2:$C$24,2,FALSE())</f>
        <v>Пицца Цезарь</v>
      </c>
      <c r="F302" s="1" t="n">
        <f aca="false">VLOOKUP(C302,Меню!$A$2:$C$24,3,FALSE())</f>
        <v>630</v>
      </c>
      <c r="G302" s="5" t="n">
        <f aca="false">VLOOKUP(B302,Заказы!$A$2:$E$2995,2,FALSE())</f>
        <v>44010</v>
      </c>
      <c r="H302" s="1" t="n">
        <f aca="false">VLOOKUP(B302,Заказы!$A$2:$E$2995,3,FALSE())</f>
        <v>661</v>
      </c>
      <c r="I302" s="1" t="str">
        <f aca="false">VLOOKUP(H302,Клиенты!$A$2:$E$1995,5,FALSE())</f>
        <v>г. Подольск</v>
      </c>
      <c r="J302" s="1" t="n">
        <f aca="false">VLOOKUP(B302,Заказы!$A$2:$E$2995,4,FALSE())</f>
        <v>335</v>
      </c>
      <c r="K302" s="1" t="str">
        <f aca="false">VLOOKUP(B302,Заказы!$A$2:$E$2995,5,FALSE())</f>
        <v>Выполнено</v>
      </c>
      <c r="L302" s="1" t="n">
        <f aca="false">D302*F302+J302</f>
        <v>1595</v>
      </c>
      <c r="M302" s="1" t="n">
        <f aca="false">IF(AND(E302="Пицца Труслейка",I302="г. Москва",K302="Выполнено",G302&gt;=DATE(2020,7,1),G302&lt;DATE(2020,8,1)),L302,0)</f>
        <v>0</v>
      </c>
    </row>
    <row r="303" customFormat="false" ht="15" hidden="false" customHeight="true" outlineLevel="0" collapsed="false">
      <c r="A303" s="1" t="n">
        <v>101676</v>
      </c>
      <c r="B303" s="1" t="n">
        <v>50468</v>
      </c>
      <c r="C303" s="1" t="n">
        <v>22</v>
      </c>
      <c r="D303" s="1" t="n">
        <v>3</v>
      </c>
      <c r="E303" s="1" t="str">
        <f aca="false">VLOOKUP(C303,Меню!$A$2:$C$24,2,FALSE())</f>
        <v>Пицца с поркеттой и фриарелли</v>
      </c>
      <c r="F303" s="1" t="n">
        <f aca="false">VLOOKUP(C303,Меню!$A$2:$C$24,3,FALSE())</f>
        <v>550</v>
      </c>
      <c r="G303" s="5" t="n">
        <f aca="false">VLOOKUP(B303,Заказы!$A$2:$E$2995,2,FALSE())</f>
        <v>44000</v>
      </c>
      <c r="H303" s="1" t="n">
        <f aca="false">VLOOKUP(B303,Заказы!$A$2:$E$2995,3,FALSE())</f>
        <v>759</v>
      </c>
      <c r="I303" s="1" t="str">
        <f aca="false">VLOOKUP(H303,Клиенты!$A$2:$E$1995,5,FALSE())</f>
        <v>г. Верхнеуральск</v>
      </c>
      <c r="J303" s="1" t="n">
        <f aca="false">VLOOKUP(B303,Заказы!$A$2:$E$2995,4,FALSE())</f>
        <v>0</v>
      </c>
      <c r="K303" s="1" t="str">
        <f aca="false">VLOOKUP(B303,Заказы!$A$2:$E$2995,5,FALSE())</f>
        <v>Не выполнено</v>
      </c>
      <c r="L303" s="1" t="n">
        <f aca="false">D303*F303+J303</f>
        <v>1650</v>
      </c>
      <c r="M303" s="1" t="n">
        <f aca="false">IF(AND(E303="Пицца Труслейка",I303="г. Москва",K303="Выполнено",G303&gt;=DATE(2020,7,1),G303&lt;DATE(2020,8,1)),L303,0)</f>
        <v>0</v>
      </c>
    </row>
    <row r="304" customFormat="false" ht="15" hidden="false" customHeight="true" outlineLevel="0" collapsed="false">
      <c r="A304" s="1" t="n">
        <v>100914</v>
      </c>
      <c r="B304" s="1" t="n">
        <v>51545</v>
      </c>
      <c r="C304" s="1" t="n">
        <v>13</v>
      </c>
      <c r="D304" s="1" t="n">
        <v>7</v>
      </c>
      <c r="E304" s="1" t="str">
        <f aca="false">VLOOKUP(C304,Меню!$A$2:$C$24,2,FALSE())</f>
        <v>Пицца Сырная</v>
      </c>
      <c r="F304" s="1" t="n">
        <f aca="false">VLOOKUP(C304,Меню!$A$2:$C$24,3,FALSE())</f>
        <v>635</v>
      </c>
      <c r="G304" s="5" t="n">
        <f aca="false">VLOOKUP(B304,Заказы!$A$2:$E$2995,2,FALSE())</f>
        <v>44011</v>
      </c>
      <c r="H304" s="1" t="n">
        <f aca="false">VLOOKUP(B304,Заказы!$A$2:$E$2995,3,FALSE())</f>
        <v>1576</v>
      </c>
      <c r="I304" s="1" t="str">
        <f aca="false">VLOOKUP(H304,Клиенты!$A$2:$E$1995,5,FALSE())</f>
        <v>г. Верхотурье</v>
      </c>
      <c r="J304" s="1" t="n">
        <f aca="false">VLOOKUP(B304,Заказы!$A$2:$E$2995,4,FALSE())</f>
        <v>882</v>
      </c>
      <c r="K304" s="1" t="str">
        <f aca="false">VLOOKUP(B304,Заказы!$A$2:$E$2995,5,FALSE())</f>
        <v>Выполнено</v>
      </c>
      <c r="L304" s="1" t="n">
        <f aca="false">D304*F304+J304</f>
        <v>5327</v>
      </c>
      <c r="M304" s="1" t="n">
        <f aca="false">IF(AND(E304="Пицца Труслейка",I304="г. Москва",K304="Выполнено",G304&gt;=DATE(2020,7,1),G304&lt;DATE(2020,8,1)),L304,0)</f>
        <v>0</v>
      </c>
    </row>
    <row r="305" customFormat="false" ht="15" hidden="false" customHeight="true" outlineLevel="0" collapsed="false">
      <c r="A305" s="1" t="n">
        <v>101759</v>
      </c>
      <c r="B305" s="1" t="n">
        <v>50859</v>
      </c>
      <c r="C305" s="1" t="n">
        <v>1</v>
      </c>
      <c r="D305" s="1" t="n">
        <v>5</v>
      </c>
      <c r="E305" s="1" t="str">
        <f aca="false">VLOOKUP(C305,Меню!$A$2:$C$24,2,FALSE())</f>
        <v>Пицца Гавайская</v>
      </c>
      <c r="F305" s="1" t="n">
        <f aca="false">VLOOKUP(C305,Меню!$A$2:$C$24,3,FALSE())</f>
        <v>545</v>
      </c>
      <c r="G305" s="5" t="n">
        <f aca="false">VLOOKUP(B305,Заказы!$A$2:$E$2995,2,FALSE())</f>
        <v>43992</v>
      </c>
      <c r="H305" s="1" t="n">
        <f aca="false">VLOOKUP(B305,Заказы!$A$2:$E$2995,3,FALSE())</f>
        <v>329</v>
      </c>
      <c r="I305" s="1" t="str">
        <f aca="false">VLOOKUP(H305,Клиенты!$A$2:$E$1995,5,FALSE())</f>
        <v>г. Тобольск</v>
      </c>
      <c r="J305" s="1" t="n">
        <f aca="false">VLOOKUP(B305,Заказы!$A$2:$E$2995,4,FALSE())</f>
        <v>0</v>
      </c>
      <c r="K305" s="1" t="str">
        <f aca="false">VLOOKUP(B305,Заказы!$A$2:$E$2995,5,FALSE())</f>
        <v>Не выполнено</v>
      </c>
      <c r="L305" s="1" t="n">
        <f aca="false">D305*F305+J305</f>
        <v>2725</v>
      </c>
      <c r="M305" s="1" t="n">
        <f aca="false">IF(AND(E305="Пицца Труслейка",I305="г. Москва",K305="Выполнено",G305&gt;=DATE(2020,7,1),G305&lt;DATE(2020,8,1)),L305,0)</f>
        <v>0</v>
      </c>
    </row>
    <row r="306" customFormat="false" ht="15" hidden="false" customHeight="true" outlineLevel="0" collapsed="false">
      <c r="A306" s="1" t="n">
        <v>101689</v>
      </c>
      <c r="B306" s="1" t="n">
        <v>51286</v>
      </c>
      <c r="C306" s="1" t="n">
        <v>18</v>
      </c>
      <c r="D306" s="1" t="n">
        <v>10</v>
      </c>
      <c r="E306" s="1" t="str">
        <f aca="false">VLOOKUP(C306,Меню!$A$2:$C$24,2,FALSE())</f>
        <v>Пицца Царская</v>
      </c>
      <c r="F306" s="1" t="n">
        <f aca="false">VLOOKUP(C306,Меню!$A$2:$C$24,3,FALSE())</f>
        <v>620</v>
      </c>
      <c r="G306" s="5" t="n">
        <f aca="false">VLOOKUP(B306,Заказы!$A$2:$E$2995,2,FALSE())</f>
        <v>44050</v>
      </c>
      <c r="H306" s="1" t="n">
        <f aca="false">VLOOKUP(B306,Заказы!$A$2:$E$2995,3,FALSE())</f>
        <v>1910</v>
      </c>
      <c r="I306" s="1" t="str">
        <f aca="false">VLOOKUP(H306,Клиенты!$A$2:$E$1995,5,FALSE())</f>
        <v>г. Москва</v>
      </c>
      <c r="J306" s="1" t="n">
        <f aca="false">VLOOKUP(B306,Заказы!$A$2:$E$2995,4,FALSE())</f>
        <v>682</v>
      </c>
      <c r="K306" s="1" t="str">
        <f aca="false">VLOOKUP(B306,Заказы!$A$2:$E$2995,5,FALSE())</f>
        <v>Выполнено</v>
      </c>
      <c r="L306" s="1" t="n">
        <f aca="false">D306*F306+J306</f>
        <v>6882</v>
      </c>
      <c r="M306" s="1" t="n">
        <f aca="false">IF(AND(E306="Пицца Труслейка",I306="г. Москва",K306="Выполнено",G306&gt;=DATE(2020,7,1),G306&lt;DATE(2020,8,1)),L306,0)</f>
        <v>0</v>
      </c>
    </row>
    <row r="307" customFormat="false" ht="15" hidden="false" customHeight="true" outlineLevel="0" collapsed="false">
      <c r="A307" s="1" t="n">
        <v>101193</v>
      </c>
      <c r="B307" s="1" t="n">
        <v>51234</v>
      </c>
      <c r="C307" s="1" t="n">
        <v>10</v>
      </c>
      <c r="D307" s="1" t="n">
        <v>5</v>
      </c>
      <c r="E307" s="1" t="str">
        <f aca="false">VLOOKUP(C307,Меню!$A$2:$C$24,2,FALSE())</f>
        <v>Пицца Пепперони фреш</v>
      </c>
      <c r="F307" s="1" t="n">
        <f aca="false">VLOOKUP(C307,Меню!$A$2:$C$24,3,FALSE())</f>
        <v>565</v>
      </c>
      <c r="G307" s="5" t="n">
        <f aca="false">VLOOKUP(B307,Заказы!$A$2:$E$2995,2,FALSE())</f>
        <v>44064</v>
      </c>
      <c r="H307" s="1" t="n">
        <f aca="false">VLOOKUP(B307,Заказы!$A$2:$E$2995,3,FALSE())</f>
        <v>472</v>
      </c>
      <c r="I307" s="1" t="str">
        <f aca="false">VLOOKUP(H307,Клиенты!$A$2:$E$1995,5,FALSE())</f>
        <v>г. Красногорск</v>
      </c>
      <c r="J307" s="1" t="n">
        <f aca="false">VLOOKUP(B307,Заказы!$A$2:$E$2995,4,FALSE())</f>
        <v>773</v>
      </c>
      <c r="K307" s="1" t="str">
        <f aca="false">VLOOKUP(B307,Заказы!$A$2:$E$2995,5,FALSE())</f>
        <v>Выполнено</v>
      </c>
      <c r="L307" s="1" t="n">
        <f aca="false">D307*F307+J307</f>
        <v>3598</v>
      </c>
      <c r="M307" s="1" t="n">
        <f aca="false">IF(AND(E307="Пицца Труслейка",I307="г. Москва",K307="Выполнено",G307&gt;=DATE(2020,7,1),G307&lt;DATE(2020,8,1)),L307,0)</f>
        <v>0</v>
      </c>
    </row>
    <row r="308" customFormat="false" ht="15" hidden="false" customHeight="true" outlineLevel="0" collapsed="false">
      <c r="A308" s="1" t="n">
        <v>100741</v>
      </c>
      <c r="B308" s="1" t="n">
        <v>51096</v>
      </c>
      <c r="C308" s="1" t="n">
        <v>18</v>
      </c>
      <c r="D308" s="1" t="n">
        <v>7</v>
      </c>
      <c r="E308" s="1" t="str">
        <f aca="false">VLOOKUP(C308,Меню!$A$2:$C$24,2,FALSE())</f>
        <v>Пицца Царская</v>
      </c>
      <c r="F308" s="1" t="n">
        <f aca="false">VLOOKUP(C308,Меню!$A$2:$C$24,3,FALSE())</f>
        <v>620</v>
      </c>
      <c r="G308" s="5" t="n">
        <f aca="false">VLOOKUP(B308,Заказы!$A$2:$E$2995,2,FALSE())</f>
        <v>44023</v>
      </c>
      <c r="H308" s="1" t="n">
        <f aca="false">VLOOKUP(B308,Заказы!$A$2:$E$2995,3,FALSE())</f>
        <v>1589</v>
      </c>
      <c r="I308" s="1" t="str">
        <f aca="false">VLOOKUP(H308,Клиенты!$A$2:$E$1995,5,FALSE())</f>
        <v>г. Нягань</v>
      </c>
      <c r="J308" s="1" t="n">
        <f aca="false">VLOOKUP(B308,Заказы!$A$2:$E$2995,4,FALSE())</f>
        <v>0</v>
      </c>
      <c r="K308" s="1" t="str">
        <f aca="false">VLOOKUP(B308,Заказы!$A$2:$E$2995,5,FALSE())</f>
        <v>Не выполнено</v>
      </c>
      <c r="L308" s="1" t="n">
        <f aca="false">D308*F308+J308</f>
        <v>4340</v>
      </c>
      <c r="M308" s="1" t="n">
        <f aca="false">IF(AND(E308="Пицца Труслейка",I308="г. Москва",K308="Выполнено",G308&gt;=DATE(2020,7,1),G308&lt;DATE(2020,8,1)),L308,0)</f>
        <v>0</v>
      </c>
    </row>
    <row r="309" customFormat="false" ht="15" hidden="false" customHeight="true" outlineLevel="0" collapsed="false">
      <c r="A309" s="1" t="n">
        <v>100607</v>
      </c>
      <c r="B309" s="1" t="n">
        <v>50165</v>
      </c>
      <c r="C309" s="1" t="n">
        <v>23</v>
      </c>
      <c r="D309" s="1" t="n">
        <v>2</v>
      </c>
      <c r="E309" s="1" t="str">
        <f aca="false">VLOOKUP(C309,Меню!$A$2:$C$24,2,FALSE())</f>
        <v>Пицца с тунцом</v>
      </c>
      <c r="F309" s="1" t="n">
        <f aca="false">VLOOKUP(C309,Меню!$A$2:$C$24,3,FALSE())</f>
        <v>520</v>
      </c>
      <c r="G309" s="5" t="n">
        <f aca="false">VLOOKUP(B309,Заказы!$A$2:$E$2995,2,FALSE())</f>
        <v>44068</v>
      </c>
      <c r="H309" s="1" t="n">
        <f aca="false">VLOOKUP(B309,Заказы!$A$2:$E$2995,3,FALSE())</f>
        <v>473</v>
      </c>
      <c r="I309" s="1" t="str">
        <f aca="false">VLOOKUP(H309,Клиенты!$A$2:$E$1995,5,FALSE())</f>
        <v>г. Истра</v>
      </c>
      <c r="J309" s="1" t="n">
        <f aca="false">VLOOKUP(B309,Заказы!$A$2:$E$2995,4,FALSE())</f>
        <v>823</v>
      </c>
      <c r="K309" s="1" t="str">
        <f aca="false">VLOOKUP(B309,Заказы!$A$2:$E$2995,5,FALSE())</f>
        <v>Выполнено</v>
      </c>
      <c r="L309" s="1" t="n">
        <f aca="false">D309*F309+J309</f>
        <v>1863</v>
      </c>
      <c r="M309" s="1" t="n">
        <f aca="false">IF(AND(E309="Пицца Труслейка",I309="г. Москва",K309="Выполнено",G309&gt;=DATE(2020,7,1),G309&lt;DATE(2020,8,1)),L309,0)</f>
        <v>0</v>
      </c>
    </row>
    <row r="310" customFormat="false" ht="15" hidden="false" customHeight="true" outlineLevel="0" collapsed="false">
      <c r="A310" s="1" t="n">
        <v>100430</v>
      </c>
      <c r="B310" s="1" t="n">
        <v>50123</v>
      </c>
      <c r="C310" s="1" t="n">
        <v>5</v>
      </c>
      <c r="D310" s="1" t="n">
        <v>8</v>
      </c>
      <c r="E310" s="1" t="str">
        <f aca="false">VLOOKUP(C310,Меню!$A$2:$C$24,2,FALSE())</f>
        <v>Пицца Жюльен</v>
      </c>
      <c r="F310" s="1" t="n">
        <f aca="false">VLOOKUP(C310,Меню!$A$2:$C$24,3,FALSE())</f>
        <v>580</v>
      </c>
      <c r="G310" s="5" t="n">
        <f aca="false">VLOOKUP(B310,Заказы!$A$2:$E$2995,2,FALSE())</f>
        <v>43998</v>
      </c>
      <c r="H310" s="1" t="n">
        <f aca="false">VLOOKUP(B310,Заказы!$A$2:$E$2995,3,FALSE())</f>
        <v>852</v>
      </c>
      <c r="I310" s="1" t="str">
        <f aca="false">VLOOKUP(H310,Клиенты!$A$2:$E$1995,5,FALSE())</f>
        <v>г. Новосокольники</v>
      </c>
      <c r="J310" s="1" t="n">
        <f aca="false">VLOOKUP(B310,Заказы!$A$2:$E$2995,4,FALSE())</f>
        <v>0</v>
      </c>
      <c r="K310" s="1" t="str">
        <f aca="false">VLOOKUP(B310,Заказы!$A$2:$E$2995,5,FALSE())</f>
        <v>Не выполнено</v>
      </c>
      <c r="L310" s="1" t="n">
        <f aca="false">D310*F310+J310</f>
        <v>4640</v>
      </c>
      <c r="M310" s="1" t="n">
        <f aca="false">IF(AND(E310="Пицца Труслейка",I310="г. Москва",K310="Выполнено",G310&gt;=DATE(2020,7,1),G310&lt;DATE(2020,8,1)),L310,0)</f>
        <v>0</v>
      </c>
    </row>
    <row r="311" customFormat="false" ht="15" hidden="false" customHeight="true" outlineLevel="0" collapsed="false">
      <c r="A311" s="1" t="n">
        <v>101884</v>
      </c>
      <c r="B311" s="1" t="n">
        <v>51891</v>
      </c>
      <c r="C311" s="1" t="n">
        <v>4</v>
      </c>
      <c r="D311" s="1" t="n">
        <v>6</v>
      </c>
      <c r="E311" s="1" t="str">
        <f aca="false">VLOOKUP(C311,Меню!$A$2:$C$24,2,FALSE())</f>
        <v>Пицца Труслейка</v>
      </c>
      <c r="F311" s="1" t="n">
        <f aca="false">VLOOKUP(C311,Меню!$A$2:$C$24,3,FALSE())</f>
        <v>610</v>
      </c>
      <c r="G311" s="5" t="n">
        <f aca="false">VLOOKUP(B311,Заказы!$A$2:$E$2995,2,FALSE())</f>
        <v>43993</v>
      </c>
      <c r="H311" s="1" t="n">
        <f aca="false">VLOOKUP(B311,Заказы!$A$2:$E$2995,3,FALSE())</f>
        <v>1098</v>
      </c>
      <c r="I311" s="1" t="str">
        <f aca="false">VLOOKUP(H311,Клиенты!$A$2:$E$1995,5,FALSE())</f>
        <v>г. Фрязино</v>
      </c>
      <c r="J311" s="1" t="n">
        <f aca="false">VLOOKUP(B311,Заказы!$A$2:$E$2995,4,FALSE())</f>
        <v>0</v>
      </c>
      <c r="K311" s="1" t="str">
        <f aca="false">VLOOKUP(B311,Заказы!$A$2:$E$2995,5,FALSE())</f>
        <v>Не выполнено</v>
      </c>
      <c r="L311" s="1" t="n">
        <f aca="false">D311*F311+J311</f>
        <v>3660</v>
      </c>
      <c r="M311" s="1" t="n">
        <f aca="false">IF(AND(E311="Пицца Труслейка",I311="г. Москва",K311="Выполнено",G311&gt;=DATE(2020,7,1),G311&lt;DATE(2020,8,1)),L311,0)</f>
        <v>0</v>
      </c>
    </row>
    <row r="312" customFormat="false" ht="15" hidden="false" customHeight="true" outlineLevel="0" collapsed="false">
      <c r="A312" s="1" t="n">
        <v>101481</v>
      </c>
      <c r="B312" s="1" t="n">
        <v>51507</v>
      </c>
      <c r="C312" s="1" t="n">
        <v>11</v>
      </c>
      <c r="D312" s="1" t="n">
        <v>5</v>
      </c>
      <c r="E312" s="1" t="str">
        <f aca="false">VLOOKUP(C312,Меню!$A$2:$C$24,2,FALSE())</f>
        <v>Пицца Песто</v>
      </c>
      <c r="F312" s="1" t="n">
        <f aca="false">VLOOKUP(C312,Меню!$A$2:$C$24,3,FALSE())</f>
        <v>530</v>
      </c>
      <c r="G312" s="5" t="n">
        <f aca="false">VLOOKUP(B312,Заказы!$A$2:$E$2995,2,FALSE())</f>
        <v>44070</v>
      </c>
      <c r="H312" s="1" t="n">
        <f aca="false">VLOOKUP(B312,Заказы!$A$2:$E$2995,3,FALSE())</f>
        <v>1865</v>
      </c>
      <c r="I312" s="1" t="str">
        <f aca="false">VLOOKUP(H312,Клиенты!$A$2:$E$1995,5,FALSE())</f>
        <v>г. Сасово</v>
      </c>
      <c r="J312" s="1" t="n">
        <f aca="false">VLOOKUP(B312,Заказы!$A$2:$E$2995,4,FALSE())</f>
        <v>213</v>
      </c>
      <c r="K312" s="1" t="str">
        <f aca="false">VLOOKUP(B312,Заказы!$A$2:$E$2995,5,FALSE())</f>
        <v>Выполнено</v>
      </c>
      <c r="L312" s="1" t="n">
        <f aca="false">D312*F312+J312</f>
        <v>2863</v>
      </c>
      <c r="M312" s="1" t="n">
        <f aca="false">IF(AND(E312="Пицца Труслейка",I312="г. Москва",K312="Выполнено",G312&gt;=DATE(2020,7,1),G312&lt;DATE(2020,8,1)),L312,0)</f>
        <v>0</v>
      </c>
    </row>
    <row r="313" customFormat="false" ht="15" hidden="false" customHeight="true" outlineLevel="0" collapsed="false">
      <c r="A313" s="1" t="n">
        <v>100478</v>
      </c>
      <c r="B313" s="1" t="n">
        <v>50128</v>
      </c>
      <c r="C313" s="1" t="n">
        <v>22</v>
      </c>
      <c r="D313" s="1" t="n">
        <v>7</v>
      </c>
      <c r="E313" s="1" t="str">
        <f aca="false">VLOOKUP(C313,Меню!$A$2:$C$24,2,FALSE())</f>
        <v>Пицца с поркеттой и фриарелли</v>
      </c>
      <c r="F313" s="1" t="n">
        <f aca="false">VLOOKUP(C313,Меню!$A$2:$C$24,3,FALSE())</f>
        <v>550</v>
      </c>
      <c r="G313" s="5" t="n">
        <f aca="false">VLOOKUP(B313,Заказы!$A$2:$E$2995,2,FALSE())</f>
        <v>44040</v>
      </c>
      <c r="H313" s="1" t="n">
        <f aca="false">VLOOKUP(B313,Заказы!$A$2:$E$2995,3,FALSE())</f>
        <v>436</v>
      </c>
      <c r="I313" s="1" t="str">
        <f aca="false">VLOOKUP(H313,Клиенты!$A$2:$E$1995,5,FALSE())</f>
        <v>г. Яхрома</v>
      </c>
      <c r="J313" s="1" t="n">
        <f aca="false">VLOOKUP(B313,Заказы!$A$2:$E$2995,4,FALSE())</f>
        <v>0</v>
      </c>
      <c r="K313" s="1" t="str">
        <f aca="false">VLOOKUP(B313,Заказы!$A$2:$E$2995,5,FALSE())</f>
        <v>Не выполнено</v>
      </c>
      <c r="L313" s="1" t="n">
        <f aca="false">D313*F313+J313</f>
        <v>3850</v>
      </c>
      <c r="M313" s="1" t="n">
        <f aca="false">IF(AND(E313="Пицца Труслейка",I313="г. Москва",K313="Выполнено",G313&gt;=DATE(2020,7,1),G313&lt;DATE(2020,8,1)),L313,0)</f>
        <v>0</v>
      </c>
    </row>
    <row r="314" customFormat="false" ht="15" hidden="false" customHeight="true" outlineLevel="0" collapsed="false">
      <c r="A314" s="1" t="n">
        <v>100568</v>
      </c>
      <c r="B314" s="1" t="n">
        <v>50578</v>
      </c>
      <c r="C314" s="1" t="n">
        <v>13</v>
      </c>
      <c r="D314" s="1" t="n">
        <v>7</v>
      </c>
      <c r="E314" s="1" t="str">
        <f aca="false">VLOOKUP(C314,Меню!$A$2:$C$24,2,FALSE())</f>
        <v>Пицца Сырная</v>
      </c>
      <c r="F314" s="1" t="n">
        <f aca="false">VLOOKUP(C314,Меню!$A$2:$C$24,3,FALSE())</f>
        <v>635</v>
      </c>
      <c r="G314" s="5" t="n">
        <f aca="false">VLOOKUP(B314,Заказы!$A$2:$E$2995,2,FALSE())</f>
        <v>44025</v>
      </c>
      <c r="H314" s="1" t="n">
        <f aca="false">VLOOKUP(B314,Заказы!$A$2:$E$2995,3,FALSE())</f>
        <v>1737</v>
      </c>
      <c r="I314" s="1" t="str">
        <f aca="false">VLOOKUP(H314,Клиенты!$A$2:$E$1995,5,FALSE())</f>
        <v>г. Чекалин</v>
      </c>
      <c r="J314" s="1" t="n">
        <f aca="false">VLOOKUP(B314,Заказы!$A$2:$E$2995,4,FALSE())</f>
        <v>0</v>
      </c>
      <c r="K314" s="1" t="str">
        <f aca="false">VLOOKUP(B314,Заказы!$A$2:$E$2995,5,FALSE())</f>
        <v>Не выполнено</v>
      </c>
      <c r="L314" s="1" t="n">
        <f aca="false">D314*F314+J314</f>
        <v>4445</v>
      </c>
      <c r="M314" s="1" t="n">
        <f aca="false">IF(AND(E314="Пицца Труслейка",I314="г. Москва",K314="Выполнено",G314&gt;=DATE(2020,7,1),G314&lt;DATE(2020,8,1)),L314,0)</f>
        <v>0</v>
      </c>
    </row>
    <row r="315" customFormat="false" ht="15" hidden="false" customHeight="true" outlineLevel="0" collapsed="false">
      <c r="A315" s="1" t="n">
        <v>100993</v>
      </c>
      <c r="B315" s="1" t="n">
        <v>50292</v>
      </c>
      <c r="C315" s="1" t="n">
        <v>2</v>
      </c>
      <c r="D315" s="1" t="n">
        <v>6</v>
      </c>
      <c r="E315" s="1" t="str">
        <f aca="false">VLOOKUP(C315,Меню!$A$2:$C$24,2,FALSE())</f>
        <v>Пицца Двойная пепперони</v>
      </c>
      <c r="F315" s="1" t="n">
        <f aca="false">VLOOKUP(C315,Меню!$A$2:$C$24,3,FALSE())</f>
        <v>575</v>
      </c>
      <c r="G315" s="5" t="n">
        <f aca="false">VLOOKUP(B315,Заказы!$A$2:$E$2995,2,FALSE())</f>
        <v>44033</v>
      </c>
      <c r="H315" s="1" t="n">
        <f aca="false">VLOOKUP(B315,Заказы!$A$2:$E$2995,3,FALSE())</f>
        <v>1908</v>
      </c>
      <c r="I315" s="1" t="str">
        <f aca="false">VLOOKUP(H315,Клиенты!$A$2:$E$1995,5,FALSE())</f>
        <v>г. Ясногорск</v>
      </c>
      <c r="J315" s="1" t="n">
        <f aca="false">VLOOKUP(B315,Заказы!$A$2:$E$2995,4,FALSE())</f>
        <v>332</v>
      </c>
      <c r="K315" s="1" t="str">
        <f aca="false">VLOOKUP(B315,Заказы!$A$2:$E$2995,5,FALSE())</f>
        <v>Выполнено</v>
      </c>
      <c r="L315" s="1" t="n">
        <f aca="false">D315*F315+J315</f>
        <v>3782</v>
      </c>
      <c r="M315" s="1" t="n">
        <f aca="false">IF(AND(E315="Пицца Труслейка",I315="г. Москва",K315="Выполнено",G315&gt;=DATE(2020,7,1),G315&lt;DATE(2020,8,1)),L315,0)</f>
        <v>0</v>
      </c>
    </row>
    <row r="316" customFormat="false" ht="15" hidden="false" customHeight="true" outlineLevel="0" collapsed="false">
      <c r="A316" s="1" t="n">
        <v>100236</v>
      </c>
      <c r="B316" s="1" t="n">
        <v>51388</v>
      </c>
      <c r="C316" s="1" t="n">
        <v>13</v>
      </c>
      <c r="D316" s="1" t="n">
        <v>2</v>
      </c>
      <c r="E316" s="1" t="str">
        <f aca="false">VLOOKUP(C316,Меню!$A$2:$C$24,2,FALSE())</f>
        <v>Пицца Сырная</v>
      </c>
      <c r="F316" s="1" t="n">
        <f aca="false">VLOOKUP(C316,Меню!$A$2:$C$24,3,FALSE())</f>
        <v>635</v>
      </c>
      <c r="G316" s="5" t="n">
        <f aca="false">VLOOKUP(B316,Заказы!$A$2:$E$2995,2,FALSE())</f>
        <v>44016</v>
      </c>
      <c r="H316" s="1" t="n">
        <f aca="false">VLOOKUP(B316,Заказы!$A$2:$E$2995,3,FALSE())</f>
        <v>413</v>
      </c>
      <c r="I316" s="1" t="str">
        <f aca="false">VLOOKUP(H316,Клиенты!$A$2:$E$1995,5,FALSE())</f>
        <v>г. Заречный</v>
      </c>
      <c r="J316" s="1" t="n">
        <f aca="false">VLOOKUP(B316,Заказы!$A$2:$E$2995,4,FALSE())</f>
        <v>0</v>
      </c>
      <c r="K316" s="1" t="str">
        <f aca="false">VLOOKUP(B316,Заказы!$A$2:$E$2995,5,FALSE())</f>
        <v>Не выполнено</v>
      </c>
      <c r="L316" s="1" t="n">
        <f aca="false">D316*F316+J316</f>
        <v>1270</v>
      </c>
      <c r="M316" s="1" t="n">
        <f aca="false">IF(AND(E316="Пицца Труслейка",I316="г. Москва",K316="Выполнено",G316&gt;=DATE(2020,7,1),G316&lt;DATE(2020,8,1)),L316,0)</f>
        <v>0</v>
      </c>
    </row>
    <row r="317" customFormat="false" ht="15" hidden="false" customHeight="true" outlineLevel="0" collapsed="false">
      <c r="A317" s="1" t="n">
        <v>101568</v>
      </c>
      <c r="B317" s="1" t="n">
        <v>51221</v>
      </c>
      <c r="C317" s="1" t="n">
        <v>14</v>
      </c>
      <c r="D317" s="1" t="n">
        <v>8</v>
      </c>
      <c r="E317" s="1" t="str">
        <f aca="false">VLOOKUP(C317,Меню!$A$2:$C$24,2,FALSE())</f>
        <v>Пицца Сырный цыпленок</v>
      </c>
      <c r="F317" s="1" t="n">
        <f aca="false">VLOOKUP(C317,Меню!$A$2:$C$24,3,FALSE())</f>
        <v>555</v>
      </c>
      <c r="G317" s="5" t="n">
        <f aca="false">VLOOKUP(B317,Заказы!$A$2:$E$2995,2,FALSE())</f>
        <v>44018</v>
      </c>
      <c r="H317" s="1" t="n">
        <f aca="false">VLOOKUP(B317,Заказы!$A$2:$E$2995,3,FALSE())</f>
        <v>660</v>
      </c>
      <c r="I317" s="1" t="str">
        <f aca="false">VLOOKUP(H317,Клиенты!$A$2:$E$1995,5,FALSE())</f>
        <v>г. Москва</v>
      </c>
      <c r="J317" s="1" t="n">
        <f aca="false">VLOOKUP(B317,Заказы!$A$2:$E$2995,4,FALSE())</f>
        <v>600</v>
      </c>
      <c r="K317" s="1" t="str">
        <f aca="false">VLOOKUP(B317,Заказы!$A$2:$E$2995,5,FALSE())</f>
        <v>Выполнено</v>
      </c>
      <c r="L317" s="1" t="n">
        <f aca="false">D317*F317+J317</f>
        <v>5040</v>
      </c>
      <c r="M317" s="1" t="n">
        <f aca="false">IF(AND(E317="Пицца Труслейка",I317="г. Москва",K317="Выполнено",G317&gt;=DATE(2020,7,1),G317&lt;DATE(2020,8,1)),L317,0)</f>
        <v>0</v>
      </c>
    </row>
    <row r="318" customFormat="false" ht="15" hidden="false" customHeight="true" outlineLevel="0" collapsed="false">
      <c r="A318" s="1" t="n">
        <v>101120</v>
      </c>
      <c r="B318" s="1" t="n">
        <v>50229</v>
      </c>
      <c r="C318" s="1" t="n">
        <v>7</v>
      </c>
      <c r="D318" s="1" t="n">
        <v>1</v>
      </c>
      <c r="E318" s="1" t="str">
        <f aca="false">VLOOKUP(C318,Меню!$A$2:$C$24,2,FALSE())</f>
        <v>Пицца Карбонара</v>
      </c>
      <c r="F318" s="1" t="n">
        <f aca="false">VLOOKUP(C318,Меню!$A$2:$C$24,3,FALSE())</f>
        <v>625</v>
      </c>
      <c r="G318" s="5" t="n">
        <f aca="false">VLOOKUP(B318,Заказы!$A$2:$E$2995,2,FALSE())</f>
        <v>44067</v>
      </c>
      <c r="H318" s="1" t="n">
        <f aca="false">VLOOKUP(B318,Заказы!$A$2:$E$2995,3,FALSE())</f>
        <v>385</v>
      </c>
      <c r="I318" s="1" t="str">
        <f aca="false">VLOOKUP(H318,Клиенты!$A$2:$E$1995,5,FALSE())</f>
        <v>г. Первоуральск</v>
      </c>
      <c r="J318" s="1" t="n">
        <f aca="false">VLOOKUP(B318,Заказы!$A$2:$E$2995,4,FALSE())</f>
        <v>897</v>
      </c>
      <c r="K318" s="1" t="str">
        <f aca="false">VLOOKUP(B318,Заказы!$A$2:$E$2995,5,FALSE())</f>
        <v>Выполнено</v>
      </c>
      <c r="L318" s="1" t="n">
        <f aca="false">D318*F318+J318</f>
        <v>1522</v>
      </c>
      <c r="M318" s="1" t="n">
        <f aca="false">IF(AND(E318="Пицца Труслейка",I318="г. Москва",K318="Выполнено",G318&gt;=DATE(2020,7,1),G318&lt;DATE(2020,8,1)),L318,0)</f>
        <v>0</v>
      </c>
    </row>
    <row r="319" customFormat="false" ht="15" hidden="false" customHeight="true" outlineLevel="0" collapsed="false">
      <c r="A319" s="1" t="n">
        <v>100131</v>
      </c>
      <c r="B319" s="1" t="n">
        <v>51628</v>
      </c>
      <c r="C319" s="1" t="n">
        <v>2</v>
      </c>
      <c r="D319" s="1" t="n">
        <v>9</v>
      </c>
      <c r="E319" s="1" t="str">
        <f aca="false">VLOOKUP(C319,Меню!$A$2:$C$24,2,FALSE())</f>
        <v>Пицца Двойная пепперони</v>
      </c>
      <c r="F319" s="1" t="n">
        <f aca="false">VLOOKUP(C319,Меню!$A$2:$C$24,3,FALSE())</f>
        <v>575</v>
      </c>
      <c r="G319" s="5" t="n">
        <f aca="false">VLOOKUP(B319,Заказы!$A$2:$E$2995,2,FALSE())</f>
        <v>44036</v>
      </c>
      <c r="H319" s="1" t="n">
        <f aca="false">VLOOKUP(B319,Заказы!$A$2:$E$2995,3,FALSE())</f>
        <v>1766</v>
      </c>
      <c r="I319" s="1" t="str">
        <f aca="false">VLOOKUP(H319,Клиенты!$A$2:$E$1995,5,FALSE())</f>
        <v>г. Тюмень</v>
      </c>
      <c r="J319" s="1" t="n">
        <f aca="false">VLOOKUP(B319,Заказы!$A$2:$E$2995,4,FALSE())</f>
        <v>659</v>
      </c>
      <c r="K319" s="1" t="str">
        <f aca="false">VLOOKUP(B319,Заказы!$A$2:$E$2995,5,FALSE())</f>
        <v>Выполнено</v>
      </c>
      <c r="L319" s="1" t="n">
        <f aca="false">D319*F319+J319</f>
        <v>5834</v>
      </c>
      <c r="M319" s="1" t="n">
        <f aca="false">IF(AND(E319="Пицца Труслейка",I319="г. Москва",K319="Выполнено",G319&gt;=DATE(2020,7,1),G319&lt;DATE(2020,8,1)),L319,0)</f>
        <v>0</v>
      </c>
    </row>
    <row r="320" customFormat="false" ht="15" hidden="false" customHeight="true" outlineLevel="0" collapsed="false">
      <c r="A320" s="1" t="n">
        <v>100470</v>
      </c>
      <c r="B320" s="1" t="n">
        <v>51820</v>
      </c>
      <c r="C320" s="1" t="n">
        <v>17</v>
      </c>
      <c r="D320" s="1" t="n">
        <v>6</v>
      </c>
      <c r="E320" s="1" t="str">
        <f aca="false">VLOOKUP(C320,Меню!$A$2:$C$24,2,FALSE())</f>
        <v>Пицца Френч Фрайз</v>
      </c>
      <c r="F320" s="1" t="n">
        <f aca="false">VLOOKUP(C320,Меню!$A$2:$C$24,3,FALSE())</f>
        <v>515</v>
      </c>
      <c r="G320" s="5" t="n">
        <f aca="false">VLOOKUP(B320,Заказы!$A$2:$E$2995,2,FALSE())</f>
        <v>44023</v>
      </c>
      <c r="H320" s="1" t="n">
        <f aca="false">VLOOKUP(B320,Заказы!$A$2:$E$2995,3,FALSE())</f>
        <v>1635</v>
      </c>
      <c r="I320" s="1" t="str">
        <f aca="false">VLOOKUP(H320,Клиенты!$A$2:$E$1995,5,FALSE())</f>
        <v>г. Городище</v>
      </c>
      <c r="J320" s="1" t="n">
        <f aca="false">VLOOKUP(B320,Заказы!$A$2:$E$2995,4,FALSE())</f>
        <v>0</v>
      </c>
      <c r="K320" s="1" t="str">
        <f aca="false">VLOOKUP(B320,Заказы!$A$2:$E$2995,5,FALSE())</f>
        <v>Не выполнено</v>
      </c>
      <c r="L320" s="1" t="n">
        <f aca="false">D320*F320+J320</f>
        <v>3090</v>
      </c>
      <c r="M320" s="1" t="n">
        <f aca="false">IF(AND(E320="Пицца Труслейка",I320="г. Москва",K320="Выполнено",G320&gt;=DATE(2020,7,1),G320&lt;DATE(2020,8,1)),L320,0)</f>
        <v>0</v>
      </c>
    </row>
    <row r="321" customFormat="false" ht="15" hidden="false" customHeight="true" outlineLevel="0" collapsed="false">
      <c r="A321" s="1" t="n">
        <v>101581</v>
      </c>
      <c r="B321" s="1" t="n">
        <v>50930</v>
      </c>
      <c r="C321" s="1" t="n">
        <v>4</v>
      </c>
      <c r="D321" s="1" t="n">
        <v>5</v>
      </c>
      <c r="E321" s="1" t="str">
        <f aca="false">VLOOKUP(C321,Меню!$A$2:$C$24,2,FALSE())</f>
        <v>Пицца Труслейка</v>
      </c>
      <c r="F321" s="1" t="n">
        <f aca="false">VLOOKUP(C321,Меню!$A$2:$C$24,3,FALSE())</f>
        <v>610</v>
      </c>
      <c r="G321" s="5" t="n">
        <f aca="false">VLOOKUP(B321,Заказы!$A$2:$E$2995,2,FALSE())</f>
        <v>44046</v>
      </c>
      <c r="H321" s="1" t="n">
        <f aca="false">VLOOKUP(B321,Заказы!$A$2:$E$2995,3,FALSE())</f>
        <v>293</v>
      </c>
      <c r="I321" s="1" t="str">
        <f aca="false">VLOOKUP(H321,Клиенты!$A$2:$E$1995,5,FALSE())</f>
        <v>г. Видное</v>
      </c>
      <c r="J321" s="1" t="n">
        <f aca="false">VLOOKUP(B321,Заказы!$A$2:$E$2995,4,FALSE())</f>
        <v>0</v>
      </c>
      <c r="K321" s="1" t="str">
        <f aca="false">VLOOKUP(B321,Заказы!$A$2:$E$2995,5,FALSE())</f>
        <v>Не выполнено</v>
      </c>
      <c r="L321" s="1" t="n">
        <f aca="false">D321*F321+J321</f>
        <v>3050</v>
      </c>
      <c r="M321" s="1" t="n">
        <f aca="false">IF(AND(E321="Пицца Труслейка",I321="г. Москва",K321="Выполнено",G321&gt;=DATE(2020,7,1),G321&lt;DATE(2020,8,1)),L321,0)</f>
        <v>0</v>
      </c>
    </row>
    <row r="322" customFormat="false" ht="15" hidden="false" customHeight="true" outlineLevel="0" collapsed="false">
      <c r="A322" s="1" t="n">
        <v>101298</v>
      </c>
      <c r="B322" s="1" t="n">
        <v>51612</v>
      </c>
      <c r="C322" s="1" t="n">
        <v>4</v>
      </c>
      <c r="D322" s="1" t="n">
        <v>4</v>
      </c>
      <c r="E322" s="1" t="str">
        <f aca="false">VLOOKUP(C322,Меню!$A$2:$C$24,2,FALSE())</f>
        <v>Пицца Труслейка</v>
      </c>
      <c r="F322" s="1" t="n">
        <f aca="false">VLOOKUP(C322,Меню!$A$2:$C$24,3,FALSE())</f>
        <v>610</v>
      </c>
      <c r="G322" s="5" t="n">
        <f aca="false">VLOOKUP(B322,Заказы!$A$2:$E$2995,2,FALSE())</f>
        <v>44050</v>
      </c>
      <c r="H322" s="1" t="n">
        <f aca="false">VLOOKUP(B322,Заказы!$A$2:$E$2995,3,FALSE())</f>
        <v>1005</v>
      </c>
      <c r="I322" s="1" t="str">
        <f aca="false">VLOOKUP(H322,Клиенты!$A$2:$E$1995,5,FALSE())</f>
        <v>г. Зеленоградск</v>
      </c>
      <c r="J322" s="1" t="n">
        <f aca="false">VLOOKUP(B322,Заказы!$A$2:$E$2995,4,FALSE())</f>
        <v>859</v>
      </c>
      <c r="K322" s="1" t="str">
        <f aca="false">VLOOKUP(B322,Заказы!$A$2:$E$2995,5,FALSE())</f>
        <v>Выполнено</v>
      </c>
      <c r="L322" s="1" t="n">
        <f aca="false">D322*F322+J322</f>
        <v>3299</v>
      </c>
      <c r="M322" s="1" t="n">
        <f aca="false">IF(AND(E322="Пицца Труслейка",I322="г. Москва",K322="Выполнено",G322&gt;=DATE(2020,7,1),G322&lt;DATE(2020,8,1)),L322,0)</f>
        <v>0</v>
      </c>
    </row>
    <row r="323" customFormat="false" ht="15" hidden="false" customHeight="true" outlineLevel="0" collapsed="false">
      <c r="A323" s="1" t="n">
        <v>100639</v>
      </c>
      <c r="B323" s="1" t="n">
        <v>51555</v>
      </c>
      <c r="C323" s="1" t="n">
        <v>19</v>
      </c>
      <c r="D323" s="1" t="n">
        <v>3</v>
      </c>
      <c r="E323" s="1" t="str">
        <f aca="false">VLOOKUP(C323,Меню!$A$2:$C$24,2,FALSE())</f>
        <v>Пицца Цезарь</v>
      </c>
      <c r="F323" s="1" t="n">
        <f aca="false">VLOOKUP(C323,Меню!$A$2:$C$24,3,FALSE())</f>
        <v>630</v>
      </c>
      <c r="G323" s="5" t="n">
        <f aca="false">VLOOKUP(B323,Заказы!$A$2:$E$2995,2,FALSE())</f>
        <v>44053</v>
      </c>
      <c r="H323" s="1" t="n">
        <f aca="false">VLOOKUP(B323,Заказы!$A$2:$E$2995,3,FALSE())</f>
        <v>1335</v>
      </c>
      <c r="I323" s="1" t="str">
        <f aca="false">VLOOKUP(H323,Клиенты!$A$2:$E$1995,5,FALSE())</f>
        <v>г. Никольское</v>
      </c>
      <c r="J323" s="1" t="n">
        <f aca="false">VLOOKUP(B323,Заказы!$A$2:$E$2995,4,FALSE())</f>
        <v>489</v>
      </c>
      <c r="K323" s="1" t="str">
        <f aca="false">VLOOKUP(B323,Заказы!$A$2:$E$2995,5,FALSE())</f>
        <v>Выполнено</v>
      </c>
      <c r="L323" s="1" t="n">
        <f aca="false">D323*F323+J323</f>
        <v>2379</v>
      </c>
      <c r="M323" s="1" t="n">
        <f aca="false">IF(AND(E323="Пицца Труслейка",I323="г. Москва",K323="Выполнено",G323&gt;=DATE(2020,7,1),G323&lt;DATE(2020,8,1)),L323,0)</f>
        <v>0</v>
      </c>
    </row>
    <row r="324" customFormat="false" ht="15" hidden="false" customHeight="true" outlineLevel="0" collapsed="false">
      <c r="A324" s="1" t="n">
        <v>101881</v>
      </c>
      <c r="B324" s="1" t="n">
        <v>50956</v>
      </c>
      <c r="C324" s="1" t="n">
        <v>14</v>
      </c>
      <c r="D324" s="1" t="n">
        <v>6</v>
      </c>
      <c r="E324" s="1" t="str">
        <f aca="false">VLOOKUP(C324,Меню!$A$2:$C$24,2,FALSE())</f>
        <v>Пицца Сырный цыпленок</v>
      </c>
      <c r="F324" s="1" t="n">
        <f aca="false">VLOOKUP(C324,Меню!$A$2:$C$24,3,FALSE())</f>
        <v>555</v>
      </c>
      <c r="G324" s="5" t="n">
        <f aca="false">VLOOKUP(B324,Заказы!$A$2:$E$2995,2,FALSE())</f>
        <v>43982</v>
      </c>
      <c r="H324" s="1" t="n">
        <f aca="false">VLOOKUP(B324,Заказы!$A$2:$E$2995,3,FALSE())</f>
        <v>746</v>
      </c>
      <c r="I324" s="1" t="str">
        <f aca="false">VLOOKUP(H324,Клиенты!$A$2:$E$1995,5,FALSE())</f>
        <v>г. Кимовск</v>
      </c>
      <c r="J324" s="1" t="n">
        <f aca="false">VLOOKUP(B324,Заказы!$A$2:$E$2995,4,FALSE())</f>
        <v>715</v>
      </c>
      <c r="K324" s="1" t="str">
        <f aca="false">VLOOKUP(B324,Заказы!$A$2:$E$2995,5,FALSE())</f>
        <v>Выполнено</v>
      </c>
      <c r="L324" s="1" t="n">
        <f aca="false">D324*F324+J324</f>
        <v>4045</v>
      </c>
      <c r="M324" s="1" t="n">
        <f aca="false">IF(AND(E324="Пицца Труслейка",I324="г. Москва",K324="Выполнено",G324&gt;=DATE(2020,7,1),G324&lt;DATE(2020,8,1)),L324,0)</f>
        <v>0</v>
      </c>
    </row>
    <row r="325" customFormat="false" ht="15" hidden="false" customHeight="true" outlineLevel="0" collapsed="false">
      <c r="A325" s="1" t="n">
        <v>100981</v>
      </c>
      <c r="B325" s="1" t="n">
        <v>50922</v>
      </c>
      <c r="C325" s="1" t="n">
        <v>13</v>
      </c>
      <c r="D325" s="1" t="n">
        <v>7</v>
      </c>
      <c r="E325" s="1" t="str">
        <f aca="false">VLOOKUP(C325,Меню!$A$2:$C$24,2,FALSE())</f>
        <v>Пицца Сырная</v>
      </c>
      <c r="F325" s="1" t="n">
        <f aca="false">VLOOKUP(C325,Меню!$A$2:$C$24,3,FALSE())</f>
        <v>635</v>
      </c>
      <c r="G325" s="5" t="n">
        <f aca="false">VLOOKUP(B325,Заказы!$A$2:$E$2995,2,FALSE())</f>
        <v>44047</v>
      </c>
      <c r="H325" s="1" t="n">
        <f aca="false">VLOOKUP(B325,Заказы!$A$2:$E$2995,3,FALSE())</f>
        <v>177</v>
      </c>
      <c r="I325" s="1" t="str">
        <f aca="false">VLOOKUP(H325,Клиенты!$A$2:$E$1995,5,FALSE())</f>
        <v>г. Кимры</v>
      </c>
      <c r="J325" s="1" t="n">
        <f aca="false">VLOOKUP(B325,Заказы!$A$2:$E$2995,4,FALSE())</f>
        <v>0</v>
      </c>
      <c r="K325" s="1" t="str">
        <f aca="false">VLOOKUP(B325,Заказы!$A$2:$E$2995,5,FALSE())</f>
        <v>Не выполнено</v>
      </c>
      <c r="L325" s="1" t="n">
        <f aca="false">D325*F325+J325</f>
        <v>4445</v>
      </c>
      <c r="M325" s="1" t="n">
        <f aca="false">IF(AND(E325="Пицца Труслейка",I325="г. Москва",K325="Выполнено",G325&gt;=DATE(2020,7,1),G325&lt;DATE(2020,8,1)),L325,0)</f>
        <v>0</v>
      </c>
    </row>
    <row r="326" customFormat="false" ht="15" hidden="false" customHeight="true" outlineLevel="0" collapsed="false">
      <c r="A326" s="1" t="n">
        <v>100766</v>
      </c>
      <c r="B326" s="1" t="n">
        <v>50609</v>
      </c>
      <c r="C326" s="1" t="n">
        <v>19</v>
      </c>
      <c r="D326" s="1" t="n">
        <v>5</v>
      </c>
      <c r="E326" s="1" t="str">
        <f aca="false">VLOOKUP(C326,Меню!$A$2:$C$24,2,FALSE())</f>
        <v>Пицца Цезарь</v>
      </c>
      <c r="F326" s="1" t="n">
        <f aca="false">VLOOKUP(C326,Меню!$A$2:$C$24,3,FALSE())</f>
        <v>630</v>
      </c>
      <c r="G326" s="5" t="n">
        <f aca="false">VLOOKUP(B326,Заказы!$A$2:$E$2995,2,FALSE())</f>
        <v>44068</v>
      </c>
      <c r="H326" s="1" t="n">
        <f aca="false">VLOOKUP(B326,Заказы!$A$2:$E$2995,3,FALSE())</f>
        <v>1943</v>
      </c>
      <c r="I326" s="1" t="str">
        <f aca="false">VLOOKUP(H326,Клиенты!$A$2:$E$1995,5,FALSE())</f>
        <v>г. Саратов</v>
      </c>
      <c r="J326" s="1" t="n">
        <f aca="false">VLOOKUP(B326,Заказы!$A$2:$E$2995,4,FALSE())</f>
        <v>0</v>
      </c>
      <c r="K326" s="1" t="str">
        <f aca="false">VLOOKUP(B326,Заказы!$A$2:$E$2995,5,FALSE())</f>
        <v>Не выполнено</v>
      </c>
      <c r="L326" s="1" t="n">
        <f aca="false">D326*F326+J326</f>
        <v>3150</v>
      </c>
      <c r="M326" s="1" t="n">
        <f aca="false">IF(AND(E326="Пицца Труслейка",I326="г. Москва",K326="Выполнено",G326&gt;=DATE(2020,7,1),G326&lt;DATE(2020,8,1)),L326,0)</f>
        <v>0</v>
      </c>
    </row>
    <row r="327" customFormat="false" ht="15" hidden="false" customHeight="true" outlineLevel="0" collapsed="false">
      <c r="A327" s="1" t="n">
        <v>101315</v>
      </c>
      <c r="B327" s="1" t="n">
        <v>51926</v>
      </c>
      <c r="C327" s="1" t="n">
        <v>6</v>
      </c>
      <c r="D327" s="1" t="n">
        <v>3</v>
      </c>
      <c r="E327" s="1" t="str">
        <f aca="false">VLOOKUP(C327,Меню!$A$2:$C$24,2,FALSE())</f>
        <v>Пицца Капричиоза</v>
      </c>
      <c r="F327" s="1" t="n">
        <f aca="false">VLOOKUP(C327,Меню!$A$2:$C$24,3,FALSE())</f>
        <v>570</v>
      </c>
      <c r="G327" s="5" t="n">
        <f aca="false">VLOOKUP(B327,Заказы!$A$2:$E$2995,2,FALSE())</f>
        <v>44017</v>
      </c>
      <c r="H327" s="1" t="n">
        <f aca="false">VLOOKUP(B327,Заказы!$A$2:$E$2995,3,FALSE())</f>
        <v>1745</v>
      </c>
      <c r="I327" s="1" t="str">
        <f aca="false">VLOOKUP(H327,Клиенты!$A$2:$E$1995,5,FALSE())</f>
        <v>г. Мирный</v>
      </c>
      <c r="J327" s="1" t="n">
        <f aca="false">VLOOKUP(B327,Заказы!$A$2:$E$2995,4,FALSE())</f>
        <v>0</v>
      </c>
      <c r="K327" s="1" t="str">
        <f aca="false">VLOOKUP(B327,Заказы!$A$2:$E$2995,5,FALSE())</f>
        <v>Не выполнено</v>
      </c>
      <c r="L327" s="1" t="n">
        <f aca="false">D327*F327+J327</f>
        <v>1710</v>
      </c>
      <c r="M327" s="1" t="n">
        <f aca="false">IF(AND(E327="Пицца Труслейка",I327="г. Москва",K327="Выполнено",G327&gt;=DATE(2020,7,1),G327&lt;DATE(2020,8,1)),L327,0)</f>
        <v>0</v>
      </c>
    </row>
    <row r="328" customFormat="false" ht="15" hidden="false" customHeight="true" outlineLevel="0" collapsed="false">
      <c r="A328" s="1" t="n">
        <v>100225</v>
      </c>
      <c r="B328" s="1" t="n">
        <v>51485</v>
      </c>
      <c r="C328" s="1" t="n">
        <v>2</v>
      </c>
      <c r="D328" s="1" t="n">
        <v>5</v>
      </c>
      <c r="E328" s="1" t="str">
        <f aca="false">VLOOKUP(C328,Меню!$A$2:$C$24,2,FALSE())</f>
        <v>Пицца Двойная пепперони</v>
      </c>
      <c r="F328" s="1" t="n">
        <f aca="false">VLOOKUP(C328,Меню!$A$2:$C$24,3,FALSE())</f>
        <v>575</v>
      </c>
      <c r="G328" s="5" t="n">
        <f aca="false">VLOOKUP(B328,Заказы!$A$2:$E$2995,2,FALSE())</f>
        <v>44063</v>
      </c>
      <c r="H328" s="1" t="n">
        <f aca="false">VLOOKUP(B328,Заказы!$A$2:$E$2995,3,FALSE())</f>
        <v>29</v>
      </c>
      <c r="I328" s="1" t="str">
        <f aca="false">VLOOKUP(H328,Клиенты!$A$2:$E$1995,5,FALSE())</f>
        <v>г. Краснослободск</v>
      </c>
      <c r="J328" s="1" t="n">
        <f aca="false">VLOOKUP(B328,Заказы!$A$2:$E$2995,4,FALSE())</f>
        <v>0</v>
      </c>
      <c r="K328" s="1" t="str">
        <f aca="false">VLOOKUP(B328,Заказы!$A$2:$E$2995,5,FALSE())</f>
        <v>Не выполнено</v>
      </c>
      <c r="L328" s="1" t="n">
        <f aca="false">D328*F328+J328</f>
        <v>2875</v>
      </c>
      <c r="M328" s="1" t="n">
        <f aca="false">IF(AND(E328="Пицца Труслейка",I328="г. Москва",K328="Выполнено",G328&gt;=DATE(2020,7,1),G328&lt;DATE(2020,8,1)),L328,0)</f>
        <v>0</v>
      </c>
    </row>
    <row r="329" customFormat="false" ht="15" hidden="false" customHeight="true" outlineLevel="0" collapsed="false">
      <c r="A329" s="1" t="n">
        <v>100387</v>
      </c>
      <c r="B329" s="1" t="n">
        <v>50300</v>
      </c>
      <c r="C329" s="1" t="n">
        <v>22</v>
      </c>
      <c r="D329" s="1" t="n">
        <v>7</v>
      </c>
      <c r="E329" s="1" t="str">
        <f aca="false">VLOOKUP(C329,Меню!$A$2:$C$24,2,FALSE())</f>
        <v>Пицца с поркеттой и фриарелли</v>
      </c>
      <c r="F329" s="1" t="n">
        <f aca="false">VLOOKUP(C329,Меню!$A$2:$C$24,3,FALSE())</f>
        <v>550</v>
      </c>
      <c r="G329" s="5" t="n">
        <f aca="false">VLOOKUP(B329,Заказы!$A$2:$E$2995,2,FALSE())</f>
        <v>44037</v>
      </c>
      <c r="H329" s="1" t="n">
        <f aca="false">VLOOKUP(B329,Заказы!$A$2:$E$2995,3,FALSE())</f>
        <v>1269</v>
      </c>
      <c r="I329" s="1" t="str">
        <f aca="false">VLOOKUP(H329,Клиенты!$A$2:$E$1995,5,FALSE())</f>
        <v>г. Усть-Кут</v>
      </c>
      <c r="J329" s="1" t="n">
        <f aca="false">VLOOKUP(B329,Заказы!$A$2:$E$2995,4,FALSE())</f>
        <v>371</v>
      </c>
      <c r="K329" s="1" t="str">
        <f aca="false">VLOOKUP(B329,Заказы!$A$2:$E$2995,5,FALSE())</f>
        <v>Выполнено</v>
      </c>
      <c r="L329" s="1" t="n">
        <f aca="false">D329*F329+J329</f>
        <v>4221</v>
      </c>
      <c r="M329" s="1" t="n">
        <f aca="false">IF(AND(E329="Пицца Труслейка",I329="г. Москва",K329="Выполнено",G329&gt;=DATE(2020,7,1),G329&lt;DATE(2020,8,1)),L329,0)</f>
        <v>0</v>
      </c>
    </row>
    <row r="330" customFormat="false" ht="15" hidden="false" customHeight="true" outlineLevel="0" collapsed="false">
      <c r="A330" s="1" t="n">
        <v>101909</v>
      </c>
      <c r="B330" s="1" t="n">
        <v>51663</v>
      </c>
      <c r="C330" s="1" t="n">
        <v>1</v>
      </c>
      <c r="D330" s="1" t="n">
        <v>3</v>
      </c>
      <c r="E330" s="1" t="str">
        <f aca="false">VLOOKUP(C330,Меню!$A$2:$C$24,2,FALSE())</f>
        <v>Пицца Гавайская</v>
      </c>
      <c r="F330" s="1" t="n">
        <f aca="false">VLOOKUP(C330,Меню!$A$2:$C$24,3,FALSE())</f>
        <v>545</v>
      </c>
      <c r="G330" s="5" t="n">
        <f aca="false">VLOOKUP(B330,Заказы!$A$2:$E$2995,2,FALSE())</f>
        <v>44007</v>
      </c>
      <c r="H330" s="1" t="n">
        <f aca="false">VLOOKUP(B330,Заказы!$A$2:$E$2995,3,FALSE())</f>
        <v>585</v>
      </c>
      <c r="I330" s="1" t="str">
        <f aca="false">VLOOKUP(H330,Клиенты!$A$2:$E$1995,5,FALSE())</f>
        <v>г. Палласовка</v>
      </c>
      <c r="J330" s="1" t="n">
        <f aca="false">VLOOKUP(B330,Заказы!$A$2:$E$2995,4,FALSE())</f>
        <v>0</v>
      </c>
      <c r="K330" s="1" t="str">
        <f aca="false">VLOOKUP(B330,Заказы!$A$2:$E$2995,5,FALSE())</f>
        <v>Не выполнено</v>
      </c>
      <c r="L330" s="1" t="n">
        <f aca="false">D330*F330+J330</f>
        <v>1635</v>
      </c>
      <c r="M330" s="1" t="n">
        <f aca="false">IF(AND(E330="Пицца Труслейка",I330="г. Москва",K330="Выполнено",G330&gt;=DATE(2020,7,1),G330&lt;DATE(2020,8,1)),L330,0)</f>
        <v>0</v>
      </c>
    </row>
    <row r="331" customFormat="false" ht="15" hidden="false" customHeight="true" outlineLevel="0" collapsed="false">
      <c r="A331" s="1" t="n">
        <v>100049</v>
      </c>
      <c r="B331" s="1" t="n">
        <v>50658</v>
      </c>
      <c r="C331" s="1" t="n">
        <v>4</v>
      </c>
      <c r="D331" s="1" t="n">
        <v>10</v>
      </c>
      <c r="E331" s="1" t="str">
        <f aca="false">VLOOKUP(C331,Меню!$A$2:$C$24,2,FALSE())</f>
        <v>Пицца Труслейка</v>
      </c>
      <c r="F331" s="1" t="n">
        <f aca="false">VLOOKUP(C331,Меню!$A$2:$C$24,3,FALSE())</f>
        <v>610</v>
      </c>
      <c r="G331" s="5" t="n">
        <f aca="false">VLOOKUP(B331,Заказы!$A$2:$E$2995,2,FALSE())</f>
        <v>44043</v>
      </c>
      <c r="H331" s="1" t="n">
        <f aca="false">VLOOKUP(B331,Заказы!$A$2:$E$2995,3,FALSE())</f>
        <v>1916</v>
      </c>
      <c r="I331" s="1" t="str">
        <f aca="false">VLOOKUP(H331,Клиенты!$A$2:$E$1995,5,FALSE())</f>
        <v>г. Кудрово</v>
      </c>
      <c r="J331" s="1" t="n">
        <f aca="false">VLOOKUP(B331,Заказы!$A$2:$E$2995,4,FALSE())</f>
        <v>110</v>
      </c>
      <c r="K331" s="1" t="str">
        <f aca="false">VLOOKUP(B331,Заказы!$A$2:$E$2995,5,FALSE())</f>
        <v>Выполнено</v>
      </c>
      <c r="L331" s="1" t="n">
        <f aca="false">D331*F331+J331</f>
        <v>6210</v>
      </c>
      <c r="M331" s="1" t="n">
        <f aca="false">IF(AND(E331="Пицца Труслейка",I331="г. Москва",K331="Выполнено",G331&gt;=DATE(2020,7,1),G331&lt;DATE(2020,8,1)),L331,0)</f>
        <v>0</v>
      </c>
    </row>
    <row r="332" customFormat="false" ht="15" hidden="false" customHeight="true" outlineLevel="0" collapsed="false">
      <c r="A332" s="1" t="n">
        <v>101429</v>
      </c>
      <c r="B332" s="1" t="n">
        <v>50370</v>
      </c>
      <c r="C332" s="1" t="n">
        <v>20</v>
      </c>
      <c r="D332" s="1" t="n">
        <v>3</v>
      </c>
      <c r="E332" s="1" t="str">
        <f aca="false">VLOOKUP(C332,Меню!$A$2:$C$24,2,FALSE())</f>
        <v>Пицца пиканте</v>
      </c>
      <c r="F332" s="1" t="n">
        <f aca="false">VLOOKUP(C332,Меню!$A$2:$C$24,3,FALSE())</f>
        <v>585</v>
      </c>
      <c r="G332" s="5" t="n">
        <f aca="false">VLOOKUP(B332,Заказы!$A$2:$E$2995,2,FALSE())</f>
        <v>44059</v>
      </c>
      <c r="H332" s="1" t="n">
        <f aca="false">VLOOKUP(B332,Заказы!$A$2:$E$2995,3,FALSE())</f>
        <v>1578</v>
      </c>
      <c r="I332" s="1" t="str">
        <f aca="false">VLOOKUP(H332,Клиенты!$A$2:$E$1995,5,FALSE())</f>
        <v>г. Урюпинск</v>
      </c>
      <c r="J332" s="1" t="n">
        <f aca="false">VLOOKUP(B332,Заказы!$A$2:$E$2995,4,FALSE())</f>
        <v>647</v>
      </c>
      <c r="K332" s="1" t="str">
        <f aca="false">VLOOKUP(B332,Заказы!$A$2:$E$2995,5,FALSE())</f>
        <v>Выполнено</v>
      </c>
      <c r="L332" s="1" t="n">
        <f aca="false">D332*F332+J332</f>
        <v>2402</v>
      </c>
      <c r="M332" s="1" t="n">
        <f aca="false">IF(AND(E332="Пицца Труслейка",I332="г. Москва",K332="Выполнено",G332&gt;=DATE(2020,7,1),G332&lt;DATE(2020,8,1)),L332,0)</f>
        <v>0</v>
      </c>
    </row>
    <row r="333" customFormat="false" ht="15" hidden="false" customHeight="true" outlineLevel="0" collapsed="false">
      <c r="A333" s="1" t="n">
        <v>101666</v>
      </c>
      <c r="B333" s="1" t="n">
        <v>50614</v>
      </c>
      <c r="C333" s="1" t="n">
        <v>22</v>
      </c>
      <c r="D333" s="1" t="n">
        <v>7</v>
      </c>
      <c r="E333" s="1" t="str">
        <f aca="false">VLOOKUP(C333,Меню!$A$2:$C$24,2,FALSE())</f>
        <v>Пицца с поркеттой и фриарелли</v>
      </c>
      <c r="F333" s="1" t="n">
        <f aca="false">VLOOKUP(C333,Меню!$A$2:$C$24,3,FALSE())</f>
        <v>550</v>
      </c>
      <c r="G333" s="5" t="n">
        <f aca="false">VLOOKUP(B333,Заказы!$A$2:$E$2995,2,FALSE())</f>
        <v>44011</v>
      </c>
      <c r="H333" s="1" t="n">
        <f aca="false">VLOOKUP(B333,Заказы!$A$2:$E$2995,3,FALSE())</f>
        <v>80</v>
      </c>
      <c r="I333" s="1" t="str">
        <f aca="false">VLOOKUP(H333,Клиенты!$A$2:$E$1995,5,FALSE())</f>
        <v>г. Москва</v>
      </c>
      <c r="J333" s="1" t="n">
        <f aca="false">VLOOKUP(B333,Заказы!$A$2:$E$2995,4,FALSE())</f>
        <v>619</v>
      </c>
      <c r="K333" s="1" t="str">
        <f aca="false">VLOOKUP(B333,Заказы!$A$2:$E$2995,5,FALSE())</f>
        <v>Выполнено</v>
      </c>
      <c r="L333" s="1" t="n">
        <f aca="false">D333*F333+J333</f>
        <v>4469</v>
      </c>
      <c r="M333" s="1" t="n">
        <f aca="false">IF(AND(E333="Пицца Труслейка",I333="г. Москва",K333="Выполнено",G333&gt;=DATE(2020,7,1),G333&lt;DATE(2020,8,1)),L333,0)</f>
        <v>0</v>
      </c>
    </row>
    <row r="334" customFormat="false" ht="15" hidden="false" customHeight="true" outlineLevel="0" collapsed="false">
      <c r="A334" s="1" t="n">
        <v>100670</v>
      </c>
      <c r="B334" s="1" t="n">
        <v>51622</v>
      </c>
      <c r="C334" s="1" t="n">
        <v>16</v>
      </c>
      <c r="D334" s="1" t="n">
        <v>9</v>
      </c>
      <c r="E334" s="1" t="str">
        <f aca="false">VLOOKUP(C334,Меню!$A$2:$C$24,2,FALSE())</f>
        <v>Пицца Флорида</v>
      </c>
      <c r="F334" s="1" t="n">
        <f aca="false">VLOOKUP(C334,Меню!$A$2:$C$24,3,FALSE())</f>
        <v>535</v>
      </c>
      <c r="G334" s="5" t="n">
        <f aca="false">VLOOKUP(B334,Заказы!$A$2:$E$2995,2,FALSE())</f>
        <v>44055</v>
      </c>
      <c r="H334" s="1" t="n">
        <f aca="false">VLOOKUP(B334,Заказы!$A$2:$E$2995,3,FALSE())</f>
        <v>1415</v>
      </c>
      <c r="I334" s="1" t="str">
        <f aca="false">VLOOKUP(H334,Клиенты!$A$2:$E$1995,5,FALSE())</f>
        <v>г. Камызяк</v>
      </c>
      <c r="J334" s="1" t="n">
        <f aca="false">VLOOKUP(B334,Заказы!$A$2:$E$2995,4,FALSE())</f>
        <v>0</v>
      </c>
      <c r="K334" s="1" t="str">
        <f aca="false">VLOOKUP(B334,Заказы!$A$2:$E$2995,5,FALSE())</f>
        <v>Не выполнено</v>
      </c>
      <c r="L334" s="1" t="n">
        <f aca="false">D334*F334+J334</f>
        <v>4815</v>
      </c>
      <c r="M334" s="1" t="n">
        <f aca="false">IF(AND(E334="Пицца Труслейка",I334="г. Москва",K334="Выполнено",G334&gt;=DATE(2020,7,1),G334&lt;DATE(2020,8,1)),L334,0)</f>
        <v>0</v>
      </c>
    </row>
    <row r="335" customFormat="false" ht="15" hidden="false" customHeight="true" outlineLevel="0" collapsed="false">
      <c r="A335" s="1" t="n">
        <v>100889</v>
      </c>
      <c r="B335" s="1" t="n">
        <v>50654</v>
      </c>
      <c r="C335" s="1" t="n">
        <v>17</v>
      </c>
      <c r="D335" s="1" t="n">
        <v>7</v>
      </c>
      <c r="E335" s="1" t="str">
        <f aca="false">VLOOKUP(C335,Меню!$A$2:$C$24,2,FALSE())</f>
        <v>Пицца Френч Фрайз</v>
      </c>
      <c r="F335" s="1" t="n">
        <f aca="false">VLOOKUP(C335,Меню!$A$2:$C$24,3,FALSE())</f>
        <v>515</v>
      </c>
      <c r="G335" s="5" t="n">
        <f aca="false">VLOOKUP(B335,Заказы!$A$2:$E$2995,2,FALSE())</f>
        <v>43995</v>
      </c>
      <c r="H335" s="1" t="n">
        <f aca="false">VLOOKUP(B335,Заказы!$A$2:$E$2995,3,FALSE())</f>
        <v>1721</v>
      </c>
      <c r="I335" s="1" t="str">
        <f aca="false">VLOOKUP(H335,Клиенты!$A$2:$E$1995,5,FALSE())</f>
        <v>г. Арамиль</v>
      </c>
      <c r="J335" s="1" t="n">
        <f aca="false">VLOOKUP(B335,Заказы!$A$2:$E$2995,4,FALSE())</f>
        <v>0</v>
      </c>
      <c r="K335" s="1" t="str">
        <f aca="false">VLOOKUP(B335,Заказы!$A$2:$E$2995,5,FALSE())</f>
        <v>Не выполнено</v>
      </c>
      <c r="L335" s="1" t="n">
        <f aca="false">D335*F335+J335</f>
        <v>3605</v>
      </c>
      <c r="M335" s="1" t="n">
        <f aca="false">IF(AND(E335="Пицца Труслейка",I335="г. Москва",K335="Выполнено",G335&gt;=DATE(2020,7,1),G335&lt;DATE(2020,8,1)),L335,0)</f>
        <v>0</v>
      </c>
    </row>
    <row r="336" customFormat="false" ht="15" hidden="false" customHeight="true" outlineLevel="0" collapsed="false">
      <c r="A336" s="1" t="n">
        <v>101109</v>
      </c>
      <c r="B336" s="1" t="n">
        <v>51138</v>
      </c>
      <c r="C336" s="1" t="n">
        <v>22</v>
      </c>
      <c r="D336" s="1" t="n">
        <v>2</v>
      </c>
      <c r="E336" s="1" t="str">
        <f aca="false">VLOOKUP(C336,Меню!$A$2:$C$24,2,FALSE())</f>
        <v>Пицца с поркеттой и фриарелли</v>
      </c>
      <c r="F336" s="1" t="n">
        <f aca="false">VLOOKUP(C336,Меню!$A$2:$C$24,3,FALSE())</f>
        <v>550</v>
      </c>
      <c r="G336" s="5" t="n">
        <f aca="false">VLOOKUP(B336,Заказы!$A$2:$E$2995,2,FALSE())</f>
        <v>44072</v>
      </c>
      <c r="H336" s="1" t="n">
        <f aca="false">VLOOKUP(B336,Заказы!$A$2:$E$2995,3,FALSE())</f>
        <v>47</v>
      </c>
      <c r="I336" s="1" t="str">
        <f aca="false">VLOOKUP(H336,Клиенты!$A$2:$E$1995,5,FALSE())</f>
        <v>г. Тавда</v>
      </c>
      <c r="J336" s="1" t="n">
        <f aca="false">VLOOKUP(B336,Заказы!$A$2:$E$2995,4,FALSE())</f>
        <v>0</v>
      </c>
      <c r="K336" s="1" t="str">
        <f aca="false">VLOOKUP(B336,Заказы!$A$2:$E$2995,5,FALSE())</f>
        <v>Не выполнено</v>
      </c>
      <c r="L336" s="1" t="n">
        <f aca="false">D336*F336+J336</f>
        <v>1100</v>
      </c>
      <c r="M336" s="1" t="n">
        <f aca="false">IF(AND(E336="Пицца Труслейка",I336="г. Москва",K336="Выполнено",G336&gt;=DATE(2020,7,1),G336&lt;DATE(2020,8,1)),L336,0)</f>
        <v>0</v>
      </c>
    </row>
    <row r="337" customFormat="false" ht="15" hidden="false" customHeight="true" outlineLevel="0" collapsed="false">
      <c r="A337" s="1" t="n">
        <v>101171</v>
      </c>
      <c r="B337" s="1" t="n">
        <v>51776</v>
      </c>
      <c r="C337" s="1" t="n">
        <v>7</v>
      </c>
      <c r="D337" s="1" t="n">
        <v>1</v>
      </c>
      <c r="E337" s="1" t="str">
        <f aca="false">VLOOKUP(C337,Меню!$A$2:$C$24,2,FALSE())</f>
        <v>Пицца Карбонара</v>
      </c>
      <c r="F337" s="1" t="n">
        <f aca="false">VLOOKUP(C337,Меню!$A$2:$C$24,3,FALSE())</f>
        <v>625</v>
      </c>
      <c r="G337" s="5" t="n">
        <f aca="false">VLOOKUP(B337,Заказы!$A$2:$E$2995,2,FALSE())</f>
        <v>43986</v>
      </c>
      <c r="H337" s="1" t="n">
        <f aca="false">VLOOKUP(B337,Заказы!$A$2:$E$2995,3,FALSE())</f>
        <v>589</v>
      </c>
      <c r="I337" s="1" t="str">
        <f aca="false">VLOOKUP(H337,Клиенты!$A$2:$E$1995,5,FALSE())</f>
        <v>г. Кострома</v>
      </c>
      <c r="J337" s="1" t="n">
        <f aca="false">VLOOKUP(B337,Заказы!$A$2:$E$2995,4,FALSE())</f>
        <v>622</v>
      </c>
      <c r="K337" s="1" t="str">
        <f aca="false">VLOOKUP(B337,Заказы!$A$2:$E$2995,5,FALSE())</f>
        <v>Выполнено</v>
      </c>
      <c r="L337" s="1" t="n">
        <f aca="false">D337*F337+J337</f>
        <v>1247</v>
      </c>
      <c r="M337" s="1" t="n">
        <f aca="false">IF(AND(E337="Пицца Труслейка",I337="г. Москва",K337="Выполнено",G337&gt;=DATE(2020,7,1),G337&lt;DATE(2020,8,1)),L337,0)</f>
        <v>0</v>
      </c>
    </row>
    <row r="338" customFormat="false" ht="15" hidden="false" customHeight="true" outlineLevel="0" collapsed="false">
      <c r="A338" s="1" t="n">
        <v>101406</v>
      </c>
      <c r="B338" s="1" t="n">
        <v>50841</v>
      </c>
      <c r="C338" s="1" t="n">
        <v>21</v>
      </c>
      <c r="D338" s="1" t="n">
        <v>10</v>
      </c>
      <c r="E338" s="1" t="str">
        <f aca="false">VLOOKUP(C338,Меню!$A$2:$C$24,2,FALSE())</f>
        <v>Пицца с креветками и цукини</v>
      </c>
      <c r="F338" s="1" t="n">
        <f aca="false">VLOOKUP(C338,Меню!$A$2:$C$24,3,FALSE())</f>
        <v>600</v>
      </c>
      <c r="G338" s="5" t="n">
        <f aca="false">VLOOKUP(B338,Заказы!$A$2:$E$2995,2,FALSE())</f>
        <v>44006</v>
      </c>
      <c r="H338" s="1" t="n">
        <f aca="false">VLOOKUP(B338,Заказы!$A$2:$E$2995,3,FALSE())</f>
        <v>269</v>
      </c>
      <c r="I338" s="1" t="str">
        <f aca="false">VLOOKUP(H338,Клиенты!$A$2:$E$1995,5,FALSE())</f>
        <v>г. Барнаул</v>
      </c>
      <c r="J338" s="1" t="n">
        <f aca="false">VLOOKUP(B338,Заказы!$A$2:$E$2995,4,FALSE())</f>
        <v>185</v>
      </c>
      <c r="K338" s="1" t="str">
        <f aca="false">VLOOKUP(B338,Заказы!$A$2:$E$2995,5,FALSE())</f>
        <v>Выполнено</v>
      </c>
      <c r="L338" s="1" t="n">
        <f aca="false">D338*F338+J338</f>
        <v>6185</v>
      </c>
      <c r="M338" s="1" t="n">
        <f aca="false">IF(AND(E338="Пицца Труслейка",I338="г. Москва",K338="Выполнено",G338&gt;=DATE(2020,7,1),G338&lt;DATE(2020,8,1)),L338,0)</f>
        <v>0</v>
      </c>
    </row>
    <row r="339" customFormat="false" ht="15" hidden="false" customHeight="true" outlineLevel="0" collapsed="false">
      <c r="A339" s="1" t="n">
        <v>100649</v>
      </c>
      <c r="B339" s="1" t="n">
        <v>51085</v>
      </c>
      <c r="C339" s="1" t="n">
        <v>4</v>
      </c>
      <c r="D339" s="1" t="n">
        <v>9</v>
      </c>
      <c r="E339" s="1" t="str">
        <f aca="false">VLOOKUP(C339,Меню!$A$2:$C$24,2,FALSE())</f>
        <v>Пицца Труслейка</v>
      </c>
      <c r="F339" s="1" t="n">
        <f aca="false">VLOOKUP(C339,Меню!$A$2:$C$24,3,FALSE())</f>
        <v>610</v>
      </c>
      <c r="G339" s="5" t="n">
        <f aca="false">VLOOKUP(B339,Заказы!$A$2:$E$2995,2,FALSE())</f>
        <v>43997</v>
      </c>
      <c r="H339" s="1" t="n">
        <f aca="false">VLOOKUP(B339,Заказы!$A$2:$E$2995,3,FALSE())</f>
        <v>1620</v>
      </c>
      <c r="I339" s="1" t="str">
        <f aca="false">VLOOKUP(H339,Клиенты!$A$2:$E$1995,5,FALSE())</f>
        <v>г. Москва</v>
      </c>
      <c r="J339" s="1" t="n">
        <f aca="false">VLOOKUP(B339,Заказы!$A$2:$E$2995,4,FALSE())</f>
        <v>0</v>
      </c>
      <c r="K339" s="1" t="str">
        <f aca="false">VLOOKUP(B339,Заказы!$A$2:$E$2995,5,FALSE())</f>
        <v>Не выполнено</v>
      </c>
      <c r="L339" s="1" t="n">
        <f aca="false">D339*F339+J339</f>
        <v>5490</v>
      </c>
      <c r="M339" s="1" t="n">
        <f aca="false">IF(AND(E339="Пицца Труслейка",I339="г. Москва",K339="Выполнено",G339&gt;=DATE(2020,7,1),G339&lt;DATE(2020,8,1)),L339,0)</f>
        <v>0</v>
      </c>
    </row>
    <row r="340" customFormat="false" ht="15" hidden="false" customHeight="true" outlineLevel="0" collapsed="false">
      <c r="A340" s="1" t="n">
        <v>100829</v>
      </c>
      <c r="B340" s="1" t="n">
        <v>51126</v>
      </c>
      <c r="C340" s="1" t="n">
        <v>2</v>
      </c>
      <c r="D340" s="1" t="n">
        <v>3</v>
      </c>
      <c r="E340" s="1" t="str">
        <f aca="false">VLOOKUP(C340,Меню!$A$2:$C$24,2,FALSE())</f>
        <v>Пицца Двойная пепперони</v>
      </c>
      <c r="F340" s="1" t="n">
        <f aca="false">VLOOKUP(C340,Меню!$A$2:$C$24,3,FALSE())</f>
        <v>575</v>
      </c>
      <c r="G340" s="5" t="n">
        <f aca="false">VLOOKUP(B340,Заказы!$A$2:$E$2995,2,FALSE())</f>
        <v>43986</v>
      </c>
      <c r="H340" s="1" t="n">
        <f aca="false">VLOOKUP(B340,Заказы!$A$2:$E$2995,3,FALSE())</f>
        <v>831</v>
      </c>
      <c r="I340" s="1" t="str">
        <f aca="false">VLOOKUP(H340,Клиенты!$A$2:$E$1995,5,FALSE())</f>
        <v>г. Нефтекумск</v>
      </c>
      <c r="J340" s="1" t="n">
        <f aca="false">VLOOKUP(B340,Заказы!$A$2:$E$2995,4,FALSE())</f>
        <v>322</v>
      </c>
      <c r="K340" s="1" t="str">
        <f aca="false">VLOOKUP(B340,Заказы!$A$2:$E$2995,5,FALSE())</f>
        <v>Выполнено</v>
      </c>
      <c r="L340" s="1" t="n">
        <f aca="false">D340*F340+J340</f>
        <v>2047</v>
      </c>
      <c r="M340" s="1" t="n">
        <f aca="false">IF(AND(E340="Пицца Труслейка",I340="г. Москва",K340="Выполнено",G340&gt;=DATE(2020,7,1),G340&lt;DATE(2020,8,1)),L340,0)</f>
        <v>0</v>
      </c>
    </row>
    <row r="341" customFormat="false" ht="15" hidden="false" customHeight="true" outlineLevel="0" collapsed="false">
      <c r="A341" s="1" t="n">
        <v>101138</v>
      </c>
      <c r="B341" s="1" t="n">
        <v>51631</v>
      </c>
      <c r="C341" s="1" t="n">
        <v>4</v>
      </c>
      <c r="D341" s="1" t="n">
        <v>4</v>
      </c>
      <c r="E341" s="1" t="str">
        <f aca="false">VLOOKUP(C341,Меню!$A$2:$C$24,2,FALSE())</f>
        <v>Пицца Труслейка</v>
      </c>
      <c r="F341" s="1" t="n">
        <f aca="false">VLOOKUP(C341,Меню!$A$2:$C$24,3,FALSE())</f>
        <v>610</v>
      </c>
      <c r="G341" s="5" t="n">
        <f aca="false">VLOOKUP(B341,Заказы!$A$2:$E$2995,2,FALSE())</f>
        <v>44064</v>
      </c>
      <c r="H341" s="1" t="n">
        <f aca="false">VLOOKUP(B341,Заказы!$A$2:$E$2995,3,FALSE())</f>
        <v>469</v>
      </c>
      <c r="I341" s="1" t="str">
        <f aca="false">VLOOKUP(H341,Клиенты!$A$2:$E$1995,5,FALSE())</f>
        <v>г. Торжок</v>
      </c>
      <c r="J341" s="1" t="n">
        <f aca="false">VLOOKUP(B341,Заказы!$A$2:$E$2995,4,FALSE())</f>
        <v>119</v>
      </c>
      <c r="K341" s="1" t="str">
        <f aca="false">VLOOKUP(B341,Заказы!$A$2:$E$2995,5,FALSE())</f>
        <v>Выполнено</v>
      </c>
      <c r="L341" s="1" t="n">
        <f aca="false">D341*F341+J341</f>
        <v>2559</v>
      </c>
      <c r="M341" s="1" t="n">
        <f aca="false">IF(AND(E341="Пицца Труслейка",I341="г. Москва",K341="Выполнено",G341&gt;=DATE(2020,7,1),G341&lt;DATE(2020,8,1)),L341,0)</f>
        <v>0</v>
      </c>
    </row>
    <row r="342" customFormat="false" ht="15" hidden="false" customHeight="true" outlineLevel="0" collapsed="false">
      <c r="A342" s="1" t="n">
        <v>100433</v>
      </c>
      <c r="B342" s="1" t="n">
        <v>51075</v>
      </c>
      <c r="C342" s="1" t="n">
        <v>7</v>
      </c>
      <c r="D342" s="1" t="n">
        <v>9</v>
      </c>
      <c r="E342" s="1" t="str">
        <f aca="false">VLOOKUP(C342,Меню!$A$2:$C$24,2,FALSE())</f>
        <v>Пицца Карбонара</v>
      </c>
      <c r="F342" s="1" t="n">
        <f aca="false">VLOOKUP(C342,Меню!$A$2:$C$24,3,FALSE())</f>
        <v>625</v>
      </c>
      <c r="G342" s="5" t="n">
        <f aca="false">VLOOKUP(B342,Заказы!$A$2:$E$2995,2,FALSE())</f>
        <v>44052</v>
      </c>
      <c r="H342" s="1" t="n">
        <f aca="false">VLOOKUP(B342,Заказы!$A$2:$E$2995,3,FALSE())</f>
        <v>1923</v>
      </c>
      <c r="I342" s="1" t="str">
        <f aca="false">VLOOKUP(H342,Клиенты!$A$2:$E$1995,5,FALSE())</f>
        <v>г. Прокопьевск</v>
      </c>
      <c r="J342" s="1" t="n">
        <f aca="false">VLOOKUP(B342,Заказы!$A$2:$E$2995,4,FALSE())</f>
        <v>0</v>
      </c>
      <c r="K342" s="1" t="str">
        <f aca="false">VLOOKUP(B342,Заказы!$A$2:$E$2995,5,FALSE())</f>
        <v>Не выполнено</v>
      </c>
      <c r="L342" s="1" t="n">
        <f aca="false">D342*F342+J342</f>
        <v>5625</v>
      </c>
      <c r="M342" s="1" t="n">
        <f aca="false">IF(AND(E342="Пицца Труслейка",I342="г. Москва",K342="Выполнено",G342&gt;=DATE(2020,7,1),G342&lt;DATE(2020,8,1)),L342,0)</f>
        <v>0</v>
      </c>
    </row>
    <row r="343" customFormat="false" ht="15" hidden="false" customHeight="true" outlineLevel="0" collapsed="false">
      <c r="A343" s="1" t="n">
        <v>100345</v>
      </c>
      <c r="B343" s="1" t="n">
        <v>50968</v>
      </c>
      <c r="C343" s="1" t="n">
        <v>14</v>
      </c>
      <c r="D343" s="1" t="n">
        <v>1</v>
      </c>
      <c r="E343" s="1" t="str">
        <f aca="false">VLOOKUP(C343,Меню!$A$2:$C$24,2,FALSE())</f>
        <v>Пицца Сырный цыпленок</v>
      </c>
      <c r="F343" s="1" t="n">
        <f aca="false">VLOOKUP(C343,Меню!$A$2:$C$24,3,FALSE())</f>
        <v>555</v>
      </c>
      <c r="G343" s="5" t="n">
        <f aca="false">VLOOKUP(B343,Заказы!$A$2:$E$2995,2,FALSE())</f>
        <v>43990</v>
      </c>
      <c r="H343" s="1" t="n">
        <f aca="false">VLOOKUP(B343,Заказы!$A$2:$E$2995,3,FALSE())</f>
        <v>1021</v>
      </c>
      <c r="I343" s="1" t="str">
        <f aca="false">VLOOKUP(H343,Клиенты!$A$2:$E$1995,5,FALSE())</f>
        <v>г. Козельск</v>
      </c>
      <c r="J343" s="1" t="n">
        <f aca="false">VLOOKUP(B343,Заказы!$A$2:$E$2995,4,FALSE())</f>
        <v>0</v>
      </c>
      <c r="K343" s="1" t="str">
        <f aca="false">VLOOKUP(B343,Заказы!$A$2:$E$2995,5,FALSE())</f>
        <v>Не выполнено</v>
      </c>
      <c r="L343" s="1" t="n">
        <f aca="false">D343*F343+J343</f>
        <v>555</v>
      </c>
      <c r="M343" s="1" t="n">
        <f aca="false">IF(AND(E343="Пицца Труслейка",I343="г. Москва",K343="Выполнено",G343&gt;=DATE(2020,7,1),G343&lt;DATE(2020,8,1)),L343,0)</f>
        <v>0</v>
      </c>
    </row>
    <row r="344" customFormat="false" ht="15" hidden="false" customHeight="true" outlineLevel="0" collapsed="false">
      <c r="A344" s="1" t="n">
        <v>101987</v>
      </c>
      <c r="B344" s="1" t="n">
        <v>50713</v>
      </c>
      <c r="C344" s="1" t="n">
        <v>9</v>
      </c>
      <c r="D344" s="1" t="n">
        <v>3</v>
      </c>
      <c r="E344" s="1" t="str">
        <f aca="false">VLOOKUP(C344,Меню!$A$2:$C$24,2,FALSE())</f>
        <v>Пицца Острая с беконом</v>
      </c>
      <c r="F344" s="1" t="n">
        <f aca="false">VLOOKUP(C344,Меню!$A$2:$C$24,3,FALSE())</f>
        <v>540</v>
      </c>
      <c r="G344" s="5" t="n">
        <f aca="false">VLOOKUP(B344,Заказы!$A$2:$E$2995,2,FALSE())</f>
        <v>44052</v>
      </c>
      <c r="H344" s="1" t="n">
        <f aca="false">VLOOKUP(B344,Заказы!$A$2:$E$2995,3,FALSE())</f>
        <v>192</v>
      </c>
      <c r="I344" s="1" t="str">
        <f aca="false">VLOOKUP(H344,Клиенты!$A$2:$E$1995,5,FALSE())</f>
        <v>г. Тулун</v>
      </c>
      <c r="J344" s="1" t="n">
        <f aca="false">VLOOKUP(B344,Заказы!$A$2:$E$2995,4,FALSE())</f>
        <v>0</v>
      </c>
      <c r="K344" s="1" t="str">
        <f aca="false">VLOOKUP(B344,Заказы!$A$2:$E$2995,5,FALSE())</f>
        <v>Не выполнено</v>
      </c>
      <c r="L344" s="1" t="n">
        <f aca="false">D344*F344+J344</f>
        <v>1620</v>
      </c>
      <c r="M344" s="1" t="n">
        <f aca="false">IF(AND(E344="Пицца Труслейка",I344="г. Москва",K344="Выполнено",G344&gt;=DATE(2020,7,1),G344&lt;DATE(2020,8,1)),L344,0)</f>
        <v>0</v>
      </c>
    </row>
    <row r="345" customFormat="false" ht="15" hidden="false" customHeight="true" outlineLevel="0" collapsed="false">
      <c r="A345" s="1" t="n">
        <v>101094</v>
      </c>
      <c r="B345" s="1" t="n">
        <v>51266</v>
      </c>
      <c r="C345" s="1" t="n">
        <v>13</v>
      </c>
      <c r="D345" s="1" t="n">
        <v>7</v>
      </c>
      <c r="E345" s="1" t="str">
        <f aca="false">VLOOKUP(C345,Меню!$A$2:$C$24,2,FALSE())</f>
        <v>Пицца Сырная</v>
      </c>
      <c r="F345" s="1" t="n">
        <f aca="false">VLOOKUP(C345,Меню!$A$2:$C$24,3,FALSE())</f>
        <v>635</v>
      </c>
      <c r="G345" s="5" t="n">
        <f aca="false">VLOOKUP(B345,Заказы!$A$2:$E$2995,2,FALSE())</f>
        <v>44004</v>
      </c>
      <c r="H345" s="1" t="n">
        <f aca="false">VLOOKUP(B345,Заказы!$A$2:$E$2995,3,FALSE())</f>
        <v>116</v>
      </c>
      <c r="I345" s="1" t="str">
        <f aca="false">VLOOKUP(H345,Клиенты!$A$2:$E$1995,5,FALSE())</f>
        <v>г. Йошкар-Ола</v>
      </c>
      <c r="J345" s="1" t="n">
        <f aca="false">VLOOKUP(B345,Заказы!$A$2:$E$2995,4,FALSE())</f>
        <v>213</v>
      </c>
      <c r="K345" s="1" t="str">
        <f aca="false">VLOOKUP(B345,Заказы!$A$2:$E$2995,5,FALSE())</f>
        <v>Выполнено</v>
      </c>
      <c r="L345" s="1" t="n">
        <f aca="false">D345*F345+J345</f>
        <v>4658</v>
      </c>
      <c r="M345" s="1" t="n">
        <f aca="false">IF(AND(E345="Пицца Труслейка",I345="г. Москва",K345="Выполнено",G345&gt;=DATE(2020,7,1),G345&lt;DATE(2020,8,1)),L345,0)</f>
        <v>0</v>
      </c>
    </row>
    <row r="346" customFormat="false" ht="15" hidden="false" customHeight="true" outlineLevel="0" collapsed="false">
      <c r="A346" s="1" t="n">
        <v>101515</v>
      </c>
      <c r="B346" s="1" t="n">
        <v>51311</v>
      </c>
      <c r="C346" s="1" t="n">
        <v>13</v>
      </c>
      <c r="D346" s="1" t="n">
        <v>3</v>
      </c>
      <c r="E346" s="1" t="str">
        <f aca="false">VLOOKUP(C346,Меню!$A$2:$C$24,2,FALSE())</f>
        <v>Пицца Сырная</v>
      </c>
      <c r="F346" s="1" t="n">
        <f aca="false">VLOOKUP(C346,Меню!$A$2:$C$24,3,FALSE())</f>
        <v>635</v>
      </c>
      <c r="G346" s="5" t="n">
        <f aca="false">VLOOKUP(B346,Заказы!$A$2:$E$2995,2,FALSE())</f>
        <v>44017</v>
      </c>
      <c r="H346" s="1" t="n">
        <f aca="false">VLOOKUP(B346,Заказы!$A$2:$E$2995,3,FALSE())</f>
        <v>745</v>
      </c>
      <c r="I346" s="1" t="str">
        <f aca="false">VLOOKUP(H346,Клиенты!$A$2:$E$1995,5,FALSE())</f>
        <v>г. Истра</v>
      </c>
      <c r="J346" s="1" t="n">
        <f aca="false">VLOOKUP(B346,Заказы!$A$2:$E$2995,4,FALSE())</f>
        <v>405</v>
      </c>
      <c r="K346" s="1" t="str">
        <f aca="false">VLOOKUP(B346,Заказы!$A$2:$E$2995,5,FALSE())</f>
        <v>Выполнено</v>
      </c>
      <c r="L346" s="1" t="n">
        <f aca="false">D346*F346+J346</f>
        <v>2310</v>
      </c>
      <c r="M346" s="1" t="n">
        <f aca="false">IF(AND(E346="Пицца Труслейка",I346="г. Москва",K346="Выполнено",G346&gt;=DATE(2020,7,1),G346&lt;DATE(2020,8,1)),L346,0)</f>
        <v>0</v>
      </c>
    </row>
    <row r="347" customFormat="false" ht="15" hidden="false" customHeight="true" outlineLevel="0" collapsed="false">
      <c r="A347" s="1" t="n">
        <v>100263</v>
      </c>
      <c r="B347" s="1" t="n">
        <v>51860</v>
      </c>
      <c r="C347" s="1" t="n">
        <v>15</v>
      </c>
      <c r="D347" s="1" t="n">
        <v>1</v>
      </c>
      <c r="E347" s="1" t="str">
        <f aca="false">VLOOKUP(C347,Меню!$A$2:$C$24,2,FALSE())</f>
        <v>Пицца Тропиканка</v>
      </c>
      <c r="F347" s="1" t="n">
        <f aca="false">VLOOKUP(C347,Меню!$A$2:$C$24,3,FALSE())</f>
        <v>605</v>
      </c>
      <c r="G347" s="5" t="n">
        <f aca="false">VLOOKUP(B347,Заказы!$A$2:$E$2995,2,FALSE())</f>
        <v>44055</v>
      </c>
      <c r="H347" s="1" t="n">
        <f aca="false">VLOOKUP(B347,Заказы!$A$2:$E$2995,3,FALSE())</f>
        <v>1352</v>
      </c>
      <c r="I347" s="1" t="str">
        <f aca="false">VLOOKUP(H347,Клиенты!$A$2:$E$1995,5,FALSE())</f>
        <v>г. Яровое</v>
      </c>
      <c r="J347" s="1" t="n">
        <f aca="false">VLOOKUP(B347,Заказы!$A$2:$E$2995,4,FALSE())</f>
        <v>245</v>
      </c>
      <c r="K347" s="1" t="str">
        <f aca="false">VLOOKUP(B347,Заказы!$A$2:$E$2995,5,FALSE())</f>
        <v>Выполнено</v>
      </c>
      <c r="L347" s="1" t="n">
        <f aca="false">D347*F347+J347</f>
        <v>850</v>
      </c>
      <c r="M347" s="1" t="n">
        <f aca="false">IF(AND(E347="Пицца Труслейка",I347="г. Москва",K347="Выполнено",G347&gt;=DATE(2020,7,1),G347&lt;DATE(2020,8,1)),L347,0)</f>
        <v>0</v>
      </c>
    </row>
    <row r="348" customFormat="false" ht="15" hidden="false" customHeight="true" outlineLevel="0" collapsed="false">
      <c r="A348" s="1" t="n">
        <v>101898</v>
      </c>
      <c r="B348" s="1" t="n">
        <v>51933</v>
      </c>
      <c r="C348" s="1" t="n">
        <v>3</v>
      </c>
      <c r="D348" s="1" t="n">
        <v>7</v>
      </c>
      <c r="E348" s="1" t="str">
        <f aca="false">VLOOKUP(C348,Меню!$A$2:$C$24,2,FALSE())</f>
        <v>Пицца Диабло</v>
      </c>
      <c r="F348" s="1" t="n">
        <f aca="false">VLOOKUP(C348,Меню!$A$2:$C$24,3,FALSE())</f>
        <v>590</v>
      </c>
      <c r="G348" s="5" t="n">
        <f aca="false">VLOOKUP(B348,Заказы!$A$2:$E$2995,2,FALSE())</f>
        <v>44048</v>
      </c>
      <c r="H348" s="1" t="n">
        <f aca="false">VLOOKUP(B348,Заказы!$A$2:$E$2995,3,FALSE())</f>
        <v>1951</v>
      </c>
      <c r="I348" s="1" t="str">
        <f aca="false">VLOOKUP(H348,Клиенты!$A$2:$E$1995,5,FALSE())</f>
        <v>г. Куса</v>
      </c>
      <c r="J348" s="1" t="n">
        <f aca="false">VLOOKUP(B348,Заказы!$A$2:$E$2995,4,FALSE())</f>
        <v>0</v>
      </c>
      <c r="K348" s="1" t="str">
        <f aca="false">VLOOKUP(B348,Заказы!$A$2:$E$2995,5,FALSE())</f>
        <v>Не выполнено</v>
      </c>
      <c r="L348" s="1" t="n">
        <f aca="false">D348*F348+J348</f>
        <v>4130</v>
      </c>
      <c r="M348" s="1" t="n">
        <f aca="false">IF(AND(E348="Пицца Труслейка",I348="г. Москва",K348="Выполнено",G348&gt;=DATE(2020,7,1),G348&lt;DATE(2020,8,1)),L348,0)</f>
        <v>0</v>
      </c>
    </row>
    <row r="349" customFormat="false" ht="15" hidden="false" customHeight="true" outlineLevel="0" collapsed="false">
      <c r="A349" s="1" t="n">
        <v>101276</v>
      </c>
      <c r="B349" s="1" t="n">
        <v>51716</v>
      </c>
      <c r="C349" s="1" t="n">
        <v>12</v>
      </c>
      <c r="D349" s="1" t="n">
        <v>2</v>
      </c>
      <c r="E349" s="1" t="str">
        <f aca="false">VLOOKUP(C349,Меню!$A$2:$C$24,2,FALSE())</f>
        <v>Пицца Салями с трюфелем</v>
      </c>
      <c r="F349" s="1" t="n">
        <f aca="false">VLOOKUP(C349,Меню!$A$2:$C$24,3,FALSE())</f>
        <v>525</v>
      </c>
      <c r="G349" s="5" t="n">
        <f aca="false">VLOOKUP(B349,Заказы!$A$2:$E$2995,2,FALSE())</f>
        <v>44014</v>
      </c>
      <c r="H349" s="1" t="n">
        <f aca="false">VLOOKUP(B349,Заказы!$A$2:$E$2995,3,FALSE())</f>
        <v>185</v>
      </c>
      <c r="I349" s="1" t="str">
        <f aca="false">VLOOKUP(H349,Клиенты!$A$2:$E$1995,5,FALSE())</f>
        <v>г. Темников</v>
      </c>
      <c r="J349" s="1" t="n">
        <f aca="false">VLOOKUP(B349,Заказы!$A$2:$E$2995,4,FALSE())</f>
        <v>896</v>
      </c>
      <c r="K349" s="1" t="str">
        <f aca="false">VLOOKUP(B349,Заказы!$A$2:$E$2995,5,FALSE())</f>
        <v>Выполнено</v>
      </c>
      <c r="L349" s="1" t="n">
        <f aca="false">D349*F349+J349</f>
        <v>1946</v>
      </c>
      <c r="M349" s="1" t="n">
        <f aca="false">IF(AND(E349="Пицца Труслейка",I349="г. Москва",K349="Выполнено",G349&gt;=DATE(2020,7,1),G349&lt;DATE(2020,8,1)),L349,0)</f>
        <v>0</v>
      </c>
    </row>
    <row r="350" customFormat="false" ht="15" hidden="false" customHeight="true" outlineLevel="0" collapsed="false">
      <c r="A350" s="1" t="n">
        <v>100879</v>
      </c>
      <c r="B350" s="1" t="n">
        <v>50253</v>
      </c>
      <c r="C350" s="1" t="n">
        <v>21</v>
      </c>
      <c r="D350" s="1" t="n">
        <v>8</v>
      </c>
      <c r="E350" s="1" t="str">
        <f aca="false">VLOOKUP(C350,Меню!$A$2:$C$24,2,FALSE())</f>
        <v>Пицца с креветками и цукини</v>
      </c>
      <c r="F350" s="1" t="n">
        <f aca="false">VLOOKUP(C350,Меню!$A$2:$C$24,3,FALSE())</f>
        <v>600</v>
      </c>
      <c r="G350" s="5" t="n">
        <f aca="false">VLOOKUP(B350,Заказы!$A$2:$E$2995,2,FALSE())</f>
        <v>44061</v>
      </c>
      <c r="H350" s="1" t="n">
        <f aca="false">VLOOKUP(B350,Заказы!$A$2:$E$2995,3,FALSE())</f>
        <v>1384</v>
      </c>
      <c r="I350" s="1" t="str">
        <f aca="false">VLOOKUP(H350,Клиенты!$A$2:$E$1995,5,FALSE())</f>
        <v>г. Сураж</v>
      </c>
      <c r="J350" s="1" t="n">
        <f aca="false">VLOOKUP(B350,Заказы!$A$2:$E$2995,4,FALSE())</f>
        <v>109</v>
      </c>
      <c r="K350" s="1" t="str">
        <f aca="false">VLOOKUP(B350,Заказы!$A$2:$E$2995,5,FALSE())</f>
        <v>Выполнено</v>
      </c>
      <c r="L350" s="1" t="n">
        <f aca="false">D350*F350+J350</f>
        <v>4909</v>
      </c>
      <c r="M350" s="1" t="n">
        <f aca="false">IF(AND(E350="Пицца Труслейка",I350="г. Москва",K350="Выполнено",G350&gt;=DATE(2020,7,1),G350&lt;DATE(2020,8,1)),L350,0)</f>
        <v>0</v>
      </c>
    </row>
    <row r="351" customFormat="false" ht="15" hidden="false" customHeight="true" outlineLevel="0" collapsed="false">
      <c r="A351" s="1" t="n">
        <v>100436</v>
      </c>
      <c r="B351" s="1" t="n">
        <v>50478</v>
      </c>
      <c r="C351" s="1" t="n">
        <v>4</v>
      </c>
      <c r="D351" s="1" t="n">
        <v>5</v>
      </c>
      <c r="E351" s="1" t="str">
        <f aca="false">VLOOKUP(C351,Меню!$A$2:$C$24,2,FALSE())</f>
        <v>Пицца Труслейка</v>
      </c>
      <c r="F351" s="1" t="n">
        <f aca="false">VLOOKUP(C351,Меню!$A$2:$C$24,3,FALSE())</f>
        <v>610</v>
      </c>
      <c r="G351" s="5" t="n">
        <f aca="false">VLOOKUP(B351,Заказы!$A$2:$E$2995,2,FALSE())</f>
        <v>43986</v>
      </c>
      <c r="H351" s="1" t="n">
        <f aca="false">VLOOKUP(B351,Заказы!$A$2:$E$2995,3,FALSE())</f>
        <v>628</v>
      </c>
      <c r="I351" s="1" t="str">
        <f aca="false">VLOOKUP(H351,Клиенты!$A$2:$E$1995,5,FALSE())</f>
        <v>г. Поронайск</v>
      </c>
      <c r="J351" s="1" t="n">
        <f aca="false">VLOOKUP(B351,Заказы!$A$2:$E$2995,4,FALSE())</f>
        <v>0</v>
      </c>
      <c r="K351" s="1" t="str">
        <f aca="false">VLOOKUP(B351,Заказы!$A$2:$E$2995,5,FALSE())</f>
        <v>Не выполнено</v>
      </c>
      <c r="L351" s="1" t="n">
        <f aca="false">D351*F351+J351</f>
        <v>3050</v>
      </c>
      <c r="M351" s="1" t="n">
        <f aca="false">IF(AND(E351="Пицца Труслейка",I351="г. Москва",K351="Выполнено",G351&gt;=DATE(2020,7,1),G351&lt;DATE(2020,8,1)),L351,0)</f>
        <v>0</v>
      </c>
    </row>
    <row r="352" customFormat="false" ht="15" hidden="false" customHeight="true" outlineLevel="0" collapsed="false">
      <c r="A352" s="1" t="n">
        <v>100897</v>
      </c>
      <c r="B352" s="1" t="n">
        <v>50162</v>
      </c>
      <c r="C352" s="1" t="n">
        <v>21</v>
      </c>
      <c r="D352" s="1" t="n">
        <v>5</v>
      </c>
      <c r="E352" s="1" t="str">
        <f aca="false">VLOOKUP(C352,Меню!$A$2:$C$24,2,FALSE())</f>
        <v>Пицца с креветками и цукини</v>
      </c>
      <c r="F352" s="1" t="n">
        <f aca="false">VLOOKUP(C352,Меню!$A$2:$C$24,3,FALSE())</f>
        <v>600</v>
      </c>
      <c r="G352" s="5" t="n">
        <f aca="false">VLOOKUP(B352,Заказы!$A$2:$E$2995,2,FALSE())</f>
        <v>44029</v>
      </c>
      <c r="H352" s="1" t="n">
        <f aca="false">VLOOKUP(B352,Заказы!$A$2:$E$2995,3,FALSE())</f>
        <v>881</v>
      </c>
      <c r="I352" s="1" t="str">
        <f aca="false">VLOOKUP(H352,Клиенты!$A$2:$E$1995,5,FALSE())</f>
        <v>г. Кимовск</v>
      </c>
      <c r="J352" s="1" t="n">
        <f aca="false">VLOOKUP(B352,Заказы!$A$2:$E$2995,4,FALSE())</f>
        <v>291</v>
      </c>
      <c r="K352" s="1" t="str">
        <f aca="false">VLOOKUP(B352,Заказы!$A$2:$E$2995,5,FALSE())</f>
        <v>Выполнено</v>
      </c>
      <c r="L352" s="1" t="n">
        <f aca="false">D352*F352+J352</f>
        <v>3291</v>
      </c>
      <c r="M352" s="1" t="n">
        <f aca="false">IF(AND(E352="Пицца Труслейка",I352="г. Москва",K352="Выполнено",G352&gt;=DATE(2020,7,1),G352&lt;DATE(2020,8,1)),L352,0)</f>
        <v>0</v>
      </c>
    </row>
    <row r="353" customFormat="false" ht="15" hidden="false" customHeight="true" outlineLevel="0" collapsed="false">
      <c r="A353" s="1" t="n">
        <v>100917</v>
      </c>
      <c r="B353" s="1" t="n">
        <v>51893</v>
      </c>
      <c r="C353" s="1" t="n">
        <v>5</v>
      </c>
      <c r="D353" s="1" t="n">
        <v>10</v>
      </c>
      <c r="E353" s="1" t="str">
        <f aca="false">VLOOKUP(C353,Меню!$A$2:$C$24,2,FALSE())</f>
        <v>Пицца Жюльен</v>
      </c>
      <c r="F353" s="1" t="n">
        <f aca="false">VLOOKUP(C353,Меню!$A$2:$C$24,3,FALSE())</f>
        <v>580</v>
      </c>
      <c r="G353" s="5" t="n">
        <f aca="false">VLOOKUP(B353,Заказы!$A$2:$E$2995,2,FALSE())</f>
        <v>44053</v>
      </c>
      <c r="H353" s="1" t="n">
        <f aca="false">VLOOKUP(B353,Заказы!$A$2:$E$2995,3,FALSE())</f>
        <v>1359</v>
      </c>
      <c r="I353" s="1" t="str">
        <f aca="false">VLOOKUP(H353,Клиенты!$A$2:$E$1995,5,FALSE())</f>
        <v>г. Чекалин</v>
      </c>
      <c r="J353" s="1" t="n">
        <f aca="false">VLOOKUP(B353,Заказы!$A$2:$E$2995,4,FALSE())</f>
        <v>0</v>
      </c>
      <c r="K353" s="1" t="str">
        <f aca="false">VLOOKUP(B353,Заказы!$A$2:$E$2995,5,FALSE())</f>
        <v>Не выполнено</v>
      </c>
      <c r="L353" s="1" t="n">
        <f aca="false">D353*F353+J353</f>
        <v>5800</v>
      </c>
      <c r="M353" s="1" t="n">
        <f aca="false">IF(AND(E353="Пицца Труслейка",I353="г. Москва",K353="Выполнено",G353&gt;=DATE(2020,7,1),G353&lt;DATE(2020,8,1)),L353,0)</f>
        <v>0</v>
      </c>
    </row>
    <row r="354" customFormat="false" ht="15" hidden="false" customHeight="true" outlineLevel="0" collapsed="false">
      <c r="A354" s="1" t="n">
        <v>101868</v>
      </c>
      <c r="B354" s="1" t="n">
        <v>51499</v>
      </c>
      <c r="C354" s="1" t="n">
        <v>22</v>
      </c>
      <c r="D354" s="1" t="n">
        <v>1</v>
      </c>
      <c r="E354" s="1" t="str">
        <f aca="false">VLOOKUP(C354,Меню!$A$2:$C$24,2,FALSE())</f>
        <v>Пицца с поркеттой и фриарелли</v>
      </c>
      <c r="F354" s="1" t="n">
        <f aca="false">VLOOKUP(C354,Меню!$A$2:$C$24,3,FALSE())</f>
        <v>550</v>
      </c>
      <c r="G354" s="5" t="n">
        <f aca="false">VLOOKUP(B354,Заказы!$A$2:$E$2995,2,FALSE())</f>
        <v>44019</v>
      </c>
      <c r="H354" s="1" t="n">
        <f aca="false">VLOOKUP(B354,Заказы!$A$2:$E$2995,3,FALSE())</f>
        <v>904</v>
      </c>
      <c r="I354" s="1" t="str">
        <f aca="false">VLOOKUP(H354,Клиенты!$A$2:$E$1995,5,FALSE())</f>
        <v>г. Межгорье</v>
      </c>
      <c r="J354" s="1" t="n">
        <f aca="false">VLOOKUP(B354,Заказы!$A$2:$E$2995,4,FALSE())</f>
        <v>0</v>
      </c>
      <c r="K354" s="1" t="str">
        <f aca="false">VLOOKUP(B354,Заказы!$A$2:$E$2995,5,FALSE())</f>
        <v>Не выполнено</v>
      </c>
      <c r="L354" s="1" t="n">
        <f aca="false">D354*F354+J354</f>
        <v>550</v>
      </c>
      <c r="M354" s="1" t="n">
        <f aca="false">IF(AND(E354="Пицца Труслейка",I354="г. Москва",K354="Выполнено",G354&gt;=DATE(2020,7,1),G354&lt;DATE(2020,8,1)),L354,0)</f>
        <v>0</v>
      </c>
    </row>
    <row r="355" customFormat="false" ht="15" hidden="false" customHeight="true" outlineLevel="0" collapsed="false">
      <c r="A355" s="1" t="n">
        <v>101982</v>
      </c>
      <c r="B355" s="1" t="n">
        <v>50005</v>
      </c>
      <c r="C355" s="1" t="n">
        <v>7</v>
      </c>
      <c r="D355" s="1" t="n">
        <v>10</v>
      </c>
      <c r="E355" s="1" t="str">
        <f aca="false">VLOOKUP(C355,Меню!$A$2:$C$24,2,FALSE())</f>
        <v>Пицца Карбонара</v>
      </c>
      <c r="F355" s="1" t="n">
        <f aca="false">VLOOKUP(C355,Меню!$A$2:$C$24,3,FALSE())</f>
        <v>625</v>
      </c>
      <c r="G355" s="5" t="n">
        <f aca="false">VLOOKUP(B355,Заказы!$A$2:$E$2995,2,FALSE())</f>
        <v>44039</v>
      </c>
      <c r="H355" s="1" t="n">
        <f aca="false">VLOOKUP(B355,Заказы!$A$2:$E$2995,3,FALSE())</f>
        <v>1152</v>
      </c>
      <c r="I355" s="1" t="str">
        <f aca="false">VLOOKUP(H355,Клиенты!$A$2:$E$1995,5,FALSE())</f>
        <v>г. Бобров</v>
      </c>
      <c r="J355" s="1" t="n">
        <f aca="false">VLOOKUP(B355,Заказы!$A$2:$E$2995,4,FALSE())</f>
        <v>578</v>
      </c>
      <c r="K355" s="1" t="str">
        <f aca="false">VLOOKUP(B355,Заказы!$A$2:$E$2995,5,FALSE())</f>
        <v>Выполнено</v>
      </c>
      <c r="L355" s="1" t="n">
        <f aca="false">D355*F355+J355</f>
        <v>6828</v>
      </c>
      <c r="M355" s="1" t="n">
        <f aca="false">IF(AND(E355="Пицца Труслейка",I355="г. Москва",K355="Выполнено",G355&gt;=DATE(2020,7,1),G355&lt;DATE(2020,8,1)),L355,0)</f>
        <v>0</v>
      </c>
    </row>
    <row r="356" customFormat="false" ht="15" hidden="false" customHeight="true" outlineLevel="0" collapsed="false">
      <c r="A356" s="1" t="n">
        <v>100124</v>
      </c>
      <c r="B356" s="1" t="n">
        <v>50586</v>
      </c>
      <c r="C356" s="1" t="n">
        <v>7</v>
      </c>
      <c r="D356" s="1" t="n">
        <v>7</v>
      </c>
      <c r="E356" s="1" t="str">
        <f aca="false">VLOOKUP(C356,Меню!$A$2:$C$24,2,FALSE())</f>
        <v>Пицца Карбонара</v>
      </c>
      <c r="F356" s="1" t="n">
        <f aca="false">VLOOKUP(C356,Меню!$A$2:$C$24,3,FALSE())</f>
        <v>625</v>
      </c>
      <c r="G356" s="5" t="n">
        <f aca="false">VLOOKUP(B356,Заказы!$A$2:$E$2995,2,FALSE())</f>
        <v>44017</v>
      </c>
      <c r="H356" s="1" t="n">
        <f aca="false">VLOOKUP(B356,Заказы!$A$2:$E$2995,3,FALSE())</f>
        <v>387</v>
      </c>
      <c r="I356" s="1" t="str">
        <f aca="false">VLOOKUP(H356,Клиенты!$A$2:$E$1995,5,FALSE())</f>
        <v>г. Козловка</v>
      </c>
      <c r="J356" s="1" t="n">
        <f aca="false">VLOOKUP(B356,Заказы!$A$2:$E$2995,4,FALSE())</f>
        <v>0</v>
      </c>
      <c r="K356" s="1" t="str">
        <f aca="false">VLOOKUP(B356,Заказы!$A$2:$E$2995,5,FALSE())</f>
        <v>Не выполнено</v>
      </c>
      <c r="L356" s="1" t="n">
        <f aca="false">D356*F356+J356</f>
        <v>4375</v>
      </c>
      <c r="M356" s="1" t="n">
        <f aca="false">IF(AND(E356="Пицца Труслейка",I356="г. Москва",K356="Выполнено",G356&gt;=DATE(2020,7,1),G356&lt;DATE(2020,8,1)),L356,0)</f>
        <v>0</v>
      </c>
    </row>
    <row r="357" customFormat="false" ht="15" hidden="false" customHeight="true" outlineLevel="0" collapsed="false">
      <c r="A357" s="1" t="n">
        <v>101190</v>
      </c>
      <c r="B357" s="1" t="n">
        <v>50746</v>
      </c>
      <c r="C357" s="1" t="n">
        <v>19</v>
      </c>
      <c r="D357" s="1" t="n">
        <v>3</v>
      </c>
      <c r="E357" s="1" t="str">
        <f aca="false">VLOOKUP(C357,Меню!$A$2:$C$24,2,FALSE())</f>
        <v>Пицца Цезарь</v>
      </c>
      <c r="F357" s="1" t="n">
        <f aca="false">VLOOKUP(C357,Меню!$A$2:$C$24,3,FALSE())</f>
        <v>630</v>
      </c>
      <c r="G357" s="5" t="n">
        <f aca="false">VLOOKUP(B357,Заказы!$A$2:$E$2995,2,FALSE())</f>
        <v>44009</v>
      </c>
      <c r="H357" s="1" t="n">
        <f aca="false">VLOOKUP(B357,Заказы!$A$2:$E$2995,3,FALSE())</f>
        <v>1236</v>
      </c>
      <c r="I357" s="1" t="str">
        <f aca="false">VLOOKUP(H357,Клиенты!$A$2:$E$1995,5,FALSE())</f>
        <v>г. Шелехов</v>
      </c>
      <c r="J357" s="1" t="n">
        <f aca="false">VLOOKUP(B357,Заказы!$A$2:$E$2995,4,FALSE())</f>
        <v>0</v>
      </c>
      <c r="K357" s="1" t="str">
        <f aca="false">VLOOKUP(B357,Заказы!$A$2:$E$2995,5,FALSE())</f>
        <v>Не выполнено</v>
      </c>
      <c r="L357" s="1" t="n">
        <f aca="false">D357*F357+J357</f>
        <v>1890</v>
      </c>
      <c r="M357" s="1" t="n">
        <f aca="false">IF(AND(E357="Пицца Труслейка",I357="г. Москва",K357="Выполнено",G357&gt;=DATE(2020,7,1),G357&lt;DATE(2020,8,1)),L357,0)</f>
        <v>0</v>
      </c>
    </row>
    <row r="358" customFormat="false" ht="15" hidden="false" customHeight="true" outlineLevel="0" collapsed="false">
      <c r="A358" s="1" t="n">
        <v>100096</v>
      </c>
      <c r="B358" s="1" t="n">
        <v>51383</v>
      </c>
      <c r="C358" s="1" t="n">
        <v>15</v>
      </c>
      <c r="D358" s="1" t="n">
        <v>9</v>
      </c>
      <c r="E358" s="1" t="str">
        <f aca="false">VLOOKUP(C358,Меню!$A$2:$C$24,2,FALSE())</f>
        <v>Пицца Тропиканка</v>
      </c>
      <c r="F358" s="1" t="n">
        <f aca="false">VLOOKUP(C358,Меню!$A$2:$C$24,3,FALSE())</f>
        <v>605</v>
      </c>
      <c r="G358" s="5" t="n">
        <f aca="false">VLOOKUP(B358,Заказы!$A$2:$E$2995,2,FALSE())</f>
        <v>44000</v>
      </c>
      <c r="H358" s="1" t="n">
        <f aca="false">VLOOKUP(B358,Заказы!$A$2:$E$2995,3,FALSE())</f>
        <v>1668</v>
      </c>
      <c r="I358" s="1" t="str">
        <f aca="false">VLOOKUP(H358,Клиенты!$A$2:$E$1995,5,FALSE())</f>
        <v>г. Слободской</v>
      </c>
      <c r="J358" s="1" t="n">
        <f aca="false">VLOOKUP(B358,Заказы!$A$2:$E$2995,4,FALSE())</f>
        <v>0</v>
      </c>
      <c r="K358" s="1" t="str">
        <f aca="false">VLOOKUP(B358,Заказы!$A$2:$E$2995,5,FALSE())</f>
        <v>Не выполнено</v>
      </c>
      <c r="L358" s="1" t="n">
        <f aca="false">D358*F358+J358</f>
        <v>5445</v>
      </c>
      <c r="M358" s="1" t="n">
        <f aca="false">IF(AND(E358="Пицца Труслейка",I358="г. Москва",K358="Выполнено",G358&gt;=DATE(2020,7,1),G358&lt;DATE(2020,8,1)),L358,0)</f>
        <v>0</v>
      </c>
    </row>
    <row r="359" customFormat="false" ht="15" hidden="false" customHeight="true" outlineLevel="0" collapsed="false">
      <c r="A359" s="1" t="n">
        <v>101860</v>
      </c>
      <c r="B359" s="1" t="n">
        <v>51966</v>
      </c>
      <c r="C359" s="1" t="n">
        <v>6</v>
      </c>
      <c r="D359" s="1" t="n">
        <v>7</v>
      </c>
      <c r="E359" s="1" t="str">
        <f aca="false">VLOOKUP(C359,Меню!$A$2:$C$24,2,FALSE())</f>
        <v>Пицца Капричиоза</v>
      </c>
      <c r="F359" s="1" t="n">
        <f aca="false">VLOOKUP(C359,Меню!$A$2:$C$24,3,FALSE())</f>
        <v>570</v>
      </c>
      <c r="G359" s="5" t="n">
        <f aca="false">VLOOKUP(B359,Заказы!$A$2:$E$2995,2,FALSE())</f>
        <v>44058</v>
      </c>
      <c r="H359" s="1" t="n">
        <f aca="false">VLOOKUP(B359,Заказы!$A$2:$E$2995,3,FALSE())</f>
        <v>680</v>
      </c>
      <c r="I359" s="1" t="str">
        <f aca="false">VLOOKUP(H359,Клиенты!$A$2:$E$1995,5,FALSE())</f>
        <v>г. Москва</v>
      </c>
      <c r="J359" s="1" t="n">
        <f aca="false">VLOOKUP(B359,Заказы!$A$2:$E$2995,4,FALSE())</f>
        <v>389</v>
      </c>
      <c r="K359" s="1" t="str">
        <f aca="false">VLOOKUP(B359,Заказы!$A$2:$E$2995,5,FALSE())</f>
        <v>Выполнено</v>
      </c>
      <c r="L359" s="1" t="n">
        <f aca="false">D359*F359+J359</f>
        <v>4379</v>
      </c>
      <c r="M359" s="1" t="n">
        <f aca="false">IF(AND(E359="Пицца Труслейка",I359="г. Москва",K359="Выполнено",G359&gt;=DATE(2020,7,1),G359&lt;DATE(2020,8,1)),L359,0)</f>
        <v>0</v>
      </c>
    </row>
    <row r="360" customFormat="false" ht="15" hidden="false" customHeight="true" outlineLevel="0" collapsed="false">
      <c r="A360" s="1" t="n">
        <v>101469</v>
      </c>
      <c r="B360" s="1" t="n">
        <v>51073</v>
      </c>
      <c r="C360" s="1" t="n">
        <v>17</v>
      </c>
      <c r="D360" s="1" t="n">
        <v>2</v>
      </c>
      <c r="E360" s="1" t="str">
        <f aca="false">VLOOKUP(C360,Меню!$A$2:$C$24,2,FALSE())</f>
        <v>Пицца Френч Фрайз</v>
      </c>
      <c r="F360" s="1" t="n">
        <f aca="false">VLOOKUP(C360,Меню!$A$2:$C$24,3,FALSE())</f>
        <v>515</v>
      </c>
      <c r="G360" s="5" t="n">
        <f aca="false">VLOOKUP(B360,Заказы!$A$2:$E$2995,2,FALSE())</f>
        <v>43988</v>
      </c>
      <c r="H360" s="1" t="n">
        <f aca="false">VLOOKUP(B360,Заказы!$A$2:$E$2995,3,FALSE())</f>
        <v>236</v>
      </c>
      <c r="I360" s="1" t="str">
        <f aca="false">VLOOKUP(H360,Клиенты!$A$2:$E$1995,5,FALSE())</f>
        <v>г. Лакинск</v>
      </c>
      <c r="J360" s="1" t="n">
        <f aca="false">VLOOKUP(B360,Заказы!$A$2:$E$2995,4,FALSE())</f>
        <v>185</v>
      </c>
      <c r="K360" s="1" t="str">
        <f aca="false">VLOOKUP(B360,Заказы!$A$2:$E$2995,5,FALSE())</f>
        <v>Выполнено</v>
      </c>
      <c r="L360" s="1" t="n">
        <f aca="false">D360*F360+J360</f>
        <v>1215</v>
      </c>
      <c r="M360" s="1" t="n">
        <f aca="false">IF(AND(E360="Пицца Труслейка",I360="г. Москва",K360="Выполнено",G360&gt;=DATE(2020,7,1),G360&lt;DATE(2020,8,1)),L360,0)</f>
        <v>0</v>
      </c>
    </row>
    <row r="361" customFormat="false" ht="15" hidden="false" customHeight="true" outlineLevel="0" collapsed="false">
      <c r="A361" s="1" t="n">
        <v>101901</v>
      </c>
      <c r="B361" s="1" t="n">
        <v>51487</v>
      </c>
      <c r="C361" s="1" t="n">
        <v>4</v>
      </c>
      <c r="D361" s="1" t="n">
        <v>5</v>
      </c>
      <c r="E361" s="1" t="str">
        <f aca="false">VLOOKUP(C361,Меню!$A$2:$C$24,2,FALSE())</f>
        <v>Пицца Труслейка</v>
      </c>
      <c r="F361" s="1" t="n">
        <f aca="false">VLOOKUP(C361,Меню!$A$2:$C$24,3,FALSE())</f>
        <v>610</v>
      </c>
      <c r="G361" s="5" t="n">
        <f aca="false">VLOOKUP(B361,Заказы!$A$2:$E$2995,2,FALSE())</f>
        <v>44017</v>
      </c>
      <c r="H361" s="1" t="n">
        <f aca="false">VLOOKUP(B361,Заказы!$A$2:$E$2995,3,FALSE())</f>
        <v>1389</v>
      </c>
      <c r="I361" s="1" t="str">
        <f aca="false">VLOOKUP(H361,Клиенты!$A$2:$E$1995,5,FALSE())</f>
        <v>г. Новоржев</v>
      </c>
      <c r="J361" s="1" t="n">
        <f aca="false">VLOOKUP(B361,Заказы!$A$2:$E$2995,4,FALSE())</f>
        <v>0</v>
      </c>
      <c r="K361" s="1" t="str">
        <f aca="false">VLOOKUP(B361,Заказы!$A$2:$E$2995,5,FALSE())</f>
        <v>Не выполнено</v>
      </c>
      <c r="L361" s="1" t="n">
        <f aca="false">D361*F361+J361</f>
        <v>3050</v>
      </c>
      <c r="M361" s="1" t="n">
        <f aca="false">IF(AND(E361="Пицца Труслейка",I361="г. Москва",K361="Выполнено",G361&gt;=DATE(2020,7,1),G361&lt;DATE(2020,8,1)),L361,0)</f>
        <v>0</v>
      </c>
    </row>
    <row r="362" customFormat="false" ht="15" hidden="false" customHeight="true" outlineLevel="0" collapsed="false">
      <c r="A362" s="1" t="n">
        <v>101512</v>
      </c>
      <c r="B362" s="1" t="n">
        <v>51514</v>
      </c>
      <c r="C362" s="1" t="n">
        <v>2</v>
      </c>
      <c r="D362" s="1" t="n">
        <v>3</v>
      </c>
      <c r="E362" s="1" t="str">
        <f aca="false">VLOOKUP(C362,Меню!$A$2:$C$24,2,FALSE())</f>
        <v>Пицца Двойная пепперони</v>
      </c>
      <c r="F362" s="1" t="n">
        <f aca="false">VLOOKUP(C362,Меню!$A$2:$C$24,3,FALSE())</f>
        <v>575</v>
      </c>
      <c r="G362" s="5" t="n">
        <f aca="false">VLOOKUP(B362,Заказы!$A$2:$E$2995,2,FALSE())</f>
        <v>43998</v>
      </c>
      <c r="H362" s="1" t="n">
        <f aca="false">VLOOKUP(B362,Заказы!$A$2:$E$2995,3,FALSE())</f>
        <v>1879</v>
      </c>
      <c r="I362" s="1" t="str">
        <f aca="false">VLOOKUP(H362,Клиенты!$A$2:$E$1995,5,FALSE())</f>
        <v>г. Георгиевск</v>
      </c>
      <c r="J362" s="1" t="n">
        <f aca="false">VLOOKUP(B362,Заказы!$A$2:$E$2995,4,FALSE())</f>
        <v>518</v>
      </c>
      <c r="K362" s="1" t="str">
        <f aca="false">VLOOKUP(B362,Заказы!$A$2:$E$2995,5,FALSE())</f>
        <v>Выполнено</v>
      </c>
      <c r="L362" s="1" t="n">
        <f aca="false">D362*F362+J362</f>
        <v>2243</v>
      </c>
      <c r="M362" s="1" t="n">
        <f aca="false">IF(AND(E362="Пицца Труслейка",I362="г. Москва",K362="Выполнено",G362&gt;=DATE(2020,7,1),G362&lt;DATE(2020,8,1)),L362,0)</f>
        <v>0</v>
      </c>
    </row>
    <row r="363" customFormat="false" ht="15" hidden="false" customHeight="true" outlineLevel="0" collapsed="false">
      <c r="A363" s="1" t="n">
        <v>100445</v>
      </c>
      <c r="B363" s="1" t="n">
        <v>50431</v>
      </c>
      <c r="C363" s="1" t="n">
        <v>14</v>
      </c>
      <c r="D363" s="1" t="n">
        <v>4</v>
      </c>
      <c r="E363" s="1" t="str">
        <f aca="false">VLOOKUP(C363,Меню!$A$2:$C$24,2,FALSE())</f>
        <v>Пицца Сырный цыпленок</v>
      </c>
      <c r="F363" s="1" t="n">
        <f aca="false">VLOOKUP(C363,Меню!$A$2:$C$24,3,FALSE())</f>
        <v>555</v>
      </c>
      <c r="G363" s="5" t="n">
        <f aca="false">VLOOKUP(B363,Заказы!$A$2:$E$2995,2,FALSE())</f>
        <v>44001</v>
      </c>
      <c r="H363" s="1" t="n">
        <f aca="false">VLOOKUP(B363,Заказы!$A$2:$E$2995,3,FALSE())</f>
        <v>1736</v>
      </c>
      <c r="I363" s="1" t="str">
        <f aca="false">VLOOKUP(H363,Клиенты!$A$2:$E$1995,5,FALSE())</f>
        <v>г. Урень</v>
      </c>
      <c r="J363" s="1" t="n">
        <f aca="false">VLOOKUP(B363,Заказы!$A$2:$E$2995,4,FALSE())</f>
        <v>826</v>
      </c>
      <c r="K363" s="1" t="str">
        <f aca="false">VLOOKUP(B363,Заказы!$A$2:$E$2995,5,FALSE())</f>
        <v>Выполнено</v>
      </c>
      <c r="L363" s="1" t="n">
        <f aca="false">D363*F363+J363</f>
        <v>3046</v>
      </c>
      <c r="M363" s="1" t="n">
        <f aca="false">IF(AND(E363="Пицца Труслейка",I363="г. Москва",K363="Выполнено",G363&gt;=DATE(2020,7,1),G363&lt;DATE(2020,8,1)),L363,0)</f>
        <v>0</v>
      </c>
    </row>
    <row r="364" customFormat="false" ht="15" hidden="false" customHeight="true" outlineLevel="0" collapsed="false">
      <c r="A364" s="1" t="n">
        <v>100480</v>
      </c>
      <c r="B364" s="1" t="n">
        <v>50981</v>
      </c>
      <c r="C364" s="1" t="n">
        <v>3</v>
      </c>
      <c r="D364" s="1" t="n">
        <v>4</v>
      </c>
      <c r="E364" s="1" t="str">
        <f aca="false">VLOOKUP(C364,Меню!$A$2:$C$24,2,FALSE())</f>
        <v>Пицца Диабло</v>
      </c>
      <c r="F364" s="1" t="n">
        <f aca="false">VLOOKUP(C364,Меню!$A$2:$C$24,3,FALSE())</f>
        <v>590</v>
      </c>
      <c r="G364" s="5" t="n">
        <f aca="false">VLOOKUP(B364,Заказы!$A$2:$E$2995,2,FALSE())</f>
        <v>44047</v>
      </c>
      <c r="H364" s="1" t="n">
        <f aca="false">VLOOKUP(B364,Заказы!$A$2:$E$2995,3,FALSE())</f>
        <v>696</v>
      </c>
      <c r="I364" s="1" t="str">
        <f aca="false">VLOOKUP(H364,Клиенты!$A$2:$E$1995,5,FALSE())</f>
        <v>г. Вязники</v>
      </c>
      <c r="J364" s="1" t="n">
        <f aca="false">VLOOKUP(B364,Заказы!$A$2:$E$2995,4,FALSE())</f>
        <v>497</v>
      </c>
      <c r="K364" s="1" t="str">
        <f aca="false">VLOOKUP(B364,Заказы!$A$2:$E$2995,5,FALSE())</f>
        <v>Выполнено</v>
      </c>
      <c r="L364" s="1" t="n">
        <f aca="false">D364*F364+J364</f>
        <v>2857</v>
      </c>
      <c r="M364" s="1" t="n">
        <f aca="false">IF(AND(E364="Пицца Труслейка",I364="г. Москва",K364="Выполнено",G364&gt;=DATE(2020,7,1),G364&lt;DATE(2020,8,1)),L364,0)</f>
        <v>0</v>
      </c>
    </row>
    <row r="365" customFormat="false" ht="15" hidden="false" customHeight="true" outlineLevel="0" collapsed="false">
      <c r="A365" s="1" t="n">
        <v>101262</v>
      </c>
      <c r="B365" s="1" t="n">
        <v>50840</v>
      </c>
      <c r="C365" s="1" t="n">
        <v>21</v>
      </c>
      <c r="D365" s="1" t="n">
        <v>8</v>
      </c>
      <c r="E365" s="1" t="str">
        <f aca="false">VLOOKUP(C365,Меню!$A$2:$C$24,2,FALSE())</f>
        <v>Пицца с креветками и цукини</v>
      </c>
      <c r="F365" s="1" t="n">
        <f aca="false">VLOOKUP(C365,Меню!$A$2:$C$24,3,FALSE())</f>
        <v>600</v>
      </c>
      <c r="G365" s="5" t="n">
        <f aca="false">VLOOKUP(B365,Заказы!$A$2:$E$2995,2,FALSE())</f>
        <v>44020</v>
      </c>
      <c r="H365" s="1" t="n">
        <f aca="false">VLOOKUP(B365,Заказы!$A$2:$E$2995,3,FALSE())</f>
        <v>804</v>
      </c>
      <c r="I365" s="1" t="str">
        <f aca="false">VLOOKUP(H365,Клиенты!$A$2:$E$1995,5,FALSE())</f>
        <v>г. Новоалтайск</v>
      </c>
      <c r="J365" s="1" t="n">
        <f aca="false">VLOOKUP(B365,Заказы!$A$2:$E$2995,4,FALSE())</f>
        <v>291</v>
      </c>
      <c r="K365" s="1" t="str">
        <f aca="false">VLOOKUP(B365,Заказы!$A$2:$E$2995,5,FALSE())</f>
        <v>Выполнено</v>
      </c>
      <c r="L365" s="1" t="n">
        <f aca="false">D365*F365+J365</f>
        <v>5091</v>
      </c>
      <c r="M365" s="1" t="n">
        <f aca="false">IF(AND(E365="Пицца Труслейка",I365="г. Москва",K365="Выполнено",G365&gt;=DATE(2020,7,1),G365&lt;DATE(2020,8,1)),L365,0)</f>
        <v>0</v>
      </c>
    </row>
    <row r="366" customFormat="false" ht="15" hidden="false" customHeight="true" outlineLevel="0" collapsed="false">
      <c r="A366" s="1" t="n">
        <v>101628</v>
      </c>
      <c r="B366" s="1" t="n">
        <v>50743</v>
      </c>
      <c r="C366" s="1" t="n">
        <v>13</v>
      </c>
      <c r="D366" s="1" t="n">
        <v>9</v>
      </c>
      <c r="E366" s="1" t="str">
        <f aca="false">VLOOKUP(C366,Меню!$A$2:$C$24,2,FALSE())</f>
        <v>Пицца Сырная</v>
      </c>
      <c r="F366" s="1" t="n">
        <f aca="false">VLOOKUP(C366,Меню!$A$2:$C$24,3,FALSE())</f>
        <v>635</v>
      </c>
      <c r="G366" s="5" t="n">
        <f aca="false">VLOOKUP(B366,Заказы!$A$2:$E$2995,2,FALSE())</f>
        <v>44050</v>
      </c>
      <c r="H366" s="1" t="n">
        <f aca="false">VLOOKUP(B366,Заказы!$A$2:$E$2995,3,FALSE())</f>
        <v>656</v>
      </c>
      <c r="I366" s="1" t="str">
        <f aca="false">VLOOKUP(H366,Клиенты!$A$2:$E$1995,5,FALSE())</f>
        <v>г. Котельники</v>
      </c>
      <c r="J366" s="1" t="n">
        <f aca="false">VLOOKUP(B366,Заказы!$A$2:$E$2995,4,FALSE())</f>
        <v>0</v>
      </c>
      <c r="K366" s="1" t="str">
        <f aca="false">VLOOKUP(B366,Заказы!$A$2:$E$2995,5,FALSE())</f>
        <v>Не выполнено</v>
      </c>
      <c r="L366" s="1" t="n">
        <f aca="false">D366*F366+J366</f>
        <v>5715</v>
      </c>
      <c r="M366" s="1" t="n">
        <f aca="false">IF(AND(E366="Пицца Труслейка",I366="г. Москва",K366="Выполнено",G366&gt;=DATE(2020,7,1),G366&lt;DATE(2020,8,1)),L366,0)</f>
        <v>0</v>
      </c>
    </row>
    <row r="367" customFormat="false" ht="15" hidden="false" customHeight="true" outlineLevel="0" collapsed="false">
      <c r="A367" s="1" t="n">
        <v>100811</v>
      </c>
      <c r="B367" s="1" t="n">
        <v>50603</v>
      </c>
      <c r="C367" s="1" t="n">
        <v>4</v>
      </c>
      <c r="D367" s="1" t="n">
        <v>6</v>
      </c>
      <c r="E367" s="1" t="str">
        <f aca="false">VLOOKUP(C367,Меню!$A$2:$C$24,2,FALSE())</f>
        <v>Пицца Труслейка</v>
      </c>
      <c r="F367" s="1" t="n">
        <f aca="false">VLOOKUP(C367,Меню!$A$2:$C$24,3,FALSE())</f>
        <v>610</v>
      </c>
      <c r="G367" s="5" t="n">
        <f aca="false">VLOOKUP(B367,Заказы!$A$2:$E$2995,2,FALSE())</f>
        <v>44039</v>
      </c>
      <c r="H367" s="1" t="n">
        <f aca="false">VLOOKUP(B367,Заказы!$A$2:$E$2995,3,FALSE())</f>
        <v>1337</v>
      </c>
      <c r="I367" s="1" t="str">
        <f aca="false">VLOOKUP(H367,Клиенты!$A$2:$E$1995,5,FALSE())</f>
        <v>г. Азов</v>
      </c>
      <c r="J367" s="1" t="n">
        <f aca="false">VLOOKUP(B367,Заказы!$A$2:$E$2995,4,FALSE())</f>
        <v>725</v>
      </c>
      <c r="K367" s="1" t="str">
        <f aca="false">VLOOKUP(B367,Заказы!$A$2:$E$2995,5,FALSE())</f>
        <v>Выполнено</v>
      </c>
      <c r="L367" s="1" t="n">
        <f aca="false">D367*F367+J367</f>
        <v>4385</v>
      </c>
      <c r="M367" s="1" t="n">
        <f aca="false">IF(AND(E367="Пицца Труслейка",I367="г. Москва",K367="Выполнено",G367&gt;=DATE(2020,7,1),G367&lt;DATE(2020,8,1)),L367,0)</f>
        <v>0</v>
      </c>
    </row>
    <row r="368" customFormat="false" ht="15" hidden="false" customHeight="true" outlineLevel="0" collapsed="false">
      <c r="A368" s="1" t="n">
        <v>100163</v>
      </c>
      <c r="B368" s="1" t="n">
        <v>51573</v>
      </c>
      <c r="C368" s="1" t="n">
        <v>3</v>
      </c>
      <c r="D368" s="1" t="n">
        <v>9</v>
      </c>
      <c r="E368" s="1" t="str">
        <f aca="false">VLOOKUP(C368,Меню!$A$2:$C$24,2,FALSE())</f>
        <v>Пицца Диабло</v>
      </c>
      <c r="F368" s="1" t="n">
        <f aca="false">VLOOKUP(C368,Меню!$A$2:$C$24,3,FALSE())</f>
        <v>590</v>
      </c>
      <c r="G368" s="5" t="n">
        <f aca="false">VLOOKUP(B368,Заказы!$A$2:$E$2995,2,FALSE())</f>
        <v>44014</v>
      </c>
      <c r="H368" s="1" t="n">
        <f aca="false">VLOOKUP(B368,Заказы!$A$2:$E$2995,3,FALSE())</f>
        <v>141</v>
      </c>
      <c r="I368" s="1" t="str">
        <f aca="false">VLOOKUP(H368,Клиенты!$A$2:$E$1995,5,FALSE())</f>
        <v>г. Снежинск</v>
      </c>
      <c r="J368" s="1" t="n">
        <f aca="false">VLOOKUP(B368,Заказы!$A$2:$E$2995,4,FALSE())</f>
        <v>0</v>
      </c>
      <c r="K368" s="1" t="str">
        <f aca="false">VLOOKUP(B368,Заказы!$A$2:$E$2995,5,FALSE())</f>
        <v>Не выполнено</v>
      </c>
      <c r="L368" s="1" t="n">
        <f aca="false">D368*F368+J368</f>
        <v>5310</v>
      </c>
      <c r="M368" s="1" t="n">
        <f aca="false">IF(AND(E368="Пицца Труслейка",I368="г. Москва",K368="Выполнено",G368&gt;=DATE(2020,7,1),G368&lt;DATE(2020,8,1)),L368,0)</f>
        <v>0</v>
      </c>
    </row>
    <row r="369" customFormat="false" ht="15" hidden="false" customHeight="true" outlineLevel="0" collapsed="false">
      <c r="A369" s="1" t="n">
        <v>101140</v>
      </c>
      <c r="B369" s="1" t="n">
        <v>50693</v>
      </c>
      <c r="C369" s="1" t="n">
        <v>16</v>
      </c>
      <c r="D369" s="1" t="n">
        <v>3</v>
      </c>
      <c r="E369" s="1" t="str">
        <f aca="false">VLOOKUP(C369,Меню!$A$2:$C$24,2,FALSE())</f>
        <v>Пицца Флорида</v>
      </c>
      <c r="F369" s="1" t="n">
        <f aca="false">VLOOKUP(C369,Меню!$A$2:$C$24,3,FALSE())</f>
        <v>535</v>
      </c>
      <c r="G369" s="5" t="n">
        <f aca="false">VLOOKUP(B369,Заказы!$A$2:$E$2995,2,FALSE())</f>
        <v>44052</v>
      </c>
      <c r="H369" s="1" t="n">
        <f aca="false">VLOOKUP(B369,Заказы!$A$2:$E$2995,3,FALSE())</f>
        <v>216</v>
      </c>
      <c r="I369" s="1" t="str">
        <f aca="false">VLOOKUP(H369,Клиенты!$A$2:$E$1995,5,FALSE())</f>
        <v>г. Светогорск</v>
      </c>
      <c r="J369" s="1" t="n">
        <f aca="false">VLOOKUP(B369,Заказы!$A$2:$E$2995,4,FALSE())</f>
        <v>370</v>
      </c>
      <c r="K369" s="1" t="str">
        <f aca="false">VLOOKUP(B369,Заказы!$A$2:$E$2995,5,FALSE())</f>
        <v>Выполнено</v>
      </c>
      <c r="L369" s="1" t="n">
        <f aca="false">D369*F369+J369</f>
        <v>1975</v>
      </c>
      <c r="M369" s="1" t="n">
        <f aca="false">IF(AND(E369="Пицца Труслейка",I369="г. Москва",K369="Выполнено",G369&gt;=DATE(2020,7,1),G369&lt;DATE(2020,8,1)),L369,0)</f>
        <v>0</v>
      </c>
    </row>
    <row r="370" customFormat="false" ht="15" hidden="false" customHeight="true" outlineLevel="0" collapsed="false">
      <c r="A370" s="1" t="n">
        <v>100863</v>
      </c>
      <c r="B370" s="1" t="n">
        <v>50019</v>
      </c>
      <c r="C370" s="1" t="n">
        <v>17</v>
      </c>
      <c r="D370" s="1" t="n">
        <v>3</v>
      </c>
      <c r="E370" s="1" t="str">
        <f aca="false">VLOOKUP(C370,Меню!$A$2:$C$24,2,FALSE())</f>
        <v>Пицца Френч Фрайз</v>
      </c>
      <c r="F370" s="1" t="n">
        <f aca="false">VLOOKUP(C370,Меню!$A$2:$C$24,3,FALSE())</f>
        <v>515</v>
      </c>
      <c r="G370" s="5" t="n">
        <f aca="false">VLOOKUP(B370,Заказы!$A$2:$E$2995,2,FALSE())</f>
        <v>44072</v>
      </c>
      <c r="H370" s="1" t="n">
        <f aca="false">VLOOKUP(B370,Заказы!$A$2:$E$2995,3,FALSE())</f>
        <v>1648</v>
      </c>
      <c r="I370" s="1" t="str">
        <f aca="false">VLOOKUP(H370,Клиенты!$A$2:$E$1995,5,FALSE())</f>
        <v>г. Знаменск</v>
      </c>
      <c r="J370" s="1" t="n">
        <f aca="false">VLOOKUP(B370,Заказы!$A$2:$E$2995,4,FALSE())</f>
        <v>0</v>
      </c>
      <c r="K370" s="1" t="str">
        <f aca="false">VLOOKUP(B370,Заказы!$A$2:$E$2995,5,FALSE())</f>
        <v>Не выполнено</v>
      </c>
      <c r="L370" s="1" t="n">
        <f aca="false">D370*F370+J370</f>
        <v>1545</v>
      </c>
      <c r="M370" s="1" t="n">
        <f aca="false">IF(AND(E370="Пицца Труслейка",I370="г. Москва",K370="Выполнено",G370&gt;=DATE(2020,7,1),G370&lt;DATE(2020,8,1)),L370,0)</f>
        <v>0</v>
      </c>
    </row>
    <row r="371" customFormat="false" ht="15" hidden="false" customHeight="true" outlineLevel="0" collapsed="false">
      <c r="A371" s="1" t="n">
        <v>101905</v>
      </c>
      <c r="B371" s="1" t="n">
        <v>51476</v>
      </c>
      <c r="C371" s="1" t="n">
        <v>4</v>
      </c>
      <c r="D371" s="1" t="n">
        <v>3</v>
      </c>
      <c r="E371" s="1" t="str">
        <f aca="false">VLOOKUP(C371,Меню!$A$2:$C$24,2,FALSE())</f>
        <v>Пицца Труслейка</v>
      </c>
      <c r="F371" s="1" t="n">
        <f aca="false">VLOOKUP(C371,Меню!$A$2:$C$24,3,FALSE())</f>
        <v>610</v>
      </c>
      <c r="G371" s="5" t="n">
        <f aca="false">VLOOKUP(B371,Заказы!$A$2:$E$2995,2,FALSE())</f>
        <v>44056</v>
      </c>
      <c r="H371" s="1" t="n">
        <f aca="false">VLOOKUP(B371,Заказы!$A$2:$E$2995,3,FALSE())</f>
        <v>1430</v>
      </c>
      <c r="I371" s="1" t="str">
        <f aca="false">VLOOKUP(H371,Клиенты!$A$2:$E$1995,5,FALSE())</f>
        <v>г. Москва</v>
      </c>
      <c r="J371" s="1" t="n">
        <f aca="false">VLOOKUP(B371,Заказы!$A$2:$E$2995,4,FALSE())</f>
        <v>899</v>
      </c>
      <c r="K371" s="1" t="str">
        <f aca="false">VLOOKUP(B371,Заказы!$A$2:$E$2995,5,FALSE())</f>
        <v>Выполнено</v>
      </c>
      <c r="L371" s="1" t="n">
        <f aca="false">D371*F371+J371</f>
        <v>2729</v>
      </c>
      <c r="M371" s="1" t="n">
        <f aca="false">IF(AND(E371="Пицца Труслейка",I371="г. Москва",K371="Выполнено",G371&gt;=DATE(2020,7,1),G371&lt;DATE(2020,8,1)),L371,0)</f>
        <v>0</v>
      </c>
    </row>
    <row r="372" customFormat="false" ht="15" hidden="false" customHeight="true" outlineLevel="0" collapsed="false">
      <c r="A372" s="1" t="n">
        <v>100876</v>
      </c>
      <c r="B372" s="1" t="n">
        <v>50826</v>
      </c>
      <c r="C372" s="1" t="n">
        <v>9</v>
      </c>
      <c r="D372" s="1" t="n">
        <v>5</v>
      </c>
      <c r="E372" s="1" t="str">
        <f aca="false">VLOOKUP(C372,Меню!$A$2:$C$24,2,FALSE())</f>
        <v>Пицца Острая с беконом</v>
      </c>
      <c r="F372" s="1" t="n">
        <f aca="false">VLOOKUP(C372,Меню!$A$2:$C$24,3,FALSE())</f>
        <v>540</v>
      </c>
      <c r="G372" s="5" t="n">
        <f aca="false">VLOOKUP(B372,Заказы!$A$2:$E$2995,2,FALSE())</f>
        <v>43986</v>
      </c>
      <c r="H372" s="1" t="n">
        <f aca="false">VLOOKUP(B372,Заказы!$A$2:$E$2995,3,FALSE())</f>
        <v>251</v>
      </c>
      <c r="I372" s="1" t="str">
        <f aca="false">VLOOKUP(H372,Клиенты!$A$2:$E$1995,5,FALSE())</f>
        <v>г. Сертолово</v>
      </c>
      <c r="J372" s="1" t="n">
        <f aca="false">VLOOKUP(B372,Заказы!$A$2:$E$2995,4,FALSE())</f>
        <v>423</v>
      </c>
      <c r="K372" s="1" t="str">
        <f aca="false">VLOOKUP(B372,Заказы!$A$2:$E$2995,5,FALSE())</f>
        <v>Выполнено</v>
      </c>
      <c r="L372" s="1" t="n">
        <f aca="false">D372*F372+J372</f>
        <v>3123</v>
      </c>
      <c r="M372" s="1" t="n">
        <f aca="false">IF(AND(E372="Пицца Труслейка",I372="г. Москва",K372="Выполнено",G372&gt;=DATE(2020,7,1),G372&lt;DATE(2020,8,1)),L372,0)</f>
        <v>0</v>
      </c>
    </row>
    <row r="373" customFormat="false" ht="15" hidden="false" customHeight="true" outlineLevel="0" collapsed="false">
      <c r="A373" s="1" t="n">
        <v>101145</v>
      </c>
      <c r="B373" s="1" t="n">
        <v>51531</v>
      </c>
      <c r="C373" s="1" t="n">
        <v>7</v>
      </c>
      <c r="D373" s="1" t="n">
        <v>3</v>
      </c>
      <c r="E373" s="1" t="str">
        <f aca="false">VLOOKUP(C373,Меню!$A$2:$C$24,2,FALSE())</f>
        <v>Пицца Карбонара</v>
      </c>
      <c r="F373" s="1" t="n">
        <f aca="false">VLOOKUP(C373,Меню!$A$2:$C$24,3,FALSE())</f>
        <v>625</v>
      </c>
      <c r="G373" s="5" t="n">
        <f aca="false">VLOOKUP(B373,Заказы!$A$2:$E$2995,2,FALSE())</f>
        <v>44065</v>
      </c>
      <c r="H373" s="1" t="n">
        <f aca="false">VLOOKUP(B373,Заказы!$A$2:$E$2995,3,FALSE())</f>
        <v>855</v>
      </c>
      <c r="I373" s="1" t="str">
        <f aca="false">VLOOKUP(H373,Клиенты!$A$2:$E$1995,5,FALSE())</f>
        <v>г. Ельня</v>
      </c>
      <c r="J373" s="1" t="n">
        <f aca="false">VLOOKUP(B373,Заказы!$A$2:$E$2995,4,FALSE())</f>
        <v>237</v>
      </c>
      <c r="K373" s="1" t="str">
        <f aca="false">VLOOKUP(B373,Заказы!$A$2:$E$2995,5,FALSE())</f>
        <v>Выполнено</v>
      </c>
      <c r="L373" s="1" t="n">
        <f aca="false">D373*F373+J373</f>
        <v>2112</v>
      </c>
      <c r="M373" s="1" t="n">
        <f aca="false">IF(AND(E373="Пицца Труслейка",I373="г. Москва",K373="Выполнено",G373&gt;=DATE(2020,7,1),G373&lt;DATE(2020,8,1)),L373,0)</f>
        <v>0</v>
      </c>
    </row>
    <row r="374" customFormat="false" ht="15" hidden="false" customHeight="true" outlineLevel="0" collapsed="false">
      <c r="A374" s="1" t="n">
        <v>101167</v>
      </c>
      <c r="B374" s="1" t="n">
        <v>51043</v>
      </c>
      <c r="C374" s="1" t="n">
        <v>15</v>
      </c>
      <c r="D374" s="1" t="n">
        <v>2</v>
      </c>
      <c r="E374" s="1" t="str">
        <f aca="false">VLOOKUP(C374,Меню!$A$2:$C$24,2,FALSE())</f>
        <v>Пицца Тропиканка</v>
      </c>
      <c r="F374" s="1" t="n">
        <f aca="false">VLOOKUP(C374,Меню!$A$2:$C$24,3,FALSE())</f>
        <v>605</v>
      </c>
      <c r="G374" s="5" t="n">
        <f aca="false">VLOOKUP(B374,Заказы!$A$2:$E$2995,2,FALSE())</f>
        <v>44051</v>
      </c>
      <c r="H374" s="1" t="n">
        <f aca="false">VLOOKUP(B374,Заказы!$A$2:$E$2995,3,FALSE())</f>
        <v>787</v>
      </c>
      <c r="I374" s="1" t="str">
        <f aca="false">VLOOKUP(H374,Клиенты!$A$2:$E$1995,5,FALSE())</f>
        <v>г. Богучар</v>
      </c>
      <c r="J374" s="1" t="n">
        <f aca="false">VLOOKUP(B374,Заказы!$A$2:$E$2995,4,FALSE())</f>
        <v>700</v>
      </c>
      <c r="K374" s="1" t="str">
        <f aca="false">VLOOKUP(B374,Заказы!$A$2:$E$2995,5,FALSE())</f>
        <v>Выполнено</v>
      </c>
      <c r="L374" s="1" t="n">
        <f aca="false">D374*F374+J374</f>
        <v>1910</v>
      </c>
      <c r="M374" s="1" t="n">
        <f aca="false">IF(AND(E374="Пицца Труслейка",I374="г. Москва",K374="Выполнено",G374&gt;=DATE(2020,7,1),G374&lt;DATE(2020,8,1)),L374,0)</f>
        <v>0</v>
      </c>
    </row>
    <row r="375" customFormat="false" ht="15" hidden="false" customHeight="true" outlineLevel="0" collapsed="false">
      <c r="A375" s="1" t="n">
        <v>100577</v>
      </c>
      <c r="B375" s="1" t="n">
        <v>51689</v>
      </c>
      <c r="C375" s="1" t="n">
        <v>16</v>
      </c>
      <c r="D375" s="1" t="n">
        <v>7</v>
      </c>
      <c r="E375" s="1" t="str">
        <f aca="false">VLOOKUP(C375,Меню!$A$2:$C$24,2,FALSE())</f>
        <v>Пицца Флорида</v>
      </c>
      <c r="F375" s="1" t="n">
        <f aca="false">VLOOKUP(C375,Меню!$A$2:$C$24,3,FALSE())</f>
        <v>535</v>
      </c>
      <c r="G375" s="5" t="n">
        <f aca="false">VLOOKUP(B375,Заказы!$A$2:$E$2995,2,FALSE())</f>
        <v>44053</v>
      </c>
      <c r="H375" s="1" t="n">
        <f aca="false">VLOOKUP(B375,Заказы!$A$2:$E$2995,3,FALSE())</f>
        <v>674</v>
      </c>
      <c r="I375" s="1" t="str">
        <f aca="false">VLOOKUP(H375,Клиенты!$A$2:$E$1995,5,FALSE())</f>
        <v>г. Омск</v>
      </c>
      <c r="J375" s="1" t="n">
        <f aca="false">VLOOKUP(B375,Заказы!$A$2:$E$2995,4,FALSE())</f>
        <v>0</v>
      </c>
      <c r="K375" s="1" t="str">
        <f aca="false">VLOOKUP(B375,Заказы!$A$2:$E$2995,5,FALSE())</f>
        <v>Не выполнено</v>
      </c>
      <c r="L375" s="1" t="n">
        <f aca="false">D375*F375+J375</f>
        <v>3745</v>
      </c>
      <c r="M375" s="1" t="n">
        <f aca="false">IF(AND(E375="Пицца Труслейка",I375="г. Москва",K375="Выполнено",G375&gt;=DATE(2020,7,1),G375&lt;DATE(2020,8,1)),L375,0)</f>
        <v>0</v>
      </c>
    </row>
    <row r="376" customFormat="false" ht="15" hidden="false" customHeight="true" outlineLevel="0" collapsed="false">
      <c r="A376" s="1" t="n">
        <v>101844</v>
      </c>
      <c r="B376" s="1" t="n">
        <v>51099</v>
      </c>
      <c r="C376" s="1" t="n">
        <v>22</v>
      </c>
      <c r="D376" s="1" t="n">
        <v>8</v>
      </c>
      <c r="E376" s="1" t="str">
        <f aca="false">VLOOKUP(C376,Меню!$A$2:$C$24,2,FALSE())</f>
        <v>Пицца с поркеттой и фриарелли</v>
      </c>
      <c r="F376" s="1" t="n">
        <f aca="false">VLOOKUP(C376,Меню!$A$2:$C$24,3,FALSE())</f>
        <v>550</v>
      </c>
      <c r="G376" s="5" t="n">
        <f aca="false">VLOOKUP(B376,Заказы!$A$2:$E$2995,2,FALSE())</f>
        <v>44069</v>
      </c>
      <c r="H376" s="1" t="n">
        <f aca="false">VLOOKUP(B376,Заказы!$A$2:$E$2995,3,FALSE())</f>
        <v>1437</v>
      </c>
      <c r="I376" s="1" t="str">
        <f aca="false">VLOOKUP(H376,Клиенты!$A$2:$E$1995,5,FALSE())</f>
        <v>г. Светлоград</v>
      </c>
      <c r="J376" s="1" t="n">
        <f aca="false">VLOOKUP(B376,Заказы!$A$2:$E$2995,4,FALSE())</f>
        <v>0</v>
      </c>
      <c r="K376" s="1" t="str">
        <f aca="false">VLOOKUP(B376,Заказы!$A$2:$E$2995,5,FALSE())</f>
        <v>Не выполнено</v>
      </c>
      <c r="L376" s="1" t="n">
        <f aca="false">D376*F376+J376</f>
        <v>4400</v>
      </c>
      <c r="M376" s="1" t="n">
        <f aca="false">IF(AND(E376="Пицца Труслейка",I376="г. Москва",K376="Выполнено",G376&gt;=DATE(2020,7,1),G376&lt;DATE(2020,8,1)),L376,0)</f>
        <v>0</v>
      </c>
    </row>
    <row r="377" customFormat="false" ht="15" hidden="false" customHeight="true" outlineLevel="0" collapsed="false">
      <c r="A377" s="1" t="n">
        <v>100953</v>
      </c>
      <c r="B377" s="1" t="n">
        <v>50249</v>
      </c>
      <c r="C377" s="1" t="n">
        <v>22</v>
      </c>
      <c r="D377" s="1" t="n">
        <v>6</v>
      </c>
      <c r="E377" s="1" t="str">
        <f aca="false">VLOOKUP(C377,Меню!$A$2:$C$24,2,FALSE())</f>
        <v>Пицца с поркеттой и фриарелли</v>
      </c>
      <c r="F377" s="1" t="n">
        <f aca="false">VLOOKUP(C377,Меню!$A$2:$C$24,3,FALSE())</f>
        <v>550</v>
      </c>
      <c r="G377" s="5" t="n">
        <f aca="false">VLOOKUP(B377,Заказы!$A$2:$E$2995,2,FALSE())</f>
        <v>44052</v>
      </c>
      <c r="H377" s="1" t="n">
        <f aca="false">VLOOKUP(B377,Заказы!$A$2:$E$2995,3,FALSE())</f>
        <v>1598</v>
      </c>
      <c r="I377" s="1" t="str">
        <f aca="false">VLOOKUP(H377,Клиенты!$A$2:$E$1995,5,FALSE())</f>
        <v>г. Руза</v>
      </c>
      <c r="J377" s="1" t="n">
        <f aca="false">VLOOKUP(B377,Заказы!$A$2:$E$2995,4,FALSE())</f>
        <v>0</v>
      </c>
      <c r="K377" s="1" t="str">
        <f aca="false">VLOOKUP(B377,Заказы!$A$2:$E$2995,5,FALSE())</f>
        <v>Не выполнено</v>
      </c>
      <c r="L377" s="1" t="n">
        <f aca="false">D377*F377+J377</f>
        <v>3300</v>
      </c>
      <c r="M377" s="1" t="n">
        <f aca="false">IF(AND(E377="Пицца Труслейка",I377="г. Москва",K377="Выполнено",G377&gt;=DATE(2020,7,1),G377&lt;DATE(2020,8,1)),L377,0)</f>
        <v>0</v>
      </c>
    </row>
    <row r="378" customFormat="false" ht="15" hidden="false" customHeight="true" outlineLevel="0" collapsed="false">
      <c r="A378" s="1" t="n">
        <v>101427</v>
      </c>
      <c r="B378" s="1" t="n">
        <v>51240</v>
      </c>
      <c r="C378" s="1" t="n">
        <v>11</v>
      </c>
      <c r="D378" s="1" t="n">
        <v>2</v>
      </c>
      <c r="E378" s="1" t="str">
        <f aca="false">VLOOKUP(C378,Меню!$A$2:$C$24,2,FALSE())</f>
        <v>Пицца Песто</v>
      </c>
      <c r="F378" s="1" t="n">
        <f aca="false">VLOOKUP(C378,Меню!$A$2:$C$24,3,FALSE())</f>
        <v>530</v>
      </c>
      <c r="G378" s="5" t="n">
        <f aca="false">VLOOKUP(B378,Заказы!$A$2:$E$2995,2,FALSE())</f>
        <v>43984</v>
      </c>
      <c r="H378" s="1" t="n">
        <f aca="false">VLOOKUP(B378,Заказы!$A$2:$E$2995,3,FALSE())</f>
        <v>33</v>
      </c>
      <c r="I378" s="1" t="str">
        <f aca="false">VLOOKUP(H378,Клиенты!$A$2:$E$1995,5,FALSE())</f>
        <v>г. Челябинск</v>
      </c>
      <c r="J378" s="1" t="n">
        <f aca="false">VLOOKUP(B378,Заказы!$A$2:$E$2995,4,FALSE())</f>
        <v>0</v>
      </c>
      <c r="K378" s="1" t="str">
        <f aca="false">VLOOKUP(B378,Заказы!$A$2:$E$2995,5,FALSE())</f>
        <v>Не выполнено</v>
      </c>
      <c r="L378" s="1" t="n">
        <f aca="false">D378*F378+J378</f>
        <v>1060</v>
      </c>
      <c r="M378" s="1" t="n">
        <f aca="false">IF(AND(E378="Пицца Труслейка",I378="г. Москва",K378="Выполнено",G378&gt;=DATE(2020,7,1),G378&lt;DATE(2020,8,1)),L378,0)</f>
        <v>0</v>
      </c>
    </row>
    <row r="379" customFormat="false" ht="15" hidden="false" customHeight="true" outlineLevel="0" collapsed="false">
      <c r="A379" s="1" t="n">
        <v>100744</v>
      </c>
      <c r="B379" s="1" t="n">
        <v>51041</v>
      </c>
      <c r="C379" s="1" t="n">
        <v>13</v>
      </c>
      <c r="D379" s="1" t="n">
        <v>4</v>
      </c>
      <c r="E379" s="1" t="str">
        <f aca="false">VLOOKUP(C379,Меню!$A$2:$C$24,2,FALSE())</f>
        <v>Пицца Сырная</v>
      </c>
      <c r="F379" s="1" t="n">
        <f aca="false">VLOOKUP(C379,Меню!$A$2:$C$24,3,FALSE())</f>
        <v>635</v>
      </c>
      <c r="G379" s="5" t="n">
        <f aca="false">VLOOKUP(B379,Заказы!$A$2:$E$2995,2,FALSE())</f>
        <v>43991</v>
      </c>
      <c r="H379" s="1" t="n">
        <f aca="false">VLOOKUP(B379,Заказы!$A$2:$E$2995,3,FALSE())</f>
        <v>1649</v>
      </c>
      <c r="I379" s="1" t="str">
        <f aca="false">VLOOKUP(H379,Клиенты!$A$2:$E$1995,5,FALSE())</f>
        <v>г. Осинники</v>
      </c>
      <c r="J379" s="1" t="n">
        <f aca="false">VLOOKUP(B379,Заказы!$A$2:$E$2995,4,FALSE())</f>
        <v>791</v>
      </c>
      <c r="K379" s="1" t="str">
        <f aca="false">VLOOKUP(B379,Заказы!$A$2:$E$2995,5,FALSE())</f>
        <v>Выполнено</v>
      </c>
      <c r="L379" s="1" t="n">
        <f aca="false">D379*F379+J379</f>
        <v>3331</v>
      </c>
      <c r="M379" s="1" t="n">
        <f aca="false">IF(AND(E379="Пицца Труслейка",I379="г. Москва",K379="Выполнено",G379&gt;=DATE(2020,7,1),G379&lt;DATE(2020,8,1)),L379,0)</f>
        <v>0</v>
      </c>
    </row>
    <row r="380" customFormat="false" ht="15" hidden="false" customHeight="true" outlineLevel="0" collapsed="false">
      <c r="A380" s="1" t="n">
        <v>100046</v>
      </c>
      <c r="B380" s="1" t="n">
        <v>51264</v>
      </c>
      <c r="C380" s="1" t="n">
        <v>2</v>
      </c>
      <c r="D380" s="1" t="n">
        <v>3</v>
      </c>
      <c r="E380" s="1" t="str">
        <f aca="false">VLOOKUP(C380,Меню!$A$2:$C$24,2,FALSE())</f>
        <v>Пицца Двойная пепперони</v>
      </c>
      <c r="F380" s="1" t="n">
        <f aca="false">VLOOKUP(C380,Меню!$A$2:$C$24,3,FALSE())</f>
        <v>575</v>
      </c>
      <c r="G380" s="5" t="n">
        <f aca="false">VLOOKUP(B380,Заказы!$A$2:$E$2995,2,FALSE())</f>
        <v>44033</v>
      </c>
      <c r="H380" s="1" t="n">
        <f aca="false">VLOOKUP(B380,Заказы!$A$2:$E$2995,3,FALSE())</f>
        <v>1411</v>
      </c>
      <c r="I380" s="1" t="str">
        <f aca="false">VLOOKUP(H380,Клиенты!$A$2:$E$1995,5,FALSE())</f>
        <v>г. Козловка</v>
      </c>
      <c r="J380" s="1" t="n">
        <f aca="false">VLOOKUP(B380,Заказы!$A$2:$E$2995,4,FALSE())</f>
        <v>0</v>
      </c>
      <c r="K380" s="1" t="str">
        <f aca="false">VLOOKUP(B380,Заказы!$A$2:$E$2995,5,FALSE())</f>
        <v>Не выполнено</v>
      </c>
      <c r="L380" s="1" t="n">
        <f aca="false">D380*F380+J380</f>
        <v>1725</v>
      </c>
      <c r="M380" s="1" t="n">
        <f aca="false">IF(AND(E380="Пицца Труслейка",I380="г. Москва",K380="Выполнено",G380&gt;=DATE(2020,7,1),G380&lt;DATE(2020,8,1)),L380,0)</f>
        <v>0</v>
      </c>
    </row>
    <row r="381" customFormat="false" ht="15" hidden="false" customHeight="true" outlineLevel="0" collapsed="false">
      <c r="A381" s="1" t="n">
        <v>101387</v>
      </c>
      <c r="B381" s="1" t="n">
        <v>51300</v>
      </c>
      <c r="C381" s="1" t="n">
        <v>4</v>
      </c>
      <c r="D381" s="1" t="n">
        <v>7</v>
      </c>
      <c r="E381" s="1" t="str">
        <f aca="false">VLOOKUP(C381,Меню!$A$2:$C$24,2,FALSE())</f>
        <v>Пицца Труслейка</v>
      </c>
      <c r="F381" s="1" t="n">
        <f aca="false">VLOOKUP(C381,Меню!$A$2:$C$24,3,FALSE())</f>
        <v>610</v>
      </c>
      <c r="G381" s="5" t="n">
        <f aca="false">VLOOKUP(B381,Заказы!$A$2:$E$2995,2,FALSE())</f>
        <v>44035</v>
      </c>
      <c r="H381" s="1" t="n">
        <f aca="false">VLOOKUP(B381,Заказы!$A$2:$E$2995,3,FALSE())</f>
        <v>797</v>
      </c>
      <c r="I381" s="1" t="str">
        <f aca="false">VLOOKUP(H381,Клиенты!$A$2:$E$1995,5,FALSE())</f>
        <v>г. Фрязино</v>
      </c>
      <c r="J381" s="1" t="n">
        <f aca="false">VLOOKUP(B381,Заказы!$A$2:$E$2995,4,FALSE())</f>
        <v>0</v>
      </c>
      <c r="K381" s="1" t="str">
        <f aca="false">VLOOKUP(B381,Заказы!$A$2:$E$2995,5,FALSE())</f>
        <v>Не выполнено</v>
      </c>
      <c r="L381" s="1" t="n">
        <f aca="false">D381*F381+J381</f>
        <v>4270</v>
      </c>
      <c r="M381" s="1" t="n">
        <f aca="false">IF(AND(E381="Пицца Труслейка",I381="г. Москва",K381="Выполнено",G381&gt;=DATE(2020,7,1),G381&lt;DATE(2020,8,1)),L381,0)</f>
        <v>0</v>
      </c>
    </row>
    <row r="382" customFormat="false" ht="15" hidden="false" customHeight="true" outlineLevel="0" collapsed="false">
      <c r="A382" s="1" t="n">
        <v>101645</v>
      </c>
      <c r="B382" s="1" t="n">
        <v>50937</v>
      </c>
      <c r="C382" s="1" t="n">
        <v>16</v>
      </c>
      <c r="D382" s="1" t="n">
        <v>5</v>
      </c>
      <c r="E382" s="1" t="str">
        <f aca="false">VLOOKUP(C382,Меню!$A$2:$C$24,2,FALSE())</f>
        <v>Пицца Флорида</v>
      </c>
      <c r="F382" s="1" t="n">
        <f aca="false">VLOOKUP(C382,Меню!$A$2:$C$24,3,FALSE())</f>
        <v>535</v>
      </c>
      <c r="G382" s="5" t="n">
        <f aca="false">VLOOKUP(B382,Заказы!$A$2:$E$2995,2,FALSE())</f>
        <v>44050</v>
      </c>
      <c r="H382" s="1" t="n">
        <f aca="false">VLOOKUP(B382,Заказы!$A$2:$E$2995,3,FALSE())</f>
        <v>901</v>
      </c>
      <c r="I382" s="1" t="str">
        <f aca="false">VLOOKUP(H382,Клиенты!$A$2:$E$1995,5,FALSE())</f>
        <v>г. Ядрин</v>
      </c>
      <c r="J382" s="1" t="n">
        <f aca="false">VLOOKUP(B382,Заказы!$A$2:$E$2995,4,FALSE())</f>
        <v>858</v>
      </c>
      <c r="K382" s="1" t="str">
        <f aca="false">VLOOKUP(B382,Заказы!$A$2:$E$2995,5,FALSE())</f>
        <v>Выполнено</v>
      </c>
      <c r="L382" s="1" t="n">
        <f aca="false">D382*F382+J382</f>
        <v>3533</v>
      </c>
      <c r="M382" s="1" t="n">
        <f aca="false">IF(AND(E382="Пицца Труслейка",I382="г. Москва",K382="Выполнено",G382&gt;=DATE(2020,7,1),G382&lt;DATE(2020,8,1)),L382,0)</f>
        <v>0</v>
      </c>
    </row>
    <row r="383" customFormat="false" ht="15" hidden="false" customHeight="true" outlineLevel="0" collapsed="false">
      <c r="A383" s="1" t="n">
        <v>101493</v>
      </c>
      <c r="B383" s="1" t="n">
        <v>50287</v>
      </c>
      <c r="C383" s="1" t="n">
        <v>1</v>
      </c>
      <c r="D383" s="1" t="n">
        <v>7</v>
      </c>
      <c r="E383" s="1" t="str">
        <f aca="false">VLOOKUP(C383,Меню!$A$2:$C$24,2,FALSE())</f>
        <v>Пицца Гавайская</v>
      </c>
      <c r="F383" s="1" t="n">
        <f aca="false">VLOOKUP(C383,Меню!$A$2:$C$24,3,FALSE())</f>
        <v>545</v>
      </c>
      <c r="G383" s="5" t="n">
        <f aca="false">VLOOKUP(B383,Заказы!$A$2:$E$2995,2,FALSE())</f>
        <v>44025</v>
      </c>
      <c r="H383" s="1" t="n">
        <f aca="false">VLOOKUP(B383,Заказы!$A$2:$E$2995,3,FALSE())</f>
        <v>1283</v>
      </c>
      <c r="I383" s="1" t="str">
        <f aca="false">VLOOKUP(H383,Клиенты!$A$2:$E$1995,5,FALSE())</f>
        <v>г. Серпухов</v>
      </c>
      <c r="J383" s="1" t="n">
        <f aca="false">VLOOKUP(B383,Заказы!$A$2:$E$2995,4,FALSE())</f>
        <v>0</v>
      </c>
      <c r="K383" s="1" t="str">
        <f aca="false">VLOOKUP(B383,Заказы!$A$2:$E$2995,5,FALSE())</f>
        <v>Не выполнено</v>
      </c>
      <c r="L383" s="1" t="n">
        <f aca="false">D383*F383+J383</f>
        <v>3815</v>
      </c>
      <c r="M383" s="1" t="n">
        <f aca="false">IF(AND(E383="Пицца Труслейка",I383="г. Москва",K383="Выполнено",G383&gt;=DATE(2020,7,1),G383&lt;DATE(2020,8,1)),L383,0)</f>
        <v>0</v>
      </c>
    </row>
    <row r="384" customFormat="false" ht="15" hidden="false" customHeight="true" outlineLevel="0" collapsed="false">
      <c r="A384" s="1" t="n">
        <v>101960</v>
      </c>
      <c r="B384" s="1" t="n">
        <v>51965</v>
      </c>
      <c r="C384" s="1" t="n">
        <v>11</v>
      </c>
      <c r="D384" s="1" t="n">
        <v>10</v>
      </c>
      <c r="E384" s="1" t="str">
        <f aca="false">VLOOKUP(C384,Меню!$A$2:$C$24,2,FALSE())</f>
        <v>Пицца Песто</v>
      </c>
      <c r="F384" s="1" t="n">
        <f aca="false">VLOOKUP(C384,Меню!$A$2:$C$24,3,FALSE())</f>
        <v>530</v>
      </c>
      <c r="G384" s="5" t="n">
        <f aca="false">VLOOKUP(B384,Заказы!$A$2:$E$2995,2,FALSE())</f>
        <v>44055</v>
      </c>
      <c r="H384" s="1" t="n">
        <f aca="false">VLOOKUP(B384,Заказы!$A$2:$E$2995,3,FALSE())</f>
        <v>1105</v>
      </c>
      <c r="I384" s="1" t="str">
        <f aca="false">VLOOKUP(H384,Клиенты!$A$2:$E$1995,5,FALSE())</f>
        <v>г. Алапаевск</v>
      </c>
      <c r="J384" s="1" t="n">
        <f aca="false">VLOOKUP(B384,Заказы!$A$2:$E$2995,4,FALSE())</f>
        <v>0</v>
      </c>
      <c r="K384" s="1" t="str">
        <f aca="false">VLOOKUP(B384,Заказы!$A$2:$E$2995,5,FALSE())</f>
        <v>Не выполнено</v>
      </c>
      <c r="L384" s="1" t="n">
        <f aca="false">D384*F384+J384</f>
        <v>5300</v>
      </c>
      <c r="M384" s="1" t="n">
        <f aca="false">IF(AND(E384="Пицца Труслейка",I384="г. Москва",K384="Выполнено",G384&gt;=DATE(2020,7,1),G384&lt;DATE(2020,8,1)),L384,0)</f>
        <v>0</v>
      </c>
    </row>
    <row r="385" customFormat="false" ht="15" hidden="false" customHeight="true" outlineLevel="0" collapsed="false">
      <c r="A385" s="1" t="n">
        <v>100947</v>
      </c>
      <c r="B385" s="1" t="n">
        <v>50961</v>
      </c>
      <c r="C385" s="1" t="n">
        <v>15</v>
      </c>
      <c r="D385" s="1" t="n">
        <v>4</v>
      </c>
      <c r="E385" s="1" t="str">
        <f aca="false">VLOOKUP(C385,Меню!$A$2:$C$24,2,FALSE())</f>
        <v>Пицца Тропиканка</v>
      </c>
      <c r="F385" s="1" t="n">
        <f aca="false">VLOOKUP(C385,Меню!$A$2:$C$24,3,FALSE())</f>
        <v>605</v>
      </c>
      <c r="G385" s="5" t="n">
        <f aca="false">VLOOKUP(B385,Заказы!$A$2:$E$2995,2,FALSE())</f>
        <v>44024</v>
      </c>
      <c r="H385" s="1" t="n">
        <f aca="false">VLOOKUP(B385,Заказы!$A$2:$E$2995,3,FALSE())</f>
        <v>1568</v>
      </c>
      <c r="I385" s="1" t="str">
        <f aca="false">VLOOKUP(H385,Клиенты!$A$2:$E$1995,5,FALSE())</f>
        <v>г. Михайловка</v>
      </c>
      <c r="J385" s="1" t="n">
        <f aca="false">VLOOKUP(B385,Заказы!$A$2:$E$2995,4,FALSE())</f>
        <v>486</v>
      </c>
      <c r="K385" s="1" t="str">
        <f aca="false">VLOOKUP(B385,Заказы!$A$2:$E$2995,5,FALSE())</f>
        <v>Выполнено</v>
      </c>
      <c r="L385" s="1" t="n">
        <f aca="false">D385*F385+J385</f>
        <v>2906</v>
      </c>
      <c r="M385" s="1" t="n">
        <f aca="false">IF(AND(E385="Пицца Труслейка",I385="г. Москва",K385="Выполнено",G385&gt;=DATE(2020,7,1),G385&lt;DATE(2020,8,1)),L385,0)</f>
        <v>0</v>
      </c>
    </row>
    <row r="386" customFormat="false" ht="15" hidden="false" customHeight="true" outlineLevel="0" collapsed="false">
      <c r="A386" s="1" t="n">
        <v>101619</v>
      </c>
      <c r="B386" s="1" t="n">
        <v>50946</v>
      </c>
      <c r="C386" s="1" t="n">
        <v>14</v>
      </c>
      <c r="D386" s="1" t="n">
        <v>1</v>
      </c>
      <c r="E386" s="1" t="str">
        <f aca="false">VLOOKUP(C386,Меню!$A$2:$C$24,2,FALSE())</f>
        <v>Пицца Сырный цыпленок</v>
      </c>
      <c r="F386" s="1" t="n">
        <f aca="false">VLOOKUP(C386,Меню!$A$2:$C$24,3,FALSE())</f>
        <v>555</v>
      </c>
      <c r="G386" s="5" t="n">
        <f aca="false">VLOOKUP(B386,Заказы!$A$2:$E$2995,2,FALSE())</f>
        <v>43982</v>
      </c>
      <c r="H386" s="1" t="n">
        <f aca="false">VLOOKUP(B386,Заказы!$A$2:$E$2995,3,FALSE())</f>
        <v>1146</v>
      </c>
      <c r="I386" s="1" t="str">
        <f aca="false">VLOOKUP(H386,Клиенты!$A$2:$E$1995,5,FALSE())</f>
        <v>г. Кувшиново</v>
      </c>
      <c r="J386" s="1" t="n">
        <f aca="false">VLOOKUP(B386,Заказы!$A$2:$E$2995,4,FALSE())</f>
        <v>570</v>
      </c>
      <c r="K386" s="1" t="str">
        <f aca="false">VLOOKUP(B386,Заказы!$A$2:$E$2995,5,FALSE())</f>
        <v>Выполнено</v>
      </c>
      <c r="L386" s="1" t="n">
        <f aca="false">D386*F386+J386</f>
        <v>1125</v>
      </c>
      <c r="M386" s="1" t="n">
        <f aca="false">IF(AND(E386="Пицца Труслейка",I386="г. Москва",K386="Выполнено",G386&gt;=DATE(2020,7,1),G386&lt;DATE(2020,8,1)),L386,0)</f>
        <v>0</v>
      </c>
    </row>
    <row r="387" customFormat="false" ht="15" hidden="false" customHeight="true" outlineLevel="0" collapsed="false">
      <c r="A387" s="1" t="n">
        <v>100091</v>
      </c>
      <c r="B387" s="1" t="n">
        <v>50611</v>
      </c>
      <c r="C387" s="1" t="n">
        <v>19</v>
      </c>
      <c r="D387" s="1" t="n">
        <v>10</v>
      </c>
      <c r="E387" s="1" t="str">
        <f aca="false">VLOOKUP(C387,Меню!$A$2:$C$24,2,FALSE())</f>
        <v>Пицца Цезарь</v>
      </c>
      <c r="F387" s="1" t="n">
        <f aca="false">VLOOKUP(C387,Меню!$A$2:$C$24,3,FALSE())</f>
        <v>630</v>
      </c>
      <c r="G387" s="5" t="n">
        <f aca="false">VLOOKUP(B387,Заказы!$A$2:$E$2995,2,FALSE())</f>
        <v>43982</v>
      </c>
      <c r="H387" s="1" t="n">
        <f aca="false">VLOOKUP(B387,Заказы!$A$2:$E$2995,3,FALSE())</f>
        <v>532</v>
      </c>
      <c r="I387" s="1" t="str">
        <f aca="false">VLOOKUP(H387,Клиенты!$A$2:$E$1995,5,FALSE())</f>
        <v>г. Чердынь</v>
      </c>
      <c r="J387" s="1" t="n">
        <f aca="false">VLOOKUP(B387,Заказы!$A$2:$E$2995,4,FALSE())</f>
        <v>0</v>
      </c>
      <c r="K387" s="1" t="str">
        <f aca="false">VLOOKUP(B387,Заказы!$A$2:$E$2995,5,FALSE())</f>
        <v>Не выполнено</v>
      </c>
      <c r="L387" s="1" t="n">
        <f aca="false">D387*F387+J387</f>
        <v>6300</v>
      </c>
      <c r="M387" s="1" t="n">
        <f aca="false">IF(AND(E387="Пицца Труслейка",I387="г. Москва",K387="Выполнено",G387&gt;=DATE(2020,7,1),G387&lt;DATE(2020,8,1)),L387,0)</f>
        <v>0</v>
      </c>
    </row>
    <row r="388" customFormat="false" ht="15" hidden="false" customHeight="true" outlineLevel="0" collapsed="false">
      <c r="A388" s="1" t="n">
        <v>101745</v>
      </c>
      <c r="B388" s="1" t="n">
        <v>51491</v>
      </c>
      <c r="C388" s="1" t="n">
        <v>5</v>
      </c>
      <c r="D388" s="1" t="n">
        <v>10</v>
      </c>
      <c r="E388" s="1" t="str">
        <f aca="false">VLOOKUP(C388,Меню!$A$2:$C$24,2,FALSE())</f>
        <v>Пицца Жюльен</v>
      </c>
      <c r="F388" s="1" t="n">
        <f aca="false">VLOOKUP(C388,Меню!$A$2:$C$24,3,FALSE())</f>
        <v>580</v>
      </c>
      <c r="G388" s="5" t="n">
        <f aca="false">VLOOKUP(B388,Заказы!$A$2:$E$2995,2,FALSE())</f>
        <v>43991</v>
      </c>
      <c r="H388" s="1" t="n">
        <f aca="false">VLOOKUP(B388,Заказы!$A$2:$E$2995,3,FALSE())</f>
        <v>1310</v>
      </c>
      <c r="I388" s="1" t="str">
        <f aca="false">VLOOKUP(H388,Клиенты!$A$2:$E$1995,5,FALSE())</f>
        <v>г. Москва</v>
      </c>
      <c r="J388" s="1" t="n">
        <f aca="false">VLOOKUP(B388,Заказы!$A$2:$E$2995,4,FALSE())</f>
        <v>620</v>
      </c>
      <c r="K388" s="1" t="str">
        <f aca="false">VLOOKUP(B388,Заказы!$A$2:$E$2995,5,FALSE())</f>
        <v>Выполнено</v>
      </c>
      <c r="L388" s="1" t="n">
        <f aca="false">D388*F388+J388</f>
        <v>6420</v>
      </c>
      <c r="M388" s="1" t="n">
        <f aca="false">IF(AND(E388="Пицца Труслейка",I388="г. Москва",K388="Выполнено",G388&gt;=DATE(2020,7,1),G388&lt;DATE(2020,8,1)),L388,0)</f>
        <v>0</v>
      </c>
    </row>
    <row r="389" customFormat="false" ht="15" hidden="false" customHeight="true" outlineLevel="0" collapsed="false">
      <c r="A389" s="1" t="n">
        <v>100963</v>
      </c>
      <c r="B389" s="1" t="n">
        <v>51844</v>
      </c>
      <c r="C389" s="1" t="n">
        <v>18</v>
      </c>
      <c r="D389" s="1" t="n">
        <v>2</v>
      </c>
      <c r="E389" s="1" t="str">
        <f aca="false">VLOOKUP(C389,Меню!$A$2:$C$24,2,FALSE())</f>
        <v>Пицца Царская</v>
      </c>
      <c r="F389" s="1" t="n">
        <f aca="false">VLOOKUP(C389,Меню!$A$2:$C$24,3,FALSE())</f>
        <v>620</v>
      </c>
      <c r="G389" s="5" t="n">
        <f aca="false">VLOOKUP(B389,Заказы!$A$2:$E$2995,2,FALSE())</f>
        <v>43995</v>
      </c>
      <c r="H389" s="1" t="n">
        <f aca="false">VLOOKUP(B389,Заказы!$A$2:$E$2995,3,FALSE())</f>
        <v>196</v>
      </c>
      <c r="I389" s="1" t="str">
        <f aca="false">VLOOKUP(H389,Клиенты!$A$2:$E$1995,5,FALSE())</f>
        <v>г. Избербаш</v>
      </c>
      <c r="J389" s="1" t="n">
        <f aca="false">VLOOKUP(B389,Заказы!$A$2:$E$2995,4,FALSE())</f>
        <v>454</v>
      </c>
      <c r="K389" s="1" t="str">
        <f aca="false">VLOOKUP(B389,Заказы!$A$2:$E$2995,5,FALSE())</f>
        <v>Выполнено</v>
      </c>
      <c r="L389" s="1" t="n">
        <f aca="false">D389*F389+J389</f>
        <v>1694</v>
      </c>
      <c r="M389" s="1" t="n">
        <f aca="false">IF(AND(E389="Пицца Труслейка",I389="г. Москва",K389="Выполнено",G389&gt;=DATE(2020,7,1),G389&lt;DATE(2020,8,1)),L389,0)</f>
        <v>0</v>
      </c>
    </row>
    <row r="390" customFormat="false" ht="15" hidden="false" customHeight="true" outlineLevel="0" collapsed="false">
      <c r="A390" s="1" t="n">
        <v>101396</v>
      </c>
      <c r="B390" s="1" t="n">
        <v>50903</v>
      </c>
      <c r="C390" s="1" t="n">
        <v>6</v>
      </c>
      <c r="D390" s="1" t="n">
        <v>9</v>
      </c>
      <c r="E390" s="1" t="str">
        <f aca="false">VLOOKUP(C390,Меню!$A$2:$C$24,2,FALSE())</f>
        <v>Пицца Капричиоза</v>
      </c>
      <c r="F390" s="1" t="n">
        <f aca="false">VLOOKUP(C390,Меню!$A$2:$C$24,3,FALSE())</f>
        <v>570</v>
      </c>
      <c r="G390" s="5" t="n">
        <f aca="false">VLOOKUP(B390,Заказы!$A$2:$E$2995,2,FALSE())</f>
        <v>43996</v>
      </c>
      <c r="H390" s="1" t="n">
        <f aca="false">VLOOKUP(B390,Заказы!$A$2:$E$2995,3,FALSE())</f>
        <v>919</v>
      </c>
      <c r="I390" s="1" t="str">
        <f aca="false">VLOOKUP(H390,Клиенты!$A$2:$E$1995,5,FALSE())</f>
        <v>г. Ершов</v>
      </c>
      <c r="J390" s="1" t="n">
        <f aca="false">VLOOKUP(B390,Заказы!$A$2:$E$2995,4,FALSE())</f>
        <v>0</v>
      </c>
      <c r="K390" s="1" t="str">
        <f aca="false">VLOOKUP(B390,Заказы!$A$2:$E$2995,5,FALSE())</f>
        <v>Не выполнено</v>
      </c>
      <c r="L390" s="1" t="n">
        <f aca="false">D390*F390+J390</f>
        <v>5130</v>
      </c>
      <c r="M390" s="1" t="n">
        <f aca="false">IF(AND(E390="Пицца Труслейка",I390="г. Москва",K390="Выполнено",G390&gt;=DATE(2020,7,1),G390&lt;DATE(2020,8,1)),L390,0)</f>
        <v>0</v>
      </c>
    </row>
    <row r="391" customFormat="false" ht="15" hidden="false" customHeight="true" outlineLevel="0" collapsed="false">
      <c r="A391" s="1" t="n">
        <v>100269</v>
      </c>
      <c r="B391" s="1" t="n">
        <v>50569</v>
      </c>
      <c r="C391" s="1" t="n">
        <v>4</v>
      </c>
      <c r="D391" s="1" t="n">
        <v>8</v>
      </c>
      <c r="E391" s="1" t="str">
        <f aca="false">VLOOKUP(C391,Меню!$A$2:$C$24,2,FALSE())</f>
        <v>Пицца Труслейка</v>
      </c>
      <c r="F391" s="1" t="n">
        <f aca="false">VLOOKUP(C391,Меню!$A$2:$C$24,3,FALSE())</f>
        <v>610</v>
      </c>
      <c r="G391" s="5" t="n">
        <f aca="false">VLOOKUP(B391,Заказы!$A$2:$E$2995,2,FALSE())</f>
        <v>44003</v>
      </c>
      <c r="H391" s="1" t="n">
        <f aca="false">VLOOKUP(B391,Заказы!$A$2:$E$2995,3,FALSE())</f>
        <v>1863</v>
      </c>
      <c r="I391" s="1" t="str">
        <f aca="false">VLOOKUP(H391,Клиенты!$A$2:$E$1995,5,FALSE())</f>
        <v>г. Алдан</v>
      </c>
      <c r="J391" s="1" t="n">
        <f aca="false">VLOOKUP(B391,Заказы!$A$2:$E$2995,4,FALSE())</f>
        <v>0</v>
      </c>
      <c r="K391" s="1" t="str">
        <f aca="false">VLOOKUP(B391,Заказы!$A$2:$E$2995,5,FALSE())</f>
        <v>Не выполнено</v>
      </c>
      <c r="L391" s="1" t="n">
        <f aca="false">D391*F391+J391</f>
        <v>4880</v>
      </c>
      <c r="M391" s="1" t="n">
        <f aca="false">IF(AND(E391="Пицца Труслейка",I391="г. Москва",K391="Выполнено",G391&gt;=DATE(2020,7,1),G391&lt;DATE(2020,8,1)),L391,0)</f>
        <v>0</v>
      </c>
    </row>
    <row r="392" customFormat="false" ht="15" hidden="false" customHeight="true" outlineLevel="0" collapsed="false">
      <c r="A392" s="1" t="n">
        <v>101039</v>
      </c>
      <c r="B392" s="1" t="n">
        <v>51842</v>
      </c>
      <c r="C392" s="1" t="n">
        <v>9</v>
      </c>
      <c r="D392" s="1" t="n">
        <v>9</v>
      </c>
      <c r="E392" s="1" t="str">
        <f aca="false">VLOOKUP(C392,Меню!$A$2:$C$24,2,FALSE())</f>
        <v>Пицца Острая с беконом</v>
      </c>
      <c r="F392" s="1" t="n">
        <f aca="false">VLOOKUP(C392,Меню!$A$2:$C$24,3,FALSE())</f>
        <v>540</v>
      </c>
      <c r="G392" s="5" t="n">
        <f aca="false">VLOOKUP(B392,Заказы!$A$2:$E$2995,2,FALSE())</f>
        <v>43984</v>
      </c>
      <c r="H392" s="1" t="n">
        <f aca="false">VLOOKUP(B392,Заказы!$A$2:$E$2995,3,FALSE())</f>
        <v>1122</v>
      </c>
      <c r="I392" s="1" t="str">
        <f aca="false">VLOOKUP(H392,Клиенты!$A$2:$E$1995,5,FALSE())</f>
        <v>г. Шумиха</v>
      </c>
      <c r="J392" s="1" t="n">
        <f aca="false">VLOOKUP(B392,Заказы!$A$2:$E$2995,4,FALSE())</f>
        <v>0</v>
      </c>
      <c r="K392" s="1" t="str">
        <f aca="false">VLOOKUP(B392,Заказы!$A$2:$E$2995,5,FALSE())</f>
        <v>Не выполнено</v>
      </c>
      <c r="L392" s="1" t="n">
        <f aca="false">D392*F392+J392</f>
        <v>4860</v>
      </c>
      <c r="M392" s="1" t="n">
        <f aca="false">IF(AND(E392="Пицца Труслейка",I392="г. Москва",K392="Выполнено",G392&gt;=DATE(2020,7,1),G392&lt;DATE(2020,8,1)),L392,0)</f>
        <v>0</v>
      </c>
    </row>
    <row r="393" customFormat="false" ht="15" hidden="false" customHeight="true" outlineLevel="0" collapsed="false">
      <c r="A393" s="1" t="n">
        <v>101419</v>
      </c>
      <c r="B393" s="1" t="n">
        <v>50924</v>
      </c>
      <c r="C393" s="1" t="n">
        <v>17</v>
      </c>
      <c r="D393" s="1" t="n">
        <v>8</v>
      </c>
      <c r="E393" s="1" t="str">
        <f aca="false">VLOOKUP(C393,Меню!$A$2:$C$24,2,FALSE())</f>
        <v>Пицца Френч Фрайз</v>
      </c>
      <c r="F393" s="1" t="n">
        <f aca="false">VLOOKUP(C393,Меню!$A$2:$C$24,3,FALSE())</f>
        <v>515</v>
      </c>
      <c r="G393" s="5" t="n">
        <f aca="false">VLOOKUP(B393,Заказы!$A$2:$E$2995,2,FALSE())</f>
        <v>44045</v>
      </c>
      <c r="H393" s="1" t="n">
        <f aca="false">VLOOKUP(B393,Заказы!$A$2:$E$2995,3,FALSE())</f>
        <v>1394</v>
      </c>
      <c r="I393" s="1" t="str">
        <f aca="false">VLOOKUP(H393,Клиенты!$A$2:$E$1995,5,FALSE())</f>
        <v>г. Железноводск</v>
      </c>
      <c r="J393" s="1" t="n">
        <f aca="false">VLOOKUP(B393,Заказы!$A$2:$E$2995,4,FALSE())</f>
        <v>873</v>
      </c>
      <c r="K393" s="1" t="str">
        <f aca="false">VLOOKUP(B393,Заказы!$A$2:$E$2995,5,FALSE())</f>
        <v>Выполнено</v>
      </c>
      <c r="L393" s="1" t="n">
        <f aca="false">D393*F393+J393</f>
        <v>4993</v>
      </c>
      <c r="M393" s="1" t="n">
        <f aca="false">IF(AND(E393="Пицца Труслейка",I393="г. Москва",K393="Выполнено",G393&gt;=DATE(2020,7,1),G393&lt;DATE(2020,8,1)),L393,0)</f>
        <v>0</v>
      </c>
    </row>
    <row r="394" customFormat="false" ht="15" hidden="false" customHeight="true" outlineLevel="0" collapsed="false">
      <c r="A394" s="1" t="n">
        <v>100050</v>
      </c>
      <c r="B394" s="1" t="n">
        <v>51007</v>
      </c>
      <c r="C394" s="1" t="n">
        <v>6</v>
      </c>
      <c r="D394" s="1" t="n">
        <v>9</v>
      </c>
      <c r="E394" s="1" t="str">
        <f aca="false">VLOOKUP(C394,Меню!$A$2:$C$24,2,FALSE())</f>
        <v>Пицца Капричиоза</v>
      </c>
      <c r="F394" s="1" t="n">
        <f aca="false">VLOOKUP(C394,Меню!$A$2:$C$24,3,FALSE())</f>
        <v>570</v>
      </c>
      <c r="G394" s="5" t="n">
        <f aca="false">VLOOKUP(B394,Заказы!$A$2:$E$2995,2,FALSE())</f>
        <v>43989</v>
      </c>
      <c r="H394" s="1" t="n">
        <f aca="false">VLOOKUP(B394,Заказы!$A$2:$E$2995,3,FALSE())</f>
        <v>1110</v>
      </c>
      <c r="I394" s="1" t="str">
        <f aca="false">VLOOKUP(H394,Клиенты!$A$2:$E$1995,5,FALSE())</f>
        <v>г. Москва</v>
      </c>
      <c r="J394" s="1" t="n">
        <f aca="false">VLOOKUP(B394,Заказы!$A$2:$E$2995,4,FALSE())</f>
        <v>571</v>
      </c>
      <c r="K394" s="1" t="str">
        <f aca="false">VLOOKUP(B394,Заказы!$A$2:$E$2995,5,FALSE())</f>
        <v>Выполнено</v>
      </c>
      <c r="L394" s="1" t="n">
        <f aca="false">D394*F394+J394</f>
        <v>5701</v>
      </c>
      <c r="M394" s="1" t="n">
        <f aca="false">IF(AND(E394="Пицца Труслейка",I394="г. Москва",K394="Выполнено",G394&gt;=DATE(2020,7,1),G394&lt;DATE(2020,8,1)),L394,0)</f>
        <v>0</v>
      </c>
    </row>
    <row r="395" customFormat="false" ht="15" hidden="false" customHeight="true" outlineLevel="0" collapsed="false">
      <c r="A395" s="1" t="n">
        <v>100450</v>
      </c>
      <c r="B395" s="1" t="n">
        <v>50137</v>
      </c>
      <c r="C395" s="1" t="n">
        <v>2</v>
      </c>
      <c r="D395" s="1" t="n">
        <v>6</v>
      </c>
      <c r="E395" s="1" t="str">
        <f aca="false">VLOOKUP(C395,Меню!$A$2:$C$24,2,FALSE())</f>
        <v>Пицца Двойная пепперони</v>
      </c>
      <c r="F395" s="1" t="n">
        <f aca="false">VLOOKUP(C395,Меню!$A$2:$C$24,3,FALSE())</f>
        <v>575</v>
      </c>
      <c r="G395" s="5" t="n">
        <f aca="false">VLOOKUP(B395,Заказы!$A$2:$E$2995,2,FALSE())</f>
        <v>44012</v>
      </c>
      <c r="H395" s="1" t="n">
        <f aca="false">VLOOKUP(B395,Заказы!$A$2:$E$2995,3,FALSE())</f>
        <v>1187</v>
      </c>
      <c r="I395" s="1" t="str">
        <f aca="false">VLOOKUP(H395,Клиенты!$A$2:$E$1995,5,FALSE())</f>
        <v>г. Сенгилей</v>
      </c>
      <c r="J395" s="1" t="n">
        <f aca="false">VLOOKUP(B395,Заказы!$A$2:$E$2995,4,FALSE())</f>
        <v>492</v>
      </c>
      <c r="K395" s="1" t="str">
        <f aca="false">VLOOKUP(B395,Заказы!$A$2:$E$2995,5,FALSE())</f>
        <v>Выполнено</v>
      </c>
      <c r="L395" s="1" t="n">
        <f aca="false">D395*F395+J395</f>
        <v>3942</v>
      </c>
      <c r="M395" s="1" t="n">
        <f aca="false">IF(AND(E395="Пицца Труслейка",I395="г. Москва",K395="Выполнено",G395&gt;=DATE(2020,7,1),G395&lt;DATE(2020,8,1)),L395,0)</f>
        <v>0</v>
      </c>
    </row>
    <row r="396" customFormat="false" ht="15" hidden="false" customHeight="true" outlineLevel="0" collapsed="false">
      <c r="A396" s="1" t="n">
        <v>100249</v>
      </c>
      <c r="B396" s="1" t="n">
        <v>51410</v>
      </c>
      <c r="C396" s="1" t="n">
        <v>2</v>
      </c>
      <c r="D396" s="1" t="n">
        <v>9</v>
      </c>
      <c r="E396" s="1" t="str">
        <f aca="false">VLOOKUP(C396,Меню!$A$2:$C$24,2,FALSE())</f>
        <v>Пицца Двойная пепперони</v>
      </c>
      <c r="F396" s="1" t="n">
        <f aca="false">VLOOKUP(C396,Меню!$A$2:$C$24,3,FALSE())</f>
        <v>575</v>
      </c>
      <c r="G396" s="5" t="n">
        <f aca="false">VLOOKUP(B396,Заказы!$A$2:$E$2995,2,FALSE())</f>
        <v>44053</v>
      </c>
      <c r="H396" s="1" t="n">
        <f aca="false">VLOOKUP(B396,Заказы!$A$2:$E$2995,3,FALSE())</f>
        <v>409</v>
      </c>
      <c r="I396" s="1" t="str">
        <f aca="false">VLOOKUP(H396,Клиенты!$A$2:$E$1995,5,FALSE())</f>
        <v>г. Суоярви</v>
      </c>
      <c r="J396" s="1" t="n">
        <f aca="false">VLOOKUP(B396,Заказы!$A$2:$E$2995,4,FALSE())</f>
        <v>868</v>
      </c>
      <c r="K396" s="1" t="str">
        <f aca="false">VLOOKUP(B396,Заказы!$A$2:$E$2995,5,FALSE())</f>
        <v>Выполнено</v>
      </c>
      <c r="L396" s="1" t="n">
        <f aca="false">D396*F396+J396</f>
        <v>6043</v>
      </c>
      <c r="M396" s="1" t="n">
        <f aca="false">IF(AND(E396="Пицца Труслейка",I396="г. Москва",K396="Выполнено",G396&gt;=DATE(2020,7,1),G396&lt;DATE(2020,8,1)),L396,0)</f>
        <v>0</v>
      </c>
    </row>
    <row r="397" customFormat="false" ht="15" hidden="false" customHeight="true" outlineLevel="0" collapsed="false">
      <c r="A397" s="1" t="n">
        <v>100191</v>
      </c>
      <c r="B397" s="1" t="n">
        <v>50848</v>
      </c>
      <c r="C397" s="1" t="n">
        <v>19</v>
      </c>
      <c r="D397" s="1" t="n">
        <v>9</v>
      </c>
      <c r="E397" s="1" t="str">
        <f aca="false">VLOOKUP(C397,Меню!$A$2:$C$24,2,FALSE())</f>
        <v>Пицца Цезарь</v>
      </c>
      <c r="F397" s="1" t="n">
        <f aca="false">VLOOKUP(C397,Меню!$A$2:$C$24,3,FALSE())</f>
        <v>630</v>
      </c>
      <c r="G397" s="5" t="n">
        <f aca="false">VLOOKUP(B397,Заказы!$A$2:$E$2995,2,FALSE())</f>
        <v>44052</v>
      </c>
      <c r="H397" s="1" t="n">
        <f aca="false">VLOOKUP(B397,Заказы!$A$2:$E$2995,3,FALSE())</f>
        <v>694</v>
      </c>
      <c r="I397" s="1" t="str">
        <f aca="false">VLOOKUP(H397,Клиенты!$A$2:$E$1995,5,FALSE())</f>
        <v>г. Юхнов</v>
      </c>
      <c r="J397" s="1" t="n">
        <f aca="false">VLOOKUP(B397,Заказы!$A$2:$E$2995,4,FALSE())</f>
        <v>165</v>
      </c>
      <c r="K397" s="1" t="str">
        <f aca="false">VLOOKUP(B397,Заказы!$A$2:$E$2995,5,FALSE())</f>
        <v>Выполнено</v>
      </c>
      <c r="L397" s="1" t="n">
        <f aca="false">D397*F397+J397</f>
        <v>5835</v>
      </c>
      <c r="M397" s="1" t="n">
        <f aca="false">IF(AND(E397="Пицца Труслейка",I397="г. Москва",K397="Выполнено",G397&gt;=DATE(2020,7,1),G397&lt;DATE(2020,8,1)),L397,0)</f>
        <v>0</v>
      </c>
    </row>
    <row r="398" customFormat="false" ht="15" hidden="false" customHeight="true" outlineLevel="0" collapsed="false">
      <c r="A398" s="1" t="n">
        <v>100626</v>
      </c>
      <c r="B398" s="1" t="n">
        <v>50250</v>
      </c>
      <c r="C398" s="1" t="n">
        <v>4</v>
      </c>
      <c r="D398" s="1" t="n">
        <v>6</v>
      </c>
      <c r="E398" s="1" t="str">
        <f aca="false">VLOOKUP(C398,Меню!$A$2:$C$24,2,FALSE())</f>
        <v>Пицца Труслейка</v>
      </c>
      <c r="F398" s="1" t="n">
        <f aca="false">VLOOKUP(C398,Меню!$A$2:$C$24,3,FALSE())</f>
        <v>610</v>
      </c>
      <c r="G398" s="5" t="n">
        <f aca="false">VLOOKUP(B398,Заказы!$A$2:$E$2995,2,FALSE())</f>
        <v>44001</v>
      </c>
      <c r="H398" s="1" t="n">
        <f aca="false">VLOOKUP(B398,Заказы!$A$2:$E$2995,3,FALSE())</f>
        <v>157</v>
      </c>
      <c r="I398" s="1" t="str">
        <f aca="false">VLOOKUP(H398,Клиенты!$A$2:$E$1995,5,FALSE())</f>
        <v>г. Дубовка</v>
      </c>
      <c r="J398" s="1" t="n">
        <f aca="false">VLOOKUP(B398,Заказы!$A$2:$E$2995,4,FALSE())</f>
        <v>0</v>
      </c>
      <c r="K398" s="1" t="str">
        <f aca="false">VLOOKUP(B398,Заказы!$A$2:$E$2995,5,FALSE())</f>
        <v>Не выполнено</v>
      </c>
      <c r="L398" s="1" t="n">
        <f aca="false">D398*F398+J398</f>
        <v>3660</v>
      </c>
      <c r="M398" s="1" t="n">
        <f aca="false">IF(AND(E398="Пицца Труслейка",I398="г. Москва",K398="Выполнено",G398&gt;=DATE(2020,7,1),G398&lt;DATE(2020,8,1)),L398,0)</f>
        <v>0</v>
      </c>
    </row>
    <row r="399" customFormat="false" ht="15" hidden="false" customHeight="true" outlineLevel="0" collapsed="false">
      <c r="A399" s="1" t="n">
        <v>101251</v>
      </c>
      <c r="B399" s="1" t="n">
        <v>50440</v>
      </c>
      <c r="C399" s="1" t="n">
        <v>20</v>
      </c>
      <c r="D399" s="1" t="n">
        <v>10</v>
      </c>
      <c r="E399" s="1" t="str">
        <f aca="false">VLOOKUP(C399,Меню!$A$2:$C$24,2,FALSE())</f>
        <v>Пицца пиканте</v>
      </c>
      <c r="F399" s="1" t="n">
        <f aca="false">VLOOKUP(C399,Меню!$A$2:$C$24,3,FALSE())</f>
        <v>585</v>
      </c>
      <c r="G399" s="5" t="n">
        <f aca="false">VLOOKUP(B399,Заказы!$A$2:$E$2995,2,FALSE())</f>
        <v>44017</v>
      </c>
      <c r="H399" s="1" t="n">
        <f aca="false">VLOOKUP(B399,Заказы!$A$2:$E$2995,3,FALSE())</f>
        <v>1588</v>
      </c>
      <c r="I399" s="1" t="str">
        <f aca="false">VLOOKUP(H399,Клиенты!$A$2:$E$1995,5,FALSE())</f>
        <v>г. Онега</v>
      </c>
      <c r="J399" s="1" t="n">
        <f aca="false">VLOOKUP(B399,Заказы!$A$2:$E$2995,4,FALSE())</f>
        <v>516</v>
      </c>
      <c r="K399" s="1" t="str">
        <f aca="false">VLOOKUP(B399,Заказы!$A$2:$E$2995,5,FALSE())</f>
        <v>Выполнено</v>
      </c>
      <c r="L399" s="1" t="n">
        <f aca="false">D399*F399+J399</f>
        <v>6366</v>
      </c>
      <c r="M399" s="1" t="n">
        <f aca="false">IF(AND(E399="Пицца Труслейка",I399="г. Москва",K399="Выполнено",G399&gt;=DATE(2020,7,1),G399&lt;DATE(2020,8,1)),L399,0)</f>
        <v>0</v>
      </c>
    </row>
    <row r="400" customFormat="false" ht="15" hidden="false" customHeight="true" outlineLevel="0" collapsed="false">
      <c r="A400" s="1" t="n">
        <v>100133</v>
      </c>
      <c r="B400" s="1" t="n">
        <v>50432</v>
      </c>
      <c r="C400" s="1" t="n">
        <v>15</v>
      </c>
      <c r="D400" s="1" t="n">
        <v>2</v>
      </c>
      <c r="E400" s="1" t="str">
        <f aca="false">VLOOKUP(C400,Меню!$A$2:$C$24,2,FALSE())</f>
        <v>Пицца Тропиканка</v>
      </c>
      <c r="F400" s="1" t="n">
        <f aca="false">VLOOKUP(C400,Меню!$A$2:$C$24,3,FALSE())</f>
        <v>605</v>
      </c>
      <c r="G400" s="5" t="n">
        <f aca="false">VLOOKUP(B400,Заказы!$A$2:$E$2995,2,FALSE())</f>
        <v>44042</v>
      </c>
      <c r="H400" s="1" t="n">
        <f aca="false">VLOOKUP(B400,Заказы!$A$2:$E$2995,3,FALSE())</f>
        <v>1979</v>
      </c>
      <c r="I400" s="1" t="str">
        <f aca="false">VLOOKUP(H400,Клиенты!$A$2:$E$1995,5,FALSE())</f>
        <v>г. Белинский</v>
      </c>
      <c r="J400" s="1" t="n">
        <f aca="false">VLOOKUP(B400,Заказы!$A$2:$E$2995,4,FALSE())</f>
        <v>0</v>
      </c>
      <c r="K400" s="1" t="str">
        <f aca="false">VLOOKUP(B400,Заказы!$A$2:$E$2995,5,FALSE())</f>
        <v>Не выполнено</v>
      </c>
      <c r="L400" s="1" t="n">
        <f aca="false">D400*F400+J400</f>
        <v>1210</v>
      </c>
      <c r="M400" s="1" t="n">
        <f aca="false">IF(AND(E400="Пицца Труслейка",I400="г. Москва",K400="Выполнено",G400&gt;=DATE(2020,7,1),G400&lt;DATE(2020,8,1)),L400,0)</f>
        <v>0</v>
      </c>
    </row>
    <row r="401" customFormat="false" ht="15" hidden="false" customHeight="true" outlineLevel="0" collapsed="false">
      <c r="A401" s="1" t="n">
        <v>101913</v>
      </c>
      <c r="B401" s="1" t="n">
        <v>50954</v>
      </c>
      <c r="C401" s="1" t="n">
        <v>4</v>
      </c>
      <c r="D401" s="1" t="n">
        <v>2</v>
      </c>
      <c r="E401" s="1" t="str">
        <f aca="false">VLOOKUP(C401,Меню!$A$2:$C$24,2,FALSE())</f>
        <v>Пицца Труслейка</v>
      </c>
      <c r="F401" s="1" t="n">
        <f aca="false">VLOOKUP(C401,Меню!$A$2:$C$24,3,FALSE())</f>
        <v>610</v>
      </c>
      <c r="G401" s="5" t="n">
        <f aca="false">VLOOKUP(B401,Заказы!$A$2:$E$2995,2,FALSE())</f>
        <v>43993</v>
      </c>
      <c r="H401" s="1" t="n">
        <f aca="false">VLOOKUP(B401,Заказы!$A$2:$E$2995,3,FALSE())</f>
        <v>479</v>
      </c>
      <c r="I401" s="1" t="str">
        <f aca="false">VLOOKUP(H401,Клиенты!$A$2:$E$1995,5,FALSE())</f>
        <v>г. Полысаево</v>
      </c>
      <c r="J401" s="1" t="n">
        <f aca="false">VLOOKUP(B401,Заказы!$A$2:$E$2995,4,FALSE())</f>
        <v>0</v>
      </c>
      <c r="K401" s="1" t="str">
        <f aca="false">VLOOKUP(B401,Заказы!$A$2:$E$2995,5,FALSE())</f>
        <v>Не выполнено</v>
      </c>
      <c r="L401" s="1" t="n">
        <f aca="false">D401*F401+J401</f>
        <v>1220</v>
      </c>
      <c r="M401" s="1" t="n">
        <f aca="false">IF(AND(E401="Пицца Труслейка",I401="г. Москва",K401="Выполнено",G401&gt;=DATE(2020,7,1),G401&lt;DATE(2020,8,1)),L401,0)</f>
        <v>0</v>
      </c>
    </row>
    <row r="402" customFormat="false" ht="15" hidden="false" customHeight="true" outlineLevel="0" collapsed="false">
      <c r="A402" s="1" t="n">
        <v>100830</v>
      </c>
      <c r="B402" s="1" t="n">
        <v>50257</v>
      </c>
      <c r="C402" s="1" t="n">
        <v>19</v>
      </c>
      <c r="D402" s="1" t="n">
        <v>6</v>
      </c>
      <c r="E402" s="1" t="str">
        <f aca="false">VLOOKUP(C402,Меню!$A$2:$C$24,2,FALSE())</f>
        <v>Пицца Цезарь</v>
      </c>
      <c r="F402" s="1" t="n">
        <f aca="false">VLOOKUP(C402,Меню!$A$2:$C$24,3,FALSE())</f>
        <v>630</v>
      </c>
      <c r="G402" s="5" t="n">
        <f aca="false">VLOOKUP(B402,Заказы!$A$2:$E$2995,2,FALSE())</f>
        <v>44024</v>
      </c>
      <c r="H402" s="1" t="n">
        <f aca="false">VLOOKUP(B402,Заказы!$A$2:$E$2995,3,FALSE())</f>
        <v>648</v>
      </c>
      <c r="I402" s="1" t="str">
        <f aca="false">VLOOKUP(H402,Клиенты!$A$2:$E$1995,5,FALSE())</f>
        <v>г. Юхнов</v>
      </c>
      <c r="J402" s="1" t="n">
        <f aca="false">VLOOKUP(B402,Заказы!$A$2:$E$2995,4,FALSE())</f>
        <v>677</v>
      </c>
      <c r="K402" s="1" t="str">
        <f aca="false">VLOOKUP(B402,Заказы!$A$2:$E$2995,5,FALSE())</f>
        <v>Выполнено</v>
      </c>
      <c r="L402" s="1" t="n">
        <f aca="false">D402*F402+J402</f>
        <v>4457</v>
      </c>
      <c r="M402" s="1" t="n">
        <f aca="false">IF(AND(E402="Пицца Труслейка",I402="г. Москва",K402="Выполнено",G402&gt;=DATE(2020,7,1),G402&lt;DATE(2020,8,1)),L402,0)</f>
        <v>0</v>
      </c>
    </row>
    <row r="403" customFormat="false" ht="15" hidden="false" customHeight="true" outlineLevel="0" collapsed="false">
      <c r="A403" s="1" t="n">
        <v>100412</v>
      </c>
      <c r="B403" s="1" t="n">
        <v>51988</v>
      </c>
      <c r="C403" s="1" t="n">
        <v>9</v>
      </c>
      <c r="D403" s="1" t="n">
        <v>9</v>
      </c>
      <c r="E403" s="1" t="str">
        <f aca="false">VLOOKUP(C403,Меню!$A$2:$C$24,2,FALSE())</f>
        <v>Пицца Острая с беконом</v>
      </c>
      <c r="F403" s="1" t="n">
        <f aca="false">VLOOKUP(C403,Меню!$A$2:$C$24,3,FALSE())</f>
        <v>540</v>
      </c>
      <c r="G403" s="5" t="n">
        <f aca="false">VLOOKUP(B403,Заказы!$A$2:$E$2995,2,FALSE())</f>
        <v>44046</v>
      </c>
      <c r="H403" s="1" t="n">
        <f aca="false">VLOOKUP(B403,Заказы!$A$2:$E$2995,3,FALSE())</f>
        <v>630</v>
      </c>
      <c r="I403" s="1" t="str">
        <f aca="false">VLOOKUP(H403,Клиенты!$A$2:$E$1995,5,FALSE())</f>
        <v>г. Москва</v>
      </c>
      <c r="J403" s="1" t="n">
        <f aca="false">VLOOKUP(B403,Заказы!$A$2:$E$2995,4,FALSE())</f>
        <v>673</v>
      </c>
      <c r="K403" s="1" t="str">
        <f aca="false">VLOOKUP(B403,Заказы!$A$2:$E$2995,5,FALSE())</f>
        <v>Выполнено</v>
      </c>
      <c r="L403" s="1" t="n">
        <f aca="false">D403*F403+J403</f>
        <v>5533</v>
      </c>
      <c r="M403" s="1" t="n">
        <f aca="false">IF(AND(E403="Пицца Труслейка",I403="г. Москва",K403="Выполнено",G403&gt;=DATE(2020,7,1),G403&lt;DATE(2020,8,1)),L403,0)</f>
        <v>0</v>
      </c>
    </row>
    <row r="404" customFormat="false" ht="15" hidden="false" customHeight="true" outlineLevel="0" collapsed="false">
      <c r="A404" s="1" t="n">
        <v>100920</v>
      </c>
      <c r="B404" s="1" t="n">
        <v>50284</v>
      </c>
      <c r="C404" s="1" t="n">
        <v>7</v>
      </c>
      <c r="D404" s="1" t="n">
        <v>5</v>
      </c>
      <c r="E404" s="1" t="str">
        <f aca="false">VLOOKUP(C404,Меню!$A$2:$C$24,2,FALSE())</f>
        <v>Пицца Карбонара</v>
      </c>
      <c r="F404" s="1" t="n">
        <f aca="false">VLOOKUP(C404,Меню!$A$2:$C$24,3,FALSE())</f>
        <v>625</v>
      </c>
      <c r="G404" s="5" t="n">
        <f aca="false">VLOOKUP(B404,Заказы!$A$2:$E$2995,2,FALSE())</f>
        <v>44055</v>
      </c>
      <c r="H404" s="1" t="n">
        <f aca="false">VLOOKUP(B404,Заказы!$A$2:$E$2995,3,FALSE())</f>
        <v>1651</v>
      </c>
      <c r="I404" s="1" t="str">
        <f aca="false">VLOOKUP(H404,Клиенты!$A$2:$E$1995,5,FALSE())</f>
        <v>г. Туран</v>
      </c>
      <c r="J404" s="1" t="n">
        <f aca="false">VLOOKUP(B404,Заказы!$A$2:$E$2995,4,FALSE())</f>
        <v>320</v>
      </c>
      <c r="K404" s="1" t="str">
        <f aca="false">VLOOKUP(B404,Заказы!$A$2:$E$2995,5,FALSE())</f>
        <v>Выполнено</v>
      </c>
      <c r="L404" s="1" t="n">
        <f aca="false">D404*F404+J404</f>
        <v>3445</v>
      </c>
      <c r="M404" s="1" t="n">
        <f aca="false">IF(AND(E404="Пицца Труслейка",I404="г. Москва",K404="Выполнено",G404&gt;=DATE(2020,7,1),G404&lt;DATE(2020,8,1)),L404,0)</f>
        <v>0</v>
      </c>
    </row>
    <row r="405" customFormat="false" ht="15" hidden="false" customHeight="true" outlineLevel="0" collapsed="false">
      <c r="A405" s="1" t="n">
        <v>100984</v>
      </c>
      <c r="B405" s="1" t="n">
        <v>50329</v>
      </c>
      <c r="C405" s="1" t="n">
        <v>15</v>
      </c>
      <c r="D405" s="1" t="n">
        <v>7</v>
      </c>
      <c r="E405" s="1" t="str">
        <f aca="false">VLOOKUP(C405,Меню!$A$2:$C$24,2,FALSE())</f>
        <v>Пицца Тропиканка</v>
      </c>
      <c r="F405" s="1" t="n">
        <f aca="false">VLOOKUP(C405,Меню!$A$2:$C$24,3,FALSE())</f>
        <v>605</v>
      </c>
      <c r="G405" s="5" t="n">
        <f aca="false">VLOOKUP(B405,Заказы!$A$2:$E$2995,2,FALSE())</f>
        <v>44045</v>
      </c>
      <c r="H405" s="1" t="n">
        <f aca="false">VLOOKUP(B405,Заказы!$A$2:$E$2995,3,FALSE())</f>
        <v>920</v>
      </c>
      <c r="I405" s="1" t="str">
        <f aca="false">VLOOKUP(H405,Клиенты!$A$2:$E$1995,5,FALSE())</f>
        <v>г. Москва</v>
      </c>
      <c r="J405" s="1" t="n">
        <f aca="false">VLOOKUP(B405,Заказы!$A$2:$E$2995,4,FALSE())</f>
        <v>0</v>
      </c>
      <c r="K405" s="1" t="str">
        <f aca="false">VLOOKUP(B405,Заказы!$A$2:$E$2995,5,FALSE())</f>
        <v>Не выполнено</v>
      </c>
      <c r="L405" s="1" t="n">
        <f aca="false">D405*F405+J405</f>
        <v>4235</v>
      </c>
      <c r="M405" s="1" t="n">
        <f aca="false">IF(AND(E405="Пицца Труслейка",I405="г. Москва",K405="Выполнено",G405&gt;=DATE(2020,7,1),G405&lt;DATE(2020,8,1)),L405,0)</f>
        <v>0</v>
      </c>
    </row>
    <row r="406" customFormat="false" ht="15" hidden="false" customHeight="true" outlineLevel="0" collapsed="false">
      <c r="A406" s="1" t="n">
        <v>100157</v>
      </c>
      <c r="B406" s="1" t="n">
        <v>50729</v>
      </c>
      <c r="C406" s="1" t="n">
        <v>17</v>
      </c>
      <c r="D406" s="1" t="n">
        <v>1</v>
      </c>
      <c r="E406" s="1" t="str">
        <f aca="false">VLOOKUP(C406,Меню!$A$2:$C$24,2,FALSE())</f>
        <v>Пицца Френч Фрайз</v>
      </c>
      <c r="F406" s="1" t="n">
        <f aca="false">VLOOKUP(C406,Меню!$A$2:$C$24,3,FALSE())</f>
        <v>515</v>
      </c>
      <c r="G406" s="5" t="n">
        <f aca="false">VLOOKUP(B406,Заказы!$A$2:$E$2995,2,FALSE())</f>
        <v>44056</v>
      </c>
      <c r="H406" s="1" t="n">
        <f aca="false">VLOOKUP(B406,Заказы!$A$2:$E$2995,3,FALSE())</f>
        <v>1727</v>
      </c>
      <c r="I406" s="1" t="str">
        <f aca="false">VLOOKUP(H406,Клиенты!$A$2:$E$1995,5,FALSE())</f>
        <v>г. Любань</v>
      </c>
      <c r="J406" s="1" t="n">
        <f aca="false">VLOOKUP(B406,Заказы!$A$2:$E$2995,4,FALSE())</f>
        <v>0</v>
      </c>
      <c r="K406" s="1" t="str">
        <f aca="false">VLOOKUP(B406,Заказы!$A$2:$E$2995,5,FALSE())</f>
        <v>Не выполнено</v>
      </c>
      <c r="L406" s="1" t="n">
        <f aca="false">D406*F406+J406</f>
        <v>515</v>
      </c>
      <c r="M406" s="1" t="n">
        <f aca="false">IF(AND(E406="Пицца Труслейка",I406="г. Москва",K406="Выполнено",G406&gt;=DATE(2020,7,1),G406&lt;DATE(2020,8,1)),L406,0)</f>
        <v>0</v>
      </c>
    </row>
    <row r="407" customFormat="false" ht="15" hidden="false" customHeight="true" outlineLevel="0" collapsed="false">
      <c r="A407" s="1" t="n">
        <v>101411</v>
      </c>
      <c r="B407" s="1" t="n">
        <v>50234</v>
      </c>
      <c r="C407" s="1" t="n">
        <v>23</v>
      </c>
      <c r="D407" s="1" t="n">
        <v>10</v>
      </c>
      <c r="E407" s="1" t="str">
        <f aca="false">VLOOKUP(C407,Меню!$A$2:$C$24,2,FALSE())</f>
        <v>Пицца с тунцом</v>
      </c>
      <c r="F407" s="1" t="n">
        <f aca="false">VLOOKUP(C407,Меню!$A$2:$C$24,3,FALSE())</f>
        <v>520</v>
      </c>
      <c r="G407" s="5" t="n">
        <f aca="false">VLOOKUP(B407,Заказы!$A$2:$E$2995,2,FALSE())</f>
        <v>44004</v>
      </c>
      <c r="H407" s="1" t="n">
        <f aca="false">VLOOKUP(B407,Заказы!$A$2:$E$2995,3,FALSE())</f>
        <v>685</v>
      </c>
      <c r="I407" s="1" t="str">
        <f aca="false">VLOOKUP(H407,Клиенты!$A$2:$E$1995,5,FALSE())</f>
        <v>г. Волгодонск</v>
      </c>
      <c r="J407" s="1" t="n">
        <f aca="false">VLOOKUP(B407,Заказы!$A$2:$E$2995,4,FALSE())</f>
        <v>145</v>
      </c>
      <c r="K407" s="1" t="str">
        <f aca="false">VLOOKUP(B407,Заказы!$A$2:$E$2995,5,FALSE())</f>
        <v>Выполнено</v>
      </c>
      <c r="L407" s="1" t="n">
        <f aca="false">D407*F407+J407</f>
        <v>5345</v>
      </c>
      <c r="M407" s="1" t="n">
        <f aca="false">IF(AND(E407="Пицца Труслейка",I407="г. Москва",K407="Выполнено",G407&gt;=DATE(2020,7,1),G407&lt;DATE(2020,8,1)),L407,0)</f>
        <v>0</v>
      </c>
    </row>
    <row r="408" customFormat="false" ht="15" hidden="false" customHeight="true" outlineLevel="0" collapsed="false">
      <c r="A408" s="1" t="n">
        <v>100090</v>
      </c>
      <c r="B408" s="1" t="n">
        <v>51711</v>
      </c>
      <c r="C408" s="1" t="n">
        <v>18</v>
      </c>
      <c r="D408" s="1" t="n">
        <v>5</v>
      </c>
      <c r="E408" s="1" t="str">
        <f aca="false">VLOOKUP(C408,Меню!$A$2:$C$24,2,FALSE())</f>
        <v>Пицца Царская</v>
      </c>
      <c r="F408" s="1" t="n">
        <f aca="false">VLOOKUP(C408,Меню!$A$2:$C$24,3,FALSE())</f>
        <v>620</v>
      </c>
      <c r="G408" s="5" t="n">
        <f aca="false">VLOOKUP(B408,Заказы!$A$2:$E$2995,2,FALSE())</f>
        <v>44026</v>
      </c>
      <c r="H408" s="1" t="n">
        <f aca="false">VLOOKUP(B408,Заказы!$A$2:$E$2995,3,FALSE())</f>
        <v>464</v>
      </c>
      <c r="I408" s="1" t="str">
        <f aca="false">VLOOKUP(H408,Клиенты!$A$2:$E$1995,5,FALSE())</f>
        <v>г. Фокино</v>
      </c>
      <c r="J408" s="1" t="n">
        <f aca="false">VLOOKUP(B408,Заказы!$A$2:$E$2995,4,FALSE())</f>
        <v>0</v>
      </c>
      <c r="K408" s="1" t="str">
        <f aca="false">VLOOKUP(B408,Заказы!$A$2:$E$2995,5,FALSE())</f>
        <v>Не выполнено</v>
      </c>
      <c r="L408" s="1" t="n">
        <f aca="false">D408*F408+J408</f>
        <v>3100</v>
      </c>
      <c r="M408" s="1" t="n">
        <f aca="false">IF(AND(E408="Пицца Труслейка",I408="г. Москва",K408="Выполнено",G408&gt;=DATE(2020,7,1),G408&lt;DATE(2020,8,1)),L408,0)</f>
        <v>0</v>
      </c>
    </row>
    <row r="409" customFormat="false" ht="15" hidden="false" customHeight="true" outlineLevel="0" collapsed="false">
      <c r="A409" s="1" t="n">
        <v>101418</v>
      </c>
      <c r="B409" s="1" t="n">
        <v>50985</v>
      </c>
      <c r="C409" s="1" t="n">
        <v>2</v>
      </c>
      <c r="D409" s="1" t="n">
        <v>1</v>
      </c>
      <c r="E409" s="1" t="str">
        <f aca="false">VLOOKUP(C409,Меню!$A$2:$C$24,2,FALSE())</f>
        <v>Пицца Двойная пепперони</v>
      </c>
      <c r="F409" s="1" t="n">
        <f aca="false">VLOOKUP(C409,Меню!$A$2:$C$24,3,FALSE())</f>
        <v>575</v>
      </c>
      <c r="G409" s="5" t="n">
        <f aca="false">VLOOKUP(B409,Заказы!$A$2:$E$2995,2,FALSE())</f>
        <v>44045</v>
      </c>
      <c r="H409" s="1" t="n">
        <f aca="false">VLOOKUP(B409,Заказы!$A$2:$E$2995,3,FALSE())</f>
        <v>842</v>
      </c>
      <c r="I409" s="1" t="str">
        <f aca="false">VLOOKUP(H409,Клиенты!$A$2:$E$1995,5,FALSE())</f>
        <v>г. Подпорожье</v>
      </c>
      <c r="J409" s="1" t="n">
        <f aca="false">VLOOKUP(B409,Заказы!$A$2:$E$2995,4,FALSE())</f>
        <v>712</v>
      </c>
      <c r="K409" s="1" t="str">
        <f aca="false">VLOOKUP(B409,Заказы!$A$2:$E$2995,5,FALSE())</f>
        <v>Выполнено</v>
      </c>
      <c r="L409" s="1" t="n">
        <f aca="false">D409*F409+J409</f>
        <v>1287</v>
      </c>
      <c r="M409" s="1" t="n">
        <f aca="false">IF(AND(E409="Пицца Труслейка",I409="г. Москва",K409="Выполнено",G409&gt;=DATE(2020,7,1),G409&lt;DATE(2020,8,1)),L409,0)</f>
        <v>0</v>
      </c>
    </row>
    <row r="410" customFormat="false" ht="15" hidden="false" customHeight="true" outlineLevel="0" collapsed="false">
      <c r="A410" s="1" t="n">
        <v>100623</v>
      </c>
      <c r="B410" s="1" t="n">
        <v>50636</v>
      </c>
      <c r="C410" s="1" t="n">
        <v>22</v>
      </c>
      <c r="D410" s="1" t="n">
        <v>5</v>
      </c>
      <c r="E410" s="1" t="str">
        <f aca="false">VLOOKUP(C410,Меню!$A$2:$C$24,2,FALSE())</f>
        <v>Пицца с поркеттой и фриарелли</v>
      </c>
      <c r="F410" s="1" t="n">
        <f aca="false">VLOOKUP(C410,Меню!$A$2:$C$24,3,FALSE())</f>
        <v>550</v>
      </c>
      <c r="G410" s="5" t="n">
        <f aca="false">VLOOKUP(B410,Заказы!$A$2:$E$2995,2,FALSE())</f>
        <v>43983</v>
      </c>
      <c r="H410" s="1" t="n">
        <f aca="false">VLOOKUP(B410,Заказы!$A$2:$E$2995,3,FALSE())</f>
        <v>1799</v>
      </c>
      <c r="I410" s="1" t="str">
        <f aca="false">VLOOKUP(H410,Клиенты!$A$2:$E$1995,5,FALSE())</f>
        <v>г. Грайворон</v>
      </c>
      <c r="J410" s="1" t="n">
        <f aca="false">VLOOKUP(B410,Заказы!$A$2:$E$2995,4,FALSE())</f>
        <v>243</v>
      </c>
      <c r="K410" s="1" t="str">
        <f aca="false">VLOOKUP(B410,Заказы!$A$2:$E$2995,5,FALSE())</f>
        <v>Выполнено</v>
      </c>
      <c r="L410" s="1" t="n">
        <f aca="false">D410*F410+J410</f>
        <v>2993</v>
      </c>
      <c r="M410" s="1" t="n">
        <f aca="false">IF(AND(E410="Пицца Труслейка",I410="г. Москва",K410="Выполнено",G410&gt;=DATE(2020,7,1),G410&lt;DATE(2020,8,1)),L410,0)</f>
        <v>0</v>
      </c>
    </row>
    <row r="411" customFormat="false" ht="15" hidden="false" customHeight="true" outlineLevel="0" collapsed="false">
      <c r="A411" s="1" t="n">
        <v>100404</v>
      </c>
      <c r="B411" s="1" t="n">
        <v>51707</v>
      </c>
      <c r="C411" s="1" t="n">
        <v>4</v>
      </c>
      <c r="D411" s="1" t="n">
        <v>8</v>
      </c>
      <c r="E411" s="1" t="str">
        <f aca="false">VLOOKUP(C411,Меню!$A$2:$C$24,2,FALSE())</f>
        <v>Пицца Труслейка</v>
      </c>
      <c r="F411" s="1" t="n">
        <f aca="false">VLOOKUP(C411,Меню!$A$2:$C$24,3,FALSE())</f>
        <v>610</v>
      </c>
      <c r="G411" s="5" t="n">
        <f aca="false">VLOOKUP(B411,Заказы!$A$2:$E$2995,2,FALSE())</f>
        <v>44006</v>
      </c>
      <c r="H411" s="1" t="n">
        <f aca="false">VLOOKUP(B411,Заказы!$A$2:$E$2995,3,FALSE())</f>
        <v>386</v>
      </c>
      <c r="I411" s="1" t="str">
        <f aca="false">VLOOKUP(H411,Клиенты!$A$2:$E$1995,5,FALSE())</f>
        <v>г. Раменское</v>
      </c>
      <c r="J411" s="1" t="n">
        <f aca="false">VLOOKUP(B411,Заказы!$A$2:$E$2995,4,FALSE())</f>
        <v>839</v>
      </c>
      <c r="K411" s="1" t="str">
        <f aca="false">VLOOKUP(B411,Заказы!$A$2:$E$2995,5,FALSE())</f>
        <v>Выполнено</v>
      </c>
      <c r="L411" s="1" t="n">
        <f aca="false">D411*F411+J411</f>
        <v>5719</v>
      </c>
      <c r="M411" s="1" t="n">
        <f aca="false">IF(AND(E411="Пицца Труслейка",I411="г. Москва",K411="Выполнено",G411&gt;=DATE(2020,7,1),G411&lt;DATE(2020,8,1)),L411,0)</f>
        <v>0</v>
      </c>
    </row>
    <row r="412" customFormat="false" ht="15" hidden="false" customHeight="true" outlineLevel="0" collapsed="false">
      <c r="A412" s="1" t="n">
        <v>101696</v>
      </c>
      <c r="B412" s="1" t="n">
        <v>51116</v>
      </c>
      <c r="C412" s="1" t="n">
        <v>11</v>
      </c>
      <c r="D412" s="1" t="n">
        <v>1</v>
      </c>
      <c r="E412" s="1" t="str">
        <f aca="false">VLOOKUP(C412,Меню!$A$2:$C$24,2,FALSE())</f>
        <v>Пицца Песто</v>
      </c>
      <c r="F412" s="1" t="n">
        <f aca="false">VLOOKUP(C412,Меню!$A$2:$C$24,3,FALSE())</f>
        <v>530</v>
      </c>
      <c r="G412" s="5" t="n">
        <f aca="false">VLOOKUP(B412,Заказы!$A$2:$E$2995,2,FALSE())</f>
        <v>44009</v>
      </c>
      <c r="H412" s="1" t="n">
        <f aca="false">VLOOKUP(B412,Заказы!$A$2:$E$2995,3,FALSE())</f>
        <v>1369</v>
      </c>
      <c r="I412" s="1" t="str">
        <f aca="false">VLOOKUP(H412,Клиенты!$A$2:$E$1995,5,FALSE())</f>
        <v>г. Петровск</v>
      </c>
      <c r="J412" s="1" t="n">
        <f aca="false">VLOOKUP(B412,Заказы!$A$2:$E$2995,4,FALSE())</f>
        <v>542</v>
      </c>
      <c r="K412" s="1" t="str">
        <f aca="false">VLOOKUP(B412,Заказы!$A$2:$E$2995,5,FALSE())</f>
        <v>Выполнено</v>
      </c>
      <c r="L412" s="1" t="n">
        <f aca="false">D412*F412+J412</f>
        <v>1072</v>
      </c>
      <c r="M412" s="1" t="n">
        <f aca="false">IF(AND(E412="Пицца Труслейка",I412="г. Москва",K412="Выполнено",G412&gt;=DATE(2020,7,1),G412&lt;DATE(2020,8,1)),L412,0)</f>
        <v>0</v>
      </c>
    </row>
    <row r="413" customFormat="false" ht="15" hidden="false" customHeight="true" outlineLevel="0" collapsed="false">
      <c r="A413" s="1" t="n">
        <v>101382</v>
      </c>
      <c r="B413" s="1" t="n">
        <v>50349</v>
      </c>
      <c r="C413" s="1" t="n">
        <v>13</v>
      </c>
      <c r="D413" s="1" t="n">
        <v>6</v>
      </c>
      <c r="E413" s="1" t="str">
        <f aca="false">VLOOKUP(C413,Меню!$A$2:$C$24,2,FALSE())</f>
        <v>Пицца Сырная</v>
      </c>
      <c r="F413" s="1" t="n">
        <f aca="false">VLOOKUP(C413,Меню!$A$2:$C$24,3,FALSE())</f>
        <v>635</v>
      </c>
      <c r="G413" s="5" t="n">
        <f aca="false">VLOOKUP(B413,Заказы!$A$2:$E$2995,2,FALSE())</f>
        <v>44047</v>
      </c>
      <c r="H413" s="1" t="n">
        <f aca="false">VLOOKUP(B413,Заказы!$A$2:$E$2995,3,FALSE())</f>
        <v>1346</v>
      </c>
      <c r="I413" s="1" t="str">
        <f aca="false">VLOOKUP(H413,Клиенты!$A$2:$E$1995,5,FALSE())</f>
        <v>г. Козьмодемьянск</v>
      </c>
      <c r="J413" s="1" t="n">
        <f aca="false">VLOOKUP(B413,Заказы!$A$2:$E$2995,4,FALSE())</f>
        <v>0</v>
      </c>
      <c r="K413" s="1" t="str">
        <f aca="false">VLOOKUP(B413,Заказы!$A$2:$E$2995,5,FALSE())</f>
        <v>Не выполнено</v>
      </c>
      <c r="L413" s="1" t="n">
        <f aca="false">D413*F413+J413</f>
        <v>3810</v>
      </c>
      <c r="M413" s="1" t="n">
        <f aca="false">IF(AND(E413="Пицца Труслейка",I413="г. Москва",K413="Выполнено",G413&gt;=DATE(2020,7,1),G413&lt;DATE(2020,8,1)),L413,0)</f>
        <v>0</v>
      </c>
    </row>
    <row r="414" customFormat="false" ht="15" hidden="false" customHeight="true" outlineLevel="0" collapsed="false">
      <c r="A414" s="1" t="n">
        <v>100630</v>
      </c>
      <c r="B414" s="1" t="n">
        <v>50096</v>
      </c>
      <c r="C414" s="1" t="n">
        <v>8</v>
      </c>
      <c r="D414" s="1" t="n">
        <v>7</v>
      </c>
      <c r="E414" s="1" t="str">
        <f aca="false">VLOOKUP(C414,Меню!$A$2:$C$24,2,FALSE())</f>
        <v>Пицца Мясная</v>
      </c>
      <c r="F414" s="1" t="n">
        <f aca="false">VLOOKUP(C414,Меню!$A$2:$C$24,3,FALSE())</f>
        <v>615</v>
      </c>
      <c r="G414" s="5" t="n">
        <f aca="false">VLOOKUP(B414,Заказы!$A$2:$E$2995,2,FALSE())</f>
        <v>44058</v>
      </c>
      <c r="H414" s="1" t="n">
        <f aca="false">VLOOKUP(B414,Заказы!$A$2:$E$2995,3,FALSE())</f>
        <v>1016</v>
      </c>
      <c r="I414" s="1" t="str">
        <f aca="false">VLOOKUP(H414,Клиенты!$A$2:$E$1995,5,FALSE())</f>
        <v>г. Кедровый</v>
      </c>
      <c r="J414" s="1" t="n">
        <f aca="false">VLOOKUP(B414,Заказы!$A$2:$E$2995,4,FALSE())</f>
        <v>0</v>
      </c>
      <c r="K414" s="1" t="str">
        <f aca="false">VLOOKUP(B414,Заказы!$A$2:$E$2995,5,FALSE())</f>
        <v>Не выполнено</v>
      </c>
      <c r="L414" s="1" t="n">
        <f aca="false">D414*F414+J414</f>
        <v>4305</v>
      </c>
      <c r="M414" s="1" t="n">
        <f aca="false">IF(AND(E414="Пицца Труслейка",I414="г. Москва",K414="Выполнено",G414&gt;=DATE(2020,7,1),G414&lt;DATE(2020,8,1)),L414,0)</f>
        <v>0</v>
      </c>
    </row>
    <row r="415" customFormat="false" ht="15" hidden="false" customHeight="true" outlineLevel="0" collapsed="false">
      <c r="A415" s="1" t="n">
        <v>100100</v>
      </c>
      <c r="B415" s="1" t="n">
        <v>50055</v>
      </c>
      <c r="C415" s="1" t="n">
        <v>10</v>
      </c>
      <c r="D415" s="1" t="n">
        <v>7</v>
      </c>
      <c r="E415" s="1" t="str">
        <f aca="false">VLOOKUP(C415,Меню!$A$2:$C$24,2,FALSE())</f>
        <v>Пицца Пепперони фреш</v>
      </c>
      <c r="F415" s="1" t="n">
        <f aca="false">VLOOKUP(C415,Меню!$A$2:$C$24,3,FALSE())</f>
        <v>565</v>
      </c>
      <c r="G415" s="5" t="n">
        <f aca="false">VLOOKUP(B415,Заказы!$A$2:$E$2995,2,FALSE())</f>
        <v>44034</v>
      </c>
      <c r="H415" s="1" t="n">
        <f aca="false">VLOOKUP(B415,Заказы!$A$2:$E$2995,3,FALSE())</f>
        <v>1212</v>
      </c>
      <c r="I415" s="1" t="str">
        <f aca="false">VLOOKUP(H415,Клиенты!$A$2:$E$1995,5,FALSE())</f>
        <v>г. Будённовск</v>
      </c>
      <c r="J415" s="1" t="n">
        <f aca="false">VLOOKUP(B415,Заказы!$A$2:$E$2995,4,FALSE())</f>
        <v>0</v>
      </c>
      <c r="K415" s="1" t="str">
        <f aca="false">VLOOKUP(B415,Заказы!$A$2:$E$2995,5,FALSE())</f>
        <v>Не выполнено</v>
      </c>
      <c r="L415" s="1" t="n">
        <f aca="false">D415*F415+J415</f>
        <v>3955</v>
      </c>
      <c r="M415" s="1" t="n">
        <f aca="false">IF(AND(E415="Пицца Труслейка",I415="г. Москва",K415="Выполнено",G415&gt;=DATE(2020,7,1),G415&lt;DATE(2020,8,1)),L415,0)</f>
        <v>0</v>
      </c>
    </row>
    <row r="416" customFormat="false" ht="15" hidden="false" customHeight="true" outlineLevel="0" collapsed="false">
      <c r="A416" s="1" t="n">
        <v>100456</v>
      </c>
      <c r="B416" s="1" t="n">
        <v>50553</v>
      </c>
      <c r="C416" s="1" t="n">
        <v>2</v>
      </c>
      <c r="D416" s="1" t="n">
        <v>2</v>
      </c>
      <c r="E416" s="1" t="str">
        <f aca="false">VLOOKUP(C416,Меню!$A$2:$C$24,2,FALSE())</f>
        <v>Пицца Двойная пепперони</v>
      </c>
      <c r="F416" s="1" t="n">
        <f aca="false">VLOOKUP(C416,Меню!$A$2:$C$24,3,FALSE())</f>
        <v>575</v>
      </c>
      <c r="G416" s="5" t="n">
        <f aca="false">VLOOKUP(B416,Заказы!$A$2:$E$2995,2,FALSE())</f>
        <v>43988</v>
      </c>
      <c r="H416" s="1" t="n">
        <f aca="false">VLOOKUP(B416,Заказы!$A$2:$E$2995,3,FALSE())</f>
        <v>1275</v>
      </c>
      <c r="I416" s="1" t="str">
        <f aca="false">VLOOKUP(H416,Клиенты!$A$2:$E$1995,5,FALSE())</f>
        <v>г. Балаково</v>
      </c>
      <c r="J416" s="1" t="n">
        <f aca="false">VLOOKUP(B416,Заказы!$A$2:$E$2995,4,FALSE())</f>
        <v>0</v>
      </c>
      <c r="K416" s="1" t="str">
        <f aca="false">VLOOKUP(B416,Заказы!$A$2:$E$2995,5,FALSE())</f>
        <v>Не выполнено</v>
      </c>
      <c r="L416" s="1" t="n">
        <f aca="false">D416*F416+J416</f>
        <v>1150</v>
      </c>
      <c r="M416" s="1" t="n">
        <f aca="false">IF(AND(E416="Пицца Труслейка",I416="г. Москва",K416="Выполнено",G416&gt;=DATE(2020,7,1),G416&lt;DATE(2020,8,1)),L416,0)</f>
        <v>0</v>
      </c>
    </row>
    <row r="417" customFormat="false" ht="15" hidden="false" customHeight="true" outlineLevel="0" collapsed="false">
      <c r="A417" s="1" t="n">
        <v>100631</v>
      </c>
      <c r="B417" s="1" t="n">
        <v>51558</v>
      </c>
      <c r="C417" s="1" t="n">
        <v>22</v>
      </c>
      <c r="D417" s="1" t="n">
        <v>10</v>
      </c>
      <c r="E417" s="1" t="str">
        <f aca="false">VLOOKUP(C417,Меню!$A$2:$C$24,2,FALSE())</f>
        <v>Пицца с поркеттой и фриарелли</v>
      </c>
      <c r="F417" s="1" t="n">
        <f aca="false">VLOOKUP(C417,Меню!$A$2:$C$24,3,FALSE())</f>
        <v>550</v>
      </c>
      <c r="G417" s="5" t="n">
        <f aca="false">VLOOKUP(B417,Заказы!$A$2:$E$2995,2,FALSE())</f>
        <v>44027</v>
      </c>
      <c r="H417" s="1" t="n">
        <f aca="false">VLOOKUP(B417,Заказы!$A$2:$E$2995,3,FALSE())</f>
        <v>1074</v>
      </c>
      <c r="I417" s="1" t="str">
        <f aca="false">VLOOKUP(H417,Клиенты!$A$2:$E$1995,5,FALSE())</f>
        <v>г. Воронеж</v>
      </c>
      <c r="J417" s="1" t="n">
        <f aca="false">VLOOKUP(B417,Заказы!$A$2:$E$2995,4,FALSE())</f>
        <v>0</v>
      </c>
      <c r="K417" s="1" t="str">
        <f aca="false">VLOOKUP(B417,Заказы!$A$2:$E$2995,5,FALSE())</f>
        <v>Не выполнено</v>
      </c>
      <c r="L417" s="1" t="n">
        <f aca="false">D417*F417+J417</f>
        <v>5500</v>
      </c>
      <c r="M417" s="1" t="n">
        <f aca="false">IF(AND(E417="Пицца Труслейка",I417="г. Москва",K417="Выполнено",G417&gt;=DATE(2020,7,1),G417&lt;DATE(2020,8,1)),L417,0)</f>
        <v>0</v>
      </c>
    </row>
    <row r="418" customFormat="false" ht="15" hidden="false" customHeight="true" outlineLevel="0" collapsed="false">
      <c r="A418" s="1" t="n">
        <v>101155</v>
      </c>
      <c r="B418" s="1" t="n">
        <v>50395</v>
      </c>
      <c r="C418" s="1" t="n">
        <v>2</v>
      </c>
      <c r="D418" s="1" t="n">
        <v>10</v>
      </c>
      <c r="E418" s="1" t="str">
        <f aca="false">VLOOKUP(C418,Меню!$A$2:$C$24,2,FALSE())</f>
        <v>Пицца Двойная пепперони</v>
      </c>
      <c r="F418" s="1" t="n">
        <f aca="false">VLOOKUP(C418,Меню!$A$2:$C$24,3,FALSE())</f>
        <v>575</v>
      </c>
      <c r="G418" s="5" t="n">
        <f aca="false">VLOOKUP(B418,Заказы!$A$2:$E$2995,2,FALSE())</f>
        <v>44031</v>
      </c>
      <c r="H418" s="1" t="n">
        <f aca="false">VLOOKUP(B418,Заказы!$A$2:$E$2995,3,FALSE())</f>
        <v>1364</v>
      </c>
      <c r="I418" s="1" t="str">
        <f aca="false">VLOOKUP(H418,Клиенты!$A$2:$E$1995,5,FALSE())</f>
        <v>г. Клинцы</v>
      </c>
      <c r="J418" s="1" t="n">
        <f aca="false">VLOOKUP(B418,Заказы!$A$2:$E$2995,4,FALSE())</f>
        <v>563</v>
      </c>
      <c r="K418" s="1" t="str">
        <f aca="false">VLOOKUP(B418,Заказы!$A$2:$E$2995,5,FALSE())</f>
        <v>Выполнено</v>
      </c>
      <c r="L418" s="1" t="n">
        <f aca="false">D418*F418+J418</f>
        <v>6313</v>
      </c>
      <c r="M418" s="1" t="n">
        <f aca="false">IF(AND(E418="Пицца Труслейка",I418="г. Москва",K418="Выполнено",G418&gt;=DATE(2020,7,1),G418&lt;DATE(2020,8,1)),L418,0)</f>
        <v>0</v>
      </c>
    </row>
    <row r="419" customFormat="false" ht="15" hidden="false" customHeight="true" outlineLevel="0" collapsed="false">
      <c r="A419" s="1" t="n">
        <v>100358</v>
      </c>
      <c r="B419" s="1" t="n">
        <v>51443</v>
      </c>
      <c r="C419" s="1" t="n">
        <v>7</v>
      </c>
      <c r="D419" s="1" t="n">
        <v>4</v>
      </c>
      <c r="E419" s="1" t="str">
        <f aca="false">VLOOKUP(C419,Меню!$A$2:$C$24,2,FALSE())</f>
        <v>Пицца Карбонара</v>
      </c>
      <c r="F419" s="1" t="n">
        <f aca="false">VLOOKUP(C419,Меню!$A$2:$C$24,3,FALSE())</f>
        <v>625</v>
      </c>
      <c r="G419" s="5" t="n">
        <f aca="false">VLOOKUP(B419,Заказы!$A$2:$E$2995,2,FALSE())</f>
        <v>44026</v>
      </c>
      <c r="H419" s="1" t="n">
        <f aca="false">VLOOKUP(B419,Заказы!$A$2:$E$2995,3,FALSE())</f>
        <v>830</v>
      </c>
      <c r="I419" s="1" t="str">
        <f aca="false">VLOOKUP(H419,Клиенты!$A$2:$E$1995,5,FALSE())</f>
        <v>г. Москва</v>
      </c>
      <c r="J419" s="1" t="n">
        <f aca="false">VLOOKUP(B419,Заказы!$A$2:$E$2995,4,FALSE())</f>
        <v>0</v>
      </c>
      <c r="K419" s="1" t="str">
        <f aca="false">VLOOKUP(B419,Заказы!$A$2:$E$2995,5,FALSE())</f>
        <v>Не выполнено</v>
      </c>
      <c r="L419" s="1" t="n">
        <f aca="false">D419*F419+J419</f>
        <v>2500</v>
      </c>
      <c r="M419" s="1" t="n">
        <f aca="false">IF(AND(E419="Пицца Труслейка",I419="г. Москва",K419="Выполнено",G419&gt;=DATE(2020,7,1),G419&lt;DATE(2020,8,1)),L419,0)</f>
        <v>0</v>
      </c>
    </row>
    <row r="420" customFormat="false" ht="15" hidden="false" customHeight="true" outlineLevel="0" collapsed="false">
      <c r="A420" s="1" t="n">
        <v>101772</v>
      </c>
      <c r="B420" s="1" t="n">
        <v>50383</v>
      </c>
      <c r="C420" s="1" t="n">
        <v>14</v>
      </c>
      <c r="D420" s="1" t="n">
        <v>10</v>
      </c>
      <c r="E420" s="1" t="str">
        <f aca="false">VLOOKUP(C420,Меню!$A$2:$C$24,2,FALSE())</f>
        <v>Пицца Сырный цыпленок</v>
      </c>
      <c r="F420" s="1" t="n">
        <f aca="false">VLOOKUP(C420,Меню!$A$2:$C$24,3,FALSE())</f>
        <v>555</v>
      </c>
      <c r="G420" s="5" t="n">
        <f aca="false">VLOOKUP(B420,Заказы!$A$2:$E$2995,2,FALSE())</f>
        <v>44049</v>
      </c>
      <c r="H420" s="1" t="n">
        <f aca="false">VLOOKUP(B420,Заказы!$A$2:$E$2995,3,FALSE())</f>
        <v>161</v>
      </c>
      <c r="I420" s="1" t="str">
        <f aca="false">VLOOKUP(H420,Клиенты!$A$2:$E$1995,5,FALSE())</f>
        <v>г. Татарск</v>
      </c>
      <c r="J420" s="1" t="n">
        <f aca="false">VLOOKUP(B420,Заказы!$A$2:$E$2995,4,FALSE())</f>
        <v>0</v>
      </c>
      <c r="K420" s="1" t="str">
        <f aca="false">VLOOKUP(B420,Заказы!$A$2:$E$2995,5,FALSE())</f>
        <v>Не выполнено</v>
      </c>
      <c r="L420" s="1" t="n">
        <f aca="false">D420*F420+J420</f>
        <v>5550</v>
      </c>
      <c r="M420" s="1" t="n">
        <f aca="false">IF(AND(E420="Пицца Труслейка",I420="г. Москва",K420="Выполнено",G420&gt;=DATE(2020,7,1),G420&lt;DATE(2020,8,1)),L420,0)</f>
        <v>0</v>
      </c>
    </row>
    <row r="421" customFormat="false" ht="15" hidden="false" customHeight="true" outlineLevel="0" collapsed="false">
      <c r="A421" s="1" t="n">
        <v>101991</v>
      </c>
      <c r="B421" s="1" t="n">
        <v>50918</v>
      </c>
      <c r="C421" s="1" t="n">
        <v>4</v>
      </c>
      <c r="D421" s="1" t="n">
        <v>1</v>
      </c>
      <c r="E421" s="1" t="str">
        <f aca="false">VLOOKUP(C421,Меню!$A$2:$C$24,2,FALSE())</f>
        <v>Пицца Труслейка</v>
      </c>
      <c r="F421" s="1" t="n">
        <f aca="false">VLOOKUP(C421,Меню!$A$2:$C$24,3,FALSE())</f>
        <v>610</v>
      </c>
      <c r="G421" s="5" t="n">
        <f aca="false">VLOOKUP(B421,Заказы!$A$2:$E$2995,2,FALSE())</f>
        <v>44020</v>
      </c>
      <c r="H421" s="1" t="n">
        <f aca="false">VLOOKUP(B421,Заказы!$A$2:$E$2995,3,FALSE())</f>
        <v>1925</v>
      </c>
      <c r="I421" s="1" t="str">
        <f aca="false">VLOOKUP(H421,Клиенты!$A$2:$E$1995,5,FALSE())</f>
        <v>г. Жиздра</v>
      </c>
      <c r="J421" s="1" t="n">
        <f aca="false">VLOOKUP(B421,Заказы!$A$2:$E$2995,4,FALSE())</f>
        <v>0</v>
      </c>
      <c r="K421" s="1" t="str">
        <f aca="false">VLOOKUP(B421,Заказы!$A$2:$E$2995,5,FALSE())</f>
        <v>Не выполнено</v>
      </c>
      <c r="L421" s="1" t="n">
        <f aca="false">D421*F421+J421</f>
        <v>610</v>
      </c>
      <c r="M421" s="1" t="n">
        <f aca="false">IF(AND(E421="Пицца Труслейка",I421="г. Москва",K421="Выполнено",G421&gt;=DATE(2020,7,1),G421&lt;DATE(2020,8,1)),L421,0)</f>
        <v>0</v>
      </c>
    </row>
    <row r="422" customFormat="false" ht="15" hidden="false" customHeight="true" outlineLevel="0" collapsed="false">
      <c r="A422" s="1" t="n">
        <v>101187</v>
      </c>
      <c r="B422" s="1" t="n">
        <v>51288</v>
      </c>
      <c r="C422" s="1" t="n">
        <v>12</v>
      </c>
      <c r="D422" s="1" t="n">
        <v>8</v>
      </c>
      <c r="E422" s="1" t="str">
        <f aca="false">VLOOKUP(C422,Меню!$A$2:$C$24,2,FALSE())</f>
        <v>Пицца Салями с трюфелем</v>
      </c>
      <c r="F422" s="1" t="n">
        <f aca="false">VLOOKUP(C422,Меню!$A$2:$C$24,3,FALSE())</f>
        <v>525</v>
      </c>
      <c r="G422" s="5" t="n">
        <f aca="false">VLOOKUP(B422,Заказы!$A$2:$E$2995,2,FALSE())</f>
        <v>44028</v>
      </c>
      <c r="H422" s="1" t="n">
        <f aca="false">VLOOKUP(B422,Заказы!$A$2:$E$2995,3,FALSE())</f>
        <v>364</v>
      </c>
      <c r="I422" s="1" t="str">
        <f aca="false">VLOOKUP(H422,Клиенты!$A$2:$E$1995,5,FALSE())</f>
        <v>г. Шуя</v>
      </c>
      <c r="J422" s="1" t="n">
        <f aca="false">VLOOKUP(B422,Заказы!$A$2:$E$2995,4,FALSE())</f>
        <v>337</v>
      </c>
      <c r="K422" s="1" t="str">
        <f aca="false">VLOOKUP(B422,Заказы!$A$2:$E$2995,5,FALSE())</f>
        <v>Выполнено</v>
      </c>
      <c r="L422" s="1" t="n">
        <f aca="false">D422*F422+J422</f>
        <v>4537</v>
      </c>
      <c r="M422" s="1" t="n">
        <f aca="false">IF(AND(E422="Пицца Труслейка",I422="г. Москва",K422="Выполнено",G422&gt;=DATE(2020,7,1),G422&lt;DATE(2020,8,1)),L422,0)</f>
        <v>0</v>
      </c>
    </row>
    <row r="423" customFormat="false" ht="15" hidden="false" customHeight="true" outlineLevel="0" collapsed="false">
      <c r="A423" s="1" t="n">
        <v>101919</v>
      </c>
      <c r="B423" s="1" t="n">
        <v>51486</v>
      </c>
      <c r="C423" s="1" t="n">
        <v>13</v>
      </c>
      <c r="D423" s="1" t="n">
        <v>5</v>
      </c>
      <c r="E423" s="1" t="str">
        <f aca="false">VLOOKUP(C423,Меню!$A$2:$C$24,2,FALSE())</f>
        <v>Пицца Сырная</v>
      </c>
      <c r="F423" s="1" t="n">
        <f aca="false">VLOOKUP(C423,Меню!$A$2:$C$24,3,FALSE())</f>
        <v>635</v>
      </c>
      <c r="G423" s="5" t="n">
        <f aca="false">VLOOKUP(B423,Заказы!$A$2:$E$2995,2,FALSE())</f>
        <v>44032</v>
      </c>
      <c r="H423" s="1" t="n">
        <f aca="false">VLOOKUP(B423,Заказы!$A$2:$E$2995,3,FALSE())</f>
        <v>567</v>
      </c>
      <c r="I423" s="1" t="str">
        <f aca="false">VLOOKUP(H423,Клиенты!$A$2:$E$1995,5,FALSE())</f>
        <v>г. Шиханы</v>
      </c>
      <c r="J423" s="1" t="n">
        <f aca="false">VLOOKUP(B423,Заказы!$A$2:$E$2995,4,FALSE())</f>
        <v>0</v>
      </c>
      <c r="K423" s="1" t="str">
        <f aca="false">VLOOKUP(B423,Заказы!$A$2:$E$2995,5,FALSE())</f>
        <v>Не выполнено</v>
      </c>
      <c r="L423" s="1" t="n">
        <f aca="false">D423*F423+J423</f>
        <v>3175</v>
      </c>
      <c r="M423" s="1" t="n">
        <f aca="false">IF(AND(E423="Пицца Труслейка",I423="г. Москва",K423="Выполнено",G423&gt;=DATE(2020,7,1),G423&lt;DATE(2020,8,1)),L423,0)</f>
        <v>0</v>
      </c>
    </row>
    <row r="424" customFormat="false" ht="15" hidden="false" customHeight="true" outlineLevel="0" collapsed="false">
      <c r="A424" s="1" t="n">
        <v>101770</v>
      </c>
      <c r="B424" s="1" t="n">
        <v>50148</v>
      </c>
      <c r="C424" s="1" t="n">
        <v>10</v>
      </c>
      <c r="D424" s="1" t="n">
        <v>2</v>
      </c>
      <c r="E424" s="1" t="str">
        <f aca="false">VLOOKUP(C424,Меню!$A$2:$C$24,2,FALSE())</f>
        <v>Пицца Пепперони фреш</v>
      </c>
      <c r="F424" s="1" t="n">
        <f aca="false">VLOOKUP(C424,Меню!$A$2:$C$24,3,FALSE())</f>
        <v>565</v>
      </c>
      <c r="G424" s="5" t="n">
        <f aca="false">VLOOKUP(B424,Заказы!$A$2:$E$2995,2,FALSE())</f>
        <v>44057</v>
      </c>
      <c r="H424" s="1" t="n">
        <f aca="false">VLOOKUP(B424,Заказы!$A$2:$E$2995,3,FALSE())</f>
        <v>1081</v>
      </c>
      <c r="I424" s="1" t="str">
        <f aca="false">VLOOKUP(H424,Клиенты!$A$2:$E$1995,5,FALSE())</f>
        <v>г. Ирбит</v>
      </c>
      <c r="J424" s="1" t="n">
        <f aca="false">VLOOKUP(B424,Заказы!$A$2:$E$2995,4,FALSE())</f>
        <v>0</v>
      </c>
      <c r="K424" s="1" t="str">
        <f aca="false">VLOOKUP(B424,Заказы!$A$2:$E$2995,5,FALSE())</f>
        <v>Не выполнено</v>
      </c>
      <c r="L424" s="1" t="n">
        <f aca="false">D424*F424+J424</f>
        <v>1130</v>
      </c>
      <c r="M424" s="1" t="n">
        <f aca="false">IF(AND(E424="Пицца Труслейка",I424="г. Москва",K424="Выполнено",G424&gt;=DATE(2020,7,1),G424&lt;DATE(2020,8,1)),L424,0)</f>
        <v>0</v>
      </c>
    </row>
    <row r="425" customFormat="false" ht="15" hidden="false" customHeight="true" outlineLevel="0" collapsed="false">
      <c r="A425" s="1" t="n">
        <v>100109</v>
      </c>
      <c r="B425" s="1" t="n">
        <v>51308</v>
      </c>
      <c r="C425" s="1" t="n">
        <v>9</v>
      </c>
      <c r="D425" s="1" t="n">
        <v>8</v>
      </c>
      <c r="E425" s="1" t="str">
        <f aca="false">VLOOKUP(C425,Меню!$A$2:$C$24,2,FALSE())</f>
        <v>Пицца Острая с беконом</v>
      </c>
      <c r="F425" s="1" t="n">
        <f aca="false">VLOOKUP(C425,Меню!$A$2:$C$24,3,FALSE())</f>
        <v>540</v>
      </c>
      <c r="G425" s="5" t="n">
        <f aca="false">VLOOKUP(B425,Заказы!$A$2:$E$2995,2,FALSE())</f>
        <v>44010</v>
      </c>
      <c r="H425" s="1" t="n">
        <f aca="false">VLOOKUP(B425,Заказы!$A$2:$E$2995,3,FALSE())</f>
        <v>1407</v>
      </c>
      <c r="I425" s="1" t="str">
        <f aca="false">VLOOKUP(H425,Клиенты!$A$2:$E$1995,5,FALSE())</f>
        <v>г. Гаврилов-Ям</v>
      </c>
      <c r="J425" s="1" t="n">
        <f aca="false">VLOOKUP(B425,Заказы!$A$2:$E$2995,4,FALSE())</f>
        <v>307</v>
      </c>
      <c r="K425" s="1" t="str">
        <f aca="false">VLOOKUP(B425,Заказы!$A$2:$E$2995,5,FALSE())</f>
        <v>Выполнено</v>
      </c>
      <c r="L425" s="1" t="n">
        <f aca="false">D425*F425+J425</f>
        <v>4627</v>
      </c>
      <c r="M425" s="1" t="n">
        <f aca="false">IF(AND(E425="Пицца Труслейка",I425="г. Москва",K425="Выполнено",G425&gt;=DATE(2020,7,1),G425&lt;DATE(2020,8,1)),L425,0)</f>
        <v>0</v>
      </c>
    </row>
    <row r="426" customFormat="false" ht="15" hidden="false" customHeight="true" outlineLevel="0" collapsed="false">
      <c r="A426" s="1" t="n">
        <v>100016</v>
      </c>
      <c r="B426" s="1" t="n">
        <v>51553</v>
      </c>
      <c r="C426" s="1" t="n">
        <v>21</v>
      </c>
      <c r="D426" s="1" t="n">
        <v>6</v>
      </c>
      <c r="E426" s="1" t="str">
        <f aca="false">VLOOKUP(C426,Меню!$A$2:$C$24,2,FALSE())</f>
        <v>Пицца с креветками и цукини</v>
      </c>
      <c r="F426" s="1" t="n">
        <f aca="false">VLOOKUP(C426,Меню!$A$2:$C$24,3,FALSE())</f>
        <v>600</v>
      </c>
      <c r="G426" s="5" t="n">
        <f aca="false">VLOOKUP(B426,Заказы!$A$2:$E$2995,2,FALSE())</f>
        <v>44055</v>
      </c>
      <c r="H426" s="1" t="n">
        <f aca="false">VLOOKUP(B426,Заказы!$A$2:$E$2995,3,FALSE())</f>
        <v>1128</v>
      </c>
      <c r="I426" s="1" t="str">
        <f aca="false">VLOOKUP(H426,Клиенты!$A$2:$E$1995,5,FALSE())</f>
        <v>г. Спас-Деменск</v>
      </c>
      <c r="J426" s="1" t="n">
        <f aca="false">VLOOKUP(B426,Заказы!$A$2:$E$2995,4,FALSE())</f>
        <v>0</v>
      </c>
      <c r="K426" s="1" t="str">
        <f aca="false">VLOOKUP(B426,Заказы!$A$2:$E$2995,5,FALSE())</f>
        <v>Не выполнено</v>
      </c>
      <c r="L426" s="1" t="n">
        <f aca="false">D426*F426+J426</f>
        <v>3600</v>
      </c>
      <c r="M426" s="1" t="n">
        <f aca="false">IF(AND(E426="Пицца Труслейка",I426="г. Москва",K426="Выполнено",G426&gt;=DATE(2020,7,1),G426&lt;DATE(2020,8,1)),L426,0)</f>
        <v>0</v>
      </c>
    </row>
    <row r="427" customFormat="false" ht="15" hidden="false" customHeight="true" outlineLevel="0" collapsed="false">
      <c r="A427" s="1" t="n">
        <v>100746</v>
      </c>
      <c r="B427" s="1" t="n">
        <v>50063</v>
      </c>
      <c r="C427" s="1" t="n">
        <v>19</v>
      </c>
      <c r="D427" s="1" t="n">
        <v>4</v>
      </c>
      <c r="E427" s="1" t="str">
        <f aca="false">VLOOKUP(C427,Меню!$A$2:$C$24,2,FALSE())</f>
        <v>Пицца Цезарь</v>
      </c>
      <c r="F427" s="1" t="n">
        <f aca="false">VLOOKUP(C427,Меню!$A$2:$C$24,3,FALSE())</f>
        <v>630</v>
      </c>
      <c r="G427" s="5" t="n">
        <f aca="false">VLOOKUP(B427,Заказы!$A$2:$E$2995,2,FALSE())</f>
        <v>44043</v>
      </c>
      <c r="H427" s="1" t="n">
        <f aca="false">VLOOKUP(B427,Заказы!$A$2:$E$2995,3,FALSE())</f>
        <v>1429</v>
      </c>
      <c r="I427" s="1" t="str">
        <f aca="false">VLOOKUP(H427,Клиенты!$A$2:$E$1995,5,FALSE())</f>
        <v>г. Кинель</v>
      </c>
      <c r="J427" s="1" t="n">
        <f aca="false">VLOOKUP(B427,Заказы!$A$2:$E$2995,4,FALSE())</f>
        <v>263</v>
      </c>
      <c r="K427" s="1" t="str">
        <f aca="false">VLOOKUP(B427,Заказы!$A$2:$E$2995,5,FALSE())</f>
        <v>Выполнено</v>
      </c>
      <c r="L427" s="1" t="n">
        <f aca="false">D427*F427+J427</f>
        <v>2783</v>
      </c>
      <c r="M427" s="1" t="n">
        <f aca="false">IF(AND(E427="Пицца Труслейка",I427="г. Москва",K427="Выполнено",G427&gt;=DATE(2020,7,1),G427&lt;DATE(2020,8,1)),L427,0)</f>
        <v>0</v>
      </c>
    </row>
    <row r="428" customFormat="false" ht="15" hidden="false" customHeight="true" outlineLevel="0" collapsed="false">
      <c r="A428" s="1" t="n">
        <v>101894</v>
      </c>
      <c r="B428" s="1" t="n">
        <v>51868</v>
      </c>
      <c r="C428" s="1" t="n">
        <v>10</v>
      </c>
      <c r="D428" s="1" t="n">
        <v>4</v>
      </c>
      <c r="E428" s="1" t="str">
        <f aca="false">VLOOKUP(C428,Меню!$A$2:$C$24,2,FALSE())</f>
        <v>Пицца Пепперони фреш</v>
      </c>
      <c r="F428" s="1" t="n">
        <f aca="false">VLOOKUP(C428,Меню!$A$2:$C$24,3,FALSE())</f>
        <v>565</v>
      </c>
      <c r="G428" s="5" t="n">
        <f aca="false">VLOOKUP(B428,Заказы!$A$2:$E$2995,2,FALSE())</f>
        <v>44014</v>
      </c>
      <c r="H428" s="1" t="n">
        <f aca="false">VLOOKUP(B428,Заказы!$A$2:$E$2995,3,FALSE())</f>
        <v>84</v>
      </c>
      <c r="I428" s="1" t="str">
        <f aca="false">VLOOKUP(H428,Клиенты!$A$2:$E$1995,5,FALSE())</f>
        <v>г. Белово</v>
      </c>
      <c r="J428" s="1" t="n">
        <f aca="false">VLOOKUP(B428,Заказы!$A$2:$E$2995,4,FALSE())</f>
        <v>0</v>
      </c>
      <c r="K428" s="1" t="str">
        <f aca="false">VLOOKUP(B428,Заказы!$A$2:$E$2995,5,FALSE())</f>
        <v>Не выполнено</v>
      </c>
      <c r="L428" s="1" t="n">
        <f aca="false">D428*F428+J428</f>
        <v>2260</v>
      </c>
      <c r="M428" s="1" t="n">
        <f aca="false">IF(AND(E428="Пицца Труслейка",I428="г. Москва",K428="Выполнено",G428&gt;=DATE(2020,7,1),G428&lt;DATE(2020,8,1)),L428,0)</f>
        <v>0</v>
      </c>
    </row>
    <row r="429" customFormat="false" ht="15" hidden="false" customHeight="true" outlineLevel="0" collapsed="false">
      <c r="A429" s="1" t="n">
        <v>101235</v>
      </c>
      <c r="B429" s="1" t="n">
        <v>51814</v>
      </c>
      <c r="C429" s="1" t="n">
        <v>21</v>
      </c>
      <c r="D429" s="1" t="n">
        <v>6</v>
      </c>
      <c r="E429" s="1" t="str">
        <f aca="false">VLOOKUP(C429,Меню!$A$2:$C$24,2,FALSE())</f>
        <v>Пицца с креветками и цукини</v>
      </c>
      <c r="F429" s="1" t="n">
        <f aca="false">VLOOKUP(C429,Меню!$A$2:$C$24,3,FALSE())</f>
        <v>600</v>
      </c>
      <c r="G429" s="5" t="n">
        <f aca="false">VLOOKUP(B429,Заказы!$A$2:$E$2995,2,FALSE())</f>
        <v>43999</v>
      </c>
      <c r="H429" s="1" t="n">
        <f aca="false">VLOOKUP(B429,Заказы!$A$2:$E$2995,3,FALSE())</f>
        <v>598</v>
      </c>
      <c r="I429" s="1" t="str">
        <f aca="false">VLOOKUP(H429,Клиенты!$A$2:$E$1995,5,FALSE())</f>
        <v>г. Калуга</v>
      </c>
      <c r="J429" s="1" t="n">
        <f aca="false">VLOOKUP(B429,Заказы!$A$2:$E$2995,4,FALSE())</f>
        <v>0</v>
      </c>
      <c r="K429" s="1" t="str">
        <f aca="false">VLOOKUP(B429,Заказы!$A$2:$E$2995,5,FALSE())</f>
        <v>Не выполнено</v>
      </c>
      <c r="L429" s="1" t="n">
        <f aca="false">D429*F429+J429</f>
        <v>3600</v>
      </c>
      <c r="M429" s="1" t="n">
        <f aca="false">IF(AND(E429="Пицца Труслейка",I429="г. Москва",K429="Выполнено",G429&gt;=DATE(2020,7,1),G429&lt;DATE(2020,8,1)),L429,0)</f>
        <v>0</v>
      </c>
    </row>
    <row r="430" customFormat="false" ht="15" hidden="false" customHeight="true" outlineLevel="0" collapsed="false">
      <c r="A430" s="1" t="n">
        <v>101465</v>
      </c>
      <c r="B430" s="1" t="n">
        <v>50272</v>
      </c>
      <c r="C430" s="1" t="n">
        <v>12</v>
      </c>
      <c r="D430" s="1" t="n">
        <v>10</v>
      </c>
      <c r="E430" s="1" t="str">
        <f aca="false">VLOOKUP(C430,Меню!$A$2:$C$24,2,FALSE())</f>
        <v>Пицца Салями с трюфелем</v>
      </c>
      <c r="F430" s="1" t="n">
        <f aca="false">VLOOKUP(C430,Меню!$A$2:$C$24,3,FALSE())</f>
        <v>525</v>
      </c>
      <c r="G430" s="5" t="n">
        <f aca="false">VLOOKUP(B430,Заказы!$A$2:$E$2995,2,FALSE())</f>
        <v>44035</v>
      </c>
      <c r="H430" s="1" t="n">
        <f aca="false">VLOOKUP(B430,Заказы!$A$2:$E$2995,3,FALSE())</f>
        <v>1202</v>
      </c>
      <c r="I430" s="1" t="str">
        <f aca="false">VLOOKUP(H430,Клиенты!$A$2:$E$1995,5,FALSE())</f>
        <v>г. Сибай</v>
      </c>
      <c r="J430" s="1" t="n">
        <f aca="false">VLOOKUP(B430,Заказы!$A$2:$E$2995,4,FALSE())</f>
        <v>135</v>
      </c>
      <c r="K430" s="1" t="str">
        <f aca="false">VLOOKUP(B430,Заказы!$A$2:$E$2995,5,FALSE())</f>
        <v>Выполнено</v>
      </c>
      <c r="L430" s="1" t="n">
        <f aca="false">D430*F430+J430</f>
        <v>5385</v>
      </c>
      <c r="M430" s="1" t="n">
        <f aca="false">IF(AND(E430="Пицца Труслейка",I430="г. Москва",K430="Выполнено",G430&gt;=DATE(2020,7,1),G430&lt;DATE(2020,8,1)),L430,0)</f>
        <v>0</v>
      </c>
    </row>
    <row r="431" customFormat="false" ht="15" hidden="false" customHeight="true" outlineLevel="0" collapsed="false">
      <c r="A431" s="1" t="n">
        <v>100785</v>
      </c>
      <c r="B431" s="1" t="n">
        <v>50279</v>
      </c>
      <c r="C431" s="1" t="n">
        <v>4</v>
      </c>
      <c r="D431" s="1" t="n">
        <v>5</v>
      </c>
      <c r="E431" s="1" t="str">
        <f aca="false">VLOOKUP(C431,Меню!$A$2:$C$24,2,FALSE())</f>
        <v>Пицца Труслейка</v>
      </c>
      <c r="F431" s="1" t="n">
        <f aca="false">VLOOKUP(C431,Меню!$A$2:$C$24,3,FALSE())</f>
        <v>610</v>
      </c>
      <c r="G431" s="5" t="n">
        <f aca="false">VLOOKUP(B431,Заказы!$A$2:$E$2995,2,FALSE())</f>
        <v>43996</v>
      </c>
      <c r="H431" s="1" t="n">
        <f aca="false">VLOOKUP(B431,Заказы!$A$2:$E$2995,3,FALSE())</f>
        <v>63</v>
      </c>
      <c r="I431" s="1" t="str">
        <f aca="false">VLOOKUP(H431,Клиенты!$A$2:$E$1995,5,FALSE())</f>
        <v>г. Аргун</v>
      </c>
      <c r="J431" s="1" t="n">
        <f aca="false">VLOOKUP(B431,Заказы!$A$2:$E$2995,4,FALSE())</f>
        <v>0</v>
      </c>
      <c r="K431" s="1" t="str">
        <f aca="false">VLOOKUP(B431,Заказы!$A$2:$E$2995,5,FALSE())</f>
        <v>Не выполнено</v>
      </c>
      <c r="L431" s="1" t="n">
        <f aca="false">D431*F431+J431</f>
        <v>3050</v>
      </c>
      <c r="M431" s="1" t="n">
        <f aca="false">IF(AND(E431="Пицца Труслейка",I431="г. Москва",K431="Выполнено",G431&gt;=DATE(2020,7,1),G431&lt;DATE(2020,8,1)),L431,0)</f>
        <v>0</v>
      </c>
    </row>
    <row r="432" customFormat="false" ht="15" hidden="false" customHeight="true" outlineLevel="0" collapsed="false">
      <c r="A432" s="1" t="n">
        <v>101391</v>
      </c>
      <c r="B432" s="1" t="n">
        <v>51501</v>
      </c>
      <c r="C432" s="1" t="n">
        <v>6</v>
      </c>
      <c r="D432" s="1" t="n">
        <v>7</v>
      </c>
      <c r="E432" s="1" t="str">
        <f aca="false">VLOOKUP(C432,Меню!$A$2:$C$24,2,FALSE())</f>
        <v>Пицца Капричиоза</v>
      </c>
      <c r="F432" s="1" t="n">
        <f aca="false">VLOOKUP(C432,Меню!$A$2:$C$24,3,FALSE())</f>
        <v>570</v>
      </c>
      <c r="G432" s="5" t="n">
        <f aca="false">VLOOKUP(B432,Заказы!$A$2:$E$2995,2,FALSE())</f>
        <v>44013</v>
      </c>
      <c r="H432" s="1" t="n">
        <f aca="false">VLOOKUP(B432,Заказы!$A$2:$E$2995,3,FALSE())</f>
        <v>1633</v>
      </c>
      <c r="I432" s="1" t="str">
        <f aca="false">VLOOKUP(H432,Клиенты!$A$2:$E$1995,5,FALSE())</f>
        <v>г. Борзя</v>
      </c>
      <c r="J432" s="1" t="n">
        <f aca="false">VLOOKUP(B432,Заказы!$A$2:$E$2995,4,FALSE())</f>
        <v>617</v>
      </c>
      <c r="K432" s="1" t="str">
        <f aca="false">VLOOKUP(B432,Заказы!$A$2:$E$2995,5,FALSE())</f>
        <v>Выполнено</v>
      </c>
      <c r="L432" s="1" t="n">
        <f aca="false">D432*F432+J432</f>
        <v>4607</v>
      </c>
      <c r="M432" s="1" t="n">
        <f aca="false">IF(AND(E432="Пицца Труслейка",I432="г. Москва",K432="Выполнено",G432&gt;=DATE(2020,7,1),G432&lt;DATE(2020,8,1)),L432,0)</f>
        <v>0</v>
      </c>
    </row>
    <row r="433" customFormat="false" ht="15" hidden="false" customHeight="true" outlineLevel="0" collapsed="false">
      <c r="A433" s="1" t="n">
        <v>100176</v>
      </c>
      <c r="B433" s="1" t="n">
        <v>51045</v>
      </c>
      <c r="C433" s="1" t="n">
        <v>9</v>
      </c>
      <c r="D433" s="1" t="n">
        <v>7</v>
      </c>
      <c r="E433" s="1" t="str">
        <f aca="false">VLOOKUP(C433,Меню!$A$2:$C$24,2,FALSE())</f>
        <v>Пицца Острая с беконом</v>
      </c>
      <c r="F433" s="1" t="n">
        <f aca="false">VLOOKUP(C433,Меню!$A$2:$C$24,3,FALSE())</f>
        <v>540</v>
      </c>
      <c r="G433" s="5" t="n">
        <f aca="false">VLOOKUP(B433,Заказы!$A$2:$E$2995,2,FALSE())</f>
        <v>44029</v>
      </c>
      <c r="H433" s="1" t="n">
        <f aca="false">VLOOKUP(B433,Заказы!$A$2:$E$2995,3,FALSE())</f>
        <v>182</v>
      </c>
      <c r="I433" s="1" t="str">
        <f aca="false">VLOOKUP(H433,Клиенты!$A$2:$E$1995,5,FALSE())</f>
        <v>г. Шацк</v>
      </c>
      <c r="J433" s="1" t="n">
        <f aca="false">VLOOKUP(B433,Заказы!$A$2:$E$2995,4,FALSE())</f>
        <v>454</v>
      </c>
      <c r="K433" s="1" t="str">
        <f aca="false">VLOOKUP(B433,Заказы!$A$2:$E$2995,5,FALSE())</f>
        <v>Выполнено</v>
      </c>
      <c r="L433" s="1" t="n">
        <f aca="false">D433*F433+J433</f>
        <v>4234</v>
      </c>
      <c r="M433" s="1" t="n">
        <f aca="false">IF(AND(E433="Пицца Труслейка",I433="г. Москва",K433="Выполнено",G433&gt;=DATE(2020,7,1),G433&lt;DATE(2020,8,1)),L433,0)</f>
        <v>0</v>
      </c>
    </row>
    <row r="434" customFormat="false" ht="15" hidden="false" customHeight="true" outlineLevel="0" collapsed="false">
      <c r="A434" s="1" t="n">
        <v>101122</v>
      </c>
      <c r="B434" s="1" t="n">
        <v>51200</v>
      </c>
      <c r="C434" s="1" t="n">
        <v>8</v>
      </c>
      <c r="D434" s="1" t="n">
        <v>7</v>
      </c>
      <c r="E434" s="1" t="str">
        <f aca="false">VLOOKUP(C434,Меню!$A$2:$C$24,2,FALSE())</f>
        <v>Пицца Мясная</v>
      </c>
      <c r="F434" s="1" t="n">
        <f aca="false">VLOOKUP(C434,Меню!$A$2:$C$24,3,FALSE())</f>
        <v>615</v>
      </c>
      <c r="G434" s="5" t="n">
        <f aca="false">VLOOKUP(B434,Заказы!$A$2:$E$2995,2,FALSE())</f>
        <v>44021</v>
      </c>
      <c r="H434" s="1" t="n">
        <f aca="false">VLOOKUP(B434,Заказы!$A$2:$E$2995,3,FALSE())</f>
        <v>201</v>
      </c>
      <c r="I434" s="1" t="str">
        <f aca="false">VLOOKUP(H434,Клиенты!$A$2:$E$1995,5,FALSE())</f>
        <v>г. Краснокамск</v>
      </c>
      <c r="J434" s="1" t="n">
        <f aca="false">VLOOKUP(B434,Заказы!$A$2:$E$2995,4,FALSE())</f>
        <v>0</v>
      </c>
      <c r="K434" s="1" t="str">
        <f aca="false">VLOOKUP(B434,Заказы!$A$2:$E$2995,5,FALSE())</f>
        <v>Не выполнено</v>
      </c>
      <c r="L434" s="1" t="n">
        <f aca="false">D434*F434+J434</f>
        <v>4305</v>
      </c>
      <c r="M434" s="1" t="n">
        <f aca="false">IF(AND(E434="Пицца Труслейка",I434="г. Москва",K434="Выполнено",G434&gt;=DATE(2020,7,1),G434&lt;DATE(2020,8,1)),L434,0)</f>
        <v>0</v>
      </c>
    </row>
    <row r="435" customFormat="false" ht="15" hidden="false" customHeight="true" outlineLevel="0" collapsed="false">
      <c r="A435" s="1" t="n">
        <v>101983</v>
      </c>
      <c r="B435" s="1" t="n">
        <v>50480</v>
      </c>
      <c r="C435" s="1" t="n">
        <v>12</v>
      </c>
      <c r="D435" s="1" t="n">
        <v>10</v>
      </c>
      <c r="E435" s="1" t="str">
        <f aca="false">VLOOKUP(C435,Меню!$A$2:$C$24,2,FALSE())</f>
        <v>Пицца Салями с трюфелем</v>
      </c>
      <c r="F435" s="1" t="n">
        <f aca="false">VLOOKUP(C435,Меню!$A$2:$C$24,3,FALSE())</f>
        <v>525</v>
      </c>
      <c r="G435" s="5" t="n">
        <f aca="false">VLOOKUP(B435,Заказы!$A$2:$E$2995,2,FALSE())</f>
        <v>43987</v>
      </c>
      <c r="H435" s="1" t="n">
        <f aca="false">VLOOKUP(B435,Заказы!$A$2:$E$2995,3,FALSE())</f>
        <v>104</v>
      </c>
      <c r="I435" s="1" t="str">
        <f aca="false">VLOOKUP(H435,Клиенты!$A$2:$E$1995,5,FALSE())</f>
        <v>г. Березники</v>
      </c>
      <c r="J435" s="1" t="n">
        <f aca="false">VLOOKUP(B435,Заказы!$A$2:$E$2995,4,FALSE())</f>
        <v>123</v>
      </c>
      <c r="K435" s="1" t="str">
        <f aca="false">VLOOKUP(B435,Заказы!$A$2:$E$2995,5,FALSE())</f>
        <v>Выполнено</v>
      </c>
      <c r="L435" s="1" t="n">
        <f aca="false">D435*F435+J435</f>
        <v>5373</v>
      </c>
      <c r="M435" s="1" t="n">
        <f aca="false">IF(AND(E435="Пицца Труслейка",I435="г. Москва",K435="Выполнено",G435&gt;=DATE(2020,7,1),G435&lt;DATE(2020,8,1)),L435,0)</f>
        <v>0</v>
      </c>
    </row>
    <row r="436" customFormat="false" ht="15" hidden="false" customHeight="true" outlineLevel="0" collapsed="false">
      <c r="A436" s="1" t="n">
        <v>100177</v>
      </c>
      <c r="B436" s="1" t="n">
        <v>50659</v>
      </c>
      <c r="C436" s="1" t="n">
        <v>1</v>
      </c>
      <c r="D436" s="1" t="n">
        <v>3</v>
      </c>
      <c r="E436" s="1" t="str">
        <f aca="false">VLOOKUP(C436,Меню!$A$2:$C$24,2,FALSE())</f>
        <v>Пицца Гавайская</v>
      </c>
      <c r="F436" s="1" t="n">
        <f aca="false">VLOOKUP(C436,Меню!$A$2:$C$24,3,FALSE())</f>
        <v>545</v>
      </c>
      <c r="G436" s="5" t="n">
        <f aca="false">VLOOKUP(B436,Заказы!$A$2:$E$2995,2,FALSE())</f>
        <v>43992</v>
      </c>
      <c r="H436" s="1" t="n">
        <f aca="false">VLOOKUP(B436,Заказы!$A$2:$E$2995,3,FALSE())</f>
        <v>391</v>
      </c>
      <c r="I436" s="1" t="str">
        <f aca="false">VLOOKUP(H436,Клиенты!$A$2:$E$1995,5,FALSE())</f>
        <v>г. Болхов</v>
      </c>
      <c r="J436" s="1" t="n">
        <f aca="false">VLOOKUP(B436,Заказы!$A$2:$E$2995,4,FALSE())</f>
        <v>308</v>
      </c>
      <c r="K436" s="1" t="str">
        <f aca="false">VLOOKUP(B436,Заказы!$A$2:$E$2995,5,FALSE())</f>
        <v>Выполнено</v>
      </c>
      <c r="L436" s="1" t="n">
        <f aca="false">D436*F436+J436</f>
        <v>1943</v>
      </c>
      <c r="M436" s="1" t="n">
        <f aca="false">IF(AND(E436="Пицца Труслейка",I436="г. Москва",K436="Выполнено",G436&gt;=DATE(2020,7,1),G436&lt;DATE(2020,8,1)),L436,0)</f>
        <v>0</v>
      </c>
    </row>
    <row r="437" customFormat="false" ht="15" hidden="false" customHeight="true" outlineLevel="0" collapsed="false">
      <c r="A437" s="1" t="n">
        <v>100702</v>
      </c>
      <c r="B437" s="1" t="n">
        <v>50418</v>
      </c>
      <c r="C437" s="1" t="n">
        <v>10</v>
      </c>
      <c r="D437" s="1" t="n">
        <v>9</v>
      </c>
      <c r="E437" s="1" t="str">
        <f aca="false">VLOOKUP(C437,Меню!$A$2:$C$24,2,FALSE())</f>
        <v>Пицца Пепперони фреш</v>
      </c>
      <c r="F437" s="1" t="n">
        <f aca="false">VLOOKUP(C437,Меню!$A$2:$C$24,3,FALSE())</f>
        <v>565</v>
      </c>
      <c r="G437" s="5" t="n">
        <f aca="false">VLOOKUP(B437,Заказы!$A$2:$E$2995,2,FALSE())</f>
        <v>44027</v>
      </c>
      <c r="H437" s="1" t="n">
        <f aca="false">VLOOKUP(B437,Заказы!$A$2:$E$2995,3,FALSE())</f>
        <v>1917</v>
      </c>
      <c r="I437" s="1" t="str">
        <f aca="false">VLOOKUP(H437,Клиенты!$A$2:$E$1995,5,FALSE())</f>
        <v>г. Пошехонье</v>
      </c>
      <c r="J437" s="1" t="n">
        <f aca="false">VLOOKUP(B437,Заказы!$A$2:$E$2995,4,FALSE())</f>
        <v>0</v>
      </c>
      <c r="K437" s="1" t="str">
        <f aca="false">VLOOKUP(B437,Заказы!$A$2:$E$2995,5,FALSE())</f>
        <v>Не выполнено</v>
      </c>
      <c r="L437" s="1" t="n">
        <f aca="false">D437*F437+J437</f>
        <v>5085</v>
      </c>
      <c r="M437" s="1" t="n">
        <f aca="false">IF(AND(E437="Пицца Труслейка",I437="г. Москва",K437="Выполнено",G437&gt;=DATE(2020,7,1),G437&lt;DATE(2020,8,1)),L437,0)</f>
        <v>0</v>
      </c>
    </row>
    <row r="438" customFormat="false" ht="15" hidden="false" customHeight="true" outlineLevel="0" collapsed="false">
      <c r="A438" s="1" t="n">
        <v>101852</v>
      </c>
      <c r="B438" s="1" t="n">
        <v>51400</v>
      </c>
      <c r="C438" s="1" t="n">
        <v>19</v>
      </c>
      <c r="D438" s="1" t="n">
        <v>1</v>
      </c>
      <c r="E438" s="1" t="str">
        <f aca="false">VLOOKUP(C438,Меню!$A$2:$C$24,2,FALSE())</f>
        <v>Пицца Цезарь</v>
      </c>
      <c r="F438" s="1" t="n">
        <f aca="false">VLOOKUP(C438,Меню!$A$2:$C$24,3,FALSE())</f>
        <v>630</v>
      </c>
      <c r="G438" s="5" t="n">
        <f aca="false">VLOOKUP(B438,Заказы!$A$2:$E$2995,2,FALSE())</f>
        <v>44040</v>
      </c>
      <c r="H438" s="1" t="n">
        <f aca="false">VLOOKUP(B438,Заказы!$A$2:$E$2995,3,FALSE())</f>
        <v>878</v>
      </c>
      <c r="I438" s="1" t="str">
        <f aca="false">VLOOKUP(H438,Клиенты!$A$2:$E$1995,5,FALSE())</f>
        <v>г. Мосальск</v>
      </c>
      <c r="J438" s="1" t="n">
        <f aca="false">VLOOKUP(B438,Заказы!$A$2:$E$2995,4,FALSE())</f>
        <v>546</v>
      </c>
      <c r="K438" s="1" t="str">
        <f aca="false">VLOOKUP(B438,Заказы!$A$2:$E$2995,5,FALSE())</f>
        <v>Выполнено</v>
      </c>
      <c r="L438" s="1" t="n">
        <f aca="false">D438*F438+J438</f>
        <v>1176</v>
      </c>
      <c r="M438" s="1" t="n">
        <f aca="false">IF(AND(E438="Пицца Труслейка",I438="г. Москва",K438="Выполнено",G438&gt;=DATE(2020,7,1),G438&lt;DATE(2020,8,1)),L438,0)</f>
        <v>0</v>
      </c>
    </row>
    <row r="439" customFormat="false" ht="15" hidden="false" customHeight="true" outlineLevel="0" collapsed="false">
      <c r="A439" s="1" t="n">
        <v>101370</v>
      </c>
      <c r="B439" s="1" t="n">
        <v>50792</v>
      </c>
      <c r="C439" s="1" t="n">
        <v>1</v>
      </c>
      <c r="D439" s="1" t="n">
        <v>8</v>
      </c>
      <c r="E439" s="1" t="str">
        <f aca="false">VLOOKUP(C439,Меню!$A$2:$C$24,2,FALSE())</f>
        <v>Пицца Гавайская</v>
      </c>
      <c r="F439" s="1" t="n">
        <f aca="false">VLOOKUP(C439,Меню!$A$2:$C$24,3,FALSE())</f>
        <v>545</v>
      </c>
      <c r="G439" s="5" t="n">
        <f aca="false">VLOOKUP(B439,Заказы!$A$2:$E$2995,2,FALSE())</f>
        <v>44007</v>
      </c>
      <c r="H439" s="1" t="n">
        <f aca="false">VLOOKUP(B439,Заказы!$A$2:$E$2995,3,FALSE())</f>
        <v>576</v>
      </c>
      <c r="I439" s="1" t="str">
        <f aca="false">VLOOKUP(H439,Клиенты!$A$2:$E$1995,5,FALSE())</f>
        <v>г. Жигулёвск</v>
      </c>
      <c r="J439" s="1" t="n">
        <f aca="false">VLOOKUP(B439,Заказы!$A$2:$E$2995,4,FALSE())</f>
        <v>0</v>
      </c>
      <c r="K439" s="1" t="str">
        <f aca="false">VLOOKUP(B439,Заказы!$A$2:$E$2995,5,FALSE())</f>
        <v>Не выполнено</v>
      </c>
      <c r="L439" s="1" t="n">
        <f aca="false">D439*F439+J439</f>
        <v>4360</v>
      </c>
      <c r="M439" s="1" t="n">
        <f aca="false">IF(AND(E439="Пицца Труслейка",I439="г. Москва",K439="Выполнено",G439&gt;=DATE(2020,7,1),G439&lt;DATE(2020,8,1)),L439,0)</f>
        <v>0</v>
      </c>
    </row>
    <row r="440" customFormat="false" ht="15" hidden="false" customHeight="true" outlineLevel="0" collapsed="false">
      <c r="A440" s="1" t="n">
        <v>101119</v>
      </c>
      <c r="B440" s="1" t="n">
        <v>51151</v>
      </c>
      <c r="C440" s="1" t="n">
        <v>21</v>
      </c>
      <c r="D440" s="1" t="n">
        <v>8</v>
      </c>
      <c r="E440" s="1" t="str">
        <f aca="false">VLOOKUP(C440,Меню!$A$2:$C$24,2,FALSE())</f>
        <v>Пицца с креветками и цукини</v>
      </c>
      <c r="F440" s="1" t="n">
        <f aca="false">VLOOKUP(C440,Меню!$A$2:$C$24,3,FALSE())</f>
        <v>600</v>
      </c>
      <c r="G440" s="5" t="n">
        <f aca="false">VLOOKUP(B440,Заказы!$A$2:$E$2995,2,FALSE())</f>
        <v>44046</v>
      </c>
      <c r="H440" s="1" t="n">
        <f aca="false">VLOOKUP(B440,Заказы!$A$2:$E$2995,3,FALSE())</f>
        <v>1292</v>
      </c>
      <c r="I440" s="1" t="str">
        <f aca="false">VLOOKUP(H440,Клиенты!$A$2:$E$1995,5,FALSE())</f>
        <v>г. Чернушка</v>
      </c>
      <c r="J440" s="1" t="n">
        <f aca="false">VLOOKUP(B440,Заказы!$A$2:$E$2995,4,FALSE())</f>
        <v>442</v>
      </c>
      <c r="K440" s="1" t="str">
        <f aca="false">VLOOKUP(B440,Заказы!$A$2:$E$2995,5,FALSE())</f>
        <v>Выполнено</v>
      </c>
      <c r="L440" s="1" t="n">
        <f aca="false">D440*F440+J440</f>
        <v>5242</v>
      </c>
      <c r="M440" s="1" t="n">
        <f aca="false">IF(AND(E440="Пицца Труслейка",I440="г. Москва",K440="Выполнено",G440&gt;=DATE(2020,7,1),G440&lt;DATE(2020,8,1)),L440,0)</f>
        <v>0</v>
      </c>
    </row>
    <row r="441" customFormat="false" ht="15" hidden="false" customHeight="true" outlineLevel="0" collapsed="false">
      <c r="A441" s="1" t="n">
        <v>100761</v>
      </c>
      <c r="B441" s="1" t="n">
        <v>51332</v>
      </c>
      <c r="C441" s="1" t="n">
        <v>4</v>
      </c>
      <c r="D441" s="1" t="n">
        <v>4</v>
      </c>
      <c r="E441" s="1" t="str">
        <f aca="false">VLOOKUP(C441,Меню!$A$2:$C$24,2,FALSE())</f>
        <v>Пицца Труслейка</v>
      </c>
      <c r="F441" s="1" t="n">
        <f aca="false">VLOOKUP(C441,Меню!$A$2:$C$24,3,FALSE())</f>
        <v>610</v>
      </c>
      <c r="G441" s="5" t="n">
        <f aca="false">VLOOKUP(B441,Заказы!$A$2:$E$2995,2,FALSE())</f>
        <v>44046</v>
      </c>
      <c r="H441" s="1" t="n">
        <f aca="false">VLOOKUP(B441,Заказы!$A$2:$E$2995,3,FALSE())</f>
        <v>1085</v>
      </c>
      <c r="I441" s="1" t="str">
        <f aca="false">VLOOKUP(H441,Клиенты!$A$2:$E$1995,5,FALSE())</f>
        <v>г. Солигалич</v>
      </c>
      <c r="J441" s="1" t="n">
        <f aca="false">VLOOKUP(B441,Заказы!$A$2:$E$2995,4,FALSE())</f>
        <v>0</v>
      </c>
      <c r="K441" s="1" t="str">
        <f aca="false">VLOOKUP(B441,Заказы!$A$2:$E$2995,5,FALSE())</f>
        <v>Не выполнено</v>
      </c>
      <c r="L441" s="1" t="n">
        <f aca="false">D441*F441+J441</f>
        <v>2440</v>
      </c>
      <c r="M441" s="1" t="n">
        <f aca="false">IF(AND(E441="Пицца Труслейка",I441="г. Москва",K441="Выполнено",G441&gt;=DATE(2020,7,1),G441&lt;DATE(2020,8,1)),L441,0)</f>
        <v>0</v>
      </c>
    </row>
    <row r="442" customFormat="false" ht="15" hidden="false" customHeight="true" outlineLevel="0" collapsed="false">
      <c r="A442" s="1" t="n">
        <v>101902</v>
      </c>
      <c r="B442" s="1" t="n">
        <v>51845</v>
      </c>
      <c r="C442" s="1" t="n">
        <v>7</v>
      </c>
      <c r="D442" s="1" t="n">
        <v>8</v>
      </c>
      <c r="E442" s="1" t="str">
        <f aca="false">VLOOKUP(C442,Меню!$A$2:$C$24,2,FALSE())</f>
        <v>Пицца Карбонара</v>
      </c>
      <c r="F442" s="1" t="n">
        <f aca="false">VLOOKUP(C442,Меню!$A$2:$C$24,3,FALSE())</f>
        <v>625</v>
      </c>
      <c r="G442" s="5" t="n">
        <f aca="false">VLOOKUP(B442,Заказы!$A$2:$E$2995,2,FALSE())</f>
        <v>43988</v>
      </c>
      <c r="H442" s="1" t="n">
        <f aca="false">VLOOKUP(B442,Заказы!$A$2:$E$2995,3,FALSE())</f>
        <v>1403</v>
      </c>
      <c r="I442" s="1" t="str">
        <f aca="false">VLOOKUP(H442,Клиенты!$A$2:$E$1995,5,FALSE())</f>
        <v>г. Бирюч</v>
      </c>
      <c r="J442" s="1" t="n">
        <f aca="false">VLOOKUP(B442,Заказы!$A$2:$E$2995,4,FALSE())</f>
        <v>0</v>
      </c>
      <c r="K442" s="1" t="str">
        <f aca="false">VLOOKUP(B442,Заказы!$A$2:$E$2995,5,FALSE())</f>
        <v>Не выполнено</v>
      </c>
      <c r="L442" s="1" t="n">
        <f aca="false">D442*F442+J442</f>
        <v>5000</v>
      </c>
      <c r="M442" s="1" t="n">
        <f aca="false">IF(AND(E442="Пицца Труслейка",I442="г. Москва",K442="Выполнено",G442&gt;=DATE(2020,7,1),G442&lt;DATE(2020,8,1)),L442,0)</f>
        <v>0</v>
      </c>
    </row>
    <row r="443" customFormat="false" ht="15" hidden="false" customHeight="true" outlineLevel="0" collapsed="false">
      <c r="A443" s="1" t="n">
        <v>100537</v>
      </c>
      <c r="B443" s="1" t="n">
        <v>50342</v>
      </c>
      <c r="C443" s="1" t="n">
        <v>18</v>
      </c>
      <c r="D443" s="1" t="n">
        <v>9</v>
      </c>
      <c r="E443" s="1" t="str">
        <f aca="false">VLOOKUP(C443,Меню!$A$2:$C$24,2,FALSE())</f>
        <v>Пицца Царская</v>
      </c>
      <c r="F443" s="1" t="n">
        <f aca="false">VLOOKUP(C443,Меню!$A$2:$C$24,3,FALSE())</f>
        <v>620</v>
      </c>
      <c r="G443" s="5" t="n">
        <f aca="false">VLOOKUP(B443,Заказы!$A$2:$E$2995,2,FALSE())</f>
        <v>44026</v>
      </c>
      <c r="H443" s="1" t="n">
        <f aca="false">VLOOKUP(B443,Заказы!$A$2:$E$2995,3,FALSE())</f>
        <v>1237</v>
      </c>
      <c r="I443" s="1" t="str">
        <f aca="false">VLOOKUP(H443,Клиенты!$A$2:$E$1995,5,FALSE())</f>
        <v>г. Екатеринбург</v>
      </c>
      <c r="J443" s="1" t="n">
        <f aca="false">VLOOKUP(B443,Заказы!$A$2:$E$2995,4,FALSE())</f>
        <v>0</v>
      </c>
      <c r="K443" s="1" t="str">
        <f aca="false">VLOOKUP(B443,Заказы!$A$2:$E$2995,5,FALSE())</f>
        <v>Не выполнено</v>
      </c>
      <c r="L443" s="1" t="n">
        <f aca="false">D443*F443+J443</f>
        <v>5580</v>
      </c>
      <c r="M443" s="1" t="n">
        <f aca="false">IF(AND(E443="Пицца Труслейка",I443="г. Москва",K443="Выполнено",G443&gt;=DATE(2020,7,1),G443&lt;DATE(2020,8,1)),L443,0)</f>
        <v>0</v>
      </c>
    </row>
    <row r="444" customFormat="false" ht="15" hidden="false" customHeight="true" outlineLevel="0" collapsed="false">
      <c r="A444" s="1" t="n">
        <v>100010</v>
      </c>
      <c r="B444" s="1" t="n">
        <v>50337</v>
      </c>
      <c r="C444" s="1" t="n">
        <v>8</v>
      </c>
      <c r="D444" s="1" t="n">
        <v>1</v>
      </c>
      <c r="E444" s="1" t="str">
        <f aca="false">VLOOKUP(C444,Меню!$A$2:$C$24,2,FALSE())</f>
        <v>Пицца Мясная</v>
      </c>
      <c r="F444" s="1" t="n">
        <f aca="false">VLOOKUP(C444,Меню!$A$2:$C$24,3,FALSE())</f>
        <v>615</v>
      </c>
      <c r="G444" s="5" t="n">
        <f aca="false">VLOOKUP(B444,Заказы!$A$2:$E$2995,2,FALSE())</f>
        <v>43999</v>
      </c>
      <c r="H444" s="1" t="n">
        <f aca="false">VLOOKUP(B444,Заказы!$A$2:$E$2995,3,FALSE())</f>
        <v>1398</v>
      </c>
      <c r="I444" s="1" t="str">
        <f aca="false">VLOOKUP(H444,Клиенты!$A$2:$E$1995,5,FALSE())</f>
        <v>г. Инсар</v>
      </c>
      <c r="J444" s="1" t="n">
        <f aca="false">VLOOKUP(B444,Заказы!$A$2:$E$2995,4,FALSE())</f>
        <v>631</v>
      </c>
      <c r="K444" s="1" t="str">
        <f aca="false">VLOOKUP(B444,Заказы!$A$2:$E$2995,5,FALSE())</f>
        <v>Выполнено</v>
      </c>
      <c r="L444" s="1" t="n">
        <f aca="false">D444*F444+J444</f>
        <v>1246</v>
      </c>
      <c r="M444" s="1" t="n">
        <f aca="false">IF(AND(E444="Пицца Труслейка",I444="г. Москва",K444="Выполнено",G444&gt;=DATE(2020,7,1),G444&lt;DATE(2020,8,1)),L444,0)</f>
        <v>0</v>
      </c>
    </row>
    <row r="445" customFormat="false" ht="15" hidden="false" customHeight="true" outlineLevel="0" collapsed="false">
      <c r="A445" s="1" t="n">
        <v>100941</v>
      </c>
      <c r="B445" s="1" t="n">
        <v>50057</v>
      </c>
      <c r="C445" s="1" t="n">
        <v>7</v>
      </c>
      <c r="D445" s="1" t="n">
        <v>2</v>
      </c>
      <c r="E445" s="1" t="str">
        <f aca="false">VLOOKUP(C445,Меню!$A$2:$C$24,2,FALSE())</f>
        <v>Пицца Карбонара</v>
      </c>
      <c r="F445" s="1" t="n">
        <f aca="false">VLOOKUP(C445,Меню!$A$2:$C$24,3,FALSE())</f>
        <v>625</v>
      </c>
      <c r="G445" s="5" t="n">
        <f aca="false">VLOOKUP(B445,Заказы!$A$2:$E$2995,2,FALSE())</f>
        <v>43992</v>
      </c>
      <c r="H445" s="1" t="n">
        <f aca="false">VLOOKUP(B445,Заказы!$A$2:$E$2995,3,FALSE())</f>
        <v>146</v>
      </c>
      <c r="I445" s="1" t="str">
        <f aca="false">VLOOKUP(H445,Клиенты!$A$2:$E$1995,5,FALSE())</f>
        <v>г. Тобольск</v>
      </c>
      <c r="J445" s="1" t="n">
        <f aca="false">VLOOKUP(B445,Заказы!$A$2:$E$2995,4,FALSE())</f>
        <v>455</v>
      </c>
      <c r="K445" s="1" t="str">
        <f aca="false">VLOOKUP(B445,Заказы!$A$2:$E$2995,5,FALSE())</f>
        <v>Выполнено</v>
      </c>
      <c r="L445" s="1" t="n">
        <f aca="false">D445*F445+J445</f>
        <v>1705</v>
      </c>
      <c r="M445" s="1" t="n">
        <f aca="false">IF(AND(E445="Пицца Труслейка",I445="г. Москва",K445="Выполнено",G445&gt;=DATE(2020,7,1),G445&lt;DATE(2020,8,1)),L445,0)</f>
        <v>0</v>
      </c>
    </row>
    <row r="446" customFormat="false" ht="15" hidden="false" customHeight="true" outlineLevel="0" collapsed="false">
      <c r="A446" s="1" t="n">
        <v>101776</v>
      </c>
      <c r="B446" s="1" t="n">
        <v>50428</v>
      </c>
      <c r="C446" s="1" t="n">
        <v>14</v>
      </c>
      <c r="D446" s="1" t="n">
        <v>8</v>
      </c>
      <c r="E446" s="1" t="str">
        <f aca="false">VLOOKUP(C446,Меню!$A$2:$C$24,2,FALSE())</f>
        <v>Пицца Сырный цыпленок</v>
      </c>
      <c r="F446" s="1" t="n">
        <f aca="false">VLOOKUP(C446,Меню!$A$2:$C$24,3,FALSE())</f>
        <v>555</v>
      </c>
      <c r="G446" s="5" t="n">
        <f aca="false">VLOOKUP(B446,Заказы!$A$2:$E$2995,2,FALSE())</f>
        <v>44047</v>
      </c>
      <c r="H446" s="1" t="n">
        <f aca="false">VLOOKUP(B446,Заказы!$A$2:$E$2995,3,FALSE())</f>
        <v>1558</v>
      </c>
      <c r="I446" s="1" t="str">
        <f aca="false">VLOOKUP(H446,Клиенты!$A$2:$E$1995,5,FALSE())</f>
        <v>г. Новопавловск</v>
      </c>
      <c r="J446" s="1" t="n">
        <f aca="false">VLOOKUP(B446,Заказы!$A$2:$E$2995,4,FALSE())</f>
        <v>193</v>
      </c>
      <c r="K446" s="1" t="str">
        <f aca="false">VLOOKUP(B446,Заказы!$A$2:$E$2995,5,FALSE())</f>
        <v>Выполнено</v>
      </c>
      <c r="L446" s="1" t="n">
        <f aca="false">D446*F446+J446</f>
        <v>4633</v>
      </c>
      <c r="M446" s="1" t="n">
        <f aca="false">IF(AND(E446="Пицца Труслейка",I446="г. Москва",K446="Выполнено",G446&gt;=DATE(2020,7,1),G446&lt;DATE(2020,8,1)),L446,0)</f>
        <v>0</v>
      </c>
    </row>
    <row r="447" customFormat="false" ht="15" hidden="false" customHeight="true" outlineLevel="0" collapsed="false">
      <c r="A447" s="1" t="n">
        <v>100587</v>
      </c>
      <c r="B447" s="1" t="n">
        <v>51750</v>
      </c>
      <c r="C447" s="1" t="n">
        <v>2</v>
      </c>
      <c r="D447" s="1" t="n">
        <v>7</v>
      </c>
      <c r="E447" s="1" t="str">
        <f aca="false">VLOOKUP(C447,Меню!$A$2:$C$24,2,FALSE())</f>
        <v>Пицца Двойная пепперони</v>
      </c>
      <c r="F447" s="1" t="n">
        <f aca="false">VLOOKUP(C447,Меню!$A$2:$C$24,3,FALSE())</f>
        <v>575</v>
      </c>
      <c r="G447" s="5" t="n">
        <f aca="false">VLOOKUP(B447,Заказы!$A$2:$E$2995,2,FALSE())</f>
        <v>44003</v>
      </c>
      <c r="H447" s="1" t="n">
        <f aca="false">VLOOKUP(B447,Заказы!$A$2:$E$2995,3,FALSE())</f>
        <v>1471</v>
      </c>
      <c r="I447" s="1" t="str">
        <f aca="false">VLOOKUP(H447,Клиенты!$A$2:$E$1995,5,FALSE())</f>
        <v>г. Почеп</v>
      </c>
      <c r="J447" s="1" t="n">
        <f aca="false">VLOOKUP(B447,Заказы!$A$2:$E$2995,4,FALSE())</f>
        <v>535</v>
      </c>
      <c r="K447" s="1" t="str">
        <f aca="false">VLOOKUP(B447,Заказы!$A$2:$E$2995,5,FALSE())</f>
        <v>Выполнено</v>
      </c>
      <c r="L447" s="1" t="n">
        <f aca="false">D447*F447+J447</f>
        <v>4560</v>
      </c>
      <c r="M447" s="1" t="n">
        <f aca="false">IF(AND(E447="Пицца Труслейка",I447="г. Москва",K447="Выполнено",G447&gt;=DATE(2020,7,1),G447&lt;DATE(2020,8,1)),L447,0)</f>
        <v>0</v>
      </c>
    </row>
    <row r="448" customFormat="false" ht="15" hidden="false" customHeight="true" outlineLevel="0" collapsed="false">
      <c r="A448" s="1" t="n">
        <v>100737</v>
      </c>
      <c r="B448" s="1" t="n">
        <v>51269</v>
      </c>
      <c r="C448" s="1" t="n">
        <v>1</v>
      </c>
      <c r="D448" s="1" t="n">
        <v>10</v>
      </c>
      <c r="E448" s="1" t="str">
        <f aca="false">VLOOKUP(C448,Меню!$A$2:$C$24,2,FALSE())</f>
        <v>Пицца Гавайская</v>
      </c>
      <c r="F448" s="1" t="n">
        <f aca="false">VLOOKUP(C448,Меню!$A$2:$C$24,3,FALSE())</f>
        <v>545</v>
      </c>
      <c r="G448" s="5" t="n">
        <f aca="false">VLOOKUP(B448,Заказы!$A$2:$E$2995,2,FALSE())</f>
        <v>44042</v>
      </c>
      <c r="H448" s="1" t="n">
        <f aca="false">VLOOKUP(B448,Заказы!$A$2:$E$2995,3,FALSE())</f>
        <v>1342</v>
      </c>
      <c r="I448" s="1" t="str">
        <f aca="false">VLOOKUP(H448,Клиенты!$A$2:$E$1995,5,FALSE())</f>
        <v>г. Салаир</v>
      </c>
      <c r="J448" s="1" t="n">
        <f aca="false">VLOOKUP(B448,Заказы!$A$2:$E$2995,4,FALSE())</f>
        <v>663</v>
      </c>
      <c r="K448" s="1" t="str">
        <f aca="false">VLOOKUP(B448,Заказы!$A$2:$E$2995,5,FALSE())</f>
        <v>Выполнено</v>
      </c>
      <c r="L448" s="1" t="n">
        <f aca="false">D448*F448+J448</f>
        <v>6113</v>
      </c>
      <c r="M448" s="1" t="n">
        <f aca="false">IF(AND(E448="Пицца Труслейка",I448="г. Москва",K448="Выполнено",G448&gt;=DATE(2020,7,1),G448&lt;DATE(2020,8,1)),L448,0)</f>
        <v>0</v>
      </c>
    </row>
    <row r="449" customFormat="false" ht="15" hidden="false" customHeight="true" outlineLevel="0" collapsed="false">
      <c r="A449" s="1" t="n">
        <v>100360</v>
      </c>
      <c r="B449" s="1" t="n">
        <v>51095</v>
      </c>
      <c r="C449" s="1" t="n">
        <v>6</v>
      </c>
      <c r="D449" s="1" t="n">
        <v>9</v>
      </c>
      <c r="E449" s="1" t="str">
        <f aca="false">VLOOKUP(C449,Меню!$A$2:$C$24,2,FALSE())</f>
        <v>Пицца Капричиоза</v>
      </c>
      <c r="F449" s="1" t="n">
        <f aca="false">VLOOKUP(C449,Меню!$A$2:$C$24,3,FALSE())</f>
        <v>570</v>
      </c>
      <c r="G449" s="5" t="n">
        <f aca="false">VLOOKUP(B449,Заказы!$A$2:$E$2995,2,FALSE())</f>
        <v>44033</v>
      </c>
      <c r="H449" s="1" t="n">
        <f aca="false">VLOOKUP(B449,Заказы!$A$2:$E$2995,3,FALSE())</f>
        <v>1747</v>
      </c>
      <c r="I449" s="1" t="str">
        <f aca="false">VLOOKUP(H449,Клиенты!$A$2:$E$1995,5,FALSE())</f>
        <v>г. Людиново</v>
      </c>
      <c r="J449" s="1" t="n">
        <f aca="false">VLOOKUP(B449,Заказы!$A$2:$E$2995,4,FALSE())</f>
        <v>746</v>
      </c>
      <c r="K449" s="1" t="str">
        <f aca="false">VLOOKUP(B449,Заказы!$A$2:$E$2995,5,FALSE())</f>
        <v>Выполнено</v>
      </c>
      <c r="L449" s="1" t="n">
        <f aca="false">D449*F449+J449</f>
        <v>5876</v>
      </c>
      <c r="M449" s="1" t="n">
        <f aca="false">IF(AND(E449="Пицца Труслейка",I449="г. Москва",K449="Выполнено",G449&gt;=DATE(2020,7,1),G449&lt;DATE(2020,8,1)),L449,0)</f>
        <v>0</v>
      </c>
    </row>
    <row r="450" customFormat="false" ht="15" hidden="false" customHeight="true" outlineLevel="0" collapsed="false">
      <c r="A450" s="1" t="n">
        <v>100992</v>
      </c>
      <c r="B450" s="1" t="n">
        <v>51404</v>
      </c>
      <c r="C450" s="1" t="n">
        <v>18</v>
      </c>
      <c r="D450" s="1" t="n">
        <v>4</v>
      </c>
      <c r="E450" s="1" t="str">
        <f aca="false">VLOOKUP(C450,Меню!$A$2:$C$24,2,FALSE())</f>
        <v>Пицца Царская</v>
      </c>
      <c r="F450" s="1" t="n">
        <f aca="false">VLOOKUP(C450,Меню!$A$2:$C$24,3,FALSE())</f>
        <v>620</v>
      </c>
      <c r="G450" s="5" t="n">
        <f aca="false">VLOOKUP(B450,Заказы!$A$2:$E$2995,2,FALSE())</f>
        <v>43996</v>
      </c>
      <c r="H450" s="1" t="n">
        <f aca="false">VLOOKUP(B450,Заказы!$A$2:$E$2995,3,FALSE())</f>
        <v>1744</v>
      </c>
      <c r="I450" s="1" t="str">
        <f aca="false">VLOOKUP(H450,Клиенты!$A$2:$E$1995,5,FALSE())</f>
        <v>г. Углич</v>
      </c>
      <c r="J450" s="1" t="n">
        <f aca="false">VLOOKUP(B450,Заказы!$A$2:$E$2995,4,FALSE())</f>
        <v>0</v>
      </c>
      <c r="K450" s="1" t="str">
        <f aca="false">VLOOKUP(B450,Заказы!$A$2:$E$2995,5,FALSE())</f>
        <v>Не выполнено</v>
      </c>
      <c r="L450" s="1" t="n">
        <f aca="false">D450*F450+J450</f>
        <v>2480</v>
      </c>
      <c r="M450" s="1" t="n">
        <f aca="false">IF(AND(E450="Пицца Труслейка",I450="г. Москва",K450="Выполнено",G450&gt;=DATE(2020,7,1),G450&lt;DATE(2020,8,1)),L450,0)</f>
        <v>0</v>
      </c>
    </row>
    <row r="451" customFormat="false" ht="15" hidden="false" customHeight="true" outlineLevel="0" collapsed="false">
      <c r="A451" s="1" t="n">
        <v>100603</v>
      </c>
      <c r="B451" s="1" t="n">
        <v>50373</v>
      </c>
      <c r="C451" s="1" t="n">
        <v>4</v>
      </c>
      <c r="D451" s="1" t="n">
        <v>2</v>
      </c>
      <c r="E451" s="1" t="str">
        <f aca="false">VLOOKUP(C451,Меню!$A$2:$C$24,2,FALSE())</f>
        <v>Пицца Труслейка</v>
      </c>
      <c r="F451" s="1" t="n">
        <f aca="false">VLOOKUP(C451,Меню!$A$2:$C$24,3,FALSE())</f>
        <v>610</v>
      </c>
      <c r="G451" s="5" t="n">
        <f aca="false">VLOOKUP(B451,Заказы!$A$2:$E$2995,2,FALSE())</f>
        <v>44020</v>
      </c>
      <c r="H451" s="1" t="n">
        <f aca="false">VLOOKUP(B451,Заказы!$A$2:$E$2995,3,FALSE())</f>
        <v>377</v>
      </c>
      <c r="I451" s="1" t="str">
        <f aca="false">VLOOKUP(H451,Клиенты!$A$2:$E$1995,5,FALSE())</f>
        <v>г. Новоржев</v>
      </c>
      <c r="J451" s="1" t="n">
        <f aca="false">VLOOKUP(B451,Заказы!$A$2:$E$2995,4,FALSE())</f>
        <v>0</v>
      </c>
      <c r="K451" s="1" t="str">
        <f aca="false">VLOOKUP(B451,Заказы!$A$2:$E$2995,5,FALSE())</f>
        <v>Не выполнено</v>
      </c>
      <c r="L451" s="1" t="n">
        <f aca="false">D451*F451+J451</f>
        <v>1220</v>
      </c>
      <c r="M451" s="1" t="n">
        <f aca="false">IF(AND(E451="Пицца Труслейка",I451="г. Москва",K451="Выполнено",G451&gt;=DATE(2020,7,1),G451&lt;DATE(2020,8,1)),L451,0)</f>
        <v>0</v>
      </c>
    </row>
    <row r="452" customFormat="false" ht="15" hidden="false" customHeight="true" outlineLevel="0" collapsed="false">
      <c r="A452" s="1" t="n">
        <v>100496</v>
      </c>
      <c r="B452" s="1" t="n">
        <v>50677</v>
      </c>
      <c r="C452" s="1" t="n">
        <v>14</v>
      </c>
      <c r="D452" s="1" t="n">
        <v>8</v>
      </c>
      <c r="E452" s="1" t="str">
        <f aca="false">VLOOKUP(C452,Меню!$A$2:$C$24,2,FALSE())</f>
        <v>Пицца Сырный цыпленок</v>
      </c>
      <c r="F452" s="1" t="n">
        <f aca="false">VLOOKUP(C452,Меню!$A$2:$C$24,3,FALSE())</f>
        <v>555</v>
      </c>
      <c r="G452" s="5" t="n">
        <f aca="false">VLOOKUP(B452,Заказы!$A$2:$E$2995,2,FALSE())</f>
        <v>44061</v>
      </c>
      <c r="H452" s="1" t="n">
        <f aca="false">VLOOKUP(B452,Заказы!$A$2:$E$2995,3,FALSE())</f>
        <v>1574</v>
      </c>
      <c r="I452" s="1" t="str">
        <f aca="false">VLOOKUP(H452,Клиенты!$A$2:$E$1995,5,FALSE())</f>
        <v>г. Давлеканово</v>
      </c>
      <c r="J452" s="1" t="n">
        <f aca="false">VLOOKUP(B452,Заказы!$A$2:$E$2995,4,FALSE())</f>
        <v>0</v>
      </c>
      <c r="K452" s="1" t="str">
        <f aca="false">VLOOKUP(B452,Заказы!$A$2:$E$2995,5,FALSE())</f>
        <v>Не выполнено</v>
      </c>
      <c r="L452" s="1" t="n">
        <f aca="false">D452*F452+J452</f>
        <v>4440</v>
      </c>
      <c r="M452" s="1" t="n">
        <f aca="false">IF(AND(E452="Пицца Труслейка",I452="г. Москва",K452="Выполнено",G452&gt;=DATE(2020,7,1),G452&lt;DATE(2020,8,1)),L452,0)</f>
        <v>0</v>
      </c>
    </row>
    <row r="453" customFormat="false" ht="15" hidden="false" customHeight="true" outlineLevel="0" collapsed="false">
      <c r="A453" s="1" t="n">
        <v>100788</v>
      </c>
      <c r="B453" s="1" t="n">
        <v>51692</v>
      </c>
      <c r="C453" s="1" t="n">
        <v>3</v>
      </c>
      <c r="D453" s="1" t="n">
        <v>10</v>
      </c>
      <c r="E453" s="1" t="str">
        <f aca="false">VLOOKUP(C453,Меню!$A$2:$C$24,2,FALSE())</f>
        <v>Пицца Диабло</v>
      </c>
      <c r="F453" s="1" t="n">
        <f aca="false">VLOOKUP(C453,Меню!$A$2:$C$24,3,FALSE())</f>
        <v>590</v>
      </c>
      <c r="G453" s="5" t="n">
        <f aca="false">VLOOKUP(B453,Заказы!$A$2:$E$2995,2,FALSE())</f>
        <v>43984</v>
      </c>
      <c r="H453" s="1" t="n">
        <f aca="false">VLOOKUP(B453,Заказы!$A$2:$E$2995,3,FALSE())</f>
        <v>1516</v>
      </c>
      <c r="I453" s="1" t="str">
        <f aca="false">VLOOKUP(H453,Клиенты!$A$2:$E$1995,5,FALSE())</f>
        <v>г. Ивдель</v>
      </c>
      <c r="J453" s="1" t="n">
        <f aca="false">VLOOKUP(B453,Заказы!$A$2:$E$2995,4,FALSE())</f>
        <v>0</v>
      </c>
      <c r="K453" s="1" t="str">
        <f aca="false">VLOOKUP(B453,Заказы!$A$2:$E$2995,5,FALSE())</f>
        <v>Не выполнено</v>
      </c>
      <c r="L453" s="1" t="n">
        <f aca="false">D453*F453+J453</f>
        <v>5900</v>
      </c>
      <c r="M453" s="1" t="n">
        <f aca="false">IF(AND(E453="Пицца Труслейка",I453="г. Москва",K453="Выполнено",G453&gt;=DATE(2020,7,1),G453&lt;DATE(2020,8,1)),L453,0)</f>
        <v>0</v>
      </c>
    </row>
    <row r="454" customFormat="false" ht="15" hidden="false" customHeight="true" outlineLevel="0" collapsed="false">
      <c r="A454" s="1" t="n">
        <v>100115</v>
      </c>
      <c r="B454" s="1" t="n">
        <v>50206</v>
      </c>
      <c r="C454" s="1" t="n">
        <v>15</v>
      </c>
      <c r="D454" s="1" t="n">
        <v>8</v>
      </c>
      <c r="E454" s="1" t="str">
        <f aca="false">VLOOKUP(C454,Меню!$A$2:$C$24,2,FALSE())</f>
        <v>Пицца Тропиканка</v>
      </c>
      <c r="F454" s="1" t="n">
        <f aca="false">VLOOKUP(C454,Меню!$A$2:$C$24,3,FALSE())</f>
        <v>605</v>
      </c>
      <c r="G454" s="5" t="n">
        <f aca="false">VLOOKUP(B454,Заказы!$A$2:$E$2995,2,FALSE())</f>
        <v>44070</v>
      </c>
      <c r="H454" s="1" t="n">
        <f aca="false">VLOOKUP(B454,Заказы!$A$2:$E$2995,3,FALSE())</f>
        <v>1055</v>
      </c>
      <c r="I454" s="1" t="str">
        <f aca="false">VLOOKUP(H454,Клиенты!$A$2:$E$1995,5,FALSE())</f>
        <v>г. Фокино</v>
      </c>
      <c r="J454" s="1" t="n">
        <f aca="false">VLOOKUP(B454,Заказы!$A$2:$E$2995,4,FALSE())</f>
        <v>0</v>
      </c>
      <c r="K454" s="1" t="str">
        <f aca="false">VLOOKUP(B454,Заказы!$A$2:$E$2995,5,FALSE())</f>
        <v>Не выполнено</v>
      </c>
      <c r="L454" s="1" t="n">
        <f aca="false">D454*F454+J454</f>
        <v>4840</v>
      </c>
      <c r="M454" s="1" t="n">
        <f aca="false">IF(AND(E454="Пицца Труслейка",I454="г. Москва",K454="Выполнено",G454&gt;=DATE(2020,7,1),G454&lt;DATE(2020,8,1)),L454,0)</f>
        <v>0</v>
      </c>
    </row>
    <row r="455" customFormat="false" ht="15" hidden="false" customHeight="true" outlineLevel="0" collapsed="false">
      <c r="A455" s="1" t="n">
        <v>101233</v>
      </c>
      <c r="B455" s="1" t="n">
        <v>50986</v>
      </c>
      <c r="C455" s="1" t="n">
        <v>9</v>
      </c>
      <c r="D455" s="1" t="n">
        <v>10</v>
      </c>
      <c r="E455" s="1" t="str">
        <f aca="false">VLOOKUP(C455,Меню!$A$2:$C$24,2,FALSE())</f>
        <v>Пицца Острая с беконом</v>
      </c>
      <c r="F455" s="1" t="n">
        <f aca="false">VLOOKUP(C455,Меню!$A$2:$C$24,3,FALSE())</f>
        <v>540</v>
      </c>
      <c r="G455" s="5" t="n">
        <f aca="false">VLOOKUP(B455,Заказы!$A$2:$E$2995,2,FALSE())</f>
        <v>44041</v>
      </c>
      <c r="H455" s="1" t="n">
        <f aca="false">VLOOKUP(B455,Заказы!$A$2:$E$2995,3,FALSE())</f>
        <v>474</v>
      </c>
      <c r="I455" s="1" t="str">
        <f aca="false">VLOOKUP(H455,Клиенты!$A$2:$E$1995,5,FALSE())</f>
        <v>г. Гатчина</v>
      </c>
      <c r="J455" s="1" t="n">
        <f aca="false">VLOOKUP(B455,Заказы!$A$2:$E$2995,4,FALSE())</f>
        <v>538</v>
      </c>
      <c r="K455" s="1" t="str">
        <f aca="false">VLOOKUP(B455,Заказы!$A$2:$E$2995,5,FALSE())</f>
        <v>Выполнено</v>
      </c>
      <c r="L455" s="1" t="n">
        <f aca="false">D455*F455+J455</f>
        <v>5938</v>
      </c>
      <c r="M455" s="1" t="n">
        <f aca="false">IF(AND(E455="Пицца Труслейка",I455="г. Москва",K455="Выполнено",G455&gt;=DATE(2020,7,1),G455&lt;DATE(2020,8,1)),L455,0)</f>
        <v>0</v>
      </c>
    </row>
    <row r="456" customFormat="false" ht="15" hidden="false" customHeight="true" outlineLevel="0" collapsed="false">
      <c r="A456" s="1" t="n">
        <v>100856</v>
      </c>
      <c r="B456" s="1" t="n">
        <v>50302</v>
      </c>
      <c r="C456" s="1" t="n">
        <v>16</v>
      </c>
      <c r="D456" s="1" t="n">
        <v>8</v>
      </c>
      <c r="E456" s="1" t="str">
        <f aca="false">VLOOKUP(C456,Меню!$A$2:$C$24,2,FALSE())</f>
        <v>Пицца Флорида</v>
      </c>
      <c r="F456" s="1" t="n">
        <f aca="false">VLOOKUP(C456,Меню!$A$2:$C$24,3,FALSE())</f>
        <v>535</v>
      </c>
      <c r="G456" s="5" t="n">
        <f aca="false">VLOOKUP(B456,Заказы!$A$2:$E$2995,2,FALSE())</f>
        <v>44050</v>
      </c>
      <c r="H456" s="1" t="n">
        <f aca="false">VLOOKUP(B456,Заказы!$A$2:$E$2995,3,FALSE())</f>
        <v>61</v>
      </c>
      <c r="I456" s="1" t="str">
        <f aca="false">VLOOKUP(H456,Клиенты!$A$2:$E$1995,5,FALSE())</f>
        <v>г. Коркино</v>
      </c>
      <c r="J456" s="1" t="n">
        <f aca="false">VLOOKUP(B456,Заказы!$A$2:$E$2995,4,FALSE())</f>
        <v>137</v>
      </c>
      <c r="K456" s="1" t="str">
        <f aca="false">VLOOKUP(B456,Заказы!$A$2:$E$2995,5,FALSE())</f>
        <v>Выполнено</v>
      </c>
      <c r="L456" s="1" t="n">
        <f aca="false">D456*F456+J456</f>
        <v>4417</v>
      </c>
      <c r="M456" s="1" t="n">
        <f aca="false">IF(AND(E456="Пицца Труслейка",I456="г. Москва",K456="Выполнено",G456&gt;=DATE(2020,7,1),G456&lt;DATE(2020,8,1)),L456,0)</f>
        <v>0</v>
      </c>
    </row>
    <row r="457" customFormat="false" ht="15" hidden="false" customHeight="true" outlineLevel="0" collapsed="false">
      <c r="A457" s="1" t="n">
        <v>101691</v>
      </c>
      <c r="B457" s="1" t="n">
        <v>50117</v>
      </c>
      <c r="C457" s="1" t="n">
        <v>14</v>
      </c>
      <c r="D457" s="1" t="n">
        <v>10</v>
      </c>
      <c r="E457" s="1" t="str">
        <f aca="false">VLOOKUP(C457,Меню!$A$2:$C$24,2,FALSE())</f>
        <v>Пицца Сырный цыпленок</v>
      </c>
      <c r="F457" s="1" t="n">
        <f aca="false">VLOOKUP(C457,Меню!$A$2:$C$24,3,FALSE())</f>
        <v>555</v>
      </c>
      <c r="G457" s="5" t="n">
        <f aca="false">VLOOKUP(B457,Заказы!$A$2:$E$2995,2,FALSE())</f>
        <v>44048</v>
      </c>
      <c r="H457" s="1" t="n">
        <f aca="false">VLOOKUP(B457,Заказы!$A$2:$E$2995,3,FALSE())</f>
        <v>296</v>
      </c>
      <c r="I457" s="1" t="str">
        <f aca="false">VLOOKUP(H457,Клиенты!$A$2:$E$1995,5,FALSE())</f>
        <v>г. Мариинск</v>
      </c>
      <c r="J457" s="1" t="n">
        <f aca="false">VLOOKUP(B457,Заказы!$A$2:$E$2995,4,FALSE())</f>
        <v>742</v>
      </c>
      <c r="K457" s="1" t="str">
        <f aca="false">VLOOKUP(B457,Заказы!$A$2:$E$2995,5,FALSE())</f>
        <v>Выполнено</v>
      </c>
      <c r="L457" s="1" t="n">
        <f aca="false">D457*F457+J457</f>
        <v>6292</v>
      </c>
      <c r="M457" s="1" t="n">
        <f aca="false">IF(AND(E457="Пицца Труслейка",I457="г. Москва",K457="Выполнено",G457&gt;=DATE(2020,7,1),G457&lt;DATE(2020,8,1)),L457,0)</f>
        <v>0</v>
      </c>
    </row>
    <row r="458" customFormat="false" ht="15" hidden="false" customHeight="true" outlineLevel="0" collapsed="false">
      <c r="A458" s="1" t="n">
        <v>101127</v>
      </c>
      <c r="B458" s="1" t="n">
        <v>50666</v>
      </c>
      <c r="C458" s="1" t="n">
        <v>21</v>
      </c>
      <c r="D458" s="1" t="n">
        <v>7</v>
      </c>
      <c r="E458" s="1" t="str">
        <f aca="false">VLOOKUP(C458,Меню!$A$2:$C$24,2,FALSE())</f>
        <v>Пицца с креветками и цукини</v>
      </c>
      <c r="F458" s="1" t="n">
        <f aca="false">VLOOKUP(C458,Меню!$A$2:$C$24,3,FALSE())</f>
        <v>600</v>
      </c>
      <c r="G458" s="5" t="n">
        <f aca="false">VLOOKUP(B458,Заказы!$A$2:$E$2995,2,FALSE())</f>
        <v>43995</v>
      </c>
      <c r="H458" s="1" t="n">
        <f aca="false">VLOOKUP(B458,Заказы!$A$2:$E$2995,3,FALSE())</f>
        <v>176</v>
      </c>
      <c r="I458" s="1" t="str">
        <f aca="false">VLOOKUP(H458,Клиенты!$A$2:$E$1995,5,FALSE())</f>
        <v>г. Шагонар</v>
      </c>
      <c r="J458" s="1" t="n">
        <f aca="false">VLOOKUP(B458,Заказы!$A$2:$E$2995,4,FALSE())</f>
        <v>0</v>
      </c>
      <c r="K458" s="1" t="str">
        <f aca="false">VLOOKUP(B458,Заказы!$A$2:$E$2995,5,FALSE())</f>
        <v>Не выполнено</v>
      </c>
      <c r="L458" s="1" t="n">
        <f aca="false">D458*F458+J458</f>
        <v>4200</v>
      </c>
      <c r="M458" s="1" t="n">
        <f aca="false">IF(AND(E458="Пицца Труслейка",I458="г. Москва",K458="Выполнено",G458&gt;=DATE(2020,7,1),G458&lt;DATE(2020,8,1)),L458,0)</f>
        <v>0</v>
      </c>
    </row>
    <row r="459" customFormat="false" ht="15" hidden="false" customHeight="true" outlineLevel="0" collapsed="false">
      <c r="A459" s="1" t="n">
        <v>100367</v>
      </c>
      <c r="B459" s="1" t="n">
        <v>51730</v>
      </c>
      <c r="C459" s="1" t="n">
        <v>10</v>
      </c>
      <c r="D459" s="1" t="n">
        <v>10</v>
      </c>
      <c r="E459" s="1" t="str">
        <f aca="false">VLOOKUP(C459,Меню!$A$2:$C$24,2,FALSE())</f>
        <v>Пицца Пепперони фреш</v>
      </c>
      <c r="F459" s="1" t="n">
        <f aca="false">VLOOKUP(C459,Меню!$A$2:$C$24,3,FALSE())</f>
        <v>565</v>
      </c>
      <c r="G459" s="5" t="n">
        <f aca="false">VLOOKUP(B459,Заказы!$A$2:$E$2995,2,FALSE())</f>
        <v>44002</v>
      </c>
      <c r="H459" s="1" t="n">
        <f aca="false">VLOOKUP(B459,Заказы!$A$2:$E$2995,3,FALSE())</f>
        <v>1594</v>
      </c>
      <c r="I459" s="1" t="str">
        <f aca="false">VLOOKUP(H459,Клиенты!$A$2:$E$1995,5,FALSE())</f>
        <v>г. Межгорье</v>
      </c>
      <c r="J459" s="1" t="n">
        <f aca="false">VLOOKUP(B459,Заказы!$A$2:$E$2995,4,FALSE())</f>
        <v>881</v>
      </c>
      <c r="K459" s="1" t="str">
        <f aca="false">VLOOKUP(B459,Заказы!$A$2:$E$2995,5,FALSE())</f>
        <v>Выполнено</v>
      </c>
      <c r="L459" s="1" t="n">
        <f aca="false">D459*F459+J459</f>
        <v>6531</v>
      </c>
      <c r="M459" s="1" t="n">
        <f aca="false">IF(AND(E459="Пицца Труслейка",I459="г. Москва",K459="Выполнено",G459&gt;=DATE(2020,7,1),G459&lt;DATE(2020,8,1)),L459,0)</f>
        <v>0</v>
      </c>
    </row>
    <row r="460" customFormat="false" ht="15" hidden="false" customHeight="true" outlineLevel="0" collapsed="false">
      <c r="A460" s="1" t="n">
        <v>101349</v>
      </c>
      <c r="B460" s="1" t="n">
        <v>51639</v>
      </c>
      <c r="C460" s="1" t="n">
        <v>13</v>
      </c>
      <c r="D460" s="1" t="n">
        <v>8</v>
      </c>
      <c r="E460" s="1" t="str">
        <f aca="false">VLOOKUP(C460,Меню!$A$2:$C$24,2,FALSE())</f>
        <v>Пицца Сырная</v>
      </c>
      <c r="F460" s="1" t="n">
        <f aca="false">VLOOKUP(C460,Меню!$A$2:$C$24,3,FALSE())</f>
        <v>635</v>
      </c>
      <c r="G460" s="5" t="n">
        <f aca="false">VLOOKUP(B460,Заказы!$A$2:$E$2995,2,FALSE())</f>
        <v>44048</v>
      </c>
      <c r="H460" s="1" t="n">
        <f aca="false">VLOOKUP(B460,Заказы!$A$2:$E$2995,3,FALSE())</f>
        <v>819</v>
      </c>
      <c r="I460" s="1" t="str">
        <f aca="false">VLOOKUP(H460,Клиенты!$A$2:$E$1995,5,FALSE())</f>
        <v>г. Добрянка</v>
      </c>
      <c r="J460" s="1" t="n">
        <f aca="false">VLOOKUP(B460,Заказы!$A$2:$E$2995,4,FALSE())</f>
        <v>105</v>
      </c>
      <c r="K460" s="1" t="str">
        <f aca="false">VLOOKUP(B460,Заказы!$A$2:$E$2995,5,FALSE())</f>
        <v>Выполнено</v>
      </c>
      <c r="L460" s="1" t="n">
        <f aca="false">D460*F460+J460</f>
        <v>5185</v>
      </c>
      <c r="M460" s="1" t="n">
        <f aca="false">IF(AND(E460="Пицца Труслейка",I460="г. Москва",K460="Выполнено",G460&gt;=DATE(2020,7,1),G460&lt;DATE(2020,8,1)),L460,0)</f>
        <v>0</v>
      </c>
    </row>
    <row r="461" customFormat="false" ht="15" hidden="false" customHeight="true" outlineLevel="0" collapsed="false">
      <c r="A461" s="1" t="n">
        <v>100503</v>
      </c>
      <c r="B461" s="1" t="n">
        <v>50777</v>
      </c>
      <c r="C461" s="1" t="n">
        <v>4</v>
      </c>
      <c r="D461" s="1" t="n">
        <v>7</v>
      </c>
      <c r="E461" s="1" t="str">
        <f aca="false">VLOOKUP(C461,Меню!$A$2:$C$24,2,FALSE())</f>
        <v>Пицца Труслейка</v>
      </c>
      <c r="F461" s="1" t="n">
        <f aca="false">VLOOKUP(C461,Меню!$A$2:$C$24,3,FALSE())</f>
        <v>610</v>
      </c>
      <c r="G461" s="5" t="n">
        <f aca="false">VLOOKUP(B461,Заказы!$A$2:$E$2995,2,FALSE())</f>
        <v>44007</v>
      </c>
      <c r="H461" s="1" t="n">
        <f aca="false">VLOOKUP(B461,Заказы!$A$2:$E$2995,3,FALSE())</f>
        <v>1439</v>
      </c>
      <c r="I461" s="1" t="str">
        <f aca="false">VLOOKUP(H461,Клиенты!$A$2:$E$1995,5,FALSE())</f>
        <v>г. Ардон</v>
      </c>
      <c r="J461" s="1" t="n">
        <f aca="false">VLOOKUP(B461,Заказы!$A$2:$E$2995,4,FALSE())</f>
        <v>401</v>
      </c>
      <c r="K461" s="1" t="str">
        <f aca="false">VLOOKUP(B461,Заказы!$A$2:$E$2995,5,FALSE())</f>
        <v>Выполнено</v>
      </c>
      <c r="L461" s="1" t="n">
        <f aca="false">D461*F461+J461</f>
        <v>4671</v>
      </c>
      <c r="M461" s="1" t="n">
        <f aca="false">IF(AND(E461="Пицца Труслейка",I461="г. Москва",K461="Выполнено",G461&gt;=DATE(2020,7,1),G461&lt;DATE(2020,8,1)),L461,0)</f>
        <v>0</v>
      </c>
    </row>
    <row r="462" customFormat="false" ht="15" hidden="false" customHeight="true" outlineLevel="0" collapsed="false">
      <c r="A462" s="1" t="n">
        <v>100059</v>
      </c>
      <c r="B462" s="1" t="n">
        <v>51658</v>
      </c>
      <c r="C462" s="1" t="n">
        <v>13</v>
      </c>
      <c r="D462" s="1" t="n">
        <v>1</v>
      </c>
      <c r="E462" s="1" t="str">
        <f aca="false">VLOOKUP(C462,Меню!$A$2:$C$24,2,FALSE())</f>
        <v>Пицца Сырная</v>
      </c>
      <c r="F462" s="1" t="n">
        <f aca="false">VLOOKUP(C462,Меню!$A$2:$C$24,3,FALSE())</f>
        <v>635</v>
      </c>
      <c r="G462" s="5" t="n">
        <f aca="false">VLOOKUP(B462,Заказы!$A$2:$E$2995,2,FALSE())</f>
        <v>44036</v>
      </c>
      <c r="H462" s="1" t="n">
        <f aca="false">VLOOKUP(B462,Заказы!$A$2:$E$2995,3,FALSE())</f>
        <v>252</v>
      </c>
      <c r="I462" s="1" t="str">
        <f aca="false">VLOOKUP(H462,Клиенты!$A$2:$E$1995,5,FALSE())</f>
        <v>г. Рославль</v>
      </c>
      <c r="J462" s="1" t="n">
        <f aca="false">VLOOKUP(B462,Заказы!$A$2:$E$2995,4,FALSE())</f>
        <v>325</v>
      </c>
      <c r="K462" s="1" t="str">
        <f aca="false">VLOOKUP(B462,Заказы!$A$2:$E$2995,5,FALSE())</f>
        <v>Выполнено</v>
      </c>
      <c r="L462" s="1" t="n">
        <f aca="false">D462*F462+J462</f>
        <v>960</v>
      </c>
      <c r="M462" s="1" t="n">
        <f aca="false">IF(AND(E462="Пицца Труслейка",I462="г. Москва",K462="Выполнено",G462&gt;=DATE(2020,7,1),G462&lt;DATE(2020,8,1)),L462,0)</f>
        <v>0</v>
      </c>
    </row>
    <row r="463" customFormat="false" ht="15" hidden="false" customHeight="true" outlineLevel="0" collapsed="false">
      <c r="A463" s="1" t="n">
        <v>100452</v>
      </c>
      <c r="B463" s="1" t="n">
        <v>51359</v>
      </c>
      <c r="C463" s="1" t="n">
        <v>19</v>
      </c>
      <c r="D463" s="1" t="n">
        <v>7</v>
      </c>
      <c r="E463" s="1" t="str">
        <f aca="false">VLOOKUP(C463,Меню!$A$2:$C$24,2,FALSE())</f>
        <v>Пицца Цезарь</v>
      </c>
      <c r="F463" s="1" t="n">
        <f aca="false">VLOOKUP(C463,Меню!$A$2:$C$24,3,FALSE())</f>
        <v>630</v>
      </c>
      <c r="G463" s="5" t="n">
        <f aca="false">VLOOKUP(B463,Заказы!$A$2:$E$2995,2,FALSE())</f>
        <v>44042</v>
      </c>
      <c r="H463" s="1" t="n">
        <f aca="false">VLOOKUP(B463,Заказы!$A$2:$E$2995,3,FALSE())</f>
        <v>1063</v>
      </c>
      <c r="I463" s="1" t="str">
        <f aca="false">VLOOKUP(H463,Клиенты!$A$2:$E$1995,5,FALSE())</f>
        <v>г. Камышлов</v>
      </c>
      <c r="J463" s="1" t="n">
        <f aca="false">VLOOKUP(B463,Заказы!$A$2:$E$2995,4,FALSE())</f>
        <v>584</v>
      </c>
      <c r="K463" s="1" t="str">
        <f aca="false">VLOOKUP(B463,Заказы!$A$2:$E$2995,5,FALSE())</f>
        <v>Выполнено</v>
      </c>
      <c r="L463" s="1" t="n">
        <f aca="false">D463*F463+J463</f>
        <v>4994</v>
      </c>
      <c r="M463" s="1" t="n">
        <f aca="false">IF(AND(E463="Пицца Труслейка",I463="г. Москва",K463="Выполнено",G463&gt;=DATE(2020,7,1),G463&lt;DATE(2020,8,1)),L463,0)</f>
        <v>0</v>
      </c>
    </row>
    <row r="464" customFormat="false" ht="15" hidden="false" customHeight="true" outlineLevel="0" collapsed="false">
      <c r="A464" s="1" t="n">
        <v>101513</v>
      </c>
      <c r="B464" s="1" t="n">
        <v>51084</v>
      </c>
      <c r="C464" s="1" t="n">
        <v>6</v>
      </c>
      <c r="D464" s="1" t="n">
        <v>5</v>
      </c>
      <c r="E464" s="1" t="str">
        <f aca="false">VLOOKUP(C464,Меню!$A$2:$C$24,2,FALSE())</f>
        <v>Пицца Капричиоза</v>
      </c>
      <c r="F464" s="1" t="n">
        <f aca="false">VLOOKUP(C464,Меню!$A$2:$C$24,3,FALSE())</f>
        <v>570</v>
      </c>
      <c r="G464" s="5" t="n">
        <f aca="false">VLOOKUP(B464,Заказы!$A$2:$E$2995,2,FALSE())</f>
        <v>44030</v>
      </c>
      <c r="H464" s="1" t="n">
        <f aca="false">VLOOKUP(B464,Заказы!$A$2:$E$2995,3,FALSE())</f>
        <v>207</v>
      </c>
      <c r="I464" s="1" t="str">
        <f aca="false">VLOOKUP(H464,Клиенты!$A$2:$E$1995,5,FALSE())</f>
        <v>г. Королёв</v>
      </c>
      <c r="J464" s="1" t="n">
        <f aca="false">VLOOKUP(B464,Заказы!$A$2:$E$2995,4,FALSE())</f>
        <v>539</v>
      </c>
      <c r="K464" s="1" t="str">
        <f aca="false">VLOOKUP(B464,Заказы!$A$2:$E$2995,5,FALSE())</f>
        <v>Выполнено</v>
      </c>
      <c r="L464" s="1" t="n">
        <f aca="false">D464*F464+J464</f>
        <v>3389</v>
      </c>
      <c r="M464" s="1" t="n">
        <f aca="false">IF(AND(E464="Пицца Труслейка",I464="г. Москва",K464="Выполнено",G464&gt;=DATE(2020,7,1),G464&lt;DATE(2020,8,1)),L464,0)</f>
        <v>0</v>
      </c>
    </row>
    <row r="465" customFormat="false" ht="15" hidden="false" customHeight="true" outlineLevel="0" collapsed="false">
      <c r="A465" s="1" t="n">
        <v>101850</v>
      </c>
      <c r="B465" s="1" t="n">
        <v>50517</v>
      </c>
      <c r="C465" s="1" t="n">
        <v>14</v>
      </c>
      <c r="D465" s="1" t="n">
        <v>4</v>
      </c>
      <c r="E465" s="1" t="str">
        <f aca="false">VLOOKUP(C465,Меню!$A$2:$C$24,2,FALSE())</f>
        <v>Пицца Сырный цыпленок</v>
      </c>
      <c r="F465" s="1" t="n">
        <f aca="false">VLOOKUP(C465,Меню!$A$2:$C$24,3,FALSE())</f>
        <v>555</v>
      </c>
      <c r="G465" s="5" t="n">
        <f aca="false">VLOOKUP(B465,Заказы!$A$2:$E$2995,2,FALSE())</f>
        <v>44068</v>
      </c>
      <c r="H465" s="1" t="n">
        <f aca="false">VLOOKUP(B465,Заказы!$A$2:$E$2995,3,FALSE())</f>
        <v>1453</v>
      </c>
      <c r="I465" s="1" t="str">
        <f aca="false">VLOOKUP(H465,Клиенты!$A$2:$E$1995,5,FALSE())</f>
        <v>г. Ростов</v>
      </c>
      <c r="J465" s="1" t="n">
        <f aca="false">VLOOKUP(B465,Заказы!$A$2:$E$2995,4,FALSE())</f>
        <v>0</v>
      </c>
      <c r="K465" s="1" t="str">
        <f aca="false">VLOOKUP(B465,Заказы!$A$2:$E$2995,5,FALSE())</f>
        <v>Не выполнено</v>
      </c>
      <c r="L465" s="1" t="n">
        <f aca="false">D465*F465+J465</f>
        <v>2220</v>
      </c>
      <c r="M465" s="1" t="n">
        <f aca="false">IF(AND(E465="Пицца Труслейка",I465="г. Москва",K465="Выполнено",G465&gt;=DATE(2020,7,1),G465&lt;DATE(2020,8,1)),L465,0)</f>
        <v>0</v>
      </c>
    </row>
    <row r="466" customFormat="false" ht="15" hidden="false" customHeight="true" outlineLevel="0" collapsed="false">
      <c r="A466" s="1" t="n">
        <v>100302</v>
      </c>
      <c r="B466" s="1" t="n">
        <v>50021</v>
      </c>
      <c r="C466" s="1" t="n">
        <v>15</v>
      </c>
      <c r="D466" s="1" t="n">
        <v>1</v>
      </c>
      <c r="E466" s="1" t="str">
        <f aca="false">VLOOKUP(C466,Меню!$A$2:$C$24,2,FALSE())</f>
        <v>Пицца Тропиканка</v>
      </c>
      <c r="F466" s="1" t="n">
        <f aca="false">VLOOKUP(C466,Меню!$A$2:$C$24,3,FALSE())</f>
        <v>605</v>
      </c>
      <c r="G466" s="5" t="n">
        <f aca="false">VLOOKUP(B466,Заказы!$A$2:$E$2995,2,FALSE())</f>
        <v>44018</v>
      </c>
      <c r="H466" s="1" t="n">
        <f aca="false">VLOOKUP(B466,Заказы!$A$2:$E$2995,3,FALSE())</f>
        <v>1067</v>
      </c>
      <c r="I466" s="1" t="str">
        <f aca="false">VLOOKUP(H466,Клиенты!$A$2:$E$1995,5,FALSE())</f>
        <v>г. Абинск</v>
      </c>
      <c r="J466" s="1" t="n">
        <f aca="false">VLOOKUP(B466,Заказы!$A$2:$E$2995,4,FALSE())</f>
        <v>277</v>
      </c>
      <c r="K466" s="1" t="str">
        <f aca="false">VLOOKUP(B466,Заказы!$A$2:$E$2995,5,FALSE())</f>
        <v>Выполнено</v>
      </c>
      <c r="L466" s="1" t="n">
        <f aca="false">D466*F466+J466</f>
        <v>882</v>
      </c>
      <c r="M466" s="1" t="n">
        <f aca="false">IF(AND(E466="Пицца Труслейка",I466="г. Москва",K466="Выполнено",G466&gt;=DATE(2020,7,1),G466&lt;DATE(2020,8,1)),L466,0)</f>
        <v>0</v>
      </c>
    </row>
    <row r="467" customFormat="false" ht="15" hidden="false" customHeight="true" outlineLevel="0" collapsed="false">
      <c r="A467" s="1" t="n">
        <v>100665</v>
      </c>
      <c r="B467" s="1" t="n">
        <v>51185</v>
      </c>
      <c r="C467" s="1" t="n">
        <v>4</v>
      </c>
      <c r="D467" s="1" t="n">
        <v>1</v>
      </c>
      <c r="E467" s="1" t="str">
        <f aca="false">VLOOKUP(C467,Меню!$A$2:$C$24,2,FALSE())</f>
        <v>Пицца Труслейка</v>
      </c>
      <c r="F467" s="1" t="n">
        <f aca="false">VLOOKUP(C467,Меню!$A$2:$C$24,3,FALSE())</f>
        <v>610</v>
      </c>
      <c r="G467" s="5" t="n">
        <f aca="false">VLOOKUP(B467,Заказы!$A$2:$E$2995,2,FALSE())</f>
        <v>43984</v>
      </c>
      <c r="H467" s="1" t="n">
        <f aca="false">VLOOKUP(B467,Заказы!$A$2:$E$2995,3,FALSE())</f>
        <v>1758</v>
      </c>
      <c r="I467" s="1" t="str">
        <f aca="false">VLOOKUP(H467,Клиенты!$A$2:$E$1995,5,FALSE())</f>
        <v>г. Горняк</v>
      </c>
      <c r="J467" s="1" t="n">
        <f aca="false">VLOOKUP(B467,Заказы!$A$2:$E$2995,4,FALSE())</f>
        <v>0</v>
      </c>
      <c r="K467" s="1" t="str">
        <f aca="false">VLOOKUP(B467,Заказы!$A$2:$E$2995,5,FALSE())</f>
        <v>Не выполнено</v>
      </c>
      <c r="L467" s="1" t="n">
        <f aca="false">D467*F467+J467</f>
        <v>610</v>
      </c>
      <c r="M467" s="1" t="n">
        <f aca="false">IF(AND(E467="Пицца Труслейка",I467="г. Москва",K467="Выполнено",G467&gt;=DATE(2020,7,1),G467&lt;DATE(2020,8,1)),L467,0)</f>
        <v>0</v>
      </c>
    </row>
    <row r="468" customFormat="false" ht="15" hidden="false" customHeight="true" outlineLevel="0" collapsed="false">
      <c r="A468" s="1" t="n">
        <v>101474</v>
      </c>
      <c r="B468" s="1" t="n">
        <v>51904</v>
      </c>
      <c r="C468" s="1" t="n">
        <v>15</v>
      </c>
      <c r="D468" s="1" t="n">
        <v>6</v>
      </c>
      <c r="E468" s="1" t="str">
        <f aca="false">VLOOKUP(C468,Меню!$A$2:$C$24,2,FALSE())</f>
        <v>Пицца Тропиканка</v>
      </c>
      <c r="F468" s="1" t="n">
        <f aca="false">VLOOKUP(C468,Меню!$A$2:$C$24,3,FALSE())</f>
        <v>605</v>
      </c>
      <c r="G468" s="5" t="n">
        <f aca="false">VLOOKUP(B468,Заказы!$A$2:$E$2995,2,FALSE())</f>
        <v>44003</v>
      </c>
      <c r="H468" s="1" t="n">
        <f aca="false">VLOOKUP(B468,Заказы!$A$2:$E$2995,3,FALSE())</f>
        <v>738</v>
      </c>
      <c r="I468" s="1" t="str">
        <f aca="false">VLOOKUP(H468,Клиенты!$A$2:$E$1995,5,FALSE())</f>
        <v>г. Бирюсинск</v>
      </c>
      <c r="J468" s="1" t="n">
        <f aca="false">VLOOKUP(B468,Заказы!$A$2:$E$2995,4,FALSE())</f>
        <v>199</v>
      </c>
      <c r="K468" s="1" t="str">
        <f aca="false">VLOOKUP(B468,Заказы!$A$2:$E$2995,5,FALSE())</f>
        <v>Выполнено</v>
      </c>
      <c r="L468" s="1" t="n">
        <f aca="false">D468*F468+J468</f>
        <v>3829</v>
      </c>
      <c r="M468" s="1" t="n">
        <f aca="false">IF(AND(E468="Пицца Труслейка",I468="г. Москва",K468="Выполнено",G468&gt;=DATE(2020,7,1),G468&lt;DATE(2020,8,1)),L468,0)</f>
        <v>0</v>
      </c>
    </row>
    <row r="469" customFormat="false" ht="15" hidden="false" customHeight="true" outlineLevel="0" collapsed="false">
      <c r="A469" s="1" t="n">
        <v>100986</v>
      </c>
      <c r="B469" s="1" t="n">
        <v>51547</v>
      </c>
      <c r="C469" s="1" t="n">
        <v>4</v>
      </c>
      <c r="D469" s="1" t="n">
        <v>2</v>
      </c>
      <c r="E469" s="1" t="str">
        <f aca="false">VLOOKUP(C469,Меню!$A$2:$C$24,2,FALSE())</f>
        <v>Пицца Труслейка</v>
      </c>
      <c r="F469" s="1" t="n">
        <f aca="false">VLOOKUP(C469,Меню!$A$2:$C$24,3,FALSE())</f>
        <v>610</v>
      </c>
      <c r="G469" s="5" t="n">
        <f aca="false">VLOOKUP(B469,Заказы!$A$2:$E$2995,2,FALSE())</f>
        <v>44001</v>
      </c>
      <c r="H469" s="1" t="n">
        <f aca="false">VLOOKUP(B469,Заказы!$A$2:$E$2995,3,FALSE())</f>
        <v>1444</v>
      </c>
      <c r="I469" s="1" t="str">
        <f aca="false">VLOOKUP(H469,Клиенты!$A$2:$E$1995,5,FALSE())</f>
        <v>г. Лакинск</v>
      </c>
      <c r="J469" s="1" t="n">
        <f aca="false">VLOOKUP(B469,Заказы!$A$2:$E$2995,4,FALSE())</f>
        <v>0</v>
      </c>
      <c r="K469" s="1" t="str">
        <f aca="false">VLOOKUP(B469,Заказы!$A$2:$E$2995,5,FALSE())</f>
        <v>Не выполнено</v>
      </c>
      <c r="L469" s="1" t="n">
        <f aca="false">D469*F469+J469</f>
        <v>1220</v>
      </c>
      <c r="M469" s="1" t="n">
        <f aca="false">IF(AND(E469="Пицца Труслейка",I469="г. Москва",K469="Выполнено",G469&gt;=DATE(2020,7,1),G469&lt;DATE(2020,8,1)),L469,0)</f>
        <v>0</v>
      </c>
    </row>
    <row r="470" customFormat="false" ht="15" hidden="false" customHeight="true" outlineLevel="0" collapsed="false">
      <c r="A470" s="1" t="n">
        <v>100437</v>
      </c>
      <c r="B470" s="1" t="n">
        <v>51898</v>
      </c>
      <c r="C470" s="1" t="n">
        <v>23</v>
      </c>
      <c r="D470" s="1" t="n">
        <v>1</v>
      </c>
      <c r="E470" s="1" t="str">
        <f aca="false">VLOOKUP(C470,Меню!$A$2:$C$24,2,FALSE())</f>
        <v>Пицца с тунцом</v>
      </c>
      <c r="F470" s="1" t="n">
        <f aca="false">VLOOKUP(C470,Меню!$A$2:$C$24,3,FALSE())</f>
        <v>520</v>
      </c>
      <c r="G470" s="5" t="n">
        <f aca="false">VLOOKUP(B470,Заказы!$A$2:$E$2995,2,FALSE())</f>
        <v>43987</v>
      </c>
      <c r="H470" s="1" t="n">
        <f aca="false">VLOOKUP(B470,Заказы!$A$2:$E$2995,3,FALSE())</f>
        <v>1526</v>
      </c>
      <c r="I470" s="1" t="str">
        <f aca="false">VLOOKUP(H470,Клиенты!$A$2:$E$1995,5,FALSE())</f>
        <v>г. Пущино</v>
      </c>
      <c r="J470" s="1" t="n">
        <f aca="false">VLOOKUP(B470,Заказы!$A$2:$E$2995,4,FALSE())</f>
        <v>137</v>
      </c>
      <c r="K470" s="1" t="str">
        <f aca="false">VLOOKUP(B470,Заказы!$A$2:$E$2995,5,FALSE())</f>
        <v>Выполнено</v>
      </c>
      <c r="L470" s="1" t="n">
        <f aca="false">D470*F470+J470</f>
        <v>657</v>
      </c>
      <c r="M470" s="1" t="n">
        <f aca="false">IF(AND(E470="Пицца Труслейка",I470="г. Москва",K470="Выполнено",G470&gt;=DATE(2020,7,1),G470&lt;DATE(2020,8,1)),L470,0)</f>
        <v>0</v>
      </c>
    </row>
    <row r="471" customFormat="false" ht="15" hidden="false" customHeight="true" outlineLevel="0" collapsed="false">
      <c r="A471" s="1" t="n">
        <v>101803</v>
      </c>
      <c r="B471" s="1" t="n">
        <v>51241</v>
      </c>
      <c r="C471" s="1" t="n">
        <v>4</v>
      </c>
      <c r="D471" s="1" t="n">
        <v>5</v>
      </c>
      <c r="E471" s="1" t="str">
        <f aca="false">VLOOKUP(C471,Меню!$A$2:$C$24,2,FALSE())</f>
        <v>Пицца Труслейка</v>
      </c>
      <c r="F471" s="1" t="n">
        <f aca="false">VLOOKUP(C471,Меню!$A$2:$C$24,3,FALSE())</f>
        <v>610</v>
      </c>
      <c r="G471" s="5" t="n">
        <f aca="false">VLOOKUP(B471,Заказы!$A$2:$E$2995,2,FALSE())</f>
        <v>44068</v>
      </c>
      <c r="H471" s="1" t="n">
        <f aca="false">VLOOKUP(B471,Заказы!$A$2:$E$2995,3,FALSE())</f>
        <v>159</v>
      </c>
      <c r="I471" s="1" t="str">
        <f aca="false">VLOOKUP(H471,Клиенты!$A$2:$E$1995,5,FALSE())</f>
        <v>г. Остров</v>
      </c>
      <c r="J471" s="1" t="n">
        <f aca="false">VLOOKUP(B471,Заказы!$A$2:$E$2995,4,FALSE())</f>
        <v>0</v>
      </c>
      <c r="K471" s="1" t="str">
        <f aca="false">VLOOKUP(B471,Заказы!$A$2:$E$2995,5,FALSE())</f>
        <v>Не выполнено</v>
      </c>
      <c r="L471" s="1" t="n">
        <f aca="false">D471*F471+J471</f>
        <v>3050</v>
      </c>
      <c r="M471" s="1" t="n">
        <f aca="false">IF(AND(E471="Пицца Труслейка",I471="г. Москва",K471="Выполнено",G471&gt;=DATE(2020,7,1),G471&lt;DATE(2020,8,1)),L471,0)</f>
        <v>0</v>
      </c>
    </row>
    <row r="472" customFormat="false" ht="15" hidden="false" customHeight="true" outlineLevel="0" collapsed="false">
      <c r="A472" s="1" t="n">
        <v>101607</v>
      </c>
      <c r="B472" s="1" t="n">
        <v>50548</v>
      </c>
      <c r="C472" s="1" t="n">
        <v>16</v>
      </c>
      <c r="D472" s="1" t="n">
        <v>10</v>
      </c>
      <c r="E472" s="1" t="str">
        <f aca="false">VLOOKUP(C472,Меню!$A$2:$C$24,2,FALSE())</f>
        <v>Пицца Флорида</v>
      </c>
      <c r="F472" s="1" t="n">
        <f aca="false">VLOOKUP(C472,Меню!$A$2:$C$24,3,FALSE())</f>
        <v>535</v>
      </c>
      <c r="G472" s="5" t="n">
        <f aca="false">VLOOKUP(B472,Заказы!$A$2:$E$2995,2,FALSE())</f>
        <v>44047</v>
      </c>
      <c r="H472" s="1" t="n">
        <f aca="false">VLOOKUP(B472,Заказы!$A$2:$E$2995,3,FALSE())</f>
        <v>160</v>
      </c>
      <c r="I472" s="1" t="str">
        <f aca="false">VLOOKUP(H472,Клиенты!$A$2:$E$1995,5,FALSE())</f>
        <v>г. Москва</v>
      </c>
      <c r="J472" s="1" t="n">
        <f aca="false">VLOOKUP(B472,Заказы!$A$2:$E$2995,4,FALSE())</f>
        <v>200</v>
      </c>
      <c r="K472" s="1" t="str">
        <f aca="false">VLOOKUP(B472,Заказы!$A$2:$E$2995,5,FALSE())</f>
        <v>Выполнено</v>
      </c>
      <c r="L472" s="1" t="n">
        <f aca="false">D472*F472+J472</f>
        <v>5550</v>
      </c>
      <c r="M472" s="1" t="n">
        <f aca="false">IF(AND(E472="Пицца Труслейка",I472="г. Москва",K472="Выполнено",G472&gt;=DATE(2020,7,1),G472&lt;DATE(2020,8,1)),L472,0)</f>
        <v>0</v>
      </c>
    </row>
    <row r="473" customFormat="false" ht="15" hidden="false" customHeight="true" outlineLevel="0" collapsed="false">
      <c r="A473" s="1" t="n">
        <v>100224</v>
      </c>
      <c r="B473" s="1" t="n">
        <v>51790</v>
      </c>
      <c r="C473" s="1" t="n">
        <v>21</v>
      </c>
      <c r="D473" s="1" t="n">
        <v>10</v>
      </c>
      <c r="E473" s="1" t="str">
        <f aca="false">VLOOKUP(C473,Меню!$A$2:$C$24,2,FALSE())</f>
        <v>Пицца с креветками и цукини</v>
      </c>
      <c r="F473" s="1" t="n">
        <f aca="false">VLOOKUP(C473,Меню!$A$2:$C$24,3,FALSE())</f>
        <v>600</v>
      </c>
      <c r="G473" s="5" t="n">
        <f aca="false">VLOOKUP(B473,Заказы!$A$2:$E$2995,2,FALSE())</f>
        <v>43988</v>
      </c>
      <c r="H473" s="1" t="n">
        <f aca="false">VLOOKUP(B473,Заказы!$A$2:$E$2995,3,FALSE())</f>
        <v>396</v>
      </c>
      <c r="I473" s="1" t="str">
        <f aca="false">VLOOKUP(H473,Клиенты!$A$2:$E$1995,5,FALSE())</f>
        <v>г. Кострома</v>
      </c>
      <c r="J473" s="1" t="n">
        <f aca="false">VLOOKUP(B473,Заказы!$A$2:$E$2995,4,FALSE())</f>
        <v>836</v>
      </c>
      <c r="K473" s="1" t="str">
        <f aca="false">VLOOKUP(B473,Заказы!$A$2:$E$2995,5,FALSE())</f>
        <v>Выполнено</v>
      </c>
      <c r="L473" s="1" t="n">
        <f aca="false">D473*F473+J473</f>
        <v>6836</v>
      </c>
      <c r="M473" s="1" t="n">
        <f aca="false">IF(AND(E473="Пицца Труслейка",I473="г. Москва",K473="Выполнено",G473&gt;=DATE(2020,7,1),G473&lt;DATE(2020,8,1)),L473,0)</f>
        <v>0</v>
      </c>
    </row>
    <row r="474" customFormat="false" ht="15" hidden="false" customHeight="true" outlineLevel="0" collapsed="false">
      <c r="A474" s="1" t="n">
        <v>100482</v>
      </c>
      <c r="B474" s="1" t="n">
        <v>51202</v>
      </c>
      <c r="C474" s="1" t="n">
        <v>10</v>
      </c>
      <c r="D474" s="1" t="n">
        <v>10</v>
      </c>
      <c r="E474" s="1" t="str">
        <f aca="false">VLOOKUP(C474,Меню!$A$2:$C$24,2,FALSE())</f>
        <v>Пицца Пепперони фреш</v>
      </c>
      <c r="F474" s="1" t="n">
        <f aca="false">VLOOKUP(C474,Меню!$A$2:$C$24,3,FALSE())</f>
        <v>565</v>
      </c>
      <c r="G474" s="5" t="n">
        <f aca="false">VLOOKUP(B474,Заказы!$A$2:$E$2995,2,FALSE())</f>
        <v>44041</v>
      </c>
      <c r="H474" s="1" t="n">
        <f aca="false">VLOOKUP(B474,Заказы!$A$2:$E$2995,3,FALSE())</f>
        <v>217</v>
      </c>
      <c r="I474" s="1" t="str">
        <f aca="false">VLOOKUP(H474,Клиенты!$A$2:$E$1995,5,FALSE())</f>
        <v>г. Благовещенск</v>
      </c>
      <c r="J474" s="1" t="n">
        <f aca="false">VLOOKUP(B474,Заказы!$A$2:$E$2995,4,FALSE())</f>
        <v>853</v>
      </c>
      <c r="K474" s="1" t="str">
        <f aca="false">VLOOKUP(B474,Заказы!$A$2:$E$2995,5,FALSE())</f>
        <v>Выполнено</v>
      </c>
      <c r="L474" s="1" t="n">
        <f aca="false">D474*F474+J474</f>
        <v>6503</v>
      </c>
      <c r="M474" s="1" t="n">
        <f aca="false">IF(AND(E474="Пицца Труслейка",I474="г. Москва",K474="Выполнено",G474&gt;=DATE(2020,7,1),G474&lt;DATE(2020,8,1)),L474,0)</f>
        <v>0</v>
      </c>
    </row>
    <row r="475" customFormat="false" ht="15" hidden="false" customHeight="true" outlineLevel="0" collapsed="false">
      <c r="A475" s="1" t="n">
        <v>100999</v>
      </c>
      <c r="B475" s="1" t="n">
        <v>50672</v>
      </c>
      <c r="C475" s="1" t="n">
        <v>21</v>
      </c>
      <c r="D475" s="1" t="n">
        <v>3</v>
      </c>
      <c r="E475" s="1" t="str">
        <f aca="false">VLOOKUP(C475,Меню!$A$2:$C$24,2,FALSE())</f>
        <v>Пицца с креветками и цукини</v>
      </c>
      <c r="F475" s="1" t="n">
        <f aca="false">VLOOKUP(C475,Меню!$A$2:$C$24,3,FALSE())</f>
        <v>600</v>
      </c>
      <c r="G475" s="5" t="n">
        <f aca="false">VLOOKUP(B475,Заказы!$A$2:$E$2995,2,FALSE())</f>
        <v>44039</v>
      </c>
      <c r="H475" s="1" t="n">
        <f aca="false">VLOOKUP(B475,Заказы!$A$2:$E$2995,3,FALSE())</f>
        <v>681</v>
      </c>
      <c r="I475" s="1" t="str">
        <f aca="false">VLOOKUP(H475,Клиенты!$A$2:$E$1995,5,FALSE())</f>
        <v>г. Избербаш</v>
      </c>
      <c r="J475" s="1" t="n">
        <f aca="false">VLOOKUP(B475,Заказы!$A$2:$E$2995,4,FALSE())</f>
        <v>790</v>
      </c>
      <c r="K475" s="1" t="str">
        <f aca="false">VLOOKUP(B475,Заказы!$A$2:$E$2995,5,FALSE())</f>
        <v>Выполнено</v>
      </c>
      <c r="L475" s="1" t="n">
        <f aca="false">D475*F475+J475</f>
        <v>2590</v>
      </c>
      <c r="M475" s="1" t="n">
        <f aca="false">IF(AND(E475="Пицца Труслейка",I475="г. Москва",K475="Выполнено",G475&gt;=DATE(2020,7,1),G475&lt;DATE(2020,8,1)),L475,0)</f>
        <v>0</v>
      </c>
    </row>
    <row r="476" customFormat="false" ht="15" hidden="false" customHeight="true" outlineLevel="0" collapsed="false">
      <c r="A476" s="1" t="n">
        <v>101027</v>
      </c>
      <c r="B476" s="1" t="n">
        <v>51129</v>
      </c>
      <c r="C476" s="1" t="n">
        <v>14</v>
      </c>
      <c r="D476" s="1" t="n">
        <v>7</v>
      </c>
      <c r="E476" s="1" t="str">
        <f aca="false">VLOOKUP(C476,Меню!$A$2:$C$24,2,FALSE())</f>
        <v>Пицца Сырный цыпленок</v>
      </c>
      <c r="F476" s="1" t="n">
        <f aca="false">VLOOKUP(C476,Меню!$A$2:$C$24,3,FALSE())</f>
        <v>555</v>
      </c>
      <c r="G476" s="5" t="n">
        <f aca="false">VLOOKUP(B476,Заказы!$A$2:$E$2995,2,FALSE())</f>
        <v>44012</v>
      </c>
      <c r="H476" s="1" t="n">
        <f aca="false">VLOOKUP(B476,Заказы!$A$2:$E$2995,3,FALSE())</f>
        <v>133</v>
      </c>
      <c r="I476" s="1" t="str">
        <f aca="false">VLOOKUP(H476,Клиенты!$A$2:$E$1995,5,FALSE())</f>
        <v>г. Таганрог</v>
      </c>
      <c r="J476" s="1" t="n">
        <f aca="false">VLOOKUP(B476,Заказы!$A$2:$E$2995,4,FALSE())</f>
        <v>760</v>
      </c>
      <c r="K476" s="1" t="str">
        <f aca="false">VLOOKUP(B476,Заказы!$A$2:$E$2995,5,FALSE())</f>
        <v>Выполнено</v>
      </c>
      <c r="L476" s="1" t="n">
        <f aca="false">D476*F476+J476</f>
        <v>4645</v>
      </c>
      <c r="M476" s="1" t="n">
        <f aca="false">IF(AND(E476="Пицца Труслейка",I476="г. Москва",K476="Выполнено",G476&gt;=DATE(2020,7,1),G476&lt;DATE(2020,8,1)),L476,0)</f>
        <v>0</v>
      </c>
    </row>
    <row r="477" customFormat="false" ht="15" hidden="false" customHeight="true" outlineLevel="0" collapsed="false">
      <c r="A477" s="1" t="n">
        <v>100477</v>
      </c>
      <c r="B477" s="1" t="n">
        <v>51231</v>
      </c>
      <c r="C477" s="1" t="n">
        <v>15</v>
      </c>
      <c r="D477" s="1" t="n">
        <v>8</v>
      </c>
      <c r="E477" s="1" t="str">
        <f aca="false">VLOOKUP(C477,Меню!$A$2:$C$24,2,FALSE())</f>
        <v>Пицца Тропиканка</v>
      </c>
      <c r="F477" s="1" t="n">
        <f aca="false">VLOOKUP(C477,Меню!$A$2:$C$24,3,FALSE())</f>
        <v>605</v>
      </c>
      <c r="G477" s="5" t="n">
        <f aca="false">VLOOKUP(B477,Заказы!$A$2:$E$2995,2,FALSE())</f>
        <v>43999</v>
      </c>
      <c r="H477" s="1" t="n">
        <f aca="false">VLOOKUP(B477,Заказы!$A$2:$E$2995,3,FALSE())</f>
        <v>186</v>
      </c>
      <c r="I477" s="1" t="str">
        <f aca="false">VLOOKUP(H477,Клиенты!$A$2:$E$1995,5,FALSE())</f>
        <v>г. Торжок</v>
      </c>
      <c r="J477" s="1" t="n">
        <f aca="false">VLOOKUP(B477,Заказы!$A$2:$E$2995,4,FALSE())</f>
        <v>142</v>
      </c>
      <c r="K477" s="1" t="str">
        <f aca="false">VLOOKUP(B477,Заказы!$A$2:$E$2995,5,FALSE())</f>
        <v>Выполнено</v>
      </c>
      <c r="L477" s="1" t="n">
        <f aca="false">D477*F477+J477</f>
        <v>4982</v>
      </c>
      <c r="M477" s="1" t="n">
        <f aca="false">IF(AND(E477="Пицца Труслейка",I477="г. Москва",K477="Выполнено",G477&gt;=DATE(2020,7,1),G477&lt;DATE(2020,8,1)),L477,0)</f>
        <v>0</v>
      </c>
    </row>
    <row r="478" customFormat="false" ht="15" hidden="false" customHeight="true" outlineLevel="0" collapsed="false">
      <c r="A478" s="1" t="n">
        <v>100570</v>
      </c>
      <c r="B478" s="1" t="n">
        <v>51131</v>
      </c>
      <c r="C478" s="1" t="n">
        <v>18</v>
      </c>
      <c r="D478" s="1" t="n">
        <v>4</v>
      </c>
      <c r="E478" s="1" t="str">
        <f aca="false">VLOOKUP(C478,Меню!$A$2:$C$24,2,FALSE())</f>
        <v>Пицца Царская</v>
      </c>
      <c r="F478" s="1" t="n">
        <f aca="false">VLOOKUP(C478,Меню!$A$2:$C$24,3,FALSE())</f>
        <v>620</v>
      </c>
      <c r="G478" s="5" t="n">
        <f aca="false">VLOOKUP(B478,Заказы!$A$2:$E$2995,2,FALSE())</f>
        <v>44024</v>
      </c>
      <c r="H478" s="1" t="n">
        <f aca="false">VLOOKUP(B478,Заказы!$A$2:$E$2995,3,FALSE())</f>
        <v>1692</v>
      </c>
      <c r="I478" s="1" t="str">
        <f aca="false">VLOOKUP(H478,Клиенты!$A$2:$E$1995,5,FALSE())</f>
        <v>г. Ачинск</v>
      </c>
      <c r="J478" s="1" t="n">
        <f aca="false">VLOOKUP(B478,Заказы!$A$2:$E$2995,4,FALSE())</f>
        <v>809</v>
      </c>
      <c r="K478" s="1" t="str">
        <f aca="false">VLOOKUP(B478,Заказы!$A$2:$E$2995,5,FALSE())</f>
        <v>Выполнено</v>
      </c>
      <c r="L478" s="1" t="n">
        <f aca="false">D478*F478+J478</f>
        <v>3289</v>
      </c>
      <c r="M478" s="1" t="n">
        <f aca="false">IF(AND(E478="Пицца Труслейка",I478="г. Москва",K478="Выполнено",G478&gt;=DATE(2020,7,1),G478&lt;DATE(2020,8,1)),L478,0)</f>
        <v>0</v>
      </c>
    </row>
    <row r="479" customFormat="false" ht="15" hidden="false" customHeight="true" outlineLevel="0" collapsed="false">
      <c r="A479" s="1" t="n">
        <v>101023</v>
      </c>
      <c r="B479" s="1" t="n">
        <v>50546</v>
      </c>
      <c r="C479" s="1" t="n">
        <v>4</v>
      </c>
      <c r="D479" s="1" t="n">
        <v>5</v>
      </c>
      <c r="E479" s="1" t="str">
        <f aca="false">VLOOKUP(C479,Меню!$A$2:$C$24,2,FALSE())</f>
        <v>Пицца Труслейка</v>
      </c>
      <c r="F479" s="1" t="n">
        <f aca="false">VLOOKUP(C479,Меню!$A$2:$C$24,3,FALSE())</f>
        <v>610</v>
      </c>
      <c r="G479" s="5" t="n">
        <f aca="false">VLOOKUP(B479,Заказы!$A$2:$E$2995,2,FALSE())</f>
        <v>44024</v>
      </c>
      <c r="H479" s="1" t="n">
        <f aca="false">VLOOKUP(B479,Заказы!$A$2:$E$2995,3,FALSE())</f>
        <v>1481</v>
      </c>
      <c r="I479" s="1" t="str">
        <f aca="false">VLOOKUP(H479,Клиенты!$A$2:$E$1995,5,FALSE())</f>
        <v>г. Дегтярск</v>
      </c>
      <c r="J479" s="1" t="n">
        <f aca="false">VLOOKUP(B479,Заказы!$A$2:$E$2995,4,FALSE())</f>
        <v>235</v>
      </c>
      <c r="K479" s="1" t="str">
        <f aca="false">VLOOKUP(B479,Заказы!$A$2:$E$2995,5,FALSE())</f>
        <v>Выполнено</v>
      </c>
      <c r="L479" s="1" t="n">
        <f aca="false">D479*F479+J479</f>
        <v>3285</v>
      </c>
      <c r="M479" s="1" t="n">
        <f aca="false">IF(AND(E479="Пицца Труслейка",I479="г. Москва",K479="Выполнено",G479&gt;=DATE(2020,7,1),G479&lt;DATE(2020,8,1)),L479,0)</f>
        <v>0</v>
      </c>
    </row>
    <row r="480" customFormat="false" ht="15" hidden="false" customHeight="true" outlineLevel="0" collapsed="false">
      <c r="A480" s="1" t="n">
        <v>101284</v>
      </c>
      <c r="B480" s="1" t="n">
        <v>51544</v>
      </c>
      <c r="C480" s="1" t="n">
        <v>20</v>
      </c>
      <c r="D480" s="1" t="n">
        <v>9</v>
      </c>
      <c r="E480" s="1" t="str">
        <f aca="false">VLOOKUP(C480,Меню!$A$2:$C$24,2,FALSE())</f>
        <v>Пицца пиканте</v>
      </c>
      <c r="F480" s="1" t="n">
        <f aca="false">VLOOKUP(C480,Меню!$A$2:$C$24,3,FALSE())</f>
        <v>585</v>
      </c>
      <c r="G480" s="5" t="n">
        <f aca="false">VLOOKUP(B480,Заказы!$A$2:$E$2995,2,FALSE())</f>
        <v>44025</v>
      </c>
      <c r="H480" s="1" t="n">
        <f aca="false">VLOOKUP(B480,Заказы!$A$2:$E$2995,3,FALSE())</f>
        <v>107</v>
      </c>
      <c r="I480" s="1" t="str">
        <f aca="false">VLOOKUP(H480,Клиенты!$A$2:$E$1995,5,FALSE())</f>
        <v>г. Долгопрудный</v>
      </c>
      <c r="J480" s="1" t="n">
        <f aca="false">VLOOKUP(B480,Заказы!$A$2:$E$2995,4,FALSE())</f>
        <v>0</v>
      </c>
      <c r="K480" s="1" t="str">
        <f aca="false">VLOOKUP(B480,Заказы!$A$2:$E$2995,5,FALSE())</f>
        <v>Не выполнено</v>
      </c>
      <c r="L480" s="1" t="n">
        <f aca="false">D480*F480+J480</f>
        <v>5265</v>
      </c>
      <c r="M480" s="1" t="n">
        <f aca="false">IF(AND(E480="Пицца Труслейка",I480="г. Москва",K480="Выполнено",G480&gt;=DATE(2020,7,1),G480&lt;DATE(2020,8,1)),L480,0)</f>
        <v>0</v>
      </c>
    </row>
    <row r="481" customFormat="false" ht="15" hidden="false" customHeight="true" outlineLevel="0" collapsed="false">
      <c r="A481" s="1" t="n">
        <v>101526</v>
      </c>
      <c r="B481" s="1" t="n">
        <v>50736</v>
      </c>
      <c r="C481" s="1" t="n">
        <v>4</v>
      </c>
      <c r="D481" s="1" t="n">
        <v>8</v>
      </c>
      <c r="E481" s="1" t="str">
        <f aca="false">VLOOKUP(C481,Меню!$A$2:$C$24,2,FALSE())</f>
        <v>Пицца Труслейка</v>
      </c>
      <c r="F481" s="1" t="n">
        <f aca="false">VLOOKUP(C481,Меню!$A$2:$C$24,3,FALSE())</f>
        <v>610</v>
      </c>
      <c r="G481" s="5" t="n">
        <f aca="false">VLOOKUP(B481,Заказы!$A$2:$E$2995,2,FALSE())</f>
        <v>44039</v>
      </c>
      <c r="H481" s="1" t="n">
        <f aca="false">VLOOKUP(B481,Заказы!$A$2:$E$2995,3,FALSE())</f>
        <v>162</v>
      </c>
      <c r="I481" s="1" t="str">
        <f aca="false">VLOOKUP(H481,Клиенты!$A$2:$E$1995,5,FALSE())</f>
        <v>г. Мглин</v>
      </c>
      <c r="J481" s="1" t="n">
        <f aca="false">VLOOKUP(B481,Заказы!$A$2:$E$2995,4,FALSE())</f>
        <v>586</v>
      </c>
      <c r="K481" s="1" t="str">
        <f aca="false">VLOOKUP(B481,Заказы!$A$2:$E$2995,5,FALSE())</f>
        <v>Выполнено</v>
      </c>
      <c r="L481" s="1" t="n">
        <f aca="false">D481*F481+J481</f>
        <v>5466</v>
      </c>
      <c r="M481" s="1" t="n">
        <f aca="false">IF(AND(E481="Пицца Труслейка",I481="г. Москва",K481="Выполнено",G481&gt;=DATE(2020,7,1),G481&lt;DATE(2020,8,1)),L481,0)</f>
        <v>0</v>
      </c>
    </row>
    <row r="482" customFormat="false" ht="15" hidden="false" customHeight="true" outlineLevel="0" collapsed="false">
      <c r="A482" s="1" t="n">
        <v>100873</v>
      </c>
      <c r="B482" s="1" t="n">
        <v>51127</v>
      </c>
      <c r="C482" s="1" t="n">
        <v>22</v>
      </c>
      <c r="D482" s="1" t="n">
        <v>2</v>
      </c>
      <c r="E482" s="1" t="str">
        <f aca="false">VLOOKUP(C482,Меню!$A$2:$C$24,2,FALSE())</f>
        <v>Пицца с поркеттой и фриарелли</v>
      </c>
      <c r="F482" s="1" t="n">
        <f aca="false">VLOOKUP(C482,Меню!$A$2:$C$24,3,FALSE())</f>
        <v>550</v>
      </c>
      <c r="G482" s="5" t="n">
        <f aca="false">VLOOKUP(B482,Заказы!$A$2:$E$2995,2,FALSE())</f>
        <v>44033</v>
      </c>
      <c r="H482" s="1" t="n">
        <f aca="false">VLOOKUP(B482,Заказы!$A$2:$E$2995,3,FALSE())</f>
        <v>1137</v>
      </c>
      <c r="I482" s="1" t="str">
        <f aca="false">VLOOKUP(H482,Клиенты!$A$2:$E$1995,5,FALSE())</f>
        <v>г. Талдом</v>
      </c>
      <c r="J482" s="1" t="n">
        <f aca="false">VLOOKUP(B482,Заказы!$A$2:$E$2995,4,FALSE())</f>
        <v>0</v>
      </c>
      <c r="K482" s="1" t="str">
        <f aca="false">VLOOKUP(B482,Заказы!$A$2:$E$2995,5,FALSE())</f>
        <v>Не выполнено</v>
      </c>
      <c r="L482" s="1" t="n">
        <f aca="false">D482*F482+J482</f>
        <v>1100</v>
      </c>
      <c r="M482" s="1" t="n">
        <f aca="false">IF(AND(E482="Пицца Труслейка",I482="г. Москва",K482="Выполнено",G482&gt;=DATE(2020,7,1),G482&lt;DATE(2020,8,1)),L482,0)</f>
        <v>0</v>
      </c>
    </row>
    <row r="483" customFormat="false" ht="15" hidden="false" customHeight="true" outlineLevel="0" collapsed="false">
      <c r="A483" s="1" t="n">
        <v>100731</v>
      </c>
      <c r="B483" s="1" t="n">
        <v>50719</v>
      </c>
      <c r="C483" s="1" t="n">
        <v>20</v>
      </c>
      <c r="D483" s="1" t="n">
        <v>8</v>
      </c>
      <c r="E483" s="1" t="str">
        <f aca="false">VLOOKUP(C483,Меню!$A$2:$C$24,2,FALSE())</f>
        <v>Пицца пиканте</v>
      </c>
      <c r="F483" s="1" t="n">
        <f aca="false">VLOOKUP(C483,Меню!$A$2:$C$24,3,FALSE())</f>
        <v>585</v>
      </c>
      <c r="G483" s="5" t="n">
        <f aca="false">VLOOKUP(B483,Заказы!$A$2:$E$2995,2,FALSE())</f>
        <v>44067</v>
      </c>
      <c r="H483" s="1" t="n">
        <f aca="false">VLOOKUP(B483,Заказы!$A$2:$E$2995,3,FALSE())</f>
        <v>130</v>
      </c>
      <c r="I483" s="1" t="str">
        <f aca="false">VLOOKUP(H483,Клиенты!$A$2:$E$1995,5,FALSE())</f>
        <v>г. Москва</v>
      </c>
      <c r="J483" s="1" t="n">
        <f aca="false">VLOOKUP(B483,Заказы!$A$2:$E$2995,4,FALSE())</f>
        <v>259</v>
      </c>
      <c r="K483" s="1" t="str">
        <f aca="false">VLOOKUP(B483,Заказы!$A$2:$E$2995,5,FALSE())</f>
        <v>Выполнено</v>
      </c>
      <c r="L483" s="1" t="n">
        <f aca="false">D483*F483+J483</f>
        <v>4939</v>
      </c>
      <c r="M483" s="1" t="n">
        <f aca="false">IF(AND(E483="Пицца Труслейка",I483="г. Москва",K483="Выполнено",G483&gt;=DATE(2020,7,1),G483&lt;DATE(2020,8,1)),L483,0)</f>
        <v>0</v>
      </c>
    </row>
    <row r="484" customFormat="false" ht="15" hidden="false" customHeight="true" outlineLevel="0" collapsed="false">
      <c r="A484" s="1" t="n">
        <v>101244</v>
      </c>
      <c r="B484" s="1" t="n">
        <v>51749</v>
      </c>
      <c r="C484" s="1" t="n">
        <v>3</v>
      </c>
      <c r="D484" s="1" t="n">
        <v>9</v>
      </c>
      <c r="E484" s="1" t="str">
        <f aca="false">VLOOKUP(C484,Меню!$A$2:$C$24,2,FALSE())</f>
        <v>Пицца Диабло</v>
      </c>
      <c r="F484" s="1" t="n">
        <f aca="false">VLOOKUP(C484,Меню!$A$2:$C$24,3,FALSE())</f>
        <v>590</v>
      </c>
      <c r="G484" s="5" t="n">
        <f aca="false">VLOOKUP(B484,Заказы!$A$2:$E$2995,2,FALSE())</f>
        <v>43986</v>
      </c>
      <c r="H484" s="1" t="n">
        <f aca="false">VLOOKUP(B484,Заказы!$A$2:$E$2995,3,FALSE())</f>
        <v>1948</v>
      </c>
      <c r="I484" s="1" t="str">
        <f aca="false">VLOOKUP(H484,Клиенты!$A$2:$E$1995,5,FALSE())</f>
        <v>г. Астрахань</v>
      </c>
      <c r="J484" s="1" t="n">
        <f aca="false">VLOOKUP(B484,Заказы!$A$2:$E$2995,4,FALSE())</f>
        <v>731</v>
      </c>
      <c r="K484" s="1" t="str">
        <f aca="false">VLOOKUP(B484,Заказы!$A$2:$E$2995,5,FALSE())</f>
        <v>Выполнено</v>
      </c>
      <c r="L484" s="1" t="n">
        <f aca="false">D484*F484+J484</f>
        <v>6041</v>
      </c>
      <c r="M484" s="1" t="n">
        <f aca="false">IF(AND(E484="Пицца Труслейка",I484="г. Москва",K484="Выполнено",G484&gt;=DATE(2020,7,1),G484&lt;DATE(2020,8,1)),L484,0)</f>
        <v>0</v>
      </c>
    </row>
    <row r="485" customFormat="false" ht="15" hidden="false" customHeight="true" outlineLevel="0" collapsed="false">
      <c r="A485" s="1" t="n">
        <v>101210</v>
      </c>
      <c r="B485" s="1" t="n">
        <v>51197</v>
      </c>
      <c r="C485" s="1" t="n">
        <v>11</v>
      </c>
      <c r="D485" s="1" t="n">
        <v>6</v>
      </c>
      <c r="E485" s="1" t="str">
        <f aca="false">VLOOKUP(C485,Меню!$A$2:$C$24,2,FALSE())</f>
        <v>Пицца Песто</v>
      </c>
      <c r="F485" s="1" t="n">
        <f aca="false">VLOOKUP(C485,Меню!$A$2:$C$24,3,FALSE())</f>
        <v>530</v>
      </c>
      <c r="G485" s="5" t="n">
        <f aca="false">VLOOKUP(B485,Заказы!$A$2:$E$2995,2,FALSE())</f>
        <v>44062</v>
      </c>
      <c r="H485" s="1" t="n">
        <f aca="false">VLOOKUP(B485,Заказы!$A$2:$E$2995,3,FALSE())</f>
        <v>641</v>
      </c>
      <c r="I485" s="1" t="str">
        <f aca="false">VLOOKUP(H485,Клиенты!$A$2:$E$1995,5,FALSE())</f>
        <v>г. Высоковск</v>
      </c>
      <c r="J485" s="1" t="n">
        <f aca="false">VLOOKUP(B485,Заказы!$A$2:$E$2995,4,FALSE())</f>
        <v>0</v>
      </c>
      <c r="K485" s="1" t="str">
        <f aca="false">VLOOKUP(B485,Заказы!$A$2:$E$2995,5,FALSE())</f>
        <v>Не выполнено</v>
      </c>
      <c r="L485" s="1" t="n">
        <f aca="false">D485*F485+J485</f>
        <v>3180</v>
      </c>
      <c r="M485" s="1" t="n">
        <f aca="false">IF(AND(E485="Пицца Труслейка",I485="г. Москва",K485="Выполнено",G485&gt;=DATE(2020,7,1),G485&lt;DATE(2020,8,1)),L485,0)</f>
        <v>0</v>
      </c>
    </row>
    <row r="486" customFormat="false" ht="15" hidden="false" customHeight="true" outlineLevel="0" collapsed="false">
      <c r="A486" s="1" t="n">
        <v>101013</v>
      </c>
      <c r="B486" s="1" t="n">
        <v>50473</v>
      </c>
      <c r="C486" s="1" t="n">
        <v>1</v>
      </c>
      <c r="D486" s="1" t="n">
        <v>5</v>
      </c>
      <c r="E486" s="1" t="str">
        <f aca="false">VLOOKUP(C486,Меню!$A$2:$C$24,2,FALSE())</f>
        <v>Пицца Гавайская</v>
      </c>
      <c r="F486" s="1" t="n">
        <f aca="false">VLOOKUP(C486,Меню!$A$2:$C$24,3,FALSE())</f>
        <v>545</v>
      </c>
      <c r="G486" s="5" t="n">
        <f aca="false">VLOOKUP(B486,Заказы!$A$2:$E$2995,2,FALSE())</f>
        <v>44044</v>
      </c>
      <c r="H486" s="1" t="n">
        <f aca="false">VLOOKUP(B486,Заказы!$A$2:$E$2995,3,FALSE())</f>
        <v>1992</v>
      </c>
      <c r="I486" s="1" t="str">
        <f aca="false">VLOOKUP(H486,Клиенты!$A$2:$E$1995,5,FALSE())</f>
        <v>г. Котлас</v>
      </c>
      <c r="J486" s="1" t="n">
        <f aca="false">VLOOKUP(B486,Заказы!$A$2:$E$2995,4,FALSE())</f>
        <v>306</v>
      </c>
      <c r="K486" s="1" t="str">
        <f aca="false">VLOOKUP(B486,Заказы!$A$2:$E$2995,5,FALSE())</f>
        <v>Выполнено</v>
      </c>
      <c r="L486" s="1" t="n">
        <f aca="false">D486*F486+J486</f>
        <v>3031</v>
      </c>
      <c r="M486" s="1" t="n">
        <f aca="false">IF(AND(E486="Пицца Труслейка",I486="г. Москва",K486="Выполнено",G486&gt;=DATE(2020,7,1),G486&lt;DATE(2020,8,1)),L486,0)</f>
        <v>0</v>
      </c>
    </row>
    <row r="487" customFormat="false" ht="15" hidden="false" customHeight="true" outlineLevel="0" collapsed="false">
      <c r="A487" s="1" t="n">
        <v>100622</v>
      </c>
      <c r="B487" s="1" t="n">
        <v>50683</v>
      </c>
      <c r="C487" s="1" t="n">
        <v>11</v>
      </c>
      <c r="D487" s="1" t="n">
        <v>7</v>
      </c>
      <c r="E487" s="1" t="str">
        <f aca="false">VLOOKUP(C487,Меню!$A$2:$C$24,2,FALSE())</f>
        <v>Пицца Песто</v>
      </c>
      <c r="F487" s="1" t="n">
        <f aca="false">VLOOKUP(C487,Меню!$A$2:$C$24,3,FALSE())</f>
        <v>530</v>
      </c>
      <c r="G487" s="5" t="n">
        <f aca="false">VLOOKUP(B487,Заказы!$A$2:$E$2995,2,FALSE())</f>
        <v>44007</v>
      </c>
      <c r="H487" s="1" t="n">
        <f aca="false">VLOOKUP(B487,Заказы!$A$2:$E$2995,3,FALSE())</f>
        <v>1017</v>
      </c>
      <c r="I487" s="1" t="str">
        <f aca="false">VLOOKUP(H487,Клиенты!$A$2:$E$1995,5,FALSE())</f>
        <v>г. Краснотурьинск</v>
      </c>
      <c r="J487" s="1" t="n">
        <f aca="false">VLOOKUP(B487,Заказы!$A$2:$E$2995,4,FALSE())</f>
        <v>0</v>
      </c>
      <c r="K487" s="1" t="str">
        <f aca="false">VLOOKUP(B487,Заказы!$A$2:$E$2995,5,FALSE())</f>
        <v>Не выполнено</v>
      </c>
      <c r="L487" s="1" t="n">
        <f aca="false">D487*F487+J487</f>
        <v>3710</v>
      </c>
      <c r="M487" s="1" t="n">
        <f aca="false">IF(AND(E487="Пицца Труслейка",I487="г. Москва",K487="Выполнено",G487&gt;=DATE(2020,7,1),G487&lt;DATE(2020,8,1)),L487,0)</f>
        <v>0</v>
      </c>
    </row>
    <row r="488" customFormat="false" ht="15" hidden="false" customHeight="true" outlineLevel="0" collapsed="false">
      <c r="A488" s="1" t="n">
        <v>101082</v>
      </c>
      <c r="B488" s="1" t="n">
        <v>50214</v>
      </c>
      <c r="C488" s="1" t="n">
        <v>18</v>
      </c>
      <c r="D488" s="1" t="n">
        <v>7</v>
      </c>
      <c r="E488" s="1" t="str">
        <f aca="false">VLOOKUP(C488,Меню!$A$2:$C$24,2,FALSE())</f>
        <v>Пицца Царская</v>
      </c>
      <c r="F488" s="1" t="n">
        <f aca="false">VLOOKUP(C488,Меню!$A$2:$C$24,3,FALSE())</f>
        <v>620</v>
      </c>
      <c r="G488" s="5" t="n">
        <f aca="false">VLOOKUP(B488,Заказы!$A$2:$E$2995,2,FALSE())</f>
        <v>43998</v>
      </c>
      <c r="H488" s="1" t="n">
        <f aca="false">VLOOKUP(B488,Заказы!$A$2:$E$2995,3,FALSE())</f>
        <v>1770</v>
      </c>
      <c r="I488" s="1" t="str">
        <f aca="false">VLOOKUP(H488,Клиенты!$A$2:$E$1995,5,FALSE())</f>
        <v>г. Москва</v>
      </c>
      <c r="J488" s="1" t="n">
        <f aca="false">VLOOKUP(B488,Заказы!$A$2:$E$2995,4,FALSE())</f>
        <v>0</v>
      </c>
      <c r="K488" s="1" t="str">
        <f aca="false">VLOOKUP(B488,Заказы!$A$2:$E$2995,5,FALSE())</f>
        <v>Не выполнено</v>
      </c>
      <c r="L488" s="1" t="n">
        <f aca="false">D488*F488+J488</f>
        <v>4340</v>
      </c>
      <c r="M488" s="1" t="n">
        <f aca="false">IF(AND(E488="Пицца Труслейка",I488="г. Москва",K488="Выполнено",G488&gt;=DATE(2020,7,1),G488&lt;DATE(2020,8,1)),L488,0)</f>
        <v>0</v>
      </c>
    </row>
    <row r="489" customFormat="false" ht="15" hidden="false" customHeight="true" outlineLevel="0" collapsed="false">
      <c r="A489" s="1" t="n">
        <v>100783</v>
      </c>
      <c r="B489" s="1" t="n">
        <v>50936</v>
      </c>
      <c r="C489" s="1" t="n">
        <v>23</v>
      </c>
      <c r="D489" s="1" t="n">
        <v>7</v>
      </c>
      <c r="E489" s="1" t="str">
        <f aca="false">VLOOKUP(C489,Меню!$A$2:$C$24,2,FALSE())</f>
        <v>Пицца с тунцом</v>
      </c>
      <c r="F489" s="1" t="n">
        <f aca="false">VLOOKUP(C489,Меню!$A$2:$C$24,3,FALSE())</f>
        <v>520</v>
      </c>
      <c r="G489" s="5" t="n">
        <f aca="false">VLOOKUP(B489,Заказы!$A$2:$E$2995,2,FALSE())</f>
        <v>44052</v>
      </c>
      <c r="H489" s="1" t="n">
        <f aca="false">VLOOKUP(B489,Заказы!$A$2:$E$2995,3,FALSE())</f>
        <v>228</v>
      </c>
      <c r="I489" s="1" t="str">
        <f aca="false">VLOOKUP(H489,Клиенты!$A$2:$E$1995,5,FALSE())</f>
        <v>г. Шахунья</v>
      </c>
      <c r="J489" s="1" t="n">
        <f aca="false">VLOOKUP(B489,Заказы!$A$2:$E$2995,4,FALSE())</f>
        <v>0</v>
      </c>
      <c r="K489" s="1" t="str">
        <f aca="false">VLOOKUP(B489,Заказы!$A$2:$E$2995,5,FALSE())</f>
        <v>Не выполнено</v>
      </c>
      <c r="L489" s="1" t="n">
        <f aca="false">D489*F489+J489</f>
        <v>3640</v>
      </c>
      <c r="M489" s="1" t="n">
        <f aca="false">IF(AND(E489="Пицца Труслейка",I489="г. Москва",K489="Выполнено",G489&gt;=DATE(2020,7,1),G489&lt;DATE(2020,8,1)),L489,0)</f>
        <v>0</v>
      </c>
    </row>
    <row r="490" customFormat="false" ht="15" hidden="false" customHeight="true" outlineLevel="0" collapsed="false">
      <c r="A490" s="1" t="n">
        <v>100801</v>
      </c>
      <c r="B490" s="1" t="n">
        <v>50303</v>
      </c>
      <c r="C490" s="1" t="n">
        <v>5</v>
      </c>
      <c r="D490" s="1" t="n">
        <v>1</v>
      </c>
      <c r="E490" s="1" t="str">
        <f aca="false">VLOOKUP(C490,Меню!$A$2:$C$24,2,FALSE())</f>
        <v>Пицца Жюльен</v>
      </c>
      <c r="F490" s="1" t="n">
        <f aca="false">VLOOKUP(C490,Меню!$A$2:$C$24,3,FALSE())</f>
        <v>580</v>
      </c>
      <c r="G490" s="5" t="n">
        <f aca="false">VLOOKUP(B490,Заказы!$A$2:$E$2995,2,FALSE())</f>
        <v>43993</v>
      </c>
      <c r="H490" s="1" t="n">
        <f aca="false">VLOOKUP(B490,Заказы!$A$2:$E$2995,3,FALSE())</f>
        <v>349</v>
      </c>
      <c r="I490" s="1" t="str">
        <f aca="false">VLOOKUP(H490,Клиенты!$A$2:$E$1995,5,FALSE())</f>
        <v>г. Горняк</v>
      </c>
      <c r="J490" s="1" t="n">
        <f aca="false">VLOOKUP(B490,Заказы!$A$2:$E$2995,4,FALSE())</f>
        <v>0</v>
      </c>
      <c r="K490" s="1" t="str">
        <f aca="false">VLOOKUP(B490,Заказы!$A$2:$E$2995,5,FALSE())</f>
        <v>Не выполнено</v>
      </c>
      <c r="L490" s="1" t="n">
        <f aca="false">D490*F490+J490</f>
        <v>580</v>
      </c>
      <c r="M490" s="1" t="n">
        <f aca="false">IF(AND(E490="Пицца Труслейка",I490="г. Москва",K490="Выполнено",G490&gt;=DATE(2020,7,1),G490&lt;DATE(2020,8,1)),L490,0)</f>
        <v>0</v>
      </c>
    </row>
    <row r="491" customFormat="false" ht="15" hidden="false" customHeight="true" outlineLevel="0" collapsed="false">
      <c r="A491" s="1" t="n">
        <v>100113</v>
      </c>
      <c r="B491" s="1" t="n">
        <v>51972</v>
      </c>
      <c r="C491" s="1" t="n">
        <v>4</v>
      </c>
      <c r="D491" s="1" t="n">
        <v>2</v>
      </c>
      <c r="E491" s="1" t="str">
        <f aca="false">VLOOKUP(C491,Меню!$A$2:$C$24,2,FALSE())</f>
        <v>Пицца Труслейка</v>
      </c>
      <c r="F491" s="1" t="n">
        <f aca="false">VLOOKUP(C491,Меню!$A$2:$C$24,3,FALSE())</f>
        <v>610</v>
      </c>
      <c r="G491" s="5" t="n">
        <f aca="false">VLOOKUP(B491,Заказы!$A$2:$E$2995,2,FALSE())</f>
        <v>44017</v>
      </c>
      <c r="H491" s="1" t="n">
        <f aca="false">VLOOKUP(B491,Заказы!$A$2:$E$2995,3,FALSE())</f>
        <v>1821</v>
      </c>
      <c r="I491" s="1" t="str">
        <f aca="false">VLOOKUP(H491,Клиенты!$A$2:$E$1995,5,FALSE())</f>
        <v>г. Советск</v>
      </c>
      <c r="J491" s="1" t="n">
        <f aca="false">VLOOKUP(B491,Заказы!$A$2:$E$2995,4,FALSE())</f>
        <v>0</v>
      </c>
      <c r="K491" s="1" t="str">
        <f aca="false">VLOOKUP(B491,Заказы!$A$2:$E$2995,5,FALSE())</f>
        <v>Не выполнено</v>
      </c>
      <c r="L491" s="1" t="n">
        <f aca="false">D491*F491+J491</f>
        <v>1220</v>
      </c>
      <c r="M491" s="1" t="n">
        <f aca="false">IF(AND(E491="Пицца Труслейка",I491="г. Москва",K491="Выполнено",G491&gt;=DATE(2020,7,1),G491&lt;DATE(2020,8,1)),L491,0)</f>
        <v>0</v>
      </c>
    </row>
    <row r="492" customFormat="false" ht="15" hidden="false" customHeight="true" outlineLevel="0" collapsed="false">
      <c r="A492" s="1" t="n">
        <v>100099</v>
      </c>
      <c r="B492" s="1" t="n">
        <v>50998</v>
      </c>
      <c r="C492" s="1" t="n">
        <v>8</v>
      </c>
      <c r="D492" s="1" t="n">
        <v>5</v>
      </c>
      <c r="E492" s="1" t="str">
        <f aca="false">VLOOKUP(C492,Меню!$A$2:$C$24,2,FALSE())</f>
        <v>Пицца Мясная</v>
      </c>
      <c r="F492" s="1" t="n">
        <f aca="false">VLOOKUP(C492,Меню!$A$2:$C$24,3,FALSE())</f>
        <v>615</v>
      </c>
      <c r="G492" s="5" t="n">
        <f aca="false">VLOOKUP(B492,Заказы!$A$2:$E$2995,2,FALSE())</f>
        <v>44006</v>
      </c>
      <c r="H492" s="1" t="n">
        <f aca="false">VLOOKUP(B492,Заказы!$A$2:$E$2995,3,FALSE())</f>
        <v>1072</v>
      </c>
      <c r="I492" s="1" t="str">
        <f aca="false">VLOOKUP(H492,Клиенты!$A$2:$E$1995,5,FALSE())</f>
        <v>г. Фатеж</v>
      </c>
      <c r="J492" s="1" t="n">
        <f aca="false">VLOOKUP(B492,Заказы!$A$2:$E$2995,4,FALSE())</f>
        <v>0</v>
      </c>
      <c r="K492" s="1" t="str">
        <f aca="false">VLOOKUP(B492,Заказы!$A$2:$E$2995,5,FALSE())</f>
        <v>Не выполнено</v>
      </c>
      <c r="L492" s="1" t="n">
        <f aca="false">D492*F492+J492</f>
        <v>3075</v>
      </c>
      <c r="M492" s="1" t="n">
        <f aca="false">IF(AND(E492="Пицца Труслейка",I492="г. Москва",K492="Выполнено",G492&gt;=DATE(2020,7,1),G492&lt;DATE(2020,8,1)),L492,0)</f>
        <v>0</v>
      </c>
    </row>
    <row r="493" customFormat="false" ht="15" hidden="false" customHeight="true" outlineLevel="0" collapsed="false">
      <c r="A493" s="1" t="n">
        <v>100998</v>
      </c>
      <c r="B493" s="1" t="n">
        <v>50346</v>
      </c>
      <c r="C493" s="1" t="n">
        <v>19</v>
      </c>
      <c r="D493" s="1" t="n">
        <v>8</v>
      </c>
      <c r="E493" s="1" t="str">
        <f aca="false">VLOOKUP(C493,Меню!$A$2:$C$24,2,FALSE())</f>
        <v>Пицца Цезарь</v>
      </c>
      <c r="F493" s="1" t="n">
        <f aca="false">VLOOKUP(C493,Меню!$A$2:$C$24,3,FALSE())</f>
        <v>630</v>
      </c>
      <c r="G493" s="5" t="n">
        <f aca="false">VLOOKUP(B493,Заказы!$A$2:$E$2995,2,FALSE())</f>
        <v>44015</v>
      </c>
      <c r="H493" s="1" t="n">
        <f aca="false">VLOOKUP(B493,Заказы!$A$2:$E$2995,3,FALSE())</f>
        <v>1341</v>
      </c>
      <c r="I493" s="1" t="str">
        <f aca="false">VLOOKUP(H493,Клиенты!$A$2:$E$1995,5,FALSE())</f>
        <v>г. Белгород</v>
      </c>
      <c r="J493" s="1" t="n">
        <f aca="false">VLOOKUP(B493,Заказы!$A$2:$E$2995,4,FALSE())</f>
        <v>0</v>
      </c>
      <c r="K493" s="1" t="str">
        <f aca="false">VLOOKUP(B493,Заказы!$A$2:$E$2995,5,FALSE())</f>
        <v>Не выполнено</v>
      </c>
      <c r="L493" s="1" t="n">
        <f aca="false">D493*F493+J493</f>
        <v>5040</v>
      </c>
      <c r="M493" s="1" t="n">
        <f aca="false">IF(AND(E493="Пицца Труслейка",I493="г. Москва",K493="Выполнено",G493&gt;=DATE(2020,7,1),G493&lt;DATE(2020,8,1)),L493,0)</f>
        <v>0</v>
      </c>
    </row>
    <row r="494" customFormat="false" ht="15" hidden="false" customHeight="true" outlineLevel="0" collapsed="false">
      <c r="A494" s="1" t="n">
        <v>100341</v>
      </c>
      <c r="B494" s="1" t="n">
        <v>50018</v>
      </c>
      <c r="C494" s="1" t="n">
        <v>21</v>
      </c>
      <c r="D494" s="1" t="n">
        <v>10</v>
      </c>
      <c r="E494" s="1" t="str">
        <f aca="false">VLOOKUP(C494,Меню!$A$2:$C$24,2,FALSE())</f>
        <v>Пицца с креветками и цукини</v>
      </c>
      <c r="F494" s="1" t="n">
        <f aca="false">VLOOKUP(C494,Меню!$A$2:$C$24,3,FALSE())</f>
        <v>600</v>
      </c>
      <c r="G494" s="5" t="n">
        <f aca="false">VLOOKUP(B494,Заказы!$A$2:$E$2995,2,FALSE())</f>
        <v>44024</v>
      </c>
      <c r="H494" s="1" t="n">
        <f aca="false">VLOOKUP(B494,Заказы!$A$2:$E$2995,3,FALSE())</f>
        <v>209</v>
      </c>
      <c r="I494" s="1" t="str">
        <f aca="false">VLOOKUP(H494,Клиенты!$A$2:$E$1995,5,FALSE())</f>
        <v>г. Нововоронеж</v>
      </c>
      <c r="J494" s="1" t="n">
        <f aca="false">VLOOKUP(B494,Заказы!$A$2:$E$2995,4,FALSE())</f>
        <v>851</v>
      </c>
      <c r="K494" s="1" t="str">
        <f aca="false">VLOOKUP(B494,Заказы!$A$2:$E$2995,5,FALSE())</f>
        <v>Выполнено</v>
      </c>
      <c r="L494" s="1" t="n">
        <f aca="false">D494*F494+J494</f>
        <v>6851</v>
      </c>
      <c r="M494" s="1" t="n">
        <f aca="false">IF(AND(E494="Пицца Труслейка",I494="г. Москва",K494="Выполнено",G494&gt;=DATE(2020,7,1),G494&lt;DATE(2020,8,1)),L494,0)</f>
        <v>0</v>
      </c>
    </row>
    <row r="495" customFormat="false" ht="15" hidden="false" customHeight="true" outlineLevel="0" collapsed="false">
      <c r="A495" s="1" t="n">
        <v>101804</v>
      </c>
      <c r="B495" s="1" t="n">
        <v>51361</v>
      </c>
      <c r="C495" s="1" t="n">
        <v>11</v>
      </c>
      <c r="D495" s="1" t="n">
        <v>8</v>
      </c>
      <c r="E495" s="1" t="str">
        <f aca="false">VLOOKUP(C495,Меню!$A$2:$C$24,2,FALSE())</f>
        <v>Пицца Песто</v>
      </c>
      <c r="F495" s="1" t="n">
        <f aca="false">VLOOKUP(C495,Меню!$A$2:$C$24,3,FALSE())</f>
        <v>530</v>
      </c>
      <c r="G495" s="5" t="n">
        <f aca="false">VLOOKUP(B495,Заказы!$A$2:$E$2995,2,FALSE())</f>
        <v>43994</v>
      </c>
      <c r="H495" s="1" t="n">
        <f aca="false">VLOOKUP(B495,Заказы!$A$2:$E$2995,3,FALSE())</f>
        <v>1501</v>
      </c>
      <c r="I495" s="1" t="str">
        <f aca="false">VLOOKUP(H495,Клиенты!$A$2:$E$1995,5,FALSE())</f>
        <v>г. Старица</v>
      </c>
      <c r="J495" s="1" t="n">
        <f aca="false">VLOOKUP(B495,Заказы!$A$2:$E$2995,4,FALSE())</f>
        <v>599</v>
      </c>
      <c r="K495" s="1" t="str">
        <f aca="false">VLOOKUP(B495,Заказы!$A$2:$E$2995,5,FALSE())</f>
        <v>Выполнено</v>
      </c>
      <c r="L495" s="1" t="n">
        <f aca="false">D495*F495+J495</f>
        <v>4839</v>
      </c>
      <c r="M495" s="1" t="n">
        <f aca="false">IF(AND(E495="Пицца Труслейка",I495="г. Москва",K495="Выполнено",G495&gt;=DATE(2020,7,1),G495&lt;DATE(2020,8,1)),L495,0)</f>
        <v>0</v>
      </c>
    </row>
    <row r="496" customFormat="false" ht="15" hidden="false" customHeight="true" outlineLevel="0" collapsed="false">
      <c r="A496" s="1" t="n">
        <v>101872</v>
      </c>
      <c r="B496" s="1" t="n">
        <v>51968</v>
      </c>
      <c r="C496" s="1" t="n">
        <v>16</v>
      </c>
      <c r="D496" s="1" t="n">
        <v>4</v>
      </c>
      <c r="E496" s="1" t="str">
        <f aca="false">VLOOKUP(C496,Меню!$A$2:$C$24,2,FALSE())</f>
        <v>Пицца Флорида</v>
      </c>
      <c r="F496" s="1" t="n">
        <f aca="false">VLOOKUP(C496,Меню!$A$2:$C$24,3,FALSE())</f>
        <v>535</v>
      </c>
      <c r="G496" s="5" t="n">
        <f aca="false">VLOOKUP(B496,Заказы!$A$2:$E$2995,2,FALSE())</f>
        <v>44059</v>
      </c>
      <c r="H496" s="1" t="n">
        <f aca="false">VLOOKUP(B496,Заказы!$A$2:$E$2995,3,FALSE())</f>
        <v>841</v>
      </c>
      <c r="I496" s="1" t="str">
        <f aca="false">VLOOKUP(H496,Клиенты!$A$2:$E$1995,5,FALSE())</f>
        <v>г. Северо-Курильск</v>
      </c>
      <c r="J496" s="1" t="n">
        <f aca="false">VLOOKUP(B496,Заказы!$A$2:$E$2995,4,FALSE())</f>
        <v>0</v>
      </c>
      <c r="K496" s="1" t="str">
        <f aca="false">VLOOKUP(B496,Заказы!$A$2:$E$2995,5,FALSE())</f>
        <v>Не выполнено</v>
      </c>
      <c r="L496" s="1" t="n">
        <f aca="false">D496*F496+J496</f>
        <v>2140</v>
      </c>
      <c r="M496" s="1" t="n">
        <f aca="false">IF(AND(E496="Пицца Труслейка",I496="г. Москва",K496="Выполнено",G496&gt;=DATE(2020,7,1),G496&lt;DATE(2020,8,1)),L496,0)</f>
        <v>0</v>
      </c>
    </row>
    <row r="497" customFormat="false" ht="15" hidden="false" customHeight="true" outlineLevel="0" collapsed="false">
      <c r="A497" s="1" t="n">
        <v>100799</v>
      </c>
      <c r="B497" s="1" t="n">
        <v>51134</v>
      </c>
      <c r="C497" s="1" t="n">
        <v>11</v>
      </c>
      <c r="D497" s="1" t="n">
        <v>8</v>
      </c>
      <c r="E497" s="1" t="str">
        <f aca="false">VLOOKUP(C497,Меню!$A$2:$C$24,2,FALSE())</f>
        <v>Пицца Песто</v>
      </c>
      <c r="F497" s="1" t="n">
        <f aca="false">VLOOKUP(C497,Меню!$A$2:$C$24,3,FALSE())</f>
        <v>530</v>
      </c>
      <c r="G497" s="5" t="n">
        <f aca="false">VLOOKUP(B497,Заказы!$A$2:$E$2995,2,FALSE())</f>
        <v>44038</v>
      </c>
      <c r="H497" s="1" t="n">
        <f aca="false">VLOOKUP(B497,Заказы!$A$2:$E$2995,3,FALSE())</f>
        <v>108</v>
      </c>
      <c r="I497" s="1" t="str">
        <f aca="false">VLOOKUP(H497,Клиенты!$A$2:$E$1995,5,FALSE())</f>
        <v>г. Мичуринск</v>
      </c>
      <c r="J497" s="1" t="n">
        <f aca="false">VLOOKUP(B497,Заказы!$A$2:$E$2995,4,FALSE())</f>
        <v>0</v>
      </c>
      <c r="K497" s="1" t="str">
        <f aca="false">VLOOKUP(B497,Заказы!$A$2:$E$2995,5,FALSE())</f>
        <v>Не выполнено</v>
      </c>
      <c r="L497" s="1" t="n">
        <f aca="false">D497*F497+J497</f>
        <v>4240</v>
      </c>
      <c r="M497" s="1" t="n">
        <f aca="false">IF(AND(E497="Пицца Труслейка",I497="г. Москва",K497="Выполнено",G497&gt;=DATE(2020,7,1),G497&lt;DATE(2020,8,1)),L497,0)</f>
        <v>0</v>
      </c>
    </row>
    <row r="498" customFormat="false" ht="15" hidden="false" customHeight="true" outlineLevel="0" collapsed="false">
      <c r="A498" s="1" t="n">
        <v>101322</v>
      </c>
      <c r="B498" s="1" t="n">
        <v>50406</v>
      </c>
      <c r="C498" s="1" t="n">
        <v>23</v>
      </c>
      <c r="D498" s="1" t="n">
        <v>3</v>
      </c>
      <c r="E498" s="1" t="str">
        <f aca="false">VLOOKUP(C498,Меню!$A$2:$C$24,2,FALSE())</f>
        <v>Пицца с тунцом</v>
      </c>
      <c r="F498" s="1" t="n">
        <f aca="false">VLOOKUP(C498,Меню!$A$2:$C$24,3,FALSE())</f>
        <v>520</v>
      </c>
      <c r="G498" s="5" t="n">
        <f aca="false">VLOOKUP(B498,Заказы!$A$2:$E$2995,2,FALSE())</f>
        <v>44066</v>
      </c>
      <c r="H498" s="1" t="n">
        <f aca="false">VLOOKUP(B498,Заказы!$A$2:$E$2995,3,FALSE())</f>
        <v>1853</v>
      </c>
      <c r="I498" s="1" t="str">
        <f aca="false">VLOOKUP(H498,Клиенты!$A$2:$E$1995,5,FALSE())</f>
        <v>г. Спасск</v>
      </c>
      <c r="J498" s="1" t="n">
        <f aca="false">VLOOKUP(B498,Заказы!$A$2:$E$2995,4,FALSE())</f>
        <v>538</v>
      </c>
      <c r="K498" s="1" t="str">
        <f aca="false">VLOOKUP(B498,Заказы!$A$2:$E$2995,5,FALSE())</f>
        <v>Выполнено</v>
      </c>
      <c r="L498" s="1" t="n">
        <f aca="false">D498*F498+J498</f>
        <v>2098</v>
      </c>
      <c r="M498" s="1" t="n">
        <f aca="false">IF(AND(E498="Пицца Труслейка",I498="г. Москва",K498="Выполнено",G498&gt;=DATE(2020,7,1),G498&lt;DATE(2020,8,1)),L498,0)</f>
        <v>0</v>
      </c>
    </row>
    <row r="499" customFormat="false" ht="15" hidden="false" customHeight="true" outlineLevel="0" collapsed="false">
      <c r="A499" s="1" t="n">
        <v>100991</v>
      </c>
      <c r="B499" s="1" t="n">
        <v>51033</v>
      </c>
      <c r="C499" s="1" t="n">
        <v>3</v>
      </c>
      <c r="D499" s="1" t="n">
        <v>8</v>
      </c>
      <c r="E499" s="1" t="str">
        <f aca="false">VLOOKUP(C499,Меню!$A$2:$C$24,2,FALSE())</f>
        <v>Пицца Диабло</v>
      </c>
      <c r="F499" s="1" t="n">
        <f aca="false">VLOOKUP(C499,Меню!$A$2:$C$24,3,FALSE())</f>
        <v>590</v>
      </c>
      <c r="G499" s="5" t="n">
        <f aca="false">VLOOKUP(B499,Заказы!$A$2:$E$2995,2,FALSE())</f>
        <v>44067</v>
      </c>
      <c r="H499" s="1" t="n">
        <f aca="false">VLOOKUP(B499,Заказы!$A$2:$E$2995,3,FALSE())</f>
        <v>41</v>
      </c>
      <c r="I499" s="1" t="str">
        <f aca="false">VLOOKUP(H499,Клиенты!$A$2:$E$1995,5,FALSE())</f>
        <v>г. Чусовой</v>
      </c>
      <c r="J499" s="1" t="n">
        <f aca="false">VLOOKUP(B499,Заказы!$A$2:$E$2995,4,FALSE())</f>
        <v>0</v>
      </c>
      <c r="K499" s="1" t="str">
        <f aca="false">VLOOKUP(B499,Заказы!$A$2:$E$2995,5,FALSE())</f>
        <v>Не выполнено</v>
      </c>
      <c r="L499" s="1" t="n">
        <f aca="false">D499*F499+J499</f>
        <v>4720</v>
      </c>
      <c r="M499" s="1" t="n">
        <f aca="false">IF(AND(E499="Пицца Труслейка",I499="г. Москва",K499="Выполнено",G499&gt;=DATE(2020,7,1),G499&lt;DATE(2020,8,1)),L499,0)</f>
        <v>0</v>
      </c>
    </row>
    <row r="500" customFormat="false" ht="15" hidden="false" customHeight="true" outlineLevel="0" collapsed="false">
      <c r="A500" s="1" t="n">
        <v>101133</v>
      </c>
      <c r="B500" s="1" t="n">
        <v>51542</v>
      </c>
      <c r="C500" s="1" t="n">
        <v>23</v>
      </c>
      <c r="D500" s="1" t="n">
        <v>9</v>
      </c>
      <c r="E500" s="1" t="str">
        <f aca="false">VLOOKUP(C500,Меню!$A$2:$C$24,2,FALSE())</f>
        <v>Пицца с тунцом</v>
      </c>
      <c r="F500" s="1" t="n">
        <f aca="false">VLOOKUP(C500,Меню!$A$2:$C$24,3,FALSE())</f>
        <v>520</v>
      </c>
      <c r="G500" s="5" t="n">
        <f aca="false">VLOOKUP(B500,Заказы!$A$2:$E$2995,2,FALSE())</f>
        <v>44014</v>
      </c>
      <c r="H500" s="1" t="n">
        <f aca="false">VLOOKUP(B500,Заказы!$A$2:$E$2995,3,FALSE())</f>
        <v>1209</v>
      </c>
      <c r="I500" s="1" t="str">
        <f aca="false">VLOOKUP(H500,Клиенты!$A$2:$E$1995,5,FALSE())</f>
        <v>г. Воткинск</v>
      </c>
      <c r="J500" s="1" t="n">
        <f aca="false">VLOOKUP(B500,Заказы!$A$2:$E$2995,4,FALSE())</f>
        <v>0</v>
      </c>
      <c r="K500" s="1" t="str">
        <f aca="false">VLOOKUP(B500,Заказы!$A$2:$E$2995,5,FALSE())</f>
        <v>Не выполнено</v>
      </c>
      <c r="L500" s="1" t="n">
        <f aca="false">D500*F500+J500</f>
        <v>4680</v>
      </c>
      <c r="M500" s="1" t="n">
        <f aca="false">IF(AND(E500="Пицца Труслейка",I500="г. Москва",K500="Выполнено",G500&gt;=DATE(2020,7,1),G500&lt;DATE(2020,8,1)),L500,0)</f>
        <v>0</v>
      </c>
    </row>
    <row r="501" customFormat="false" ht="15" hidden="false" customHeight="true" outlineLevel="0" collapsed="false">
      <c r="A501" s="1" t="n">
        <v>100190</v>
      </c>
      <c r="B501" s="1" t="n">
        <v>50700</v>
      </c>
      <c r="C501" s="1" t="n">
        <v>4</v>
      </c>
      <c r="D501" s="1" t="n">
        <v>3</v>
      </c>
      <c r="E501" s="1" t="str">
        <f aca="false">VLOOKUP(C501,Меню!$A$2:$C$24,2,FALSE())</f>
        <v>Пицца Труслейка</v>
      </c>
      <c r="F501" s="1" t="n">
        <f aca="false">VLOOKUP(C501,Меню!$A$2:$C$24,3,FALSE())</f>
        <v>610</v>
      </c>
      <c r="G501" s="5" t="n">
        <f aca="false">VLOOKUP(B501,Заказы!$A$2:$E$2995,2,FALSE())</f>
        <v>44057</v>
      </c>
      <c r="H501" s="1" t="n">
        <f aca="false">VLOOKUP(B501,Заказы!$A$2:$E$2995,3,FALSE())</f>
        <v>458</v>
      </c>
      <c r="I501" s="1" t="str">
        <f aca="false">VLOOKUP(H501,Клиенты!$A$2:$E$1995,5,FALSE())</f>
        <v>г. Отрадный</v>
      </c>
      <c r="J501" s="1" t="n">
        <f aca="false">VLOOKUP(B501,Заказы!$A$2:$E$2995,4,FALSE())</f>
        <v>0</v>
      </c>
      <c r="K501" s="1" t="str">
        <f aca="false">VLOOKUP(B501,Заказы!$A$2:$E$2995,5,FALSE())</f>
        <v>Не выполнено</v>
      </c>
      <c r="L501" s="1" t="n">
        <f aca="false">D501*F501+J501</f>
        <v>1830</v>
      </c>
      <c r="M501" s="1" t="n">
        <f aca="false">IF(AND(E501="Пицца Труслейка",I501="г. Москва",K501="Выполнено",G501&gt;=DATE(2020,7,1),G501&lt;DATE(2020,8,1)),L501,0)</f>
        <v>0</v>
      </c>
    </row>
    <row r="502" customFormat="false" ht="15" hidden="false" customHeight="true" outlineLevel="0" collapsed="false">
      <c r="A502" s="1" t="n">
        <v>100014</v>
      </c>
      <c r="B502" s="1" t="n">
        <v>50771</v>
      </c>
      <c r="C502" s="1" t="n">
        <v>8</v>
      </c>
      <c r="D502" s="1" t="n">
        <v>4</v>
      </c>
      <c r="E502" s="1" t="str">
        <f aca="false">VLOOKUP(C502,Меню!$A$2:$C$24,2,FALSE())</f>
        <v>Пицца Мясная</v>
      </c>
      <c r="F502" s="1" t="n">
        <f aca="false">VLOOKUP(C502,Меню!$A$2:$C$24,3,FALSE())</f>
        <v>615</v>
      </c>
      <c r="G502" s="5" t="n">
        <f aca="false">VLOOKUP(B502,Заказы!$A$2:$E$2995,2,FALSE())</f>
        <v>44045</v>
      </c>
      <c r="H502" s="1" t="n">
        <f aca="false">VLOOKUP(B502,Заказы!$A$2:$E$2995,3,FALSE())</f>
        <v>1125</v>
      </c>
      <c r="I502" s="1" t="str">
        <f aca="false">VLOOKUP(H502,Клиенты!$A$2:$E$1995,5,FALSE())</f>
        <v>г. Шали</v>
      </c>
      <c r="J502" s="1" t="n">
        <f aca="false">VLOOKUP(B502,Заказы!$A$2:$E$2995,4,FALSE())</f>
        <v>0</v>
      </c>
      <c r="K502" s="1" t="str">
        <f aca="false">VLOOKUP(B502,Заказы!$A$2:$E$2995,5,FALSE())</f>
        <v>Не выполнено</v>
      </c>
      <c r="L502" s="1" t="n">
        <f aca="false">D502*F502+J502</f>
        <v>2460</v>
      </c>
      <c r="M502" s="1" t="n">
        <f aca="false">IF(AND(E502="Пицца Труслейка",I502="г. Москва",K502="Выполнено",G502&gt;=DATE(2020,7,1),G502&lt;DATE(2020,8,1)),L502,0)</f>
        <v>0</v>
      </c>
    </row>
    <row r="503" customFormat="false" ht="15" hidden="false" customHeight="true" outlineLevel="0" collapsed="false">
      <c r="A503" s="1" t="n">
        <v>100855</v>
      </c>
      <c r="B503" s="1" t="n">
        <v>51629</v>
      </c>
      <c r="C503" s="1" t="n">
        <v>8</v>
      </c>
      <c r="D503" s="1" t="n">
        <v>3</v>
      </c>
      <c r="E503" s="1" t="str">
        <f aca="false">VLOOKUP(C503,Меню!$A$2:$C$24,2,FALSE())</f>
        <v>Пицца Мясная</v>
      </c>
      <c r="F503" s="1" t="n">
        <f aca="false">VLOOKUP(C503,Меню!$A$2:$C$24,3,FALSE())</f>
        <v>615</v>
      </c>
      <c r="G503" s="5" t="n">
        <f aca="false">VLOOKUP(B503,Заказы!$A$2:$E$2995,2,FALSE())</f>
        <v>44065</v>
      </c>
      <c r="H503" s="1" t="n">
        <f aca="false">VLOOKUP(B503,Заказы!$A$2:$E$2995,3,FALSE())</f>
        <v>1605</v>
      </c>
      <c r="I503" s="1" t="str">
        <f aca="false">VLOOKUP(H503,Клиенты!$A$2:$E$1995,5,FALSE())</f>
        <v>г. Ливны</v>
      </c>
      <c r="J503" s="1" t="n">
        <f aca="false">VLOOKUP(B503,Заказы!$A$2:$E$2995,4,FALSE())</f>
        <v>896</v>
      </c>
      <c r="K503" s="1" t="str">
        <f aca="false">VLOOKUP(B503,Заказы!$A$2:$E$2995,5,FALSE())</f>
        <v>Выполнено</v>
      </c>
      <c r="L503" s="1" t="n">
        <f aca="false">D503*F503+J503</f>
        <v>2741</v>
      </c>
      <c r="M503" s="1" t="n">
        <f aca="false">IF(AND(E503="Пицца Труслейка",I503="г. Москва",K503="Выполнено",G503&gt;=DATE(2020,7,1),G503&lt;DATE(2020,8,1)),L503,0)</f>
        <v>0</v>
      </c>
    </row>
    <row r="504" customFormat="false" ht="15" hidden="false" customHeight="true" outlineLevel="0" collapsed="false">
      <c r="A504" s="1" t="n">
        <v>100103</v>
      </c>
      <c r="B504" s="1" t="n">
        <v>50449</v>
      </c>
      <c r="C504" s="1" t="n">
        <v>19</v>
      </c>
      <c r="D504" s="1" t="n">
        <v>2</v>
      </c>
      <c r="E504" s="1" t="str">
        <f aca="false">VLOOKUP(C504,Меню!$A$2:$C$24,2,FALSE())</f>
        <v>Пицца Цезарь</v>
      </c>
      <c r="F504" s="1" t="n">
        <f aca="false">VLOOKUP(C504,Меню!$A$2:$C$24,3,FALSE())</f>
        <v>630</v>
      </c>
      <c r="G504" s="5" t="n">
        <f aca="false">VLOOKUP(B504,Заказы!$A$2:$E$2995,2,FALSE())</f>
        <v>44025</v>
      </c>
      <c r="H504" s="1" t="n">
        <f aca="false">VLOOKUP(B504,Заказы!$A$2:$E$2995,3,FALSE())</f>
        <v>1782</v>
      </c>
      <c r="I504" s="1" t="str">
        <f aca="false">VLOOKUP(H504,Клиенты!$A$2:$E$1995,5,FALSE())</f>
        <v>г. Галич</v>
      </c>
      <c r="J504" s="1" t="n">
        <f aca="false">VLOOKUP(B504,Заказы!$A$2:$E$2995,4,FALSE())</f>
        <v>303</v>
      </c>
      <c r="K504" s="1" t="str">
        <f aca="false">VLOOKUP(B504,Заказы!$A$2:$E$2995,5,FALSE())</f>
        <v>Выполнено</v>
      </c>
      <c r="L504" s="1" t="n">
        <f aca="false">D504*F504+J504</f>
        <v>1563</v>
      </c>
      <c r="M504" s="1" t="n">
        <f aca="false">IF(AND(E504="Пицца Труслейка",I504="г. Москва",K504="Выполнено",G504&gt;=DATE(2020,7,1),G504&lt;DATE(2020,8,1)),L504,0)</f>
        <v>0</v>
      </c>
    </row>
    <row r="505" customFormat="false" ht="15" hidden="false" customHeight="true" outlineLevel="0" collapsed="false">
      <c r="A505" s="1" t="n">
        <v>101274</v>
      </c>
      <c r="B505" s="1" t="n">
        <v>50618</v>
      </c>
      <c r="C505" s="1" t="n">
        <v>19</v>
      </c>
      <c r="D505" s="1" t="n">
        <v>5</v>
      </c>
      <c r="E505" s="1" t="str">
        <f aca="false">VLOOKUP(C505,Меню!$A$2:$C$24,2,FALSE())</f>
        <v>Пицца Цезарь</v>
      </c>
      <c r="F505" s="1" t="n">
        <f aca="false">VLOOKUP(C505,Меню!$A$2:$C$24,3,FALSE())</f>
        <v>630</v>
      </c>
      <c r="G505" s="5" t="n">
        <f aca="false">VLOOKUP(B505,Заказы!$A$2:$E$2995,2,FALSE())</f>
        <v>44024</v>
      </c>
      <c r="H505" s="1" t="n">
        <f aca="false">VLOOKUP(B505,Заказы!$A$2:$E$2995,3,FALSE())</f>
        <v>1362</v>
      </c>
      <c r="I505" s="1" t="str">
        <f aca="false">VLOOKUP(H505,Клиенты!$A$2:$E$1995,5,FALSE())</f>
        <v>г. Рошаль</v>
      </c>
      <c r="J505" s="1" t="n">
        <f aca="false">VLOOKUP(B505,Заказы!$A$2:$E$2995,4,FALSE())</f>
        <v>0</v>
      </c>
      <c r="K505" s="1" t="str">
        <f aca="false">VLOOKUP(B505,Заказы!$A$2:$E$2995,5,FALSE())</f>
        <v>Не выполнено</v>
      </c>
      <c r="L505" s="1" t="n">
        <f aca="false">D505*F505+J505</f>
        <v>3150</v>
      </c>
      <c r="M505" s="1" t="n">
        <f aca="false">IF(AND(E505="Пицца Труслейка",I505="г. Москва",K505="Выполнено",G505&gt;=DATE(2020,7,1),G505&lt;DATE(2020,8,1)),L505,0)</f>
        <v>0</v>
      </c>
    </row>
    <row r="506" customFormat="false" ht="15" hidden="false" customHeight="true" outlineLevel="0" collapsed="false">
      <c r="A506" s="1" t="n">
        <v>101686</v>
      </c>
      <c r="B506" s="1" t="n">
        <v>50153</v>
      </c>
      <c r="C506" s="1" t="n">
        <v>11</v>
      </c>
      <c r="D506" s="1" t="n">
        <v>5</v>
      </c>
      <c r="E506" s="1" t="str">
        <f aca="false">VLOOKUP(C506,Меню!$A$2:$C$24,2,FALSE())</f>
        <v>Пицца Песто</v>
      </c>
      <c r="F506" s="1" t="n">
        <f aca="false">VLOOKUP(C506,Меню!$A$2:$C$24,3,FALSE())</f>
        <v>530</v>
      </c>
      <c r="G506" s="5" t="n">
        <f aca="false">VLOOKUP(B506,Заказы!$A$2:$E$2995,2,FALSE())</f>
        <v>44048</v>
      </c>
      <c r="H506" s="1" t="n">
        <f aca="false">VLOOKUP(B506,Заказы!$A$2:$E$2995,3,FALSE())</f>
        <v>315</v>
      </c>
      <c r="I506" s="1" t="str">
        <f aca="false">VLOOKUP(H506,Клиенты!$A$2:$E$1995,5,FALSE())</f>
        <v>г. Яранск</v>
      </c>
      <c r="J506" s="1" t="n">
        <f aca="false">VLOOKUP(B506,Заказы!$A$2:$E$2995,4,FALSE())</f>
        <v>0</v>
      </c>
      <c r="K506" s="1" t="str">
        <f aca="false">VLOOKUP(B506,Заказы!$A$2:$E$2995,5,FALSE())</f>
        <v>Не выполнено</v>
      </c>
      <c r="L506" s="1" t="n">
        <f aca="false">D506*F506+J506</f>
        <v>2650</v>
      </c>
      <c r="M506" s="1" t="n">
        <f aca="false">IF(AND(E506="Пицца Труслейка",I506="г. Москва",K506="Выполнено",G506&gt;=DATE(2020,7,1),G506&lt;DATE(2020,8,1)),L506,0)</f>
        <v>0</v>
      </c>
    </row>
    <row r="507" customFormat="false" ht="15" hidden="false" customHeight="true" outlineLevel="0" collapsed="false">
      <c r="A507" s="1" t="n">
        <v>100309</v>
      </c>
      <c r="B507" s="1" t="n">
        <v>50908</v>
      </c>
      <c r="C507" s="1" t="n">
        <v>10</v>
      </c>
      <c r="D507" s="1" t="n">
        <v>10</v>
      </c>
      <c r="E507" s="1" t="str">
        <f aca="false">VLOOKUP(C507,Меню!$A$2:$C$24,2,FALSE())</f>
        <v>Пицца Пепперони фреш</v>
      </c>
      <c r="F507" s="1" t="n">
        <f aca="false">VLOOKUP(C507,Меню!$A$2:$C$24,3,FALSE())</f>
        <v>565</v>
      </c>
      <c r="G507" s="5" t="n">
        <f aca="false">VLOOKUP(B507,Заказы!$A$2:$E$2995,2,FALSE())</f>
        <v>44071</v>
      </c>
      <c r="H507" s="1" t="n">
        <f aca="false">VLOOKUP(B507,Заказы!$A$2:$E$2995,3,FALSE())</f>
        <v>1909</v>
      </c>
      <c r="I507" s="1" t="str">
        <f aca="false">VLOOKUP(H507,Клиенты!$A$2:$E$1995,5,FALSE())</f>
        <v>г. Туринск</v>
      </c>
      <c r="J507" s="1" t="n">
        <f aca="false">VLOOKUP(B507,Заказы!$A$2:$E$2995,4,FALSE())</f>
        <v>0</v>
      </c>
      <c r="K507" s="1" t="str">
        <f aca="false">VLOOKUP(B507,Заказы!$A$2:$E$2995,5,FALSE())</f>
        <v>Не выполнено</v>
      </c>
      <c r="L507" s="1" t="n">
        <f aca="false">D507*F507+J507</f>
        <v>5650</v>
      </c>
      <c r="M507" s="1" t="n">
        <f aca="false">IF(AND(E507="Пицца Труслейка",I507="г. Москва",K507="Выполнено",G507&gt;=DATE(2020,7,1),G507&lt;DATE(2020,8,1)),L507,0)</f>
        <v>0</v>
      </c>
    </row>
    <row r="508" customFormat="false" ht="15" hidden="false" customHeight="true" outlineLevel="0" collapsed="false">
      <c r="A508" s="1" t="n">
        <v>101678</v>
      </c>
      <c r="B508" s="1" t="n">
        <v>51815</v>
      </c>
      <c r="C508" s="1" t="n">
        <v>14</v>
      </c>
      <c r="D508" s="1" t="n">
        <v>3</v>
      </c>
      <c r="E508" s="1" t="str">
        <f aca="false">VLOOKUP(C508,Меню!$A$2:$C$24,2,FALSE())</f>
        <v>Пицца Сырный цыпленок</v>
      </c>
      <c r="F508" s="1" t="n">
        <f aca="false">VLOOKUP(C508,Меню!$A$2:$C$24,3,FALSE())</f>
        <v>555</v>
      </c>
      <c r="G508" s="5" t="n">
        <f aca="false">VLOOKUP(B508,Заказы!$A$2:$E$2995,2,FALSE())</f>
        <v>44058</v>
      </c>
      <c r="H508" s="1" t="n">
        <f aca="false">VLOOKUP(B508,Заказы!$A$2:$E$2995,3,FALSE())</f>
        <v>1811</v>
      </c>
      <c r="I508" s="1" t="str">
        <f aca="false">VLOOKUP(H508,Клиенты!$A$2:$E$1995,5,FALSE())</f>
        <v>г. Северск</v>
      </c>
      <c r="J508" s="1" t="n">
        <f aca="false">VLOOKUP(B508,Заказы!$A$2:$E$2995,4,FALSE())</f>
        <v>541</v>
      </c>
      <c r="K508" s="1" t="str">
        <f aca="false">VLOOKUP(B508,Заказы!$A$2:$E$2995,5,FALSE())</f>
        <v>Выполнено</v>
      </c>
      <c r="L508" s="1" t="n">
        <f aca="false">D508*F508+J508</f>
        <v>2206</v>
      </c>
      <c r="M508" s="1" t="n">
        <f aca="false">IF(AND(E508="Пицца Труслейка",I508="г. Москва",K508="Выполнено",G508&gt;=DATE(2020,7,1),G508&lt;DATE(2020,8,1)),L508,0)</f>
        <v>0</v>
      </c>
    </row>
    <row r="509" customFormat="false" ht="15" hidden="false" customHeight="true" outlineLevel="0" collapsed="false">
      <c r="A509" s="1" t="n">
        <v>100182</v>
      </c>
      <c r="B509" s="1" t="n">
        <v>51763</v>
      </c>
      <c r="C509" s="1" t="n">
        <v>1</v>
      </c>
      <c r="D509" s="1" t="n">
        <v>4</v>
      </c>
      <c r="E509" s="1" t="str">
        <f aca="false">VLOOKUP(C509,Меню!$A$2:$C$24,2,FALSE())</f>
        <v>Пицца Гавайская</v>
      </c>
      <c r="F509" s="1" t="n">
        <f aca="false">VLOOKUP(C509,Меню!$A$2:$C$24,3,FALSE())</f>
        <v>545</v>
      </c>
      <c r="G509" s="5" t="n">
        <f aca="false">VLOOKUP(B509,Заказы!$A$2:$E$2995,2,FALSE())</f>
        <v>44043</v>
      </c>
      <c r="H509" s="1" t="n">
        <f aca="false">VLOOKUP(B509,Заказы!$A$2:$E$2995,3,FALSE())</f>
        <v>156</v>
      </c>
      <c r="I509" s="1" t="str">
        <f aca="false">VLOOKUP(H509,Клиенты!$A$2:$E$1995,5,FALSE())</f>
        <v>г. Славгород</v>
      </c>
      <c r="J509" s="1" t="n">
        <f aca="false">VLOOKUP(B509,Заказы!$A$2:$E$2995,4,FALSE())</f>
        <v>0</v>
      </c>
      <c r="K509" s="1" t="str">
        <f aca="false">VLOOKUP(B509,Заказы!$A$2:$E$2995,5,FALSE())</f>
        <v>Не выполнено</v>
      </c>
      <c r="L509" s="1" t="n">
        <f aca="false">D509*F509+J509</f>
        <v>2180</v>
      </c>
      <c r="M509" s="1" t="n">
        <f aca="false">IF(AND(E509="Пицца Труслейка",I509="г. Москва",K509="Выполнено",G509&gt;=DATE(2020,7,1),G509&lt;DATE(2020,8,1)),L509,0)</f>
        <v>0</v>
      </c>
    </row>
    <row r="510" customFormat="false" ht="15" hidden="false" customHeight="true" outlineLevel="0" collapsed="false">
      <c r="A510" s="1" t="n">
        <v>101647</v>
      </c>
      <c r="B510" s="1" t="n">
        <v>51157</v>
      </c>
      <c r="C510" s="1" t="n">
        <v>22</v>
      </c>
      <c r="D510" s="1" t="n">
        <v>1</v>
      </c>
      <c r="E510" s="1" t="str">
        <f aca="false">VLOOKUP(C510,Меню!$A$2:$C$24,2,FALSE())</f>
        <v>Пицца с поркеттой и фриарелли</v>
      </c>
      <c r="F510" s="1" t="n">
        <f aca="false">VLOOKUP(C510,Меню!$A$2:$C$24,3,FALSE())</f>
        <v>550</v>
      </c>
      <c r="G510" s="5" t="n">
        <f aca="false">VLOOKUP(B510,Заказы!$A$2:$E$2995,2,FALSE())</f>
        <v>44070</v>
      </c>
      <c r="H510" s="1" t="n">
        <f aca="false">VLOOKUP(B510,Заказы!$A$2:$E$2995,3,FALSE())</f>
        <v>709</v>
      </c>
      <c r="I510" s="1" t="str">
        <f aca="false">VLOOKUP(H510,Клиенты!$A$2:$E$1995,5,FALSE())</f>
        <v>г. Белогорск</v>
      </c>
      <c r="J510" s="1" t="n">
        <f aca="false">VLOOKUP(B510,Заказы!$A$2:$E$2995,4,FALSE())</f>
        <v>560</v>
      </c>
      <c r="K510" s="1" t="str">
        <f aca="false">VLOOKUP(B510,Заказы!$A$2:$E$2995,5,FALSE())</f>
        <v>Выполнено</v>
      </c>
      <c r="L510" s="1" t="n">
        <f aca="false">D510*F510+J510</f>
        <v>1110</v>
      </c>
      <c r="M510" s="1" t="n">
        <f aca="false">IF(AND(E510="Пицца Труслейка",I510="г. Москва",K510="Выполнено",G510&gt;=DATE(2020,7,1),G510&lt;DATE(2020,8,1)),L510,0)</f>
        <v>0</v>
      </c>
    </row>
    <row r="511" customFormat="false" ht="15" hidden="false" customHeight="true" outlineLevel="0" collapsed="false">
      <c r="A511" s="1" t="n">
        <v>100591</v>
      </c>
      <c r="B511" s="1" t="n">
        <v>51346</v>
      </c>
      <c r="C511" s="1" t="n">
        <v>4</v>
      </c>
      <c r="D511" s="1" t="n">
        <v>7</v>
      </c>
      <c r="E511" s="1" t="str">
        <f aca="false">VLOOKUP(C511,Меню!$A$2:$C$24,2,FALSE())</f>
        <v>Пицца Труслейка</v>
      </c>
      <c r="F511" s="1" t="n">
        <f aca="false">VLOOKUP(C511,Меню!$A$2:$C$24,3,FALSE())</f>
        <v>610</v>
      </c>
      <c r="G511" s="5" t="n">
        <f aca="false">VLOOKUP(B511,Заказы!$A$2:$E$2995,2,FALSE())</f>
        <v>43983</v>
      </c>
      <c r="H511" s="1" t="n">
        <f aca="false">VLOOKUP(B511,Заказы!$A$2:$E$2995,3,FALSE())</f>
        <v>788</v>
      </c>
      <c r="I511" s="1" t="str">
        <f aca="false">VLOOKUP(H511,Клиенты!$A$2:$E$1995,5,FALSE())</f>
        <v>г. Голицыно</v>
      </c>
      <c r="J511" s="1" t="n">
        <f aca="false">VLOOKUP(B511,Заказы!$A$2:$E$2995,4,FALSE())</f>
        <v>475</v>
      </c>
      <c r="K511" s="1" t="str">
        <f aca="false">VLOOKUP(B511,Заказы!$A$2:$E$2995,5,FALSE())</f>
        <v>Выполнено</v>
      </c>
      <c r="L511" s="1" t="n">
        <f aca="false">D511*F511+J511</f>
        <v>4745</v>
      </c>
      <c r="M511" s="1" t="n">
        <f aca="false">IF(AND(E511="Пицца Труслейка",I511="г. Москва",K511="Выполнено",G511&gt;=DATE(2020,7,1),G511&lt;DATE(2020,8,1)),L511,0)</f>
        <v>0</v>
      </c>
    </row>
    <row r="512" customFormat="false" ht="15" hidden="false" customHeight="true" outlineLevel="0" collapsed="false">
      <c r="A512" s="1" t="n">
        <v>100322</v>
      </c>
      <c r="B512" s="1" t="n">
        <v>51615</v>
      </c>
      <c r="C512" s="1" t="n">
        <v>22</v>
      </c>
      <c r="D512" s="1" t="n">
        <v>2</v>
      </c>
      <c r="E512" s="1" t="str">
        <f aca="false">VLOOKUP(C512,Меню!$A$2:$C$24,2,FALSE())</f>
        <v>Пицца с поркеттой и фриарелли</v>
      </c>
      <c r="F512" s="1" t="n">
        <f aca="false">VLOOKUP(C512,Меню!$A$2:$C$24,3,FALSE())</f>
        <v>550</v>
      </c>
      <c r="G512" s="5" t="n">
        <f aca="false">VLOOKUP(B512,Заказы!$A$2:$E$2995,2,FALSE())</f>
        <v>44026</v>
      </c>
      <c r="H512" s="1" t="n">
        <f aca="false">VLOOKUP(B512,Заказы!$A$2:$E$2995,3,FALSE())</f>
        <v>1933</v>
      </c>
      <c r="I512" s="1" t="str">
        <f aca="false">VLOOKUP(H512,Клиенты!$A$2:$E$1995,5,FALSE())</f>
        <v>г. Вязьма</v>
      </c>
      <c r="J512" s="1" t="n">
        <f aca="false">VLOOKUP(B512,Заказы!$A$2:$E$2995,4,FALSE())</f>
        <v>0</v>
      </c>
      <c r="K512" s="1" t="str">
        <f aca="false">VLOOKUP(B512,Заказы!$A$2:$E$2995,5,FALSE())</f>
        <v>Не выполнено</v>
      </c>
      <c r="L512" s="1" t="n">
        <f aca="false">D512*F512+J512</f>
        <v>1100</v>
      </c>
      <c r="M512" s="1" t="n">
        <f aca="false">IF(AND(E512="Пицца Труслейка",I512="г. Москва",K512="Выполнено",G512&gt;=DATE(2020,7,1),G512&lt;DATE(2020,8,1)),L512,0)</f>
        <v>0</v>
      </c>
    </row>
    <row r="513" customFormat="false" ht="15" hidden="false" customHeight="true" outlineLevel="0" collapsed="false">
      <c r="A513" s="1" t="n">
        <v>100034</v>
      </c>
      <c r="B513" s="1" t="n">
        <v>50550</v>
      </c>
      <c r="C513" s="1" t="n">
        <v>16</v>
      </c>
      <c r="D513" s="1" t="n">
        <v>2</v>
      </c>
      <c r="E513" s="1" t="str">
        <f aca="false">VLOOKUP(C513,Меню!$A$2:$C$24,2,FALSE())</f>
        <v>Пицца Флорида</v>
      </c>
      <c r="F513" s="1" t="n">
        <f aca="false">VLOOKUP(C513,Меню!$A$2:$C$24,3,FALSE())</f>
        <v>535</v>
      </c>
      <c r="G513" s="5" t="n">
        <f aca="false">VLOOKUP(B513,Заказы!$A$2:$E$2995,2,FALSE())</f>
        <v>44063</v>
      </c>
      <c r="H513" s="1" t="n">
        <f aca="false">VLOOKUP(B513,Заказы!$A$2:$E$2995,3,FALSE())</f>
        <v>1827</v>
      </c>
      <c r="I513" s="1" t="str">
        <f aca="false">VLOOKUP(H513,Клиенты!$A$2:$E$1995,5,FALSE())</f>
        <v>г. Шлиссельбург</v>
      </c>
      <c r="J513" s="1" t="n">
        <f aca="false">VLOOKUP(B513,Заказы!$A$2:$E$2995,4,FALSE())</f>
        <v>637</v>
      </c>
      <c r="K513" s="1" t="str">
        <f aca="false">VLOOKUP(B513,Заказы!$A$2:$E$2995,5,FALSE())</f>
        <v>Выполнено</v>
      </c>
      <c r="L513" s="1" t="n">
        <f aca="false">D513*F513+J513</f>
        <v>1707</v>
      </c>
      <c r="M513" s="1" t="n">
        <f aca="false">IF(AND(E513="Пицца Труслейка",I513="г. Москва",K513="Выполнено",G513&gt;=DATE(2020,7,1),G513&lt;DATE(2020,8,1)),L513,0)</f>
        <v>0</v>
      </c>
    </row>
    <row r="514" customFormat="false" ht="15" hidden="false" customHeight="true" outlineLevel="0" collapsed="false">
      <c r="A514" s="1" t="n">
        <v>100836</v>
      </c>
      <c r="B514" s="1" t="n">
        <v>51535</v>
      </c>
      <c r="C514" s="1" t="n">
        <v>14</v>
      </c>
      <c r="D514" s="1" t="n">
        <v>10</v>
      </c>
      <c r="E514" s="1" t="str">
        <f aca="false">VLOOKUP(C514,Меню!$A$2:$C$24,2,FALSE())</f>
        <v>Пицца Сырный цыпленок</v>
      </c>
      <c r="F514" s="1" t="n">
        <f aca="false">VLOOKUP(C514,Меню!$A$2:$C$24,3,FALSE())</f>
        <v>555</v>
      </c>
      <c r="G514" s="5" t="n">
        <f aca="false">VLOOKUP(B514,Заказы!$A$2:$E$2995,2,FALSE())</f>
        <v>44009</v>
      </c>
      <c r="H514" s="1" t="n">
        <f aca="false">VLOOKUP(B514,Заказы!$A$2:$E$2995,3,FALSE())</f>
        <v>1329</v>
      </c>
      <c r="I514" s="1" t="str">
        <f aca="false">VLOOKUP(H514,Клиенты!$A$2:$E$1995,5,FALSE())</f>
        <v>г. Урюпинск</v>
      </c>
      <c r="J514" s="1" t="n">
        <f aca="false">VLOOKUP(B514,Заказы!$A$2:$E$2995,4,FALSE())</f>
        <v>722</v>
      </c>
      <c r="K514" s="1" t="str">
        <f aca="false">VLOOKUP(B514,Заказы!$A$2:$E$2995,5,FALSE())</f>
        <v>Выполнено</v>
      </c>
      <c r="L514" s="1" t="n">
        <f aca="false">D514*F514+J514</f>
        <v>6272</v>
      </c>
      <c r="M514" s="1" t="n">
        <f aca="false">IF(AND(E514="Пицца Труслейка",I514="г. Москва",K514="Выполнено",G514&gt;=DATE(2020,7,1),G514&lt;DATE(2020,8,1)),L514,0)</f>
        <v>0</v>
      </c>
    </row>
    <row r="515" customFormat="false" ht="15" hidden="false" customHeight="true" outlineLevel="0" collapsed="false">
      <c r="A515" s="1" t="n">
        <v>101843</v>
      </c>
      <c r="B515" s="1" t="n">
        <v>50625</v>
      </c>
      <c r="C515" s="1" t="n">
        <v>4</v>
      </c>
      <c r="D515" s="1" t="n">
        <v>8</v>
      </c>
      <c r="E515" s="1" t="str">
        <f aca="false">VLOOKUP(C515,Меню!$A$2:$C$24,2,FALSE())</f>
        <v>Пицца Труслейка</v>
      </c>
      <c r="F515" s="1" t="n">
        <f aca="false">VLOOKUP(C515,Меню!$A$2:$C$24,3,FALSE())</f>
        <v>610</v>
      </c>
      <c r="G515" s="5" t="n">
        <f aca="false">VLOOKUP(B515,Заказы!$A$2:$E$2995,2,FALSE())</f>
        <v>44028</v>
      </c>
      <c r="H515" s="1" t="n">
        <f aca="false">VLOOKUP(B515,Заказы!$A$2:$E$2995,3,FALSE())</f>
        <v>444</v>
      </c>
      <c r="I515" s="1" t="str">
        <f aca="false">VLOOKUP(H515,Клиенты!$A$2:$E$1995,5,FALSE())</f>
        <v>г. Луга</v>
      </c>
      <c r="J515" s="1" t="n">
        <f aca="false">VLOOKUP(B515,Заказы!$A$2:$E$2995,4,FALSE())</f>
        <v>830</v>
      </c>
      <c r="K515" s="1" t="str">
        <f aca="false">VLOOKUP(B515,Заказы!$A$2:$E$2995,5,FALSE())</f>
        <v>Выполнено</v>
      </c>
      <c r="L515" s="1" t="n">
        <f aca="false">D515*F515+J515</f>
        <v>5710</v>
      </c>
      <c r="M515" s="1" t="n">
        <f aca="false">IF(AND(E515="Пицца Труслейка",I515="г. Москва",K515="Выполнено",G515&gt;=DATE(2020,7,1),G515&lt;DATE(2020,8,1)),L515,0)</f>
        <v>0</v>
      </c>
    </row>
    <row r="516" customFormat="false" ht="15" hidden="false" customHeight="true" outlineLevel="0" collapsed="false">
      <c r="A516" s="1" t="n">
        <v>100820</v>
      </c>
      <c r="B516" s="1" t="n">
        <v>51718</v>
      </c>
      <c r="C516" s="1" t="n">
        <v>15</v>
      </c>
      <c r="D516" s="1" t="n">
        <v>1</v>
      </c>
      <c r="E516" s="1" t="str">
        <f aca="false">VLOOKUP(C516,Меню!$A$2:$C$24,2,FALSE())</f>
        <v>Пицца Тропиканка</v>
      </c>
      <c r="F516" s="1" t="n">
        <f aca="false">VLOOKUP(C516,Меню!$A$2:$C$24,3,FALSE())</f>
        <v>605</v>
      </c>
      <c r="G516" s="5" t="n">
        <f aca="false">VLOOKUP(B516,Заказы!$A$2:$E$2995,2,FALSE())</f>
        <v>44001</v>
      </c>
      <c r="H516" s="1" t="n">
        <f aca="false">VLOOKUP(B516,Заказы!$A$2:$E$2995,3,FALSE())</f>
        <v>765</v>
      </c>
      <c r="I516" s="1" t="str">
        <f aca="false">VLOOKUP(H516,Клиенты!$A$2:$E$1995,5,FALSE())</f>
        <v>г. Солигалич</v>
      </c>
      <c r="J516" s="1" t="n">
        <f aca="false">VLOOKUP(B516,Заказы!$A$2:$E$2995,4,FALSE())</f>
        <v>0</v>
      </c>
      <c r="K516" s="1" t="str">
        <f aca="false">VLOOKUP(B516,Заказы!$A$2:$E$2995,5,FALSE())</f>
        <v>Не выполнено</v>
      </c>
      <c r="L516" s="1" t="n">
        <f aca="false">D516*F516+J516</f>
        <v>605</v>
      </c>
      <c r="M516" s="1" t="n">
        <f aca="false">IF(AND(E516="Пицца Труслейка",I516="г. Москва",K516="Выполнено",G516&gt;=DATE(2020,7,1),G516&lt;DATE(2020,8,1)),L516,0)</f>
        <v>0</v>
      </c>
    </row>
    <row r="517" customFormat="false" ht="15" hidden="false" customHeight="true" outlineLevel="0" collapsed="false">
      <c r="A517" s="1" t="n">
        <v>100597</v>
      </c>
      <c r="B517" s="1" t="n">
        <v>50252</v>
      </c>
      <c r="C517" s="1" t="n">
        <v>7</v>
      </c>
      <c r="D517" s="1" t="n">
        <v>6</v>
      </c>
      <c r="E517" s="1" t="str">
        <f aca="false">VLOOKUP(C517,Меню!$A$2:$C$24,2,FALSE())</f>
        <v>Пицца Карбонара</v>
      </c>
      <c r="F517" s="1" t="n">
        <f aca="false">VLOOKUP(C517,Меню!$A$2:$C$24,3,FALSE())</f>
        <v>625</v>
      </c>
      <c r="G517" s="5" t="n">
        <f aca="false">VLOOKUP(B517,Заказы!$A$2:$E$2995,2,FALSE())</f>
        <v>44027</v>
      </c>
      <c r="H517" s="1" t="n">
        <f aca="false">VLOOKUP(B517,Заказы!$A$2:$E$2995,3,FALSE())</f>
        <v>1942</v>
      </c>
      <c r="I517" s="1" t="str">
        <f aca="false">VLOOKUP(H517,Клиенты!$A$2:$E$1995,5,FALSE())</f>
        <v>г. Шарыпово</v>
      </c>
      <c r="J517" s="1" t="n">
        <f aca="false">VLOOKUP(B517,Заказы!$A$2:$E$2995,4,FALSE())</f>
        <v>396</v>
      </c>
      <c r="K517" s="1" t="str">
        <f aca="false">VLOOKUP(B517,Заказы!$A$2:$E$2995,5,FALSE())</f>
        <v>Выполнено</v>
      </c>
      <c r="L517" s="1" t="n">
        <f aca="false">D517*F517+J517</f>
        <v>4146</v>
      </c>
      <c r="M517" s="1" t="n">
        <f aca="false">IF(AND(E517="Пицца Труслейка",I517="г. Москва",K517="Выполнено",G517&gt;=DATE(2020,7,1),G517&lt;DATE(2020,8,1)),L517,0)</f>
        <v>0</v>
      </c>
    </row>
    <row r="518" customFormat="false" ht="15" hidden="false" customHeight="true" outlineLevel="0" collapsed="false">
      <c r="A518" s="1" t="n">
        <v>100541</v>
      </c>
      <c r="B518" s="1" t="n">
        <v>51597</v>
      </c>
      <c r="C518" s="1" t="n">
        <v>7</v>
      </c>
      <c r="D518" s="1" t="n">
        <v>2</v>
      </c>
      <c r="E518" s="1" t="str">
        <f aca="false">VLOOKUP(C518,Меню!$A$2:$C$24,2,FALSE())</f>
        <v>Пицца Карбонара</v>
      </c>
      <c r="F518" s="1" t="n">
        <f aca="false">VLOOKUP(C518,Меню!$A$2:$C$24,3,FALSE())</f>
        <v>625</v>
      </c>
      <c r="G518" s="5" t="n">
        <f aca="false">VLOOKUP(B518,Заказы!$A$2:$E$2995,2,FALSE())</f>
        <v>44017</v>
      </c>
      <c r="H518" s="1" t="n">
        <f aca="false">VLOOKUP(B518,Заказы!$A$2:$E$2995,3,FALSE())</f>
        <v>1360</v>
      </c>
      <c r="I518" s="1" t="str">
        <f aca="false">VLOOKUP(H518,Клиенты!$A$2:$E$1995,5,FALSE())</f>
        <v>г. Москва</v>
      </c>
      <c r="J518" s="1" t="n">
        <f aca="false">VLOOKUP(B518,Заказы!$A$2:$E$2995,4,FALSE())</f>
        <v>760</v>
      </c>
      <c r="K518" s="1" t="str">
        <f aca="false">VLOOKUP(B518,Заказы!$A$2:$E$2995,5,FALSE())</f>
        <v>Выполнено</v>
      </c>
      <c r="L518" s="1" t="n">
        <f aca="false">D518*F518+J518</f>
        <v>2010</v>
      </c>
      <c r="M518" s="1" t="n">
        <f aca="false">IF(AND(E518="Пицца Труслейка",I518="г. Москва",K518="Выполнено",G518&gt;=DATE(2020,7,1),G518&lt;DATE(2020,8,1)),L518,0)</f>
        <v>0</v>
      </c>
    </row>
    <row r="519" customFormat="false" ht="15" hidden="false" customHeight="true" outlineLevel="0" collapsed="false">
      <c r="A519" s="1" t="n">
        <v>100990</v>
      </c>
      <c r="B519" s="1" t="n">
        <v>51862</v>
      </c>
      <c r="C519" s="1" t="n">
        <v>5</v>
      </c>
      <c r="D519" s="1" t="n">
        <v>8</v>
      </c>
      <c r="E519" s="1" t="str">
        <f aca="false">VLOOKUP(C519,Меню!$A$2:$C$24,2,FALSE())</f>
        <v>Пицца Жюльен</v>
      </c>
      <c r="F519" s="1" t="n">
        <f aca="false">VLOOKUP(C519,Меню!$A$2:$C$24,3,FALSE())</f>
        <v>580</v>
      </c>
      <c r="G519" s="5" t="n">
        <f aca="false">VLOOKUP(B519,Заказы!$A$2:$E$2995,2,FALSE())</f>
        <v>43993</v>
      </c>
      <c r="H519" s="1" t="n">
        <f aca="false">VLOOKUP(B519,Заказы!$A$2:$E$2995,3,FALSE())</f>
        <v>99</v>
      </c>
      <c r="I519" s="1" t="str">
        <f aca="false">VLOOKUP(H519,Клиенты!$A$2:$E$1995,5,FALSE())</f>
        <v>г. Луховицы</v>
      </c>
      <c r="J519" s="1" t="n">
        <f aca="false">VLOOKUP(B519,Заказы!$A$2:$E$2995,4,FALSE())</f>
        <v>185</v>
      </c>
      <c r="K519" s="1" t="str">
        <f aca="false">VLOOKUP(B519,Заказы!$A$2:$E$2995,5,FALSE())</f>
        <v>Выполнено</v>
      </c>
      <c r="L519" s="1" t="n">
        <f aca="false">D519*F519+J519</f>
        <v>4825</v>
      </c>
      <c r="M519" s="1" t="n">
        <f aca="false">IF(AND(E519="Пицца Труслейка",I519="г. Москва",K519="Выполнено",G519&gt;=DATE(2020,7,1),G519&lt;DATE(2020,8,1)),L519,0)</f>
        <v>0</v>
      </c>
    </row>
    <row r="520" customFormat="false" ht="15" hidden="false" customHeight="true" outlineLevel="0" collapsed="false">
      <c r="A520" s="1" t="n">
        <v>100660</v>
      </c>
      <c r="B520" s="1" t="n">
        <v>51900</v>
      </c>
      <c r="C520" s="1" t="n">
        <v>16</v>
      </c>
      <c r="D520" s="1" t="n">
        <v>4</v>
      </c>
      <c r="E520" s="1" t="str">
        <f aca="false">VLOOKUP(C520,Меню!$A$2:$C$24,2,FALSE())</f>
        <v>Пицца Флорида</v>
      </c>
      <c r="F520" s="1" t="n">
        <f aca="false">VLOOKUP(C520,Меню!$A$2:$C$24,3,FALSE())</f>
        <v>535</v>
      </c>
      <c r="G520" s="5" t="n">
        <f aca="false">VLOOKUP(B520,Заказы!$A$2:$E$2995,2,FALSE())</f>
        <v>43988</v>
      </c>
      <c r="H520" s="1" t="n">
        <f aca="false">VLOOKUP(B520,Заказы!$A$2:$E$2995,3,FALSE())</f>
        <v>1765</v>
      </c>
      <c r="I520" s="1" t="str">
        <f aca="false">VLOOKUP(H520,Клиенты!$A$2:$E$1995,5,FALSE())</f>
        <v>г. Новокубанск</v>
      </c>
      <c r="J520" s="1" t="n">
        <f aca="false">VLOOKUP(B520,Заказы!$A$2:$E$2995,4,FALSE())</f>
        <v>0</v>
      </c>
      <c r="K520" s="1" t="str">
        <f aca="false">VLOOKUP(B520,Заказы!$A$2:$E$2995,5,FALSE())</f>
        <v>Не выполнено</v>
      </c>
      <c r="L520" s="1" t="n">
        <f aca="false">D520*F520+J520</f>
        <v>2140</v>
      </c>
      <c r="M520" s="1" t="n">
        <f aca="false">IF(AND(E520="Пицца Труслейка",I520="г. Москва",K520="Выполнено",G520&gt;=DATE(2020,7,1),G520&lt;DATE(2020,8,1)),L520,0)</f>
        <v>0</v>
      </c>
    </row>
    <row r="521" customFormat="false" ht="15" hidden="false" customHeight="true" outlineLevel="0" collapsed="false">
      <c r="A521" s="1" t="n">
        <v>101757</v>
      </c>
      <c r="B521" s="1" t="n">
        <v>50396</v>
      </c>
      <c r="C521" s="1" t="n">
        <v>4</v>
      </c>
      <c r="D521" s="1" t="n">
        <v>6</v>
      </c>
      <c r="E521" s="1" t="str">
        <f aca="false">VLOOKUP(C521,Меню!$A$2:$C$24,2,FALSE())</f>
        <v>Пицца Труслейка</v>
      </c>
      <c r="F521" s="1" t="n">
        <f aca="false">VLOOKUP(C521,Меню!$A$2:$C$24,3,FALSE())</f>
        <v>610</v>
      </c>
      <c r="G521" s="5" t="n">
        <f aca="false">VLOOKUP(B521,Заказы!$A$2:$E$2995,2,FALSE())</f>
        <v>44033</v>
      </c>
      <c r="H521" s="1" t="n">
        <f aca="false">VLOOKUP(B521,Заказы!$A$2:$E$2995,3,FALSE())</f>
        <v>247</v>
      </c>
      <c r="I521" s="1" t="str">
        <f aca="false">VLOOKUP(H521,Клиенты!$A$2:$E$1995,5,FALSE())</f>
        <v>г. Ельня</v>
      </c>
      <c r="J521" s="1" t="n">
        <f aca="false">VLOOKUP(B521,Заказы!$A$2:$E$2995,4,FALSE())</f>
        <v>223</v>
      </c>
      <c r="K521" s="1" t="str">
        <f aca="false">VLOOKUP(B521,Заказы!$A$2:$E$2995,5,FALSE())</f>
        <v>Выполнено</v>
      </c>
      <c r="L521" s="1" t="n">
        <f aca="false">D521*F521+J521</f>
        <v>3883</v>
      </c>
      <c r="M521" s="1" t="n">
        <f aca="false">IF(AND(E521="Пицца Труслейка",I521="г. Москва",K521="Выполнено",G521&gt;=DATE(2020,7,1),G521&lt;DATE(2020,8,1)),L521,0)</f>
        <v>0</v>
      </c>
    </row>
    <row r="522" customFormat="false" ht="15" hidden="false" customHeight="true" outlineLevel="0" collapsed="false">
      <c r="A522" s="1" t="n">
        <v>100945</v>
      </c>
      <c r="B522" s="1" t="n">
        <v>51427</v>
      </c>
      <c r="C522" s="1" t="n">
        <v>8</v>
      </c>
      <c r="D522" s="1" t="n">
        <v>8</v>
      </c>
      <c r="E522" s="1" t="str">
        <f aca="false">VLOOKUP(C522,Меню!$A$2:$C$24,2,FALSE())</f>
        <v>Пицца Мясная</v>
      </c>
      <c r="F522" s="1" t="n">
        <f aca="false">VLOOKUP(C522,Меню!$A$2:$C$24,3,FALSE())</f>
        <v>615</v>
      </c>
      <c r="G522" s="5" t="n">
        <f aca="false">VLOOKUP(B522,Заказы!$A$2:$E$2995,2,FALSE())</f>
        <v>44059</v>
      </c>
      <c r="H522" s="1" t="n">
        <f aca="false">VLOOKUP(B522,Заказы!$A$2:$E$2995,3,FALSE())</f>
        <v>325</v>
      </c>
      <c r="I522" s="1" t="str">
        <f aca="false">VLOOKUP(H522,Клиенты!$A$2:$E$1995,5,FALSE())</f>
        <v>г. Заозёрный</v>
      </c>
      <c r="J522" s="1" t="n">
        <f aca="false">VLOOKUP(B522,Заказы!$A$2:$E$2995,4,FALSE())</f>
        <v>452</v>
      </c>
      <c r="K522" s="1" t="str">
        <f aca="false">VLOOKUP(B522,Заказы!$A$2:$E$2995,5,FALSE())</f>
        <v>Выполнено</v>
      </c>
      <c r="L522" s="1" t="n">
        <f aca="false">D522*F522+J522</f>
        <v>5372</v>
      </c>
      <c r="M522" s="1" t="n">
        <f aca="false">IF(AND(E522="Пицца Труслейка",I522="г. Москва",K522="Выполнено",G522&gt;=DATE(2020,7,1),G522&lt;DATE(2020,8,1)),L522,0)</f>
        <v>0</v>
      </c>
    </row>
    <row r="523" customFormat="false" ht="15" hidden="false" customHeight="true" outlineLevel="0" collapsed="false">
      <c r="A523" s="1" t="n">
        <v>101008</v>
      </c>
      <c r="B523" s="1" t="n">
        <v>51124</v>
      </c>
      <c r="C523" s="1" t="n">
        <v>13</v>
      </c>
      <c r="D523" s="1" t="n">
        <v>1</v>
      </c>
      <c r="E523" s="1" t="str">
        <f aca="false">VLOOKUP(C523,Меню!$A$2:$C$24,2,FALSE())</f>
        <v>Пицца Сырная</v>
      </c>
      <c r="F523" s="1" t="n">
        <f aca="false">VLOOKUP(C523,Меню!$A$2:$C$24,3,FALSE())</f>
        <v>635</v>
      </c>
      <c r="G523" s="5" t="n">
        <f aca="false">VLOOKUP(B523,Заказы!$A$2:$E$2995,2,FALSE())</f>
        <v>44003</v>
      </c>
      <c r="H523" s="1" t="n">
        <f aca="false">VLOOKUP(B523,Заказы!$A$2:$E$2995,3,FALSE())</f>
        <v>686</v>
      </c>
      <c r="I523" s="1" t="str">
        <f aca="false">VLOOKUP(H523,Клиенты!$A$2:$E$1995,5,FALSE())</f>
        <v>г. Чапаевск</v>
      </c>
      <c r="J523" s="1" t="n">
        <f aca="false">VLOOKUP(B523,Заказы!$A$2:$E$2995,4,FALSE())</f>
        <v>103</v>
      </c>
      <c r="K523" s="1" t="str">
        <f aca="false">VLOOKUP(B523,Заказы!$A$2:$E$2995,5,FALSE())</f>
        <v>Выполнено</v>
      </c>
      <c r="L523" s="1" t="n">
        <f aca="false">D523*F523+J523</f>
        <v>738</v>
      </c>
      <c r="M523" s="1" t="n">
        <f aca="false">IF(AND(E523="Пицца Труслейка",I523="г. Москва",K523="Выполнено",G523&gt;=DATE(2020,7,1),G523&lt;DATE(2020,8,1)),L523,0)</f>
        <v>0</v>
      </c>
    </row>
    <row r="524" customFormat="false" ht="15" hidden="false" customHeight="true" outlineLevel="0" collapsed="false">
      <c r="A524" s="1" t="n">
        <v>100907</v>
      </c>
      <c r="B524" s="1" t="n">
        <v>51863</v>
      </c>
      <c r="C524" s="1" t="n">
        <v>6</v>
      </c>
      <c r="D524" s="1" t="n">
        <v>10</v>
      </c>
      <c r="E524" s="1" t="str">
        <f aca="false">VLOOKUP(C524,Меню!$A$2:$C$24,2,FALSE())</f>
        <v>Пицца Капричиоза</v>
      </c>
      <c r="F524" s="1" t="n">
        <f aca="false">VLOOKUP(C524,Меню!$A$2:$C$24,3,FALSE())</f>
        <v>570</v>
      </c>
      <c r="G524" s="5" t="n">
        <f aca="false">VLOOKUP(B524,Заказы!$A$2:$E$2995,2,FALSE())</f>
        <v>44037</v>
      </c>
      <c r="H524" s="1" t="n">
        <f aca="false">VLOOKUP(B524,Заказы!$A$2:$E$2995,3,FALSE())</f>
        <v>442</v>
      </c>
      <c r="I524" s="1" t="str">
        <f aca="false">VLOOKUP(H524,Клиенты!$A$2:$E$1995,5,FALSE())</f>
        <v>г. Тихорецк</v>
      </c>
      <c r="J524" s="1" t="n">
        <f aca="false">VLOOKUP(B524,Заказы!$A$2:$E$2995,4,FALSE())</f>
        <v>332</v>
      </c>
      <c r="K524" s="1" t="str">
        <f aca="false">VLOOKUP(B524,Заказы!$A$2:$E$2995,5,FALSE())</f>
        <v>Выполнено</v>
      </c>
      <c r="L524" s="1" t="n">
        <f aca="false">D524*F524+J524</f>
        <v>6032</v>
      </c>
      <c r="M524" s="1" t="n">
        <f aca="false">IF(AND(E524="Пицца Труслейка",I524="г. Москва",K524="Выполнено",G524&gt;=DATE(2020,7,1),G524&lt;DATE(2020,8,1)),L524,0)</f>
        <v>0</v>
      </c>
    </row>
    <row r="525" customFormat="false" ht="15" hidden="false" customHeight="true" outlineLevel="0" collapsed="false">
      <c r="A525" s="1" t="n">
        <v>100104</v>
      </c>
      <c r="B525" s="1" t="n">
        <v>51141</v>
      </c>
      <c r="C525" s="1" t="n">
        <v>13</v>
      </c>
      <c r="D525" s="1" t="n">
        <v>7</v>
      </c>
      <c r="E525" s="1" t="str">
        <f aca="false">VLOOKUP(C525,Меню!$A$2:$C$24,2,FALSE())</f>
        <v>Пицца Сырная</v>
      </c>
      <c r="F525" s="1" t="n">
        <f aca="false">VLOOKUP(C525,Меню!$A$2:$C$24,3,FALSE())</f>
        <v>635</v>
      </c>
      <c r="G525" s="5" t="n">
        <f aca="false">VLOOKUP(B525,Заказы!$A$2:$E$2995,2,FALSE())</f>
        <v>43996</v>
      </c>
      <c r="H525" s="1" t="n">
        <f aca="false">VLOOKUP(B525,Заказы!$A$2:$E$2995,3,FALSE())</f>
        <v>16</v>
      </c>
      <c r="I525" s="1" t="str">
        <f aca="false">VLOOKUP(H525,Клиенты!$A$2:$E$1995,5,FALSE())</f>
        <v>г. Можга</v>
      </c>
      <c r="J525" s="1" t="n">
        <f aca="false">VLOOKUP(B525,Заказы!$A$2:$E$2995,4,FALSE())</f>
        <v>0</v>
      </c>
      <c r="K525" s="1" t="str">
        <f aca="false">VLOOKUP(B525,Заказы!$A$2:$E$2995,5,FALSE())</f>
        <v>Не выполнено</v>
      </c>
      <c r="L525" s="1" t="n">
        <f aca="false">D525*F525+J525</f>
        <v>4445</v>
      </c>
      <c r="M525" s="1" t="n">
        <f aca="false">IF(AND(E525="Пицца Труслейка",I525="г. Москва",K525="Выполнено",G525&gt;=DATE(2020,7,1),G525&lt;DATE(2020,8,1)),L525,0)</f>
        <v>0</v>
      </c>
    </row>
    <row r="526" customFormat="false" ht="15" hidden="false" customHeight="true" outlineLevel="0" collapsed="false">
      <c r="A526" s="1" t="n">
        <v>101486</v>
      </c>
      <c r="B526" s="1" t="n">
        <v>50343</v>
      </c>
      <c r="C526" s="1" t="n">
        <v>21</v>
      </c>
      <c r="D526" s="1" t="n">
        <v>7</v>
      </c>
      <c r="E526" s="1" t="str">
        <f aca="false">VLOOKUP(C526,Меню!$A$2:$C$24,2,FALSE())</f>
        <v>Пицца с креветками и цукини</v>
      </c>
      <c r="F526" s="1" t="n">
        <f aca="false">VLOOKUP(C526,Меню!$A$2:$C$24,3,FALSE())</f>
        <v>600</v>
      </c>
      <c r="G526" s="5" t="n">
        <f aca="false">VLOOKUP(B526,Заказы!$A$2:$E$2995,2,FALSE())</f>
        <v>44010</v>
      </c>
      <c r="H526" s="1" t="n">
        <f aca="false">VLOOKUP(B526,Заказы!$A$2:$E$2995,3,FALSE())</f>
        <v>1823</v>
      </c>
      <c r="I526" s="1" t="str">
        <f aca="false">VLOOKUP(H526,Клиенты!$A$2:$E$1995,5,FALSE())</f>
        <v>г. Николаевск</v>
      </c>
      <c r="J526" s="1" t="n">
        <f aca="false">VLOOKUP(B526,Заказы!$A$2:$E$2995,4,FALSE())</f>
        <v>401</v>
      </c>
      <c r="K526" s="1" t="str">
        <f aca="false">VLOOKUP(B526,Заказы!$A$2:$E$2995,5,FALSE())</f>
        <v>Выполнено</v>
      </c>
      <c r="L526" s="1" t="n">
        <f aca="false">D526*F526+J526</f>
        <v>4601</v>
      </c>
      <c r="M526" s="1" t="n">
        <f aca="false">IF(AND(E526="Пицца Труслейка",I526="г. Москва",K526="Выполнено",G526&gt;=DATE(2020,7,1),G526&lt;DATE(2020,8,1)),L526,0)</f>
        <v>0</v>
      </c>
    </row>
    <row r="527" customFormat="false" ht="15" hidden="false" customHeight="true" outlineLevel="0" collapsed="false">
      <c r="A527" s="1" t="n">
        <v>100927</v>
      </c>
      <c r="B527" s="1" t="n">
        <v>50631</v>
      </c>
      <c r="C527" s="1" t="n">
        <v>2</v>
      </c>
      <c r="D527" s="1" t="n">
        <v>6</v>
      </c>
      <c r="E527" s="1" t="str">
        <f aca="false">VLOOKUP(C527,Меню!$A$2:$C$24,2,FALSE())</f>
        <v>Пицца Двойная пепперони</v>
      </c>
      <c r="F527" s="1" t="n">
        <f aca="false">VLOOKUP(C527,Меню!$A$2:$C$24,3,FALSE())</f>
        <v>575</v>
      </c>
      <c r="G527" s="5" t="n">
        <f aca="false">VLOOKUP(B527,Заказы!$A$2:$E$2995,2,FALSE())</f>
        <v>44024</v>
      </c>
      <c r="H527" s="1" t="n">
        <f aca="false">VLOOKUP(B527,Заказы!$A$2:$E$2995,3,FALSE())</f>
        <v>888</v>
      </c>
      <c r="I527" s="1" t="str">
        <f aca="false">VLOOKUP(H527,Клиенты!$A$2:$E$1995,5,FALSE())</f>
        <v>г. Сафоново</v>
      </c>
      <c r="J527" s="1" t="n">
        <f aca="false">VLOOKUP(B527,Заказы!$A$2:$E$2995,4,FALSE())</f>
        <v>652</v>
      </c>
      <c r="K527" s="1" t="str">
        <f aca="false">VLOOKUP(B527,Заказы!$A$2:$E$2995,5,FALSE())</f>
        <v>Выполнено</v>
      </c>
      <c r="L527" s="1" t="n">
        <f aca="false">D527*F527+J527</f>
        <v>4102</v>
      </c>
      <c r="M527" s="1" t="n">
        <f aca="false">IF(AND(E527="Пицца Труслейка",I527="г. Москва",K527="Выполнено",G527&gt;=DATE(2020,7,1),G527&lt;DATE(2020,8,1)),L527,0)</f>
        <v>0</v>
      </c>
    </row>
    <row r="528" customFormat="false" ht="15" hidden="false" customHeight="true" outlineLevel="0" collapsed="false">
      <c r="A528" s="1" t="n">
        <v>101741</v>
      </c>
      <c r="B528" s="1" t="n">
        <v>50077</v>
      </c>
      <c r="C528" s="1" t="n">
        <v>10</v>
      </c>
      <c r="D528" s="1" t="n">
        <v>5</v>
      </c>
      <c r="E528" s="1" t="str">
        <f aca="false">VLOOKUP(C528,Меню!$A$2:$C$24,2,FALSE())</f>
        <v>Пицца Пепперони фреш</v>
      </c>
      <c r="F528" s="1" t="n">
        <f aca="false">VLOOKUP(C528,Меню!$A$2:$C$24,3,FALSE())</f>
        <v>565</v>
      </c>
      <c r="G528" s="5" t="n">
        <f aca="false">VLOOKUP(B528,Заказы!$A$2:$E$2995,2,FALSE())</f>
        <v>44008</v>
      </c>
      <c r="H528" s="1" t="n">
        <f aca="false">VLOOKUP(B528,Заказы!$A$2:$E$2995,3,FALSE())</f>
        <v>486</v>
      </c>
      <c r="I528" s="1" t="str">
        <f aca="false">VLOOKUP(H528,Клиенты!$A$2:$E$1995,5,FALSE())</f>
        <v>г. Волжск</v>
      </c>
      <c r="J528" s="1" t="n">
        <f aca="false">VLOOKUP(B528,Заказы!$A$2:$E$2995,4,FALSE())</f>
        <v>255</v>
      </c>
      <c r="K528" s="1" t="str">
        <f aca="false">VLOOKUP(B528,Заказы!$A$2:$E$2995,5,FALSE())</f>
        <v>Выполнено</v>
      </c>
      <c r="L528" s="1" t="n">
        <f aca="false">D528*F528+J528</f>
        <v>3080</v>
      </c>
      <c r="M528" s="1" t="n">
        <f aca="false">IF(AND(E528="Пицца Труслейка",I528="г. Москва",K528="Выполнено",G528&gt;=DATE(2020,7,1),G528&lt;DATE(2020,8,1)),L528,0)</f>
        <v>0</v>
      </c>
    </row>
    <row r="529" customFormat="false" ht="15" hidden="false" customHeight="true" outlineLevel="0" collapsed="false">
      <c r="A529" s="1" t="n">
        <v>100149</v>
      </c>
      <c r="B529" s="1" t="n">
        <v>50934</v>
      </c>
      <c r="C529" s="1" t="n">
        <v>8</v>
      </c>
      <c r="D529" s="1" t="n">
        <v>1</v>
      </c>
      <c r="E529" s="1" t="str">
        <f aca="false">VLOOKUP(C529,Меню!$A$2:$C$24,2,FALSE())</f>
        <v>Пицца Мясная</v>
      </c>
      <c r="F529" s="1" t="n">
        <f aca="false">VLOOKUP(C529,Меню!$A$2:$C$24,3,FALSE())</f>
        <v>615</v>
      </c>
      <c r="G529" s="5" t="n">
        <f aca="false">VLOOKUP(B529,Заказы!$A$2:$E$2995,2,FALSE())</f>
        <v>44065</v>
      </c>
      <c r="H529" s="1" t="n">
        <f aca="false">VLOOKUP(B529,Заказы!$A$2:$E$2995,3,FALSE())</f>
        <v>730</v>
      </c>
      <c r="I529" s="1" t="str">
        <f aca="false">VLOOKUP(H529,Клиенты!$A$2:$E$1995,5,FALSE())</f>
        <v>г. Москва</v>
      </c>
      <c r="J529" s="1" t="n">
        <f aca="false">VLOOKUP(B529,Заказы!$A$2:$E$2995,4,FALSE())</f>
        <v>0</v>
      </c>
      <c r="K529" s="1" t="str">
        <f aca="false">VLOOKUP(B529,Заказы!$A$2:$E$2995,5,FALSE())</f>
        <v>Не выполнено</v>
      </c>
      <c r="L529" s="1" t="n">
        <f aca="false">D529*F529+J529</f>
        <v>615</v>
      </c>
      <c r="M529" s="1" t="n">
        <f aca="false">IF(AND(E529="Пицца Труслейка",I529="г. Москва",K529="Выполнено",G529&gt;=DATE(2020,7,1),G529&lt;DATE(2020,8,1)),L529,0)</f>
        <v>0</v>
      </c>
    </row>
    <row r="530" customFormat="false" ht="15" hidden="false" customHeight="true" outlineLevel="0" collapsed="false">
      <c r="A530" s="1" t="n">
        <v>101529</v>
      </c>
      <c r="B530" s="1" t="n">
        <v>50952</v>
      </c>
      <c r="C530" s="1" t="n">
        <v>8</v>
      </c>
      <c r="D530" s="1" t="n">
        <v>8</v>
      </c>
      <c r="E530" s="1" t="str">
        <f aca="false">VLOOKUP(C530,Меню!$A$2:$C$24,2,FALSE())</f>
        <v>Пицца Мясная</v>
      </c>
      <c r="F530" s="1" t="n">
        <f aca="false">VLOOKUP(C530,Меню!$A$2:$C$24,3,FALSE())</f>
        <v>615</v>
      </c>
      <c r="G530" s="5" t="n">
        <f aca="false">VLOOKUP(B530,Заказы!$A$2:$E$2995,2,FALSE())</f>
        <v>44003</v>
      </c>
      <c r="H530" s="1" t="n">
        <f aca="false">VLOOKUP(B530,Заказы!$A$2:$E$2995,3,FALSE())</f>
        <v>1165</v>
      </c>
      <c r="I530" s="1" t="str">
        <f aca="false">VLOOKUP(H530,Клиенты!$A$2:$E$1995,5,FALSE())</f>
        <v>г. Муравленко</v>
      </c>
      <c r="J530" s="1" t="n">
        <f aca="false">VLOOKUP(B530,Заказы!$A$2:$E$2995,4,FALSE())</f>
        <v>547</v>
      </c>
      <c r="K530" s="1" t="str">
        <f aca="false">VLOOKUP(B530,Заказы!$A$2:$E$2995,5,FALSE())</f>
        <v>Выполнено</v>
      </c>
      <c r="L530" s="1" t="n">
        <f aca="false">D530*F530+J530</f>
        <v>5467</v>
      </c>
      <c r="M530" s="1" t="n">
        <f aca="false">IF(AND(E530="Пицца Труслейка",I530="г. Москва",K530="Выполнено",G530&gt;=DATE(2020,7,1),G530&lt;DATE(2020,8,1)),L530,0)</f>
        <v>0</v>
      </c>
    </row>
    <row r="531" customFormat="false" ht="15" hidden="false" customHeight="true" outlineLevel="0" collapsed="false">
      <c r="A531" s="1" t="n">
        <v>101564</v>
      </c>
      <c r="B531" s="1" t="n">
        <v>51804</v>
      </c>
      <c r="C531" s="1" t="n">
        <v>4</v>
      </c>
      <c r="D531" s="1" t="n">
        <v>3</v>
      </c>
      <c r="E531" s="1" t="str">
        <f aca="false">VLOOKUP(C531,Меню!$A$2:$C$24,2,FALSE())</f>
        <v>Пицца Труслейка</v>
      </c>
      <c r="F531" s="1" t="n">
        <f aca="false">VLOOKUP(C531,Меню!$A$2:$C$24,3,FALSE())</f>
        <v>610</v>
      </c>
      <c r="G531" s="5" t="n">
        <f aca="false">VLOOKUP(B531,Заказы!$A$2:$E$2995,2,FALSE())</f>
        <v>44005</v>
      </c>
      <c r="H531" s="1" t="n">
        <f aca="false">VLOOKUP(B531,Заказы!$A$2:$E$2995,3,FALSE())</f>
        <v>1250</v>
      </c>
      <c r="I531" s="1" t="str">
        <f aca="false">VLOOKUP(H531,Клиенты!$A$2:$E$1995,5,FALSE())</f>
        <v>г. Москва</v>
      </c>
      <c r="J531" s="1" t="n">
        <f aca="false">VLOOKUP(B531,Заказы!$A$2:$E$2995,4,FALSE())</f>
        <v>397</v>
      </c>
      <c r="K531" s="1" t="str">
        <f aca="false">VLOOKUP(B531,Заказы!$A$2:$E$2995,5,FALSE())</f>
        <v>Выполнено</v>
      </c>
      <c r="L531" s="1" t="n">
        <f aca="false">D531*F531+J531</f>
        <v>2227</v>
      </c>
      <c r="M531" s="1" t="n">
        <f aca="false">IF(AND(E531="Пицца Труслейка",I531="г. Москва",K531="Выполнено",G531&gt;=DATE(2020,7,1),G531&lt;DATE(2020,8,1)),L531,0)</f>
        <v>0</v>
      </c>
    </row>
    <row r="532" customFormat="false" ht="15" hidden="false" customHeight="true" outlineLevel="0" collapsed="false">
      <c r="A532" s="1" t="n">
        <v>100375</v>
      </c>
      <c r="B532" s="1" t="n">
        <v>51654</v>
      </c>
      <c r="C532" s="1" t="n">
        <v>5</v>
      </c>
      <c r="D532" s="1" t="n">
        <v>8</v>
      </c>
      <c r="E532" s="1" t="str">
        <f aca="false">VLOOKUP(C532,Меню!$A$2:$C$24,2,FALSE())</f>
        <v>Пицца Жюльен</v>
      </c>
      <c r="F532" s="1" t="n">
        <f aca="false">VLOOKUP(C532,Меню!$A$2:$C$24,3,FALSE())</f>
        <v>580</v>
      </c>
      <c r="G532" s="5" t="n">
        <f aca="false">VLOOKUP(B532,Заказы!$A$2:$E$2995,2,FALSE())</f>
        <v>44026</v>
      </c>
      <c r="H532" s="1" t="n">
        <f aca="false">VLOOKUP(B532,Заказы!$A$2:$E$2995,3,FALSE())</f>
        <v>234</v>
      </c>
      <c r="I532" s="1" t="str">
        <f aca="false">VLOOKUP(H532,Клиенты!$A$2:$E$1995,5,FALSE())</f>
        <v>г. Костерёво</v>
      </c>
      <c r="J532" s="1" t="n">
        <f aca="false">VLOOKUP(B532,Заказы!$A$2:$E$2995,4,FALSE())</f>
        <v>0</v>
      </c>
      <c r="K532" s="1" t="str">
        <f aca="false">VLOOKUP(B532,Заказы!$A$2:$E$2995,5,FALSE())</f>
        <v>Не выполнено</v>
      </c>
      <c r="L532" s="1" t="n">
        <f aca="false">D532*F532+J532</f>
        <v>4640</v>
      </c>
      <c r="M532" s="1" t="n">
        <f aca="false">IF(AND(E532="Пицца Труслейка",I532="г. Москва",K532="Выполнено",G532&gt;=DATE(2020,7,1),G532&lt;DATE(2020,8,1)),L532,0)</f>
        <v>0</v>
      </c>
    </row>
    <row r="533" customFormat="false" ht="15" hidden="false" customHeight="true" outlineLevel="0" collapsed="false">
      <c r="A533" s="1" t="n">
        <v>100137</v>
      </c>
      <c r="B533" s="1" t="n">
        <v>50876</v>
      </c>
      <c r="C533" s="1" t="n">
        <v>18</v>
      </c>
      <c r="D533" s="1" t="n">
        <v>9</v>
      </c>
      <c r="E533" s="1" t="str">
        <f aca="false">VLOOKUP(C533,Меню!$A$2:$C$24,2,FALSE())</f>
        <v>Пицца Царская</v>
      </c>
      <c r="F533" s="1" t="n">
        <f aca="false">VLOOKUP(C533,Меню!$A$2:$C$24,3,FALSE())</f>
        <v>620</v>
      </c>
      <c r="G533" s="5" t="n">
        <f aca="false">VLOOKUP(B533,Заказы!$A$2:$E$2995,2,FALSE())</f>
        <v>44048</v>
      </c>
      <c r="H533" s="1" t="n">
        <f aca="false">VLOOKUP(B533,Заказы!$A$2:$E$2995,3,FALSE())</f>
        <v>964</v>
      </c>
      <c r="I533" s="1" t="str">
        <f aca="false">VLOOKUP(H533,Клиенты!$A$2:$E$1995,5,FALSE())</f>
        <v>г. Новосокольники</v>
      </c>
      <c r="J533" s="1" t="n">
        <f aca="false">VLOOKUP(B533,Заказы!$A$2:$E$2995,4,FALSE())</f>
        <v>0</v>
      </c>
      <c r="K533" s="1" t="str">
        <f aca="false">VLOOKUP(B533,Заказы!$A$2:$E$2995,5,FALSE())</f>
        <v>Не выполнено</v>
      </c>
      <c r="L533" s="1" t="n">
        <f aca="false">D533*F533+J533</f>
        <v>5580</v>
      </c>
      <c r="M533" s="1" t="n">
        <f aca="false">IF(AND(E533="Пицца Труслейка",I533="г. Москва",K533="Выполнено",G533&gt;=DATE(2020,7,1),G533&lt;DATE(2020,8,1)),L533,0)</f>
        <v>0</v>
      </c>
    </row>
    <row r="534" customFormat="false" ht="15" hidden="false" customHeight="true" outlineLevel="0" collapsed="false">
      <c r="A534" s="1" t="n">
        <v>100692</v>
      </c>
      <c r="B534" s="1" t="n">
        <v>51758</v>
      </c>
      <c r="C534" s="1" t="n">
        <v>22</v>
      </c>
      <c r="D534" s="1" t="n">
        <v>2</v>
      </c>
      <c r="E534" s="1" t="str">
        <f aca="false">VLOOKUP(C534,Меню!$A$2:$C$24,2,FALSE())</f>
        <v>Пицца с поркеттой и фриарелли</v>
      </c>
      <c r="F534" s="1" t="n">
        <f aca="false">VLOOKUP(C534,Меню!$A$2:$C$24,3,FALSE())</f>
        <v>550</v>
      </c>
      <c r="G534" s="5" t="n">
        <f aca="false">VLOOKUP(B534,Заказы!$A$2:$E$2995,2,FALSE())</f>
        <v>44015</v>
      </c>
      <c r="H534" s="1" t="n">
        <f aca="false">VLOOKUP(B534,Заказы!$A$2:$E$2995,3,FALSE())</f>
        <v>748</v>
      </c>
      <c r="I534" s="1" t="str">
        <f aca="false">VLOOKUP(H534,Клиенты!$A$2:$E$1995,5,FALSE())</f>
        <v>г. Стародуб</v>
      </c>
      <c r="J534" s="1" t="n">
        <f aca="false">VLOOKUP(B534,Заказы!$A$2:$E$2995,4,FALSE())</f>
        <v>0</v>
      </c>
      <c r="K534" s="1" t="str">
        <f aca="false">VLOOKUP(B534,Заказы!$A$2:$E$2995,5,FALSE())</f>
        <v>Не выполнено</v>
      </c>
      <c r="L534" s="1" t="n">
        <f aca="false">D534*F534+J534</f>
        <v>1100</v>
      </c>
      <c r="M534" s="1" t="n">
        <f aca="false">IF(AND(E534="Пицца Труслейка",I534="г. Москва",K534="Выполнено",G534&gt;=DATE(2020,7,1),G534&lt;DATE(2020,8,1)),L534,0)</f>
        <v>0</v>
      </c>
    </row>
    <row r="535" customFormat="false" ht="15" hidden="false" customHeight="true" outlineLevel="0" collapsed="false">
      <c r="A535" s="1" t="n">
        <v>100481</v>
      </c>
      <c r="B535" s="1" t="n">
        <v>50275</v>
      </c>
      <c r="C535" s="1" t="n">
        <v>3</v>
      </c>
      <c r="D535" s="1" t="n">
        <v>6</v>
      </c>
      <c r="E535" s="1" t="str">
        <f aca="false">VLOOKUP(C535,Меню!$A$2:$C$24,2,FALSE())</f>
        <v>Пицца Диабло</v>
      </c>
      <c r="F535" s="1" t="n">
        <f aca="false">VLOOKUP(C535,Меню!$A$2:$C$24,3,FALSE())</f>
        <v>590</v>
      </c>
      <c r="G535" s="5" t="n">
        <f aca="false">VLOOKUP(B535,Заказы!$A$2:$E$2995,2,FALSE())</f>
        <v>44006</v>
      </c>
      <c r="H535" s="1" t="n">
        <f aca="false">VLOOKUP(B535,Заказы!$A$2:$E$2995,3,FALSE())</f>
        <v>1314</v>
      </c>
      <c r="I535" s="1" t="str">
        <f aca="false">VLOOKUP(H535,Клиенты!$A$2:$E$1995,5,FALSE())</f>
        <v>г. Краснокамск</v>
      </c>
      <c r="J535" s="1" t="n">
        <f aca="false">VLOOKUP(B535,Заказы!$A$2:$E$2995,4,FALSE())</f>
        <v>0</v>
      </c>
      <c r="K535" s="1" t="str">
        <f aca="false">VLOOKUP(B535,Заказы!$A$2:$E$2995,5,FALSE())</f>
        <v>Не выполнено</v>
      </c>
      <c r="L535" s="1" t="n">
        <f aca="false">D535*F535+J535</f>
        <v>3540</v>
      </c>
      <c r="M535" s="1" t="n">
        <f aca="false">IF(AND(E535="Пицца Труслейка",I535="г. Москва",K535="Выполнено",G535&gt;=DATE(2020,7,1),G535&lt;DATE(2020,8,1)),L535,0)</f>
        <v>0</v>
      </c>
    </row>
    <row r="536" customFormat="false" ht="15" hidden="false" customHeight="true" outlineLevel="0" collapsed="false">
      <c r="A536" s="1" t="n">
        <v>100841</v>
      </c>
      <c r="B536" s="1" t="n">
        <v>50988</v>
      </c>
      <c r="C536" s="1" t="n">
        <v>9</v>
      </c>
      <c r="D536" s="1" t="n">
        <v>8</v>
      </c>
      <c r="E536" s="1" t="str">
        <f aca="false">VLOOKUP(C536,Меню!$A$2:$C$24,2,FALSE())</f>
        <v>Пицца Острая с беконом</v>
      </c>
      <c r="F536" s="1" t="n">
        <f aca="false">VLOOKUP(C536,Меню!$A$2:$C$24,3,FALSE())</f>
        <v>540</v>
      </c>
      <c r="G536" s="5" t="n">
        <f aca="false">VLOOKUP(B536,Заказы!$A$2:$E$2995,2,FALSE())</f>
        <v>44070</v>
      </c>
      <c r="H536" s="1" t="n">
        <f aca="false">VLOOKUP(B536,Заказы!$A$2:$E$2995,3,FALSE())</f>
        <v>1927</v>
      </c>
      <c r="I536" s="1" t="str">
        <f aca="false">VLOOKUP(H536,Клиенты!$A$2:$E$1995,5,FALSE())</f>
        <v>г. Карталы</v>
      </c>
      <c r="J536" s="1" t="n">
        <f aca="false">VLOOKUP(B536,Заказы!$A$2:$E$2995,4,FALSE())</f>
        <v>590</v>
      </c>
      <c r="K536" s="1" t="str">
        <f aca="false">VLOOKUP(B536,Заказы!$A$2:$E$2995,5,FALSE())</f>
        <v>Выполнено</v>
      </c>
      <c r="L536" s="1" t="n">
        <f aca="false">D536*F536+J536</f>
        <v>4910</v>
      </c>
      <c r="M536" s="1" t="n">
        <f aca="false">IF(AND(E536="Пицца Труслейка",I536="г. Москва",K536="Выполнено",G536&gt;=DATE(2020,7,1),G536&lt;DATE(2020,8,1)),L536,0)</f>
        <v>0</v>
      </c>
    </row>
    <row r="537" customFormat="false" ht="15" hidden="false" customHeight="true" outlineLevel="0" collapsed="false">
      <c r="A537" s="1" t="n">
        <v>101266</v>
      </c>
      <c r="B537" s="1" t="n">
        <v>51918</v>
      </c>
      <c r="C537" s="1" t="n">
        <v>22</v>
      </c>
      <c r="D537" s="1" t="n">
        <v>9</v>
      </c>
      <c r="E537" s="1" t="str">
        <f aca="false">VLOOKUP(C537,Меню!$A$2:$C$24,2,FALSE())</f>
        <v>Пицца с поркеттой и фриарелли</v>
      </c>
      <c r="F537" s="1" t="n">
        <f aca="false">VLOOKUP(C537,Меню!$A$2:$C$24,3,FALSE())</f>
        <v>550</v>
      </c>
      <c r="G537" s="5" t="n">
        <f aca="false">VLOOKUP(B537,Заказы!$A$2:$E$2995,2,FALSE())</f>
        <v>44037</v>
      </c>
      <c r="H537" s="1" t="n">
        <f aca="false">VLOOKUP(B537,Заказы!$A$2:$E$2995,3,FALSE())</f>
        <v>74</v>
      </c>
      <c r="I537" s="1" t="str">
        <f aca="false">VLOOKUP(H537,Клиенты!$A$2:$E$1995,5,FALSE())</f>
        <v>г. Североуральск</v>
      </c>
      <c r="J537" s="1" t="n">
        <f aca="false">VLOOKUP(B537,Заказы!$A$2:$E$2995,4,FALSE())</f>
        <v>0</v>
      </c>
      <c r="K537" s="1" t="str">
        <f aca="false">VLOOKUP(B537,Заказы!$A$2:$E$2995,5,FALSE())</f>
        <v>Не выполнено</v>
      </c>
      <c r="L537" s="1" t="n">
        <f aca="false">D537*F537+J537</f>
        <v>4950</v>
      </c>
      <c r="M537" s="1" t="n">
        <f aca="false">IF(AND(E537="Пицца Труслейка",I537="г. Москва",K537="Выполнено",G537&gt;=DATE(2020,7,1),G537&lt;DATE(2020,8,1)),L537,0)</f>
        <v>0</v>
      </c>
    </row>
    <row r="538" customFormat="false" ht="15" hidden="false" customHeight="true" outlineLevel="0" collapsed="false">
      <c r="A538" s="1" t="n">
        <v>100909</v>
      </c>
      <c r="B538" s="1" t="n">
        <v>50413</v>
      </c>
      <c r="C538" s="1" t="n">
        <v>22</v>
      </c>
      <c r="D538" s="1" t="n">
        <v>1</v>
      </c>
      <c r="E538" s="1" t="str">
        <f aca="false">VLOOKUP(C538,Меню!$A$2:$C$24,2,FALSE())</f>
        <v>Пицца с поркеттой и фриарелли</v>
      </c>
      <c r="F538" s="1" t="n">
        <f aca="false">VLOOKUP(C538,Меню!$A$2:$C$24,3,FALSE())</f>
        <v>550</v>
      </c>
      <c r="G538" s="5" t="n">
        <f aca="false">VLOOKUP(B538,Заказы!$A$2:$E$2995,2,FALSE())</f>
        <v>44029</v>
      </c>
      <c r="H538" s="1" t="n">
        <f aca="false">VLOOKUP(B538,Заказы!$A$2:$E$2995,3,FALSE())</f>
        <v>1857</v>
      </c>
      <c r="I538" s="1" t="str">
        <f aca="false">VLOOKUP(H538,Клиенты!$A$2:$E$1995,5,FALSE())</f>
        <v>г. Карабаш</v>
      </c>
      <c r="J538" s="1" t="n">
        <f aca="false">VLOOKUP(B538,Заказы!$A$2:$E$2995,4,FALSE())</f>
        <v>0</v>
      </c>
      <c r="K538" s="1" t="str">
        <f aca="false">VLOOKUP(B538,Заказы!$A$2:$E$2995,5,FALSE())</f>
        <v>Не выполнено</v>
      </c>
      <c r="L538" s="1" t="n">
        <f aca="false">D538*F538+J538</f>
        <v>550</v>
      </c>
      <c r="M538" s="1" t="n">
        <f aca="false">IF(AND(E538="Пицца Труслейка",I538="г. Москва",K538="Выполнено",G538&gt;=DATE(2020,7,1),G538&lt;DATE(2020,8,1)),L538,0)</f>
        <v>0</v>
      </c>
    </row>
    <row r="539" customFormat="false" ht="15" hidden="false" customHeight="true" outlineLevel="0" collapsed="false">
      <c r="A539" s="1" t="n">
        <v>100959</v>
      </c>
      <c r="B539" s="1" t="n">
        <v>51373</v>
      </c>
      <c r="C539" s="1" t="n">
        <v>20</v>
      </c>
      <c r="D539" s="1" t="n">
        <v>6</v>
      </c>
      <c r="E539" s="1" t="str">
        <f aca="false">VLOOKUP(C539,Меню!$A$2:$C$24,2,FALSE())</f>
        <v>Пицца пиканте</v>
      </c>
      <c r="F539" s="1" t="n">
        <f aca="false">VLOOKUP(C539,Меню!$A$2:$C$24,3,FALSE())</f>
        <v>585</v>
      </c>
      <c r="G539" s="5" t="n">
        <f aca="false">VLOOKUP(B539,Заказы!$A$2:$E$2995,2,FALSE())</f>
        <v>44016</v>
      </c>
      <c r="H539" s="1" t="n">
        <f aca="false">VLOOKUP(B539,Заказы!$A$2:$E$2995,3,FALSE())</f>
        <v>1053</v>
      </c>
      <c r="I539" s="1" t="str">
        <f aca="false">VLOOKUP(H539,Клиенты!$A$2:$E$1995,5,FALSE())</f>
        <v>г. Медынь</v>
      </c>
      <c r="J539" s="1" t="n">
        <f aca="false">VLOOKUP(B539,Заказы!$A$2:$E$2995,4,FALSE())</f>
        <v>0</v>
      </c>
      <c r="K539" s="1" t="str">
        <f aca="false">VLOOKUP(B539,Заказы!$A$2:$E$2995,5,FALSE())</f>
        <v>Не выполнено</v>
      </c>
      <c r="L539" s="1" t="n">
        <f aca="false">D539*F539+J539</f>
        <v>3510</v>
      </c>
      <c r="M539" s="1" t="n">
        <f aca="false">IF(AND(E539="Пицца Труслейка",I539="г. Москва",K539="Выполнено",G539&gt;=DATE(2020,7,1),G539&lt;DATE(2020,8,1)),L539,0)</f>
        <v>0</v>
      </c>
    </row>
    <row r="540" customFormat="false" ht="15" hidden="false" customHeight="true" outlineLevel="0" collapsed="false">
      <c r="A540" s="1" t="n">
        <v>100565</v>
      </c>
      <c r="B540" s="1" t="n">
        <v>51665</v>
      </c>
      <c r="C540" s="1" t="n">
        <v>15</v>
      </c>
      <c r="D540" s="1" t="n">
        <v>3</v>
      </c>
      <c r="E540" s="1" t="str">
        <f aca="false">VLOOKUP(C540,Меню!$A$2:$C$24,2,FALSE())</f>
        <v>Пицца Тропиканка</v>
      </c>
      <c r="F540" s="1" t="n">
        <f aca="false">VLOOKUP(C540,Меню!$A$2:$C$24,3,FALSE())</f>
        <v>605</v>
      </c>
      <c r="G540" s="5" t="n">
        <f aca="false">VLOOKUP(B540,Заказы!$A$2:$E$2995,2,FALSE())</f>
        <v>44049</v>
      </c>
      <c r="H540" s="1" t="n">
        <f aca="false">VLOOKUP(B540,Заказы!$A$2:$E$2995,3,FALSE())</f>
        <v>1617</v>
      </c>
      <c r="I540" s="1" t="str">
        <f aca="false">VLOOKUP(H540,Клиенты!$A$2:$E$1995,5,FALSE())</f>
        <v>г. Брянск</v>
      </c>
      <c r="J540" s="1" t="n">
        <f aca="false">VLOOKUP(B540,Заказы!$A$2:$E$2995,4,FALSE())</f>
        <v>0</v>
      </c>
      <c r="K540" s="1" t="str">
        <f aca="false">VLOOKUP(B540,Заказы!$A$2:$E$2995,5,FALSE())</f>
        <v>Не выполнено</v>
      </c>
      <c r="L540" s="1" t="n">
        <f aca="false">D540*F540+J540</f>
        <v>1815</v>
      </c>
      <c r="M540" s="1" t="n">
        <f aca="false">IF(AND(E540="Пицца Труслейка",I540="г. Москва",K540="Выполнено",G540&gt;=DATE(2020,7,1),G540&lt;DATE(2020,8,1)),L540,0)</f>
        <v>0</v>
      </c>
    </row>
    <row r="541" customFormat="false" ht="15" hidden="false" customHeight="true" outlineLevel="0" collapsed="false">
      <c r="A541" s="1" t="n">
        <v>100857</v>
      </c>
      <c r="B541" s="1" t="n">
        <v>51649</v>
      </c>
      <c r="C541" s="1" t="n">
        <v>4</v>
      </c>
      <c r="D541" s="1" t="n">
        <v>5</v>
      </c>
      <c r="E541" s="1" t="str">
        <f aca="false">VLOOKUP(C541,Меню!$A$2:$C$24,2,FALSE())</f>
        <v>Пицца Труслейка</v>
      </c>
      <c r="F541" s="1" t="n">
        <f aca="false">VLOOKUP(C541,Меню!$A$2:$C$24,3,FALSE())</f>
        <v>610</v>
      </c>
      <c r="G541" s="5" t="n">
        <f aca="false">VLOOKUP(B541,Заказы!$A$2:$E$2995,2,FALSE())</f>
        <v>44062</v>
      </c>
      <c r="H541" s="1" t="n">
        <f aca="false">VLOOKUP(B541,Заказы!$A$2:$E$2995,3,FALSE())</f>
        <v>210</v>
      </c>
      <c r="I541" s="1" t="str">
        <f aca="false">VLOOKUP(H541,Клиенты!$A$2:$E$1995,5,FALSE())</f>
        <v>г. Москва</v>
      </c>
      <c r="J541" s="1" t="n">
        <f aca="false">VLOOKUP(B541,Заказы!$A$2:$E$2995,4,FALSE())</f>
        <v>0</v>
      </c>
      <c r="K541" s="1" t="str">
        <f aca="false">VLOOKUP(B541,Заказы!$A$2:$E$2995,5,FALSE())</f>
        <v>Не выполнено</v>
      </c>
      <c r="L541" s="1" t="n">
        <f aca="false">D541*F541+J541</f>
        <v>3050</v>
      </c>
      <c r="M541" s="1" t="n">
        <f aca="false">IF(AND(E541="Пицца Труслейка",I541="г. Москва",K541="Выполнено",G541&gt;=DATE(2020,7,1),G541&lt;DATE(2020,8,1)),L541,0)</f>
        <v>0</v>
      </c>
    </row>
    <row r="542" customFormat="false" ht="15" hidden="false" customHeight="true" outlineLevel="0" collapsed="false">
      <c r="A542" s="1" t="n">
        <v>101985</v>
      </c>
      <c r="B542" s="1" t="n">
        <v>51390</v>
      </c>
      <c r="C542" s="1" t="n">
        <v>21</v>
      </c>
      <c r="D542" s="1" t="n">
        <v>1</v>
      </c>
      <c r="E542" s="1" t="str">
        <f aca="false">VLOOKUP(C542,Меню!$A$2:$C$24,2,FALSE())</f>
        <v>Пицца с креветками и цукини</v>
      </c>
      <c r="F542" s="1" t="n">
        <f aca="false">VLOOKUP(C542,Меню!$A$2:$C$24,3,FALSE())</f>
        <v>600</v>
      </c>
      <c r="G542" s="5" t="n">
        <f aca="false">VLOOKUP(B542,Заказы!$A$2:$E$2995,2,FALSE())</f>
        <v>44061</v>
      </c>
      <c r="H542" s="1" t="n">
        <f aca="false">VLOOKUP(B542,Заказы!$A$2:$E$2995,3,FALSE())</f>
        <v>1991</v>
      </c>
      <c r="I542" s="1" t="str">
        <f aca="false">VLOOKUP(H542,Клиенты!$A$2:$E$1995,5,FALSE())</f>
        <v>г. Цивильск</v>
      </c>
      <c r="J542" s="1" t="n">
        <f aca="false">VLOOKUP(B542,Заказы!$A$2:$E$2995,4,FALSE())</f>
        <v>0</v>
      </c>
      <c r="K542" s="1" t="str">
        <f aca="false">VLOOKUP(B542,Заказы!$A$2:$E$2995,5,FALSE())</f>
        <v>Не выполнено</v>
      </c>
      <c r="L542" s="1" t="n">
        <f aca="false">D542*F542+J542</f>
        <v>600</v>
      </c>
      <c r="M542" s="1" t="n">
        <f aca="false">IF(AND(E542="Пицца Труслейка",I542="г. Москва",K542="Выполнено",G542&gt;=DATE(2020,7,1),G542&lt;DATE(2020,8,1)),L542,0)</f>
        <v>0</v>
      </c>
    </row>
    <row r="543" customFormat="false" ht="15" hidden="false" customHeight="true" outlineLevel="0" collapsed="false">
      <c r="A543" s="1" t="n">
        <v>101927</v>
      </c>
      <c r="B543" s="1" t="n">
        <v>50774</v>
      </c>
      <c r="C543" s="1" t="n">
        <v>2</v>
      </c>
      <c r="D543" s="1" t="n">
        <v>1</v>
      </c>
      <c r="E543" s="1" t="str">
        <f aca="false">VLOOKUP(C543,Меню!$A$2:$C$24,2,FALSE())</f>
        <v>Пицца Двойная пепперони</v>
      </c>
      <c r="F543" s="1" t="n">
        <f aca="false">VLOOKUP(C543,Меню!$A$2:$C$24,3,FALSE())</f>
        <v>575</v>
      </c>
      <c r="G543" s="5" t="n">
        <f aca="false">VLOOKUP(B543,Заказы!$A$2:$E$2995,2,FALSE())</f>
        <v>43990</v>
      </c>
      <c r="H543" s="1" t="n">
        <f aca="false">VLOOKUP(B543,Заказы!$A$2:$E$2995,3,FALSE())</f>
        <v>1289</v>
      </c>
      <c r="I543" s="1" t="str">
        <f aca="false">VLOOKUP(H543,Клиенты!$A$2:$E$1995,5,FALSE())</f>
        <v>г. Богданович</v>
      </c>
      <c r="J543" s="1" t="n">
        <f aca="false">VLOOKUP(B543,Заказы!$A$2:$E$2995,4,FALSE())</f>
        <v>0</v>
      </c>
      <c r="K543" s="1" t="str">
        <f aca="false">VLOOKUP(B543,Заказы!$A$2:$E$2995,5,FALSE())</f>
        <v>Не выполнено</v>
      </c>
      <c r="L543" s="1" t="n">
        <f aca="false">D543*F543+J543</f>
        <v>575</v>
      </c>
      <c r="M543" s="1" t="n">
        <f aca="false">IF(AND(E543="Пицца Труслейка",I543="г. Москва",K543="Выполнено",G543&gt;=DATE(2020,7,1),G543&lt;DATE(2020,8,1)),L543,0)</f>
        <v>0</v>
      </c>
    </row>
    <row r="544" customFormat="false" ht="15" hidden="false" customHeight="true" outlineLevel="0" collapsed="false">
      <c r="A544" s="1" t="n">
        <v>101518</v>
      </c>
      <c r="B544" s="1" t="n">
        <v>50620</v>
      </c>
      <c r="C544" s="1" t="n">
        <v>20</v>
      </c>
      <c r="D544" s="1" t="n">
        <v>10</v>
      </c>
      <c r="E544" s="1" t="str">
        <f aca="false">VLOOKUP(C544,Меню!$A$2:$C$24,2,FALSE())</f>
        <v>Пицца пиканте</v>
      </c>
      <c r="F544" s="1" t="n">
        <f aca="false">VLOOKUP(C544,Меню!$A$2:$C$24,3,FALSE())</f>
        <v>585</v>
      </c>
      <c r="G544" s="5" t="n">
        <f aca="false">VLOOKUP(B544,Заказы!$A$2:$E$2995,2,FALSE())</f>
        <v>43984</v>
      </c>
      <c r="H544" s="1" t="n">
        <f aca="false">VLOOKUP(B544,Заказы!$A$2:$E$2995,3,FALSE())</f>
        <v>1850</v>
      </c>
      <c r="I544" s="1" t="str">
        <f aca="false">VLOOKUP(H544,Клиенты!$A$2:$E$1995,5,FALSE())</f>
        <v>г. Москва</v>
      </c>
      <c r="J544" s="1" t="n">
        <f aca="false">VLOOKUP(B544,Заказы!$A$2:$E$2995,4,FALSE())</f>
        <v>0</v>
      </c>
      <c r="K544" s="1" t="str">
        <f aca="false">VLOOKUP(B544,Заказы!$A$2:$E$2995,5,FALSE())</f>
        <v>Не выполнено</v>
      </c>
      <c r="L544" s="1" t="n">
        <f aca="false">D544*F544+J544</f>
        <v>5850</v>
      </c>
      <c r="M544" s="1" t="n">
        <f aca="false">IF(AND(E544="Пицца Труслейка",I544="г. Москва",K544="Выполнено",G544&gt;=DATE(2020,7,1),G544&lt;DATE(2020,8,1)),L544,0)</f>
        <v>0</v>
      </c>
    </row>
    <row r="545" customFormat="false" ht="15" hidden="false" customHeight="true" outlineLevel="0" collapsed="false">
      <c r="A545" s="1" t="n">
        <v>100151</v>
      </c>
      <c r="B545" s="1" t="n">
        <v>51830</v>
      </c>
      <c r="C545" s="1" t="n">
        <v>22</v>
      </c>
      <c r="D545" s="1" t="n">
        <v>7</v>
      </c>
      <c r="E545" s="1" t="str">
        <f aca="false">VLOOKUP(C545,Меню!$A$2:$C$24,2,FALSE())</f>
        <v>Пицца с поркеттой и фриарелли</v>
      </c>
      <c r="F545" s="1" t="n">
        <f aca="false">VLOOKUP(C545,Меню!$A$2:$C$24,3,FALSE())</f>
        <v>550</v>
      </c>
      <c r="G545" s="5" t="n">
        <f aca="false">VLOOKUP(B545,Заказы!$A$2:$E$2995,2,FALSE())</f>
        <v>44056</v>
      </c>
      <c r="H545" s="1" t="n">
        <f aca="false">VLOOKUP(B545,Заказы!$A$2:$E$2995,3,FALSE())</f>
        <v>106</v>
      </c>
      <c r="I545" s="1" t="str">
        <f aca="false">VLOOKUP(H545,Клиенты!$A$2:$E$1995,5,FALSE())</f>
        <v>г. Соль-Илецк</v>
      </c>
      <c r="J545" s="1" t="n">
        <f aca="false">VLOOKUP(B545,Заказы!$A$2:$E$2995,4,FALSE())</f>
        <v>482</v>
      </c>
      <c r="K545" s="1" t="str">
        <f aca="false">VLOOKUP(B545,Заказы!$A$2:$E$2995,5,FALSE())</f>
        <v>Выполнено</v>
      </c>
      <c r="L545" s="1" t="n">
        <f aca="false">D545*F545+J545</f>
        <v>4332</v>
      </c>
      <c r="M545" s="1" t="n">
        <f aca="false">IF(AND(E545="Пицца Труслейка",I545="г. Москва",K545="Выполнено",G545&gt;=DATE(2020,7,1),G545&lt;DATE(2020,8,1)),L545,0)</f>
        <v>0</v>
      </c>
    </row>
    <row r="546" customFormat="false" ht="15" hidden="false" customHeight="true" outlineLevel="0" collapsed="false">
      <c r="A546" s="1" t="n">
        <v>101424</v>
      </c>
      <c r="B546" s="1" t="n">
        <v>50325</v>
      </c>
      <c r="C546" s="1" t="n">
        <v>20</v>
      </c>
      <c r="D546" s="1" t="n">
        <v>7</v>
      </c>
      <c r="E546" s="1" t="str">
        <f aca="false">VLOOKUP(C546,Меню!$A$2:$C$24,2,FALSE())</f>
        <v>Пицца пиканте</v>
      </c>
      <c r="F546" s="1" t="n">
        <f aca="false">VLOOKUP(C546,Меню!$A$2:$C$24,3,FALSE())</f>
        <v>585</v>
      </c>
      <c r="G546" s="5" t="n">
        <f aca="false">VLOOKUP(B546,Заказы!$A$2:$E$2995,2,FALSE())</f>
        <v>44065</v>
      </c>
      <c r="H546" s="1" t="n">
        <f aca="false">VLOOKUP(B546,Заказы!$A$2:$E$2995,3,FALSE())</f>
        <v>480</v>
      </c>
      <c r="I546" s="1" t="str">
        <f aca="false">VLOOKUP(H546,Клиенты!$A$2:$E$1995,5,FALSE())</f>
        <v>г. Москва</v>
      </c>
      <c r="J546" s="1" t="n">
        <f aca="false">VLOOKUP(B546,Заказы!$A$2:$E$2995,4,FALSE())</f>
        <v>0</v>
      </c>
      <c r="K546" s="1" t="str">
        <f aca="false">VLOOKUP(B546,Заказы!$A$2:$E$2995,5,FALSE())</f>
        <v>Не выполнено</v>
      </c>
      <c r="L546" s="1" t="n">
        <f aca="false">D546*F546+J546</f>
        <v>4095</v>
      </c>
      <c r="M546" s="1" t="n">
        <f aca="false">IF(AND(E546="Пицца Труслейка",I546="г. Москва",K546="Выполнено",G546&gt;=DATE(2020,7,1),G546&lt;DATE(2020,8,1)),L546,0)</f>
        <v>0</v>
      </c>
    </row>
    <row r="547" customFormat="false" ht="15" hidden="false" customHeight="true" outlineLevel="0" collapsed="false">
      <c r="A547" s="1" t="n">
        <v>100542</v>
      </c>
      <c r="B547" s="1" t="n">
        <v>51872</v>
      </c>
      <c r="C547" s="1" t="n">
        <v>8</v>
      </c>
      <c r="D547" s="1" t="n">
        <v>6</v>
      </c>
      <c r="E547" s="1" t="str">
        <f aca="false">VLOOKUP(C547,Меню!$A$2:$C$24,2,FALSE())</f>
        <v>Пицца Мясная</v>
      </c>
      <c r="F547" s="1" t="n">
        <f aca="false">VLOOKUP(C547,Меню!$A$2:$C$24,3,FALSE())</f>
        <v>615</v>
      </c>
      <c r="G547" s="5" t="n">
        <f aca="false">VLOOKUP(B547,Заказы!$A$2:$E$2995,2,FALSE())</f>
        <v>44015</v>
      </c>
      <c r="H547" s="1" t="n">
        <f aca="false">VLOOKUP(B547,Заказы!$A$2:$E$2995,3,FALSE())</f>
        <v>584</v>
      </c>
      <c r="I547" s="1" t="str">
        <f aca="false">VLOOKUP(H547,Клиенты!$A$2:$E$1995,5,FALSE())</f>
        <v>г. Уржум</v>
      </c>
      <c r="J547" s="1" t="n">
        <f aca="false">VLOOKUP(B547,Заказы!$A$2:$E$2995,4,FALSE())</f>
        <v>0</v>
      </c>
      <c r="K547" s="1" t="str">
        <f aca="false">VLOOKUP(B547,Заказы!$A$2:$E$2995,5,FALSE())</f>
        <v>Не выполнено</v>
      </c>
      <c r="L547" s="1" t="n">
        <f aca="false">D547*F547+J547</f>
        <v>3690</v>
      </c>
      <c r="M547" s="1" t="n">
        <f aca="false">IF(AND(E547="Пицца Труслейка",I547="г. Москва",K547="Выполнено",G547&gt;=DATE(2020,7,1),G547&lt;DATE(2020,8,1)),L547,0)</f>
        <v>0</v>
      </c>
    </row>
    <row r="548" customFormat="false" ht="15" hidden="false" customHeight="true" outlineLevel="0" collapsed="false">
      <c r="A548" s="1" t="n">
        <v>101851</v>
      </c>
      <c r="B548" s="1" t="n">
        <v>50196</v>
      </c>
      <c r="C548" s="1" t="n">
        <v>13</v>
      </c>
      <c r="D548" s="1" t="n">
        <v>3</v>
      </c>
      <c r="E548" s="1" t="str">
        <f aca="false">VLOOKUP(C548,Меню!$A$2:$C$24,2,FALSE())</f>
        <v>Пицца Сырная</v>
      </c>
      <c r="F548" s="1" t="n">
        <f aca="false">VLOOKUP(C548,Меню!$A$2:$C$24,3,FALSE())</f>
        <v>635</v>
      </c>
      <c r="G548" s="5" t="n">
        <f aca="false">VLOOKUP(B548,Заказы!$A$2:$E$2995,2,FALSE())</f>
        <v>44001</v>
      </c>
      <c r="H548" s="1" t="n">
        <f aca="false">VLOOKUP(B548,Заказы!$A$2:$E$2995,3,FALSE())</f>
        <v>433</v>
      </c>
      <c r="I548" s="1" t="str">
        <f aca="false">VLOOKUP(H548,Клиенты!$A$2:$E$1995,5,FALSE())</f>
        <v>г. Балабаново</v>
      </c>
      <c r="J548" s="1" t="n">
        <f aca="false">VLOOKUP(B548,Заказы!$A$2:$E$2995,4,FALSE())</f>
        <v>472</v>
      </c>
      <c r="K548" s="1" t="str">
        <f aca="false">VLOOKUP(B548,Заказы!$A$2:$E$2995,5,FALSE())</f>
        <v>Выполнено</v>
      </c>
      <c r="L548" s="1" t="n">
        <f aca="false">D548*F548+J548</f>
        <v>2377</v>
      </c>
      <c r="M548" s="1" t="n">
        <f aca="false">IF(AND(E548="Пицца Труслейка",I548="г. Москва",K548="Выполнено",G548&gt;=DATE(2020,7,1),G548&lt;DATE(2020,8,1)),L548,0)</f>
        <v>0</v>
      </c>
    </row>
    <row r="549" customFormat="false" ht="15" hidden="false" customHeight="true" outlineLevel="0" collapsed="false">
      <c r="A549" s="1" t="n">
        <v>100349</v>
      </c>
      <c r="B549" s="1" t="n">
        <v>50487</v>
      </c>
      <c r="C549" s="1" t="n">
        <v>6</v>
      </c>
      <c r="D549" s="1" t="n">
        <v>3</v>
      </c>
      <c r="E549" s="1" t="str">
        <f aca="false">VLOOKUP(C549,Меню!$A$2:$C$24,2,FALSE())</f>
        <v>Пицца Капричиоза</v>
      </c>
      <c r="F549" s="1" t="n">
        <f aca="false">VLOOKUP(C549,Меню!$A$2:$C$24,3,FALSE())</f>
        <v>570</v>
      </c>
      <c r="G549" s="5" t="n">
        <f aca="false">VLOOKUP(B549,Заказы!$A$2:$E$2995,2,FALSE())</f>
        <v>44063</v>
      </c>
      <c r="H549" s="1" t="n">
        <f aca="false">VLOOKUP(B549,Заказы!$A$2:$E$2995,3,FALSE())</f>
        <v>1615</v>
      </c>
      <c r="I549" s="1" t="str">
        <f aca="false">VLOOKUP(H549,Клиенты!$A$2:$E$1995,5,FALSE())</f>
        <v>г. Тогучин</v>
      </c>
      <c r="J549" s="1" t="n">
        <f aca="false">VLOOKUP(B549,Заказы!$A$2:$E$2995,4,FALSE())</f>
        <v>743</v>
      </c>
      <c r="K549" s="1" t="str">
        <f aca="false">VLOOKUP(B549,Заказы!$A$2:$E$2995,5,FALSE())</f>
        <v>Выполнено</v>
      </c>
      <c r="L549" s="1" t="n">
        <f aca="false">D549*F549+J549</f>
        <v>2453</v>
      </c>
      <c r="M549" s="1" t="n">
        <f aca="false">IF(AND(E549="Пицца Труслейка",I549="г. Москва",K549="Выполнено",G549&gt;=DATE(2020,7,1),G549&lt;DATE(2020,8,1)),L549,0)</f>
        <v>0</v>
      </c>
    </row>
    <row r="550" customFormat="false" ht="15" hidden="false" customHeight="true" outlineLevel="0" collapsed="false">
      <c r="A550" s="1" t="n">
        <v>100580</v>
      </c>
      <c r="B550" s="1" t="n">
        <v>50510</v>
      </c>
      <c r="C550" s="1" t="n">
        <v>1</v>
      </c>
      <c r="D550" s="1" t="n">
        <v>8</v>
      </c>
      <c r="E550" s="1" t="str">
        <f aca="false">VLOOKUP(C550,Меню!$A$2:$C$24,2,FALSE())</f>
        <v>Пицца Гавайская</v>
      </c>
      <c r="F550" s="1" t="n">
        <f aca="false">VLOOKUP(C550,Меню!$A$2:$C$24,3,FALSE())</f>
        <v>545</v>
      </c>
      <c r="G550" s="5" t="n">
        <f aca="false">VLOOKUP(B550,Заказы!$A$2:$E$2995,2,FALSE())</f>
        <v>44000</v>
      </c>
      <c r="H550" s="1" t="n">
        <f aca="false">VLOOKUP(B550,Заказы!$A$2:$E$2995,3,FALSE())</f>
        <v>1221</v>
      </c>
      <c r="I550" s="1" t="str">
        <f aca="false">VLOOKUP(H550,Клиенты!$A$2:$E$1995,5,FALSE())</f>
        <v>г. Отрадное</v>
      </c>
      <c r="J550" s="1" t="n">
        <f aca="false">VLOOKUP(B550,Заказы!$A$2:$E$2995,4,FALSE())</f>
        <v>671</v>
      </c>
      <c r="K550" s="1" t="str">
        <f aca="false">VLOOKUP(B550,Заказы!$A$2:$E$2995,5,FALSE())</f>
        <v>Выполнено</v>
      </c>
      <c r="L550" s="1" t="n">
        <f aca="false">D550*F550+J550</f>
        <v>5031</v>
      </c>
      <c r="M550" s="1" t="n">
        <f aca="false">IF(AND(E550="Пицца Труслейка",I550="г. Москва",K550="Выполнено",G550&gt;=DATE(2020,7,1),G550&lt;DATE(2020,8,1)),L550,0)</f>
        <v>0</v>
      </c>
    </row>
    <row r="551" customFormat="false" ht="15" hidden="false" customHeight="true" outlineLevel="0" collapsed="false">
      <c r="A551" s="1" t="n">
        <v>101063</v>
      </c>
      <c r="B551" s="1" t="n">
        <v>50365</v>
      </c>
      <c r="C551" s="1" t="n">
        <v>4</v>
      </c>
      <c r="D551" s="1" t="n">
        <v>2</v>
      </c>
      <c r="E551" s="1" t="str">
        <f aca="false">VLOOKUP(C551,Меню!$A$2:$C$24,2,FALSE())</f>
        <v>Пицца Труслейка</v>
      </c>
      <c r="F551" s="1" t="n">
        <f aca="false">VLOOKUP(C551,Меню!$A$2:$C$24,3,FALSE())</f>
        <v>610</v>
      </c>
      <c r="G551" s="5" t="n">
        <f aca="false">VLOOKUP(B551,Заказы!$A$2:$E$2995,2,FALSE())</f>
        <v>43986</v>
      </c>
      <c r="H551" s="1" t="n">
        <f aca="false">VLOOKUP(B551,Заказы!$A$2:$E$2995,3,FALSE())</f>
        <v>1814</v>
      </c>
      <c r="I551" s="1" t="str">
        <f aca="false">VLOOKUP(H551,Клиенты!$A$2:$E$1995,5,FALSE())</f>
        <v>г. Городовиковск</v>
      </c>
      <c r="J551" s="1" t="n">
        <f aca="false">VLOOKUP(B551,Заказы!$A$2:$E$2995,4,FALSE())</f>
        <v>0</v>
      </c>
      <c r="K551" s="1" t="str">
        <f aca="false">VLOOKUP(B551,Заказы!$A$2:$E$2995,5,FALSE())</f>
        <v>Не выполнено</v>
      </c>
      <c r="L551" s="1" t="n">
        <f aca="false">D551*F551+J551</f>
        <v>1220</v>
      </c>
      <c r="M551" s="1" t="n">
        <f aca="false">IF(AND(E551="Пицца Труслейка",I551="г. Москва",K551="Выполнено",G551&gt;=DATE(2020,7,1),G551&lt;DATE(2020,8,1)),L551,0)</f>
        <v>0</v>
      </c>
    </row>
    <row r="552" customFormat="false" ht="15" hidden="false" customHeight="true" outlineLevel="0" collapsed="false">
      <c r="A552" s="1" t="n">
        <v>100872</v>
      </c>
      <c r="B552" s="1" t="n">
        <v>51031</v>
      </c>
      <c r="C552" s="1" t="n">
        <v>20</v>
      </c>
      <c r="D552" s="1" t="n">
        <v>8</v>
      </c>
      <c r="E552" s="1" t="str">
        <f aca="false">VLOOKUP(C552,Меню!$A$2:$C$24,2,FALSE())</f>
        <v>Пицца пиканте</v>
      </c>
      <c r="F552" s="1" t="n">
        <f aca="false">VLOOKUP(C552,Меню!$A$2:$C$24,3,FALSE())</f>
        <v>585</v>
      </c>
      <c r="G552" s="5" t="n">
        <f aca="false">VLOOKUP(B552,Заказы!$A$2:$E$2995,2,FALSE())</f>
        <v>44021</v>
      </c>
      <c r="H552" s="1" t="n">
        <f aca="false">VLOOKUP(B552,Заказы!$A$2:$E$2995,3,FALSE())</f>
        <v>1119</v>
      </c>
      <c r="I552" s="1" t="str">
        <f aca="false">VLOOKUP(H552,Клиенты!$A$2:$E$1995,5,FALSE())</f>
        <v>г. Кудымкар</v>
      </c>
      <c r="J552" s="1" t="n">
        <f aca="false">VLOOKUP(B552,Заказы!$A$2:$E$2995,4,FALSE())</f>
        <v>0</v>
      </c>
      <c r="K552" s="1" t="str">
        <f aca="false">VLOOKUP(B552,Заказы!$A$2:$E$2995,5,FALSE())</f>
        <v>Не выполнено</v>
      </c>
      <c r="L552" s="1" t="n">
        <f aca="false">D552*F552+J552</f>
        <v>4680</v>
      </c>
      <c r="M552" s="1" t="n">
        <f aca="false">IF(AND(E552="Пицца Труслейка",I552="г. Москва",K552="Выполнено",G552&gt;=DATE(2020,7,1),G552&lt;DATE(2020,8,1)),L552,0)</f>
        <v>0</v>
      </c>
    </row>
    <row r="553" customFormat="false" ht="15" hidden="false" customHeight="true" outlineLevel="0" collapsed="false">
      <c r="A553" s="1" t="n">
        <v>101384</v>
      </c>
      <c r="B553" s="1" t="n">
        <v>51646</v>
      </c>
      <c r="C553" s="1" t="n">
        <v>16</v>
      </c>
      <c r="D553" s="1" t="n">
        <v>7</v>
      </c>
      <c r="E553" s="1" t="str">
        <f aca="false">VLOOKUP(C553,Меню!$A$2:$C$24,2,FALSE())</f>
        <v>Пицца Флорида</v>
      </c>
      <c r="F553" s="1" t="n">
        <f aca="false">VLOOKUP(C553,Меню!$A$2:$C$24,3,FALSE())</f>
        <v>535</v>
      </c>
      <c r="G553" s="5" t="n">
        <f aca="false">VLOOKUP(B553,Заказы!$A$2:$E$2995,2,FALSE())</f>
        <v>44026</v>
      </c>
      <c r="H553" s="1" t="n">
        <f aca="false">VLOOKUP(B553,Заказы!$A$2:$E$2995,3,FALSE())</f>
        <v>336</v>
      </c>
      <c r="I553" s="1" t="str">
        <f aca="false">VLOOKUP(H553,Клиенты!$A$2:$E$1995,5,FALSE())</f>
        <v>г. Сретенск</v>
      </c>
      <c r="J553" s="1" t="n">
        <f aca="false">VLOOKUP(B553,Заказы!$A$2:$E$2995,4,FALSE())</f>
        <v>0</v>
      </c>
      <c r="K553" s="1" t="str">
        <f aca="false">VLOOKUP(B553,Заказы!$A$2:$E$2995,5,FALSE())</f>
        <v>Не выполнено</v>
      </c>
      <c r="L553" s="1" t="n">
        <f aca="false">D553*F553+J553</f>
        <v>3745</v>
      </c>
      <c r="M553" s="1" t="n">
        <f aca="false">IF(AND(E553="Пицца Труслейка",I553="г. Москва",K553="Выполнено",G553&gt;=DATE(2020,7,1),G553&lt;DATE(2020,8,1)),L553,0)</f>
        <v>0</v>
      </c>
    </row>
    <row r="554" customFormat="false" ht="15" hidden="false" customHeight="true" outlineLevel="0" collapsed="false">
      <c r="A554" s="1" t="n">
        <v>100522</v>
      </c>
      <c r="B554" s="1" t="n">
        <v>50830</v>
      </c>
      <c r="C554" s="1" t="n">
        <v>12</v>
      </c>
      <c r="D554" s="1" t="n">
        <v>9</v>
      </c>
      <c r="E554" s="1" t="str">
        <f aca="false">VLOOKUP(C554,Меню!$A$2:$C$24,2,FALSE())</f>
        <v>Пицца Салями с трюфелем</v>
      </c>
      <c r="F554" s="1" t="n">
        <f aca="false">VLOOKUP(C554,Меню!$A$2:$C$24,3,FALSE())</f>
        <v>525</v>
      </c>
      <c r="G554" s="5" t="n">
        <f aca="false">VLOOKUP(B554,Заказы!$A$2:$E$2995,2,FALSE())</f>
        <v>44041</v>
      </c>
      <c r="H554" s="1" t="n">
        <f aca="false">VLOOKUP(B554,Заказы!$A$2:$E$2995,3,FALSE())</f>
        <v>1048</v>
      </c>
      <c r="I554" s="1" t="str">
        <f aca="false">VLOOKUP(H554,Клиенты!$A$2:$E$1995,5,FALSE())</f>
        <v>г. Барабинск</v>
      </c>
      <c r="J554" s="1" t="n">
        <f aca="false">VLOOKUP(B554,Заказы!$A$2:$E$2995,4,FALSE())</f>
        <v>0</v>
      </c>
      <c r="K554" s="1" t="str">
        <f aca="false">VLOOKUP(B554,Заказы!$A$2:$E$2995,5,FALSE())</f>
        <v>Не выполнено</v>
      </c>
      <c r="L554" s="1" t="n">
        <f aca="false">D554*F554+J554</f>
        <v>4725</v>
      </c>
      <c r="M554" s="1" t="n">
        <f aca="false">IF(AND(E554="Пицца Труслейка",I554="г. Москва",K554="Выполнено",G554&gt;=DATE(2020,7,1),G554&lt;DATE(2020,8,1)),L554,0)</f>
        <v>0</v>
      </c>
    </row>
    <row r="555" customFormat="false" ht="15" hidden="false" customHeight="true" outlineLevel="0" collapsed="false">
      <c r="A555" s="1" t="n">
        <v>101306</v>
      </c>
      <c r="B555" s="1" t="n">
        <v>51583</v>
      </c>
      <c r="C555" s="1" t="n">
        <v>18</v>
      </c>
      <c r="D555" s="1" t="n">
        <v>2</v>
      </c>
      <c r="E555" s="1" t="str">
        <f aca="false">VLOOKUP(C555,Меню!$A$2:$C$24,2,FALSE())</f>
        <v>Пицца Царская</v>
      </c>
      <c r="F555" s="1" t="n">
        <f aca="false">VLOOKUP(C555,Меню!$A$2:$C$24,3,FALSE())</f>
        <v>620</v>
      </c>
      <c r="G555" s="5" t="n">
        <f aca="false">VLOOKUP(B555,Заказы!$A$2:$E$2995,2,FALSE())</f>
        <v>44055</v>
      </c>
      <c r="H555" s="1" t="n">
        <f aca="false">VLOOKUP(B555,Заказы!$A$2:$E$2995,3,FALSE())</f>
        <v>1013</v>
      </c>
      <c r="I555" s="1" t="str">
        <f aca="false">VLOOKUP(H555,Клиенты!$A$2:$E$1995,5,FALSE())</f>
        <v>г. Вилючинск</v>
      </c>
      <c r="J555" s="1" t="n">
        <f aca="false">VLOOKUP(B555,Заказы!$A$2:$E$2995,4,FALSE())</f>
        <v>0</v>
      </c>
      <c r="K555" s="1" t="str">
        <f aca="false">VLOOKUP(B555,Заказы!$A$2:$E$2995,5,FALSE())</f>
        <v>Не выполнено</v>
      </c>
      <c r="L555" s="1" t="n">
        <f aca="false">D555*F555+J555</f>
        <v>1240</v>
      </c>
      <c r="M555" s="1" t="n">
        <f aca="false">IF(AND(E555="Пицца Труслейка",I555="г. Москва",K555="Выполнено",G555&gt;=DATE(2020,7,1),G555&lt;DATE(2020,8,1)),L555,0)</f>
        <v>0</v>
      </c>
    </row>
    <row r="556" customFormat="false" ht="15" hidden="false" customHeight="true" outlineLevel="0" collapsed="false">
      <c r="A556" s="1" t="n">
        <v>100332</v>
      </c>
      <c r="B556" s="1" t="n">
        <v>51944</v>
      </c>
      <c r="C556" s="1" t="n">
        <v>20</v>
      </c>
      <c r="D556" s="1" t="n">
        <v>3</v>
      </c>
      <c r="E556" s="1" t="str">
        <f aca="false">VLOOKUP(C556,Меню!$A$2:$C$24,2,FALSE())</f>
        <v>Пицца пиканте</v>
      </c>
      <c r="F556" s="1" t="n">
        <f aca="false">VLOOKUP(C556,Меню!$A$2:$C$24,3,FALSE())</f>
        <v>585</v>
      </c>
      <c r="G556" s="5" t="n">
        <f aca="false">VLOOKUP(B556,Заказы!$A$2:$E$2995,2,FALSE())</f>
        <v>44037</v>
      </c>
      <c r="H556" s="1" t="n">
        <f aca="false">VLOOKUP(B556,Заказы!$A$2:$E$2995,3,FALSE())</f>
        <v>1228</v>
      </c>
      <c r="I556" s="1" t="str">
        <f aca="false">VLOOKUP(H556,Клиенты!$A$2:$E$1995,5,FALSE())</f>
        <v>г. Канаш</v>
      </c>
      <c r="J556" s="1" t="n">
        <f aca="false">VLOOKUP(B556,Заказы!$A$2:$E$2995,4,FALSE())</f>
        <v>0</v>
      </c>
      <c r="K556" s="1" t="str">
        <f aca="false">VLOOKUP(B556,Заказы!$A$2:$E$2995,5,FALSE())</f>
        <v>Не выполнено</v>
      </c>
      <c r="L556" s="1" t="n">
        <f aca="false">D556*F556+J556</f>
        <v>1755</v>
      </c>
      <c r="M556" s="1" t="n">
        <f aca="false">IF(AND(E556="Пицца Труслейка",I556="г. Москва",K556="Выполнено",G556&gt;=DATE(2020,7,1),G556&lt;DATE(2020,8,1)),L556,0)</f>
        <v>0</v>
      </c>
    </row>
    <row r="557" customFormat="false" ht="15" hidden="false" customHeight="true" outlineLevel="0" collapsed="false">
      <c r="A557" s="1" t="n">
        <v>100985</v>
      </c>
      <c r="B557" s="1" t="n">
        <v>50565</v>
      </c>
      <c r="C557" s="1" t="n">
        <v>12</v>
      </c>
      <c r="D557" s="1" t="n">
        <v>1</v>
      </c>
      <c r="E557" s="1" t="str">
        <f aca="false">VLOOKUP(C557,Меню!$A$2:$C$24,2,FALSE())</f>
        <v>Пицца Салями с трюфелем</v>
      </c>
      <c r="F557" s="1" t="n">
        <f aca="false">VLOOKUP(C557,Меню!$A$2:$C$24,3,FALSE())</f>
        <v>525</v>
      </c>
      <c r="G557" s="5" t="n">
        <f aca="false">VLOOKUP(B557,Заказы!$A$2:$E$2995,2,FALSE())</f>
        <v>44022</v>
      </c>
      <c r="H557" s="1" t="n">
        <f aca="false">VLOOKUP(B557,Заказы!$A$2:$E$2995,3,FALSE())</f>
        <v>936</v>
      </c>
      <c r="I557" s="1" t="str">
        <f aca="false">VLOOKUP(H557,Клиенты!$A$2:$E$1995,5,FALSE())</f>
        <v>г. Кувшиново</v>
      </c>
      <c r="J557" s="1" t="n">
        <f aca="false">VLOOKUP(B557,Заказы!$A$2:$E$2995,4,FALSE())</f>
        <v>0</v>
      </c>
      <c r="K557" s="1" t="str">
        <f aca="false">VLOOKUP(B557,Заказы!$A$2:$E$2995,5,FALSE())</f>
        <v>Не выполнено</v>
      </c>
      <c r="L557" s="1" t="n">
        <f aca="false">D557*F557+J557</f>
        <v>525</v>
      </c>
      <c r="M557" s="1" t="n">
        <f aca="false">IF(AND(E557="Пицца Труслейка",I557="г. Москва",K557="Выполнено",G557&gt;=DATE(2020,7,1),G557&lt;DATE(2020,8,1)),L557,0)</f>
        <v>0</v>
      </c>
    </row>
    <row r="558" customFormat="false" ht="15" hidden="false" customHeight="true" outlineLevel="0" collapsed="false">
      <c r="A558" s="1" t="n">
        <v>101360</v>
      </c>
      <c r="B558" s="1" t="n">
        <v>50891</v>
      </c>
      <c r="C558" s="1" t="n">
        <v>7</v>
      </c>
      <c r="D558" s="1" t="n">
        <v>8</v>
      </c>
      <c r="E558" s="1" t="str">
        <f aca="false">VLOOKUP(C558,Меню!$A$2:$C$24,2,FALSE())</f>
        <v>Пицца Карбонара</v>
      </c>
      <c r="F558" s="1" t="n">
        <f aca="false">VLOOKUP(C558,Меню!$A$2:$C$24,3,FALSE())</f>
        <v>625</v>
      </c>
      <c r="G558" s="5" t="n">
        <f aca="false">VLOOKUP(B558,Заказы!$A$2:$E$2995,2,FALSE())</f>
        <v>44014</v>
      </c>
      <c r="H558" s="1" t="n">
        <f aca="false">VLOOKUP(B558,Заказы!$A$2:$E$2995,3,FALSE())</f>
        <v>78</v>
      </c>
      <c r="I558" s="1" t="str">
        <f aca="false">VLOOKUP(H558,Клиенты!$A$2:$E$1995,5,FALSE())</f>
        <v>г. Холмск</v>
      </c>
      <c r="J558" s="1" t="n">
        <f aca="false">VLOOKUP(B558,Заказы!$A$2:$E$2995,4,FALSE())</f>
        <v>743</v>
      </c>
      <c r="K558" s="1" t="str">
        <f aca="false">VLOOKUP(B558,Заказы!$A$2:$E$2995,5,FALSE())</f>
        <v>Выполнено</v>
      </c>
      <c r="L558" s="1" t="n">
        <f aca="false">D558*F558+J558</f>
        <v>5743</v>
      </c>
      <c r="M558" s="1" t="n">
        <f aca="false">IF(AND(E558="Пицца Труслейка",I558="г. Москва",K558="Выполнено",G558&gt;=DATE(2020,7,1),G558&lt;DATE(2020,8,1)),L558,0)</f>
        <v>0</v>
      </c>
    </row>
    <row r="559" customFormat="false" ht="15" hidden="false" customHeight="true" outlineLevel="0" collapsed="false">
      <c r="A559" s="1" t="n">
        <v>100156</v>
      </c>
      <c r="B559" s="1" t="n">
        <v>50201</v>
      </c>
      <c r="C559" s="1" t="n">
        <v>7</v>
      </c>
      <c r="D559" s="1" t="n">
        <v>7</v>
      </c>
      <c r="E559" s="1" t="str">
        <f aca="false">VLOOKUP(C559,Меню!$A$2:$C$24,2,FALSE())</f>
        <v>Пицца Карбонара</v>
      </c>
      <c r="F559" s="1" t="n">
        <f aca="false">VLOOKUP(C559,Меню!$A$2:$C$24,3,FALSE())</f>
        <v>625</v>
      </c>
      <c r="G559" s="5" t="n">
        <f aca="false">VLOOKUP(B559,Заказы!$A$2:$E$2995,2,FALSE())</f>
        <v>44025</v>
      </c>
      <c r="H559" s="1" t="n">
        <f aca="false">VLOOKUP(B559,Заказы!$A$2:$E$2995,3,FALSE())</f>
        <v>582</v>
      </c>
      <c r="I559" s="1" t="str">
        <f aca="false">VLOOKUP(H559,Клиенты!$A$2:$E$1995,5,FALSE())</f>
        <v>г. Вязьма</v>
      </c>
      <c r="J559" s="1" t="n">
        <f aca="false">VLOOKUP(B559,Заказы!$A$2:$E$2995,4,FALSE())</f>
        <v>386</v>
      </c>
      <c r="K559" s="1" t="str">
        <f aca="false">VLOOKUP(B559,Заказы!$A$2:$E$2995,5,FALSE())</f>
        <v>Выполнено</v>
      </c>
      <c r="L559" s="1" t="n">
        <f aca="false">D559*F559+J559</f>
        <v>4761</v>
      </c>
      <c r="M559" s="1" t="n">
        <f aca="false">IF(AND(E559="Пицца Труслейка",I559="г. Москва",K559="Выполнено",G559&gt;=DATE(2020,7,1),G559&lt;DATE(2020,8,1)),L559,0)</f>
        <v>0</v>
      </c>
    </row>
    <row r="560" customFormat="false" ht="15" hidden="false" customHeight="true" outlineLevel="0" collapsed="false">
      <c r="A560" s="1" t="n">
        <v>100756</v>
      </c>
      <c r="B560" s="1" t="n">
        <v>51607</v>
      </c>
      <c r="C560" s="1" t="n">
        <v>11</v>
      </c>
      <c r="D560" s="1" t="n">
        <v>8</v>
      </c>
      <c r="E560" s="1" t="str">
        <f aca="false">VLOOKUP(C560,Меню!$A$2:$C$24,2,FALSE())</f>
        <v>Пицца Песто</v>
      </c>
      <c r="F560" s="1" t="n">
        <f aca="false">VLOOKUP(C560,Меню!$A$2:$C$24,3,FALSE())</f>
        <v>530</v>
      </c>
      <c r="G560" s="5" t="n">
        <f aca="false">VLOOKUP(B560,Заказы!$A$2:$E$2995,2,FALSE())</f>
        <v>44058</v>
      </c>
      <c r="H560" s="1" t="n">
        <f aca="false">VLOOKUP(B560,Заказы!$A$2:$E$2995,3,FALSE())</f>
        <v>76</v>
      </c>
      <c r="I560" s="1" t="str">
        <f aca="false">VLOOKUP(H560,Клиенты!$A$2:$E$1995,5,FALSE())</f>
        <v>г. Давлеканово</v>
      </c>
      <c r="J560" s="1" t="n">
        <f aca="false">VLOOKUP(B560,Заказы!$A$2:$E$2995,4,FALSE())</f>
        <v>0</v>
      </c>
      <c r="K560" s="1" t="str">
        <f aca="false">VLOOKUP(B560,Заказы!$A$2:$E$2995,5,FALSE())</f>
        <v>Не выполнено</v>
      </c>
      <c r="L560" s="1" t="n">
        <f aca="false">D560*F560+J560</f>
        <v>4240</v>
      </c>
      <c r="M560" s="1" t="n">
        <f aca="false">IF(AND(E560="Пицца Труслейка",I560="г. Москва",K560="Выполнено",G560&gt;=DATE(2020,7,1),G560&lt;DATE(2020,8,1)),L560,0)</f>
        <v>0</v>
      </c>
    </row>
    <row r="561" customFormat="false" ht="15" hidden="false" customHeight="true" outlineLevel="0" collapsed="false">
      <c r="A561" s="1" t="n">
        <v>100808</v>
      </c>
      <c r="B561" s="1" t="n">
        <v>50290</v>
      </c>
      <c r="C561" s="1" t="n">
        <v>4</v>
      </c>
      <c r="D561" s="1" t="n">
        <v>4</v>
      </c>
      <c r="E561" s="1" t="str">
        <f aca="false">VLOOKUP(C561,Меню!$A$2:$C$24,2,FALSE())</f>
        <v>Пицца Труслейка</v>
      </c>
      <c r="F561" s="1" t="n">
        <f aca="false">VLOOKUP(C561,Меню!$A$2:$C$24,3,FALSE())</f>
        <v>610</v>
      </c>
      <c r="G561" s="5" t="n">
        <f aca="false">VLOOKUP(B561,Заказы!$A$2:$E$2995,2,FALSE())</f>
        <v>43994</v>
      </c>
      <c r="H561" s="1" t="n">
        <f aca="false">VLOOKUP(B561,Заказы!$A$2:$E$2995,3,FALSE())</f>
        <v>1513</v>
      </c>
      <c r="I561" s="1" t="str">
        <f aca="false">VLOOKUP(H561,Клиенты!$A$2:$E$1995,5,FALSE())</f>
        <v>г. Мосальск</v>
      </c>
      <c r="J561" s="1" t="n">
        <f aca="false">VLOOKUP(B561,Заказы!$A$2:$E$2995,4,FALSE())</f>
        <v>0</v>
      </c>
      <c r="K561" s="1" t="str">
        <f aca="false">VLOOKUP(B561,Заказы!$A$2:$E$2995,5,FALSE())</f>
        <v>Не выполнено</v>
      </c>
      <c r="L561" s="1" t="n">
        <f aca="false">D561*F561+J561</f>
        <v>2440</v>
      </c>
      <c r="M561" s="1" t="n">
        <f aca="false">IF(AND(E561="Пицца Труслейка",I561="г. Москва",K561="Выполнено",G561&gt;=DATE(2020,7,1),G561&lt;DATE(2020,8,1)),L561,0)</f>
        <v>0</v>
      </c>
    </row>
    <row r="562" customFormat="false" ht="15" hidden="false" customHeight="true" outlineLevel="0" collapsed="false">
      <c r="A562" s="1" t="n">
        <v>101226</v>
      </c>
      <c r="B562" s="1" t="n">
        <v>50345</v>
      </c>
      <c r="C562" s="1" t="n">
        <v>5</v>
      </c>
      <c r="D562" s="1" t="n">
        <v>6</v>
      </c>
      <c r="E562" s="1" t="str">
        <f aca="false">VLOOKUP(C562,Меню!$A$2:$C$24,2,FALSE())</f>
        <v>Пицца Жюльен</v>
      </c>
      <c r="F562" s="1" t="n">
        <f aca="false">VLOOKUP(C562,Меню!$A$2:$C$24,3,FALSE())</f>
        <v>580</v>
      </c>
      <c r="G562" s="5" t="n">
        <f aca="false">VLOOKUP(B562,Заказы!$A$2:$E$2995,2,FALSE())</f>
        <v>44014</v>
      </c>
      <c r="H562" s="1" t="n">
        <f aca="false">VLOOKUP(B562,Заказы!$A$2:$E$2995,3,FALSE())</f>
        <v>1476</v>
      </c>
      <c r="I562" s="1" t="str">
        <f aca="false">VLOOKUP(H562,Клиенты!$A$2:$E$1995,5,FALSE())</f>
        <v>г. Родники</v>
      </c>
      <c r="J562" s="1" t="n">
        <f aca="false">VLOOKUP(B562,Заказы!$A$2:$E$2995,4,FALSE())</f>
        <v>127</v>
      </c>
      <c r="K562" s="1" t="str">
        <f aca="false">VLOOKUP(B562,Заказы!$A$2:$E$2995,5,FALSE())</f>
        <v>Выполнено</v>
      </c>
      <c r="L562" s="1" t="n">
        <f aca="false">D562*F562+J562</f>
        <v>3607</v>
      </c>
      <c r="M562" s="1" t="n">
        <f aca="false">IF(AND(E562="Пицца Труслейка",I562="г. Москва",K562="Выполнено",G562&gt;=DATE(2020,7,1),G562&lt;DATE(2020,8,1)),L562,0)</f>
        <v>0</v>
      </c>
    </row>
    <row r="563" customFormat="false" ht="15" hidden="false" customHeight="true" outlineLevel="0" collapsed="false">
      <c r="A563" s="1" t="n">
        <v>100041</v>
      </c>
      <c r="B563" s="1" t="n">
        <v>50483</v>
      </c>
      <c r="C563" s="1" t="n">
        <v>8</v>
      </c>
      <c r="D563" s="1" t="n">
        <v>7</v>
      </c>
      <c r="E563" s="1" t="str">
        <f aca="false">VLOOKUP(C563,Меню!$A$2:$C$24,2,FALSE())</f>
        <v>Пицца Мясная</v>
      </c>
      <c r="F563" s="1" t="n">
        <f aca="false">VLOOKUP(C563,Меню!$A$2:$C$24,3,FALSE())</f>
        <v>615</v>
      </c>
      <c r="G563" s="5" t="n">
        <f aca="false">VLOOKUP(B563,Заказы!$A$2:$E$2995,2,FALSE())</f>
        <v>44032</v>
      </c>
      <c r="H563" s="1" t="n">
        <f aca="false">VLOOKUP(B563,Заказы!$A$2:$E$2995,3,FALSE())</f>
        <v>525</v>
      </c>
      <c r="I563" s="1" t="str">
        <f aca="false">VLOOKUP(H563,Клиенты!$A$2:$E$1995,5,FALSE())</f>
        <v>г. Уварово</v>
      </c>
      <c r="J563" s="1" t="n">
        <f aca="false">VLOOKUP(B563,Заказы!$A$2:$E$2995,4,FALSE())</f>
        <v>592</v>
      </c>
      <c r="K563" s="1" t="str">
        <f aca="false">VLOOKUP(B563,Заказы!$A$2:$E$2995,5,FALSE())</f>
        <v>Выполнено</v>
      </c>
      <c r="L563" s="1" t="n">
        <f aca="false">D563*F563+J563</f>
        <v>4897</v>
      </c>
      <c r="M563" s="1" t="n">
        <f aca="false">IF(AND(E563="Пицца Труслейка",I563="г. Москва",K563="Выполнено",G563&gt;=DATE(2020,7,1),G563&lt;DATE(2020,8,1)),L563,0)</f>
        <v>0</v>
      </c>
    </row>
    <row r="564" customFormat="false" ht="15" hidden="false" customHeight="true" outlineLevel="0" collapsed="false">
      <c r="A564" s="1" t="n">
        <v>100797</v>
      </c>
      <c r="B564" s="1" t="n">
        <v>50147</v>
      </c>
      <c r="C564" s="1" t="n">
        <v>3</v>
      </c>
      <c r="D564" s="1" t="n">
        <v>9</v>
      </c>
      <c r="E564" s="1" t="str">
        <f aca="false">VLOOKUP(C564,Меню!$A$2:$C$24,2,FALSE())</f>
        <v>Пицца Диабло</v>
      </c>
      <c r="F564" s="1" t="n">
        <f aca="false">VLOOKUP(C564,Меню!$A$2:$C$24,3,FALSE())</f>
        <v>590</v>
      </c>
      <c r="G564" s="5" t="n">
        <f aca="false">VLOOKUP(B564,Заказы!$A$2:$E$2995,2,FALSE())</f>
        <v>44071</v>
      </c>
      <c r="H564" s="1" t="n">
        <f aca="false">VLOOKUP(B564,Заказы!$A$2:$E$2995,3,FALSE())</f>
        <v>557</v>
      </c>
      <c r="I564" s="1" t="str">
        <f aca="false">VLOOKUP(H564,Клиенты!$A$2:$E$1995,5,FALSE())</f>
        <v>г. Макарьев</v>
      </c>
      <c r="J564" s="1" t="n">
        <f aca="false">VLOOKUP(B564,Заказы!$A$2:$E$2995,4,FALSE())</f>
        <v>0</v>
      </c>
      <c r="K564" s="1" t="str">
        <f aca="false">VLOOKUP(B564,Заказы!$A$2:$E$2995,5,FALSE())</f>
        <v>Не выполнено</v>
      </c>
      <c r="L564" s="1" t="n">
        <f aca="false">D564*F564+J564</f>
        <v>5310</v>
      </c>
      <c r="M564" s="1" t="n">
        <f aca="false">IF(AND(E564="Пицца Труслейка",I564="г. Москва",K564="Выполнено",G564&gt;=DATE(2020,7,1),G564&lt;DATE(2020,8,1)),L564,0)</f>
        <v>0</v>
      </c>
    </row>
    <row r="565" customFormat="false" ht="15" hidden="false" customHeight="true" outlineLevel="0" collapsed="false">
      <c r="A565" s="1" t="n">
        <v>101862</v>
      </c>
      <c r="B565" s="1" t="n">
        <v>51105</v>
      </c>
      <c r="C565" s="1" t="n">
        <v>4</v>
      </c>
      <c r="D565" s="1" t="n">
        <v>4</v>
      </c>
      <c r="E565" s="1" t="str">
        <f aca="false">VLOOKUP(C565,Меню!$A$2:$C$24,2,FALSE())</f>
        <v>Пицца Труслейка</v>
      </c>
      <c r="F565" s="1" t="n">
        <f aca="false">VLOOKUP(C565,Меню!$A$2:$C$24,3,FALSE())</f>
        <v>610</v>
      </c>
      <c r="G565" s="5" t="n">
        <f aca="false">VLOOKUP(B565,Заказы!$A$2:$E$2995,2,FALSE())</f>
        <v>44032</v>
      </c>
      <c r="H565" s="1" t="n">
        <f aca="false">VLOOKUP(B565,Заказы!$A$2:$E$2995,3,FALSE())</f>
        <v>1707</v>
      </c>
      <c r="I565" s="1" t="str">
        <f aca="false">VLOOKUP(H565,Клиенты!$A$2:$E$1995,5,FALSE())</f>
        <v>г. Питкяранта</v>
      </c>
      <c r="J565" s="1" t="n">
        <f aca="false">VLOOKUP(B565,Заказы!$A$2:$E$2995,4,FALSE())</f>
        <v>837</v>
      </c>
      <c r="K565" s="1" t="str">
        <f aca="false">VLOOKUP(B565,Заказы!$A$2:$E$2995,5,FALSE())</f>
        <v>Выполнено</v>
      </c>
      <c r="L565" s="1" t="n">
        <f aca="false">D565*F565+J565</f>
        <v>3277</v>
      </c>
      <c r="M565" s="1" t="n">
        <f aca="false">IF(AND(E565="Пицца Труслейка",I565="г. Москва",K565="Выполнено",G565&gt;=DATE(2020,7,1),G565&lt;DATE(2020,8,1)),L565,0)</f>
        <v>0</v>
      </c>
    </row>
    <row r="566" customFormat="false" ht="15" hidden="false" customHeight="true" outlineLevel="0" collapsed="false">
      <c r="A566" s="1" t="n">
        <v>101801</v>
      </c>
      <c r="B566" s="1" t="n">
        <v>51322</v>
      </c>
      <c r="C566" s="1" t="n">
        <v>20</v>
      </c>
      <c r="D566" s="1" t="n">
        <v>1</v>
      </c>
      <c r="E566" s="1" t="str">
        <f aca="false">VLOOKUP(C566,Меню!$A$2:$C$24,2,FALSE())</f>
        <v>Пицца пиканте</v>
      </c>
      <c r="F566" s="1" t="n">
        <f aca="false">VLOOKUP(C566,Меню!$A$2:$C$24,3,FALSE())</f>
        <v>585</v>
      </c>
      <c r="G566" s="5" t="n">
        <f aca="false">VLOOKUP(B566,Заказы!$A$2:$E$2995,2,FALSE())</f>
        <v>44016</v>
      </c>
      <c r="H566" s="1" t="n">
        <f aca="false">VLOOKUP(B566,Заказы!$A$2:$E$2995,3,FALSE())</f>
        <v>1538</v>
      </c>
      <c r="I566" s="1" t="str">
        <f aca="false">VLOOKUP(H566,Клиенты!$A$2:$E$1995,5,FALSE())</f>
        <v>г. Онега</v>
      </c>
      <c r="J566" s="1" t="n">
        <f aca="false">VLOOKUP(B566,Заказы!$A$2:$E$2995,4,FALSE())</f>
        <v>0</v>
      </c>
      <c r="K566" s="1" t="str">
        <f aca="false">VLOOKUP(B566,Заказы!$A$2:$E$2995,5,FALSE())</f>
        <v>Не выполнено</v>
      </c>
      <c r="L566" s="1" t="n">
        <f aca="false">D566*F566+J566</f>
        <v>585</v>
      </c>
      <c r="M566" s="1" t="n">
        <f aca="false">IF(AND(E566="Пицца Труслейка",I566="г. Москва",K566="Выполнено",G566&gt;=DATE(2020,7,1),G566&lt;DATE(2020,8,1)),L566,0)</f>
        <v>0</v>
      </c>
    </row>
    <row r="567" customFormat="false" ht="15" hidden="false" customHeight="true" outlineLevel="0" collapsed="false">
      <c r="A567" s="1" t="n">
        <v>100020</v>
      </c>
      <c r="B567" s="1" t="n">
        <v>50547</v>
      </c>
      <c r="C567" s="1" t="n">
        <v>3</v>
      </c>
      <c r="D567" s="1" t="n">
        <v>7</v>
      </c>
      <c r="E567" s="1" t="str">
        <f aca="false">VLOOKUP(C567,Меню!$A$2:$C$24,2,FALSE())</f>
        <v>Пицца Диабло</v>
      </c>
      <c r="F567" s="1" t="n">
        <f aca="false">VLOOKUP(C567,Меню!$A$2:$C$24,3,FALSE())</f>
        <v>590</v>
      </c>
      <c r="G567" s="5" t="n">
        <f aca="false">VLOOKUP(B567,Заказы!$A$2:$E$2995,2,FALSE())</f>
        <v>44029</v>
      </c>
      <c r="H567" s="1" t="n">
        <f aca="false">VLOOKUP(B567,Заказы!$A$2:$E$2995,3,FALSE())</f>
        <v>281</v>
      </c>
      <c r="I567" s="1" t="str">
        <f aca="false">VLOOKUP(H567,Клиенты!$A$2:$E$1995,5,FALSE())</f>
        <v>г. Рыбинск</v>
      </c>
      <c r="J567" s="1" t="n">
        <f aca="false">VLOOKUP(B567,Заказы!$A$2:$E$2995,4,FALSE())</f>
        <v>0</v>
      </c>
      <c r="K567" s="1" t="str">
        <f aca="false">VLOOKUP(B567,Заказы!$A$2:$E$2995,5,FALSE())</f>
        <v>Не выполнено</v>
      </c>
      <c r="L567" s="1" t="n">
        <f aca="false">D567*F567+J567</f>
        <v>4130</v>
      </c>
      <c r="M567" s="1" t="n">
        <f aca="false">IF(AND(E567="Пицца Труслейка",I567="г. Москва",K567="Выполнено",G567&gt;=DATE(2020,7,1),G567&lt;DATE(2020,8,1)),L567,0)</f>
        <v>0</v>
      </c>
    </row>
    <row r="568" customFormat="false" ht="15" hidden="false" customHeight="true" outlineLevel="0" collapsed="false">
      <c r="A568" s="1" t="n">
        <v>100780</v>
      </c>
      <c r="B568" s="1" t="n">
        <v>51304</v>
      </c>
      <c r="C568" s="1" t="n">
        <v>1</v>
      </c>
      <c r="D568" s="1" t="n">
        <v>6</v>
      </c>
      <c r="E568" s="1" t="str">
        <f aca="false">VLOOKUP(C568,Меню!$A$2:$C$24,2,FALSE())</f>
        <v>Пицца Гавайская</v>
      </c>
      <c r="F568" s="1" t="n">
        <f aca="false">VLOOKUP(C568,Меню!$A$2:$C$24,3,FALSE())</f>
        <v>545</v>
      </c>
      <c r="G568" s="5" t="n">
        <f aca="false">VLOOKUP(B568,Заказы!$A$2:$E$2995,2,FALSE())</f>
        <v>44026</v>
      </c>
      <c r="H568" s="1" t="n">
        <f aca="false">VLOOKUP(B568,Заказы!$A$2:$E$2995,3,FALSE())</f>
        <v>1261</v>
      </c>
      <c r="I568" s="1" t="str">
        <f aca="false">VLOOKUP(H568,Клиенты!$A$2:$E$1995,5,FALSE())</f>
        <v>г. Дудинка</v>
      </c>
      <c r="J568" s="1" t="n">
        <f aca="false">VLOOKUP(B568,Заказы!$A$2:$E$2995,4,FALSE())</f>
        <v>326</v>
      </c>
      <c r="K568" s="1" t="str">
        <f aca="false">VLOOKUP(B568,Заказы!$A$2:$E$2995,5,FALSE())</f>
        <v>Выполнено</v>
      </c>
      <c r="L568" s="1" t="n">
        <f aca="false">D568*F568+J568</f>
        <v>3596</v>
      </c>
      <c r="M568" s="1" t="n">
        <f aca="false">IF(AND(E568="Пицца Труслейка",I568="г. Москва",K568="Выполнено",G568&gt;=DATE(2020,7,1),G568&lt;DATE(2020,8,1)),L568,0)</f>
        <v>0</v>
      </c>
    </row>
    <row r="569" customFormat="false" ht="15" hidden="false" customHeight="true" outlineLevel="0" collapsed="false">
      <c r="A569" s="1" t="n">
        <v>101600</v>
      </c>
      <c r="B569" s="1" t="n">
        <v>51769</v>
      </c>
      <c r="C569" s="1" t="n">
        <v>7</v>
      </c>
      <c r="D569" s="1" t="n">
        <v>4</v>
      </c>
      <c r="E569" s="1" t="str">
        <f aca="false">VLOOKUP(C569,Меню!$A$2:$C$24,2,FALSE())</f>
        <v>Пицца Карбонара</v>
      </c>
      <c r="F569" s="1" t="n">
        <f aca="false">VLOOKUP(C569,Меню!$A$2:$C$24,3,FALSE())</f>
        <v>625</v>
      </c>
      <c r="G569" s="5" t="n">
        <f aca="false">VLOOKUP(B569,Заказы!$A$2:$E$2995,2,FALSE())</f>
        <v>44037</v>
      </c>
      <c r="H569" s="1" t="n">
        <f aca="false">VLOOKUP(B569,Заказы!$A$2:$E$2995,3,FALSE())</f>
        <v>757</v>
      </c>
      <c r="I569" s="1" t="str">
        <f aca="false">VLOOKUP(H569,Клиенты!$A$2:$E$1995,5,FALSE())</f>
        <v>г. Вельск</v>
      </c>
      <c r="J569" s="1" t="n">
        <f aca="false">VLOOKUP(B569,Заказы!$A$2:$E$2995,4,FALSE())</f>
        <v>0</v>
      </c>
      <c r="K569" s="1" t="str">
        <f aca="false">VLOOKUP(B569,Заказы!$A$2:$E$2995,5,FALSE())</f>
        <v>Не выполнено</v>
      </c>
      <c r="L569" s="1" t="n">
        <f aca="false">D569*F569+J569</f>
        <v>2500</v>
      </c>
      <c r="M569" s="1" t="n">
        <f aca="false">IF(AND(E569="Пицца Труслейка",I569="г. Москва",K569="Выполнено",G569&gt;=DATE(2020,7,1),G569&lt;DATE(2020,8,1)),L569,0)</f>
        <v>0</v>
      </c>
    </row>
    <row r="570" customFormat="false" ht="15" hidden="false" customHeight="true" outlineLevel="0" collapsed="false">
      <c r="A570" s="1" t="n">
        <v>101946</v>
      </c>
      <c r="B570" s="1" t="n">
        <v>51975</v>
      </c>
      <c r="C570" s="1" t="n">
        <v>11</v>
      </c>
      <c r="D570" s="1" t="n">
        <v>1</v>
      </c>
      <c r="E570" s="1" t="str">
        <f aca="false">VLOOKUP(C570,Меню!$A$2:$C$24,2,FALSE())</f>
        <v>Пицца Песто</v>
      </c>
      <c r="F570" s="1" t="n">
        <f aca="false">VLOOKUP(C570,Меню!$A$2:$C$24,3,FALSE())</f>
        <v>530</v>
      </c>
      <c r="G570" s="5" t="n">
        <f aca="false">VLOOKUP(B570,Заказы!$A$2:$E$2995,2,FALSE())</f>
        <v>43991</v>
      </c>
      <c r="H570" s="1" t="n">
        <f aca="false">VLOOKUP(B570,Заказы!$A$2:$E$2995,3,FALSE())</f>
        <v>1396</v>
      </c>
      <c r="I570" s="1" t="str">
        <f aca="false">VLOOKUP(H570,Клиенты!$A$2:$E$1995,5,FALSE())</f>
        <v>г. Называевск</v>
      </c>
      <c r="J570" s="1" t="n">
        <f aca="false">VLOOKUP(B570,Заказы!$A$2:$E$2995,4,FALSE())</f>
        <v>228</v>
      </c>
      <c r="K570" s="1" t="str">
        <f aca="false">VLOOKUP(B570,Заказы!$A$2:$E$2995,5,FALSE())</f>
        <v>Выполнено</v>
      </c>
      <c r="L570" s="1" t="n">
        <f aca="false">D570*F570+J570</f>
        <v>758</v>
      </c>
      <c r="M570" s="1" t="n">
        <f aca="false">IF(AND(E570="Пицца Труслейка",I570="г. Москва",K570="Выполнено",G570&gt;=DATE(2020,7,1),G570&lt;DATE(2020,8,1)),L570,0)</f>
        <v>0</v>
      </c>
    </row>
    <row r="571" customFormat="false" ht="15" hidden="false" customHeight="true" outlineLevel="0" collapsed="false">
      <c r="A571" s="1" t="n">
        <v>101317</v>
      </c>
      <c r="B571" s="1" t="n">
        <v>51613</v>
      </c>
      <c r="C571" s="1" t="n">
        <v>4</v>
      </c>
      <c r="D571" s="1" t="n">
        <v>3</v>
      </c>
      <c r="E571" s="1" t="str">
        <f aca="false">VLOOKUP(C571,Меню!$A$2:$C$24,2,FALSE())</f>
        <v>Пицца Труслейка</v>
      </c>
      <c r="F571" s="1" t="n">
        <f aca="false">VLOOKUP(C571,Меню!$A$2:$C$24,3,FALSE())</f>
        <v>610</v>
      </c>
      <c r="G571" s="5" t="n">
        <f aca="false">VLOOKUP(B571,Заказы!$A$2:$E$2995,2,FALSE())</f>
        <v>44008</v>
      </c>
      <c r="H571" s="1" t="n">
        <f aca="false">VLOOKUP(B571,Заказы!$A$2:$E$2995,3,FALSE())</f>
        <v>424</v>
      </c>
      <c r="I571" s="1" t="str">
        <f aca="false">VLOOKUP(H571,Клиенты!$A$2:$E$1995,5,FALSE())</f>
        <v>г. Одинцово</v>
      </c>
      <c r="J571" s="1" t="n">
        <f aca="false">VLOOKUP(B571,Заказы!$A$2:$E$2995,4,FALSE())</f>
        <v>0</v>
      </c>
      <c r="K571" s="1" t="str">
        <f aca="false">VLOOKUP(B571,Заказы!$A$2:$E$2995,5,FALSE())</f>
        <v>Не выполнено</v>
      </c>
      <c r="L571" s="1" t="n">
        <f aca="false">D571*F571+J571</f>
        <v>1830</v>
      </c>
      <c r="M571" s="1" t="n">
        <f aca="false">IF(AND(E571="Пицца Труслейка",I571="г. Москва",K571="Выполнено",G571&gt;=DATE(2020,7,1),G571&lt;DATE(2020,8,1)),L571,0)</f>
        <v>0</v>
      </c>
    </row>
    <row r="572" customFormat="false" ht="15" hidden="false" customHeight="true" outlineLevel="0" collapsed="false">
      <c r="A572" s="1" t="n">
        <v>101544</v>
      </c>
      <c r="B572" s="1" t="n">
        <v>51453</v>
      </c>
      <c r="C572" s="1" t="n">
        <v>15</v>
      </c>
      <c r="D572" s="1" t="n">
        <v>7</v>
      </c>
      <c r="E572" s="1" t="str">
        <f aca="false">VLOOKUP(C572,Меню!$A$2:$C$24,2,FALSE())</f>
        <v>Пицца Тропиканка</v>
      </c>
      <c r="F572" s="1" t="n">
        <f aca="false">VLOOKUP(C572,Меню!$A$2:$C$24,3,FALSE())</f>
        <v>605</v>
      </c>
      <c r="G572" s="5" t="n">
        <f aca="false">VLOOKUP(B572,Заказы!$A$2:$E$2995,2,FALSE())</f>
        <v>43990</v>
      </c>
      <c r="H572" s="1" t="n">
        <f aca="false">VLOOKUP(B572,Заказы!$A$2:$E$2995,3,FALSE())</f>
        <v>1338</v>
      </c>
      <c r="I572" s="1" t="str">
        <f aca="false">VLOOKUP(H572,Клиенты!$A$2:$E$1995,5,FALSE())</f>
        <v>г. Сосенский</v>
      </c>
      <c r="J572" s="1" t="n">
        <f aca="false">VLOOKUP(B572,Заказы!$A$2:$E$2995,4,FALSE())</f>
        <v>0</v>
      </c>
      <c r="K572" s="1" t="str">
        <f aca="false">VLOOKUP(B572,Заказы!$A$2:$E$2995,5,FALSE())</f>
        <v>Не выполнено</v>
      </c>
      <c r="L572" s="1" t="n">
        <f aca="false">D572*F572+J572</f>
        <v>4235</v>
      </c>
      <c r="M572" s="1" t="n">
        <f aca="false">IF(AND(E572="Пицца Труслейка",I572="г. Москва",K572="Выполнено",G572&gt;=DATE(2020,7,1),G572&lt;DATE(2020,8,1)),L572,0)</f>
        <v>0</v>
      </c>
    </row>
    <row r="573" customFormat="false" ht="15" hidden="false" customHeight="true" outlineLevel="0" collapsed="false">
      <c r="A573" s="1" t="n">
        <v>100908</v>
      </c>
      <c r="B573" s="1" t="n">
        <v>51125</v>
      </c>
      <c r="C573" s="1" t="n">
        <v>7</v>
      </c>
      <c r="D573" s="1" t="n">
        <v>9</v>
      </c>
      <c r="E573" s="1" t="str">
        <f aca="false">VLOOKUP(C573,Меню!$A$2:$C$24,2,FALSE())</f>
        <v>Пицца Карбонара</v>
      </c>
      <c r="F573" s="1" t="n">
        <f aca="false">VLOOKUP(C573,Меню!$A$2:$C$24,3,FALSE())</f>
        <v>625</v>
      </c>
      <c r="G573" s="5" t="n">
        <f aca="false">VLOOKUP(B573,Заказы!$A$2:$E$2995,2,FALSE())</f>
        <v>44000</v>
      </c>
      <c r="H573" s="1" t="n">
        <f aca="false">VLOOKUP(B573,Заказы!$A$2:$E$2995,3,FALSE())</f>
        <v>32</v>
      </c>
      <c r="I573" s="1" t="str">
        <f aca="false">VLOOKUP(H573,Клиенты!$A$2:$E$1995,5,FALSE())</f>
        <v>г. Троицк</v>
      </c>
      <c r="J573" s="1" t="n">
        <f aca="false">VLOOKUP(B573,Заказы!$A$2:$E$2995,4,FALSE())</f>
        <v>0</v>
      </c>
      <c r="K573" s="1" t="str">
        <f aca="false">VLOOKUP(B573,Заказы!$A$2:$E$2995,5,FALSE())</f>
        <v>Не выполнено</v>
      </c>
      <c r="L573" s="1" t="n">
        <f aca="false">D573*F573+J573</f>
        <v>5625</v>
      </c>
      <c r="M573" s="1" t="n">
        <f aca="false">IF(AND(E573="Пицца Труслейка",I573="г. Москва",K573="Выполнено",G573&gt;=DATE(2020,7,1),G573&lt;DATE(2020,8,1)),L573,0)</f>
        <v>0</v>
      </c>
    </row>
    <row r="574" customFormat="false" ht="15" hidden="false" customHeight="true" outlineLevel="0" collapsed="false">
      <c r="A574" s="1" t="n">
        <v>100379</v>
      </c>
      <c r="B574" s="1" t="n">
        <v>50247</v>
      </c>
      <c r="C574" s="1" t="n">
        <v>22</v>
      </c>
      <c r="D574" s="1" t="n">
        <v>7</v>
      </c>
      <c r="E574" s="1" t="str">
        <f aca="false">VLOOKUP(C574,Меню!$A$2:$C$24,2,FALSE())</f>
        <v>Пицца с поркеттой и фриарелли</v>
      </c>
      <c r="F574" s="1" t="n">
        <f aca="false">VLOOKUP(C574,Меню!$A$2:$C$24,3,FALSE())</f>
        <v>550</v>
      </c>
      <c r="G574" s="5" t="n">
        <f aca="false">VLOOKUP(B574,Заказы!$A$2:$E$2995,2,FALSE())</f>
        <v>44019</v>
      </c>
      <c r="H574" s="1" t="n">
        <f aca="false">VLOOKUP(B574,Заказы!$A$2:$E$2995,3,FALSE())</f>
        <v>838</v>
      </c>
      <c r="I574" s="1" t="str">
        <f aca="false">VLOOKUP(H574,Клиенты!$A$2:$E$1995,5,FALSE())</f>
        <v>г. Тавда</v>
      </c>
      <c r="J574" s="1" t="n">
        <f aca="false">VLOOKUP(B574,Заказы!$A$2:$E$2995,4,FALSE())</f>
        <v>373</v>
      </c>
      <c r="K574" s="1" t="str">
        <f aca="false">VLOOKUP(B574,Заказы!$A$2:$E$2995,5,FALSE())</f>
        <v>Выполнено</v>
      </c>
      <c r="L574" s="1" t="n">
        <f aca="false">D574*F574+J574</f>
        <v>4223</v>
      </c>
      <c r="M574" s="1" t="n">
        <f aca="false">IF(AND(E574="Пицца Труслейка",I574="г. Москва",K574="Выполнено",G574&gt;=DATE(2020,7,1),G574&lt;DATE(2020,8,1)),L574,0)</f>
        <v>0</v>
      </c>
    </row>
    <row r="575" customFormat="false" ht="15" hidden="false" customHeight="true" outlineLevel="0" collapsed="false">
      <c r="A575" s="1" t="n">
        <v>101324</v>
      </c>
      <c r="B575" s="1" t="n">
        <v>50194</v>
      </c>
      <c r="C575" s="1" t="n">
        <v>10</v>
      </c>
      <c r="D575" s="1" t="n">
        <v>5</v>
      </c>
      <c r="E575" s="1" t="str">
        <f aca="false">VLOOKUP(C575,Меню!$A$2:$C$24,2,FALSE())</f>
        <v>Пицца Пепперони фреш</v>
      </c>
      <c r="F575" s="1" t="n">
        <f aca="false">VLOOKUP(C575,Меню!$A$2:$C$24,3,FALSE())</f>
        <v>565</v>
      </c>
      <c r="G575" s="5" t="n">
        <f aca="false">VLOOKUP(B575,Заказы!$A$2:$E$2995,2,FALSE())</f>
        <v>43991</v>
      </c>
      <c r="H575" s="1" t="n">
        <f aca="false">VLOOKUP(B575,Заказы!$A$2:$E$2995,3,FALSE())</f>
        <v>1874</v>
      </c>
      <c r="I575" s="1" t="str">
        <f aca="false">VLOOKUP(H575,Клиенты!$A$2:$E$1995,5,FALSE())</f>
        <v>г. Нарьян-Мар</v>
      </c>
      <c r="J575" s="1" t="n">
        <f aca="false">VLOOKUP(B575,Заказы!$A$2:$E$2995,4,FALSE())</f>
        <v>0</v>
      </c>
      <c r="K575" s="1" t="str">
        <f aca="false">VLOOKUP(B575,Заказы!$A$2:$E$2995,5,FALSE())</f>
        <v>Не выполнено</v>
      </c>
      <c r="L575" s="1" t="n">
        <f aca="false">D575*F575+J575</f>
        <v>2825</v>
      </c>
      <c r="M575" s="1" t="n">
        <f aca="false">IF(AND(E575="Пицца Труслейка",I575="г. Москва",K575="Выполнено",G575&gt;=DATE(2020,7,1),G575&lt;DATE(2020,8,1)),L575,0)</f>
        <v>0</v>
      </c>
    </row>
    <row r="576" customFormat="false" ht="15" hidden="false" customHeight="true" outlineLevel="0" collapsed="false">
      <c r="A576" s="1" t="n">
        <v>101281</v>
      </c>
      <c r="B576" s="1" t="n">
        <v>50475</v>
      </c>
      <c r="C576" s="1" t="n">
        <v>14</v>
      </c>
      <c r="D576" s="1" t="n">
        <v>1</v>
      </c>
      <c r="E576" s="1" t="str">
        <f aca="false">VLOOKUP(C576,Меню!$A$2:$C$24,2,FALSE())</f>
        <v>Пицца Сырный цыпленок</v>
      </c>
      <c r="F576" s="1" t="n">
        <f aca="false">VLOOKUP(C576,Меню!$A$2:$C$24,3,FALSE())</f>
        <v>555</v>
      </c>
      <c r="G576" s="5" t="n">
        <f aca="false">VLOOKUP(B576,Заказы!$A$2:$E$2995,2,FALSE())</f>
        <v>43994</v>
      </c>
      <c r="H576" s="1" t="n">
        <f aca="false">VLOOKUP(B576,Заказы!$A$2:$E$2995,3,FALSE())</f>
        <v>1559</v>
      </c>
      <c r="I576" s="1" t="str">
        <f aca="false">VLOOKUP(H576,Клиенты!$A$2:$E$1995,5,FALSE())</f>
        <v>г. Искитим</v>
      </c>
      <c r="J576" s="1" t="n">
        <f aca="false">VLOOKUP(B576,Заказы!$A$2:$E$2995,4,FALSE())</f>
        <v>0</v>
      </c>
      <c r="K576" s="1" t="str">
        <f aca="false">VLOOKUP(B576,Заказы!$A$2:$E$2995,5,FALSE())</f>
        <v>Не выполнено</v>
      </c>
      <c r="L576" s="1" t="n">
        <f aca="false">D576*F576+J576</f>
        <v>555</v>
      </c>
      <c r="M576" s="1" t="n">
        <f aca="false">IF(AND(E576="Пицца Труслейка",I576="г. Москва",K576="Выполнено",G576&gt;=DATE(2020,7,1),G576&lt;DATE(2020,8,1)),L576,0)</f>
        <v>0</v>
      </c>
    </row>
    <row r="577" customFormat="false" ht="15" hidden="false" customHeight="true" outlineLevel="0" collapsed="false">
      <c r="A577" s="1" t="n">
        <v>100453</v>
      </c>
      <c r="B577" s="1" t="n">
        <v>50273</v>
      </c>
      <c r="C577" s="1" t="n">
        <v>13</v>
      </c>
      <c r="D577" s="1" t="n">
        <v>5</v>
      </c>
      <c r="E577" s="1" t="str">
        <f aca="false">VLOOKUP(C577,Меню!$A$2:$C$24,2,FALSE())</f>
        <v>Пицца Сырная</v>
      </c>
      <c r="F577" s="1" t="n">
        <f aca="false">VLOOKUP(C577,Меню!$A$2:$C$24,3,FALSE())</f>
        <v>635</v>
      </c>
      <c r="G577" s="5" t="n">
        <f aca="false">VLOOKUP(B577,Заказы!$A$2:$E$2995,2,FALSE())</f>
        <v>44021</v>
      </c>
      <c r="H577" s="1" t="n">
        <f aca="false">VLOOKUP(B577,Заказы!$A$2:$E$2995,3,FALSE())</f>
        <v>235</v>
      </c>
      <c r="I577" s="1" t="str">
        <f aca="false">VLOOKUP(H577,Клиенты!$A$2:$E$1995,5,FALSE())</f>
        <v>г. Тара</v>
      </c>
      <c r="J577" s="1" t="n">
        <f aca="false">VLOOKUP(B577,Заказы!$A$2:$E$2995,4,FALSE())</f>
        <v>378</v>
      </c>
      <c r="K577" s="1" t="str">
        <f aca="false">VLOOKUP(B577,Заказы!$A$2:$E$2995,5,FALSE())</f>
        <v>Выполнено</v>
      </c>
      <c r="L577" s="1" t="n">
        <f aca="false">D577*F577+J577</f>
        <v>3553</v>
      </c>
      <c r="M577" s="1" t="n">
        <f aca="false">IF(AND(E577="Пицца Труслейка",I577="г. Москва",K577="Выполнено",G577&gt;=DATE(2020,7,1),G577&lt;DATE(2020,8,1)),L577,0)</f>
        <v>0</v>
      </c>
    </row>
    <row r="578" customFormat="false" ht="15" hidden="false" customHeight="true" outlineLevel="0" collapsed="false">
      <c r="A578" s="1" t="n">
        <v>101409</v>
      </c>
      <c r="B578" s="1" t="n">
        <v>50188</v>
      </c>
      <c r="C578" s="1" t="n">
        <v>6</v>
      </c>
      <c r="D578" s="1" t="n">
        <v>6</v>
      </c>
      <c r="E578" s="1" t="str">
        <f aca="false">VLOOKUP(C578,Меню!$A$2:$C$24,2,FALSE())</f>
        <v>Пицца Капричиоза</v>
      </c>
      <c r="F578" s="1" t="n">
        <f aca="false">VLOOKUP(C578,Меню!$A$2:$C$24,3,FALSE())</f>
        <v>570</v>
      </c>
      <c r="G578" s="5" t="n">
        <f aca="false">VLOOKUP(B578,Заказы!$A$2:$E$2995,2,FALSE())</f>
        <v>44066</v>
      </c>
      <c r="H578" s="1" t="n">
        <f aca="false">VLOOKUP(B578,Заказы!$A$2:$E$2995,3,FALSE())</f>
        <v>945</v>
      </c>
      <c r="I578" s="1" t="str">
        <f aca="false">VLOOKUP(H578,Клиенты!$A$2:$E$1995,5,FALSE())</f>
        <v>г. Завитинск</v>
      </c>
      <c r="J578" s="1" t="n">
        <f aca="false">VLOOKUP(B578,Заказы!$A$2:$E$2995,4,FALSE())</f>
        <v>227</v>
      </c>
      <c r="K578" s="1" t="str">
        <f aca="false">VLOOKUP(B578,Заказы!$A$2:$E$2995,5,FALSE())</f>
        <v>Выполнено</v>
      </c>
      <c r="L578" s="1" t="n">
        <f aca="false">D578*F578+J578</f>
        <v>3647</v>
      </c>
      <c r="M578" s="1" t="n">
        <f aca="false">IF(AND(E578="Пицца Труслейка",I578="г. Москва",K578="Выполнено",G578&gt;=DATE(2020,7,1),G578&lt;DATE(2020,8,1)),L578,0)</f>
        <v>0</v>
      </c>
    </row>
    <row r="579" customFormat="false" ht="15" hidden="false" customHeight="true" outlineLevel="0" collapsed="false">
      <c r="A579" s="1" t="n">
        <v>101886</v>
      </c>
      <c r="B579" s="1" t="n">
        <v>51760</v>
      </c>
      <c r="C579" s="1" t="n">
        <v>20</v>
      </c>
      <c r="D579" s="1" t="n">
        <v>1</v>
      </c>
      <c r="E579" s="1" t="str">
        <f aca="false">VLOOKUP(C579,Меню!$A$2:$C$24,2,FALSE())</f>
        <v>Пицца пиканте</v>
      </c>
      <c r="F579" s="1" t="n">
        <f aca="false">VLOOKUP(C579,Меню!$A$2:$C$24,3,FALSE())</f>
        <v>585</v>
      </c>
      <c r="G579" s="5" t="n">
        <f aca="false">VLOOKUP(B579,Заказы!$A$2:$E$2995,2,FALSE())</f>
        <v>44021</v>
      </c>
      <c r="H579" s="1" t="n">
        <f aca="false">VLOOKUP(B579,Заказы!$A$2:$E$2995,3,FALSE())</f>
        <v>1099</v>
      </c>
      <c r="I579" s="1" t="str">
        <f aca="false">VLOOKUP(H579,Клиенты!$A$2:$E$1995,5,FALSE())</f>
        <v>г. Стерлитамак</v>
      </c>
      <c r="J579" s="1" t="n">
        <f aca="false">VLOOKUP(B579,Заказы!$A$2:$E$2995,4,FALSE())</f>
        <v>0</v>
      </c>
      <c r="K579" s="1" t="str">
        <f aca="false">VLOOKUP(B579,Заказы!$A$2:$E$2995,5,FALSE())</f>
        <v>Не выполнено</v>
      </c>
      <c r="L579" s="1" t="n">
        <f aca="false">D579*F579+J579</f>
        <v>585</v>
      </c>
      <c r="M579" s="1" t="n">
        <f aca="false">IF(AND(E579="Пицца Труслейка",I579="г. Москва",K579="Выполнено",G579&gt;=DATE(2020,7,1),G579&lt;DATE(2020,8,1)),L579,0)</f>
        <v>0</v>
      </c>
    </row>
    <row r="580" customFormat="false" ht="15" hidden="false" customHeight="true" outlineLevel="0" collapsed="false">
      <c r="A580" s="1" t="n">
        <v>101928</v>
      </c>
      <c r="B580" s="1" t="n">
        <v>51827</v>
      </c>
      <c r="C580" s="1" t="n">
        <v>11</v>
      </c>
      <c r="D580" s="1" t="n">
        <v>9</v>
      </c>
      <c r="E580" s="1" t="str">
        <f aca="false">VLOOKUP(C580,Меню!$A$2:$C$24,2,FALSE())</f>
        <v>Пицца Песто</v>
      </c>
      <c r="F580" s="1" t="n">
        <f aca="false">VLOOKUP(C580,Меню!$A$2:$C$24,3,FALSE())</f>
        <v>530</v>
      </c>
      <c r="G580" s="5" t="n">
        <f aca="false">VLOOKUP(B580,Заказы!$A$2:$E$2995,2,FALSE())</f>
        <v>44050</v>
      </c>
      <c r="H580" s="1" t="n">
        <f aca="false">VLOOKUP(B580,Заказы!$A$2:$E$2995,3,FALSE())</f>
        <v>1504</v>
      </c>
      <c r="I580" s="1" t="str">
        <f aca="false">VLOOKUP(H580,Клиенты!$A$2:$E$1995,5,FALSE())</f>
        <v>г. Алейск</v>
      </c>
      <c r="J580" s="1" t="n">
        <f aca="false">VLOOKUP(B580,Заказы!$A$2:$E$2995,4,FALSE())</f>
        <v>760</v>
      </c>
      <c r="K580" s="1" t="str">
        <f aca="false">VLOOKUP(B580,Заказы!$A$2:$E$2995,5,FALSE())</f>
        <v>Выполнено</v>
      </c>
      <c r="L580" s="1" t="n">
        <f aca="false">D580*F580+J580</f>
        <v>5530</v>
      </c>
      <c r="M580" s="1" t="n">
        <f aca="false">IF(AND(E580="Пицца Труслейка",I580="г. Москва",K580="Выполнено",G580&gt;=DATE(2020,7,1),G580&lt;DATE(2020,8,1)),L580,0)</f>
        <v>0</v>
      </c>
    </row>
    <row r="581" customFormat="false" ht="15" hidden="false" customHeight="true" outlineLevel="0" collapsed="false">
      <c r="A581" s="1" t="n">
        <v>100417</v>
      </c>
      <c r="B581" s="1" t="n">
        <v>51114</v>
      </c>
      <c r="C581" s="1" t="n">
        <v>4</v>
      </c>
      <c r="D581" s="1" t="n">
        <v>8</v>
      </c>
      <c r="E581" s="1" t="str">
        <f aca="false">VLOOKUP(C581,Меню!$A$2:$C$24,2,FALSE())</f>
        <v>Пицца Труслейка</v>
      </c>
      <c r="F581" s="1" t="n">
        <f aca="false">VLOOKUP(C581,Меню!$A$2:$C$24,3,FALSE())</f>
        <v>610</v>
      </c>
      <c r="G581" s="5" t="n">
        <f aca="false">VLOOKUP(B581,Заказы!$A$2:$E$2995,2,FALSE())</f>
        <v>44047</v>
      </c>
      <c r="H581" s="1" t="n">
        <f aca="false">VLOOKUP(B581,Заказы!$A$2:$E$2995,3,FALSE())</f>
        <v>379</v>
      </c>
      <c r="I581" s="1" t="str">
        <f aca="false">VLOOKUP(H581,Клиенты!$A$2:$E$1995,5,FALSE())</f>
        <v>г. Богородицк</v>
      </c>
      <c r="J581" s="1" t="n">
        <f aca="false">VLOOKUP(B581,Заказы!$A$2:$E$2995,4,FALSE())</f>
        <v>434</v>
      </c>
      <c r="K581" s="1" t="str">
        <f aca="false">VLOOKUP(B581,Заказы!$A$2:$E$2995,5,FALSE())</f>
        <v>Выполнено</v>
      </c>
      <c r="L581" s="1" t="n">
        <f aca="false">D581*F581+J581</f>
        <v>5314</v>
      </c>
      <c r="M581" s="1" t="n">
        <f aca="false">IF(AND(E581="Пицца Труслейка",I581="г. Москва",K581="Выполнено",G581&gt;=DATE(2020,7,1),G581&lt;DATE(2020,8,1)),L581,0)</f>
        <v>0</v>
      </c>
    </row>
    <row r="582" customFormat="false" ht="15" hidden="false" customHeight="true" outlineLevel="0" collapsed="false">
      <c r="A582" s="1" t="n">
        <v>101457</v>
      </c>
      <c r="B582" s="1" t="n">
        <v>51618</v>
      </c>
      <c r="C582" s="1" t="n">
        <v>12</v>
      </c>
      <c r="D582" s="1" t="n">
        <v>6</v>
      </c>
      <c r="E582" s="1" t="str">
        <f aca="false">VLOOKUP(C582,Меню!$A$2:$C$24,2,FALSE())</f>
        <v>Пицца Салями с трюфелем</v>
      </c>
      <c r="F582" s="1" t="n">
        <f aca="false">VLOOKUP(C582,Меню!$A$2:$C$24,3,FALSE())</f>
        <v>525</v>
      </c>
      <c r="G582" s="5" t="n">
        <f aca="false">VLOOKUP(B582,Заказы!$A$2:$E$2995,2,FALSE())</f>
        <v>44028</v>
      </c>
      <c r="H582" s="1" t="n">
        <f aca="false">VLOOKUP(B582,Заказы!$A$2:$E$2995,3,FALSE())</f>
        <v>646</v>
      </c>
      <c r="I582" s="1" t="str">
        <f aca="false">VLOOKUP(H582,Клиенты!$A$2:$E$1995,5,FALSE())</f>
        <v>г. Слободской</v>
      </c>
      <c r="J582" s="1" t="n">
        <f aca="false">VLOOKUP(B582,Заказы!$A$2:$E$2995,4,FALSE())</f>
        <v>0</v>
      </c>
      <c r="K582" s="1" t="str">
        <f aca="false">VLOOKUP(B582,Заказы!$A$2:$E$2995,5,FALSE())</f>
        <v>Не выполнено</v>
      </c>
      <c r="L582" s="1" t="n">
        <f aca="false">D582*F582+J582</f>
        <v>3150</v>
      </c>
      <c r="M582" s="1" t="n">
        <f aca="false">IF(AND(E582="Пицца Труслейка",I582="г. Москва",K582="Выполнено",G582&gt;=DATE(2020,7,1),G582&lt;DATE(2020,8,1)),L582,0)</f>
        <v>0</v>
      </c>
    </row>
    <row r="583" customFormat="false" ht="15" hidden="false" customHeight="true" outlineLevel="0" collapsed="false">
      <c r="A583" s="1" t="n">
        <v>101896</v>
      </c>
      <c r="B583" s="1" t="n">
        <v>50911</v>
      </c>
      <c r="C583" s="1" t="n">
        <v>11</v>
      </c>
      <c r="D583" s="1" t="n">
        <v>4</v>
      </c>
      <c r="E583" s="1" t="str">
        <f aca="false">VLOOKUP(C583,Меню!$A$2:$C$24,2,FALSE())</f>
        <v>Пицца Песто</v>
      </c>
      <c r="F583" s="1" t="n">
        <f aca="false">VLOOKUP(C583,Меню!$A$2:$C$24,3,FALSE())</f>
        <v>530</v>
      </c>
      <c r="G583" s="5" t="n">
        <f aca="false">VLOOKUP(B583,Заказы!$A$2:$E$2995,2,FALSE())</f>
        <v>44053</v>
      </c>
      <c r="H583" s="1" t="n">
        <f aca="false">VLOOKUP(B583,Заказы!$A$2:$E$2995,3,FALSE())</f>
        <v>954</v>
      </c>
      <c r="I583" s="1" t="str">
        <f aca="false">VLOOKUP(H583,Клиенты!$A$2:$E$1995,5,FALSE())</f>
        <v>г. Анива</v>
      </c>
      <c r="J583" s="1" t="n">
        <f aca="false">VLOOKUP(B583,Заказы!$A$2:$E$2995,4,FALSE())</f>
        <v>0</v>
      </c>
      <c r="K583" s="1" t="str">
        <f aca="false">VLOOKUP(B583,Заказы!$A$2:$E$2995,5,FALSE())</f>
        <v>Не выполнено</v>
      </c>
      <c r="L583" s="1" t="n">
        <f aca="false">D583*F583+J583</f>
        <v>2120</v>
      </c>
      <c r="M583" s="1" t="n">
        <f aca="false">IF(AND(E583="Пицца Труслейка",I583="г. Москва",K583="Выполнено",G583&gt;=DATE(2020,7,1),G583&lt;DATE(2020,8,1)),L583,0)</f>
        <v>0</v>
      </c>
    </row>
    <row r="584" customFormat="false" ht="15" hidden="false" customHeight="true" outlineLevel="0" collapsed="false">
      <c r="A584" s="1" t="n">
        <v>101468</v>
      </c>
      <c r="B584" s="1" t="n">
        <v>51861</v>
      </c>
      <c r="C584" s="1" t="n">
        <v>22</v>
      </c>
      <c r="D584" s="1" t="n">
        <v>8</v>
      </c>
      <c r="E584" s="1" t="str">
        <f aca="false">VLOOKUP(C584,Меню!$A$2:$C$24,2,FALSE())</f>
        <v>Пицца с поркеттой и фриарелли</v>
      </c>
      <c r="F584" s="1" t="n">
        <f aca="false">VLOOKUP(C584,Меню!$A$2:$C$24,3,FALSE())</f>
        <v>550</v>
      </c>
      <c r="G584" s="5" t="n">
        <f aca="false">VLOOKUP(B584,Заказы!$A$2:$E$2995,2,FALSE())</f>
        <v>44000</v>
      </c>
      <c r="H584" s="1" t="n">
        <f aca="false">VLOOKUP(B584,Заказы!$A$2:$E$2995,3,FALSE())</f>
        <v>1035</v>
      </c>
      <c r="I584" s="1" t="str">
        <f aca="false">VLOOKUP(H584,Клиенты!$A$2:$E$1995,5,FALSE())</f>
        <v>г. Радужный</v>
      </c>
      <c r="J584" s="1" t="n">
        <f aca="false">VLOOKUP(B584,Заказы!$A$2:$E$2995,4,FALSE())</f>
        <v>597</v>
      </c>
      <c r="K584" s="1" t="str">
        <f aca="false">VLOOKUP(B584,Заказы!$A$2:$E$2995,5,FALSE())</f>
        <v>Выполнено</v>
      </c>
      <c r="L584" s="1" t="n">
        <f aca="false">D584*F584+J584</f>
        <v>4997</v>
      </c>
      <c r="M584" s="1" t="n">
        <f aca="false">IF(AND(E584="Пицца Труслейка",I584="г. Москва",K584="Выполнено",G584&gt;=DATE(2020,7,1),G584&lt;DATE(2020,8,1)),L584,0)</f>
        <v>0</v>
      </c>
    </row>
    <row r="585" customFormat="false" ht="15" hidden="false" customHeight="true" outlineLevel="0" collapsed="false">
      <c r="A585" s="1" t="n">
        <v>101239</v>
      </c>
      <c r="B585" s="1" t="n">
        <v>50298</v>
      </c>
      <c r="C585" s="1" t="n">
        <v>15</v>
      </c>
      <c r="D585" s="1" t="n">
        <v>10</v>
      </c>
      <c r="E585" s="1" t="str">
        <f aca="false">VLOOKUP(C585,Меню!$A$2:$C$24,2,FALSE())</f>
        <v>Пицца Тропиканка</v>
      </c>
      <c r="F585" s="1" t="n">
        <f aca="false">VLOOKUP(C585,Меню!$A$2:$C$24,3,FALSE())</f>
        <v>605</v>
      </c>
      <c r="G585" s="5" t="n">
        <f aca="false">VLOOKUP(B585,Заказы!$A$2:$E$2995,2,FALSE())</f>
        <v>43999</v>
      </c>
      <c r="H585" s="1" t="n">
        <f aca="false">VLOOKUP(B585,Заказы!$A$2:$E$2995,3,FALSE())</f>
        <v>1004</v>
      </c>
      <c r="I585" s="1" t="str">
        <f aca="false">VLOOKUP(H585,Клиенты!$A$2:$E$1995,5,FALSE())</f>
        <v>г. Суровикино</v>
      </c>
      <c r="J585" s="1" t="n">
        <f aca="false">VLOOKUP(B585,Заказы!$A$2:$E$2995,4,FALSE())</f>
        <v>0</v>
      </c>
      <c r="K585" s="1" t="str">
        <f aca="false">VLOOKUP(B585,Заказы!$A$2:$E$2995,5,FALSE())</f>
        <v>Не выполнено</v>
      </c>
      <c r="L585" s="1" t="n">
        <f aca="false">D585*F585+J585</f>
        <v>6050</v>
      </c>
      <c r="M585" s="1" t="n">
        <f aca="false">IF(AND(E585="Пицца Труслейка",I585="г. Москва",K585="Выполнено",G585&gt;=DATE(2020,7,1),G585&lt;DATE(2020,8,1)),L585,0)</f>
        <v>0</v>
      </c>
    </row>
    <row r="586" customFormat="false" ht="15" hidden="false" customHeight="true" outlineLevel="0" collapsed="false">
      <c r="A586" s="1" t="n">
        <v>100102</v>
      </c>
      <c r="B586" s="1" t="n">
        <v>50653</v>
      </c>
      <c r="C586" s="1" t="n">
        <v>14</v>
      </c>
      <c r="D586" s="1" t="n">
        <v>10</v>
      </c>
      <c r="E586" s="1" t="str">
        <f aca="false">VLOOKUP(C586,Меню!$A$2:$C$24,2,FALSE())</f>
        <v>Пицца Сырный цыпленок</v>
      </c>
      <c r="F586" s="1" t="n">
        <f aca="false">VLOOKUP(C586,Меню!$A$2:$C$24,3,FALSE())</f>
        <v>555</v>
      </c>
      <c r="G586" s="5" t="n">
        <f aca="false">VLOOKUP(B586,Заказы!$A$2:$E$2995,2,FALSE())</f>
        <v>43995</v>
      </c>
      <c r="H586" s="1" t="n">
        <f aca="false">VLOOKUP(B586,Заказы!$A$2:$E$2995,3,FALSE())</f>
        <v>651</v>
      </c>
      <c r="I586" s="1" t="str">
        <f aca="false">VLOOKUP(H586,Клиенты!$A$2:$E$1995,5,FALSE())</f>
        <v>г. Строитель</v>
      </c>
      <c r="J586" s="1" t="n">
        <f aca="false">VLOOKUP(B586,Заказы!$A$2:$E$2995,4,FALSE())</f>
        <v>186</v>
      </c>
      <c r="K586" s="1" t="str">
        <f aca="false">VLOOKUP(B586,Заказы!$A$2:$E$2995,5,FALSE())</f>
        <v>Выполнено</v>
      </c>
      <c r="L586" s="1" t="n">
        <f aca="false">D586*F586+J586</f>
        <v>5736</v>
      </c>
      <c r="M586" s="1" t="n">
        <f aca="false">IF(AND(E586="Пицца Труслейка",I586="г. Москва",K586="Выполнено",G586&gt;=DATE(2020,7,1),G586&lt;DATE(2020,8,1)),L586,0)</f>
        <v>0</v>
      </c>
    </row>
    <row r="587" customFormat="false" ht="15" hidden="false" customHeight="true" outlineLevel="0" collapsed="false">
      <c r="A587" s="1" t="n">
        <v>101753</v>
      </c>
      <c r="B587" s="1" t="n">
        <v>50438</v>
      </c>
      <c r="C587" s="1" t="n">
        <v>23</v>
      </c>
      <c r="D587" s="1" t="n">
        <v>8</v>
      </c>
      <c r="E587" s="1" t="str">
        <f aca="false">VLOOKUP(C587,Меню!$A$2:$C$24,2,FALSE())</f>
        <v>Пицца с тунцом</v>
      </c>
      <c r="F587" s="1" t="n">
        <f aca="false">VLOOKUP(C587,Меню!$A$2:$C$24,3,FALSE())</f>
        <v>520</v>
      </c>
      <c r="G587" s="5" t="n">
        <f aca="false">VLOOKUP(B587,Заказы!$A$2:$E$2995,2,FALSE())</f>
        <v>43982</v>
      </c>
      <c r="H587" s="1" t="n">
        <f aca="false">VLOOKUP(B587,Заказы!$A$2:$E$2995,3,FALSE())</f>
        <v>1011</v>
      </c>
      <c r="I587" s="1" t="str">
        <f aca="false">VLOOKUP(H587,Клиенты!$A$2:$E$1995,5,FALSE())</f>
        <v>г. Элиста</v>
      </c>
      <c r="J587" s="1" t="n">
        <f aca="false">VLOOKUP(B587,Заказы!$A$2:$E$2995,4,FALSE())</f>
        <v>0</v>
      </c>
      <c r="K587" s="1" t="str">
        <f aca="false">VLOOKUP(B587,Заказы!$A$2:$E$2995,5,FALSE())</f>
        <v>Не выполнено</v>
      </c>
      <c r="L587" s="1" t="n">
        <f aca="false">D587*F587+J587</f>
        <v>4160</v>
      </c>
      <c r="M587" s="1" t="n">
        <f aca="false">IF(AND(E587="Пицца Труслейка",I587="г. Москва",K587="Выполнено",G587&gt;=DATE(2020,7,1),G587&lt;DATE(2020,8,1)),L587,0)</f>
        <v>0</v>
      </c>
    </row>
    <row r="588" customFormat="false" ht="15" hidden="false" customHeight="true" outlineLevel="0" collapsed="false">
      <c r="A588" s="1" t="n">
        <v>101953</v>
      </c>
      <c r="B588" s="1" t="n">
        <v>51773</v>
      </c>
      <c r="C588" s="1" t="n">
        <v>20</v>
      </c>
      <c r="D588" s="1" t="n">
        <v>4</v>
      </c>
      <c r="E588" s="1" t="str">
        <f aca="false">VLOOKUP(C588,Меню!$A$2:$C$24,2,FALSE())</f>
        <v>Пицца пиканте</v>
      </c>
      <c r="F588" s="1" t="n">
        <f aca="false">VLOOKUP(C588,Меню!$A$2:$C$24,3,FALSE())</f>
        <v>585</v>
      </c>
      <c r="G588" s="5" t="n">
        <f aca="false">VLOOKUP(B588,Заказы!$A$2:$E$2995,2,FALSE())</f>
        <v>44061</v>
      </c>
      <c r="H588" s="1" t="n">
        <f aca="false">VLOOKUP(B588,Заказы!$A$2:$E$2995,3,FALSE())</f>
        <v>229</v>
      </c>
      <c r="I588" s="1" t="str">
        <f aca="false">VLOOKUP(H588,Клиенты!$A$2:$E$1995,5,FALSE())</f>
        <v>г. Славск</v>
      </c>
      <c r="J588" s="1" t="n">
        <f aca="false">VLOOKUP(B588,Заказы!$A$2:$E$2995,4,FALSE())</f>
        <v>0</v>
      </c>
      <c r="K588" s="1" t="str">
        <f aca="false">VLOOKUP(B588,Заказы!$A$2:$E$2995,5,FALSE())</f>
        <v>Не выполнено</v>
      </c>
      <c r="L588" s="1" t="n">
        <f aca="false">D588*F588+J588</f>
        <v>2340</v>
      </c>
      <c r="M588" s="1" t="n">
        <f aca="false">IF(AND(E588="Пицца Труслейка",I588="г. Москва",K588="Выполнено",G588&gt;=DATE(2020,7,1),G588&lt;DATE(2020,8,1)),L588,0)</f>
        <v>0</v>
      </c>
    </row>
    <row r="589" customFormat="false" ht="15" hidden="false" customHeight="true" outlineLevel="0" collapsed="false">
      <c r="A589" s="1" t="n">
        <v>101910</v>
      </c>
      <c r="B589" s="1" t="n">
        <v>51343</v>
      </c>
      <c r="C589" s="1" t="n">
        <v>19</v>
      </c>
      <c r="D589" s="1" t="n">
        <v>1</v>
      </c>
      <c r="E589" s="1" t="str">
        <f aca="false">VLOOKUP(C589,Меню!$A$2:$C$24,2,FALSE())</f>
        <v>Пицца Цезарь</v>
      </c>
      <c r="F589" s="1" t="n">
        <f aca="false">VLOOKUP(C589,Меню!$A$2:$C$24,3,FALSE())</f>
        <v>630</v>
      </c>
      <c r="G589" s="5" t="n">
        <f aca="false">VLOOKUP(B589,Заказы!$A$2:$E$2995,2,FALSE())</f>
        <v>43998</v>
      </c>
      <c r="H589" s="1" t="n">
        <f aca="false">VLOOKUP(B589,Заказы!$A$2:$E$2995,3,FALSE())</f>
        <v>1144</v>
      </c>
      <c r="I589" s="1" t="str">
        <f aca="false">VLOOKUP(H589,Клиенты!$A$2:$E$1995,5,FALSE())</f>
        <v>г. Тюкалинск</v>
      </c>
      <c r="J589" s="1" t="n">
        <f aca="false">VLOOKUP(B589,Заказы!$A$2:$E$2995,4,FALSE())</f>
        <v>667</v>
      </c>
      <c r="K589" s="1" t="str">
        <f aca="false">VLOOKUP(B589,Заказы!$A$2:$E$2995,5,FALSE())</f>
        <v>Выполнено</v>
      </c>
      <c r="L589" s="1" t="n">
        <f aca="false">D589*F589+J589</f>
        <v>1297</v>
      </c>
      <c r="M589" s="1" t="n">
        <f aca="false">IF(AND(E589="Пицца Труслейка",I589="г. Москва",K589="Выполнено",G589&gt;=DATE(2020,7,1),G589&lt;DATE(2020,8,1)),L589,0)</f>
        <v>0</v>
      </c>
    </row>
    <row r="590" customFormat="false" ht="15" hidden="false" customHeight="true" outlineLevel="0" collapsed="false">
      <c r="A590" s="1" t="n">
        <v>101661</v>
      </c>
      <c r="B590" s="1" t="n">
        <v>51169</v>
      </c>
      <c r="C590" s="1" t="n">
        <v>11</v>
      </c>
      <c r="D590" s="1" t="n">
        <v>5</v>
      </c>
      <c r="E590" s="1" t="str">
        <f aca="false">VLOOKUP(C590,Меню!$A$2:$C$24,2,FALSE())</f>
        <v>Пицца Песто</v>
      </c>
      <c r="F590" s="1" t="n">
        <f aca="false">VLOOKUP(C590,Меню!$A$2:$C$24,3,FALSE())</f>
        <v>530</v>
      </c>
      <c r="G590" s="5" t="n">
        <f aca="false">VLOOKUP(B590,Заказы!$A$2:$E$2995,2,FALSE())</f>
        <v>44042</v>
      </c>
      <c r="H590" s="1" t="n">
        <f aca="false">VLOOKUP(B590,Заказы!$A$2:$E$2995,3,FALSE())</f>
        <v>574</v>
      </c>
      <c r="I590" s="1" t="str">
        <f aca="false">VLOOKUP(H590,Клиенты!$A$2:$E$1995,5,FALSE())</f>
        <v>г. Магас</v>
      </c>
      <c r="J590" s="1" t="n">
        <f aca="false">VLOOKUP(B590,Заказы!$A$2:$E$2995,4,FALSE())</f>
        <v>896</v>
      </c>
      <c r="K590" s="1" t="str">
        <f aca="false">VLOOKUP(B590,Заказы!$A$2:$E$2995,5,FALSE())</f>
        <v>Выполнено</v>
      </c>
      <c r="L590" s="1" t="n">
        <f aca="false">D590*F590+J590</f>
        <v>3546</v>
      </c>
      <c r="M590" s="1" t="n">
        <f aca="false">IF(AND(E590="Пицца Труслейка",I590="г. Москва",K590="Выполнено",G590&gt;=DATE(2020,7,1),G590&lt;DATE(2020,8,1)),L590,0)</f>
        <v>0</v>
      </c>
    </row>
    <row r="591" customFormat="false" ht="15" hidden="false" customHeight="true" outlineLevel="0" collapsed="false">
      <c r="A591" s="1" t="n">
        <v>101630</v>
      </c>
      <c r="B591" s="1" t="n">
        <v>50079</v>
      </c>
      <c r="C591" s="1" t="n">
        <v>4</v>
      </c>
      <c r="D591" s="1" t="n">
        <v>10</v>
      </c>
      <c r="E591" s="1" t="str">
        <f aca="false">VLOOKUP(C591,Меню!$A$2:$C$24,2,FALSE())</f>
        <v>Пицца Труслейка</v>
      </c>
      <c r="F591" s="1" t="n">
        <f aca="false">VLOOKUP(C591,Меню!$A$2:$C$24,3,FALSE())</f>
        <v>610</v>
      </c>
      <c r="G591" s="5" t="n">
        <f aca="false">VLOOKUP(B591,Заказы!$A$2:$E$2995,2,FALSE())</f>
        <v>44004</v>
      </c>
      <c r="H591" s="1" t="n">
        <f aca="false">VLOOKUP(B591,Заказы!$A$2:$E$2995,3,FALSE())</f>
        <v>1704</v>
      </c>
      <c r="I591" s="1" t="str">
        <f aca="false">VLOOKUP(H591,Клиенты!$A$2:$E$1995,5,FALSE())</f>
        <v>г. Слюдянка</v>
      </c>
      <c r="J591" s="1" t="n">
        <f aca="false">VLOOKUP(B591,Заказы!$A$2:$E$2995,4,FALSE())</f>
        <v>0</v>
      </c>
      <c r="K591" s="1" t="str">
        <f aca="false">VLOOKUP(B591,Заказы!$A$2:$E$2995,5,FALSE())</f>
        <v>Не выполнено</v>
      </c>
      <c r="L591" s="1" t="n">
        <f aca="false">D591*F591+J591</f>
        <v>6100</v>
      </c>
      <c r="M591" s="1" t="n">
        <f aca="false">IF(AND(E591="Пицца Труслейка",I591="г. Москва",K591="Выполнено",G591&gt;=DATE(2020,7,1),G591&lt;DATE(2020,8,1)),L591,0)</f>
        <v>0</v>
      </c>
    </row>
    <row r="592" customFormat="false" ht="15" hidden="false" customHeight="true" outlineLevel="0" collapsed="false">
      <c r="A592" s="1" t="n">
        <v>101583</v>
      </c>
      <c r="B592" s="1" t="n">
        <v>51415</v>
      </c>
      <c r="C592" s="1" t="n">
        <v>10</v>
      </c>
      <c r="D592" s="1" t="n">
        <v>5</v>
      </c>
      <c r="E592" s="1" t="str">
        <f aca="false">VLOOKUP(C592,Меню!$A$2:$C$24,2,FALSE())</f>
        <v>Пицца Пепперони фреш</v>
      </c>
      <c r="F592" s="1" t="n">
        <f aca="false">VLOOKUP(C592,Меню!$A$2:$C$24,3,FALSE())</f>
        <v>565</v>
      </c>
      <c r="G592" s="5" t="n">
        <f aca="false">VLOOKUP(B592,Заказы!$A$2:$E$2995,2,FALSE())</f>
        <v>44059</v>
      </c>
      <c r="H592" s="1" t="n">
        <f aca="false">VLOOKUP(B592,Заказы!$A$2:$E$2995,3,FALSE())</f>
        <v>38</v>
      </c>
      <c r="I592" s="1" t="str">
        <f aca="false">VLOOKUP(H592,Клиенты!$A$2:$E$1995,5,FALSE())</f>
        <v>г. Новосиль</v>
      </c>
      <c r="J592" s="1" t="n">
        <f aca="false">VLOOKUP(B592,Заказы!$A$2:$E$2995,4,FALSE())</f>
        <v>0</v>
      </c>
      <c r="K592" s="1" t="str">
        <f aca="false">VLOOKUP(B592,Заказы!$A$2:$E$2995,5,FALSE())</f>
        <v>Не выполнено</v>
      </c>
      <c r="L592" s="1" t="n">
        <f aca="false">D592*F592+J592</f>
        <v>2825</v>
      </c>
      <c r="M592" s="1" t="n">
        <f aca="false">IF(AND(E592="Пицца Труслейка",I592="г. Москва",K592="Выполнено",G592&gt;=DATE(2020,7,1),G592&lt;DATE(2020,8,1)),L592,0)</f>
        <v>0</v>
      </c>
    </row>
    <row r="593" customFormat="false" ht="15" hidden="false" customHeight="true" outlineLevel="0" collapsed="false">
      <c r="A593" s="1" t="n">
        <v>101078</v>
      </c>
      <c r="B593" s="1" t="n">
        <v>50524</v>
      </c>
      <c r="C593" s="1" t="n">
        <v>7</v>
      </c>
      <c r="D593" s="1" t="n">
        <v>10</v>
      </c>
      <c r="E593" s="1" t="str">
        <f aca="false">VLOOKUP(C593,Меню!$A$2:$C$24,2,FALSE())</f>
        <v>Пицца Карбонара</v>
      </c>
      <c r="F593" s="1" t="n">
        <f aca="false">VLOOKUP(C593,Меню!$A$2:$C$24,3,FALSE())</f>
        <v>625</v>
      </c>
      <c r="G593" s="5" t="n">
        <f aca="false">VLOOKUP(B593,Заказы!$A$2:$E$2995,2,FALSE())</f>
        <v>44037</v>
      </c>
      <c r="H593" s="1" t="n">
        <f aca="false">VLOOKUP(B593,Заказы!$A$2:$E$2995,3,FALSE())</f>
        <v>1722</v>
      </c>
      <c r="I593" s="1" t="str">
        <f aca="false">VLOOKUP(H593,Клиенты!$A$2:$E$1995,5,FALSE())</f>
        <v>г. Ковдор</v>
      </c>
      <c r="J593" s="1" t="n">
        <f aca="false">VLOOKUP(B593,Заказы!$A$2:$E$2995,4,FALSE())</f>
        <v>378</v>
      </c>
      <c r="K593" s="1" t="str">
        <f aca="false">VLOOKUP(B593,Заказы!$A$2:$E$2995,5,FALSE())</f>
        <v>Выполнено</v>
      </c>
      <c r="L593" s="1" t="n">
        <f aca="false">D593*F593+J593</f>
        <v>6628</v>
      </c>
      <c r="M593" s="1" t="n">
        <f aca="false">IF(AND(E593="Пицца Труслейка",I593="г. Москва",K593="Выполнено",G593&gt;=DATE(2020,7,1),G593&lt;DATE(2020,8,1)),L593,0)</f>
        <v>0</v>
      </c>
    </row>
    <row r="594" customFormat="false" ht="15" hidden="false" customHeight="true" outlineLevel="0" collapsed="false">
      <c r="A594" s="1" t="n">
        <v>101231</v>
      </c>
      <c r="B594" s="1" t="n">
        <v>50538</v>
      </c>
      <c r="C594" s="1" t="n">
        <v>19</v>
      </c>
      <c r="D594" s="1" t="n">
        <v>1</v>
      </c>
      <c r="E594" s="1" t="str">
        <f aca="false">VLOOKUP(C594,Меню!$A$2:$C$24,2,FALSE())</f>
        <v>Пицца Цезарь</v>
      </c>
      <c r="F594" s="1" t="n">
        <f aca="false">VLOOKUP(C594,Меню!$A$2:$C$24,3,FALSE())</f>
        <v>630</v>
      </c>
      <c r="G594" s="5" t="n">
        <f aca="false">VLOOKUP(B594,Заказы!$A$2:$E$2995,2,FALSE())</f>
        <v>44046</v>
      </c>
      <c r="H594" s="1" t="n">
        <f aca="false">VLOOKUP(B594,Заказы!$A$2:$E$2995,3,FALSE())</f>
        <v>1757</v>
      </c>
      <c r="I594" s="1" t="str">
        <f aca="false">VLOOKUP(H594,Клиенты!$A$2:$E$1995,5,FALSE())</f>
        <v>г. Усть-Лабинск</v>
      </c>
      <c r="J594" s="1" t="n">
        <f aca="false">VLOOKUP(B594,Заказы!$A$2:$E$2995,4,FALSE())</f>
        <v>0</v>
      </c>
      <c r="K594" s="1" t="str">
        <f aca="false">VLOOKUP(B594,Заказы!$A$2:$E$2995,5,FALSE())</f>
        <v>Не выполнено</v>
      </c>
      <c r="L594" s="1" t="n">
        <f aca="false">D594*F594+J594</f>
        <v>630</v>
      </c>
      <c r="M594" s="1" t="n">
        <f aca="false">IF(AND(E594="Пицца Труслейка",I594="г. Москва",K594="Выполнено",G594&gt;=DATE(2020,7,1),G594&lt;DATE(2020,8,1)),L594,0)</f>
        <v>0</v>
      </c>
    </row>
    <row r="595" customFormat="false" ht="15" hidden="false" customHeight="true" outlineLevel="0" collapsed="false">
      <c r="A595" s="1" t="n">
        <v>101861</v>
      </c>
      <c r="B595" s="1" t="n">
        <v>50526</v>
      </c>
      <c r="C595" s="1" t="n">
        <v>1</v>
      </c>
      <c r="D595" s="1" t="n">
        <v>7</v>
      </c>
      <c r="E595" s="1" t="str">
        <f aca="false">VLOOKUP(C595,Меню!$A$2:$C$24,2,FALSE())</f>
        <v>Пицца Гавайская</v>
      </c>
      <c r="F595" s="1" t="n">
        <f aca="false">VLOOKUP(C595,Меню!$A$2:$C$24,3,FALSE())</f>
        <v>545</v>
      </c>
      <c r="G595" s="5" t="n">
        <f aca="false">VLOOKUP(B595,Заказы!$A$2:$E$2995,2,FALSE())</f>
        <v>43983</v>
      </c>
      <c r="H595" s="1" t="n">
        <f aca="false">VLOOKUP(B595,Заказы!$A$2:$E$2995,3,FALSE())</f>
        <v>53</v>
      </c>
      <c r="I595" s="1" t="str">
        <f aca="false">VLOOKUP(H595,Клиенты!$A$2:$E$1995,5,FALSE())</f>
        <v>г. Сенгилей</v>
      </c>
      <c r="J595" s="1" t="n">
        <f aca="false">VLOOKUP(B595,Заказы!$A$2:$E$2995,4,FALSE())</f>
        <v>378</v>
      </c>
      <c r="K595" s="1" t="str">
        <f aca="false">VLOOKUP(B595,Заказы!$A$2:$E$2995,5,FALSE())</f>
        <v>Выполнено</v>
      </c>
      <c r="L595" s="1" t="n">
        <f aca="false">D595*F595+J595</f>
        <v>4193</v>
      </c>
      <c r="M595" s="1" t="n">
        <f aca="false">IF(AND(E595="Пицца Труслейка",I595="г. Москва",K595="Выполнено",G595&gt;=DATE(2020,7,1),G595&lt;DATE(2020,8,1)),L595,0)</f>
        <v>0</v>
      </c>
    </row>
    <row r="596" customFormat="false" ht="15" hidden="false" customHeight="true" outlineLevel="0" collapsed="false">
      <c r="A596" s="1" t="n">
        <v>101303</v>
      </c>
      <c r="B596" s="1" t="n">
        <v>51426</v>
      </c>
      <c r="C596" s="1" t="n">
        <v>3</v>
      </c>
      <c r="D596" s="1" t="n">
        <v>4</v>
      </c>
      <c r="E596" s="1" t="str">
        <f aca="false">VLOOKUP(C596,Меню!$A$2:$C$24,2,FALSE())</f>
        <v>Пицца Диабло</v>
      </c>
      <c r="F596" s="1" t="n">
        <f aca="false">VLOOKUP(C596,Меню!$A$2:$C$24,3,FALSE())</f>
        <v>590</v>
      </c>
      <c r="G596" s="5" t="n">
        <f aca="false">VLOOKUP(B596,Заказы!$A$2:$E$2995,2,FALSE())</f>
        <v>44021</v>
      </c>
      <c r="H596" s="1" t="n">
        <f aca="false">VLOOKUP(B596,Заказы!$A$2:$E$2995,3,FALSE())</f>
        <v>1032</v>
      </c>
      <c r="I596" s="1" t="str">
        <f aca="false">VLOOKUP(H596,Клиенты!$A$2:$E$1995,5,FALSE())</f>
        <v>г. Мглин</v>
      </c>
      <c r="J596" s="1" t="n">
        <f aca="false">VLOOKUP(B596,Заказы!$A$2:$E$2995,4,FALSE())</f>
        <v>0</v>
      </c>
      <c r="K596" s="1" t="str">
        <f aca="false">VLOOKUP(B596,Заказы!$A$2:$E$2995,5,FALSE())</f>
        <v>Не выполнено</v>
      </c>
      <c r="L596" s="1" t="n">
        <f aca="false">D596*F596+J596</f>
        <v>2360</v>
      </c>
      <c r="M596" s="1" t="n">
        <f aca="false">IF(AND(E596="Пицца Труслейка",I596="г. Москва",K596="Выполнено",G596&gt;=DATE(2020,7,1),G596&lt;DATE(2020,8,1)),L596,0)</f>
        <v>0</v>
      </c>
    </row>
    <row r="597" customFormat="false" ht="15" hidden="false" customHeight="true" outlineLevel="0" collapsed="false">
      <c r="A597" s="1" t="n">
        <v>100514</v>
      </c>
      <c r="B597" s="1" t="n">
        <v>50060</v>
      </c>
      <c r="C597" s="1" t="n">
        <v>14</v>
      </c>
      <c r="D597" s="1" t="n">
        <v>6</v>
      </c>
      <c r="E597" s="1" t="str">
        <f aca="false">VLOOKUP(C597,Меню!$A$2:$C$24,2,FALSE())</f>
        <v>Пицца Сырный цыпленок</v>
      </c>
      <c r="F597" s="1" t="n">
        <f aca="false">VLOOKUP(C597,Меню!$A$2:$C$24,3,FALSE())</f>
        <v>555</v>
      </c>
      <c r="G597" s="5" t="n">
        <f aca="false">VLOOKUP(B597,Заказы!$A$2:$E$2995,2,FALSE())</f>
        <v>44060</v>
      </c>
      <c r="H597" s="1" t="n">
        <f aca="false">VLOOKUP(B597,Заказы!$A$2:$E$2995,3,FALSE())</f>
        <v>302</v>
      </c>
      <c r="I597" s="1" t="str">
        <f aca="false">VLOOKUP(H597,Клиенты!$A$2:$E$1995,5,FALSE())</f>
        <v>г. Лихославль</v>
      </c>
      <c r="J597" s="1" t="n">
        <f aca="false">VLOOKUP(B597,Заказы!$A$2:$E$2995,4,FALSE())</f>
        <v>0</v>
      </c>
      <c r="K597" s="1" t="str">
        <f aca="false">VLOOKUP(B597,Заказы!$A$2:$E$2995,5,FALSE())</f>
        <v>Не выполнено</v>
      </c>
      <c r="L597" s="1" t="n">
        <f aca="false">D597*F597+J597</f>
        <v>3330</v>
      </c>
      <c r="M597" s="1" t="n">
        <f aca="false">IF(AND(E597="Пицца Труслейка",I597="г. Москва",K597="Выполнено",G597&gt;=DATE(2020,7,1),G597&lt;DATE(2020,8,1)),L597,0)</f>
        <v>0</v>
      </c>
    </row>
    <row r="598" customFormat="false" ht="15" hidden="false" customHeight="true" outlineLevel="0" collapsed="false">
      <c r="A598" s="1" t="n">
        <v>101799</v>
      </c>
      <c r="B598" s="1" t="n">
        <v>51576</v>
      </c>
      <c r="C598" s="1" t="n">
        <v>13</v>
      </c>
      <c r="D598" s="1" t="n">
        <v>6</v>
      </c>
      <c r="E598" s="1" t="str">
        <f aca="false">VLOOKUP(C598,Меню!$A$2:$C$24,2,FALSE())</f>
        <v>Пицца Сырная</v>
      </c>
      <c r="F598" s="1" t="n">
        <f aca="false">VLOOKUP(C598,Меню!$A$2:$C$24,3,FALSE())</f>
        <v>635</v>
      </c>
      <c r="G598" s="5" t="n">
        <f aca="false">VLOOKUP(B598,Заказы!$A$2:$E$2995,2,FALSE())</f>
        <v>44063</v>
      </c>
      <c r="H598" s="1" t="n">
        <f aca="false">VLOOKUP(B598,Заказы!$A$2:$E$2995,3,FALSE())</f>
        <v>83</v>
      </c>
      <c r="I598" s="1" t="str">
        <f aca="false">VLOOKUP(H598,Клиенты!$A$2:$E$1995,5,FALSE())</f>
        <v>г. Гаджиево</v>
      </c>
      <c r="J598" s="1" t="n">
        <f aca="false">VLOOKUP(B598,Заказы!$A$2:$E$2995,4,FALSE())</f>
        <v>0</v>
      </c>
      <c r="K598" s="1" t="str">
        <f aca="false">VLOOKUP(B598,Заказы!$A$2:$E$2995,5,FALSE())</f>
        <v>Не выполнено</v>
      </c>
      <c r="L598" s="1" t="n">
        <f aca="false">D598*F598+J598</f>
        <v>3810</v>
      </c>
      <c r="M598" s="1" t="n">
        <f aca="false">IF(AND(E598="Пицца Труслейка",I598="г. Москва",K598="Выполнено",G598&gt;=DATE(2020,7,1),G598&lt;DATE(2020,8,1)),L598,0)</f>
        <v>0</v>
      </c>
    </row>
    <row r="599" customFormat="false" ht="15" hidden="false" customHeight="true" outlineLevel="0" collapsed="false">
      <c r="A599" s="1" t="n">
        <v>100584</v>
      </c>
      <c r="B599" s="1" t="n">
        <v>50894</v>
      </c>
      <c r="C599" s="1" t="n">
        <v>16</v>
      </c>
      <c r="D599" s="1" t="n">
        <v>8</v>
      </c>
      <c r="E599" s="1" t="str">
        <f aca="false">VLOOKUP(C599,Меню!$A$2:$C$24,2,FALSE())</f>
        <v>Пицца Флорида</v>
      </c>
      <c r="F599" s="1" t="n">
        <f aca="false">VLOOKUP(C599,Меню!$A$2:$C$24,3,FALSE())</f>
        <v>535</v>
      </c>
      <c r="G599" s="5" t="n">
        <f aca="false">VLOOKUP(B599,Заказы!$A$2:$E$2995,2,FALSE())</f>
        <v>44062</v>
      </c>
      <c r="H599" s="1" t="n">
        <f aca="false">VLOOKUP(B599,Заказы!$A$2:$E$2995,3,FALSE())</f>
        <v>1120</v>
      </c>
      <c r="I599" s="1" t="str">
        <f aca="false">VLOOKUP(H599,Клиенты!$A$2:$E$1995,5,FALSE())</f>
        <v>г. Москва</v>
      </c>
      <c r="J599" s="1" t="n">
        <f aca="false">VLOOKUP(B599,Заказы!$A$2:$E$2995,4,FALSE())</f>
        <v>0</v>
      </c>
      <c r="K599" s="1" t="str">
        <f aca="false">VLOOKUP(B599,Заказы!$A$2:$E$2995,5,FALSE())</f>
        <v>Не выполнено</v>
      </c>
      <c r="L599" s="1" t="n">
        <f aca="false">D599*F599+J599</f>
        <v>4280</v>
      </c>
      <c r="M599" s="1" t="n">
        <f aca="false">IF(AND(E599="Пицца Труслейка",I599="г. Москва",K599="Выполнено",G599&gt;=DATE(2020,7,1),G599&lt;DATE(2020,8,1)),L599,0)</f>
        <v>0</v>
      </c>
    </row>
    <row r="600" customFormat="false" ht="15" hidden="false" customHeight="true" outlineLevel="0" collapsed="false">
      <c r="A600" s="1" t="n">
        <v>100657</v>
      </c>
      <c r="B600" s="1" t="n">
        <v>50637</v>
      </c>
      <c r="C600" s="1" t="n">
        <v>16</v>
      </c>
      <c r="D600" s="1" t="n">
        <v>7</v>
      </c>
      <c r="E600" s="1" t="str">
        <f aca="false">VLOOKUP(C600,Меню!$A$2:$C$24,2,FALSE())</f>
        <v>Пицца Флорида</v>
      </c>
      <c r="F600" s="1" t="n">
        <f aca="false">VLOOKUP(C600,Меню!$A$2:$C$24,3,FALSE())</f>
        <v>535</v>
      </c>
      <c r="G600" s="5" t="n">
        <f aca="false">VLOOKUP(B600,Заказы!$A$2:$E$2995,2,FALSE())</f>
        <v>44056</v>
      </c>
      <c r="H600" s="1" t="n">
        <f aca="false">VLOOKUP(B600,Заказы!$A$2:$E$2995,3,FALSE())</f>
        <v>1976</v>
      </c>
      <c r="I600" s="1" t="str">
        <f aca="false">VLOOKUP(H600,Клиенты!$A$2:$E$1995,5,FALSE())</f>
        <v>г. Алапаевск</v>
      </c>
      <c r="J600" s="1" t="n">
        <f aca="false">VLOOKUP(B600,Заказы!$A$2:$E$2995,4,FALSE())</f>
        <v>0</v>
      </c>
      <c r="K600" s="1" t="str">
        <f aca="false">VLOOKUP(B600,Заказы!$A$2:$E$2995,5,FALSE())</f>
        <v>Не выполнено</v>
      </c>
      <c r="L600" s="1" t="n">
        <f aca="false">D600*F600+J600</f>
        <v>3745</v>
      </c>
      <c r="M600" s="1" t="n">
        <f aca="false">IF(AND(E600="Пицца Труслейка",I600="г. Москва",K600="Выполнено",G600&gt;=DATE(2020,7,1),G600&lt;DATE(2020,8,1)),L600,0)</f>
        <v>0</v>
      </c>
    </row>
    <row r="601" customFormat="false" ht="15" hidden="false" customHeight="true" outlineLevel="0" collapsed="false">
      <c r="A601" s="1" t="n">
        <v>100161</v>
      </c>
      <c r="B601" s="1" t="n">
        <v>51324</v>
      </c>
      <c r="C601" s="1" t="n">
        <v>4</v>
      </c>
      <c r="D601" s="1" t="n">
        <v>1</v>
      </c>
      <c r="E601" s="1" t="str">
        <f aca="false">VLOOKUP(C601,Меню!$A$2:$C$24,2,FALSE())</f>
        <v>Пицца Труслейка</v>
      </c>
      <c r="F601" s="1" t="n">
        <f aca="false">VLOOKUP(C601,Меню!$A$2:$C$24,3,FALSE())</f>
        <v>610</v>
      </c>
      <c r="G601" s="5" t="n">
        <f aca="false">VLOOKUP(B601,Заказы!$A$2:$E$2995,2,FALSE())</f>
        <v>44024</v>
      </c>
      <c r="H601" s="1" t="n">
        <f aca="false">VLOOKUP(B601,Заказы!$A$2:$E$2995,3,FALSE())</f>
        <v>1129</v>
      </c>
      <c r="I601" s="1" t="str">
        <f aca="false">VLOOKUP(H601,Клиенты!$A$2:$E$1995,5,FALSE())</f>
        <v>г. Воскресенск</v>
      </c>
      <c r="J601" s="1" t="n">
        <f aca="false">VLOOKUP(B601,Заказы!$A$2:$E$2995,4,FALSE())</f>
        <v>158</v>
      </c>
      <c r="K601" s="1" t="str">
        <f aca="false">VLOOKUP(B601,Заказы!$A$2:$E$2995,5,FALSE())</f>
        <v>Выполнено</v>
      </c>
      <c r="L601" s="1" t="n">
        <f aca="false">D601*F601+J601</f>
        <v>768</v>
      </c>
      <c r="M601" s="1" t="n">
        <f aca="false">IF(AND(E601="Пицца Труслейка",I601="г. Москва",K601="Выполнено",G601&gt;=DATE(2020,7,1),G601&lt;DATE(2020,8,1)),L601,0)</f>
        <v>0</v>
      </c>
    </row>
    <row r="602" customFormat="false" ht="15" hidden="false" customHeight="true" outlineLevel="0" collapsed="false">
      <c r="A602" s="1" t="n">
        <v>101148</v>
      </c>
      <c r="B602" s="1" t="n">
        <v>50780</v>
      </c>
      <c r="C602" s="1" t="n">
        <v>7</v>
      </c>
      <c r="D602" s="1" t="n">
        <v>4</v>
      </c>
      <c r="E602" s="1" t="str">
        <f aca="false">VLOOKUP(C602,Меню!$A$2:$C$24,2,FALSE())</f>
        <v>Пицца Карбонара</v>
      </c>
      <c r="F602" s="1" t="n">
        <f aca="false">VLOOKUP(C602,Меню!$A$2:$C$24,3,FALSE())</f>
        <v>625</v>
      </c>
      <c r="G602" s="5" t="n">
        <f aca="false">VLOOKUP(B602,Заказы!$A$2:$E$2995,2,FALSE())</f>
        <v>44004</v>
      </c>
      <c r="H602" s="1" t="n">
        <f aca="false">VLOOKUP(B602,Заказы!$A$2:$E$2995,3,FALSE())</f>
        <v>1645</v>
      </c>
      <c r="I602" s="1" t="str">
        <f aca="false">VLOOKUP(H602,Клиенты!$A$2:$E$1995,5,FALSE())</f>
        <v>г. Пятигорск</v>
      </c>
      <c r="J602" s="1" t="n">
        <f aca="false">VLOOKUP(B602,Заказы!$A$2:$E$2995,4,FALSE())</f>
        <v>241</v>
      </c>
      <c r="K602" s="1" t="str">
        <f aca="false">VLOOKUP(B602,Заказы!$A$2:$E$2995,5,FALSE())</f>
        <v>Выполнено</v>
      </c>
      <c r="L602" s="1" t="n">
        <f aca="false">D602*F602+J602</f>
        <v>2741</v>
      </c>
      <c r="M602" s="1" t="n">
        <f aca="false">IF(AND(E602="Пицца Труслейка",I602="г. Москва",K602="Выполнено",G602&gt;=DATE(2020,7,1),G602&lt;DATE(2020,8,1)),L602,0)</f>
        <v>0</v>
      </c>
    </row>
    <row r="603" customFormat="false" ht="15" hidden="false" customHeight="true" outlineLevel="0" collapsed="false">
      <c r="A603" s="1" t="n">
        <v>101895</v>
      </c>
      <c r="B603" s="1" t="n">
        <v>51623</v>
      </c>
      <c r="C603" s="1" t="n">
        <v>4</v>
      </c>
      <c r="D603" s="1" t="n">
        <v>2</v>
      </c>
      <c r="E603" s="1" t="str">
        <f aca="false">VLOOKUP(C603,Меню!$A$2:$C$24,2,FALSE())</f>
        <v>Пицца Труслейка</v>
      </c>
      <c r="F603" s="1" t="n">
        <f aca="false">VLOOKUP(C603,Меню!$A$2:$C$24,3,FALSE())</f>
        <v>610</v>
      </c>
      <c r="G603" s="5" t="n">
        <f aca="false">VLOOKUP(B603,Заказы!$A$2:$E$2995,2,FALSE())</f>
        <v>44056</v>
      </c>
      <c r="H603" s="1" t="n">
        <f aca="false">VLOOKUP(B603,Заказы!$A$2:$E$2995,3,FALSE())</f>
        <v>1894</v>
      </c>
      <c r="I603" s="1" t="str">
        <f aca="false">VLOOKUP(H603,Клиенты!$A$2:$E$1995,5,FALSE())</f>
        <v>г. Талица</v>
      </c>
      <c r="J603" s="1" t="n">
        <f aca="false">VLOOKUP(B603,Заказы!$A$2:$E$2995,4,FALSE())</f>
        <v>0</v>
      </c>
      <c r="K603" s="1" t="str">
        <f aca="false">VLOOKUP(B603,Заказы!$A$2:$E$2995,5,FALSE())</f>
        <v>Не выполнено</v>
      </c>
      <c r="L603" s="1" t="n">
        <f aca="false">D603*F603+J603</f>
        <v>1220</v>
      </c>
      <c r="M603" s="1" t="n">
        <f aca="false">IF(AND(E603="Пицца Труслейка",I603="г. Москва",K603="Выполнено",G603&gt;=DATE(2020,7,1),G603&lt;DATE(2020,8,1)),L603,0)</f>
        <v>0</v>
      </c>
    </row>
    <row r="604" customFormat="false" ht="15" hidden="false" customHeight="true" outlineLevel="0" collapsed="false">
      <c r="A604" s="1" t="n">
        <v>100005</v>
      </c>
      <c r="B604" s="1" t="n">
        <v>51946</v>
      </c>
      <c r="C604" s="1" t="n">
        <v>20</v>
      </c>
      <c r="D604" s="1" t="n">
        <v>1</v>
      </c>
      <c r="E604" s="1" t="str">
        <f aca="false">VLOOKUP(C604,Меню!$A$2:$C$24,2,FALSE())</f>
        <v>Пицца пиканте</v>
      </c>
      <c r="F604" s="1" t="n">
        <f aca="false">VLOOKUP(C604,Меню!$A$2:$C$24,3,FALSE())</f>
        <v>585</v>
      </c>
      <c r="G604" s="5" t="n">
        <f aca="false">VLOOKUP(B604,Заказы!$A$2:$E$2995,2,FALSE())</f>
        <v>44016</v>
      </c>
      <c r="H604" s="1" t="n">
        <f aca="false">VLOOKUP(B604,Заказы!$A$2:$E$2995,3,FALSE())</f>
        <v>1259</v>
      </c>
      <c r="I604" s="1" t="str">
        <f aca="false">VLOOKUP(H604,Клиенты!$A$2:$E$1995,5,FALSE())</f>
        <v>г. Олёкминск</v>
      </c>
      <c r="J604" s="1" t="n">
        <f aca="false">VLOOKUP(B604,Заказы!$A$2:$E$2995,4,FALSE())</f>
        <v>0</v>
      </c>
      <c r="K604" s="1" t="str">
        <f aca="false">VLOOKUP(B604,Заказы!$A$2:$E$2995,5,FALSE())</f>
        <v>Не выполнено</v>
      </c>
      <c r="L604" s="1" t="n">
        <f aca="false">D604*F604+J604</f>
        <v>585</v>
      </c>
      <c r="M604" s="1" t="n">
        <f aca="false">IF(AND(E604="Пицца Труслейка",I604="г. Москва",K604="Выполнено",G604&gt;=DATE(2020,7,1),G604&lt;DATE(2020,8,1)),L604,0)</f>
        <v>0</v>
      </c>
    </row>
    <row r="605" customFormat="false" ht="15" hidden="false" customHeight="true" outlineLevel="0" collapsed="false">
      <c r="A605" s="1" t="n">
        <v>100867</v>
      </c>
      <c r="B605" s="1" t="n">
        <v>50639</v>
      </c>
      <c r="C605" s="1" t="n">
        <v>17</v>
      </c>
      <c r="D605" s="1" t="n">
        <v>2</v>
      </c>
      <c r="E605" s="1" t="str">
        <f aca="false">VLOOKUP(C605,Меню!$A$2:$C$24,2,FALSE())</f>
        <v>Пицца Френч Фрайз</v>
      </c>
      <c r="F605" s="1" t="n">
        <f aca="false">VLOOKUP(C605,Меню!$A$2:$C$24,3,FALSE())</f>
        <v>515</v>
      </c>
      <c r="G605" s="5" t="n">
        <f aca="false">VLOOKUP(B605,Заказы!$A$2:$E$2995,2,FALSE())</f>
        <v>44027</v>
      </c>
      <c r="H605" s="1" t="n">
        <f aca="false">VLOOKUP(B605,Заказы!$A$2:$E$2995,3,FALSE())</f>
        <v>603</v>
      </c>
      <c r="I605" s="1" t="str">
        <f aca="false">VLOOKUP(H605,Клиенты!$A$2:$E$1995,5,FALSE())</f>
        <v>г. Белогорск</v>
      </c>
      <c r="J605" s="1" t="n">
        <f aca="false">VLOOKUP(B605,Заказы!$A$2:$E$2995,4,FALSE())</f>
        <v>0</v>
      </c>
      <c r="K605" s="1" t="str">
        <f aca="false">VLOOKUP(B605,Заказы!$A$2:$E$2995,5,FALSE())</f>
        <v>Не выполнено</v>
      </c>
      <c r="L605" s="1" t="n">
        <f aca="false">D605*F605+J605</f>
        <v>1030</v>
      </c>
      <c r="M605" s="1" t="n">
        <f aca="false">IF(AND(E605="Пицца Труслейка",I605="г. Москва",K605="Выполнено",G605&gt;=DATE(2020,7,1),G605&lt;DATE(2020,8,1)),L605,0)</f>
        <v>0</v>
      </c>
    </row>
    <row r="606" customFormat="false" ht="15" hidden="false" customHeight="true" outlineLevel="0" collapsed="false">
      <c r="A606" s="1" t="n">
        <v>100786</v>
      </c>
      <c r="B606" s="1" t="n">
        <v>50295</v>
      </c>
      <c r="C606" s="1" t="n">
        <v>1</v>
      </c>
      <c r="D606" s="1" t="n">
        <v>10</v>
      </c>
      <c r="E606" s="1" t="str">
        <f aca="false">VLOOKUP(C606,Меню!$A$2:$C$24,2,FALSE())</f>
        <v>Пицца Гавайская</v>
      </c>
      <c r="F606" s="1" t="n">
        <f aca="false">VLOOKUP(C606,Меню!$A$2:$C$24,3,FALSE())</f>
        <v>545</v>
      </c>
      <c r="G606" s="5" t="n">
        <f aca="false">VLOOKUP(B606,Заказы!$A$2:$E$2995,2,FALSE())</f>
        <v>44049</v>
      </c>
      <c r="H606" s="1" t="n">
        <f aca="false">VLOOKUP(B606,Заказы!$A$2:$E$2995,3,FALSE())</f>
        <v>1127</v>
      </c>
      <c r="I606" s="1" t="str">
        <f aca="false">VLOOKUP(H606,Клиенты!$A$2:$E$1995,5,FALSE())</f>
        <v>г. Новоржев</v>
      </c>
      <c r="J606" s="1" t="n">
        <f aca="false">VLOOKUP(B606,Заказы!$A$2:$E$2995,4,FALSE())</f>
        <v>0</v>
      </c>
      <c r="K606" s="1" t="str">
        <f aca="false">VLOOKUP(B606,Заказы!$A$2:$E$2995,5,FALSE())</f>
        <v>Не выполнено</v>
      </c>
      <c r="L606" s="1" t="n">
        <f aca="false">D606*F606+J606</f>
        <v>5450</v>
      </c>
      <c r="M606" s="1" t="n">
        <f aca="false">IF(AND(E606="Пицца Труслейка",I606="г. Москва",K606="Выполнено",G606&gt;=DATE(2020,7,1),G606&lt;DATE(2020,8,1)),L606,0)</f>
        <v>0</v>
      </c>
    </row>
    <row r="607" customFormat="false" ht="15" hidden="false" customHeight="true" outlineLevel="0" collapsed="false">
      <c r="A607" s="1" t="n">
        <v>101774</v>
      </c>
      <c r="B607" s="1" t="n">
        <v>50688</v>
      </c>
      <c r="C607" s="1" t="n">
        <v>6</v>
      </c>
      <c r="D607" s="1" t="n">
        <v>10</v>
      </c>
      <c r="E607" s="1" t="str">
        <f aca="false">VLOOKUP(C607,Меню!$A$2:$C$24,2,FALSE())</f>
        <v>Пицца Капричиоза</v>
      </c>
      <c r="F607" s="1" t="n">
        <f aca="false">VLOOKUP(C607,Меню!$A$2:$C$24,3,FALSE())</f>
        <v>570</v>
      </c>
      <c r="G607" s="5" t="n">
        <f aca="false">VLOOKUP(B607,Заказы!$A$2:$E$2995,2,FALSE())</f>
        <v>44056</v>
      </c>
      <c r="H607" s="1" t="n">
        <f aca="false">VLOOKUP(B607,Заказы!$A$2:$E$2995,3,FALSE())</f>
        <v>1956</v>
      </c>
      <c r="I607" s="1" t="str">
        <f aca="false">VLOOKUP(H607,Клиенты!$A$2:$E$1995,5,FALSE())</f>
        <v>г. Лабинск</v>
      </c>
      <c r="J607" s="1" t="n">
        <f aca="false">VLOOKUP(B607,Заказы!$A$2:$E$2995,4,FALSE())</f>
        <v>606</v>
      </c>
      <c r="K607" s="1" t="str">
        <f aca="false">VLOOKUP(B607,Заказы!$A$2:$E$2995,5,FALSE())</f>
        <v>Выполнено</v>
      </c>
      <c r="L607" s="1" t="n">
        <f aca="false">D607*F607+J607</f>
        <v>6306</v>
      </c>
      <c r="M607" s="1" t="n">
        <f aca="false">IF(AND(E607="Пицца Труслейка",I607="г. Москва",K607="Выполнено",G607&gt;=DATE(2020,7,1),G607&lt;DATE(2020,8,1)),L607,0)</f>
        <v>0</v>
      </c>
    </row>
    <row r="608" customFormat="false" ht="15" hidden="false" customHeight="true" outlineLevel="0" collapsed="false">
      <c r="A608" s="1" t="n">
        <v>100896</v>
      </c>
      <c r="B608" s="1" t="n">
        <v>51065</v>
      </c>
      <c r="C608" s="1" t="n">
        <v>21</v>
      </c>
      <c r="D608" s="1" t="n">
        <v>7</v>
      </c>
      <c r="E608" s="1" t="str">
        <f aca="false">VLOOKUP(C608,Меню!$A$2:$C$24,2,FALSE())</f>
        <v>Пицца с креветками и цукини</v>
      </c>
      <c r="F608" s="1" t="n">
        <f aca="false">VLOOKUP(C608,Меню!$A$2:$C$24,3,FALSE())</f>
        <v>600</v>
      </c>
      <c r="G608" s="5" t="n">
        <f aca="false">VLOOKUP(B608,Заказы!$A$2:$E$2995,2,FALSE())</f>
        <v>44027</v>
      </c>
      <c r="H608" s="1" t="n">
        <f aca="false">VLOOKUP(B608,Заказы!$A$2:$E$2995,3,FALSE())</f>
        <v>341</v>
      </c>
      <c r="I608" s="1" t="str">
        <f aca="false">VLOOKUP(H608,Клиенты!$A$2:$E$1995,5,FALSE())</f>
        <v>г. Октябрьск</v>
      </c>
      <c r="J608" s="1" t="n">
        <f aca="false">VLOOKUP(B608,Заказы!$A$2:$E$2995,4,FALSE())</f>
        <v>862</v>
      </c>
      <c r="K608" s="1" t="str">
        <f aca="false">VLOOKUP(B608,Заказы!$A$2:$E$2995,5,FALSE())</f>
        <v>Выполнено</v>
      </c>
      <c r="L608" s="1" t="n">
        <f aca="false">D608*F608+J608</f>
        <v>5062</v>
      </c>
      <c r="M608" s="1" t="n">
        <f aca="false">IF(AND(E608="Пицца Труслейка",I608="г. Москва",K608="Выполнено",G608&gt;=DATE(2020,7,1),G608&lt;DATE(2020,8,1)),L608,0)</f>
        <v>0</v>
      </c>
    </row>
    <row r="609" customFormat="false" ht="15" hidden="false" customHeight="true" outlineLevel="0" collapsed="false">
      <c r="A609" s="1" t="n">
        <v>101611</v>
      </c>
      <c r="B609" s="1" t="n">
        <v>50735</v>
      </c>
      <c r="C609" s="1" t="n">
        <v>7</v>
      </c>
      <c r="D609" s="1" t="n">
        <v>2</v>
      </c>
      <c r="E609" s="1" t="str">
        <f aca="false">VLOOKUP(C609,Меню!$A$2:$C$24,2,FALSE())</f>
        <v>Пицца Карбонара</v>
      </c>
      <c r="F609" s="1" t="n">
        <f aca="false">VLOOKUP(C609,Меню!$A$2:$C$24,3,FALSE())</f>
        <v>625</v>
      </c>
      <c r="G609" s="5" t="n">
        <f aca="false">VLOOKUP(B609,Заказы!$A$2:$E$2995,2,FALSE())</f>
        <v>44040</v>
      </c>
      <c r="H609" s="1" t="n">
        <f aca="false">VLOOKUP(B609,Заказы!$A$2:$E$2995,3,FALSE())</f>
        <v>1848</v>
      </c>
      <c r="I609" s="1" t="str">
        <f aca="false">VLOOKUP(H609,Клиенты!$A$2:$E$1995,5,FALSE())</f>
        <v>г. Новоуральск</v>
      </c>
      <c r="J609" s="1" t="n">
        <f aca="false">VLOOKUP(B609,Заказы!$A$2:$E$2995,4,FALSE())</f>
        <v>831</v>
      </c>
      <c r="K609" s="1" t="str">
        <f aca="false">VLOOKUP(B609,Заказы!$A$2:$E$2995,5,FALSE())</f>
        <v>Выполнено</v>
      </c>
      <c r="L609" s="1" t="n">
        <f aca="false">D609*F609+J609</f>
        <v>2081</v>
      </c>
      <c r="M609" s="1" t="n">
        <f aca="false">IF(AND(E609="Пицца Труслейка",I609="г. Москва",K609="Выполнено",G609&gt;=DATE(2020,7,1),G609&lt;DATE(2020,8,1)),L609,0)</f>
        <v>0</v>
      </c>
    </row>
    <row r="610" customFormat="false" ht="15" hidden="false" customHeight="true" outlineLevel="0" collapsed="false">
      <c r="A610" s="1" t="n">
        <v>101967</v>
      </c>
      <c r="B610" s="1" t="n">
        <v>50113</v>
      </c>
      <c r="C610" s="1" t="n">
        <v>21</v>
      </c>
      <c r="D610" s="1" t="n">
        <v>10</v>
      </c>
      <c r="E610" s="1" t="str">
        <f aca="false">VLOOKUP(C610,Меню!$A$2:$C$24,2,FALSE())</f>
        <v>Пицца с креветками и цукини</v>
      </c>
      <c r="F610" s="1" t="n">
        <f aca="false">VLOOKUP(C610,Меню!$A$2:$C$24,3,FALSE())</f>
        <v>600</v>
      </c>
      <c r="G610" s="5" t="n">
        <f aca="false">VLOOKUP(B610,Заказы!$A$2:$E$2995,2,FALSE())</f>
        <v>44033</v>
      </c>
      <c r="H610" s="1" t="n">
        <f aca="false">VLOOKUP(B610,Заказы!$A$2:$E$2995,3,FALSE())</f>
        <v>1688</v>
      </c>
      <c r="I610" s="1" t="str">
        <f aca="false">VLOOKUP(H610,Клиенты!$A$2:$E$1995,5,FALSE())</f>
        <v>г. Канаш</v>
      </c>
      <c r="J610" s="1" t="n">
        <f aca="false">VLOOKUP(B610,Заказы!$A$2:$E$2995,4,FALSE())</f>
        <v>576</v>
      </c>
      <c r="K610" s="1" t="str">
        <f aca="false">VLOOKUP(B610,Заказы!$A$2:$E$2995,5,FALSE())</f>
        <v>Выполнено</v>
      </c>
      <c r="L610" s="1" t="n">
        <f aca="false">D610*F610+J610</f>
        <v>6576</v>
      </c>
      <c r="M610" s="1" t="n">
        <f aca="false">IF(AND(E610="Пицца Труслейка",I610="г. Москва",K610="Выполнено",G610&gt;=DATE(2020,7,1),G610&lt;DATE(2020,8,1)),L610,0)</f>
        <v>0</v>
      </c>
    </row>
    <row r="611" customFormat="false" ht="15" hidden="false" customHeight="true" outlineLevel="0" collapsed="false">
      <c r="A611" s="1" t="n">
        <v>100042</v>
      </c>
      <c r="B611" s="1" t="n">
        <v>50559</v>
      </c>
      <c r="C611" s="1" t="n">
        <v>4</v>
      </c>
      <c r="D611" s="1" t="n">
        <v>9</v>
      </c>
      <c r="E611" s="1" t="str">
        <f aca="false">VLOOKUP(C611,Меню!$A$2:$C$24,2,FALSE())</f>
        <v>Пицца Труслейка</v>
      </c>
      <c r="F611" s="1" t="n">
        <f aca="false">VLOOKUP(C611,Меню!$A$2:$C$24,3,FALSE())</f>
        <v>610</v>
      </c>
      <c r="G611" s="5" t="n">
        <f aca="false">VLOOKUP(B611,Заказы!$A$2:$E$2995,2,FALSE())</f>
        <v>44030</v>
      </c>
      <c r="H611" s="1" t="n">
        <f aca="false">VLOOKUP(B611,Заказы!$A$2:$E$2995,3,FALSE())</f>
        <v>1379</v>
      </c>
      <c r="I611" s="1" t="str">
        <f aca="false">VLOOKUP(H611,Клиенты!$A$2:$E$1995,5,FALSE())</f>
        <v>г. Курильск</v>
      </c>
      <c r="J611" s="1" t="n">
        <f aca="false">VLOOKUP(B611,Заказы!$A$2:$E$2995,4,FALSE())</f>
        <v>704</v>
      </c>
      <c r="K611" s="1" t="str">
        <f aca="false">VLOOKUP(B611,Заказы!$A$2:$E$2995,5,FALSE())</f>
        <v>Выполнено</v>
      </c>
      <c r="L611" s="1" t="n">
        <f aca="false">D611*F611+J611</f>
        <v>6194</v>
      </c>
      <c r="M611" s="1" t="n">
        <f aca="false">IF(AND(E611="Пицца Труслейка",I611="г. Москва",K611="Выполнено",G611&gt;=DATE(2020,7,1),G611&lt;DATE(2020,8,1)),L611,0)</f>
        <v>0</v>
      </c>
    </row>
    <row r="612" customFormat="false" ht="15" hidden="false" customHeight="true" outlineLevel="0" collapsed="false">
      <c r="A612" s="1" t="n">
        <v>100414</v>
      </c>
      <c r="B612" s="1" t="n">
        <v>50407</v>
      </c>
      <c r="C612" s="1" t="n">
        <v>19</v>
      </c>
      <c r="D612" s="1" t="n">
        <v>9</v>
      </c>
      <c r="E612" s="1" t="str">
        <f aca="false">VLOOKUP(C612,Меню!$A$2:$C$24,2,FALSE())</f>
        <v>Пицца Цезарь</v>
      </c>
      <c r="F612" s="1" t="n">
        <f aca="false">VLOOKUP(C612,Меню!$A$2:$C$24,3,FALSE())</f>
        <v>630</v>
      </c>
      <c r="G612" s="5" t="n">
        <f aca="false">VLOOKUP(B612,Заказы!$A$2:$E$2995,2,FALSE())</f>
        <v>43993</v>
      </c>
      <c r="H612" s="1" t="n">
        <f aca="false">VLOOKUP(B612,Заказы!$A$2:$E$2995,3,FALSE())</f>
        <v>816</v>
      </c>
      <c r="I612" s="1" t="str">
        <f aca="false">VLOOKUP(H612,Клиенты!$A$2:$E$1995,5,FALSE())</f>
        <v>г. Норильск</v>
      </c>
      <c r="J612" s="1" t="n">
        <f aca="false">VLOOKUP(B612,Заказы!$A$2:$E$2995,4,FALSE())</f>
        <v>171</v>
      </c>
      <c r="K612" s="1" t="str">
        <f aca="false">VLOOKUP(B612,Заказы!$A$2:$E$2995,5,FALSE())</f>
        <v>Выполнено</v>
      </c>
      <c r="L612" s="1" t="n">
        <f aca="false">D612*F612+J612</f>
        <v>5841</v>
      </c>
      <c r="M612" s="1" t="n">
        <f aca="false">IF(AND(E612="Пицца Труслейка",I612="г. Москва",K612="Выполнено",G612&gt;=DATE(2020,7,1),G612&lt;DATE(2020,8,1)),L612,0)</f>
        <v>0</v>
      </c>
    </row>
    <row r="613" customFormat="false" ht="15" hidden="false" customHeight="true" outlineLevel="0" collapsed="false">
      <c r="A613" s="1" t="n">
        <v>101062</v>
      </c>
      <c r="B613" s="1" t="n">
        <v>51445</v>
      </c>
      <c r="C613" s="1" t="n">
        <v>8</v>
      </c>
      <c r="D613" s="1" t="n">
        <v>3</v>
      </c>
      <c r="E613" s="1" t="str">
        <f aca="false">VLOOKUP(C613,Меню!$A$2:$C$24,2,FALSE())</f>
        <v>Пицца Мясная</v>
      </c>
      <c r="F613" s="1" t="n">
        <f aca="false">VLOOKUP(C613,Меню!$A$2:$C$24,3,FALSE())</f>
        <v>615</v>
      </c>
      <c r="G613" s="5" t="n">
        <f aca="false">VLOOKUP(B613,Заказы!$A$2:$E$2995,2,FALSE())</f>
        <v>43983</v>
      </c>
      <c r="H613" s="1" t="n">
        <f aca="false">VLOOKUP(B613,Заказы!$A$2:$E$2995,3,FALSE())</f>
        <v>1524</v>
      </c>
      <c r="I613" s="1" t="str">
        <f aca="false">VLOOKUP(H613,Клиенты!$A$2:$E$1995,5,FALSE())</f>
        <v>г. Усолье</v>
      </c>
      <c r="J613" s="1" t="n">
        <f aca="false">VLOOKUP(B613,Заказы!$A$2:$E$2995,4,FALSE())</f>
        <v>0</v>
      </c>
      <c r="K613" s="1" t="str">
        <f aca="false">VLOOKUP(B613,Заказы!$A$2:$E$2995,5,FALSE())</f>
        <v>Не выполнено</v>
      </c>
      <c r="L613" s="1" t="n">
        <f aca="false">D613*F613+J613</f>
        <v>1845</v>
      </c>
      <c r="M613" s="1" t="n">
        <f aca="false">IF(AND(E613="Пицца Труслейка",I613="г. Москва",K613="Выполнено",G613&gt;=DATE(2020,7,1),G613&lt;DATE(2020,8,1)),L613,0)</f>
        <v>0</v>
      </c>
    </row>
    <row r="614" customFormat="false" ht="15" hidden="false" customHeight="true" outlineLevel="0" collapsed="false">
      <c r="A614" s="1" t="n">
        <v>101824</v>
      </c>
      <c r="B614" s="1" t="n">
        <v>50740</v>
      </c>
      <c r="C614" s="1" t="n">
        <v>6</v>
      </c>
      <c r="D614" s="1" t="n">
        <v>8</v>
      </c>
      <c r="E614" s="1" t="str">
        <f aca="false">VLOOKUP(C614,Меню!$A$2:$C$24,2,FALSE())</f>
        <v>Пицца Капричиоза</v>
      </c>
      <c r="F614" s="1" t="n">
        <f aca="false">VLOOKUP(C614,Меню!$A$2:$C$24,3,FALSE())</f>
        <v>570</v>
      </c>
      <c r="G614" s="5" t="n">
        <f aca="false">VLOOKUP(B614,Заказы!$A$2:$E$2995,2,FALSE())</f>
        <v>44063</v>
      </c>
      <c r="H614" s="1" t="n">
        <f aca="false">VLOOKUP(B614,Заказы!$A$2:$E$2995,3,FALSE())</f>
        <v>1118</v>
      </c>
      <c r="I614" s="1" t="str">
        <f aca="false">VLOOKUP(H614,Клиенты!$A$2:$E$1995,5,FALSE())</f>
        <v>г. Ухта</v>
      </c>
      <c r="J614" s="1" t="n">
        <f aca="false">VLOOKUP(B614,Заказы!$A$2:$E$2995,4,FALSE())</f>
        <v>289</v>
      </c>
      <c r="K614" s="1" t="str">
        <f aca="false">VLOOKUP(B614,Заказы!$A$2:$E$2995,5,FALSE())</f>
        <v>Выполнено</v>
      </c>
      <c r="L614" s="1" t="n">
        <f aca="false">D614*F614+J614</f>
        <v>4849</v>
      </c>
      <c r="M614" s="1" t="n">
        <f aca="false">IF(AND(E614="Пицца Труслейка",I614="г. Москва",K614="Выполнено",G614&gt;=DATE(2020,7,1),G614&lt;DATE(2020,8,1)),L614,0)</f>
        <v>0</v>
      </c>
    </row>
    <row r="615" customFormat="false" ht="15" hidden="false" customHeight="true" outlineLevel="0" collapsed="false">
      <c r="A615" s="1" t="n">
        <v>100864</v>
      </c>
      <c r="B615" s="1" t="n">
        <v>50663</v>
      </c>
      <c r="C615" s="1" t="n">
        <v>10</v>
      </c>
      <c r="D615" s="1" t="n">
        <v>1</v>
      </c>
      <c r="E615" s="1" t="str">
        <f aca="false">VLOOKUP(C615,Меню!$A$2:$C$24,2,FALSE())</f>
        <v>Пицца Пепперони фреш</v>
      </c>
      <c r="F615" s="1" t="n">
        <f aca="false">VLOOKUP(C615,Меню!$A$2:$C$24,3,FALSE())</f>
        <v>565</v>
      </c>
      <c r="G615" s="5" t="n">
        <f aca="false">VLOOKUP(B615,Заказы!$A$2:$E$2995,2,FALSE())</f>
        <v>44041</v>
      </c>
      <c r="H615" s="1" t="n">
        <f aca="false">VLOOKUP(B615,Заказы!$A$2:$E$2995,3,FALSE())</f>
        <v>68</v>
      </c>
      <c r="I615" s="1" t="str">
        <f aca="false">VLOOKUP(H615,Клиенты!$A$2:$E$1995,5,FALSE())</f>
        <v>г. Спас-Клепики</v>
      </c>
      <c r="J615" s="1" t="n">
        <f aca="false">VLOOKUP(B615,Заказы!$A$2:$E$2995,4,FALSE())</f>
        <v>0</v>
      </c>
      <c r="K615" s="1" t="str">
        <f aca="false">VLOOKUP(B615,Заказы!$A$2:$E$2995,5,FALSE())</f>
        <v>Не выполнено</v>
      </c>
      <c r="L615" s="1" t="n">
        <f aca="false">D615*F615+J615</f>
        <v>565</v>
      </c>
      <c r="M615" s="1" t="n">
        <f aca="false">IF(AND(E615="Пицца Труслейка",I615="г. Москва",K615="Выполнено",G615&gt;=DATE(2020,7,1),G615&lt;DATE(2020,8,1)),L615,0)</f>
        <v>0</v>
      </c>
    </row>
    <row r="616" customFormat="false" ht="15" hidden="false" customHeight="true" outlineLevel="0" collapsed="false">
      <c r="A616" s="1" t="n">
        <v>101234</v>
      </c>
      <c r="B616" s="1" t="n">
        <v>50437</v>
      </c>
      <c r="C616" s="1" t="n">
        <v>23</v>
      </c>
      <c r="D616" s="1" t="n">
        <v>10</v>
      </c>
      <c r="E616" s="1" t="str">
        <f aca="false">VLOOKUP(C616,Меню!$A$2:$C$24,2,FALSE())</f>
        <v>Пицца с тунцом</v>
      </c>
      <c r="F616" s="1" t="n">
        <f aca="false">VLOOKUP(C616,Меню!$A$2:$C$24,3,FALSE())</f>
        <v>520</v>
      </c>
      <c r="G616" s="5" t="n">
        <f aca="false">VLOOKUP(B616,Заказы!$A$2:$E$2995,2,FALSE())</f>
        <v>44011</v>
      </c>
      <c r="H616" s="1" t="n">
        <f aca="false">VLOOKUP(B616,Заказы!$A$2:$E$2995,3,FALSE())</f>
        <v>85</v>
      </c>
      <c r="I616" s="1" t="str">
        <f aca="false">VLOOKUP(H616,Клиенты!$A$2:$E$1995,5,FALSE())</f>
        <v>г. Светлоград</v>
      </c>
      <c r="J616" s="1" t="n">
        <f aca="false">VLOOKUP(B616,Заказы!$A$2:$E$2995,4,FALSE())</f>
        <v>0</v>
      </c>
      <c r="K616" s="1" t="str">
        <f aca="false">VLOOKUP(B616,Заказы!$A$2:$E$2995,5,FALSE())</f>
        <v>Не выполнено</v>
      </c>
      <c r="L616" s="1" t="n">
        <f aca="false">D616*F616+J616</f>
        <v>5200</v>
      </c>
      <c r="M616" s="1" t="n">
        <f aca="false">IF(AND(E616="Пицца Труслейка",I616="г. Москва",K616="Выполнено",G616&gt;=DATE(2020,7,1),G616&lt;DATE(2020,8,1)),L616,0)</f>
        <v>0</v>
      </c>
    </row>
    <row r="617" customFormat="false" ht="15" hidden="false" customHeight="true" outlineLevel="0" collapsed="false">
      <c r="A617" s="1" t="n">
        <v>100852</v>
      </c>
      <c r="B617" s="1" t="n">
        <v>51892</v>
      </c>
      <c r="C617" s="1" t="n">
        <v>19</v>
      </c>
      <c r="D617" s="1" t="n">
        <v>2</v>
      </c>
      <c r="E617" s="1" t="str">
        <f aca="false">VLOOKUP(C617,Меню!$A$2:$C$24,2,FALSE())</f>
        <v>Пицца Цезарь</v>
      </c>
      <c r="F617" s="1" t="n">
        <f aca="false">VLOOKUP(C617,Меню!$A$2:$C$24,3,FALSE())</f>
        <v>630</v>
      </c>
      <c r="G617" s="5" t="n">
        <f aca="false">VLOOKUP(B617,Заказы!$A$2:$E$2995,2,FALSE())</f>
        <v>44012</v>
      </c>
      <c r="H617" s="1" t="n">
        <f aca="false">VLOOKUP(B617,Заказы!$A$2:$E$2995,3,FALSE())</f>
        <v>593</v>
      </c>
      <c r="I617" s="1" t="str">
        <f aca="false">VLOOKUP(H617,Клиенты!$A$2:$E$1995,5,FALSE())</f>
        <v>г. Островной</v>
      </c>
      <c r="J617" s="1" t="n">
        <f aca="false">VLOOKUP(B617,Заказы!$A$2:$E$2995,4,FALSE())</f>
        <v>0</v>
      </c>
      <c r="K617" s="1" t="str">
        <f aca="false">VLOOKUP(B617,Заказы!$A$2:$E$2995,5,FALSE())</f>
        <v>Не выполнено</v>
      </c>
      <c r="L617" s="1" t="n">
        <f aca="false">D617*F617+J617</f>
        <v>1260</v>
      </c>
      <c r="M617" s="1" t="n">
        <f aca="false">IF(AND(E617="Пицца Труслейка",I617="г. Москва",K617="Выполнено",G617&gt;=DATE(2020,7,1),G617&lt;DATE(2020,8,1)),L617,0)</f>
        <v>0</v>
      </c>
    </row>
    <row r="618" customFormat="false" ht="15" hidden="false" customHeight="true" outlineLevel="0" collapsed="false">
      <c r="A618" s="1" t="n">
        <v>101250</v>
      </c>
      <c r="B618" s="1" t="n">
        <v>50832</v>
      </c>
      <c r="C618" s="1" t="n">
        <v>9</v>
      </c>
      <c r="D618" s="1" t="n">
        <v>1</v>
      </c>
      <c r="E618" s="1" t="str">
        <f aca="false">VLOOKUP(C618,Меню!$A$2:$C$24,2,FALSE())</f>
        <v>Пицца Острая с беконом</v>
      </c>
      <c r="F618" s="1" t="n">
        <f aca="false">VLOOKUP(C618,Меню!$A$2:$C$24,3,FALSE())</f>
        <v>540</v>
      </c>
      <c r="G618" s="5" t="n">
        <f aca="false">VLOOKUP(B618,Заказы!$A$2:$E$2995,2,FALSE())</f>
        <v>44029</v>
      </c>
      <c r="H618" s="1" t="n">
        <f aca="false">VLOOKUP(B618,Заказы!$A$2:$E$2995,3,FALSE())</f>
        <v>1883</v>
      </c>
      <c r="I618" s="1" t="str">
        <f aca="false">VLOOKUP(H618,Клиенты!$A$2:$E$1995,5,FALSE())</f>
        <v>г. Усть-Кут</v>
      </c>
      <c r="J618" s="1" t="n">
        <f aca="false">VLOOKUP(B618,Заказы!$A$2:$E$2995,4,FALSE())</f>
        <v>142</v>
      </c>
      <c r="K618" s="1" t="str">
        <f aca="false">VLOOKUP(B618,Заказы!$A$2:$E$2995,5,FALSE())</f>
        <v>Выполнено</v>
      </c>
      <c r="L618" s="1" t="n">
        <f aca="false">D618*F618+J618</f>
        <v>682</v>
      </c>
      <c r="M618" s="1" t="n">
        <f aca="false">IF(AND(E618="Пицца Труслейка",I618="г. Москва",K618="Выполнено",G618&gt;=DATE(2020,7,1),G618&lt;DATE(2020,8,1)),L618,0)</f>
        <v>0</v>
      </c>
    </row>
    <row r="619" customFormat="false" ht="15" hidden="false" customHeight="true" outlineLevel="0" collapsed="false">
      <c r="A619" s="1" t="n">
        <v>100201</v>
      </c>
      <c r="B619" s="1" t="n">
        <v>51809</v>
      </c>
      <c r="C619" s="1" t="n">
        <v>13</v>
      </c>
      <c r="D619" s="1" t="n">
        <v>8</v>
      </c>
      <c r="E619" s="1" t="str">
        <f aca="false">VLOOKUP(C619,Меню!$A$2:$C$24,2,FALSE())</f>
        <v>Пицца Сырная</v>
      </c>
      <c r="F619" s="1" t="n">
        <f aca="false">VLOOKUP(C619,Меню!$A$2:$C$24,3,FALSE())</f>
        <v>635</v>
      </c>
      <c r="G619" s="5" t="n">
        <f aca="false">VLOOKUP(B619,Заказы!$A$2:$E$2995,2,FALSE())</f>
        <v>44037</v>
      </c>
      <c r="H619" s="1" t="n">
        <f aca="false">VLOOKUP(B619,Заказы!$A$2:$E$2995,3,FALSE())</f>
        <v>418</v>
      </c>
      <c r="I619" s="1" t="str">
        <f aca="false">VLOOKUP(H619,Клиенты!$A$2:$E$1995,5,FALSE())</f>
        <v>г. Кинель</v>
      </c>
      <c r="J619" s="1" t="n">
        <f aca="false">VLOOKUP(B619,Заказы!$A$2:$E$2995,4,FALSE())</f>
        <v>436</v>
      </c>
      <c r="K619" s="1" t="str">
        <f aca="false">VLOOKUP(B619,Заказы!$A$2:$E$2995,5,FALSE())</f>
        <v>Выполнено</v>
      </c>
      <c r="L619" s="1" t="n">
        <f aca="false">D619*F619+J619</f>
        <v>5516</v>
      </c>
      <c r="M619" s="1" t="n">
        <f aca="false">IF(AND(E619="Пицца Труслейка",I619="г. Москва",K619="Выполнено",G619&gt;=DATE(2020,7,1),G619&lt;DATE(2020,8,1)),L619,0)</f>
        <v>0</v>
      </c>
    </row>
    <row r="620" customFormat="false" ht="15" hidden="false" customHeight="true" outlineLevel="0" collapsed="false">
      <c r="A620" s="1" t="n">
        <v>100052</v>
      </c>
      <c r="B620" s="1" t="n">
        <v>50450</v>
      </c>
      <c r="C620" s="1" t="n">
        <v>7</v>
      </c>
      <c r="D620" s="1" t="n">
        <v>8</v>
      </c>
      <c r="E620" s="1" t="str">
        <f aca="false">VLOOKUP(C620,Меню!$A$2:$C$24,2,FALSE())</f>
        <v>Пицца Карбонара</v>
      </c>
      <c r="F620" s="1" t="n">
        <f aca="false">VLOOKUP(C620,Меню!$A$2:$C$24,3,FALSE())</f>
        <v>625</v>
      </c>
      <c r="G620" s="5" t="n">
        <f aca="false">VLOOKUP(B620,Заказы!$A$2:$E$2995,2,FALSE())</f>
        <v>44031</v>
      </c>
      <c r="H620" s="1" t="n">
        <f aca="false">VLOOKUP(B620,Заказы!$A$2:$E$2995,3,FALSE())</f>
        <v>1219</v>
      </c>
      <c r="I620" s="1" t="str">
        <f aca="false">VLOOKUP(H620,Клиенты!$A$2:$E$1995,5,FALSE())</f>
        <v>г. Красноуральск</v>
      </c>
      <c r="J620" s="1" t="n">
        <f aca="false">VLOOKUP(B620,Заказы!$A$2:$E$2995,4,FALSE())</f>
        <v>119</v>
      </c>
      <c r="K620" s="1" t="str">
        <f aca="false">VLOOKUP(B620,Заказы!$A$2:$E$2995,5,FALSE())</f>
        <v>Выполнено</v>
      </c>
      <c r="L620" s="1" t="n">
        <f aca="false">D620*F620+J620</f>
        <v>5119</v>
      </c>
      <c r="M620" s="1" t="n">
        <f aca="false">IF(AND(E620="Пицца Труслейка",I620="г. Москва",K620="Выполнено",G620&gt;=DATE(2020,7,1),G620&lt;DATE(2020,8,1)),L620,0)</f>
        <v>0</v>
      </c>
    </row>
    <row r="621" customFormat="false" ht="15" hidden="false" customHeight="true" outlineLevel="0" collapsed="false">
      <c r="A621" s="1" t="n">
        <v>101081</v>
      </c>
      <c r="B621" s="1" t="n">
        <v>50008</v>
      </c>
      <c r="C621" s="1" t="n">
        <v>4</v>
      </c>
      <c r="D621" s="1" t="n">
        <v>10</v>
      </c>
      <c r="E621" s="1" t="str">
        <f aca="false">VLOOKUP(C621,Меню!$A$2:$C$24,2,FALSE())</f>
        <v>Пицца Труслейка</v>
      </c>
      <c r="F621" s="1" t="n">
        <f aca="false">VLOOKUP(C621,Меню!$A$2:$C$24,3,FALSE())</f>
        <v>610</v>
      </c>
      <c r="G621" s="5" t="n">
        <f aca="false">VLOOKUP(B621,Заказы!$A$2:$E$2995,2,FALSE())</f>
        <v>44063</v>
      </c>
      <c r="H621" s="1" t="n">
        <f aca="false">VLOOKUP(B621,Заказы!$A$2:$E$2995,3,FALSE())</f>
        <v>1785</v>
      </c>
      <c r="I621" s="1" t="str">
        <f aca="false">VLOOKUP(H621,Клиенты!$A$2:$E$1995,5,FALSE())</f>
        <v>г. Камешково</v>
      </c>
      <c r="J621" s="1" t="n">
        <f aca="false">VLOOKUP(B621,Заказы!$A$2:$E$2995,4,FALSE())</f>
        <v>0</v>
      </c>
      <c r="K621" s="1" t="str">
        <f aca="false">VLOOKUP(B621,Заказы!$A$2:$E$2995,5,FALSE())</f>
        <v>Не выполнено</v>
      </c>
      <c r="L621" s="1" t="n">
        <f aca="false">D621*F621+J621</f>
        <v>6100</v>
      </c>
      <c r="M621" s="1" t="n">
        <f aca="false">IF(AND(E621="Пицца Труслейка",I621="г. Москва",K621="Выполнено",G621&gt;=DATE(2020,7,1),G621&lt;DATE(2020,8,1)),L621,0)</f>
        <v>0</v>
      </c>
    </row>
    <row r="622" customFormat="false" ht="15" hidden="false" customHeight="true" outlineLevel="0" collapsed="false">
      <c r="A622" s="1" t="n">
        <v>101198</v>
      </c>
      <c r="B622" s="1" t="n">
        <v>51268</v>
      </c>
      <c r="C622" s="1" t="n">
        <v>21</v>
      </c>
      <c r="D622" s="1" t="n">
        <v>10</v>
      </c>
      <c r="E622" s="1" t="str">
        <f aca="false">VLOOKUP(C622,Меню!$A$2:$C$24,2,FALSE())</f>
        <v>Пицца с креветками и цукини</v>
      </c>
      <c r="F622" s="1" t="n">
        <f aca="false">VLOOKUP(C622,Меню!$A$2:$C$24,3,FALSE())</f>
        <v>600</v>
      </c>
      <c r="G622" s="5" t="n">
        <f aca="false">VLOOKUP(B622,Заказы!$A$2:$E$2995,2,FALSE())</f>
        <v>43997</v>
      </c>
      <c r="H622" s="1" t="n">
        <f aca="false">VLOOKUP(B622,Заказы!$A$2:$E$2995,3,FALSE())</f>
        <v>1201</v>
      </c>
      <c r="I622" s="1" t="str">
        <f aca="false">VLOOKUP(H622,Клиенты!$A$2:$E$1995,5,FALSE())</f>
        <v>г. Ейск</v>
      </c>
      <c r="J622" s="1" t="n">
        <f aca="false">VLOOKUP(B622,Заказы!$A$2:$E$2995,4,FALSE())</f>
        <v>0</v>
      </c>
      <c r="K622" s="1" t="str">
        <f aca="false">VLOOKUP(B622,Заказы!$A$2:$E$2995,5,FALSE())</f>
        <v>Не выполнено</v>
      </c>
      <c r="L622" s="1" t="n">
        <f aca="false">D622*F622+J622</f>
        <v>6000</v>
      </c>
      <c r="M622" s="1" t="n">
        <f aca="false">IF(AND(E622="Пицца Труслейка",I622="г. Москва",K622="Выполнено",G622&gt;=DATE(2020,7,1),G622&lt;DATE(2020,8,1)),L622,0)</f>
        <v>0</v>
      </c>
    </row>
    <row r="623" customFormat="false" ht="15" hidden="false" customHeight="true" outlineLevel="0" collapsed="false">
      <c r="A623" s="1" t="n">
        <v>101934</v>
      </c>
      <c r="B623" s="1" t="n">
        <v>50812</v>
      </c>
      <c r="C623" s="1" t="n">
        <v>14</v>
      </c>
      <c r="D623" s="1" t="n">
        <v>8</v>
      </c>
      <c r="E623" s="1" t="str">
        <f aca="false">VLOOKUP(C623,Меню!$A$2:$C$24,2,FALSE())</f>
        <v>Пицца Сырный цыпленок</v>
      </c>
      <c r="F623" s="1" t="n">
        <f aca="false">VLOOKUP(C623,Меню!$A$2:$C$24,3,FALSE())</f>
        <v>555</v>
      </c>
      <c r="G623" s="5" t="n">
        <f aca="false">VLOOKUP(B623,Заказы!$A$2:$E$2995,2,FALSE())</f>
        <v>44040</v>
      </c>
      <c r="H623" s="1" t="n">
        <f aca="false">VLOOKUP(B623,Заказы!$A$2:$E$2995,3,FALSE())</f>
        <v>354</v>
      </c>
      <c r="I623" s="1" t="str">
        <f aca="false">VLOOKUP(H623,Клиенты!$A$2:$E$1995,5,FALSE())</f>
        <v>г. Котово</v>
      </c>
      <c r="J623" s="1" t="n">
        <f aca="false">VLOOKUP(B623,Заказы!$A$2:$E$2995,4,FALSE())</f>
        <v>0</v>
      </c>
      <c r="K623" s="1" t="str">
        <f aca="false">VLOOKUP(B623,Заказы!$A$2:$E$2995,5,FALSE())</f>
        <v>Не выполнено</v>
      </c>
      <c r="L623" s="1" t="n">
        <f aca="false">D623*F623+J623</f>
        <v>4440</v>
      </c>
      <c r="M623" s="1" t="n">
        <f aca="false">IF(AND(E623="Пицца Труслейка",I623="г. Москва",K623="Выполнено",G623&gt;=DATE(2020,7,1),G623&lt;DATE(2020,8,1)),L623,0)</f>
        <v>0</v>
      </c>
    </row>
    <row r="624" customFormat="false" ht="15" hidden="false" customHeight="true" outlineLevel="0" collapsed="false">
      <c r="A624" s="1" t="n">
        <v>100805</v>
      </c>
      <c r="B624" s="1" t="n">
        <v>50995</v>
      </c>
      <c r="C624" s="1" t="n">
        <v>9</v>
      </c>
      <c r="D624" s="1" t="n">
        <v>3</v>
      </c>
      <c r="E624" s="1" t="str">
        <f aca="false">VLOOKUP(C624,Меню!$A$2:$C$24,2,FALSE())</f>
        <v>Пицца Острая с беконом</v>
      </c>
      <c r="F624" s="1" t="n">
        <f aca="false">VLOOKUP(C624,Меню!$A$2:$C$24,3,FALSE())</f>
        <v>540</v>
      </c>
      <c r="G624" s="5" t="n">
        <f aca="false">VLOOKUP(B624,Заказы!$A$2:$E$2995,2,FALSE())</f>
        <v>44056</v>
      </c>
      <c r="H624" s="1" t="n">
        <f aca="false">VLOOKUP(B624,Заказы!$A$2:$E$2995,3,FALSE())</f>
        <v>1038</v>
      </c>
      <c r="I624" s="1" t="str">
        <f aca="false">VLOOKUP(H624,Клиенты!$A$2:$E$1995,5,FALSE())</f>
        <v>г. Вязьма</v>
      </c>
      <c r="J624" s="1" t="n">
        <f aca="false">VLOOKUP(B624,Заказы!$A$2:$E$2995,4,FALSE())</f>
        <v>0</v>
      </c>
      <c r="K624" s="1" t="str">
        <f aca="false">VLOOKUP(B624,Заказы!$A$2:$E$2995,5,FALSE())</f>
        <v>Не выполнено</v>
      </c>
      <c r="L624" s="1" t="n">
        <f aca="false">D624*F624+J624</f>
        <v>1620</v>
      </c>
      <c r="M624" s="1" t="n">
        <f aca="false">IF(AND(E624="Пицца Труслейка",I624="г. Москва",K624="Выполнено",G624&gt;=DATE(2020,7,1),G624&lt;DATE(2020,8,1)),L624,0)</f>
        <v>0</v>
      </c>
    </row>
    <row r="625" customFormat="false" ht="15" hidden="false" customHeight="true" outlineLevel="0" collapsed="false">
      <c r="A625" s="1" t="n">
        <v>101733</v>
      </c>
      <c r="B625" s="1" t="n">
        <v>51519</v>
      </c>
      <c r="C625" s="1" t="n">
        <v>8</v>
      </c>
      <c r="D625" s="1" t="n">
        <v>4</v>
      </c>
      <c r="E625" s="1" t="str">
        <f aca="false">VLOOKUP(C625,Меню!$A$2:$C$24,2,FALSE())</f>
        <v>Пицца Мясная</v>
      </c>
      <c r="F625" s="1" t="n">
        <f aca="false">VLOOKUP(C625,Меню!$A$2:$C$24,3,FALSE())</f>
        <v>615</v>
      </c>
      <c r="G625" s="5" t="n">
        <f aca="false">VLOOKUP(B625,Заказы!$A$2:$E$2995,2,FALSE())</f>
        <v>44062</v>
      </c>
      <c r="H625" s="1" t="n">
        <f aca="false">VLOOKUP(B625,Заказы!$A$2:$E$2995,3,FALSE())</f>
        <v>854</v>
      </c>
      <c r="I625" s="1" t="str">
        <f aca="false">VLOOKUP(H625,Клиенты!$A$2:$E$1995,5,FALSE())</f>
        <v>г. Волгоград</v>
      </c>
      <c r="J625" s="1" t="n">
        <f aca="false">VLOOKUP(B625,Заказы!$A$2:$E$2995,4,FALSE())</f>
        <v>109</v>
      </c>
      <c r="K625" s="1" t="str">
        <f aca="false">VLOOKUP(B625,Заказы!$A$2:$E$2995,5,FALSE())</f>
        <v>Выполнено</v>
      </c>
      <c r="L625" s="1" t="n">
        <f aca="false">D625*F625+J625</f>
        <v>2569</v>
      </c>
      <c r="M625" s="1" t="n">
        <f aca="false">IF(AND(E625="Пицца Труслейка",I625="г. Москва",K625="Выполнено",G625&gt;=DATE(2020,7,1),G625&lt;DATE(2020,8,1)),L625,0)</f>
        <v>0</v>
      </c>
    </row>
    <row r="626" customFormat="false" ht="15" hidden="false" customHeight="true" outlineLevel="0" collapsed="false">
      <c r="A626" s="1" t="n">
        <v>100260</v>
      </c>
      <c r="B626" s="1" t="n">
        <v>51424</v>
      </c>
      <c r="C626" s="1" t="n">
        <v>23</v>
      </c>
      <c r="D626" s="1" t="n">
        <v>9</v>
      </c>
      <c r="E626" s="1" t="str">
        <f aca="false">VLOOKUP(C626,Меню!$A$2:$C$24,2,FALSE())</f>
        <v>Пицца с тунцом</v>
      </c>
      <c r="F626" s="1" t="n">
        <f aca="false">VLOOKUP(C626,Меню!$A$2:$C$24,3,FALSE())</f>
        <v>520</v>
      </c>
      <c r="G626" s="5" t="n">
        <f aca="false">VLOOKUP(B626,Заказы!$A$2:$E$2995,2,FALSE())</f>
        <v>44001</v>
      </c>
      <c r="H626" s="1" t="n">
        <f aca="false">VLOOKUP(B626,Заказы!$A$2:$E$2995,3,FALSE())</f>
        <v>1164</v>
      </c>
      <c r="I626" s="1" t="str">
        <f aca="false">VLOOKUP(H626,Клиенты!$A$2:$E$1995,5,FALSE())</f>
        <v>г. Кинель</v>
      </c>
      <c r="J626" s="1" t="n">
        <f aca="false">VLOOKUP(B626,Заказы!$A$2:$E$2995,4,FALSE())</f>
        <v>0</v>
      </c>
      <c r="K626" s="1" t="str">
        <f aca="false">VLOOKUP(B626,Заказы!$A$2:$E$2995,5,FALSE())</f>
        <v>Не выполнено</v>
      </c>
      <c r="L626" s="1" t="n">
        <f aca="false">D626*F626+J626</f>
        <v>4680</v>
      </c>
      <c r="M626" s="1" t="n">
        <f aca="false">IF(AND(E626="Пицца Труслейка",I626="г. Москва",K626="Выполнено",G626&gt;=DATE(2020,7,1),G626&lt;DATE(2020,8,1)),L626,0)</f>
        <v>0</v>
      </c>
    </row>
    <row r="627" customFormat="false" ht="15" hidden="false" customHeight="true" outlineLevel="0" collapsed="false">
      <c r="A627" s="1" t="n">
        <v>101136</v>
      </c>
      <c r="B627" s="1" t="n">
        <v>50141</v>
      </c>
      <c r="C627" s="1" t="n">
        <v>3</v>
      </c>
      <c r="D627" s="1" t="n">
        <v>8</v>
      </c>
      <c r="E627" s="1" t="str">
        <f aca="false">VLOOKUP(C627,Меню!$A$2:$C$24,2,FALSE())</f>
        <v>Пицца Диабло</v>
      </c>
      <c r="F627" s="1" t="n">
        <f aca="false">VLOOKUP(C627,Меню!$A$2:$C$24,3,FALSE())</f>
        <v>590</v>
      </c>
      <c r="G627" s="5" t="n">
        <f aca="false">VLOOKUP(B627,Заказы!$A$2:$E$2995,2,FALSE())</f>
        <v>44024</v>
      </c>
      <c r="H627" s="1" t="n">
        <f aca="false">VLOOKUP(B627,Заказы!$A$2:$E$2995,3,FALSE())</f>
        <v>370</v>
      </c>
      <c r="I627" s="1" t="str">
        <f aca="false">VLOOKUP(H627,Клиенты!$A$2:$E$1995,5,FALSE())</f>
        <v>г. Москва</v>
      </c>
      <c r="J627" s="1" t="n">
        <f aca="false">VLOOKUP(B627,Заказы!$A$2:$E$2995,4,FALSE())</f>
        <v>0</v>
      </c>
      <c r="K627" s="1" t="str">
        <f aca="false">VLOOKUP(B627,Заказы!$A$2:$E$2995,5,FALSE())</f>
        <v>Не выполнено</v>
      </c>
      <c r="L627" s="1" t="n">
        <f aca="false">D627*F627+J627</f>
        <v>4720</v>
      </c>
      <c r="M627" s="1" t="n">
        <f aca="false">IF(AND(E627="Пицца Труслейка",I627="г. Москва",K627="Выполнено",G627&gt;=DATE(2020,7,1),G627&lt;DATE(2020,8,1)),L627,0)</f>
        <v>0</v>
      </c>
    </row>
    <row r="628" customFormat="false" ht="15" hidden="false" customHeight="true" outlineLevel="0" collapsed="false">
      <c r="A628" s="1" t="n">
        <v>101101</v>
      </c>
      <c r="B628" s="1" t="n">
        <v>50977</v>
      </c>
      <c r="C628" s="1" t="n">
        <v>8</v>
      </c>
      <c r="D628" s="1" t="n">
        <v>4</v>
      </c>
      <c r="E628" s="1" t="str">
        <f aca="false">VLOOKUP(C628,Меню!$A$2:$C$24,2,FALSE())</f>
        <v>Пицца Мясная</v>
      </c>
      <c r="F628" s="1" t="n">
        <f aca="false">VLOOKUP(C628,Меню!$A$2:$C$24,3,FALSE())</f>
        <v>615</v>
      </c>
      <c r="G628" s="5" t="n">
        <f aca="false">VLOOKUP(B628,Заказы!$A$2:$E$2995,2,FALSE())</f>
        <v>44040</v>
      </c>
      <c r="H628" s="1" t="n">
        <f aca="false">VLOOKUP(B628,Заказы!$A$2:$E$2995,3,FALSE())</f>
        <v>1567</v>
      </c>
      <c r="I628" s="1" t="str">
        <f aca="false">VLOOKUP(H628,Клиенты!$A$2:$E$1995,5,FALSE())</f>
        <v>г. Тарко-Сале</v>
      </c>
      <c r="J628" s="1" t="n">
        <f aca="false">VLOOKUP(B628,Заказы!$A$2:$E$2995,4,FALSE())</f>
        <v>249</v>
      </c>
      <c r="K628" s="1" t="str">
        <f aca="false">VLOOKUP(B628,Заказы!$A$2:$E$2995,5,FALSE())</f>
        <v>Выполнено</v>
      </c>
      <c r="L628" s="1" t="n">
        <f aca="false">D628*F628+J628</f>
        <v>2709</v>
      </c>
      <c r="M628" s="1" t="n">
        <f aca="false">IF(AND(E628="Пицца Труслейка",I628="г. Москва",K628="Выполнено",G628&gt;=DATE(2020,7,1),G628&lt;DATE(2020,8,1)),L628,0)</f>
        <v>0</v>
      </c>
    </row>
    <row r="629" customFormat="false" ht="15" hidden="false" customHeight="true" outlineLevel="0" collapsed="false">
      <c r="A629" s="1" t="n">
        <v>101810</v>
      </c>
      <c r="B629" s="1" t="n">
        <v>50390</v>
      </c>
      <c r="C629" s="1" t="n">
        <v>13</v>
      </c>
      <c r="D629" s="1" t="n">
        <v>4</v>
      </c>
      <c r="E629" s="1" t="str">
        <f aca="false">VLOOKUP(C629,Меню!$A$2:$C$24,2,FALSE())</f>
        <v>Пицца Сырная</v>
      </c>
      <c r="F629" s="1" t="n">
        <f aca="false">VLOOKUP(C629,Меню!$A$2:$C$24,3,FALSE())</f>
        <v>635</v>
      </c>
      <c r="G629" s="5" t="n">
        <f aca="false">VLOOKUP(B629,Заказы!$A$2:$E$2995,2,FALSE())</f>
        <v>44037</v>
      </c>
      <c r="H629" s="1" t="n">
        <f aca="false">VLOOKUP(B629,Заказы!$A$2:$E$2995,3,FALSE())</f>
        <v>1810</v>
      </c>
      <c r="I629" s="1" t="str">
        <f aca="false">VLOOKUP(H629,Клиенты!$A$2:$E$1995,5,FALSE())</f>
        <v>г. Москва</v>
      </c>
      <c r="J629" s="1" t="n">
        <f aca="false">VLOOKUP(B629,Заказы!$A$2:$E$2995,4,FALSE())</f>
        <v>481</v>
      </c>
      <c r="K629" s="1" t="str">
        <f aca="false">VLOOKUP(B629,Заказы!$A$2:$E$2995,5,FALSE())</f>
        <v>Выполнено</v>
      </c>
      <c r="L629" s="1" t="n">
        <f aca="false">D629*F629+J629</f>
        <v>3021</v>
      </c>
      <c r="M629" s="1" t="n">
        <f aca="false">IF(AND(E629="Пицца Труслейка",I629="г. Москва",K629="Выполнено",G629&gt;=DATE(2020,7,1),G629&lt;DATE(2020,8,1)),L629,0)</f>
        <v>0</v>
      </c>
    </row>
    <row r="630" customFormat="false" ht="15" hidden="false" customHeight="true" outlineLevel="0" collapsed="false">
      <c r="A630" s="1" t="n">
        <v>100937</v>
      </c>
      <c r="B630" s="1" t="n">
        <v>51369</v>
      </c>
      <c r="C630" s="1" t="n">
        <v>5</v>
      </c>
      <c r="D630" s="1" t="n">
        <v>5</v>
      </c>
      <c r="E630" s="1" t="str">
        <f aca="false">VLOOKUP(C630,Меню!$A$2:$C$24,2,FALSE())</f>
        <v>Пицца Жюльен</v>
      </c>
      <c r="F630" s="1" t="n">
        <f aca="false">VLOOKUP(C630,Меню!$A$2:$C$24,3,FALSE())</f>
        <v>580</v>
      </c>
      <c r="G630" s="5" t="n">
        <f aca="false">VLOOKUP(B630,Заказы!$A$2:$E$2995,2,FALSE())</f>
        <v>43987</v>
      </c>
      <c r="H630" s="1" t="n">
        <f aca="false">VLOOKUP(B630,Заказы!$A$2:$E$2995,3,FALSE())</f>
        <v>1267</v>
      </c>
      <c r="I630" s="1" t="str">
        <f aca="false">VLOOKUP(H630,Клиенты!$A$2:$E$1995,5,FALSE())</f>
        <v>г. Красноуральск</v>
      </c>
      <c r="J630" s="1" t="n">
        <f aca="false">VLOOKUP(B630,Заказы!$A$2:$E$2995,4,FALSE())</f>
        <v>0</v>
      </c>
      <c r="K630" s="1" t="str">
        <f aca="false">VLOOKUP(B630,Заказы!$A$2:$E$2995,5,FALSE())</f>
        <v>Не выполнено</v>
      </c>
      <c r="L630" s="1" t="n">
        <f aca="false">D630*F630+J630</f>
        <v>2900</v>
      </c>
      <c r="M630" s="1" t="n">
        <f aca="false">IF(AND(E630="Пицца Труслейка",I630="г. Москва",K630="Выполнено",G630&gt;=DATE(2020,7,1),G630&lt;DATE(2020,8,1)),L630,0)</f>
        <v>0</v>
      </c>
    </row>
    <row r="631" customFormat="false" ht="15" hidden="false" customHeight="true" outlineLevel="0" collapsed="false">
      <c r="A631" s="1" t="n">
        <v>100906</v>
      </c>
      <c r="B631" s="1" t="n">
        <v>50813</v>
      </c>
      <c r="C631" s="1" t="n">
        <v>4</v>
      </c>
      <c r="D631" s="1" t="n">
        <v>2</v>
      </c>
      <c r="E631" s="1" t="str">
        <f aca="false">VLOOKUP(C631,Меню!$A$2:$C$24,2,FALSE())</f>
        <v>Пицца Труслейка</v>
      </c>
      <c r="F631" s="1" t="n">
        <f aca="false">VLOOKUP(C631,Меню!$A$2:$C$24,3,FALSE())</f>
        <v>610</v>
      </c>
      <c r="G631" s="5" t="n">
        <f aca="false">VLOOKUP(B631,Заказы!$A$2:$E$2995,2,FALSE())</f>
        <v>44007</v>
      </c>
      <c r="H631" s="1" t="n">
        <f aca="false">VLOOKUP(B631,Заказы!$A$2:$E$2995,3,FALSE())</f>
        <v>929</v>
      </c>
      <c r="I631" s="1" t="str">
        <f aca="false">VLOOKUP(H631,Клиенты!$A$2:$E$1995,5,FALSE())</f>
        <v>г. Арск</v>
      </c>
      <c r="J631" s="1" t="n">
        <f aca="false">VLOOKUP(B631,Заказы!$A$2:$E$2995,4,FALSE())</f>
        <v>453</v>
      </c>
      <c r="K631" s="1" t="str">
        <f aca="false">VLOOKUP(B631,Заказы!$A$2:$E$2995,5,FALSE())</f>
        <v>Выполнено</v>
      </c>
      <c r="L631" s="1" t="n">
        <f aca="false">D631*F631+J631</f>
        <v>1673</v>
      </c>
      <c r="M631" s="1" t="n">
        <f aca="false">IF(AND(E631="Пицца Труслейка",I631="г. Москва",K631="Выполнено",G631&gt;=DATE(2020,7,1),G631&lt;DATE(2020,8,1)),L631,0)</f>
        <v>0</v>
      </c>
    </row>
    <row r="632" customFormat="false" ht="15" hidden="false" customHeight="true" outlineLevel="0" collapsed="false">
      <c r="A632" s="1" t="n">
        <v>100983</v>
      </c>
      <c r="B632" s="1" t="n">
        <v>50094</v>
      </c>
      <c r="C632" s="1" t="n">
        <v>1</v>
      </c>
      <c r="D632" s="1" t="n">
        <v>5</v>
      </c>
      <c r="E632" s="1" t="str">
        <f aca="false">VLOOKUP(C632,Меню!$A$2:$C$24,2,FALSE())</f>
        <v>Пицца Гавайская</v>
      </c>
      <c r="F632" s="1" t="n">
        <f aca="false">VLOOKUP(C632,Меню!$A$2:$C$24,3,FALSE())</f>
        <v>545</v>
      </c>
      <c r="G632" s="5" t="n">
        <f aca="false">VLOOKUP(B632,Заказы!$A$2:$E$2995,2,FALSE())</f>
        <v>44049</v>
      </c>
      <c r="H632" s="1" t="n">
        <f aca="false">VLOOKUP(B632,Заказы!$A$2:$E$2995,3,FALSE())</f>
        <v>1773</v>
      </c>
      <c r="I632" s="1" t="str">
        <f aca="false">VLOOKUP(H632,Клиенты!$A$2:$E$1995,5,FALSE())</f>
        <v>г. Юрга</v>
      </c>
      <c r="J632" s="1" t="n">
        <f aca="false">VLOOKUP(B632,Заказы!$A$2:$E$2995,4,FALSE())</f>
        <v>0</v>
      </c>
      <c r="K632" s="1" t="str">
        <f aca="false">VLOOKUP(B632,Заказы!$A$2:$E$2995,5,FALSE())</f>
        <v>Не выполнено</v>
      </c>
      <c r="L632" s="1" t="n">
        <f aca="false">D632*F632+J632</f>
        <v>2725</v>
      </c>
      <c r="M632" s="1" t="n">
        <f aca="false">IF(AND(E632="Пицца Труслейка",I632="г. Москва",K632="Выполнено",G632&gt;=DATE(2020,7,1),G632&lt;DATE(2020,8,1)),L632,0)</f>
        <v>0</v>
      </c>
    </row>
    <row r="633" customFormat="false" ht="15" hidden="false" customHeight="true" outlineLevel="0" collapsed="false">
      <c r="A633" s="1" t="n">
        <v>101900</v>
      </c>
      <c r="B633" s="1" t="n">
        <v>50405</v>
      </c>
      <c r="C633" s="1" t="n">
        <v>14</v>
      </c>
      <c r="D633" s="1" t="n">
        <v>7</v>
      </c>
      <c r="E633" s="1" t="str">
        <f aca="false">VLOOKUP(C633,Меню!$A$2:$C$24,2,FALSE())</f>
        <v>Пицца Сырный цыпленок</v>
      </c>
      <c r="F633" s="1" t="n">
        <f aca="false">VLOOKUP(C633,Меню!$A$2:$C$24,3,FALSE())</f>
        <v>555</v>
      </c>
      <c r="G633" s="5" t="n">
        <f aca="false">VLOOKUP(B633,Заказы!$A$2:$E$2995,2,FALSE())</f>
        <v>44013</v>
      </c>
      <c r="H633" s="1" t="n">
        <f aca="false">VLOOKUP(B633,Заказы!$A$2:$E$2995,3,FALSE())</f>
        <v>1618</v>
      </c>
      <c r="I633" s="1" t="str">
        <f aca="false">VLOOKUP(H633,Клиенты!$A$2:$E$1995,5,FALSE())</f>
        <v>г. Цимлянск</v>
      </c>
      <c r="J633" s="1" t="n">
        <f aca="false">VLOOKUP(B633,Заказы!$A$2:$E$2995,4,FALSE())</f>
        <v>160</v>
      </c>
      <c r="K633" s="1" t="str">
        <f aca="false">VLOOKUP(B633,Заказы!$A$2:$E$2995,5,FALSE())</f>
        <v>Выполнено</v>
      </c>
      <c r="L633" s="1" t="n">
        <f aca="false">D633*F633+J633</f>
        <v>4045</v>
      </c>
      <c r="M633" s="1" t="n">
        <f aca="false">IF(AND(E633="Пицца Труслейка",I633="г. Москва",K633="Выполнено",G633&gt;=DATE(2020,7,1),G633&lt;DATE(2020,8,1)),L633,0)</f>
        <v>0</v>
      </c>
    </row>
    <row r="634" customFormat="false" ht="15" hidden="false" customHeight="true" outlineLevel="0" collapsed="false">
      <c r="A634" s="1" t="n">
        <v>101811</v>
      </c>
      <c r="B634" s="1" t="n">
        <v>51071</v>
      </c>
      <c r="C634" s="1" t="n">
        <v>12</v>
      </c>
      <c r="D634" s="1" t="n">
        <v>4</v>
      </c>
      <c r="E634" s="1" t="str">
        <f aca="false">VLOOKUP(C634,Меню!$A$2:$C$24,2,FALSE())</f>
        <v>Пицца Салями с трюфелем</v>
      </c>
      <c r="F634" s="1" t="n">
        <f aca="false">VLOOKUP(C634,Меню!$A$2:$C$24,3,FALSE())</f>
        <v>525</v>
      </c>
      <c r="G634" s="5" t="n">
        <f aca="false">VLOOKUP(B634,Заказы!$A$2:$E$2995,2,FALSE())</f>
        <v>44055</v>
      </c>
      <c r="H634" s="1" t="n">
        <f aca="false">VLOOKUP(B634,Заказы!$A$2:$E$2995,3,FALSE())</f>
        <v>374</v>
      </c>
      <c r="I634" s="1" t="str">
        <f aca="false">VLOOKUP(H634,Клиенты!$A$2:$E$1995,5,FALSE())</f>
        <v>г. Кимры</v>
      </c>
      <c r="J634" s="1" t="n">
        <f aca="false">VLOOKUP(B634,Заказы!$A$2:$E$2995,4,FALSE())</f>
        <v>746</v>
      </c>
      <c r="K634" s="1" t="str">
        <f aca="false">VLOOKUP(B634,Заказы!$A$2:$E$2995,5,FALSE())</f>
        <v>Выполнено</v>
      </c>
      <c r="L634" s="1" t="n">
        <f aca="false">D634*F634+J634</f>
        <v>2846</v>
      </c>
      <c r="M634" s="1" t="n">
        <f aca="false">IF(AND(E634="Пицца Труслейка",I634="г. Москва",K634="Выполнено",G634&gt;=DATE(2020,7,1),G634&lt;DATE(2020,8,1)),L634,0)</f>
        <v>0</v>
      </c>
    </row>
    <row r="635" customFormat="false" ht="15" hidden="false" customHeight="true" outlineLevel="0" collapsed="false">
      <c r="A635" s="1" t="n">
        <v>101473</v>
      </c>
      <c r="B635" s="1" t="n">
        <v>51637</v>
      </c>
      <c r="C635" s="1" t="n">
        <v>10</v>
      </c>
      <c r="D635" s="1" t="n">
        <v>4</v>
      </c>
      <c r="E635" s="1" t="str">
        <f aca="false">VLOOKUP(C635,Меню!$A$2:$C$24,2,FALSE())</f>
        <v>Пицца Пепперони фреш</v>
      </c>
      <c r="F635" s="1" t="n">
        <f aca="false">VLOOKUP(C635,Меню!$A$2:$C$24,3,FALSE())</f>
        <v>565</v>
      </c>
      <c r="G635" s="5" t="n">
        <f aca="false">VLOOKUP(B635,Заказы!$A$2:$E$2995,2,FALSE())</f>
        <v>44068</v>
      </c>
      <c r="H635" s="1" t="n">
        <f aca="false">VLOOKUP(B635,Заказы!$A$2:$E$2995,3,FALSE())</f>
        <v>869</v>
      </c>
      <c r="I635" s="1" t="str">
        <f aca="false">VLOOKUP(H635,Клиенты!$A$2:$E$1995,5,FALSE())</f>
        <v>г. Долинск</v>
      </c>
      <c r="J635" s="1" t="n">
        <f aca="false">VLOOKUP(B635,Заказы!$A$2:$E$2995,4,FALSE())</f>
        <v>0</v>
      </c>
      <c r="K635" s="1" t="str">
        <f aca="false">VLOOKUP(B635,Заказы!$A$2:$E$2995,5,FALSE())</f>
        <v>Не выполнено</v>
      </c>
      <c r="L635" s="1" t="n">
        <f aca="false">D635*F635+J635</f>
        <v>2260</v>
      </c>
      <c r="M635" s="1" t="n">
        <f aca="false">IF(AND(E635="Пицца Труслейка",I635="г. Москва",K635="Выполнено",G635&gt;=DATE(2020,7,1),G635&lt;DATE(2020,8,1)),L635,0)</f>
        <v>0</v>
      </c>
    </row>
    <row r="636" customFormat="false" ht="15" hidden="false" customHeight="true" outlineLevel="0" collapsed="false">
      <c r="A636" s="1" t="n">
        <v>101641</v>
      </c>
      <c r="B636" s="1" t="n">
        <v>50100</v>
      </c>
      <c r="C636" s="1" t="n">
        <v>9</v>
      </c>
      <c r="D636" s="1" t="n">
        <v>9</v>
      </c>
      <c r="E636" s="1" t="str">
        <f aca="false">VLOOKUP(C636,Меню!$A$2:$C$24,2,FALSE())</f>
        <v>Пицца Острая с беконом</v>
      </c>
      <c r="F636" s="1" t="n">
        <f aca="false">VLOOKUP(C636,Меню!$A$2:$C$24,3,FALSE())</f>
        <v>540</v>
      </c>
      <c r="G636" s="5" t="n">
        <f aca="false">VLOOKUP(B636,Заказы!$A$2:$E$2995,2,FALSE())</f>
        <v>44013</v>
      </c>
      <c r="H636" s="1" t="n">
        <f aca="false">VLOOKUP(B636,Заказы!$A$2:$E$2995,3,FALSE())</f>
        <v>111</v>
      </c>
      <c r="I636" s="1" t="str">
        <f aca="false">VLOOKUP(H636,Клиенты!$A$2:$E$1995,5,FALSE())</f>
        <v>г. Тотьма</v>
      </c>
      <c r="J636" s="1" t="n">
        <f aca="false">VLOOKUP(B636,Заказы!$A$2:$E$2995,4,FALSE())</f>
        <v>0</v>
      </c>
      <c r="K636" s="1" t="str">
        <f aca="false">VLOOKUP(B636,Заказы!$A$2:$E$2995,5,FALSE())</f>
        <v>Не выполнено</v>
      </c>
      <c r="L636" s="1" t="n">
        <f aca="false">D636*F636+J636</f>
        <v>4860</v>
      </c>
      <c r="M636" s="1" t="n">
        <f aca="false">IF(AND(E636="Пицца Труслейка",I636="г. Москва",K636="Выполнено",G636&gt;=DATE(2020,7,1),G636&lt;DATE(2020,8,1)),L636,0)</f>
        <v>0</v>
      </c>
    </row>
    <row r="637" customFormat="false" ht="15" hidden="false" customHeight="true" outlineLevel="0" collapsed="false">
      <c r="A637" s="1" t="n">
        <v>101636</v>
      </c>
      <c r="B637" s="1" t="n">
        <v>51038</v>
      </c>
      <c r="C637" s="1" t="n">
        <v>3</v>
      </c>
      <c r="D637" s="1" t="n">
        <v>5</v>
      </c>
      <c r="E637" s="1" t="str">
        <f aca="false">VLOOKUP(C637,Меню!$A$2:$C$24,2,FALSE())</f>
        <v>Пицца Диабло</v>
      </c>
      <c r="F637" s="1" t="n">
        <f aca="false">VLOOKUP(C637,Меню!$A$2:$C$24,3,FALSE())</f>
        <v>590</v>
      </c>
      <c r="G637" s="5" t="n">
        <f aca="false">VLOOKUP(B637,Заказы!$A$2:$E$2995,2,FALSE())</f>
        <v>44016</v>
      </c>
      <c r="H637" s="1" t="n">
        <f aca="false">VLOOKUP(B637,Заказы!$A$2:$E$2995,3,FALSE())</f>
        <v>314</v>
      </c>
      <c r="I637" s="1" t="str">
        <f aca="false">VLOOKUP(H637,Клиенты!$A$2:$E$1995,5,FALSE())</f>
        <v>г. Луховицы</v>
      </c>
      <c r="J637" s="1" t="n">
        <f aca="false">VLOOKUP(B637,Заказы!$A$2:$E$2995,4,FALSE())</f>
        <v>226</v>
      </c>
      <c r="K637" s="1" t="str">
        <f aca="false">VLOOKUP(B637,Заказы!$A$2:$E$2995,5,FALSE())</f>
        <v>Выполнено</v>
      </c>
      <c r="L637" s="1" t="n">
        <f aca="false">D637*F637+J637</f>
        <v>3176</v>
      </c>
      <c r="M637" s="1" t="n">
        <f aca="false">IF(AND(E637="Пицца Труслейка",I637="г. Москва",K637="Выполнено",G637&gt;=DATE(2020,7,1),G637&lt;DATE(2020,8,1)),L637,0)</f>
        <v>0</v>
      </c>
    </row>
    <row r="638" customFormat="false" ht="15" hidden="false" customHeight="true" outlineLevel="0" collapsed="false">
      <c r="A638" s="1" t="n">
        <v>100485</v>
      </c>
      <c r="B638" s="1" t="n">
        <v>51983</v>
      </c>
      <c r="C638" s="1" t="n">
        <v>5</v>
      </c>
      <c r="D638" s="1" t="n">
        <v>7</v>
      </c>
      <c r="E638" s="1" t="str">
        <f aca="false">VLOOKUP(C638,Меню!$A$2:$C$24,2,FALSE())</f>
        <v>Пицца Жюльен</v>
      </c>
      <c r="F638" s="1" t="n">
        <f aca="false">VLOOKUP(C638,Меню!$A$2:$C$24,3,FALSE())</f>
        <v>580</v>
      </c>
      <c r="G638" s="5" t="n">
        <f aca="false">VLOOKUP(B638,Заказы!$A$2:$E$2995,2,FALSE())</f>
        <v>44023</v>
      </c>
      <c r="H638" s="1" t="n">
        <f aca="false">VLOOKUP(B638,Заказы!$A$2:$E$2995,3,FALSE())</f>
        <v>200</v>
      </c>
      <c r="I638" s="1" t="str">
        <f aca="false">VLOOKUP(H638,Клиенты!$A$2:$E$1995,5,FALSE())</f>
        <v>г. Москва</v>
      </c>
      <c r="J638" s="1" t="n">
        <f aca="false">VLOOKUP(B638,Заказы!$A$2:$E$2995,4,FALSE())</f>
        <v>117</v>
      </c>
      <c r="K638" s="1" t="str">
        <f aca="false">VLOOKUP(B638,Заказы!$A$2:$E$2995,5,FALSE())</f>
        <v>Выполнено</v>
      </c>
      <c r="L638" s="1" t="n">
        <f aca="false">D638*F638+J638</f>
        <v>4177</v>
      </c>
      <c r="M638" s="1" t="n">
        <f aca="false">IF(AND(E638="Пицца Труслейка",I638="г. Москва",K638="Выполнено",G638&gt;=DATE(2020,7,1),G638&lt;DATE(2020,8,1)),L638,0)</f>
        <v>0</v>
      </c>
    </row>
    <row r="639" customFormat="false" ht="15" hidden="false" customHeight="true" outlineLevel="0" collapsed="false">
      <c r="A639" s="1" t="n">
        <v>101084</v>
      </c>
      <c r="B639" s="1" t="n">
        <v>50339</v>
      </c>
      <c r="C639" s="1" t="n">
        <v>21</v>
      </c>
      <c r="D639" s="1" t="n">
        <v>7</v>
      </c>
      <c r="E639" s="1" t="str">
        <f aca="false">VLOOKUP(C639,Меню!$A$2:$C$24,2,FALSE())</f>
        <v>Пицца с креветками и цукини</v>
      </c>
      <c r="F639" s="1" t="n">
        <f aca="false">VLOOKUP(C639,Меню!$A$2:$C$24,3,FALSE())</f>
        <v>600</v>
      </c>
      <c r="G639" s="5" t="n">
        <f aca="false">VLOOKUP(B639,Заказы!$A$2:$E$2995,2,FALSE())</f>
        <v>44043</v>
      </c>
      <c r="H639" s="1" t="n">
        <f aca="false">VLOOKUP(B639,Заказы!$A$2:$E$2995,3,FALSE())</f>
        <v>1742</v>
      </c>
      <c r="I639" s="1" t="str">
        <f aca="false">VLOOKUP(H639,Клиенты!$A$2:$E$1995,5,FALSE())</f>
        <v>г. Люберцы</v>
      </c>
      <c r="J639" s="1" t="n">
        <f aca="false">VLOOKUP(B639,Заказы!$A$2:$E$2995,4,FALSE())</f>
        <v>0</v>
      </c>
      <c r="K639" s="1" t="str">
        <f aca="false">VLOOKUP(B639,Заказы!$A$2:$E$2995,5,FALSE())</f>
        <v>Не выполнено</v>
      </c>
      <c r="L639" s="1" t="n">
        <f aca="false">D639*F639+J639</f>
        <v>4200</v>
      </c>
      <c r="M639" s="1" t="n">
        <f aca="false">IF(AND(E639="Пицца Труслейка",I639="г. Москва",K639="Выполнено",G639&gt;=DATE(2020,7,1),G639&lt;DATE(2020,8,1)),L639,0)</f>
        <v>0</v>
      </c>
    </row>
    <row r="640" customFormat="false" ht="15" hidden="false" customHeight="true" outlineLevel="0" collapsed="false">
      <c r="A640" s="1" t="n">
        <v>100427</v>
      </c>
      <c r="B640" s="1" t="n">
        <v>50251</v>
      </c>
      <c r="C640" s="1" t="n">
        <v>12</v>
      </c>
      <c r="D640" s="1" t="n">
        <v>5</v>
      </c>
      <c r="E640" s="1" t="str">
        <f aca="false">VLOOKUP(C640,Меню!$A$2:$C$24,2,FALSE())</f>
        <v>Пицца Салями с трюфелем</v>
      </c>
      <c r="F640" s="1" t="n">
        <f aca="false">VLOOKUP(C640,Меню!$A$2:$C$24,3,FALSE())</f>
        <v>525</v>
      </c>
      <c r="G640" s="5" t="n">
        <f aca="false">VLOOKUP(B640,Заказы!$A$2:$E$2995,2,FALSE())</f>
        <v>44052</v>
      </c>
      <c r="H640" s="1" t="n">
        <f aca="false">VLOOKUP(B640,Заказы!$A$2:$E$2995,3,FALSE())</f>
        <v>470</v>
      </c>
      <c r="I640" s="1" t="str">
        <f aca="false">VLOOKUP(H640,Клиенты!$A$2:$E$1995,5,FALSE())</f>
        <v>г. Москва</v>
      </c>
      <c r="J640" s="1" t="n">
        <f aca="false">VLOOKUP(B640,Заказы!$A$2:$E$2995,4,FALSE())</f>
        <v>0</v>
      </c>
      <c r="K640" s="1" t="str">
        <f aca="false">VLOOKUP(B640,Заказы!$A$2:$E$2995,5,FALSE())</f>
        <v>Не выполнено</v>
      </c>
      <c r="L640" s="1" t="n">
        <f aca="false">D640*F640+J640</f>
        <v>2625</v>
      </c>
      <c r="M640" s="1" t="n">
        <f aca="false">IF(AND(E640="Пицца Труслейка",I640="г. Москва",K640="Выполнено",G640&gt;=DATE(2020,7,1),G640&lt;DATE(2020,8,1)),L640,0)</f>
        <v>0</v>
      </c>
    </row>
    <row r="641" customFormat="false" ht="15" hidden="false" customHeight="true" outlineLevel="0" collapsed="false">
      <c r="A641" s="1" t="n">
        <v>101389</v>
      </c>
      <c r="B641" s="1" t="n">
        <v>51743</v>
      </c>
      <c r="C641" s="1" t="n">
        <v>4</v>
      </c>
      <c r="D641" s="1" t="n">
        <v>3</v>
      </c>
      <c r="E641" s="1" t="str">
        <f aca="false">VLOOKUP(C641,Меню!$A$2:$C$24,2,FALSE())</f>
        <v>Пицца Труслейка</v>
      </c>
      <c r="F641" s="1" t="n">
        <f aca="false">VLOOKUP(C641,Меню!$A$2:$C$24,3,FALSE())</f>
        <v>610</v>
      </c>
      <c r="G641" s="5" t="n">
        <f aca="false">VLOOKUP(B641,Заказы!$A$2:$E$2995,2,FALSE())</f>
        <v>44070</v>
      </c>
      <c r="H641" s="1" t="n">
        <f aca="false">VLOOKUP(B641,Заказы!$A$2:$E$2995,3,FALSE())</f>
        <v>1822</v>
      </c>
      <c r="I641" s="1" t="str">
        <f aca="false">VLOOKUP(H641,Клиенты!$A$2:$E$1995,5,FALSE())</f>
        <v>г. Киржач</v>
      </c>
      <c r="J641" s="1" t="n">
        <f aca="false">VLOOKUP(B641,Заказы!$A$2:$E$2995,4,FALSE())</f>
        <v>0</v>
      </c>
      <c r="K641" s="1" t="str">
        <f aca="false">VLOOKUP(B641,Заказы!$A$2:$E$2995,5,FALSE())</f>
        <v>Не выполнено</v>
      </c>
      <c r="L641" s="1" t="n">
        <f aca="false">D641*F641+J641</f>
        <v>1830</v>
      </c>
      <c r="M641" s="1" t="n">
        <f aca="false">IF(AND(E641="Пицца Труслейка",I641="г. Москва",K641="Выполнено",G641&gt;=DATE(2020,7,1),G641&lt;DATE(2020,8,1)),L641,0)</f>
        <v>0</v>
      </c>
    </row>
    <row r="642" customFormat="false" ht="15" hidden="false" customHeight="true" outlineLevel="0" collapsed="false">
      <c r="A642" s="1" t="n">
        <v>101768</v>
      </c>
      <c r="B642" s="1" t="n">
        <v>51287</v>
      </c>
      <c r="C642" s="1" t="n">
        <v>8</v>
      </c>
      <c r="D642" s="1" t="n">
        <v>1</v>
      </c>
      <c r="E642" s="1" t="str">
        <f aca="false">VLOOKUP(C642,Меню!$A$2:$C$24,2,FALSE())</f>
        <v>Пицца Мясная</v>
      </c>
      <c r="F642" s="1" t="n">
        <f aca="false">VLOOKUP(C642,Меню!$A$2:$C$24,3,FALSE())</f>
        <v>615</v>
      </c>
      <c r="G642" s="5" t="n">
        <f aca="false">VLOOKUP(B642,Заказы!$A$2:$E$2995,2,FALSE())</f>
        <v>44060</v>
      </c>
      <c r="H642" s="1" t="n">
        <f aca="false">VLOOKUP(B642,Заказы!$A$2:$E$2995,3,FALSE())</f>
        <v>1624</v>
      </c>
      <c r="I642" s="1" t="str">
        <f aca="false">VLOOKUP(H642,Клиенты!$A$2:$E$1995,5,FALSE())</f>
        <v>г. Белый</v>
      </c>
      <c r="J642" s="1" t="n">
        <f aca="false">VLOOKUP(B642,Заказы!$A$2:$E$2995,4,FALSE())</f>
        <v>0</v>
      </c>
      <c r="K642" s="1" t="str">
        <f aca="false">VLOOKUP(B642,Заказы!$A$2:$E$2995,5,FALSE())</f>
        <v>Не выполнено</v>
      </c>
      <c r="L642" s="1" t="n">
        <f aca="false">D642*F642+J642</f>
        <v>615</v>
      </c>
      <c r="M642" s="1" t="n">
        <f aca="false">IF(AND(E642="Пицца Труслейка",I642="г. Москва",K642="Выполнено",G642&gt;=DATE(2020,7,1),G642&lt;DATE(2020,8,1)),L642,0)</f>
        <v>0</v>
      </c>
    </row>
    <row r="643" customFormat="false" ht="15" hidden="false" customHeight="true" outlineLevel="0" collapsed="false">
      <c r="A643" s="1" t="n">
        <v>100835</v>
      </c>
      <c r="B643" s="1" t="n">
        <v>50265</v>
      </c>
      <c r="C643" s="1" t="n">
        <v>1</v>
      </c>
      <c r="D643" s="1" t="n">
        <v>1</v>
      </c>
      <c r="E643" s="1" t="str">
        <f aca="false">VLOOKUP(C643,Меню!$A$2:$C$24,2,FALSE())</f>
        <v>Пицца Гавайская</v>
      </c>
      <c r="F643" s="1" t="n">
        <f aca="false">VLOOKUP(C643,Меню!$A$2:$C$24,3,FALSE())</f>
        <v>545</v>
      </c>
      <c r="G643" s="5" t="n">
        <f aca="false">VLOOKUP(B643,Заказы!$A$2:$E$2995,2,FALSE())</f>
        <v>43982</v>
      </c>
      <c r="H643" s="1" t="n">
        <f aca="false">VLOOKUP(B643,Заказы!$A$2:$E$2995,3,FALSE())</f>
        <v>822</v>
      </c>
      <c r="I643" s="1" t="str">
        <f aca="false">VLOOKUP(H643,Клиенты!$A$2:$E$1995,5,FALSE())</f>
        <v>г. Красноярск</v>
      </c>
      <c r="J643" s="1" t="n">
        <f aca="false">VLOOKUP(B643,Заказы!$A$2:$E$2995,4,FALSE())</f>
        <v>329</v>
      </c>
      <c r="K643" s="1" t="str">
        <f aca="false">VLOOKUP(B643,Заказы!$A$2:$E$2995,5,FALSE())</f>
        <v>Выполнено</v>
      </c>
      <c r="L643" s="1" t="n">
        <f aca="false">D643*F643+J643</f>
        <v>874</v>
      </c>
      <c r="M643" s="1" t="n">
        <f aca="false">IF(AND(E643="Пицца Труслейка",I643="г. Москва",K643="Выполнено",G643&gt;=DATE(2020,7,1),G643&lt;DATE(2020,8,1)),L643,0)</f>
        <v>0</v>
      </c>
    </row>
    <row r="644" customFormat="false" ht="15" hidden="false" customHeight="true" outlineLevel="0" collapsed="false">
      <c r="A644" s="1" t="n">
        <v>100716</v>
      </c>
      <c r="B644" s="1" t="n">
        <v>51320</v>
      </c>
      <c r="C644" s="1" t="n">
        <v>17</v>
      </c>
      <c r="D644" s="1" t="n">
        <v>3</v>
      </c>
      <c r="E644" s="1" t="str">
        <f aca="false">VLOOKUP(C644,Меню!$A$2:$C$24,2,FALSE())</f>
        <v>Пицца Френч Фрайз</v>
      </c>
      <c r="F644" s="1" t="n">
        <f aca="false">VLOOKUP(C644,Меню!$A$2:$C$24,3,FALSE())</f>
        <v>515</v>
      </c>
      <c r="G644" s="5" t="n">
        <f aca="false">VLOOKUP(B644,Заказы!$A$2:$E$2995,2,FALSE())</f>
        <v>44030</v>
      </c>
      <c r="H644" s="1" t="n">
        <f aca="false">VLOOKUP(B644,Заказы!$A$2:$E$2995,3,FALSE())</f>
        <v>1300</v>
      </c>
      <c r="I644" s="1" t="str">
        <f aca="false">VLOOKUP(H644,Клиенты!$A$2:$E$1995,5,FALSE())</f>
        <v>г. Москва</v>
      </c>
      <c r="J644" s="1" t="n">
        <f aca="false">VLOOKUP(B644,Заказы!$A$2:$E$2995,4,FALSE())</f>
        <v>0</v>
      </c>
      <c r="K644" s="1" t="str">
        <f aca="false">VLOOKUP(B644,Заказы!$A$2:$E$2995,5,FALSE())</f>
        <v>Не выполнено</v>
      </c>
      <c r="L644" s="1" t="n">
        <f aca="false">D644*F644+J644</f>
        <v>1545</v>
      </c>
      <c r="M644" s="1" t="n">
        <f aca="false">IF(AND(E644="Пицца Труслейка",I644="г. Москва",K644="Выполнено",G644&gt;=DATE(2020,7,1),G644&lt;DATE(2020,8,1)),L644,0)</f>
        <v>0</v>
      </c>
    </row>
    <row r="645" customFormat="false" ht="15" hidden="false" customHeight="true" outlineLevel="0" collapsed="false">
      <c r="A645" s="1" t="n">
        <v>100850</v>
      </c>
      <c r="B645" s="1" t="n">
        <v>51294</v>
      </c>
      <c r="C645" s="1" t="n">
        <v>5</v>
      </c>
      <c r="D645" s="1" t="n">
        <v>3</v>
      </c>
      <c r="E645" s="1" t="str">
        <f aca="false">VLOOKUP(C645,Меню!$A$2:$C$24,2,FALSE())</f>
        <v>Пицца Жюльен</v>
      </c>
      <c r="F645" s="1" t="n">
        <f aca="false">VLOOKUP(C645,Меню!$A$2:$C$24,3,FALSE())</f>
        <v>580</v>
      </c>
      <c r="G645" s="5" t="n">
        <f aca="false">VLOOKUP(B645,Заказы!$A$2:$E$2995,2,FALSE())</f>
        <v>43992</v>
      </c>
      <c r="H645" s="1" t="n">
        <f aca="false">VLOOKUP(B645,Заказы!$A$2:$E$2995,3,FALSE())</f>
        <v>352</v>
      </c>
      <c r="I645" s="1" t="str">
        <f aca="false">VLOOKUP(H645,Клиенты!$A$2:$E$1995,5,FALSE())</f>
        <v>г. Яровое</v>
      </c>
      <c r="J645" s="1" t="n">
        <f aca="false">VLOOKUP(B645,Заказы!$A$2:$E$2995,4,FALSE())</f>
        <v>759</v>
      </c>
      <c r="K645" s="1" t="str">
        <f aca="false">VLOOKUP(B645,Заказы!$A$2:$E$2995,5,FALSE())</f>
        <v>Выполнено</v>
      </c>
      <c r="L645" s="1" t="n">
        <f aca="false">D645*F645+J645</f>
        <v>2499</v>
      </c>
      <c r="M645" s="1" t="n">
        <f aca="false">IF(AND(E645="Пицца Труслейка",I645="г. Москва",K645="Выполнено",G645&gt;=DATE(2020,7,1),G645&lt;DATE(2020,8,1)),L645,0)</f>
        <v>0</v>
      </c>
    </row>
    <row r="646" customFormat="false" ht="15" hidden="false" customHeight="true" outlineLevel="0" collapsed="false">
      <c r="A646" s="1" t="n">
        <v>100935</v>
      </c>
      <c r="B646" s="1" t="n">
        <v>50557</v>
      </c>
      <c r="C646" s="1" t="n">
        <v>15</v>
      </c>
      <c r="D646" s="1" t="n">
        <v>7</v>
      </c>
      <c r="E646" s="1" t="str">
        <f aca="false">VLOOKUP(C646,Меню!$A$2:$C$24,2,FALSE())</f>
        <v>Пицца Тропиканка</v>
      </c>
      <c r="F646" s="1" t="n">
        <f aca="false">VLOOKUP(C646,Меню!$A$2:$C$24,3,FALSE())</f>
        <v>605</v>
      </c>
      <c r="G646" s="5" t="n">
        <f aca="false">VLOOKUP(B646,Заказы!$A$2:$E$2995,2,FALSE())</f>
        <v>44009</v>
      </c>
      <c r="H646" s="1" t="n">
        <f aca="false">VLOOKUP(B646,Заказы!$A$2:$E$2995,3,FALSE())</f>
        <v>1881</v>
      </c>
      <c r="I646" s="1" t="str">
        <f aca="false">VLOOKUP(H646,Клиенты!$A$2:$E$1995,5,FALSE())</f>
        <v>г. Козьмодемьянск</v>
      </c>
      <c r="J646" s="1" t="n">
        <f aca="false">VLOOKUP(B646,Заказы!$A$2:$E$2995,4,FALSE())</f>
        <v>0</v>
      </c>
      <c r="K646" s="1" t="str">
        <f aca="false">VLOOKUP(B646,Заказы!$A$2:$E$2995,5,FALSE())</f>
        <v>Не выполнено</v>
      </c>
      <c r="L646" s="1" t="n">
        <f aca="false">D646*F646+J646</f>
        <v>4235</v>
      </c>
      <c r="M646" s="1" t="n">
        <f aca="false">IF(AND(E646="Пицца Труслейка",I646="г. Москва",K646="Выполнено",G646&gt;=DATE(2020,7,1),G646&lt;DATE(2020,8,1)),L646,0)</f>
        <v>0</v>
      </c>
    </row>
    <row r="647" customFormat="false" ht="15" hidden="false" customHeight="true" outlineLevel="0" collapsed="false">
      <c r="A647" s="1" t="n">
        <v>101821</v>
      </c>
      <c r="B647" s="1" t="n">
        <v>50552</v>
      </c>
      <c r="C647" s="1" t="n">
        <v>8</v>
      </c>
      <c r="D647" s="1" t="n">
        <v>3</v>
      </c>
      <c r="E647" s="1" t="str">
        <f aca="false">VLOOKUP(C647,Меню!$A$2:$C$24,2,FALSE())</f>
        <v>Пицца Мясная</v>
      </c>
      <c r="F647" s="1" t="n">
        <f aca="false">VLOOKUP(C647,Меню!$A$2:$C$24,3,FALSE())</f>
        <v>615</v>
      </c>
      <c r="G647" s="5" t="n">
        <f aca="false">VLOOKUP(B647,Заказы!$A$2:$E$2995,2,FALSE())</f>
        <v>44022</v>
      </c>
      <c r="H647" s="1" t="n">
        <f aca="false">VLOOKUP(B647,Заказы!$A$2:$E$2995,3,FALSE())</f>
        <v>1630</v>
      </c>
      <c r="I647" s="1" t="str">
        <f aca="false">VLOOKUP(H647,Клиенты!$A$2:$E$1995,5,FALSE())</f>
        <v>г. Москва</v>
      </c>
      <c r="J647" s="1" t="n">
        <f aca="false">VLOOKUP(B647,Заказы!$A$2:$E$2995,4,FALSE())</f>
        <v>562</v>
      </c>
      <c r="K647" s="1" t="str">
        <f aca="false">VLOOKUP(B647,Заказы!$A$2:$E$2995,5,FALSE())</f>
        <v>Выполнено</v>
      </c>
      <c r="L647" s="1" t="n">
        <f aca="false">D647*F647+J647</f>
        <v>2407</v>
      </c>
      <c r="M647" s="1" t="n">
        <f aca="false">IF(AND(E647="Пицца Труслейка",I647="г. Москва",K647="Выполнено",G647&gt;=DATE(2020,7,1),G647&lt;DATE(2020,8,1)),L647,0)</f>
        <v>0</v>
      </c>
    </row>
    <row r="648" customFormat="false" ht="15" hidden="false" customHeight="true" outlineLevel="0" collapsed="false">
      <c r="A648" s="1" t="n">
        <v>101337</v>
      </c>
      <c r="B648" s="1" t="n">
        <v>51407</v>
      </c>
      <c r="C648" s="1" t="n">
        <v>7</v>
      </c>
      <c r="D648" s="1" t="n">
        <v>9</v>
      </c>
      <c r="E648" s="1" t="str">
        <f aca="false">VLOOKUP(C648,Меню!$A$2:$C$24,2,FALSE())</f>
        <v>Пицца Карбонара</v>
      </c>
      <c r="F648" s="1" t="n">
        <f aca="false">VLOOKUP(C648,Меню!$A$2:$C$24,3,FALSE())</f>
        <v>625</v>
      </c>
      <c r="G648" s="5" t="n">
        <f aca="false">VLOOKUP(B648,Заказы!$A$2:$E$2995,2,FALSE())</f>
        <v>44008</v>
      </c>
      <c r="H648" s="1" t="n">
        <f aca="false">VLOOKUP(B648,Заказы!$A$2:$E$2995,3,FALSE())</f>
        <v>478</v>
      </c>
      <c r="I648" s="1" t="str">
        <f aca="false">VLOOKUP(H648,Клиенты!$A$2:$E$1995,5,FALSE())</f>
        <v>г. Солнечногорск</v>
      </c>
      <c r="J648" s="1" t="n">
        <f aca="false">VLOOKUP(B648,Заказы!$A$2:$E$2995,4,FALSE())</f>
        <v>0</v>
      </c>
      <c r="K648" s="1" t="str">
        <f aca="false">VLOOKUP(B648,Заказы!$A$2:$E$2995,5,FALSE())</f>
        <v>Не выполнено</v>
      </c>
      <c r="L648" s="1" t="n">
        <f aca="false">D648*F648+J648</f>
        <v>5625</v>
      </c>
      <c r="M648" s="1" t="n">
        <f aca="false">IF(AND(E648="Пицца Труслейка",I648="г. Москва",K648="Выполнено",G648&gt;=DATE(2020,7,1),G648&lt;DATE(2020,8,1)),L648,0)</f>
        <v>0</v>
      </c>
    </row>
    <row r="649" customFormat="false" ht="15" hidden="false" customHeight="true" outlineLevel="0" collapsed="false">
      <c r="A649" s="1" t="n">
        <v>101245</v>
      </c>
      <c r="B649" s="1" t="n">
        <v>50457</v>
      </c>
      <c r="C649" s="1" t="n">
        <v>21</v>
      </c>
      <c r="D649" s="1" t="n">
        <v>9</v>
      </c>
      <c r="E649" s="1" t="str">
        <f aca="false">VLOOKUP(C649,Меню!$A$2:$C$24,2,FALSE())</f>
        <v>Пицца с креветками и цукини</v>
      </c>
      <c r="F649" s="1" t="n">
        <f aca="false">VLOOKUP(C649,Меню!$A$2:$C$24,3,FALSE())</f>
        <v>600</v>
      </c>
      <c r="G649" s="5" t="n">
        <f aca="false">VLOOKUP(B649,Заказы!$A$2:$E$2995,2,FALSE())</f>
        <v>44031</v>
      </c>
      <c r="H649" s="1" t="n">
        <f aca="false">VLOOKUP(B649,Заказы!$A$2:$E$2995,3,FALSE())</f>
        <v>1075</v>
      </c>
      <c r="I649" s="1" t="str">
        <f aca="false">VLOOKUP(H649,Клиенты!$A$2:$E$1995,5,FALSE())</f>
        <v>г. Соликамск</v>
      </c>
      <c r="J649" s="1" t="n">
        <f aca="false">VLOOKUP(B649,Заказы!$A$2:$E$2995,4,FALSE())</f>
        <v>624</v>
      </c>
      <c r="K649" s="1" t="str">
        <f aca="false">VLOOKUP(B649,Заказы!$A$2:$E$2995,5,FALSE())</f>
        <v>Выполнено</v>
      </c>
      <c r="L649" s="1" t="n">
        <f aca="false">D649*F649+J649</f>
        <v>6024</v>
      </c>
      <c r="M649" s="1" t="n">
        <f aca="false">IF(AND(E649="Пицца Труслейка",I649="г. Москва",K649="Выполнено",G649&gt;=DATE(2020,7,1),G649&lt;DATE(2020,8,1)),L649,0)</f>
        <v>0</v>
      </c>
    </row>
    <row r="650" customFormat="false" ht="15" hidden="false" customHeight="true" outlineLevel="0" collapsed="false">
      <c r="A650" s="1" t="n">
        <v>101061</v>
      </c>
      <c r="B650" s="1" t="n">
        <v>50665</v>
      </c>
      <c r="C650" s="1" t="n">
        <v>1</v>
      </c>
      <c r="D650" s="1" t="n">
        <v>1</v>
      </c>
      <c r="E650" s="1" t="str">
        <f aca="false">VLOOKUP(C650,Меню!$A$2:$C$24,2,FALSE())</f>
        <v>Пицца Гавайская</v>
      </c>
      <c r="F650" s="1" t="n">
        <f aca="false">VLOOKUP(C650,Меню!$A$2:$C$24,3,FALSE())</f>
        <v>545</v>
      </c>
      <c r="G650" s="5" t="n">
        <f aca="false">VLOOKUP(B650,Заказы!$A$2:$E$2995,2,FALSE())</f>
        <v>44040</v>
      </c>
      <c r="H650" s="1" t="n">
        <f aca="false">VLOOKUP(B650,Заказы!$A$2:$E$2995,3,FALSE())</f>
        <v>928</v>
      </c>
      <c r="I650" s="1" t="str">
        <f aca="false">VLOOKUP(H650,Клиенты!$A$2:$E$1995,5,FALSE())</f>
        <v>г. Борисоглебск</v>
      </c>
      <c r="J650" s="1" t="n">
        <f aca="false">VLOOKUP(B650,Заказы!$A$2:$E$2995,4,FALSE())</f>
        <v>0</v>
      </c>
      <c r="K650" s="1" t="str">
        <f aca="false">VLOOKUP(B650,Заказы!$A$2:$E$2995,5,FALSE())</f>
        <v>Не выполнено</v>
      </c>
      <c r="L650" s="1" t="n">
        <f aca="false">D650*F650+J650</f>
        <v>545</v>
      </c>
      <c r="M650" s="1" t="n">
        <f aca="false">IF(AND(E650="Пицца Труслейка",I650="г. Москва",K650="Выполнено",G650&gt;=DATE(2020,7,1),G650&lt;DATE(2020,8,1)),L650,0)</f>
        <v>0</v>
      </c>
    </row>
    <row r="651" customFormat="false" ht="15" hidden="false" customHeight="true" outlineLevel="0" collapsed="false">
      <c r="A651" s="1" t="n">
        <v>100305</v>
      </c>
      <c r="B651" s="1" t="n">
        <v>50644</v>
      </c>
      <c r="C651" s="1" t="n">
        <v>4</v>
      </c>
      <c r="D651" s="1" t="n">
        <v>3</v>
      </c>
      <c r="E651" s="1" t="str">
        <f aca="false">VLOOKUP(C651,Меню!$A$2:$C$24,2,FALSE())</f>
        <v>Пицца Труслейка</v>
      </c>
      <c r="F651" s="1" t="n">
        <f aca="false">VLOOKUP(C651,Меню!$A$2:$C$24,3,FALSE())</f>
        <v>610</v>
      </c>
      <c r="G651" s="5" t="n">
        <f aca="false">VLOOKUP(B651,Заказы!$A$2:$E$2995,2,FALSE())</f>
        <v>43999</v>
      </c>
      <c r="H651" s="1" t="n">
        <f aca="false">VLOOKUP(B651,Заказы!$A$2:$E$2995,3,FALSE())</f>
        <v>934</v>
      </c>
      <c r="I651" s="1" t="str">
        <f aca="false">VLOOKUP(H651,Клиенты!$A$2:$E$1995,5,FALSE())</f>
        <v>г. Балаково</v>
      </c>
      <c r="J651" s="1" t="n">
        <f aca="false">VLOOKUP(B651,Заказы!$A$2:$E$2995,4,FALSE())</f>
        <v>0</v>
      </c>
      <c r="K651" s="1" t="str">
        <f aca="false">VLOOKUP(B651,Заказы!$A$2:$E$2995,5,FALSE())</f>
        <v>Не выполнено</v>
      </c>
      <c r="L651" s="1" t="n">
        <f aca="false">D651*F651+J651</f>
        <v>1830</v>
      </c>
      <c r="M651" s="1" t="n">
        <f aca="false">IF(AND(E651="Пицца Труслейка",I651="г. Москва",K651="Выполнено",G651&gt;=DATE(2020,7,1),G651&lt;DATE(2020,8,1)),L651,0)</f>
        <v>0</v>
      </c>
    </row>
    <row r="652" customFormat="false" ht="15" hidden="false" customHeight="true" outlineLevel="0" collapsed="false">
      <c r="A652" s="1" t="n">
        <v>100162</v>
      </c>
      <c r="B652" s="1" t="n">
        <v>50267</v>
      </c>
      <c r="C652" s="1" t="n">
        <v>8</v>
      </c>
      <c r="D652" s="1" t="n">
        <v>1</v>
      </c>
      <c r="E652" s="1" t="str">
        <f aca="false">VLOOKUP(C652,Меню!$A$2:$C$24,2,FALSE())</f>
        <v>Пицца Мясная</v>
      </c>
      <c r="F652" s="1" t="n">
        <f aca="false">VLOOKUP(C652,Меню!$A$2:$C$24,3,FALSE())</f>
        <v>615</v>
      </c>
      <c r="G652" s="5" t="n">
        <f aca="false">VLOOKUP(B652,Заказы!$A$2:$E$2995,2,FALSE())</f>
        <v>44027</v>
      </c>
      <c r="H652" s="1" t="n">
        <f aca="false">VLOOKUP(B652,Заказы!$A$2:$E$2995,3,FALSE())</f>
        <v>769</v>
      </c>
      <c r="I652" s="1" t="str">
        <f aca="false">VLOOKUP(H652,Клиенты!$A$2:$E$1995,5,FALSE())</f>
        <v>г. Саров</v>
      </c>
      <c r="J652" s="1" t="n">
        <f aca="false">VLOOKUP(B652,Заказы!$A$2:$E$2995,4,FALSE())</f>
        <v>0</v>
      </c>
      <c r="K652" s="1" t="str">
        <f aca="false">VLOOKUP(B652,Заказы!$A$2:$E$2995,5,FALSE())</f>
        <v>Не выполнено</v>
      </c>
      <c r="L652" s="1" t="n">
        <f aca="false">D652*F652+J652</f>
        <v>615</v>
      </c>
      <c r="M652" s="1" t="n">
        <f aca="false">IF(AND(E652="Пицца Труслейка",I652="г. Москва",K652="Выполнено",G652&gt;=DATE(2020,7,1),G652&lt;DATE(2020,8,1)),L652,0)</f>
        <v>0</v>
      </c>
    </row>
    <row r="653" customFormat="false" ht="15" hidden="false" customHeight="true" outlineLevel="0" collapsed="false">
      <c r="A653" s="1" t="n">
        <v>101615</v>
      </c>
      <c r="B653" s="1" t="n">
        <v>51059</v>
      </c>
      <c r="C653" s="1" t="n">
        <v>12</v>
      </c>
      <c r="D653" s="1" t="n">
        <v>6</v>
      </c>
      <c r="E653" s="1" t="str">
        <f aca="false">VLOOKUP(C653,Меню!$A$2:$C$24,2,FALSE())</f>
        <v>Пицца Салями с трюфелем</v>
      </c>
      <c r="F653" s="1" t="n">
        <f aca="false">VLOOKUP(C653,Меню!$A$2:$C$24,3,FALSE())</f>
        <v>525</v>
      </c>
      <c r="G653" s="5" t="n">
        <f aca="false">VLOOKUP(B653,Заказы!$A$2:$E$2995,2,FALSE())</f>
        <v>44040</v>
      </c>
      <c r="H653" s="1" t="n">
        <f aca="false">VLOOKUP(B653,Заказы!$A$2:$E$2995,3,FALSE())</f>
        <v>604</v>
      </c>
      <c r="I653" s="1" t="str">
        <f aca="false">VLOOKUP(H653,Клиенты!$A$2:$E$1995,5,FALSE())</f>
        <v>г. Азнакаево</v>
      </c>
      <c r="J653" s="1" t="n">
        <f aca="false">VLOOKUP(B653,Заказы!$A$2:$E$2995,4,FALSE())</f>
        <v>0</v>
      </c>
      <c r="K653" s="1" t="str">
        <f aca="false">VLOOKUP(B653,Заказы!$A$2:$E$2995,5,FALSE())</f>
        <v>Не выполнено</v>
      </c>
      <c r="L653" s="1" t="n">
        <f aca="false">D653*F653+J653</f>
        <v>3150</v>
      </c>
      <c r="M653" s="1" t="n">
        <f aca="false">IF(AND(E653="Пицца Труслейка",I653="г. Москва",K653="Выполнено",G653&gt;=DATE(2020,7,1),G653&lt;DATE(2020,8,1)),L653,0)</f>
        <v>0</v>
      </c>
    </row>
    <row r="654" customFormat="false" ht="15" hidden="false" customHeight="true" outlineLevel="0" collapsed="false">
      <c r="A654" s="1" t="n">
        <v>100159</v>
      </c>
      <c r="B654" s="1" t="n">
        <v>50080</v>
      </c>
      <c r="C654" s="1" t="n">
        <v>4</v>
      </c>
      <c r="D654" s="1" t="n">
        <v>8</v>
      </c>
      <c r="E654" s="1" t="str">
        <f aca="false">VLOOKUP(C654,Меню!$A$2:$C$24,2,FALSE())</f>
        <v>Пицца Труслейка</v>
      </c>
      <c r="F654" s="1" t="n">
        <f aca="false">VLOOKUP(C654,Меню!$A$2:$C$24,3,FALSE())</f>
        <v>610</v>
      </c>
      <c r="G654" s="5" t="n">
        <f aca="false">VLOOKUP(B654,Заказы!$A$2:$E$2995,2,FALSE())</f>
        <v>44024</v>
      </c>
      <c r="H654" s="1" t="n">
        <f aca="false">VLOOKUP(B654,Заказы!$A$2:$E$2995,3,FALSE())</f>
        <v>1897</v>
      </c>
      <c r="I654" s="1" t="str">
        <f aca="false">VLOOKUP(H654,Клиенты!$A$2:$E$1995,5,FALSE())</f>
        <v>г. Новопавловск</v>
      </c>
      <c r="J654" s="1" t="n">
        <f aca="false">VLOOKUP(B654,Заказы!$A$2:$E$2995,4,FALSE())</f>
        <v>0</v>
      </c>
      <c r="K654" s="1" t="str">
        <f aca="false">VLOOKUP(B654,Заказы!$A$2:$E$2995,5,FALSE())</f>
        <v>Не выполнено</v>
      </c>
      <c r="L654" s="1" t="n">
        <f aca="false">D654*F654+J654</f>
        <v>4880</v>
      </c>
      <c r="M654" s="1" t="n">
        <f aca="false">IF(AND(E654="Пицца Труслейка",I654="г. Москва",K654="Выполнено",G654&gt;=DATE(2020,7,1),G654&lt;DATE(2020,8,1)),L654,0)</f>
        <v>0</v>
      </c>
    </row>
    <row r="655" customFormat="false" ht="15" hidden="false" customHeight="true" outlineLevel="0" collapsed="false">
      <c r="A655" s="1" t="n">
        <v>101663</v>
      </c>
      <c r="B655" s="1" t="n">
        <v>51817</v>
      </c>
      <c r="C655" s="1" t="n">
        <v>1</v>
      </c>
      <c r="D655" s="1" t="n">
        <v>6</v>
      </c>
      <c r="E655" s="1" t="str">
        <f aca="false">VLOOKUP(C655,Меню!$A$2:$C$24,2,FALSE())</f>
        <v>Пицца Гавайская</v>
      </c>
      <c r="F655" s="1" t="n">
        <f aca="false">VLOOKUP(C655,Меню!$A$2:$C$24,3,FALSE())</f>
        <v>545</v>
      </c>
      <c r="G655" s="5" t="n">
        <f aca="false">VLOOKUP(B655,Заказы!$A$2:$E$2995,2,FALSE())</f>
        <v>44050</v>
      </c>
      <c r="H655" s="1" t="n">
        <f aca="false">VLOOKUP(B655,Заказы!$A$2:$E$2995,3,FALSE())</f>
        <v>779</v>
      </c>
      <c r="I655" s="1" t="str">
        <f aca="false">VLOOKUP(H655,Клиенты!$A$2:$E$1995,5,FALSE())</f>
        <v>г. Давлеканово</v>
      </c>
      <c r="J655" s="1" t="n">
        <f aca="false">VLOOKUP(B655,Заказы!$A$2:$E$2995,4,FALSE())</f>
        <v>468</v>
      </c>
      <c r="K655" s="1" t="str">
        <f aca="false">VLOOKUP(B655,Заказы!$A$2:$E$2995,5,FALSE())</f>
        <v>Выполнено</v>
      </c>
      <c r="L655" s="1" t="n">
        <f aca="false">D655*F655+J655</f>
        <v>3738</v>
      </c>
      <c r="M655" s="1" t="n">
        <f aca="false">IF(AND(E655="Пицца Труслейка",I655="г. Москва",K655="Выполнено",G655&gt;=DATE(2020,7,1),G655&lt;DATE(2020,8,1)),L655,0)</f>
        <v>0</v>
      </c>
    </row>
    <row r="656" customFormat="false" ht="15" hidden="false" customHeight="true" outlineLevel="0" collapsed="false">
      <c r="A656" s="1" t="n">
        <v>100060</v>
      </c>
      <c r="B656" s="1" t="n">
        <v>50219</v>
      </c>
      <c r="C656" s="1" t="n">
        <v>21</v>
      </c>
      <c r="D656" s="1" t="n">
        <v>3</v>
      </c>
      <c r="E656" s="1" t="str">
        <f aca="false">VLOOKUP(C656,Меню!$A$2:$C$24,2,FALSE())</f>
        <v>Пицца с креветками и цукини</v>
      </c>
      <c r="F656" s="1" t="n">
        <f aca="false">VLOOKUP(C656,Меню!$A$2:$C$24,3,FALSE())</f>
        <v>600</v>
      </c>
      <c r="G656" s="5" t="n">
        <f aca="false">VLOOKUP(B656,Заказы!$A$2:$E$2995,2,FALSE())</f>
        <v>44007</v>
      </c>
      <c r="H656" s="1" t="n">
        <f aca="false">VLOOKUP(B656,Заказы!$A$2:$E$2995,3,FALSE())</f>
        <v>138</v>
      </c>
      <c r="I656" s="1" t="str">
        <f aca="false">VLOOKUP(H656,Клиенты!$A$2:$E$1995,5,FALSE())</f>
        <v>г. Белорецк</v>
      </c>
      <c r="J656" s="1" t="n">
        <f aca="false">VLOOKUP(B656,Заказы!$A$2:$E$2995,4,FALSE())</f>
        <v>0</v>
      </c>
      <c r="K656" s="1" t="str">
        <f aca="false">VLOOKUP(B656,Заказы!$A$2:$E$2995,5,FALSE())</f>
        <v>Не выполнено</v>
      </c>
      <c r="L656" s="1" t="n">
        <f aca="false">D656*F656+J656</f>
        <v>1800</v>
      </c>
      <c r="M656" s="1" t="n">
        <f aca="false">IF(AND(E656="Пицца Труслейка",I656="г. Москва",K656="Выполнено",G656&gt;=DATE(2020,7,1),G656&lt;DATE(2020,8,1)),L656,0)</f>
        <v>0</v>
      </c>
    </row>
    <row r="657" customFormat="false" ht="15" hidden="false" customHeight="true" outlineLevel="0" collapsed="false">
      <c r="A657" s="1" t="n">
        <v>101765</v>
      </c>
      <c r="B657" s="1" t="n">
        <v>51112</v>
      </c>
      <c r="C657" s="1" t="n">
        <v>7</v>
      </c>
      <c r="D657" s="1" t="n">
        <v>1</v>
      </c>
      <c r="E657" s="1" t="str">
        <f aca="false">VLOOKUP(C657,Меню!$A$2:$C$24,2,FALSE())</f>
        <v>Пицца Карбонара</v>
      </c>
      <c r="F657" s="1" t="n">
        <f aca="false">VLOOKUP(C657,Меню!$A$2:$C$24,3,FALSE())</f>
        <v>625</v>
      </c>
      <c r="G657" s="5" t="n">
        <f aca="false">VLOOKUP(B657,Заказы!$A$2:$E$2995,2,FALSE())</f>
        <v>44013</v>
      </c>
      <c r="H657" s="1" t="n">
        <f aca="false">VLOOKUP(B657,Заказы!$A$2:$E$2995,3,FALSE())</f>
        <v>1355</v>
      </c>
      <c r="I657" s="1" t="str">
        <f aca="false">VLOOKUP(H657,Клиенты!$A$2:$E$1995,5,FALSE())</f>
        <v>г. Талица</v>
      </c>
      <c r="J657" s="1" t="n">
        <f aca="false">VLOOKUP(B657,Заказы!$A$2:$E$2995,4,FALSE())</f>
        <v>0</v>
      </c>
      <c r="K657" s="1" t="str">
        <f aca="false">VLOOKUP(B657,Заказы!$A$2:$E$2995,5,FALSE())</f>
        <v>Не выполнено</v>
      </c>
      <c r="L657" s="1" t="n">
        <f aca="false">D657*F657+J657</f>
        <v>625</v>
      </c>
      <c r="M657" s="1" t="n">
        <f aca="false">IF(AND(E657="Пицца Труслейка",I657="г. Москва",K657="Выполнено",G657&gt;=DATE(2020,7,1),G657&lt;DATE(2020,8,1)),L657,0)</f>
        <v>0</v>
      </c>
    </row>
    <row r="658" customFormat="false" ht="15" hidden="false" customHeight="true" outlineLevel="0" collapsed="false">
      <c r="A658" s="1" t="n">
        <v>101701</v>
      </c>
      <c r="B658" s="1" t="n">
        <v>50262</v>
      </c>
      <c r="C658" s="1" t="n">
        <v>1</v>
      </c>
      <c r="D658" s="1" t="n">
        <v>1</v>
      </c>
      <c r="E658" s="1" t="str">
        <f aca="false">VLOOKUP(C658,Меню!$A$2:$C$24,2,FALSE())</f>
        <v>Пицца Гавайская</v>
      </c>
      <c r="F658" s="1" t="n">
        <f aca="false">VLOOKUP(C658,Меню!$A$2:$C$24,3,FALSE())</f>
        <v>545</v>
      </c>
      <c r="G658" s="5" t="n">
        <f aca="false">VLOOKUP(B658,Заказы!$A$2:$E$2995,2,FALSE())</f>
        <v>43994</v>
      </c>
      <c r="H658" s="1" t="n">
        <f aca="false">VLOOKUP(B658,Заказы!$A$2:$E$2995,3,FALSE())</f>
        <v>294</v>
      </c>
      <c r="I658" s="1" t="str">
        <f aca="false">VLOOKUP(H658,Клиенты!$A$2:$E$1995,5,FALSE())</f>
        <v>г. Новодвинск</v>
      </c>
      <c r="J658" s="1" t="n">
        <f aca="false">VLOOKUP(B658,Заказы!$A$2:$E$2995,4,FALSE())</f>
        <v>524</v>
      </c>
      <c r="K658" s="1" t="str">
        <f aca="false">VLOOKUP(B658,Заказы!$A$2:$E$2995,5,FALSE())</f>
        <v>Выполнено</v>
      </c>
      <c r="L658" s="1" t="n">
        <f aca="false">D658*F658+J658</f>
        <v>1069</v>
      </c>
      <c r="M658" s="1" t="n">
        <f aca="false">IF(AND(E658="Пицца Труслейка",I658="г. Москва",K658="Выполнено",G658&gt;=DATE(2020,7,1),G658&lt;DATE(2020,8,1)),L658,0)</f>
        <v>0</v>
      </c>
    </row>
    <row r="659" customFormat="false" ht="15" hidden="false" customHeight="true" outlineLevel="0" collapsed="false">
      <c r="A659" s="1" t="n">
        <v>100388</v>
      </c>
      <c r="B659" s="1" t="n">
        <v>50115</v>
      </c>
      <c r="C659" s="1" t="n">
        <v>20</v>
      </c>
      <c r="D659" s="1" t="n">
        <v>2</v>
      </c>
      <c r="E659" s="1" t="str">
        <f aca="false">VLOOKUP(C659,Меню!$A$2:$C$24,2,FALSE())</f>
        <v>Пицца пиканте</v>
      </c>
      <c r="F659" s="1" t="n">
        <f aca="false">VLOOKUP(C659,Меню!$A$2:$C$24,3,FALSE())</f>
        <v>585</v>
      </c>
      <c r="G659" s="5" t="n">
        <f aca="false">VLOOKUP(B659,Заказы!$A$2:$E$2995,2,FALSE())</f>
        <v>44016</v>
      </c>
      <c r="H659" s="1" t="n">
        <f aca="false">VLOOKUP(B659,Заказы!$A$2:$E$2995,3,FALSE())</f>
        <v>559</v>
      </c>
      <c r="I659" s="1" t="str">
        <f aca="false">VLOOKUP(H659,Клиенты!$A$2:$E$1995,5,FALSE())</f>
        <v>г. Волосово</v>
      </c>
      <c r="J659" s="1" t="n">
        <f aca="false">VLOOKUP(B659,Заказы!$A$2:$E$2995,4,FALSE())</f>
        <v>0</v>
      </c>
      <c r="K659" s="1" t="str">
        <f aca="false">VLOOKUP(B659,Заказы!$A$2:$E$2995,5,FALSE())</f>
        <v>Не выполнено</v>
      </c>
      <c r="L659" s="1" t="n">
        <f aca="false">D659*F659+J659</f>
        <v>1170</v>
      </c>
      <c r="M659" s="1" t="n">
        <f aca="false">IF(AND(E659="Пицца Труслейка",I659="г. Москва",K659="Выполнено",G659&gt;=DATE(2020,7,1),G659&lt;DATE(2020,8,1)),L659,0)</f>
        <v>0</v>
      </c>
    </row>
    <row r="660" customFormat="false" ht="15" hidden="false" customHeight="true" outlineLevel="0" collapsed="false">
      <c r="A660" s="1" t="n">
        <v>100390</v>
      </c>
      <c r="B660" s="1" t="n">
        <v>51455</v>
      </c>
      <c r="C660" s="1" t="n">
        <v>1</v>
      </c>
      <c r="D660" s="1" t="n">
        <v>5</v>
      </c>
      <c r="E660" s="1" t="str">
        <f aca="false">VLOOKUP(C660,Меню!$A$2:$C$24,2,FALSE())</f>
        <v>Пицца Гавайская</v>
      </c>
      <c r="F660" s="1" t="n">
        <f aca="false">VLOOKUP(C660,Меню!$A$2:$C$24,3,FALSE())</f>
        <v>545</v>
      </c>
      <c r="G660" s="5" t="n">
        <f aca="false">VLOOKUP(B660,Заказы!$A$2:$E$2995,2,FALSE())</f>
        <v>44059</v>
      </c>
      <c r="H660" s="1" t="n">
        <f aca="false">VLOOKUP(B660,Заказы!$A$2:$E$2995,3,FALSE())</f>
        <v>1464</v>
      </c>
      <c r="I660" s="1" t="str">
        <f aca="false">VLOOKUP(H660,Клиенты!$A$2:$E$1995,5,FALSE())</f>
        <v>г. Заинск</v>
      </c>
      <c r="J660" s="1" t="n">
        <f aca="false">VLOOKUP(B660,Заказы!$A$2:$E$2995,4,FALSE())</f>
        <v>740</v>
      </c>
      <c r="K660" s="1" t="str">
        <f aca="false">VLOOKUP(B660,Заказы!$A$2:$E$2995,5,FALSE())</f>
        <v>Выполнено</v>
      </c>
      <c r="L660" s="1" t="n">
        <f aca="false">D660*F660+J660</f>
        <v>3465</v>
      </c>
      <c r="M660" s="1" t="n">
        <f aca="false">IF(AND(E660="Пицца Труслейка",I660="г. Москва",K660="Выполнено",G660&gt;=DATE(2020,7,1),G660&lt;DATE(2020,8,1)),L660,0)</f>
        <v>0</v>
      </c>
    </row>
    <row r="661" customFormat="false" ht="15" hidden="false" customHeight="true" outlineLevel="0" collapsed="false">
      <c r="A661" s="1" t="n">
        <v>101957</v>
      </c>
      <c r="B661" s="1" t="n">
        <v>50897</v>
      </c>
      <c r="C661" s="1" t="n">
        <v>4</v>
      </c>
      <c r="D661" s="1" t="n">
        <v>7</v>
      </c>
      <c r="E661" s="1" t="str">
        <f aca="false">VLOOKUP(C661,Меню!$A$2:$C$24,2,FALSE())</f>
        <v>Пицца Труслейка</v>
      </c>
      <c r="F661" s="1" t="n">
        <f aca="false">VLOOKUP(C661,Меню!$A$2:$C$24,3,FALSE())</f>
        <v>610</v>
      </c>
      <c r="G661" s="5" t="n">
        <f aca="false">VLOOKUP(B661,Заказы!$A$2:$E$2995,2,FALSE())</f>
        <v>43987</v>
      </c>
      <c r="H661" s="1" t="n">
        <f aca="false">VLOOKUP(B661,Заказы!$A$2:$E$2995,3,FALSE())</f>
        <v>1108</v>
      </c>
      <c r="I661" s="1" t="str">
        <f aca="false">VLOOKUP(H661,Клиенты!$A$2:$E$1995,5,FALSE())</f>
        <v>г. Сокол</v>
      </c>
      <c r="J661" s="1" t="n">
        <f aca="false">VLOOKUP(B661,Заказы!$A$2:$E$2995,4,FALSE())</f>
        <v>0</v>
      </c>
      <c r="K661" s="1" t="str">
        <f aca="false">VLOOKUP(B661,Заказы!$A$2:$E$2995,5,FALSE())</f>
        <v>Не выполнено</v>
      </c>
      <c r="L661" s="1" t="n">
        <f aca="false">D661*F661+J661</f>
        <v>4270</v>
      </c>
      <c r="M661" s="1" t="n">
        <f aca="false">IF(AND(E661="Пицца Труслейка",I661="г. Москва",K661="Выполнено",G661&gt;=DATE(2020,7,1),G661&lt;DATE(2020,8,1)),L661,0)</f>
        <v>0</v>
      </c>
    </row>
    <row r="662" customFormat="false" ht="15" hidden="false" customHeight="true" outlineLevel="0" collapsed="false">
      <c r="A662" s="1" t="n">
        <v>101433</v>
      </c>
      <c r="B662" s="1" t="n">
        <v>51271</v>
      </c>
      <c r="C662" s="1" t="n">
        <v>22</v>
      </c>
      <c r="D662" s="1" t="n">
        <v>1</v>
      </c>
      <c r="E662" s="1" t="str">
        <f aca="false">VLOOKUP(C662,Меню!$A$2:$C$24,2,FALSE())</f>
        <v>Пицца с поркеттой и фриарелли</v>
      </c>
      <c r="F662" s="1" t="n">
        <f aca="false">VLOOKUP(C662,Меню!$A$2:$C$24,3,FALSE())</f>
        <v>550</v>
      </c>
      <c r="G662" s="5" t="n">
        <f aca="false">VLOOKUP(B662,Заказы!$A$2:$E$2995,2,FALSE())</f>
        <v>44055</v>
      </c>
      <c r="H662" s="1" t="n">
        <f aca="false">VLOOKUP(B662,Заказы!$A$2:$E$2995,3,FALSE())</f>
        <v>513</v>
      </c>
      <c r="I662" s="1" t="str">
        <f aca="false">VLOOKUP(H662,Клиенты!$A$2:$E$1995,5,FALSE())</f>
        <v>г. Мензелинск</v>
      </c>
      <c r="J662" s="1" t="n">
        <f aca="false">VLOOKUP(B662,Заказы!$A$2:$E$2995,4,FALSE())</f>
        <v>0</v>
      </c>
      <c r="K662" s="1" t="str">
        <f aca="false">VLOOKUP(B662,Заказы!$A$2:$E$2995,5,FALSE())</f>
        <v>Не выполнено</v>
      </c>
      <c r="L662" s="1" t="n">
        <f aca="false">D662*F662+J662</f>
        <v>550</v>
      </c>
      <c r="M662" s="1" t="n">
        <f aca="false">IF(AND(E662="Пицца Труслейка",I662="г. Москва",K662="Выполнено",G662&gt;=DATE(2020,7,1),G662&lt;DATE(2020,8,1)),L662,0)</f>
        <v>0</v>
      </c>
    </row>
    <row r="663" customFormat="false" ht="15" hidden="false" customHeight="true" outlineLevel="0" collapsed="false">
      <c r="A663" s="1" t="n">
        <v>100294</v>
      </c>
      <c r="B663" s="1" t="n">
        <v>50350</v>
      </c>
      <c r="C663" s="1" t="n">
        <v>5</v>
      </c>
      <c r="D663" s="1" t="n">
        <v>7</v>
      </c>
      <c r="E663" s="1" t="str">
        <f aca="false">VLOOKUP(C663,Меню!$A$2:$C$24,2,FALSE())</f>
        <v>Пицца Жюльен</v>
      </c>
      <c r="F663" s="1" t="n">
        <f aca="false">VLOOKUP(C663,Меню!$A$2:$C$24,3,FALSE())</f>
        <v>580</v>
      </c>
      <c r="G663" s="5" t="n">
        <f aca="false">VLOOKUP(B663,Заказы!$A$2:$E$2995,2,FALSE())</f>
        <v>44022</v>
      </c>
      <c r="H663" s="1" t="n">
        <f aca="false">VLOOKUP(B663,Заказы!$A$2:$E$2995,3,FALSE())</f>
        <v>1370</v>
      </c>
      <c r="I663" s="1" t="str">
        <f aca="false">VLOOKUP(H663,Клиенты!$A$2:$E$1995,5,FALSE())</f>
        <v>г. Москва</v>
      </c>
      <c r="J663" s="1" t="n">
        <f aca="false">VLOOKUP(B663,Заказы!$A$2:$E$2995,4,FALSE())</f>
        <v>790</v>
      </c>
      <c r="K663" s="1" t="str">
        <f aca="false">VLOOKUP(B663,Заказы!$A$2:$E$2995,5,FALSE())</f>
        <v>Выполнено</v>
      </c>
      <c r="L663" s="1" t="n">
        <f aca="false">D663*F663+J663</f>
        <v>4850</v>
      </c>
      <c r="M663" s="1" t="n">
        <f aca="false">IF(AND(E663="Пицца Труслейка",I663="г. Москва",K663="Выполнено",G663&gt;=DATE(2020,7,1),G663&lt;DATE(2020,8,1)),L663,0)</f>
        <v>0</v>
      </c>
    </row>
    <row r="664" customFormat="false" ht="15" hidden="false" customHeight="true" outlineLevel="0" collapsed="false">
      <c r="A664" s="1" t="n">
        <v>100429</v>
      </c>
      <c r="B664" s="1" t="n">
        <v>50155</v>
      </c>
      <c r="C664" s="1" t="n">
        <v>6</v>
      </c>
      <c r="D664" s="1" t="n">
        <v>6</v>
      </c>
      <c r="E664" s="1" t="str">
        <f aca="false">VLOOKUP(C664,Меню!$A$2:$C$24,2,FALSE())</f>
        <v>Пицца Капричиоза</v>
      </c>
      <c r="F664" s="1" t="n">
        <f aca="false">VLOOKUP(C664,Меню!$A$2:$C$24,3,FALSE())</f>
        <v>570</v>
      </c>
      <c r="G664" s="5" t="n">
        <f aca="false">VLOOKUP(B664,Заказы!$A$2:$E$2995,2,FALSE())</f>
        <v>44039</v>
      </c>
      <c r="H664" s="1" t="n">
        <f aca="false">VLOOKUP(B664,Заказы!$A$2:$E$2995,3,FALSE())</f>
        <v>1595</v>
      </c>
      <c r="I664" s="1" t="str">
        <f aca="false">VLOOKUP(H664,Клиенты!$A$2:$E$1995,5,FALSE())</f>
        <v>г. Правдинск</v>
      </c>
      <c r="J664" s="1" t="n">
        <f aca="false">VLOOKUP(B664,Заказы!$A$2:$E$2995,4,FALSE())</f>
        <v>396</v>
      </c>
      <c r="K664" s="1" t="str">
        <f aca="false">VLOOKUP(B664,Заказы!$A$2:$E$2995,5,FALSE())</f>
        <v>Выполнено</v>
      </c>
      <c r="L664" s="1" t="n">
        <f aca="false">D664*F664+J664</f>
        <v>3816</v>
      </c>
      <c r="M664" s="1" t="n">
        <f aca="false">IF(AND(E664="Пицца Труслейка",I664="г. Москва",K664="Выполнено",G664&gt;=DATE(2020,7,1),G664&lt;DATE(2020,8,1)),L664,0)</f>
        <v>0</v>
      </c>
    </row>
    <row r="665" customFormat="false" ht="15" hidden="false" customHeight="true" outlineLevel="0" collapsed="false">
      <c r="A665" s="1" t="n">
        <v>100079</v>
      </c>
      <c r="B665" s="1" t="n">
        <v>50525</v>
      </c>
      <c r="C665" s="1" t="n">
        <v>1</v>
      </c>
      <c r="D665" s="1" t="n">
        <v>8</v>
      </c>
      <c r="E665" s="1" t="str">
        <f aca="false">VLOOKUP(C665,Меню!$A$2:$C$24,2,FALSE())</f>
        <v>Пицца Гавайская</v>
      </c>
      <c r="F665" s="1" t="n">
        <f aca="false">VLOOKUP(C665,Меню!$A$2:$C$24,3,FALSE())</f>
        <v>545</v>
      </c>
      <c r="G665" s="5" t="n">
        <f aca="false">VLOOKUP(B665,Заказы!$A$2:$E$2995,2,FALSE())</f>
        <v>43998</v>
      </c>
      <c r="H665" s="1" t="n">
        <f aca="false">VLOOKUP(B665,Заказы!$A$2:$E$2995,3,FALSE())</f>
        <v>1677</v>
      </c>
      <c r="I665" s="1" t="str">
        <f aca="false">VLOOKUP(H665,Клиенты!$A$2:$E$1995,5,FALSE())</f>
        <v>г. Торопец</v>
      </c>
      <c r="J665" s="1" t="n">
        <f aca="false">VLOOKUP(B665,Заказы!$A$2:$E$2995,4,FALSE())</f>
        <v>0</v>
      </c>
      <c r="K665" s="1" t="str">
        <f aca="false">VLOOKUP(B665,Заказы!$A$2:$E$2995,5,FALSE())</f>
        <v>Не выполнено</v>
      </c>
      <c r="L665" s="1" t="n">
        <f aca="false">D665*F665+J665</f>
        <v>4360</v>
      </c>
      <c r="M665" s="1" t="n">
        <f aca="false">IF(AND(E665="Пицца Труслейка",I665="г. Москва",K665="Выполнено",G665&gt;=DATE(2020,7,1),G665&lt;DATE(2020,8,1)),L665,0)</f>
        <v>0</v>
      </c>
    </row>
    <row r="666" customFormat="false" ht="15" hidden="false" customHeight="true" outlineLevel="0" collapsed="false">
      <c r="A666" s="1" t="n">
        <v>101575</v>
      </c>
      <c r="B666" s="1" t="n">
        <v>50868</v>
      </c>
      <c r="C666" s="1" t="n">
        <v>10</v>
      </c>
      <c r="D666" s="1" t="n">
        <v>10</v>
      </c>
      <c r="E666" s="1" t="str">
        <f aca="false">VLOOKUP(C666,Меню!$A$2:$C$24,2,FALSE())</f>
        <v>Пицца Пепперони фреш</v>
      </c>
      <c r="F666" s="1" t="n">
        <f aca="false">VLOOKUP(C666,Меню!$A$2:$C$24,3,FALSE())</f>
        <v>565</v>
      </c>
      <c r="G666" s="5" t="n">
        <f aca="false">VLOOKUP(B666,Заказы!$A$2:$E$2995,2,FALSE())</f>
        <v>44071</v>
      </c>
      <c r="H666" s="1" t="n">
        <f aca="false">VLOOKUP(B666,Заказы!$A$2:$E$2995,3,FALSE())</f>
        <v>1207</v>
      </c>
      <c r="I666" s="1" t="str">
        <f aca="false">VLOOKUP(H666,Клиенты!$A$2:$E$1995,5,FALSE())</f>
        <v>г. Туринск</v>
      </c>
      <c r="J666" s="1" t="n">
        <f aca="false">VLOOKUP(B666,Заказы!$A$2:$E$2995,4,FALSE())</f>
        <v>767</v>
      </c>
      <c r="K666" s="1" t="str">
        <f aca="false">VLOOKUP(B666,Заказы!$A$2:$E$2995,5,FALSE())</f>
        <v>Выполнено</v>
      </c>
      <c r="L666" s="1" t="n">
        <f aca="false">D666*F666+J666</f>
        <v>6417</v>
      </c>
      <c r="M666" s="1" t="n">
        <f aca="false">IF(AND(E666="Пицца Труслейка",I666="г. Москва",K666="Выполнено",G666&gt;=DATE(2020,7,1),G666&lt;DATE(2020,8,1)),L666,0)</f>
        <v>0</v>
      </c>
    </row>
    <row r="667" customFormat="false" ht="15" hidden="false" customHeight="true" outlineLevel="0" collapsed="false">
      <c r="A667" s="1" t="n">
        <v>100710</v>
      </c>
      <c r="B667" s="1" t="n">
        <v>50973</v>
      </c>
      <c r="C667" s="1" t="n">
        <v>15</v>
      </c>
      <c r="D667" s="1" t="n">
        <v>3</v>
      </c>
      <c r="E667" s="1" t="str">
        <f aca="false">VLOOKUP(C667,Меню!$A$2:$C$24,2,FALSE())</f>
        <v>Пицца Тропиканка</v>
      </c>
      <c r="F667" s="1" t="n">
        <f aca="false">VLOOKUP(C667,Меню!$A$2:$C$24,3,FALSE())</f>
        <v>605</v>
      </c>
      <c r="G667" s="5" t="n">
        <f aca="false">VLOOKUP(B667,Заказы!$A$2:$E$2995,2,FALSE())</f>
        <v>43991</v>
      </c>
      <c r="H667" s="1" t="n">
        <f aca="false">VLOOKUP(B667,Заказы!$A$2:$E$2995,3,FALSE())</f>
        <v>627</v>
      </c>
      <c r="I667" s="1" t="str">
        <f aca="false">VLOOKUP(H667,Клиенты!$A$2:$E$1995,5,FALSE())</f>
        <v>г. Тутаев</v>
      </c>
      <c r="J667" s="1" t="n">
        <f aca="false">VLOOKUP(B667,Заказы!$A$2:$E$2995,4,FALSE())</f>
        <v>0</v>
      </c>
      <c r="K667" s="1" t="str">
        <f aca="false">VLOOKUP(B667,Заказы!$A$2:$E$2995,5,FALSE())</f>
        <v>Не выполнено</v>
      </c>
      <c r="L667" s="1" t="n">
        <f aca="false">D667*F667+J667</f>
        <v>1815</v>
      </c>
      <c r="M667" s="1" t="n">
        <f aca="false">IF(AND(E667="Пицца Труслейка",I667="г. Москва",K667="Выполнено",G667&gt;=DATE(2020,7,1),G667&lt;DATE(2020,8,1)),L667,0)</f>
        <v>0</v>
      </c>
    </row>
    <row r="668" customFormat="false" ht="15" hidden="false" customHeight="true" outlineLevel="0" collapsed="false">
      <c r="A668" s="1" t="n">
        <v>101308</v>
      </c>
      <c r="B668" s="1" t="n">
        <v>51396</v>
      </c>
      <c r="C668" s="1" t="n">
        <v>11</v>
      </c>
      <c r="D668" s="1" t="n">
        <v>6</v>
      </c>
      <c r="E668" s="1" t="str">
        <f aca="false">VLOOKUP(C668,Меню!$A$2:$C$24,2,FALSE())</f>
        <v>Пицца Песто</v>
      </c>
      <c r="F668" s="1" t="n">
        <f aca="false">VLOOKUP(C668,Меню!$A$2:$C$24,3,FALSE())</f>
        <v>530</v>
      </c>
      <c r="G668" s="5" t="n">
        <f aca="false">VLOOKUP(B668,Заказы!$A$2:$E$2995,2,FALSE())</f>
        <v>44067</v>
      </c>
      <c r="H668" s="1" t="n">
        <f aca="false">VLOOKUP(B668,Заказы!$A$2:$E$2995,3,FALSE())</f>
        <v>840</v>
      </c>
      <c r="I668" s="1" t="str">
        <f aca="false">VLOOKUP(H668,Клиенты!$A$2:$E$1995,5,FALSE())</f>
        <v>г. Москва</v>
      </c>
      <c r="J668" s="1" t="n">
        <f aca="false">VLOOKUP(B668,Заказы!$A$2:$E$2995,4,FALSE())</f>
        <v>0</v>
      </c>
      <c r="K668" s="1" t="str">
        <f aca="false">VLOOKUP(B668,Заказы!$A$2:$E$2995,5,FALSE())</f>
        <v>Не выполнено</v>
      </c>
      <c r="L668" s="1" t="n">
        <f aca="false">D668*F668+J668</f>
        <v>3180</v>
      </c>
      <c r="M668" s="1" t="n">
        <f aca="false">IF(AND(E668="Пицца Труслейка",I668="г. Москва",K668="Выполнено",G668&gt;=DATE(2020,7,1),G668&lt;DATE(2020,8,1)),L668,0)</f>
        <v>0</v>
      </c>
    </row>
    <row r="669" customFormat="false" ht="15" hidden="false" customHeight="true" outlineLevel="0" collapsed="false">
      <c r="A669" s="1" t="n">
        <v>100363</v>
      </c>
      <c r="B669" s="1" t="n">
        <v>50207</v>
      </c>
      <c r="C669" s="1" t="n">
        <v>10</v>
      </c>
      <c r="D669" s="1" t="n">
        <v>6</v>
      </c>
      <c r="E669" s="1" t="str">
        <f aca="false">VLOOKUP(C669,Меню!$A$2:$C$24,2,FALSE())</f>
        <v>Пицца Пепперони фреш</v>
      </c>
      <c r="F669" s="1" t="n">
        <f aca="false">VLOOKUP(C669,Меню!$A$2:$C$24,3,FALSE())</f>
        <v>565</v>
      </c>
      <c r="G669" s="5" t="n">
        <f aca="false">VLOOKUP(B669,Заказы!$A$2:$E$2995,2,FALSE())</f>
        <v>44056</v>
      </c>
      <c r="H669" s="1" t="n">
        <f aca="false">VLOOKUP(B669,Заказы!$A$2:$E$2995,3,FALSE())</f>
        <v>750</v>
      </c>
      <c r="I669" s="1" t="str">
        <f aca="false">VLOOKUP(H669,Клиенты!$A$2:$E$1995,5,FALSE())</f>
        <v>г. Москва</v>
      </c>
      <c r="J669" s="1" t="n">
        <f aca="false">VLOOKUP(B669,Заказы!$A$2:$E$2995,4,FALSE())</f>
        <v>0</v>
      </c>
      <c r="K669" s="1" t="str">
        <f aca="false">VLOOKUP(B669,Заказы!$A$2:$E$2995,5,FALSE())</f>
        <v>Не выполнено</v>
      </c>
      <c r="L669" s="1" t="n">
        <f aca="false">D669*F669+J669</f>
        <v>3390</v>
      </c>
      <c r="M669" s="1" t="n">
        <f aca="false">IF(AND(E669="Пицца Труслейка",I669="г. Москва",K669="Выполнено",G669&gt;=DATE(2020,7,1),G669&lt;DATE(2020,8,1)),L669,0)</f>
        <v>0</v>
      </c>
    </row>
    <row r="670" customFormat="false" ht="15" hidden="false" customHeight="true" outlineLevel="0" collapsed="false">
      <c r="A670" s="1" t="n">
        <v>101301</v>
      </c>
      <c r="B670" s="1" t="n">
        <v>50462</v>
      </c>
      <c r="C670" s="1" t="n">
        <v>15</v>
      </c>
      <c r="D670" s="1" t="n">
        <v>4</v>
      </c>
      <c r="E670" s="1" t="str">
        <f aca="false">VLOOKUP(C670,Меню!$A$2:$C$24,2,FALSE())</f>
        <v>Пицца Тропиканка</v>
      </c>
      <c r="F670" s="1" t="n">
        <f aca="false">VLOOKUP(C670,Меню!$A$2:$C$24,3,FALSE())</f>
        <v>605</v>
      </c>
      <c r="G670" s="5" t="n">
        <f aca="false">VLOOKUP(B670,Заказы!$A$2:$E$2995,2,FALSE())</f>
        <v>44043</v>
      </c>
      <c r="H670" s="1" t="n">
        <f aca="false">VLOOKUP(B670,Заказы!$A$2:$E$2995,3,FALSE())</f>
        <v>853</v>
      </c>
      <c r="I670" s="1" t="str">
        <f aca="false">VLOOKUP(H670,Клиенты!$A$2:$E$1995,5,FALSE())</f>
        <v>г. Балаково</v>
      </c>
      <c r="J670" s="1" t="n">
        <f aca="false">VLOOKUP(B670,Заказы!$A$2:$E$2995,4,FALSE())</f>
        <v>0</v>
      </c>
      <c r="K670" s="1" t="str">
        <f aca="false">VLOOKUP(B670,Заказы!$A$2:$E$2995,5,FALSE())</f>
        <v>Не выполнено</v>
      </c>
      <c r="L670" s="1" t="n">
        <f aca="false">D670*F670+J670</f>
        <v>2420</v>
      </c>
      <c r="M670" s="1" t="n">
        <f aca="false">IF(AND(E670="Пицца Труслейка",I670="г. Москва",K670="Выполнено",G670&gt;=DATE(2020,7,1),G670&lt;DATE(2020,8,1)),L670,0)</f>
        <v>0</v>
      </c>
    </row>
    <row r="671" customFormat="false" ht="15" hidden="false" customHeight="true" outlineLevel="0" collapsed="false">
      <c r="A671" s="1" t="n">
        <v>101880</v>
      </c>
      <c r="B671" s="1" t="n">
        <v>51973</v>
      </c>
      <c r="C671" s="1" t="n">
        <v>4</v>
      </c>
      <c r="D671" s="1" t="n">
        <v>5</v>
      </c>
      <c r="E671" s="1" t="str">
        <f aca="false">VLOOKUP(C671,Меню!$A$2:$C$24,2,FALSE())</f>
        <v>Пицца Труслейка</v>
      </c>
      <c r="F671" s="1" t="n">
        <f aca="false">VLOOKUP(C671,Меню!$A$2:$C$24,3,FALSE())</f>
        <v>610</v>
      </c>
      <c r="G671" s="5" t="n">
        <f aca="false">VLOOKUP(B671,Заказы!$A$2:$E$2995,2,FALSE())</f>
        <v>44055</v>
      </c>
      <c r="H671" s="1" t="n">
        <f aca="false">VLOOKUP(B671,Заказы!$A$2:$E$2995,3,FALSE())</f>
        <v>770</v>
      </c>
      <c r="I671" s="1" t="str">
        <f aca="false">VLOOKUP(H671,Клиенты!$A$2:$E$1995,5,FALSE())</f>
        <v>г. Москва</v>
      </c>
      <c r="J671" s="1" t="n">
        <f aca="false">VLOOKUP(B671,Заказы!$A$2:$E$2995,4,FALSE())</f>
        <v>0</v>
      </c>
      <c r="K671" s="1" t="str">
        <f aca="false">VLOOKUP(B671,Заказы!$A$2:$E$2995,5,FALSE())</f>
        <v>Не выполнено</v>
      </c>
      <c r="L671" s="1" t="n">
        <f aca="false">D671*F671+J671</f>
        <v>3050</v>
      </c>
      <c r="M671" s="1" t="n">
        <f aca="false">IF(AND(E671="Пицца Труслейка",I671="г. Москва",K671="Выполнено",G671&gt;=DATE(2020,7,1),G671&lt;DATE(2020,8,1)),L671,0)</f>
        <v>0</v>
      </c>
    </row>
    <row r="672" customFormat="false" ht="15" hidden="false" customHeight="true" outlineLevel="0" collapsed="false">
      <c r="A672" s="1" t="n">
        <v>100026</v>
      </c>
      <c r="B672" s="1" t="n">
        <v>50384</v>
      </c>
      <c r="C672" s="1" t="n">
        <v>11</v>
      </c>
      <c r="D672" s="1" t="n">
        <v>2</v>
      </c>
      <c r="E672" s="1" t="str">
        <f aca="false">VLOOKUP(C672,Меню!$A$2:$C$24,2,FALSE())</f>
        <v>Пицца Песто</v>
      </c>
      <c r="F672" s="1" t="n">
        <f aca="false">VLOOKUP(C672,Меню!$A$2:$C$24,3,FALSE())</f>
        <v>530</v>
      </c>
      <c r="G672" s="5" t="n">
        <f aca="false">VLOOKUP(B672,Заказы!$A$2:$E$2995,2,FALSE())</f>
        <v>43998</v>
      </c>
      <c r="H672" s="1" t="n">
        <f aca="false">VLOOKUP(B672,Заказы!$A$2:$E$2995,3,FALSE())</f>
        <v>734</v>
      </c>
      <c r="I672" s="1" t="str">
        <f aca="false">VLOOKUP(H672,Клиенты!$A$2:$E$1995,5,FALSE())</f>
        <v>г. Артёмовск</v>
      </c>
      <c r="J672" s="1" t="n">
        <f aca="false">VLOOKUP(B672,Заказы!$A$2:$E$2995,4,FALSE())</f>
        <v>0</v>
      </c>
      <c r="K672" s="1" t="str">
        <f aca="false">VLOOKUP(B672,Заказы!$A$2:$E$2995,5,FALSE())</f>
        <v>Не выполнено</v>
      </c>
      <c r="L672" s="1" t="n">
        <f aca="false">D672*F672+J672</f>
        <v>1060</v>
      </c>
      <c r="M672" s="1" t="n">
        <f aca="false">IF(AND(E672="Пицца Труслейка",I672="г. Москва",K672="Выполнено",G672&gt;=DATE(2020,7,1),G672&lt;DATE(2020,8,1)),L672,0)</f>
        <v>0</v>
      </c>
    </row>
    <row r="673" customFormat="false" ht="15" hidden="false" customHeight="true" outlineLevel="0" collapsed="false">
      <c r="A673" s="1" t="n">
        <v>101930</v>
      </c>
      <c r="B673" s="1" t="n">
        <v>50900</v>
      </c>
      <c r="C673" s="1" t="n">
        <v>23</v>
      </c>
      <c r="D673" s="1" t="n">
        <v>9</v>
      </c>
      <c r="E673" s="1" t="str">
        <f aca="false">VLOOKUP(C673,Меню!$A$2:$C$24,2,FALSE())</f>
        <v>Пицца с тунцом</v>
      </c>
      <c r="F673" s="1" t="n">
        <f aca="false">VLOOKUP(C673,Меню!$A$2:$C$24,3,FALSE())</f>
        <v>520</v>
      </c>
      <c r="G673" s="5" t="n">
        <f aca="false">VLOOKUP(B673,Заказы!$A$2:$E$2995,2,FALSE())</f>
        <v>44049</v>
      </c>
      <c r="H673" s="1" t="n">
        <f aca="false">VLOOKUP(B673,Заказы!$A$2:$E$2995,3,FALSE())</f>
        <v>1042</v>
      </c>
      <c r="I673" s="1" t="str">
        <f aca="false">VLOOKUP(H673,Клиенты!$A$2:$E$1995,5,FALSE())</f>
        <v>г. Лихославль</v>
      </c>
      <c r="J673" s="1" t="n">
        <f aca="false">VLOOKUP(B673,Заказы!$A$2:$E$2995,4,FALSE())</f>
        <v>793</v>
      </c>
      <c r="K673" s="1" t="str">
        <f aca="false">VLOOKUP(B673,Заказы!$A$2:$E$2995,5,FALSE())</f>
        <v>Выполнено</v>
      </c>
      <c r="L673" s="1" t="n">
        <f aca="false">D673*F673+J673</f>
        <v>5473</v>
      </c>
      <c r="M673" s="1" t="n">
        <f aca="false">IF(AND(E673="Пицца Труслейка",I673="г. Москва",K673="Выполнено",G673&gt;=DATE(2020,7,1),G673&lt;DATE(2020,8,1)),L673,0)</f>
        <v>0</v>
      </c>
    </row>
    <row r="674" customFormat="false" ht="15" hidden="false" customHeight="true" outlineLevel="0" collapsed="false">
      <c r="A674" s="1" t="n">
        <v>101362</v>
      </c>
      <c r="B674" s="1" t="n">
        <v>50592</v>
      </c>
      <c r="C674" s="1" t="n">
        <v>12</v>
      </c>
      <c r="D674" s="1" t="n">
        <v>1</v>
      </c>
      <c r="E674" s="1" t="str">
        <f aca="false">VLOOKUP(C674,Меню!$A$2:$C$24,2,FALSE())</f>
        <v>Пицца Салями с трюфелем</v>
      </c>
      <c r="F674" s="1" t="n">
        <f aca="false">VLOOKUP(C674,Меню!$A$2:$C$24,3,FALSE())</f>
        <v>525</v>
      </c>
      <c r="G674" s="5" t="n">
        <f aca="false">VLOOKUP(B674,Заказы!$A$2:$E$2995,2,FALSE())</f>
        <v>44023</v>
      </c>
      <c r="H674" s="1" t="n">
        <f aca="false">VLOOKUP(B674,Заказы!$A$2:$E$2995,3,FALSE())</f>
        <v>1327</v>
      </c>
      <c r="I674" s="1" t="str">
        <f aca="false">VLOOKUP(H674,Клиенты!$A$2:$E$1995,5,FALSE())</f>
        <v>г. Тутаев</v>
      </c>
      <c r="J674" s="1" t="n">
        <f aca="false">VLOOKUP(B674,Заказы!$A$2:$E$2995,4,FALSE())</f>
        <v>643</v>
      </c>
      <c r="K674" s="1" t="str">
        <f aca="false">VLOOKUP(B674,Заказы!$A$2:$E$2995,5,FALSE())</f>
        <v>Выполнено</v>
      </c>
      <c r="L674" s="1" t="n">
        <f aca="false">D674*F674+J674</f>
        <v>1168</v>
      </c>
      <c r="M674" s="1" t="n">
        <f aca="false">IF(AND(E674="Пицца Труслейка",I674="г. Москва",K674="Выполнено",G674&gt;=DATE(2020,7,1),G674&lt;DATE(2020,8,1)),L674,0)</f>
        <v>0</v>
      </c>
    </row>
    <row r="675" customFormat="false" ht="15" hidden="false" customHeight="true" outlineLevel="0" collapsed="false">
      <c r="A675" s="1" t="n">
        <v>100888</v>
      </c>
      <c r="B675" s="1" t="n">
        <v>51720</v>
      </c>
      <c r="C675" s="1" t="n">
        <v>1</v>
      </c>
      <c r="D675" s="1" t="n">
        <v>3</v>
      </c>
      <c r="E675" s="1" t="str">
        <f aca="false">VLOOKUP(C675,Меню!$A$2:$C$24,2,FALSE())</f>
        <v>Пицца Гавайская</v>
      </c>
      <c r="F675" s="1" t="n">
        <f aca="false">VLOOKUP(C675,Меню!$A$2:$C$24,3,FALSE())</f>
        <v>545</v>
      </c>
      <c r="G675" s="5" t="n">
        <f aca="false">VLOOKUP(B675,Заказы!$A$2:$E$2995,2,FALSE())</f>
        <v>43997</v>
      </c>
      <c r="H675" s="1" t="n">
        <f aca="false">VLOOKUP(B675,Заказы!$A$2:$E$2995,3,FALSE())</f>
        <v>134</v>
      </c>
      <c r="I675" s="1" t="str">
        <f aca="false">VLOOKUP(H675,Клиенты!$A$2:$E$1995,5,FALSE())</f>
        <v>г. Кировск</v>
      </c>
      <c r="J675" s="1" t="n">
        <f aca="false">VLOOKUP(B675,Заказы!$A$2:$E$2995,4,FALSE())</f>
        <v>0</v>
      </c>
      <c r="K675" s="1" t="str">
        <f aca="false">VLOOKUP(B675,Заказы!$A$2:$E$2995,5,FALSE())</f>
        <v>Не выполнено</v>
      </c>
      <c r="L675" s="1" t="n">
        <f aca="false">D675*F675+J675</f>
        <v>1635</v>
      </c>
      <c r="M675" s="1" t="n">
        <f aca="false">IF(AND(E675="Пицца Труслейка",I675="г. Москва",K675="Выполнено",G675&gt;=DATE(2020,7,1),G675&lt;DATE(2020,8,1)),L675,0)</f>
        <v>0</v>
      </c>
    </row>
    <row r="676" customFormat="false" ht="15" hidden="false" customHeight="true" outlineLevel="0" collapsed="false">
      <c r="A676" s="1" t="n">
        <v>100951</v>
      </c>
      <c r="B676" s="1" t="n">
        <v>51098</v>
      </c>
      <c r="C676" s="1" t="n">
        <v>17</v>
      </c>
      <c r="D676" s="1" t="n">
        <v>9</v>
      </c>
      <c r="E676" s="1" t="str">
        <f aca="false">VLOOKUP(C676,Меню!$A$2:$C$24,2,FALSE())</f>
        <v>Пицца Френч Фрайз</v>
      </c>
      <c r="F676" s="1" t="n">
        <f aca="false">VLOOKUP(C676,Меню!$A$2:$C$24,3,FALSE())</f>
        <v>515</v>
      </c>
      <c r="G676" s="5" t="n">
        <f aca="false">VLOOKUP(B676,Заказы!$A$2:$E$2995,2,FALSE())</f>
        <v>44057</v>
      </c>
      <c r="H676" s="1" t="n">
        <f aca="false">VLOOKUP(B676,Заказы!$A$2:$E$2995,3,FALSE())</f>
        <v>55</v>
      </c>
      <c r="I676" s="1" t="str">
        <f aca="false">VLOOKUP(H676,Клиенты!$A$2:$E$1995,5,FALSE())</f>
        <v>г. Кемь</v>
      </c>
      <c r="J676" s="1" t="n">
        <f aca="false">VLOOKUP(B676,Заказы!$A$2:$E$2995,4,FALSE())</f>
        <v>101</v>
      </c>
      <c r="K676" s="1" t="str">
        <f aca="false">VLOOKUP(B676,Заказы!$A$2:$E$2995,5,FALSE())</f>
        <v>Выполнено</v>
      </c>
      <c r="L676" s="1" t="n">
        <f aca="false">D676*F676+J676</f>
        <v>4736</v>
      </c>
      <c r="M676" s="1" t="n">
        <f aca="false">IF(AND(E676="Пицца Труслейка",I676="г. Москва",K676="Выполнено",G676&gt;=DATE(2020,7,1),G676&lt;DATE(2020,8,1)),L676,0)</f>
        <v>0</v>
      </c>
    </row>
    <row r="677" customFormat="false" ht="15" hidden="false" customHeight="true" outlineLevel="0" collapsed="false">
      <c r="A677" s="1" t="n">
        <v>101750</v>
      </c>
      <c r="B677" s="1" t="n">
        <v>51810</v>
      </c>
      <c r="C677" s="1" t="n">
        <v>19</v>
      </c>
      <c r="D677" s="1" t="n">
        <v>9</v>
      </c>
      <c r="E677" s="1" t="str">
        <f aca="false">VLOOKUP(C677,Меню!$A$2:$C$24,2,FALSE())</f>
        <v>Пицца Цезарь</v>
      </c>
      <c r="F677" s="1" t="n">
        <f aca="false">VLOOKUP(C677,Меню!$A$2:$C$24,3,FALSE())</f>
        <v>630</v>
      </c>
      <c r="G677" s="5" t="n">
        <f aca="false">VLOOKUP(B677,Заказы!$A$2:$E$2995,2,FALSE())</f>
        <v>44015</v>
      </c>
      <c r="H677" s="1" t="n">
        <f aca="false">VLOOKUP(B677,Заказы!$A$2:$E$2995,3,FALSE())</f>
        <v>371</v>
      </c>
      <c r="I677" s="1" t="str">
        <f aca="false">VLOOKUP(H677,Клиенты!$A$2:$E$1995,5,FALSE())</f>
        <v>г. Себеж</v>
      </c>
      <c r="J677" s="1" t="n">
        <f aca="false">VLOOKUP(B677,Заказы!$A$2:$E$2995,4,FALSE())</f>
        <v>0</v>
      </c>
      <c r="K677" s="1" t="str">
        <f aca="false">VLOOKUP(B677,Заказы!$A$2:$E$2995,5,FALSE())</f>
        <v>Не выполнено</v>
      </c>
      <c r="L677" s="1" t="n">
        <f aca="false">D677*F677+J677</f>
        <v>5670</v>
      </c>
      <c r="M677" s="1" t="n">
        <f aca="false">IF(AND(E677="Пицца Труслейка",I677="г. Москва",K677="Выполнено",G677&gt;=DATE(2020,7,1),G677&lt;DATE(2020,8,1)),L677,0)</f>
        <v>0</v>
      </c>
    </row>
    <row r="678" customFormat="false" ht="15" hidden="false" customHeight="true" outlineLevel="0" collapsed="false">
      <c r="A678" s="1" t="n">
        <v>101665</v>
      </c>
      <c r="B678" s="1" t="n">
        <v>50689</v>
      </c>
      <c r="C678" s="1" t="n">
        <v>20</v>
      </c>
      <c r="D678" s="1" t="n">
        <v>2</v>
      </c>
      <c r="E678" s="1" t="str">
        <f aca="false">VLOOKUP(C678,Меню!$A$2:$C$24,2,FALSE())</f>
        <v>Пицца пиканте</v>
      </c>
      <c r="F678" s="1" t="n">
        <f aca="false">VLOOKUP(C678,Меню!$A$2:$C$24,3,FALSE())</f>
        <v>585</v>
      </c>
      <c r="G678" s="5" t="n">
        <f aca="false">VLOOKUP(B678,Заказы!$A$2:$E$2995,2,FALSE())</f>
        <v>44018</v>
      </c>
      <c r="H678" s="1" t="n">
        <f aca="false">VLOOKUP(B678,Заказы!$A$2:$E$2995,3,FALSE())</f>
        <v>72</v>
      </c>
      <c r="I678" s="1" t="str">
        <f aca="false">VLOOKUP(H678,Клиенты!$A$2:$E$1995,5,FALSE())</f>
        <v>г. Меленки</v>
      </c>
      <c r="J678" s="1" t="n">
        <f aca="false">VLOOKUP(B678,Заказы!$A$2:$E$2995,4,FALSE())</f>
        <v>157</v>
      </c>
      <c r="K678" s="1" t="str">
        <f aca="false">VLOOKUP(B678,Заказы!$A$2:$E$2995,5,FALSE())</f>
        <v>Выполнено</v>
      </c>
      <c r="L678" s="1" t="n">
        <f aca="false">D678*F678+J678</f>
        <v>1327</v>
      </c>
      <c r="M678" s="1" t="n">
        <f aca="false">IF(AND(E678="Пицца Труслейка",I678="г. Москва",K678="Выполнено",G678&gt;=DATE(2020,7,1),G678&lt;DATE(2020,8,1)),L678,0)</f>
        <v>0</v>
      </c>
    </row>
    <row r="679" customFormat="false" ht="15" hidden="false" customHeight="true" outlineLevel="0" collapsed="false">
      <c r="A679" s="1" t="n">
        <v>101912</v>
      </c>
      <c r="B679" s="1" t="n">
        <v>51083</v>
      </c>
      <c r="C679" s="1" t="n">
        <v>9</v>
      </c>
      <c r="D679" s="1" t="n">
        <v>8</v>
      </c>
      <c r="E679" s="1" t="str">
        <f aca="false">VLOOKUP(C679,Меню!$A$2:$C$24,2,FALSE())</f>
        <v>Пицца Острая с беконом</v>
      </c>
      <c r="F679" s="1" t="n">
        <f aca="false">VLOOKUP(C679,Меню!$A$2:$C$24,3,FALSE())</f>
        <v>540</v>
      </c>
      <c r="G679" s="5" t="n">
        <f aca="false">VLOOKUP(B679,Заказы!$A$2:$E$2995,2,FALSE())</f>
        <v>44052</v>
      </c>
      <c r="H679" s="1" t="n">
        <f aca="false">VLOOKUP(B679,Заказы!$A$2:$E$2995,3,FALSE())</f>
        <v>1073</v>
      </c>
      <c r="I679" s="1" t="str">
        <f aca="false">VLOOKUP(H679,Клиенты!$A$2:$E$1995,5,FALSE())</f>
        <v>г. Ветлуга</v>
      </c>
      <c r="J679" s="1" t="n">
        <f aca="false">VLOOKUP(B679,Заказы!$A$2:$E$2995,4,FALSE())</f>
        <v>708</v>
      </c>
      <c r="K679" s="1" t="str">
        <f aca="false">VLOOKUP(B679,Заказы!$A$2:$E$2995,5,FALSE())</f>
        <v>Выполнено</v>
      </c>
      <c r="L679" s="1" t="n">
        <f aca="false">D679*F679+J679</f>
        <v>5028</v>
      </c>
      <c r="M679" s="1" t="n">
        <f aca="false">IF(AND(E679="Пицца Труслейка",I679="г. Москва",K679="Выполнено",G679&gt;=DATE(2020,7,1),G679&lt;DATE(2020,8,1)),L679,0)</f>
        <v>0</v>
      </c>
    </row>
    <row r="680" customFormat="false" ht="15" hidden="false" customHeight="true" outlineLevel="0" collapsed="false">
      <c r="A680" s="1" t="n">
        <v>100834</v>
      </c>
      <c r="B680" s="1" t="n">
        <v>51132</v>
      </c>
      <c r="C680" s="1" t="n">
        <v>3</v>
      </c>
      <c r="D680" s="1" t="n">
        <v>7</v>
      </c>
      <c r="E680" s="1" t="str">
        <f aca="false">VLOOKUP(C680,Меню!$A$2:$C$24,2,FALSE())</f>
        <v>Пицца Диабло</v>
      </c>
      <c r="F680" s="1" t="n">
        <f aca="false">VLOOKUP(C680,Меню!$A$2:$C$24,3,FALSE())</f>
        <v>590</v>
      </c>
      <c r="G680" s="5" t="n">
        <f aca="false">VLOOKUP(B680,Заказы!$A$2:$E$2995,2,FALSE())</f>
        <v>43985</v>
      </c>
      <c r="H680" s="1" t="n">
        <f aca="false">VLOOKUP(B680,Заказы!$A$2:$E$2995,3,FALSE())</f>
        <v>1503</v>
      </c>
      <c r="I680" s="1" t="str">
        <f aca="false">VLOOKUP(H680,Клиенты!$A$2:$E$1995,5,FALSE())</f>
        <v>г. Магнитогорск</v>
      </c>
      <c r="J680" s="1" t="n">
        <f aca="false">VLOOKUP(B680,Заказы!$A$2:$E$2995,4,FALSE())</f>
        <v>770</v>
      </c>
      <c r="K680" s="1" t="str">
        <f aca="false">VLOOKUP(B680,Заказы!$A$2:$E$2995,5,FALSE())</f>
        <v>Выполнено</v>
      </c>
      <c r="L680" s="1" t="n">
        <f aca="false">D680*F680+J680</f>
        <v>4900</v>
      </c>
      <c r="M680" s="1" t="n">
        <f aca="false">IF(AND(E680="Пицца Труслейка",I680="г. Москва",K680="Выполнено",G680&gt;=DATE(2020,7,1),G680&lt;DATE(2020,8,1)),L680,0)</f>
        <v>0</v>
      </c>
    </row>
    <row r="681" customFormat="false" ht="15" hidden="false" customHeight="true" outlineLevel="0" collapsed="false">
      <c r="A681" s="1" t="n">
        <v>100120</v>
      </c>
      <c r="B681" s="1" t="n">
        <v>50925</v>
      </c>
      <c r="C681" s="1" t="n">
        <v>4</v>
      </c>
      <c r="D681" s="1" t="n">
        <v>1</v>
      </c>
      <c r="E681" s="1" t="str">
        <f aca="false">VLOOKUP(C681,Меню!$A$2:$C$24,2,FALSE())</f>
        <v>Пицца Труслейка</v>
      </c>
      <c r="F681" s="1" t="n">
        <f aca="false">VLOOKUP(C681,Меню!$A$2:$C$24,3,FALSE())</f>
        <v>610</v>
      </c>
      <c r="G681" s="5" t="n">
        <f aca="false">VLOOKUP(B681,Заказы!$A$2:$E$2995,2,FALSE())</f>
        <v>44053</v>
      </c>
      <c r="H681" s="1" t="n">
        <f aca="false">VLOOKUP(B681,Заказы!$A$2:$E$2995,3,FALSE())</f>
        <v>1467</v>
      </c>
      <c r="I681" s="1" t="str">
        <f aca="false">VLOOKUP(H681,Клиенты!$A$2:$E$1995,5,FALSE())</f>
        <v>г. Мамоново</v>
      </c>
      <c r="J681" s="1" t="n">
        <f aca="false">VLOOKUP(B681,Заказы!$A$2:$E$2995,4,FALSE())</f>
        <v>413</v>
      </c>
      <c r="K681" s="1" t="str">
        <f aca="false">VLOOKUP(B681,Заказы!$A$2:$E$2995,5,FALSE())</f>
        <v>Выполнено</v>
      </c>
      <c r="L681" s="1" t="n">
        <f aca="false">D681*F681+J681</f>
        <v>1023</v>
      </c>
      <c r="M681" s="1" t="n">
        <f aca="false">IF(AND(E681="Пицца Труслейка",I681="г. Москва",K681="Выполнено",G681&gt;=DATE(2020,7,1),G681&lt;DATE(2020,8,1)),L681,0)</f>
        <v>0</v>
      </c>
    </row>
    <row r="682" customFormat="false" ht="15" hidden="false" customHeight="true" outlineLevel="0" collapsed="false">
      <c r="A682" s="1" t="n">
        <v>101327</v>
      </c>
      <c r="B682" s="1" t="n">
        <v>50106</v>
      </c>
      <c r="C682" s="1" t="n">
        <v>19</v>
      </c>
      <c r="D682" s="1" t="n">
        <v>5</v>
      </c>
      <c r="E682" s="1" t="str">
        <f aca="false">VLOOKUP(C682,Меню!$A$2:$C$24,2,FALSE())</f>
        <v>Пицца Цезарь</v>
      </c>
      <c r="F682" s="1" t="n">
        <f aca="false">VLOOKUP(C682,Меню!$A$2:$C$24,3,FALSE())</f>
        <v>630</v>
      </c>
      <c r="G682" s="5" t="n">
        <f aca="false">VLOOKUP(B682,Заказы!$A$2:$E$2995,2,FALSE())</f>
        <v>44009</v>
      </c>
      <c r="H682" s="1" t="n">
        <f aca="false">VLOOKUP(B682,Заказы!$A$2:$E$2995,3,FALSE())</f>
        <v>1103</v>
      </c>
      <c r="I682" s="1" t="str">
        <f aca="false">VLOOKUP(H682,Клиенты!$A$2:$E$1995,5,FALSE())</f>
        <v>г. Сурск</v>
      </c>
      <c r="J682" s="1" t="n">
        <f aca="false">VLOOKUP(B682,Заказы!$A$2:$E$2995,4,FALSE())</f>
        <v>0</v>
      </c>
      <c r="K682" s="1" t="str">
        <f aca="false">VLOOKUP(B682,Заказы!$A$2:$E$2995,5,FALSE())</f>
        <v>Не выполнено</v>
      </c>
      <c r="L682" s="1" t="n">
        <f aca="false">D682*F682+J682</f>
        <v>3150</v>
      </c>
      <c r="M682" s="1" t="n">
        <f aca="false">IF(AND(E682="Пицца Труслейка",I682="г. Москва",K682="Выполнено",G682&gt;=DATE(2020,7,1),G682&lt;DATE(2020,8,1)),L682,0)</f>
        <v>0</v>
      </c>
    </row>
    <row r="683" customFormat="false" ht="15" hidden="false" customHeight="true" outlineLevel="0" collapsed="false">
      <c r="A683" s="1" t="n">
        <v>101524</v>
      </c>
      <c r="B683" s="1" t="n">
        <v>50846</v>
      </c>
      <c r="C683" s="1" t="n">
        <v>14</v>
      </c>
      <c r="D683" s="1" t="n">
        <v>3</v>
      </c>
      <c r="E683" s="1" t="str">
        <f aca="false">VLOOKUP(C683,Меню!$A$2:$C$24,2,FALSE())</f>
        <v>Пицца Сырный цыпленок</v>
      </c>
      <c r="F683" s="1" t="n">
        <f aca="false">VLOOKUP(C683,Меню!$A$2:$C$24,3,FALSE())</f>
        <v>555</v>
      </c>
      <c r="G683" s="5" t="n">
        <f aca="false">VLOOKUP(B683,Заказы!$A$2:$E$2995,2,FALSE())</f>
        <v>44057</v>
      </c>
      <c r="H683" s="1" t="n">
        <f aca="false">VLOOKUP(B683,Заказы!$A$2:$E$2995,3,FALSE())</f>
        <v>90</v>
      </c>
      <c r="I683" s="1" t="str">
        <f aca="false">VLOOKUP(H683,Клиенты!$A$2:$E$1995,5,FALSE())</f>
        <v>г. Москва</v>
      </c>
      <c r="J683" s="1" t="n">
        <f aca="false">VLOOKUP(B683,Заказы!$A$2:$E$2995,4,FALSE())</f>
        <v>0</v>
      </c>
      <c r="K683" s="1" t="str">
        <f aca="false">VLOOKUP(B683,Заказы!$A$2:$E$2995,5,FALSE())</f>
        <v>Не выполнено</v>
      </c>
      <c r="L683" s="1" t="n">
        <f aca="false">D683*F683+J683</f>
        <v>1665</v>
      </c>
      <c r="M683" s="1" t="n">
        <f aca="false">IF(AND(E683="Пицца Труслейка",I683="г. Москва",K683="Выполнено",G683&gt;=DATE(2020,7,1),G683&lt;DATE(2020,8,1)),L683,0)</f>
        <v>0</v>
      </c>
    </row>
    <row r="684" customFormat="false" ht="15" hidden="false" customHeight="true" outlineLevel="0" collapsed="false">
      <c r="A684" s="1" t="n">
        <v>100550</v>
      </c>
      <c r="B684" s="1" t="n">
        <v>51937</v>
      </c>
      <c r="C684" s="1" t="n">
        <v>18</v>
      </c>
      <c r="D684" s="1" t="n">
        <v>7</v>
      </c>
      <c r="E684" s="1" t="str">
        <f aca="false">VLOOKUP(C684,Меню!$A$2:$C$24,2,FALSE())</f>
        <v>Пицца Царская</v>
      </c>
      <c r="F684" s="1" t="n">
        <f aca="false">VLOOKUP(C684,Меню!$A$2:$C$24,3,FALSE())</f>
        <v>620</v>
      </c>
      <c r="G684" s="5" t="n">
        <f aca="false">VLOOKUP(B684,Заказы!$A$2:$E$2995,2,FALSE())</f>
        <v>44064</v>
      </c>
      <c r="H684" s="1" t="n">
        <f aca="false">VLOOKUP(B684,Заказы!$A$2:$E$2995,3,FALSE())</f>
        <v>1242</v>
      </c>
      <c r="I684" s="1" t="str">
        <f aca="false">VLOOKUP(H684,Клиенты!$A$2:$E$1995,5,FALSE())</f>
        <v>г. Карабаново</v>
      </c>
      <c r="J684" s="1" t="n">
        <f aca="false">VLOOKUP(B684,Заказы!$A$2:$E$2995,4,FALSE())</f>
        <v>664</v>
      </c>
      <c r="K684" s="1" t="str">
        <f aca="false">VLOOKUP(B684,Заказы!$A$2:$E$2995,5,FALSE())</f>
        <v>Выполнено</v>
      </c>
      <c r="L684" s="1" t="n">
        <f aca="false">D684*F684+J684</f>
        <v>5004</v>
      </c>
      <c r="M684" s="1" t="n">
        <f aca="false">IF(AND(E684="Пицца Труслейка",I684="г. Москва",K684="Выполнено",G684&gt;=DATE(2020,7,1),G684&lt;DATE(2020,8,1)),L684,0)</f>
        <v>0</v>
      </c>
    </row>
    <row r="685" customFormat="false" ht="15" hidden="false" customHeight="true" outlineLevel="0" collapsed="false">
      <c r="A685" s="1" t="n">
        <v>100181</v>
      </c>
      <c r="B685" s="1" t="n">
        <v>51282</v>
      </c>
      <c r="C685" s="1" t="n">
        <v>1</v>
      </c>
      <c r="D685" s="1" t="n">
        <v>8</v>
      </c>
      <c r="E685" s="1" t="str">
        <f aca="false">VLOOKUP(C685,Меню!$A$2:$C$24,2,FALSE())</f>
        <v>Пицца Гавайская</v>
      </c>
      <c r="F685" s="1" t="n">
        <f aca="false">VLOOKUP(C685,Меню!$A$2:$C$24,3,FALSE())</f>
        <v>545</v>
      </c>
      <c r="G685" s="5" t="n">
        <f aca="false">VLOOKUP(B685,Заказы!$A$2:$E$2995,2,FALSE())</f>
        <v>44048</v>
      </c>
      <c r="H685" s="1" t="n">
        <f aca="false">VLOOKUP(B685,Заказы!$A$2:$E$2995,3,FALSE())</f>
        <v>1482</v>
      </c>
      <c r="I685" s="1" t="str">
        <f aca="false">VLOOKUP(H685,Клиенты!$A$2:$E$1995,5,FALSE())</f>
        <v>г. Нариманов</v>
      </c>
      <c r="J685" s="1" t="n">
        <f aca="false">VLOOKUP(B685,Заказы!$A$2:$E$2995,4,FALSE())</f>
        <v>0</v>
      </c>
      <c r="K685" s="1" t="str">
        <f aca="false">VLOOKUP(B685,Заказы!$A$2:$E$2995,5,FALSE())</f>
        <v>Не выполнено</v>
      </c>
      <c r="L685" s="1" t="n">
        <f aca="false">D685*F685+J685</f>
        <v>4360</v>
      </c>
      <c r="M685" s="1" t="n">
        <f aca="false">IF(AND(E685="Пицца Труслейка",I685="г. Москва",K685="Выполнено",G685&gt;=DATE(2020,7,1),G685&lt;DATE(2020,8,1)),L685,0)</f>
        <v>0</v>
      </c>
    </row>
    <row r="686" customFormat="false" ht="15" hidden="false" customHeight="true" outlineLevel="0" collapsed="false">
      <c r="A686" s="1" t="n">
        <v>101269</v>
      </c>
      <c r="B686" s="1" t="n">
        <v>50160</v>
      </c>
      <c r="C686" s="1" t="n">
        <v>18</v>
      </c>
      <c r="D686" s="1" t="n">
        <v>6</v>
      </c>
      <c r="E686" s="1" t="str">
        <f aca="false">VLOOKUP(C686,Меню!$A$2:$C$24,2,FALSE())</f>
        <v>Пицца Царская</v>
      </c>
      <c r="F686" s="1" t="n">
        <f aca="false">VLOOKUP(C686,Меню!$A$2:$C$24,3,FALSE())</f>
        <v>620</v>
      </c>
      <c r="G686" s="5" t="n">
        <f aca="false">VLOOKUP(B686,Заказы!$A$2:$E$2995,2,FALSE())</f>
        <v>44057</v>
      </c>
      <c r="H686" s="1" t="n">
        <f aca="false">VLOOKUP(B686,Заказы!$A$2:$E$2995,3,FALSE())</f>
        <v>1964</v>
      </c>
      <c r="I686" s="1" t="str">
        <f aca="false">VLOOKUP(H686,Клиенты!$A$2:$E$1995,5,FALSE())</f>
        <v>г. Спасск</v>
      </c>
      <c r="J686" s="1" t="n">
        <f aca="false">VLOOKUP(B686,Заказы!$A$2:$E$2995,4,FALSE())</f>
        <v>0</v>
      </c>
      <c r="K686" s="1" t="str">
        <f aca="false">VLOOKUP(B686,Заказы!$A$2:$E$2995,5,FALSE())</f>
        <v>Не выполнено</v>
      </c>
      <c r="L686" s="1" t="n">
        <f aca="false">D686*F686+J686</f>
        <v>3720</v>
      </c>
      <c r="M686" s="1" t="n">
        <f aca="false">IF(AND(E686="Пицца Труслейка",I686="г. Москва",K686="Выполнено",G686&gt;=DATE(2020,7,1),G686&lt;DATE(2020,8,1)),L686,0)</f>
        <v>0</v>
      </c>
    </row>
    <row r="687" customFormat="false" ht="15" hidden="false" customHeight="true" outlineLevel="0" collapsed="false">
      <c r="A687" s="1" t="n">
        <v>101083</v>
      </c>
      <c r="B687" s="1" t="n">
        <v>51015</v>
      </c>
      <c r="C687" s="1" t="n">
        <v>19</v>
      </c>
      <c r="D687" s="1" t="n">
        <v>8</v>
      </c>
      <c r="E687" s="1" t="str">
        <f aca="false">VLOOKUP(C687,Меню!$A$2:$C$24,2,FALSE())</f>
        <v>Пицца Цезарь</v>
      </c>
      <c r="F687" s="1" t="n">
        <f aca="false">VLOOKUP(C687,Меню!$A$2:$C$24,3,FALSE())</f>
        <v>630</v>
      </c>
      <c r="G687" s="5" t="n">
        <f aca="false">VLOOKUP(B687,Заказы!$A$2:$E$2995,2,FALSE())</f>
        <v>44016</v>
      </c>
      <c r="H687" s="1" t="n">
        <f aca="false">VLOOKUP(B687,Заказы!$A$2:$E$2995,3,FALSE())</f>
        <v>670</v>
      </c>
      <c r="I687" s="1" t="str">
        <f aca="false">VLOOKUP(H687,Клиенты!$A$2:$E$1995,5,FALSE())</f>
        <v>г. Москва</v>
      </c>
      <c r="J687" s="1" t="n">
        <f aca="false">VLOOKUP(B687,Заказы!$A$2:$E$2995,4,FALSE())</f>
        <v>0</v>
      </c>
      <c r="K687" s="1" t="str">
        <f aca="false">VLOOKUP(B687,Заказы!$A$2:$E$2995,5,FALSE())</f>
        <v>Не выполнено</v>
      </c>
      <c r="L687" s="1" t="n">
        <f aca="false">D687*F687+J687</f>
        <v>5040</v>
      </c>
      <c r="M687" s="1" t="n">
        <f aca="false">IF(AND(E687="Пицца Труслейка",I687="г. Москва",K687="Выполнено",G687&gt;=DATE(2020,7,1),G687&lt;DATE(2020,8,1)),L687,0)</f>
        <v>0</v>
      </c>
    </row>
    <row r="688" customFormat="false" ht="15" hidden="false" customHeight="true" outlineLevel="0" collapsed="false">
      <c r="A688" s="1" t="n">
        <v>100663</v>
      </c>
      <c r="B688" s="1" t="n">
        <v>50444</v>
      </c>
      <c r="C688" s="1" t="n">
        <v>2</v>
      </c>
      <c r="D688" s="1" t="n">
        <v>10</v>
      </c>
      <c r="E688" s="1" t="str">
        <f aca="false">VLOOKUP(C688,Меню!$A$2:$C$24,2,FALSE())</f>
        <v>Пицца Двойная пепперони</v>
      </c>
      <c r="F688" s="1" t="n">
        <f aca="false">VLOOKUP(C688,Меню!$A$2:$C$24,3,FALSE())</f>
        <v>575</v>
      </c>
      <c r="G688" s="5" t="n">
        <f aca="false">VLOOKUP(B688,Заказы!$A$2:$E$2995,2,FALSE())</f>
        <v>44028</v>
      </c>
      <c r="H688" s="1" t="n">
        <f aca="false">VLOOKUP(B688,Заказы!$A$2:$E$2995,3,FALSE())</f>
        <v>475</v>
      </c>
      <c r="I688" s="1" t="str">
        <f aca="false">VLOOKUP(H688,Клиенты!$A$2:$E$1995,5,FALSE())</f>
        <v>г. Калач</v>
      </c>
      <c r="J688" s="1" t="n">
        <f aca="false">VLOOKUP(B688,Заказы!$A$2:$E$2995,4,FALSE())</f>
        <v>0</v>
      </c>
      <c r="K688" s="1" t="str">
        <f aca="false">VLOOKUP(B688,Заказы!$A$2:$E$2995,5,FALSE())</f>
        <v>Не выполнено</v>
      </c>
      <c r="L688" s="1" t="n">
        <f aca="false">D688*F688+J688</f>
        <v>5750</v>
      </c>
      <c r="M688" s="1" t="n">
        <f aca="false">IF(AND(E688="Пицца Труслейка",I688="г. Москва",K688="Выполнено",G688&gt;=DATE(2020,7,1),G688&lt;DATE(2020,8,1)),L688,0)</f>
        <v>0</v>
      </c>
    </row>
    <row r="689" customFormat="false" ht="15" hidden="false" customHeight="true" outlineLevel="0" collapsed="false">
      <c r="A689" s="1" t="n">
        <v>101713</v>
      </c>
      <c r="B689" s="1" t="n">
        <v>50581</v>
      </c>
      <c r="C689" s="1" t="n">
        <v>17</v>
      </c>
      <c r="D689" s="1" t="n">
        <v>5</v>
      </c>
      <c r="E689" s="1" t="str">
        <f aca="false">VLOOKUP(C689,Меню!$A$2:$C$24,2,FALSE())</f>
        <v>Пицца Френч Фрайз</v>
      </c>
      <c r="F689" s="1" t="n">
        <f aca="false">VLOOKUP(C689,Меню!$A$2:$C$24,3,FALSE())</f>
        <v>515</v>
      </c>
      <c r="G689" s="5" t="n">
        <f aca="false">VLOOKUP(B689,Заказы!$A$2:$E$2995,2,FALSE())</f>
        <v>43989</v>
      </c>
      <c r="H689" s="1" t="n">
        <f aca="false">VLOOKUP(B689,Заказы!$A$2:$E$2995,3,FALSE())</f>
        <v>260</v>
      </c>
      <c r="I689" s="1" t="str">
        <f aca="false">VLOOKUP(H689,Клиенты!$A$2:$E$1995,5,FALSE())</f>
        <v>г. Москва</v>
      </c>
      <c r="J689" s="1" t="n">
        <f aca="false">VLOOKUP(B689,Заказы!$A$2:$E$2995,4,FALSE())</f>
        <v>0</v>
      </c>
      <c r="K689" s="1" t="str">
        <f aca="false">VLOOKUP(B689,Заказы!$A$2:$E$2995,5,FALSE())</f>
        <v>Не выполнено</v>
      </c>
      <c r="L689" s="1" t="n">
        <f aca="false">D689*F689+J689</f>
        <v>2575</v>
      </c>
      <c r="M689" s="1" t="n">
        <f aca="false">IF(AND(E689="Пицца Труслейка",I689="г. Москва",K689="Выполнено",G689&gt;=DATE(2020,7,1),G689&lt;DATE(2020,8,1)),L689,0)</f>
        <v>0</v>
      </c>
    </row>
    <row r="690" customFormat="false" ht="15" hidden="false" customHeight="true" outlineLevel="0" collapsed="false">
      <c r="A690" s="1" t="n">
        <v>101497</v>
      </c>
      <c r="B690" s="1" t="n">
        <v>50884</v>
      </c>
      <c r="C690" s="1" t="n">
        <v>13</v>
      </c>
      <c r="D690" s="1" t="n">
        <v>2</v>
      </c>
      <c r="E690" s="1" t="str">
        <f aca="false">VLOOKUP(C690,Меню!$A$2:$C$24,2,FALSE())</f>
        <v>Пицца Сырная</v>
      </c>
      <c r="F690" s="1" t="n">
        <f aca="false">VLOOKUP(C690,Меню!$A$2:$C$24,3,FALSE())</f>
        <v>635</v>
      </c>
      <c r="G690" s="5" t="n">
        <f aca="false">VLOOKUP(B690,Заказы!$A$2:$E$2995,2,FALSE())</f>
        <v>44004</v>
      </c>
      <c r="H690" s="1" t="n">
        <f aca="false">VLOOKUP(B690,Заказы!$A$2:$E$2995,3,FALSE())</f>
        <v>1312</v>
      </c>
      <c r="I690" s="1" t="str">
        <f aca="false">VLOOKUP(H690,Клиенты!$A$2:$E$1995,5,FALSE())</f>
        <v>г. Гаджиево</v>
      </c>
      <c r="J690" s="1" t="n">
        <f aca="false">VLOOKUP(B690,Заказы!$A$2:$E$2995,4,FALSE())</f>
        <v>0</v>
      </c>
      <c r="K690" s="1" t="str">
        <f aca="false">VLOOKUP(B690,Заказы!$A$2:$E$2995,5,FALSE())</f>
        <v>Не выполнено</v>
      </c>
      <c r="L690" s="1" t="n">
        <f aca="false">D690*F690+J690</f>
        <v>1270</v>
      </c>
      <c r="M690" s="1" t="n">
        <f aca="false">IF(AND(E690="Пицца Труслейка",I690="г. Москва",K690="Выполнено",G690&gt;=DATE(2020,7,1),G690&lt;DATE(2020,8,1)),L690,0)</f>
        <v>0</v>
      </c>
    </row>
    <row r="691" customFormat="false" ht="15" hidden="false" customHeight="true" outlineLevel="0" collapsed="false">
      <c r="A691" s="1" t="n">
        <v>101461</v>
      </c>
      <c r="B691" s="1" t="n">
        <v>50854</v>
      </c>
      <c r="C691" s="1" t="n">
        <v>4</v>
      </c>
      <c r="D691" s="1" t="n">
        <v>7</v>
      </c>
      <c r="E691" s="1" t="str">
        <f aca="false">VLOOKUP(C691,Меню!$A$2:$C$24,2,FALSE())</f>
        <v>Пицца Труслейка</v>
      </c>
      <c r="F691" s="1" t="n">
        <f aca="false">VLOOKUP(C691,Меню!$A$2:$C$24,3,FALSE())</f>
        <v>610</v>
      </c>
      <c r="G691" s="5" t="n">
        <f aca="false">VLOOKUP(B691,Заказы!$A$2:$E$2995,2,FALSE())</f>
        <v>43986</v>
      </c>
      <c r="H691" s="1" t="n">
        <f aca="false">VLOOKUP(B691,Заказы!$A$2:$E$2995,3,FALSE())</f>
        <v>1066</v>
      </c>
      <c r="I691" s="1" t="str">
        <f aca="false">VLOOKUP(H691,Клиенты!$A$2:$E$1995,5,FALSE())</f>
        <v>г. Миньяр</v>
      </c>
      <c r="J691" s="1" t="n">
        <f aca="false">VLOOKUP(B691,Заказы!$A$2:$E$2995,4,FALSE())</f>
        <v>208</v>
      </c>
      <c r="K691" s="1" t="str">
        <f aca="false">VLOOKUP(B691,Заказы!$A$2:$E$2995,5,FALSE())</f>
        <v>Выполнено</v>
      </c>
      <c r="L691" s="1" t="n">
        <f aca="false">D691*F691+J691</f>
        <v>4478</v>
      </c>
      <c r="M691" s="1" t="n">
        <f aca="false">IF(AND(E691="Пицца Труслейка",I691="г. Москва",K691="Выполнено",G691&gt;=DATE(2020,7,1),G691&lt;DATE(2020,8,1)),L691,0)</f>
        <v>0</v>
      </c>
    </row>
    <row r="692" customFormat="false" ht="15" hidden="false" customHeight="true" outlineLevel="0" collapsed="false">
      <c r="A692" s="1" t="n">
        <v>100846</v>
      </c>
      <c r="B692" s="1" t="n">
        <v>50716</v>
      </c>
      <c r="C692" s="1" t="n">
        <v>12</v>
      </c>
      <c r="D692" s="1" t="n">
        <v>6</v>
      </c>
      <c r="E692" s="1" t="str">
        <f aca="false">VLOOKUP(C692,Меню!$A$2:$C$24,2,FALSE())</f>
        <v>Пицца Салями с трюфелем</v>
      </c>
      <c r="F692" s="1" t="n">
        <f aca="false">VLOOKUP(C692,Меню!$A$2:$C$24,3,FALSE())</f>
        <v>525</v>
      </c>
      <c r="G692" s="5" t="n">
        <f aca="false">VLOOKUP(B692,Заказы!$A$2:$E$2995,2,FALSE())</f>
        <v>43999</v>
      </c>
      <c r="H692" s="1" t="n">
        <f aca="false">VLOOKUP(B692,Заказы!$A$2:$E$2995,3,FALSE())</f>
        <v>408</v>
      </c>
      <c r="I692" s="1" t="str">
        <f aca="false">VLOOKUP(H692,Клиенты!$A$2:$E$1995,5,FALSE())</f>
        <v>г. Верещагино</v>
      </c>
      <c r="J692" s="1" t="n">
        <f aca="false">VLOOKUP(B692,Заказы!$A$2:$E$2995,4,FALSE())</f>
        <v>0</v>
      </c>
      <c r="K692" s="1" t="str">
        <f aca="false">VLOOKUP(B692,Заказы!$A$2:$E$2995,5,FALSE())</f>
        <v>Не выполнено</v>
      </c>
      <c r="L692" s="1" t="n">
        <f aca="false">D692*F692+J692</f>
        <v>3150</v>
      </c>
      <c r="M692" s="1" t="n">
        <f aca="false">IF(AND(E692="Пицца Труслейка",I692="г. Москва",K692="Выполнено",G692&gt;=DATE(2020,7,1),G692&lt;DATE(2020,8,1)),L692,0)</f>
        <v>0</v>
      </c>
    </row>
    <row r="693" customFormat="false" ht="15" hidden="false" customHeight="true" outlineLevel="0" collapsed="false">
      <c r="A693" s="1" t="n">
        <v>101130</v>
      </c>
      <c r="B693" s="1" t="n">
        <v>51368</v>
      </c>
      <c r="C693" s="1" t="n">
        <v>15</v>
      </c>
      <c r="D693" s="1" t="n">
        <v>9</v>
      </c>
      <c r="E693" s="1" t="str">
        <f aca="false">VLOOKUP(C693,Меню!$A$2:$C$24,2,FALSE())</f>
        <v>Пицца Тропиканка</v>
      </c>
      <c r="F693" s="1" t="n">
        <f aca="false">VLOOKUP(C693,Меню!$A$2:$C$24,3,FALSE())</f>
        <v>605</v>
      </c>
      <c r="G693" s="5" t="n">
        <f aca="false">VLOOKUP(B693,Заказы!$A$2:$E$2995,2,FALSE())</f>
        <v>44061</v>
      </c>
      <c r="H693" s="1" t="n">
        <f aca="false">VLOOKUP(B693,Заказы!$A$2:$E$2995,3,FALSE())</f>
        <v>1880</v>
      </c>
      <c r="I693" s="1" t="str">
        <f aca="false">VLOOKUP(H693,Клиенты!$A$2:$E$1995,5,FALSE())</f>
        <v>г. Москва</v>
      </c>
      <c r="J693" s="1" t="n">
        <f aca="false">VLOOKUP(B693,Заказы!$A$2:$E$2995,4,FALSE())</f>
        <v>0</v>
      </c>
      <c r="K693" s="1" t="str">
        <f aca="false">VLOOKUP(B693,Заказы!$A$2:$E$2995,5,FALSE())</f>
        <v>Не выполнено</v>
      </c>
      <c r="L693" s="1" t="n">
        <f aca="false">D693*F693+J693</f>
        <v>5445</v>
      </c>
      <c r="M693" s="1" t="n">
        <f aca="false">IF(AND(E693="Пицца Труслейка",I693="г. Москва",K693="Выполнено",G693&gt;=DATE(2020,7,1),G693&lt;DATE(2020,8,1)),L693,0)</f>
        <v>0</v>
      </c>
    </row>
    <row r="694" customFormat="false" ht="15" hidden="false" customHeight="true" outlineLevel="0" collapsed="false">
      <c r="A694" s="1" t="n">
        <v>100078</v>
      </c>
      <c r="B694" s="1" t="n">
        <v>50588</v>
      </c>
      <c r="C694" s="1" t="n">
        <v>10</v>
      </c>
      <c r="D694" s="1" t="n">
        <v>7</v>
      </c>
      <c r="E694" s="1" t="str">
        <f aca="false">VLOOKUP(C694,Меню!$A$2:$C$24,2,FALSE())</f>
        <v>Пицца Пепперони фреш</v>
      </c>
      <c r="F694" s="1" t="n">
        <f aca="false">VLOOKUP(C694,Меню!$A$2:$C$24,3,FALSE())</f>
        <v>565</v>
      </c>
      <c r="G694" s="5" t="n">
        <f aca="false">VLOOKUP(B694,Заказы!$A$2:$E$2995,2,FALSE())</f>
        <v>44042</v>
      </c>
      <c r="H694" s="1" t="n">
        <f aca="false">VLOOKUP(B694,Заказы!$A$2:$E$2995,3,FALSE())</f>
        <v>59</v>
      </c>
      <c r="I694" s="1" t="str">
        <f aca="false">VLOOKUP(H694,Клиенты!$A$2:$E$1995,5,FALSE())</f>
        <v>г. Миньяр</v>
      </c>
      <c r="J694" s="1" t="n">
        <f aca="false">VLOOKUP(B694,Заказы!$A$2:$E$2995,4,FALSE())</f>
        <v>688</v>
      </c>
      <c r="K694" s="1" t="str">
        <f aca="false">VLOOKUP(B694,Заказы!$A$2:$E$2995,5,FALSE())</f>
        <v>Выполнено</v>
      </c>
      <c r="L694" s="1" t="n">
        <f aca="false">D694*F694+J694</f>
        <v>4643</v>
      </c>
      <c r="M694" s="1" t="n">
        <f aca="false">IF(AND(E694="Пицца Труслейка",I694="г. Москва",K694="Выполнено",G694&gt;=DATE(2020,7,1),G694&lt;DATE(2020,8,1)),L694,0)</f>
        <v>0</v>
      </c>
    </row>
    <row r="695" customFormat="false" ht="15" hidden="false" customHeight="true" outlineLevel="0" collapsed="false">
      <c r="A695" s="1" t="n">
        <v>101570</v>
      </c>
      <c r="B695" s="1" t="n">
        <v>50916</v>
      </c>
      <c r="C695" s="1" t="n">
        <v>15</v>
      </c>
      <c r="D695" s="1" t="n">
        <v>10</v>
      </c>
      <c r="E695" s="1" t="str">
        <f aca="false">VLOOKUP(C695,Меню!$A$2:$C$24,2,FALSE())</f>
        <v>Пицца Тропиканка</v>
      </c>
      <c r="F695" s="1" t="n">
        <f aca="false">VLOOKUP(C695,Меню!$A$2:$C$24,3,FALSE())</f>
        <v>605</v>
      </c>
      <c r="G695" s="5" t="n">
        <f aca="false">VLOOKUP(B695,Заказы!$A$2:$E$2995,2,FALSE())</f>
        <v>44029</v>
      </c>
      <c r="H695" s="1" t="n">
        <f aca="false">VLOOKUP(B695,Заказы!$A$2:$E$2995,3,FALSE())</f>
        <v>502</v>
      </c>
      <c r="I695" s="1" t="str">
        <f aca="false">VLOOKUP(H695,Клиенты!$A$2:$E$1995,5,FALSE())</f>
        <v>г. Усть-Кут</v>
      </c>
      <c r="J695" s="1" t="n">
        <f aca="false">VLOOKUP(B695,Заказы!$A$2:$E$2995,4,FALSE())</f>
        <v>336</v>
      </c>
      <c r="K695" s="1" t="str">
        <f aca="false">VLOOKUP(B695,Заказы!$A$2:$E$2995,5,FALSE())</f>
        <v>Выполнено</v>
      </c>
      <c r="L695" s="1" t="n">
        <f aca="false">D695*F695+J695</f>
        <v>6386</v>
      </c>
      <c r="M695" s="1" t="n">
        <f aca="false">IF(AND(E695="Пицца Труслейка",I695="г. Москва",K695="Выполнено",G695&gt;=DATE(2020,7,1),G695&lt;DATE(2020,8,1)),L695,0)</f>
        <v>0</v>
      </c>
    </row>
    <row r="696" customFormat="false" ht="15" hidden="false" customHeight="true" outlineLevel="0" collapsed="false">
      <c r="A696" s="1" t="n">
        <v>100217</v>
      </c>
      <c r="B696" s="1" t="n">
        <v>50707</v>
      </c>
      <c r="C696" s="1" t="n">
        <v>9</v>
      </c>
      <c r="D696" s="1" t="n">
        <v>3</v>
      </c>
      <c r="E696" s="1" t="str">
        <f aca="false">VLOOKUP(C696,Меню!$A$2:$C$24,2,FALSE())</f>
        <v>Пицца Острая с беконом</v>
      </c>
      <c r="F696" s="1" t="n">
        <f aca="false">VLOOKUP(C696,Меню!$A$2:$C$24,3,FALSE())</f>
        <v>540</v>
      </c>
      <c r="G696" s="5" t="n">
        <f aca="false">VLOOKUP(B696,Заказы!$A$2:$E$2995,2,FALSE())</f>
        <v>44014</v>
      </c>
      <c r="H696" s="1" t="n">
        <f aca="false">VLOOKUP(B696,Заказы!$A$2:$E$2995,3,FALSE())</f>
        <v>415</v>
      </c>
      <c r="I696" s="1" t="str">
        <f aca="false">VLOOKUP(H696,Клиенты!$A$2:$E$1995,5,FALSE())</f>
        <v>г. Рудня</v>
      </c>
      <c r="J696" s="1" t="n">
        <f aca="false">VLOOKUP(B696,Заказы!$A$2:$E$2995,4,FALSE())</f>
        <v>463</v>
      </c>
      <c r="K696" s="1" t="str">
        <f aca="false">VLOOKUP(B696,Заказы!$A$2:$E$2995,5,FALSE())</f>
        <v>Выполнено</v>
      </c>
      <c r="L696" s="1" t="n">
        <f aca="false">D696*F696+J696</f>
        <v>2083</v>
      </c>
      <c r="M696" s="1" t="n">
        <f aca="false">IF(AND(E696="Пицца Труслейка",I696="г. Москва",K696="Выполнено",G696&gt;=DATE(2020,7,1),G696&lt;DATE(2020,8,1)),L696,0)</f>
        <v>0</v>
      </c>
    </row>
    <row r="697" customFormat="false" ht="15" hidden="false" customHeight="true" outlineLevel="0" collapsed="false">
      <c r="A697" s="1" t="n">
        <v>100755</v>
      </c>
      <c r="B697" s="1" t="n">
        <v>51897</v>
      </c>
      <c r="C697" s="1" t="n">
        <v>15</v>
      </c>
      <c r="D697" s="1" t="n">
        <v>3</v>
      </c>
      <c r="E697" s="1" t="str">
        <f aca="false">VLOOKUP(C697,Меню!$A$2:$C$24,2,FALSE())</f>
        <v>Пицца Тропиканка</v>
      </c>
      <c r="F697" s="1" t="n">
        <f aca="false">VLOOKUP(C697,Меню!$A$2:$C$24,3,FALSE())</f>
        <v>605</v>
      </c>
      <c r="G697" s="5" t="n">
        <f aca="false">VLOOKUP(B697,Заказы!$A$2:$E$2995,2,FALSE())</f>
        <v>44030</v>
      </c>
      <c r="H697" s="1" t="n">
        <f aca="false">VLOOKUP(B697,Заказы!$A$2:$E$2995,3,FALSE())</f>
        <v>122</v>
      </c>
      <c r="I697" s="1" t="str">
        <f aca="false">VLOOKUP(H697,Клиенты!$A$2:$E$1995,5,FALSE())</f>
        <v>г. Полярный</v>
      </c>
      <c r="J697" s="1" t="n">
        <f aca="false">VLOOKUP(B697,Заказы!$A$2:$E$2995,4,FALSE())</f>
        <v>0</v>
      </c>
      <c r="K697" s="1" t="str">
        <f aca="false">VLOOKUP(B697,Заказы!$A$2:$E$2995,5,FALSE())</f>
        <v>Не выполнено</v>
      </c>
      <c r="L697" s="1" t="n">
        <f aca="false">D697*F697+J697</f>
        <v>1815</v>
      </c>
      <c r="M697" s="1" t="n">
        <f aca="false">IF(AND(E697="Пицца Труслейка",I697="г. Москва",K697="Выполнено",G697&gt;=DATE(2020,7,1),G697&lt;DATE(2020,8,1)),L697,0)</f>
        <v>0</v>
      </c>
    </row>
    <row r="698" customFormat="false" ht="15" hidden="false" customHeight="true" outlineLevel="0" collapsed="false">
      <c r="A698" s="1" t="n">
        <v>100196</v>
      </c>
      <c r="B698" s="1" t="n">
        <v>51582</v>
      </c>
      <c r="C698" s="1" t="n">
        <v>15</v>
      </c>
      <c r="D698" s="1" t="n">
        <v>8</v>
      </c>
      <c r="E698" s="1" t="str">
        <f aca="false">VLOOKUP(C698,Меню!$A$2:$C$24,2,FALSE())</f>
        <v>Пицца Тропиканка</v>
      </c>
      <c r="F698" s="1" t="n">
        <f aca="false">VLOOKUP(C698,Меню!$A$2:$C$24,3,FALSE())</f>
        <v>605</v>
      </c>
      <c r="G698" s="5" t="n">
        <f aca="false">VLOOKUP(B698,Заказы!$A$2:$E$2995,2,FALSE())</f>
        <v>44015</v>
      </c>
      <c r="H698" s="1" t="n">
        <f aca="false">VLOOKUP(B698,Заказы!$A$2:$E$2995,3,FALSE())</f>
        <v>1363</v>
      </c>
      <c r="I698" s="1" t="str">
        <f aca="false">VLOOKUP(H698,Клиенты!$A$2:$E$1995,5,FALSE())</f>
        <v>г. Константиновск</v>
      </c>
      <c r="J698" s="1" t="n">
        <f aca="false">VLOOKUP(B698,Заказы!$A$2:$E$2995,4,FALSE())</f>
        <v>0</v>
      </c>
      <c r="K698" s="1" t="str">
        <f aca="false">VLOOKUP(B698,Заказы!$A$2:$E$2995,5,FALSE())</f>
        <v>Не выполнено</v>
      </c>
      <c r="L698" s="1" t="n">
        <f aca="false">D698*F698+J698</f>
        <v>4840</v>
      </c>
      <c r="M698" s="1" t="n">
        <f aca="false">IF(AND(E698="Пицца Труслейка",I698="г. Москва",K698="Выполнено",G698&gt;=DATE(2020,7,1),G698&lt;DATE(2020,8,1)),L698,0)</f>
        <v>0</v>
      </c>
    </row>
    <row r="699" customFormat="false" ht="15" hidden="false" customHeight="true" outlineLevel="0" collapsed="false">
      <c r="A699" s="1" t="n">
        <v>100343</v>
      </c>
      <c r="B699" s="1" t="n">
        <v>50481</v>
      </c>
      <c r="C699" s="1" t="n">
        <v>16</v>
      </c>
      <c r="D699" s="1" t="n">
        <v>5</v>
      </c>
      <c r="E699" s="1" t="str">
        <f aca="false">VLOOKUP(C699,Меню!$A$2:$C$24,2,FALSE())</f>
        <v>Пицца Флорида</v>
      </c>
      <c r="F699" s="1" t="n">
        <f aca="false">VLOOKUP(C699,Меню!$A$2:$C$24,3,FALSE())</f>
        <v>535</v>
      </c>
      <c r="G699" s="5" t="n">
        <f aca="false">VLOOKUP(B699,Заказы!$A$2:$E$2995,2,FALSE())</f>
        <v>43984</v>
      </c>
      <c r="H699" s="1" t="n">
        <f aca="false">VLOOKUP(B699,Заказы!$A$2:$E$2995,3,FALSE())</f>
        <v>410</v>
      </c>
      <c r="I699" s="1" t="str">
        <f aca="false">VLOOKUP(H699,Клиенты!$A$2:$E$1995,5,FALSE())</f>
        <v>г. Москва</v>
      </c>
      <c r="J699" s="1" t="n">
        <f aca="false">VLOOKUP(B699,Заказы!$A$2:$E$2995,4,FALSE())</f>
        <v>0</v>
      </c>
      <c r="K699" s="1" t="str">
        <f aca="false">VLOOKUP(B699,Заказы!$A$2:$E$2995,5,FALSE())</f>
        <v>Не выполнено</v>
      </c>
      <c r="L699" s="1" t="n">
        <f aca="false">D699*F699+J699</f>
        <v>2675</v>
      </c>
      <c r="M699" s="1" t="n">
        <f aca="false">IF(AND(E699="Пицца Труслейка",I699="г. Москва",K699="Выполнено",G699&gt;=DATE(2020,7,1),G699&lt;DATE(2020,8,1)),L699,0)</f>
        <v>0</v>
      </c>
    </row>
    <row r="700" customFormat="false" ht="15" hidden="false" customHeight="true" outlineLevel="0" collapsed="false">
      <c r="A700" s="1" t="n">
        <v>100136</v>
      </c>
      <c r="B700" s="1" t="n">
        <v>51907</v>
      </c>
      <c r="C700" s="1" t="n">
        <v>14</v>
      </c>
      <c r="D700" s="1" t="n">
        <v>9</v>
      </c>
      <c r="E700" s="1" t="str">
        <f aca="false">VLOOKUP(C700,Меню!$A$2:$C$24,2,FALSE())</f>
        <v>Пицца Сырный цыпленок</v>
      </c>
      <c r="F700" s="1" t="n">
        <f aca="false">VLOOKUP(C700,Меню!$A$2:$C$24,3,FALSE())</f>
        <v>555</v>
      </c>
      <c r="G700" s="5" t="n">
        <f aca="false">VLOOKUP(B700,Заказы!$A$2:$E$2995,2,FALSE())</f>
        <v>43982</v>
      </c>
      <c r="H700" s="1" t="n">
        <f aca="false">VLOOKUP(B700,Заказы!$A$2:$E$2995,3,FALSE())</f>
        <v>725</v>
      </c>
      <c r="I700" s="1" t="str">
        <f aca="false">VLOOKUP(H700,Клиенты!$A$2:$E$1995,5,FALSE())</f>
        <v>г. Суджа</v>
      </c>
      <c r="J700" s="1" t="n">
        <f aca="false">VLOOKUP(B700,Заказы!$A$2:$E$2995,4,FALSE())</f>
        <v>0</v>
      </c>
      <c r="K700" s="1" t="str">
        <f aca="false">VLOOKUP(B700,Заказы!$A$2:$E$2995,5,FALSE())</f>
        <v>Не выполнено</v>
      </c>
      <c r="L700" s="1" t="n">
        <f aca="false">D700*F700+J700</f>
        <v>4995</v>
      </c>
      <c r="M700" s="1" t="n">
        <f aca="false">IF(AND(E700="Пицца Труслейка",I700="г. Москва",K700="Выполнено",G700&gt;=DATE(2020,7,1),G700&lt;DATE(2020,8,1)),L700,0)</f>
        <v>0</v>
      </c>
    </row>
    <row r="701" customFormat="false" ht="15" hidden="false" customHeight="true" outlineLevel="0" collapsed="false">
      <c r="A701" s="1" t="n">
        <v>100331</v>
      </c>
      <c r="B701" s="1" t="n">
        <v>51066</v>
      </c>
      <c r="C701" s="1" t="n">
        <v>4</v>
      </c>
      <c r="D701" s="1" t="n">
        <v>10</v>
      </c>
      <c r="E701" s="1" t="str">
        <f aca="false">VLOOKUP(C701,Меню!$A$2:$C$24,2,FALSE())</f>
        <v>Пицца Труслейка</v>
      </c>
      <c r="F701" s="1" t="n">
        <f aca="false">VLOOKUP(C701,Меню!$A$2:$C$24,3,FALSE())</f>
        <v>610</v>
      </c>
      <c r="G701" s="5" t="n">
        <f aca="false">VLOOKUP(B701,Заказы!$A$2:$E$2995,2,FALSE())</f>
        <v>44067</v>
      </c>
      <c r="H701" s="1" t="n">
        <f aca="false">VLOOKUP(B701,Заказы!$A$2:$E$2995,3,FALSE())</f>
        <v>546</v>
      </c>
      <c r="I701" s="1" t="str">
        <f aca="false">VLOOKUP(H701,Клиенты!$A$2:$E$1995,5,FALSE())</f>
        <v>г. Теберда</v>
      </c>
      <c r="J701" s="1" t="n">
        <f aca="false">VLOOKUP(B701,Заказы!$A$2:$E$2995,4,FALSE())</f>
        <v>776</v>
      </c>
      <c r="K701" s="1" t="str">
        <f aca="false">VLOOKUP(B701,Заказы!$A$2:$E$2995,5,FALSE())</f>
        <v>Выполнено</v>
      </c>
      <c r="L701" s="1" t="n">
        <f aca="false">D701*F701+J701</f>
        <v>6876</v>
      </c>
      <c r="M701" s="1" t="n">
        <f aca="false">IF(AND(E701="Пицца Труслейка",I701="г. Москва",K701="Выполнено",G701&gt;=DATE(2020,7,1),G701&lt;DATE(2020,8,1)),L701,0)</f>
        <v>0</v>
      </c>
    </row>
    <row r="702" customFormat="false" ht="15" hidden="false" customHeight="true" outlineLevel="0" collapsed="false">
      <c r="A702" s="1" t="n">
        <v>100694</v>
      </c>
      <c r="B702" s="1" t="n">
        <v>50801</v>
      </c>
      <c r="C702" s="1" t="n">
        <v>14</v>
      </c>
      <c r="D702" s="1" t="n">
        <v>10</v>
      </c>
      <c r="E702" s="1" t="str">
        <f aca="false">VLOOKUP(C702,Меню!$A$2:$C$24,2,FALSE())</f>
        <v>Пицца Сырный цыпленок</v>
      </c>
      <c r="F702" s="1" t="n">
        <f aca="false">VLOOKUP(C702,Меню!$A$2:$C$24,3,FALSE())</f>
        <v>555</v>
      </c>
      <c r="G702" s="5" t="n">
        <f aca="false">VLOOKUP(B702,Заказы!$A$2:$E$2995,2,FALSE())</f>
        <v>44042</v>
      </c>
      <c r="H702" s="1" t="n">
        <f aca="false">VLOOKUP(B702,Заказы!$A$2:$E$2995,3,FALSE())</f>
        <v>992</v>
      </c>
      <c r="I702" s="1" t="str">
        <f aca="false">VLOOKUP(H702,Клиенты!$A$2:$E$1995,5,FALSE())</f>
        <v>г. Калининград</v>
      </c>
      <c r="J702" s="1" t="n">
        <f aca="false">VLOOKUP(B702,Заказы!$A$2:$E$2995,4,FALSE())</f>
        <v>117</v>
      </c>
      <c r="K702" s="1" t="str">
        <f aca="false">VLOOKUP(B702,Заказы!$A$2:$E$2995,5,FALSE())</f>
        <v>Выполнено</v>
      </c>
      <c r="L702" s="1" t="n">
        <f aca="false">D702*F702+J702</f>
        <v>5667</v>
      </c>
      <c r="M702" s="1" t="n">
        <f aca="false">IF(AND(E702="Пицца Труслейка",I702="г. Москва",K702="Выполнено",G702&gt;=DATE(2020,7,1),G702&lt;DATE(2020,8,1)),L702,0)</f>
        <v>0</v>
      </c>
    </row>
    <row r="703" customFormat="false" ht="15" hidden="false" customHeight="true" outlineLevel="0" collapsed="false">
      <c r="A703" s="1" t="n">
        <v>101916</v>
      </c>
      <c r="B703" s="1" t="n">
        <v>51354</v>
      </c>
      <c r="C703" s="1" t="n">
        <v>9</v>
      </c>
      <c r="D703" s="1" t="n">
        <v>3</v>
      </c>
      <c r="E703" s="1" t="str">
        <f aca="false">VLOOKUP(C703,Меню!$A$2:$C$24,2,FALSE())</f>
        <v>Пицца Острая с беконом</v>
      </c>
      <c r="F703" s="1" t="n">
        <f aca="false">VLOOKUP(C703,Меню!$A$2:$C$24,3,FALSE())</f>
        <v>540</v>
      </c>
      <c r="G703" s="5" t="n">
        <f aca="false">VLOOKUP(B703,Заказы!$A$2:$E$2995,2,FALSE())</f>
        <v>43995</v>
      </c>
      <c r="H703" s="1" t="n">
        <f aca="false">VLOOKUP(B703,Заказы!$A$2:$E$2995,3,FALSE())</f>
        <v>1873</v>
      </c>
      <c r="I703" s="1" t="str">
        <f aca="false">VLOOKUP(H703,Клиенты!$A$2:$E$1995,5,FALSE())</f>
        <v>г. Вельск</v>
      </c>
      <c r="J703" s="1" t="n">
        <f aca="false">VLOOKUP(B703,Заказы!$A$2:$E$2995,4,FALSE())</f>
        <v>0</v>
      </c>
      <c r="K703" s="1" t="str">
        <f aca="false">VLOOKUP(B703,Заказы!$A$2:$E$2995,5,FALSE())</f>
        <v>Не выполнено</v>
      </c>
      <c r="L703" s="1" t="n">
        <f aca="false">D703*F703+J703</f>
        <v>1620</v>
      </c>
      <c r="M703" s="1" t="n">
        <f aca="false">IF(AND(E703="Пицца Труслейка",I703="г. Москва",K703="Выполнено",G703&gt;=DATE(2020,7,1),G703&lt;DATE(2020,8,1)),L703,0)</f>
        <v>0</v>
      </c>
    </row>
    <row r="704" customFormat="false" ht="15" hidden="false" customHeight="true" outlineLevel="0" collapsed="false">
      <c r="A704" s="1" t="n">
        <v>100923</v>
      </c>
      <c r="B704" s="1" t="n">
        <v>51456</v>
      </c>
      <c r="C704" s="1" t="n">
        <v>7</v>
      </c>
      <c r="D704" s="1" t="n">
        <v>9</v>
      </c>
      <c r="E704" s="1" t="str">
        <f aca="false">VLOOKUP(C704,Меню!$A$2:$C$24,2,FALSE())</f>
        <v>Пицца Карбонара</v>
      </c>
      <c r="F704" s="1" t="n">
        <f aca="false">VLOOKUP(C704,Меню!$A$2:$C$24,3,FALSE())</f>
        <v>625</v>
      </c>
      <c r="G704" s="5" t="n">
        <f aca="false">VLOOKUP(B704,Заказы!$A$2:$E$2995,2,FALSE())</f>
        <v>44018</v>
      </c>
      <c r="H704" s="1" t="n">
        <f aca="false">VLOOKUP(B704,Заказы!$A$2:$E$2995,3,FALSE())</f>
        <v>1029</v>
      </c>
      <c r="I704" s="1" t="str">
        <f aca="false">VLOOKUP(H704,Клиенты!$A$2:$E$1995,5,FALSE())</f>
        <v>г. Задонск</v>
      </c>
      <c r="J704" s="1" t="n">
        <f aca="false">VLOOKUP(B704,Заказы!$A$2:$E$2995,4,FALSE())</f>
        <v>0</v>
      </c>
      <c r="K704" s="1" t="str">
        <f aca="false">VLOOKUP(B704,Заказы!$A$2:$E$2995,5,FALSE())</f>
        <v>Не выполнено</v>
      </c>
      <c r="L704" s="1" t="n">
        <f aca="false">D704*F704+J704</f>
        <v>5625</v>
      </c>
      <c r="M704" s="1" t="n">
        <f aca="false">IF(AND(E704="Пицца Труслейка",I704="г. Москва",K704="Выполнено",G704&gt;=DATE(2020,7,1),G704&lt;DATE(2020,8,1)),L704,0)</f>
        <v>0</v>
      </c>
    </row>
    <row r="705" customFormat="false" ht="15" hidden="false" customHeight="true" outlineLevel="0" collapsed="false">
      <c r="A705" s="1" t="n">
        <v>101115</v>
      </c>
      <c r="B705" s="1" t="n">
        <v>51255</v>
      </c>
      <c r="C705" s="1" t="n">
        <v>9</v>
      </c>
      <c r="D705" s="1" t="n">
        <v>7</v>
      </c>
      <c r="E705" s="1" t="str">
        <f aca="false">VLOOKUP(C705,Меню!$A$2:$C$24,2,FALSE())</f>
        <v>Пицца Острая с беконом</v>
      </c>
      <c r="F705" s="1" t="n">
        <f aca="false">VLOOKUP(C705,Меню!$A$2:$C$24,3,FALSE())</f>
        <v>540</v>
      </c>
      <c r="G705" s="5" t="n">
        <f aca="false">VLOOKUP(B705,Заказы!$A$2:$E$2995,2,FALSE())</f>
        <v>44046</v>
      </c>
      <c r="H705" s="1" t="n">
        <f aca="false">VLOOKUP(B705,Заказы!$A$2:$E$2995,3,FALSE())</f>
        <v>39</v>
      </c>
      <c r="I705" s="1" t="str">
        <f aca="false">VLOOKUP(H705,Клиенты!$A$2:$E$1995,5,FALSE())</f>
        <v>г. Сим</v>
      </c>
      <c r="J705" s="1" t="n">
        <f aca="false">VLOOKUP(B705,Заказы!$A$2:$E$2995,4,FALSE())</f>
        <v>151</v>
      </c>
      <c r="K705" s="1" t="str">
        <f aca="false">VLOOKUP(B705,Заказы!$A$2:$E$2995,5,FALSE())</f>
        <v>Выполнено</v>
      </c>
      <c r="L705" s="1" t="n">
        <f aca="false">D705*F705+J705</f>
        <v>3931</v>
      </c>
      <c r="M705" s="1" t="n">
        <f aca="false">IF(AND(E705="Пицца Труслейка",I705="г. Москва",K705="Выполнено",G705&gt;=DATE(2020,7,1),G705&lt;DATE(2020,8,1)),L705,0)</f>
        <v>0</v>
      </c>
    </row>
    <row r="706" customFormat="false" ht="15" hidden="false" customHeight="true" outlineLevel="0" collapsed="false">
      <c r="A706" s="1" t="n">
        <v>101277</v>
      </c>
      <c r="B706" s="1" t="n">
        <v>51949</v>
      </c>
      <c r="C706" s="1" t="n">
        <v>7</v>
      </c>
      <c r="D706" s="1" t="n">
        <v>3</v>
      </c>
      <c r="E706" s="1" t="str">
        <f aca="false">VLOOKUP(C706,Меню!$A$2:$C$24,2,FALSE())</f>
        <v>Пицца Карбонара</v>
      </c>
      <c r="F706" s="1" t="n">
        <f aca="false">VLOOKUP(C706,Меню!$A$2:$C$24,3,FALSE())</f>
        <v>625</v>
      </c>
      <c r="G706" s="5" t="n">
        <f aca="false">VLOOKUP(B706,Заказы!$A$2:$E$2995,2,FALSE())</f>
        <v>44008</v>
      </c>
      <c r="H706" s="1" t="n">
        <f aca="false">VLOOKUP(B706,Заказы!$A$2:$E$2995,3,FALSE())</f>
        <v>1968</v>
      </c>
      <c r="I706" s="1" t="str">
        <f aca="false">VLOOKUP(H706,Клиенты!$A$2:$E$1995,5,FALSE())</f>
        <v>г. Ивдель</v>
      </c>
      <c r="J706" s="1" t="n">
        <f aca="false">VLOOKUP(B706,Заказы!$A$2:$E$2995,4,FALSE())</f>
        <v>0</v>
      </c>
      <c r="K706" s="1" t="str">
        <f aca="false">VLOOKUP(B706,Заказы!$A$2:$E$2995,5,FALSE())</f>
        <v>Не выполнено</v>
      </c>
      <c r="L706" s="1" t="n">
        <f aca="false">D706*F706+J706</f>
        <v>1875</v>
      </c>
      <c r="M706" s="1" t="n">
        <f aca="false">IF(AND(E706="Пицца Труслейка",I706="г. Москва",K706="Выполнено",G706&gt;=DATE(2020,7,1),G706&lt;DATE(2020,8,1)),L706,0)</f>
        <v>0</v>
      </c>
    </row>
    <row r="707" customFormat="false" ht="15" hidden="false" customHeight="true" outlineLevel="0" collapsed="false">
      <c r="A707" s="1" t="n">
        <v>101323</v>
      </c>
      <c r="B707" s="1" t="n">
        <v>51875</v>
      </c>
      <c r="C707" s="1" t="n">
        <v>23</v>
      </c>
      <c r="D707" s="1" t="n">
        <v>4</v>
      </c>
      <c r="E707" s="1" t="str">
        <f aca="false">VLOOKUP(C707,Меню!$A$2:$C$24,2,FALSE())</f>
        <v>Пицца с тунцом</v>
      </c>
      <c r="F707" s="1" t="n">
        <f aca="false">VLOOKUP(C707,Меню!$A$2:$C$24,3,FALSE())</f>
        <v>520</v>
      </c>
      <c r="G707" s="5" t="n">
        <f aca="false">VLOOKUP(B707,Заказы!$A$2:$E$2995,2,FALSE())</f>
        <v>44031</v>
      </c>
      <c r="H707" s="1" t="n">
        <f aca="false">VLOOKUP(B707,Заказы!$A$2:$E$2995,3,FALSE())</f>
        <v>1868</v>
      </c>
      <c r="I707" s="1" t="str">
        <f aca="false">VLOOKUP(H707,Клиенты!$A$2:$E$1995,5,FALSE())</f>
        <v>г. Калининск</v>
      </c>
      <c r="J707" s="1" t="n">
        <f aca="false">VLOOKUP(B707,Заказы!$A$2:$E$2995,4,FALSE())</f>
        <v>0</v>
      </c>
      <c r="K707" s="1" t="str">
        <f aca="false">VLOOKUP(B707,Заказы!$A$2:$E$2995,5,FALSE())</f>
        <v>Не выполнено</v>
      </c>
      <c r="L707" s="1" t="n">
        <f aca="false">D707*F707+J707</f>
        <v>2080</v>
      </c>
      <c r="M707" s="1" t="n">
        <f aca="false">IF(AND(E707="Пицца Труслейка",I707="г. Москва",K707="Выполнено",G707&gt;=DATE(2020,7,1),G707&lt;DATE(2020,8,1)),L707,0)</f>
        <v>0</v>
      </c>
    </row>
    <row r="708" customFormat="false" ht="15" hidden="false" customHeight="true" outlineLevel="0" collapsed="false">
      <c r="A708" s="1" t="n">
        <v>101086</v>
      </c>
      <c r="B708" s="1" t="n">
        <v>51746</v>
      </c>
      <c r="C708" s="1" t="n">
        <v>6</v>
      </c>
      <c r="D708" s="1" t="n">
        <v>3</v>
      </c>
      <c r="E708" s="1" t="str">
        <f aca="false">VLOOKUP(C708,Меню!$A$2:$C$24,2,FALSE())</f>
        <v>Пицца Капричиоза</v>
      </c>
      <c r="F708" s="1" t="n">
        <f aca="false">VLOOKUP(C708,Меню!$A$2:$C$24,3,FALSE())</f>
        <v>570</v>
      </c>
      <c r="G708" s="5" t="n">
        <f aca="false">VLOOKUP(B708,Заказы!$A$2:$E$2995,2,FALSE())</f>
        <v>44001</v>
      </c>
      <c r="H708" s="1" t="n">
        <f aca="false">VLOOKUP(B708,Заказы!$A$2:$E$2995,3,FALSE())</f>
        <v>606</v>
      </c>
      <c r="I708" s="1" t="str">
        <f aca="false">VLOOKUP(H708,Клиенты!$A$2:$E$1995,5,FALSE())</f>
        <v>г. Кузнецк</v>
      </c>
      <c r="J708" s="1" t="n">
        <f aca="false">VLOOKUP(B708,Заказы!$A$2:$E$2995,4,FALSE())</f>
        <v>0</v>
      </c>
      <c r="K708" s="1" t="str">
        <f aca="false">VLOOKUP(B708,Заказы!$A$2:$E$2995,5,FALSE())</f>
        <v>Не выполнено</v>
      </c>
      <c r="L708" s="1" t="n">
        <f aca="false">D708*F708+J708</f>
        <v>1710</v>
      </c>
      <c r="M708" s="1" t="n">
        <f aca="false">IF(AND(E708="Пицца Труслейка",I708="г. Москва",K708="Выполнено",G708&gt;=DATE(2020,7,1),G708&lt;DATE(2020,8,1)),L708,0)</f>
        <v>0</v>
      </c>
    </row>
    <row r="709" customFormat="false" ht="15" hidden="false" customHeight="true" outlineLevel="0" collapsed="false">
      <c r="A709" s="1" t="n">
        <v>101394</v>
      </c>
      <c r="B709" s="1" t="n">
        <v>51725</v>
      </c>
      <c r="C709" s="1" t="n">
        <v>23</v>
      </c>
      <c r="D709" s="1" t="n">
        <v>9</v>
      </c>
      <c r="E709" s="1" t="str">
        <f aca="false">VLOOKUP(C709,Меню!$A$2:$C$24,2,FALSE())</f>
        <v>Пицца с тунцом</v>
      </c>
      <c r="F709" s="1" t="n">
        <f aca="false">VLOOKUP(C709,Меню!$A$2:$C$24,3,FALSE())</f>
        <v>520</v>
      </c>
      <c r="G709" s="5" t="n">
        <f aca="false">VLOOKUP(B709,Заказы!$A$2:$E$2995,2,FALSE())</f>
        <v>44072</v>
      </c>
      <c r="H709" s="1" t="n">
        <f aca="false">VLOOKUP(B709,Заказы!$A$2:$E$2995,3,FALSE())</f>
        <v>1134</v>
      </c>
      <c r="I709" s="1" t="str">
        <f aca="false">VLOOKUP(H709,Клиенты!$A$2:$E$1995,5,FALSE())</f>
        <v>г. Осташков</v>
      </c>
      <c r="J709" s="1" t="n">
        <f aca="false">VLOOKUP(B709,Заказы!$A$2:$E$2995,4,FALSE())</f>
        <v>0</v>
      </c>
      <c r="K709" s="1" t="str">
        <f aca="false">VLOOKUP(B709,Заказы!$A$2:$E$2995,5,FALSE())</f>
        <v>Не выполнено</v>
      </c>
      <c r="L709" s="1" t="n">
        <f aca="false">D709*F709+J709</f>
        <v>4680</v>
      </c>
      <c r="M709" s="1" t="n">
        <f aca="false">IF(AND(E709="Пицца Труслейка",I709="г. Москва",K709="Выполнено",G709&gt;=DATE(2020,7,1),G709&lt;DATE(2020,8,1)),L709,0)</f>
        <v>0</v>
      </c>
    </row>
    <row r="710" customFormat="false" ht="15" hidden="false" customHeight="true" outlineLevel="0" collapsed="false">
      <c r="A710" s="1" t="n">
        <v>101923</v>
      </c>
      <c r="B710" s="1" t="n">
        <v>51643</v>
      </c>
      <c r="C710" s="1" t="n">
        <v>21</v>
      </c>
      <c r="D710" s="1" t="n">
        <v>1</v>
      </c>
      <c r="E710" s="1" t="str">
        <f aca="false">VLOOKUP(C710,Меню!$A$2:$C$24,2,FALSE())</f>
        <v>Пицца с креветками и цукини</v>
      </c>
      <c r="F710" s="1" t="n">
        <f aca="false">VLOOKUP(C710,Меню!$A$2:$C$24,3,FALSE())</f>
        <v>600</v>
      </c>
      <c r="G710" s="5" t="n">
        <f aca="false">VLOOKUP(B710,Заказы!$A$2:$E$2995,2,FALSE())</f>
        <v>44065</v>
      </c>
      <c r="H710" s="1" t="n">
        <f aca="false">VLOOKUP(B710,Заказы!$A$2:$E$2995,3,FALSE())</f>
        <v>1211</v>
      </c>
      <c r="I710" s="1" t="str">
        <f aca="false">VLOOKUP(H710,Клиенты!$A$2:$E$1995,5,FALSE())</f>
        <v>г. Реж</v>
      </c>
      <c r="J710" s="1" t="n">
        <f aca="false">VLOOKUP(B710,Заказы!$A$2:$E$2995,4,FALSE())</f>
        <v>604</v>
      </c>
      <c r="K710" s="1" t="str">
        <f aca="false">VLOOKUP(B710,Заказы!$A$2:$E$2995,5,FALSE())</f>
        <v>Выполнено</v>
      </c>
      <c r="L710" s="1" t="n">
        <f aca="false">D710*F710+J710</f>
        <v>1204</v>
      </c>
      <c r="M710" s="1" t="n">
        <f aca="false">IF(AND(E710="Пицца Труслейка",I710="г. Москва",K710="Выполнено",G710&gt;=DATE(2020,7,1),G710&lt;DATE(2020,8,1)),L710,0)</f>
        <v>0</v>
      </c>
    </row>
    <row r="711" customFormat="false" ht="15" hidden="false" customHeight="true" outlineLevel="0" collapsed="false">
      <c r="A711" s="1" t="n">
        <v>101837</v>
      </c>
      <c r="B711" s="1" t="n">
        <v>50192</v>
      </c>
      <c r="C711" s="1" t="n">
        <v>4</v>
      </c>
      <c r="D711" s="1" t="n">
        <v>5</v>
      </c>
      <c r="E711" s="1" t="str">
        <f aca="false">VLOOKUP(C711,Меню!$A$2:$C$24,2,FALSE())</f>
        <v>Пицца Труслейка</v>
      </c>
      <c r="F711" s="1" t="n">
        <f aca="false">VLOOKUP(C711,Меню!$A$2:$C$24,3,FALSE())</f>
        <v>610</v>
      </c>
      <c r="G711" s="5" t="n">
        <f aca="false">VLOOKUP(B711,Заказы!$A$2:$E$2995,2,FALSE())</f>
        <v>44035</v>
      </c>
      <c r="H711" s="1" t="n">
        <f aca="false">VLOOKUP(B711,Заказы!$A$2:$E$2995,3,FALSE())</f>
        <v>545</v>
      </c>
      <c r="I711" s="1" t="str">
        <f aca="false">VLOOKUP(H711,Клиенты!$A$2:$E$1995,5,FALSE())</f>
        <v>г. Ишим</v>
      </c>
      <c r="J711" s="1" t="n">
        <f aca="false">VLOOKUP(B711,Заказы!$A$2:$E$2995,4,FALSE())</f>
        <v>312</v>
      </c>
      <c r="K711" s="1" t="str">
        <f aca="false">VLOOKUP(B711,Заказы!$A$2:$E$2995,5,FALSE())</f>
        <v>Выполнено</v>
      </c>
      <c r="L711" s="1" t="n">
        <f aca="false">D711*F711+J711</f>
        <v>3362</v>
      </c>
      <c r="M711" s="1" t="n">
        <f aca="false">IF(AND(E711="Пицца Труслейка",I711="г. Москва",K711="Выполнено",G711&gt;=DATE(2020,7,1),G711&lt;DATE(2020,8,1)),L711,0)</f>
        <v>0</v>
      </c>
    </row>
    <row r="712" customFormat="false" ht="15" hidden="false" customHeight="true" outlineLevel="0" collapsed="false">
      <c r="A712" s="1" t="n">
        <v>100956</v>
      </c>
      <c r="B712" s="1" t="n">
        <v>50049</v>
      </c>
      <c r="C712" s="1" t="n">
        <v>1</v>
      </c>
      <c r="D712" s="1" t="n">
        <v>3</v>
      </c>
      <c r="E712" s="1" t="str">
        <f aca="false">VLOOKUP(C712,Меню!$A$2:$C$24,2,FALSE())</f>
        <v>Пицца Гавайская</v>
      </c>
      <c r="F712" s="1" t="n">
        <f aca="false">VLOOKUP(C712,Меню!$A$2:$C$24,3,FALSE())</f>
        <v>545</v>
      </c>
      <c r="G712" s="5" t="n">
        <f aca="false">VLOOKUP(B712,Заказы!$A$2:$E$2995,2,FALSE())</f>
        <v>43993</v>
      </c>
      <c r="H712" s="1" t="n">
        <f aca="false">VLOOKUP(B712,Заказы!$A$2:$E$2995,3,FALSE())</f>
        <v>1321</v>
      </c>
      <c r="I712" s="1" t="str">
        <f aca="false">VLOOKUP(H712,Клиенты!$A$2:$E$1995,5,FALSE())</f>
        <v>г. Анива</v>
      </c>
      <c r="J712" s="1" t="n">
        <f aca="false">VLOOKUP(B712,Заказы!$A$2:$E$2995,4,FALSE())</f>
        <v>0</v>
      </c>
      <c r="K712" s="1" t="str">
        <f aca="false">VLOOKUP(B712,Заказы!$A$2:$E$2995,5,FALSE())</f>
        <v>Не выполнено</v>
      </c>
      <c r="L712" s="1" t="n">
        <f aca="false">D712*F712+J712</f>
        <v>1635</v>
      </c>
      <c r="M712" s="1" t="n">
        <f aca="false">IF(AND(E712="Пицца Труслейка",I712="г. Москва",K712="Выполнено",G712&gt;=DATE(2020,7,1),G712&lt;DATE(2020,8,1)),L712,0)</f>
        <v>0</v>
      </c>
    </row>
    <row r="713" customFormat="false" ht="15" hidden="false" customHeight="true" outlineLevel="0" collapsed="false">
      <c r="A713" s="1" t="n">
        <v>101700</v>
      </c>
      <c r="B713" s="1" t="n">
        <v>51118</v>
      </c>
      <c r="C713" s="1" t="n">
        <v>5</v>
      </c>
      <c r="D713" s="1" t="n">
        <v>5</v>
      </c>
      <c r="E713" s="1" t="str">
        <f aca="false">VLOOKUP(C713,Меню!$A$2:$C$24,2,FALSE())</f>
        <v>Пицца Жюльен</v>
      </c>
      <c r="F713" s="1" t="n">
        <f aca="false">VLOOKUP(C713,Меню!$A$2:$C$24,3,FALSE())</f>
        <v>580</v>
      </c>
      <c r="G713" s="5" t="n">
        <f aca="false">VLOOKUP(B713,Заказы!$A$2:$E$2995,2,FALSE())</f>
        <v>44018</v>
      </c>
      <c r="H713" s="1" t="n">
        <f aca="false">VLOOKUP(B713,Заказы!$A$2:$E$2995,3,FALSE())</f>
        <v>1413</v>
      </c>
      <c r="I713" s="1" t="str">
        <f aca="false">VLOOKUP(H713,Клиенты!$A$2:$E$1995,5,FALSE())</f>
        <v>г. Острогожск</v>
      </c>
      <c r="J713" s="1" t="n">
        <f aca="false">VLOOKUP(B713,Заказы!$A$2:$E$2995,4,FALSE())</f>
        <v>0</v>
      </c>
      <c r="K713" s="1" t="str">
        <f aca="false">VLOOKUP(B713,Заказы!$A$2:$E$2995,5,FALSE())</f>
        <v>Не выполнено</v>
      </c>
      <c r="L713" s="1" t="n">
        <f aca="false">D713*F713+J713</f>
        <v>2900</v>
      </c>
      <c r="M713" s="1" t="n">
        <f aca="false">IF(AND(E713="Пицца Труслейка",I713="г. Москва",K713="Выполнено",G713&gt;=DATE(2020,7,1),G713&lt;DATE(2020,8,1)),L713,0)</f>
        <v>0</v>
      </c>
    </row>
    <row r="714" customFormat="false" ht="15" hidden="false" customHeight="true" outlineLevel="0" collapsed="false">
      <c r="A714" s="1" t="n">
        <v>100586</v>
      </c>
      <c r="B714" s="1" t="n">
        <v>51190</v>
      </c>
      <c r="C714" s="1" t="n">
        <v>14</v>
      </c>
      <c r="D714" s="1" t="n">
        <v>7</v>
      </c>
      <c r="E714" s="1" t="str">
        <f aca="false">VLOOKUP(C714,Меню!$A$2:$C$24,2,FALSE())</f>
        <v>Пицца Сырный цыпленок</v>
      </c>
      <c r="F714" s="1" t="n">
        <f aca="false">VLOOKUP(C714,Меню!$A$2:$C$24,3,FALSE())</f>
        <v>555</v>
      </c>
      <c r="G714" s="5" t="n">
        <f aca="false">VLOOKUP(B714,Заказы!$A$2:$E$2995,2,FALSE())</f>
        <v>44037</v>
      </c>
      <c r="H714" s="1" t="n">
        <f aca="false">VLOOKUP(B714,Заказы!$A$2:$E$2995,3,FALSE())</f>
        <v>1440</v>
      </c>
      <c r="I714" s="1" t="str">
        <f aca="false">VLOOKUP(H714,Клиенты!$A$2:$E$1995,5,FALSE())</f>
        <v>г. Москва</v>
      </c>
      <c r="J714" s="1" t="n">
        <f aca="false">VLOOKUP(B714,Заказы!$A$2:$E$2995,4,FALSE())</f>
        <v>0</v>
      </c>
      <c r="K714" s="1" t="str">
        <f aca="false">VLOOKUP(B714,Заказы!$A$2:$E$2995,5,FALSE())</f>
        <v>Не выполнено</v>
      </c>
      <c r="L714" s="1" t="n">
        <f aca="false">D714*F714+J714</f>
        <v>3885</v>
      </c>
      <c r="M714" s="1" t="n">
        <f aca="false">IF(AND(E714="Пицца Труслейка",I714="г. Москва",K714="Выполнено",G714&gt;=DATE(2020,7,1),G714&lt;DATE(2020,8,1)),L714,0)</f>
        <v>0</v>
      </c>
    </row>
    <row r="715" customFormat="false" ht="15" hidden="false" customHeight="true" outlineLevel="0" collapsed="false">
      <c r="A715" s="1" t="n">
        <v>100642</v>
      </c>
      <c r="B715" s="1" t="n">
        <v>51668</v>
      </c>
      <c r="C715" s="1" t="n">
        <v>9</v>
      </c>
      <c r="D715" s="1" t="n">
        <v>1</v>
      </c>
      <c r="E715" s="1" t="str">
        <f aca="false">VLOOKUP(C715,Меню!$A$2:$C$24,2,FALSE())</f>
        <v>Пицца Острая с беконом</v>
      </c>
      <c r="F715" s="1" t="n">
        <f aca="false">VLOOKUP(C715,Меню!$A$2:$C$24,3,FALSE())</f>
        <v>540</v>
      </c>
      <c r="G715" s="5" t="n">
        <f aca="false">VLOOKUP(B715,Заказы!$A$2:$E$2995,2,FALSE())</f>
        <v>44025</v>
      </c>
      <c r="H715" s="1" t="n">
        <f aca="false">VLOOKUP(B715,Заказы!$A$2:$E$2995,3,FALSE())</f>
        <v>1862</v>
      </c>
      <c r="I715" s="1" t="str">
        <f aca="false">VLOOKUP(H715,Клиенты!$A$2:$E$1995,5,FALSE())</f>
        <v>г. Зея</v>
      </c>
      <c r="J715" s="1" t="n">
        <f aca="false">VLOOKUP(B715,Заказы!$A$2:$E$2995,4,FALSE())</f>
        <v>167</v>
      </c>
      <c r="K715" s="1" t="str">
        <f aca="false">VLOOKUP(B715,Заказы!$A$2:$E$2995,5,FALSE())</f>
        <v>Выполнено</v>
      </c>
      <c r="L715" s="1" t="n">
        <f aca="false">D715*F715+J715</f>
        <v>707</v>
      </c>
      <c r="M715" s="1" t="n">
        <f aca="false">IF(AND(E715="Пицца Труслейка",I715="г. Москва",K715="Выполнено",G715&gt;=DATE(2020,7,1),G715&lt;DATE(2020,8,1)),L715,0)</f>
        <v>0</v>
      </c>
    </row>
    <row r="716" customFormat="false" ht="15" hidden="false" customHeight="true" outlineLevel="0" collapsed="false">
      <c r="A716" s="1" t="n">
        <v>100721</v>
      </c>
      <c r="B716" s="1" t="n">
        <v>51840</v>
      </c>
      <c r="C716" s="1" t="n">
        <v>2</v>
      </c>
      <c r="D716" s="1" t="n">
        <v>10</v>
      </c>
      <c r="E716" s="1" t="str">
        <f aca="false">VLOOKUP(C716,Меню!$A$2:$C$24,2,FALSE())</f>
        <v>Пицца Двойная пепперони</v>
      </c>
      <c r="F716" s="1" t="n">
        <f aca="false">VLOOKUP(C716,Меню!$A$2:$C$24,3,FALSE())</f>
        <v>575</v>
      </c>
      <c r="G716" s="5" t="n">
        <f aca="false">VLOOKUP(B716,Заказы!$A$2:$E$2995,2,FALSE())</f>
        <v>44043</v>
      </c>
      <c r="H716" s="1" t="n">
        <f aca="false">VLOOKUP(B716,Заказы!$A$2:$E$2995,3,FALSE())</f>
        <v>1458</v>
      </c>
      <c r="I716" s="1" t="str">
        <f aca="false">VLOOKUP(H716,Клиенты!$A$2:$E$1995,5,FALSE())</f>
        <v>г. Тырныауз</v>
      </c>
      <c r="J716" s="1" t="n">
        <f aca="false">VLOOKUP(B716,Заказы!$A$2:$E$2995,4,FALSE())</f>
        <v>172</v>
      </c>
      <c r="K716" s="1" t="str">
        <f aca="false">VLOOKUP(B716,Заказы!$A$2:$E$2995,5,FALSE())</f>
        <v>Выполнено</v>
      </c>
      <c r="L716" s="1" t="n">
        <f aca="false">D716*F716+J716</f>
        <v>5922</v>
      </c>
      <c r="M716" s="1" t="n">
        <f aca="false">IF(AND(E716="Пицца Труслейка",I716="г. Москва",K716="Выполнено",G716&gt;=DATE(2020,7,1),G716&lt;DATE(2020,8,1)),L716,0)</f>
        <v>0</v>
      </c>
    </row>
    <row r="717" customFormat="false" ht="15" hidden="false" customHeight="true" outlineLevel="0" collapsed="false">
      <c r="A717" s="1" t="n">
        <v>100035</v>
      </c>
      <c r="B717" s="1" t="n">
        <v>50621</v>
      </c>
      <c r="C717" s="1" t="n">
        <v>5</v>
      </c>
      <c r="D717" s="1" t="n">
        <v>4</v>
      </c>
      <c r="E717" s="1" t="str">
        <f aca="false">VLOOKUP(C717,Меню!$A$2:$C$24,2,FALSE())</f>
        <v>Пицца Жюльен</v>
      </c>
      <c r="F717" s="1" t="n">
        <f aca="false">VLOOKUP(C717,Меню!$A$2:$C$24,3,FALSE())</f>
        <v>580</v>
      </c>
      <c r="G717" s="5" t="n">
        <f aca="false">VLOOKUP(B717,Заказы!$A$2:$E$2995,2,FALSE())</f>
        <v>44027</v>
      </c>
      <c r="H717" s="1" t="n">
        <f aca="false">VLOOKUP(B717,Заказы!$A$2:$E$2995,3,FALSE())</f>
        <v>700</v>
      </c>
      <c r="I717" s="1" t="str">
        <f aca="false">VLOOKUP(H717,Клиенты!$A$2:$E$1995,5,FALSE())</f>
        <v>г. Москва</v>
      </c>
      <c r="J717" s="1" t="n">
        <f aca="false">VLOOKUP(B717,Заказы!$A$2:$E$2995,4,FALSE())</f>
        <v>0</v>
      </c>
      <c r="K717" s="1" t="str">
        <f aca="false">VLOOKUP(B717,Заказы!$A$2:$E$2995,5,FALSE())</f>
        <v>Не выполнено</v>
      </c>
      <c r="L717" s="1" t="n">
        <f aca="false">D717*F717+J717</f>
        <v>2320</v>
      </c>
      <c r="M717" s="1" t="n">
        <f aca="false">IF(AND(E717="Пицца Труслейка",I717="г. Москва",K717="Выполнено",G717&gt;=DATE(2020,7,1),G717&lt;DATE(2020,8,1)),L717,0)</f>
        <v>0</v>
      </c>
    </row>
    <row r="718" customFormat="false" ht="15" hidden="false" customHeight="true" outlineLevel="0" collapsed="false">
      <c r="A718" s="1" t="n">
        <v>100408</v>
      </c>
      <c r="B718" s="1" t="n">
        <v>51479</v>
      </c>
      <c r="C718" s="1" t="n">
        <v>21</v>
      </c>
      <c r="D718" s="1" t="n">
        <v>6</v>
      </c>
      <c r="E718" s="1" t="str">
        <f aca="false">VLOOKUP(C718,Меню!$A$2:$C$24,2,FALSE())</f>
        <v>Пицца с креветками и цукини</v>
      </c>
      <c r="F718" s="1" t="n">
        <f aca="false">VLOOKUP(C718,Меню!$A$2:$C$24,3,FALSE())</f>
        <v>600</v>
      </c>
      <c r="G718" s="5" t="n">
        <f aca="false">VLOOKUP(B718,Заказы!$A$2:$E$2995,2,FALSE())</f>
        <v>43991</v>
      </c>
      <c r="H718" s="1" t="n">
        <f aca="false">VLOOKUP(B718,Заказы!$A$2:$E$2995,3,FALSE())</f>
        <v>226</v>
      </c>
      <c r="I718" s="1" t="str">
        <f aca="false">VLOOKUP(H718,Клиенты!$A$2:$E$1995,5,FALSE())</f>
        <v>г. Павловск</v>
      </c>
      <c r="J718" s="1" t="n">
        <f aca="false">VLOOKUP(B718,Заказы!$A$2:$E$2995,4,FALSE())</f>
        <v>519</v>
      </c>
      <c r="K718" s="1" t="str">
        <f aca="false">VLOOKUP(B718,Заказы!$A$2:$E$2995,5,FALSE())</f>
        <v>Выполнено</v>
      </c>
      <c r="L718" s="1" t="n">
        <f aca="false">D718*F718+J718</f>
        <v>4119</v>
      </c>
      <c r="M718" s="1" t="n">
        <f aca="false">IF(AND(E718="Пицца Труслейка",I718="г. Москва",K718="Выполнено",G718&gt;=DATE(2020,7,1),G718&lt;DATE(2020,8,1)),L718,0)</f>
        <v>0</v>
      </c>
    </row>
    <row r="719" customFormat="false" ht="15" hidden="false" customHeight="true" outlineLevel="0" collapsed="false">
      <c r="A719" s="1" t="n">
        <v>101224</v>
      </c>
      <c r="B719" s="1" t="n">
        <v>50712</v>
      </c>
      <c r="C719" s="1" t="n">
        <v>4</v>
      </c>
      <c r="D719" s="1" t="n">
        <v>8</v>
      </c>
      <c r="E719" s="1" t="str">
        <f aca="false">VLOOKUP(C719,Меню!$A$2:$C$24,2,FALSE())</f>
        <v>Пицца Труслейка</v>
      </c>
      <c r="F719" s="1" t="n">
        <f aca="false">VLOOKUP(C719,Меню!$A$2:$C$24,3,FALSE())</f>
        <v>610</v>
      </c>
      <c r="G719" s="5" t="n">
        <f aca="false">VLOOKUP(B719,Заказы!$A$2:$E$2995,2,FALSE())</f>
        <v>43983</v>
      </c>
      <c r="H719" s="1" t="n">
        <f aca="false">VLOOKUP(B719,Заказы!$A$2:$E$2995,3,FALSE())</f>
        <v>1230</v>
      </c>
      <c r="I719" s="1" t="str">
        <f aca="false">VLOOKUP(H719,Клиенты!$A$2:$E$1995,5,FALSE())</f>
        <v>г. Москва</v>
      </c>
      <c r="J719" s="1" t="n">
        <f aca="false">VLOOKUP(B719,Заказы!$A$2:$E$2995,4,FALSE())</f>
        <v>738</v>
      </c>
      <c r="K719" s="1" t="str">
        <f aca="false">VLOOKUP(B719,Заказы!$A$2:$E$2995,5,FALSE())</f>
        <v>Выполнено</v>
      </c>
      <c r="L719" s="1" t="n">
        <f aca="false">D719*F719+J719</f>
        <v>5618</v>
      </c>
      <c r="M719" s="1" t="n">
        <f aca="false">IF(AND(E719="Пицца Труслейка",I719="г. Москва",K719="Выполнено",G719&gt;=DATE(2020,7,1),G719&lt;DATE(2020,8,1)),L719,0)</f>
        <v>0</v>
      </c>
    </row>
    <row r="720" customFormat="false" ht="15" hidden="false" customHeight="true" outlineLevel="0" collapsed="false">
      <c r="A720" s="1" t="n">
        <v>101319</v>
      </c>
      <c r="B720" s="1" t="n">
        <v>51765</v>
      </c>
      <c r="C720" s="1" t="n">
        <v>4</v>
      </c>
      <c r="D720" s="1" t="n">
        <v>7</v>
      </c>
      <c r="E720" s="1" t="str">
        <f aca="false">VLOOKUP(C720,Меню!$A$2:$C$24,2,FALSE())</f>
        <v>Пицца Труслейка</v>
      </c>
      <c r="F720" s="1" t="n">
        <f aca="false">VLOOKUP(C720,Меню!$A$2:$C$24,3,FALSE())</f>
        <v>610</v>
      </c>
      <c r="G720" s="5" t="n">
        <f aca="false">VLOOKUP(B720,Заказы!$A$2:$E$2995,2,FALSE())</f>
        <v>44011</v>
      </c>
      <c r="H720" s="1" t="n">
        <f aca="false">VLOOKUP(B720,Заказы!$A$2:$E$2995,3,FALSE())</f>
        <v>1843</v>
      </c>
      <c r="I720" s="1" t="str">
        <f aca="false">VLOOKUP(H720,Клиенты!$A$2:$E$1995,5,FALSE())</f>
        <v>г. Шуя</v>
      </c>
      <c r="J720" s="1" t="n">
        <f aca="false">VLOOKUP(B720,Заказы!$A$2:$E$2995,4,FALSE())</f>
        <v>0</v>
      </c>
      <c r="K720" s="1" t="str">
        <f aca="false">VLOOKUP(B720,Заказы!$A$2:$E$2995,5,FALSE())</f>
        <v>Не выполнено</v>
      </c>
      <c r="L720" s="1" t="n">
        <f aca="false">D720*F720+J720</f>
        <v>4270</v>
      </c>
      <c r="M720" s="1" t="n">
        <f aca="false">IF(AND(E720="Пицца Труслейка",I720="г. Москва",K720="Выполнено",G720&gt;=DATE(2020,7,1),G720&lt;DATE(2020,8,1)),L720,0)</f>
        <v>0</v>
      </c>
    </row>
    <row r="721" customFormat="false" ht="15" hidden="false" customHeight="true" outlineLevel="0" collapsed="false">
      <c r="A721" s="1" t="n">
        <v>100869</v>
      </c>
      <c r="B721" s="1" t="n">
        <v>50585</v>
      </c>
      <c r="C721" s="1" t="n">
        <v>4</v>
      </c>
      <c r="D721" s="1" t="n">
        <v>2</v>
      </c>
      <c r="E721" s="1" t="str">
        <f aca="false">VLOOKUP(C721,Меню!$A$2:$C$24,2,FALSE())</f>
        <v>Пицца Труслейка</v>
      </c>
      <c r="F721" s="1" t="n">
        <f aca="false">VLOOKUP(C721,Меню!$A$2:$C$24,3,FALSE())</f>
        <v>610</v>
      </c>
      <c r="G721" s="5" t="n">
        <f aca="false">VLOOKUP(B721,Заказы!$A$2:$E$2995,2,FALSE())</f>
        <v>44024</v>
      </c>
      <c r="H721" s="1" t="n">
        <f aca="false">VLOOKUP(B721,Заказы!$A$2:$E$2995,3,FALSE())</f>
        <v>671</v>
      </c>
      <c r="I721" s="1" t="str">
        <f aca="false">VLOOKUP(H721,Клиенты!$A$2:$E$1995,5,FALSE())</f>
        <v>г. Ангарск</v>
      </c>
      <c r="J721" s="1" t="n">
        <f aca="false">VLOOKUP(B721,Заказы!$A$2:$E$2995,4,FALSE())</f>
        <v>0</v>
      </c>
      <c r="K721" s="1" t="str">
        <f aca="false">VLOOKUP(B721,Заказы!$A$2:$E$2995,5,FALSE())</f>
        <v>Не выполнено</v>
      </c>
      <c r="L721" s="1" t="n">
        <f aca="false">D721*F721+J721</f>
        <v>1220</v>
      </c>
      <c r="M721" s="1" t="n">
        <f aca="false">IF(AND(E721="Пицца Труслейка",I721="г. Москва",K721="Выполнено",G721&gt;=DATE(2020,7,1),G721&lt;DATE(2020,8,1)),L721,0)</f>
        <v>0</v>
      </c>
    </row>
    <row r="722" customFormat="false" ht="15" hidden="false" customHeight="true" outlineLevel="0" collapsed="false">
      <c r="A722" s="1" t="n">
        <v>101495</v>
      </c>
      <c r="B722" s="1" t="n">
        <v>51465</v>
      </c>
      <c r="C722" s="1" t="n">
        <v>23</v>
      </c>
      <c r="D722" s="1" t="n">
        <v>1</v>
      </c>
      <c r="E722" s="1" t="str">
        <f aca="false">VLOOKUP(C722,Меню!$A$2:$C$24,2,FALSE())</f>
        <v>Пицца с тунцом</v>
      </c>
      <c r="F722" s="1" t="n">
        <f aca="false">VLOOKUP(C722,Меню!$A$2:$C$24,3,FALSE())</f>
        <v>520</v>
      </c>
      <c r="G722" s="5" t="n">
        <f aca="false">VLOOKUP(B722,Заказы!$A$2:$E$2995,2,FALSE())</f>
        <v>44020</v>
      </c>
      <c r="H722" s="1" t="n">
        <f aca="false">VLOOKUP(B722,Заказы!$A$2:$E$2995,3,FALSE())</f>
        <v>1602</v>
      </c>
      <c r="I722" s="1" t="str">
        <f aca="false">VLOOKUP(H722,Клиенты!$A$2:$E$1995,5,FALSE())</f>
        <v>г. Багратионовск</v>
      </c>
      <c r="J722" s="1" t="n">
        <f aca="false">VLOOKUP(B722,Заказы!$A$2:$E$2995,4,FALSE())</f>
        <v>317</v>
      </c>
      <c r="K722" s="1" t="str">
        <f aca="false">VLOOKUP(B722,Заказы!$A$2:$E$2995,5,FALSE())</f>
        <v>Выполнено</v>
      </c>
      <c r="L722" s="1" t="n">
        <f aca="false">D722*F722+J722</f>
        <v>837</v>
      </c>
      <c r="M722" s="1" t="n">
        <f aca="false">IF(AND(E722="Пицца Труслейка",I722="г. Москва",K722="Выполнено",G722&gt;=DATE(2020,7,1),G722&lt;DATE(2020,8,1)),L722,0)</f>
        <v>0</v>
      </c>
    </row>
    <row r="723" customFormat="false" ht="15" hidden="false" customHeight="true" outlineLevel="0" collapsed="false">
      <c r="A723" s="1" t="n">
        <v>101660</v>
      </c>
      <c r="B723" s="1" t="n">
        <v>50537</v>
      </c>
      <c r="C723" s="1" t="n">
        <v>3</v>
      </c>
      <c r="D723" s="1" t="n">
        <v>4</v>
      </c>
      <c r="E723" s="1" t="str">
        <f aca="false">VLOOKUP(C723,Меню!$A$2:$C$24,2,FALSE())</f>
        <v>Пицца Диабло</v>
      </c>
      <c r="F723" s="1" t="n">
        <f aca="false">VLOOKUP(C723,Меню!$A$2:$C$24,3,FALSE())</f>
        <v>590</v>
      </c>
      <c r="G723" s="5" t="n">
        <f aca="false">VLOOKUP(B723,Заказы!$A$2:$E$2995,2,FALSE())</f>
        <v>44044</v>
      </c>
      <c r="H723" s="1" t="n">
        <f aca="false">VLOOKUP(B723,Заказы!$A$2:$E$2995,3,FALSE())</f>
        <v>1438</v>
      </c>
      <c r="I723" s="1" t="str">
        <f aca="false">VLOOKUP(H723,Клиенты!$A$2:$E$1995,5,FALSE())</f>
        <v>г. Углич</v>
      </c>
      <c r="J723" s="1" t="n">
        <f aca="false">VLOOKUP(B723,Заказы!$A$2:$E$2995,4,FALSE())</f>
        <v>692</v>
      </c>
      <c r="K723" s="1" t="str">
        <f aca="false">VLOOKUP(B723,Заказы!$A$2:$E$2995,5,FALSE())</f>
        <v>Выполнено</v>
      </c>
      <c r="L723" s="1" t="n">
        <f aca="false">D723*F723+J723</f>
        <v>3052</v>
      </c>
      <c r="M723" s="1" t="n">
        <f aca="false">IF(AND(E723="Пицца Труслейка",I723="г. Москва",K723="Выполнено",G723&gt;=DATE(2020,7,1),G723&lt;DATE(2020,8,1)),L723,0)</f>
        <v>0</v>
      </c>
    </row>
    <row r="724" customFormat="false" ht="15" hidden="false" customHeight="true" outlineLevel="0" collapsed="false">
      <c r="A724" s="1" t="n">
        <v>101675</v>
      </c>
      <c r="B724" s="1" t="n">
        <v>50091</v>
      </c>
      <c r="C724" s="1" t="n">
        <v>16</v>
      </c>
      <c r="D724" s="1" t="n">
        <v>8</v>
      </c>
      <c r="E724" s="1" t="str">
        <f aca="false">VLOOKUP(C724,Меню!$A$2:$C$24,2,FALSE())</f>
        <v>Пицца Флорида</v>
      </c>
      <c r="F724" s="1" t="n">
        <f aca="false">VLOOKUP(C724,Меню!$A$2:$C$24,3,FALSE())</f>
        <v>535</v>
      </c>
      <c r="G724" s="5" t="n">
        <f aca="false">VLOOKUP(B724,Заказы!$A$2:$E$2995,2,FALSE())</f>
        <v>44014</v>
      </c>
      <c r="H724" s="1" t="n">
        <f aca="false">VLOOKUP(B724,Заказы!$A$2:$E$2995,3,FALSE())</f>
        <v>488</v>
      </c>
      <c r="I724" s="1" t="str">
        <f aca="false">VLOOKUP(H724,Клиенты!$A$2:$E$1995,5,FALSE())</f>
        <v>г. Кудрово</v>
      </c>
      <c r="J724" s="1" t="n">
        <f aca="false">VLOOKUP(B724,Заказы!$A$2:$E$2995,4,FALSE())</f>
        <v>0</v>
      </c>
      <c r="K724" s="1" t="str">
        <f aca="false">VLOOKUP(B724,Заказы!$A$2:$E$2995,5,FALSE())</f>
        <v>Не выполнено</v>
      </c>
      <c r="L724" s="1" t="n">
        <f aca="false">D724*F724+J724</f>
        <v>4280</v>
      </c>
      <c r="M724" s="1" t="n">
        <f aca="false">IF(AND(E724="Пицца Труслейка",I724="г. Москва",K724="Выполнено",G724&gt;=DATE(2020,7,1),G724&lt;DATE(2020,8,1)),L724,0)</f>
        <v>0</v>
      </c>
    </row>
    <row r="725" customFormat="false" ht="15" hidden="false" customHeight="true" outlineLevel="0" collapsed="false">
      <c r="A725" s="1" t="n">
        <v>101007</v>
      </c>
      <c r="B725" s="1" t="n">
        <v>51203</v>
      </c>
      <c r="C725" s="1" t="n">
        <v>15</v>
      </c>
      <c r="D725" s="1" t="n">
        <v>10</v>
      </c>
      <c r="E725" s="1" t="str">
        <f aca="false">VLOOKUP(C725,Меню!$A$2:$C$24,2,FALSE())</f>
        <v>Пицца Тропиканка</v>
      </c>
      <c r="F725" s="1" t="n">
        <f aca="false">VLOOKUP(C725,Меню!$A$2:$C$24,3,FALSE())</f>
        <v>605</v>
      </c>
      <c r="G725" s="5" t="n">
        <f aca="false">VLOOKUP(B725,Заказы!$A$2:$E$2995,2,FALSE())</f>
        <v>43987</v>
      </c>
      <c r="H725" s="1" t="n">
        <f aca="false">VLOOKUP(B725,Заказы!$A$2:$E$2995,3,FALSE())</f>
        <v>1367</v>
      </c>
      <c r="I725" s="1" t="str">
        <f aca="false">VLOOKUP(H725,Клиенты!$A$2:$E$1995,5,FALSE())</f>
        <v>г. Магас</v>
      </c>
      <c r="J725" s="1" t="n">
        <f aca="false">VLOOKUP(B725,Заказы!$A$2:$E$2995,4,FALSE())</f>
        <v>0</v>
      </c>
      <c r="K725" s="1" t="str">
        <f aca="false">VLOOKUP(B725,Заказы!$A$2:$E$2995,5,FALSE())</f>
        <v>Не выполнено</v>
      </c>
      <c r="L725" s="1" t="n">
        <f aca="false">D725*F725+J725</f>
        <v>6050</v>
      </c>
      <c r="M725" s="1" t="n">
        <f aca="false">IF(AND(E725="Пицца Труслейка",I725="г. Москва",K725="Выполнено",G725&gt;=DATE(2020,7,1),G725&lt;DATE(2020,8,1)),L725,0)</f>
        <v>0</v>
      </c>
    </row>
    <row r="726" customFormat="false" ht="15" hidden="false" customHeight="true" outlineLevel="0" collapsed="false">
      <c r="A726" s="1" t="n">
        <v>100571</v>
      </c>
      <c r="B726" s="1" t="n">
        <v>51276</v>
      </c>
      <c r="C726" s="1" t="n">
        <v>5</v>
      </c>
      <c r="D726" s="1" t="n">
        <v>3</v>
      </c>
      <c r="E726" s="1" t="str">
        <f aca="false">VLOOKUP(C726,Меню!$A$2:$C$24,2,FALSE())</f>
        <v>Пицца Жюльен</v>
      </c>
      <c r="F726" s="1" t="n">
        <f aca="false">VLOOKUP(C726,Меню!$A$2:$C$24,3,FALSE())</f>
        <v>580</v>
      </c>
      <c r="G726" s="5" t="n">
        <f aca="false">VLOOKUP(B726,Заказы!$A$2:$E$2995,2,FALSE())</f>
        <v>44004</v>
      </c>
      <c r="H726" s="1" t="n">
        <f aca="false">VLOOKUP(B726,Заказы!$A$2:$E$2995,3,FALSE())</f>
        <v>774</v>
      </c>
      <c r="I726" s="1" t="str">
        <f aca="false">VLOOKUP(H726,Клиенты!$A$2:$E$1995,5,FALSE())</f>
        <v>г. Котельники</v>
      </c>
      <c r="J726" s="1" t="n">
        <f aca="false">VLOOKUP(B726,Заказы!$A$2:$E$2995,4,FALSE())</f>
        <v>0</v>
      </c>
      <c r="K726" s="1" t="str">
        <f aca="false">VLOOKUP(B726,Заказы!$A$2:$E$2995,5,FALSE())</f>
        <v>Не выполнено</v>
      </c>
      <c r="L726" s="1" t="n">
        <f aca="false">D726*F726+J726</f>
        <v>1740</v>
      </c>
      <c r="M726" s="1" t="n">
        <f aca="false">IF(AND(E726="Пицца Труслейка",I726="г. Москва",K726="Выполнено",G726&gt;=DATE(2020,7,1),G726&lt;DATE(2020,8,1)),L726,0)</f>
        <v>0</v>
      </c>
    </row>
    <row r="727" customFormat="false" ht="15" hidden="false" customHeight="true" outlineLevel="0" collapsed="false">
      <c r="A727" s="1" t="n">
        <v>101964</v>
      </c>
      <c r="B727" s="1" t="n">
        <v>50073</v>
      </c>
      <c r="C727" s="1" t="n">
        <v>6</v>
      </c>
      <c r="D727" s="1" t="n">
        <v>8</v>
      </c>
      <c r="E727" s="1" t="str">
        <f aca="false">VLOOKUP(C727,Меню!$A$2:$C$24,2,FALSE())</f>
        <v>Пицца Капричиоза</v>
      </c>
      <c r="F727" s="1" t="n">
        <f aca="false">VLOOKUP(C727,Меню!$A$2:$C$24,3,FALSE())</f>
        <v>570</v>
      </c>
      <c r="G727" s="5" t="n">
        <f aca="false">VLOOKUP(B727,Заказы!$A$2:$E$2995,2,FALSE())</f>
        <v>44018</v>
      </c>
      <c r="H727" s="1" t="n">
        <f aca="false">VLOOKUP(B727,Заказы!$A$2:$E$2995,3,FALSE())</f>
        <v>1199</v>
      </c>
      <c r="I727" s="1" t="str">
        <f aca="false">VLOOKUP(H727,Клиенты!$A$2:$E$1995,5,FALSE())</f>
        <v>г. Волчанск</v>
      </c>
      <c r="J727" s="1" t="n">
        <f aca="false">VLOOKUP(B727,Заказы!$A$2:$E$2995,4,FALSE())</f>
        <v>636</v>
      </c>
      <c r="K727" s="1" t="str">
        <f aca="false">VLOOKUP(B727,Заказы!$A$2:$E$2995,5,FALSE())</f>
        <v>Выполнено</v>
      </c>
      <c r="L727" s="1" t="n">
        <f aca="false">D727*F727+J727</f>
        <v>5196</v>
      </c>
      <c r="M727" s="1" t="n">
        <f aca="false">IF(AND(E727="Пицца Труслейка",I727="г. Москва",K727="Выполнено",G727&gt;=DATE(2020,7,1),G727&lt;DATE(2020,8,1)),L727,0)</f>
        <v>0</v>
      </c>
    </row>
    <row r="728" customFormat="false" ht="15" hidden="false" customHeight="true" outlineLevel="0" collapsed="false">
      <c r="A728" s="1" t="n">
        <v>101297</v>
      </c>
      <c r="B728" s="1" t="n">
        <v>51727</v>
      </c>
      <c r="C728" s="1" t="n">
        <v>19</v>
      </c>
      <c r="D728" s="1" t="n">
        <v>6</v>
      </c>
      <c r="E728" s="1" t="str">
        <f aca="false">VLOOKUP(C728,Меню!$A$2:$C$24,2,FALSE())</f>
        <v>Пицца Цезарь</v>
      </c>
      <c r="F728" s="1" t="n">
        <f aca="false">VLOOKUP(C728,Меню!$A$2:$C$24,3,FALSE())</f>
        <v>630</v>
      </c>
      <c r="G728" s="5" t="n">
        <f aca="false">VLOOKUP(B728,Заказы!$A$2:$E$2995,2,FALSE())</f>
        <v>44009</v>
      </c>
      <c r="H728" s="1" t="n">
        <f aca="false">VLOOKUP(B728,Заказы!$A$2:$E$2995,3,FALSE())</f>
        <v>708</v>
      </c>
      <c r="I728" s="1" t="str">
        <f aca="false">VLOOKUP(H728,Клиенты!$A$2:$E$1995,5,FALSE())</f>
        <v>г. Балабаново</v>
      </c>
      <c r="J728" s="1" t="n">
        <f aca="false">VLOOKUP(B728,Заказы!$A$2:$E$2995,4,FALSE())</f>
        <v>0</v>
      </c>
      <c r="K728" s="1" t="str">
        <f aca="false">VLOOKUP(B728,Заказы!$A$2:$E$2995,5,FALSE())</f>
        <v>Не выполнено</v>
      </c>
      <c r="L728" s="1" t="n">
        <f aca="false">D728*F728+J728</f>
        <v>3780</v>
      </c>
      <c r="M728" s="1" t="n">
        <f aca="false">IF(AND(E728="Пицца Труслейка",I728="г. Москва",K728="Выполнено",G728&gt;=DATE(2020,7,1),G728&lt;DATE(2020,8,1)),L728,0)</f>
        <v>0</v>
      </c>
    </row>
    <row r="729" customFormat="false" ht="15" hidden="false" customHeight="true" outlineLevel="0" collapsed="false">
      <c r="A729" s="1" t="n">
        <v>101492</v>
      </c>
      <c r="B729" s="1" t="n">
        <v>50815</v>
      </c>
      <c r="C729" s="1" t="n">
        <v>21</v>
      </c>
      <c r="D729" s="1" t="n">
        <v>5</v>
      </c>
      <c r="E729" s="1" t="str">
        <f aca="false">VLOOKUP(C729,Меню!$A$2:$C$24,2,FALSE())</f>
        <v>Пицца с креветками и цукини</v>
      </c>
      <c r="F729" s="1" t="n">
        <f aca="false">VLOOKUP(C729,Меню!$A$2:$C$24,3,FALSE())</f>
        <v>600</v>
      </c>
      <c r="G729" s="5" t="n">
        <f aca="false">VLOOKUP(B729,Заказы!$A$2:$E$2995,2,FALSE())</f>
        <v>43996</v>
      </c>
      <c r="H729" s="1" t="n">
        <f aca="false">VLOOKUP(B729,Заказы!$A$2:$E$2995,3,FALSE())</f>
        <v>342</v>
      </c>
      <c r="I729" s="1" t="str">
        <f aca="false">VLOOKUP(H729,Клиенты!$A$2:$E$1995,5,FALSE())</f>
        <v>г. Сосновка</v>
      </c>
      <c r="J729" s="1" t="n">
        <f aca="false">VLOOKUP(B729,Заказы!$A$2:$E$2995,4,FALSE())</f>
        <v>677</v>
      </c>
      <c r="K729" s="1" t="str">
        <f aca="false">VLOOKUP(B729,Заказы!$A$2:$E$2995,5,FALSE())</f>
        <v>Выполнено</v>
      </c>
      <c r="L729" s="1" t="n">
        <f aca="false">D729*F729+J729</f>
        <v>3677</v>
      </c>
      <c r="M729" s="1" t="n">
        <f aca="false">IF(AND(E729="Пицца Труслейка",I729="г. Москва",K729="Выполнено",G729&gt;=DATE(2020,7,1),G729&lt;DATE(2020,8,1)),L729,0)</f>
        <v>0</v>
      </c>
    </row>
    <row r="730" customFormat="false" ht="15" hidden="false" customHeight="true" outlineLevel="0" collapsed="false">
      <c r="A730" s="1" t="n">
        <v>101484</v>
      </c>
      <c r="B730" s="1" t="n">
        <v>50491</v>
      </c>
      <c r="C730" s="1" t="n">
        <v>4</v>
      </c>
      <c r="D730" s="1" t="n">
        <v>7</v>
      </c>
      <c r="E730" s="1" t="str">
        <f aca="false">VLOOKUP(C730,Меню!$A$2:$C$24,2,FALSE())</f>
        <v>Пицца Труслейка</v>
      </c>
      <c r="F730" s="1" t="n">
        <f aca="false">VLOOKUP(C730,Меню!$A$2:$C$24,3,FALSE())</f>
        <v>610</v>
      </c>
      <c r="G730" s="5" t="n">
        <f aca="false">VLOOKUP(B730,Заказы!$A$2:$E$2995,2,FALSE())</f>
        <v>44061</v>
      </c>
      <c r="H730" s="1" t="n">
        <f aca="false">VLOOKUP(B730,Заказы!$A$2:$E$2995,3,FALSE())</f>
        <v>1309</v>
      </c>
      <c r="I730" s="1" t="str">
        <f aca="false">VLOOKUP(H730,Клиенты!$A$2:$E$1995,5,FALSE())</f>
        <v>г. Кедровый</v>
      </c>
      <c r="J730" s="1" t="n">
        <f aca="false">VLOOKUP(B730,Заказы!$A$2:$E$2995,4,FALSE())</f>
        <v>0</v>
      </c>
      <c r="K730" s="1" t="str">
        <f aca="false">VLOOKUP(B730,Заказы!$A$2:$E$2995,5,FALSE())</f>
        <v>Не выполнено</v>
      </c>
      <c r="L730" s="1" t="n">
        <f aca="false">D730*F730+J730</f>
        <v>4270</v>
      </c>
      <c r="M730" s="1" t="n">
        <f aca="false">IF(AND(E730="Пицца Труслейка",I730="г. Москва",K730="Выполнено",G730&gt;=DATE(2020,7,1),G730&lt;DATE(2020,8,1)),L730,0)</f>
        <v>0</v>
      </c>
    </row>
    <row r="731" customFormat="false" ht="15" hidden="false" customHeight="true" outlineLevel="0" collapsed="false">
      <c r="A731" s="1" t="n">
        <v>100535</v>
      </c>
      <c r="B731" s="1" t="n">
        <v>50190</v>
      </c>
      <c r="C731" s="1" t="n">
        <v>4</v>
      </c>
      <c r="D731" s="1" t="n">
        <v>7</v>
      </c>
      <c r="E731" s="1" t="str">
        <f aca="false">VLOOKUP(C731,Меню!$A$2:$C$24,2,FALSE())</f>
        <v>Пицца Труслейка</v>
      </c>
      <c r="F731" s="1" t="n">
        <f aca="false">VLOOKUP(C731,Меню!$A$2:$C$24,3,FALSE())</f>
        <v>610</v>
      </c>
      <c r="G731" s="5" t="n">
        <f aca="false">VLOOKUP(B731,Заказы!$A$2:$E$2995,2,FALSE())</f>
        <v>44071</v>
      </c>
      <c r="H731" s="1" t="n">
        <f aca="false">VLOOKUP(B731,Заказы!$A$2:$E$2995,3,FALSE())</f>
        <v>801</v>
      </c>
      <c r="I731" s="1" t="str">
        <f aca="false">VLOOKUP(H731,Клиенты!$A$2:$E$1995,5,FALSE())</f>
        <v>г. Сертолово</v>
      </c>
      <c r="J731" s="1" t="n">
        <f aca="false">VLOOKUP(B731,Заказы!$A$2:$E$2995,4,FALSE())</f>
        <v>0</v>
      </c>
      <c r="K731" s="1" t="str">
        <f aca="false">VLOOKUP(B731,Заказы!$A$2:$E$2995,5,FALSE())</f>
        <v>Не выполнено</v>
      </c>
      <c r="L731" s="1" t="n">
        <f aca="false">D731*F731+J731</f>
        <v>4270</v>
      </c>
      <c r="M731" s="1" t="n">
        <f aca="false">IF(AND(E731="Пицца Труслейка",I731="г. Москва",K731="Выполнено",G731&gt;=DATE(2020,7,1),G731&lt;DATE(2020,8,1)),L731,0)</f>
        <v>0</v>
      </c>
    </row>
    <row r="732" customFormat="false" ht="15" hidden="false" customHeight="true" outlineLevel="0" collapsed="false">
      <c r="A732" s="1" t="n">
        <v>100887</v>
      </c>
      <c r="B732" s="1" t="n">
        <v>50909</v>
      </c>
      <c r="C732" s="1" t="n">
        <v>11</v>
      </c>
      <c r="D732" s="1" t="n">
        <v>4</v>
      </c>
      <c r="E732" s="1" t="str">
        <f aca="false">VLOOKUP(C732,Меню!$A$2:$C$24,2,FALSE())</f>
        <v>Пицца Песто</v>
      </c>
      <c r="F732" s="1" t="n">
        <f aca="false">VLOOKUP(C732,Меню!$A$2:$C$24,3,FALSE())</f>
        <v>530</v>
      </c>
      <c r="G732" s="5" t="n">
        <f aca="false">VLOOKUP(B732,Заказы!$A$2:$E$2995,2,FALSE())</f>
        <v>44036</v>
      </c>
      <c r="H732" s="1" t="n">
        <f aca="false">VLOOKUP(B732,Заказы!$A$2:$E$2995,3,FALSE())</f>
        <v>1866</v>
      </c>
      <c r="I732" s="1" t="str">
        <f aca="false">VLOOKUP(H732,Клиенты!$A$2:$E$1995,5,FALSE())</f>
        <v>г. Энгельс</v>
      </c>
      <c r="J732" s="1" t="n">
        <f aca="false">VLOOKUP(B732,Заказы!$A$2:$E$2995,4,FALSE())</f>
        <v>0</v>
      </c>
      <c r="K732" s="1" t="str">
        <f aca="false">VLOOKUP(B732,Заказы!$A$2:$E$2995,5,FALSE())</f>
        <v>Не выполнено</v>
      </c>
      <c r="L732" s="1" t="n">
        <f aca="false">D732*F732+J732</f>
        <v>2120</v>
      </c>
      <c r="M732" s="1" t="n">
        <f aca="false">IF(AND(E732="Пицца Труслейка",I732="г. Москва",K732="Выполнено",G732&gt;=DATE(2020,7,1),G732&lt;DATE(2020,8,1)),L732,0)</f>
        <v>0</v>
      </c>
    </row>
    <row r="733" customFormat="false" ht="15" hidden="false" customHeight="true" outlineLevel="0" collapsed="false">
      <c r="A733" s="1" t="n">
        <v>101681</v>
      </c>
      <c r="B733" s="1" t="n">
        <v>51152</v>
      </c>
      <c r="C733" s="1" t="n">
        <v>9</v>
      </c>
      <c r="D733" s="1" t="n">
        <v>9</v>
      </c>
      <c r="E733" s="1" t="str">
        <f aca="false">VLOOKUP(C733,Меню!$A$2:$C$24,2,FALSE())</f>
        <v>Пицца Острая с беконом</v>
      </c>
      <c r="F733" s="1" t="n">
        <f aca="false">VLOOKUP(C733,Меню!$A$2:$C$24,3,FALSE())</f>
        <v>540</v>
      </c>
      <c r="G733" s="5" t="n">
        <f aca="false">VLOOKUP(B733,Заказы!$A$2:$E$2995,2,FALSE())</f>
        <v>43989</v>
      </c>
      <c r="H733" s="1" t="n">
        <f aca="false">VLOOKUP(B733,Заказы!$A$2:$E$2995,3,FALSE())</f>
        <v>440</v>
      </c>
      <c r="I733" s="1" t="str">
        <f aca="false">VLOOKUP(H733,Клиенты!$A$2:$E$1995,5,FALSE())</f>
        <v>г. Москва</v>
      </c>
      <c r="J733" s="1" t="n">
        <f aca="false">VLOOKUP(B733,Заказы!$A$2:$E$2995,4,FALSE())</f>
        <v>0</v>
      </c>
      <c r="K733" s="1" t="str">
        <f aca="false">VLOOKUP(B733,Заказы!$A$2:$E$2995,5,FALSE())</f>
        <v>Не выполнено</v>
      </c>
      <c r="L733" s="1" t="n">
        <f aca="false">D733*F733+J733</f>
        <v>4860</v>
      </c>
      <c r="M733" s="1" t="n">
        <f aca="false">IF(AND(E733="Пицца Труслейка",I733="г. Москва",K733="Выполнено",G733&gt;=DATE(2020,7,1),G733&lt;DATE(2020,8,1)),L733,0)</f>
        <v>0</v>
      </c>
    </row>
    <row r="734" customFormat="false" ht="15" hidden="false" customHeight="true" outlineLevel="0" collapsed="false">
      <c r="A734" s="1" t="n">
        <v>101722</v>
      </c>
      <c r="B734" s="1" t="n">
        <v>50280</v>
      </c>
      <c r="C734" s="1" t="n">
        <v>20</v>
      </c>
      <c r="D734" s="1" t="n">
        <v>2</v>
      </c>
      <c r="E734" s="1" t="str">
        <f aca="false">VLOOKUP(C734,Меню!$A$2:$C$24,2,FALSE())</f>
        <v>Пицца пиканте</v>
      </c>
      <c r="F734" s="1" t="n">
        <f aca="false">VLOOKUP(C734,Меню!$A$2:$C$24,3,FALSE())</f>
        <v>585</v>
      </c>
      <c r="G734" s="5" t="n">
        <f aca="false">VLOOKUP(B734,Заказы!$A$2:$E$2995,2,FALSE())</f>
        <v>44011</v>
      </c>
      <c r="H734" s="1" t="n">
        <f aca="false">VLOOKUP(B734,Заказы!$A$2:$E$2995,3,FALSE())</f>
        <v>426</v>
      </c>
      <c r="I734" s="1" t="str">
        <f aca="false">VLOOKUP(H734,Клиенты!$A$2:$E$1995,5,FALSE())</f>
        <v>г. Сибай</v>
      </c>
      <c r="J734" s="1" t="n">
        <f aca="false">VLOOKUP(B734,Заказы!$A$2:$E$2995,4,FALSE())</f>
        <v>0</v>
      </c>
      <c r="K734" s="1" t="str">
        <f aca="false">VLOOKUP(B734,Заказы!$A$2:$E$2995,5,FALSE())</f>
        <v>Не выполнено</v>
      </c>
      <c r="L734" s="1" t="n">
        <f aca="false">D734*F734+J734</f>
        <v>1170</v>
      </c>
      <c r="M734" s="1" t="n">
        <f aca="false">IF(AND(E734="Пицца Труслейка",I734="г. Москва",K734="Выполнено",G734&gt;=DATE(2020,7,1),G734&lt;DATE(2020,8,1)),L734,0)</f>
        <v>0</v>
      </c>
    </row>
    <row r="735" customFormat="false" ht="15" hidden="false" customHeight="true" outlineLevel="0" collapsed="false">
      <c r="A735" s="1" t="n">
        <v>100075</v>
      </c>
      <c r="B735" s="1" t="n">
        <v>51945</v>
      </c>
      <c r="C735" s="1" t="n">
        <v>14</v>
      </c>
      <c r="D735" s="1" t="n">
        <v>4</v>
      </c>
      <c r="E735" s="1" t="str">
        <f aca="false">VLOOKUP(C735,Меню!$A$2:$C$24,2,FALSE())</f>
        <v>Пицца Сырный цыпленок</v>
      </c>
      <c r="F735" s="1" t="n">
        <f aca="false">VLOOKUP(C735,Меню!$A$2:$C$24,3,FALSE())</f>
        <v>555</v>
      </c>
      <c r="G735" s="5" t="n">
        <f aca="false">VLOOKUP(B735,Заказы!$A$2:$E$2995,2,FALSE())</f>
        <v>44020</v>
      </c>
      <c r="H735" s="1" t="n">
        <f aca="false">VLOOKUP(B735,Заказы!$A$2:$E$2995,3,FALSE())</f>
        <v>1696</v>
      </c>
      <c r="I735" s="1" t="str">
        <f aca="false">VLOOKUP(H735,Клиенты!$A$2:$E$1995,5,FALSE())</f>
        <v>г. Гурьевск</v>
      </c>
      <c r="J735" s="1" t="n">
        <f aca="false">VLOOKUP(B735,Заказы!$A$2:$E$2995,4,FALSE())</f>
        <v>0</v>
      </c>
      <c r="K735" s="1" t="str">
        <f aca="false">VLOOKUP(B735,Заказы!$A$2:$E$2995,5,FALSE())</f>
        <v>Не выполнено</v>
      </c>
      <c r="L735" s="1" t="n">
        <f aca="false">D735*F735+J735</f>
        <v>2220</v>
      </c>
      <c r="M735" s="1" t="n">
        <f aca="false">IF(AND(E735="Пицца Труслейка",I735="г. Москва",K735="Выполнено",G735&gt;=DATE(2020,7,1),G735&lt;DATE(2020,8,1)),L735,0)</f>
        <v>0</v>
      </c>
    </row>
    <row r="736" customFormat="false" ht="15" hidden="false" customHeight="true" outlineLevel="0" collapsed="false">
      <c r="A736" s="1" t="n">
        <v>100464</v>
      </c>
      <c r="B736" s="1" t="n">
        <v>50180</v>
      </c>
      <c r="C736" s="1" t="n">
        <v>22</v>
      </c>
      <c r="D736" s="1" t="n">
        <v>1</v>
      </c>
      <c r="E736" s="1" t="str">
        <f aca="false">VLOOKUP(C736,Меню!$A$2:$C$24,2,FALSE())</f>
        <v>Пицца с поркеттой и фриарелли</v>
      </c>
      <c r="F736" s="1" t="n">
        <f aca="false">VLOOKUP(C736,Меню!$A$2:$C$24,3,FALSE())</f>
        <v>550</v>
      </c>
      <c r="G736" s="5" t="n">
        <f aca="false">VLOOKUP(B736,Заказы!$A$2:$E$2995,2,FALSE())</f>
        <v>44071</v>
      </c>
      <c r="H736" s="1" t="n">
        <f aca="false">VLOOKUP(B736,Заказы!$A$2:$E$2995,3,FALSE())</f>
        <v>1787</v>
      </c>
      <c r="I736" s="1" t="str">
        <f aca="false">VLOOKUP(H736,Клиенты!$A$2:$E$1995,5,FALSE())</f>
        <v>г. Оса</v>
      </c>
      <c r="J736" s="1" t="n">
        <f aca="false">VLOOKUP(B736,Заказы!$A$2:$E$2995,4,FALSE())</f>
        <v>0</v>
      </c>
      <c r="K736" s="1" t="str">
        <f aca="false">VLOOKUP(B736,Заказы!$A$2:$E$2995,5,FALSE())</f>
        <v>Не выполнено</v>
      </c>
      <c r="L736" s="1" t="n">
        <f aca="false">D736*F736+J736</f>
        <v>550</v>
      </c>
      <c r="M736" s="1" t="n">
        <f aca="false">IF(AND(E736="Пицца Труслейка",I736="г. Москва",K736="Выполнено",G736&gt;=DATE(2020,7,1),G736&lt;DATE(2020,8,1)),L736,0)</f>
        <v>0</v>
      </c>
    </row>
    <row r="737" customFormat="false" ht="15" hidden="false" customHeight="true" outlineLevel="0" collapsed="false">
      <c r="A737" s="1" t="n">
        <v>100606</v>
      </c>
      <c r="B737" s="1" t="n">
        <v>50330</v>
      </c>
      <c r="C737" s="1" t="n">
        <v>18</v>
      </c>
      <c r="D737" s="1" t="n">
        <v>4</v>
      </c>
      <c r="E737" s="1" t="str">
        <f aca="false">VLOOKUP(C737,Меню!$A$2:$C$24,2,FALSE())</f>
        <v>Пицца Царская</v>
      </c>
      <c r="F737" s="1" t="n">
        <f aca="false">VLOOKUP(C737,Меню!$A$2:$C$24,3,FALSE())</f>
        <v>620</v>
      </c>
      <c r="G737" s="5" t="n">
        <f aca="false">VLOOKUP(B737,Заказы!$A$2:$E$2995,2,FALSE())</f>
        <v>44035</v>
      </c>
      <c r="H737" s="1" t="n">
        <f aca="false">VLOOKUP(B737,Заказы!$A$2:$E$2995,3,FALSE())</f>
        <v>1210</v>
      </c>
      <c r="I737" s="1" t="str">
        <f aca="false">VLOOKUP(H737,Клиенты!$A$2:$E$1995,5,FALSE())</f>
        <v>г. Москва</v>
      </c>
      <c r="J737" s="1" t="n">
        <f aca="false">VLOOKUP(B737,Заказы!$A$2:$E$2995,4,FALSE())</f>
        <v>763</v>
      </c>
      <c r="K737" s="1" t="str">
        <f aca="false">VLOOKUP(B737,Заказы!$A$2:$E$2995,5,FALSE())</f>
        <v>Выполнено</v>
      </c>
      <c r="L737" s="1" t="n">
        <f aca="false">D737*F737+J737</f>
        <v>3243</v>
      </c>
      <c r="M737" s="1" t="n">
        <f aca="false">IF(AND(E737="Пицца Труслейка",I737="г. Москва",K737="Выполнено",G737&gt;=DATE(2020,7,1),G737&lt;DATE(2020,8,1)),L737,0)</f>
        <v>0</v>
      </c>
    </row>
    <row r="738" customFormat="false" ht="15" hidden="false" customHeight="true" outlineLevel="0" collapsed="false">
      <c r="A738" s="1" t="n">
        <v>100282</v>
      </c>
      <c r="B738" s="1" t="n">
        <v>50025</v>
      </c>
      <c r="C738" s="1" t="n">
        <v>8</v>
      </c>
      <c r="D738" s="1" t="n">
        <v>7</v>
      </c>
      <c r="E738" s="1" t="str">
        <f aca="false">VLOOKUP(C738,Меню!$A$2:$C$24,2,FALSE())</f>
        <v>Пицца Мясная</v>
      </c>
      <c r="F738" s="1" t="n">
        <f aca="false">VLOOKUP(C738,Меню!$A$2:$C$24,3,FALSE())</f>
        <v>615</v>
      </c>
      <c r="G738" s="5" t="n">
        <f aca="false">VLOOKUP(B738,Заказы!$A$2:$E$2995,2,FALSE())</f>
        <v>44047</v>
      </c>
      <c r="H738" s="1" t="n">
        <f aca="false">VLOOKUP(B738,Заказы!$A$2:$E$2995,3,FALSE())</f>
        <v>1697</v>
      </c>
      <c r="I738" s="1" t="str">
        <f aca="false">VLOOKUP(H738,Клиенты!$A$2:$E$1995,5,FALSE())</f>
        <v>г. Выкса</v>
      </c>
      <c r="J738" s="1" t="n">
        <f aca="false">VLOOKUP(B738,Заказы!$A$2:$E$2995,4,FALSE())</f>
        <v>0</v>
      </c>
      <c r="K738" s="1" t="str">
        <f aca="false">VLOOKUP(B738,Заказы!$A$2:$E$2995,5,FALSE())</f>
        <v>Не выполнено</v>
      </c>
      <c r="L738" s="1" t="n">
        <f aca="false">D738*F738+J738</f>
        <v>4305</v>
      </c>
      <c r="M738" s="1" t="n">
        <f aca="false">IF(AND(E738="Пицца Труслейка",I738="г. Москва",K738="Выполнено",G738&gt;=DATE(2020,7,1),G738&lt;DATE(2020,8,1)),L738,0)</f>
        <v>0</v>
      </c>
    </row>
    <row r="739" customFormat="false" ht="15" hidden="false" customHeight="true" outlineLevel="0" collapsed="false">
      <c r="A739" s="1" t="n">
        <v>100148</v>
      </c>
      <c r="B739" s="1" t="n">
        <v>51569</v>
      </c>
      <c r="C739" s="1" t="n">
        <v>7</v>
      </c>
      <c r="D739" s="1" t="n">
        <v>10</v>
      </c>
      <c r="E739" s="1" t="str">
        <f aca="false">VLOOKUP(C739,Меню!$A$2:$C$24,2,FALSE())</f>
        <v>Пицца Карбонара</v>
      </c>
      <c r="F739" s="1" t="n">
        <f aca="false">VLOOKUP(C739,Меню!$A$2:$C$24,3,FALSE())</f>
        <v>625</v>
      </c>
      <c r="G739" s="5" t="n">
        <f aca="false">VLOOKUP(B739,Заказы!$A$2:$E$2995,2,FALSE())</f>
        <v>44044</v>
      </c>
      <c r="H739" s="1" t="n">
        <f aca="false">VLOOKUP(B739,Заказы!$A$2:$E$2995,3,FALSE())</f>
        <v>1901</v>
      </c>
      <c r="I739" s="1" t="str">
        <f aca="false">VLOOKUP(H739,Клиенты!$A$2:$E$1995,5,FALSE())</f>
        <v>г. Мглин</v>
      </c>
      <c r="J739" s="1" t="n">
        <f aca="false">VLOOKUP(B739,Заказы!$A$2:$E$2995,4,FALSE())</f>
        <v>0</v>
      </c>
      <c r="K739" s="1" t="str">
        <f aca="false">VLOOKUP(B739,Заказы!$A$2:$E$2995,5,FALSE())</f>
        <v>Не выполнено</v>
      </c>
      <c r="L739" s="1" t="n">
        <f aca="false">D739*F739+J739</f>
        <v>6250</v>
      </c>
      <c r="M739" s="1" t="n">
        <f aca="false">IF(AND(E739="Пицца Труслейка",I739="г. Москва",K739="Выполнено",G739&gt;=DATE(2020,7,1),G739&lt;DATE(2020,8,1)),L739,0)</f>
        <v>0</v>
      </c>
    </row>
    <row r="740" customFormat="false" ht="15" hidden="false" customHeight="true" outlineLevel="0" collapsed="false">
      <c r="A740" s="1" t="n">
        <v>101988</v>
      </c>
      <c r="B740" s="1" t="n">
        <v>50563</v>
      </c>
      <c r="C740" s="1" t="n">
        <v>3</v>
      </c>
      <c r="D740" s="1" t="n">
        <v>2</v>
      </c>
      <c r="E740" s="1" t="str">
        <f aca="false">VLOOKUP(C740,Меню!$A$2:$C$24,2,FALSE())</f>
        <v>Пицца Диабло</v>
      </c>
      <c r="F740" s="1" t="n">
        <f aca="false">VLOOKUP(C740,Меню!$A$2:$C$24,3,FALSE())</f>
        <v>590</v>
      </c>
      <c r="G740" s="5" t="n">
        <f aca="false">VLOOKUP(B740,Заказы!$A$2:$E$2995,2,FALSE())</f>
        <v>44048</v>
      </c>
      <c r="H740" s="1" t="n">
        <f aca="false">VLOOKUP(B740,Заказы!$A$2:$E$2995,3,FALSE())</f>
        <v>1294</v>
      </c>
      <c r="I740" s="1" t="str">
        <f aca="false">VLOOKUP(H740,Клиенты!$A$2:$E$1995,5,FALSE())</f>
        <v>г. Аргун</v>
      </c>
      <c r="J740" s="1" t="n">
        <f aca="false">VLOOKUP(B740,Заказы!$A$2:$E$2995,4,FALSE())</f>
        <v>123</v>
      </c>
      <c r="K740" s="1" t="str">
        <f aca="false">VLOOKUP(B740,Заказы!$A$2:$E$2995,5,FALSE())</f>
        <v>Выполнено</v>
      </c>
      <c r="L740" s="1" t="n">
        <f aca="false">D740*F740+J740</f>
        <v>1303</v>
      </c>
      <c r="M740" s="1" t="n">
        <f aca="false">IF(AND(E740="Пицца Труслейка",I740="г. Москва",K740="Выполнено",G740&gt;=DATE(2020,7,1),G740&lt;DATE(2020,8,1)),L740,0)</f>
        <v>0</v>
      </c>
    </row>
    <row r="741" customFormat="false" ht="15" hidden="false" customHeight="true" outlineLevel="0" collapsed="false">
      <c r="A741" s="1" t="n">
        <v>101806</v>
      </c>
      <c r="B741" s="1" t="n">
        <v>51135</v>
      </c>
      <c r="C741" s="1" t="n">
        <v>4</v>
      </c>
      <c r="D741" s="1" t="n">
        <v>8</v>
      </c>
      <c r="E741" s="1" t="str">
        <f aca="false">VLOOKUP(C741,Меню!$A$2:$C$24,2,FALSE())</f>
        <v>Пицца Труслейка</v>
      </c>
      <c r="F741" s="1" t="n">
        <f aca="false">VLOOKUP(C741,Меню!$A$2:$C$24,3,FALSE())</f>
        <v>610</v>
      </c>
      <c r="G741" s="5" t="n">
        <f aca="false">VLOOKUP(B741,Заказы!$A$2:$E$2995,2,FALSE())</f>
        <v>44030</v>
      </c>
      <c r="H741" s="1" t="n">
        <f aca="false">VLOOKUP(B741,Заказы!$A$2:$E$2995,3,FALSE())</f>
        <v>287</v>
      </c>
      <c r="I741" s="1" t="str">
        <f aca="false">VLOOKUP(H741,Клиенты!$A$2:$E$1995,5,FALSE())</f>
        <v>г. Белоозёрский</v>
      </c>
      <c r="J741" s="1" t="n">
        <f aca="false">VLOOKUP(B741,Заказы!$A$2:$E$2995,4,FALSE())</f>
        <v>0</v>
      </c>
      <c r="K741" s="1" t="str">
        <f aca="false">VLOOKUP(B741,Заказы!$A$2:$E$2995,5,FALSE())</f>
        <v>Не выполнено</v>
      </c>
      <c r="L741" s="1" t="n">
        <f aca="false">D741*F741+J741</f>
        <v>4880</v>
      </c>
      <c r="M741" s="1" t="n">
        <f aca="false">IF(AND(E741="Пицца Труслейка",I741="г. Москва",K741="Выполнено",G741&gt;=DATE(2020,7,1),G741&lt;DATE(2020,8,1)),L741,0)</f>
        <v>0</v>
      </c>
    </row>
    <row r="742" customFormat="false" ht="15" hidden="false" customHeight="true" outlineLevel="0" collapsed="false">
      <c r="A742" s="1" t="n">
        <v>101784</v>
      </c>
      <c r="B742" s="1" t="n">
        <v>50624</v>
      </c>
      <c r="C742" s="1" t="n">
        <v>1</v>
      </c>
      <c r="D742" s="1" t="n">
        <v>1</v>
      </c>
      <c r="E742" s="1" t="str">
        <f aca="false">VLOOKUP(C742,Меню!$A$2:$C$24,2,FALSE())</f>
        <v>Пицца Гавайская</v>
      </c>
      <c r="F742" s="1" t="n">
        <f aca="false">VLOOKUP(C742,Меню!$A$2:$C$24,3,FALSE())</f>
        <v>545</v>
      </c>
      <c r="G742" s="5" t="n">
        <f aca="false">VLOOKUP(B742,Заказы!$A$2:$E$2995,2,FALSE())</f>
        <v>43988</v>
      </c>
      <c r="H742" s="1" t="n">
        <f aca="false">VLOOKUP(B742,Заказы!$A$2:$E$2995,3,FALSE())</f>
        <v>382</v>
      </c>
      <c r="I742" s="1" t="str">
        <f aca="false">VLOOKUP(H742,Клиенты!$A$2:$E$1995,5,FALSE())</f>
        <v>г. Усть-Лабинск</v>
      </c>
      <c r="J742" s="1" t="n">
        <f aca="false">VLOOKUP(B742,Заказы!$A$2:$E$2995,4,FALSE())</f>
        <v>287</v>
      </c>
      <c r="K742" s="1" t="str">
        <f aca="false">VLOOKUP(B742,Заказы!$A$2:$E$2995,5,FALSE())</f>
        <v>Выполнено</v>
      </c>
      <c r="L742" s="1" t="n">
        <f aca="false">D742*F742+J742</f>
        <v>832</v>
      </c>
      <c r="M742" s="1" t="n">
        <f aca="false">IF(AND(E742="Пицца Труслейка",I742="г. Москва",K742="Выполнено",G742&gt;=DATE(2020,7,1),G742&lt;DATE(2020,8,1)),L742,0)</f>
        <v>0</v>
      </c>
    </row>
    <row r="743" customFormat="false" ht="15" hidden="false" customHeight="true" outlineLevel="0" collapsed="false">
      <c r="A743" s="1" t="n">
        <v>100428</v>
      </c>
      <c r="B743" s="1" t="n">
        <v>50555</v>
      </c>
      <c r="C743" s="1" t="n">
        <v>1</v>
      </c>
      <c r="D743" s="1" t="n">
        <v>9</v>
      </c>
      <c r="E743" s="1" t="str">
        <f aca="false">VLOOKUP(C743,Меню!$A$2:$C$24,2,FALSE())</f>
        <v>Пицца Гавайская</v>
      </c>
      <c r="F743" s="1" t="n">
        <f aca="false">VLOOKUP(C743,Меню!$A$2:$C$24,3,FALSE())</f>
        <v>545</v>
      </c>
      <c r="G743" s="5" t="n">
        <f aca="false">VLOOKUP(B743,Заказы!$A$2:$E$2995,2,FALSE())</f>
        <v>43984</v>
      </c>
      <c r="H743" s="1" t="n">
        <f aca="false">VLOOKUP(B743,Заказы!$A$2:$E$2995,3,FALSE())</f>
        <v>307</v>
      </c>
      <c r="I743" s="1" t="str">
        <f aca="false">VLOOKUP(H743,Клиенты!$A$2:$E$1995,5,FALSE())</f>
        <v>г. Хасавюрт</v>
      </c>
      <c r="J743" s="1" t="n">
        <f aca="false">VLOOKUP(B743,Заказы!$A$2:$E$2995,4,FALSE())</f>
        <v>271</v>
      </c>
      <c r="K743" s="1" t="str">
        <f aca="false">VLOOKUP(B743,Заказы!$A$2:$E$2995,5,FALSE())</f>
        <v>Выполнено</v>
      </c>
      <c r="L743" s="1" t="n">
        <f aca="false">D743*F743+J743</f>
        <v>5176</v>
      </c>
      <c r="M743" s="1" t="n">
        <f aca="false">IF(AND(E743="Пицца Труслейка",I743="г. Москва",K743="Выполнено",G743&gt;=DATE(2020,7,1),G743&lt;DATE(2020,8,1)),L743,0)</f>
        <v>0</v>
      </c>
    </row>
    <row r="744" customFormat="false" ht="15" hidden="false" customHeight="true" outlineLevel="0" collapsed="false">
      <c r="A744" s="1" t="n">
        <v>101978</v>
      </c>
      <c r="B744" s="1" t="n">
        <v>50430</v>
      </c>
      <c r="C744" s="1" t="n">
        <v>9</v>
      </c>
      <c r="D744" s="1" t="n">
        <v>9</v>
      </c>
      <c r="E744" s="1" t="str">
        <f aca="false">VLOOKUP(C744,Меню!$A$2:$C$24,2,FALSE())</f>
        <v>Пицца Острая с беконом</v>
      </c>
      <c r="F744" s="1" t="n">
        <f aca="false">VLOOKUP(C744,Меню!$A$2:$C$24,3,FALSE())</f>
        <v>540</v>
      </c>
      <c r="G744" s="5" t="n">
        <f aca="false">VLOOKUP(B744,Заказы!$A$2:$E$2995,2,FALSE())</f>
        <v>44049</v>
      </c>
      <c r="H744" s="1" t="n">
        <f aca="false">VLOOKUP(B744,Заказы!$A$2:$E$2995,3,FALSE())</f>
        <v>1278</v>
      </c>
      <c r="I744" s="1" t="str">
        <f aca="false">VLOOKUP(H744,Клиенты!$A$2:$E$1995,5,FALSE())</f>
        <v>г. Ачинск</v>
      </c>
      <c r="J744" s="1" t="n">
        <f aca="false">VLOOKUP(B744,Заказы!$A$2:$E$2995,4,FALSE())</f>
        <v>0</v>
      </c>
      <c r="K744" s="1" t="str">
        <f aca="false">VLOOKUP(B744,Заказы!$A$2:$E$2995,5,FALSE())</f>
        <v>Не выполнено</v>
      </c>
      <c r="L744" s="1" t="n">
        <f aca="false">D744*F744+J744</f>
        <v>4860</v>
      </c>
      <c r="M744" s="1" t="n">
        <f aca="false">IF(AND(E744="Пицца Труслейка",I744="г. Москва",K744="Выполнено",G744&gt;=DATE(2020,7,1),G744&lt;DATE(2020,8,1)),L744,0)</f>
        <v>0</v>
      </c>
    </row>
    <row r="745" customFormat="false" ht="15" hidden="false" customHeight="true" outlineLevel="0" collapsed="false">
      <c r="A745" s="1" t="n">
        <v>101185</v>
      </c>
      <c r="B745" s="1" t="n">
        <v>51530</v>
      </c>
      <c r="C745" s="1" t="n">
        <v>16</v>
      </c>
      <c r="D745" s="1" t="n">
        <v>3</v>
      </c>
      <c r="E745" s="1" t="str">
        <f aca="false">VLOOKUP(C745,Меню!$A$2:$C$24,2,FALSE())</f>
        <v>Пицца Флорида</v>
      </c>
      <c r="F745" s="1" t="n">
        <f aca="false">VLOOKUP(C745,Меню!$A$2:$C$24,3,FALSE())</f>
        <v>535</v>
      </c>
      <c r="G745" s="5" t="n">
        <f aca="false">VLOOKUP(B745,Заказы!$A$2:$E$2995,2,FALSE())</f>
        <v>44055</v>
      </c>
      <c r="H745" s="1" t="n">
        <f aca="false">VLOOKUP(B745,Заказы!$A$2:$E$2995,3,FALSE())</f>
        <v>1859</v>
      </c>
      <c r="I745" s="1" t="str">
        <f aca="false">VLOOKUP(H745,Клиенты!$A$2:$E$1995,5,FALSE())</f>
        <v>г. Нижневартовск</v>
      </c>
      <c r="J745" s="1" t="n">
        <f aca="false">VLOOKUP(B745,Заказы!$A$2:$E$2995,4,FALSE())</f>
        <v>163</v>
      </c>
      <c r="K745" s="1" t="str">
        <f aca="false">VLOOKUP(B745,Заказы!$A$2:$E$2995,5,FALSE())</f>
        <v>Выполнено</v>
      </c>
      <c r="L745" s="1" t="n">
        <f aca="false">D745*F745+J745</f>
        <v>1768</v>
      </c>
      <c r="M745" s="1" t="n">
        <f aca="false">IF(AND(E745="Пицца Труслейка",I745="г. Москва",K745="Выполнено",G745&gt;=DATE(2020,7,1),G745&lt;DATE(2020,8,1)),L745,0)</f>
        <v>0</v>
      </c>
    </row>
    <row r="746" customFormat="false" ht="15" hidden="false" customHeight="true" outlineLevel="0" collapsed="false">
      <c r="A746" s="1" t="n">
        <v>101091</v>
      </c>
      <c r="B746" s="1" t="n">
        <v>50680</v>
      </c>
      <c r="C746" s="1" t="n">
        <v>13</v>
      </c>
      <c r="D746" s="1" t="n">
        <v>10</v>
      </c>
      <c r="E746" s="1" t="str">
        <f aca="false">VLOOKUP(C746,Меню!$A$2:$C$24,2,FALSE())</f>
        <v>Пицца Сырная</v>
      </c>
      <c r="F746" s="1" t="n">
        <f aca="false">VLOOKUP(C746,Меню!$A$2:$C$24,3,FALSE())</f>
        <v>635</v>
      </c>
      <c r="G746" s="5" t="n">
        <f aca="false">VLOOKUP(B746,Заказы!$A$2:$E$2995,2,FALSE())</f>
        <v>44030</v>
      </c>
      <c r="H746" s="1" t="n">
        <f aca="false">VLOOKUP(B746,Заказы!$A$2:$E$2995,3,FALSE())</f>
        <v>179</v>
      </c>
      <c r="I746" s="1" t="str">
        <f aca="false">VLOOKUP(H746,Клиенты!$A$2:$E$1995,5,FALSE())</f>
        <v>г. Островной</v>
      </c>
      <c r="J746" s="1" t="n">
        <f aca="false">VLOOKUP(B746,Заказы!$A$2:$E$2995,4,FALSE())</f>
        <v>0</v>
      </c>
      <c r="K746" s="1" t="str">
        <f aca="false">VLOOKUP(B746,Заказы!$A$2:$E$2995,5,FALSE())</f>
        <v>Не выполнено</v>
      </c>
      <c r="L746" s="1" t="n">
        <f aca="false">D746*F746+J746</f>
        <v>6350</v>
      </c>
      <c r="M746" s="1" t="n">
        <f aca="false">IF(AND(E746="Пицца Труслейка",I746="г. Москва",K746="Выполнено",G746&gt;=DATE(2020,7,1),G746&lt;DATE(2020,8,1)),L746,0)</f>
        <v>0</v>
      </c>
    </row>
    <row r="747" customFormat="false" ht="15" hidden="false" customHeight="true" outlineLevel="0" collapsed="false">
      <c r="A747" s="1" t="n">
        <v>101149</v>
      </c>
      <c r="B747" s="1" t="n">
        <v>51722</v>
      </c>
      <c r="C747" s="1" t="n">
        <v>17</v>
      </c>
      <c r="D747" s="1" t="n">
        <v>1</v>
      </c>
      <c r="E747" s="1" t="str">
        <f aca="false">VLOOKUP(C747,Меню!$A$2:$C$24,2,FALSE())</f>
        <v>Пицца Френч Фрайз</v>
      </c>
      <c r="F747" s="1" t="n">
        <f aca="false">VLOOKUP(C747,Меню!$A$2:$C$24,3,FALSE())</f>
        <v>515</v>
      </c>
      <c r="G747" s="5" t="n">
        <f aca="false">VLOOKUP(B747,Заказы!$A$2:$E$2995,2,FALSE())</f>
        <v>44053</v>
      </c>
      <c r="H747" s="1" t="n">
        <f aca="false">VLOOKUP(B747,Заказы!$A$2:$E$2995,3,FALSE())</f>
        <v>1867</v>
      </c>
      <c r="I747" s="1" t="str">
        <f aca="false">VLOOKUP(H747,Клиенты!$A$2:$E$1995,5,FALSE())</f>
        <v>г. Самара</v>
      </c>
      <c r="J747" s="1" t="n">
        <f aca="false">VLOOKUP(B747,Заказы!$A$2:$E$2995,4,FALSE())</f>
        <v>0</v>
      </c>
      <c r="K747" s="1" t="str">
        <f aca="false">VLOOKUP(B747,Заказы!$A$2:$E$2995,5,FALSE())</f>
        <v>Не выполнено</v>
      </c>
      <c r="L747" s="1" t="n">
        <f aca="false">D747*F747+J747</f>
        <v>515</v>
      </c>
      <c r="M747" s="1" t="n">
        <f aca="false">IF(AND(E747="Пицца Труслейка",I747="г. Москва",K747="Выполнено",G747&gt;=DATE(2020,7,1),G747&lt;DATE(2020,8,1)),L747,0)</f>
        <v>0</v>
      </c>
    </row>
    <row r="748" customFormat="false" ht="15" hidden="false" customHeight="true" outlineLevel="0" collapsed="false">
      <c r="A748" s="1" t="n">
        <v>100376</v>
      </c>
      <c r="B748" s="1" t="n">
        <v>51696</v>
      </c>
      <c r="C748" s="1" t="n">
        <v>12</v>
      </c>
      <c r="D748" s="1" t="n">
        <v>4</v>
      </c>
      <c r="E748" s="1" t="str">
        <f aca="false">VLOOKUP(C748,Меню!$A$2:$C$24,2,FALSE())</f>
        <v>Пицца Салями с трюфелем</v>
      </c>
      <c r="F748" s="1" t="n">
        <f aca="false">VLOOKUP(C748,Меню!$A$2:$C$24,3,FALSE())</f>
        <v>525</v>
      </c>
      <c r="G748" s="5" t="n">
        <f aca="false">VLOOKUP(B748,Заказы!$A$2:$E$2995,2,FALSE())</f>
        <v>44007</v>
      </c>
      <c r="H748" s="1" t="n">
        <f aca="false">VLOOKUP(B748,Заказы!$A$2:$E$2995,3,FALSE())</f>
        <v>1750</v>
      </c>
      <c r="I748" s="1" t="str">
        <f aca="false">VLOOKUP(H748,Клиенты!$A$2:$E$1995,5,FALSE())</f>
        <v>г. Москва</v>
      </c>
      <c r="J748" s="1" t="n">
        <f aca="false">VLOOKUP(B748,Заказы!$A$2:$E$2995,4,FALSE())</f>
        <v>329</v>
      </c>
      <c r="K748" s="1" t="str">
        <f aca="false">VLOOKUP(B748,Заказы!$A$2:$E$2995,5,FALSE())</f>
        <v>Выполнено</v>
      </c>
      <c r="L748" s="1" t="n">
        <f aca="false">D748*F748+J748</f>
        <v>2429</v>
      </c>
      <c r="M748" s="1" t="n">
        <f aca="false">IF(AND(E748="Пицца Труслейка",I748="г. Москва",K748="Выполнено",G748&gt;=DATE(2020,7,1),G748&lt;DATE(2020,8,1)),L748,0)</f>
        <v>0</v>
      </c>
    </row>
    <row r="749" customFormat="false" ht="15" hidden="false" customHeight="true" outlineLevel="0" collapsed="false">
      <c r="A749" s="1" t="n">
        <v>101287</v>
      </c>
      <c r="B749" s="1" t="n">
        <v>51371</v>
      </c>
      <c r="C749" s="1" t="n">
        <v>4</v>
      </c>
      <c r="D749" s="1" t="n">
        <v>4</v>
      </c>
      <c r="E749" s="1" t="str">
        <f aca="false">VLOOKUP(C749,Меню!$A$2:$C$24,2,FALSE())</f>
        <v>Пицца Труслейка</v>
      </c>
      <c r="F749" s="1" t="n">
        <f aca="false">VLOOKUP(C749,Меню!$A$2:$C$24,3,FALSE())</f>
        <v>610</v>
      </c>
      <c r="G749" s="5" t="n">
        <f aca="false">VLOOKUP(B749,Заказы!$A$2:$E$2995,2,FALSE())</f>
        <v>44017</v>
      </c>
      <c r="H749" s="1" t="n">
        <f aca="false">VLOOKUP(B749,Заказы!$A$2:$E$2995,3,FALSE())</f>
        <v>863</v>
      </c>
      <c r="I749" s="1" t="str">
        <f aca="false">VLOOKUP(H749,Клиенты!$A$2:$E$1995,5,FALSE())</f>
        <v>г. Южа</v>
      </c>
      <c r="J749" s="1" t="n">
        <f aca="false">VLOOKUP(B749,Заказы!$A$2:$E$2995,4,FALSE())</f>
        <v>385</v>
      </c>
      <c r="K749" s="1" t="str">
        <f aca="false">VLOOKUP(B749,Заказы!$A$2:$E$2995,5,FALSE())</f>
        <v>Выполнено</v>
      </c>
      <c r="L749" s="1" t="n">
        <f aca="false">D749*F749+J749</f>
        <v>2825</v>
      </c>
      <c r="M749" s="1" t="n">
        <f aca="false">IF(AND(E749="Пицца Труслейка",I749="г. Москва",K749="Выполнено",G749&gt;=DATE(2020,7,1),G749&lt;DATE(2020,8,1)),L749,0)</f>
        <v>0</v>
      </c>
    </row>
    <row r="750" customFormat="false" ht="15" hidden="false" customHeight="true" outlineLevel="0" collapsed="false">
      <c r="A750" s="1" t="n">
        <v>100426</v>
      </c>
      <c r="B750" s="1" t="n">
        <v>50223</v>
      </c>
      <c r="C750" s="1" t="n">
        <v>7</v>
      </c>
      <c r="D750" s="1" t="n">
        <v>7</v>
      </c>
      <c r="E750" s="1" t="str">
        <f aca="false">VLOOKUP(C750,Меню!$A$2:$C$24,2,FALSE())</f>
        <v>Пицца Карбонара</v>
      </c>
      <c r="F750" s="1" t="n">
        <f aca="false">VLOOKUP(C750,Меню!$A$2:$C$24,3,FALSE())</f>
        <v>625</v>
      </c>
      <c r="G750" s="5" t="n">
        <f aca="false">VLOOKUP(B750,Заказы!$A$2:$E$2995,2,FALSE())</f>
        <v>44066</v>
      </c>
      <c r="H750" s="1" t="n">
        <f aca="false">VLOOKUP(B750,Заказы!$A$2:$E$2995,3,FALSE())</f>
        <v>859</v>
      </c>
      <c r="I750" s="1" t="str">
        <f aca="false">VLOOKUP(H750,Клиенты!$A$2:$E$1995,5,FALSE())</f>
        <v>г. Боровск</v>
      </c>
      <c r="J750" s="1" t="n">
        <f aca="false">VLOOKUP(B750,Заказы!$A$2:$E$2995,4,FALSE())</f>
        <v>587</v>
      </c>
      <c r="K750" s="1" t="str">
        <f aca="false">VLOOKUP(B750,Заказы!$A$2:$E$2995,5,FALSE())</f>
        <v>Выполнено</v>
      </c>
      <c r="L750" s="1" t="n">
        <f aca="false">D750*F750+J750</f>
        <v>4962</v>
      </c>
      <c r="M750" s="1" t="n">
        <f aca="false">IF(AND(E750="Пицца Труслейка",I750="г. Москва",K750="Выполнено",G750&gt;=DATE(2020,7,1),G750&lt;DATE(2020,8,1)),L750,0)</f>
        <v>0</v>
      </c>
    </row>
    <row r="751" customFormat="false" ht="15" hidden="false" customHeight="true" outlineLevel="0" collapsed="false">
      <c r="A751" s="1" t="n">
        <v>100247</v>
      </c>
      <c r="B751" s="1" t="n">
        <v>50474</v>
      </c>
      <c r="C751" s="1" t="n">
        <v>4</v>
      </c>
      <c r="D751" s="1" t="n">
        <v>10</v>
      </c>
      <c r="E751" s="1" t="str">
        <f aca="false">VLOOKUP(C751,Меню!$A$2:$C$24,2,FALSE())</f>
        <v>Пицца Труслейка</v>
      </c>
      <c r="F751" s="1" t="n">
        <f aca="false">VLOOKUP(C751,Меню!$A$2:$C$24,3,FALSE())</f>
        <v>610</v>
      </c>
      <c r="G751" s="5" t="n">
        <f aca="false">VLOOKUP(B751,Заказы!$A$2:$E$2995,2,FALSE())</f>
        <v>44036</v>
      </c>
      <c r="H751" s="1" t="n">
        <f aca="false">VLOOKUP(B751,Заказы!$A$2:$E$2995,3,FALSE())</f>
        <v>1256</v>
      </c>
      <c r="I751" s="1" t="str">
        <f aca="false">VLOOKUP(H751,Клиенты!$A$2:$E$1995,5,FALSE())</f>
        <v>г. Лихославль</v>
      </c>
      <c r="J751" s="1" t="n">
        <f aca="false">VLOOKUP(B751,Заказы!$A$2:$E$2995,4,FALSE())</f>
        <v>0</v>
      </c>
      <c r="K751" s="1" t="str">
        <f aca="false">VLOOKUP(B751,Заказы!$A$2:$E$2995,5,FALSE())</f>
        <v>Не выполнено</v>
      </c>
      <c r="L751" s="1" t="n">
        <f aca="false">D751*F751+J751</f>
        <v>6100</v>
      </c>
      <c r="M751" s="1" t="n">
        <f aca="false">IF(AND(E751="Пицца Труслейка",I751="г. Москва",K751="Выполнено",G751&gt;=DATE(2020,7,1),G751&lt;DATE(2020,8,1)),L751,0)</f>
        <v>0</v>
      </c>
    </row>
    <row r="752" customFormat="false" ht="15" hidden="false" customHeight="true" outlineLevel="0" collapsed="false">
      <c r="A752" s="1" t="n">
        <v>101214</v>
      </c>
      <c r="B752" s="1" t="n">
        <v>50839</v>
      </c>
      <c r="C752" s="1" t="n">
        <v>7</v>
      </c>
      <c r="D752" s="1" t="n">
        <v>7</v>
      </c>
      <c r="E752" s="1" t="str">
        <f aca="false">VLOOKUP(C752,Меню!$A$2:$C$24,2,FALSE())</f>
        <v>Пицца Карбонара</v>
      </c>
      <c r="F752" s="1" t="n">
        <f aca="false">VLOOKUP(C752,Меню!$A$2:$C$24,3,FALSE())</f>
        <v>625</v>
      </c>
      <c r="G752" s="5" t="n">
        <f aca="false">VLOOKUP(B752,Заказы!$A$2:$E$2995,2,FALSE())</f>
        <v>44037</v>
      </c>
      <c r="H752" s="1" t="n">
        <f aca="false">VLOOKUP(B752,Заказы!$A$2:$E$2995,3,FALSE())</f>
        <v>411</v>
      </c>
      <c r="I752" s="1" t="str">
        <f aca="false">VLOOKUP(H752,Клиенты!$A$2:$E$1995,5,FALSE())</f>
        <v>г. Омск</v>
      </c>
      <c r="J752" s="1" t="n">
        <f aca="false">VLOOKUP(B752,Заказы!$A$2:$E$2995,4,FALSE())</f>
        <v>717</v>
      </c>
      <c r="K752" s="1" t="str">
        <f aca="false">VLOOKUP(B752,Заказы!$A$2:$E$2995,5,FALSE())</f>
        <v>Выполнено</v>
      </c>
      <c r="L752" s="1" t="n">
        <f aca="false">D752*F752+J752</f>
        <v>5092</v>
      </c>
      <c r="M752" s="1" t="n">
        <f aca="false">IF(AND(E752="Пицца Труслейка",I752="г. Москва",K752="Выполнено",G752&gt;=DATE(2020,7,1),G752&lt;DATE(2020,8,1)),L752,0)</f>
        <v>0</v>
      </c>
    </row>
    <row r="753" customFormat="false" ht="15" hidden="false" customHeight="true" outlineLevel="0" collapsed="false">
      <c r="A753" s="1" t="n">
        <v>101064</v>
      </c>
      <c r="B753" s="1" t="n">
        <v>50690</v>
      </c>
      <c r="C753" s="1" t="n">
        <v>10</v>
      </c>
      <c r="D753" s="1" t="n">
        <v>3</v>
      </c>
      <c r="E753" s="1" t="str">
        <f aca="false">VLOOKUP(C753,Меню!$A$2:$C$24,2,FALSE())</f>
        <v>Пицца Пепперони фреш</v>
      </c>
      <c r="F753" s="1" t="n">
        <f aca="false">VLOOKUP(C753,Меню!$A$2:$C$24,3,FALSE())</f>
        <v>565</v>
      </c>
      <c r="G753" s="5" t="n">
        <f aca="false">VLOOKUP(B753,Заказы!$A$2:$E$2995,2,FALSE())</f>
        <v>43992</v>
      </c>
      <c r="H753" s="1" t="n">
        <f aca="false">VLOOKUP(B753,Заказы!$A$2:$E$2995,3,FALSE())</f>
        <v>148</v>
      </c>
      <c r="I753" s="1" t="str">
        <f aca="false">VLOOKUP(H753,Клиенты!$A$2:$E$1995,5,FALSE())</f>
        <v>г. Россошь</v>
      </c>
      <c r="J753" s="1" t="n">
        <f aca="false">VLOOKUP(B753,Заказы!$A$2:$E$2995,4,FALSE())</f>
        <v>509</v>
      </c>
      <c r="K753" s="1" t="str">
        <f aca="false">VLOOKUP(B753,Заказы!$A$2:$E$2995,5,FALSE())</f>
        <v>Выполнено</v>
      </c>
      <c r="L753" s="1" t="n">
        <f aca="false">D753*F753+J753</f>
        <v>2204</v>
      </c>
      <c r="M753" s="1" t="n">
        <f aca="false">IF(AND(E753="Пицца Труслейка",I753="г. Москва",K753="Выполнено",G753&gt;=DATE(2020,7,1),G753&lt;DATE(2020,8,1)),L753,0)</f>
        <v>0</v>
      </c>
    </row>
    <row r="754" customFormat="false" ht="15" hidden="false" customHeight="true" outlineLevel="0" collapsed="false">
      <c r="A754" s="1" t="n">
        <v>100918</v>
      </c>
      <c r="B754" s="1" t="n">
        <v>50824</v>
      </c>
      <c r="C754" s="1" t="n">
        <v>21</v>
      </c>
      <c r="D754" s="1" t="n">
        <v>7</v>
      </c>
      <c r="E754" s="1" t="str">
        <f aca="false">VLOOKUP(C754,Меню!$A$2:$C$24,2,FALSE())</f>
        <v>Пицца с креветками и цукини</v>
      </c>
      <c r="F754" s="1" t="n">
        <f aca="false">VLOOKUP(C754,Меню!$A$2:$C$24,3,FALSE())</f>
        <v>600</v>
      </c>
      <c r="G754" s="5" t="n">
        <f aca="false">VLOOKUP(B754,Заказы!$A$2:$E$2995,2,FALSE())</f>
        <v>44010</v>
      </c>
      <c r="H754" s="1" t="n">
        <f aca="false">VLOOKUP(B754,Заказы!$A$2:$E$2995,3,FALSE())</f>
        <v>376</v>
      </c>
      <c r="I754" s="1" t="str">
        <f aca="false">VLOOKUP(H754,Клиенты!$A$2:$E$1995,5,FALSE())</f>
        <v>г. Корсаков</v>
      </c>
      <c r="J754" s="1" t="n">
        <f aca="false">VLOOKUP(B754,Заказы!$A$2:$E$2995,4,FALSE())</f>
        <v>0</v>
      </c>
      <c r="K754" s="1" t="str">
        <f aca="false">VLOOKUP(B754,Заказы!$A$2:$E$2995,5,FALSE())</f>
        <v>Не выполнено</v>
      </c>
      <c r="L754" s="1" t="n">
        <f aca="false">D754*F754+J754</f>
        <v>4200</v>
      </c>
      <c r="M754" s="1" t="n">
        <f aca="false">IF(AND(E754="Пицца Труслейка",I754="г. Москва",K754="Выполнено",G754&gt;=DATE(2020,7,1),G754&lt;DATE(2020,8,1)),L754,0)</f>
        <v>0</v>
      </c>
    </row>
    <row r="755" customFormat="false" ht="15" hidden="false" customHeight="true" outlineLevel="0" collapsed="false">
      <c r="A755" s="1" t="n">
        <v>100234</v>
      </c>
      <c r="B755" s="1" t="n">
        <v>50560</v>
      </c>
      <c r="C755" s="1" t="n">
        <v>3</v>
      </c>
      <c r="D755" s="1" t="n">
        <v>9</v>
      </c>
      <c r="E755" s="1" t="str">
        <f aca="false">VLOOKUP(C755,Меню!$A$2:$C$24,2,FALSE())</f>
        <v>Пицца Диабло</v>
      </c>
      <c r="F755" s="1" t="n">
        <f aca="false">VLOOKUP(C755,Меню!$A$2:$C$24,3,FALSE())</f>
        <v>590</v>
      </c>
      <c r="G755" s="5" t="n">
        <f aca="false">VLOOKUP(B755,Заказы!$A$2:$E$2995,2,FALSE())</f>
        <v>43993</v>
      </c>
      <c r="H755" s="1" t="n">
        <f aca="false">VLOOKUP(B755,Заказы!$A$2:$E$2995,3,FALSE())</f>
        <v>1521</v>
      </c>
      <c r="I755" s="1" t="str">
        <f aca="false">VLOOKUP(H755,Клиенты!$A$2:$E$1995,5,FALSE())</f>
        <v>г. Кунгур</v>
      </c>
      <c r="J755" s="1" t="n">
        <f aca="false">VLOOKUP(B755,Заказы!$A$2:$E$2995,4,FALSE())</f>
        <v>812</v>
      </c>
      <c r="K755" s="1" t="str">
        <f aca="false">VLOOKUP(B755,Заказы!$A$2:$E$2995,5,FALSE())</f>
        <v>Выполнено</v>
      </c>
      <c r="L755" s="1" t="n">
        <f aca="false">D755*F755+J755</f>
        <v>6122</v>
      </c>
      <c r="M755" s="1" t="n">
        <f aca="false">IF(AND(E755="Пицца Труслейка",I755="г. Москва",K755="Выполнено",G755&gt;=DATE(2020,7,1),G755&lt;DATE(2020,8,1)),L755,0)</f>
        <v>0</v>
      </c>
    </row>
    <row r="756" customFormat="false" ht="15" hidden="false" customHeight="true" outlineLevel="0" collapsed="false">
      <c r="A756" s="1" t="n">
        <v>101271</v>
      </c>
      <c r="B756" s="1" t="n">
        <v>51577</v>
      </c>
      <c r="C756" s="1" t="n">
        <v>18</v>
      </c>
      <c r="D756" s="1" t="n">
        <v>4</v>
      </c>
      <c r="E756" s="1" t="str">
        <f aca="false">VLOOKUP(C756,Меню!$A$2:$C$24,2,FALSE())</f>
        <v>Пицца Царская</v>
      </c>
      <c r="F756" s="1" t="n">
        <f aca="false">VLOOKUP(C756,Меню!$A$2:$C$24,3,FALSE())</f>
        <v>620</v>
      </c>
      <c r="G756" s="5" t="n">
        <f aca="false">VLOOKUP(B756,Заказы!$A$2:$E$2995,2,FALSE())</f>
        <v>44012</v>
      </c>
      <c r="H756" s="1" t="n">
        <f aca="false">VLOOKUP(B756,Заказы!$A$2:$E$2995,3,FALSE())</f>
        <v>1020</v>
      </c>
      <c r="I756" s="1" t="str">
        <f aca="false">VLOOKUP(H756,Клиенты!$A$2:$E$1995,5,FALSE())</f>
        <v>г. Москва</v>
      </c>
      <c r="J756" s="1" t="n">
        <f aca="false">VLOOKUP(B756,Заказы!$A$2:$E$2995,4,FALSE())</f>
        <v>197</v>
      </c>
      <c r="K756" s="1" t="str">
        <f aca="false">VLOOKUP(B756,Заказы!$A$2:$E$2995,5,FALSE())</f>
        <v>Выполнено</v>
      </c>
      <c r="L756" s="1" t="n">
        <f aca="false">D756*F756+J756</f>
        <v>2677</v>
      </c>
      <c r="M756" s="1" t="n">
        <f aca="false">IF(AND(E756="Пицца Труслейка",I756="г. Москва",K756="Выполнено",G756&gt;=DATE(2020,7,1),G756&lt;DATE(2020,8,1)),L756,0)</f>
        <v>0</v>
      </c>
    </row>
    <row r="757" customFormat="false" ht="15" hidden="false" customHeight="true" outlineLevel="0" collapsed="false">
      <c r="A757" s="1" t="n">
        <v>100707</v>
      </c>
      <c r="B757" s="1" t="n">
        <v>50570</v>
      </c>
      <c r="C757" s="1" t="n">
        <v>20</v>
      </c>
      <c r="D757" s="1" t="n">
        <v>7</v>
      </c>
      <c r="E757" s="1" t="str">
        <f aca="false">VLOOKUP(C757,Меню!$A$2:$C$24,2,FALSE())</f>
        <v>Пицца пиканте</v>
      </c>
      <c r="F757" s="1" t="n">
        <f aca="false">VLOOKUP(C757,Меню!$A$2:$C$24,3,FALSE())</f>
        <v>585</v>
      </c>
      <c r="G757" s="5" t="n">
        <f aca="false">VLOOKUP(B757,Заказы!$A$2:$E$2995,2,FALSE())</f>
        <v>44004</v>
      </c>
      <c r="H757" s="1" t="n">
        <f aca="false">VLOOKUP(B757,Заказы!$A$2:$E$2995,3,FALSE())</f>
        <v>1622</v>
      </c>
      <c r="I757" s="1" t="str">
        <f aca="false">VLOOKUP(H757,Клиенты!$A$2:$E$1995,5,FALSE())</f>
        <v>г. Ряжск</v>
      </c>
      <c r="J757" s="1" t="n">
        <f aca="false">VLOOKUP(B757,Заказы!$A$2:$E$2995,4,FALSE())</f>
        <v>169</v>
      </c>
      <c r="K757" s="1" t="str">
        <f aca="false">VLOOKUP(B757,Заказы!$A$2:$E$2995,5,FALSE())</f>
        <v>Выполнено</v>
      </c>
      <c r="L757" s="1" t="n">
        <f aca="false">D757*F757+J757</f>
        <v>4264</v>
      </c>
      <c r="M757" s="1" t="n">
        <f aca="false">IF(AND(E757="Пицца Труслейка",I757="г. Москва",K757="Выполнено",G757&gt;=DATE(2020,7,1),G757&lt;DATE(2020,8,1)),L757,0)</f>
        <v>0</v>
      </c>
    </row>
    <row r="758" customFormat="false" ht="15" hidden="false" customHeight="true" outlineLevel="0" collapsed="false">
      <c r="A758" s="1" t="n">
        <v>100336</v>
      </c>
      <c r="B758" s="1" t="n">
        <v>50121</v>
      </c>
      <c r="C758" s="1" t="n">
        <v>20</v>
      </c>
      <c r="D758" s="1" t="n">
        <v>3</v>
      </c>
      <c r="E758" s="1" t="str">
        <f aca="false">VLOOKUP(C758,Меню!$A$2:$C$24,2,FALSE())</f>
        <v>Пицца пиканте</v>
      </c>
      <c r="F758" s="1" t="n">
        <f aca="false">VLOOKUP(C758,Меню!$A$2:$C$24,3,FALSE())</f>
        <v>585</v>
      </c>
      <c r="G758" s="5" t="n">
        <f aca="false">VLOOKUP(B758,Заказы!$A$2:$E$2995,2,FALSE())</f>
        <v>44066</v>
      </c>
      <c r="H758" s="1" t="n">
        <f aca="false">VLOOKUP(B758,Заказы!$A$2:$E$2995,3,FALSE())</f>
        <v>164</v>
      </c>
      <c r="I758" s="1" t="str">
        <f aca="false">VLOOKUP(H758,Клиенты!$A$2:$E$1995,5,FALSE())</f>
        <v>г. Городище</v>
      </c>
      <c r="J758" s="1" t="n">
        <f aca="false">VLOOKUP(B758,Заказы!$A$2:$E$2995,4,FALSE())</f>
        <v>183</v>
      </c>
      <c r="K758" s="1" t="str">
        <f aca="false">VLOOKUP(B758,Заказы!$A$2:$E$2995,5,FALSE())</f>
        <v>Выполнено</v>
      </c>
      <c r="L758" s="1" t="n">
        <f aca="false">D758*F758+J758</f>
        <v>1938</v>
      </c>
      <c r="M758" s="1" t="n">
        <f aca="false">IF(AND(E758="Пицца Труслейка",I758="г. Москва",K758="Выполнено",G758&gt;=DATE(2020,7,1),G758&lt;DATE(2020,8,1)),L758,0)</f>
        <v>0</v>
      </c>
    </row>
    <row r="759" customFormat="false" ht="15" hidden="false" customHeight="true" outlineLevel="0" collapsed="false">
      <c r="A759" s="1" t="n">
        <v>101338</v>
      </c>
      <c r="B759" s="1" t="n">
        <v>50226</v>
      </c>
      <c r="C759" s="1" t="n">
        <v>19</v>
      </c>
      <c r="D759" s="1" t="n">
        <v>4</v>
      </c>
      <c r="E759" s="1" t="str">
        <f aca="false">VLOOKUP(C759,Меню!$A$2:$C$24,2,FALSE())</f>
        <v>Пицца Цезарь</v>
      </c>
      <c r="F759" s="1" t="n">
        <f aca="false">VLOOKUP(C759,Меню!$A$2:$C$24,3,FALSE())</f>
        <v>630</v>
      </c>
      <c r="G759" s="5" t="n">
        <f aca="false">VLOOKUP(B759,Заказы!$A$2:$E$2995,2,FALSE())</f>
        <v>43999</v>
      </c>
      <c r="H759" s="1" t="n">
        <f aca="false">VLOOKUP(B759,Заказы!$A$2:$E$2995,3,FALSE())</f>
        <v>337</v>
      </c>
      <c r="I759" s="1" t="str">
        <f aca="false">VLOOKUP(H759,Клиенты!$A$2:$E$1995,5,FALSE())</f>
        <v>г. Череповец</v>
      </c>
      <c r="J759" s="1" t="n">
        <f aca="false">VLOOKUP(B759,Заказы!$A$2:$E$2995,4,FALSE())</f>
        <v>779</v>
      </c>
      <c r="K759" s="1" t="str">
        <f aca="false">VLOOKUP(B759,Заказы!$A$2:$E$2995,5,FALSE())</f>
        <v>Выполнено</v>
      </c>
      <c r="L759" s="1" t="n">
        <f aca="false">D759*F759+J759</f>
        <v>3299</v>
      </c>
      <c r="M759" s="1" t="n">
        <f aca="false">IF(AND(E759="Пицца Труслейка",I759="г. Москва",K759="Выполнено",G759&gt;=DATE(2020,7,1),G759&lt;DATE(2020,8,1)),L759,0)</f>
        <v>0</v>
      </c>
    </row>
    <row r="760" customFormat="false" ht="15" hidden="false" customHeight="true" outlineLevel="0" collapsed="false">
      <c r="A760" s="1" t="n">
        <v>101464</v>
      </c>
      <c r="B760" s="1" t="n">
        <v>50770</v>
      </c>
      <c r="C760" s="1" t="n">
        <v>16</v>
      </c>
      <c r="D760" s="1" t="n">
        <v>2</v>
      </c>
      <c r="E760" s="1" t="str">
        <f aca="false">VLOOKUP(C760,Меню!$A$2:$C$24,2,FALSE())</f>
        <v>Пицца Флорида</v>
      </c>
      <c r="F760" s="1" t="n">
        <f aca="false">VLOOKUP(C760,Меню!$A$2:$C$24,3,FALSE())</f>
        <v>535</v>
      </c>
      <c r="G760" s="5" t="n">
        <f aca="false">VLOOKUP(B760,Заказы!$A$2:$E$2995,2,FALSE())</f>
        <v>43998</v>
      </c>
      <c r="H760" s="1" t="n">
        <f aca="false">VLOOKUP(B760,Заказы!$A$2:$E$2995,3,FALSE())</f>
        <v>425</v>
      </c>
      <c r="I760" s="1" t="str">
        <f aca="false">VLOOKUP(H760,Клиенты!$A$2:$E$1995,5,FALSE())</f>
        <v>г. Курильск</v>
      </c>
      <c r="J760" s="1" t="n">
        <f aca="false">VLOOKUP(B760,Заказы!$A$2:$E$2995,4,FALSE())</f>
        <v>809</v>
      </c>
      <c r="K760" s="1" t="str">
        <f aca="false">VLOOKUP(B760,Заказы!$A$2:$E$2995,5,FALSE())</f>
        <v>Выполнено</v>
      </c>
      <c r="L760" s="1" t="n">
        <f aca="false">D760*F760+J760</f>
        <v>1879</v>
      </c>
      <c r="M760" s="1" t="n">
        <f aca="false">IF(AND(E760="Пицца Труслейка",I760="г. Москва",K760="Выполнено",G760&gt;=DATE(2020,7,1),G760&lt;DATE(2020,8,1)),L760,0)</f>
        <v>0</v>
      </c>
    </row>
    <row r="761" customFormat="false" ht="15" hidden="false" customHeight="true" outlineLevel="0" collapsed="false">
      <c r="A761" s="1" t="n">
        <v>101165</v>
      </c>
      <c r="B761" s="1" t="n">
        <v>51878</v>
      </c>
      <c r="C761" s="1" t="n">
        <v>4</v>
      </c>
      <c r="D761" s="1" t="n">
        <v>10</v>
      </c>
      <c r="E761" s="1" t="str">
        <f aca="false">VLOOKUP(C761,Меню!$A$2:$C$24,2,FALSE())</f>
        <v>Пицца Труслейка</v>
      </c>
      <c r="F761" s="1" t="n">
        <f aca="false">VLOOKUP(C761,Меню!$A$2:$C$24,3,FALSE())</f>
        <v>610</v>
      </c>
      <c r="G761" s="5" t="n">
        <f aca="false">VLOOKUP(B761,Заказы!$A$2:$E$2995,2,FALSE())</f>
        <v>44061</v>
      </c>
      <c r="H761" s="1" t="n">
        <f aca="false">VLOOKUP(B761,Заказы!$A$2:$E$2995,3,FALSE())</f>
        <v>732</v>
      </c>
      <c r="I761" s="1" t="str">
        <f aca="false">VLOOKUP(H761,Клиенты!$A$2:$E$1995,5,FALSE())</f>
        <v>г. Междуреченск</v>
      </c>
      <c r="J761" s="1" t="n">
        <f aca="false">VLOOKUP(B761,Заказы!$A$2:$E$2995,4,FALSE())</f>
        <v>295</v>
      </c>
      <c r="K761" s="1" t="str">
        <f aca="false">VLOOKUP(B761,Заказы!$A$2:$E$2995,5,FALSE())</f>
        <v>Выполнено</v>
      </c>
      <c r="L761" s="1" t="n">
        <f aca="false">D761*F761+J761</f>
        <v>6395</v>
      </c>
      <c r="M761" s="1" t="n">
        <f aca="false">IF(AND(E761="Пицца Труслейка",I761="г. Москва",K761="Выполнено",G761&gt;=DATE(2020,7,1),G761&lt;DATE(2020,8,1)),L761,0)</f>
        <v>0</v>
      </c>
    </row>
    <row r="762" customFormat="false" ht="15" hidden="false" customHeight="true" outlineLevel="0" collapsed="false">
      <c r="A762" s="1" t="n">
        <v>100572</v>
      </c>
      <c r="B762" s="1" t="n">
        <v>51024</v>
      </c>
      <c r="C762" s="1" t="n">
        <v>9</v>
      </c>
      <c r="D762" s="1" t="n">
        <v>4</v>
      </c>
      <c r="E762" s="1" t="str">
        <f aca="false">VLOOKUP(C762,Меню!$A$2:$C$24,2,FALSE())</f>
        <v>Пицца Острая с беконом</v>
      </c>
      <c r="F762" s="1" t="n">
        <f aca="false">VLOOKUP(C762,Меню!$A$2:$C$24,3,FALSE())</f>
        <v>540</v>
      </c>
      <c r="G762" s="5" t="n">
        <f aca="false">VLOOKUP(B762,Заказы!$A$2:$E$2995,2,FALSE())</f>
        <v>43994</v>
      </c>
      <c r="H762" s="1" t="n">
        <f aca="false">VLOOKUP(B762,Заказы!$A$2:$E$2995,3,FALSE())</f>
        <v>541</v>
      </c>
      <c r="I762" s="1" t="str">
        <f aca="false">VLOOKUP(H762,Клиенты!$A$2:$E$1995,5,FALSE())</f>
        <v>г. Ермолино</v>
      </c>
      <c r="J762" s="1" t="n">
        <f aca="false">VLOOKUP(B762,Заказы!$A$2:$E$2995,4,FALSE())</f>
        <v>435</v>
      </c>
      <c r="K762" s="1" t="str">
        <f aca="false">VLOOKUP(B762,Заказы!$A$2:$E$2995,5,FALSE())</f>
        <v>Выполнено</v>
      </c>
      <c r="L762" s="1" t="n">
        <f aca="false">D762*F762+J762</f>
        <v>2595</v>
      </c>
      <c r="M762" s="1" t="n">
        <f aca="false">IF(AND(E762="Пицца Труслейка",I762="г. Москва",K762="Выполнено",G762&gt;=DATE(2020,7,1),G762&lt;DATE(2020,8,1)),L762,0)</f>
        <v>0</v>
      </c>
    </row>
    <row r="763" customFormat="false" ht="15" hidden="false" customHeight="true" outlineLevel="0" collapsed="false">
      <c r="A763" s="1" t="n">
        <v>101559</v>
      </c>
      <c r="B763" s="1" t="n">
        <v>51621</v>
      </c>
      <c r="C763" s="1" t="n">
        <v>7</v>
      </c>
      <c r="D763" s="1" t="n">
        <v>4</v>
      </c>
      <c r="E763" s="1" t="str">
        <f aca="false">VLOOKUP(C763,Меню!$A$2:$C$24,2,FALSE())</f>
        <v>Пицца Карбонара</v>
      </c>
      <c r="F763" s="1" t="n">
        <f aca="false">VLOOKUP(C763,Меню!$A$2:$C$24,3,FALSE())</f>
        <v>625</v>
      </c>
      <c r="G763" s="5" t="n">
        <f aca="false">VLOOKUP(B763,Заказы!$A$2:$E$2995,2,FALSE())</f>
        <v>44045</v>
      </c>
      <c r="H763" s="1" t="n">
        <f aca="false">VLOOKUP(B763,Заказы!$A$2:$E$2995,3,FALSE())</f>
        <v>12</v>
      </c>
      <c r="I763" s="1" t="str">
        <f aca="false">VLOOKUP(H763,Клиенты!$A$2:$E$1995,5,FALSE())</f>
        <v>г. Орёл</v>
      </c>
      <c r="J763" s="1" t="n">
        <f aca="false">VLOOKUP(B763,Заказы!$A$2:$E$2995,4,FALSE())</f>
        <v>449</v>
      </c>
      <c r="K763" s="1" t="str">
        <f aca="false">VLOOKUP(B763,Заказы!$A$2:$E$2995,5,FALSE())</f>
        <v>Выполнено</v>
      </c>
      <c r="L763" s="1" t="n">
        <f aca="false">D763*F763+J763</f>
        <v>2949</v>
      </c>
      <c r="M763" s="1" t="n">
        <f aca="false">IF(AND(E763="Пицца Труслейка",I763="г. Москва",K763="Выполнено",G763&gt;=DATE(2020,7,1),G763&lt;DATE(2020,8,1)),L763,0)</f>
        <v>0</v>
      </c>
    </row>
    <row r="764" customFormat="false" ht="15" hidden="false" customHeight="true" outlineLevel="0" collapsed="false">
      <c r="A764" s="1" t="n">
        <v>101685</v>
      </c>
      <c r="B764" s="1" t="n">
        <v>50010</v>
      </c>
      <c r="C764" s="1" t="n">
        <v>9</v>
      </c>
      <c r="D764" s="1" t="n">
        <v>2</v>
      </c>
      <c r="E764" s="1" t="str">
        <f aca="false">VLOOKUP(C764,Меню!$A$2:$C$24,2,FALSE())</f>
        <v>Пицца Острая с беконом</v>
      </c>
      <c r="F764" s="1" t="n">
        <f aca="false">VLOOKUP(C764,Меню!$A$2:$C$24,3,FALSE())</f>
        <v>540</v>
      </c>
      <c r="G764" s="5" t="n">
        <f aca="false">VLOOKUP(B764,Заказы!$A$2:$E$2995,2,FALSE())</f>
        <v>44043</v>
      </c>
      <c r="H764" s="1" t="n">
        <f aca="false">VLOOKUP(B764,Заказы!$A$2:$E$2995,3,FALSE())</f>
        <v>1855</v>
      </c>
      <c r="I764" s="1" t="str">
        <f aca="false">VLOOKUP(H764,Клиенты!$A$2:$E$1995,5,FALSE())</f>
        <v>г. Кинешма</v>
      </c>
      <c r="J764" s="1" t="n">
        <f aca="false">VLOOKUP(B764,Заказы!$A$2:$E$2995,4,FALSE())</f>
        <v>338</v>
      </c>
      <c r="K764" s="1" t="str">
        <f aca="false">VLOOKUP(B764,Заказы!$A$2:$E$2995,5,FALSE())</f>
        <v>Выполнено</v>
      </c>
      <c r="L764" s="1" t="n">
        <f aca="false">D764*F764+J764</f>
        <v>1418</v>
      </c>
      <c r="M764" s="1" t="n">
        <f aca="false">IF(AND(E764="Пицца Труслейка",I764="г. Москва",K764="Выполнено",G764&gt;=DATE(2020,7,1),G764&lt;DATE(2020,8,1)),L764,0)</f>
        <v>0</v>
      </c>
    </row>
    <row r="765" customFormat="false" ht="15" hidden="false" customHeight="true" outlineLevel="0" collapsed="false">
      <c r="A765" s="1" t="n">
        <v>100774</v>
      </c>
      <c r="B765" s="1" t="n">
        <v>50598</v>
      </c>
      <c r="C765" s="1" t="n">
        <v>5</v>
      </c>
      <c r="D765" s="1" t="n">
        <v>10</v>
      </c>
      <c r="E765" s="1" t="str">
        <f aca="false">VLOOKUP(C765,Меню!$A$2:$C$24,2,FALSE())</f>
        <v>Пицца Жюльен</v>
      </c>
      <c r="F765" s="1" t="n">
        <f aca="false">VLOOKUP(C765,Меню!$A$2:$C$24,3,FALSE())</f>
        <v>580</v>
      </c>
      <c r="G765" s="5" t="n">
        <f aca="false">VLOOKUP(B765,Заказы!$A$2:$E$2995,2,FALSE())</f>
        <v>44049</v>
      </c>
      <c r="H765" s="1" t="n">
        <f aca="false">VLOOKUP(B765,Заказы!$A$2:$E$2995,3,FALSE())</f>
        <v>1077</v>
      </c>
      <c r="I765" s="1" t="str">
        <f aca="false">VLOOKUP(H765,Клиенты!$A$2:$E$1995,5,FALSE())</f>
        <v>г. Саяногорск</v>
      </c>
      <c r="J765" s="1" t="n">
        <f aca="false">VLOOKUP(B765,Заказы!$A$2:$E$2995,4,FALSE())</f>
        <v>427</v>
      </c>
      <c r="K765" s="1" t="str">
        <f aca="false">VLOOKUP(B765,Заказы!$A$2:$E$2995,5,FALSE())</f>
        <v>Выполнено</v>
      </c>
      <c r="L765" s="1" t="n">
        <f aca="false">D765*F765+J765</f>
        <v>6227</v>
      </c>
      <c r="M765" s="1" t="n">
        <f aca="false">IF(AND(E765="Пицца Труслейка",I765="г. Москва",K765="Выполнено",G765&gt;=DATE(2020,7,1),G765&lt;DATE(2020,8,1)),L765,0)</f>
        <v>0</v>
      </c>
    </row>
    <row r="766" customFormat="false" ht="15" hidden="false" customHeight="true" outlineLevel="0" collapsed="false">
      <c r="A766" s="1" t="n">
        <v>101522</v>
      </c>
      <c r="B766" s="1" t="n">
        <v>51027</v>
      </c>
      <c r="C766" s="1" t="n">
        <v>5</v>
      </c>
      <c r="D766" s="1" t="n">
        <v>2</v>
      </c>
      <c r="E766" s="1" t="str">
        <f aca="false">VLOOKUP(C766,Меню!$A$2:$C$24,2,FALSE())</f>
        <v>Пицца Жюльен</v>
      </c>
      <c r="F766" s="1" t="n">
        <f aca="false">VLOOKUP(C766,Меню!$A$2:$C$24,3,FALSE())</f>
        <v>580</v>
      </c>
      <c r="G766" s="5" t="n">
        <f aca="false">VLOOKUP(B766,Заказы!$A$2:$E$2995,2,FALSE())</f>
        <v>43988</v>
      </c>
      <c r="H766" s="1" t="n">
        <f aca="false">VLOOKUP(B766,Заказы!$A$2:$E$2995,3,FALSE())</f>
        <v>1478</v>
      </c>
      <c r="I766" s="1" t="str">
        <f aca="false">VLOOKUP(H766,Клиенты!$A$2:$E$1995,5,FALSE())</f>
        <v>г. Певек</v>
      </c>
      <c r="J766" s="1" t="n">
        <f aca="false">VLOOKUP(B766,Заказы!$A$2:$E$2995,4,FALSE())</f>
        <v>0</v>
      </c>
      <c r="K766" s="1" t="str">
        <f aca="false">VLOOKUP(B766,Заказы!$A$2:$E$2995,5,FALSE())</f>
        <v>Не выполнено</v>
      </c>
      <c r="L766" s="1" t="n">
        <f aca="false">D766*F766+J766</f>
        <v>1160</v>
      </c>
      <c r="M766" s="1" t="n">
        <f aca="false">IF(AND(E766="Пицца Труслейка",I766="г. Москва",K766="Выполнено",G766&gt;=DATE(2020,7,1),G766&lt;DATE(2020,8,1)),L766,0)</f>
        <v>0</v>
      </c>
    </row>
    <row r="767" customFormat="false" ht="15" hidden="false" customHeight="true" outlineLevel="0" collapsed="false">
      <c r="A767" s="1" t="n">
        <v>100169</v>
      </c>
      <c r="B767" s="1" t="n">
        <v>50315</v>
      </c>
      <c r="C767" s="1" t="n">
        <v>10</v>
      </c>
      <c r="D767" s="1" t="n">
        <v>10</v>
      </c>
      <c r="E767" s="1" t="str">
        <f aca="false">VLOOKUP(C767,Меню!$A$2:$C$24,2,FALSE())</f>
        <v>Пицца Пепперони фреш</v>
      </c>
      <c r="F767" s="1" t="n">
        <f aca="false">VLOOKUP(C767,Меню!$A$2:$C$24,3,FALSE())</f>
        <v>565</v>
      </c>
      <c r="G767" s="5" t="n">
        <f aca="false">VLOOKUP(B767,Заказы!$A$2:$E$2995,2,FALSE())</f>
        <v>43994</v>
      </c>
      <c r="H767" s="1" t="n">
        <f aca="false">VLOOKUP(B767,Заказы!$A$2:$E$2995,3,FALSE())</f>
        <v>583</v>
      </c>
      <c r="I767" s="1" t="str">
        <f aca="false">VLOOKUP(H767,Клиенты!$A$2:$E$1995,5,FALSE())</f>
        <v>г. Пенза</v>
      </c>
      <c r="J767" s="1" t="n">
        <f aca="false">VLOOKUP(B767,Заказы!$A$2:$E$2995,4,FALSE())</f>
        <v>496</v>
      </c>
      <c r="K767" s="1" t="str">
        <f aca="false">VLOOKUP(B767,Заказы!$A$2:$E$2995,5,FALSE())</f>
        <v>Выполнено</v>
      </c>
      <c r="L767" s="1" t="n">
        <f aca="false">D767*F767+J767</f>
        <v>6146</v>
      </c>
      <c r="M767" s="1" t="n">
        <f aca="false">IF(AND(E767="Пицца Труслейка",I767="г. Москва",K767="Выполнено",G767&gt;=DATE(2020,7,1),G767&lt;DATE(2020,8,1)),L767,0)</f>
        <v>0</v>
      </c>
    </row>
    <row r="768" customFormat="false" ht="15" hidden="false" customHeight="true" outlineLevel="0" collapsed="false">
      <c r="A768" s="1" t="n">
        <v>101475</v>
      </c>
      <c r="B768" s="1" t="n">
        <v>51305</v>
      </c>
      <c r="C768" s="1" t="n">
        <v>22</v>
      </c>
      <c r="D768" s="1" t="n">
        <v>7</v>
      </c>
      <c r="E768" s="1" t="str">
        <f aca="false">VLOOKUP(C768,Меню!$A$2:$C$24,2,FALSE())</f>
        <v>Пицца с поркеттой и фриарелли</v>
      </c>
      <c r="F768" s="1" t="n">
        <f aca="false">VLOOKUP(C768,Меню!$A$2:$C$24,3,FALSE())</f>
        <v>550</v>
      </c>
      <c r="G768" s="5" t="n">
        <f aca="false">VLOOKUP(B768,Заказы!$A$2:$E$2995,2,FALSE())</f>
        <v>44072</v>
      </c>
      <c r="H768" s="1" t="n">
        <f aca="false">VLOOKUP(B768,Заказы!$A$2:$E$2995,3,FALSE())</f>
        <v>997</v>
      </c>
      <c r="I768" s="1" t="str">
        <f aca="false">VLOOKUP(H768,Клиенты!$A$2:$E$1995,5,FALSE())</f>
        <v>г. Зверево</v>
      </c>
      <c r="J768" s="1" t="n">
        <f aca="false">VLOOKUP(B768,Заказы!$A$2:$E$2995,4,FALSE())</f>
        <v>0</v>
      </c>
      <c r="K768" s="1" t="str">
        <f aca="false">VLOOKUP(B768,Заказы!$A$2:$E$2995,5,FALSE())</f>
        <v>Не выполнено</v>
      </c>
      <c r="L768" s="1" t="n">
        <f aca="false">D768*F768+J768</f>
        <v>3850</v>
      </c>
      <c r="M768" s="1" t="n">
        <f aca="false">IF(AND(E768="Пицца Труслейка",I768="г. Москва",K768="Выполнено",G768&gt;=DATE(2020,7,1),G768&lt;DATE(2020,8,1)),L768,0)</f>
        <v>0</v>
      </c>
    </row>
    <row r="769" customFormat="false" ht="15" hidden="false" customHeight="true" outlineLevel="0" collapsed="false">
      <c r="A769" s="1" t="n">
        <v>101546</v>
      </c>
      <c r="B769" s="1" t="n">
        <v>50915</v>
      </c>
      <c r="C769" s="1" t="n">
        <v>20</v>
      </c>
      <c r="D769" s="1" t="n">
        <v>4</v>
      </c>
      <c r="E769" s="1" t="str">
        <f aca="false">VLOOKUP(C769,Меню!$A$2:$C$24,2,FALSE())</f>
        <v>Пицца пиканте</v>
      </c>
      <c r="F769" s="1" t="n">
        <f aca="false">VLOOKUP(C769,Меню!$A$2:$C$24,3,FALSE())</f>
        <v>585</v>
      </c>
      <c r="G769" s="5" t="n">
        <f aca="false">VLOOKUP(B769,Заказы!$A$2:$E$2995,2,FALSE())</f>
        <v>44004</v>
      </c>
      <c r="H769" s="1" t="n">
        <f aca="false">VLOOKUP(B769,Заказы!$A$2:$E$2995,3,FALSE())</f>
        <v>1460</v>
      </c>
      <c r="I769" s="1" t="str">
        <f aca="false">VLOOKUP(H769,Клиенты!$A$2:$E$1995,5,FALSE())</f>
        <v>г. Москва</v>
      </c>
      <c r="J769" s="1" t="n">
        <f aca="false">VLOOKUP(B769,Заказы!$A$2:$E$2995,4,FALSE())</f>
        <v>801</v>
      </c>
      <c r="K769" s="1" t="str">
        <f aca="false">VLOOKUP(B769,Заказы!$A$2:$E$2995,5,FALSE())</f>
        <v>Выполнено</v>
      </c>
      <c r="L769" s="1" t="n">
        <f aca="false">D769*F769+J769</f>
        <v>3141</v>
      </c>
      <c r="M769" s="1" t="n">
        <f aca="false">IF(AND(E769="Пицца Труслейка",I769="г. Москва",K769="Выполнено",G769&gt;=DATE(2020,7,1),G769&lt;DATE(2020,8,1)),L769,0)</f>
        <v>0</v>
      </c>
    </row>
    <row r="770" customFormat="false" ht="15" hidden="false" customHeight="true" outlineLevel="0" collapsed="false">
      <c r="A770" s="1" t="n">
        <v>100916</v>
      </c>
      <c r="B770" s="1" t="n">
        <v>51441</v>
      </c>
      <c r="C770" s="1" t="n">
        <v>8</v>
      </c>
      <c r="D770" s="1" t="n">
        <v>6</v>
      </c>
      <c r="E770" s="1" t="str">
        <f aca="false">VLOOKUP(C770,Меню!$A$2:$C$24,2,FALSE())</f>
        <v>Пицца Мясная</v>
      </c>
      <c r="F770" s="1" t="n">
        <f aca="false">VLOOKUP(C770,Меню!$A$2:$C$24,3,FALSE())</f>
        <v>615</v>
      </c>
      <c r="G770" s="5" t="n">
        <f aca="false">VLOOKUP(B770,Заказы!$A$2:$E$2995,2,FALSE())</f>
        <v>44033</v>
      </c>
      <c r="H770" s="1" t="n">
        <f aca="false">VLOOKUP(B770,Заказы!$A$2:$E$2995,3,FALSE())</f>
        <v>1160</v>
      </c>
      <c r="I770" s="1" t="str">
        <f aca="false">VLOOKUP(H770,Клиенты!$A$2:$E$1995,5,FALSE())</f>
        <v>г. Москва</v>
      </c>
      <c r="J770" s="1" t="n">
        <f aca="false">VLOOKUP(B770,Заказы!$A$2:$E$2995,4,FALSE())</f>
        <v>0</v>
      </c>
      <c r="K770" s="1" t="str">
        <f aca="false">VLOOKUP(B770,Заказы!$A$2:$E$2995,5,FALSE())</f>
        <v>Не выполнено</v>
      </c>
      <c r="L770" s="1" t="n">
        <f aca="false">D770*F770+J770</f>
        <v>3690</v>
      </c>
      <c r="M770" s="1" t="n">
        <f aca="false">IF(AND(E770="Пицца Труслейка",I770="г. Москва",K770="Выполнено",G770&gt;=DATE(2020,7,1),G770&lt;DATE(2020,8,1)),L770,0)</f>
        <v>0</v>
      </c>
    </row>
    <row r="771" customFormat="false" ht="15" hidden="false" customHeight="true" outlineLevel="0" collapsed="false">
      <c r="A771" s="1" t="n">
        <v>100673</v>
      </c>
      <c r="B771" s="1" t="n">
        <v>50402</v>
      </c>
      <c r="C771" s="1" t="n">
        <v>4</v>
      </c>
      <c r="D771" s="1" t="n">
        <v>4</v>
      </c>
      <c r="E771" s="1" t="str">
        <f aca="false">VLOOKUP(C771,Меню!$A$2:$C$24,2,FALSE())</f>
        <v>Пицца Труслейка</v>
      </c>
      <c r="F771" s="1" t="n">
        <f aca="false">VLOOKUP(C771,Меню!$A$2:$C$24,3,FALSE())</f>
        <v>610</v>
      </c>
      <c r="G771" s="5" t="n">
        <f aca="false">VLOOKUP(B771,Заказы!$A$2:$E$2995,2,FALSE())</f>
        <v>44063</v>
      </c>
      <c r="H771" s="1" t="n">
        <f aca="false">VLOOKUP(B771,Заказы!$A$2:$E$2995,3,FALSE())</f>
        <v>994</v>
      </c>
      <c r="I771" s="1" t="str">
        <f aca="false">VLOOKUP(H771,Клиенты!$A$2:$E$1995,5,FALSE())</f>
        <v>г. Енисейск</v>
      </c>
      <c r="J771" s="1" t="n">
        <f aca="false">VLOOKUP(B771,Заказы!$A$2:$E$2995,4,FALSE())</f>
        <v>0</v>
      </c>
      <c r="K771" s="1" t="str">
        <f aca="false">VLOOKUP(B771,Заказы!$A$2:$E$2995,5,FALSE())</f>
        <v>Не выполнено</v>
      </c>
      <c r="L771" s="1" t="n">
        <f aca="false">D771*F771+J771</f>
        <v>2440</v>
      </c>
      <c r="M771" s="1" t="n">
        <f aca="false">IF(AND(E771="Пицца Труслейка",I771="г. Москва",K771="Выполнено",G771&gt;=DATE(2020,7,1),G771&lt;DATE(2020,8,1)),L771,0)</f>
        <v>0</v>
      </c>
    </row>
    <row r="772" customFormat="false" ht="15" hidden="false" customHeight="true" outlineLevel="0" collapsed="false">
      <c r="A772" s="1" t="n">
        <v>101296</v>
      </c>
      <c r="B772" s="1" t="n">
        <v>51536</v>
      </c>
      <c r="C772" s="1" t="n">
        <v>9</v>
      </c>
      <c r="D772" s="1" t="n">
        <v>3</v>
      </c>
      <c r="E772" s="1" t="str">
        <f aca="false">VLOOKUP(C772,Меню!$A$2:$C$24,2,FALSE())</f>
        <v>Пицца Острая с беконом</v>
      </c>
      <c r="F772" s="1" t="n">
        <f aca="false">VLOOKUP(C772,Меню!$A$2:$C$24,3,FALSE())</f>
        <v>540</v>
      </c>
      <c r="G772" s="5" t="n">
        <f aca="false">VLOOKUP(B772,Заказы!$A$2:$E$2995,2,FALSE())</f>
        <v>44021</v>
      </c>
      <c r="H772" s="1" t="n">
        <f aca="false">VLOOKUP(B772,Заказы!$A$2:$E$2995,3,FALSE())</f>
        <v>233</v>
      </c>
      <c r="I772" s="1" t="str">
        <f aca="false">VLOOKUP(H772,Клиенты!$A$2:$E$1995,5,FALSE())</f>
        <v>г. Волгоград</v>
      </c>
      <c r="J772" s="1" t="n">
        <f aca="false">VLOOKUP(B772,Заказы!$A$2:$E$2995,4,FALSE())</f>
        <v>0</v>
      </c>
      <c r="K772" s="1" t="str">
        <f aca="false">VLOOKUP(B772,Заказы!$A$2:$E$2995,5,FALSE())</f>
        <v>Не выполнено</v>
      </c>
      <c r="L772" s="1" t="n">
        <f aca="false">D772*F772+J772</f>
        <v>1620</v>
      </c>
      <c r="M772" s="1" t="n">
        <f aca="false">IF(AND(E772="Пицца Труслейка",I772="г. Москва",K772="Выполнено",G772&gt;=DATE(2020,7,1),G772&lt;DATE(2020,8,1)),L772,0)</f>
        <v>0</v>
      </c>
    </row>
    <row r="773" customFormat="false" ht="15" hidden="false" customHeight="true" outlineLevel="0" collapsed="false">
      <c r="A773" s="1" t="n">
        <v>101454</v>
      </c>
      <c r="B773" s="1" t="n">
        <v>50334</v>
      </c>
      <c r="C773" s="1" t="n">
        <v>7</v>
      </c>
      <c r="D773" s="1" t="n">
        <v>1</v>
      </c>
      <c r="E773" s="1" t="str">
        <f aca="false">VLOOKUP(C773,Меню!$A$2:$C$24,2,FALSE())</f>
        <v>Пицца Карбонара</v>
      </c>
      <c r="F773" s="1" t="n">
        <f aca="false">VLOOKUP(C773,Меню!$A$2:$C$24,3,FALSE())</f>
        <v>625</v>
      </c>
      <c r="G773" s="5" t="n">
        <f aca="false">VLOOKUP(B773,Заказы!$A$2:$E$2995,2,FALSE())</f>
        <v>43999</v>
      </c>
      <c r="H773" s="1" t="n">
        <f aca="false">VLOOKUP(B773,Заказы!$A$2:$E$2995,3,FALSE())</f>
        <v>868</v>
      </c>
      <c r="I773" s="1" t="str">
        <f aca="false">VLOOKUP(H773,Клиенты!$A$2:$E$1995,5,FALSE())</f>
        <v>г. Киров</v>
      </c>
      <c r="J773" s="1" t="n">
        <f aca="false">VLOOKUP(B773,Заказы!$A$2:$E$2995,4,FALSE())</f>
        <v>660</v>
      </c>
      <c r="K773" s="1" t="str">
        <f aca="false">VLOOKUP(B773,Заказы!$A$2:$E$2995,5,FALSE())</f>
        <v>Выполнено</v>
      </c>
      <c r="L773" s="1" t="n">
        <f aca="false">D773*F773+J773</f>
        <v>1285</v>
      </c>
      <c r="M773" s="1" t="n">
        <f aca="false">IF(AND(E773="Пицца Труслейка",I773="г. Москва",K773="Выполнено",G773&gt;=DATE(2020,7,1),G773&lt;DATE(2020,8,1)),L773,0)</f>
        <v>0</v>
      </c>
    </row>
    <row r="774" customFormat="false" ht="15" hidden="false" customHeight="true" outlineLevel="0" collapsed="false">
      <c r="A774" s="1" t="n">
        <v>100255</v>
      </c>
      <c r="B774" s="1" t="n">
        <v>50545</v>
      </c>
      <c r="C774" s="1" t="n">
        <v>19</v>
      </c>
      <c r="D774" s="1" t="n">
        <v>10</v>
      </c>
      <c r="E774" s="1" t="str">
        <f aca="false">VLOOKUP(C774,Меню!$A$2:$C$24,2,FALSE())</f>
        <v>Пицца Цезарь</v>
      </c>
      <c r="F774" s="1" t="n">
        <f aca="false">VLOOKUP(C774,Меню!$A$2:$C$24,3,FALSE())</f>
        <v>630</v>
      </c>
      <c r="G774" s="5" t="n">
        <f aca="false">VLOOKUP(B774,Заказы!$A$2:$E$2995,2,FALSE())</f>
        <v>44011</v>
      </c>
      <c r="H774" s="1" t="n">
        <f aca="false">VLOOKUP(B774,Заказы!$A$2:$E$2995,3,FALSE())</f>
        <v>1113</v>
      </c>
      <c r="I774" s="1" t="str">
        <f aca="false">VLOOKUP(H774,Клиенты!$A$2:$E$1995,5,FALSE())</f>
        <v>г. Сосновка</v>
      </c>
      <c r="J774" s="1" t="n">
        <f aca="false">VLOOKUP(B774,Заказы!$A$2:$E$2995,4,FALSE())</f>
        <v>126</v>
      </c>
      <c r="K774" s="1" t="str">
        <f aca="false">VLOOKUP(B774,Заказы!$A$2:$E$2995,5,FALSE())</f>
        <v>Выполнено</v>
      </c>
      <c r="L774" s="1" t="n">
        <f aca="false">D774*F774+J774</f>
        <v>6426</v>
      </c>
      <c r="M774" s="1" t="n">
        <f aca="false">IF(AND(E774="Пицца Труслейка",I774="г. Москва",K774="Выполнено",G774&gt;=DATE(2020,7,1),G774&lt;DATE(2020,8,1)),L774,0)</f>
        <v>0</v>
      </c>
    </row>
    <row r="775" customFormat="false" ht="15" hidden="false" customHeight="true" outlineLevel="0" collapsed="false">
      <c r="A775" s="1" t="n">
        <v>101307</v>
      </c>
      <c r="B775" s="1" t="n">
        <v>51640</v>
      </c>
      <c r="C775" s="1" t="n">
        <v>7</v>
      </c>
      <c r="D775" s="1" t="n">
        <v>7</v>
      </c>
      <c r="E775" s="1" t="str">
        <f aca="false">VLOOKUP(C775,Меню!$A$2:$C$24,2,FALSE())</f>
        <v>Пицца Карбонара</v>
      </c>
      <c r="F775" s="1" t="n">
        <f aca="false">VLOOKUP(C775,Меню!$A$2:$C$24,3,FALSE())</f>
        <v>625</v>
      </c>
      <c r="G775" s="5" t="n">
        <f aca="false">VLOOKUP(B775,Заказы!$A$2:$E$2995,2,FALSE())</f>
        <v>44034</v>
      </c>
      <c r="H775" s="1" t="n">
        <f aca="false">VLOOKUP(B775,Заказы!$A$2:$E$2995,3,FALSE())</f>
        <v>1089</v>
      </c>
      <c r="I775" s="1" t="str">
        <f aca="false">VLOOKUP(H775,Клиенты!$A$2:$E$1995,5,FALSE())</f>
        <v>г. Княгинино</v>
      </c>
      <c r="J775" s="1" t="n">
        <f aca="false">VLOOKUP(B775,Заказы!$A$2:$E$2995,4,FALSE())</f>
        <v>0</v>
      </c>
      <c r="K775" s="1" t="str">
        <f aca="false">VLOOKUP(B775,Заказы!$A$2:$E$2995,5,FALSE())</f>
        <v>Не выполнено</v>
      </c>
      <c r="L775" s="1" t="n">
        <f aca="false">D775*F775+J775</f>
        <v>4375</v>
      </c>
      <c r="M775" s="1" t="n">
        <f aca="false">IF(AND(E775="Пицца Труслейка",I775="г. Москва",K775="Выполнено",G775&gt;=DATE(2020,7,1),G775&lt;DATE(2020,8,1)),L775,0)</f>
        <v>0</v>
      </c>
    </row>
    <row r="776" customFormat="false" ht="15" hidden="false" customHeight="true" outlineLevel="0" collapsed="false">
      <c r="A776" s="1" t="n">
        <v>101236</v>
      </c>
      <c r="B776" s="1" t="n">
        <v>51483</v>
      </c>
      <c r="C776" s="1" t="n">
        <v>5</v>
      </c>
      <c r="D776" s="1" t="n">
        <v>7</v>
      </c>
      <c r="E776" s="1" t="str">
        <f aca="false">VLOOKUP(C776,Меню!$A$2:$C$24,2,FALSE())</f>
        <v>Пицца Жюльен</v>
      </c>
      <c r="F776" s="1" t="n">
        <f aca="false">VLOOKUP(C776,Меню!$A$2:$C$24,3,FALSE())</f>
        <v>580</v>
      </c>
      <c r="G776" s="5" t="n">
        <f aca="false">VLOOKUP(B776,Заказы!$A$2:$E$2995,2,FALSE())</f>
        <v>44024</v>
      </c>
      <c r="H776" s="1" t="n">
        <f aca="false">VLOOKUP(B776,Заказы!$A$2:$E$2995,3,FALSE())</f>
        <v>778</v>
      </c>
      <c r="I776" s="1" t="str">
        <f aca="false">VLOOKUP(H776,Клиенты!$A$2:$E$1995,5,FALSE())</f>
        <v>г. Адыгейск</v>
      </c>
      <c r="J776" s="1" t="n">
        <f aca="false">VLOOKUP(B776,Заказы!$A$2:$E$2995,4,FALSE())</f>
        <v>232</v>
      </c>
      <c r="K776" s="1" t="str">
        <f aca="false">VLOOKUP(B776,Заказы!$A$2:$E$2995,5,FALSE())</f>
        <v>Выполнено</v>
      </c>
      <c r="L776" s="1" t="n">
        <f aca="false">D776*F776+J776</f>
        <v>4292</v>
      </c>
      <c r="M776" s="1" t="n">
        <f aca="false">IF(AND(E776="Пицца Труслейка",I776="г. Москва",K776="Выполнено",G776&gt;=DATE(2020,7,1),G776&lt;DATE(2020,8,1)),L776,0)</f>
        <v>0</v>
      </c>
    </row>
    <row r="777" customFormat="false" ht="15" hidden="false" customHeight="true" outlineLevel="0" collapsed="false">
      <c r="A777" s="1" t="n">
        <v>101020</v>
      </c>
      <c r="B777" s="1" t="n">
        <v>50105</v>
      </c>
      <c r="C777" s="1" t="n">
        <v>20</v>
      </c>
      <c r="D777" s="1" t="n">
        <v>5</v>
      </c>
      <c r="E777" s="1" t="str">
        <f aca="false">VLOOKUP(C777,Меню!$A$2:$C$24,2,FALSE())</f>
        <v>Пицца пиканте</v>
      </c>
      <c r="F777" s="1" t="n">
        <f aca="false">VLOOKUP(C777,Меню!$A$2:$C$24,3,FALSE())</f>
        <v>585</v>
      </c>
      <c r="G777" s="5" t="n">
        <f aca="false">VLOOKUP(B777,Заказы!$A$2:$E$2995,2,FALSE())</f>
        <v>44071</v>
      </c>
      <c r="H777" s="1" t="n">
        <f aca="false">VLOOKUP(B777,Заказы!$A$2:$E$2995,3,FALSE())</f>
        <v>790</v>
      </c>
      <c r="I777" s="1" t="str">
        <f aca="false">VLOOKUP(H777,Клиенты!$A$2:$E$1995,5,FALSE())</f>
        <v>г. Москва</v>
      </c>
      <c r="J777" s="1" t="n">
        <f aca="false">VLOOKUP(B777,Заказы!$A$2:$E$2995,4,FALSE())</f>
        <v>541</v>
      </c>
      <c r="K777" s="1" t="str">
        <f aca="false">VLOOKUP(B777,Заказы!$A$2:$E$2995,5,FALSE())</f>
        <v>Выполнено</v>
      </c>
      <c r="L777" s="1" t="n">
        <f aca="false">D777*F777+J777</f>
        <v>3466</v>
      </c>
      <c r="M777" s="1" t="n">
        <f aca="false">IF(AND(E777="Пицца Труслейка",I777="г. Москва",K777="Выполнено",G777&gt;=DATE(2020,7,1),G777&lt;DATE(2020,8,1)),L777,0)</f>
        <v>0</v>
      </c>
    </row>
    <row r="778" customFormat="false" ht="15" hidden="false" customHeight="true" outlineLevel="0" collapsed="false">
      <c r="A778" s="1" t="n">
        <v>101637</v>
      </c>
      <c r="B778" s="1" t="n">
        <v>50261</v>
      </c>
      <c r="C778" s="1" t="n">
        <v>19</v>
      </c>
      <c r="D778" s="1" t="n">
        <v>3</v>
      </c>
      <c r="E778" s="1" t="str">
        <f aca="false">VLOOKUP(C778,Меню!$A$2:$C$24,2,FALSE())</f>
        <v>Пицца Цезарь</v>
      </c>
      <c r="F778" s="1" t="n">
        <f aca="false">VLOOKUP(C778,Меню!$A$2:$C$24,3,FALSE())</f>
        <v>630</v>
      </c>
      <c r="G778" s="5" t="n">
        <f aca="false">VLOOKUP(B778,Заказы!$A$2:$E$2995,2,FALSE())</f>
        <v>44027</v>
      </c>
      <c r="H778" s="1" t="n">
        <f aca="false">VLOOKUP(B778,Заказы!$A$2:$E$2995,3,FALSE())</f>
        <v>740</v>
      </c>
      <c r="I778" s="1" t="str">
        <f aca="false">VLOOKUP(H778,Клиенты!$A$2:$E$1995,5,FALSE())</f>
        <v>г. Москва</v>
      </c>
      <c r="J778" s="1" t="n">
        <f aca="false">VLOOKUP(B778,Заказы!$A$2:$E$2995,4,FALSE())</f>
        <v>0</v>
      </c>
      <c r="K778" s="1" t="str">
        <f aca="false">VLOOKUP(B778,Заказы!$A$2:$E$2995,5,FALSE())</f>
        <v>Не выполнено</v>
      </c>
      <c r="L778" s="1" t="n">
        <f aca="false">D778*F778+J778</f>
        <v>1890</v>
      </c>
      <c r="M778" s="1" t="n">
        <f aca="false">IF(AND(E778="Пицца Труслейка",I778="г. Москва",K778="Выполнено",G778&gt;=DATE(2020,7,1),G778&lt;DATE(2020,8,1)),L778,0)</f>
        <v>0</v>
      </c>
    </row>
    <row r="779" customFormat="false" ht="15" hidden="false" customHeight="true" outlineLevel="0" collapsed="false">
      <c r="A779" s="1" t="n">
        <v>100383</v>
      </c>
      <c r="B779" s="1" t="n">
        <v>51232</v>
      </c>
      <c r="C779" s="1" t="n">
        <v>10</v>
      </c>
      <c r="D779" s="1" t="n">
        <v>6</v>
      </c>
      <c r="E779" s="1" t="str">
        <f aca="false">VLOOKUP(C779,Меню!$A$2:$C$24,2,FALSE())</f>
        <v>Пицца Пепперони фреш</v>
      </c>
      <c r="F779" s="1" t="n">
        <f aca="false">VLOOKUP(C779,Меню!$A$2:$C$24,3,FALSE())</f>
        <v>565</v>
      </c>
      <c r="G779" s="5" t="n">
        <f aca="false">VLOOKUP(B779,Заказы!$A$2:$E$2995,2,FALSE())</f>
        <v>44064</v>
      </c>
      <c r="H779" s="1" t="n">
        <f aca="false">VLOOKUP(B779,Заказы!$A$2:$E$2995,3,FALSE())</f>
        <v>1412</v>
      </c>
      <c r="I779" s="1" t="str">
        <f aca="false">VLOOKUP(H779,Клиенты!$A$2:$E$1995,5,FALSE())</f>
        <v>г. Черепаново</v>
      </c>
      <c r="J779" s="1" t="n">
        <f aca="false">VLOOKUP(B779,Заказы!$A$2:$E$2995,4,FALSE())</f>
        <v>0</v>
      </c>
      <c r="K779" s="1" t="str">
        <f aca="false">VLOOKUP(B779,Заказы!$A$2:$E$2995,5,FALSE())</f>
        <v>Не выполнено</v>
      </c>
      <c r="L779" s="1" t="n">
        <f aca="false">D779*F779+J779</f>
        <v>3390</v>
      </c>
      <c r="M779" s="1" t="n">
        <f aca="false">IF(AND(E779="Пицца Труслейка",I779="г. Москва",K779="Выполнено",G779&gt;=DATE(2020,7,1),G779&lt;DATE(2020,8,1)),L779,0)</f>
        <v>0</v>
      </c>
    </row>
    <row r="780" customFormat="false" ht="15" hidden="false" customHeight="true" outlineLevel="0" collapsed="false">
      <c r="A780" s="1" t="n">
        <v>100432</v>
      </c>
      <c r="B780" s="1" t="n">
        <v>51856</v>
      </c>
      <c r="C780" s="1" t="n">
        <v>2</v>
      </c>
      <c r="D780" s="1" t="n">
        <v>7</v>
      </c>
      <c r="E780" s="1" t="str">
        <f aca="false">VLOOKUP(C780,Меню!$A$2:$C$24,2,FALSE())</f>
        <v>Пицца Двойная пепперони</v>
      </c>
      <c r="F780" s="1" t="n">
        <f aca="false">VLOOKUP(C780,Меню!$A$2:$C$24,3,FALSE())</f>
        <v>575</v>
      </c>
      <c r="G780" s="5" t="n">
        <f aca="false">VLOOKUP(B780,Заказы!$A$2:$E$2995,2,FALSE())</f>
        <v>44011</v>
      </c>
      <c r="H780" s="1" t="n">
        <f aca="false">VLOOKUP(B780,Заказы!$A$2:$E$2995,3,FALSE())</f>
        <v>1562</v>
      </c>
      <c r="I780" s="1" t="str">
        <f aca="false">VLOOKUP(H780,Клиенты!$A$2:$E$1995,5,FALSE())</f>
        <v>г. Удачный</v>
      </c>
      <c r="J780" s="1" t="n">
        <f aca="false">VLOOKUP(B780,Заказы!$A$2:$E$2995,4,FALSE())</f>
        <v>872</v>
      </c>
      <c r="K780" s="1" t="str">
        <f aca="false">VLOOKUP(B780,Заказы!$A$2:$E$2995,5,FALSE())</f>
        <v>Выполнено</v>
      </c>
      <c r="L780" s="1" t="n">
        <f aca="false">D780*F780+J780</f>
        <v>4897</v>
      </c>
      <c r="M780" s="1" t="n">
        <f aca="false">IF(AND(E780="Пицца Труслейка",I780="г. Москва",K780="Выполнено",G780&gt;=DATE(2020,7,1),G780&lt;DATE(2020,8,1)),L780,0)</f>
        <v>0</v>
      </c>
    </row>
    <row r="781" customFormat="false" ht="15" hidden="false" customHeight="true" outlineLevel="0" collapsed="false">
      <c r="A781" s="1" t="n">
        <v>101258</v>
      </c>
      <c r="B781" s="1" t="n">
        <v>50987</v>
      </c>
      <c r="C781" s="1" t="n">
        <v>4</v>
      </c>
      <c r="D781" s="1" t="n">
        <v>5</v>
      </c>
      <c r="E781" s="1" t="str">
        <f aca="false">VLOOKUP(C781,Меню!$A$2:$C$24,2,FALSE())</f>
        <v>Пицца Труслейка</v>
      </c>
      <c r="F781" s="1" t="n">
        <f aca="false">VLOOKUP(C781,Меню!$A$2:$C$24,3,FALSE())</f>
        <v>610</v>
      </c>
      <c r="G781" s="5" t="n">
        <f aca="false">VLOOKUP(B781,Заказы!$A$2:$E$2995,2,FALSE())</f>
        <v>44064</v>
      </c>
      <c r="H781" s="1" t="n">
        <f aca="false">VLOOKUP(B781,Заказы!$A$2:$E$2995,3,FALSE())</f>
        <v>496</v>
      </c>
      <c r="I781" s="1" t="str">
        <f aca="false">VLOOKUP(H781,Клиенты!$A$2:$E$1995,5,FALSE())</f>
        <v>г. Тайга</v>
      </c>
      <c r="J781" s="1" t="n">
        <f aca="false">VLOOKUP(B781,Заказы!$A$2:$E$2995,4,FALSE())</f>
        <v>222</v>
      </c>
      <c r="K781" s="1" t="str">
        <f aca="false">VLOOKUP(B781,Заказы!$A$2:$E$2995,5,FALSE())</f>
        <v>Выполнено</v>
      </c>
      <c r="L781" s="1" t="n">
        <f aca="false">D781*F781+J781</f>
        <v>3272</v>
      </c>
      <c r="M781" s="1" t="n">
        <f aca="false">IF(AND(E781="Пицца Труслейка",I781="г. Москва",K781="Выполнено",G781&gt;=DATE(2020,7,1),G781&lt;DATE(2020,8,1)),L781,0)</f>
        <v>0</v>
      </c>
    </row>
    <row r="782" customFormat="false" ht="15" hidden="false" customHeight="true" outlineLevel="0" collapsed="false">
      <c r="A782" s="1" t="n">
        <v>100407</v>
      </c>
      <c r="B782" s="1" t="n">
        <v>50726</v>
      </c>
      <c r="C782" s="1" t="n">
        <v>14</v>
      </c>
      <c r="D782" s="1" t="n">
        <v>6</v>
      </c>
      <c r="E782" s="1" t="str">
        <f aca="false">VLOOKUP(C782,Меню!$A$2:$C$24,2,FALSE())</f>
        <v>Пицца Сырный цыпленок</v>
      </c>
      <c r="F782" s="1" t="n">
        <f aca="false">VLOOKUP(C782,Меню!$A$2:$C$24,3,FALSE())</f>
        <v>555</v>
      </c>
      <c r="G782" s="5" t="n">
        <f aca="false">VLOOKUP(B782,Заказы!$A$2:$E$2995,2,FALSE())</f>
        <v>44028</v>
      </c>
      <c r="H782" s="1" t="n">
        <f aca="false">VLOOKUP(B782,Заказы!$A$2:$E$2995,3,FALSE())</f>
        <v>1154</v>
      </c>
      <c r="I782" s="1" t="str">
        <f aca="false">VLOOKUP(H782,Клиенты!$A$2:$E$1995,5,FALSE())</f>
        <v>г. Богородицк</v>
      </c>
      <c r="J782" s="1" t="n">
        <f aca="false">VLOOKUP(B782,Заказы!$A$2:$E$2995,4,FALSE())</f>
        <v>478</v>
      </c>
      <c r="K782" s="1" t="str">
        <f aca="false">VLOOKUP(B782,Заказы!$A$2:$E$2995,5,FALSE())</f>
        <v>Выполнено</v>
      </c>
      <c r="L782" s="1" t="n">
        <f aca="false">D782*F782+J782</f>
        <v>3808</v>
      </c>
      <c r="M782" s="1" t="n">
        <f aca="false">IF(AND(E782="Пицца Труслейка",I782="г. Москва",K782="Выполнено",G782&gt;=DATE(2020,7,1),G782&lt;DATE(2020,8,1)),L782,0)</f>
        <v>0</v>
      </c>
    </row>
    <row r="783" customFormat="false" ht="15" hidden="false" customHeight="true" outlineLevel="0" collapsed="false">
      <c r="A783" s="1" t="n">
        <v>101531</v>
      </c>
      <c r="B783" s="1" t="n">
        <v>50245</v>
      </c>
      <c r="C783" s="1" t="n">
        <v>6</v>
      </c>
      <c r="D783" s="1" t="n">
        <v>9</v>
      </c>
      <c r="E783" s="1" t="str">
        <f aca="false">VLOOKUP(C783,Меню!$A$2:$C$24,2,FALSE())</f>
        <v>Пицца Капричиоза</v>
      </c>
      <c r="F783" s="1" t="n">
        <f aca="false">VLOOKUP(C783,Меню!$A$2:$C$24,3,FALSE())</f>
        <v>570</v>
      </c>
      <c r="G783" s="5" t="n">
        <f aca="false">VLOOKUP(B783,Заказы!$A$2:$E$2995,2,FALSE())</f>
        <v>44038</v>
      </c>
      <c r="H783" s="1" t="n">
        <f aca="false">VLOOKUP(B783,Заказы!$A$2:$E$2995,3,FALSE())</f>
        <v>1599</v>
      </c>
      <c r="I783" s="1" t="str">
        <f aca="false">VLOOKUP(H783,Клиенты!$A$2:$E$1995,5,FALSE())</f>
        <v>г. Приморско-Ахтарск</v>
      </c>
      <c r="J783" s="1" t="n">
        <f aca="false">VLOOKUP(B783,Заказы!$A$2:$E$2995,4,FALSE())</f>
        <v>0</v>
      </c>
      <c r="K783" s="1" t="str">
        <f aca="false">VLOOKUP(B783,Заказы!$A$2:$E$2995,5,FALSE())</f>
        <v>Не выполнено</v>
      </c>
      <c r="L783" s="1" t="n">
        <f aca="false">D783*F783+J783</f>
        <v>5130</v>
      </c>
      <c r="M783" s="1" t="n">
        <f aca="false">IF(AND(E783="Пицца Труслейка",I783="г. Москва",K783="Выполнено",G783&gt;=DATE(2020,7,1),G783&lt;DATE(2020,8,1)),L783,0)</f>
        <v>0</v>
      </c>
    </row>
    <row r="784" customFormat="false" ht="15" hidden="false" customHeight="true" outlineLevel="0" collapsed="false">
      <c r="A784" s="1" t="n">
        <v>101536</v>
      </c>
      <c r="B784" s="1" t="n">
        <v>50065</v>
      </c>
      <c r="C784" s="1" t="n">
        <v>11</v>
      </c>
      <c r="D784" s="1" t="n">
        <v>7</v>
      </c>
      <c r="E784" s="1" t="str">
        <f aca="false">VLOOKUP(C784,Меню!$A$2:$C$24,2,FALSE())</f>
        <v>Пицца Песто</v>
      </c>
      <c r="F784" s="1" t="n">
        <f aca="false">VLOOKUP(C784,Меню!$A$2:$C$24,3,FALSE())</f>
        <v>530</v>
      </c>
      <c r="G784" s="5" t="n">
        <f aca="false">VLOOKUP(B784,Заказы!$A$2:$E$2995,2,FALSE())</f>
        <v>43989</v>
      </c>
      <c r="H784" s="1" t="n">
        <f aca="false">VLOOKUP(B784,Заказы!$A$2:$E$2995,3,FALSE())</f>
        <v>880</v>
      </c>
      <c r="I784" s="1" t="str">
        <f aca="false">VLOOKUP(H784,Клиенты!$A$2:$E$1995,5,FALSE())</f>
        <v>г. Москва</v>
      </c>
      <c r="J784" s="1" t="n">
        <f aca="false">VLOOKUP(B784,Заказы!$A$2:$E$2995,4,FALSE())</f>
        <v>626</v>
      </c>
      <c r="K784" s="1" t="str">
        <f aca="false">VLOOKUP(B784,Заказы!$A$2:$E$2995,5,FALSE())</f>
        <v>Выполнено</v>
      </c>
      <c r="L784" s="1" t="n">
        <f aca="false">D784*F784+J784</f>
        <v>4336</v>
      </c>
      <c r="M784" s="1" t="n">
        <f aca="false">IF(AND(E784="Пицца Труслейка",I784="г. Москва",K784="Выполнено",G784&gt;=DATE(2020,7,1),G784&lt;DATE(2020,8,1)),L784,0)</f>
        <v>0</v>
      </c>
    </row>
    <row r="785" customFormat="false" ht="15" hidden="false" customHeight="true" outlineLevel="0" collapsed="false">
      <c r="A785" s="1" t="n">
        <v>101746</v>
      </c>
      <c r="B785" s="1" t="n">
        <v>51488</v>
      </c>
      <c r="C785" s="1" t="n">
        <v>4</v>
      </c>
      <c r="D785" s="1" t="n">
        <v>7</v>
      </c>
      <c r="E785" s="1" t="str">
        <f aca="false">VLOOKUP(C785,Меню!$A$2:$C$24,2,FALSE())</f>
        <v>Пицца Труслейка</v>
      </c>
      <c r="F785" s="1" t="n">
        <f aca="false">VLOOKUP(C785,Меню!$A$2:$C$24,3,FALSE())</f>
        <v>610</v>
      </c>
      <c r="G785" s="5" t="n">
        <f aca="false">VLOOKUP(B785,Заказы!$A$2:$E$2995,2,FALSE())</f>
        <v>44046</v>
      </c>
      <c r="H785" s="1" t="n">
        <f aca="false">VLOOKUP(B785,Заказы!$A$2:$E$2995,3,FALSE())</f>
        <v>230</v>
      </c>
      <c r="I785" s="1" t="str">
        <f aca="false">VLOOKUP(H785,Клиенты!$A$2:$E$1995,5,FALSE())</f>
        <v>г. Москва</v>
      </c>
      <c r="J785" s="1" t="n">
        <f aca="false">VLOOKUP(B785,Заказы!$A$2:$E$2995,4,FALSE())</f>
        <v>0</v>
      </c>
      <c r="K785" s="1" t="str">
        <f aca="false">VLOOKUP(B785,Заказы!$A$2:$E$2995,5,FALSE())</f>
        <v>Не выполнено</v>
      </c>
      <c r="L785" s="1" t="n">
        <f aca="false">D785*F785+J785</f>
        <v>4270</v>
      </c>
      <c r="M785" s="1" t="n">
        <f aca="false">IF(AND(E785="Пицца Труслейка",I785="г. Москва",K785="Выполнено",G785&gt;=DATE(2020,7,1),G785&lt;DATE(2020,8,1)),L785,0)</f>
        <v>0</v>
      </c>
    </row>
    <row r="786" customFormat="false" ht="15" hidden="false" customHeight="true" outlineLevel="0" collapsed="false">
      <c r="A786" s="1" t="n">
        <v>100129</v>
      </c>
      <c r="B786" s="1" t="n">
        <v>51650</v>
      </c>
      <c r="C786" s="1" t="n">
        <v>13</v>
      </c>
      <c r="D786" s="1" t="n">
        <v>5</v>
      </c>
      <c r="E786" s="1" t="str">
        <f aca="false">VLOOKUP(C786,Меню!$A$2:$C$24,2,FALSE())</f>
        <v>Пицца Сырная</v>
      </c>
      <c r="F786" s="1" t="n">
        <f aca="false">VLOOKUP(C786,Меню!$A$2:$C$24,3,FALSE())</f>
        <v>635</v>
      </c>
      <c r="G786" s="5" t="n">
        <f aca="false">VLOOKUP(B786,Заказы!$A$2:$E$2995,2,FALSE())</f>
        <v>44053</v>
      </c>
      <c r="H786" s="1" t="n">
        <f aca="false">VLOOKUP(B786,Заказы!$A$2:$E$2995,3,FALSE())</f>
        <v>1820</v>
      </c>
      <c r="I786" s="1" t="str">
        <f aca="false">VLOOKUP(H786,Клиенты!$A$2:$E$1995,5,FALSE())</f>
        <v>г. Москва</v>
      </c>
      <c r="J786" s="1" t="n">
        <f aca="false">VLOOKUP(B786,Заказы!$A$2:$E$2995,4,FALSE())</f>
        <v>236</v>
      </c>
      <c r="K786" s="1" t="str">
        <f aca="false">VLOOKUP(B786,Заказы!$A$2:$E$2995,5,FALSE())</f>
        <v>Выполнено</v>
      </c>
      <c r="L786" s="1" t="n">
        <f aca="false">D786*F786+J786</f>
        <v>3411</v>
      </c>
      <c r="M786" s="1" t="n">
        <f aca="false">IF(AND(E786="Пицца Труслейка",I786="г. Москва",K786="Выполнено",G786&gt;=DATE(2020,7,1),G786&lt;DATE(2020,8,1)),L786,0)</f>
        <v>0</v>
      </c>
    </row>
    <row r="787" customFormat="false" ht="15" hidden="false" customHeight="true" outlineLevel="0" collapsed="false">
      <c r="A787" s="1" t="n">
        <v>100502</v>
      </c>
      <c r="B787" s="1" t="n">
        <v>50227</v>
      </c>
      <c r="C787" s="1" t="n">
        <v>7</v>
      </c>
      <c r="D787" s="1" t="n">
        <v>10</v>
      </c>
      <c r="E787" s="1" t="str">
        <f aca="false">VLOOKUP(C787,Меню!$A$2:$C$24,2,FALSE())</f>
        <v>Пицца Карбонара</v>
      </c>
      <c r="F787" s="1" t="n">
        <f aca="false">VLOOKUP(C787,Меню!$A$2:$C$24,3,FALSE())</f>
        <v>625</v>
      </c>
      <c r="G787" s="5" t="n">
        <f aca="false">VLOOKUP(B787,Заказы!$A$2:$E$2995,2,FALSE())</f>
        <v>44028</v>
      </c>
      <c r="H787" s="1" t="n">
        <f aca="false">VLOOKUP(B787,Заказы!$A$2:$E$2995,3,FALSE())</f>
        <v>350</v>
      </c>
      <c r="I787" s="1" t="str">
        <f aca="false">VLOOKUP(H787,Клиенты!$A$2:$E$1995,5,FALSE())</f>
        <v>г. Москва</v>
      </c>
      <c r="J787" s="1" t="n">
        <f aca="false">VLOOKUP(B787,Заказы!$A$2:$E$2995,4,FALSE())</f>
        <v>219</v>
      </c>
      <c r="K787" s="1" t="str">
        <f aca="false">VLOOKUP(B787,Заказы!$A$2:$E$2995,5,FALSE())</f>
        <v>Выполнено</v>
      </c>
      <c r="L787" s="1" t="n">
        <f aca="false">D787*F787+J787</f>
        <v>6469</v>
      </c>
      <c r="M787" s="1" t="n">
        <f aca="false">IF(AND(E787="Пицца Труслейка",I787="г. Москва",K787="Выполнено",G787&gt;=DATE(2020,7,1),G787&lt;DATE(2020,8,1)),L787,0)</f>
        <v>0</v>
      </c>
    </row>
    <row r="788" customFormat="false" ht="15" hidden="false" customHeight="true" outlineLevel="0" collapsed="false">
      <c r="A788" s="1" t="n">
        <v>100251</v>
      </c>
      <c r="B788" s="1" t="n">
        <v>51089</v>
      </c>
      <c r="C788" s="1" t="n">
        <v>15</v>
      </c>
      <c r="D788" s="1" t="n">
        <v>8</v>
      </c>
      <c r="E788" s="1" t="str">
        <f aca="false">VLOOKUP(C788,Меню!$A$2:$C$24,2,FALSE())</f>
        <v>Пицца Тропиканка</v>
      </c>
      <c r="F788" s="1" t="n">
        <f aca="false">VLOOKUP(C788,Меню!$A$2:$C$24,3,FALSE())</f>
        <v>605</v>
      </c>
      <c r="G788" s="5" t="n">
        <f aca="false">VLOOKUP(B788,Заказы!$A$2:$E$2995,2,FALSE())</f>
        <v>43991</v>
      </c>
      <c r="H788" s="1" t="n">
        <f aca="false">VLOOKUP(B788,Заказы!$A$2:$E$2995,3,FALSE())</f>
        <v>523</v>
      </c>
      <c r="I788" s="1" t="str">
        <f aca="false">VLOOKUP(H788,Клиенты!$A$2:$E$1995,5,FALSE())</f>
        <v>г. Тюмень</v>
      </c>
      <c r="J788" s="1" t="n">
        <f aca="false">VLOOKUP(B788,Заказы!$A$2:$E$2995,4,FALSE())</f>
        <v>0</v>
      </c>
      <c r="K788" s="1" t="str">
        <f aca="false">VLOOKUP(B788,Заказы!$A$2:$E$2995,5,FALSE())</f>
        <v>Не выполнено</v>
      </c>
      <c r="L788" s="1" t="n">
        <f aca="false">D788*F788+J788</f>
        <v>4840</v>
      </c>
      <c r="M788" s="1" t="n">
        <f aca="false">IF(AND(E788="Пицца Труслейка",I788="г. Москва",K788="Выполнено",G788&gt;=DATE(2020,7,1),G788&lt;DATE(2020,8,1)),L788,0)</f>
        <v>0</v>
      </c>
    </row>
    <row r="789" customFormat="false" ht="15" hidden="false" customHeight="true" outlineLevel="0" collapsed="false">
      <c r="A789" s="1" t="n">
        <v>101703</v>
      </c>
      <c r="B789" s="1" t="n">
        <v>51921</v>
      </c>
      <c r="C789" s="1" t="n">
        <v>22</v>
      </c>
      <c r="D789" s="1" t="n">
        <v>4</v>
      </c>
      <c r="E789" s="1" t="str">
        <f aca="false">VLOOKUP(C789,Меню!$A$2:$C$24,2,FALSE())</f>
        <v>Пицца с поркеттой и фриарелли</v>
      </c>
      <c r="F789" s="1" t="n">
        <f aca="false">VLOOKUP(C789,Меню!$A$2:$C$24,3,FALSE())</f>
        <v>550</v>
      </c>
      <c r="G789" s="5" t="n">
        <f aca="false">VLOOKUP(B789,Заказы!$A$2:$E$2995,2,FALSE())</f>
        <v>44053</v>
      </c>
      <c r="H789" s="1" t="n">
        <f aca="false">VLOOKUP(B789,Заказы!$A$2:$E$2995,3,FALSE())</f>
        <v>555</v>
      </c>
      <c r="I789" s="1" t="str">
        <f aca="false">VLOOKUP(H789,Клиенты!$A$2:$E$1995,5,FALSE())</f>
        <v>г. Киров</v>
      </c>
      <c r="J789" s="1" t="n">
        <f aca="false">VLOOKUP(B789,Заказы!$A$2:$E$2995,4,FALSE())</f>
        <v>178</v>
      </c>
      <c r="K789" s="1" t="str">
        <f aca="false">VLOOKUP(B789,Заказы!$A$2:$E$2995,5,FALSE())</f>
        <v>Выполнено</v>
      </c>
      <c r="L789" s="1" t="n">
        <f aca="false">D789*F789+J789</f>
        <v>2378</v>
      </c>
      <c r="M789" s="1" t="n">
        <f aca="false">IF(AND(E789="Пицца Труслейка",I789="г. Москва",K789="Выполнено",G789&gt;=DATE(2020,7,1),G789&lt;DATE(2020,8,1)),L789,0)</f>
        <v>0</v>
      </c>
    </row>
    <row r="790" customFormat="false" ht="15" hidden="false" customHeight="true" outlineLevel="0" collapsed="false">
      <c r="A790" s="1" t="n">
        <v>100258</v>
      </c>
      <c r="B790" s="1" t="n">
        <v>51395</v>
      </c>
      <c r="C790" s="1" t="n">
        <v>4</v>
      </c>
      <c r="D790" s="1" t="n">
        <v>6</v>
      </c>
      <c r="E790" s="1" t="str">
        <f aca="false">VLOOKUP(C790,Меню!$A$2:$C$24,2,FALSE())</f>
        <v>Пицца Труслейка</v>
      </c>
      <c r="F790" s="1" t="n">
        <f aca="false">VLOOKUP(C790,Меню!$A$2:$C$24,3,FALSE())</f>
        <v>610</v>
      </c>
      <c r="G790" s="5" t="n">
        <f aca="false">VLOOKUP(B790,Заказы!$A$2:$E$2995,2,FALSE())</f>
        <v>44060</v>
      </c>
      <c r="H790" s="1" t="n">
        <f aca="false">VLOOKUP(B790,Заказы!$A$2:$E$2995,3,FALSE())</f>
        <v>459</v>
      </c>
      <c r="I790" s="1" t="str">
        <f aca="false">VLOOKUP(H790,Клиенты!$A$2:$E$1995,5,FALSE())</f>
        <v>г. Астрахань</v>
      </c>
      <c r="J790" s="1" t="n">
        <f aca="false">VLOOKUP(B790,Заказы!$A$2:$E$2995,4,FALSE())</f>
        <v>101</v>
      </c>
      <c r="K790" s="1" t="str">
        <f aca="false">VLOOKUP(B790,Заказы!$A$2:$E$2995,5,FALSE())</f>
        <v>Выполнено</v>
      </c>
      <c r="L790" s="1" t="n">
        <f aca="false">D790*F790+J790</f>
        <v>3761</v>
      </c>
      <c r="M790" s="1" t="n">
        <f aca="false">IF(AND(E790="Пицца Труслейка",I790="г. Москва",K790="Выполнено",G790&gt;=DATE(2020,7,1),G790&lt;DATE(2020,8,1)),L790,0)</f>
        <v>0</v>
      </c>
    </row>
    <row r="791" customFormat="false" ht="15" hidden="false" customHeight="true" outlineLevel="0" collapsed="false">
      <c r="A791" s="1" t="n">
        <v>101490</v>
      </c>
      <c r="B791" s="1" t="n">
        <v>51321</v>
      </c>
      <c r="C791" s="1" t="n">
        <v>4</v>
      </c>
      <c r="D791" s="1" t="n">
        <v>2</v>
      </c>
      <c r="E791" s="1" t="str">
        <f aca="false">VLOOKUP(C791,Меню!$A$2:$C$24,2,FALSE())</f>
        <v>Пицца Труслейка</v>
      </c>
      <c r="F791" s="1" t="n">
        <f aca="false">VLOOKUP(C791,Меню!$A$2:$C$24,3,FALSE())</f>
        <v>610</v>
      </c>
      <c r="G791" s="5" t="n">
        <f aca="false">VLOOKUP(B791,Заказы!$A$2:$E$2995,2,FALSE())</f>
        <v>43982</v>
      </c>
      <c r="H791" s="1" t="n">
        <f aca="false">VLOOKUP(B791,Заказы!$A$2:$E$2995,3,FALSE())</f>
        <v>776</v>
      </c>
      <c r="I791" s="1" t="str">
        <f aca="false">VLOOKUP(H791,Клиенты!$A$2:$E$1995,5,FALSE())</f>
        <v>г. Клин</v>
      </c>
      <c r="J791" s="1" t="n">
        <f aca="false">VLOOKUP(B791,Заказы!$A$2:$E$2995,4,FALSE())</f>
        <v>736</v>
      </c>
      <c r="K791" s="1" t="str">
        <f aca="false">VLOOKUP(B791,Заказы!$A$2:$E$2995,5,FALSE())</f>
        <v>Выполнено</v>
      </c>
      <c r="L791" s="1" t="n">
        <f aca="false">D791*F791+J791</f>
        <v>1956</v>
      </c>
      <c r="M791" s="1" t="n">
        <f aca="false">IF(AND(E791="Пицца Труслейка",I791="г. Москва",K791="Выполнено",G791&gt;=DATE(2020,7,1),G791&lt;DATE(2020,8,1)),L791,0)</f>
        <v>0</v>
      </c>
    </row>
    <row r="792" customFormat="false" ht="15" hidden="false" customHeight="true" outlineLevel="0" collapsed="false">
      <c r="A792" s="1" t="n">
        <v>100640</v>
      </c>
      <c r="B792" s="1" t="n">
        <v>50451</v>
      </c>
      <c r="C792" s="1" t="n">
        <v>21</v>
      </c>
      <c r="D792" s="1" t="n">
        <v>5</v>
      </c>
      <c r="E792" s="1" t="str">
        <f aca="false">VLOOKUP(C792,Меню!$A$2:$C$24,2,FALSE())</f>
        <v>Пицца с креветками и цукини</v>
      </c>
      <c r="F792" s="1" t="n">
        <f aca="false">VLOOKUP(C792,Меню!$A$2:$C$24,3,FALSE())</f>
        <v>600</v>
      </c>
      <c r="G792" s="5" t="n">
        <f aca="false">VLOOKUP(B792,Заказы!$A$2:$E$2995,2,FALSE())</f>
        <v>44045</v>
      </c>
      <c r="H792" s="1" t="n">
        <f aca="false">VLOOKUP(B792,Заказы!$A$2:$E$2995,3,FALSE())</f>
        <v>539</v>
      </c>
      <c r="I792" s="1" t="str">
        <f aca="false">VLOOKUP(H792,Клиенты!$A$2:$E$1995,5,FALSE())</f>
        <v>г. Куровское</v>
      </c>
      <c r="J792" s="1" t="n">
        <f aca="false">VLOOKUP(B792,Заказы!$A$2:$E$2995,4,FALSE())</f>
        <v>871</v>
      </c>
      <c r="K792" s="1" t="str">
        <f aca="false">VLOOKUP(B792,Заказы!$A$2:$E$2995,5,FALSE())</f>
        <v>Выполнено</v>
      </c>
      <c r="L792" s="1" t="n">
        <f aca="false">D792*F792+J792</f>
        <v>3871</v>
      </c>
      <c r="M792" s="1" t="n">
        <f aca="false">IF(AND(E792="Пицца Труслейка",I792="г. Москва",K792="Выполнено",G792&gt;=DATE(2020,7,1),G792&lt;DATE(2020,8,1)),L792,0)</f>
        <v>0</v>
      </c>
    </row>
    <row r="793" customFormat="false" ht="15" hidden="false" customHeight="true" outlineLevel="0" collapsed="false">
      <c r="A793" s="1" t="n">
        <v>100286</v>
      </c>
      <c r="B793" s="1" t="n">
        <v>50873</v>
      </c>
      <c r="C793" s="1" t="n">
        <v>7</v>
      </c>
      <c r="D793" s="1" t="n">
        <v>2</v>
      </c>
      <c r="E793" s="1" t="str">
        <f aca="false">VLOOKUP(C793,Меню!$A$2:$C$24,2,FALSE())</f>
        <v>Пицца Карбонара</v>
      </c>
      <c r="F793" s="1" t="n">
        <f aca="false">VLOOKUP(C793,Меню!$A$2:$C$24,3,FALSE())</f>
        <v>625</v>
      </c>
      <c r="G793" s="5" t="n">
        <f aca="false">VLOOKUP(B793,Заказы!$A$2:$E$2995,2,FALSE())</f>
        <v>44033</v>
      </c>
      <c r="H793" s="1" t="n">
        <f aca="false">VLOOKUP(B793,Заказы!$A$2:$E$2995,3,FALSE())</f>
        <v>884</v>
      </c>
      <c r="I793" s="1" t="str">
        <f aca="false">VLOOKUP(H793,Клиенты!$A$2:$E$1995,5,FALSE())</f>
        <v>г. Красноармейск</v>
      </c>
      <c r="J793" s="1" t="n">
        <f aca="false">VLOOKUP(B793,Заказы!$A$2:$E$2995,4,FALSE())</f>
        <v>0</v>
      </c>
      <c r="K793" s="1" t="str">
        <f aca="false">VLOOKUP(B793,Заказы!$A$2:$E$2995,5,FALSE())</f>
        <v>Не выполнено</v>
      </c>
      <c r="L793" s="1" t="n">
        <f aca="false">D793*F793+J793</f>
        <v>1250</v>
      </c>
      <c r="M793" s="1" t="n">
        <f aca="false">IF(AND(E793="Пицца Труслейка",I793="г. Москва",K793="Выполнено",G793&gt;=DATE(2020,7,1),G793&lt;DATE(2020,8,1)),L793,0)</f>
        <v>0</v>
      </c>
    </row>
    <row r="794" customFormat="false" ht="15" hidden="false" customHeight="true" outlineLevel="0" collapsed="false">
      <c r="A794" s="1" t="n">
        <v>100142</v>
      </c>
      <c r="B794" s="1" t="n">
        <v>51880</v>
      </c>
      <c r="C794" s="1" t="n">
        <v>13</v>
      </c>
      <c r="D794" s="1" t="n">
        <v>7</v>
      </c>
      <c r="E794" s="1" t="str">
        <f aca="false">VLOOKUP(C794,Меню!$A$2:$C$24,2,FALSE())</f>
        <v>Пицца Сырная</v>
      </c>
      <c r="F794" s="1" t="n">
        <f aca="false">VLOOKUP(C794,Меню!$A$2:$C$24,3,FALSE())</f>
        <v>635</v>
      </c>
      <c r="G794" s="5" t="n">
        <f aca="false">VLOOKUP(B794,Заказы!$A$2:$E$2995,2,FALSE())</f>
        <v>44034</v>
      </c>
      <c r="H794" s="1" t="n">
        <f aca="false">VLOOKUP(B794,Заказы!$A$2:$E$2995,3,FALSE())</f>
        <v>114</v>
      </c>
      <c r="I794" s="1" t="str">
        <f aca="false">VLOOKUP(H794,Клиенты!$A$2:$E$1995,5,FALSE())</f>
        <v>г. Бирюч</v>
      </c>
      <c r="J794" s="1" t="n">
        <f aca="false">VLOOKUP(B794,Заказы!$A$2:$E$2995,4,FALSE())</f>
        <v>750</v>
      </c>
      <c r="K794" s="1" t="str">
        <f aca="false">VLOOKUP(B794,Заказы!$A$2:$E$2995,5,FALSE())</f>
        <v>Выполнено</v>
      </c>
      <c r="L794" s="1" t="n">
        <f aca="false">D794*F794+J794</f>
        <v>5195</v>
      </c>
      <c r="M794" s="1" t="n">
        <f aca="false">IF(AND(E794="Пицца Труслейка",I794="г. Москва",K794="Выполнено",G794&gt;=DATE(2020,7,1),G794&lt;DATE(2020,8,1)),L794,0)</f>
        <v>0</v>
      </c>
    </row>
    <row r="795" customFormat="false" ht="15" hidden="false" customHeight="true" outlineLevel="0" collapsed="false">
      <c r="A795" s="1" t="n">
        <v>100459</v>
      </c>
      <c r="B795" s="1" t="n">
        <v>51871</v>
      </c>
      <c r="C795" s="1" t="n">
        <v>20</v>
      </c>
      <c r="D795" s="1" t="n">
        <v>1</v>
      </c>
      <c r="E795" s="1" t="str">
        <f aca="false">VLOOKUP(C795,Меню!$A$2:$C$24,2,FALSE())</f>
        <v>Пицца пиканте</v>
      </c>
      <c r="F795" s="1" t="n">
        <f aca="false">VLOOKUP(C795,Меню!$A$2:$C$24,3,FALSE())</f>
        <v>585</v>
      </c>
      <c r="G795" s="5" t="n">
        <f aca="false">VLOOKUP(B795,Заказы!$A$2:$E$2995,2,FALSE())</f>
        <v>43997</v>
      </c>
      <c r="H795" s="1" t="n">
        <f aca="false">VLOOKUP(B795,Заказы!$A$2:$E$2995,3,FALSE())</f>
        <v>213</v>
      </c>
      <c r="I795" s="1" t="str">
        <f aca="false">VLOOKUP(H795,Клиенты!$A$2:$E$1995,5,FALSE())</f>
        <v>г. Ряжск</v>
      </c>
      <c r="J795" s="1" t="n">
        <f aca="false">VLOOKUP(B795,Заказы!$A$2:$E$2995,4,FALSE())</f>
        <v>0</v>
      </c>
      <c r="K795" s="1" t="str">
        <f aca="false">VLOOKUP(B795,Заказы!$A$2:$E$2995,5,FALSE())</f>
        <v>Не выполнено</v>
      </c>
      <c r="L795" s="1" t="n">
        <f aca="false">D795*F795+J795</f>
        <v>585</v>
      </c>
      <c r="M795" s="1" t="n">
        <f aca="false">IF(AND(E795="Пицца Труслейка",I795="г. Москва",K795="Выполнено",G795&gt;=DATE(2020,7,1),G795&lt;DATE(2020,8,1)),L795,0)</f>
        <v>0</v>
      </c>
    </row>
    <row r="796" customFormat="false" ht="15" hidden="false" customHeight="true" outlineLevel="0" collapsed="false">
      <c r="A796" s="1" t="n">
        <v>101571</v>
      </c>
      <c r="B796" s="1" t="n">
        <v>50838</v>
      </c>
      <c r="C796" s="1" t="n">
        <v>23</v>
      </c>
      <c r="D796" s="1" t="n">
        <v>10</v>
      </c>
      <c r="E796" s="1" t="str">
        <f aca="false">VLOOKUP(C796,Меню!$A$2:$C$24,2,FALSE())</f>
        <v>Пицца с тунцом</v>
      </c>
      <c r="F796" s="1" t="n">
        <f aca="false">VLOOKUP(C796,Меню!$A$2:$C$24,3,FALSE())</f>
        <v>520</v>
      </c>
      <c r="G796" s="5" t="n">
        <f aca="false">VLOOKUP(B796,Заказы!$A$2:$E$2995,2,FALSE())</f>
        <v>44024</v>
      </c>
      <c r="H796" s="1" t="n">
        <f aca="false">VLOOKUP(B796,Заказы!$A$2:$E$2995,3,FALSE())</f>
        <v>343</v>
      </c>
      <c r="I796" s="1" t="str">
        <f aca="false">VLOOKUP(H796,Клиенты!$A$2:$E$1995,5,FALSE())</f>
        <v>г. Шадринск</v>
      </c>
      <c r="J796" s="1" t="n">
        <f aca="false">VLOOKUP(B796,Заказы!$A$2:$E$2995,4,FALSE())</f>
        <v>0</v>
      </c>
      <c r="K796" s="1" t="str">
        <f aca="false">VLOOKUP(B796,Заказы!$A$2:$E$2995,5,FALSE())</f>
        <v>Не выполнено</v>
      </c>
      <c r="L796" s="1" t="n">
        <f aca="false">D796*F796+J796</f>
        <v>5200</v>
      </c>
      <c r="M796" s="1" t="n">
        <f aca="false">IF(AND(E796="Пицца Труслейка",I796="г. Москва",K796="Выполнено",G796&gt;=DATE(2020,7,1),G796&lt;DATE(2020,8,1)),L796,0)</f>
        <v>0</v>
      </c>
    </row>
    <row r="797" customFormat="false" ht="15" hidden="false" customHeight="true" outlineLevel="0" collapsed="false">
      <c r="A797" s="1" t="n">
        <v>100546</v>
      </c>
      <c r="B797" s="1" t="n">
        <v>51566</v>
      </c>
      <c r="C797" s="1" t="n">
        <v>20</v>
      </c>
      <c r="D797" s="1" t="n">
        <v>4</v>
      </c>
      <c r="E797" s="1" t="str">
        <f aca="false">VLOOKUP(C797,Меню!$A$2:$C$24,2,FALSE())</f>
        <v>Пицца пиканте</v>
      </c>
      <c r="F797" s="1" t="n">
        <f aca="false">VLOOKUP(C797,Меню!$A$2:$C$24,3,FALSE())</f>
        <v>585</v>
      </c>
      <c r="G797" s="5" t="n">
        <f aca="false">VLOOKUP(B797,Заказы!$A$2:$E$2995,2,FALSE())</f>
        <v>44033</v>
      </c>
      <c r="H797" s="1" t="n">
        <f aca="false">VLOOKUP(B797,Заказы!$A$2:$E$2995,3,FALSE())</f>
        <v>666</v>
      </c>
      <c r="I797" s="1" t="str">
        <f aca="false">VLOOKUP(H797,Клиенты!$A$2:$E$1995,5,FALSE())</f>
        <v>г. Спасск</v>
      </c>
      <c r="J797" s="1" t="n">
        <f aca="false">VLOOKUP(B797,Заказы!$A$2:$E$2995,4,FALSE())</f>
        <v>0</v>
      </c>
      <c r="K797" s="1" t="str">
        <f aca="false">VLOOKUP(B797,Заказы!$A$2:$E$2995,5,FALSE())</f>
        <v>Не выполнено</v>
      </c>
      <c r="L797" s="1" t="n">
        <f aca="false">D797*F797+J797</f>
        <v>2340</v>
      </c>
      <c r="M797" s="1" t="n">
        <f aca="false">IF(AND(E797="Пицца Труслейка",I797="г. Москва",K797="Выполнено",G797&gt;=DATE(2020,7,1),G797&lt;DATE(2020,8,1)),L797,0)</f>
        <v>0</v>
      </c>
    </row>
    <row r="798" customFormat="false" ht="15" hidden="false" customHeight="true" outlineLevel="0" collapsed="false">
      <c r="A798" s="1" t="n">
        <v>101699</v>
      </c>
      <c r="B798" s="1" t="n">
        <v>51506</v>
      </c>
      <c r="C798" s="1" t="n">
        <v>12</v>
      </c>
      <c r="D798" s="1" t="n">
        <v>3</v>
      </c>
      <c r="E798" s="1" t="str">
        <f aca="false">VLOOKUP(C798,Меню!$A$2:$C$24,2,FALSE())</f>
        <v>Пицца Салями с трюфелем</v>
      </c>
      <c r="F798" s="1" t="n">
        <f aca="false">VLOOKUP(C798,Меню!$A$2:$C$24,3,FALSE())</f>
        <v>525</v>
      </c>
      <c r="G798" s="5" t="n">
        <f aca="false">VLOOKUP(B798,Заказы!$A$2:$E$2995,2,FALSE())</f>
        <v>44063</v>
      </c>
      <c r="H798" s="1" t="n">
        <f aca="false">VLOOKUP(B798,Заказы!$A$2:$E$2995,3,FALSE())</f>
        <v>97</v>
      </c>
      <c r="I798" s="1" t="str">
        <f aca="false">VLOOKUP(H798,Клиенты!$A$2:$E$1995,5,FALSE())</f>
        <v>г. Темников</v>
      </c>
      <c r="J798" s="1" t="n">
        <f aca="false">VLOOKUP(B798,Заказы!$A$2:$E$2995,4,FALSE())</f>
        <v>418</v>
      </c>
      <c r="K798" s="1" t="str">
        <f aca="false">VLOOKUP(B798,Заказы!$A$2:$E$2995,5,FALSE())</f>
        <v>Выполнено</v>
      </c>
      <c r="L798" s="1" t="n">
        <f aca="false">D798*F798+J798</f>
        <v>1993</v>
      </c>
      <c r="M798" s="1" t="n">
        <f aca="false">IF(AND(E798="Пицца Труслейка",I798="г. Москва",K798="Выполнено",G798&gt;=DATE(2020,7,1),G798&lt;DATE(2020,8,1)),L798,0)</f>
        <v>0</v>
      </c>
    </row>
    <row r="799" customFormat="false" ht="15" hidden="false" customHeight="true" outlineLevel="0" collapsed="false">
      <c r="A799" s="1" t="n">
        <v>100697</v>
      </c>
      <c r="B799" s="1" t="n">
        <v>51115</v>
      </c>
      <c r="C799" s="1" t="n">
        <v>17</v>
      </c>
      <c r="D799" s="1" t="n">
        <v>3</v>
      </c>
      <c r="E799" s="1" t="str">
        <f aca="false">VLOOKUP(C799,Меню!$A$2:$C$24,2,FALSE())</f>
        <v>Пицца Френч Фрайз</v>
      </c>
      <c r="F799" s="1" t="n">
        <f aca="false">VLOOKUP(C799,Меню!$A$2:$C$24,3,FALSE())</f>
        <v>515</v>
      </c>
      <c r="G799" s="5" t="n">
        <f aca="false">VLOOKUP(B799,Заказы!$A$2:$E$2995,2,FALSE())</f>
        <v>43999</v>
      </c>
      <c r="H799" s="1" t="n">
        <f aca="false">VLOOKUP(B799,Заказы!$A$2:$E$2995,3,FALSE())</f>
        <v>706</v>
      </c>
      <c r="I799" s="1" t="str">
        <f aca="false">VLOOKUP(H799,Клиенты!$A$2:$E$1995,5,FALSE())</f>
        <v>г. Якутск</v>
      </c>
      <c r="J799" s="1" t="n">
        <f aca="false">VLOOKUP(B799,Заказы!$A$2:$E$2995,4,FALSE())</f>
        <v>199</v>
      </c>
      <c r="K799" s="1" t="str">
        <f aca="false">VLOOKUP(B799,Заказы!$A$2:$E$2995,5,FALSE())</f>
        <v>Выполнено</v>
      </c>
      <c r="L799" s="1" t="n">
        <f aca="false">D799*F799+J799</f>
        <v>1744</v>
      </c>
      <c r="M799" s="1" t="n">
        <f aca="false">IF(AND(E799="Пицца Труслейка",I799="г. Москва",K799="Выполнено",G799&gt;=DATE(2020,7,1),G799&lt;DATE(2020,8,1)),L799,0)</f>
        <v>0</v>
      </c>
    </row>
    <row r="800" customFormat="false" ht="15" hidden="false" customHeight="true" outlineLevel="0" collapsed="false">
      <c r="A800" s="1" t="n">
        <v>100140</v>
      </c>
      <c r="B800" s="1" t="n">
        <v>51742</v>
      </c>
      <c r="C800" s="1" t="n">
        <v>14</v>
      </c>
      <c r="D800" s="1" t="n">
        <v>8</v>
      </c>
      <c r="E800" s="1" t="str">
        <f aca="false">VLOOKUP(C800,Меню!$A$2:$C$24,2,FALSE())</f>
        <v>Пицца Сырный цыпленок</v>
      </c>
      <c r="F800" s="1" t="n">
        <f aca="false">VLOOKUP(C800,Меню!$A$2:$C$24,3,FALSE())</f>
        <v>555</v>
      </c>
      <c r="G800" s="5" t="n">
        <f aca="false">VLOOKUP(B800,Заказы!$A$2:$E$2995,2,FALSE())</f>
        <v>44008</v>
      </c>
      <c r="H800" s="1" t="n">
        <f aca="false">VLOOKUP(B800,Заказы!$A$2:$E$2995,3,FALSE())</f>
        <v>89</v>
      </c>
      <c r="I800" s="1" t="str">
        <f aca="false">VLOOKUP(H800,Клиенты!$A$2:$E$1995,5,FALSE())</f>
        <v>г. Бердск</v>
      </c>
      <c r="J800" s="1" t="n">
        <f aca="false">VLOOKUP(B800,Заказы!$A$2:$E$2995,4,FALSE())</f>
        <v>677</v>
      </c>
      <c r="K800" s="1" t="str">
        <f aca="false">VLOOKUP(B800,Заказы!$A$2:$E$2995,5,FALSE())</f>
        <v>Выполнено</v>
      </c>
      <c r="L800" s="1" t="n">
        <f aca="false">D800*F800+J800</f>
        <v>5117</v>
      </c>
      <c r="M800" s="1" t="n">
        <f aca="false">IF(AND(E800="Пицца Труслейка",I800="г. Москва",K800="Выполнено",G800&gt;=DATE(2020,7,1),G800&lt;DATE(2020,8,1)),L800,0)</f>
        <v>0</v>
      </c>
    </row>
    <row r="801" customFormat="false" ht="15" hidden="false" customHeight="true" outlineLevel="0" collapsed="false">
      <c r="A801" s="1" t="n">
        <v>101436</v>
      </c>
      <c r="B801" s="1" t="n">
        <v>50870</v>
      </c>
      <c r="C801" s="1" t="n">
        <v>4</v>
      </c>
      <c r="D801" s="1" t="n">
        <v>9</v>
      </c>
      <c r="E801" s="1" t="str">
        <f aca="false">VLOOKUP(C801,Меню!$A$2:$C$24,2,FALSE())</f>
        <v>Пицца Труслейка</v>
      </c>
      <c r="F801" s="1" t="n">
        <f aca="false">VLOOKUP(C801,Меню!$A$2:$C$24,3,FALSE())</f>
        <v>610</v>
      </c>
      <c r="G801" s="5" t="n">
        <f aca="false">VLOOKUP(B801,Заказы!$A$2:$E$2995,2,FALSE())</f>
        <v>44007</v>
      </c>
      <c r="H801" s="1" t="n">
        <f aca="false">VLOOKUP(B801,Заказы!$A$2:$E$2995,3,FALSE())</f>
        <v>829</v>
      </c>
      <c r="I801" s="1" t="str">
        <f aca="false">VLOOKUP(H801,Клиенты!$A$2:$E$1995,5,FALSE())</f>
        <v>г. Советск</v>
      </c>
      <c r="J801" s="1" t="n">
        <f aca="false">VLOOKUP(B801,Заказы!$A$2:$E$2995,4,FALSE())</f>
        <v>0</v>
      </c>
      <c r="K801" s="1" t="str">
        <f aca="false">VLOOKUP(B801,Заказы!$A$2:$E$2995,5,FALSE())</f>
        <v>Не выполнено</v>
      </c>
      <c r="L801" s="1" t="n">
        <f aca="false">D801*F801+J801</f>
        <v>5490</v>
      </c>
      <c r="M801" s="1" t="n">
        <f aca="false">IF(AND(E801="Пицца Труслейка",I801="г. Москва",K801="Выполнено",G801&gt;=DATE(2020,7,1),G801&lt;DATE(2020,8,1)),L801,0)</f>
        <v>0</v>
      </c>
    </row>
    <row r="802" customFormat="false" ht="15" hidden="false" customHeight="true" outlineLevel="0" collapsed="false">
      <c r="A802" s="1" t="n">
        <v>100952</v>
      </c>
      <c r="B802" s="1" t="n">
        <v>51500</v>
      </c>
      <c r="C802" s="1" t="n">
        <v>18</v>
      </c>
      <c r="D802" s="1" t="n">
        <v>4</v>
      </c>
      <c r="E802" s="1" t="str">
        <f aca="false">VLOOKUP(C802,Меню!$A$2:$C$24,2,FALSE())</f>
        <v>Пицца Царская</v>
      </c>
      <c r="F802" s="1" t="n">
        <f aca="false">VLOOKUP(C802,Меню!$A$2:$C$24,3,FALSE())</f>
        <v>620</v>
      </c>
      <c r="G802" s="5" t="n">
        <f aca="false">VLOOKUP(B802,Заказы!$A$2:$E$2995,2,FALSE())</f>
        <v>44015</v>
      </c>
      <c r="H802" s="1" t="n">
        <f aca="false">VLOOKUP(B802,Заказы!$A$2:$E$2995,3,FALSE())</f>
        <v>969</v>
      </c>
      <c r="I802" s="1" t="str">
        <f aca="false">VLOOKUP(H802,Клиенты!$A$2:$E$1995,5,FALSE())</f>
        <v>г. Междуреченск</v>
      </c>
      <c r="J802" s="1" t="n">
        <f aca="false">VLOOKUP(B802,Заказы!$A$2:$E$2995,4,FALSE())</f>
        <v>733</v>
      </c>
      <c r="K802" s="1" t="str">
        <f aca="false">VLOOKUP(B802,Заказы!$A$2:$E$2995,5,FALSE())</f>
        <v>Выполнено</v>
      </c>
      <c r="L802" s="1" t="n">
        <f aca="false">D802*F802+J802</f>
        <v>3213</v>
      </c>
      <c r="M802" s="1" t="n">
        <f aca="false">IF(AND(E802="Пицца Труслейка",I802="г. Москва",K802="Выполнено",G802&gt;=DATE(2020,7,1),G802&lt;DATE(2020,8,1)),L802,0)</f>
        <v>0</v>
      </c>
    </row>
    <row r="803" customFormat="false" ht="15" hidden="false" customHeight="true" outlineLevel="0" collapsed="false">
      <c r="A803" s="1" t="n">
        <v>100635</v>
      </c>
      <c r="B803" s="1" t="n">
        <v>51178</v>
      </c>
      <c r="C803" s="1" t="n">
        <v>5</v>
      </c>
      <c r="D803" s="1" t="n">
        <v>7</v>
      </c>
      <c r="E803" s="1" t="str">
        <f aca="false">VLOOKUP(C803,Меню!$A$2:$C$24,2,FALSE())</f>
        <v>Пицца Жюльен</v>
      </c>
      <c r="F803" s="1" t="n">
        <f aca="false">VLOOKUP(C803,Меню!$A$2:$C$24,3,FALSE())</f>
        <v>580</v>
      </c>
      <c r="G803" s="5" t="n">
        <f aca="false">VLOOKUP(B803,Заказы!$A$2:$E$2995,2,FALSE())</f>
        <v>44052</v>
      </c>
      <c r="H803" s="1" t="n">
        <f aca="false">VLOOKUP(B803,Заказы!$A$2:$E$2995,3,FALSE())</f>
        <v>810</v>
      </c>
      <c r="I803" s="1" t="str">
        <f aca="false">VLOOKUP(H803,Клиенты!$A$2:$E$1995,5,FALSE())</f>
        <v>г. Москва</v>
      </c>
      <c r="J803" s="1" t="n">
        <f aca="false">VLOOKUP(B803,Заказы!$A$2:$E$2995,4,FALSE())</f>
        <v>0</v>
      </c>
      <c r="K803" s="1" t="str">
        <f aca="false">VLOOKUP(B803,Заказы!$A$2:$E$2995,5,FALSE())</f>
        <v>Не выполнено</v>
      </c>
      <c r="L803" s="1" t="n">
        <f aca="false">D803*F803+J803</f>
        <v>4060</v>
      </c>
      <c r="M803" s="1" t="n">
        <f aca="false">IF(AND(E803="Пицца Труслейка",I803="г. Москва",K803="Выполнено",G803&gt;=DATE(2020,7,1),G803&lt;DATE(2020,8,1)),L803,0)</f>
        <v>0</v>
      </c>
    </row>
    <row r="804" customFormat="false" ht="15" hidden="false" customHeight="true" outlineLevel="0" collapsed="false">
      <c r="A804" s="1" t="n">
        <v>101552</v>
      </c>
      <c r="B804" s="1" t="n">
        <v>50964</v>
      </c>
      <c r="C804" s="1" t="n">
        <v>5</v>
      </c>
      <c r="D804" s="1" t="n">
        <v>7</v>
      </c>
      <c r="E804" s="1" t="str">
        <f aca="false">VLOOKUP(C804,Меню!$A$2:$C$24,2,FALSE())</f>
        <v>Пицца Жюльен</v>
      </c>
      <c r="F804" s="1" t="n">
        <f aca="false">VLOOKUP(C804,Меню!$A$2:$C$24,3,FALSE())</f>
        <v>580</v>
      </c>
      <c r="G804" s="5" t="n">
        <f aca="false">VLOOKUP(B804,Заказы!$A$2:$E$2995,2,FALSE())</f>
        <v>44061</v>
      </c>
      <c r="H804" s="1" t="n">
        <f aca="false">VLOOKUP(B804,Заказы!$A$2:$E$2995,3,FALSE())</f>
        <v>1138</v>
      </c>
      <c r="I804" s="1" t="str">
        <f aca="false">VLOOKUP(H804,Клиенты!$A$2:$E$1995,5,FALSE())</f>
        <v>г. Краснодар</v>
      </c>
      <c r="J804" s="1" t="n">
        <f aca="false">VLOOKUP(B804,Заказы!$A$2:$E$2995,4,FALSE())</f>
        <v>0</v>
      </c>
      <c r="K804" s="1" t="str">
        <f aca="false">VLOOKUP(B804,Заказы!$A$2:$E$2995,5,FALSE())</f>
        <v>Не выполнено</v>
      </c>
      <c r="L804" s="1" t="n">
        <f aca="false">D804*F804+J804</f>
        <v>4060</v>
      </c>
      <c r="M804" s="1" t="n">
        <f aca="false">IF(AND(E804="Пицца Труслейка",I804="г. Москва",K804="Выполнено",G804&gt;=DATE(2020,7,1),G804&lt;DATE(2020,8,1)),L804,0)</f>
        <v>0</v>
      </c>
    </row>
    <row r="805" customFormat="false" ht="15" hidden="false" customHeight="true" outlineLevel="0" collapsed="false">
      <c r="A805" s="1" t="n">
        <v>101593</v>
      </c>
      <c r="B805" s="1" t="n">
        <v>50362</v>
      </c>
      <c r="C805" s="1" t="n">
        <v>6</v>
      </c>
      <c r="D805" s="1" t="n">
        <v>8</v>
      </c>
      <c r="E805" s="1" t="str">
        <f aca="false">VLOOKUP(C805,Меню!$A$2:$C$24,2,FALSE())</f>
        <v>Пицца Капричиоза</v>
      </c>
      <c r="F805" s="1" t="n">
        <f aca="false">VLOOKUP(C805,Меню!$A$2:$C$24,3,FALSE())</f>
        <v>570</v>
      </c>
      <c r="G805" s="5" t="n">
        <f aca="false">VLOOKUP(B805,Заказы!$A$2:$E$2995,2,FALSE())</f>
        <v>43992</v>
      </c>
      <c r="H805" s="1" t="n">
        <f aca="false">VLOOKUP(B805,Заказы!$A$2:$E$2995,3,FALSE())</f>
        <v>326</v>
      </c>
      <c r="I805" s="1" t="str">
        <f aca="false">VLOOKUP(H805,Клиенты!$A$2:$E$1995,5,FALSE())</f>
        <v>г. Арамиль</v>
      </c>
      <c r="J805" s="1" t="n">
        <f aca="false">VLOOKUP(B805,Заказы!$A$2:$E$2995,4,FALSE())</f>
        <v>0</v>
      </c>
      <c r="K805" s="1" t="str">
        <f aca="false">VLOOKUP(B805,Заказы!$A$2:$E$2995,5,FALSE())</f>
        <v>Не выполнено</v>
      </c>
      <c r="L805" s="1" t="n">
        <f aca="false">D805*F805+J805</f>
        <v>4560</v>
      </c>
      <c r="M805" s="1" t="n">
        <f aca="false">IF(AND(E805="Пицца Труслейка",I805="г. Москва",K805="Выполнено",G805&gt;=DATE(2020,7,1),G805&lt;DATE(2020,8,1)),L805,0)</f>
        <v>0</v>
      </c>
    </row>
    <row r="806" customFormat="false" ht="15" hidden="false" customHeight="true" outlineLevel="0" collapsed="false">
      <c r="A806" s="1" t="n">
        <v>100632</v>
      </c>
      <c r="B806" s="1" t="n">
        <v>51375</v>
      </c>
      <c r="C806" s="1" t="n">
        <v>23</v>
      </c>
      <c r="D806" s="1" t="n">
        <v>7</v>
      </c>
      <c r="E806" s="1" t="str">
        <f aca="false">VLOOKUP(C806,Меню!$A$2:$C$24,2,FALSE())</f>
        <v>Пицца с тунцом</v>
      </c>
      <c r="F806" s="1" t="n">
        <f aca="false">VLOOKUP(C806,Меню!$A$2:$C$24,3,FALSE())</f>
        <v>520</v>
      </c>
      <c r="G806" s="5" t="n">
        <f aca="false">VLOOKUP(B806,Заказы!$A$2:$E$2995,2,FALSE())</f>
        <v>44071</v>
      </c>
      <c r="H806" s="1" t="n">
        <f aca="false">VLOOKUP(B806,Заказы!$A$2:$E$2995,3,FALSE())</f>
        <v>1720</v>
      </c>
      <c r="I806" s="1" t="str">
        <f aca="false">VLOOKUP(H806,Клиенты!$A$2:$E$1995,5,FALSE())</f>
        <v>г. Москва</v>
      </c>
      <c r="J806" s="1" t="n">
        <f aca="false">VLOOKUP(B806,Заказы!$A$2:$E$2995,4,FALSE())</f>
        <v>0</v>
      </c>
      <c r="K806" s="1" t="str">
        <f aca="false">VLOOKUP(B806,Заказы!$A$2:$E$2995,5,FALSE())</f>
        <v>Не выполнено</v>
      </c>
      <c r="L806" s="1" t="n">
        <f aca="false">D806*F806+J806</f>
        <v>3640</v>
      </c>
      <c r="M806" s="1" t="n">
        <f aca="false">IF(AND(E806="Пицца Труслейка",I806="г. Москва",K806="Выполнено",G806&gt;=DATE(2020,7,1),G806&lt;DATE(2020,8,1)),L806,0)</f>
        <v>0</v>
      </c>
    </row>
    <row r="807" customFormat="false" ht="15" hidden="false" customHeight="true" outlineLevel="0" collapsed="false">
      <c r="A807" s="1" t="n">
        <v>101016</v>
      </c>
      <c r="B807" s="1" t="n">
        <v>51588</v>
      </c>
      <c r="C807" s="1" t="n">
        <v>7</v>
      </c>
      <c r="D807" s="1" t="n">
        <v>4</v>
      </c>
      <c r="E807" s="1" t="str">
        <f aca="false">VLOOKUP(C807,Меню!$A$2:$C$24,2,FALSE())</f>
        <v>Пицца Карбонара</v>
      </c>
      <c r="F807" s="1" t="n">
        <f aca="false">VLOOKUP(C807,Меню!$A$2:$C$24,3,FALSE())</f>
        <v>625</v>
      </c>
      <c r="G807" s="5" t="n">
        <f aca="false">VLOOKUP(B807,Заказы!$A$2:$E$2995,2,FALSE())</f>
        <v>44044</v>
      </c>
      <c r="H807" s="1" t="n">
        <f aca="false">VLOOKUP(B807,Заказы!$A$2:$E$2995,3,FALSE())</f>
        <v>798</v>
      </c>
      <c r="I807" s="1" t="str">
        <f aca="false">VLOOKUP(H807,Клиенты!$A$2:$E$1995,5,FALSE())</f>
        <v>г. Махачкала</v>
      </c>
      <c r="J807" s="1" t="n">
        <f aca="false">VLOOKUP(B807,Заказы!$A$2:$E$2995,4,FALSE())</f>
        <v>427</v>
      </c>
      <c r="K807" s="1" t="str">
        <f aca="false">VLOOKUP(B807,Заказы!$A$2:$E$2995,5,FALSE())</f>
        <v>Выполнено</v>
      </c>
      <c r="L807" s="1" t="n">
        <f aca="false">D807*F807+J807</f>
        <v>2927</v>
      </c>
      <c r="M807" s="1" t="n">
        <f aca="false">IF(AND(E807="Пицца Труслейка",I807="г. Москва",K807="Выполнено",G807&gt;=DATE(2020,7,1),G807&lt;DATE(2020,8,1)),L807,0)</f>
        <v>0</v>
      </c>
    </row>
    <row r="808" customFormat="false" ht="15" hidden="false" customHeight="true" outlineLevel="0" collapsed="false">
      <c r="A808" s="1" t="n">
        <v>101379</v>
      </c>
      <c r="B808" s="1" t="n">
        <v>50803</v>
      </c>
      <c r="C808" s="1" t="n">
        <v>9</v>
      </c>
      <c r="D808" s="1" t="n">
        <v>3</v>
      </c>
      <c r="E808" s="1" t="str">
        <f aca="false">VLOOKUP(C808,Меню!$A$2:$C$24,2,FALSE())</f>
        <v>Пицца Острая с беконом</v>
      </c>
      <c r="F808" s="1" t="n">
        <f aca="false">VLOOKUP(C808,Меню!$A$2:$C$24,3,FALSE())</f>
        <v>540</v>
      </c>
      <c r="G808" s="5" t="n">
        <f aca="false">VLOOKUP(B808,Заказы!$A$2:$E$2995,2,FALSE())</f>
        <v>44047</v>
      </c>
      <c r="H808" s="1" t="n">
        <f aca="false">VLOOKUP(B808,Заказы!$A$2:$E$2995,3,FALSE())</f>
        <v>1009</v>
      </c>
      <c r="I808" s="1" t="str">
        <f aca="false">VLOOKUP(H808,Клиенты!$A$2:$E$1995,5,FALSE())</f>
        <v>г. Облучье</v>
      </c>
      <c r="J808" s="1" t="n">
        <f aca="false">VLOOKUP(B808,Заказы!$A$2:$E$2995,4,FALSE())</f>
        <v>324</v>
      </c>
      <c r="K808" s="1" t="str">
        <f aca="false">VLOOKUP(B808,Заказы!$A$2:$E$2995,5,FALSE())</f>
        <v>Выполнено</v>
      </c>
      <c r="L808" s="1" t="n">
        <f aca="false">D808*F808+J808</f>
        <v>1944</v>
      </c>
      <c r="M808" s="1" t="n">
        <f aca="false">IF(AND(E808="Пицца Труслейка",I808="г. Москва",K808="Выполнено",G808&gt;=DATE(2020,7,1),G808&lt;DATE(2020,8,1)),L808,0)</f>
        <v>0</v>
      </c>
    </row>
    <row r="809" customFormat="false" ht="15" hidden="false" customHeight="true" outlineLevel="0" collapsed="false">
      <c r="A809" s="1" t="n">
        <v>100588</v>
      </c>
      <c r="B809" s="1" t="n">
        <v>50140</v>
      </c>
      <c r="C809" s="1" t="n">
        <v>10</v>
      </c>
      <c r="D809" s="1" t="n">
        <v>7</v>
      </c>
      <c r="E809" s="1" t="str">
        <f aca="false">VLOOKUP(C809,Меню!$A$2:$C$24,2,FALSE())</f>
        <v>Пицца Пепперони фреш</v>
      </c>
      <c r="F809" s="1" t="n">
        <f aca="false">VLOOKUP(C809,Меню!$A$2:$C$24,3,FALSE())</f>
        <v>565</v>
      </c>
      <c r="G809" s="5" t="n">
        <f aca="false">VLOOKUP(B809,Заказы!$A$2:$E$2995,2,FALSE())</f>
        <v>44000</v>
      </c>
      <c r="H809" s="1" t="n">
        <f aca="false">VLOOKUP(B809,Заказы!$A$2:$E$2995,3,FALSE())</f>
        <v>1990</v>
      </c>
      <c r="I809" s="1" t="str">
        <f aca="false">VLOOKUP(H809,Клиенты!$A$2:$E$1995,5,FALSE())</f>
        <v>г. Москва</v>
      </c>
      <c r="J809" s="1" t="n">
        <f aca="false">VLOOKUP(B809,Заказы!$A$2:$E$2995,4,FALSE())</f>
        <v>210</v>
      </c>
      <c r="K809" s="1" t="str">
        <f aca="false">VLOOKUP(B809,Заказы!$A$2:$E$2995,5,FALSE())</f>
        <v>Выполнено</v>
      </c>
      <c r="L809" s="1" t="n">
        <f aca="false">D809*F809+J809</f>
        <v>4165</v>
      </c>
      <c r="M809" s="1" t="n">
        <f aca="false">IF(AND(E809="Пицца Труслейка",I809="г. Москва",K809="Выполнено",G809&gt;=DATE(2020,7,1),G809&lt;DATE(2020,8,1)),L809,0)</f>
        <v>0</v>
      </c>
    </row>
    <row r="810" customFormat="false" ht="15" hidden="false" customHeight="true" outlineLevel="0" collapsed="false">
      <c r="A810" s="1" t="n">
        <v>101037</v>
      </c>
      <c r="B810" s="1" t="n">
        <v>51335</v>
      </c>
      <c r="C810" s="1" t="n">
        <v>7</v>
      </c>
      <c r="D810" s="1" t="n">
        <v>9</v>
      </c>
      <c r="E810" s="1" t="str">
        <f aca="false">VLOOKUP(C810,Меню!$A$2:$C$24,2,FALSE())</f>
        <v>Пицца Карбонара</v>
      </c>
      <c r="F810" s="1" t="n">
        <f aca="false">VLOOKUP(C810,Меню!$A$2:$C$24,3,FALSE())</f>
        <v>625</v>
      </c>
      <c r="G810" s="5" t="n">
        <f aca="false">VLOOKUP(B810,Заказы!$A$2:$E$2995,2,FALSE())</f>
        <v>43991</v>
      </c>
      <c r="H810" s="1" t="n">
        <f aca="false">VLOOKUP(B810,Заказы!$A$2:$E$2995,3,FALSE())</f>
        <v>937</v>
      </c>
      <c r="I810" s="1" t="str">
        <f aca="false">VLOOKUP(H810,Клиенты!$A$2:$E$1995,5,FALSE())</f>
        <v>г. Зеленоградск</v>
      </c>
      <c r="J810" s="1" t="n">
        <f aca="false">VLOOKUP(B810,Заказы!$A$2:$E$2995,4,FALSE())</f>
        <v>0</v>
      </c>
      <c r="K810" s="1" t="str">
        <f aca="false">VLOOKUP(B810,Заказы!$A$2:$E$2995,5,FALSE())</f>
        <v>Не выполнено</v>
      </c>
      <c r="L810" s="1" t="n">
        <f aca="false">D810*F810+J810</f>
        <v>5625</v>
      </c>
      <c r="M810" s="1" t="n">
        <f aca="false">IF(AND(E810="Пицца Труслейка",I810="г. Москва",K810="Выполнено",G810&gt;=DATE(2020,7,1),G810&lt;DATE(2020,8,1)),L810,0)</f>
        <v>0</v>
      </c>
    </row>
    <row r="811" customFormat="false" ht="15" hidden="false" customHeight="true" outlineLevel="0" collapsed="false">
      <c r="A811" s="1" t="n">
        <v>100624</v>
      </c>
      <c r="B811" s="1" t="n">
        <v>51873</v>
      </c>
      <c r="C811" s="1" t="n">
        <v>4</v>
      </c>
      <c r="D811" s="1" t="n">
        <v>10</v>
      </c>
      <c r="E811" s="1" t="str">
        <f aca="false">VLOOKUP(C811,Меню!$A$2:$C$24,2,FALSE())</f>
        <v>Пицца Труслейка</v>
      </c>
      <c r="F811" s="1" t="n">
        <f aca="false">VLOOKUP(C811,Меню!$A$2:$C$24,3,FALSE())</f>
        <v>610</v>
      </c>
      <c r="G811" s="5" t="n">
        <f aca="false">VLOOKUP(B811,Заказы!$A$2:$E$2995,2,FALSE())</f>
        <v>44060</v>
      </c>
      <c r="H811" s="1" t="n">
        <f aca="false">VLOOKUP(B811,Заказы!$A$2:$E$2995,3,FALSE())</f>
        <v>491</v>
      </c>
      <c r="I811" s="1" t="str">
        <f aca="false">VLOOKUP(H811,Клиенты!$A$2:$E$1995,5,FALSE())</f>
        <v>г. Североморск</v>
      </c>
      <c r="J811" s="1" t="n">
        <f aca="false">VLOOKUP(B811,Заказы!$A$2:$E$2995,4,FALSE())</f>
        <v>0</v>
      </c>
      <c r="K811" s="1" t="str">
        <f aca="false">VLOOKUP(B811,Заказы!$A$2:$E$2995,5,FALSE())</f>
        <v>Не выполнено</v>
      </c>
      <c r="L811" s="1" t="n">
        <f aca="false">D811*F811+J811</f>
        <v>6100</v>
      </c>
      <c r="M811" s="1" t="n">
        <f aca="false">IF(AND(E811="Пицца Труслейка",I811="г. Москва",K811="Выполнено",G811&gt;=DATE(2020,7,1),G811&lt;DATE(2020,8,1)),L811,0)</f>
        <v>0</v>
      </c>
    </row>
    <row r="812" customFormat="false" ht="15" hidden="false" customHeight="true" outlineLevel="0" collapsed="false">
      <c r="A812" s="1" t="n">
        <v>101019</v>
      </c>
      <c r="B812" s="1" t="n">
        <v>50749</v>
      </c>
      <c r="C812" s="1" t="n">
        <v>6</v>
      </c>
      <c r="D812" s="1" t="n">
        <v>10</v>
      </c>
      <c r="E812" s="1" t="str">
        <f aca="false">VLOOKUP(C812,Меню!$A$2:$C$24,2,FALSE())</f>
        <v>Пицца Капричиоза</v>
      </c>
      <c r="F812" s="1" t="n">
        <f aca="false">VLOOKUP(C812,Меню!$A$2:$C$24,3,FALSE())</f>
        <v>570</v>
      </c>
      <c r="G812" s="5" t="n">
        <f aca="false">VLOOKUP(B812,Заказы!$A$2:$E$2995,2,FALSE())</f>
        <v>44030</v>
      </c>
      <c r="H812" s="1" t="n">
        <f aca="false">VLOOKUP(B812,Заказы!$A$2:$E$2995,3,FALSE())</f>
        <v>796</v>
      </c>
      <c r="I812" s="1" t="str">
        <f aca="false">VLOOKUP(H812,Клиенты!$A$2:$E$1995,5,FALSE())</f>
        <v>г. Ядрин</v>
      </c>
      <c r="J812" s="1" t="n">
        <f aca="false">VLOOKUP(B812,Заказы!$A$2:$E$2995,4,FALSE())</f>
        <v>454</v>
      </c>
      <c r="K812" s="1" t="str">
        <f aca="false">VLOOKUP(B812,Заказы!$A$2:$E$2995,5,FALSE())</f>
        <v>Выполнено</v>
      </c>
      <c r="L812" s="1" t="n">
        <f aca="false">D812*F812+J812</f>
        <v>6154</v>
      </c>
      <c r="M812" s="1" t="n">
        <f aca="false">IF(AND(E812="Пицца Труслейка",I812="г. Москва",K812="Выполнено",G812&gt;=DATE(2020,7,1),G812&lt;DATE(2020,8,1)),L812,0)</f>
        <v>0</v>
      </c>
    </row>
    <row r="813" customFormat="false" ht="15" hidden="false" customHeight="true" outlineLevel="0" collapsed="false">
      <c r="A813" s="1" t="n">
        <v>100215</v>
      </c>
      <c r="B813" s="1" t="n">
        <v>50156</v>
      </c>
      <c r="C813" s="1" t="n">
        <v>23</v>
      </c>
      <c r="D813" s="1" t="n">
        <v>1</v>
      </c>
      <c r="E813" s="1" t="str">
        <f aca="false">VLOOKUP(C813,Меню!$A$2:$C$24,2,FALSE())</f>
        <v>Пицца с тунцом</v>
      </c>
      <c r="F813" s="1" t="n">
        <f aca="false">VLOOKUP(C813,Меню!$A$2:$C$24,3,FALSE())</f>
        <v>520</v>
      </c>
      <c r="G813" s="5" t="n">
        <f aca="false">VLOOKUP(B813,Заказы!$A$2:$E$2995,2,FALSE())</f>
        <v>44065</v>
      </c>
      <c r="H813" s="1" t="n">
        <f aca="false">VLOOKUP(B813,Заказы!$A$2:$E$2995,3,FALSE())</f>
        <v>1028</v>
      </c>
      <c r="I813" s="1" t="str">
        <f aca="false">VLOOKUP(H813,Клиенты!$A$2:$E$1995,5,FALSE())</f>
        <v>г. Мурманск</v>
      </c>
      <c r="J813" s="1" t="n">
        <f aca="false">VLOOKUP(B813,Заказы!$A$2:$E$2995,4,FALSE())</f>
        <v>211</v>
      </c>
      <c r="K813" s="1" t="str">
        <f aca="false">VLOOKUP(B813,Заказы!$A$2:$E$2995,5,FALSE())</f>
        <v>Выполнено</v>
      </c>
      <c r="L813" s="1" t="n">
        <f aca="false">D813*F813+J813</f>
        <v>731</v>
      </c>
      <c r="M813" s="1" t="n">
        <f aca="false">IF(AND(E813="Пицца Труслейка",I813="г. Москва",K813="Выполнено",G813&gt;=DATE(2020,7,1),G813&lt;DATE(2020,8,1)),L813,0)</f>
        <v>0</v>
      </c>
    </row>
    <row r="814" customFormat="false" ht="15" hidden="false" customHeight="true" outlineLevel="0" collapsed="false">
      <c r="A814" s="1" t="n">
        <v>101395</v>
      </c>
      <c r="B814" s="1" t="n">
        <v>50131</v>
      </c>
      <c r="C814" s="1" t="n">
        <v>2</v>
      </c>
      <c r="D814" s="1" t="n">
        <v>8</v>
      </c>
      <c r="E814" s="1" t="str">
        <f aca="false">VLOOKUP(C814,Меню!$A$2:$C$24,2,FALSE())</f>
        <v>Пицца Двойная пепперони</v>
      </c>
      <c r="F814" s="1" t="n">
        <f aca="false">VLOOKUP(C814,Меню!$A$2:$C$24,3,FALSE())</f>
        <v>575</v>
      </c>
      <c r="G814" s="5" t="n">
        <f aca="false">VLOOKUP(B814,Заказы!$A$2:$E$2995,2,FALSE())</f>
        <v>44022</v>
      </c>
      <c r="H814" s="1" t="n">
        <f aca="false">VLOOKUP(B814,Заказы!$A$2:$E$2995,3,FALSE())</f>
        <v>1296</v>
      </c>
      <c r="I814" s="1" t="str">
        <f aca="false">VLOOKUP(H814,Клиенты!$A$2:$E$1995,5,FALSE())</f>
        <v>г. Михайловка</v>
      </c>
      <c r="J814" s="1" t="n">
        <f aca="false">VLOOKUP(B814,Заказы!$A$2:$E$2995,4,FALSE())</f>
        <v>164</v>
      </c>
      <c r="K814" s="1" t="str">
        <f aca="false">VLOOKUP(B814,Заказы!$A$2:$E$2995,5,FALSE())</f>
        <v>Выполнено</v>
      </c>
      <c r="L814" s="1" t="n">
        <f aca="false">D814*F814+J814</f>
        <v>4764</v>
      </c>
      <c r="M814" s="1" t="n">
        <f aca="false">IF(AND(E814="Пицца Труслейка",I814="г. Москва",K814="Выполнено",G814&gt;=DATE(2020,7,1),G814&lt;DATE(2020,8,1)),L814,0)</f>
        <v>0</v>
      </c>
    </row>
    <row r="815" customFormat="false" ht="15" hidden="false" customHeight="true" outlineLevel="0" collapsed="false">
      <c r="A815" s="1" t="n">
        <v>100119</v>
      </c>
      <c r="B815" s="1" t="n">
        <v>50367</v>
      </c>
      <c r="C815" s="1" t="n">
        <v>11</v>
      </c>
      <c r="D815" s="1" t="n">
        <v>2</v>
      </c>
      <c r="E815" s="1" t="str">
        <f aca="false">VLOOKUP(C815,Меню!$A$2:$C$24,2,FALSE())</f>
        <v>Пицца Песто</v>
      </c>
      <c r="F815" s="1" t="n">
        <f aca="false">VLOOKUP(C815,Меню!$A$2:$C$24,3,FALSE())</f>
        <v>530</v>
      </c>
      <c r="G815" s="5" t="n">
        <f aca="false">VLOOKUP(B815,Заказы!$A$2:$E$2995,2,FALSE())</f>
        <v>44015</v>
      </c>
      <c r="H815" s="1" t="n">
        <f aca="false">VLOOKUP(B815,Заказы!$A$2:$E$2995,3,FALSE())</f>
        <v>1611</v>
      </c>
      <c r="I815" s="1" t="str">
        <f aca="false">VLOOKUP(H815,Клиенты!$A$2:$E$1995,5,FALSE())</f>
        <v>г. Михайлов</v>
      </c>
      <c r="J815" s="1" t="n">
        <f aca="false">VLOOKUP(B815,Заказы!$A$2:$E$2995,4,FALSE())</f>
        <v>244</v>
      </c>
      <c r="K815" s="1" t="str">
        <f aca="false">VLOOKUP(B815,Заказы!$A$2:$E$2995,5,FALSE())</f>
        <v>Выполнено</v>
      </c>
      <c r="L815" s="1" t="n">
        <f aca="false">D815*F815+J815</f>
        <v>1304</v>
      </c>
      <c r="M815" s="1" t="n">
        <f aca="false">IF(AND(E815="Пицца Труслейка",I815="г. Москва",K815="Выполнено",G815&gt;=DATE(2020,7,1),G815&lt;DATE(2020,8,1)),L815,0)</f>
        <v>0</v>
      </c>
    </row>
    <row r="816" customFormat="false" ht="15" hidden="false" customHeight="true" outlineLevel="0" collapsed="false">
      <c r="A816" s="1" t="n">
        <v>100795</v>
      </c>
      <c r="B816" s="1" t="n">
        <v>51123</v>
      </c>
      <c r="C816" s="1" t="n">
        <v>14</v>
      </c>
      <c r="D816" s="1" t="n">
        <v>2</v>
      </c>
      <c r="E816" s="1" t="str">
        <f aca="false">VLOOKUP(C816,Меню!$A$2:$C$24,2,FALSE())</f>
        <v>Пицца Сырный цыпленок</v>
      </c>
      <c r="F816" s="1" t="n">
        <f aca="false">VLOOKUP(C816,Меню!$A$2:$C$24,3,FALSE())</f>
        <v>555</v>
      </c>
      <c r="G816" s="5" t="n">
        <f aca="false">VLOOKUP(B816,Заказы!$A$2:$E$2995,2,FALSE())</f>
        <v>44020</v>
      </c>
      <c r="H816" s="1" t="n">
        <f aca="false">VLOOKUP(B816,Заказы!$A$2:$E$2995,3,FALSE())</f>
        <v>1328</v>
      </c>
      <c r="I816" s="1" t="str">
        <f aca="false">VLOOKUP(H816,Клиенты!$A$2:$E$1995,5,FALSE())</f>
        <v>г. Бородино</v>
      </c>
      <c r="J816" s="1" t="n">
        <f aca="false">VLOOKUP(B816,Заказы!$A$2:$E$2995,4,FALSE())</f>
        <v>672</v>
      </c>
      <c r="K816" s="1" t="str">
        <f aca="false">VLOOKUP(B816,Заказы!$A$2:$E$2995,5,FALSE())</f>
        <v>Выполнено</v>
      </c>
      <c r="L816" s="1" t="n">
        <f aca="false">D816*F816+J816</f>
        <v>1782</v>
      </c>
      <c r="M816" s="1" t="n">
        <f aca="false">IF(AND(E816="Пицца Труслейка",I816="г. Москва",K816="Выполнено",G816&gt;=DATE(2020,7,1),G816&lt;DATE(2020,8,1)),L816,0)</f>
        <v>0</v>
      </c>
    </row>
    <row r="817" customFormat="false" ht="15" hidden="false" customHeight="true" outlineLevel="0" collapsed="false">
      <c r="A817" s="1" t="n">
        <v>100690</v>
      </c>
      <c r="B817" s="1" t="n">
        <v>51808</v>
      </c>
      <c r="C817" s="1" t="n">
        <v>14</v>
      </c>
      <c r="D817" s="1" t="n">
        <v>6</v>
      </c>
      <c r="E817" s="1" t="str">
        <f aca="false">VLOOKUP(C817,Меню!$A$2:$C$24,2,FALSE())</f>
        <v>Пицца Сырный цыпленок</v>
      </c>
      <c r="F817" s="1" t="n">
        <f aca="false">VLOOKUP(C817,Меню!$A$2:$C$24,3,FALSE())</f>
        <v>555</v>
      </c>
      <c r="G817" s="5" t="n">
        <f aca="false">VLOOKUP(B817,Заказы!$A$2:$E$2995,2,FALSE())</f>
        <v>44065</v>
      </c>
      <c r="H817" s="1" t="n">
        <f aca="false">VLOOKUP(B817,Заказы!$A$2:$E$2995,3,FALSE())</f>
        <v>942</v>
      </c>
      <c r="I817" s="1" t="str">
        <f aca="false">VLOOKUP(H817,Клиенты!$A$2:$E$1995,5,FALSE())</f>
        <v>г. Минусинск</v>
      </c>
      <c r="J817" s="1" t="n">
        <f aca="false">VLOOKUP(B817,Заказы!$A$2:$E$2995,4,FALSE())</f>
        <v>0</v>
      </c>
      <c r="K817" s="1" t="str">
        <f aca="false">VLOOKUP(B817,Заказы!$A$2:$E$2995,5,FALSE())</f>
        <v>Не выполнено</v>
      </c>
      <c r="L817" s="1" t="n">
        <f aca="false">D817*F817+J817</f>
        <v>3330</v>
      </c>
      <c r="M817" s="1" t="n">
        <f aca="false">IF(AND(E817="Пицца Труслейка",I817="г. Москва",K817="Выполнено",G817&gt;=DATE(2020,7,1),G817&lt;DATE(2020,8,1)),L817,0)</f>
        <v>0</v>
      </c>
    </row>
    <row r="818" customFormat="false" ht="15" hidden="false" customHeight="true" outlineLevel="0" collapsed="false">
      <c r="A818" s="1" t="n">
        <v>100962</v>
      </c>
      <c r="B818" s="1" t="n">
        <v>50323</v>
      </c>
      <c r="C818" s="1" t="n">
        <v>16</v>
      </c>
      <c r="D818" s="1" t="n">
        <v>5</v>
      </c>
      <c r="E818" s="1" t="str">
        <f aca="false">VLOOKUP(C818,Меню!$A$2:$C$24,2,FALSE())</f>
        <v>Пицца Флорида</v>
      </c>
      <c r="F818" s="1" t="n">
        <f aca="false">VLOOKUP(C818,Меню!$A$2:$C$24,3,FALSE())</f>
        <v>535</v>
      </c>
      <c r="G818" s="5" t="n">
        <f aca="false">VLOOKUP(B818,Заказы!$A$2:$E$2995,2,FALSE())</f>
        <v>44015</v>
      </c>
      <c r="H818" s="1" t="n">
        <f aca="false">VLOOKUP(B818,Заказы!$A$2:$E$2995,3,FALSE())</f>
        <v>1657</v>
      </c>
      <c r="I818" s="1" t="str">
        <f aca="false">VLOOKUP(H818,Клиенты!$A$2:$E$1995,5,FALSE())</f>
        <v>г. Люберцы</v>
      </c>
      <c r="J818" s="1" t="n">
        <f aca="false">VLOOKUP(B818,Заказы!$A$2:$E$2995,4,FALSE())</f>
        <v>0</v>
      </c>
      <c r="K818" s="1" t="str">
        <f aca="false">VLOOKUP(B818,Заказы!$A$2:$E$2995,5,FALSE())</f>
        <v>Не выполнено</v>
      </c>
      <c r="L818" s="1" t="n">
        <f aca="false">D818*F818+J818</f>
        <v>2675</v>
      </c>
      <c r="M818" s="1" t="n">
        <f aca="false">IF(AND(E818="Пицца Труслейка",I818="г. Москва",K818="Выполнено",G818&gt;=DATE(2020,7,1),G818&lt;DATE(2020,8,1)),L818,0)</f>
        <v>0</v>
      </c>
    </row>
    <row r="819" customFormat="false" ht="15" hidden="false" customHeight="true" outlineLevel="0" collapsed="false">
      <c r="A819" s="1" t="n">
        <v>100246</v>
      </c>
      <c r="B819" s="1" t="n">
        <v>51309</v>
      </c>
      <c r="C819" s="1" t="n">
        <v>11</v>
      </c>
      <c r="D819" s="1" t="n">
        <v>9</v>
      </c>
      <c r="E819" s="1" t="str">
        <f aca="false">VLOOKUP(C819,Меню!$A$2:$C$24,2,FALSE())</f>
        <v>Пицца Песто</v>
      </c>
      <c r="F819" s="1" t="n">
        <f aca="false">VLOOKUP(C819,Меню!$A$2:$C$24,3,FALSE())</f>
        <v>530</v>
      </c>
      <c r="G819" s="5" t="n">
        <f aca="false">VLOOKUP(B819,Заказы!$A$2:$E$2995,2,FALSE())</f>
        <v>44003</v>
      </c>
      <c r="H819" s="1" t="n">
        <f aca="false">VLOOKUP(B819,Заказы!$A$2:$E$2995,3,FALSE())</f>
        <v>360</v>
      </c>
      <c r="I819" s="1" t="str">
        <f aca="false">VLOOKUP(H819,Клиенты!$A$2:$E$1995,5,FALSE())</f>
        <v>г. Москва</v>
      </c>
      <c r="J819" s="1" t="n">
        <f aca="false">VLOOKUP(B819,Заказы!$A$2:$E$2995,4,FALSE())</f>
        <v>761</v>
      </c>
      <c r="K819" s="1" t="str">
        <f aca="false">VLOOKUP(B819,Заказы!$A$2:$E$2995,5,FALSE())</f>
        <v>Выполнено</v>
      </c>
      <c r="L819" s="1" t="n">
        <f aca="false">D819*F819+J819</f>
        <v>5531</v>
      </c>
      <c r="M819" s="1" t="n">
        <f aca="false">IF(AND(E819="Пицца Труслейка",I819="г. Москва",K819="Выполнено",G819&gt;=DATE(2020,7,1),G819&lt;DATE(2020,8,1)),L819,0)</f>
        <v>0</v>
      </c>
    </row>
    <row r="820" customFormat="false" ht="15" hidden="false" customHeight="true" outlineLevel="0" collapsed="false">
      <c r="A820" s="1" t="n">
        <v>100069</v>
      </c>
      <c r="B820" s="1" t="n">
        <v>50503</v>
      </c>
      <c r="C820" s="1" t="n">
        <v>5</v>
      </c>
      <c r="D820" s="1" t="n">
        <v>10</v>
      </c>
      <c r="E820" s="1" t="str">
        <f aca="false">VLOOKUP(C820,Меню!$A$2:$C$24,2,FALSE())</f>
        <v>Пицца Жюльен</v>
      </c>
      <c r="F820" s="1" t="n">
        <f aca="false">VLOOKUP(C820,Меню!$A$2:$C$24,3,FALSE())</f>
        <v>580</v>
      </c>
      <c r="G820" s="5" t="n">
        <f aca="false">VLOOKUP(B820,Заказы!$A$2:$E$2995,2,FALSE())</f>
        <v>44054</v>
      </c>
      <c r="H820" s="1" t="n">
        <f aca="false">VLOOKUP(B820,Заказы!$A$2:$E$2995,3,FALSE())</f>
        <v>683</v>
      </c>
      <c r="I820" s="1" t="str">
        <f aca="false">VLOOKUP(H820,Клиенты!$A$2:$E$1995,5,FALSE())</f>
        <v>г. Чапаевск</v>
      </c>
      <c r="J820" s="1" t="n">
        <f aca="false">VLOOKUP(B820,Заказы!$A$2:$E$2995,4,FALSE())</f>
        <v>656</v>
      </c>
      <c r="K820" s="1" t="str">
        <f aca="false">VLOOKUP(B820,Заказы!$A$2:$E$2995,5,FALSE())</f>
        <v>Выполнено</v>
      </c>
      <c r="L820" s="1" t="n">
        <f aca="false">D820*F820+J820</f>
        <v>6456</v>
      </c>
      <c r="M820" s="1" t="n">
        <f aca="false">IF(AND(E820="Пицца Труслейка",I820="г. Москва",K820="Выполнено",G820&gt;=DATE(2020,7,1),G820&lt;DATE(2020,8,1)),L820,0)</f>
        <v>0</v>
      </c>
    </row>
    <row r="821" customFormat="false" ht="15" hidden="false" customHeight="true" outlineLevel="0" collapsed="false">
      <c r="A821" s="1" t="n">
        <v>100183</v>
      </c>
      <c r="B821" s="1" t="n">
        <v>50773</v>
      </c>
      <c r="C821" s="1" t="n">
        <v>4</v>
      </c>
      <c r="D821" s="1" t="n">
        <v>7</v>
      </c>
      <c r="E821" s="1" t="str">
        <f aca="false">VLOOKUP(C821,Меню!$A$2:$C$24,2,FALSE())</f>
        <v>Пицца Труслейка</v>
      </c>
      <c r="F821" s="1" t="n">
        <f aca="false">VLOOKUP(C821,Меню!$A$2:$C$24,3,FALSE())</f>
        <v>610</v>
      </c>
      <c r="G821" s="5" t="n">
        <f aca="false">VLOOKUP(B821,Заказы!$A$2:$E$2995,2,FALSE())</f>
        <v>44016</v>
      </c>
      <c r="H821" s="1" t="n">
        <f aca="false">VLOOKUP(B821,Заказы!$A$2:$E$2995,3,FALSE())</f>
        <v>1019</v>
      </c>
      <c r="I821" s="1" t="str">
        <f aca="false">VLOOKUP(H821,Клиенты!$A$2:$E$1995,5,FALSE())</f>
        <v>г. Кольчугино</v>
      </c>
      <c r="J821" s="1" t="n">
        <f aca="false">VLOOKUP(B821,Заказы!$A$2:$E$2995,4,FALSE())</f>
        <v>103</v>
      </c>
      <c r="K821" s="1" t="str">
        <f aca="false">VLOOKUP(B821,Заказы!$A$2:$E$2995,5,FALSE())</f>
        <v>Выполнено</v>
      </c>
      <c r="L821" s="1" t="n">
        <f aca="false">D821*F821+J821</f>
        <v>4373</v>
      </c>
      <c r="M821" s="1" t="n">
        <f aca="false">IF(AND(E821="Пицца Труслейка",I821="г. Москва",K821="Выполнено",G821&gt;=DATE(2020,7,1),G821&lt;DATE(2020,8,1)),L821,0)</f>
        <v>0</v>
      </c>
    </row>
    <row r="822" customFormat="false" ht="15" hidden="false" customHeight="true" outlineLevel="0" collapsed="false">
      <c r="A822" s="1" t="n">
        <v>100204</v>
      </c>
      <c r="B822" s="1" t="n">
        <v>51459</v>
      </c>
      <c r="C822" s="1" t="n">
        <v>15</v>
      </c>
      <c r="D822" s="1" t="n">
        <v>5</v>
      </c>
      <c r="E822" s="1" t="str">
        <f aca="false">VLOOKUP(C822,Меню!$A$2:$C$24,2,FALSE())</f>
        <v>Пицца Тропиканка</v>
      </c>
      <c r="F822" s="1" t="n">
        <f aca="false">VLOOKUP(C822,Меню!$A$2:$C$24,3,FALSE())</f>
        <v>605</v>
      </c>
      <c r="G822" s="5" t="n">
        <f aca="false">VLOOKUP(B822,Заказы!$A$2:$E$2995,2,FALSE())</f>
        <v>44052</v>
      </c>
      <c r="H822" s="1" t="n">
        <f aca="false">VLOOKUP(B822,Заказы!$A$2:$E$2995,3,FALSE())</f>
        <v>1816</v>
      </c>
      <c r="I822" s="1" t="str">
        <f aca="false">VLOOKUP(H822,Клиенты!$A$2:$E$1995,5,FALSE())</f>
        <v>г. Костомукша</v>
      </c>
      <c r="J822" s="1" t="n">
        <f aca="false">VLOOKUP(B822,Заказы!$A$2:$E$2995,4,FALSE())</f>
        <v>166</v>
      </c>
      <c r="K822" s="1" t="str">
        <f aca="false">VLOOKUP(B822,Заказы!$A$2:$E$2995,5,FALSE())</f>
        <v>Выполнено</v>
      </c>
      <c r="L822" s="1" t="n">
        <f aca="false">D822*F822+J822</f>
        <v>3191</v>
      </c>
      <c r="M822" s="1" t="n">
        <f aca="false">IF(AND(E822="Пицца Труслейка",I822="г. Москва",K822="Выполнено",G822&gt;=DATE(2020,7,1),G822&lt;DATE(2020,8,1)),L822,0)</f>
        <v>0</v>
      </c>
    </row>
    <row r="823" customFormat="false" ht="15" hidden="false" customHeight="true" outlineLevel="0" collapsed="false">
      <c r="A823" s="1" t="n">
        <v>100681</v>
      </c>
      <c r="B823" s="1" t="n">
        <v>51672</v>
      </c>
      <c r="C823" s="1" t="n">
        <v>1</v>
      </c>
      <c r="D823" s="1" t="n">
        <v>5</v>
      </c>
      <c r="E823" s="1" t="str">
        <f aca="false">VLOOKUP(C823,Меню!$A$2:$C$24,2,FALSE())</f>
        <v>Пицца Гавайская</v>
      </c>
      <c r="F823" s="1" t="n">
        <f aca="false">VLOOKUP(C823,Меню!$A$2:$C$24,3,FALSE())</f>
        <v>545</v>
      </c>
      <c r="G823" s="5" t="n">
        <f aca="false">VLOOKUP(B823,Заказы!$A$2:$E$2995,2,FALSE())</f>
        <v>44013</v>
      </c>
      <c r="H823" s="1" t="n">
        <f aca="false">VLOOKUP(B823,Заказы!$A$2:$E$2995,3,FALSE())</f>
        <v>1206</v>
      </c>
      <c r="I823" s="1" t="str">
        <f aca="false">VLOOKUP(H823,Клиенты!$A$2:$E$1995,5,FALSE())</f>
        <v>г. Спас-Клепики</v>
      </c>
      <c r="J823" s="1" t="n">
        <f aca="false">VLOOKUP(B823,Заказы!$A$2:$E$2995,4,FALSE())</f>
        <v>0</v>
      </c>
      <c r="K823" s="1" t="str">
        <f aca="false">VLOOKUP(B823,Заказы!$A$2:$E$2995,5,FALSE())</f>
        <v>Не выполнено</v>
      </c>
      <c r="L823" s="1" t="n">
        <f aca="false">D823*F823+J823</f>
        <v>2725</v>
      </c>
      <c r="M823" s="1" t="n">
        <f aca="false">IF(AND(E823="Пицца Труслейка",I823="г. Москва",K823="Выполнено",G823&gt;=DATE(2020,7,1),G823&lt;DATE(2020,8,1)),L823,0)</f>
        <v>0</v>
      </c>
    </row>
    <row r="824" customFormat="false" ht="15" hidden="false" customHeight="true" outlineLevel="0" collapsed="false">
      <c r="A824" s="1" t="n">
        <v>100179</v>
      </c>
      <c r="B824" s="1" t="n">
        <v>51398</v>
      </c>
      <c r="C824" s="1" t="n">
        <v>23</v>
      </c>
      <c r="D824" s="1" t="n">
        <v>7</v>
      </c>
      <c r="E824" s="1" t="str">
        <f aca="false">VLOOKUP(C824,Меню!$A$2:$C$24,2,FALSE())</f>
        <v>Пицца с тунцом</v>
      </c>
      <c r="F824" s="1" t="n">
        <f aca="false">VLOOKUP(C824,Меню!$A$2:$C$24,3,FALSE())</f>
        <v>520</v>
      </c>
      <c r="G824" s="5" t="n">
        <f aca="false">VLOOKUP(B824,Заказы!$A$2:$E$2995,2,FALSE())</f>
        <v>44037</v>
      </c>
      <c r="H824" s="1" t="n">
        <f aca="false">VLOOKUP(B824,Заказы!$A$2:$E$2995,3,FALSE())</f>
        <v>1448</v>
      </c>
      <c r="I824" s="1" t="str">
        <f aca="false">VLOOKUP(H824,Клиенты!$A$2:$E$1995,5,FALSE())</f>
        <v>г. Изобильный</v>
      </c>
      <c r="J824" s="1" t="n">
        <f aca="false">VLOOKUP(B824,Заказы!$A$2:$E$2995,4,FALSE())</f>
        <v>690</v>
      </c>
      <c r="K824" s="1" t="str">
        <f aca="false">VLOOKUP(B824,Заказы!$A$2:$E$2995,5,FALSE())</f>
        <v>Выполнено</v>
      </c>
      <c r="L824" s="1" t="n">
        <f aca="false">D824*F824+J824</f>
        <v>4330</v>
      </c>
      <c r="M824" s="1" t="n">
        <f aca="false">IF(AND(E824="Пицца Труслейка",I824="г. Москва",K824="Выполнено",G824&gt;=DATE(2020,7,1),G824&lt;DATE(2020,8,1)),L824,0)</f>
        <v>0</v>
      </c>
    </row>
    <row r="825" customFormat="false" ht="15" hidden="false" customHeight="true" outlineLevel="0" collapsed="false">
      <c r="A825" s="1" t="n">
        <v>101775</v>
      </c>
      <c r="B825" s="1" t="n">
        <v>50579</v>
      </c>
      <c r="C825" s="1" t="n">
        <v>12</v>
      </c>
      <c r="D825" s="1" t="n">
        <v>5</v>
      </c>
      <c r="E825" s="1" t="str">
        <f aca="false">VLOOKUP(C825,Меню!$A$2:$C$24,2,FALSE())</f>
        <v>Пицца Салями с трюфелем</v>
      </c>
      <c r="F825" s="1" t="n">
        <f aca="false">VLOOKUP(C825,Меню!$A$2:$C$24,3,FALSE())</f>
        <v>525</v>
      </c>
      <c r="G825" s="5" t="n">
        <f aca="false">VLOOKUP(B825,Заказы!$A$2:$E$2995,2,FALSE())</f>
        <v>43984</v>
      </c>
      <c r="H825" s="1" t="n">
        <f aca="false">VLOOKUP(B825,Заказы!$A$2:$E$2995,3,FALSE())</f>
        <v>1354</v>
      </c>
      <c r="I825" s="1" t="str">
        <f aca="false">VLOOKUP(H825,Клиенты!$A$2:$E$1995,5,FALSE())</f>
        <v>г. Учалы</v>
      </c>
      <c r="J825" s="1" t="n">
        <f aca="false">VLOOKUP(B825,Заказы!$A$2:$E$2995,4,FALSE())</f>
        <v>526</v>
      </c>
      <c r="K825" s="1" t="str">
        <f aca="false">VLOOKUP(B825,Заказы!$A$2:$E$2995,5,FALSE())</f>
        <v>Выполнено</v>
      </c>
      <c r="L825" s="1" t="n">
        <f aca="false">D825*F825+J825</f>
        <v>3151</v>
      </c>
      <c r="M825" s="1" t="n">
        <f aca="false">IF(AND(E825="Пицца Труслейка",I825="г. Москва",K825="Выполнено",G825&gt;=DATE(2020,7,1),G825&lt;DATE(2020,8,1)),L825,0)</f>
        <v>0</v>
      </c>
    </row>
    <row r="826" customFormat="false" ht="15" hidden="false" customHeight="true" outlineLevel="0" collapsed="false">
      <c r="A826" s="1" t="n">
        <v>100418</v>
      </c>
      <c r="B826" s="1" t="n">
        <v>51775</v>
      </c>
      <c r="C826" s="1" t="n">
        <v>11</v>
      </c>
      <c r="D826" s="1" t="n">
        <v>9</v>
      </c>
      <c r="E826" s="1" t="str">
        <f aca="false">VLOOKUP(C826,Меню!$A$2:$C$24,2,FALSE())</f>
        <v>Пицца Песто</v>
      </c>
      <c r="F826" s="1" t="n">
        <f aca="false">VLOOKUP(C826,Меню!$A$2:$C$24,3,FALSE())</f>
        <v>530</v>
      </c>
      <c r="G826" s="5" t="n">
        <f aca="false">VLOOKUP(B826,Заказы!$A$2:$E$2995,2,FALSE())</f>
        <v>43987</v>
      </c>
      <c r="H826" s="1" t="n">
        <f aca="false">VLOOKUP(B826,Заказы!$A$2:$E$2995,3,FALSE())</f>
        <v>764</v>
      </c>
      <c r="I826" s="1" t="str">
        <f aca="false">VLOOKUP(H826,Клиенты!$A$2:$E$1995,5,FALSE())</f>
        <v>г. Палласовка</v>
      </c>
      <c r="J826" s="1" t="n">
        <f aca="false">VLOOKUP(B826,Заказы!$A$2:$E$2995,4,FALSE())</f>
        <v>0</v>
      </c>
      <c r="K826" s="1" t="str">
        <f aca="false">VLOOKUP(B826,Заказы!$A$2:$E$2995,5,FALSE())</f>
        <v>Не выполнено</v>
      </c>
      <c r="L826" s="1" t="n">
        <f aca="false">D826*F826+J826</f>
        <v>4770</v>
      </c>
      <c r="M826" s="1" t="n">
        <f aca="false">IF(AND(E826="Пицца Труслейка",I826="г. Москва",K826="Выполнено",G826&gt;=DATE(2020,7,1),G826&lt;DATE(2020,8,1)),L826,0)</f>
        <v>0</v>
      </c>
    </row>
    <row r="827" customFormat="false" ht="15" hidden="false" customHeight="true" outlineLevel="0" collapsed="false">
      <c r="A827" s="1" t="n">
        <v>101938</v>
      </c>
      <c r="B827" s="1" t="n">
        <v>51386</v>
      </c>
      <c r="C827" s="1" t="n">
        <v>22</v>
      </c>
      <c r="D827" s="1" t="n">
        <v>9</v>
      </c>
      <c r="E827" s="1" t="str">
        <f aca="false">VLOOKUP(C827,Меню!$A$2:$C$24,2,FALSE())</f>
        <v>Пицца с поркеттой и фриарелли</v>
      </c>
      <c r="F827" s="1" t="n">
        <f aca="false">VLOOKUP(C827,Меню!$A$2:$C$24,3,FALSE())</f>
        <v>550</v>
      </c>
      <c r="G827" s="5" t="n">
        <f aca="false">VLOOKUP(B827,Заказы!$A$2:$E$2995,2,FALSE())</f>
        <v>44070</v>
      </c>
      <c r="H827" s="1" t="n">
        <f aca="false">VLOOKUP(B827,Заказы!$A$2:$E$2995,3,FALSE())</f>
        <v>815</v>
      </c>
      <c r="I827" s="1" t="str">
        <f aca="false">VLOOKUP(H827,Клиенты!$A$2:$E$1995,5,FALSE())</f>
        <v>г. Клин</v>
      </c>
      <c r="J827" s="1" t="n">
        <f aca="false">VLOOKUP(B827,Заказы!$A$2:$E$2995,4,FALSE())</f>
        <v>0</v>
      </c>
      <c r="K827" s="1" t="str">
        <f aca="false">VLOOKUP(B827,Заказы!$A$2:$E$2995,5,FALSE())</f>
        <v>Не выполнено</v>
      </c>
      <c r="L827" s="1" t="n">
        <f aca="false">D827*F827+J827</f>
        <v>4950</v>
      </c>
      <c r="M827" s="1" t="n">
        <f aca="false">IF(AND(E827="Пицца Труслейка",I827="г. Москва",K827="Выполнено",G827&gt;=DATE(2020,7,1),G827&lt;DATE(2020,8,1)),L827,0)</f>
        <v>0</v>
      </c>
    </row>
    <row r="828" customFormat="false" ht="15" hidden="false" customHeight="true" outlineLevel="0" collapsed="false">
      <c r="A828" s="1" t="n">
        <v>101498</v>
      </c>
      <c r="B828" s="1" t="n">
        <v>51653</v>
      </c>
      <c r="C828" s="1" t="n">
        <v>3</v>
      </c>
      <c r="D828" s="1" t="n">
        <v>5</v>
      </c>
      <c r="E828" s="1" t="str">
        <f aca="false">VLOOKUP(C828,Меню!$A$2:$C$24,2,FALSE())</f>
        <v>Пицца Диабло</v>
      </c>
      <c r="F828" s="1" t="n">
        <f aca="false">VLOOKUP(C828,Меню!$A$2:$C$24,3,FALSE())</f>
        <v>590</v>
      </c>
      <c r="G828" s="5" t="n">
        <f aca="false">VLOOKUP(B828,Заказы!$A$2:$E$2995,2,FALSE())</f>
        <v>43988</v>
      </c>
      <c r="H828" s="1" t="n">
        <f aca="false">VLOOKUP(B828,Заказы!$A$2:$E$2995,3,FALSE())</f>
        <v>1679</v>
      </c>
      <c r="I828" s="1" t="str">
        <f aca="false">VLOOKUP(H828,Клиенты!$A$2:$E$1995,5,FALSE())</f>
        <v>г. Новокуйбышевск</v>
      </c>
      <c r="J828" s="1" t="n">
        <f aca="false">VLOOKUP(B828,Заказы!$A$2:$E$2995,4,FALSE())</f>
        <v>655</v>
      </c>
      <c r="K828" s="1" t="str">
        <f aca="false">VLOOKUP(B828,Заказы!$A$2:$E$2995,5,FALSE())</f>
        <v>Выполнено</v>
      </c>
      <c r="L828" s="1" t="n">
        <f aca="false">D828*F828+J828</f>
        <v>3605</v>
      </c>
      <c r="M828" s="1" t="n">
        <f aca="false">IF(AND(E828="Пицца Труслейка",I828="г. Москва",K828="Выполнено",G828&gt;=DATE(2020,7,1),G828&lt;DATE(2020,8,1)),L828,0)</f>
        <v>0</v>
      </c>
    </row>
    <row r="829" customFormat="false" ht="15" hidden="false" customHeight="true" outlineLevel="0" collapsed="false">
      <c r="A829" s="1" t="n">
        <v>100574</v>
      </c>
      <c r="B829" s="1" t="n">
        <v>51347</v>
      </c>
      <c r="C829" s="1" t="n">
        <v>14</v>
      </c>
      <c r="D829" s="1" t="n">
        <v>8</v>
      </c>
      <c r="E829" s="1" t="str">
        <f aca="false">VLOOKUP(C829,Меню!$A$2:$C$24,2,FALSE())</f>
        <v>Пицца Сырный цыпленок</v>
      </c>
      <c r="F829" s="1" t="n">
        <f aca="false">VLOOKUP(C829,Меню!$A$2:$C$24,3,FALSE())</f>
        <v>555</v>
      </c>
      <c r="G829" s="5" t="n">
        <f aca="false">VLOOKUP(B829,Заказы!$A$2:$E$2995,2,FALSE())</f>
        <v>43993</v>
      </c>
      <c r="H829" s="1" t="n">
        <f aca="false">VLOOKUP(B829,Заказы!$A$2:$E$2995,3,FALSE())</f>
        <v>277</v>
      </c>
      <c r="I829" s="1" t="str">
        <f aca="false">VLOOKUP(H829,Клиенты!$A$2:$E$1995,5,FALSE())</f>
        <v>г. Новоузенск</v>
      </c>
      <c r="J829" s="1" t="n">
        <f aca="false">VLOOKUP(B829,Заказы!$A$2:$E$2995,4,FALSE())</f>
        <v>117</v>
      </c>
      <c r="K829" s="1" t="str">
        <f aca="false">VLOOKUP(B829,Заказы!$A$2:$E$2995,5,FALSE())</f>
        <v>Выполнено</v>
      </c>
      <c r="L829" s="1" t="n">
        <f aca="false">D829*F829+J829</f>
        <v>4557</v>
      </c>
      <c r="M829" s="1" t="n">
        <f aca="false">IF(AND(E829="Пицца Труслейка",I829="г. Москва",K829="Выполнено",G829&gt;=DATE(2020,7,1),G829&lt;DATE(2020,8,1)),L829,0)</f>
        <v>0</v>
      </c>
    </row>
    <row r="830" customFormat="false" ht="15" hidden="false" customHeight="true" outlineLevel="0" collapsed="false">
      <c r="A830" s="1" t="n">
        <v>101392</v>
      </c>
      <c r="B830" s="1" t="n">
        <v>50519</v>
      </c>
      <c r="C830" s="1" t="n">
        <v>1</v>
      </c>
      <c r="D830" s="1" t="n">
        <v>1</v>
      </c>
      <c r="E830" s="1" t="str">
        <f aca="false">VLOOKUP(C830,Меню!$A$2:$C$24,2,FALSE())</f>
        <v>Пицца Гавайская</v>
      </c>
      <c r="F830" s="1" t="n">
        <f aca="false">VLOOKUP(C830,Меню!$A$2:$C$24,3,FALSE())</f>
        <v>545</v>
      </c>
      <c r="G830" s="5" t="n">
        <f aca="false">VLOOKUP(B830,Заказы!$A$2:$E$2995,2,FALSE())</f>
        <v>44043</v>
      </c>
      <c r="H830" s="1" t="n">
        <f aca="false">VLOOKUP(B830,Заказы!$A$2:$E$2995,3,FALSE())</f>
        <v>824</v>
      </c>
      <c r="I830" s="1" t="str">
        <f aca="false">VLOOKUP(H830,Клиенты!$A$2:$E$1995,5,FALSE())</f>
        <v>г. Болохово</v>
      </c>
      <c r="J830" s="1" t="n">
        <f aca="false">VLOOKUP(B830,Заказы!$A$2:$E$2995,4,FALSE())</f>
        <v>303</v>
      </c>
      <c r="K830" s="1" t="str">
        <f aca="false">VLOOKUP(B830,Заказы!$A$2:$E$2995,5,FALSE())</f>
        <v>Выполнено</v>
      </c>
      <c r="L830" s="1" t="n">
        <f aca="false">D830*F830+J830</f>
        <v>848</v>
      </c>
      <c r="M830" s="1" t="n">
        <f aca="false">IF(AND(E830="Пицца Труслейка",I830="г. Москва",K830="Выполнено",G830&gt;=DATE(2020,7,1),G830&lt;DATE(2020,8,1)),L830,0)</f>
        <v>0</v>
      </c>
    </row>
    <row r="831" customFormat="false" ht="15" hidden="false" customHeight="true" outlineLevel="0" collapsed="false">
      <c r="A831" s="1" t="n">
        <v>101959</v>
      </c>
      <c r="B831" s="1" t="n">
        <v>51401</v>
      </c>
      <c r="C831" s="1" t="n">
        <v>4</v>
      </c>
      <c r="D831" s="1" t="n">
        <v>2</v>
      </c>
      <c r="E831" s="1" t="str">
        <f aca="false">VLOOKUP(C831,Меню!$A$2:$C$24,2,FALSE())</f>
        <v>Пицца Труслейка</v>
      </c>
      <c r="F831" s="1" t="n">
        <f aca="false">VLOOKUP(C831,Меню!$A$2:$C$24,3,FALSE())</f>
        <v>610</v>
      </c>
      <c r="G831" s="5" t="n">
        <f aca="false">VLOOKUP(B831,Заказы!$A$2:$E$2995,2,FALSE())</f>
        <v>43995</v>
      </c>
      <c r="H831" s="1" t="n">
        <f aca="false">VLOOKUP(B831,Заказы!$A$2:$E$2995,3,FALSE())</f>
        <v>237</v>
      </c>
      <c r="I831" s="1" t="str">
        <f aca="false">VLOOKUP(H831,Клиенты!$A$2:$E$1995,5,FALSE())</f>
        <v>г. Галич</v>
      </c>
      <c r="J831" s="1" t="n">
        <f aca="false">VLOOKUP(B831,Заказы!$A$2:$E$2995,4,FALSE())</f>
        <v>0</v>
      </c>
      <c r="K831" s="1" t="str">
        <f aca="false">VLOOKUP(B831,Заказы!$A$2:$E$2995,5,FALSE())</f>
        <v>Не выполнено</v>
      </c>
      <c r="L831" s="1" t="n">
        <f aca="false">D831*F831+J831</f>
        <v>1220</v>
      </c>
      <c r="M831" s="1" t="n">
        <f aca="false">IF(AND(E831="Пицца Труслейка",I831="г. Москва",K831="Выполнено",G831&gt;=DATE(2020,7,1),G831&lt;DATE(2020,8,1)),L831,0)</f>
        <v>0</v>
      </c>
    </row>
    <row r="832" customFormat="false" ht="15" hidden="false" customHeight="true" outlineLevel="0" collapsed="false">
      <c r="A832" s="1" t="n">
        <v>100165</v>
      </c>
      <c r="B832" s="1" t="n">
        <v>50534</v>
      </c>
      <c r="C832" s="1" t="n">
        <v>15</v>
      </c>
      <c r="D832" s="1" t="n">
        <v>3</v>
      </c>
      <c r="E832" s="1" t="str">
        <f aca="false">VLOOKUP(C832,Меню!$A$2:$C$24,2,FALSE())</f>
        <v>Пицца Тропиканка</v>
      </c>
      <c r="F832" s="1" t="n">
        <f aca="false">VLOOKUP(C832,Меню!$A$2:$C$24,3,FALSE())</f>
        <v>605</v>
      </c>
      <c r="G832" s="5" t="n">
        <f aca="false">VLOOKUP(B832,Заказы!$A$2:$E$2995,2,FALSE())</f>
        <v>44023</v>
      </c>
      <c r="H832" s="1" t="n">
        <f aca="false">VLOOKUP(B832,Заказы!$A$2:$E$2995,3,FALSE())</f>
        <v>569</v>
      </c>
      <c r="I832" s="1" t="str">
        <f aca="false">VLOOKUP(H832,Клиенты!$A$2:$E$1995,5,FALSE())</f>
        <v>г. Сертолово</v>
      </c>
      <c r="J832" s="1" t="n">
        <f aca="false">VLOOKUP(B832,Заказы!$A$2:$E$2995,4,FALSE())</f>
        <v>712</v>
      </c>
      <c r="K832" s="1" t="str">
        <f aca="false">VLOOKUP(B832,Заказы!$A$2:$E$2995,5,FALSE())</f>
        <v>Выполнено</v>
      </c>
      <c r="L832" s="1" t="n">
        <f aca="false">D832*F832+J832</f>
        <v>2527</v>
      </c>
      <c r="M832" s="1" t="n">
        <f aca="false">IF(AND(E832="Пицца Труслейка",I832="г. Москва",K832="Выполнено",G832&gt;=DATE(2020,7,1),G832&lt;DATE(2020,8,1)),L832,0)</f>
        <v>0</v>
      </c>
    </row>
    <row r="833" customFormat="false" ht="15" hidden="false" customHeight="true" outlineLevel="0" collapsed="false">
      <c r="A833" s="1" t="n">
        <v>100146</v>
      </c>
      <c r="B833" s="1" t="n">
        <v>50591</v>
      </c>
      <c r="C833" s="1" t="n">
        <v>4</v>
      </c>
      <c r="D833" s="1" t="n">
        <v>4</v>
      </c>
      <c r="E833" s="1" t="str">
        <f aca="false">VLOOKUP(C833,Меню!$A$2:$C$24,2,FALSE())</f>
        <v>Пицца Труслейка</v>
      </c>
      <c r="F833" s="1" t="n">
        <f aca="false">VLOOKUP(C833,Меню!$A$2:$C$24,3,FALSE())</f>
        <v>610</v>
      </c>
      <c r="G833" s="5" t="n">
        <f aca="false">VLOOKUP(B833,Заказы!$A$2:$E$2995,2,FALSE())</f>
        <v>43993</v>
      </c>
      <c r="H833" s="1" t="n">
        <f aca="false">VLOOKUP(B833,Заказы!$A$2:$E$2995,3,FALSE())</f>
        <v>1691</v>
      </c>
      <c r="I833" s="1" t="str">
        <f aca="false">VLOOKUP(H833,Клиенты!$A$2:$E$1995,5,FALSE())</f>
        <v>г. Гусев</v>
      </c>
      <c r="J833" s="1" t="n">
        <f aca="false">VLOOKUP(B833,Заказы!$A$2:$E$2995,4,FALSE())</f>
        <v>207</v>
      </c>
      <c r="K833" s="1" t="str">
        <f aca="false">VLOOKUP(B833,Заказы!$A$2:$E$2995,5,FALSE())</f>
        <v>Выполнено</v>
      </c>
      <c r="L833" s="1" t="n">
        <f aca="false">D833*F833+J833</f>
        <v>2647</v>
      </c>
      <c r="M833" s="1" t="n">
        <f aca="false">IF(AND(E833="Пицца Труслейка",I833="г. Москва",K833="Выполнено",G833&gt;=DATE(2020,7,1),G833&lt;DATE(2020,8,1)),L833,0)</f>
        <v>0</v>
      </c>
    </row>
    <row r="834" customFormat="false" ht="15" hidden="false" customHeight="true" outlineLevel="0" collapsed="false">
      <c r="A834" s="1" t="n">
        <v>100019</v>
      </c>
      <c r="B834" s="1" t="n">
        <v>51564</v>
      </c>
      <c r="C834" s="1" t="n">
        <v>10</v>
      </c>
      <c r="D834" s="1" t="n">
        <v>7</v>
      </c>
      <c r="E834" s="1" t="str">
        <f aca="false">VLOOKUP(C834,Меню!$A$2:$C$24,2,FALSE())</f>
        <v>Пицца Пепперони фреш</v>
      </c>
      <c r="F834" s="1" t="n">
        <f aca="false">VLOOKUP(C834,Меню!$A$2:$C$24,3,FALSE())</f>
        <v>565</v>
      </c>
      <c r="G834" s="5" t="n">
        <f aca="false">VLOOKUP(B834,Заказы!$A$2:$E$2995,2,FALSE())</f>
        <v>44067</v>
      </c>
      <c r="H834" s="1" t="n">
        <f aca="false">VLOOKUP(B834,Заказы!$A$2:$E$2995,3,FALSE())</f>
        <v>11</v>
      </c>
      <c r="I834" s="1" t="str">
        <f aca="false">VLOOKUP(H834,Клиенты!$A$2:$E$1995,5,FALSE())</f>
        <v>г. Мезень</v>
      </c>
      <c r="J834" s="1" t="n">
        <f aca="false">VLOOKUP(B834,Заказы!$A$2:$E$2995,4,FALSE())</f>
        <v>0</v>
      </c>
      <c r="K834" s="1" t="str">
        <f aca="false">VLOOKUP(B834,Заказы!$A$2:$E$2995,5,FALSE())</f>
        <v>Не выполнено</v>
      </c>
      <c r="L834" s="1" t="n">
        <f aca="false">D834*F834+J834</f>
        <v>3955</v>
      </c>
      <c r="M834" s="1" t="n">
        <f aca="false">IF(AND(E834="Пицца Труслейка",I834="г. Москва",K834="Выполнено",G834&gt;=DATE(2020,7,1),G834&lt;DATE(2020,8,1)),L834,0)</f>
        <v>0</v>
      </c>
    </row>
    <row r="835" customFormat="false" ht="15" hidden="false" customHeight="true" outlineLevel="0" collapsed="false">
      <c r="A835" s="1" t="n">
        <v>101865</v>
      </c>
      <c r="B835" s="1" t="n">
        <v>50612</v>
      </c>
      <c r="C835" s="1" t="n">
        <v>15</v>
      </c>
      <c r="D835" s="1" t="n">
        <v>9</v>
      </c>
      <c r="E835" s="1" t="str">
        <f aca="false">VLOOKUP(C835,Меню!$A$2:$C$24,2,FALSE())</f>
        <v>Пицца Тропиканка</v>
      </c>
      <c r="F835" s="1" t="n">
        <f aca="false">VLOOKUP(C835,Меню!$A$2:$C$24,3,FALSE())</f>
        <v>605</v>
      </c>
      <c r="G835" s="5" t="n">
        <f aca="false">VLOOKUP(B835,Заказы!$A$2:$E$2995,2,FALSE())</f>
        <v>43986</v>
      </c>
      <c r="H835" s="1" t="n">
        <f aca="false">VLOOKUP(B835,Заказы!$A$2:$E$2995,3,FALSE())</f>
        <v>1752</v>
      </c>
      <c r="I835" s="1" t="str">
        <f aca="false">VLOOKUP(H835,Клиенты!$A$2:$E$1995,5,FALSE())</f>
        <v>г. Нолинск</v>
      </c>
      <c r="J835" s="1" t="n">
        <f aca="false">VLOOKUP(B835,Заказы!$A$2:$E$2995,4,FALSE())</f>
        <v>699</v>
      </c>
      <c r="K835" s="1" t="str">
        <f aca="false">VLOOKUP(B835,Заказы!$A$2:$E$2995,5,FALSE())</f>
        <v>Выполнено</v>
      </c>
      <c r="L835" s="1" t="n">
        <f aca="false">D835*F835+J835</f>
        <v>6144</v>
      </c>
      <c r="M835" s="1" t="n">
        <f aca="false">IF(AND(E835="Пицца Труслейка",I835="г. Москва",K835="Выполнено",G835&gt;=DATE(2020,7,1),G835&lt;DATE(2020,8,1)),L835,0)</f>
        <v>0</v>
      </c>
    </row>
    <row r="836" customFormat="false" ht="15" hidden="false" customHeight="true" outlineLevel="0" collapsed="false">
      <c r="A836" s="1" t="n">
        <v>100488</v>
      </c>
      <c r="B836" s="1" t="n">
        <v>50142</v>
      </c>
      <c r="C836" s="1" t="n">
        <v>18</v>
      </c>
      <c r="D836" s="1" t="n">
        <v>1</v>
      </c>
      <c r="E836" s="1" t="str">
        <f aca="false">VLOOKUP(C836,Меню!$A$2:$C$24,2,FALSE())</f>
        <v>Пицца Царская</v>
      </c>
      <c r="F836" s="1" t="n">
        <f aca="false">VLOOKUP(C836,Меню!$A$2:$C$24,3,FALSE())</f>
        <v>620</v>
      </c>
      <c r="G836" s="5" t="n">
        <f aca="false">VLOOKUP(B836,Заказы!$A$2:$E$2995,2,FALSE())</f>
        <v>44068</v>
      </c>
      <c r="H836" s="1" t="n">
        <f aca="false">VLOOKUP(B836,Заказы!$A$2:$E$2995,3,FALSE())</f>
        <v>489</v>
      </c>
      <c r="I836" s="1" t="str">
        <f aca="false">VLOOKUP(H836,Клиенты!$A$2:$E$1995,5,FALSE())</f>
        <v>г. Оханск</v>
      </c>
      <c r="J836" s="1" t="n">
        <f aca="false">VLOOKUP(B836,Заказы!$A$2:$E$2995,4,FALSE())</f>
        <v>0</v>
      </c>
      <c r="K836" s="1" t="str">
        <f aca="false">VLOOKUP(B836,Заказы!$A$2:$E$2995,5,FALSE())</f>
        <v>Не выполнено</v>
      </c>
      <c r="L836" s="1" t="n">
        <f aca="false">D836*F836+J836</f>
        <v>620</v>
      </c>
      <c r="M836" s="1" t="n">
        <f aca="false">IF(AND(E836="Пицца Труслейка",I836="г. Москва",K836="Выполнено",G836&gt;=DATE(2020,7,1),G836&lt;DATE(2020,8,1)),L836,0)</f>
        <v>0</v>
      </c>
    </row>
    <row r="837" customFormat="false" ht="15" hidden="false" customHeight="true" outlineLevel="0" collapsed="false">
      <c r="A837" s="1" t="n">
        <v>100532</v>
      </c>
      <c r="B837" s="1" t="n">
        <v>51923</v>
      </c>
      <c r="C837" s="1" t="n">
        <v>18</v>
      </c>
      <c r="D837" s="1" t="n">
        <v>9</v>
      </c>
      <c r="E837" s="1" t="str">
        <f aca="false">VLOOKUP(C837,Меню!$A$2:$C$24,2,FALSE())</f>
        <v>Пицца Царская</v>
      </c>
      <c r="F837" s="1" t="n">
        <f aca="false">VLOOKUP(C837,Меню!$A$2:$C$24,3,FALSE())</f>
        <v>620</v>
      </c>
      <c r="G837" s="5" t="n">
        <f aca="false">VLOOKUP(B837,Заказы!$A$2:$E$2995,2,FALSE())</f>
        <v>44063</v>
      </c>
      <c r="H837" s="1" t="n">
        <f aca="false">VLOOKUP(B837,Заказы!$A$2:$E$2995,3,FALSE())</f>
        <v>1786</v>
      </c>
      <c r="I837" s="1" t="str">
        <f aca="false">VLOOKUP(H837,Клиенты!$A$2:$E$1995,5,FALSE())</f>
        <v>г. Тырныауз</v>
      </c>
      <c r="J837" s="1" t="n">
        <f aca="false">VLOOKUP(B837,Заказы!$A$2:$E$2995,4,FALSE())</f>
        <v>736</v>
      </c>
      <c r="K837" s="1" t="str">
        <f aca="false">VLOOKUP(B837,Заказы!$A$2:$E$2995,5,FALSE())</f>
        <v>Выполнено</v>
      </c>
      <c r="L837" s="1" t="n">
        <f aca="false">D837*F837+J837</f>
        <v>6316</v>
      </c>
      <c r="M837" s="1" t="n">
        <f aca="false">IF(AND(E837="Пицца Труслейка",I837="г. Москва",K837="Выполнено",G837&gt;=DATE(2020,7,1),G837&lt;DATE(2020,8,1)),L837,0)</f>
        <v>0</v>
      </c>
    </row>
    <row r="838" customFormat="false" ht="15" hidden="false" customHeight="true" outlineLevel="0" collapsed="false">
      <c r="A838" s="1" t="n">
        <v>100058</v>
      </c>
      <c r="B838" s="1" t="n">
        <v>51034</v>
      </c>
      <c r="C838" s="1" t="n">
        <v>22</v>
      </c>
      <c r="D838" s="1" t="n">
        <v>10</v>
      </c>
      <c r="E838" s="1" t="str">
        <f aca="false">VLOOKUP(C838,Меню!$A$2:$C$24,2,FALSE())</f>
        <v>Пицца с поркеттой и фриарелли</v>
      </c>
      <c r="F838" s="1" t="n">
        <f aca="false">VLOOKUP(C838,Меню!$A$2:$C$24,3,FALSE())</f>
        <v>550</v>
      </c>
      <c r="G838" s="5" t="n">
        <f aca="false">VLOOKUP(B838,Заказы!$A$2:$E$2995,2,FALSE())</f>
        <v>44010</v>
      </c>
      <c r="H838" s="1" t="n">
        <f aca="false">VLOOKUP(B838,Заказы!$A$2:$E$2995,3,FALSE())</f>
        <v>786</v>
      </c>
      <c r="I838" s="1" t="str">
        <f aca="false">VLOOKUP(H838,Клиенты!$A$2:$E$1995,5,FALSE())</f>
        <v>г. Ельня</v>
      </c>
      <c r="J838" s="1" t="n">
        <f aca="false">VLOOKUP(B838,Заказы!$A$2:$E$2995,4,FALSE())</f>
        <v>461</v>
      </c>
      <c r="K838" s="1" t="str">
        <f aca="false">VLOOKUP(B838,Заказы!$A$2:$E$2995,5,FALSE())</f>
        <v>Выполнено</v>
      </c>
      <c r="L838" s="1" t="n">
        <f aca="false">D838*F838+J838</f>
        <v>5961</v>
      </c>
      <c r="M838" s="1" t="n">
        <f aca="false">IF(AND(E838="Пицца Труслейка",I838="г. Москва",K838="Выполнено",G838&gt;=DATE(2020,7,1),G838&lt;DATE(2020,8,1)),L838,0)</f>
        <v>0</v>
      </c>
    </row>
    <row r="839" customFormat="false" ht="15" hidden="false" customHeight="true" outlineLevel="0" collapsed="false">
      <c r="A839" s="1" t="n">
        <v>101949</v>
      </c>
      <c r="B839" s="1" t="n">
        <v>51682</v>
      </c>
      <c r="C839" s="1" t="n">
        <v>13</v>
      </c>
      <c r="D839" s="1" t="n">
        <v>3</v>
      </c>
      <c r="E839" s="1" t="str">
        <f aca="false">VLOOKUP(C839,Меню!$A$2:$C$24,2,FALSE())</f>
        <v>Пицца Сырная</v>
      </c>
      <c r="F839" s="1" t="n">
        <f aca="false">VLOOKUP(C839,Меню!$A$2:$C$24,3,FALSE())</f>
        <v>635</v>
      </c>
      <c r="G839" s="5" t="n">
        <f aca="false">VLOOKUP(B839,Заказы!$A$2:$E$2995,2,FALSE())</f>
        <v>43998</v>
      </c>
      <c r="H839" s="1" t="n">
        <f aca="false">VLOOKUP(B839,Заказы!$A$2:$E$2995,3,FALSE())</f>
        <v>1913</v>
      </c>
      <c r="I839" s="1" t="str">
        <f aca="false">VLOOKUP(H839,Клиенты!$A$2:$E$1995,5,FALSE())</f>
        <v>г. Елабуга</v>
      </c>
      <c r="J839" s="1" t="n">
        <f aca="false">VLOOKUP(B839,Заказы!$A$2:$E$2995,4,FALSE())</f>
        <v>0</v>
      </c>
      <c r="K839" s="1" t="str">
        <f aca="false">VLOOKUP(B839,Заказы!$A$2:$E$2995,5,FALSE())</f>
        <v>Не выполнено</v>
      </c>
      <c r="L839" s="1" t="n">
        <f aca="false">D839*F839+J839</f>
        <v>1905</v>
      </c>
      <c r="M839" s="1" t="n">
        <f aca="false">IF(AND(E839="Пицца Труслейка",I839="г. Москва",K839="Выполнено",G839&gt;=DATE(2020,7,1),G839&lt;DATE(2020,8,1)),L839,0)</f>
        <v>0</v>
      </c>
    </row>
    <row r="840" customFormat="false" ht="15" hidden="false" customHeight="true" outlineLevel="0" collapsed="false">
      <c r="A840" s="1" t="n">
        <v>101280</v>
      </c>
      <c r="B840" s="1" t="n">
        <v>50942</v>
      </c>
      <c r="C840" s="1" t="n">
        <v>12</v>
      </c>
      <c r="D840" s="1" t="n">
        <v>1</v>
      </c>
      <c r="E840" s="1" t="str">
        <f aca="false">VLOOKUP(C840,Меню!$A$2:$C$24,2,FALSE())</f>
        <v>Пицца Салями с трюфелем</v>
      </c>
      <c r="F840" s="1" t="n">
        <f aca="false">VLOOKUP(C840,Меню!$A$2:$C$24,3,FALSE())</f>
        <v>525</v>
      </c>
      <c r="G840" s="5" t="n">
        <f aca="false">VLOOKUP(B840,Заказы!$A$2:$E$2995,2,FALSE())</f>
        <v>44053</v>
      </c>
      <c r="H840" s="1" t="n">
        <f aca="false">VLOOKUP(B840,Заказы!$A$2:$E$2995,3,FALSE())</f>
        <v>521</v>
      </c>
      <c r="I840" s="1" t="str">
        <f aca="false">VLOOKUP(H840,Клиенты!$A$2:$E$1995,5,FALSE())</f>
        <v>г. Горняк</v>
      </c>
      <c r="J840" s="1" t="n">
        <f aca="false">VLOOKUP(B840,Заказы!$A$2:$E$2995,4,FALSE())</f>
        <v>0</v>
      </c>
      <c r="K840" s="1" t="str">
        <f aca="false">VLOOKUP(B840,Заказы!$A$2:$E$2995,5,FALSE())</f>
        <v>Не выполнено</v>
      </c>
      <c r="L840" s="1" t="n">
        <f aca="false">D840*F840+J840</f>
        <v>525</v>
      </c>
      <c r="M840" s="1" t="n">
        <f aca="false">IF(AND(E840="Пицца Труслейка",I840="г. Москва",K840="Выполнено",G840&gt;=DATE(2020,7,1),G840&lt;DATE(2020,8,1)),L840,0)</f>
        <v>0</v>
      </c>
    </row>
    <row r="841" customFormat="false" ht="15" hidden="false" customHeight="true" outlineLevel="0" collapsed="false">
      <c r="A841" s="1" t="n">
        <v>101790</v>
      </c>
      <c r="B841" s="1" t="n">
        <v>51662</v>
      </c>
      <c r="C841" s="1" t="n">
        <v>4</v>
      </c>
      <c r="D841" s="1" t="n">
        <v>8</v>
      </c>
      <c r="E841" s="1" t="str">
        <f aca="false">VLOOKUP(C841,Меню!$A$2:$C$24,2,FALSE())</f>
        <v>Пицца Труслейка</v>
      </c>
      <c r="F841" s="1" t="n">
        <f aca="false">VLOOKUP(C841,Меню!$A$2:$C$24,3,FALSE())</f>
        <v>610</v>
      </c>
      <c r="G841" s="5" t="n">
        <f aca="false">VLOOKUP(B841,Заказы!$A$2:$E$2995,2,FALSE())</f>
        <v>43990</v>
      </c>
      <c r="H841" s="1" t="n">
        <f aca="false">VLOOKUP(B841,Заказы!$A$2:$E$2995,3,FALSE())</f>
        <v>1491</v>
      </c>
      <c r="I841" s="1" t="str">
        <f aca="false">VLOOKUP(H841,Клиенты!$A$2:$E$1995,5,FALSE())</f>
        <v>г. Мамадыш</v>
      </c>
      <c r="J841" s="1" t="n">
        <f aca="false">VLOOKUP(B841,Заказы!$A$2:$E$2995,4,FALSE())</f>
        <v>553</v>
      </c>
      <c r="K841" s="1" t="str">
        <f aca="false">VLOOKUP(B841,Заказы!$A$2:$E$2995,5,FALSE())</f>
        <v>Выполнено</v>
      </c>
      <c r="L841" s="1" t="n">
        <f aca="false">D841*F841+J841</f>
        <v>5433</v>
      </c>
      <c r="M841" s="1" t="n">
        <f aca="false">IF(AND(E841="Пицца Труслейка",I841="г. Москва",K841="Выполнено",G841&gt;=DATE(2020,7,1),G841&lt;DATE(2020,8,1)),L841,0)</f>
        <v>0</v>
      </c>
    </row>
    <row r="842" customFormat="false" ht="15" hidden="false" customHeight="true" outlineLevel="0" collapsed="false">
      <c r="A842" s="1" t="n">
        <v>101540</v>
      </c>
      <c r="B842" s="1" t="n">
        <v>50750</v>
      </c>
      <c r="C842" s="1" t="n">
        <v>1</v>
      </c>
      <c r="D842" s="1" t="n">
        <v>1</v>
      </c>
      <c r="E842" s="1" t="str">
        <f aca="false">VLOOKUP(C842,Меню!$A$2:$C$24,2,FALSE())</f>
        <v>Пицца Гавайская</v>
      </c>
      <c r="F842" s="1" t="n">
        <f aca="false">VLOOKUP(C842,Меню!$A$2:$C$24,3,FALSE())</f>
        <v>545</v>
      </c>
      <c r="G842" s="5" t="n">
        <f aca="false">VLOOKUP(B842,Заказы!$A$2:$E$2995,2,FALSE())</f>
        <v>44064</v>
      </c>
      <c r="H842" s="1" t="n">
        <f aca="false">VLOOKUP(B842,Заказы!$A$2:$E$2995,3,FALSE())</f>
        <v>132</v>
      </c>
      <c r="I842" s="1" t="str">
        <f aca="false">VLOOKUP(H842,Клиенты!$A$2:$E$1995,5,FALSE())</f>
        <v>г. Красноармейск</v>
      </c>
      <c r="J842" s="1" t="n">
        <f aca="false">VLOOKUP(B842,Заказы!$A$2:$E$2995,4,FALSE())</f>
        <v>102</v>
      </c>
      <c r="K842" s="1" t="str">
        <f aca="false">VLOOKUP(B842,Заказы!$A$2:$E$2995,5,FALSE())</f>
        <v>Выполнено</v>
      </c>
      <c r="L842" s="1" t="n">
        <f aca="false">D842*F842+J842</f>
        <v>647</v>
      </c>
      <c r="M842" s="1" t="n">
        <f aca="false">IF(AND(E842="Пицца Труслейка",I842="г. Москва",K842="Выполнено",G842&gt;=DATE(2020,7,1),G842&lt;DATE(2020,8,1)),L842,0)</f>
        <v>0</v>
      </c>
    </row>
    <row r="843" customFormat="false" ht="15" hidden="false" customHeight="true" outlineLevel="0" collapsed="false">
      <c r="A843" s="1" t="n">
        <v>100394</v>
      </c>
      <c r="B843" s="1" t="n">
        <v>51166</v>
      </c>
      <c r="C843" s="1" t="n">
        <v>21</v>
      </c>
      <c r="D843" s="1" t="n">
        <v>2</v>
      </c>
      <c r="E843" s="1" t="str">
        <f aca="false">VLOOKUP(C843,Меню!$A$2:$C$24,2,FALSE())</f>
        <v>Пицца с креветками и цукини</v>
      </c>
      <c r="F843" s="1" t="n">
        <f aca="false">VLOOKUP(C843,Меню!$A$2:$C$24,3,FALSE())</f>
        <v>600</v>
      </c>
      <c r="G843" s="5" t="n">
        <f aca="false">VLOOKUP(B843,Заказы!$A$2:$E$2995,2,FALSE())</f>
        <v>43988</v>
      </c>
      <c r="H843" s="1" t="n">
        <f aca="false">VLOOKUP(B843,Заказы!$A$2:$E$2995,3,FALSE())</f>
        <v>615</v>
      </c>
      <c r="I843" s="1" t="str">
        <f aca="false">VLOOKUP(H843,Клиенты!$A$2:$E$1995,5,FALSE())</f>
        <v>г. Холм</v>
      </c>
      <c r="J843" s="1" t="n">
        <f aca="false">VLOOKUP(B843,Заказы!$A$2:$E$2995,4,FALSE())</f>
        <v>389</v>
      </c>
      <c r="K843" s="1" t="str">
        <f aca="false">VLOOKUP(B843,Заказы!$A$2:$E$2995,5,FALSE())</f>
        <v>Выполнено</v>
      </c>
      <c r="L843" s="1" t="n">
        <f aca="false">D843*F843+J843</f>
        <v>1589</v>
      </c>
      <c r="M843" s="1" t="n">
        <f aca="false">IF(AND(E843="Пицца Труслейка",I843="г. Москва",K843="Выполнено",G843&gt;=DATE(2020,7,1),G843&lt;DATE(2020,8,1)),L843,0)</f>
        <v>0</v>
      </c>
    </row>
    <row r="844" customFormat="false" ht="15" hidden="false" customHeight="true" outlineLevel="0" collapsed="false">
      <c r="A844" s="1" t="n">
        <v>100613</v>
      </c>
      <c r="B844" s="1" t="n">
        <v>51503</v>
      </c>
      <c r="C844" s="1" t="n">
        <v>18</v>
      </c>
      <c r="D844" s="1" t="n">
        <v>5</v>
      </c>
      <c r="E844" s="1" t="str">
        <f aca="false">VLOOKUP(C844,Меню!$A$2:$C$24,2,FALSE())</f>
        <v>Пицца Царская</v>
      </c>
      <c r="F844" s="1" t="n">
        <f aca="false">VLOOKUP(C844,Меню!$A$2:$C$24,3,FALSE())</f>
        <v>620</v>
      </c>
      <c r="G844" s="5" t="n">
        <f aca="false">VLOOKUP(B844,Заказы!$A$2:$E$2995,2,FALSE())</f>
        <v>44066</v>
      </c>
      <c r="H844" s="1" t="n">
        <f aca="false">VLOOKUP(B844,Заказы!$A$2:$E$2995,3,FALSE())</f>
        <v>922</v>
      </c>
      <c r="I844" s="1" t="str">
        <f aca="false">VLOOKUP(H844,Клиенты!$A$2:$E$1995,5,FALSE())</f>
        <v>г. Ханты-Мансийск</v>
      </c>
      <c r="J844" s="1" t="n">
        <f aca="false">VLOOKUP(B844,Заказы!$A$2:$E$2995,4,FALSE())</f>
        <v>772</v>
      </c>
      <c r="K844" s="1" t="str">
        <f aca="false">VLOOKUP(B844,Заказы!$A$2:$E$2995,5,FALSE())</f>
        <v>Выполнено</v>
      </c>
      <c r="L844" s="1" t="n">
        <f aca="false">D844*F844+J844</f>
        <v>3872</v>
      </c>
      <c r="M844" s="1" t="n">
        <f aca="false">IF(AND(E844="Пицца Труслейка",I844="г. Москва",K844="Выполнено",G844&gt;=DATE(2020,7,1),G844&lt;DATE(2020,8,1)),L844,0)</f>
        <v>0</v>
      </c>
    </row>
    <row r="845" customFormat="false" ht="15" hidden="false" customHeight="true" outlineLevel="0" collapsed="false">
      <c r="A845" s="1" t="n">
        <v>101265</v>
      </c>
      <c r="B845" s="1" t="n">
        <v>51882</v>
      </c>
      <c r="C845" s="1" t="n">
        <v>9</v>
      </c>
      <c r="D845" s="1" t="n">
        <v>6</v>
      </c>
      <c r="E845" s="1" t="str">
        <f aca="false">VLOOKUP(C845,Меню!$A$2:$C$24,2,FALSE())</f>
        <v>Пицца Острая с беконом</v>
      </c>
      <c r="F845" s="1" t="n">
        <f aca="false">VLOOKUP(C845,Меню!$A$2:$C$24,3,FALSE())</f>
        <v>540</v>
      </c>
      <c r="G845" s="5" t="n">
        <f aca="false">VLOOKUP(B845,Заказы!$A$2:$E$2995,2,FALSE())</f>
        <v>44003</v>
      </c>
      <c r="H845" s="1" t="n">
        <f aca="false">VLOOKUP(B845,Заказы!$A$2:$E$2995,3,FALSE())</f>
        <v>361</v>
      </c>
      <c r="I845" s="1" t="str">
        <f aca="false">VLOOKUP(H845,Клиенты!$A$2:$E$1995,5,FALSE())</f>
        <v>г. Ярославль</v>
      </c>
      <c r="J845" s="1" t="n">
        <f aca="false">VLOOKUP(B845,Заказы!$A$2:$E$2995,4,FALSE())</f>
        <v>0</v>
      </c>
      <c r="K845" s="1" t="str">
        <f aca="false">VLOOKUP(B845,Заказы!$A$2:$E$2995,5,FALSE())</f>
        <v>Не выполнено</v>
      </c>
      <c r="L845" s="1" t="n">
        <f aca="false">D845*F845+J845</f>
        <v>3240</v>
      </c>
      <c r="M845" s="1" t="n">
        <f aca="false">IF(AND(E845="Пицца Труслейка",I845="г. Москва",K845="Выполнено",G845&gt;=DATE(2020,7,1),G845&lt;DATE(2020,8,1)),L845,0)</f>
        <v>0</v>
      </c>
    </row>
    <row r="846" customFormat="false" ht="15" hidden="false" customHeight="true" outlineLevel="0" collapsed="false">
      <c r="A846" s="1" t="n">
        <v>101144</v>
      </c>
      <c r="B846" s="1" t="n">
        <v>51956</v>
      </c>
      <c r="C846" s="1" t="n">
        <v>20</v>
      </c>
      <c r="D846" s="1" t="n">
        <v>8</v>
      </c>
      <c r="E846" s="1" t="str">
        <f aca="false">VLOOKUP(C846,Меню!$A$2:$C$24,2,FALSE())</f>
        <v>Пицца пиканте</v>
      </c>
      <c r="F846" s="1" t="n">
        <f aca="false">VLOOKUP(C846,Меню!$A$2:$C$24,3,FALSE())</f>
        <v>585</v>
      </c>
      <c r="G846" s="5" t="n">
        <f aca="false">VLOOKUP(B846,Заказы!$A$2:$E$2995,2,FALSE())</f>
        <v>44042</v>
      </c>
      <c r="H846" s="1" t="n">
        <f aca="false">VLOOKUP(B846,Заказы!$A$2:$E$2995,3,FALSE())</f>
        <v>1561</v>
      </c>
      <c r="I846" s="1" t="str">
        <f aca="false">VLOOKUP(H846,Клиенты!$A$2:$E$1995,5,FALSE())</f>
        <v>г. Тверь</v>
      </c>
      <c r="J846" s="1" t="n">
        <f aca="false">VLOOKUP(B846,Заказы!$A$2:$E$2995,4,FALSE())</f>
        <v>0</v>
      </c>
      <c r="K846" s="1" t="str">
        <f aca="false">VLOOKUP(B846,Заказы!$A$2:$E$2995,5,FALSE())</f>
        <v>Не выполнено</v>
      </c>
      <c r="L846" s="1" t="n">
        <f aca="false">D846*F846+J846</f>
        <v>4680</v>
      </c>
      <c r="M846" s="1" t="n">
        <f aca="false">IF(AND(E846="Пицца Труслейка",I846="г. Москва",K846="Выполнено",G846&gt;=DATE(2020,7,1),G846&lt;DATE(2020,8,1)),L846,0)</f>
        <v>0</v>
      </c>
    </row>
    <row r="847" customFormat="false" ht="15" hidden="false" customHeight="true" outlineLevel="0" collapsed="false">
      <c r="A847" s="1" t="n">
        <v>100911</v>
      </c>
      <c r="B847" s="1" t="n">
        <v>51818</v>
      </c>
      <c r="C847" s="1" t="n">
        <v>10</v>
      </c>
      <c r="D847" s="1" t="n">
        <v>1</v>
      </c>
      <c r="E847" s="1" t="str">
        <f aca="false">VLOOKUP(C847,Меню!$A$2:$C$24,2,FALSE())</f>
        <v>Пицца Пепперони фреш</v>
      </c>
      <c r="F847" s="1" t="n">
        <f aca="false">VLOOKUP(C847,Меню!$A$2:$C$24,3,FALSE())</f>
        <v>565</v>
      </c>
      <c r="G847" s="5" t="n">
        <f aca="false">VLOOKUP(B847,Заказы!$A$2:$E$2995,2,FALSE())</f>
        <v>44040</v>
      </c>
      <c r="H847" s="1" t="n">
        <f aca="false">VLOOKUP(B847,Заказы!$A$2:$E$2995,3,FALSE())</f>
        <v>1804</v>
      </c>
      <c r="I847" s="1" t="str">
        <f aca="false">VLOOKUP(H847,Клиенты!$A$2:$E$1995,5,FALSE())</f>
        <v>г. Бутурлиновка</v>
      </c>
      <c r="J847" s="1" t="n">
        <f aca="false">VLOOKUP(B847,Заказы!$A$2:$E$2995,4,FALSE())</f>
        <v>0</v>
      </c>
      <c r="K847" s="1" t="str">
        <f aca="false">VLOOKUP(B847,Заказы!$A$2:$E$2995,5,FALSE())</f>
        <v>Не выполнено</v>
      </c>
      <c r="L847" s="1" t="n">
        <f aca="false">D847*F847+J847</f>
        <v>565</v>
      </c>
      <c r="M847" s="1" t="n">
        <f aca="false">IF(AND(E847="Пицца Труслейка",I847="г. Москва",K847="Выполнено",G847&gt;=DATE(2020,7,1),G847&lt;DATE(2020,8,1)),L847,0)</f>
        <v>0</v>
      </c>
    </row>
    <row r="848" customFormat="false" ht="15" hidden="false" customHeight="true" outlineLevel="0" collapsed="false">
      <c r="A848" s="1" t="n">
        <v>101006</v>
      </c>
      <c r="B848" s="1" t="n">
        <v>50439</v>
      </c>
      <c r="C848" s="1" t="n">
        <v>20</v>
      </c>
      <c r="D848" s="1" t="n">
        <v>10</v>
      </c>
      <c r="E848" s="1" t="str">
        <f aca="false">VLOOKUP(C848,Меню!$A$2:$C$24,2,FALSE())</f>
        <v>Пицца пиканте</v>
      </c>
      <c r="F848" s="1" t="n">
        <f aca="false">VLOOKUP(C848,Меню!$A$2:$C$24,3,FALSE())</f>
        <v>585</v>
      </c>
      <c r="G848" s="5" t="n">
        <f aca="false">VLOOKUP(B848,Заказы!$A$2:$E$2995,2,FALSE())</f>
        <v>44008</v>
      </c>
      <c r="H848" s="1" t="n">
        <f aca="false">VLOOKUP(B848,Заказы!$A$2:$E$2995,3,FALSE())</f>
        <v>1244</v>
      </c>
      <c r="I848" s="1" t="str">
        <f aca="false">VLOOKUP(H848,Клиенты!$A$2:$E$1995,5,FALSE())</f>
        <v>г. Ноябрьск</v>
      </c>
      <c r="J848" s="1" t="n">
        <f aca="false">VLOOKUP(B848,Заказы!$A$2:$E$2995,4,FALSE())</f>
        <v>0</v>
      </c>
      <c r="K848" s="1" t="str">
        <f aca="false">VLOOKUP(B848,Заказы!$A$2:$E$2995,5,FALSE())</f>
        <v>Не выполнено</v>
      </c>
      <c r="L848" s="1" t="n">
        <f aca="false">D848*F848+J848</f>
        <v>5850</v>
      </c>
      <c r="M848" s="1" t="n">
        <f aca="false">IF(AND(E848="Пицца Труслейка",I848="г. Москва",K848="Выполнено",G848&gt;=DATE(2020,7,1),G848&lt;DATE(2020,8,1)),L848,0)</f>
        <v>0</v>
      </c>
    </row>
    <row r="849" customFormat="false" ht="15" hidden="false" customHeight="true" outlineLevel="0" collapsed="false">
      <c r="A849" s="1" t="n">
        <v>100776</v>
      </c>
      <c r="B849" s="1" t="n">
        <v>51929</v>
      </c>
      <c r="C849" s="1" t="n">
        <v>13</v>
      </c>
      <c r="D849" s="1" t="n">
        <v>6</v>
      </c>
      <c r="E849" s="1" t="str">
        <f aca="false">VLOOKUP(C849,Меню!$A$2:$C$24,2,FALSE())</f>
        <v>Пицца Сырная</v>
      </c>
      <c r="F849" s="1" t="n">
        <f aca="false">VLOOKUP(C849,Меню!$A$2:$C$24,3,FALSE())</f>
        <v>635</v>
      </c>
      <c r="G849" s="5" t="n">
        <f aca="false">VLOOKUP(B849,Заказы!$A$2:$E$2995,2,FALSE())</f>
        <v>44050</v>
      </c>
      <c r="H849" s="1" t="n">
        <f aca="false">VLOOKUP(B849,Заказы!$A$2:$E$2995,3,FALSE())</f>
        <v>1274</v>
      </c>
      <c r="I849" s="1" t="str">
        <f aca="false">VLOOKUP(H849,Клиенты!$A$2:$E$1995,5,FALSE())</f>
        <v>г. Губаха</v>
      </c>
      <c r="J849" s="1" t="n">
        <f aca="false">VLOOKUP(B849,Заказы!$A$2:$E$2995,4,FALSE())</f>
        <v>192</v>
      </c>
      <c r="K849" s="1" t="str">
        <f aca="false">VLOOKUP(B849,Заказы!$A$2:$E$2995,5,FALSE())</f>
        <v>Выполнено</v>
      </c>
      <c r="L849" s="1" t="n">
        <f aca="false">D849*F849+J849</f>
        <v>4002</v>
      </c>
      <c r="M849" s="1" t="n">
        <f aca="false">IF(AND(E849="Пицца Труслейка",I849="г. Москва",K849="Выполнено",G849&gt;=DATE(2020,7,1),G849&lt;DATE(2020,8,1)),L849,0)</f>
        <v>0</v>
      </c>
    </row>
    <row r="850" customFormat="false" ht="15" hidden="false" customHeight="true" outlineLevel="0" collapsed="false">
      <c r="A850" s="1" t="n">
        <v>100753</v>
      </c>
      <c r="B850" s="1" t="n">
        <v>51481</v>
      </c>
      <c r="C850" s="1" t="n">
        <v>17</v>
      </c>
      <c r="D850" s="1" t="n">
        <v>8</v>
      </c>
      <c r="E850" s="1" t="str">
        <f aca="false">VLOOKUP(C850,Меню!$A$2:$C$24,2,FALSE())</f>
        <v>Пицца Френч Фрайз</v>
      </c>
      <c r="F850" s="1" t="n">
        <f aca="false">VLOOKUP(C850,Меню!$A$2:$C$24,3,FALSE())</f>
        <v>515</v>
      </c>
      <c r="G850" s="5" t="n">
        <f aca="false">VLOOKUP(B850,Заказы!$A$2:$E$2995,2,FALSE())</f>
        <v>44046</v>
      </c>
      <c r="H850" s="1" t="n">
        <f aca="false">VLOOKUP(B850,Заказы!$A$2:$E$2995,3,FALSE())</f>
        <v>1580</v>
      </c>
      <c r="I850" s="1" t="str">
        <f aca="false">VLOOKUP(H850,Клиенты!$A$2:$E$1995,5,FALSE())</f>
        <v>г. Москва</v>
      </c>
      <c r="J850" s="1" t="n">
        <f aca="false">VLOOKUP(B850,Заказы!$A$2:$E$2995,4,FALSE())</f>
        <v>257</v>
      </c>
      <c r="K850" s="1" t="str">
        <f aca="false">VLOOKUP(B850,Заказы!$A$2:$E$2995,5,FALSE())</f>
        <v>Выполнено</v>
      </c>
      <c r="L850" s="1" t="n">
        <f aca="false">D850*F850+J850</f>
        <v>4377</v>
      </c>
      <c r="M850" s="1" t="n">
        <f aca="false">IF(AND(E850="Пицца Труслейка",I850="г. Москва",K850="Выполнено",G850&gt;=DATE(2020,7,1),G850&lt;DATE(2020,8,1)),L850,0)</f>
        <v>0</v>
      </c>
    </row>
    <row r="851" customFormat="false" ht="15" hidden="false" customHeight="true" outlineLevel="0" collapsed="false">
      <c r="A851" s="1" t="n">
        <v>101248</v>
      </c>
      <c r="B851" s="1" t="n">
        <v>51671</v>
      </c>
      <c r="C851" s="1" t="n">
        <v>4</v>
      </c>
      <c r="D851" s="1" t="n">
        <v>7</v>
      </c>
      <c r="E851" s="1" t="str">
        <f aca="false">VLOOKUP(C851,Меню!$A$2:$C$24,2,FALSE())</f>
        <v>Пицца Труслейка</v>
      </c>
      <c r="F851" s="1" t="n">
        <f aca="false">VLOOKUP(C851,Меню!$A$2:$C$24,3,FALSE())</f>
        <v>610</v>
      </c>
      <c r="G851" s="5" t="n">
        <f aca="false">VLOOKUP(B851,Заказы!$A$2:$E$2995,2,FALSE())</f>
        <v>44005</v>
      </c>
      <c r="H851" s="1" t="n">
        <f aca="false">VLOOKUP(B851,Заказы!$A$2:$E$2995,3,FALSE())</f>
        <v>483</v>
      </c>
      <c r="I851" s="1" t="str">
        <f aca="false">VLOOKUP(H851,Клиенты!$A$2:$E$1995,5,FALSE())</f>
        <v>г. Калининград</v>
      </c>
      <c r="J851" s="1" t="n">
        <f aca="false">VLOOKUP(B851,Заказы!$A$2:$E$2995,4,FALSE())</f>
        <v>0</v>
      </c>
      <c r="K851" s="1" t="str">
        <f aca="false">VLOOKUP(B851,Заказы!$A$2:$E$2995,5,FALSE())</f>
        <v>Не выполнено</v>
      </c>
      <c r="L851" s="1" t="n">
        <f aca="false">D851*F851+J851</f>
        <v>4270</v>
      </c>
      <c r="M851" s="1" t="n">
        <f aca="false">IF(AND(E851="Пицца Труслейка",I851="г. Москва",K851="Выполнено",G851&gt;=DATE(2020,7,1),G851&lt;DATE(2020,8,1)),L851,0)</f>
        <v>0</v>
      </c>
    </row>
    <row r="852" customFormat="false" ht="15" hidden="false" customHeight="true" outlineLevel="0" collapsed="false">
      <c r="A852" s="1" t="n">
        <v>101416</v>
      </c>
      <c r="B852" s="1" t="n">
        <v>51000</v>
      </c>
      <c r="C852" s="1" t="n">
        <v>8</v>
      </c>
      <c r="D852" s="1" t="n">
        <v>4</v>
      </c>
      <c r="E852" s="1" t="str">
        <f aca="false">VLOOKUP(C852,Меню!$A$2:$C$24,2,FALSE())</f>
        <v>Пицца Мясная</v>
      </c>
      <c r="F852" s="1" t="n">
        <f aca="false">VLOOKUP(C852,Меню!$A$2:$C$24,3,FALSE())</f>
        <v>615</v>
      </c>
      <c r="G852" s="5" t="n">
        <f aca="false">VLOOKUP(B852,Заказы!$A$2:$E$2995,2,FALSE())</f>
        <v>44026</v>
      </c>
      <c r="H852" s="1" t="n">
        <f aca="false">VLOOKUP(B852,Заказы!$A$2:$E$2995,3,FALSE())</f>
        <v>1406</v>
      </c>
      <c r="I852" s="1" t="str">
        <f aca="false">VLOOKUP(H852,Клиенты!$A$2:$E$1995,5,FALSE())</f>
        <v>г. Дорогобуж</v>
      </c>
      <c r="J852" s="1" t="n">
        <f aca="false">VLOOKUP(B852,Заказы!$A$2:$E$2995,4,FALSE())</f>
        <v>0</v>
      </c>
      <c r="K852" s="1" t="str">
        <f aca="false">VLOOKUP(B852,Заказы!$A$2:$E$2995,5,FALSE())</f>
        <v>Не выполнено</v>
      </c>
      <c r="L852" s="1" t="n">
        <f aca="false">D852*F852+J852</f>
        <v>2460</v>
      </c>
      <c r="M852" s="1" t="n">
        <f aca="false">IF(AND(E852="Пицца Труслейка",I852="г. Москва",K852="Выполнено",G852&gt;=DATE(2020,7,1),G852&lt;DATE(2020,8,1)),L852,0)</f>
        <v>0</v>
      </c>
    </row>
    <row r="853" customFormat="false" ht="15" hidden="false" customHeight="true" outlineLevel="0" collapsed="false">
      <c r="A853" s="1" t="n">
        <v>100490</v>
      </c>
      <c r="B853" s="1" t="n">
        <v>51244</v>
      </c>
      <c r="C853" s="1" t="n">
        <v>10</v>
      </c>
      <c r="D853" s="1" t="n">
        <v>10</v>
      </c>
      <c r="E853" s="1" t="str">
        <f aca="false">VLOOKUP(C853,Меню!$A$2:$C$24,2,FALSE())</f>
        <v>Пицца Пепперони фреш</v>
      </c>
      <c r="F853" s="1" t="n">
        <f aca="false">VLOOKUP(C853,Меню!$A$2:$C$24,3,FALSE())</f>
        <v>565</v>
      </c>
      <c r="G853" s="5" t="n">
        <f aca="false">VLOOKUP(B853,Заказы!$A$2:$E$2995,2,FALSE())</f>
        <v>44062</v>
      </c>
      <c r="H853" s="1" t="n">
        <f aca="false">VLOOKUP(B853,Заказы!$A$2:$E$2995,3,FALSE())</f>
        <v>572</v>
      </c>
      <c r="I853" s="1" t="str">
        <f aca="false">VLOOKUP(H853,Клиенты!$A$2:$E$1995,5,FALSE())</f>
        <v>г. Домодедово</v>
      </c>
      <c r="J853" s="1" t="n">
        <f aca="false">VLOOKUP(B853,Заказы!$A$2:$E$2995,4,FALSE())</f>
        <v>0</v>
      </c>
      <c r="K853" s="1" t="str">
        <f aca="false">VLOOKUP(B853,Заказы!$A$2:$E$2995,5,FALSE())</f>
        <v>Не выполнено</v>
      </c>
      <c r="L853" s="1" t="n">
        <f aca="false">D853*F853+J853</f>
        <v>5650</v>
      </c>
      <c r="M853" s="1" t="n">
        <f aca="false">IF(AND(E853="Пицца Труслейка",I853="г. Москва",K853="Выполнено",G853&gt;=DATE(2020,7,1),G853&lt;DATE(2020,8,1)),L853,0)</f>
        <v>0</v>
      </c>
    </row>
    <row r="854" customFormat="false" ht="15" hidden="false" customHeight="true" outlineLevel="0" collapsed="false">
      <c r="A854" s="1" t="n">
        <v>100769</v>
      </c>
      <c r="B854" s="1" t="n">
        <v>51342</v>
      </c>
      <c r="C854" s="1" t="n">
        <v>20</v>
      </c>
      <c r="D854" s="1" t="n">
        <v>5</v>
      </c>
      <c r="E854" s="1" t="str">
        <f aca="false">VLOOKUP(C854,Меню!$A$2:$C$24,2,FALSE())</f>
        <v>Пицца пиканте</v>
      </c>
      <c r="F854" s="1" t="n">
        <f aca="false">VLOOKUP(C854,Меню!$A$2:$C$24,3,FALSE())</f>
        <v>585</v>
      </c>
      <c r="G854" s="5" t="n">
        <f aca="false">VLOOKUP(B854,Заказы!$A$2:$E$2995,2,FALSE())</f>
        <v>44052</v>
      </c>
      <c r="H854" s="1" t="n">
        <f aca="false">VLOOKUP(B854,Заказы!$A$2:$E$2995,3,FALSE())</f>
        <v>1173</v>
      </c>
      <c r="I854" s="1" t="str">
        <f aca="false">VLOOKUP(H854,Клиенты!$A$2:$E$1995,5,FALSE())</f>
        <v>г. Голицыно</v>
      </c>
      <c r="J854" s="1" t="n">
        <f aca="false">VLOOKUP(B854,Заказы!$A$2:$E$2995,4,FALSE())</f>
        <v>738</v>
      </c>
      <c r="K854" s="1" t="str">
        <f aca="false">VLOOKUP(B854,Заказы!$A$2:$E$2995,5,FALSE())</f>
        <v>Выполнено</v>
      </c>
      <c r="L854" s="1" t="n">
        <f aca="false">D854*F854+J854</f>
        <v>3663</v>
      </c>
      <c r="M854" s="1" t="n">
        <f aca="false">IF(AND(E854="Пицца Труслейка",I854="г. Москва",K854="Выполнено",G854&gt;=DATE(2020,7,1),G854&lt;DATE(2020,8,1)),L854,0)</f>
        <v>0</v>
      </c>
    </row>
    <row r="855" customFormat="false" ht="15" hidden="false" customHeight="true" outlineLevel="0" collapsed="false">
      <c r="A855" s="1" t="n">
        <v>100139</v>
      </c>
      <c r="B855" s="1" t="n">
        <v>51792</v>
      </c>
      <c r="C855" s="1" t="n">
        <v>9</v>
      </c>
      <c r="D855" s="1" t="n">
        <v>8</v>
      </c>
      <c r="E855" s="1" t="str">
        <f aca="false">VLOOKUP(C855,Меню!$A$2:$C$24,2,FALSE())</f>
        <v>Пицца Острая с беконом</v>
      </c>
      <c r="F855" s="1" t="n">
        <f aca="false">VLOOKUP(C855,Меню!$A$2:$C$24,3,FALSE())</f>
        <v>540</v>
      </c>
      <c r="G855" s="5" t="n">
        <f aca="false">VLOOKUP(B855,Заказы!$A$2:$E$2995,2,FALSE())</f>
        <v>44054</v>
      </c>
      <c r="H855" s="1" t="n">
        <f aca="false">VLOOKUP(B855,Заказы!$A$2:$E$2995,3,FALSE())</f>
        <v>1151</v>
      </c>
      <c r="I855" s="1" t="str">
        <f aca="false">VLOOKUP(H855,Клиенты!$A$2:$E$1995,5,FALSE())</f>
        <v>г. Курчалой</v>
      </c>
      <c r="J855" s="1" t="n">
        <f aca="false">VLOOKUP(B855,Заказы!$A$2:$E$2995,4,FALSE())</f>
        <v>640</v>
      </c>
      <c r="K855" s="1" t="str">
        <f aca="false">VLOOKUP(B855,Заказы!$A$2:$E$2995,5,FALSE())</f>
        <v>Выполнено</v>
      </c>
      <c r="L855" s="1" t="n">
        <f aca="false">D855*F855+J855</f>
        <v>4960</v>
      </c>
      <c r="M855" s="1" t="n">
        <f aca="false">IF(AND(E855="Пицца Труслейка",I855="г. Москва",K855="Выполнено",G855&gt;=DATE(2020,7,1),G855&lt;DATE(2020,8,1)),L855,0)</f>
        <v>0</v>
      </c>
    </row>
    <row r="856" customFormat="false" ht="15" hidden="false" customHeight="true" outlineLevel="0" collapsed="false">
      <c r="A856" s="1" t="n">
        <v>100193</v>
      </c>
      <c r="B856" s="1" t="n">
        <v>51136</v>
      </c>
      <c r="C856" s="1" t="n">
        <v>1</v>
      </c>
      <c r="D856" s="1" t="n">
        <v>6</v>
      </c>
      <c r="E856" s="1" t="str">
        <f aca="false">VLOOKUP(C856,Меню!$A$2:$C$24,2,FALSE())</f>
        <v>Пицца Гавайская</v>
      </c>
      <c r="F856" s="1" t="n">
        <f aca="false">VLOOKUP(C856,Меню!$A$2:$C$24,3,FALSE())</f>
        <v>545</v>
      </c>
      <c r="G856" s="5" t="n">
        <f aca="false">VLOOKUP(B856,Заказы!$A$2:$E$2995,2,FALSE())</f>
        <v>44040</v>
      </c>
      <c r="H856" s="1" t="n">
        <f aca="false">VLOOKUP(B856,Заказы!$A$2:$E$2995,3,FALSE())</f>
        <v>743</v>
      </c>
      <c r="I856" s="1" t="str">
        <f aca="false">VLOOKUP(H856,Клиенты!$A$2:$E$1995,5,FALSE())</f>
        <v>г. Магнитогорск</v>
      </c>
      <c r="J856" s="1" t="n">
        <f aca="false">VLOOKUP(B856,Заказы!$A$2:$E$2995,4,FALSE())</f>
        <v>273</v>
      </c>
      <c r="K856" s="1" t="str">
        <f aca="false">VLOOKUP(B856,Заказы!$A$2:$E$2995,5,FALSE())</f>
        <v>Выполнено</v>
      </c>
      <c r="L856" s="1" t="n">
        <f aca="false">D856*F856+J856</f>
        <v>3543</v>
      </c>
      <c r="M856" s="1" t="n">
        <f aca="false">IF(AND(E856="Пицца Труслейка",I856="г. Москва",K856="Выполнено",G856&gt;=DATE(2020,7,1),G856&lt;DATE(2020,8,1)),L856,0)</f>
        <v>0</v>
      </c>
    </row>
    <row r="857" customFormat="false" ht="15" hidden="false" customHeight="true" outlineLevel="0" collapsed="false">
      <c r="A857" s="1" t="n">
        <v>100891</v>
      </c>
      <c r="B857" s="1" t="n">
        <v>50819</v>
      </c>
      <c r="C857" s="1" t="n">
        <v>9</v>
      </c>
      <c r="D857" s="1" t="n">
        <v>4</v>
      </c>
      <c r="E857" s="1" t="str">
        <f aca="false">VLOOKUP(C857,Меню!$A$2:$C$24,2,FALSE())</f>
        <v>Пицца Острая с беконом</v>
      </c>
      <c r="F857" s="1" t="n">
        <f aca="false">VLOOKUP(C857,Меню!$A$2:$C$24,3,FALSE())</f>
        <v>540</v>
      </c>
      <c r="G857" s="5" t="n">
        <f aca="false">VLOOKUP(B857,Заказы!$A$2:$E$2995,2,FALSE())</f>
        <v>44053</v>
      </c>
      <c r="H857" s="1" t="n">
        <f aca="false">VLOOKUP(B857,Заказы!$A$2:$E$2995,3,FALSE())</f>
        <v>578</v>
      </c>
      <c r="I857" s="1" t="str">
        <f aca="false">VLOOKUP(H857,Клиенты!$A$2:$E$1995,5,FALSE())</f>
        <v>г. Похвистнево</v>
      </c>
      <c r="J857" s="1" t="n">
        <f aca="false">VLOOKUP(B857,Заказы!$A$2:$E$2995,4,FALSE())</f>
        <v>373</v>
      </c>
      <c r="K857" s="1" t="str">
        <f aca="false">VLOOKUP(B857,Заказы!$A$2:$E$2995,5,FALSE())</f>
        <v>Выполнено</v>
      </c>
      <c r="L857" s="1" t="n">
        <f aca="false">D857*F857+J857</f>
        <v>2533</v>
      </c>
      <c r="M857" s="1" t="n">
        <f aca="false">IF(AND(E857="Пицца Труслейка",I857="г. Москва",K857="Выполнено",G857&gt;=DATE(2020,7,1),G857&lt;DATE(2020,8,1)),L857,0)</f>
        <v>0</v>
      </c>
    </row>
    <row r="858" customFormat="false" ht="15" hidden="false" customHeight="true" outlineLevel="0" collapsed="false">
      <c r="A858" s="1" t="n">
        <v>100105</v>
      </c>
      <c r="B858" s="1" t="n">
        <v>51526</v>
      </c>
      <c r="C858" s="1" t="n">
        <v>21</v>
      </c>
      <c r="D858" s="1" t="n">
        <v>8</v>
      </c>
      <c r="E858" s="1" t="str">
        <f aca="false">VLOOKUP(C858,Меню!$A$2:$C$24,2,FALSE())</f>
        <v>Пицца с креветками и цукини</v>
      </c>
      <c r="F858" s="1" t="n">
        <f aca="false">VLOOKUP(C858,Меню!$A$2:$C$24,3,FALSE())</f>
        <v>600</v>
      </c>
      <c r="G858" s="5" t="n">
        <f aca="false">VLOOKUP(B858,Заказы!$A$2:$E$2995,2,FALSE())</f>
        <v>44040</v>
      </c>
      <c r="H858" s="1" t="n">
        <f aca="false">VLOOKUP(B858,Заказы!$A$2:$E$2995,3,FALSE())</f>
        <v>120</v>
      </c>
      <c r="I858" s="1" t="str">
        <f aca="false">VLOOKUP(H858,Клиенты!$A$2:$E$1995,5,FALSE())</f>
        <v>г. Москва</v>
      </c>
      <c r="J858" s="1" t="n">
        <f aca="false">VLOOKUP(B858,Заказы!$A$2:$E$2995,4,FALSE())</f>
        <v>0</v>
      </c>
      <c r="K858" s="1" t="str">
        <f aca="false">VLOOKUP(B858,Заказы!$A$2:$E$2995,5,FALSE())</f>
        <v>Не выполнено</v>
      </c>
      <c r="L858" s="1" t="n">
        <f aca="false">D858*F858+J858</f>
        <v>4800</v>
      </c>
      <c r="M858" s="1" t="n">
        <f aca="false">IF(AND(E858="Пицца Труслейка",I858="г. Москва",K858="Выполнено",G858&gt;=DATE(2020,7,1),G858&lt;DATE(2020,8,1)),L858,0)</f>
        <v>0</v>
      </c>
    </row>
    <row r="859" customFormat="false" ht="15" hidden="false" customHeight="true" outlineLevel="0" collapsed="false">
      <c r="A859" s="1" t="n">
        <v>101005</v>
      </c>
      <c r="B859" s="1" t="n">
        <v>51987</v>
      </c>
      <c r="C859" s="1" t="n">
        <v>15</v>
      </c>
      <c r="D859" s="1" t="n">
        <v>9</v>
      </c>
      <c r="E859" s="1" t="str">
        <f aca="false">VLOOKUP(C859,Меню!$A$2:$C$24,2,FALSE())</f>
        <v>Пицца Тропиканка</v>
      </c>
      <c r="F859" s="1" t="n">
        <f aca="false">VLOOKUP(C859,Меню!$A$2:$C$24,3,FALSE())</f>
        <v>605</v>
      </c>
      <c r="G859" s="5" t="n">
        <f aca="false">VLOOKUP(B859,Заказы!$A$2:$E$2995,2,FALSE())</f>
        <v>44005</v>
      </c>
      <c r="H859" s="1" t="n">
        <f aca="false">VLOOKUP(B859,Заказы!$A$2:$E$2995,3,FALSE())</f>
        <v>1334</v>
      </c>
      <c r="I859" s="1" t="str">
        <f aca="false">VLOOKUP(H859,Клиенты!$A$2:$E$1995,5,FALSE())</f>
        <v>г. Волхов</v>
      </c>
      <c r="J859" s="1" t="n">
        <f aca="false">VLOOKUP(B859,Заказы!$A$2:$E$2995,4,FALSE())</f>
        <v>0</v>
      </c>
      <c r="K859" s="1" t="str">
        <f aca="false">VLOOKUP(B859,Заказы!$A$2:$E$2995,5,FALSE())</f>
        <v>Не выполнено</v>
      </c>
      <c r="L859" s="1" t="n">
        <f aca="false">D859*F859+J859</f>
        <v>5445</v>
      </c>
      <c r="M859" s="1" t="n">
        <f aca="false">IF(AND(E859="Пицца Труслейка",I859="г. Москва",K859="Выполнено",G859&gt;=DATE(2020,7,1),G859&lt;DATE(2020,8,1)),L859,0)</f>
        <v>0</v>
      </c>
    </row>
    <row r="860" customFormat="false" ht="15" hidden="false" customHeight="true" outlineLevel="0" collapsed="false">
      <c r="A860" s="1" t="n">
        <v>100262</v>
      </c>
      <c r="B860" s="1" t="n">
        <v>50255</v>
      </c>
      <c r="C860" s="1" t="n">
        <v>15</v>
      </c>
      <c r="D860" s="1" t="n">
        <v>10</v>
      </c>
      <c r="E860" s="1" t="str">
        <f aca="false">VLOOKUP(C860,Меню!$A$2:$C$24,2,FALSE())</f>
        <v>Пицца Тропиканка</v>
      </c>
      <c r="F860" s="1" t="n">
        <f aca="false">VLOOKUP(C860,Меню!$A$2:$C$24,3,FALSE())</f>
        <v>605</v>
      </c>
      <c r="G860" s="5" t="n">
        <f aca="false">VLOOKUP(B860,Заказы!$A$2:$E$2995,2,FALSE())</f>
        <v>44058</v>
      </c>
      <c r="H860" s="1" t="n">
        <f aca="false">VLOOKUP(B860,Заказы!$A$2:$E$2995,3,FALSE())</f>
        <v>1132</v>
      </c>
      <c r="I860" s="1" t="str">
        <f aca="false">VLOOKUP(H860,Клиенты!$A$2:$E$1995,5,FALSE())</f>
        <v>г. Агрыз</v>
      </c>
      <c r="J860" s="1" t="n">
        <f aca="false">VLOOKUP(B860,Заказы!$A$2:$E$2995,4,FALSE())</f>
        <v>482</v>
      </c>
      <c r="K860" s="1" t="str">
        <f aca="false">VLOOKUP(B860,Заказы!$A$2:$E$2995,5,FALSE())</f>
        <v>Выполнено</v>
      </c>
      <c r="L860" s="1" t="n">
        <f aca="false">D860*F860+J860</f>
        <v>6532</v>
      </c>
      <c r="M860" s="1" t="n">
        <f aca="false">IF(AND(E860="Пицца Труслейка",I860="г. Москва",K860="Выполнено",G860&gt;=DATE(2020,7,1),G860&lt;DATE(2020,8,1)),L860,0)</f>
        <v>0</v>
      </c>
    </row>
    <row r="861" customFormat="false" ht="15" hidden="false" customHeight="true" outlineLevel="0" collapsed="false">
      <c r="A861" s="1" t="n">
        <v>100708</v>
      </c>
      <c r="B861" s="1" t="n">
        <v>50026</v>
      </c>
      <c r="C861" s="1" t="n">
        <v>4</v>
      </c>
      <c r="D861" s="1" t="n">
        <v>2</v>
      </c>
      <c r="E861" s="1" t="str">
        <f aca="false">VLOOKUP(C861,Меню!$A$2:$C$24,2,FALSE())</f>
        <v>Пицца Труслейка</v>
      </c>
      <c r="F861" s="1" t="n">
        <f aca="false">VLOOKUP(C861,Меню!$A$2:$C$24,3,FALSE())</f>
        <v>610</v>
      </c>
      <c r="G861" s="5" t="n">
        <f aca="false">VLOOKUP(B861,Заказы!$A$2:$E$2995,2,FALSE())</f>
        <v>44020</v>
      </c>
      <c r="H861" s="1" t="n">
        <f aca="false">VLOOKUP(B861,Заказы!$A$2:$E$2995,3,FALSE())</f>
        <v>1670</v>
      </c>
      <c r="I861" s="1" t="str">
        <f aca="false">VLOOKUP(H861,Клиенты!$A$2:$E$1995,5,FALSE())</f>
        <v>г. Москва</v>
      </c>
      <c r="J861" s="1" t="n">
        <f aca="false">VLOOKUP(B861,Заказы!$A$2:$E$2995,4,FALSE())</f>
        <v>0</v>
      </c>
      <c r="K861" s="1" t="str">
        <f aca="false">VLOOKUP(B861,Заказы!$A$2:$E$2995,5,FALSE())</f>
        <v>Не выполнено</v>
      </c>
      <c r="L861" s="1" t="n">
        <f aca="false">D861*F861+J861</f>
        <v>1220</v>
      </c>
      <c r="M861" s="1" t="n">
        <f aca="false">IF(AND(E861="Пицца Труслейка",I861="г. Москва",K861="Выполнено",G861&gt;=DATE(2020,7,1),G861&lt;DATE(2020,8,1)),L861,0)</f>
        <v>0</v>
      </c>
    </row>
    <row r="862" customFormat="false" ht="15" hidden="false" customHeight="true" outlineLevel="0" collapsed="false">
      <c r="A862" s="1" t="n">
        <v>101121</v>
      </c>
      <c r="B862" s="1" t="n">
        <v>51778</v>
      </c>
      <c r="C862" s="1" t="n">
        <v>13</v>
      </c>
      <c r="D862" s="1" t="n">
        <v>1</v>
      </c>
      <c r="E862" s="1" t="str">
        <f aca="false">VLOOKUP(C862,Меню!$A$2:$C$24,2,FALSE())</f>
        <v>Пицца Сырная</v>
      </c>
      <c r="F862" s="1" t="n">
        <f aca="false">VLOOKUP(C862,Меню!$A$2:$C$24,3,FALSE())</f>
        <v>635</v>
      </c>
      <c r="G862" s="5" t="n">
        <f aca="false">VLOOKUP(B862,Заказы!$A$2:$E$2995,2,FALSE())</f>
        <v>44041</v>
      </c>
      <c r="H862" s="1" t="n">
        <f aca="false">VLOOKUP(B862,Заказы!$A$2:$E$2995,3,FALSE())</f>
        <v>1509</v>
      </c>
      <c r="I862" s="1" t="str">
        <f aca="false">VLOOKUP(H862,Клиенты!$A$2:$E$1995,5,FALSE())</f>
        <v>г. Куровское</v>
      </c>
      <c r="J862" s="1" t="n">
        <f aca="false">VLOOKUP(B862,Заказы!$A$2:$E$2995,4,FALSE())</f>
        <v>0</v>
      </c>
      <c r="K862" s="1" t="str">
        <f aca="false">VLOOKUP(B862,Заказы!$A$2:$E$2995,5,FALSE())</f>
        <v>Не выполнено</v>
      </c>
      <c r="L862" s="1" t="n">
        <f aca="false">D862*F862+J862</f>
        <v>635</v>
      </c>
      <c r="M862" s="1" t="n">
        <f aca="false">IF(AND(E862="Пицца Труслейка",I862="г. Москва",K862="Выполнено",G862&gt;=DATE(2020,7,1),G862&lt;DATE(2020,8,1)),L862,0)</f>
        <v>0</v>
      </c>
    </row>
    <row r="863" customFormat="false" ht="15" hidden="false" customHeight="true" outlineLevel="0" collapsed="false">
      <c r="A863" s="1" t="n">
        <v>100290</v>
      </c>
      <c r="B863" s="1" t="n">
        <v>50001</v>
      </c>
      <c r="C863" s="1" t="n">
        <v>9</v>
      </c>
      <c r="D863" s="1" t="n">
        <v>10</v>
      </c>
      <c r="E863" s="1" t="str">
        <f aca="false">VLOOKUP(C863,Меню!$A$2:$C$24,2,FALSE())</f>
        <v>Пицца Острая с беконом</v>
      </c>
      <c r="F863" s="1" t="n">
        <f aca="false">VLOOKUP(C863,Меню!$A$2:$C$24,3,FALSE())</f>
        <v>540</v>
      </c>
      <c r="G863" s="5" t="n">
        <f aca="false">VLOOKUP(B863,Заказы!$A$2:$E$2995,2,FALSE())</f>
        <v>44005</v>
      </c>
      <c r="H863" s="1" t="n">
        <f aca="false">VLOOKUP(B863,Заказы!$A$2:$E$2995,3,FALSE())</f>
        <v>1592</v>
      </c>
      <c r="I863" s="1" t="str">
        <f aca="false">VLOOKUP(H863,Клиенты!$A$2:$E$1995,5,FALSE())</f>
        <v>г. Слюдянка</v>
      </c>
      <c r="J863" s="1" t="n">
        <f aca="false">VLOOKUP(B863,Заказы!$A$2:$E$2995,4,FALSE())</f>
        <v>0</v>
      </c>
      <c r="K863" s="1" t="str">
        <f aca="false">VLOOKUP(B863,Заказы!$A$2:$E$2995,5,FALSE())</f>
        <v>Не выполнено</v>
      </c>
      <c r="L863" s="1" t="n">
        <f aca="false">D863*F863+J863</f>
        <v>5400</v>
      </c>
      <c r="M863" s="1" t="n">
        <f aca="false">IF(AND(E863="Пицца Труслейка",I863="г. Москва",K863="Выполнено",G863&gt;=DATE(2020,7,1),G863&lt;DATE(2020,8,1)),L863,0)</f>
        <v>0</v>
      </c>
    </row>
    <row r="864" customFormat="false" ht="15" hidden="false" customHeight="true" outlineLevel="0" collapsed="false">
      <c r="A864" s="1" t="n">
        <v>100843</v>
      </c>
      <c r="B864" s="1" t="n">
        <v>50352</v>
      </c>
      <c r="C864" s="1" t="n">
        <v>23</v>
      </c>
      <c r="D864" s="1" t="n">
        <v>1</v>
      </c>
      <c r="E864" s="1" t="str">
        <f aca="false">VLOOKUP(C864,Меню!$A$2:$C$24,2,FALSE())</f>
        <v>Пицца с тунцом</v>
      </c>
      <c r="F864" s="1" t="n">
        <f aca="false">VLOOKUP(C864,Меню!$A$2:$C$24,3,FALSE())</f>
        <v>520</v>
      </c>
      <c r="G864" s="5" t="n">
        <f aca="false">VLOOKUP(B864,Заказы!$A$2:$E$2995,2,FALSE())</f>
        <v>43996</v>
      </c>
      <c r="H864" s="1" t="n">
        <f aca="false">VLOOKUP(B864,Заказы!$A$2:$E$2995,3,FALSE())</f>
        <v>1945</v>
      </c>
      <c r="I864" s="1" t="str">
        <f aca="false">VLOOKUP(H864,Клиенты!$A$2:$E$1995,5,FALSE())</f>
        <v>г. Бавлы</v>
      </c>
      <c r="J864" s="1" t="n">
        <f aca="false">VLOOKUP(B864,Заказы!$A$2:$E$2995,4,FALSE())</f>
        <v>365</v>
      </c>
      <c r="K864" s="1" t="str">
        <f aca="false">VLOOKUP(B864,Заказы!$A$2:$E$2995,5,FALSE())</f>
        <v>Выполнено</v>
      </c>
      <c r="L864" s="1" t="n">
        <f aca="false">D864*F864+J864</f>
        <v>885</v>
      </c>
      <c r="M864" s="1" t="n">
        <f aca="false">IF(AND(E864="Пицца Труслейка",I864="г. Москва",K864="Выполнено",G864&gt;=DATE(2020,7,1),G864&lt;DATE(2020,8,1)),L864,0)</f>
        <v>0</v>
      </c>
    </row>
    <row r="865" customFormat="false" ht="15" hidden="false" customHeight="true" outlineLevel="0" collapsed="false">
      <c r="A865" s="1" t="n">
        <v>100239</v>
      </c>
      <c r="B865" s="1" t="n">
        <v>50375</v>
      </c>
      <c r="C865" s="1" t="n">
        <v>2</v>
      </c>
      <c r="D865" s="1" t="n">
        <v>9</v>
      </c>
      <c r="E865" s="1" t="str">
        <f aca="false">VLOOKUP(C865,Меню!$A$2:$C$24,2,FALSE())</f>
        <v>Пицца Двойная пепперони</v>
      </c>
      <c r="F865" s="1" t="n">
        <f aca="false">VLOOKUP(C865,Меню!$A$2:$C$24,3,FALSE())</f>
        <v>575</v>
      </c>
      <c r="G865" s="5" t="n">
        <f aca="false">VLOOKUP(B865,Заказы!$A$2:$E$2995,2,FALSE())</f>
        <v>44036</v>
      </c>
      <c r="H865" s="1" t="n">
        <f aca="false">VLOOKUP(B865,Заказы!$A$2:$E$2995,3,FALSE())</f>
        <v>1193</v>
      </c>
      <c r="I865" s="1" t="str">
        <f aca="false">VLOOKUP(H865,Клиенты!$A$2:$E$1995,5,FALSE())</f>
        <v>г. Валуйки</v>
      </c>
      <c r="J865" s="1" t="n">
        <f aca="false">VLOOKUP(B865,Заказы!$A$2:$E$2995,4,FALSE())</f>
        <v>0</v>
      </c>
      <c r="K865" s="1" t="str">
        <f aca="false">VLOOKUP(B865,Заказы!$A$2:$E$2995,5,FALSE())</f>
        <v>Не выполнено</v>
      </c>
      <c r="L865" s="1" t="n">
        <f aca="false">D865*F865+J865</f>
        <v>5175</v>
      </c>
      <c r="M865" s="1" t="n">
        <f aca="false">IF(AND(E865="Пицца Труслейка",I865="г. Москва",K865="Выполнено",G865&gt;=DATE(2020,7,1),G865&lt;DATE(2020,8,1)),L865,0)</f>
        <v>0</v>
      </c>
    </row>
    <row r="866" customFormat="false" ht="15" hidden="false" customHeight="true" outlineLevel="0" collapsed="false">
      <c r="A866" s="1" t="n">
        <v>100709</v>
      </c>
      <c r="B866" s="1" t="n">
        <v>51414</v>
      </c>
      <c r="C866" s="1" t="n">
        <v>13</v>
      </c>
      <c r="D866" s="1" t="n">
        <v>8</v>
      </c>
      <c r="E866" s="1" t="str">
        <f aca="false">VLOOKUP(C866,Меню!$A$2:$C$24,2,FALSE())</f>
        <v>Пицца Сырная</v>
      </c>
      <c r="F866" s="1" t="n">
        <f aca="false">VLOOKUP(C866,Меню!$A$2:$C$24,3,FALSE())</f>
        <v>635</v>
      </c>
      <c r="G866" s="5" t="n">
        <f aca="false">VLOOKUP(B866,Заказы!$A$2:$E$2995,2,FALSE())</f>
        <v>44023</v>
      </c>
      <c r="H866" s="1" t="n">
        <f aca="false">VLOOKUP(B866,Заказы!$A$2:$E$2995,3,FALSE())</f>
        <v>807</v>
      </c>
      <c r="I866" s="1" t="str">
        <f aca="false">VLOOKUP(H866,Клиенты!$A$2:$E$1995,5,FALSE())</f>
        <v>г. Коряжма</v>
      </c>
      <c r="J866" s="1" t="n">
        <f aca="false">VLOOKUP(B866,Заказы!$A$2:$E$2995,4,FALSE())</f>
        <v>751</v>
      </c>
      <c r="K866" s="1" t="str">
        <f aca="false">VLOOKUP(B866,Заказы!$A$2:$E$2995,5,FALSE())</f>
        <v>Выполнено</v>
      </c>
      <c r="L866" s="1" t="n">
        <f aca="false">D866*F866+J866</f>
        <v>5831</v>
      </c>
      <c r="M866" s="1" t="n">
        <f aca="false">IF(AND(E866="Пицца Труслейка",I866="г. Москва",K866="Выполнено",G866&gt;=DATE(2020,7,1),G866&lt;DATE(2020,8,1)),L866,0)</f>
        <v>0</v>
      </c>
    </row>
    <row r="867" customFormat="false" ht="15" hidden="false" customHeight="true" outlineLevel="0" collapsed="false">
      <c r="A867" s="1" t="n">
        <v>100645</v>
      </c>
      <c r="B867" s="1" t="n">
        <v>51641</v>
      </c>
      <c r="C867" s="1" t="n">
        <v>19</v>
      </c>
      <c r="D867" s="1" t="n">
        <v>2</v>
      </c>
      <c r="E867" s="1" t="str">
        <f aca="false">VLOOKUP(C867,Меню!$A$2:$C$24,2,FALSE())</f>
        <v>Пицца Цезарь</v>
      </c>
      <c r="F867" s="1" t="n">
        <f aca="false">VLOOKUP(C867,Меню!$A$2:$C$24,3,FALSE())</f>
        <v>630</v>
      </c>
      <c r="G867" s="5" t="n">
        <f aca="false">VLOOKUP(B867,Заказы!$A$2:$E$2995,2,FALSE())</f>
        <v>44042</v>
      </c>
      <c r="H867" s="1" t="n">
        <f aca="false">VLOOKUP(B867,Заказы!$A$2:$E$2995,3,FALSE())</f>
        <v>1969</v>
      </c>
      <c r="I867" s="1" t="str">
        <f aca="false">VLOOKUP(H867,Клиенты!$A$2:$E$1995,5,FALSE())</f>
        <v>г. Сясьстрой</v>
      </c>
      <c r="J867" s="1" t="n">
        <f aca="false">VLOOKUP(B867,Заказы!$A$2:$E$2995,4,FALSE())</f>
        <v>0</v>
      </c>
      <c r="K867" s="1" t="str">
        <f aca="false">VLOOKUP(B867,Заказы!$A$2:$E$2995,5,FALSE())</f>
        <v>Не выполнено</v>
      </c>
      <c r="L867" s="1" t="n">
        <f aca="false">D867*F867+J867</f>
        <v>1260</v>
      </c>
      <c r="M867" s="1" t="n">
        <f aca="false">IF(AND(E867="Пицца Труслейка",I867="г. Москва",K867="Выполнено",G867&gt;=DATE(2020,7,1),G867&lt;DATE(2020,8,1)),L867,0)</f>
        <v>0</v>
      </c>
    </row>
    <row r="868" customFormat="false" ht="15" hidden="false" customHeight="true" outlineLevel="0" collapsed="false">
      <c r="A868" s="1" t="n">
        <v>101565</v>
      </c>
      <c r="B868" s="1" t="n">
        <v>50286</v>
      </c>
      <c r="C868" s="1" t="n">
        <v>23</v>
      </c>
      <c r="D868" s="1" t="n">
        <v>3</v>
      </c>
      <c r="E868" s="1" t="str">
        <f aca="false">VLOOKUP(C868,Меню!$A$2:$C$24,2,FALSE())</f>
        <v>Пицца с тунцом</v>
      </c>
      <c r="F868" s="1" t="n">
        <f aca="false">VLOOKUP(C868,Меню!$A$2:$C$24,3,FALSE())</f>
        <v>520</v>
      </c>
      <c r="G868" s="5" t="n">
        <f aca="false">VLOOKUP(B868,Заказы!$A$2:$E$2995,2,FALSE())</f>
        <v>44024</v>
      </c>
      <c r="H868" s="1" t="n">
        <f aca="false">VLOOKUP(B868,Заказы!$A$2:$E$2995,3,FALSE())</f>
        <v>144</v>
      </c>
      <c r="I868" s="1" t="str">
        <f aca="false">VLOOKUP(H868,Клиенты!$A$2:$E$1995,5,FALSE())</f>
        <v>г. Маркс</v>
      </c>
      <c r="J868" s="1" t="n">
        <f aca="false">VLOOKUP(B868,Заказы!$A$2:$E$2995,4,FALSE())</f>
        <v>0</v>
      </c>
      <c r="K868" s="1" t="str">
        <f aca="false">VLOOKUP(B868,Заказы!$A$2:$E$2995,5,FALSE())</f>
        <v>Не выполнено</v>
      </c>
      <c r="L868" s="1" t="n">
        <f aca="false">D868*F868+J868</f>
        <v>1560</v>
      </c>
      <c r="M868" s="1" t="n">
        <f aca="false">IF(AND(E868="Пицца Труслейка",I868="г. Москва",K868="Выполнено",G868&gt;=DATE(2020,7,1),G868&lt;DATE(2020,8,1)),L868,0)</f>
        <v>0</v>
      </c>
    </row>
    <row r="869" customFormat="false" ht="15" hidden="false" customHeight="true" outlineLevel="0" collapsed="false">
      <c r="A869" s="1" t="n">
        <v>101582</v>
      </c>
      <c r="B869" s="1" t="n">
        <v>51529</v>
      </c>
      <c r="C869" s="1" t="n">
        <v>18</v>
      </c>
      <c r="D869" s="1" t="n">
        <v>3</v>
      </c>
      <c r="E869" s="1" t="str">
        <f aca="false">VLOOKUP(C869,Меню!$A$2:$C$24,2,FALSE())</f>
        <v>Пицца Царская</v>
      </c>
      <c r="F869" s="1" t="n">
        <f aca="false">VLOOKUP(C869,Меню!$A$2:$C$24,3,FALSE())</f>
        <v>620</v>
      </c>
      <c r="G869" s="5" t="n">
        <f aca="false">VLOOKUP(B869,Заказы!$A$2:$E$2995,2,FALSE())</f>
        <v>44051</v>
      </c>
      <c r="H869" s="1" t="n">
        <f aca="false">VLOOKUP(B869,Заказы!$A$2:$E$2995,3,FALSE())</f>
        <v>758</v>
      </c>
      <c r="I869" s="1" t="str">
        <f aca="false">VLOOKUP(H869,Клиенты!$A$2:$E$1995,5,FALSE())</f>
        <v>г. Егорьевск</v>
      </c>
      <c r="J869" s="1" t="n">
        <f aca="false">VLOOKUP(B869,Заказы!$A$2:$E$2995,4,FALSE())</f>
        <v>0</v>
      </c>
      <c r="K869" s="1" t="str">
        <f aca="false">VLOOKUP(B869,Заказы!$A$2:$E$2995,5,FALSE())</f>
        <v>Не выполнено</v>
      </c>
      <c r="L869" s="1" t="n">
        <f aca="false">D869*F869+J869</f>
        <v>1860</v>
      </c>
      <c r="M869" s="1" t="n">
        <f aca="false">IF(AND(E869="Пицца Труслейка",I869="г. Москва",K869="Выполнено",G869&gt;=DATE(2020,7,1),G869&lt;DATE(2020,8,1)),L869,0)</f>
        <v>0</v>
      </c>
    </row>
    <row r="870" customFormat="false" ht="15" hidden="false" customHeight="true" outlineLevel="0" collapsed="false">
      <c r="A870" s="1" t="n">
        <v>100227</v>
      </c>
      <c r="B870" s="1" t="n">
        <v>50311</v>
      </c>
      <c r="C870" s="1" t="n">
        <v>9</v>
      </c>
      <c r="D870" s="1" t="n">
        <v>7</v>
      </c>
      <c r="E870" s="1" t="str">
        <f aca="false">VLOOKUP(C870,Меню!$A$2:$C$24,2,FALSE())</f>
        <v>Пицца Острая с беконом</v>
      </c>
      <c r="F870" s="1" t="n">
        <f aca="false">VLOOKUP(C870,Меню!$A$2:$C$24,3,FALSE())</f>
        <v>540</v>
      </c>
      <c r="G870" s="5" t="n">
        <f aca="false">VLOOKUP(B870,Заказы!$A$2:$E$2995,2,FALSE())</f>
        <v>44061</v>
      </c>
      <c r="H870" s="1" t="n">
        <f aca="false">VLOOKUP(B870,Заказы!$A$2:$E$2995,3,FALSE())</f>
        <v>1777</v>
      </c>
      <c r="I870" s="1" t="str">
        <f aca="false">VLOOKUP(H870,Клиенты!$A$2:$E$1995,5,FALSE())</f>
        <v>г. Магадан</v>
      </c>
      <c r="J870" s="1" t="n">
        <f aca="false">VLOOKUP(B870,Заказы!$A$2:$E$2995,4,FALSE())</f>
        <v>570</v>
      </c>
      <c r="K870" s="1" t="str">
        <f aca="false">VLOOKUP(B870,Заказы!$A$2:$E$2995,5,FALSE())</f>
        <v>Выполнено</v>
      </c>
      <c r="L870" s="1" t="n">
        <f aca="false">D870*F870+J870</f>
        <v>4350</v>
      </c>
      <c r="M870" s="1" t="n">
        <f aca="false">IF(AND(E870="Пицца Труслейка",I870="г. Москва",K870="Выполнено",G870&gt;=DATE(2020,7,1),G870&lt;DATE(2020,8,1)),L870,0)</f>
        <v>0</v>
      </c>
    </row>
    <row r="871" customFormat="false" ht="15" hidden="false" customHeight="true" outlineLevel="0" collapsed="false">
      <c r="A871" s="1" t="n">
        <v>100422</v>
      </c>
      <c r="B871" s="1" t="n">
        <v>51219</v>
      </c>
      <c r="C871" s="1" t="n">
        <v>4</v>
      </c>
      <c r="D871" s="1" t="n">
        <v>5</v>
      </c>
      <c r="E871" s="1" t="str">
        <f aca="false">VLOOKUP(C871,Меню!$A$2:$C$24,2,FALSE())</f>
        <v>Пицца Труслейка</v>
      </c>
      <c r="F871" s="1" t="n">
        <f aca="false">VLOOKUP(C871,Меню!$A$2:$C$24,3,FALSE())</f>
        <v>610</v>
      </c>
      <c r="G871" s="5" t="n">
        <f aca="false">VLOOKUP(B871,Заказы!$A$2:$E$2995,2,FALSE())</f>
        <v>44011</v>
      </c>
      <c r="H871" s="1" t="n">
        <f aca="false">VLOOKUP(B871,Заказы!$A$2:$E$2995,3,FALSE())</f>
        <v>359</v>
      </c>
      <c r="I871" s="1" t="str">
        <f aca="false">VLOOKUP(H871,Клиенты!$A$2:$E$1995,5,FALSE())</f>
        <v>г. Кореновск</v>
      </c>
      <c r="J871" s="1" t="n">
        <f aca="false">VLOOKUP(B871,Заказы!$A$2:$E$2995,4,FALSE())</f>
        <v>137</v>
      </c>
      <c r="K871" s="1" t="str">
        <f aca="false">VLOOKUP(B871,Заказы!$A$2:$E$2995,5,FALSE())</f>
        <v>Выполнено</v>
      </c>
      <c r="L871" s="1" t="n">
        <f aca="false">D871*F871+J871</f>
        <v>3187</v>
      </c>
      <c r="M871" s="1" t="n">
        <f aca="false">IF(AND(E871="Пицца Труслейка",I871="г. Москва",K871="Выполнено",G871&gt;=DATE(2020,7,1),G871&lt;DATE(2020,8,1)),L871,0)</f>
        <v>0</v>
      </c>
    </row>
    <row r="872" customFormat="false" ht="15" hidden="false" customHeight="true" outlineLevel="0" collapsed="false">
      <c r="A872" s="1" t="n">
        <v>100740</v>
      </c>
      <c r="B872" s="1" t="n">
        <v>51143</v>
      </c>
      <c r="C872" s="1" t="n">
        <v>2</v>
      </c>
      <c r="D872" s="1" t="n">
        <v>4</v>
      </c>
      <c r="E872" s="1" t="str">
        <f aca="false">VLOOKUP(C872,Меню!$A$2:$C$24,2,FALSE())</f>
        <v>Пицца Двойная пепперони</v>
      </c>
      <c r="F872" s="1" t="n">
        <f aca="false">VLOOKUP(C872,Меню!$A$2:$C$24,3,FALSE())</f>
        <v>575</v>
      </c>
      <c r="G872" s="5" t="n">
        <f aca="false">VLOOKUP(B872,Заказы!$A$2:$E$2995,2,FALSE())</f>
        <v>44071</v>
      </c>
      <c r="H872" s="1" t="n">
        <f aca="false">VLOOKUP(B872,Заказы!$A$2:$E$2995,3,FALSE())</f>
        <v>655</v>
      </c>
      <c r="I872" s="1" t="str">
        <f aca="false">VLOOKUP(H872,Клиенты!$A$2:$E$1995,5,FALSE())</f>
        <v>г. Урюпинск</v>
      </c>
      <c r="J872" s="1" t="n">
        <f aca="false">VLOOKUP(B872,Заказы!$A$2:$E$2995,4,FALSE())</f>
        <v>0</v>
      </c>
      <c r="K872" s="1" t="str">
        <f aca="false">VLOOKUP(B872,Заказы!$A$2:$E$2995,5,FALSE())</f>
        <v>Не выполнено</v>
      </c>
      <c r="L872" s="1" t="n">
        <f aca="false">D872*F872+J872</f>
        <v>2300</v>
      </c>
      <c r="M872" s="1" t="n">
        <f aca="false">IF(AND(E872="Пицца Труслейка",I872="г. Москва",K872="Выполнено",G872&gt;=DATE(2020,7,1),G872&lt;DATE(2020,8,1)),L872,0)</f>
        <v>0</v>
      </c>
    </row>
    <row r="873" customFormat="false" ht="15" hidden="false" customHeight="true" outlineLevel="0" collapsed="false">
      <c r="A873" s="1" t="n">
        <v>100168</v>
      </c>
      <c r="B873" s="1" t="n">
        <v>50403</v>
      </c>
      <c r="C873" s="1" t="n">
        <v>20</v>
      </c>
      <c r="D873" s="1" t="n">
        <v>1</v>
      </c>
      <c r="E873" s="1" t="str">
        <f aca="false">VLOOKUP(C873,Меню!$A$2:$C$24,2,FALSE())</f>
        <v>Пицца пиканте</v>
      </c>
      <c r="F873" s="1" t="n">
        <f aca="false">VLOOKUP(C873,Меню!$A$2:$C$24,3,FALSE())</f>
        <v>585</v>
      </c>
      <c r="G873" s="5" t="n">
        <f aca="false">VLOOKUP(B873,Заказы!$A$2:$E$2995,2,FALSE())</f>
        <v>44065</v>
      </c>
      <c r="H873" s="1" t="n">
        <f aca="false">VLOOKUP(B873,Заказы!$A$2:$E$2995,3,FALSE())</f>
        <v>638</v>
      </c>
      <c r="I873" s="1" t="str">
        <f aca="false">VLOOKUP(H873,Клиенты!$A$2:$E$1995,5,FALSE())</f>
        <v>г. Никольск</v>
      </c>
      <c r="J873" s="1" t="n">
        <f aca="false">VLOOKUP(B873,Заказы!$A$2:$E$2995,4,FALSE())</f>
        <v>0</v>
      </c>
      <c r="K873" s="1" t="str">
        <f aca="false">VLOOKUP(B873,Заказы!$A$2:$E$2995,5,FALSE())</f>
        <v>Не выполнено</v>
      </c>
      <c r="L873" s="1" t="n">
        <f aca="false">D873*F873+J873</f>
        <v>585</v>
      </c>
      <c r="M873" s="1" t="n">
        <f aca="false">IF(AND(E873="Пицца Труслейка",I873="г. Москва",K873="Выполнено",G873&gt;=DATE(2020,7,1),G873&lt;DATE(2020,8,1)),L873,0)</f>
        <v>0</v>
      </c>
    </row>
    <row r="874" customFormat="false" ht="15" hidden="false" customHeight="true" outlineLevel="0" collapsed="false">
      <c r="A874" s="1" t="n">
        <v>100875</v>
      </c>
      <c r="B874" s="1" t="n">
        <v>51350</v>
      </c>
      <c r="C874" s="1" t="n">
        <v>9</v>
      </c>
      <c r="D874" s="1" t="n">
        <v>5</v>
      </c>
      <c r="E874" s="1" t="str">
        <f aca="false">VLOOKUP(C874,Меню!$A$2:$C$24,2,FALSE())</f>
        <v>Пицца Острая с беконом</v>
      </c>
      <c r="F874" s="1" t="n">
        <f aca="false">VLOOKUP(C874,Меню!$A$2:$C$24,3,FALSE())</f>
        <v>540</v>
      </c>
      <c r="G874" s="5" t="n">
        <f aca="false">VLOOKUP(B874,Заказы!$A$2:$E$2995,2,FALSE())</f>
        <v>43994</v>
      </c>
      <c r="H874" s="1" t="n">
        <f aca="false">VLOOKUP(B874,Заказы!$A$2:$E$2995,3,FALSE())</f>
        <v>154</v>
      </c>
      <c r="I874" s="1" t="str">
        <f aca="false">VLOOKUP(H874,Клиенты!$A$2:$E$1995,5,FALSE())</f>
        <v>г. Городище</v>
      </c>
      <c r="J874" s="1" t="n">
        <f aca="false">VLOOKUP(B874,Заказы!$A$2:$E$2995,4,FALSE())</f>
        <v>0</v>
      </c>
      <c r="K874" s="1" t="str">
        <f aca="false">VLOOKUP(B874,Заказы!$A$2:$E$2995,5,FALSE())</f>
        <v>Не выполнено</v>
      </c>
      <c r="L874" s="1" t="n">
        <f aca="false">D874*F874+J874</f>
        <v>2700</v>
      </c>
      <c r="M874" s="1" t="n">
        <f aca="false">IF(AND(E874="Пицца Труслейка",I874="г. Москва",K874="Выполнено",G874&gt;=DATE(2020,7,1),G874&lt;DATE(2020,8,1)),L874,0)</f>
        <v>0</v>
      </c>
    </row>
    <row r="875" customFormat="false" ht="15" hidden="false" customHeight="true" outlineLevel="0" collapsed="false">
      <c r="A875" s="1" t="n">
        <v>101698</v>
      </c>
      <c r="B875" s="1" t="n">
        <v>51236</v>
      </c>
      <c r="C875" s="1" t="n">
        <v>10</v>
      </c>
      <c r="D875" s="1" t="n">
        <v>2</v>
      </c>
      <c r="E875" s="1" t="str">
        <f aca="false">VLOOKUP(C875,Меню!$A$2:$C$24,2,FALSE())</f>
        <v>Пицца Пепперони фреш</v>
      </c>
      <c r="F875" s="1" t="n">
        <f aca="false">VLOOKUP(C875,Меню!$A$2:$C$24,3,FALSE())</f>
        <v>565</v>
      </c>
      <c r="G875" s="5" t="n">
        <f aca="false">VLOOKUP(B875,Заказы!$A$2:$E$2995,2,FALSE())</f>
        <v>44002</v>
      </c>
      <c r="H875" s="1" t="n">
        <f aca="false">VLOOKUP(B875,Заказы!$A$2:$E$2995,3,FALSE())</f>
        <v>422</v>
      </c>
      <c r="I875" s="1" t="str">
        <f aca="false">VLOOKUP(H875,Клиенты!$A$2:$E$1995,5,FALSE())</f>
        <v>г. Вуктыл</v>
      </c>
      <c r="J875" s="1" t="n">
        <f aca="false">VLOOKUP(B875,Заказы!$A$2:$E$2995,4,FALSE())</f>
        <v>0</v>
      </c>
      <c r="K875" s="1" t="str">
        <f aca="false">VLOOKUP(B875,Заказы!$A$2:$E$2995,5,FALSE())</f>
        <v>Не выполнено</v>
      </c>
      <c r="L875" s="1" t="n">
        <f aca="false">D875*F875+J875</f>
        <v>1130</v>
      </c>
      <c r="M875" s="1" t="n">
        <f aca="false">IF(AND(E875="Пицца Труслейка",I875="г. Москва",K875="Выполнено",G875&gt;=DATE(2020,7,1),G875&lt;DATE(2020,8,1)),L875,0)</f>
        <v>0</v>
      </c>
    </row>
    <row r="876" customFormat="false" ht="15" hidden="false" customHeight="true" outlineLevel="0" collapsed="false">
      <c r="A876" s="1" t="n">
        <v>100706</v>
      </c>
      <c r="B876" s="1" t="n">
        <v>51834</v>
      </c>
      <c r="C876" s="1" t="n">
        <v>20</v>
      </c>
      <c r="D876" s="1" t="n">
        <v>9</v>
      </c>
      <c r="E876" s="1" t="str">
        <f aca="false">VLOOKUP(C876,Меню!$A$2:$C$24,2,FALSE())</f>
        <v>Пицца пиканте</v>
      </c>
      <c r="F876" s="1" t="n">
        <f aca="false">VLOOKUP(C876,Меню!$A$2:$C$24,3,FALSE())</f>
        <v>585</v>
      </c>
      <c r="G876" s="5" t="n">
        <f aca="false">VLOOKUP(B876,Заказы!$A$2:$E$2995,2,FALSE())</f>
        <v>44054</v>
      </c>
      <c r="H876" s="1" t="n">
        <f aca="false">VLOOKUP(B876,Заказы!$A$2:$E$2995,3,FALSE())</f>
        <v>549</v>
      </c>
      <c r="I876" s="1" t="str">
        <f aca="false">VLOOKUP(H876,Клиенты!$A$2:$E$1995,5,FALSE())</f>
        <v>г. Верхотурье</v>
      </c>
      <c r="J876" s="1" t="n">
        <f aca="false">VLOOKUP(B876,Заказы!$A$2:$E$2995,4,FALSE())</f>
        <v>240</v>
      </c>
      <c r="K876" s="1" t="str">
        <f aca="false">VLOOKUP(B876,Заказы!$A$2:$E$2995,5,FALSE())</f>
        <v>Выполнено</v>
      </c>
      <c r="L876" s="1" t="n">
        <f aca="false">D876*F876+J876</f>
        <v>5505</v>
      </c>
      <c r="M876" s="1" t="n">
        <f aca="false">IF(AND(E876="Пицца Труслейка",I876="г. Москва",K876="Выполнено",G876&gt;=DATE(2020,7,1),G876&lt;DATE(2020,8,1)),L876,0)</f>
        <v>0</v>
      </c>
    </row>
    <row r="877" customFormat="false" ht="15" hidden="false" customHeight="true" outlineLevel="0" collapsed="false">
      <c r="A877" s="1" t="n">
        <v>101787</v>
      </c>
      <c r="B877" s="1" t="n">
        <v>51606</v>
      </c>
      <c r="C877" s="1" t="n">
        <v>23</v>
      </c>
      <c r="D877" s="1" t="n">
        <v>9</v>
      </c>
      <c r="E877" s="1" t="str">
        <f aca="false">VLOOKUP(C877,Меню!$A$2:$C$24,2,FALSE())</f>
        <v>Пицца с тунцом</v>
      </c>
      <c r="F877" s="1" t="n">
        <f aca="false">VLOOKUP(C877,Меню!$A$2:$C$24,3,FALSE())</f>
        <v>520</v>
      </c>
      <c r="G877" s="5" t="n">
        <f aca="false">VLOOKUP(B877,Заказы!$A$2:$E$2995,2,FALSE())</f>
        <v>44069</v>
      </c>
      <c r="H877" s="1" t="n">
        <f aca="false">VLOOKUP(B877,Заказы!$A$2:$E$2995,3,FALSE())</f>
        <v>1484</v>
      </c>
      <c r="I877" s="1" t="str">
        <f aca="false">VLOOKUP(H877,Клиенты!$A$2:$E$1995,5,FALSE())</f>
        <v>г. Ступино</v>
      </c>
      <c r="J877" s="1" t="n">
        <f aca="false">VLOOKUP(B877,Заказы!$A$2:$E$2995,4,FALSE())</f>
        <v>591</v>
      </c>
      <c r="K877" s="1" t="str">
        <f aca="false">VLOOKUP(B877,Заказы!$A$2:$E$2995,5,FALSE())</f>
        <v>Выполнено</v>
      </c>
      <c r="L877" s="1" t="n">
        <f aca="false">D877*F877+J877</f>
        <v>5271</v>
      </c>
      <c r="M877" s="1" t="n">
        <f aca="false">IF(AND(E877="Пицца Труслейка",I877="г. Москва",K877="Выполнено",G877&gt;=DATE(2020,7,1),G877&lt;DATE(2020,8,1)),L877,0)</f>
        <v>0</v>
      </c>
    </row>
    <row r="878" customFormat="false" ht="15" hidden="false" customHeight="true" outlineLevel="0" collapsed="false">
      <c r="A878" s="1" t="n">
        <v>100173</v>
      </c>
      <c r="B878" s="1" t="n">
        <v>50940</v>
      </c>
      <c r="C878" s="1" t="n">
        <v>6</v>
      </c>
      <c r="D878" s="1" t="n">
        <v>5</v>
      </c>
      <c r="E878" s="1" t="str">
        <f aca="false">VLOOKUP(C878,Меню!$A$2:$C$24,2,FALSE())</f>
        <v>Пицца Капричиоза</v>
      </c>
      <c r="F878" s="1" t="n">
        <f aca="false">VLOOKUP(C878,Меню!$A$2:$C$24,3,FALSE())</f>
        <v>570</v>
      </c>
      <c r="G878" s="5" t="n">
        <f aca="false">VLOOKUP(B878,Заказы!$A$2:$E$2995,2,FALSE())</f>
        <v>44043</v>
      </c>
      <c r="H878" s="1" t="n">
        <f aca="false">VLOOKUP(B878,Заказы!$A$2:$E$2995,3,FALSE())</f>
        <v>931</v>
      </c>
      <c r="I878" s="1" t="str">
        <f aca="false">VLOOKUP(H878,Клиенты!$A$2:$E$1995,5,FALSE())</f>
        <v>г. Агидель</v>
      </c>
      <c r="J878" s="1" t="n">
        <f aca="false">VLOOKUP(B878,Заказы!$A$2:$E$2995,4,FALSE())</f>
        <v>0</v>
      </c>
      <c r="K878" s="1" t="str">
        <f aca="false">VLOOKUP(B878,Заказы!$A$2:$E$2995,5,FALSE())</f>
        <v>Не выполнено</v>
      </c>
      <c r="L878" s="1" t="n">
        <f aca="false">D878*F878+J878</f>
        <v>2850</v>
      </c>
      <c r="M878" s="1" t="n">
        <f aca="false">IF(AND(E878="Пицца Труслейка",I878="г. Москва",K878="Выполнено",G878&gt;=DATE(2020,7,1),G878&lt;DATE(2020,8,1)),L878,0)</f>
        <v>0</v>
      </c>
    </row>
    <row r="879" customFormat="false" ht="15" hidden="false" customHeight="true" outlineLevel="0" collapsed="false">
      <c r="A879" s="1" t="n">
        <v>101793</v>
      </c>
      <c r="B879" s="1" t="n">
        <v>51971</v>
      </c>
      <c r="C879" s="1" t="n">
        <v>15</v>
      </c>
      <c r="D879" s="1" t="n">
        <v>7</v>
      </c>
      <c r="E879" s="1" t="str">
        <f aca="false">VLOOKUP(C879,Меню!$A$2:$C$24,2,FALSE())</f>
        <v>Пицца Тропиканка</v>
      </c>
      <c r="F879" s="1" t="n">
        <f aca="false">VLOOKUP(C879,Меню!$A$2:$C$24,3,FALSE())</f>
        <v>605</v>
      </c>
      <c r="G879" s="5" t="n">
        <f aca="false">VLOOKUP(B879,Заказы!$A$2:$E$2995,2,FALSE())</f>
        <v>44033</v>
      </c>
      <c r="H879" s="1" t="n">
        <f aca="false">VLOOKUP(B879,Заказы!$A$2:$E$2995,3,FALSE())</f>
        <v>983</v>
      </c>
      <c r="I879" s="1" t="str">
        <f aca="false">VLOOKUP(H879,Клиенты!$A$2:$E$1995,5,FALSE())</f>
        <v>г. Барыш</v>
      </c>
      <c r="J879" s="1" t="n">
        <f aca="false">VLOOKUP(B879,Заказы!$A$2:$E$2995,4,FALSE())</f>
        <v>0</v>
      </c>
      <c r="K879" s="1" t="str">
        <f aca="false">VLOOKUP(B879,Заказы!$A$2:$E$2995,5,FALSE())</f>
        <v>Не выполнено</v>
      </c>
      <c r="L879" s="1" t="n">
        <f aca="false">D879*F879+J879</f>
        <v>4235</v>
      </c>
      <c r="M879" s="1" t="n">
        <f aca="false">IF(AND(E879="Пицца Труслейка",I879="г. Москва",K879="Выполнено",G879&gt;=DATE(2020,7,1),G879&lt;DATE(2020,8,1)),L879,0)</f>
        <v>0</v>
      </c>
    </row>
    <row r="880" customFormat="false" ht="15" hidden="false" customHeight="true" outlineLevel="0" collapsed="false">
      <c r="A880" s="1" t="n">
        <v>101107</v>
      </c>
      <c r="B880" s="1" t="n">
        <v>50221</v>
      </c>
      <c r="C880" s="1" t="n">
        <v>2</v>
      </c>
      <c r="D880" s="1" t="n">
        <v>5</v>
      </c>
      <c r="E880" s="1" t="str">
        <f aca="false">VLOOKUP(C880,Меню!$A$2:$C$24,2,FALSE())</f>
        <v>Пицца Двойная пепперони</v>
      </c>
      <c r="F880" s="1" t="n">
        <f aca="false">VLOOKUP(C880,Меню!$A$2:$C$24,3,FALSE())</f>
        <v>575</v>
      </c>
      <c r="G880" s="5" t="n">
        <f aca="false">VLOOKUP(B880,Заказы!$A$2:$E$2995,2,FALSE())</f>
        <v>44050</v>
      </c>
      <c r="H880" s="1" t="n">
        <f aca="false">VLOOKUP(B880,Заказы!$A$2:$E$2995,3,FALSE())</f>
        <v>1419</v>
      </c>
      <c r="I880" s="1" t="str">
        <f aca="false">VLOOKUP(H880,Клиенты!$A$2:$E$1995,5,FALSE())</f>
        <v>г. Уржум</v>
      </c>
      <c r="J880" s="1" t="n">
        <f aca="false">VLOOKUP(B880,Заказы!$A$2:$E$2995,4,FALSE())</f>
        <v>704</v>
      </c>
      <c r="K880" s="1" t="str">
        <f aca="false">VLOOKUP(B880,Заказы!$A$2:$E$2995,5,FALSE())</f>
        <v>Выполнено</v>
      </c>
      <c r="L880" s="1" t="n">
        <f aca="false">D880*F880+J880</f>
        <v>3579</v>
      </c>
      <c r="M880" s="1" t="n">
        <f aca="false">IF(AND(E880="Пицца Труслейка",I880="г. Москва",K880="Выполнено",G880&gt;=DATE(2020,7,1),G880&lt;DATE(2020,8,1)),L880,0)</f>
        <v>0</v>
      </c>
    </row>
    <row r="881" customFormat="false" ht="15" hidden="false" customHeight="true" outlineLevel="0" collapsed="false">
      <c r="A881" s="1" t="n">
        <v>101639</v>
      </c>
      <c r="B881" s="1" t="n">
        <v>50266</v>
      </c>
      <c r="C881" s="1" t="n">
        <v>4</v>
      </c>
      <c r="D881" s="1" t="n">
        <v>5</v>
      </c>
      <c r="E881" s="1" t="str">
        <f aca="false">VLOOKUP(C881,Меню!$A$2:$C$24,2,FALSE())</f>
        <v>Пицца Труслейка</v>
      </c>
      <c r="F881" s="1" t="n">
        <f aca="false">VLOOKUP(C881,Меню!$A$2:$C$24,3,FALSE())</f>
        <v>610</v>
      </c>
      <c r="G881" s="5" t="n">
        <f aca="false">VLOOKUP(B881,Заказы!$A$2:$E$2995,2,FALSE())</f>
        <v>44003</v>
      </c>
      <c r="H881" s="1" t="n">
        <f aca="false">VLOOKUP(B881,Заказы!$A$2:$E$2995,3,FALSE())</f>
        <v>454</v>
      </c>
      <c r="I881" s="1" t="str">
        <f aca="false">VLOOKUP(H881,Клиенты!$A$2:$E$1995,5,FALSE())</f>
        <v>г. Елизово</v>
      </c>
      <c r="J881" s="1" t="n">
        <f aca="false">VLOOKUP(B881,Заказы!$A$2:$E$2995,4,FALSE())</f>
        <v>674</v>
      </c>
      <c r="K881" s="1" t="str">
        <f aca="false">VLOOKUP(B881,Заказы!$A$2:$E$2995,5,FALSE())</f>
        <v>Выполнено</v>
      </c>
      <c r="L881" s="1" t="n">
        <f aca="false">D881*F881+J881</f>
        <v>3724</v>
      </c>
      <c r="M881" s="1" t="n">
        <f aca="false">IF(AND(E881="Пицца Труслейка",I881="г. Москва",K881="Выполнено",G881&gt;=DATE(2020,7,1),G881&lt;DATE(2020,8,1)),L881,0)</f>
        <v>0</v>
      </c>
    </row>
    <row r="882" customFormat="false" ht="15" hidden="false" customHeight="true" outlineLevel="0" collapsed="false">
      <c r="A882" s="1" t="n">
        <v>101294</v>
      </c>
      <c r="B882" s="1" t="n">
        <v>51242</v>
      </c>
      <c r="C882" s="1" t="n">
        <v>21</v>
      </c>
      <c r="D882" s="1" t="n">
        <v>6</v>
      </c>
      <c r="E882" s="1" t="str">
        <f aca="false">VLOOKUP(C882,Меню!$A$2:$C$24,2,FALSE())</f>
        <v>Пицца с креветками и цукини</v>
      </c>
      <c r="F882" s="1" t="n">
        <f aca="false">VLOOKUP(C882,Меню!$A$2:$C$24,3,FALSE())</f>
        <v>600</v>
      </c>
      <c r="G882" s="5" t="n">
        <f aca="false">VLOOKUP(B882,Заказы!$A$2:$E$2995,2,FALSE())</f>
        <v>44023</v>
      </c>
      <c r="H882" s="1" t="n">
        <f aca="false">VLOOKUP(B882,Заказы!$A$2:$E$2995,3,FALSE())</f>
        <v>1174</v>
      </c>
      <c r="I882" s="1" t="str">
        <f aca="false">VLOOKUP(H882,Клиенты!$A$2:$E$1995,5,FALSE())</f>
        <v>г. Шлиссельбург</v>
      </c>
      <c r="J882" s="1" t="n">
        <f aca="false">VLOOKUP(B882,Заказы!$A$2:$E$2995,4,FALSE())</f>
        <v>0</v>
      </c>
      <c r="K882" s="1" t="str">
        <f aca="false">VLOOKUP(B882,Заказы!$A$2:$E$2995,5,FALSE())</f>
        <v>Не выполнено</v>
      </c>
      <c r="L882" s="1" t="n">
        <f aca="false">D882*F882+J882</f>
        <v>3600</v>
      </c>
      <c r="M882" s="1" t="n">
        <f aca="false">IF(AND(E882="Пицца Труслейка",I882="г. Москва",K882="Выполнено",G882&gt;=DATE(2020,7,1),G882&lt;DATE(2020,8,1)),L882,0)</f>
        <v>0</v>
      </c>
    </row>
    <row r="883" customFormat="false" ht="15" hidden="false" customHeight="true" outlineLevel="0" collapsed="false">
      <c r="A883" s="1" t="n">
        <v>100372</v>
      </c>
      <c r="B883" s="1" t="n">
        <v>51886</v>
      </c>
      <c r="C883" s="1" t="n">
        <v>4</v>
      </c>
      <c r="D883" s="1" t="n">
        <v>3</v>
      </c>
      <c r="E883" s="1" t="str">
        <f aca="false">VLOOKUP(C883,Меню!$A$2:$C$24,2,FALSE())</f>
        <v>Пицца Труслейка</v>
      </c>
      <c r="F883" s="1" t="n">
        <f aca="false">VLOOKUP(C883,Меню!$A$2:$C$24,3,FALSE())</f>
        <v>610</v>
      </c>
      <c r="G883" s="5" t="n">
        <f aca="false">VLOOKUP(B883,Заказы!$A$2:$E$2995,2,FALSE())</f>
        <v>44027</v>
      </c>
      <c r="H883" s="1" t="n">
        <f aca="false">VLOOKUP(B883,Заказы!$A$2:$E$2995,3,FALSE())</f>
        <v>951</v>
      </c>
      <c r="I883" s="1" t="str">
        <f aca="false">VLOOKUP(H883,Клиенты!$A$2:$E$1995,5,FALSE())</f>
        <v>г. Ипатово</v>
      </c>
      <c r="J883" s="1" t="n">
        <f aca="false">VLOOKUP(B883,Заказы!$A$2:$E$2995,4,FALSE())</f>
        <v>869</v>
      </c>
      <c r="K883" s="1" t="str">
        <f aca="false">VLOOKUP(B883,Заказы!$A$2:$E$2995,5,FALSE())</f>
        <v>Выполнено</v>
      </c>
      <c r="L883" s="1" t="n">
        <f aca="false">D883*F883+J883</f>
        <v>2699</v>
      </c>
      <c r="M883" s="1" t="n">
        <f aca="false">IF(AND(E883="Пицца Труслейка",I883="г. Москва",K883="Выполнено",G883&gt;=DATE(2020,7,1),G883&lt;DATE(2020,8,1)),L883,0)</f>
        <v>0</v>
      </c>
    </row>
    <row r="884" customFormat="false" ht="15" hidden="false" customHeight="true" outlineLevel="0" collapsed="false">
      <c r="A884" s="1" t="n">
        <v>101232</v>
      </c>
      <c r="B884" s="1" t="n">
        <v>50172</v>
      </c>
      <c r="C884" s="1" t="n">
        <v>20</v>
      </c>
      <c r="D884" s="1" t="n">
        <v>5</v>
      </c>
      <c r="E884" s="1" t="str">
        <f aca="false">VLOOKUP(C884,Меню!$A$2:$C$24,2,FALSE())</f>
        <v>Пицца пиканте</v>
      </c>
      <c r="F884" s="1" t="n">
        <f aca="false">VLOOKUP(C884,Меню!$A$2:$C$24,3,FALSE())</f>
        <v>585</v>
      </c>
      <c r="G884" s="5" t="n">
        <f aca="false">VLOOKUP(B884,Заказы!$A$2:$E$2995,2,FALSE())</f>
        <v>44058</v>
      </c>
      <c r="H884" s="1" t="n">
        <f aca="false">VLOOKUP(B884,Заказы!$A$2:$E$2995,3,FALSE())</f>
        <v>1449</v>
      </c>
      <c r="I884" s="1" t="str">
        <f aca="false">VLOOKUP(H884,Клиенты!$A$2:$E$1995,5,FALSE())</f>
        <v>г. Верхнеуральск</v>
      </c>
      <c r="J884" s="1" t="n">
        <f aca="false">VLOOKUP(B884,Заказы!$A$2:$E$2995,4,FALSE())</f>
        <v>0</v>
      </c>
      <c r="K884" s="1" t="str">
        <f aca="false">VLOOKUP(B884,Заказы!$A$2:$E$2995,5,FALSE())</f>
        <v>Не выполнено</v>
      </c>
      <c r="L884" s="1" t="n">
        <f aca="false">D884*F884+J884</f>
        <v>2925</v>
      </c>
      <c r="M884" s="1" t="n">
        <f aca="false">IF(AND(E884="Пицца Труслейка",I884="г. Москва",K884="Выполнено",G884&gt;=DATE(2020,7,1),G884&lt;DATE(2020,8,1)),L884,0)</f>
        <v>0</v>
      </c>
    </row>
    <row r="885" customFormat="false" ht="15" hidden="false" customHeight="true" outlineLevel="0" collapsed="false">
      <c r="A885" s="1" t="n">
        <v>100145</v>
      </c>
      <c r="B885" s="1" t="n">
        <v>50744</v>
      </c>
      <c r="C885" s="1" t="n">
        <v>22</v>
      </c>
      <c r="D885" s="1" t="n">
        <v>10</v>
      </c>
      <c r="E885" s="1" t="str">
        <f aca="false">VLOOKUP(C885,Меню!$A$2:$C$24,2,FALSE())</f>
        <v>Пицца с поркеттой и фриарелли</v>
      </c>
      <c r="F885" s="1" t="n">
        <f aca="false">VLOOKUP(C885,Меню!$A$2:$C$24,3,FALSE())</f>
        <v>550</v>
      </c>
      <c r="G885" s="5" t="n">
        <f aca="false">VLOOKUP(B885,Заказы!$A$2:$E$2995,2,FALSE())</f>
        <v>44068</v>
      </c>
      <c r="H885" s="1" t="n">
        <f aca="false">VLOOKUP(B885,Заказы!$A$2:$E$2995,3,FALSE())</f>
        <v>575</v>
      </c>
      <c r="I885" s="1" t="str">
        <f aca="false">VLOOKUP(H885,Клиенты!$A$2:$E$1995,5,FALSE())</f>
        <v>г. Миасс</v>
      </c>
      <c r="J885" s="1" t="n">
        <f aca="false">VLOOKUP(B885,Заказы!$A$2:$E$2995,4,FALSE())</f>
        <v>0</v>
      </c>
      <c r="K885" s="1" t="str">
        <f aca="false">VLOOKUP(B885,Заказы!$A$2:$E$2995,5,FALSE())</f>
        <v>Не выполнено</v>
      </c>
      <c r="L885" s="1" t="n">
        <f aca="false">D885*F885+J885</f>
        <v>5500</v>
      </c>
      <c r="M885" s="1" t="n">
        <f aca="false">IF(AND(E885="Пицца Труслейка",I885="г. Москва",K885="Выполнено",G885&gt;=DATE(2020,7,1),G885&lt;DATE(2020,8,1)),L885,0)</f>
        <v>0</v>
      </c>
    </row>
    <row r="886" customFormat="false" ht="15" hidden="false" customHeight="true" outlineLevel="0" collapsed="false">
      <c r="A886" s="1" t="n">
        <v>101358</v>
      </c>
      <c r="B886" s="1" t="n">
        <v>51370</v>
      </c>
      <c r="C886" s="1" t="n">
        <v>11</v>
      </c>
      <c r="D886" s="1" t="n">
        <v>5</v>
      </c>
      <c r="E886" s="1" t="str">
        <f aca="false">VLOOKUP(C886,Меню!$A$2:$C$24,2,FALSE())</f>
        <v>Пицца Песто</v>
      </c>
      <c r="F886" s="1" t="n">
        <f aca="false">VLOOKUP(C886,Меню!$A$2:$C$24,3,FALSE())</f>
        <v>530</v>
      </c>
      <c r="G886" s="5" t="n">
        <f aca="false">VLOOKUP(B886,Заказы!$A$2:$E$2995,2,FALSE())</f>
        <v>44024</v>
      </c>
      <c r="H886" s="1" t="n">
        <f aca="false">VLOOKUP(B886,Заказы!$A$2:$E$2995,3,FALSE())</f>
        <v>1639</v>
      </c>
      <c r="I886" s="1" t="str">
        <f aca="false">VLOOKUP(H886,Клиенты!$A$2:$E$1995,5,FALSE())</f>
        <v>г. Игарка</v>
      </c>
      <c r="J886" s="1" t="n">
        <f aca="false">VLOOKUP(B886,Заказы!$A$2:$E$2995,4,FALSE())</f>
        <v>103</v>
      </c>
      <c r="K886" s="1" t="str">
        <f aca="false">VLOOKUP(B886,Заказы!$A$2:$E$2995,5,FALSE())</f>
        <v>Выполнено</v>
      </c>
      <c r="L886" s="1" t="n">
        <f aca="false">D886*F886+J886</f>
        <v>2753</v>
      </c>
      <c r="M886" s="1" t="n">
        <f aca="false">IF(AND(E886="Пицца Труслейка",I886="г. Москва",K886="Выполнено",G886&gt;=DATE(2020,7,1),G886&lt;DATE(2020,8,1)),L886,0)</f>
        <v>0</v>
      </c>
    </row>
    <row r="887" customFormat="false" ht="15" hidden="false" customHeight="true" outlineLevel="0" collapsed="false">
      <c r="A887" s="1" t="n">
        <v>101762</v>
      </c>
      <c r="B887" s="1" t="n">
        <v>50122</v>
      </c>
      <c r="C887" s="1" t="n">
        <v>12</v>
      </c>
      <c r="D887" s="1" t="n">
        <v>6</v>
      </c>
      <c r="E887" s="1" t="str">
        <f aca="false">VLOOKUP(C887,Меню!$A$2:$C$24,2,FALSE())</f>
        <v>Пицца Салями с трюфелем</v>
      </c>
      <c r="F887" s="1" t="n">
        <f aca="false">VLOOKUP(C887,Меню!$A$2:$C$24,3,FALSE())</f>
        <v>525</v>
      </c>
      <c r="G887" s="5" t="n">
        <f aca="false">VLOOKUP(B887,Заказы!$A$2:$E$2995,2,FALSE())</f>
        <v>44023</v>
      </c>
      <c r="H887" s="1" t="n">
        <f aca="false">VLOOKUP(B887,Заказы!$A$2:$E$2995,3,FALSE())</f>
        <v>372</v>
      </c>
      <c r="I887" s="1" t="str">
        <f aca="false">VLOOKUP(H887,Клиенты!$A$2:$E$1995,5,FALSE())</f>
        <v>г. Шимановск</v>
      </c>
      <c r="J887" s="1" t="n">
        <f aca="false">VLOOKUP(B887,Заказы!$A$2:$E$2995,4,FALSE())</f>
        <v>674</v>
      </c>
      <c r="K887" s="1" t="str">
        <f aca="false">VLOOKUP(B887,Заказы!$A$2:$E$2995,5,FALSE())</f>
        <v>Выполнено</v>
      </c>
      <c r="L887" s="1" t="n">
        <f aca="false">D887*F887+J887</f>
        <v>3824</v>
      </c>
      <c r="M887" s="1" t="n">
        <f aca="false">IF(AND(E887="Пицца Труслейка",I887="г. Москва",K887="Выполнено",G887&gt;=DATE(2020,7,1),G887&lt;DATE(2020,8,1)),L887,0)</f>
        <v>0</v>
      </c>
    </row>
    <row r="888" customFormat="false" ht="15" hidden="false" customHeight="true" outlineLevel="0" collapsed="false">
      <c r="A888" s="1" t="n">
        <v>100220</v>
      </c>
      <c r="B888" s="1" t="n">
        <v>50804</v>
      </c>
      <c r="C888" s="1" t="n">
        <v>5</v>
      </c>
      <c r="D888" s="1" t="n">
        <v>3</v>
      </c>
      <c r="E888" s="1" t="str">
        <f aca="false">VLOOKUP(C888,Меню!$A$2:$C$24,2,FALSE())</f>
        <v>Пицца Жюльен</v>
      </c>
      <c r="F888" s="1" t="n">
        <f aca="false">VLOOKUP(C888,Меню!$A$2:$C$24,3,FALSE())</f>
        <v>580</v>
      </c>
      <c r="G888" s="5" t="n">
        <f aca="false">VLOOKUP(B888,Заказы!$A$2:$E$2995,2,FALSE())</f>
        <v>44058</v>
      </c>
      <c r="H888" s="1" t="n">
        <f aca="false">VLOOKUP(B888,Заказы!$A$2:$E$2995,3,FALSE())</f>
        <v>1432</v>
      </c>
      <c r="I888" s="1" t="str">
        <f aca="false">VLOOKUP(H888,Клиенты!$A$2:$E$1995,5,FALSE())</f>
        <v>г. Балашов</v>
      </c>
      <c r="J888" s="1" t="n">
        <f aca="false">VLOOKUP(B888,Заказы!$A$2:$E$2995,4,FALSE())</f>
        <v>0</v>
      </c>
      <c r="K888" s="1" t="str">
        <f aca="false">VLOOKUP(B888,Заказы!$A$2:$E$2995,5,FALSE())</f>
        <v>Не выполнено</v>
      </c>
      <c r="L888" s="1" t="n">
        <f aca="false">D888*F888+J888</f>
        <v>1740</v>
      </c>
      <c r="M888" s="1" t="n">
        <f aca="false">IF(AND(E888="Пицца Труслейка",I888="г. Москва",K888="Выполнено",G888&gt;=DATE(2020,7,1),G888&lt;DATE(2020,8,1)),L888,0)</f>
        <v>0</v>
      </c>
    </row>
    <row r="889" customFormat="false" ht="15" hidden="false" customHeight="true" outlineLevel="0" collapsed="false">
      <c r="A889" s="1" t="n">
        <v>100743</v>
      </c>
      <c r="B889" s="1" t="n">
        <v>51194</v>
      </c>
      <c r="C889" s="1" t="n">
        <v>2</v>
      </c>
      <c r="D889" s="1" t="n">
        <v>10</v>
      </c>
      <c r="E889" s="1" t="str">
        <f aca="false">VLOOKUP(C889,Меню!$A$2:$C$24,2,FALSE())</f>
        <v>Пицца Двойная пепперони</v>
      </c>
      <c r="F889" s="1" t="n">
        <f aca="false">VLOOKUP(C889,Меню!$A$2:$C$24,3,FALSE())</f>
        <v>575</v>
      </c>
      <c r="G889" s="5" t="n">
        <f aca="false">VLOOKUP(B889,Заказы!$A$2:$E$2995,2,FALSE())</f>
        <v>44033</v>
      </c>
      <c r="H889" s="1" t="n">
        <f aca="false">VLOOKUP(B889,Заказы!$A$2:$E$2995,3,FALSE())</f>
        <v>1798</v>
      </c>
      <c r="I889" s="1" t="str">
        <f aca="false">VLOOKUP(H889,Клиенты!$A$2:$E$1995,5,FALSE())</f>
        <v>г. Октябрьск</v>
      </c>
      <c r="J889" s="1" t="n">
        <f aca="false">VLOOKUP(B889,Заказы!$A$2:$E$2995,4,FALSE())</f>
        <v>734</v>
      </c>
      <c r="K889" s="1" t="str">
        <f aca="false">VLOOKUP(B889,Заказы!$A$2:$E$2995,5,FALSE())</f>
        <v>Выполнено</v>
      </c>
      <c r="L889" s="1" t="n">
        <f aca="false">D889*F889+J889</f>
        <v>6484</v>
      </c>
      <c r="M889" s="1" t="n">
        <f aca="false">IF(AND(E889="Пицца Труслейка",I889="г. Москва",K889="Выполнено",G889&gt;=DATE(2020,7,1),G889&lt;DATE(2020,8,1)),L889,0)</f>
        <v>0</v>
      </c>
    </row>
    <row r="890" customFormat="false" ht="15" hidden="false" customHeight="true" outlineLevel="0" collapsed="false">
      <c r="A890" s="1" t="n">
        <v>100517</v>
      </c>
      <c r="B890" s="1" t="n">
        <v>50023</v>
      </c>
      <c r="C890" s="1" t="n">
        <v>10</v>
      </c>
      <c r="D890" s="1" t="n">
        <v>4</v>
      </c>
      <c r="E890" s="1" t="str">
        <f aca="false">VLOOKUP(C890,Меню!$A$2:$C$24,2,FALSE())</f>
        <v>Пицца Пепперони фреш</v>
      </c>
      <c r="F890" s="1" t="n">
        <f aca="false">VLOOKUP(C890,Меню!$A$2:$C$24,3,FALSE())</f>
        <v>565</v>
      </c>
      <c r="G890" s="5" t="n">
        <f aca="false">VLOOKUP(B890,Заказы!$A$2:$E$2995,2,FALSE())</f>
        <v>44071</v>
      </c>
      <c r="H890" s="1" t="n">
        <f aca="false">VLOOKUP(B890,Заказы!$A$2:$E$2995,3,FALSE())</f>
        <v>587</v>
      </c>
      <c r="I890" s="1" t="str">
        <f aca="false">VLOOKUP(H890,Клиенты!$A$2:$E$1995,5,FALSE())</f>
        <v>г. Нефтеюганск</v>
      </c>
      <c r="J890" s="1" t="n">
        <f aca="false">VLOOKUP(B890,Заказы!$A$2:$E$2995,4,FALSE())</f>
        <v>868</v>
      </c>
      <c r="K890" s="1" t="str">
        <f aca="false">VLOOKUP(B890,Заказы!$A$2:$E$2995,5,FALSE())</f>
        <v>Выполнено</v>
      </c>
      <c r="L890" s="1" t="n">
        <f aca="false">D890*F890+J890</f>
        <v>3128</v>
      </c>
      <c r="M890" s="1" t="n">
        <f aca="false">IF(AND(E890="Пицца Труслейка",I890="г. Москва",K890="Выполнено",G890&gt;=DATE(2020,7,1),G890&lt;DATE(2020,8,1)),L890,0)</f>
        <v>0</v>
      </c>
    </row>
    <row r="891" customFormat="false" ht="15" hidden="false" customHeight="true" outlineLevel="0" collapsed="false">
      <c r="A891" s="1" t="n">
        <v>101040</v>
      </c>
      <c r="B891" s="1" t="n">
        <v>50195</v>
      </c>
      <c r="C891" s="1" t="n">
        <v>4</v>
      </c>
      <c r="D891" s="1" t="n">
        <v>10</v>
      </c>
      <c r="E891" s="1" t="str">
        <f aca="false">VLOOKUP(C891,Меню!$A$2:$C$24,2,FALSE())</f>
        <v>Пицца Труслейка</v>
      </c>
      <c r="F891" s="1" t="n">
        <f aca="false">VLOOKUP(C891,Меню!$A$2:$C$24,3,FALSE())</f>
        <v>610</v>
      </c>
      <c r="G891" s="5" t="n">
        <f aca="false">VLOOKUP(B891,Заказы!$A$2:$E$2995,2,FALSE())</f>
        <v>43988</v>
      </c>
      <c r="H891" s="1" t="n">
        <f aca="false">VLOOKUP(B891,Заказы!$A$2:$E$2995,3,FALSE())</f>
        <v>1399</v>
      </c>
      <c r="I891" s="1" t="str">
        <f aca="false">VLOOKUP(H891,Клиенты!$A$2:$E$1995,5,FALSE())</f>
        <v>г. Киров</v>
      </c>
      <c r="J891" s="1" t="n">
        <f aca="false">VLOOKUP(B891,Заказы!$A$2:$E$2995,4,FALSE())</f>
        <v>616</v>
      </c>
      <c r="K891" s="1" t="str">
        <f aca="false">VLOOKUP(B891,Заказы!$A$2:$E$2995,5,FALSE())</f>
        <v>Выполнено</v>
      </c>
      <c r="L891" s="1" t="n">
        <f aca="false">D891*F891+J891</f>
        <v>6716</v>
      </c>
      <c r="M891" s="1" t="n">
        <f aca="false">IF(AND(E891="Пицца Труслейка",I891="г. Москва",K891="Выполнено",G891&gt;=DATE(2020,7,1),G891&lt;DATE(2020,8,1)),L891,0)</f>
        <v>0</v>
      </c>
    </row>
    <row r="892" customFormat="false" ht="15" hidden="false" customHeight="true" outlineLevel="0" collapsed="false">
      <c r="A892" s="1" t="n">
        <v>100132</v>
      </c>
      <c r="B892" s="1" t="n">
        <v>51518</v>
      </c>
      <c r="C892" s="1" t="n">
        <v>22</v>
      </c>
      <c r="D892" s="1" t="n">
        <v>10</v>
      </c>
      <c r="E892" s="1" t="str">
        <f aca="false">VLOOKUP(C892,Меню!$A$2:$C$24,2,FALSE())</f>
        <v>Пицца с поркеттой и фриарелли</v>
      </c>
      <c r="F892" s="1" t="n">
        <f aca="false">VLOOKUP(C892,Меню!$A$2:$C$24,3,FALSE())</f>
        <v>550</v>
      </c>
      <c r="G892" s="5" t="n">
        <f aca="false">VLOOKUP(B892,Заказы!$A$2:$E$2995,2,FALSE())</f>
        <v>44039</v>
      </c>
      <c r="H892" s="1" t="n">
        <f aca="false">VLOOKUP(B892,Заказы!$A$2:$E$2995,3,FALSE())</f>
        <v>1198</v>
      </c>
      <c r="I892" s="1" t="str">
        <f aca="false">VLOOKUP(H892,Клиенты!$A$2:$E$1995,5,FALSE())</f>
        <v>г. Павлово</v>
      </c>
      <c r="J892" s="1" t="n">
        <f aca="false">VLOOKUP(B892,Заказы!$A$2:$E$2995,4,FALSE())</f>
        <v>0</v>
      </c>
      <c r="K892" s="1" t="str">
        <f aca="false">VLOOKUP(B892,Заказы!$A$2:$E$2995,5,FALSE())</f>
        <v>Не выполнено</v>
      </c>
      <c r="L892" s="1" t="n">
        <f aca="false">D892*F892+J892</f>
        <v>5500</v>
      </c>
      <c r="M892" s="1" t="n">
        <f aca="false">IF(AND(E892="Пицца Труслейка",I892="г. Москва",K892="Выполнено",G892&gt;=DATE(2020,7,1),G892&lt;DATE(2020,8,1)),L892,0)</f>
        <v>0</v>
      </c>
    </row>
    <row r="893" customFormat="false" ht="15" hidden="false" customHeight="true" outlineLevel="0" collapsed="false">
      <c r="A893" s="1" t="n">
        <v>100089</v>
      </c>
      <c r="B893" s="1" t="n">
        <v>51248</v>
      </c>
      <c r="C893" s="1" t="n">
        <v>16</v>
      </c>
      <c r="D893" s="1" t="n">
        <v>8</v>
      </c>
      <c r="E893" s="1" t="str">
        <f aca="false">VLOOKUP(C893,Меню!$A$2:$C$24,2,FALSE())</f>
        <v>Пицца Флорида</v>
      </c>
      <c r="F893" s="1" t="n">
        <f aca="false">VLOOKUP(C893,Меню!$A$2:$C$24,3,FALSE())</f>
        <v>535</v>
      </c>
      <c r="G893" s="5" t="n">
        <f aca="false">VLOOKUP(B893,Заказы!$A$2:$E$2995,2,FALSE())</f>
        <v>43995</v>
      </c>
      <c r="H893" s="1" t="n">
        <f aca="false">VLOOKUP(B893,Заказы!$A$2:$E$2995,3,FALSE())</f>
        <v>1468</v>
      </c>
      <c r="I893" s="1" t="str">
        <f aca="false">VLOOKUP(H893,Клиенты!$A$2:$E$1995,5,FALSE())</f>
        <v>г. Алексеевка</v>
      </c>
      <c r="J893" s="1" t="n">
        <f aca="false">VLOOKUP(B893,Заказы!$A$2:$E$2995,4,FALSE())</f>
        <v>877</v>
      </c>
      <c r="K893" s="1" t="str">
        <f aca="false">VLOOKUP(B893,Заказы!$A$2:$E$2995,5,FALSE())</f>
        <v>Выполнено</v>
      </c>
      <c r="L893" s="1" t="n">
        <f aca="false">D893*F893+J893</f>
        <v>5157</v>
      </c>
      <c r="M893" s="1" t="n">
        <f aca="false">IF(AND(E893="Пицца Труслейка",I893="г. Москва",K893="Выполнено",G893&gt;=DATE(2020,7,1),G893&lt;DATE(2020,8,1)),L893,0)</f>
        <v>0</v>
      </c>
    </row>
    <row r="894" customFormat="false" ht="15" hidden="false" customHeight="true" outlineLevel="0" collapsed="false">
      <c r="A894" s="1" t="n">
        <v>100327</v>
      </c>
      <c r="B894" s="1" t="n">
        <v>51463</v>
      </c>
      <c r="C894" s="1" t="n">
        <v>14</v>
      </c>
      <c r="D894" s="1" t="n">
        <v>8</v>
      </c>
      <c r="E894" s="1" t="str">
        <f aca="false">VLOOKUP(C894,Меню!$A$2:$C$24,2,FALSE())</f>
        <v>Пицца Сырный цыпленок</v>
      </c>
      <c r="F894" s="1" t="n">
        <f aca="false">VLOOKUP(C894,Меню!$A$2:$C$24,3,FALSE())</f>
        <v>555</v>
      </c>
      <c r="G894" s="5" t="n">
        <f aca="false">VLOOKUP(B894,Заказы!$A$2:$E$2995,2,FALSE())</f>
        <v>44014</v>
      </c>
      <c r="H894" s="1" t="n">
        <f aca="false">VLOOKUP(B894,Заказы!$A$2:$E$2995,3,FALSE())</f>
        <v>312</v>
      </c>
      <c r="I894" s="1" t="str">
        <f aca="false">VLOOKUP(H894,Клиенты!$A$2:$E$1995,5,FALSE())</f>
        <v>г. Моздок</v>
      </c>
      <c r="J894" s="1" t="n">
        <f aca="false">VLOOKUP(B894,Заказы!$A$2:$E$2995,4,FALSE())</f>
        <v>739</v>
      </c>
      <c r="K894" s="1" t="str">
        <f aca="false">VLOOKUP(B894,Заказы!$A$2:$E$2995,5,FALSE())</f>
        <v>Выполнено</v>
      </c>
      <c r="L894" s="1" t="n">
        <f aca="false">D894*F894+J894</f>
        <v>5179</v>
      </c>
      <c r="M894" s="1" t="n">
        <f aca="false">IF(AND(E894="Пицца Труслейка",I894="г. Москва",K894="Выполнено",G894&gt;=DATE(2020,7,1),G894&lt;DATE(2020,8,1)),L894,0)</f>
        <v>0</v>
      </c>
    </row>
    <row r="895" customFormat="false" ht="15" hidden="false" customHeight="true" outlineLevel="0" collapsed="false">
      <c r="A895" s="1" t="n">
        <v>100767</v>
      </c>
      <c r="B895" s="1" t="n">
        <v>51633</v>
      </c>
      <c r="C895" s="1" t="n">
        <v>8</v>
      </c>
      <c r="D895" s="1" t="n">
        <v>1</v>
      </c>
      <c r="E895" s="1" t="str">
        <f aca="false">VLOOKUP(C895,Меню!$A$2:$C$24,2,FALSE())</f>
        <v>Пицца Мясная</v>
      </c>
      <c r="F895" s="1" t="n">
        <f aca="false">VLOOKUP(C895,Меню!$A$2:$C$24,3,FALSE())</f>
        <v>615</v>
      </c>
      <c r="G895" s="5" t="n">
        <f aca="false">VLOOKUP(B895,Заказы!$A$2:$E$2995,2,FALSE())</f>
        <v>44060</v>
      </c>
      <c r="H895" s="1" t="n">
        <f aca="false">VLOOKUP(B895,Заказы!$A$2:$E$2995,3,FALSE())</f>
        <v>1546</v>
      </c>
      <c r="I895" s="1" t="str">
        <f aca="false">VLOOKUP(H895,Клиенты!$A$2:$E$1995,5,FALSE())</f>
        <v>г. Задонск</v>
      </c>
      <c r="J895" s="1" t="n">
        <f aca="false">VLOOKUP(B895,Заказы!$A$2:$E$2995,4,FALSE())</f>
        <v>0</v>
      </c>
      <c r="K895" s="1" t="str">
        <f aca="false">VLOOKUP(B895,Заказы!$A$2:$E$2995,5,FALSE())</f>
        <v>Не выполнено</v>
      </c>
      <c r="L895" s="1" t="n">
        <f aca="false">D895*F895+J895</f>
        <v>615</v>
      </c>
      <c r="M895" s="1" t="n">
        <f aca="false">IF(AND(E895="Пицца Труслейка",I895="г. Москва",K895="Выполнено",G895&gt;=DATE(2020,7,1),G895&lt;DATE(2020,8,1)),L895,0)</f>
        <v>0</v>
      </c>
    </row>
    <row r="896" customFormat="false" ht="15" hidden="false" customHeight="true" outlineLevel="0" collapsed="false">
      <c r="A896" s="1" t="n">
        <v>100200</v>
      </c>
      <c r="B896" s="1" t="n">
        <v>51173</v>
      </c>
      <c r="C896" s="1" t="n">
        <v>6</v>
      </c>
      <c r="D896" s="1" t="n">
        <v>9</v>
      </c>
      <c r="E896" s="1" t="str">
        <f aca="false">VLOOKUP(C896,Меню!$A$2:$C$24,2,FALSE())</f>
        <v>Пицца Капричиоза</v>
      </c>
      <c r="F896" s="1" t="n">
        <f aca="false">VLOOKUP(C896,Меню!$A$2:$C$24,3,FALSE())</f>
        <v>570</v>
      </c>
      <c r="G896" s="5" t="n">
        <f aca="false">VLOOKUP(B896,Заказы!$A$2:$E$2995,2,FALSE())</f>
        <v>44060</v>
      </c>
      <c r="H896" s="1" t="n">
        <f aca="false">VLOOKUP(B896,Заказы!$A$2:$E$2995,3,FALSE())</f>
        <v>1932</v>
      </c>
      <c r="I896" s="1" t="str">
        <f aca="false">VLOOKUP(H896,Клиенты!$A$2:$E$1995,5,FALSE())</f>
        <v>г. Семёнов</v>
      </c>
      <c r="J896" s="1" t="n">
        <f aca="false">VLOOKUP(B896,Заказы!$A$2:$E$2995,4,FALSE())</f>
        <v>0</v>
      </c>
      <c r="K896" s="1" t="str">
        <f aca="false">VLOOKUP(B896,Заказы!$A$2:$E$2995,5,FALSE())</f>
        <v>Не выполнено</v>
      </c>
      <c r="L896" s="1" t="n">
        <f aca="false">D896*F896+J896</f>
        <v>5130</v>
      </c>
      <c r="M896" s="1" t="n">
        <f aca="false">IF(AND(E896="Пицца Труслейка",I896="г. Москва",K896="Выполнено",G896&gt;=DATE(2020,7,1),G896&lt;DATE(2020,8,1)),L896,0)</f>
        <v>0</v>
      </c>
    </row>
    <row r="897" customFormat="false" ht="15" hidden="false" customHeight="true" outlineLevel="0" collapsed="false">
      <c r="A897" s="1" t="n">
        <v>101154</v>
      </c>
      <c r="B897" s="1" t="n">
        <v>51222</v>
      </c>
      <c r="C897" s="1" t="n">
        <v>6</v>
      </c>
      <c r="D897" s="1" t="n">
        <v>4</v>
      </c>
      <c r="E897" s="1" t="str">
        <f aca="false">VLOOKUP(C897,Меню!$A$2:$C$24,2,FALSE())</f>
        <v>Пицца Капричиоза</v>
      </c>
      <c r="F897" s="1" t="n">
        <f aca="false">VLOOKUP(C897,Меню!$A$2:$C$24,3,FALSE())</f>
        <v>570</v>
      </c>
      <c r="G897" s="5" t="n">
        <f aca="false">VLOOKUP(B897,Заказы!$A$2:$E$2995,2,FALSE())</f>
        <v>44006</v>
      </c>
      <c r="H897" s="1" t="n">
        <f aca="false">VLOOKUP(B897,Заказы!$A$2:$E$2995,3,FALSE())</f>
        <v>136</v>
      </c>
      <c r="I897" s="1" t="str">
        <f aca="false">VLOOKUP(H897,Клиенты!$A$2:$E$1995,5,FALSE())</f>
        <v>г. Калач</v>
      </c>
      <c r="J897" s="1" t="n">
        <f aca="false">VLOOKUP(B897,Заказы!$A$2:$E$2995,4,FALSE())</f>
        <v>0</v>
      </c>
      <c r="K897" s="1" t="str">
        <f aca="false">VLOOKUP(B897,Заказы!$A$2:$E$2995,5,FALSE())</f>
        <v>Не выполнено</v>
      </c>
      <c r="L897" s="1" t="n">
        <f aca="false">D897*F897+J897</f>
        <v>2280</v>
      </c>
      <c r="M897" s="1" t="n">
        <f aca="false">IF(AND(E897="Пицца Труслейка",I897="г. Москва",K897="Выполнено",G897&gt;=DATE(2020,7,1),G897&lt;DATE(2020,8,1)),L897,0)</f>
        <v>0</v>
      </c>
    </row>
    <row r="898" customFormat="false" ht="15" hidden="false" customHeight="true" outlineLevel="0" collapsed="false">
      <c r="A898" s="1" t="n">
        <v>100085</v>
      </c>
      <c r="B898" s="1" t="n">
        <v>51122</v>
      </c>
      <c r="C898" s="1" t="n">
        <v>18</v>
      </c>
      <c r="D898" s="1" t="n">
        <v>7</v>
      </c>
      <c r="E898" s="1" t="str">
        <f aca="false">VLOOKUP(C898,Меню!$A$2:$C$24,2,FALSE())</f>
        <v>Пицца Царская</v>
      </c>
      <c r="F898" s="1" t="n">
        <f aca="false">VLOOKUP(C898,Меню!$A$2:$C$24,3,FALSE())</f>
        <v>620</v>
      </c>
      <c r="G898" s="5" t="n">
        <f aca="false">VLOOKUP(B898,Заказы!$A$2:$E$2995,2,FALSE())</f>
        <v>44050</v>
      </c>
      <c r="H898" s="1" t="n">
        <f aca="false">VLOOKUP(B898,Заказы!$A$2:$E$2995,3,FALSE())</f>
        <v>594</v>
      </c>
      <c r="I898" s="1" t="str">
        <f aca="false">VLOOKUP(H898,Клиенты!$A$2:$E$1995,5,FALSE())</f>
        <v>г. Лысково</v>
      </c>
      <c r="J898" s="1" t="n">
        <f aca="false">VLOOKUP(B898,Заказы!$A$2:$E$2995,4,FALSE())</f>
        <v>479</v>
      </c>
      <c r="K898" s="1" t="str">
        <f aca="false">VLOOKUP(B898,Заказы!$A$2:$E$2995,5,FALSE())</f>
        <v>Выполнено</v>
      </c>
      <c r="L898" s="1" t="n">
        <f aca="false">D898*F898+J898</f>
        <v>4819</v>
      </c>
      <c r="M898" s="1" t="n">
        <f aca="false">IF(AND(E898="Пицца Труслейка",I898="г. Москва",K898="Выполнено",G898&gt;=DATE(2020,7,1),G898&lt;DATE(2020,8,1)),L898,0)</f>
        <v>0</v>
      </c>
    </row>
    <row r="899" customFormat="false" ht="15" hidden="false" customHeight="true" outlineLevel="0" collapsed="false">
      <c r="A899" s="1" t="n">
        <v>101534</v>
      </c>
      <c r="B899" s="1" t="n">
        <v>51356</v>
      </c>
      <c r="C899" s="1" t="n">
        <v>18</v>
      </c>
      <c r="D899" s="1" t="n">
        <v>1</v>
      </c>
      <c r="E899" s="1" t="str">
        <f aca="false">VLOOKUP(C899,Меню!$A$2:$C$24,2,FALSE())</f>
        <v>Пицца Царская</v>
      </c>
      <c r="F899" s="1" t="n">
        <f aca="false">VLOOKUP(C899,Меню!$A$2:$C$24,3,FALSE())</f>
        <v>620</v>
      </c>
      <c r="G899" s="5" t="n">
        <f aca="false">VLOOKUP(B899,Заказы!$A$2:$E$2995,2,FALSE())</f>
        <v>44063</v>
      </c>
      <c r="H899" s="1" t="n">
        <f aca="false">VLOOKUP(B899,Заказы!$A$2:$E$2995,3,FALSE())</f>
        <v>1581</v>
      </c>
      <c r="I899" s="1" t="str">
        <f aca="false">VLOOKUP(H899,Клиенты!$A$2:$E$1995,5,FALSE())</f>
        <v>г. Циолковский</v>
      </c>
      <c r="J899" s="1" t="n">
        <f aca="false">VLOOKUP(B899,Заказы!$A$2:$E$2995,4,FALSE())</f>
        <v>884</v>
      </c>
      <c r="K899" s="1" t="str">
        <f aca="false">VLOOKUP(B899,Заказы!$A$2:$E$2995,5,FALSE())</f>
        <v>Выполнено</v>
      </c>
      <c r="L899" s="1" t="n">
        <f aca="false">D899*F899+J899</f>
        <v>1504</v>
      </c>
      <c r="M899" s="1" t="n">
        <f aca="false">IF(AND(E899="Пицца Труслейка",I899="г. Москва",K899="Выполнено",G899&gt;=DATE(2020,7,1),G899&lt;DATE(2020,8,1)),L899,0)</f>
        <v>0</v>
      </c>
    </row>
    <row r="900" customFormat="false" ht="15" hidden="false" customHeight="true" outlineLevel="0" collapsed="false">
      <c r="A900" s="1" t="n">
        <v>101036</v>
      </c>
      <c r="B900" s="1" t="n">
        <v>50947</v>
      </c>
      <c r="C900" s="1" t="n">
        <v>4</v>
      </c>
      <c r="D900" s="1" t="n">
        <v>1</v>
      </c>
      <c r="E900" s="1" t="str">
        <f aca="false">VLOOKUP(C900,Меню!$A$2:$C$24,2,FALSE())</f>
        <v>Пицца Труслейка</v>
      </c>
      <c r="F900" s="1" t="n">
        <f aca="false">VLOOKUP(C900,Меню!$A$2:$C$24,3,FALSE())</f>
        <v>610</v>
      </c>
      <c r="G900" s="5" t="n">
        <f aca="false">VLOOKUP(B900,Заказы!$A$2:$E$2995,2,FALSE())</f>
        <v>44002</v>
      </c>
      <c r="H900" s="1" t="n">
        <f aca="false">VLOOKUP(B900,Заказы!$A$2:$E$2995,3,FALSE())</f>
        <v>711</v>
      </c>
      <c r="I900" s="1" t="str">
        <f aca="false">VLOOKUP(H900,Клиенты!$A$2:$E$1995,5,FALSE())</f>
        <v>г. Эртиль</v>
      </c>
      <c r="J900" s="1" t="n">
        <f aca="false">VLOOKUP(B900,Заказы!$A$2:$E$2995,4,FALSE())</f>
        <v>0</v>
      </c>
      <c r="K900" s="1" t="str">
        <f aca="false">VLOOKUP(B900,Заказы!$A$2:$E$2995,5,FALSE())</f>
        <v>Не выполнено</v>
      </c>
      <c r="L900" s="1" t="n">
        <f aca="false">D900*F900+J900</f>
        <v>610</v>
      </c>
      <c r="M900" s="1" t="n">
        <f aca="false">IF(AND(E900="Пицца Труслейка",I900="г. Москва",K900="Выполнено",G900&gt;=DATE(2020,7,1),G900&lt;DATE(2020,8,1)),L900,0)</f>
        <v>0</v>
      </c>
    </row>
    <row r="901" customFormat="false" ht="15" hidden="false" customHeight="true" outlineLevel="0" collapsed="false">
      <c r="A901" s="1" t="n">
        <v>100712</v>
      </c>
      <c r="B901" s="1" t="n">
        <v>50398</v>
      </c>
      <c r="C901" s="1" t="n">
        <v>4</v>
      </c>
      <c r="D901" s="1" t="n">
        <v>6</v>
      </c>
      <c r="E901" s="1" t="str">
        <f aca="false">VLOOKUP(C901,Меню!$A$2:$C$24,2,FALSE())</f>
        <v>Пицца Труслейка</v>
      </c>
      <c r="F901" s="1" t="n">
        <f aca="false">VLOOKUP(C901,Меню!$A$2:$C$24,3,FALSE())</f>
        <v>610</v>
      </c>
      <c r="G901" s="5" t="n">
        <f aca="false">VLOOKUP(B901,Заказы!$A$2:$E$2995,2,FALSE())</f>
        <v>43994</v>
      </c>
      <c r="H901" s="1" t="n">
        <f aca="false">VLOOKUP(B901,Заказы!$A$2:$E$2995,3,FALSE())</f>
        <v>310</v>
      </c>
      <c r="I901" s="1" t="str">
        <f aca="false">VLOOKUP(H901,Клиенты!$A$2:$E$1995,5,FALSE())</f>
        <v>г. Москва</v>
      </c>
      <c r="J901" s="1" t="n">
        <f aca="false">VLOOKUP(B901,Заказы!$A$2:$E$2995,4,FALSE())</f>
        <v>0</v>
      </c>
      <c r="K901" s="1" t="str">
        <f aca="false">VLOOKUP(B901,Заказы!$A$2:$E$2995,5,FALSE())</f>
        <v>Не выполнено</v>
      </c>
      <c r="L901" s="1" t="n">
        <f aca="false">D901*F901+J901</f>
        <v>3660</v>
      </c>
      <c r="M901" s="1" t="n">
        <f aca="false">IF(AND(E901="Пицца Труслейка",I901="г. Москва",K901="Выполнено",G901&gt;=DATE(2020,7,1),G901&lt;DATE(2020,8,1)),L901,0)</f>
        <v>0</v>
      </c>
    </row>
    <row r="902" customFormat="false" ht="15" hidden="false" customHeight="true" outlineLevel="0" collapsed="false">
      <c r="A902" s="1" t="n">
        <v>100598</v>
      </c>
      <c r="B902" s="1" t="n">
        <v>51397</v>
      </c>
      <c r="C902" s="1" t="n">
        <v>12</v>
      </c>
      <c r="D902" s="1" t="n">
        <v>8</v>
      </c>
      <c r="E902" s="1" t="str">
        <f aca="false">VLOOKUP(C902,Меню!$A$2:$C$24,2,FALSE())</f>
        <v>Пицца Салями с трюфелем</v>
      </c>
      <c r="F902" s="1" t="n">
        <f aca="false">VLOOKUP(C902,Меню!$A$2:$C$24,3,FALSE())</f>
        <v>525</v>
      </c>
      <c r="G902" s="5" t="n">
        <f aca="false">VLOOKUP(B902,Заказы!$A$2:$E$2995,2,FALSE())</f>
        <v>44070</v>
      </c>
      <c r="H902" s="1" t="n">
        <f aca="false">VLOOKUP(B902,Заказы!$A$2:$E$2995,3,FALSE())</f>
        <v>1781</v>
      </c>
      <c r="I902" s="1" t="str">
        <f aca="false">VLOOKUP(H902,Клиенты!$A$2:$E$1995,5,FALSE())</f>
        <v>г. Лесной</v>
      </c>
      <c r="J902" s="1" t="n">
        <f aca="false">VLOOKUP(B902,Заказы!$A$2:$E$2995,4,FALSE())</f>
        <v>0</v>
      </c>
      <c r="K902" s="1" t="str">
        <f aca="false">VLOOKUP(B902,Заказы!$A$2:$E$2995,5,FALSE())</f>
        <v>Не выполнено</v>
      </c>
      <c r="L902" s="1" t="n">
        <f aca="false">D902*F902+J902</f>
        <v>4200</v>
      </c>
      <c r="M902" s="1" t="n">
        <f aca="false">IF(AND(E902="Пицца Труслейка",I902="г. Москва",K902="Выполнено",G902&gt;=DATE(2020,7,1),G902&lt;DATE(2020,8,1)),L902,0)</f>
        <v>0</v>
      </c>
    </row>
    <row r="903" customFormat="false" ht="15" hidden="false" customHeight="true" outlineLevel="0" collapsed="false">
      <c r="A903" s="1" t="n">
        <v>101818</v>
      </c>
      <c r="B903" s="1" t="n">
        <v>50016</v>
      </c>
      <c r="C903" s="1" t="n">
        <v>20</v>
      </c>
      <c r="D903" s="1" t="n">
        <v>3</v>
      </c>
      <c r="E903" s="1" t="str">
        <f aca="false">VLOOKUP(C903,Меню!$A$2:$C$24,2,FALSE())</f>
        <v>Пицца пиканте</v>
      </c>
      <c r="F903" s="1" t="n">
        <f aca="false">VLOOKUP(C903,Меню!$A$2:$C$24,3,FALSE())</f>
        <v>585</v>
      </c>
      <c r="G903" s="5" t="n">
        <f aca="false">VLOOKUP(B903,Заказы!$A$2:$E$2995,2,FALSE())</f>
        <v>44060</v>
      </c>
      <c r="H903" s="1" t="n">
        <f aca="false">VLOOKUP(B903,Заказы!$A$2:$E$2995,3,FALSE())</f>
        <v>1308</v>
      </c>
      <c r="I903" s="1" t="str">
        <f aca="false">VLOOKUP(H903,Клиенты!$A$2:$E$1995,5,FALSE())</f>
        <v>г. Красноармейск</v>
      </c>
      <c r="J903" s="1" t="n">
        <f aca="false">VLOOKUP(B903,Заказы!$A$2:$E$2995,4,FALSE())</f>
        <v>818</v>
      </c>
      <c r="K903" s="1" t="str">
        <f aca="false">VLOOKUP(B903,Заказы!$A$2:$E$2995,5,FALSE())</f>
        <v>Выполнено</v>
      </c>
      <c r="L903" s="1" t="n">
        <f aca="false">D903*F903+J903</f>
        <v>2573</v>
      </c>
      <c r="M903" s="1" t="n">
        <f aca="false">IF(AND(E903="Пицца Труслейка",I903="г. Москва",K903="Выполнено",G903&gt;=DATE(2020,7,1),G903&lt;DATE(2020,8,1)),L903,0)</f>
        <v>0</v>
      </c>
    </row>
    <row r="904" customFormat="false" ht="15" hidden="false" customHeight="true" outlineLevel="0" collapsed="false">
      <c r="A904" s="1" t="n">
        <v>101135</v>
      </c>
      <c r="B904" s="1" t="n">
        <v>50696</v>
      </c>
      <c r="C904" s="1" t="n">
        <v>1</v>
      </c>
      <c r="D904" s="1" t="n">
        <v>10</v>
      </c>
      <c r="E904" s="1" t="str">
        <f aca="false">VLOOKUP(C904,Меню!$A$2:$C$24,2,FALSE())</f>
        <v>Пицца Гавайская</v>
      </c>
      <c r="F904" s="1" t="n">
        <f aca="false">VLOOKUP(C904,Меню!$A$2:$C$24,3,FALSE())</f>
        <v>545</v>
      </c>
      <c r="G904" s="5" t="n">
        <f aca="false">VLOOKUP(B904,Заказы!$A$2:$E$2995,2,FALSE())</f>
        <v>44039</v>
      </c>
      <c r="H904" s="1" t="n">
        <f aca="false">VLOOKUP(B904,Заказы!$A$2:$E$2995,3,FALSE())</f>
        <v>590</v>
      </c>
      <c r="I904" s="1" t="str">
        <f aca="false">VLOOKUP(H904,Клиенты!$A$2:$E$1995,5,FALSE())</f>
        <v>г. Москва</v>
      </c>
      <c r="J904" s="1" t="n">
        <f aca="false">VLOOKUP(B904,Заказы!$A$2:$E$2995,4,FALSE())</f>
        <v>0</v>
      </c>
      <c r="K904" s="1" t="str">
        <f aca="false">VLOOKUP(B904,Заказы!$A$2:$E$2995,5,FALSE())</f>
        <v>Не выполнено</v>
      </c>
      <c r="L904" s="1" t="n">
        <f aca="false">D904*F904+J904</f>
        <v>5450</v>
      </c>
      <c r="M904" s="1" t="n">
        <f aca="false">IF(AND(E904="Пицца Труслейка",I904="г. Москва",K904="Выполнено",G904&gt;=DATE(2020,7,1),G904&lt;DATE(2020,8,1)),L904,0)</f>
        <v>0</v>
      </c>
    </row>
    <row r="905" customFormat="false" ht="15" hidden="false" customHeight="true" outlineLevel="0" collapsed="false">
      <c r="A905" s="1" t="n">
        <v>101547</v>
      </c>
      <c r="B905" s="1" t="n">
        <v>51674</v>
      </c>
      <c r="C905" s="1" t="n">
        <v>12</v>
      </c>
      <c r="D905" s="1" t="n">
        <v>8</v>
      </c>
      <c r="E905" s="1" t="str">
        <f aca="false">VLOOKUP(C905,Меню!$A$2:$C$24,2,FALSE())</f>
        <v>Пицца Салями с трюфелем</v>
      </c>
      <c r="F905" s="1" t="n">
        <f aca="false">VLOOKUP(C905,Меню!$A$2:$C$24,3,FALSE())</f>
        <v>525</v>
      </c>
      <c r="G905" s="5" t="n">
        <f aca="false">VLOOKUP(B905,Заказы!$A$2:$E$2995,2,FALSE())</f>
        <v>44047</v>
      </c>
      <c r="H905" s="1" t="n">
        <f aca="false">VLOOKUP(B905,Заказы!$A$2:$E$2995,3,FALSE())</f>
        <v>456</v>
      </c>
      <c r="I905" s="1" t="str">
        <f aca="false">VLOOKUP(H905,Клиенты!$A$2:$E$1995,5,FALSE())</f>
        <v>г. Ачинск</v>
      </c>
      <c r="J905" s="1" t="n">
        <f aca="false">VLOOKUP(B905,Заказы!$A$2:$E$2995,4,FALSE())</f>
        <v>755</v>
      </c>
      <c r="K905" s="1" t="str">
        <f aca="false">VLOOKUP(B905,Заказы!$A$2:$E$2995,5,FALSE())</f>
        <v>Выполнено</v>
      </c>
      <c r="L905" s="1" t="n">
        <f aca="false">D905*F905+J905</f>
        <v>4955</v>
      </c>
      <c r="M905" s="1" t="n">
        <f aca="false">IF(AND(E905="Пицца Труслейка",I905="г. Москва",K905="Выполнено",G905&gt;=DATE(2020,7,1),G905&lt;DATE(2020,8,1)),L905,0)</f>
        <v>0</v>
      </c>
    </row>
    <row r="906" customFormat="false" ht="15" hidden="false" customHeight="true" outlineLevel="0" collapsed="false">
      <c r="A906" s="1" t="n">
        <v>101585</v>
      </c>
      <c r="B906" s="1" t="n">
        <v>50656</v>
      </c>
      <c r="C906" s="1" t="n">
        <v>1</v>
      </c>
      <c r="D906" s="1" t="n">
        <v>6</v>
      </c>
      <c r="E906" s="1" t="str">
        <f aca="false">VLOOKUP(C906,Меню!$A$2:$C$24,2,FALSE())</f>
        <v>Пицца Гавайская</v>
      </c>
      <c r="F906" s="1" t="n">
        <f aca="false">VLOOKUP(C906,Меню!$A$2:$C$24,3,FALSE())</f>
        <v>545</v>
      </c>
      <c r="G906" s="5" t="n">
        <f aca="false">VLOOKUP(B906,Заказы!$A$2:$E$2995,2,FALSE())</f>
        <v>44021</v>
      </c>
      <c r="H906" s="1" t="n">
        <f aca="false">VLOOKUP(B906,Заказы!$A$2:$E$2995,3,FALSE())</f>
        <v>1709</v>
      </c>
      <c r="I906" s="1" t="str">
        <f aca="false">VLOOKUP(H906,Клиенты!$A$2:$E$1995,5,FALSE())</f>
        <v>г. Унеча</v>
      </c>
      <c r="J906" s="1" t="n">
        <f aca="false">VLOOKUP(B906,Заказы!$A$2:$E$2995,4,FALSE())</f>
        <v>126</v>
      </c>
      <c r="K906" s="1" t="str">
        <f aca="false">VLOOKUP(B906,Заказы!$A$2:$E$2995,5,FALSE())</f>
        <v>Выполнено</v>
      </c>
      <c r="L906" s="1" t="n">
        <f aca="false">D906*F906+J906</f>
        <v>3396</v>
      </c>
      <c r="M906" s="1" t="n">
        <f aca="false">IF(AND(E906="Пицца Труслейка",I906="г. Москва",K906="Выполнено",G906&gt;=DATE(2020,7,1),G906&lt;DATE(2020,8,1)),L906,0)</f>
        <v>0</v>
      </c>
    </row>
    <row r="907" customFormat="false" ht="15" hidden="false" customHeight="true" outlineLevel="0" collapsed="false">
      <c r="A907" s="1" t="n">
        <v>101707</v>
      </c>
      <c r="B907" s="1" t="n">
        <v>50613</v>
      </c>
      <c r="C907" s="1" t="n">
        <v>4</v>
      </c>
      <c r="D907" s="1" t="n">
        <v>4</v>
      </c>
      <c r="E907" s="1" t="str">
        <f aca="false">VLOOKUP(C907,Меню!$A$2:$C$24,2,FALSE())</f>
        <v>Пицца Труслейка</v>
      </c>
      <c r="F907" s="1" t="n">
        <f aca="false">VLOOKUP(C907,Меню!$A$2:$C$24,3,FALSE())</f>
        <v>610</v>
      </c>
      <c r="G907" s="5" t="n">
        <f aca="false">VLOOKUP(B907,Заказы!$A$2:$E$2995,2,FALSE())</f>
        <v>44008</v>
      </c>
      <c r="H907" s="1" t="n">
        <f aca="false">VLOOKUP(B907,Заказы!$A$2:$E$2995,3,FALSE())</f>
        <v>563</v>
      </c>
      <c r="I907" s="1" t="str">
        <f aca="false">VLOOKUP(H907,Клиенты!$A$2:$E$1995,5,FALSE())</f>
        <v>г. Болгар</v>
      </c>
      <c r="J907" s="1" t="n">
        <f aca="false">VLOOKUP(B907,Заказы!$A$2:$E$2995,4,FALSE())</f>
        <v>114</v>
      </c>
      <c r="K907" s="1" t="str">
        <f aca="false">VLOOKUP(B907,Заказы!$A$2:$E$2995,5,FALSE())</f>
        <v>Выполнено</v>
      </c>
      <c r="L907" s="1" t="n">
        <f aca="false">D907*F907+J907</f>
        <v>2554</v>
      </c>
      <c r="M907" s="1" t="n">
        <f aca="false">IF(AND(E907="Пицца Труслейка",I907="г. Москва",K907="Выполнено",G907&gt;=DATE(2020,7,1),G907&lt;DATE(2020,8,1)),L907,0)</f>
        <v>0</v>
      </c>
    </row>
    <row r="908" customFormat="false" ht="15" hidden="false" customHeight="true" outlineLevel="0" collapsed="false">
      <c r="A908" s="1" t="n">
        <v>101890</v>
      </c>
      <c r="B908" s="1" t="n">
        <v>50852</v>
      </c>
      <c r="C908" s="1" t="n">
        <v>8</v>
      </c>
      <c r="D908" s="1" t="n">
        <v>6</v>
      </c>
      <c r="E908" s="1" t="str">
        <f aca="false">VLOOKUP(C908,Меню!$A$2:$C$24,2,FALSE())</f>
        <v>Пицца Мясная</v>
      </c>
      <c r="F908" s="1" t="n">
        <f aca="false">VLOOKUP(C908,Меню!$A$2:$C$24,3,FALSE())</f>
        <v>615</v>
      </c>
      <c r="G908" s="5" t="n">
        <f aca="false">VLOOKUP(B908,Заказы!$A$2:$E$2995,2,FALSE())</f>
        <v>44070</v>
      </c>
      <c r="H908" s="1" t="n">
        <f aca="false">VLOOKUP(B908,Заказы!$A$2:$E$2995,3,FALSE())</f>
        <v>419</v>
      </c>
      <c r="I908" s="1" t="str">
        <f aca="false">VLOOKUP(H908,Клиенты!$A$2:$E$1995,5,FALSE())</f>
        <v>г. Мирный</v>
      </c>
      <c r="J908" s="1" t="n">
        <f aca="false">VLOOKUP(B908,Заказы!$A$2:$E$2995,4,FALSE())</f>
        <v>406</v>
      </c>
      <c r="K908" s="1" t="str">
        <f aca="false">VLOOKUP(B908,Заказы!$A$2:$E$2995,5,FALSE())</f>
        <v>Выполнено</v>
      </c>
      <c r="L908" s="1" t="n">
        <f aca="false">D908*F908+J908</f>
        <v>4096</v>
      </c>
      <c r="M908" s="1" t="n">
        <f aca="false">IF(AND(E908="Пицца Труслейка",I908="г. Москва",K908="Выполнено",G908&gt;=DATE(2020,7,1),G908&lt;DATE(2020,8,1)),L908,0)</f>
        <v>0</v>
      </c>
    </row>
    <row r="909" customFormat="false" ht="15" hidden="false" customHeight="true" outlineLevel="0" collapsed="false">
      <c r="A909" s="1" t="n">
        <v>101605</v>
      </c>
      <c r="B909" s="1" t="n">
        <v>51715</v>
      </c>
      <c r="C909" s="1" t="n">
        <v>16</v>
      </c>
      <c r="D909" s="1" t="n">
        <v>1</v>
      </c>
      <c r="E909" s="1" t="str">
        <f aca="false">VLOOKUP(C909,Меню!$A$2:$C$24,2,FALSE())</f>
        <v>Пицца Флорида</v>
      </c>
      <c r="F909" s="1" t="n">
        <f aca="false">VLOOKUP(C909,Меню!$A$2:$C$24,3,FALSE())</f>
        <v>535</v>
      </c>
      <c r="G909" s="5" t="n">
        <f aca="false">VLOOKUP(B909,Заказы!$A$2:$E$2995,2,FALSE())</f>
        <v>44032</v>
      </c>
      <c r="H909" s="1" t="n">
        <f aca="false">VLOOKUP(B909,Заказы!$A$2:$E$2995,3,FALSE())</f>
        <v>756</v>
      </c>
      <c r="I909" s="1" t="str">
        <f aca="false">VLOOKUP(H909,Клиенты!$A$2:$E$1995,5,FALSE())</f>
        <v>г. Медногорск</v>
      </c>
      <c r="J909" s="1" t="n">
        <f aca="false">VLOOKUP(B909,Заказы!$A$2:$E$2995,4,FALSE())</f>
        <v>0</v>
      </c>
      <c r="K909" s="1" t="str">
        <f aca="false">VLOOKUP(B909,Заказы!$A$2:$E$2995,5,FALSE())</f>
        <v>Не выполнено</v>
      </c>
      <c r="L909" s="1" t="n">
        <f aca="false">D909*F909+J909</f>
        <v>535</v>
      </c>
      <c r="M909" s="1" t="n">
        <f aca="false">IF(AND(E909="Пицца Труслейка",I909="г. Москва",K909="Выполнено",G909&gt;=DATE(2020,7,1),G909&lt;DATE(2020,8,1)),L909,0)</f>
        <v>0</v>
      </c>
    </row>
    <row r="910" customFormat="false" ht="15" hidden="false" customHeight="true" outlineLevel="0" collapsed="false">
      <c r="A910" s="1" t="n">
        <v>101292</v>
      </c>
      <c r="B910" s="1" t="n">
        <v>50359</v>
      </c>
      <c r="C910" s="1" t="n">
        <v>6</v>
      </c>
      <c r="D910" s="1" t="n">
        <v>9</v>
      </c>
      <c r="E910" s="1" t="str">
        <f aca="false">VLOOKUP(C910,Меню!$A$2:$C$24,2,FALSE())</f>
        <v>Пицца Капричиоза</v>
      </c>
      <c r="F910" s="1" t="n">
        <f aca="false">VLOOKUP(C910,Меню!$A$2:$C$24,3,FALSE())</f>
        <v>570</v>
      </c>
      <c r="G910" s="5" t="n">
        <f aca="false">VLOOKUP(B910,Заказы!$A$2:$E$2995,2,FALSE())</f>
        <v>43984</v>
      </c>
      <c r="H910" s="1" t="n">
        <f aca="false">VLOOKUP(B910,Заказы!$A$2:$E$2995,3,FALSE())</f>
        <v>1957</v>
      </c>
      <c r="I910" s="1" t="str">
        <f aca="false">VLOOKUP(H910,Клиенты!$A$2:$E$1995,5,FALSE())</f>
        <v>г. Бирск</v>
      </c>
      <c r="J910" s="1" t="n">
        <f aca="false">VLOOKUP(B910,Заказы!$A$2:$E$2995,4,FALSE())</f>
        <v>866</v>
      </c>
      <c r="K910" s="1" t="str">
        <f aca="false">VLOOKUP(B910,Заказы!$A$2:$E$2995,5,FALSE())</f>
        <v>Выполнено</v>
      </c>
      <c r="L910" s="1" t="n">
        <f aca="false">D910*F910+J910</f>
        <v>5996</v>
      </c>
      <c r="M910" s="1" t="n">
        <f aca="false">IF(AND(E910="Пицца Труслейка",I910="г. Москва",K910="Выполнено",G910&gt;=DATE(2020,7,1),G910&lt;DATE(2020,8,1)),L910,0)</f>
        <v>0</v>
      </c>
    </row>
    <row r="911" customFormat="false" ht="15" hidden="false" customHeight="true" outlineLevel="0" collapsed="false">
      <c r="A911" s="1" t="n">
        <v>101141</v>
      </c>
      <c r="B911" s="1" t="n">
        <v>51781</v>
      </c>
      <c r="C911" s="1" t="n">
        <v>4</v>
      </c>
      <c r="D911" s="1" t="n">
        <v>8</v>
      </c>
      <c r="E911" s="1" t="str">
        <f aca="false">VLOOKUP(C911,Меню!$A$2:$C$24,2,FALSE())</f>
        <v>Пицца Труслейка</v>
      </c>
      <c r="F911" s="1" t="n">
        <f aca="false">VLOOKUP(C911,Меню!$A$2:$C$24,3,FALSE())</f>
        <v>610</v>
      </c>
      <c r="G911" s="5" t="n">
        <f aca="false">VLOOKUP(B911,Заказы!$A$2:$E$2995,2,FALSE())</f>
        <v>44017</v>
      </c>
      <c r="H911" s="1" t="n">
        <f aca="false">VLOOKUP(B911,Заказы!$A$2:$E$2995,3,FALSE())</f>
        <v>1807</v>
      </c>
      <c r="I911" s="1" t="str">
        <f aca="false">VLOOKUP(H911,Клиенты!$A$2:$E$1995,5,FALSE())</f>
        <v>г. Лермонтов</v>
      </c>
      <c r="J911" s="1" t="n">
        <f aca="false">VLOOKUP(B911,Заказы!$A$2:$E$2995,4,FALSE())</f>
        <v>0</v>
      </c>
      <c r="K911" s="1" t="str">
        <f aca="false">VLOOKUP(B911,Заказы!$A$2:$E$2995,5,FALSE())</f>
        <v>Не выполнено</v>
      </c>
      <c r="L911" s="1" t="n">
        <f aca="false">D911*F911+J911</f>
        <v>4880</v>
      </c>
      <c r="M911" s="1" t="n">
        <f aca="false">IF(AND(E911="Пицца Труслейка",I911="г. Москва",K911="Выполнено",G911&gt;=DATE(2020,7,1),G911&lt;DATE(2020,8,1)),L911,0)</f>
        <v>0</v>
      </c>
    </row>
    <row r="912" customFormat="false" ht="15" hidden="false" customHeight="true" outlineLevel="0" collapsed="false">
      <c r="A912" s="1" t="n">
        <v>100678</v>
      </c>
      <c r="B912" s="1" t="n">
        <v>51380</v>
      </c>
      <c r="C912" s="1" t="n">
        <v>2</v>
      </c>
      <c r="D912" s="1" t="n">
        <v>1</v>
      </c>
      <c r="E912" s="1" t="str">
        <f aca="false">VLOOKUP(C912,Меню!$A$2:$C$24,2,FALSE())</f>
        <v>Пицца Двойная пепперони</v>
      </c>
      <c r="F912" s="1" t="n">
        <f aca="false">VLOOKUP(C912,Меню!$A$2:$C$24,3,FALSE())</f>
        <v>575</v>
      </c>
      <c r="G912" s="5" t="n">
        <f aca="false">VLOOKUP(B912,Заказы!$A$2:$E$2995,2,FALSE())</f>
        <v>44003</v>
      </c>
      <c r="H912" s="1" t="n">
        <f aca="false">VLOOKUP(B912,Заказы!$A$2:$E$2995,3,FALSE())</f>
        <v>1569</v>
      </c>
      <c r="I912" s="1" t="str">
        <f aca="false">VLOOKUP(H912,Клиенты!$A$2:$E$1995,5,FALSE())</f>
        <v>г. Астрахань</v>
      </c>
      <c r="J912" s="1" t="n">
        <f aca="false">VLOOKUP(B912,Заказы!$A$2:$E$2995,4,FALSE())</f>
        <v>0</v>
      </c>
      <c r="K912" s="1" t="str">
        <f aca="false">VLOOKUP(B912,Заказы!$A$2:$E$2995,5,FALSE())</f>
        <v>Не выполнено</v>
      </c>
      <c r="L912" s="1" t="n">
        <f aca="false">D912*F912+J912</f>
        <v>575</v>
      </c>
      <c r="M912" s="1" t="n">
        <f aca="false">IF(AND(E912="Пицца Труслейка",I912="г. Москва",K912="Выполнено",G912&gt;=DATE(2020,7,1),G912&lt;DATE(2020,8,1)),L912,0)</f>
        <v>0</v>
      </c>
    </row>
    <row r="913" customFormat="false" ht="15" hidden="false" customHeight="true" outlineLevel="0" collapsed="false">
      <c r="A913" s="1" t="n">
        <v>100893</v>
      </c>
      <c r="B913" s="1" t="n">
        <v>51020</v>
      </c>
      <c r="C913" s="1" t="n">
        <v>23</v>
      </c>
      <c r="D913" s="1" t="n">
        <v>2</v>
      </c>
      <c r="E913" s="1" t="str">
        <f aca="false">VLOOKUP(C913,Меню!$A$2:$C$24,2,FALSE())</f>
        <v>Пицца с тунцом</v>
      </c>
      <c r="F913" s="1" t="n">
        <f aca="false">VLOOKUP(C913,Меню!$A$2:$C$24,3,FALSE())</f>
        <v>520</v>
      </c>
      <c r="G913" s="5" t="n">
        <f aca="false">VLOOKUP(B913,Заказы!$A$2:$E$2995,2,FALSE())</f>
        <v>44030</v>
      </c>
      <c r="H913" s="1" t="n">
        <f aca="false">VLOOKUP(B913,Заказы!$A$2:$E$2995,3,FALSE())</f>
        <v>77</v>
      </c>
      <c r="I913" s="1" t="str">
        <f aca="false">VLOOKUP(H913,Клиенты!$A$2:$E$1995,5,FALSE())</f>
        <v>г. Клинцы</v>
      </c>
      <c r="J913" s="1" t="n">
        <f aca="false">VLOOKUP(B913,Заказы!$A$2:$E$2995,4,FALSE())</f>
        <v>809</v>
      </c>
      <c r="K913" s="1" t="str">
        <f aca="false">VLOOKUP(B913,Заказы!$A$2:$E$2995,5,FALSE())</f>
        <v>Выполнено</v>
      </c>
      <c r="L913" s="1" t="n">
        <f aca="false">D913*F913+J913</f>
        <v>1849</v>
      </c>
      <c r="M913" s="1" t="n">
        <f aca="false">IF(AND(E913="Пицца Труслейка",I913="г. Москва",K913="Выполнено",G913&gt;=DATE(2020,7,1),G913&lt;DATE(2020,8,1)),L913,0)</f>
        <v>0</v>
      </c>
    </row>
    <row r="914" customFormat="false" ht="15" hidden="false" customHeight="true" outlineLevel="0" collapsed="false">
      <c r="A914" s="1" t="n">
        <v>101159</v>
      </c>
      <c r="B914" s="1" t="n">
        <v>50979</v>
      </c>
      <c r="C914" s="1" t="n">
        <v>20</v>
      </c>
      <c r="D914" s="1" t="n">
        <v>2</v>
      </c>
      <c r="E914" s="1" t="str">
        <f aca="false">VLOOKUP(C914,Меню!$A$2:$C$24,2,FALSE())</f>
        <v>Пицца пиканте</v>
      </c>
      <c r="F914" s="1" t="n">
        <f aca="false">VLOOKUP(C914,Меню!$A$2:$C$24,3,FALSE())</f>
        <v>585</v>
      </c>
      <c r="G914" s="5" t="n">
        <f aca="false">VLOOKUP(B914,Заказы!$A$2:$E$2995,2,FALSE())</f>
        <v>44005</v>
      </c>
      <c r="H914" s="1" t="n">
        <f aca="false">VLOOKUP(B914,Заказы!$A$2:$E$2995,3,FALSE())</f>
        <v>871</v>
      </c>
      <c r="I914" s="1" t="str">
        <f aca="false">VLOOKUP(H914,Клиенты!$A$2:$E$1995,5,FALSE())</f>
        <v>г. Кушва</v>
      </c>
      <c r="J914" s="1" t="n">
        <f aca="false">VLOOKUP(B914,Заказы!$A$2:$E$2995,4,FALSE())</f>
        <v>445</v>
      </c>
      <c r="K914" s="1" t="str">
        <f aca="false">VLOOKUP(B914,Заказы!$A$2:$E$2995,5,FALSE())</f>
        <v>Выполнено</v>
      </c>
      <c r="L914" s="1" t="n">
        <f aca="false">D914*F914+J914</f>
        <v>1615</v>
      </c>
      <c r="M914" s="1" t="n">
        <f aca="false">IF(AND(E914="Пицца Труслейка",I914="г. Москва",K914="Выполнено",G914&gt;=DATE(2020,7,1),G914&lt;DATE(2020,8,1)),L914,0)</f>
        <v>0</v>
      </c>
    </row>
    <row r="915" customFormat="false" ht="15" hidden="false" customHeight="true" outlineLevel="0" collapsed="false">
      <c r="A915" s="1" t="n">
        <v>100443</v>
      </c>
      <c r="B915" s="1" t="n">
        <v>51430</v>
      </c>
      <c r="C915" s="1" t="n">
        <v>17</v>
      </c>
      <c r="D915" s="1" t="n">
        <v>9</v>
      </c>
      <c r="E915" s="1" t="str">
        <f aca="false">VLOOKUP(C915,Меню!$A$2:$C$24,2,FALSE())</f>
        <v>Пицца Френч Фрайз</v>
      </c>
      <c r="F915" s="1" t="n">
        <f aca="false">VLOOKUP(C915,Меню!$A$2:$C$24,3,FALSE())</f>
        <v>515</v>
      </c>
      <c r="G915" s="5" t="n">
        <f aca="false">VLOOKUP(B915,Заказы!$A$2:$E$2995,2,FALSE())</f>
        <v>44019</v>
      </c>
      <c r="H915" s="1" t="n">
        <f aca="false">VLOOKUP(B915,Заказы!$A$2:$E$2995,3,FALSE())</f>
        <v>113</v>
      </c>
      <c r="I915" s="1" t="str">
        <f aca="false">VLOOKUP(H915,Клиенты!$A$2:$E$1995,5,FALSE())</f>
        <v>г. Заозёрск</v>
      </c>
      <c r="J915" s="1" t="n">
        <f aca="false">VLOOKUP(B915,Заказы!$A$2:$E$2995,4,FALSE())</f>
        <v>0</v>
      </c>
      <c r="K915" s="1" t="str">
        <f aca="false">VLOOKUP(B915,Заказы!$A$2:$E$2995,5,FALSE())</f>
        <v>Не выполнено</v>
      </c>
      <c r="L915" s="1" t="n">
        <f aca="false">D915*F915+J915</f>
        <v>4635</v>
      </c>
      <c r="M915" s="1" t="n">
        <f aca="false">IF(AND(E915="Пицца Труслейка",I915="г. Москва",K915="Выполнено",G915&gt;=DATE(2020,7,1),G915&lt;DATE(2020,8,1)),L915,0)</f>
        <v>0</v>
      </c>
    </row>
    <row r="916" customFormat="false" ht="15" hidden="false" customHeight="true" outlineLevel="0" collapsed="false">
      <c r="A916" s="1" t="n">
        <v>101218</v>
      </c>
      <c r="B916" s="1" t="n">
        <v>51082</v>
      </c>
      <c r="C916" s="1" t="n">
        <v>16</v>
      </c>
      <c r="D916" s="1" t="n">
        <v>1</v>
      </c>
      <c r="E916" s="1" t="str">
        <f aca="false">VLOOKUP(C916,Меню!$A$2:$C$24,2,FALSE())</f>
        <v>Пицца Флорида</v>
      </c>
      <c r="F916" s="1" t="n">
        <f aca="false">VLOOKUP(C916,Меню!$A$2:$C$24,3,FALSE())</f>
        <v>535</v>
      </c>
      <c r="G916" s="5" t="n">
        <f aca="false">VLOOKUP(B916,Заказы!$A$2:$E$2995,2,FALSE())</f>
        <v>43984</v>
      </c>
      <c r="H916" s="1" t="n">
        <f aca="false">VLOOKUP(B916,Заказы!$A$2:$E$2995,3,FALSE())</f>
        <v>971</v>
      </c>
      <c r="I916" s="1" t="str">
        <f aca="false">VLOOKUP(H916,Клиенты!$A$2:$E$1995,5,FALSE())</f>
        <v>г. Пермь</v>
      </c>
      <c r="J916" s="1" t="n">
        <f aca="false">VLOOKUP(B916,Заказы!$A$2:$E$2995,4,FALSE())</f>
        <v>244</v>
      </c>
      <c r="K916" s="1" t="str">
        <f aca="false">VLOOKUP(B916,Заказы!$A$2:$E$2995,5,FALSE())</f>
        <v>Выполнено</v>
      </c>
      <c r="L916" s="1" t="n">
        <f aca="false">D916*F916+J916</f>
        <v>779</v>
      </c>
      <c r="M916" s="1" t="n">
        <f aca="false">IF(AND(E916="Пицца Труслейка",I916="г. Москва",K916="Выполнено",G916&gt;=DATE(2020,7,1),G916&lt;DATE(2020,8,1)),L916,0)</f>
        <v>0</v>
      </c>
    </row>
    <row r="917" customFormat="false" ht="15" hidden="false" customHeight="true" outlineLevel="0" collapsed="false">
      <c r="A917" s="1" t="n">
        <v>101275</v>
      </c>
      <c r="B917" s="1" t="n">
        <v>50215</v>
      </c>
      <c r="C917" s="1" t="n">
        <v>10</v>
      </c>
      <c r="D917" s="1" t="n">
        <v>6</v>
      </c>
      <c r="E917" s="1" t="str">
        <f aca="false">VLOOKUP(C917,Меню!$A$2:$C$24,2,FALSE())</f>
        <v>Пицца Пепперони фреш</v>
      </c>
      <c r="F917" s="1" t="n">
        <f aca="false">VLOOKUP(C917,Меню!$A$2:$C$24,3,FALSE())</f>
        <v>565</v>
      </c>
      <c r="G917" s="5" t="n">
        <f aca="false">VLOOKUP(B917,Заказы!$A$2:$E$2995,2,FALSE())</f>
        <v>44059</v>
      </c>
      <c r="H917" s="1" t="n">
        <f aca="false">VLOOKUP(B917,Заказы!$A$2:$E$2995,3,FALSE())</f>
        <v>1543</v>
      </c>
      <c r="I917" s="1" t="str">
        <f aca="false">VLOOKUP(H917,Клиенты!$A$2:$E$1995,5,FALSE())</f>
        <v>г. Михайловка</v>
      </c>
      <c r="J917" s="1" t="n">
        <f aca="false">VLOOKUP(B917,Заказы!$A$2:$E$2995,4,FALSE())</f>
        <v>0</v>
      </c>
      <c r="K917" s="1" t="str">
        <f aca="false">VLOOKUP(B917,Заказы!$A$2:$E$2995,5,FALSE())</f>
        <v>Не выполнено</v>
      </c>
      <c r="L917" s="1" t="n">
        <f aca="false">D917*F917+J917</f>
        <v>3390</v>
      </c>
      <c r="M917" s="1" t="n">
        <f aca="false">IF(AND(E917="Пицца Труслейка",I917="г. Москва",K917="Выполнено",G917&gt;=DATE(2020,7,1),G917&lt;DATE(2020,8,1)),L917,0)</f>
        <v>0</v>
      </c>
    </row>
    <row r="918" customFormat="false" ht="15" hidden="false" customHeight="true" outlineLevel="0" collapsed="false">
      <c r="A918" s="1" t="n">
        <v>100899</v>
      </c>
      <c r="B918" s="1" t="n">
        <v>51794</v>
      </c>
      <c r="C918" s="1" t="n">
        <v>21</v>
      </c>
      <c r="D918" s="1" t="n">
        <v>10</v>
      </c>
      <c r="E918" s="1" t="str">
        <f aca="false">VLOOKUP(C918,Меню!$A$2:$C$24,2,FALSE())</f>
        <v>Пицца с креветками и цукини</v>
      </c>
      <c r="F918" s="1" t="n">
        <f aca="false">VLOOKUP(C918,Меню!$A$2:$C$24,3,FALSE())</f>
        <v>600</v>
      </c>
      <c r="G918" s="5" t="n">
        <f aca="false">VLOOKUP(B918,Заказы!$A$2:$E$2995,2,FALSE())</f>
        <v>44035</v>
      </c>
      <c r="H918" s="1" t="n">
        <f aca="false">VLOOKUP(B918,Заказы!$A$2:$E$2995,3,FALSE())</f>
        <v>1045</v>
      </c>
      <c r="I918" s="1" t="str">
        <f aca="false">VLOOKUP(H918,Клиенты!$A$2:$E$1995,5,FALSE())</f>
        <v>г. Краснослободск</v>
      </c>
      <c r="J918" s="1" t="n">
        <f aca="false">VLOOKUP(B918,Заказы!$A$2:$E$2995,4,FALSE())</f>
        <v>0</v>
      </c>
      <c r="K918" s="1" t="str">
        <f aca="false">VLOOKUP(B918,Заказы!$A$2:$E$2995,5,FALSE())</f>
        <v>Не выполнено</v>
      </c>
      <c r="L918" s="1" t="n">
        <f aca="false">D918*F918+J918</f>
        <v>6000</v>
      </c>
      <c r="M918" s="1" t="n">
        <f aca="false">IF(AND(E918="Пицца Труслейка",I918="г. Москва",K918="Выполнено",G918&gt;=DATE(2020,7,1),G918&lt;DATE(2020,8,1)),L918,0)</f>
        <v>0</v>
      </c>
    </row>
    <row r="919" customFormat="false" ht="15" hidden="false" customHeight="true" outlineLevel="0" collapsed="false">
      <c r="A919" s="1" t="n">
        <v>101217</v>
      </c>
      <c r="B919" s="1" t="n">
        <v>51176</v>
      </c>
      <c r="C919" s="1" t="n">
        <v>12</v>
      </c>
      <c r="D919" s="1" t="n">
        <v>10</v>
      </c>
      <c r="E919" s="1" t="str">
        <f aca="false">VLOOKUP(C919,Меню!$A$2:$C$24,2,FALSE())</f>
        <v>Пицца Салями с трюфелем</v>
      </c>
      <c r="F919" s="1" t="n">
        <f aca="false">VLOOKUP(C919,Меню!$A$2:$C$24,3,FALSE())</f>
        <v>525</v>
      </c>
      <c r="G919" s="5" t="n">
        <f aca="false">VLOOKUP(B919,Заказы!$A$2:$E$2995,2,FALSE())</f>
        <v>44002</v>
      </c>
      <c r="H919" s="1" t="n">
        <f aca="false">VLOOKUP(B919,Заказы!$A$2:$E$2995,3,FALSE())</f>
        <v>398</v>
      </c>
      <c r="I919" s="1" t="str">
        <f aca="false">VLOOKUP(H919,Клиенты!$A$2:$E$1995,5,FALSE())</f>
        <v>г. Верещагино</v>
      </c>
      <c r="J919" s="1" t="n">
        <f aca="false">VLOOKUP(B919,Заказы!$A$2:$E$2995,4,FALSE())</f>
        <v>722</v>
      </c>
      <c r="K919" s="1" t="str">
        <f aca="false">VLOOKUP(B919,Заказы!$A$2:$E$2995,5,FALSE())</f>
        <v>Выполнено</v>
      </c>
      <c r="L919" s="1" t="n">
        <f aca="false">D919*F919+J919</f>
        <v>5972</v>
      </c>
      <c r="M919" s="1" t="n">
        <f aca="false">IF(AND(E919="Пицца Труслейка",I919="г. Москва",K919="Выполнено",G919&gt;=DATE(2020,7,1),G919&lt;DATE(2020,8,1)),L919,0)</f>
        <v>0</v>
      </c>
    </row>
    <row r="920" customFormat="false" ht="15" hidden="false" customHeight="true" outlineLevel="0" collapsed="false">
      <c r="A920" s="1" t="n">
        <v>100815</v>
      </c>
      <c r="B920" s="1" t="n">
        <v>51137</v>
      </c>
      <c r="C920" s="1" t="n">
        <v>14</v>
      </c>
      <c r="D920" s="1" t="n">
        <v>4</v>
      </c>
      <c r="E920" s="1" t="str">
        <f aca="false">VLOOKUP(C920,Меню!$A$2:$C$24,2,FALSE())</f>
        <v>Пицца Сырный цыпленок</v>
      </c>
      <c r="F920" s="1" t="n">
        <f aca="false">VLOOKUP(C920,Меню!$A$2:$C$24,3,FALSE())</f>
        <v>555</v>
      </c>
      <c r="G920" s="5" t="n">
        <f aca="false">VLOOKUP(B920,Заказы!$A$2:$E$2995,2,FALSE())</f>
        <v>44038</v>
      </c>
      <c r="H920" s="1" t="n">
        <f aca="false">VLOOKUP(B920,Заказы!$A$2:$E$2995,3,FALSE())</f>
        <v>494</v>
      </c>
      <c r="I920" s="1" t="str">
        <f aca="false">VLOOKUP(H920,Клиенты!$A$2:$E$1995,5,FALSE())</f>
        <v>г. Торжок</v>
      </c>
      <c r="J920" s="1" t="n">
        <f aca="false">VLOOKUP(B920,Заказы!$A$2:$E$2995,4,FALSE())</f>
        <v>0</v>
      </c>
      <c r="K920" s="1" t="str">
        <f aca="false">VLOOKUP(B920,Заказы!$A$2:$E$2995,5,FALSE())</f>
        <v>Не выполнено</v>
      </c>
      <c r="L920" s="1" t="n">
        <f aca="false">D920*F920+J920</f>
        <v>2220</v>
      </c>
      <c r="M920" s="1" t="n">
        <f aca="false">IF(AND(E920="Пицца Труслейка",I920="г. Москва",K920="Выполнено",G920&gt;=DATE(2020,7,1),G920&lt;DATE(2020,8,1)),L920,0)</f>
        <v>0</v>
      </c>
    </row>
    <row r="921" customFormat="false" ht="15" hidden="false" customHeight="true" outlineLevel="0" collapsed="false">
      <c r="A921" s="1" t="n">
        <v>101049</v>
      </c>
      <c r="B921" s="1" t="n">
        <v>50623</v>
      </c>
      <c r="C921" s="1" t="n">
        <v>4</v>
      </c>
      <c r="D921" s="1" t="n">
        <v>3</v>
      </c>
      <c r="E921" s="1" t="str">
        <f aca="false">VLOOKUP(C921,Меню!$A$2:$C$24,2,FALSE())</f>
        <v>Пицца Труслейка</v>
      </c>
      <c r="F921" s="1" t="n">
        <f aca="false">VLOOKUP(C921,Меню!$A$2:$C$24,3,FALSE())</f>
        <v>610</v>
      </c>
      <c r="G921" s="5" t="n">
        <f aca="false">VLOOKUP(B921,Заказы!$A$2:$E$2995,2,FALSE())</f>
        <v>43992</v>
      </c>
      <c r="H921" s="1" t="n">
        <f aca="false">VLOOKUP(B921,Заказы!$A$2:$E$2995,3,FALSE())</f>
        <v>163</v>
      </c>
      <c r="I921" s="1" t="str">
        <f aca="false">VLOOKUP(H921,Клиенты!$A$2:$E$1995,5,FALSE())</f>
        <v>г. Канаш</v>
      </c>
      <c r="J921" s="1" t="n">
        <f aca="false">VLOOKUP(B921,Заказы!$A$2:$E$2995,4,FALSE())</f>
        <v>688</v>
      </c>
      <c r="K921" s="1" t="str">
        <f aca="false">VLOOKUP(B921,Заказы!$A$2:$E$2995,5,FALSE())</f>
        <v>Выполнено</v>
      </c>
      <c r="L921" s="1" t="n">
        <f aca="false">D921*F921+J921</f>
        <v>2518</v>
      </c>
      <c r="M921" s="1" t="n">
        <f aca="false">IF(AND(E921="Пицца Труслейка",I921="г. Москва",K921="Выполнено",G921&gt;=DATE(2020,7,1),G921&lt;DATE(2020,8,1)),L921,0)</f>
        <v>0</v>
      </c>
    </row>
    <row r="922" customFormat="false" ht="15" hidden="false" customHeight="true" outlineLevel="0" collapsed="false">
      <c r="A922" s="1" t="n">
        <v>101915</v>
      </c>
      <c r="B922" s="1" t="n">
        <v>50865</v>
      </c>
      <c r="C922" s="1" t="n">
        <v>12</v>
      </c>
      <c r="D922" s="1" t="n">
        <v>6</v>
      </c>
      <c r="E922" s="1" t="str">
        <f aca="false">VLOOKUP(C922,Меню!$A$2:$C$24,2,FALSE())</f>
        <v>Пицца Салями с трюфелем</v>
      </c>
      <c r="F922" s="1" t="n">
        <f aca="false">VLOOKUP(C922,Меню!$A$2:$C$24,3,FALSE())</f>
        <v>525</v>
      </c>
      <c r="G922" s="5" t="n">
        <f aca="false">VLOOKUP(B922,Заказы!$A$2:$E$2995,2,FALSE())</f>
        <v>44061</v>
      </c>
      <c r="H922" s="1" t="n">
        <f aca="false">VLOOKUP(B922,Заказы!$A$2:$E$2995,3,FALSE())</f>
        <v>536</v>
      </c>
      <c r="I922" s="1" t="str">
        <f aca="false">VLOOKUP(H922,Клиенты!$A$2:$E$1995,5,FALSE())</f>
        <v>г. Среднеколымск</v>
      </c>
      <c r="J922" s="1" t="n">
        <f aca="false">VLOOKUP(B922,Заказы!$A$2:$E$2995,4,FALSE())</f>
        <v>0</v>
      </c>
      <c r="K922" s="1" t="str">
        <f aca="false">VLOOKUP(B922,Заказы!$A$2:$E$2995,5,FALSE())</f>
        <v>Не выполнено</v>
      </c>
      <c r="L922" s="1" t="n">
        <f aca="false">D922*F922+J922</f>
        <v>3150</v>
      </c>
      <c r="M922" s="1" t="n">
        <f aca="false">IF(AND(E922="Пицца Труслейка",I922="г. Москва",K922="Выполнено",G922&gt;=DATE(2020,7,1),G922&lt;DATE(2020,8,1)),L922,0)</f>
        <v>0</v>
      </c>
    </row>
    <row r="923" customFormat="false" ht="15" hidden="false" customHeight="true" outlineLevel="0" collapsed="false">
      <c r="A923" s="1" t="n">
        <v>100371</v>
      </c>
      <c r="B923" s="1" t="n">
        <v>50576</v>
      </c>
      <c r="C923" s="1" t="n">
        <v>4</v>
      </c>
      <c r="D923" s="1" t="n">
        <v>6</v>
      </c>
      <c r="E923" s="1" t="str">
        <f aca="false">VLOOKUP(C923,Меню!$A$2:$C$24,2,FALSE())</f>
        <v>Пицца Труслейка</v>
      </c>
      <c r="F923" s="1" t="n">
        <f aca="false">VLOOKUP(C923,Меню!$A$2:$C$24,3,FALSE())</f>
        <v>610</v>
      </c>
      <c r="G923" s="5" t="n">
        <f aca="false">VLOOKUP(B923,Заказы!$A$2:$E$2995,2,FALSE())</f>
        <v>44071</v>
      </c>
      <c r="H923" s="1" t="n">
        <f aca="false">VLOOKUP(B923,Заказы!$A$2:$E$2995,3,FALSE())</f>
        <v>1091</v>
      </c>
      <c r="I923" s="1" t="str">
        <f aca="false">VLOOKUP(H923,Клиенты!$A$2:$E$1995,5,FALSE())</f>
        <v>г. Салаир</v>
      </c>
      <c r="J923" s="1" t="n">
        <f aca="false">VLOOKUP(B923,Заказы!$A$2:$E$2995,4,FALSE())</f>
        <v>0</v>
      </c>
      <c r="K923" s="1" t="str">
        <f aca="false">VLOOKUP(B923,Заказы!$A$2:$E$2995,5,FALSE())</f>
        <v>Не выполнено</v>
      </c>
      <c r="L923" s="1" t="n">
        <f aca="false">D923*F923+J923</f>
        <v>3660</v>
      </c>
      <c r="M923" s="1" t="n">
        <f aca="false">IF(AND(E923="Пицца Труслейка",I923="г. Москва",K923="Выполнено",G923&gt;=DATE(2020,7,1),G923&lt;DATE(2020,8,1)),L923,0)</f>
        <v>0</v>
      </c>
    </row>
    <row r="924" customFormat="false" ht="15" hidden="false" customHeight="true" outlineLevel="0" collapsed="false">
      <c r="A924" s="1" t="n">
        <v>101388</v>
      </c>
      <c r="B924" s="1" t="n">
        <v>51801</v>
      </c>
      <c r="C924" s="1" t="n">
        <v>18</v>
      </c>
      <c r="D924" s="1" t="n">
        <v>5</v>
      </c>
      <c r="E924" s="1" t="str">
        <f aca="false">VLOOKUP(C924,Меню!$A$2:$C$24,2,FALSE())</f>
        <v>Пицца Царская</v>
      </c>
      <c r="F924" s="1" t="n">
        <f aca="false">VLOOKUP(C924,Меню!$A$2:$C$24,3,FALSE())</f>
        <v>620</v>
      </c>
      <c r="G924" s="5" t="n">
        <f aca="false">VLOOKUP(B924,Заказы!$A$2:$E$2995,2,FALSE())</f>
        <v>44007</v>
      </c>
      <c r="H924" s="1" t="n">
        <f aca="false">VLOOKUP(B924,Заказы!$A$2:$E$2995,3,FALSE())</f>
        <v>100</v>
      </c>
      <c r="I924" s="1" t="str">
        <f aca="false">VLOOKUP(H924,Клиенты!$A$2:$E$1995,5,FALSE())</f>
        <v>г. Москва</v>
      </c>
      <c r="J924" s="1" t="n">
        <f aca="false">VLOOKUP(B924,Заказы!$A$2:$E$2995,4,FALSE())</f>
        <v>0</v>
      </c>
      <c r="K924" s="1" t="str">
        <f aca="false">VLOOKUP(B924,Заказы!$A$2:$E$2995,5,FALSE())</f>
        <v>Не выполнено</v>
      </c>
      <c r="L924" s="1" t="n">
        <f aca="false">D924*F924+J924</f>
        <v>3100</v>
      </c>
      <c r="M924" s="1" t="n">
        <f aca="false">IF(AND(E924="Пицца Труслейка",I924="г. Москва",K924="Выполнено",G924&gt;=DATE(2020,7,1),G924&lt;DATE(2020,8,1)),L924,0)</f>
        <v>0</v>
      </c>
    </row>
    <row r="925" customFormat="false" ht="15" hidden="false" customHeight="true" outlineLevel="0" collapsed="false">
      <c r="A925" s="1" t="n">
        <v>100791</v>
      </c>
      <c r="B925" s="1" t="n">
        <v>50281</v>
      </c>
      <c r="C925" s="1" t="n">
        <v>11</v>
      </c>
      <c r="D925" s="1" t="n">
        <v>4</v>
      </c>
      <c r="E925" s="1" t="str">
        <f aca="false">VLOOKUP(C925,Меню!$A$2:$C$24,2,FALSE())</f>
        <v>Пицца Песто</v>
      </c>
      <c r="F925" s="1" t="n">
        <f aca="false">VLOOKUP(C925,Меню!$A$2:$C$24,3,FALSE())</f>
        <v>530</v>
      </c>
      <c r="G925" s="5" t="n">
        <f aca="false">VLOOKUP(B925,Заказы!$A$2:$E$2995,2,FALSE())</f>
        <v>43983</v>
      </c>
      <c r="H925" s="1" t="n">
        <f aca="false">VLOOKUP(B925,Заказы!$A$2:$E$2995,3,FALSE())</f>
        <v>48</v>
      </c>
      <c r="I925" s="1" t="str">
        <f aca="false">VLOOKUP(H925,Клиенты!$A$2:$E$1995,5,FALSE())</f>
        <v>г. Энгельс</v>
      </c>
      <c r="J925" s="1" t="n">
        <f aca="false">VLOOKUP(B925,Заказы!$A$2:$E$2995,4,FALSE())</f>
        <v>130</v>
      </c>
      <c r="K925" s="1" t="str">
        <f aca="false">VLOOKUP(B925,Заказы!$A$2:$E$2995,5,FALSE())</f>
        <v>Выполнено</v>
      </c>
      <c r="L925" s="1" t="n">
        <f aca="false">D925*F925+J925</f>
        <v>2250</v>
      </c>
      <c r="M925" s="1" t="n">
        <f aca="false">IF(AND(E925="Пицца Труслейка",I925="г. Москва",K925="Выполнено",G925&gt;=DATE(2020,7,1),G925&lt;DATE(2020,8,1)),L925,0)</f>
        <v>0</v>
      </c>
    </row>
    <row r="926" customFormat="false" ht="15" hidden="false" customHeight="true" outlineLevel="0" collapsed="false">
      <c r="A926" s="1" t="n">
        <v>101758</v>
      </c>
      <c r="B926" s="1" t="n">
        <v>50036</v>
      </c>
      <c r="C926" s="1" t="n">
        <v>18</v>
      </c>
      <c r="D926" s="1" t="n">
        <v>4</v>
      </c>
      <c r="E926" s="1" t="str">
        <f aca="false">VLOOKUP(C926,Меню!$A$2:$C$24,2,FALSE())</f>
        <v>Пицца Царская</v>
      </c>
      <c r="F926" s="1" t="n">
        <f aca="false">VLOOKUP(C926,Меню!$A$2:$C$24,3,FALSE())</f>
        <v>620</v>
      </c>
      <c r="G926" s="5" t="n">
        <f aca="false">VLOOKUP(B926,Заказы!$A$2:$E$2995,2,FALSE())</f>
        <v>43992</v>
      </c>
      <c r="H926" s="1" t="n">
        <f aca="false">VLOOKUP(B926,Заказы!$A$2:$E$2995,3,FALSE())</f>
        <v>347</v>
      </c>
      <c r="I926" s="1" t="str">
        <f aca="false">VLOOKUP(H926,Клиенты!$A$2:$E$1995,5,FALSE())</f>
        <v>г. Хабаровск</v>
      </c>
      <c r="J926" s="1" t="n">
        <f aca="false">VLOOKUP(B926,Заказы!$A$2:$E$2995,4,FALSE())</f>
        <v>0</v>
      </c>
      <c r="K926" s="1" t="str">
        <f aca="false">VLOOKUP(B926,Заказы!$A$2:$E$2995,5,FALSE())</f>
        <v>Не выполнено</v>
      </c>
      <c r="L926" s="1" t="n">
        <f aca="false">D926*F926+J926</f>
        <v>2480</v>
      </c>
      <c r="M926" s="1" t="n">
        <f aca="false">IF(AND(E926="Пицца Труслейка",I926="г. Москва",K926="Выполнено",G926&gt;=DATE(2020,7,1),G926&lt;DATE(2020,8,1)),L926,0)</f>
        <v>0</v>
      </c>
    </row>
    <row r="927" customFormat="false" ht="15" hidden="false" customHeight="true" outlineLevel="0" collapsed="false">
      <c r="A927" s="1" t="n">
        <v>101633</v>
      </c>
      <c r="B927" s="1" t="n">
        <v>50264</v>
      </c>
      <c r="C927" s="1" t="n">
        <v>23</v>
      </c>
      <c r="D927" s="1" t="n">
        <v>1</v>
      </c>
      <c r="E927" s="1" t="str">
        <f aca="false">VLOOKUP(C927,Меню!$A$2:$C$24,2,FALSE())</f>
        <v>Пицца с тунцом</v>
      </c>
      <c r="F927" s="1" t="n">
        <f aca="false">VLOOKUP(C927,Меню!$A$2:$C$24,3,FALSE())</f>
        <v>520</v>
      </c>
      <c r="G927" s="5" t="n">
        <f aca="false">VLOOKUP(B927,Заказы!$A$2:$E$2995,2,FALSE())</f>
        <v>44018</v>
      </c>
      <c r="H927" s="1" t="n">
        <f aca="false">VLOOKUP(B927,Заказы!$A$2:$E$2995,3,FALSE())</f>
        <v>438</v>
      </c>
      <c r="I927" s="1" t="str">
        <f aca="false">VLOOKUP(H927,Клиенты!$A$2:$E$1995,5,FALSE())</f>
        <v>г. Кропоткин</v>
      </c>
      <c r="J927" s="1" t="n">
        <f aca="false">VLOOKUP(B927,Заказы!$A$2:$E$2995,4,FALSE())</f>
        <v>0</v>
      </c>
      <c r="K927" s="1" t="str">
        <f aca="false">VLOOKUP(B927,Заказы!$A$2:$E$2995,5,FALSE())</f>
        <v>Не выполнено</v>
      </c>
      <c r="L927" s="1" t="n">
        <f aca="false">D927*F927+J927</f>
        <v>520</v>
      </c>
      <c r="M927" s="1" t="n">
        <f aca="false">IF(AND(E927="Пицца Труслейка",I927="г. Москва",K927="Выполнено",G927&gt;=DATE(2020,7,1),G927&lt;DATE(2020,8,1)),L927,0)</f>
        <v>0</v>
      </c>
    </row>
    <row r="928" customFormat="false" ht="15" hidden="false" customHeight="true" outlineLevel="0" collapsed="false">
      <c r="A928" s="1" t="n">
        <v>100241</v>
      </c>
      <c r="B928" s="1" t="n">
        <v>50386</v>
      </c>
      <c r="C928" s="1" t="n">
        <v>22</v>
      </c>
      <c r="D928" s="1" t="n">
        <v>8</v>
      </c>
      <c r="E928" s="1" t="str">
        <f aca="false">VLOOKUP(C928,Меню!$A$2:$C$24,2,FALSE())</f>
        <v>Пицца с поркеттой и фриарелли</v>
      </c>
      <c r="F928" s="1" t="n">
        <f aca="false">VLOOKUP(C928,Меню!$A$2:$C$24,3,FALSE())</f>
        <v>550</v>
      </c>
      <c r="G928" s="5" t="n">
        <f aca="false">VLOOKUP(B928,Заказы!$A$2:$E$2995,2,FALSE())</f>
        <v>44013</v>
      </c>
      <c r="H928" s="1" t="n">
        <f aca="false">VLOOKUP(B928,Заказы!$A$2:$E$2995,3,FALSE())</f>
        <v>208</v>
      </c>
      <c r="I928" s="1" t="str">
        <f aca="false">VLOOKUP(H928,Клиенты!$A$2:$E$1995,5,FALSE())</f>
        <v>г. Урень</v>
      </c>
      <c r="J928" s="1" t="n">
        <f aca="false">VLOOKUP(B928,Заказы!$A$2:$E$2995,4,FALSE())</f>
        <v>0</v>
      </c>
      <c r="K928" s="1" t="str">
        <f aca="false">VLOOKUP(B928,Заказы!$A$2:$E$2995,5,FALSE())</f>
        <v>Не выполнено</v>
      </c>
      <c r="L928" s="1" t="n">
        <f aca="false">D928*F928+J928</f>
        <v>4400</v>
      </c>
      <c r="M928" s="1" t="n">
        <f aca="false">IF(AND(E928="Пицца Труслейка",I928="г. Москва",K928="Выполнено",G928&gt;=DATE(2020,7,1),G928&lt;DATE(2020,8,1)),L928,0)</f>
        <v>0</v>
      </c>
    </row>
    <row r="929" customFormat="false" ht="15" hidden="false" customHeight="true" outlineLevel="0" collapsed="false">
      <c r="A929" s="1" t="n">
        <v>101090</v>
      </c>
      <c r="B929" s="1" t="n">
        <v>51003</v>
      </c>
      <c r="C929" s="1" t="n">
        <v>20</v>
      </c>
      <c r="D929" s="1" t="n">
        <v>5</v>
      </c>
      <c r="E929" s="1" t="str">
        <f aca="false">VLOOKUP(C929,Меню!$A$2:$C$24,2,FALSE())</f>
        <v>Пицца пиканте</v>
      </c>
      <c r="F929" s="1" t="n">
        <f aca="false">VLOOKUP(C929,Меню!$A$2:$C$24,3,FALSE())</f>
        <v>585</v>
      </c>
      <c r="G929" s="5" t="n">
        <f aca="false">VLOOKUP(B929,Заказы!$A$2:$E$2995,2,FALSE())</f>
        <v>43990</v>
      </c>
      <c r="H929" s="1" t="n">
        <f aca="false">VLOOKUP(B929,Заказы!$A$2:$E$2995,3,FALSE())</f>
        <v>622</v>
      </c>
      <c r="I929" s="1" t="str">
        <f aca="false">VLOOKUP(H929,Клиенты!$A$2:$E$1995,5,FALSE())</f>
        <v>г. Муром</v>
      </c>
      <c r="J929" s="1" t="n">
        <f aca="false">VLOOKUP(B929,Заказы!$A$2:$E$2995,4,FALSE())</f>
        <v>0</v>
      </c>
      <c r="K929" s="1" t="str">
        <f aca="false">VLOOKUP(B929,Заказы!$A$2:$E$2995,5,FALSE())</f>
        <v>Не выполнено</v>
      </c>
      <c r="L929" s="1" t="n">
        <f aca="false">D929*F929+J929</f>
        <v>2925</v>
      </c>
      <c r="M929" s="1" t="n">
        <f aca="false">IF(AND(E929="Пицца Труслейка",I929="г. Москва",K929="Выполнено",G929&gt;=DATE(2020,7,1),G929&lt;DATE(2020,8,1)),L929,0)</f>
        <v>0</v>
      </c>
    </row>
    <row r="930" customFormat="false" ht="15" hidden="false" customHeight="true" outlineLevel="0" collapsed="false">
      <c r="A930" s="1" t="n">
        <v>100844</v>
      </c>
      <c r="B930" s="1" t="n">
        <v>50978</v>
      </c>
      <c r="C930" s="1" t="n">
        <v>20</v>
      </c>
      <c r="D930" s="1" t="n">
        <v>2</v>
      </c>
      <c r="E930" s="1" t="str">
        <f aca="false">VLOOKUP(C930,Меню!$A$2:$C$24,2,FALSE())</f>
        <v>Пицца пиканте</v>
      </c>
      <c r="F930" s="1" t="n">
        <f aca="false">VLOOKUP(C930,Меню!$A$2:$C$24,3,FALSE())</f>
        <v>585</v>
      </c>
      <c r="G930" s="5" t="n">
        <f aca="false">VLOOKUP(B930,Заказы!$A$2:$E$2995,2,FALSE())</f>
        <v>43983</v>
      </c>
      <c r="H930" s="1" t="n">
        <f aca="false">VLOOKUP(B930,Заказы!$A$2:$E$2995,3,FALSE())</f>
        <v>1469</v>
      </c>
      <c r="I930" s="1" t="str">
        <f aca="false">VLOOKUP(H930,Клиенты!$A$2:$E$1995,5,FALSE())</f>
        <v>г. Черепаново</v>
      </c>
      <c r="J930" s="1" t="n">
        <f aca="false">VLOOKUP(B930,Заказы!$A$2:$E$2995,4,FALSE())</f>
        <v>100</v>
      </c>
      <c r="K930" s="1" t="str">
        <f aca="false">VLOOKUP(B930,Заказы!$A$2:$E$2995,5,FALSE())</f>
        <v>Выполнено</v>
      </c>
      <c r="L930" s="1" t="n">
        <f aca="false">D930*F930+J930</f>
        <v>1270</v>
      </c>
      <c r="M930" s="1" t="n">
        <f aca="false">IF(AND(E930="Пицца Труслейка",I930="г. Москва",K930="Выполнено",G930&gt;=DATE(2020,7,1),G930&lt;DATE(2020,8,1)),L930,0)</f>
        <v>0</v>
      </c>
    </row>
    <row r="931" customFormat="false" ht="15" hidden="false" customHeight="true" outlineLevel="0" collapsed="false">
      <c r="A931" s="1" t="n">
        <v>100277</v>
      </c>
      <c r="B931" s="1" t="n">
        <v>51179</v>
      </c>
      <c r="C931" s="1" t="n">
        <v>4</v>
      </c>
      <c r="D931" s="1" t="n">
        <v>6</v>
      </c>
      <c r="E931" s="1" t="str">
        <f aca="false">VLOOKUP(C931,Меню!$A$2:$C$24,2,FALSE())</f>
        <v>Пицца Труслейка</v>
      </c>
      <c r="F931" s="1" t="n">
        <f aca="false">VLOOKUP(C931,Меню!$A$2:$C$24,3,FALSE())</f>
        <v>610</v>
      </c>
      <c r="G931" s="5" t="n">
        <f aca="false">VLOOKUP(B931,Заказы!$A$2:$E$2995,2,FALSE())</f>
        <v>44055</v>
      </c>
      <c r="H931" s="1" t="n">
        <f aca="false">VLOOKUP(B931,Заказы!$A$2:$E$2995,3,FALSE())</f>
        <v>595</v>
      </c>
      <c r="I931" s="1" t="str">
        <f aca="false">VLOOKUP(H931,Клиенты!$A$2:$E$1995,5,FALSE())</f>
        <v>г. Кстово</v>
      </c>
      <c r="J931" s="1" t="n">
        <f aca="false">VLOOKUP(B931,Заказы!$A$2:$E$2995,4,FALSE())</f>
        <v>0</v>
      </c>
      <c r="K931" s="1" t="str">
        <f aca="false">VLOOKUP(B931,Заказы!$A$2:$E$2995,5,FALSE())</f>
        <v>Не выполнено</v>
      </c>
      <c r="L931" s="1" t="n">
        <f aca="false">D931*F931+J931</f>
        <v>3660</v>
      </c>
      <c r="M931" s="1" t="n">
        <f aca="false">IF(AND(E931="Пицца Труслейка",I931="г. Москва",K931="Выполнено",G931&gt;=DATE(2020,7,1),G931&lt;DATE(2020,8,1)),L931,0)</f>
        <v>0</v>
      </c>
    </row>
    <row r="932" customFormat="false" ht="15" hidden="false" customHeight="true" outlineLevel="0" collapsed="false">
      <c r="A932" s="1" t="n">
        <v>100658</v>
      </c>
      <c r="B932" s="1" t="n">
        <v>51384</v>
      </c>
      <c r="C932" s="1" t="n">
        <v>10</v>
      </c>
      <c r="D932" s="1" t="n">
        <v>10</v>
      </c>
      <c r="E932" s="1" t="str">
        <f aca="false">VLOOKUP(C932,Меню!$A$2:$C$24,2,FALSE())</f>
        <v>Пицца Пепперони фреш</v>
      </c>
      <c r="F932" s="1" t="n">
        <f aca="false">VLOOKUP(C932,Меню!$A$2:$C$24,3,FALSE())</f>
        <v>565</v>
      </c>
      <c r="G932" s="5" t="n">
        <f aca="false">VLOOKUP(B932,Заказы!$A$2:$E$2995,2,FALSE())</f>
        <v>44024</v>
      </c>
      <c r="H932" s="1" t="n">
        <f aca="false">VLOOKUP(B932,Заказы!$A$2:$E$2995,3,FALSE())</f>
        <v>813</v>
      </c>
      <c r="I932" s="1" t="str">
        <f aca="false">VLOOKUP(H932,Клиенты!$A$2:$E$1995,5,FALSE())</f>
        <v>г. Валуйки</v>
      </c>
      <c r="J932" s="1" t="n">
        <f aca="false">VLOOKUP(B932,Заказы!$A$2:$E$2995,4,FALSE())</f>
        <v>768</v>
      </c>
      <c r="K932" s="1" t="str">
        <f aca="false">VLOOKUP(B932,Заказы!$A$2:$E$2995,5,FALSE())</f>
        <v>Выполнено</v>
      </c>
      <c r="L932" s="1" t="n">
        <f aca="false">D932*F932+J932</f>
        <v>6418</v>
      </c>
      <c r="M932" s="1" t="n">
        <f aca="false">IF(AND(E932="Пицца Труслейка",I932="г. Москва",K932="Выполнено",G932&gt;=DATE(2020,7,1),G932&lt;DATE(2020,8,1)),L932,0)</f>
        <v>0</v>
      </c>
    </row>
    <row r="933" customFormat="false" ht="15" hidden="false" customHeight="true" outlineLevel="0" collapsed="false">
      <c r="A933" s="1" t="n">
        <v>100627</v>
      </c>
      <c r="B933" s="1" t="n">
        <v>51917</v>
      </c>
      <c r="C933" s="1" t="n">
        <v>10</v>
      </c>
      <c r="D933" s="1" t="n">
        <v>9</v>
      </c>
      <c r="E933" s="1" t="str">
        <f aca="false">VLOOKUP(C933,Меню!$A$2:$C$24,2,FALSE())</f>
        <v>Пицца Пепперони фреш</v>
      </c>
      <c r="F933" s="1" t="n">
        <f aca="false">VLOOKUP(C933,Меню!$A$2:$C$24,3,FALSE())</f>
        <v>565</v>
      </c>
      <c r="G933" s="5" t="n">
        <f aca="false">VLOOKUP(B933,Заказы!$A$2:$E$2995,2,FALSE())</f>
        <v>44002</v>
      </c>
      <c r="H933" s="1" t="n">
        <f aca="false">VLOOKUP(B933,Заказы!$A$2:$E$2995,3,FALSE())</f>
        <v>1054</v>
      </c>
      <c r="I933" s="1" t="str">
        <f aca="false">VLOOKUP(H933,Клиенты!$A$2:$E$1995,5,FALSE())</f>
        <v>г. Казань</v>
      </c>
      <c r="J933" s="1" t="n">
        <f aca="false">VLOOKUP(B933,Заказы!$A$2:$E$2995,4,FALSE())</f>
        <v>172</v>
      </c>
      <c r="K933" s="1" t="str">
        <f aca="false">VLOOKUP(B933,Заказы!$A$2:$E$2995,5,FALSE())</f>
        <v>Выполнено</v>
      </c>
      <c r="L933" s="1" t="n">
        <f aca="false">D933*F933+J933</f>
        <v>5257</v>
      </c>
      <c r="M933" s="1" t="n">
        <f aca="false">IF(AND(E933="Пицца Труслейка",I933="г. Москва",K933="Выполнено",G933&gt;=DATE(2020,7,1),G933&lt;DATE(2020,8,1)),L933,0)</f>
        <v>0</v>
      </c>
    </row>
    <row r="934" customFormat="false" ht="15" hidden="false" customHeight="true" outlineLevel="0" collapsed="false">
      <c r="A934" s="1" t="n">
        <v>100575</v>
      </c>
      <c r="B934" s="1" t="n">
        <v>50686</v>
      </c>
      <c r="C934" s="1" t="n">
        <v>17</v>
      </c>
      <c r="D934" s="1" t="n">
        <v>10</v>
      </c>
      <c r="E934" s="1" t="str">
        <f aca="false">VLOOKUP(C934,Меню!$A$2:$C$24,2,FALSE())</f>
        <v>Пицца Френч Фрайз</v>
      </c>
      <c r="F934" s="1" t="n">
        <f aca="false">VLOOKUP(C934,Меню!$A$2:$C$24,3,FALSE())</f>
        <v>515</v>
      </c>
      <c r="G934" s="5" t="n">
        <f aca="false">VLOOKUP(B934,Заказы!$A$2:$E$2995,2,FALSE())</f>
        <v>44048</v>
      </c>
      <c r="H934" s="1" t="n">
        <f aca="false">VLOOKUP(B934,Заказы!$A$2:$E$2995,3,FALSE())</f>
        <v>439</v>
      </c>
      <c r="I934" s="1" t="str">
        <f aca="false">VLOOKUP(H934,Клиенты!$A$2:$E$1995,5,FALSE())</f>
        <v>г. Усть-Катав</v>
      </c>
      <c r="J934" s="1" t="n">
        <f aca="false">VLOOKUP(B934,Заказы!$A$2:$E$2995,4,FALSE())</f>
        <v>0</v>
      </c>
      <c r="K934" s="1" t="str">
        <f aca="false">VLOOKUP(B934,Заказы!$A$2:$E$2995,5,FALSE())</f>
        <v>Не выполнено</v>
      </c>
      <c r="L934" s="1" t="n">
        <f aca="false">D934*F934+J934</f>
        <v>5150</v>
      </c>
      <c r="M934" s="1" t="n">
        <f aca="false">IF(AND(E934="Пицца Труслейка",I934="г. Москва",K934="Выполнено",G934&gt;=DATE(2020,7,1),G934&lt;DATE(2020,8,1)),L934,0)</f>
        <v>0</v>
      </c>
    </row>
    <row r="935" customFormat="false" ht="15" hidden="false" customHeight="true" outlineLevel="0" collapsed="false">
      <c r="A935" s="1" t="n">
        <v>100054</v>
      </c>
      <c r="B935" s="1" t="n">
        <v>50594</v>
      </c>
      <c r="C935" s="1" t="n">
        <v>13</v>
      </c>
      <c r="D935" s="1" t="n">
        <v>2</v>
      </c>
      <c r="E935" s="1" t="str">
        <f aca="false">VLOOKUP(C935,Меню!$A$2:$C$24,2,FALSE())</f>
        <v>Пицца Сырная</v>
      </c>
      <c r="F935" s="1" t="n">
        <f aca="false">VLOOKUP(C935,Меню!$A$2:$C$24,3,FALSE())</f>
        <v>635</v>
      </c>
      <c r="G935" s="5" t="n">
        <f aca="false">VLOOKUP(B935,Заказы!$A$2:$E$2995,2,FALSE())</f>
        <v>44036</v>
      </c>
      <c r="H935" s="1" t="n">
        <f aca="false">VLOOKUP(B935,Заказы!$A$2:$E$2995,3,FALSE())</f>
        <v>564</v>
      </c>
      <c r="I935" s="1" t="str">
        <f aca="false">VLOOKUP(H935,Клиенты!$A$2:$E$1995,5,FALSE())</f>
        <v>г. Туран</v>
      </c>
      <c r="J935" s="1" t="n">
        <f aca="false">VLOOKUP(B935,Заказы!$A$2:$E$2995,4,FALSE())</f>
        <v>0</v>
      </c>
      <c r="K935" s="1" t="str">
        <f aca="false">VLOOKUP(B935,Заказы!$A$2:$E$2995,5,FALSE())</f>
        <v>Не выполнено</v>
      </c>
      <c r="L935" s="1" t="n">
        <f aca="false">D935*F935+J935</f>
        <v>1270</v>
      </c>
      <c r="M935" s="1" t="n">
        <f aca="false">IF(AND(E935="Пицца Труслейка",I935="г. Москва",K935="Выполнено",G935&gt;=DATE(2020,7,1),G935&lt;DATE(2020,8,1)),L935,0)</f>
        <v>0</v>
      </c>
    </row>
    <row r="936" customFormat="false" ht="15" hidden="false" customHeight="true" outlineLevel="0" collapsed="false">
      <c r="A936" s="1" t="n">
        <v>101288</v>
      </c>
      <c r="B936" s="1" t="n">
        <v>50489</v>
      </c>
      <c r="C936" s="1" t="n">
        <v>15</v>
      </c>
      <c r="D936" s="1" t="n">
        <v>9</v>
      </c>
      <c r="E936" s="1" t="str">
        <f aca="false">VLOOKUP(C936,Меню!$A$2:$C$24,2,FALSE())</f>
        <v>Пицца Тропиканка</v>
      </c>
      <c r="F936" s="1" t="n">
        <f aca="false">VLOOKUP(C936,Меню!$A$2:$C$24,3,FALSE())</f>
        <v>605</v>
      </c>
      <c r="G936" s="5" t="n">
        <f aca="false">VLOOKUP(B936,Заказы!$A$2:$E$2995,2,FALSE())</f>
        <v>44032</v>
      </c>
      <c r="H936" s="1" t="n">
        <f aca="false">VLOOKUP(B936,Заказы!$A$2:$E$2995,3,FALSE())</f>
        <v>760</v>
      </c>
      <c r="I936" s="1" t="str">
        <f aca="false">VLOOKUP(H936,Клиенты!$A$2:$E$1995,5,FALSE())</f>
        <v>г. Москва</v>
      </c>
      <c r="J936" s="1" t="n">
        <f aca="false">VLOOKUP(B936,Заказы!$A$2:$E$2995,4,FALSE())</f>
        <v>448</v>
      </c>
      <c r="K936" s="1" t="str">
        <f aca="false">VLOOKUP(B936,Заказы!$A$2:$E$2995,5,FALSE())</f>
        <v>Выполнено</v>
      </c>
      <c r="L936" s="1" t="n">
        <f aca="false">D936*F936+J936</f>
        <v>5893</v>
      </c>
      <c r="M936" s="1" t="n">
        <f aca="false">IF(AND(E936="Пицца Труслейка",I936="г. Москва",K936="Выполнено",G936&gt;=DATE(2020,7,1),G936&lt;DATE(2020,8,1)),L936,0)</f>
        <v>0</v>
      </c>
    </row>
    <row r="937" customFormat="false" ht="15" hidden="false" customHeight="true" outlineLevel="0" collapsed="false">
      <c r="A937" s="1" t="n">
        <v>100685</v>
      </c>
      <c r="B937" s="1" t="n">
        <v>50953</v>
      </c>
      <c r="C937" s="1" t="n">
        <v>22</v>
      </c>
      <c r="D937" s="1" t="n">
        <v>1</v>
      </c>
      <c r="E937" s="1" t="str">
        <f aca="false">VLOOKUP(C937,Меню!$A$2:$C$24,2,FALSE())</f>
        <v>Пицца с поркеттой и фриарелли</v>
      </c>
      <c r="F937" s="1" t="n">
        <f aca="false">VLOOKUP(C937,Меню!$A$2:$C$24,3,FALSE())</f>
        <v>550</v>
      </c>
      <c r="G937" s="5" t="n">
        <f aca="false">VLOOKUP(B937,Заказы!$A$2:$E$2995,2,FALSE())</f>
        <v>44025</v>
      </c>
      <c r="H937" s="1" t="n">
        <f aca="false">VLOOKUP(B937,Заказы!$A$2:$E$2995,3,FALSE())</f>
        <v>1251</v>
      </c>
      <c r="I937" s="1" t="str">
        <f aca="false">VLOOKUP(H937,Клиенты!$A$2:$E$1995,5,FALSE())</f>
        <v>г. Новосибирск</v>
      </c>
      <c r="J937" s="1" t="n">
        <f aca="false">VLOOKUP(B937,Заказы!$A$2:$E$2995,4,FALSE())</f>
        <v>0</v>
      </c>
      <c r="K937" s="1" t="str">
        <f aca="false">VLOOKUP(B937,Заказы!$A$2:$E$2995,5,FALSE())</f>
        <v>Не выполнено</v>
      </c>
      <c r="L937" s="1" t="n">
        <f aca="false">D937*F937+J937</f>
        <v>550</v>
      </c>
      <c r="M937" s="1" t="n">
        <f aca="false">IF(AND(E937="Пицца Труслейка",I937="г. Москва",K937="Выполнено",G937&gt;=DATE(2020,7,1),G937&lt;DATE(2020,8,1)),L937,0)</f>
        <v>0</v>
      </c>
    </row>
    <row r="938" customFormat="false" ht="15" hidden="false" customHeight="true" outlineLevel="0" collapsed="false">
      <c r="A938" s="1" t="n">
        <v>101035</v>
      </c>
      <c r="B938" s="1" t="n">
        <v>51001</v>
      </c>
      <c r="C938" s="1" t="n">
        <v>13</v>
      </c>
      <c r="D938" s="1" t="n">
        <v>8</v>
      </c>
      <c r="E938" s="1" t="str">
        <f aca="false">VLOOKUP(C938,Меню!$A$2:$C$24,2,FALSE())</f>
        <v>Пицца Сырная</v>
      </c>
      <c r="F938" s="1" t="n">
        <f aca="false">VLOOKUP(C938,Меню!$A$2:$C$24,3,FALSE())</f>
        <v>635</v>
      </c>
      <c r="G938" s="5" t="n">
        <f aca="false">VLOOKUP(B938,Заказы!$A$2:$E$2995,2,FALSE())</f>
        <v>43988</v>
      </c>
      <c r="H938" s="1" t="n">
        <f aca="false">VLOOKUP(B938,Заказы!$A$2:$E$2995,3,FALSE())</f>
        <v>172</v>
      </c>
      <c r="I938" s="1" t="str">
        <f aca="false">VLOOKUP(H938,Клиенты!$A$2:$E$1995,5,FALSE())</f>
        <v>г. Болохово</v>
      </c>
      <c r="J938" s="1" t="n">
        <f aca="false">VLOOKUP(B938,Заказы!$A$2:$E$2995,4,FALSE())</f>
        <v>570</v>
      </c>
      <c r="K938" s="1" t="str">
        <f aca="false">VLOOKUP(B938,Заказы!$A$2:$E$2995,5,FALSE())</f>
        <v>Выполнено</v>
      </c>
      <c r="L938" s="1" t="n">
        <f aca="false">D938*F938+J938</f>
        <v>5650</v>
      </c>
      <c r="M938" s="1" t="n">
        <f aca="false">IF(AND(E938="Пицца Труслейка",I938="г. Москва",K938="Выполнено",G938&gt;=DATE(2020,7,1),G938&lt;DATE(2020,8,1)),L938,0)</f>
        <v>0</v>
      </c>
    </row>
    <row r="939" customFormat="false" ht="15" hidden="false" customHeight="true" outlineLevel="0" collapsed="false">
      <c r="A939" s="1" t="n">
        <v>101877</v>
      </c>
      <c r="B939" s="1" t="n">
        <v>51602</v>
      </c>
      <c r="C939" s="1" t="n">
        <v>6</v>
      </c>
      <c r="D939" s="1" t="n">
        <v>6</v>
      </c>
      <c r="E939" s="1" t="str">
        <f aca="false">VLOOKUP(C939,Меню!$A$2:$C$24,2,FALSE())</f>
        <v>Пицца Капричиоза</v>
      </c>
      <c r="F939" s="1" t="n">
        <f aca="false">VLOOKUP(C939,Меню!$A$2:$C$24,3,FALSE())</f>
        <v>570</v>
      </c>
      <c r="G939" s="5" t="n">
        <f aca="false">VLOOKUP(B939,Заказы!$A$2:$E$2995,2,FALSE())</f>
        <v>44028</v>
      </c>
      <c r="H939" s="1" t="n">
        <f aca="false">VLOOKUP(B939,Заказы!$A$2:$E$2995,3,FALSE())</f>
        <v>1442</v>
      </c>
      <c r="I939" s="1" t="str">
        <f aca="false">VLOOKUP(H939,Клиенты!$A$2:$E$1995,5,FALSE())</f>
        <v>г. Заречный</v>
      </c>
      <c r="J939" s="1" t="n">
        <f aca="false">VLOOKUP(B939,Заказы!$A$2:$E$2995,4,FALSE())</f>
        <v>0</v>
      </c>
      <c r="K939" s="1" t="str">
        <f aca="false">VLOOKUP(B939,Заказы!$A$2:$E$2995,5,FALSE())</f>
        <v>Не выполнено</v>
      </c>
      <c r="L939" s="1" t="n">
        <f aca="false">D939*F939+J939</f>
        <v>3420</v>
      </c>
      <c r="M939" s="1" t="n">
        <f aca="false">IF(AND(E939="Пицца Труслейка",I939="г. Москва",K939="Выполнено",G939&gt;=DATE(2020,7,1),G939&lt;DATE(2020,8,1)),L939,0)</f>
        <v>0</v>
      </c>
    </row>
    <row r="940" customFormat="false" ht="15" hidden="false" customHeight="true" outlineLevel="0" collapsed="false">
      <c r="A940" s="1" t="n">
        <v>101864</v>
      </c>
      <c r="B940" s="1" t="n">
        <v>50470</v>
      </c>
      <c r="C940" s="1" t="n">
        <v>19</v>
      </c>
      <c r="D940" s="1" t="n">
        <v>7</v>
      </c>
      <c r="E940" s="1" t="str">
        <f aca="false">VLOOKUP(C940,Меню!$A$2:$C$24,2,FALSE())</f>
        <v>Пицца Цезарь</v>
      </c>
      <c r="F940" s="1" t="n">
        <f aca="false">VLOOKUP(C940,Меню!$A$2:$C$24,3,FALSE())</f>
        <v>630</v>
      </c>
      <c r="G940" s="5" t="n">
        <f aca="false">VLOOKUP(B940,Заказы!$A$2:$E$2995,2,FALSE())</f>
        <v>44048</v>
      </c>
      <c r="H940" s="1" t="n">
        <f aca="false">VLOOKUP(B940,Заказы!$A$2:$E$2995,3,FALSE())</f>
        <v>497</v>
      </c>
      <c r="I940" s="1" t="str">
        <f aca="false">VLOOKUP(H940,Клиенты!$A$2:$E$1995,5,FALSE())</f>
        <v>г. Ногинск</v>
      </c>
      <c r="J940" s="1" t="n">
        <f aca="false">VLOOKUP(B940,Заказы!$A$2:$E$2995,4,FALSE())</f>
        <v>599</v>
      </c>
      <c r="K940" s="1" t="str">
        <f aca="false">VLOOKUP(B940,Заказы!$A$2:$E$2995,5,FALSE())</f>
        <v>Выполнено</v>
      </c>
      <c r="L940" s="1" t="n">
        <f aca="false">D940*F940+J940</f>
        <v>5009</v>
      </c>
      <c r="M940" s="1" t="n">
        <f aca="false">IF(AND(E940="Пицца Труслейка",I940="г. Москва",K940="Выполнено",G940&gt;=DATE(2020,7,1),G940&lt;DATE(2020,8,1)),L940,0)</f>
        <v>0</v>
      </c>
    </row>
    <row r="941" customFormat="false" ht="15" hidden="false" customHeight="true" outlineLevel="0" collapsed="false">
      <c r="A941" s="1" t="n">
        <v>100822</v>
      </c>
      <c r="B941" s="1" t="n">
        <v>51589</v>
      </c>
      <c r="C941" s="1" t="n">
        <v>4</v>
      </c>
      <c r="D941" s="1" t="n">
        <v>4</v>
      </c>
      <c r="E941" s="1" t="str">
        <f aca="false">VLOOKUP(C941,Меню!$A$2:$C$24,2,FALSE())</f>
        <v>Пицца Труслейка</v>
      </c>
      <c r="F941" s="1" t="n">
        <f aca="false">VLOOKUP(C941,Меню!$A$2:$C$24,3,FALSE())</f>
        <v>610</v>
      </c>
      <c r="G941" s="5" t="n">
        <f aca="false">VLOOKUP(B941,Заказы!$A$2:$E$2995,2,FALSE())</f>
        <v>44021</v>
      </c>
      <c r="H941" s="1" t="n">
        <f aca="false">VLOOKUP(B941,Заказы!$A$2:$E$2995,3,FALSE())</f>
        <v>1669</v>
      </c>
      <c r="I941" s="1" t="str">
        <f aca="false">VLOOKUP(H941,Клиенты!$A$2:$E$1995,5,FALSE())</f>
        <v>г. Верхоянск</v>
      </c>
      <c r="J941" s="1" t="n">
        <f aca="false">VLOOKUP(B941,Заказы!$A$2:$E$2995,4,FALSE())</f>
        <v>657</v>
      </c>
      <c r="K941" s="1" t="str">
        <f aca="false">VLOOKUP(B941,Заказы!$A$2:$E$2995,5,FALSE())</f>
        <v>Выполнено</v>
      </c>
      <c r="L941" s="1" t="n">
        <f aca="false">D941*F941+J941</f>
        <v>3097</v>
      </c>
      <c r="M941" s="1" t="n">
        <f aca="false">IF(AND(E941="Пицца Труслейка",I941="г. Москва",K941="Выполнено",G941&gt;=DATE(2020,7,1),G941&lt;DATE(2020,8,1)),L941,0)</f>
        <v>0</v>
      </c>
    </row>
    <row r="942" customFormat="false" ht="15" hidden="false" customHeight="true" outlineLevel="0" collapsed="false">
      <c r="A942" s="1" t="n">
        <v>100399</v>
      </c>
      <c r="B942" s="1" t="n">
        <v>51560</v>
      </c>
      <c r="C942" s="1" t="n">
        <v>19</v>
      </c>
      <c r="D942" s="1" t="n">
        <v>9</v>
      </c>
      <c r="E942" s="1" t="str">
        <f aca="false">VLOOKUP(C942,Меню!$A$2:$C$24,2,FALSE())</f>
        <v>Пицца Цезарь</v>
      </c>
      <c r="F942" s="1" t="n">
        <f aca="false">VLOOKUP(C942,Меню!$A$2:$C$24,3,FALSE())</f>
        <v>630</v>
      </c>
      <c r="G942" s="5" t="n">
        <f aca="false">VLOOKUP(B942,Заказы!$A$2:$E$2995,2,FALSE())</f>
        <v>44045</v>
      </c>
      <c r="H942" s="1" t="n">
        <f aca="false">VLOOKUP(B942,Заказы!$A$2:$E$2995,3,FALSE())</f>
        <v>393</v>
      </c>
      <c r="I942" s="1" t="str">
        <f aca="false">VLOOKUP(H942,Клиенты!$A$2:$E$1995,5,FALSE())</f>
        <v>г. Купино</v>
      </c>
      <c r="J942" s="1" t="n">
        <f aca="false">VLOOKUP(B942,Заказы!$A$2:$E$2995,4,FALSE())</f>
        <v>191</v>
      </c>
      <c r="K942" s="1" t="str">
        <f aca="false">VLOOKUP(B942,Заказы!$A$2:$E$2995,5,FALSE())</f>
        <v>Выполнено</v>
      </c>
      <c r="L942" s="1" t="n">
        <f aca="false">D942*F942+J942</f>
        <v>5861</v>
      </c>
      <c r="M942" s="1" t="n">
        <f aca="false">IF(AND(E942="Пицца Труслейка",I942="г. Москва",K942="Выполнено",G942&gt;=DATE(2020,7,1),G942&lt;DATE(2020,8,1)),L942,0)</f>
        <v>0</v>
      </c>
    </row>
    <row r="943" customFormat="false" ht="15" hidden="false" customHeight="true" outlineLevel="0" collapsed="false">
      <c r="A943" s="1" t="n">
        <v>101060</v>
      </c>
      <c r="B943" s="1" t="n">
        <v>51086</v>
      </c>
      <c r="C943" s="1" t="n">
        <v>9</v>
      </c>
      <c r="D943" s="1" t="n">
        <v>10</v>
      </c>
      <c r="E943" s="1" t="str">
        <f aca="false">VLOOKUP(C943,Меню!$A$2:$C$24,2,FALSE())</f>
        <v>Пицца Острая с беконом</v>
      </c>
      <c r="F943" s="1" t="n">
        <f aca="false">VLOOKUP(C943,Меню!$A$2:$C$24,3,FALSE())</f>
        <v>540</v>
      </c>
      <c r="G943" s="5" t="n">
        <f aca="false">VLOOKUP(B943,Заказы!$A$2:$E$2995,2,FALSE())</f>
        <v>44039</v>
      </c>
      <c r="H943" s="1" t="n">
        <f aca="false">VLOOKUP(B943,Заказы!$A$2:$E$2995,3,FALSE())</f>
        <v>88</v>
      </c>
      <c r="I943" s="1" t="str">
        <f aca="false">VLOOKUP(H943,Клиенты!$A$2:$E$1995,5,FALSE())</f>
        <v>г. Муравленко</v>
      </c>
      <c r="J943" s="1" t="n">
        <f aca="false">VLOOKUP(B943,Заказы!$A$2:$E$2995,4,FALSE())</f>
        <v>291</v>
      </c>
      <c r="K943" s="1" t="str">
        <f aca="false">VLOOKUP(B943,Заказы!$A$2:$E$2995,5,FALSE())</f>
        <v>Выполнено</v>
      </c>
      <c r="L943" s="1" t="n">
        <f aca="false">D943*F943+J943</f>
        <v>5691</v>
      </c>
      <c r="M943" s="1" t="n">
        <f aca="false">IF(AND(E943="Пицца Труслейка",I943="г. Москва",K943="Выполнено",G943&gt;=DATE(2020,7,1),G943&lt;DATE(2020,8,1)),L943,0)</f>
        <v>0</v>
      </c>
    </row>
    <row r="944" customFormat="false" ht="15" hidden="false" customHeight="true" outlineLevel="0" collapsed="false">
      <c r="A944" s="1" t="n">
        <v>101018</v>
      </c>
      <c r="B944" s="1" t="n">
        <v>51885</v>
      </c>
      <c r="C944" s="1" t="n">
        <v>5</v>
      </c>
      <c r="D944" s="1" t="n">
        <v>4</v>
      </c>
      <c r="E944" s="1" t="str">
        <f aca="false">VLOOKUP(C944,Меню!$A$2:$C$24,2,FALSE())</f>
        <v>Пицца Жюльен</v>
      </c>
      <c r="F944" s="1" t="n">
        <f aca="false">VLOOKUP(C944,Меню!$A$2:$C$24,3,FALSE())</f>
        <v>580</v>
      </c>
      <c r="G944" s="5" t="n">
        <f aca="false">VLOOKUP(B944,Заказы!$A$2:$E$2995,2,FALSE())</f>
        <v>43991</v>
      </c>
      <c r="H944" s="1" t="n">
        <f aca="false">VLOOKUP(B944,Заказы!$A$2:$E$2995,3,FALSE())</f>
        <v>1470</v>
      </c>
      <c r="I944" s="1" t="str">
        <f aca="false">VLOOKUP(H944,Клиенты!$A$2:$E$1995,5,FALSE())</f>
        <v>г. Москва</v>
      </c>
      <c r="J944" s="1" t="n">
        <f aca="false">VLOOKUP(B944,Заказы!$A$2:$E$2995,4,FALSE())</f>
        <v>764</v>
      </c>
      <c r="K944" s="1" t="str">
        <f aca="false">VLOOKUP(B944,Заказы!$A$2:$E$2995,5,FALSE())</f>
        <v>Выполнено</v>
      </c>
      <c r="L944" s="1" t="n">
        <f aca="false">D944*F944+J944</f>
        <v>3084</v>
      </c>
      <c r="M944" s="1" t="n">
        <f aca="false">IF(AND(E944="Пицца Труслейка",I944="г. Москва",K944="Выполнено",G944&gt;=DATE(2020,7,1),G944&lt;DATE(2020,8,1)),L944,0)</f>
        <v>0</v>
      </c>
    </row>
    <row r="945" customFormat="false" ht="15" hidden="false" customHeight="true" outlineLevel="0" collapsed="false">
      <c r="A945" s="1" t="n">
        <v>100228</v>
      </c>
      <c r="B945" s="1" t="n">
        <v>50655</v>
      </c>
      <c r="C945" s="1" t="n">
        <v>6</v>
      </c>
      <c r="D945" s="1" t="n">
        <v>4</v>
      </c>
      <c r="E945" s="1" t="str">
        <f aca="false">VLOOKUP(C945,Меню!$A$2:$C$24,2,FALSE())</f>
        <v>Пицца Капричиоза</v>
      </c>
      <c r="F945" s="1" t="n">
        <f aca="false">VLOOKUP(C945,Меню!$A$2:$C$24,3,FALSE())</f>
        <v>570</v>
      </c>
      <c r="G945" s="5" t="n">
        <f aca="false">VLOOKUP(B945,Заказы!$A$2:$E$2995,2,FALSE())</f>
        <v>44063</v>
      </c>
      <c r="H945" s="1" t="n">
        <f aca="false">VLOOKUP(B945,Заказы!$A$2:$E$2995,3,FALSE())</f>
        <v>1986</v>
      </c>
      <c r="I945" s="1" t="str">
        <f aca="false">VLOOKUP(H945,Клиенты!$A$2:$E$1995,5,FALSE())</f>
        <v>г. Геленджик</v>
      </c>
      <c r="J945" s="1" t="n">
        <f aca="false">VLOOKUP(B945,Заказы!$A$2:$E$2995,4,FALSE())</f>
        <v>276</v>
      </c>
      <c r="K945" s="1" t="str">
        <f aca="false">VLOOKUP(B945,Заказы!$A$2:$E$2995,5,FALSE())</f>
        <v>Выполнено</v>
      </c>
      <c r="L945" s="1" t="n">
        <f aca="false">D945*F945+J945</f>
        <v>2556</v>
      </c>
      <c r="M945" s="1" t="n">
        <f aca="false">IF(AND(E945="Пицца Труслейка",I945="г. Москва",K945="Выполнено",G945&gt;=DATE(2020,7,1),G945&lt;DATE(2020,8,1)),L945,0)</f>
        <v>0</v>
      </c>
    </row>
    <row r="946" customFormat="false" ht="15" hidden="false" customHeight="true" outlineLevel="0" collapsed="false">
      <c r="A946" s="1" t="n">
        <v>100292</v>
      </c>
      <c r="B946" s="1" t="n">
        <v>51113</v>
      </c>
      <c r="C946" s="1" t="n">
        <v>5</v>
      </c>
      <c r="D946" s="1" t="n">
        <v>3</v>
      </c>
      <c r="E946" s="1" t="str">
        <f aca="false">VLOOKUP(C946,Меню!$A$2:$C$24,2,FALSE())</f>
        <v>Пицца Жюльен</v>
      </c>
      <c r="F946" s="1" t="n">
        <f aca="false">VLOOKUP(C946,Меню!$A$2:$C$24,3,FALSE())</f>
        <v>580</v>
      </c>
      <c r="G946" s="5" t="n">
        <f aca="false">VLOOKUP(B946,Заказы!$A$2:$E$2995,2,FALSE())</f>
        <v>44027</v>
      </c>
      <c r="H946" s="1" t="n">
        <f aca="false">VLOOKUP(B946,Заказы!$A$2:$E$2995,3,FALSE())</f>
        <v>1380</v>
      </c>
      <c r="I946" s="1" t="str">
        <f aca="false">VLOOKUP(H946,Клиенты!$A$2:$E$1995,5,FALSE())</f>
        <v>г. Москва</v>
      </c>
      <c r="J946" s="1" t="n">
        <f aca="false">VLOOKUP(B946,Заказы!$A$2:$E$2995,4,FALSE())</f>
        <v>0</v>
      </c>
      <c r="K946" s="1" t="str">
        <f aca="false">VLOOKUP(B946,Заказы!$A$2:$E$2995,5,FALSE())</f>
        <v>Не выполнено</v>
      </c>
      <c r="L946" s="1" t="n">
        <f aca="false">D946*F946+J946</f>
        <v>1740</v>
      </c>
      <c r="M946" s="1" t="n">
        <f aca="false">IF(AND(E946="Пицца Труслейка",I946="г. Москва",K946="Выполнено",G946&gt;=DATE(2020,7,1),G946&lt;DATE(2020,8,1)),L946,0)</f>
        <v>0</v>
      </c>
    </row>
    <row r="947" customFormat="false" ht="15" hidden="false" customHeight="true" outlineLevel="0" collapsed="false">
      <c r="A947" s="1" t="n">
        <v>101727</v>
      </c>
      <c r="B947" s="1" t="n">
        <v>50906</v>
      </c>
      <c r="C947" s="1" t="n">
        <v>8</v>
      </c>
      <c r="D947" s="1" t="n">
        <v>3</v>
      </c>
      <c r="E947" s="1" t="str">
        <f aca="false">VLOOKUP(C947,Меню!$A$2:$C$24,2,FALSE())</f>
        <v>Пицца Мясная</v>
      </c>
      <c r="F947" s="1" t="n">
        <f aca="false">VLOOKUP(C947,Меню!$A$2:$C$24,3,FALSE())</f>
        <v>615</v>
      </c>
      <c r="G947" s="5" t="n">
        <f aca="false">VLOOKUP(B947,Заказы!$A$2:$E$2995,2,FALSE())</f>
        <v>44001</v>
      </c>
      <c r="H947" s="1" t="n">
        <f aca="false">VLOOKUP(B947,Заказы!$A$2:$E$2995,3,FALSE())</f>
        <v>1142</v>
      </c>
      <c r="I947" s="1" t="str">
        <f aca="false">VLOOKUP(H947,Клиенты!$A$2:$E$1995,5,FALSE())</f>
        <v>г. Бабушкин</v>
      </c>
      <c r="J947" s="1" t="n">
        <f aca="false">VLOOKUP(B947,Заказы!$A$2:$E$2995,4,FALSE())</f>
        <v>0</v>
      </c>
      <c r="K947" s="1" t="str">
        <f aca="false">VLOOKUP(B947,Заказы!$A$2:$E$2995,5,FALSE())</f>
        <v>Не выполнено</v>
      </c>
      <c r="L947" s="1" t="n">
        <f aca="false">D947*F947+J947</f>
        <v>1845</v>
      </c>
      <c r="M947" s="1" t="n">
        <f aca="false">IF(AND(E947="Пицца Труслейка",I947="г. Москва",K947="Выполнено",G947&gt;=DATE(2020,7,1),G947&lt;DATE(2020,8,1)),L947,0)</f>
        <v>0</v>
      </c>
    </row>
    <row r="948" customFormat="false" ht="15" hidden="false" customHeight="true" outlineLevel="0" collapsed="false">
      <c r="A948" s="1" t="n">
        <v>100489</v>
      </c>
      <c r="B948" s="1" t="n">
        <v>50138</v>
      </c>
      <c r="C948" s="1" t="n">
        <v>21</v>
      </c>
      <c r="D948" s="1" t="n">
        <v>6</v>
      </c>
      <c r="E948" s="1" t="str">
        <f aca="false">VLOOKUP(C948,Меню!$A$2:$C$24,2,FALSE())</f>
        <v>Пицца с креветками и цукини</v>
      </c>
      <c r="F948" s="1" t="n">
        <f aca="false">VLOOKUP(C948,Меню!$A$2:$C$24,3,FALSE())</f>
        <v>600</v>
      </c>
      <c r="G948" s="5" t="n">
        <f aca="false">VLOOKUP(B948,Заказы!$A$2:$E$2995,2,FALSE())</f>
        <v>44001</v>
      </c>
      <c r="H948" s="1" t="n">
        <f aca="false">VLOOKUP(B948,Заказы!$A$2:$E$2995,3,FALSE())</f>
        <v>131</v>
      </c>
      <c r="I948" s="1" t="str">
        <f aca="false">VLOOKUP(H948,Клиенты!$A$2:$E$1995,5,FALSE())</f>
        <v>г. Югорск</v>
      </c>
      <c r="J948" s="1" t="n">
        <f aca="false">VLOOKUP(B948,Заказы!$A$2:$E$2995,4,FALSE())</f>
        <v>424</v>
      </c>
      <c r="K948" s="1" t="str">
        <f aca="false">VLOOKUP(B948,Заказы!$A$2:$E$2995,5,FALSE())</f>
        <v>Выполнено</v>
      </c>
      <c r="L948" s="1" t="n">
        <f aca="false">D948*F948+J948</f>
        <v>4024</v>
      </c>
      <c r="M948" s="1" t="n">
        <f aca="false">IF(AND(E948="Пицца Труслейка",I948="г. Москва",K948="Выполнено",G948&gt;=DATE(2020,7,1),G948&lt;DATE(2020,8,1)),L948,0)</f>
        <v>0</v>
      </c>
    </row>
    <row r="949" customFormat="false" ht="15" hidden="false" customHeight="true" outlineLevel="0" collapsed="false">
      <c r="A949" s="1" t="n">
        <v>100655</v>
      </c>
      <c r="B949" s="1" t="n">
        <v>51848</v>
      </c>
      <c r="C949" s="1" t="n">
        <v>17</v>
      </c>
      <c r="D949" s="1" t="n">
        <v>10</v>
      </c>
      <c r="E949" s="1" t="str">
        <f aca="false">VLOOKUP(C949,Меню!$A$2:$C$24,2,FALSE())</f>
        <v>Пицца Френч Фрайз</v>
      </c>
      <c r="F949" s="1" t="n">
        <f aca="false">VLOOKUP(C949,Меню!$A$2:$C$24,3,FALSE())</f>
        <v>515</v>
      </c>
      <c r="G949" s="5" t="n">
        <f aca="false">VLOOKUP(B949,Заказы!$A$2:$E$2995,2,FALSE())</f>
        <v>44024</v>
      </c>
      <c r="H949" s="1" t="n">
        <f aca="false">VLOOKUP(B949,Заказы!$A$2:$E$2995,3,FALSE())</f>
        <v>802</v>
      </c>
      <c r="I949" s="1" t="str">
        <f aca="false">VLOOKUP(H949,Клиенты!$A$2:$E$1995,5,FALSE())</f>
        <v>г. Сухиничи</v>
      </c>
      <c r="J949" s="1" t="n">
        <f aca="false">VLOOKUP(B949,Заказы!$A$2:$E$2995,4,FALSE())</f>
        <v>0</v>
      </c>
      <c r="K949" s="1" t="str">
        <f aca="false">VLOOKUP(B949,Заказы!$A$2:$E$2995,5,FALSE())</f>
        <v>Не выполнено</v>
      </c>
      <c r="L949" s="1" t="n">
        <f aca="false">D949*F949+J949</f>
        <v>5150</v>
      </c>
      <c r="M949" s="1" t="n">
        <f aca="false">IF(AND(E949="Пицца Труслейка",I949="г. Москва",K949="Выполнено",G949&gt;=DATE(2020,7,1),G949&lt;DATE(2020,8,1)),L949,0)</f>
        <v>0</v>
      </c>
    </row>
    <row r="950" customFormat="false" ht="15" hidden="false" customHeight="true" outlineLevel="0" collapsed="false">
      <c r="A950" s="1" t="n">
        <v>100529</v>
      </c>
      <c r="B950" s="1" t="n">
        <v>50972</v>
      </c>
      <c r="C950" s="1" t="n">
        <v>19</v>
      </c>
      <c r="D950" s="1" t="n">
        <v>7</v>
      </c>
      <c r="E950" s="1" t="str">
        <f aca="false">VLOOKUP(C950,Меню!$A$2:$C$24,2,FALSE())</f>
        <v>Пицца Цезарь</v>
      </c>
      <c r="F950" s="1" t="n">
        <f aca="false">VLOOKUP(C950,Меню!$A$2:$C$24,3,FALSE())</f>
        <v>630</v>
      </c>
      <c r="G950" s="5" t="n">
        <f aca="false">VLOOKUP(B950,Заказы!$A$2:$E$2995,2,FALSE())</f>
        <v>44052</v>
      </c>
      <c r="H950" s="1" t="n">
        <f aca="false">VLOOKUP(B950,Заказы!$A$2:$E$2995,3,FALSE())</f>
        <v>792</v>
      </c>
      <c r="I950" s="1" t="str">
        <f aca="false">VLOOKUP(H950,Клиенты!$A$2:$E$1995,5,FALSE())</f>
        <v>г. Печоры</v>
      </c>
      <c r="J950" s="1" t="n">
        <f aca="false">VLOOKUP(B950,Заказы!$A$2:$E$2995,4,FALSE())</f>
        <v>0</v>
      </c>
      <c r="K950" s="1" t="str">
        <f aca="false">VLOOKUP(B950,Заказы!$A$2:$E$2995,5,FALSE())</f>
        <v>Не выполнено</v>
      </c>
      <c r="L950" s="1" t="n">
        <f aca="false">D950*F950+J950</f>
        <v>4410</v>
      </c>
      <c r="M950" s="1" t="n">
        <f aca="false">IF(AND(E950="Пицца Труслейка",I950="г. Москва",K950="Выполнено",G950&gt;=DATE(2020,7,1),G950&lt;DATE(2020,8,1)),L950,0)</f>
        <v>0</v>
      </c>
    </row>
    <row r="951" customFormat="false" ht="15" hidden="false" customHeight="true" outlineLevel="0" collapsed="false">
      <c r="A951" s="1" t="n">
        <v>100687</v>
      </c>
      <c r="B951" s="1" t="n">
        <v>50185</v>
      </c>
      <c r="C951" s="1" t="n">
        <v>4</v>
      </c>
      <c r="D951" s="1" t="n">
        <v>5</v>
      </c>
      <c r="E951" s="1" t="str">
        <f aca="false">VLOOKUP(C951,Меню!$A$2:$C$24,2,FALSE())</f>
        <v>Пицца Труслейка</v>
      </c>
      <c r="F951" s="1" t="n">
        <f aca="false">VLOOKUP(C951,Меню!$A$2:$C$24,3,FALSE())</f>
        <v>610</v>
      </c>
      <c r="G951" s="5" t="n">
        <f aca="false">VLOOKUP(B951,Заказы!$A$2:$E$2995,2,FALSE())</f>
        <v>44021</v>
      </c>
      <c r="H951" s="1" t="n">
        <f aca="false">VLOOKUP(B951,Заказы!$A$2:$E$2995,3,FALSE())</f>
        <v>1732</v>
      </c>
      <c r="I951" s="1" t="str">
        <f aca="false">VLOOKUP(H951,Клиенты!$A$2:$E$1995,5,FALSE())</f>
        <v>г. Изобильный</v>
      </c>
      <c r="J951" s="1" t="n">
        <f aca="false">VLOOKUP(B951,Заказы!$A$2:$E$2995,4,FALSE())</f>
        <v>780</v>
      </c>
      <c r="K951" s="1" t="str">
        <f aca="false">VLOOKUP(B951,Заказы!$A$2:$E$2995,5,FALSE())</f>
        <v>Выполнено</v>
      </c>
      <c r="L951" s="1" t="n">
        <f aca="false">D951*F951+J951</f>
        <v>3830</v>
      </c>
      <c r="M951" s="1" t="n">
        <f aca="false">IF(AND(E951="Пицца Труслейка",I951="г. Москва",K951="Выполнено",G951&gt;=DATE(2020,7,1),G951&lt;DATE(2020,8,1)),L951,0)</f>
        <v>0</v>
      </c>
    </row>
    <row r="952" customFormat="false" ht="15" hidden="false" customHeight="true" outlineLevel="0" collapsed="false">
      <c r="A952" s="1" t="n">
        <v>100449</v>
      </c>
      <c r="B952" s="1" t="n">
        <v>50435</v>
      </c>
      <c r="C952" s="1" t="n">
        <v>12</v>
      </c>
      <c r="D952" s="1" t="n">
        <v>3</v>
      </c>
      <c r="E952" s="1" t="str">
        <f aca="false">VLOOKUP(C952,Меню!$A$2:$C$24,2,FALSE())</f>
        <v>Пицца Салями с трюфелем</v>
      </c>
      <c r="F952" s="1" t="n">
        <f aca="false">VLOOKUP(C952,Меню!$A$2:$C$24,3,FALSE())</f>
        <v>525</v>
      </c>
      <c r="G952" s="5" t="n">
        <f aca="false">VLOOKUP(B952,Заказы!$A$2:$E$2995,2,FALSE())</f>
        <v>44023</v>
      </c>
      <c r="H952" s="1" t="n">
        <f aca="false">VLOOKUP(B952,Заказы!$A$2:$E$2995,3,FALSE())</f>
        <v>1361</v>
      </c>
      <c r="I952" s="1" t="str">
        <f aca="false">VLOOKUP(H952,Клиенты!$A$2:$E$1995,5,FALSE())</f>
        <v>г. Рассказово</v>
      </c>
      <c r="J952" s="1" t="n">
        <f aca="false">VLOOKUP(B952,Заказы!$A$2:$E$2995,4,FALSE())</f>
        <v>405</v>
      </c>
      <c r="K952" s="1" t="str">
        <f aca="false">VLOOKUP(B952,Заказы!$A$2:$E$2995,5,FALSE())</f>
        <v>Выполнено</v>
      </c>
      <c r="L952" s="1" t="n">
        <f aca="false">D952*F952+J952</f>
        <v>1980</v>
      </c>
      <c r="M952" s="1" t="n">
        <f aca="false">IF(AND(E952="Пицца Труслейка",I952="г. Москва",K952="Выполнено",G952&gt;=DATE(2020,7,1),G952&lt;DATE(2020,8,1)),L952,0)</f>
        <v>0</v>
      </c>
    </row>
    <row r="953" customFormat="false" ht="15" hidden="false" customHeight="true" outlineLevel="0" collapsed="false">
      <c r="A953" s="1" t="n">
        <v>101709</v>
      </c>
      <c r="B953" s="1" t="n">
        <v>51601</v>
      </c>
      <c r="C953" s="1" t="n">
        <v>23</v>
      </c>
      <c r="D953" s="1" t="n">
        <v>8</v>
      </c>
      <c r="E953" s="1" t="str">
        <f aca="false">VLOOKUP(C953,Меню!$A$2:$C$24,2,FALSE())</f>
        <v>Пицца с тунцом</v>
      </c>
      <c r="F953" s="1" t="n">
        <f aca="false">VLOOKUP(C953,Меню!$A$2:$C$24,3,FALSE())</f>
        <v>520</v>
      </c>
      <c r="G953" s="5" t="n">
        <f aca="false">VLOOKUP(B953,Заказы!$A$2:$E$2995,2,FALSE())</f>
        <v>44018</v>
      </c>
      <c r="H953" s="1" t="n">
        <f aca="false">VLOOKUP(B953,Заказы!$A$2:$E$2995,3,FALSE())</f>
        <v>1126</v>
      </c>
      <c r="I953" s="1" t="str">
        <f aca="false">VLOOKUP(H953,Клиенты!$A$2:$E$1995,5,FALSE())</f>
        <v>г. Грозный</v>
      </c>
      <c r="J953" s="1" t="n">
        <f aca="false">VLOOKUP(B953,Заказы!$A$2:$E$2995,4,FALSE())</f>
        <v>393</v>
      </c>
      <c r="K953" s="1" t="str">
        <f aca="false">VLOOKUP(B953,Заказы!$A$2:$E$2995,5,FALSE())</f>
        <v>Выполнено</v>
      </c>
      <c r="L953" s="1" t="n">
        <f aca="false">D953*F953+J953</f>
        <v>4553</v>
      </c>
      <c r="M953" s="1" t="n">
        <f aca="false">IF(AND(E953="Пицца Труслейка",I953="г. Москва",K953="Выполнено",G953&gt;=DATE(2020,7,1),G953&lt;DATE(2020,8,1)),L953,0)</f>
        <v>0</v>
      </c>
    </row>
    <row r="954" customFormat="false" ht="15" hidden="false" customHeight="true" outlineLevel="0" collapsed="false">
      <c r="A954" s="1" t="n">
        <v>101446</v>
      </c>
      <c r="B954" s="1" t="n">
        <v>51925</v>
      </c>
      <c r="C954" s="1" t="n">
        <v>3</v>
      </c>
      <c r="D954" s="1" t="n">
        <v>8</v>
      </c>
      <c r="E954" s="1" t="str">
        <f aca="false">VLOOKUP(C954,Меню!$A$2:$C$24,2,FALSE())</f>
        <v>Пицца Диабло</v>
      </c>
      <c r="F954" s="1" t="n">
        <f aca="false">VLOOKUP(C954,Меню!$A$2:$C$24,3,FALSE())</f>
        <v>590</v>
      </c>
      <c r="G954" s="5" t="n">
        <f aca="false">VLOOKUP(B954,Заказы!$A$2:$E$2995,2,FALSE())</f>
        <v>44020</v>
      </c>
      <c r="H954" s="1" t="n">
        <f aca="false">VLOOKUP(B954,Заказы!$A$2:$E$2995,3,FALSE())</f>
        <v>1762</v>
      </c>
      <c r="I954" s="1" t="str">
        <f aca="false">VLOOKUP(H954,Клиенты!$A$2:$E$1995,5,FALSE())</f>
        <v>г. Ханты-Мансийск</v>
      </c>
      <c r="J954" s="1" t="n">
        <f aca="false">VLOOKUP(B954,Заказы!$A$2:$E$2995,4,FALSE())</f>
        <v>0</v>
      </c>
      <c r="K954" s="1" t="str">
        <f aca="false">VLOOKUP(B954,Заказы!$A$2:$E$2995,5,FALSE())</f>
        <v>Не выполнено</v>
      </c>
      <c r="L954" s="1" t="n">
        <f aca="false">D954*F954+J954</f>
        <v>4720</v>
      </c>
      <c r="M954" s="1" t="n">
        <f aca="false">IF(AND(E954="Пицца Труслейка",I954="г. Москва",K954="Выполнено",G954&gt;=DATE(2020,7,1),G954&lt;DATE(2020,8,1)),L954,0)</f>
        <v>0</v>
      </c>
    </row>
    <row r="955" customFormat="false" ht="15" hidden="false" customHeight="true" outlineLevel="0" collapsed="false">
      <c r="A955" s="1" t="n">
        <v>100017</v>
      </c>
      <c r="B955" s="1" t="n">
        <v>51023</v>
      </c>
      <c r="C955" s="1" t="n">
        <v>17</v>
      </c>
      <c r="D955" s="1" t="n">
        <v>8</v>
      </c>
      <c r="E955" s="1" t="str">
        <f aca="false">VLOOKUP(C955,Меню!$A$2:$C$24,2,FALSE())</f>
        <v>Пицца Френч Фрайз</v>
      </c>
      <c r="F955" s="1" t="n">
        <f aca="false">VLOOKUP(C955,Меню!$A$2:$C$24,3,FALSE())</f>
        <v>515</v>
      </c>
      <c r="G955" s="5" t="n">
        <f aca="false">VLOOKUP(B955,Заказы!$A$2:$E$2995,2,FALSE())</f>
        <v>44031</v>
      </c>
      <c r="H955" s="1" t="n">
        <f aca="false">VLOOKUP(B955,Заказы!$A$2:$E$2995,3,FALSE())</f>
        <v>1301</v>
      </c>
      <c r="I955" s="1" t="str">
        <f aca="false">VLOOKUP(H955,Клиенты!$A$2:$E$1995,5,FALSE())</f>
        <v>г. Холмск</v>
      </c>
      <c r="J955" s="1" t="n">
        <f aca="false">VLOOKUP(B955,Заказы!$A$2:$E$2995,4,FALSE())</f>
        <v>0</v>
      </c>
      <c r="K955" s="1" t="str">
        <f aca="false">VLOOKUP(B955,Заказы!$A$2:$E$2995,5,FALSE())</f>
        <v>Не выполнено</v>
      </c>
      <c r="L955" s="1" t="n">
        <f aca="false">D955*F955+J955</f>
        <v>4120</v>
      </c>
      <c r="M955" s="1" t="n">
        <f aca="false">IF(AND(E955="Пицца Труслейка",I955="г. Москва",K955="Выполнено",G955&gt;=DATE(2020,7,1),G955&lt;DATE(2020,8,1)),L955,0)</f>
        <v>0</v>
      </c>
    </row>
    <row r="956" customFormat="false" ht="15" hidden="false" customHeight="true" outlineLevel="0" collapsed="false">
      <c r="A956" s="1" t="n">
        <v>100298</v>
      </c>
      <c r="B956" s="1" t="n">
        <v>50460</v>
      </c>
      <c r="C956" s="1" t="n">
        <v>12</v>
      </c>
      <c r="D956" s="1" t="n">
        <v>6</v>
      </c>
      <c r="E956" s="1" t="str">
        <f aca="false">VLOOKUP(C956,Меню!$A$2:$C$24,2,FALSE())</f>
        <v>Пицца Салями с трюфелем</v>
      </c>
      <c r="F956" s="1" t="n">
        <f aca="false">VLOOKUP(C956,Меню!$A$2:$C$24,3,FALSE())</f>
        <v>525</v>
      </c>
      <c r="G956" s="5" t="n">
        <f aca="false">VLOOKUP(B956,Заказы!$A$2:$E$2995,2,FALSE())</f>
        <v>44063</v>
      </c>
      <c r="H956" s="1" t="n">
        <f aca="false">VLOOKUP(B956,Заказы!$A$2:$E$2995,3,FALSE())</f>
        <v>664</v>
      </c>
      <c r="I956" s="1" t="str">
        <f aca="false">VLOOKUP(H956,Клиенты!$A$2:$E$1995,5,FALSE())</f>
        <v>г. Октябрьский</v>
      </c>
      <c r="J956" s="1" t="n">
        <f aca="false">VLOOKUP(B956,Заказы!$A$2:$E$2995,4,FALSE())</f>
        <v>0</v>
      </c>
      <c r="K956" s="1" t="str">
        <f aca="false">VLOOKUP(B956,Заказы!$A$2:$E$2995,5,FALSE())</f>
        <v>Не выполнено</v>
      </c>
      <c r="L956" s="1" t="n">
        <f aca="false">D956*F956+J956</f>
        <v>3150</v>
      </c>
      <c r="M956" s="1" t="n">
        <f aca="false">IF(AND(E956="Пицца Труслейка",I956="г. Москва",K956="Выполнено",G956&gt;=DATE(2020,7,1),G956&lt;DATE(2020,8,1)),L956,0)</f>
        <v>0</v>
      </c>
    </row>
    <row r="957" customFormat="false" ht="15" hidden="false" customHeight="true" outlineLevel="0" collapsed="false">
      <c r="A957" s="1" t="n">
        <v>100397</v>
      </c>
      <c r="B957" s="1" t="n">
        <v>51440</v>
      </c>
      <c r="C957" s="1" t="n">
        <v>14</v>
      </c>
      <c r="D957" s="1" t="n">
        <v>10</v>
      </c>
      <c r="E957" s="1" t="str">
        <f aca="false">VLOOKUP(C957,Меню!$A$2:$C$24,2,FALSE())</f>
        <v>Пицца Сырный цыпленок</v>
      </c>
      <c r="F957" s="1" t="n">
        <f aca="false">VLOOKUP(C957,Меню!$A$2:$C$24,3,FALSE())</f>
        <v>555</v>
      </c>
      <c r="G957" s="5" t="n">
        <f aca="false">VLOOKUP(B957,Заказы!$A$2:$E$2995,2,FALSE())</f>
        <v>44064</v>
      </c>
      <c r="H957" s="1" t="n">
        <f aca="false">VLOOKUP(B957,Заказы!$A$2:$E$2995,3,FALSE())</f>
        <v>1841</v>
      </c>
      <c r="I957" s="1" t="str">
        <f aca="false">VLOOKUP(H957,Клиенты!$A$2:$E$1995,5,FALSE())</f>
        <v>г. Миллерово</v>
      </c>
      <c r="J957" s="1" t="n">
        <f aca="false">VLOOKUP(B957,Заказы!$A$2:$E$2995,4,FALSE())</f>
        <v>225</v>
      </c>
      <c r="K957" s="1" t="str">
        <f aca="false">VLOOKUP(B957,Заказы!$A$2:$E$2995,5,FALSE())</f>
        <v>Выполнено</v>
      </c>
      <c r="L957" s="1" t="n">
        <f aca="false">D957*F957+J957</f>
        <v>5775</v>
      </c>
      <c r="M957" s="1" t="n">
        <f aca="false">IF(AND(E957="Пицца Труслейка",I957="г. Москва",K957="Выполнено",G957&gt;=DATE(2020,7,1),G957&lt;DATE(2020,8,1)),L957,0)</f>
        <v>0</v>
      </c>
    </row>
    <row r="958" customFormat="false" ht="15" hidden="false" customHeight="true" outlineLevel="0" collapsed="false">
      <c r="A958" s="1" t="n">
        <v>101893</v>
      </c>
      <c r="B958" s="1" t="n">
        <v>51947</v>
      </c>
      <c r="C958" s="1" t="n">
        <v>21</v>
      </c>
      <c r="D958" s="1" t="n">
        <v>1</v>
      </c>
      <c r="E958" s="1" t="str">
        <f aca="false">VLOOKUP(C958,Меню!$A$2:$C$24,2,FALSE())</f>
        <v>Пицца с креветками и цукини</v>
      </c>
      <c r="F958" s="1" t="n">
        <f aca="false">VLOOKUP(C958,Меню!$A$2:$C$24,3,FALSE())</f>
        <v>600</v>
      </c>
      <c r="G958" s="5" t="n">
        <f aca="false">VLOOKUP(B958,Заказы!$A$2:$E$2995,2,FALSE())</f>
        <v>44040</v>
      </c>
      <c r="H958" s="1" t="n">
        <f aca="false">VLOOKUP(B958,Заказы!$A$2:$E$2995,3,FALSE())</f>
        <v>406</v>
      </c>
      <c r="I958" s="1" t="str">
        <f aca="false">VLOOKUP(H958,Клиенты!$A$2:$E$1995,5,FALSE())</f>
        <v>г. Красноармейск</v>
      </c>
      <c r="J958" s="1" t="n">
        <f aca="false">VLOOKUP(B958,Заказы!$A$2:$E$2995,4,FALSE())</f>
        <v>0</v>
      </c>
      <c r="K958" s="1" t="str">
        <f aca="false">VLOOKUP(B958,Заказы!$A$2:$E$2995,5,FALSE())</f>
        <v>Не выполнено</v>
      </c>
      <c r="L958" s="1" t="n">
        <f aca="false">D958*F958+J958</f>
        <v>600</v>
      </c>
      <c r="M958" s="1" t="n">
        <f aca="false">IF(AND(E958="Пицца Труслейка",I958="г. Москва",K958="Выполнено",G958&gt;=DATE(2020,7,1),G958&lt;DATE(2020,8,1)),L958,0)</f>
        <v>0</v>
      </c>
    </row>
    <row r="959" customFormat="false" ht="15" hidden="false" customHeight="true" outlineLevel="0" collapsed="false">
      <c r="A959" s="1" t="n">
        <v>100730</v>
      </c>
      <c r="B959" s="1" t="n">
        <v>50573</v>
      </c>
      <c r="C959" s="1" t="n">
        <v>22</v>
      </c>
      <c r="D959" s="1" t="n">
        <v>4</v>
      </c>
      <c r="E959" s="1" t="str">
        <f aca="false">VLOOKUP(C959,Меню!$A$2:$C$24,2,FALSE())</f>
        <v>Пицца с поркеттой и фриарелли</v>
      </c>
      <c r="F959" s="1" t="n">
        <f aca="false">VLOOKUP(C959,Меню!$A$2:$C$24,3,FALSE())</f>
        <v>550</v>
      </c>
      <c r="G959" s="5" t="n">
        <f aca="false">VLOOKUP(B959,Заказы!$A$2:$E$2995,2,FALSE())</f>
        <v>44026</v>
      </c>
      <c r="H959" s="1" t="n">
        <f aca="false">VLOOKUP(B959,Заказы!$A$2:$E$2995,3,FALSE())</f>
        <v>632</v>
      </c>
      <c r="I959" s="1" t="str">
        <f aca="false">VLOOKUP(H959,Клиенты!$A$2:$E$1995,5,FALSE())</f>
        <v>г. Дербент</v>
      </c>
      <c r="J959" s="1" t="n">
        <f aca="false">VLOOKUP(B959,Заказы!$A$2:$E$2995,4,FALSE())</f>
        <v>898</v>
      </c>
      <c r="K959" s="1" t="str">
        <f aca="false">VLOOKUP(B959,Заказы!$A$2:$E$2995,5,FALSE())</f>
        <v>Выполнено</v>
      </c>
      <c r="L959" s="1" t="n">
        <f aca="false">D959*F959+J959</f>
        <v>3098</v>
      </c>
      <c r="M959" s="1" t="n">
        <f aca="false">IF(AND(E959="Пицца Труслейка",I959="г. Москва",K959="Выполнено",G959&gt;=DATE(2020,7,1),G959&lt;DATE(2020,8,1)),L959,0)</f>
        <v>0</v>
      </c>
    </row>
    <row r="960" customFormat="false" ht="15" hidden="false" customHeight="true" outlineLevel="0" collapsed="false">
      <c r="A960" s="1" t="n">
        <v>101077</v>
      </c>
      <c r="B960" s="1" t="n">
        <v>51392</v>
      </c>
      <c r="C960" s="1" t="n">
        <v>7</v>
      </c>
      <c r="D960" s="1" t="n">
        <v>7</v>
      </c>
      <c r="E960" s="1" t="str">
        <f aca="false">VLOOKUP(C960,Меню!$A$2:$C$24,2,FALSE())</f>
        <v>Пицца Карбонара</v>
      </c>
      <c r="F960" s="1" t="n">
        <f aca="false">VLOOKUP(C960,Меню!$A$2:$C$24,3,FALSE())</f>
        <v>625</v>
      </c>
      <c r="G960" s="5" t="n">
        <f aca="false">VLOOKUP(B960,Заказы!$A$2:$E$2995,2,FALSE())</f>
        <v>44027</v>
      </c>
      <c r="H960" s="1" t="n">
        <f aca="false">VLOOKUP(B960,Заказы!$A$2:$E$2995,3,FALSE())</f>
        <v>1427</v>
      </c>
      <c r="I960" s="1" t="str">
        <f aca="false">VLOOKUP(H960,Клиенты!$A$2:$E$1995,5,FALSE())</f>
        <v>г. Михайлов</v>
      </c>
      <c r="J960" s="1" t="n">
        <f aca="false">VLOOKUP(B960,Заказы!$A$2:$E$2995,4,FALSE())</f>
        <v>363</v>
      </c>
      <c r="K960" s="1" t="str">
        <f aca="false">VLOOKUP(B960,Заказы!$A$2:$E$2995,5,FALSE())</f>
        <v>Выполнено</v>
      </c>
      <c r="L960" s="1" t="n">
        <f aca="false">D960*F960+J960</f>
        <v>4738</v>
      </c>
      <c r="M960" s="1" t="n">
        <f aca="false">IF(AND(E960="Пицца Труслейка",I960="г. Москва",K960="Выполнено",G960&gt;=DATE(2020,7,1),G960&lt;DATE(2020,8,1)),L960,0)</f>
        <v>0</v>
      </c>
    </row>
    <row r="961" customFormat="false" ht="15" hidden="false" customHeight="true" outlineLevel="0" collapsed="false">
      <c r="A961" s="1" t="n">
        <v>100275</v>
      </c>
      <c r="B961" s="1" t="n">
        <v>50879</v>
      </c>
      <c r="C961" s="1" t="n">
        <v>4</v>
      </c>
      <c r="D961" s="1" t="n">
        <v>7</v>
      </c>
      <c r="E961" s="1" t="str">
        <f aca="false">VLOOKUP(C961,Меню!$A$2:$C$24,2,FALSE())</f>
        <v>Пицца Труслейка</v>
      </c>
      <c r="F961" s="1" t="n">
        <f aca="false">VLOOKUP(C961,Меню!$A$2:$C$24,3,FALSE())</f>
        <v>610</v>
      </c>
      <c r="G961" s="5" t="n">
        <f aca="false">VLOOKUP(B961,Заказы!$A$2:$E$2995,2,FALSE())</f>
        <v>44021</v>
      </c>
      <c r="H961" s="1" t="n">
        <f aca="false">VLOOKUP(B961,Заказы!$A$2:$E$2995,3,FALSE())</f>
        <v>1436</v>
      </c>
      <c r="I961" s="1" t="str">
        <f aca="false">VLOOKUP(H961,Клиенты!$A$2:$E$1995,5,FALSE())</f>
        <v>г. Электрогорск</v>
      </c>
      <c r="J961" s="1" t="n">
        <f aca="false">VLOOKUP(B961,Заказы!$A$2:$E$2995,4,FALSE())</f>
        <v>758</v>
      </c>
      <c r="K961" s="1" t="str">
        <f aca="false">VLOOKUP(B961,Заказы!$A$2:$E$2995,5,FALSE())</f>
        <v>Выполнено</v>
      </c>
      <c r="L961" s="1" t="n">
        <f aca="false">D961*F961+J961</f>
        <v>5028</v>
      </c>
      <c r="M961" s="1" t="n">
        <f aca="false">IF(AND(E961="Пицца Труслейка",I961="г. Москва",K961="Выполнено",G961&gt;=DATE(2020,7,1),G961&lt;DATE(2020,8,1)),L961,0)</f>
        <v>0</v>
      </c>
    </row>
    <row r="962" customFormat="false" ht="15" hidden="false" customHeight="true" outlineLevel="0" collapsed="false">
      <c r="A962" s="1" t="n">
        <v>101408</v>
      </c>
      <c r="B962" s="1" t="n">
        <v>51752</v>
      </c>
      <c r="C962" s="1" t="n">
        <v>8</v>
      </c>
      <c r="D962" s="1" t="n">
        <v>3</v>
      </c>
      <c r="E962" s="1" t="str">
        <f aca="false">VLOOKUP(C962,Меню!$A$2:$C$24,2,FALSE())</f>
        <v>Пицца Мясная</v>
      </c>
      <c r="F962" s="1" t="n">
        <f aca="false">VLOOKUP(C962,Меню!$A$2:$C$24,3,FALSE())</f>
        <v>615</v>
      </c>
      <c r="G962" s="5" t="n">
        <f aca="false">VLOOKUP(B962,Заказы!$A$2:$E$2995,2,FALSE())</f>
        <v>44057</v>
      </c>
      <c r="H962" s="1" t="n">
        <f aca="false">VLOOKUP(B962,Заказы!$A$2:$E$2995,3,FALSE())</f>
        <v>1477</v>
      </c>
      <c r="I962" s="1" t="str">
        <f aca="false">VLOOKUP(H962,Клиенты!$A$2:$E$1995,5,FALSE())</f>
        <v>г. Горно-Алтайск</v>
      </c>
      <c r="J962" s="1" t="n">
        <f aca="false">VLOOKUP(B962,Заказы!$A$2:$E$2995,4,FALSE())</f>
        <v>0</v>
      </c>
      <c r="K962" s="1" t="str">
        <f aca="false">VLOOKUP(B962,Заказы!$A$2:$E$2995,5,FALSE())</f>
        <v>Не выполнено</v>
      </c>
      <c r="L962" s="1" t="n">
        <f aca="false">D962*F962+J962</f>
        <v>1845</v>
      </c>
      <c r="M962" s="1" t="n">
        <f aca="false">IF(AND(E962="Пицца Труслейка",I962="г. Москва",K962="Выполнено",G962&gt;=DATE(2020,7,1),G962&lt;DATE(2020,8,1)),L962,0)</f>
        <v>0</v>
      </c>
    </row>
    <row r="963" customFormat="false" ht="15" hidden="false" customHeight="true" outlineLevel="0" collapsed="false">
      <c r="A963" s="1" t="n">
        <v>101117</v>
      </c>
      <c r="B963" s="1" t="n">
        <v>51591</v>
      </c>
      <c r="C963" s="1" t="n">
        <v>5</v>
      </c>
      <c r="D963" s="1" t="n">
        <v>3</v>
      </c>
      <c r="E963" s="1" t="str">
        <f aca="false">VLOOKUP(C963,Меню!$A$2:$C$24,2,FALSE())</f>
        <v>Пицца Жюльен</v>
      </c>
      <c r="F963" s="1" t="n">
        <f aca="false">VLOOKUP(C963,Меню!$A$2:$C$24,3,FALSE())</f>
        <v>580</v>
      </c>
      <c r="G963" s="5" t="n">
        <f aca="false">VLOOKUP(B963,Заказы!$A$2:$E$2995,2,FALSE())</f>
        <v>44063</v>
      </c>
      <c r="H963" s="1" t="n">
        <f aca="false">VLOOKUP(B963,Заказы!$A$2:$E$2995,3,FALSE())</f>
        <v>909</v>
      </c>
      <c r="I963" s="1" t="str">
        <f aca="false">VLOOKUP(H963,Клиенты!$A$2:$E$1995,5,FALSE())</f>
        <v>г. Ржев</v>
      </c>
      <c r="J963" s="1" t="n">
        <f aca="false">VLOOKUP(B963,Заказы!$A$2:$E$2995,4,FALSE())</f>
        <v>378</v>
      </c>
      <c r="K963" s="1" t="str">
        <f aca="false">VLOOKUP(B963,Заказы!$A$2:$E$2995,5,FALSE())</f>
        <v>Выполнено</v>
      </c>
      <c r="L963" s="1" t="n">
        <f aca="false">D963*F963+J963</f>
        <v>2118</v>
      </c>
      <c r="M963" s="1" t="n">
        <f aca="false">IF(AND(E963="Пицца Труслейка",I963="г. Москва",K963="Выполнено",G963&gt;=DATE(2020,7,1),G963&lt;DATE(2020,8,1)),L963,0)</f>
        <v>0</v>
      </c>
    </row>
    <row r="964" customFormat="false" ht="15" hidden="false" customHeight="true" outlineLevel="0" collapsed="false">
      <c r="A964" s="1" t="n">
        <v>100202</v>
      </c>
      <c r="B964" s="1" t="n">
        <v>51895</v>
      </c>
      <c r="C964" s="1" t="n">
        <v>18</v>
      </c>
      <c r="D964" s="1" t="n">
        <v>2</v>
      </c>
      <c r="E964" s="1" t="str">
        <f aca="false">VLOOKUP(C964,Меню!$A$2:$C$24,2,FALSE())</f>
        <v>Пицца Царская</v>
      </c>
      <c r="F964" s="1" t="n">
        <f aca="false">VLOOKUP(C964,Меню!$A$2:$C$24,3,FALSE())</f>
        <v>620</v>
      </c>
      <c r="G964" s="5" t="n">
        <f aca="false">VLOOKUP(B964,Заказы!$A$2:$E$2995,2,FALSE())</f>
        <v>44013</v>
      </c>
      <c r="H964" s="1" t="n">
        <f aca="false">VLOOKUP(B964,Заказы!$A$2:$E$2995,3,FALSE())</f>
        <v>1607</v>
      </c>
      <c r="I964" s="1" t="str">
        <f aca="false">VLOOKUP(H964,Клиенты!$A$2:$E$1995,5,FALSE())</f>
        <v>г. Владимир</v>
      </c>
      <c r="J964" s="1" t="n">
        <f aca="false">VLOOKUP(B964,Заказы!$A$2:$E$2995,4,FALSE())</f>
        <v>514</v>
      </c>
      <c r="K964" s="1" t="str">
        <f aca="false">VLOOKUP(B964,Заказы!$A$2:$E$2995,5,FALSE())</f>
        <v>Выполнено</v>
      </c>
      <c r="L964" s="1" t="n">
        <f aca="false">D964*F964+J964</f>
        <v>1754</v>
      </c>
      <c r="M964" s="1" t="n">
        <f aca="false">IF(AND(E964="Пицца Труслейка",I964="г. Москва",K964="Выполнено",G964&gt;=DATE(2020,7,1),G964&lt;DATE(2020,8,1)),L964,0)</f>
        <v>0</v>
      </c>
    </row>
    <row r="965" customFormat="false" ht="15" hidden="false" customHeight="true" outlineLevel="0" collapsed="false">
      <c r="A965" s="1" t="n">
        <v>101802</v>
      </c>
      <c r="B965" s="1" t="n">
        <v>51982</v>
      </c>
      <c r="C965" s="1" t="n">
        <v>20</v>
      </c>
      <c r="D965" s="1" t="n">
        <v>8</v>
      </c>
      <c r="E965" s="1" t="str">
        <f aca="false">VLOOKUP(C965,Меню!$A$2:$C$24,2,FALSE())</f>
        <v>Пицца пиканте</v>
      </c>
      <c r="F965" s="1" t="n">
        <f aca="false">VLOOKUP(C965,Меню!$A$2:$C$24,3,FALSE())</f>
        <v>585</v>
      </c>
      <c r="G965" s="5" t="n">
        <f aca="false">VLOOKUP(B965,Заказы!$A$2:$E$2995,2,FALSE())</f>
        <v>44029</v>
      </c>
      <c r="H965" s="1" t="n">
        <f aca="false">VLOOKUP(B965,Заказы!$A$2:$E$2995,3,FALSE())</f>
        <v>225</v>
      </c>
      <c r="I965" s="1" t="str">
        <f aca="false">VLOOKUP(H965,Клиенты!$A$2:$E$1995,5,FALSE())</f>
        <v>г. Бородино</v>
      </c>
      <c r="J965" s="1" t="n">
        <f aca="false">VLOOKUP(B965,Заказы!$A$2:$E$2995,4,FALSE())</f>
        <v>145</v>
      </c>
      <c r="K965" s="1" t="str">
        <f aca="false">VLOOKUP(B965,Заказы!$A$2:$E$2995,5,FALSE())</f>
        <v>Выполнено</v>
      </c>
      <c r="L965" s="1" t="n">
        <f aca="false">D965*F965+J965</f>
        <v>4825</v>
      </c>
      <c r="M965" s="1" t="n">
        <f aca="false">IF(AND(E965="Пицца Труслейка",I965="г. Москва",K965="Выполнено",G965&gt;=DATE(2020,7,1),G965&lt;DATE(2020,8,1)),L965,0)</f>
        <v>0</v>
      </c>
    </row>
    <row r="966" customFormat="false" ht="15" hidden="false" customHeight="true" outlineLevel="0" collapsed="false">
      <c r="A966" s="1" t="n">
        <v>100579</v>
      </c>
      <c r="B966" s="1" t="n">
        <v>51592</v>
      </c>
      <c r="C966" s="1" t="n">
        <v>4</v>
      </c>
      <c r="D966" s="1" t="n">
        <v>2</v>
      </c>
      <c r="E966" s="1" t="str">
        <f aca="false">VLOOKUP(C966,Меню!$A$2:$C$24,2,FALSE())</f>
        <v>Пицца Труслейка</v>
      </c>
      <c r="F966" s="1" t="n">
        <f aca="false">VLOOKUP(C966,Меню!$A$2:$C$24,3,FALSE())</f>
        <v>610</v>
      </c>
      <c r="G966" s="5" t="n">
        <f aca="false">VLOOKUP(B966,Заказы!$A$2:$E$2995,2,FALSE())</f>
        <v>44002</v>
      </c>
      <c r="H966" s="1" t="n">
        <f aca="false">VLOOKUP(B966,Заказы!$A$2:$E$2995,3,FALSE())</f>
        <v>828</v>
      </c>
      <c r="I966" s="1" t="str">
        <f aca="false">VLOOKUP(H966,Клиенты!$A$2:$E$1995,5,FALSE())</f>
        <v>г. Чайковский</v>
      </c>
      <c r="J966" s="1" t="n">
        <f aca="false">VLOOKUP(B966,Заказы!$A$2:$E$2995,4,FALSE())</f>
        <v>0</v>
      </c>
      <c r="K966" s="1" t="str">
        <f aca="false">VLOOKUP(B966,Заказы!$A$2:$E$2995,5,FALSE())</f>
        <v>Не выполнено</v>
      </c>
      <c r="L966" s="1" t="n">
        <f aca="false">D966*F966+J966</f>
        <v>1220</v>
      </c>
      <c r="M966" s="1" t="n">
        <f aca="false">IF(AND(E966="Пицца Труслейка",I966="г. Москва",K966="Выполнено",G966&gt;=DATE(2020,7,1),G966&lt;DATE(2020,8,1)),L966,0)</f>
        <v>0</v>
      </c>
    </row>
    <row r="967" customFormat="false" ht="15" hidden="false" customHeight="true" outlineLevel="0" collapsed="false">
      <c r="A967" s="1" t="n">
        <v>101888</v>
      </c>
      <c r="B967" s="1" t="n">
        <v>51110</v>
      </c>
      <c r="C967" s="1" t="n">
        <v>22</v>
      </c>
      <c r="D967" s="1" t="n">
        <v>2</v>
      </c>
      <c r="E967" s="1" t="str">
        <f aca="false">VLOOKUP(C967,Меню!$A$2:$C$24,2,FALSE())</f>
        <v>Пицца с поркеттой и фриарелли</v>
      </c>
      <c r="F967" s="1" t="n">
        <f aca="false">VLOOKUP(C967,Меню!$A$2:$C$24,3,FALSE())</f>
        <v>550</v>
      </c>
      <c r="G967" s="5" t="n">
        <f aca="false">VLOOKUP(B967,Заказы!$A$2:$E$2995,2,FALSE())</f>
        <v>43991</v>
      </c>
      <c r="H967" s="1" t="n">
        <f aca="false">VLOOKUP(B967,Заказы!$A$2:$E$2995,3,FALSE())</f>
        <v>1353</v>
      </c>
      <c r="I967" s="1" t="str">
        <f aca="false">VLOOKUP(H967,Клиенты!$A$2:$E$1995,5,FALSE())</f>
        <v>г. Белебей</v>
      </c>
      <c r="J967" s="1" t="n">
        <f aca="false">VLOOKUP(B967,Заказы!$A$2:$E$2995,4,FALSE())</f>
        <v>0</v>
      </c>
      <c r="K967" s="1" t="str">
        <f aca="false">VLOOKUP(B967,Заказы!$A$2:$E$2995,5,FALSE())</f>
        <v>Не выполнено</v>
      </c>
      <c r="L967" s="1" t="n">
        <f aca="false">D967*F967+J967</f>
        <v>1100</v>
      </c>
      <c r="M967" s="1" t="n">
        <f aca="false">IF(AND(E967="Пицца Труслейка",I967="г. Москва",K967="Выполнено",G967&gt;=DATE(2020,7,1),G967&lt;DATE(2020,8,1)),L967,0)</f>
        <v>0</v>
      </c>
    </row>
    <row r="968" customFormat="false" ht="15" hidden="false" customHeight="true" outlineLevel="0" collapsed="false">
      <c r="A968" s="1" t="n">
        <v>101747</v>
      </c>
      <c r="B968" s="1" t="n">
        <v>50651</v>
      </c>
      <c r="C968" s="1" t="n">
        <v>21</v>
      </c>
      <c r="D968" s="1" t="n">
        <v>6</v>
      </c>
      <c r="E968" s="1" t="str">
        <f aca="false">VLOOKUP(C968,Меню!$A$2:$C$24,2,FALSE())</f>
        <v>Пицца с креветками и цукини</v>
      </c>
      <c r="F968" s="1" t="n">
        <f aca="false">VLOOKUP(C968,Меню!$A$2:$C$24,3,FALSE())</f>
        <v>600</v>
      </c>
      <c r="G968" s="5" t="n">
        <f aca="false">VLOOKUP(B968,Заказы!$A$2:$E$2995,2,FALSE())</f>
        <v>44049</v>
      </c>
      <c r="H968" s="1" t="n">
        <f aca="false">VLOOKUP(B968,Заказы!$A$2:$E$2995,3,FALSE())</f>
        <v>1229</v>
      </c>
      <c r="I968" s="1" t="str">
        <f aca="false">VLOOKUP(H968,Клиенты!$A$2:$E$1995,5,FALSE())</f>
        <v>г. Катайск</v>
      </c>
      <c r="J968" s="1" t="n">
        <f aca="false">VLOOKUP(B968,Заказы!$A$2:$E$2995,4,FALSE())</f>
        <v>0</v>
      </c>
      <c r="K968" s="1" t="str">
        <f aca="false">VLOOKUP(B968,Заказы!$A$2:$E$2995,5,FALSE())</f>
        <v>Не выполнено</v>
      </c>
      <c r="L968" s="1" t="n">
        <f aca="false">D968*F968+J968</f>
        <v>3600</v>
      </c>
      <c r="M968" s="1" t="n">
        <f aca="false">IF(AND(E968="Пицца Труслейка",I968="г. Москва",K968="Выполнено",G968&gt;=DATE(2020,7,1),G968&lt;DATE(2020,8,1)),L968,0)</f>
        <v>0</v>
      </c>
    </row>
    <row r="969" customFormat="false" ht="15" hidden="false" customHeight="true" outlineLevel="0" collapsed="false">
      <c r="A969" s="1" t="n">
        <v>101736</v>
      </c>
      <c r="B969" s="1" t="n">
        <v>51238</v>
      </c>
      <c r="C969" s="1" t="n">
        <v>10</v>
      </c>
      <c r="D969" s="1" t="n">
        <v>2</v>
      </c>
      <c r="E969" s="1" t="str">
        <f aca="false">VLOOKUP(C969,Меню!$A$2:$C$24,2,FALSE())</f>
        <v>Пицца Пепперони фреш</v>
      </c>
      <c r="F969" s="1" t="n">
        <f aca="false">VLOOKUP(C969,Меню!$A$2:$C$24,3,FALSE())</f>
        <v>565</v>
      </c>
      <c r="G969" s="5" t="n">
        <f aca="false">VLOOKUP(B969,Заказы!$A$2:$E$2995,2,FALSE())</f>
        <v>44038</v>
      </c>
      <c r="H969" s="1" t="n">
        <f aca="false">VLOOKUP(B969,Заказы!$A$2:$E$2995,3,FALSE())</f>
        <v>617</v>
      </c>
      <c r="I969" s="1" t="str">
        <f aca="false">VLOOKUP(H969,Клиенты!$A$2:$E$1995,5,FALSE())</f>
        <v>г. Кола</v>
      </c>
      <c r="J969" s="1" t="n">
        <f aca="false">VLOOKUP(B969,Заказы!$A$2:$E$2995,4,FALSE())</f>
        <v>409</v>
      </c>
      <c r="K969" s="1" t="str">
        <f aca="false">VLOOKUP(B969,Заказы!$A$2:$E$2995,5,FALSE())</f>
        <v>Выполнено</v>
      </c>
      <c r="L969" s="1" t="n">
        <f aca="false">D969*F969+J969</f>
        <v>1539</v>
      </c>
      <c r="M969" s="1" t="n">
        <f aca="false">IF(AND(E969="Пицца Труслейка",I969="г. Москва",K969="Выполнено",G969&gt;=DATE(2020,7,1),G969&lt;DATE(2020,8,1)),L969,0)</f>
        <v>0</v>
      </c>
    </row>
    <row r="970" customFormat="false" ht="15" hidden="false" customHeight="true" outlineLevel="0" collapsed="false">
      <c r="A970" s="1" t="n">
        <v>100378</v>
      </c>
      <c r="B970" s="1" t="n">
        <v>51205</v>
      </c>
      <c r="C970" s="1" t="n">
        <v>20</v>
      </c>
      <c r="D970" s="1" t="n">
        <v>5</v>
      </c>
      <c r="E970" s="1" t="str">
        <f aca="false">VLOOKUP(C970,Меню!$A$2:$C$24,2,FALSE())</f>
        <v>Пицца пиканте</v>
      </c>
      <c r="F970" s="1" t="n">
        <f aca="false">VLOOKUP(C970,Меню!$A$2:$C$24,3,FALSE())</f>
        <v>585</v>
      </c>
      <c r="G970" s="5" t="n">
        <f aca="false">VLOOKUP(B970,Заказы!$A$2:$E$2995,2,FALSE())</f>
        <v>43985</v>
      </c>
      <c r="H970" s="1" t="n">
        <f aca="false">VLOOKUP(B970,Заказы!$A$2:$E$2995,3,FALSE())</f>
        <v>1003</v>
      </c>
      <c r="I970" s="1" t="str">
        <f aca="false">VLOOKUP(H970,Клиенты!$A$2:$E$1995,5,FALSE())</f>
        <v>г. Серпухов</v>
      </c>
      <c r="J970" s="1" t="n">
        <f aca="false">VLOOKUP(B970,Заказы!$A$2:$E$2995,4,FALSE())</f>
        <v>0</v>
      </c>
      <c r="K970" s="1" t="str">
        <f aca="false">VLOOKUP(B970,Заказы!$A$2:$E$2995,5,FALSE())</f>
        <v>Не выполнено</v>
      </c>
      <c r="L970" s="1" t="n">
        <f aca="false">D970*F970+J970</f>
        <v>2925</v>
      </c>
      <c r="M970" s="1" t="n">
        <f aca="false">IF(AND(E970="Пицца Труслейка",I970="г. Москва",K970="Выполнено",G970&gt;=DATE(2020,7,1),G970&lt;DATE(2020,8,1)),L970,0)</f>
        <v>0</v>
      </c>
    </row>
    <row r="971" customFormat="false" ht="15" hidden="false" customHeight="true" outlineLevel="0" collapsed="false">
      <c r="A971" s="1" t="n">
        <v>100880</v>
      </c>
      <c r="B971" s="1" t="n">
        <v>50139</v>
      </c>
      <c r="C971" s="1" t="n">
        <v>4</v>
      </c>
      <c r="D971" s="1" t="n">
        <v>5</v>
      </c>
      <c r="E971" s="1" t="str">
        <f aca="false">VLOOKUP(C971,Меню!$A$2:$C$24,2,FALSE())</f>
        <v>Пицца Труслейка</v>
      </c>
      <c r="F971" s="1" t="n">
        <f aca="false">VLOOKUP(C971,Меню!$A$2:$C$24,3,FALSE())</f>
        <v>610</v>
      </c>
      <c r="G971" s="5" t="n">
        <f aca="false">VLOOKUP(B971,Заказы!$A$2:$E$2995,2,FALSE())</f>
        <v>44037</v>
      </c>
      <c r="H971" s="1" t="n">
        <f aca="false">VLOOKUP(B971,Заказы!$A$2:$E$2995,3,FALSE())</f>
        <v>1061</v>
      </c>
      <c r="I971" s="1" t="str">
        <f aca="false">VLOOKUP(H971,Клиенты!$A$2:$E$1995,5,FALSE())</f>
        <v>г. Пролетарск</v>
      </c>
      <c r="J971" s="1" t="n">
        <f aca="false">VLOOKUP(B971,Заказы!$A$2:$E$2995,4,FALSE())</f>
        <v>743</v>
      </c>
      <c r="K971" s="1" t="str">
        <f aca="false">VLOOKUP(B971,Заказы!$A$2:$E$2995,5,FALSE())</f>
        <v>Выполнено</v>
      </c>
      <c r="L971" s="1" t="n">
        <f aca="false">D971*F971+J971</f>
        <v>3793</v>
      </c>
      <c r="M971" s="1" t="n">
        <f aca="false">IF(AND(E971="Пицца Труслейка",I971="г. Москва",K971="Выполнено",G971&gt;=DATE(2020,7,1),G971&lt;DATE(2020,8,1)),L971,0)</f>
        <v>0</v>
      </c>
    </row>
    <row r="972" customFormat="false" ht="15" hidden="false" customHeight="true" outlineLevel="0" collapsed="false">
      <c r="A972" s="1" t="n">
        <v>101702</v>
      </c>
      <c r="B972" s="1" t="n">
        <v>51559</v>
      </c>
      <c r="C972" s="1" t="n">
        <v>7</v>
      </c>
      <c r="D972" s="1" t="n">
        <v>2</v>
      </c>
      <c r="E972" s="1" t="str">
        <f aca="false">VLOOKUP(C972,Меню!$A$2:$C$24,2,FALSE())</f>
        <v>Пицца Карбонара</v>
      </c>
      <c r="F972" s="1" t="n">
        <f aca="false">VLOOKUP(C972,Меню!$A$2:$C$24,3,FALSE())</f>
        <v>625</v>
      </c>
      <c r="G972" s="5" t="n">
        <f aca="false">VLOOKUP(B972,Заказы!$A$2:$E$2995,2,FALSE())</f>
        <v>44020</v>
      </c>
      <c r="H972" s="1" t="n">
        <f aca="false">VLOOKUP(B972,Заказы!$A$2:$E$2995,3,FALSE())</f>
        <v>1838</v>
      </c>
      <c r="I972" s="1" t="str">
        <f aca="false">VLOOKUP(H972,Клиенты!$A$2:$E$1995,5,FALSE())</f>
        <v>г. Данков</v>
      </c>
      <c r="J972" s="1" t="n">
        <f aca="false">VLOOKUP(B972,Заказы!$A$2:$E$2995,4,FALSE())</f>
        <v>126</v>
      </c>
      <c r="K972" s="1" t="str">
        <f aca="false">VLOOKUP(B972,Заказы!$A$2:$E$2995,5,FALSE())</f>
        <v>Выполнено</v>
      </c>
      <c r="L972" s="1" t="n">
        <f aca="false">D972*F972+J972</f>
        <v>1376</v>
      </c>
      <c r="M972" s="1" t="n">
        <f aca="false">IF(AND(E972="Пицца Труслейка",I972="г. Москва",K972="Выполнено",G972&gt;=DATE(2020,7,1),G972&lt;DATE(2020,8,1)),L972,0)</f>
        <v>0</v>
      </c>
    </row>
    <row r="973" customFormat="false" ht="15" hidden="false" customHeight="true" outlineLevel="0" collapsed="false">
      <c r="A973" s="1" t="n">
        <v>100243</v>
      </c>
      <c r="B973" s="1" t="n">
        <v>50997</v>
      </c>
      <c r="C973" s="1" t="n">
        <v>9</v>
      </c>
      <c r="D973" s="1" t="n">
        <v>2</v>
      </c>
      <c r="E973" s="1" t="str">
        <f aca="false">VLOOKUP(C973,Меню!$A$2:$C$24,2,FALSE())</f>
        <v>Пицца Острая с беконом</v>
      </c>
      <c r="F973" s="1" t="n">
        <f aca="false">VLOOKUP(C973,Меню!$A$2:$C$24,3,FALSE())</f>
        <v>540</v>
      </c>
      <c r="G973" s="5" t="n">
        <f aca="false">VLOOKUP(B973,Заказы!$A$2:$E$2995,2,FALSE())</f>
        <v>44001</v>
      </c>
      <c r="H973" s="1" t="n">
        <f aca="false">VLOOKUP(B973,Заказы!$A$2:$E$2995,3,FALSE())</f>
        <v>1277</v>
      </c>
      <c r="I973" s="1" t="str">
        <f aca="false">VLOOKUP(H973,Клиенты!$A$2:$E$1995,5,FALSE())</f>
        <v>г. Протвино</v>
      </c>
      <c r="J973" s="1" t="n">
        <f aca="false">VLOOKUP(B973,Заказы!$A$2:$E$2995,4,FALSE())</f>
        <v>295</v>
      </c>
      <c r="K973" s="1" t="str">
        <f aca="false">VLOOKUP(B973,Заказы!$A$2:$E$2995,5,FALSE())</f>
        <v>Выполнено</v>
      </c>
      <c r="L973" s="1" t="n">
        <f aca="false">D973*F973+J973</f>
        <v>1375</v>
      </c>
      <c r="M973" s="1" t="n">
        <f aca="false">IF(AND(E973="Пицца Труслейка",I973="г. Москва",K973="Выполнено",G973&gt;=DATE(2020,7,1),G973&lt;DATE(2020,8,1)),L973,0)</f>
        <v>0</v>
      </c>
    </row>
    <row r="974" customFormat="false" ht="15" hidden="false" customHeight="true" outlineLevel="0" collapsed="false">
      <c r="A974" s="1" t="n">
        <v>101380</v>
      </c>
      <c r="B974" s="1" t="n">
        <v>51797</v>
      </c>
      <c r="C974" s="1" t="n">
        <v>19</v>
      </c>
      <c r="D974" s="1" t="n">
        <v>9</v>
      </c>
      <c r="E974" s="1" t="str">
        <f aca="false">VLOOKUP(C974,Меню!$A$2:$C$24,2,FALSE())</f>
        <v>Пицца Цезарь</v>
      </c>
      <c r="F974" s="1" t="n">
        <f aca="false">VLOOKUP(C974,Меню!$A$2:$C$24,3,FALSE())</f>
        <v>630</v>
      </c>
      <c r="G974" s="5" t="n">
        <f aca="false">VLOOKUP(B974,Заказы!$A$2:$E$2995,2,FALSE())</f>
        <v>44003</v>
      </c>
      <c r="H974" s="1" t="n">
        <f aca="false">VLOOKUP(B974,Заказы!$A$2:$E$2995,3,FALSE())</f>
        <v>1043</v>
      </c>
      <c r="I974" s="1" t="str">
        <f aca="false">VLOOKUP(H974,Клиенты!$A$2:$E$1995,5,FALSE())</f>
        <v>г. Починок</v>
      </c>
      <c r="J974" s="1" t="n">
        <f aca="false">VLOOKUP(B974,Заказы!$A$2:$E$2995,4,FALSE())</f>
        <v>0</v>
      </c>
      <c r="K974" s="1" t="str">
        <f aca="false">VLOOKUP(B974,Заказы!$A$2:$E$2995,5,FALSE())</f>
        <v>Не выполнено</v>
      </c>
      <c r="L974" s="1" t="n">
        <f aca="false">D974*F974+J974</f>
        <v>5670</v>
      </c>
      <c r="M974" s="1" t="n">
        <f aca="false">IF(AND(E974="Пицца Труслейка",I974="г. Москва",K974="Выполнено",G974&gt;=DATE(2020,7,1),G974&lt;DATE(2020,8,1)),L974,0)</f>
        <v>0</v>
      </c>
    </row>
    <row r="975" customFormat="false" ht="15" hidden="false" customHeight="true" outlineLevel="0" collapsed="false">
      <c r="A975" s="1" t="n">
        <v>101142</v>
      </c>
      <c r="B975" s="1" t="n">
        <v>50254</v>
      </c>
      <c r="C975" s="1" t="n">
        <v>12</v>
      </c>
      <c r="D975" s="1" t="n">
        <v>5</v>
      </c>
      <c r="E975" s="1" t="str">
        <f aca="false">VLOOKUP(C975,Меню!$A$2:$C$24,2,FALSE())</f>
        <v>Пицца Салями с трюфелем</v>
      </c>
      <c r="F975" s="1" t="n">
        <f aca="false">VLOOKUP(C975,Меню!$A$2:$C$24,3,FALSE())</f>
        <v>525</v>
      </c>
      <c r="G975" s="5" t="n">
        <f aca="false">VLOOKUP(B975,Заказы!$A$2:$E$2995,2,FALSE())</f>
        <v>44001</v>
      </c>
      <c r="H975" s="1" t="n">
        <f aca="false">VLOOKUP(B975,Заказы!$A$2:$E$2995,3,FALSE())</f>
        <v>917</v>
      </c>
      <c r="I975" s="1" t="str">
        <f aca="false">VLOOKUP(H975,Клиенты!$A$2:$E$1995,5,FALSE())</f>
        <v>г. Балашиха</v>
      </c>
      <c r="J975" s="1" t="n">
        <f aca="false">VLOOKUP(B975,Заказы!$A$2:$E$2995,4,FALSE())</f>
        <v>793</v>
      </c>
      <c r="K975" s="1" t="str">
        <f aca="false">VLOOKUP(B975,Заказы!$A$2:$E$2995,5,FALSE())</f>
        <v>Выполнено</v>
      </c>
      <c r="L975" s="1" t="n">
        <f aca="false">D975*F975+J975</f>
        <v>3418</v>
      </c>
      <c r="M975" s="1" t="n">
        <f aca="false">IF(AND(E975="Пицца Труслейка",I975="г. Москва",K975="Выполнено",G975&gt;=DATE(2020,7,1),G975&lt;DATE(2020,8,1)),L975,0)</f>
        <v>0</v>
      </c>
    </row>
    <row r="976" customFormat="false" ht="15" hidden="false" customHeight="true" outlineLevel="0" collapsed="false">
      <c r="A976" s="1" t="n">
        <v>100976</v>
      </c>
      <c r="B976" s="1" t="n">
        <v>51413</v>
      </c>
      <c r="C976" s="1" t="n">
        <v>8</v>
      </c>
      <c r="D976" s="1" t="n">
        <v>6</v>
      </c>
      <c r="E976" s="1" t="str">
        <f aca="false">VLOOKUP(C976,Меню!$A$2:$C$24,2,FALSE())</f>
        <v>Пицца Мясная</v>
      </c>
      <c r="F976" s="1" t="n">
        <f aca="false">VLOOKUP(C976,Меню!$A$2:$C$24,3,FALSE())</f>
        <v>615</v>
      </c>
      <c r="G976" s="5" t="n">
        <f aca="false">VLOOKUP(B976,Заказы!$A$2:$E$2995,2,FALSE())</f>
        <v>44027</v>
      </c>
      <c r="H976" s="1" t="n">
        <f aca="false">VLOOKUP(B976,Заказы!$A$2:$E$2995,3,FALSE())</f>
        <v>1426</v>
      </c>
      <c r="I976" s="1" t="str">
        <f aca="false">VLOOKUP(H976,Клиенты!$A$2:$E$1995,5,FALSE())</f>
        <v>г. Нурлат</v>
      </c>
      <c r="J976" s="1" t="n">
        <f aca="false">VLOOKUP(B976,Заказы!$A$2:$E$2995,4,FALSE())</f>
        <v>609</v>
      </c>
      <c r="K976" s="1" t="str">
        <f aca="false">VLOOKUP(B976,Заказы!$A$2:$E$2995,5,FALSE())</f>
        <v>Выполнено</v>
      </c>
      <c r="L976" s="1" t="n">
        <f aca="false">D976*F976+J976</f>
        <v>4299</v>
      </c>
      <c r="M976" s="1" t="n">
        <f aca="false">IF(AND(E976="Пицца Труслейка",I976="г. Москва",K976="Выполнено",G976&gt;=DATE(2020,7,1),G976&lt;DATE(2020,8,1)),L976,0)</f>
        <v>0</v>
      </c>
    </row>
    <row r="977" customFormat="false" ht="15" hidden="false" customHeight="true" outlineLevel="0" collapsed="false">
      <c r="A977" s="1" t="n">
        <v>101826</v>
      </c>
      <c r="B977" s="1" t="n">
        <v>51265</v>
      </c>
      <c r="C977" s="1" t="n">
        <v>9</v>
      </c>
      <c r="D977" s="1" t="n">
        <v>3</v>
      </c>
      <c r="E977" s="1" t="str">
        <f aca="false">VLOOKUP(C977,Меню!$A$2:$C$24,2,FALSE())</f>
        <v>Пицца Острая с беконом</v>
      </c>
      <c r="F977" s="1" t="n">
        <f aca="false">VLOOKUP(C977,Меню!$A$2:$C$24,3,FALSE())</f>
        <v>540</v>
      </c>
      <c r="G977" s="5" t="n">
        <f aca="false">VLOOKUP(B977,Заказы!$A$2:$E$2995,2,FALSE())</f>
        <v>43997</v>
      </c>
      <c r="H977" s="1" t="n">
        <f aca="false">VLOOKUP(B977,Заказы!$A$2:$E$2995,3,FALSE())</f>
        <v>202</v>
      </c>
      <c r="I977" s="1" t="str">
        <f aca="false">VLOOKUP(H977,Клиенты!$A$2:$E$1995,5,FALSE())</f>
        <v>г. Кимры</v>
      </c>
      <c r="J977" s="1" t="n">
        <f aca="false">VLOOKUP(B977,Заказы!$A$2:$E$2995,4,FALSE())</f>
        <v>398</v>
      </c>
      <c r="K977" s="1" t="str">
        <f aca="false">VLOOKUP(B977,Заказы!$A$2:$E$2995,5,FALSE())</f>
        <v>Выполнено</v>
      </c>
      <c r="L977" s="1" t="n">
        <f aca="false">D977*F977+J977</f>
        <v>2018</v>
      </c>
      <c r="M977" s="1" t="n">
        <f aca="false">IF(AND(E977="Пицца Труслейка",I977="г. Москва",K977="Выполнено",G977&gt;=DATE(2020,7,1),G977&lt;DATE(2020,8,1)),L977,0)</f>
        <v>0</v>
      </c>
    </row>
    <row r="978" customFormat="false" ht="15" hidden="false" customHeight="true" outlineLevel="0" collapsed="false">
      <c r="A978" s="1" t="n">
        <v>100197</v>
      </c>
      <c r="B978" s="1" t="n">
        <v>51439</v>
      </c>
      <c r="C978" s="1" t="n">
        <v>16</v>
      </c>
      <c r="D978" s="1" t="n">
        <v>8</v>
      </c>
      <c r="E978" s="1" t="str">
        <f aca="false">VLOOKUP(C978,Меню!$A$2:$C$24,2,FALSE())</f>
        <v>Пицца Флорида</v>
      </c>
      <c r="F978" s="1" t="n">
        <f aca="false">VLOOKUP(C978,Меню!$A$2:$C$24,3,FALSE())</f>
        <v>535</v>
      </c>
      <c r="G978" s="5" t="n">
        <f aca="false">VLOOKUP(B978,Заказы!$A$2:$E$2995,2,FALSE())</f>
        <v>44025</v>
      </c>
      <c r="H978" s="1" t="n">
        <f aca="false">VLOOKUP(B978,Заказы!$A$2:$E$2995,3,FALSE())</f>
        <v>812</v>
      </c>
      <c r="I978" s="1" t="str">
        <f aca="false">VLOOKUP(H978,Клиенты!$A$2:$E$1995,5,FALSE())</f>
        <v>г. Канск</v>
      </c>
      <c r="J978" s="1" t="n">
        <f aca="false">VLOOKUP(B978,Заказы!$A$2:$E$2995,4,FALSE())</f>
        <v>273</v>
      </c>
      <c r="K978" s="1" t="str">
        <f aca="false">VLOOKUP(B978,Заказы!$A$2:$E$2995,5,FALSE())</f>
        <v>Выполнено</v>
      </c>
      <c r="L978" s="1" t="n">
        <f aca="false">D978*F978+J978</f>
        <v>4553</v>
      </c>
      <c r="M978" s="1" t="n">
        <f aca="false">IF(AND(E978="Пицца Труслейка",I978="г. Москва",K978="Выполнено",G978&gt;=DATE(2020,7,1),G978&lt;DATE(2020,8,1)),L978,0)</f>
        <v>0</v>
      </c>
    </row>
    <row r="979" customFormat="false" ht="15" hidden="false" customHeight="true" outlineLevel="0" collapsed="false">
      <c r="A979" s="1" t="n">
        <v>100334</v>
      </c>
      <c r="B979" s="1" t="n">
        <v>51783</v>
      </c>
      <c r="C979" s="1" t="n">
        <v>15</v>
      </c>
      <c r="D979" s="1" t="n">
        <v>4</v>
      </c>
      <c r="E979" s="1" t="str">
        <f aca="false">VLOOKUP(C979,Меню!$A$2:$C$24,2,FALSE())</f>
        <v>Пицца Тропиканка</v>
      </c>
      <c r="F979" s="1" t="n">
        <f aca="false">VLOOKUP(C979,Меню!$A$2:$C$24,3,FALSE())</f>
        <v>605</v>
      </c>
      <c r="G979" s="5" t="n">
        <f aca="false">VLOOKUP(B979,Заказы!$A$2:$E$2995,2,FALSE())</f>
        <v>44038</v>
      </c>
      <c r="H979" s="1" t="n">
        <f aca="false">VLOOKUP(B979,Заказы!$A$2:$E$2995,3,FALSE())</f>
        <v>17</v>
      </c>
      <c r="I979" s="1" t="str">
        <f aca="false">VLOOKUP(H979,Клиенты!$A$2:$E$1995,5,FALSE())</f>
        <v>г. Соликамск</v>
      </c>
      <c r="J979" s="1" t="n">
        <f aca="false">VLOOKUP(B979,Заказы!$A$2:$E$2995,4,FALSE())</f>
        <v>616</v>
      </c>
      <c r="K979" s="1" t="str">
        <f aca="false">VLOOKUP(B979,Заказы!$A$2:$E$2995,5,FALSE())</f>
        <v>Выполнено</v>
      </c>
      <c r="L979" s="1" t="n">
        <f aca="false">D979*F979+J979</f>
        <v>3036</v>
      </c>
      <c r="M979" s="1" t="n">
        <f aca="false">IF(AND(E979="Пицца Труслейка",I979="г. Москва",K979="Выполнено",G979&gt;=DATE(2020,7,1),G979&lt;DATE(2020,8,1)),L979,0)</f>
        <v>0</v>
      </c>
    </row>
    <row r="980" customFormat="false" ht="15" hidden="false" customHeight="true" outlineLevel="0" collapsed="false">
      <c r="A980" s="1" t="n">
        <v>100662</v>
      </c>
      <c r="B980" s="1" t="n">
        <v>50178</v>
      </c>
      <c r="C980" s="1" t="n">
        <v>14</v>
      </c>
      <c r="D980" s="1" t="n">
        <v>8</v>
      </c>
      <c r="E980" s="1" t="str">
        <f aca="false">VLOOKUP(C980,Меню!$A$2:$C$24,2,FALSE())</f>
        <v>Пицца Сырный цыпленок</v>
      </c>
      <c r="F980" s="1" t="n">
        <f aca="false">VLOOKUP(C980,Меню!$A$2:$C$24,3,FALSE())</f>
        <v>555</v>
      </c>
      <c r="G980" s="5" t="n">
        <f aca="false">VLOOKUP(B980,Заказы!$A$2:$E$2995,2,FALSE())</f>
        <v>44013</v>
      </c>
      <c r="H980" s="1" t="n">
        <f aca="false">VLOOKUP(B980,Заказы!$A$2:$E$2995,3,FALSE())</f>
        <v>170</v>
      </c>
      <c r="I980" s="1" t="str">
        <f aca="false">VLOOKUP(H980,Клиенты!$A$2:$E$1995,5,FALSE())</f>
        <v>г. Москва</v>
      </c>
      <c r="J980" s="1" t="n">
        <f aca="false">VLOOKUP(B980,Заказы!$A$2:$E$2995,4,FALSE())</f>
        <v>586</v>
      </c>
      <c r="K980" s="1" t="str">
        <f aca="false">VLOOKUP(B980,Заказы!$A$2:$E$2995,5,FALSE())</f>
        <v>Выполнено</v>
      </c>
      <c r="L980" s="1" t="n">
        <f aca="false">D980*F980+J980</f>
        <v>5026</v>
      </c>
      <c r="M980" s="1" t="n">
        <f aca="false">IF(AND(E980="Пицца Труслейка",I980="г. Москва",K980="Выполнено",G980&gt;=DATE(2020,7,1),G980&lt;DATE(2020,8,1)),L980,0)</f>
        <v>0</v>
      </c>
    </row>
    <row r="981" customFormat="false" ht="15" hidden="false" customHeight="true" outlineLevel="0" collapsed="false">
      <c r="A981" s="1" t="n">
        <v>101943</v>
      </c>
      <c r="B981" s="1" t="n">
        <v>50230</v>
      </c>
      <c r="C981" s="1" t="n">
        <v>4</v>
      </c>
      <c r="D981" s="1" t="n">
        <v>10</v>
      </c>
      <c r="E981" s="1" t="str">
        <f aca="false">VLOOKUP(C981,Меню!$A$2:$C$24,2,FALSE())</f>
        <v>Пицца Труслейка</v>
      </c>
      <c r="F981" s="1" t="n">
        <f aca="false">VLOOKUP(C981,Меню!$A$2:$C$24,3,FALSE())</f>
        <v>610</v>
      </c>
      <c r="G981" s="5" t="n">
        <f aca="false">VLOOKUP(B981,Заказы!$A$2:$E$2995,2,FALSE())</f>
        <v>43986</v>
      </c>
      <c r="H981" s="1" t="n">
        <f aca="false">VLOOKUP(B981,Заказы!$A$2:$E$2995,3,FALSE())</f>
        <v>645</v>
      </c>
      <c r="I981" s="1" t="str">
        <f aca="false">VLOOKUP(H981,Клиенты!$A$2:$E$1995,5,FALSE())</f>
        <v>г. Прокопьевск</v>
      </c>
      <c r="J981" s="1" t="n">
        <f aca="false">VLOOKUP(B981,Заказы!$A$2:$E$2995,4,FALSE())</f>
        <v>0</v>
      </c>
      <c r="K981" s="1" t="str">
        <f aca="false">VLOOKUP(B981,Заказы!$A$2:$E$2995,5,FALSE())</f>
        <v>Не выполнено</v>
      </c>
      <c r="L981" s="1" t="n">
        <f aca="false">D981*F981+J981</f>
        <v>6100</v>
      </c>
      <c r="M981" s="1" t="n">
        <f aca="false">IF(AND(E981="Пицца Труслейка",I981="г. Москва",K981="Выполнено",G981&gt;=DATE(2020,7,1),G981&lt;DATE(2020,8,1)),L981,0)</f>
        <v>0</v>
      </c>
    </row>
    <row r="982" customFormat="false" ht="15" hidden="false" customHeight="true" outlineLevel="0" collapsed="false">
      <c r="A982" s="1" t="n">
        <v>101887</v>
      </c>
      <c r="B982" s="1" t="n">
        <v>51177</v>
      </c>
      <c r="C982" s="1" t="n">
        <v>6</v>
      </c>
      <c r="D982" s="1" t="n">
        <v>7</v>
      </c>
      <c r="E982" s="1" t="str">
        <f aca="false">VLOOKUP(C982,Меню!$A$2:$C$24,2,FALSE())</f>
        <v>Пицца Капричиоза</v>
      </c>
      <c r="F982" s="1" t="n">
        <f aca="false">VLOOKUP(C982,Меню!$A$2:$C$24,3,FALSE())</f>
        <v>570</v>
      </c>
      <c r="G982" s="5" t="n">
        <f aca="false">VLOOKUP(B982,Заказы!$A$2:$E$2995,2,FALSE())</f>
        <v>44000</v>
      </c>
      <c r="H982" s="1" t="n">
        <f aca="false">VLOOKUP(B982,Заказы!$A$2:$E$2995,3,FALSE())</f>
        <v>1070</v>
      </c>
      <c r="I982" s="1" t="str">
        <f aca="false">VLOOKUP(H982,Клиенты!$A$2:$E$1995,5,FALSE())</f>
        <v>г. Москва</v>
      </c>
      <c r="J982" s="1" t="n">
        <f aca="false">VLOOKUP(B982,Заказы!$A$2:$E$2995,4,FALSE())</f>
        <v>699</v>
      </c>
      <c r="K982" s="1" t="str">
        <f aca="false">VLOOKUP(B982,Заказы!$A$2:$E$2995,5,FALSE())</f>
        <v>Выполнено</v>
      </c>
      <c r="L982" s="1" t="n">
        <f aca="false">D982*F982+J982</f>
        <v>4689</v>
      </c>
      <c r="M982" s="1" t="n">
        <f aca="false">IF(AND(E982="Пицца Труслейка",I982="г. Москва",K982="Выполнено",G982&gt;=DATE(2020,7,1),G982&lt;DATE(2020,8,1)),L982,0)</f>
        <v>0</v>
      </c>
    </row>
    <row r="983" customFormat="false" ht="15" hidden="false" customHeight="true" outlineLevel="0" collapsed="false">
      <c r="A983" s="1" t="n">
        <v>101022</v>
      </c>
      <c r="B983" s="1" t="n">
        <v>50904</v>
      </c>
      <c r="C983" s="1" t="n">
        <v>13</v>
      </c>
      <c r="D983" s="1" t="n">
        <v>3</v>
      </c>
      <c r="E983" s="1" t="str">
        <f aca="false">VLOOKUP(C983,Меню!$A$2:$C$24,2,FALSE())</f>
        <v>Пицца Сырная</v>
      </c>
      <c r="F983" s="1" t="n">
        <f aca="false">VLOOKUP(C983,Меню!$A$2:$C$24,3,FALSE())</f>
        <v>635</v>
      </c>
      <c r="G983" s="5" t="n">
        <f aca="false">VLOOKUP(B983,Заказы!$A$2:$E$2995,2,FALSE())</f>
        <v>44015</v>
      </c>
      <c r="H983" s="1" t="n">
        <f aca="false">VLOOKUP(B983,Заказы!$A$2:$E$2995,3,FALSE())</f>
        <v>1220</v>
      </c>
      <c r="I983" s="1" t="str">
        <f aca="false">VLOOKUP(H983,Клиенты!$A$2:$E$1995,5,FALSE())</f>
        <v>г. Москва</v>
      </c>
      <c r="J983" s="1" t="n">
        <f aca="false">VLOOKUP(B983,Заказы!$A$2:$E$2995,4,FALSE())</f>
        <v>0</v>
      </c>
      <c r="K983" s="1" t="str">
        <f aca="false">VLOOKUP(B983,Заказы!$A$2:$E$2995,5,FALSE())</f>
        <v>Не выполнено</v>
      </c>
      <c r="L983" s="1" t="n">
        <f aca="false">D983*F983+J983</f>
        <v>1905</v>
      </c>
      <c r="M983" s="1" t="n">
        <f aca="false">IF(AND(E983="Пицца Труслейка",I983="г. Москва",K983="Выполнено",G983&gt;=DATE(2020,7,1),G983&lt;DATE(2020,8,1)),L983,0)</f>
        <v>0</v>
      </c>
    </row>
    <row r="984" customFormat="false" ht="15" hidden="false" customHeight="true" outlineLevel="0" collapsed="false">
      <c r="A984" s="1" t="n">
        <v>100847</v>
      </c>
      <c r="B984" s="1" t="n">
        <v>50935</v>
      </c>
      <c r="C984" s="1" t="n">
        <v>12</v>
      </c>
      <c r="D984" s="1" t="n">
        <v>3</v>
      </c>
      <c r="E984" s="1" t="str">
        <f aca="false">VLOOKUP(C984,Меню!$A$2:$C$24,2,FALSE())</f>
        <v>Пицца Салями с трюфелем</v>
      </c>
      <c r="F984" s="1" t="n">
        <f aca="false">VLOOKUP(C984,Меню!$A$2:$C$24,3,FALSE())</f>
        <v>525</v>
      </c>
      <c r="G984" s="5" t="n">
        <f aca="false">VLOOKUP(B984,Заказы!$A$2:$E$2995,2,FALSE())</f>
        <v>44037</v>
      </c>
      <c r="H984" s="1" t="n">
        <f aca="false">VLOOKUP(B984,Заказы!$A$2:$E$2995,3,FALSE())</f>
        <v>1889</v>
      </c>
      <c r="I984" s="1" t="str">
        <f aca="false">VLOOKUP(H984,Клиенты!$A$2:$E$1995,5,FALSE())</f>
        <v>г. Ишимбай</v>
      </c>
      <c r="J984" s="1" t="n">
        <f aca="false">VLOOKUP(B984,Заказы!$A$2:$E$2995,4,FALSE())</f>
        <v>307</v>
      </c>
      <c r="K984" s="1" t="str">
        <f aca="false">VLOOKUP(B984,Заказы!$A$2:$E$2995,5,FALSE())</f>
        <v>Выполнено</v>
      </c>
      <c r="L984" s="1" t="n">
        <f aca="false">D984*F984+J984</f>
        <v>1882</v>
      </c>
      <c r="M984" s="1" t="n">
        <f aca="false">IF(AND(E984="Пицца Труслейка",I984="г. Москва",K984="Выполнено",G984&gt;=DATE(2020,7,1),G984&lt;DATE(2020,8,1)),L984,0)</f>
        <v>0</v>
      </c>
    </row>
    <row r="985" customFormat="false" ht="15" hidden="false" customHeight="true" outlineLevel="0" collapsed="false">
      <c r="A985" s="1" t="n">
        <v>100365</v>
      </c>
      <c r="B985" s="1" t="n">
        <v>51284</v>
      </c>
      <c r="C985" s="1" t="n">
        <v>1</v>
      </c>
      <c r="D985" s="1" t="n">
        <v>4</v>
      </c>
      <c r="E985" s="1" t="str">
        <f aca="false">VLOOKUP(C985,Меню!$A$2:$C$24,2,FALSE())</f>
        <v>Пицца Гавайская</v>
      </c>
      <c r="F985" s="1" t="n">
        <f aca="false">VLOOKUP(C985,Меню!$A$2:$C$24,3,FALSE())</f>
        <v>545</v>
      </c>
      <c r="G985" s="5" t="n">
        <f aca="false">VLOOKUP(B985,Заказы!$A$2:$E$2995,2,FALSE())</f>
        <v>43984</v>
      </c>
      <c r="H985" s="1" t="n">
        <f aca="false">VLOOKUP(B985,Заказы!$A$2:$E$2995,3,FALSE())</f>
        <v>605</v>
      </c>
      <c r="I985" s="1" t="str">
        <f aca="false">VLOOKUP(H985,Клиенты!$A$2:$E$1995,5,FALSE())</f>
        <v>г. Щигры</v>
      </c>
      <c r="J985" s="1" t="n">
        <f aca="false">VLOOKUP(B985,Заказы!$A$2:$E$2995,4,FALSE())</f>
        <v>0</v>
      </c>
      <c r="K985" s="1" t="str">
        <f aca="false">VLOOKUP(B985,Заказы!$A$2:$E$2995,5,FALSE())</f>
        <v>Не выполнено</v>
      </c>
      <c r="L985" s="1" t="n">
        <f aca="false">D985*F985+J985</f>
        <v>2180</v>
      </c>
      <c r="M985" s="1" t="n">
        <f aca="false">IF(AND(E985="Пицца Труслейка",I985="г. Москва",K985="Выполнено",G985&gt;=DATE(2020,7,1),G985&lt;DATE(2020,8,1)),L985,0)</f>
        <v>0</v>
      </c>
    </row>
    <row r="986" customFormat="false" ht="15" hidden="false" customHeight="true" outlineLevel="0" collapsed="false">
      <c r="A986" s="1" t="n">
        <v>100554</v>
      </c>
      <c r="B986" s="1" t="n">
        <v>51636</v>
      </c>
      <c r="C986" s="1" t="n">
        <v>14</v>
      </c>
      <c r="D986" s="1" t="n">
        <v>8</v>
      </c>
      <c r="E986" s="1" t="str">
        <f aca="false">VLOOKUP(C986,Меню!$A$2:$C$24,2,FALSE())</f>
        <v>Пицца Сырный цыпленок</v>
      </c>
      <c r="F986" s="1" t="n">
        <f aca="false">VLOOKUP(C986,Меню!$A$2:$C$24,3,FALSE())</f>
        <v>555</v>
      </c>
      <c r="G986" s="5" t="n">
        <f aca="false">VLOOKUP(B986,Заказы!$A$2:$E$2995,2,FALSE())</f>
        <v>44048</v>
      </c>
      <c r="H986" s="1" t="n">
        <f aca="false">VLOOKUP(B986,Заказы!$A$2:$E$2995,3,FALSE())</f>
        <v>1907</v>
      </c>
      <c r="I986" s="1" t="str">
        <f aca="false">VLOOKUP(H986,Клиенты!$A$2:$E$1995,5,FALSE())</f>
        <v>г. Тверь</v>
      </c>
      <c r="J986" s="1" t="n">
        <f aca="false">VLOOKUP(B986,Заказы!$A$2:$E$2995,4,FALSE())</f>
        <v>228</v>
      </c>
      <c r="K986" s="1" t="str">
        <f aca="false">VLOOKUP(B986,Заказы!$A$2:$E$2995,5,FALSE())</f>
        <v>Выполнено</v>
      </c>
      <c r="L986" s="1" t="n">
        <f aca="false">D986*F986+J986</f>
        <v>4668</v>
      </c>
      <c r="M986" s="1" t="n">
        <f aca="false">IF(AND(E986="Пицца Труслейка",I986="г. Москва",K986="Выполнено",G986&gt;=DATE(2020,7,1),G986&lt;DATE(2020,8,1)),L986,0)</f>
        <v>0</v>
      </c>
    </row>
    <row r="987" customFormat="false" ht="15" hidden="false" customHeight="true" outlineLevel="0" collapsed="false">
      <c r="A987" s="1" t="n">
        <v>101643</v>
      </c>
      <c r="B987" s="1" t="n">
        <v>51363</v>
      </c>
      <c r="C987" s="1" t="n">
        <v>2</v>
      </c>
      <c r="D987" s="1" t="n">
        <v>3</v>
      </c>
      <c r="E987" s="1" t="str">
        <f aca="false">VLOOKUP(C987,Меню!$A$2:$C$24,2,FALSE())</f>
        <v>Пицца Двойная пепперони</v>
      </c>
      <c r="F987" s="1" t="n">
        <f aca="false">VLOOKUP(C987,Меню!$A$2:$C$24,3,FALSE())</f>
        <v>575</v>
      </c>
      <c r="G987" s="5" t="n">
        <f aca="false">VLOOKUP(B987,Заказы!$A$2:$E$2995,2,FALSE())</f>
        <v>44027</v>
      </c>
      <c r="H987" s="1" t="n">
        <f aca="false">VLOOKUP(B987,Заказы!$A$2:$E$2995,3,FALSE())</f>
        <v>285</v>
      </c>
      <c r="I987" s="1" t="str">
        <f aca="false">VLOOKUP(H987,Клиенты!$A$2:$E$1995,5,FALSE())</f>
        <v>г. Гатчина</v>
      </c>
      <c r="J987" s="1" t="n">
        <f aca="false">VLOOKUP(B987,Заказы!$A$2:$E$2995,4,FALSE())</f>
        <v>0</v>
      </c>
      <c r="K987" s="1" t="str">
        <f aca="false">VLOOKUP(B987,Заказы!$A$2:$E$2995,5,FALSE())</f>
        <v>Не выполнено</v>
      </c>
      <c r="L987" s="1" t="n">
        <f aca="false">D987*F987+J987</f>
        <v>1725</v>
      </c>
      <c r="M987" s="1" t="n">
        <f aca="false">IF(AND(E987="Пицца Труслейка",I987="г. Москва",K987="Выполнено",G987&gt;=DATE(2020,7,1),G987&lt;DATE(2020,8,1)),L987,0)</f>
        <v>0</v>
      </c>
    </row>
    <row r="988" customFormat="false" ht="15" hidden="false" customHeight="true" outlineLevel="0" collapsed="false">
      <c r="A988" s="1" t="n">
        <v>101502</v>
      </c>
      <c r="B988" s="1" t="n">
        <v>51201</v>
      </c>
      <c r="C988" s="1" t="n">
        <v>4</v>
      </c>
      <c r="D988" s="1" t="n">
        <v>6</v>
      </c>
      <c r="E988" s="1" t="str">
        <f aca="false">VLOOKUP(C988,Меню!$A$2:$C$24,2,FALSE())</f>
        <v>Пицца Труслейка</v>
      </c>
      <c r="F988" s="1" t="n">
        <f aca="false">VLOOKUP(C988,Меню!$A$2:$C$24,3,FALSE())</f>
        <v>610</v>
      </c>
      <c r="G988" s="5" t="n">
        <f aca="false">VLOOKUP(B988,Заказы!$A$2:$E$2995,2,FALSE())</f>
        <v>43983</v>
      </c>
      <c r="H988" s="1" t="n">
        <f aca="false">VLOOKUP(B988,Заказы!$A$2:$E$2995,3,FALSE())</f>
        <v>1551</v>
      </c>
      <c r="I988" s="1" t="str">
        <f aca="false">VLOOKUP(H988,Клиенты!$A$2:$E$1995,5,FALSE())</f>
        <v>г. Чердынь</v>
      </c>
      <c r="J988" s="1" t="n">
        <f aca="false">VLOOKUP(B988,Заказы!$A$2:$E$2995,4,FALSE())</f>
        <v>620</v>
      </c>
      <c r="K988" s="1" t="str">
        <f aca="false">VLOOKUP(B988,Заказы!$A$2:$E$2995,5,FALSE())</f>
        <v>Выполнено</v>
      </c>
      <c r="L988" s="1" t="n">
        <f aca="false">D988*F988+J988</f>
        <v>4280</v>
      </c>
      <c r="M988" s="1" t="n">
        <f aca="false">IF(AND(E988="Пицца Труслейка",I988="г. Москва",K988="Выполнено",G988&gt;=DATE(2020,7,1),G988&lt;DATE(2020,8,1)),L988,0)</f>
        <v>0</v>
      </c>
    </row>
    <row r="989" customFormat="false" ht="15" hidden="false" customHeight="true" outlineLevel="0" collapsed="false">
      <c r="A989" s="1" t="n">
        <v>100230</v>
      </c>
      <c r="B989" s="1" t="n">
        <v>50571</v>
      </c>
      <c r="C989" s="1" t="n">
        <v>9</v>
      </c>
      <c r="D989" s="1" t="n">
        <v>8</v>
      </c>
      <c r="E989" s="1" t="str">
        <f aca="false">VLOOKUP(C989,Меню!$A$2:$C$24,2,FALSE())</f>
        <v>Пицца Острая с беконом</v>
      </c>
      <c r="F989" s="1" t="n">
        <f aca="false">VLOOKUP(C989,Меню!$A$2:$C$24,3,FALSE())</f>
        <v>540</v>
      </c>
      <c r="G989" s="5" t="n">
        <f aca="false">VLOOKUP(B989,Заказы!$A$2:$E$2995,2,FALSE())</f>
        <v>44011</v>
      </c>
      <c r="H989" s="1" t="n">
        <f aca="false">VLOOKUP(B989,Заказы!$A$2:$E$2995,3,FALSE())</f>
        <v>14</v>
      </c>
      <c r="I989" s="1" t="str">
        <f aca="false">VLOOKUP(H989,Клиенты!$A$2:$E$1995,5,FALSE())</f>
        <v>г. Севск</v>
      </c>
      <c r="J989" s="1" t="n">
        <f aca="false">VLOOKUP(B989,Заказы!$A$2:$E$2995,4,FALSE())</f>
        <v>636</v>
      </c>
      <c r="K989" s="1" t="str">
        <f aca="false">VLOOKUP(B989,Заказы!$A$2:$E$2995,5,FALSE())</f>
        <v>Выполнено</v>
      </c>
      <c r="L989" s="1" t="n">
        <f aca="false">D989*F989+J989</f>
        <v>4956</v>
      </c>
      <c r="M989" s="1" t="n">
        <f aca="false">IF(AND(E989="Пицца Труслейка",I989="г. Москва",K989="Выполнено",G989&gt;=DATE(2020,7,1),G989&lt;DATE(2020,8,1)),L989,0)</f>
        <v>0</v>
      </c>
    </row>
    <row r="990" customFormat="false" ht="15" hidden="false" customHeight="true" outlineLevel="0" collapsed="false">
      <c r="A990" s="1" t="n">
        <v>100231</v>
      </c>
      <c r="B990" s="1" t="n">
        <v>50146</v>
      </c>
      <c r="C990" s="1" t="n">
        <v>1</v>
      </c>
      <c r="D990" s="1" t="n">
        <v>7</v>
      </c>
      <c r="E990" s="1" t="str">
        <f aca="false">VLOOKUP(C990,Меню!$A$2:$C$24,2,FALSE())</f>
        <v>Пицца Гавайская</v>
      </c>
      <c r="F990" s="1" t="n">
        <f aca="false">VLOOKUP(C990,Меню!$A$2:$C$24,3,FALSE())</f>
        <v>545</v>
      </c>
      <c r="G990" s="5" t="n">
        <f aca="false">VLOOKUP(B990,Заказы!$A$2:$E$2995,2,FALSE())</f>
        <v>44039</v>
      </c>
      <c r="H990" s="1" t="n">
        <f aca="false">VLOOKUP(B990,Заказы!$A$2:$E$2995,3,FALSE())</f>
        <v>1100</v>
      </c>
      <c r="I990" s="1" t="str">
        <f aca="false">VLOOKUP(H990,Клиенты!$A$2:$E$1995,5,FALSE())</f>
        <v>г. Москва</v>
      </c>
      <c r="J990" s="1" t="n">
        <f aca="false">VLOOKUP(B990,Заказы!$A$2:$E$2995,4,FALSE())</f>
        <v>454</v>
      </c>
      <c r="K990" s="1" t="str">
        <f aca="false">VLOOKUP(B990,Заказы!$A$2:$E$2995,5,FALSE())</f>
        <v>Выполнено</v>
      </c>
      <c r="L990" s="1" t="n">
        <f aca="false">D990*F990+J990</f>
        <v>4269</v>
      </c>
      <c r="M990" s="1" t="n">
        <f aca="false">IF(AND(E990="Пицца Труслейка",I990="г. Москва",K990="Выполнено",G990&gt;=DATE(2020,7,1),G990&lt;DATE(2020,8,1)),L990,0)</f>
        <v>0</v>
      </c>
    </row>
    <row r="991" customFormat="false" ht="15" hidden="false" customHeight="true" outlineLevel="0" collapsed="false">
      <c r="A991" s="1" t="n">
        <v>101973</v>
      </c>
      <c r="B991" s="1" t="n">
        <v>51541</v>
      </c>
      <c r="C991" s="1" t="n">
        <v>4</v>
      </c>
      <c r="D991" s="1" t="n">
        <v>4</v>
      </c>
      <c r="E991" s="1" t="str">
        <f aca="false">VLOOKUP(C991,Меню!$A$2:$C$24,2,FALSE())</f>
        <v>Пицца Труслейка</v>
      </c>
      <c r="F991" s="1" t="n">
        <f aca="false">VLOOKUP(C991,Меню!$A$2:$C$24,3,FALSE())</f>
        <v>610</v>
      </c>
      <c r="G991" s="5" t="n">
        <f aca="false">VLOOKUP(B991,Заказы!$A$2:$E$2995,2,FALSE())</f>
        <v>43988</v>
      </c>
      <c r="H991" s="1" t="n">
        <f aca="false">VLOOKUP(B991,Заказы!$A$2:$E$2995,3,FALSE())</f>
        <v>1545</v>
      </c>
      <c r="I991" s="1" t="str">
        <f aca="false">VLOOKUP(H991,Клиенты!$A$2:$E$1995,5,FALSE())</f>
        <v>г. Тихвин</v>
      </c>
      <c r="J991" s="1" t="n">
        <f aca="false">VLOOKUP(B991,Заказы!$A$2:$E$2995,4,FALSE())</f>
        <v>833</v>
      </c>
      <c r="K991" s="1" t="str">
        <f aca="false">VLOOKUP(B991,Заказы!$A$2:$E$2995,5,FALSE())</f>
        <v>Выполнено</v>
      </c>
      <c r="L991" s="1" t="n">
        <f aca="false">D991*F991+J991</f>
        <v>3273</v>
      </c>
      <c r="M991" s="1" t="n">
        <f aca="false">IF(AND(E991="Пицца Труслейка",I991="г. Москва",K991="Выполнено",G991&gt;=DATE(2020,7,1),G991&lt;DATE(2020,8,1)),L991,0)</f>
        <v>0</v>
      </c>
    </row>
    <row r="992" customFormat="false" ht="15" hidden="false" customHeight="true" outlineLevel="0" collapsed="false">
      <c r="A992" s="1" t="n">
        <v>101110</v>
      </c>
      <c r="B992" s="1" t="n">
        <v>50518</v>
      </c>
      <c r="C992" s="1" t="n">
        <v>14</v>
      </c>
      <c r="D992" s="1" t="n">
        <v>5</v>
      </c>
      <c r="E992" s="1" t="str">
        <f aca="false">VLOOKUP(C992,Меню!$A$2:$C$24,2,FALSE())</f>
        <v>Пицца Сырный цыпленок</v>
      </c>
      <c r="F992" s="1" t="n">
        <f aca="false">VLOOKUP(C992,Меню!$A$2:$C$24,3,FALSE())</f>
        <v>555</v>
      </c>
      <c r="G992" s="5" t="n">
        <f aca="false">VLOOKUP(B992,Заказы!$A$2:$E$2995,2,FALSE())</f>
        <v>44057</v>
      </c>
      <c r="H992" s="1" t="n">
        <f aca="false">VLOOKUP(B992,Заказы!$A$2:$E$2995,3,FALSE())</f>
        <v>1270</v>
      </c>
      <c r="I992" s="1" t="str">
        <f aca="false">VLOOKUP(H992,Клиенты!$A$2:$E$1995,5,FALSE())</f>
        <v>г. Москва</v>
      </c>
      <c r="J992" s="1" t="n">
        <f aca="false">VLOOKUP(B992,Заказы!$A$2:$E$2995,4,FALSE())</f>
        <v>0</v>
      </c>
      <c r="K992" s="1" t="str">
        <f aca="false">VLOOKUP(B992,Заказы!$A$2:$E$2995,5,FALSE())</f>
        <v>Не выполнено</v>
      </c>
      <c r="L992" s="1" t="n">
        <f aca="false">D992*F992+J992</f>
        <v>2775</v>
      </c>
      <c r="M992" s="1" t="n">
        <f aca="false">IF(AND(E992="Пицца Труслейка",I992="г. Москва",K992="Выполнено",G992&gt;=DATE(2020,7,1),G992&lt;DATE(2020,8,1)),L992,0)</f>
        <v>0</v>
      </c>
    </row>
    <row r="993" customFormat="false" ht="15" hidden="false" customHeight="true" outlineLevel="0" collapsed="false">
      <c r="A993" s="1" t="n">
        <v>100364</v>
      </c>
      <c r="B993" s="1" t="n">
        <v>51759</v>
      </c>
      <c r="C993" s="1" t="n">
        <v>21</v>
      </c>
      <c r="D993" s="1" t="n">
        <v>8</v>
      </c>
      <c r="E993" s="1" t="str">
        <f aca="false">VLOOKUP(C993,Меню!$A$2:$C$24,2,FALSE())</f>
        <v>Пицца с креветками и цукини</v>
      </c>
      <c r="F993" s="1" t="n">
        <f aca="false">VLOOKUP(C993,Меню!$A$2:$C$24,3,FALSE())</f>
        <v>600</v>
      </c>
      <c r="G993" s="5" t="n">
        <f aca="false">VLOOKUP(B993,Заказы!$A$2:$E$2995,2,FALSE())</f>
        <v>44034</v>
      </c>
      <c r="H993" s="1" t="n">
        <f aca="false">VLOOKUP(B993,Заказы!$A$2:$E$2995,3,FALSE())</f>
        <v>91</v>
      </c>
      <c r="I993" s="1" t="str">
        <f aca="false">VLOOKUP(H993,Клиенты!$A$2:$E$1995,5,FALSE())</f>
        <v>г. Саранск</v>
      </c>
      <c r="J993" s="1" t="n">
        <f aca="false">VLOOKUP(B993,Заказы!$A$2:$E$2995,4,FALSE())</f>
        <v>621</v>
      </c>
      <c r="K993" s="1" t="str">
        <f aca="false">VLOOKUP(B993,Заказы!$A$2:$E$2995,5,FALSE())</f>
        <v>Выполнено</v>
      </c>
      <c r="L993" s="1" t="n">
        <f aca="false">D993*F993+J993</f>
        <v>5421</v>
      </c>
      <c r="M993" s="1" t="n">
        <f aca="false">IF(AND(E993="Пицца Труслейка",I993="г. Москва",K993="Выполнено",G993&gt;=DATE(2020,7,1),G993&lt;DATE(2020,8,1)),L993,0)</f>
        <v>0</v>
      </c>
    </row>
    <row r="994" customFormat="false" ht="15" hidden="false" customHeight="true" outlineLevel="0" collapsed="false">
      <c r="A994" s="1" t="n">
        <v>100187</v>
      </c>
      <c r="B994" s="1" t="n">
        <v>50820</v>
      </c>
      <c r="C994" s="1" t="n">
        <v>17</v>
      </c>
      <c r="D994" s="1" t="n">
        <v>8</v>
      </c>
      <c r="E994" s="1" t="str">
        <f aca="false">VLOOKUP(C994,Меню!$A$2:$C$24,2,FALSE())</f>
        <v>Пицца Френч Фрайз</v>
      </c>
      <c r="F994" s="1" t="n">
        <f aca="false">VLOOKUP(C994,Меню!$A$2:$C$24,3,FALSE())</f>
        <v>515</v>
      </c>
      <c r="G994" s="5" t="n">
        <f aca="false">VLOOKUP(B994,Заказы!$A$2:$E$2995,2,FALSE())</f>
        <v>43985</v>
      </c>
      <c r="H994" s="1" t="n">
        <f aca="false">VLOOKUP(B994,Заказы!$A$2:$E$2995,3,FALSE())</f>
        <v>974</v>
      </c>
      <c r="I994" s="1" t="str">
        <f aca="false">VLOOKUP(H994,Клиенты!$A$2:$E$1995,5,FALSE())</f>
        <v>г. Шали</v>
      </c>
      <c r="J994" s="1" t="n">
        <f aca="false">VLOOKUP(B994,Заказы!$A$2:$E$2995,4,FALSE())</f>
        <v>0</v>
      </c>
      <c r="K994" s="1" t="str">
        <f aca="false">VLOOKUP(B994,Заказы!$A$2:$E$2995,5,FALSE())</f>
        <v>Не выполнено</v>
      </c>
      <c r="L994" s="1" t="n">
        <f aca="false">D994*F994+J994</f>
        <v>4120</v>
      </c>
      <c r="M994" s="1" t="n">
        <f aca="false">IF(AND(E994="Пицца Труслейка",I994="г. Москва",K994="Выполнено",G994&gt;=DATE(2020,7,1),G994&lt;DATE(2020,8,1)),L994,0)</f>
        <v>0</v>
      </c>
    </row>
    <row r="995" customFormat="false" ht="15" hidden="false" customHeight="true" outlineLevel="0" collapsed="false">
      <c r="A995" s="1" t="n">
        <v>100419</v>
      </c>
      <c r="B995" s="1" t="n">
        <v>51698</v>
      </c>
      <c r="C995" s="1" t="n">
        <v>23</v>
      </c>
      <c r="D995" s="1" t="n">
        <v>3</v>
      </c>
      <c r="E995" s="1" t="str">
        <f aca="false">VLOOKUP(C995,Меню!$A$2:$C$24,2,FALSE())</f>
        <v>Пицца с тунцом</v>
      </c>
      <c r="F995" s="1" t="n">
        <f aca="false">VLOOKUP(C995,Меню!$A$2:$C$24,3,FALSE())</f>
        <v>520</v>
      </c>
      <c r="G995" s="5" t="n">
        <f aca="false">VLOOKUP(B995,Заказы!$A$2:$E$2995,2,FALSE())</f>
        <v>44034</v>
      </c>
      <c r="H995" s="1" t="n">
        <f aca="false">VLOOKUP(B995,Заказы!$A$2:$E$2995,3,FALSE())</f>
        <v>1046</v>
      </c>
      <c r="I995" s="1" t="str">
        <f aca="false">VLOOKUP(H995,Клиенты!$A$2:$E$1995,5,FALSE())</f>
        <v>г. Среднеуральск</v>
      </c>
      <c r="J995" s="1" t="n">
        <f aca="false">VLOOKUP(B995,Заказы!$A$2:$E$2995,4,FALSE())</f>
        <v>629</v>
      </c>
      <c r="K995" s="1" t="str">
        <f aca="false">VLOOKUP(B995,Заказы!$A$2:$E$2995,5,FALSE())</f>
        <v>Выполнено</v>
      </c>
      <c r="L995" s="1" t="n">
        <f aca="false">D995*F995+J995</f>
        <v>2189</v>
      </c>
      <c r="M995" s="1" t="n">
        <f aca="false">IF(AND(E995="Пицца Труслейка",I995="г. Москва",K995="Выполнено",G995&gt;=DATE(2020,7,1),G995&lt;DATE(2020,8,1)),L995,0)</f>
        <v>0</v>
      </c>
    </row>
    <row r="996" customFormat="false" ht="15" hidden="false" customHeight="true" outlineLevel="0" collapsed="false">
      <c r="A996" s="1" t="n">
        <v>100826</v>
      </c>
      <c r="B996" s="1" t="n">
        <v>50412</v>
      </c>
      <c r="C996" s="1" t="n">
        <v>22</v>
      </c>
      <c r="D996" s="1" t="n">
        <v>9</v>
      </c>
      <c r="E996" s="1" t="str">
        <f aca="false">VLOOKUP(C996,Меню!$A$2:$C$24,2,FALSE())</f>
        <v>Пицца с поркеттой и фриарелли</v>
      </c>
      <c r="F996" s="1" t="n">
        <f aca="false">VLOOKUP(C996,Меню!$A$2:$C$24,3,FALSE())</f>
        <v>550</v>
      </c>
      <c r="G996" s="5" t="n">
        <f aca="false">VLOOKUP(B996,Заказы!$A$2:$E$2995,2,FALSE())</f>
        <v>44005</v>
      </c>
      <c r="H996" s="1" t="n">
        <f aca="false">VLOOKUP(B996,Заказы!$A$2:$E$2995,3,FALSE())</f>
        <v>306</v>
      </c>
      <c r="I996" s="1" t="str">
        <f aca="false">VLOOKUP(H996,Клиенты!$A$2:$E$1995,5,FALSE())</f>
        <v>г. Козельск</v>
      </c>
      <c r="J996" s="1" t="n">
        <f aca="false">VLOOKUP(B996,Заказы!$A$2:$E$2995,4,FALSE())</f>
        <v>0</v>
      </c>
      <c r="K996" s="1" t="str">
        <f aca="false">VLOOKUP(B996,Заказы!$A$2:$E$2995,5,FALSE())</f>
        <v>Не выполнено</v>
      </c>
      <c r="L996" s="1" t="n">
        <f aca="false">D996*F996+J996</f>
        <v>4950</v>
      </c>
      <c r="M996" s="1" t="n">
        <f aca="false">IF(AND(E996="Пицца Труслейка",I996="г. Москва",K996="Выполнено",G996&gt;=DATE(2020,7,1),G996&lt;DATE(2020,8,1)),L996,0)</f>
        <v>0</v>
      </c>
    </row>
    <row r="997" customFormat="false" ht="15" hidden="false" customHeight="true" outlineLevel="0" collapsed="false">
      <c r="A997" s="1" t="n">
        <v>100882</v>
      </c>
      <c r="B997" s="1" t="n">
        <v>50776</v>
      </c>
      <c r="C997" s="1" t="n">
        <v>7</v>
      </c>
      <c r="D997" s="1" t="n">
        <v>3</v>
      </c>
      <c r="E997" s="1" t="str">
        <f aca="false">VLOOKUP(C997,Меню!$A$2:$C$24,2,FALSE())</f>
        <v>Пицца Карбонара</v>
      </c>
      <c r="F997" s="1" t="n">
        <f aca="false">VLOOKUP(C997,Меню!$A$2:$C$24,3,FALSE())</f>
        <v>625</v>
      </c>
      <c r="G997" s="5" t="n">
        <f aca="false">VLOOKUP(B997,Заказы!$A$2:$E$2995,2,FALSE())</f>
        <v>44011</v>
      </c>
      <c r="H997" s="1" t="n">
        <f aca="false">VLOOKUP(B997,Заказы!$A$2:$E$2995,3,FALSE())</f>
        <v>1500</v>
      </c>
      <c r="I997" s="1" t="str">
        <f aca="false">VLOOKUP(H997,Клиенты!$A$2:$E$1995,5,FALSE())</f>
        <v>г. Москва</v>
      </c>
      <c r="J997" s="1" t="n">
        <f aca="false">VLOOKUP(B997,Заказы!$A$2:$E$2995,4,FALSE())</f>
        <v>707</v>
      </c>
      <c r="K997" s="1" t="str">
        <f aca="false">VLOOKUP(B997,Заказы!$A$2:$E$2995,5,FALSE())</f>
        <v>Выполнено</v>
      </c>
      <c r="L997" s="1" t="n">
        <f aca="false">D997*F997+J997</f>
        <v>2582</v>
      </c>
      <c r="M997" s="1" t="n">
        <f aca="false">IF(AND(E997="Пицца Труслейка",I997="г. Москва",K997="Выполнено",G997&gt;=DATE(2020,7,1),G997&lt;DATE(2020,8,1)),L997,0)</f>
        <v>0</v>
      </c>
    </row>
    <row r="998" customFormat="false" ht="15" hidden="false" customHeight="true" outlineLevel="0" collapsed="false">
      <c r="A998" s="1" t="n">
        <v>100833</v>
      </c>
      <c r="B998" s="1" t="n">
        <v>50722</v>
      </c>
      <c r="C998" s="1" t="n">
        <v>9</v>
      </c>
      <c r="D998" s="1" t="n">
        <v>10</v>
      </c>
      <c r="E998" s="1" t="str">
        <f aca="false">VLOOKUP(C998,Меню!$A$2:$C$24,2,FALSE())</f>
        <v>Пицца Острая с беконом</v>
      </c>
      <c r="F998" s="1" t="n">
        <f aca="false">VLOOKUP(C998,Меню!$A$2:$C$24,3,FALSE())</f>
        <v>540</v>
      </c>
      <c r="G998" s="5" t="n">
        <f aca="false">VLOOKUP(B998,Заказы!$A$2:$E$2995,2,FALSE())</f>
        <v>44064</v>
      </c>
      <c r="H998" s="1" t="n">
        <f aca="false">VLOOKUP(B998,Заказы!$A$2:$E$2995,3,FALSE())</f>
        <v>79</v>
      </c>
      <c r="I998" s="1" t="str">
        <f aca="false">VLOOKUP(H998,Клиенты!$A$2:$E$1995,5,FALSE())</f>
        <v>г. Сергач</v>
      </c>
      <c r="J998" s="1" t="n">
        <f aca="false">VLOOKUP(B998,Заказы!$A$2:$E$2995,4,FALSE())</f>
        <v>0</v>
      </c>
      <c r="K998" s="1" t="str">
        <f aca="false">VLOOKUP(B998,Заказы!$A$2:$E$2995,5,FALSE())</f>
        <v>Не выполнено</v>
      </c>
      <c r="L998" s="1" t="n">
        <f aca="false">D998*F998+J998</f>
        <v>5400</v>
      </c>
      <c r="M998" s="1" t="n">
        <f aca="false">IF(AND(E998="Пицца Труслейка",I998="г. Москва",K998="Выполнено",G998&gt;=DATE(2020,7,1),G998&lt;DATE(2020,8,1)),L998,0)</f>
        <v>0</v>
      </c>
    </row>
    <row r="999" customFormat="false" ht="15" hidden="false" customHeight="true" outlineLevel="0" collapsed="false">
      <c r="A999" s="1" t="n">
        <v>100861</v>
      </c>
      <c r="B999" s="1" t="n">
        <v>50134</v>
      </c>
      <c r="C999" s="1" t="n">
        <v>13</v>
      </c>
      <c r="D999" s="1" t="n">
        <v>3</v>
      </c>
      <c r="E999" s="1" t="str">
        <f aca="false">VLOOKUP(C999,Меню!$A$2:$C$24,2,FALSE())</f>
        <v>Пицца Сырная</v>
      </c>
      <c r="F999" s="1" t="n">
        <f aca="false">VLOOKUP(C999,Меню!$A$2:$C$24,3,FALSE())</f>
        <v>635</v>
      </c>
      <c r="G999" s="5" t="n">
        <f aca="false">VLOOKUP(B999,Заказы!$A$2:$E$2995,2,FALSE())</f>
        <v>44021</v>
      </c>
      <c r="H999" s="1" t="n">
        <f aca="false">VLOOKUP(B999,Заказы!$A$2:$E$2995,3,FALSE())</f>
        <v>245</v>
      </c>
      <c r="I999" s="1" t="str">
        <f aca="false">VLOOKUP(H999,Клиенты!$A$2:$E$1995,5,FALSE())</f>
        <v>г. Олёкминск</v>
      </c>
      <c r="J999" s="1" t="n">
        <f aca="false">VLOOKUP(B999,Заказы!$A$2:$E$2995,4,FALSE())</f>
        <v>707</v>
      </c>
      <c r="K999" s="1" t="str">
        <f aca="false">VLOOKUP(B999,Заказы!$A$2:$E$2995,5,FALSE())</f>
        <v>Выполнено</v>
      </c>
      <c r="L999" s="1" t="n">
        <f aca="false">D999*F999+J999</f>
        <v>2612</v>
      </c>
      <c r="M999" s="1" t="n">
        <f aca="false">IF(AND(E999="Пицца Труслейка",I999="г. Москва",K999="Выполнено",G999&gt;=DATE(2020,7,1),G999&lt;DATE(2020,8,1)),L999,0)</f>
        <v>0</v>
      </c>
    </row>
    <row r="1000" customFormat="false" ht="15" hidden="false" customHeight="true" outlineLevel="0" collapsed="false">
      <c r="A1000" s="1" t="n">
        <v>101223</v>
      </c>
      <c r="B1000" s="1" t="n">
        <v>51812</v>
      </c>
      <c r="C1000" s="1" t="n">
        <v>5</v>
      </c>
      <c r="D1000" s="1" t="n">
        <v>9</v>
      </c>
      <c r="E1000" s="1" t="str">
        <f aca="false">VLOOKUP(C1000,Меню!$A$2:$C$24,2,FALSE())</f>
        <v>Пицца Жюльен</v>
      </c>
      <c r="F1000" s="1" t="n">
        <f aca="false">VLOOKUP(C1000,Меню!$A$2:$C$24,3,FALSE())</f>
        <v>580</v>
      </c>
      <c r="G1000" s="5" t="n">
        <f aca="false">VLOOKUP(B1000,Заказы!$A$2:$E$2995,2,FALSE())</f>
        <v>44069</v>
      </c>
      <c r="H1000" s="1" t="n">
        <f aca="false">VLOOKUP(B1000,Заказы!$A$2:$E$2995,3,FALSE())</f>
        <v>1905</v>
      </c>
      <c r="I1000" s="1" t="str">
        <f aca="false">VLOOKUP(H1000,Клиенты!$A$2:$E$1995,5,FALSE())</f>
        <v>г. Сим</v>
      </c>
      <c r="J1000" s="1" t="n">
        <f aca="false">VLOOKUP(B1000,Заказы!$A$2:$E$2995,4,FALSE())</f>
        <v>577</v>
      </c>
      <c r="K1000" s="1" t="str">
        <f aca="false">VLOOKUP(B1000,Заказы!$A$2:$E$2995,5,FALSE())</f>
        <v>Выполнено</v>
      </c>
      <c r="L1000" s="1" t="n">
        <f aca="false">D1000*F1000+J1000</f>
        <v>5797</v>
      </c>
      <c r="M1000" s="1" t="n">
        <f aca="false">IF(AND(E1000="Пицца Труслейка",I1000="г. Москва",K1000="Выполнено",G1000&gt;=DATE(2020,7,1),G1000&lt;DATE(2020,8,1)),L1000,0)</f>
        <v>0</v>
      </c>
    </row>
    <row r="1001" customFormat="false" ht="15" hidden="false" customHeight="true" outlineLevel="0" collapsed="false">
      <c r="A1001" s="1" t="n">
        <v>100223</v>
      </c>
      <c r="B1001" s="1" t="n">
        <v>51890</v>
      </c>
      <c r="C1001" s="1" t="n">
        <v>4</v>
      </c>
      <c r="D1001" s="1" t="n">
        <v>5</v>
      </c>
      <c r="E1001" s="1" t="str">
        <f aca="false">VLOOKUP(C1001,Меню!$A$2:$C$24,2,FALSE())</f>
        <v>Пицца Труслейка</v>
      </c>
      <c r="F1001" s="1" t="n">
        <f aca="false">VLOOKUP(C1001,Меню!$A$2:$C$24,3,FALSE())</f>
        <v>610</v>
      </c>
      <c r="G1001" s="5" t="n">
        <f aca="false">VLOOKUP(B1001,Заказы!$A$2:$E$2995,2,FALSE())</f>
        <v>44039</v>
      </c>
      <c r="H1001" s="1" t="n">
        <f aca="false">VLOOKUP(B1001,Заказы!$A$2:$E$2995,3,FALSE())</f>
        <v>493</v>
      </c>
      <c r="I1001" s="1" t="str">
        <f aca="false">VLOOKUP(H1001,Клиенты!$A$2:$E$1995,5,FALSE())</f>
        <v>г. Плавск</v>
      </c>
      <c r="J1001" s="1" t="n">
        <f aca="false">VLOOKUP(B1001,Заказы!$A$2:$E$2995,4,FALSE())</f>
        <v>0</v>
      </c>
      <c r="K1001" s="1" t="str">
        <f aca="false">VLOOKUP(B1001,Заказы!$A$2:$E$2995,5,FALSE())</f>
        <v>Не выполнено</v>
      </c>
      <c r="L1001" s="1" t="n">
        <f aca="false">D1001*F1001+J1001</f>
        <v>3050</v>
      </c>
      <c r="M1001" s="1" t="n">
        <f aca="false">IF(AND(E1001="Пицца Труслейка",I1001="г. Москва",K1001="Выполнено",G1001&gt;=DATE(2020,7,1),G1001&lt;DATE(2020,8,1)),L1001,0)</f>
        <v>0</v>
      </c>
    </row>
    <row r="1002" customFormat="false" ht="15" hidden="false" customHeight="true" outlineLevel="0" collapsed="false">
      <c r="A1002" s="1" t="n">
        <v>101177</v>
      </c>
      <c r="B1002" s="1" t="n">
        <v>50007</v>
      </c>
      <c r="C1002" s="1" t="n">
        <v>9</v>
      </c>
      <c r="D1002" s="1" t="n">
        <v>7</v>
      </c>
      <c r="E1002" s="1" t="str">
        <f aca="false">VLOOKUP(C1002,Меню!$A$2:$C$24,2,FALSE())</f>
        <v>Пицца Острая с беконом</v>
      </c>
      <c r="F1002" s="1" t="n">
        <f aca="false">VLOOKUP(C1002,Меню!$A$2:$C$24,3,FALSE())</f>
        <v>540</v>
      </c>
      <c r="G1002" s="5" t="n">
        <f aca="false">VLOOKUP(B1002,Заказы!$A$2:$E$2995,2,FALSE())</f>
        <v>44042</v>
      </c>
      <c r="H1002" s="1" t="n">
        <f aca="false">VLOOKUP(B1002,Заказы!$A$2:$E$2995,3,FALSE())</f>
        <v>1112</v>
      </c>
      <c r="I1002" s="1" t="str">
        <f aca="false">VLOOKUP(H1002,Клиенты!$A$2:$E$1995,5,FALSE())</f>
        <v>г. Отрадный</v>
      </c>
      <c r="J1002" s="1" t="n">
        <f aca="false">VLOOKUP(B1002,Заказы!$A$2:$E$2995,4,FALSE())</f>
        <v>891</v>
      </c>
      <c r="K1002" s="1" t="str">
        <f aca="false">VLOOKUP(B1002,Заказы!$A$2:$E$2995,5,FALSE())</f>
        <v>Выполнено</v>
      </c>
      <c r="L1002" s="1" t="n">
        <f aca="false">D1002*F1002+J1002</f>
        <v>4671</v>
      </c>
      <c r="M1002" s="1" t="n">
        <f aca="false">IF(AND(E1002="Пицца Труслейка",I1002="г. Москва",K1002="Выполнено",G1002&gt;=DATE(2020,7,1),G1002&lt;DATE(2020,8,1)),L1002,0)</f>
        <v>0</v>
      </c>
    </row>
    <row r="1003" customFormat="false" ht="15" hidden="false" customHeight="true" outlineLevel="0" collapsed="false">
      <c r="A1003" s="1" t="n">
        <v>101823</v>
      </c>
      <c r="B1003" s="1" t="n">
        <v>50825</v>
      </c>
      <c r="C1003" s="1" t="n">
        <v>16</v>
      </c>
      <c r="D1003" s="1" t="n">
        <v>5</v>
      </c>
      <c r="E1003" s="1" t="str">
        <f aca="false">VLOOKUP(C1003,Меню!$A$2:$C$24,2,FALSE())</f>
        <v>Пицца Флорида</v>
      </c>
      <c r="F1003" s="1" t="n">
        <f aca="false">VLOOKUP(C1003,Меню!$A$2:$C$24,3,FALSE())</f>
        <v>535</v>
      </c>
      <c r="G1003" s="5" t="n">
        <f aca="false">VLOOKUP(B1003,Заказы!$A$2:$E$2995,2,FALSE())</f>
        <v>44011</v>
      </c>
      <c r="H1003" s="1" t="n">
        <f aca="false">VLOOKUP(B1003,Заказы!$A$2:$E$2995,3,FALSE())</f>
        <v>1057</v>
      </c>
      <c r="I1003" s="1" t="str">
        <f aca="false">VLOOKUP(H1003,Клиенты!$A$2:$E$1995,5,FALSE())</f>
        <v>г. Ульяновск</v>
      </c>
      <c r="J1003" s="1" t="n">
        <f aca="false">VLOOKUP(B1003,Заказы!$A$2:$E$2995,4,FALSE())</f>
        <v>276</v>
      </c>
      <c r="K1003" s="1" t="str">
        <f aca="false">VLOOKUP(B1003,Заказы!$A$2:$E$2995,5,FALSE())</f>
        <v>Выполнено</v>
      </c>
      <c r="L1003" s="1" t="n">
        <f aca="false">D1003*F1003+J1003</f>
        <v>2951</v>
      </c>
      <c r="M1003" s="1" t="n">
        <f aca="false">IF(AND(E1003="Пицца Труслейка",I1003="г. Москва",K1003="Выполнено",G1003&gt;=DATE(2020,7,1),G1003&lt;DATE(2020,8,1)),L1003,0)</f>
        <v>0</v>
      </c>
    </row>
    <row r="1004" customFormat="false" ht="15" hidden="false" customHeight="true" outlineLevel="0" collapsed="false">
      <c r="A1004" s="1" t="n">
        <v>100070</v>
      </c>
      <c r="B1004" s="1" t="n">
        <v>50616</v>
      </c>
      <c r="C1004" s="1" t="n">
        <v>6</v>
      </c>
      <c r="D1004" s="1" t="n">
        <v>7</v>
      </c>
      <c r="E1004" s="1" t="str">
        <f aca="false">VLOOKUP(C1004,Меню!$A$2:$C$24,2,FALSE())</f>
        <v>Пицца Капричиоза</v>
      </c>
      <c r="F1004" s="1" t="n">
        <f aca="false">VLOOKUP(C1004,Меню!$A$2:$C$24,3,FALSE())</f>
        <v>570</v>
      </c>
      <c r="G1004" s="5" t="n">
        <f aca="false">VLOOKUP(B1004,Заказы!$A$2:$E$2995,2,FALSE())</f>
        <v>44031</v>
      </c>
      <c r="H1004" s="1" t="n">
        <f aca="false">VLOOKUP(B1004,Заказы!$A$2:$E$2995,3,FALSE())</f>
        <v>640</v>
      </c>
      <c r="I1004" s="1" t="str">
        <f aca="false">VLOOKUP(H1004,Клиенты!$A$2:$E$1995,5,FALSE())</f>
        <v>г. Москва</v>
      </c>
      <c r="J1004" s="1" t="n">
        <f aca="false">VLOOKUP(B1004,Заказы!$A$2:$E$2995,4,FALSE())</f>
        <v>309</v>
      </c>
      <c r="K1004" s="1" t="str">
        <f aca="false">VLOOKUP(B1004,Заказы!$A$2:$E$2995,5,FALSE())</f>
        <v>Выполнено</v>
      </c>
      <c r="L1004" s="1" t="n">
        <f aca="false">D1004*F1004+J1004</f>
        <v>4299</v>
      </c>
      <c r="M1004" s="1" t="n">
        <f aca="false">IF(AND(E1004="Пицца Труслейка",I1004="г. Москва",K1004="Выполнено",G1004&gt;=DATE(2020,7,1),G1004&lt;DATE(2020,8,1)),L1004,0)</f>
        <v>0</v>
      </c>
    </row>
    <row r="1005" customFormat="false" ht="15" hidden="false" customHeight="true" outlineLevel="0" collapsed="false">
      <c r="A1005" s="1" t="n">
        <v>101977</v>
      </c>
      <c r="B1005" s="1" t="n">
        <v>51376</v>
      </c>
      <c r="C1005" s="1" t="n">
        <v>2</v>
      </c>
      <c r="D1005" s="1" t="n">
        <v>7</v>
      </c>
      <c r="E1005" s="1" t="str">
        <f aca="false">VLOOKUP(C1005,Меню!$A$2:$C$24,2,FALSE())</f>
        <v>Пицца Двойная пепперони</v>
      </c>
      <c r="F1005" s="1" t="n">
        <f aca="false">VLOOKUP(C1005,Меню!$A$2:$C$24,3,FALSE())</f>
        <v>575</v>
      </c>
      <c r="G1005" s="5" t="n">
        <f aca="false">VLOOKUP(B1005,Заказы!$A$2:$E$2995,2,FALSE())</f>
        <v>44029</v>
      </c>
      <c r="H1005" s="1" t="n">
        <f aca="false">VLOOKUP(B1005,Заказы!$A$2:$E$2995,3,FALSE())</f>
        <v>1856</v>
      </c>
      <c r="I1005" s="1" t="str">
        <f aca="false">VLOOKUP(H1005,Клиенты!$A$2:$E$1995,5,FALSE())</f>
        <v>г. Вуктыл</v>
      </c>
      <c r="J1005" s="1" t="n">
        <f aca="false">VLOOKUP(B1005,Заказы!$A$2:$E$2995,4,FALSE())</f>
        <v>738</v>
      </c>
      <c r="K1005" s="1" t="str">
        <f aca="false">VLOOKUP(B1005,Заказы!$A$2:$E$2995,5,FALSE())</f>
        <v>Выполнено</v>
      </c>
      <c r="L1005" s="1" t="n">
        <f aca="false">D1005*F1005+J1005</f>
        <v>4763</v>
      </c>
      <c r="M1005" s="1" t="n">
        <f aca="false">IF(AND(E1005="Пицца Труслейка",I1005="г. Москва",K1005="Выполнено",G1005&gt;=DATE(2020,7,1),G1005&lt;DATE(2020,8,1)),L1005,0)</f>
        <v>0</v>
      </c>
    </row>
    <row r="1006" customFormat="false" ht="15" hidden="false" customHeight="true" outlineLevel="0" collapsed="false">
      <c r="A1006" s="1" t="n">
        <v>100698</v>
      </c>
      <c r="B1006" s="1" t="n">
        <v>50461</v>
      </c>
      <c r="C1006" s="1" t="n">
        <v>16</v>
      </c>
      <c r="D1006" s="1" t="n">
        <v>9</v>
      </c>
      <c r="E1006" s="1" t="str">
        <f aca="false">VLOOKUP(C1006,Меню!$A$2:$C$24,2,FALSE())</f>
        <v>Пицца Флорида</v>
      </c>
      <c r="F1006" s="1" t="n">
        <f aca="false">VLOOKUP(C1006,Меню!$A$2:$C$24,3,FALSE())</f>
        <v>535</v>
      </c>
      <c r="G1006" s="5" t="n">
        <f aca="false">VLOOKUP(B1006,Заказы!$A$2:$E$2995,2,FALSE())</f>
        <v>44040</v>
      </c>
      <c r="H1006" s="1" t="n">
        <f aca="false">VLOOKUP(B1006,Заказы!$A$2:$E$2995,3,FALSE())</f>
        <v>13</v>
      </c>
      <c r="I1006" s="1" t="str">
        <f aca="false">VLOOKUP(H1006,Клиенты!$A$2:$E$1995,5,FALSE())</f>
        <v>г. Мензелинск</v>
      </c>
      <c r="J1006" s="1" t="n">
        <f aca="false">VLOOKUP(B1006,Заказы!$A$2:$E$2995,4,FALSE())</f>
        <v>623</v>
      </c>
      <c r="K1006" s="1" t="str">
        <f aca="false">VLOOKUP(B1006,Заказы!$A$2:$E$2995,5,FALSE())</f>
        <v>Выполнено</v>
      </c>
      <c r="L1006" s="1" t="n">
        <f aca="false">D1006*F1006+J1006</f>
        <v>5438</v>
      </c>
      <c r="M1006" s="1" t="n">
        <f aca="false">IF(AND(E1006="Пицца Труслейка",I1006="г. Москва",K1006="Выполнено",G1006&gt;=DATE(2020,7,1),G1006&lt;DATE(2020,8,1)),L1006,0)</f>
        <v>0</v>
      </c>
    </row>
    <row r="1007" customFormat="false" ht="15" hidden="false" customHeight="true" outlineLevel="0" collapsed="false">
      <c r="A1007" s="1" t="n">
        <v>100415</v>
      </c>
      <c r="B1007" s="1" t="n">
        <v>50858</v>
      </c>
      <c r="C1007" s="1" t="n">
        <v>16</v>
      </c>
      <c r="D1007" s="1" t="n">
        <v>6</v>
      </c>
      <c r="E1007" s="1" t="str">
        <f aca="false">VLOOKUP(C1007,Меню!$A$2:$C$24,2,FALSE())</f>
        <v>Пицца Флорида</v>
      </c>
      <c r="F1007" s="1" t="n">
        <f aca="false">VLOOKUP(C1007,Меню!$A$2:$C$24,3,FALSE())</f>
        <v>535</v>
      </c>
      <c r="G1007" s="5" t="n">
        <f aca="false">VLOOKUP(B1007,Заказы!$A$2:$E$2995,2,FALSE())</f>
        <v>44052</v>
      </c>
      <c r="H1007" s="1" t="n">
        <f aca="false">VLOOKUP(B1007,Заказы!$A$2:$E$2995,3,FALSE())</f>
        <v>1064</v>
      </c>
      <c r="I1007" s="1" t="str">
        <f aca="false">VLOOKUP(H1007,Клиенты!$A$2:$E$1995,5,FALSE())</f>
        <v>г. Ижевск</v>
      </c>
      <c r="J1007" s="1" t="n">
        <f aca="false">VLOOKUP(B1007,Заказы!$A$2:$E$2995,4,FALSE())</f>
        <v>0</v>
      </c>
      <c r="K1007" s="1" t="str">
        <f aca="false">VLOOKUP(B1007,Заказы!$A$2:$E$2995,5,FALSE())</f>
        <v>Не выполнено</v>
      </c>
      <c r="L1007" s="1" t="n">
        <f aca="false">D1007*F1007+J1007</f>
        <v>3210</v>
      </c>
      <c r="M1007" s="1" t="n">
        <f aca="false">IF(AND(E1007="Пицца Труслейка",I1007="г. Москва",K1007="Выполнено",G1007&gt;=DATE(2020,7,1),G1007&lt;DATE(2020,8,1)),L1007,0)</f>
        <v>0</v>
      </c>
    </row>
    <row r="1008" customFormat="false" ht="15" hidden="false" customHeight="true" outlineLevel="0" collapsed="false">
      <c r="A1008" s="1" t="n">
        <v>100772</v>
      </c>
      <c r="B1008" s="1" t="n">
        <v>50061</v>
      </c>
      <c r="C1008" s="1" t="n">
        <v>15</v>
      </c>
      <c r="D1008" s="1" t="n">
        <v>4</v>
      </c>
      <c r="E1008" s="1" t="str">
        <f aca="false">VLOOKUP(C1008,Меню!$A$2:$C$24,2,FALSE())</f>
        <v>Пицца Тропиканка</v>
      </c>
      <c r="F1008" s="1" t="n">
        <f aca="false">VLOOKUP(C1008,Меню!$A$2:$C$24,3,FALSE())</f>
        <v>605</v>
      </c>
      <c r="G1008" s="5" t="n">
        <f aca="false">VLOOKUP(B1008,Заказы!$A$2:$E$2995,2,FALSE())</f>
        <v>44020</v>
      </c>
      <c r="H1008" s="1" t="n">
        <f aca="false">VLOOKUP(B1008,Заказы!$A$2:$E$2995,3,FALSE())</f>
        <v>658</v>
      </c>
      <c r="I1008" s="1" t="str">
        <f aca="false">VLOOKUP(H1008,Клиенты!$A$2:$E$1995,5,FALSE())</f>
        <v>г. Тында</v>
      </c>
      <c r="J1008" s="1" t="n">
        <f aca="false">VLOOKUP(B1008,Заказы!$A$2:$E$2995,4,FALSE())</f>
        <v>491</v>
      </c>
      <c r="K1008" s="1" t="str">
        <f aca="false">VLOOKUP(B1008,Заказы!$A$2:$E$2995,5,FALSE())</f>
        <v>Выполнено</v>
      </c>
      <c r="L1008" s="1" t="n">
        <f aca="false">D1008*F1008+J1008</f>
        <v>2911</v>
      </c>
      <c r="M1008" s="1" t="n">
        <f aca="false">IF(AND(E1008="Пицца Труслейка",I1008="г. Москва",K1008="Выполнено",G1008&gt;=DATE(2020,7,1),G1008&lt;DATE(2020,8,1)),L1008,0)</f>
        <v>0</v>
      </c>
    </row>
    <row r="1009" customFormat="false" ht="15" hidden="false" customHeight="true" outlineLevel="0" collapsed="false">
      <c r="A1009" s="1" t="n">
        <v>100189</v>
      </c>
      <c r="B1009" s="1" t="n">
        <v>51344</v>
      </c>
      <c r="C1009" s="1" t="n">
        <v>19</v>
      </c>
      <c r="D1009" s="1" t="n">
        <v>3</v>
      </c>
      <c r="E1009" s="1" t="str">
        <f aca="false">VLOOKUP(C1009,Меню!$A$2:$C$24,2,FALSE())</f>
        <v>Пицца Цезарь</v>
      </c>
      <c r="F1009" s="1" t="n">
        <f aca="false">VLOOKUP(C1009,Меню!$A$2:$C$24,3,FALSE())</f>
        <v>630</v>
      </c>
      <c r="G1009" s="5" t="n">
        <f aca="false">VLOOKUP(B1009,Заказы!$A$2:$E$2995,2,FALSE())</f>
        <v>43985</v>
      </c>
      <c r="H1009" s="1" t="n">
        <f aca="false">VLOOKUP(B1009,Заказы!$A$2:$E$2995,3,FALSE())</f>
        <v>367</v>
      </c>
      <c r="I1009" s="1" t="str">
        <f aca="false">VLOOKUP(H1009,Клиенты!$A$2:$E$1995,5,FALSE())</f>
        <v>г. Пошехонье</v>
      </c>
      <c r="J1009" s="1" t="n">
        <f aca="false">VLOOKUP(B1009,Заказы!$A$2:$E$2995,4,FALSE())</f>
        <v>498</v>
      </c>
      <c r="K1009" s="1" t="str">
        <f aca="false">VLOOKUP(B1009,Заказы!$A$2:$E$2995,5,FALSE())</f>
        <v>Выполнено</v>
      </c>
      <c r="L1009" s="1" t="n">
        <f aca="false">D1009*F1009+J1009</f>
        <v>2388</v>
      </c>
      <c r="M1009" s="1" t="n">
        <f aca="false">IF(AND(E1009="Пицца Труслейка",I1009="г. Москва",K1009="Выполнено",G1009&gt;=DATE(2020,7,1),G1009&lt;DATE(2020,8,1)),L1009,0)</f>
        <v>0</v>
      </c>
    </row>
    <row r="1010" customFormat="false" ht="15" hidden="false" customHeight="true" outlineLevel="0" collapsed="false">
      <c r="A1010" s="1" t="n">
        <v>100237</v>
      </c>
      <c r="B1010" s="1" t="n">
        <v>50232</v>
      </c>
      <c r="C1010" s="1" t="n">
        <v>2</v>
      </c>
      <c r="D1010" s="1" t="n">
        <v>5</v>
      </c>
      <c r="E1010" s="1" t="str">
        <f aca="false">VLOOKUP(C1010,Меню!$A$2:$C$24,2,FALSE())</f>
        <v>Пицца Двойная пепперони</v>
      </c>
      <c r="F1010" s="1" t="n">
        <f aca="false">VLOOKUP(C1010,Меню!$A$2:$C$24,3,FALSE())</f>
        <v>575</v>
      </c>
      <c r="G1010" s="5" t="n">
        <f aca="false">VLOOKUP(B1010,Заказы!$A$2:$E$2995,2,FALSE())</f>
        <v>43991</v>
      </c>
      <c r="H1010" s="1" t="n">
        <f aca="false">VLOOKUP(B1010,Заказы!$A$2:$E$2995,3,FALSE())</f>
        <v>1374</v>
      </c>
      <c r="I1010" s="1" t="str">
        <f aca="false">VLOOKUP(H1010,Клиенты!$A$2:$E$1995,5,FALSE())</f>
        <v>г. Облучье</v>
      </c>
      <c r="J1010" s="1" t="n">
        <f aca="false">VLOOKUP(B1010,Заказы!$A$2:$E$2995,4,FALSE())</f>
        <v>498</v>
      </c>
      <c r="K1010" s="1" t="str">
        <f aca="false">VLOOKUP(B1010,Заказы!$A$2:$E$2995,5,FALSE())</f>
        <v>Выполнено</v>
      </c>
      <c r="L1010" s="1" t="n">
        <f aca="false">D1010*F1010+J1010</f>
        <v>3373</v>
      </c>
      <c r="M1010" s="1" t="n">
        <f aca="false">IF(AND(E1010="Пицца Труслейка",I1010="г. Москва",K1010="Выполнено",G1010&gt;=DATE(2020,7,1),G1010&lt;DATE(2020,8,1)),L1010,0)</f>
        <v>0</v>
      </c>
    </row>
    <row r="1011" customFormat="false" ht="15" hidden="false" customHeight="true" outlineLevel="0" collapsed="false">
      <c r="A1011" s="1" t="n">
        <v>101588</v>
      </c>
      <c r="B1011" s="1" t="n">
        <v>51249</v>
      </c>
      <c r="C1011" s="1" t="n">
        <v>4</v>
      </c>
      <c r="D1011" s="1" t="n">
        <v>6</v>
      </c>
      <c r="E1011" s="1" t="str">
        <f aca="false">VLOOKUP(C1011,Меню!$A$2:$C$24,2,FALSE())</f>
        <v>Пицца Труслейка</v>
      </c>
      <c r="F1011" s="1" t="n">
        <f aca="false">VLOOKUP(C1011,Меню!$A$2:$C$24,3,FALSE())</f>
        <v>610</v>
      </c>
      <c r="G1011" s="5" t="n">
        <f aca="false">VLOOKUP(B1011,Заказы!$A$2:$E$2995,2,FALSE())</f>
        <v>44054</v>
      </c>
      <c r="H1011" s="1" t="n">
        <f aca="false">VLOOKUP(B1011,Заказы!$A$2:$E$2995,3,FALSE())</f>
        <v>766</v>
      </c>
      <c r="I1011" s="1" t="str">
        <f aca="false">VLOOKUP(H1011,Клиенты!$A$2:$E$1995,5,FALSE())</f>
        <v>г. Ардон</v>
      </c>
      <c r="J1011" s="1" t="n">
        <f aca="false">VLOOKUP(B1011,Заказы!$A$2:$E$2995,4,FALSE())</f>
        <v>521</v>
      </c>
      <c r="K1011" s="1" t="str">
        <f aca="false">VLOOKUP(B1011,Заказы!$A$2:$E$2995,5,FALSE())</f>
        <v>Выполнено</v>
      </c>
      <c r="L1011" s="1" t="n">
        <f aca="false">D1011*F1011+J1011</f>
        <v>4181</v>
      </c>
      <c r="M1011" s="1" t="n">
        <f aca="false">IF(AND(E1011="Пицца Труслейка",I1011="г. Москва",K1011="Выполнено",G1011&gt;=DATE(2020,7,1),G1011&lt;DATE(2020,8,1)),L1011,0)</f>
        <v>0</v>
      </c>
    </row>
    <row r="1012" customFormat="false" ht="15" hidden="false" customHeight="true" outlineLevel="0" collapsed="false">
      <c r="A1012" s="1" t="n">
        <v>101835</v>
      </c>
      <c r="B1012" s="1" t="n">
        <v>51280</v>
      </c>
      <c r="C1012" s="1" t="n">
        <v>20</v>
      </c>
      <c r="D1012" s="1" t="n">
        <v>4</v>
      </c>
      <c r="E1012" s="1" t="str">
        <f aca="false">VLOOKUP(C1012,Меню!$A$2:$C$24,2,FALSE())</f>
        <v>Пицца пиканте</v>
      </c>
      <c r="F1012" s="1" t="n">
        <f aca="false">VLOOKUP(C1012,Меню!$A$2:$C$24,3,FALSE())</f>
        <v>585</v>
      </c>
      <c r="G1012" s="5" t="n">
        <f aca="false">VLOOKUP(B1012,Заказы!$A$2:$E$2995,2,FALSE())</f>
        <v>44049</v>
      </c>
      <c r="H1012" s="1" t="n">
        <f aca="false">VLOOKUP(B1012,Заказы!$A$2:$E$2995,3,FALSE())</f>
        <v>825</v>
      </c>
      <c r="I1012" s="1" t="str">
        <f aca="false">VLOOKUP(H1012,Клиенты!$A$2:$E$1995,5,FALSE())</f>
        <v>г. Медвежьегорск</v>
      </c>
      <c r="J1012" s="1" t="n">
        <f aca="false">VLOOKUP(B1012,Заказы!$A$2:$E$2995,4,FALSE())</f>
        <v>341</v>
      </c>
      <c r="K1012" s="1" t="str">
        <f aca="false">VLOOKUP(B1012,Заказы!$A$2:$E$2995,5,FALSE())</f>
        <v>Выполнено</v>
      </c>
      <c r="L1012" s="1" t="n">
        <f aca="false">D1012*F1012+J1012</f>
        <v>2681</v>
      </c>
      <c r="M1012" s="1" t="n">
        <f aca="false">IF(AND(E1012="Пицца Труслейка",I1012="г. Москва",K1012="Выполнено",G1012&gt;=DATE(2020,7,1),G1012&lt;DATE(2020,8,1)),L1012,0)</f>
        <v>0</v>
      </c>
    </row>
    <row r="1013" customFormat="false" ht="15" hidden="false" customHeight="true" outlineLevel="0" collapsed="false">
      <c r="A1013" s="1" t="n">
        <v>100714</v>
      </c>
      <c r="B1013" s="1" t="n">
        <v>51307</v>
      </c>
      <c r="C1013" s="1" t="n">
        <v>10</v>
      </c>
      <c r="D1013" s="1" t="n">
        <v>8</v>
      </c>
      <c r="E1013" s="1" t="str">
        <f aca="false">VLOOKUP(C1013,Меню!$A$2:$C$24,2,FALSE())</f>
        <v>Пицца Пепперони фреш</v>
      </c>
      <c r="F1013" s="1" t="n">
        <f aca="false">VLOOKUP(C1013,Меню!$A$2:$C$24,3,FALSE())</f>
        <v>565</v>
      </c>
      <c r="G1013" s="5" t="n">
        <f aca="false">VLOOKUP(B1013,Заказы!$A$2:$E$2995,2,FALSE())</f>
        <v>43988</v>
      </c>
      <c r="H1013" s="1" t="n">
        <f aca="false">VLOOKUP(B1013,Заказы!$A$2:$E$2995,3,FALSE())</f>
        <v>400</v>
      </c>
      <c r="I1013" s="1" t="str">
        <f aca="false">VLOOKUP(H1013,Клиенты!$A$2:$E$1995,5,FALSE())</f>
        <v>г. Москва</v>
      </c>
      <c r="J1013" s="1" t="n">
        <f aca="false">VLOOKUP(B1013,Заказы!$A$2:$E$2995,4,FALSE())</f>
        <v>200</v>
      </c>
      <c r="K1013" s="1" t="str">
        <f aca="false">VLOOKUP(B1013,Заказы!$A$2:$E$2995,5,FALSE())</f>
        <v>Выполнено</v>
      </c>
      <c r="L1013" s="1" t="n">
        <f aca="false">D1013*F1013+J1013</f>
        <v>4720</v>
      </c>
      <c r="M1013" s="1" t="n">
        <f aca="false">IF(AND(E1013="Пицца Труслейка",I1013="г. Москва",K1013="Выполнено",G1013&gt;=DATE(2020,7,1),G1013&lt;DATE(2020,8,1)),L1013,0)</f>
        <v>0</v>
      </c>
    </row>
    <row r="1014" customFormat="false" ht="15" hidden="false" customHeight="true" outlineLevel="0" collapsed="false">
      <c r="A1014" s="1" t="n">
        <v>101100</v>
      </c>
      <c r="B1014" s="1" t="n">
        <v>50452</v>
      </c>
      <c r="C1014" s="1" t="n">
        <v>23</v>
      </c>
      <c r="D1014" s="1" t="n">
        <v>6</v>
      </c>
      <c r="E1014" s="1" t="str">
        <f aca="false">VLOOKUP(C1014,Меню!$A$2:$C$24,2,FALSE())</f>
        <v>Пицца с тунцом</v>
      </c>
      <c r="F1014" s="1" t="n">
        <f aca="false">VLOOKUP(C1014,Меню!$A$2:$C$24,3,FALSE())</f>
        <v>520</v>
      </c>
      <c r="G1014" s="5" t="n">
        <f aca="false">VLOOKUP(B1014,Заказы!$A$2:$E$2995,2,FALSE())</f>
        <v>44048</v>
      </c>
      <c r="H1014" s="1" t="n">
        <f aca="false">VLOOKUP(B1014,Заказы!$A$2:$E$2995,3,FALSE())</f>
        <v>1952</v>
      </c>
      <c r="I1014" s="1" t="str">
        <f aca="false">VLOOKUP(H1014,Клиенты!$A$2:$E$1995,5,FALSE())</f>
        <v>г. Самара</v>
      </c>
      <c r="J1014" s="1" t="n">
        <f aca="false">VLOOKUP(B1014,Заказы!$A$2:$E$2995,4,FALSE())</f>
        <v>657</v>
      </c>
      <c r="K1014" s="1" t="str">
        <f aca="false">VLOOKUP(B1014,Заказы!$A$2:$E$2995,5,FALSE())</f>
        <v>Выполнено</v>
      </c>
      <c r="L1014" s="1" t="n">
        <f aca="false">D1014*F1014+J1014</f>
        <v>3777</v>
      </c>
      <c r="M1014" s="1" t="n">
        <f aca="false">IF(AND(E1014="Пицца Труслейка",I1014="г. Москва",K1014="Выполнено",G1014&gt;=DATE(2020,7,1),G1014&lt;DATE(2020,8,1)),L1014,0)</f>
        <v>0</v>
      </c>
    </row>
    <row r="1015" customFormat="false" ht="15" hidden="false" customHeight="true" outlineLevel="0" collapsed="false">
      <c r="A1015" s="1" t="n">
        <v>101623</v>
      </c>
      <c r="B1015" s="1" t="n">
        <v>51461</v>
      </c>
      <c r="C1015" s="1" t="n">
        <v>21</v>
      </c>
      <c r="D1015" s="1" t="n">
        <v>9</v>
      </c>
      <c r="E1015" s="1" t="str">
        <f aca="false">VLOOKUP(C1015,Меню!$A$2:$C$24,2,FALSE())</f>
        <v>Пицца с креветками и цукини</v>
      </c>
      <c r="F1015" s="1" t="n">
        <f aca="false">VLOOKUP(C1015,Меню!$A$2:$C$24,3,FALSE())</f>
        <v>600</v>
      </c>
      <c r="G1015" s="5" t="n">
        <f aca="false">VLOOKUP(B1015,Заказы!$A$2:$E$2995,2,FALSE())</f>
        <v>44059</v>
      </c>
      <c r="H1015" s="1" t="n">
        <f aca="false">VLOOKUP(B1015,Заказы!$A$2:$E$2995,3,FALSE())</f>
        <v>633</v>
      </c>
      <c r="I1015" s="1" t="str">
        <f aca="false">VLOOKUP(H1015,Клиенты!$A$2:$E$1995,5,FALSE())</f>
        <v>г. Чехов</v>
      </c>
      <c r="J1015" s="1" t="n">
        <f aca="false">VLOOKUP(B1015,Заказы!$A$2:$E$2995,4,FALSE())</f>
        <v>0</v>
      </c>
      <c r="K1015" s="1" t="str">
        <f aca="false">VLOOKUP(B1015,Заказы!$A$2:$E$2995,5,FALSE())</f>
        <v>Не выполнено</v>
      </c>
      <c r="L1015" s="1" t="n">
        <f aca="false">D1015*F1015+J1015</f>
        <v>5400</v>
      </c>
      <c r="M1015" s="1" t="n">
        <f aca="false">IF(AND(E1015="Пицца Труслейка",I1015="г. Москва",K1015="Выполнено",G1015&gt;=DATE(2020,7,1),G1015&lt;DATE(2020,8,1)),L1015,0)</f>
        <v>0</v>
      </c>
    </row>
    <row r="1016" customFormat="false" ht="15" hidden="false" customHeight="true" outlineLevel="0" collapsed="false">
      <c r="A1016" s="1" t="n">
        <v>100641</v>
      </c>
      <c r="B1016" s="1" t="n">
        <v>51647</v>
      </c>
      <c r="C1016" s="1" t="n">
        <v>21</v>
      </c>
      <c r="D1016" s="1" t="n">
        <v>3</v>
      </c>
      <c r="E1016" s="1" t="str">
        <f aca="false">VLOOKUP(C1016,Меню!$A$2:$C$24,2,FALSE())</f>
        <v>Пицца с креветками и цукини</v>
      </c>
      <c r="F1016" s="1" t="n">
        <f aca="false">VLOOKUP(C1016,Меню!$A$2:$C$24,3,FALSE())</f>
        <v>600</v>
      </c>
      <c r="G1016" s="5" t="n">
        <f aca="false">VLOOKUP(B1016,Заказы!$A$2:$E$2995,2,FALSE())</f>
        <v>43993</v>
      </c>
      <c r="H1016" s="1" t="n">
        <f aca="false">VLOOKUP(B1016,Заказы!$A$2:$E$2995,3,FALSE())</f>
        <v>96</v>
      </c>
      <c r="I1016" s="1" t="str">
        <f aca="false">VLOOKUP(H1016,Клиенты!$A$2:$E$1995,5,FALSE())</f>
        <v>г. Емва</v>
      </c>
      <c r="J1016" s="1" t="n">
        <f aca="false">VLOOKUP(B1016,Заказы!$A$2:$E$2995,4,FALSE())</f>
        <v>0</v>
      </c>
      <c r="K1016" s="1" t="str">
        <f aca="false">VLOOKUP(B1016,Заказы!$A$2:$E$2995,5,FALSE())</f>
        <v>Не выполнено</v>
      </c>
      <c r="L1016" s="1" t="n">
        <f aca="false">D1016*F1016+J1016</f>
        <v>1800</v>
      </c>
      <c r="M1016" s="1" t="n">
        <f aca="false">IF(AND(E1016="Пицца Труслейка",I1016="г. Москва",K1016="Выполнено",G1016&gt;=DATE(2020,7,1),G1016&lt;DATE(2020,8,1)),L1016,0)</f>
        <v>0</v>
      </c>
    </row>
    <row r="1017" customFormat="false" ht="15" hidden="false" customHeight="true" outlineLevel="0" collapsed="false">
      <c r="A1017" s="1" t="n">
        <v>101693</v>
      </c>
      <c r="B1017" s="1" t="n">
        <v>50596</v>
      </c>
      <c r="C1017" s="1" t="n">
        <v>23</v>
      </c>
      <c r="D1017" s="1" t="n">
        <v>10</v>
      </c>
      <c r="E1017" s="1" t="str">
        <f aca="false">VLOOKUP(C1017,Меню!$A$2:$C$24,2,FALSE())</f>
        <v>Пицца с тунцом</v>
      </c>
      <c r="F1017" s="1" t="n">
        <f aca="false">VLOOKUP(C1017,Меню!$A$2:$C$24,3,FALSE())</f>
        <v>520</v>
      </c>
      <c r="G1017" s="5" t="n">
        <f aca="false">VLOOKUP(B1017,Заказы!$A$2:$E$2995,2,FALSE())</f>
        <v>44054</v>
      </c>
      <c r="H1017" s="1" t="n">
        <f aca="false">VLOOKUP(B1017,Заказы!$A$2:$E$2995,3,FALSE())</f>
        <v>499</v>
      </c>
      <c r="I1017" s="1" t="str">
        <f aca="false">VLOOKUP(H1017,Клиенты!$A$2:$E$1995,5,FALSE())</f>
        <v>г. Плёс</v>
      </c>
      <c r="J1017" s="1" t="n">
        <f aca="false">VLOOKUP(B1017,Заказы!$A$2:$E$2995,4,FALSE())</f>
        <v>815</v>
      </c>
      <c r="K1017" s="1" t="str">
        <f aca="false">VLOOKUP(B1017,Заказы!$A$2:$E$2995,5,FALSE())</f>
        <v>Выполнено</v>
      </c>
      <c r="L1017" s="1" t="n">
        <f aca="false">D1017*F1017+J1017</f>
        <v>6015</v>
      </c>
      <c r="M1017" s="1" t="n">
        <f aca="false">IF(AND(E1017="Пицца Труслейка",I1017="г. Москва",K1017="Выполнено",G1017&gt;=DATE(2020,7,1),G1017&lt;DATE(2020,8,1)),L1017,0)</f>
        <v>0</v>
      </c>
    </row>
    <row r="1018" customFormat="false" ht="15" hidden="false" customHeight="true" outlineLevel="0" collapsed="false">
      <c r="A1018" s="1" t="n">
        <v>101569</v>
      </c>
      <c r="B1018" s="1" t="n">
        <v>50684</v>
      </c>
      <c r="C1018" s="1" t="n">
        <v>1</v>
      </c>
      <c r="D1018" s="1" t="n">
        <v>9</v>
      </c>
      <c r="E1018" s="1" t="str">
        <f aca="false">VLOOKUP(C1018,Меню!$A$2:$C$24,2,FALSE())</f>
        <v>Пицца Гавайская</v>
      </c>
      <c r="F1018" s="1" t="n">
        <f aca="false">VLOOKUP(C1018,Меню!$A$2:$C$24,3,FALSE())</f>
        <v>545</v>
      </c>
      <c r="G1018" s="5" t="n">
        <f aca="false">VLOOKUP(B1018,Заказы!$A$2:$E$2995,2,FALSE())</f>
        <v>44012</v>
      </c>
      <c r="H1018" s="1" t="n">
        <f aca="false">VLOOKUP(B1018,Заказы!$A$2:$E$2995,3,FALSE())</f>
        <v>437</v>
      </c>
      <c r="I1018" s="1" t="str">
        <f aca="false">VLOOKUP(H1018,Клиенты!$A$2:$E$1995,5,FALSE())</f>
        <v>г. Котово</v>
      </c>
      <c r="J1018" s="1" t="n">
        <f aca="false">VLOOKUP(B1018,Заказы!$A$2:$E$2995,4,FALSE())</f>
        <v>866</v>
      </c>
      <c r="K1018" s="1" t="str">
        <f aca="false">VLOOKUP(B1018,Заказы!$A$2:$E$2995,5,FALSE())</f>
        <v>Выполнено</v>
      </c>
      <c r="L1018" s="1" t="n">
        <f aca="false">D1018*F1018+J1018</f>
        <v>5771</v>
      </c>
      <c r="M1018" s="1" t="n">
        <f aca="false">IF(AND(E1018="Пицца Труслейка",I1018="г. Москва",K1018="Выполнено",G1018&gt;=DATE(2020,7,1),G1018&lt;DATE(2020,8,1)),L1018,0)</f>
        <v>0</v>
      </c>
    </row>
    <row r="1019" customFormat="false" ht="15" hidden="false" customHeight="true" outlineLevel="0" collapsed="false">
      <c r="A1019" s="1" t="n">
        <v>101255</v>
      </c>
      <c r="B1019" s="1" t="n">
        <v>51357</v>
      </c>
      <c r="C1019" s="1" t="n">
        <v>15</v>
      </c>
      <c r="D1019" s="1" t="n">
        <v>7</v>
      </c>
      <c r="E1019" s="1" t="str">
        <f aca="false">VLOOKUP(C1019,Меню!$A$2:$C$24,2,FALSE())</f>
        <v>Пицца Тропиканка</v>
      </c>
      <c r="F1019" s="1" t="n">
        <f aca="false">VLOOKUP(C1019,Меню!$A$2:$C$24,3,FALSE())</f>
        <v>605</v>
      </c>
      <c r="G1019" s="5" t="n">
        <f aca="false">VLOOKUP(B1019,Заказы!$A$2:$E$2995,2,FALSE())</f>
        <v>44012</v>
      </c>
      <c r="H1019" s="1" t="n">
        <f aca="false">VLOOKUP(B1019,Заказы!$A$2:$E$2995,3,FALSE())</f>
        <v>1902</v>
      </c>
      <c r="I1019" s="1" t="str">
        <f aca="false">VLOOKUP(H1019,Клиенты!$A$2:$E$1995,5,FALSE())</f>
        <v>г. Нязепетровск</v>
      </c>
      <c r="J1019" s="1" t="n">
        <f aca="false">VLOOKUP(B1019,Заказы!$A$2:$E$2995,4,FALSE())</f>
        <v>0</v>
      </c>
      <c r="K1019" s="1" t="str">
        <f aca="false">VLOOKUP(B1019,Заказы!$A$2:$E$2995,5,FALSE())</f>
        <v>Не выполнено</v>
      </c>
      <c r="L1019" s="1" t="n">
        <f aca="false">D1019*F1019+J1019</f>
        <v>4235</v>
      </c>
      <c r="M1019" s="1" t="n">
        <f aca="false">IF(AND(E1019="Пицца Труслейка",I1019="г. Москва",K1019="Выполнено",G1019&gt;=DATE(2020,7,1),G1019&lt;DATE(2020,8,1)),L1019,0)</f>
        <v>0</v>
      </c>
    </row>
    <row r="1020" customFormat="false" ht="15" hidden="false" customHeight="true" outlineLevel="0" collapsed="false">
      <c r="A1020" s="1" t="n">
        <v>100545</v>
      </c>
      <c r="B1020" s="1" t="n">
        <v>50883</v>
      </c>
      <c r="C1020" s="1" t="n">
        <v>15</v>
      </c>
      <c r="D1020" s="1" t="n">
        <v>3</v>
      </c>
      <c r="E1020" s="1" t="str">
        <f aca="false">VLOOKUP(C1020,Меню!$A$2:$C$24,2,FALSE())</f>
        <v>Пицца Тропиканка</v>
      </c>
      <c r="F1020" s="1" t="n">
        <f aca="false">VLOOKUP(C1020,Меню!$A$2:$C$24,3,FALSE())</f>
        <v>605</v>
      </c>
      <c r="G1020" s="5" t="n">
        <f aca="false">VLOOKUP(B1020,Заказы!$A$2:$E$2995,2,FALSE())</f>
        <v>44055</v>
      </c>
      <c r="H1020" s="1" t="n">
        <f aca="false">VLOOKUP(B1020,Заказы!$A$2:$E$2995,3,FALSE())</f>
        <v>423</v>
      </c>
      <c r="I1020" s="1" t="str">
        <f aca="false">VLOOKUP(H1020,Клиенты!$A$2:$E$1995,5,FALSE())</f>
        <v>г. Елизово</v>
      </c>
      <c r="J1020" s="1" t="n">
        <f aca="false">VLOOKUP(B1020,Заказы!$A$2:$E$2995,4,FALSE())</f>
        <v>320</v>
      </c>
      <c r="K1020" s="1" t="str">
        <f aca="false">VLOOKUP(B1020,Заказы!$A$2:$E$2995,5,FALSE())</f>
        <v>Выполнено</v>
      </c>
      <c r="L1020" s="1" t="n">
        <f aca="false">D1020*F1020+J1020</f>
        <v>2135</v>
      </c>
      <c r="M1020" s="1" t="n">
        <f aca="false">IF(AND(E1020="Пицца Труслейка",I1020="г. Москва",K1020="Выполнено",G1020&gt;=DATE(2020,7,1),G1020&lt;DATE(2020,8,1)),L1020,0)</f>
        <v>0</v>
      </c>
    </row>
    <row r="1021" customFormat="false" ht="15" hidden="false" customHeight="true" outlineLevel="0" collapsed="false">
      <c r="A1021" s="1" t="n">
        <v>100636</v>
      </c>
      <c r="B1021" s="1" t="n">
        <v>51953</v>
      </c>
      <c r="C1021" s="1" t="n">
        <v>4</v>
      </c>
      <c r="D1021" s="1" t="n">
        <v>8</v>
      </c>
      <c r="E1021" s="1" t="str">
        <f aca="false">VLOOKUP(C1021,Меню!$A$2:$C$24,2,FALSE())</f>
        <v>Пицца Труслейка</v>
      </c>
      <c r="F1021" s="1" t="n">
        <f aca="false">VLOOKUP(C1021,Меню!$A$2:$C$24,3,FALSE())</f>
        <v>610</v>
      </c>
      <c r="G1021" s="5" t="n">
        <f aca="false">VLOOKUP(B1021,Заказы!$A$2:$E$2995,2,FALSE())</f>
        <v>44007</v>
      </c>
      <c r="H1021" s="1" t="n">
        <f aca="false">VLOOKUP(B1021,Заказы!$A$2:$E$2995,3,FALSE())</f>
        <v>264</v>
      </c>
      <c r="I1021" s="1" t="str">
        <f aca="false">VLOOKUP(H1021,Клиенты!$A$2:$E$1995,5,FALSE())</f>
        <v>г. Ханты-Мансийск</v>
      </c>
      <c r="J1021" s="1" t="n">
        <f aca="false">VLOOKUP(B1021,Заказы!$A$2:$E$2995,4,FALSE())</f>
        <v>737</v>
      </c>
      <c r="K1021" s="1" t="str">
        <f aca="false">VLOOKUP(B1021,Заказы!$A$2:$E$2995,5,FALSE())</f>
        <v>Выполнено</v>
      </c>
      <c r="L1021" s="1" t="n">
        <f aca="false">D1021*F1021+J1021</f>
        <v>5617</v>
      </c>
      <c r="M1021" s="1" t="n">
        <f aca="false">IF(AND(E1021="Пицца Труслейка",I1021="г. Москва",K1021="Выполнено",G1021&gt;=DATE(2020,7,1),G1021&lt;DATE(2020,8,1)),L1021,0)</f>
        <v>0</v>
      </c>
    </row>
    <row r="1022" customFormat="false" ht="15" hidden="false" customHeight="true" outlineLevel="0" collapsed="false">
      <c r="A1022" s="1" t="n">
        <v>101634</v>
      </c>
      <c r="B1022" s="1" t="n">
        <v>50540</v>
      </c>
      <c r="C1022" s="1" t="n">
        <v>13</v>
      </c>
      <c r="D1022" s="1" t="n">
        <v>10</v>
      </c>
      <c r="E1022" s="1" t="str">
        <f aca="false">VLOOKUP(C1022,Меню!$A$2:$C$24,2,FALSE())</f>
        <v>Пицца Сырная</v>
      </c>
      <c r="F1022" s="1" t="n">
        <f aca="false">VLOOKUP(C1022,Меню!$A$2:$C$24,3,FALSE())</f>
        <v>635</v>
      </c>
      <c r="G1022" s="5" t="n">
        <f aca="false">VLOOKUP(B1022,Заказы!$A$2:$E$2995,2,FALSE())</f>
        <v>44054</v>
      </c>
      <c r="H1022" s="1" t="n">
        <f aca="false">VLOOKUP(B1022,Заказы!$A$2:$E$2995,3,FALSE())</f>
        <v>795</v>
      </c>
      <c r="I1022" s="1" t="str">
        <f aca="false">VLOOKUP(H1022,Клиенты!$A$2:$E$1995,5,FALSE())</f>
        <v>г. Богданович</v>
      </c>
      <c r="J1022" s="1" t="n">
        <f aca="false">VLOOKUP(B1022,Заказы!$A$2:$E$2995,4,FALSE())</f>
        <v>0</v>
      </c>
      <c r="K1022" s="1" t="str">
        <f aca="false">VLOOKUP(B1022,Заказы!$A$2:$E$2995,5,FALSE())</f>
        <v>Не выполнено</v>
      </c>
      <c r="L1022" s="1" t="n">
        <f aca="false">D1022*F1022+J1022</f>
        <v>6350</v>
      </c>
      <c r="M1022" s="1" t="n">
        <f aca="false">IF(AND(E1022="Пицца Труслейка",I1022="г. Москва",K1022="Выполнено",G1022&gt;=DATE(2020,7,1),G1022&lt;DATE(2020,8,1)),L1022,0)</f>
        <v>0</v>
      </c>
    </row>
    <row r="1023" customFormat="false" ht="15" hidden="false" customHeight="true" outlineLevel="0" collapsed="false">
      <c r="A1023" s="1" t="n">
        <v>100211</v>
      </c>
      <c r="B1023" s="1" t="n">
        <v>50409</v>
      </c>
      <c r="C1023" s="1" t="n">
        <v>17</v>
      </c>
      <c r="D1023" s="1" t="n">
        <v>9</v>
      </c>
      <c r="E1023" s="1" t="str">
        <f aca="false">VLOOKUP(C1023,Меню!$A$2:$C$24,2,FALSE())</f>
        <v>Пицца Френч Фрайз</v>
      </c>
      <c r="F1023" s="1" t="n">
        <f aca="false">VLOOKUP(C1023,Меню!$A$2:$C$24,3,FALSE())</f>
        <v>515</v>
      </c>
      <c r="G1023" s="5" t="n">
        <f aca="false">VLOOKUP(B1023,Заказы!$A$2:$E$2995,2,FALSE())</f>
        <v>44069</v>
      </c>
      <c r="H1023" s="1" t="n">
        <f aca="false">VLOOKUP(B1023,Заказы!$A$2:$E$2995,3,FALSE())</f>
        <v>1767</v>
      </c>
      <c r="I1023" s="1" t="str">
        <f aca="false">VLOOKUP(H1023,Клиенты!$A$2:$E$1995,5,FALSE())</f>
        <v>г. Когалым</v>
      </c>
      <c r="J1023" s="1" t="n">
        <f aca="false">VLOOKUP(B1023,Заказы!$A$2:$E$2995,4,FALSE())</f>
        <v>0</v>
      </c>
      <c r="K1023" s="1" t="str">
        <f aca="false">VLOOKUP(B1023,Заказы!$A$2:$E$2995,5,FALSE())</f>
        <v>Не выполнено</v>
      </c>
      <c r="L1023" s="1" t="n">
        <f aca="false">D1023*F1023+J1023</f>
        <v>4635</v>
      </c>
      <c r="M1023" s="1" t="n">
        <f aca="false">IF(AND(E1023="Пицца Труслейка",I1023="г. Москва",K1023="Выполнено",G1023&gt;=DATE(2020,7,1),G1023&lt;DATE(2020,8,1)),L1023,0)</f>
        <v>0</v>
      </c>
    </row>
    <row r="1024" customFormat="false" ht="15" hidden="false" customHeight="true" outlineLevel="0" collapsed="false">
      <c r="A1024" s="1" t="n">
        <v>101711</v>
      </c>
      <c r="B1024" s="1" t="n">
        <v>51913</v>
      </c>
      <c r="C1024" s="1" t="n">
        <v>6</v>
      </c>
      <c r="D1024" s="1" t="n">
        <v>10</v>
      </c>
      <c r="E1024" s="1" t="str">
        <f aca="false">VLOOKUP(C1024,Меню!$A$2:$C$24,2,FALSE())</f>
        <v>Пицца Капричиоза</v>
      </c>
      <c r="F1024" s="1" t="n">
        <f aca="false">VLOOKUP(C1024,Меню!$A$2:$C$24,3,FALSE())</f>
        <v>570</v>
      </c>
      <c r="G1024" s="5" t="n">
        <f aca="false">VLOOKUP(B1024,Заказы!$A$2:$E$2995,2,FALSE())</f>
        <v>44054</v>
      </c>
      <c r="H1024" s="1" t="n">
        <f aca="false">VLOOKUP(B1024,Заказы!$A$2:$E$2995,3,FALSE())</f>
        <v>42</v>
      </c>
      <c r="I1024" s="1" t="str">
        <f aca="false">VLOOKUP(H1024,Клиенты!$A$2:$E$1995,5,FALSE())</f>
        <v>г. Лыткарино</v>
      </c>
      <c r="J1024" s="1" t="n">
        <f aca="false">VLOOKUP(B1024,Заказы!$A$2:$E$2995,4,FALSE())</f>
        <v>242</v>
      </c>
      <c r="K1024" s="1" t="str">
        <f aca="false">VLOOKUP(B1024,Заказы!$A$2:$E$2995,5,FALSE())</f>
        <v>Выполнено</v>
      </c>
      <c r="L1024" s="1" t="n">
        <f aca="false">D1024*F1024+J1024</f>
        <v>5942</v>
      </c>
      <c r="M1024" s="1" t="n">
        <f aca="false">IF(AND(E1024="Пицца Труслейка",I1024="г. Москва",K1024="Выполнено",G1024&gt;=DATE(2020,7,1),G1024&lt;DATE(2020,8,1)),L1024,0)</f>
        <v>0</v>
      </c>
    </row>
    <row r="1025" customFormat="false" ht="15" hidden="false" customHeight="true" outlineLevel="0" collapsed="false">
      <c r="A1025" s="1" t="n">
        <v>100944</v>
      </c>
      <c r="B1025" s="1" t="n">
        <v>51611</v>
      </c>
      <c r="C1025" s="1" t="n">
        <v>6</v>
      </c>
      <c r="D1025" s="1" t="n">
        <v>7</v>
      </c>
      <c r="E1025" s="1" t="str">
        <f aca="false">VLOOKUP(C1025,Меню!$A$2:$C$24,2,FALSE())</f>
        <v>Пицца Капричиоза</v>
      </c>
      <c r="F1025" s="1" t="n">
        <f aca="false">VLOOKUP(C1025,Меню!$A$2:$C$24,3,FALSE())</f>
        <v>570</v>
      </c>
      <c r="G1025" s="5" t="n">
        <f aca="false">VLOOKUP(B1025,Заказы!$A$2:$E$2995,2,FALSE())</f>
        <v>44040</v>
      </c>
      <c r="H1025" s="1" t="n">
        <f aca="false">VLOOKUP(B1025,Заказы!$A$2:$E$2995,3,FALSE())</f>
        <v>1818</v>
      </c>
      <c r="I1025" s="1" t="str">
        <f aca="false">VLOOKUP(H1025,Клиенты!$A$2:$E$1995,5,FALSE())</f>
        <v>г. Нижнеудинск</v>
      </c>
      <c r="J1025" s="1" t="n">
        <f aca="false">VLOOKUP(B1025,Заказы!$A$2:$E$2995,4,FALSE())</f>
        <v>425</v>
      </c>
      <c r="K1025" s="1" t="str">
        <f aca="false">VLOOKUP(B1025,Заказы!$A$2:$E$2995,5,FALSE())</f>
        <v>Выполнено</v>
      </c>
      <c r="L1025" s="1" t="n">
        <f aca="false">D1025*F1025+J1025</f>
        <v>4415</v>
      </c>
      <c r="M1025" s="1" t="n">
        <f aca="false">IF(AND(E1025="Пицца Труслейка",I1025="г. Москва",K1025="Выполнено",G1025&gt;=DATE(2020,7,1),G1025&lt;DATE(2020,8,1)),L1025,0)</f>
        <v>0</v>
      </c>
    </row>
    <row r="1026" customFormat="false" ht="15" hidden="false" customHeight="true" outlineLevel="0" collapsed="false">
      <c r="A1026" s="1" t="n">
        <v>100594</v>
      </c>
      <c r="B1026" s="1" t="n">
        <v>51046</v>
      </c>
      <c r="C1026" s="1" t="n">
        <v>22</v>
      </c>
      <c r="D1026" s="1" t="n">
        <v>6</v>
      </c>
      <c r="E1026" s="1" t="str">
        <f aca="false">VLOOKUP(C1026,Меню!$A$2:$C$24,2,FALSE())</f>
        <v>Пицца с поркеттой и фриарелли</v>
      </c>
      <c r="F1026" s="1" t="n">
        <f aca="false">VLOOKUP(C1026,Меню!$A$2:$C$24,3,FALSE())</f>
        <v>550</v>
      </c>
      <c r="G1026" s="5" t="n">
        <f aca="false">VLOOKUP(B1026,Заказы!$A$2:$E$2995,2,FALSE())</f>
        <v>44056</v>
      </c>
      <c r="H1026" s="1" t="n">
        <f aca="false">VLOOKUP(B1026,Заказы!$A$2:$E$2995,3,FALSE())</f>
        <v>1726</v>
      </c>
      <c r="I1026" s="1" t="str">
        <f aca="false">VLOOKUP(H1026,Клиенты!$A$2:$E$1995,5,FALSE())</f>
        <v>г. Шарыпово</v>
      </c>
      <c r="J1026" s="1" t="n">
        <f aca="false">VLOOKUP(B1026,Заказы!$A$2:$E$2995,4,FALSE())</f>
        <v>0</v>
      </c>
      <c r="K1026" s="1" t="str">
        <f aca="false">VLOOKUP(B1026,Заказы!$A$2:$E$2995,5,FALSE())</f>
        <v>Не выполнено</v>
      </c>
      <c r="L1026" s="1" t="n">
        <f aca="false">D1026*F1026+J1026</f>
        <v>3300</v>
      </c>
      <c r="M1026" s="1" t="n">
        <f aca="false">IF(AND(E1026="Пицца Труслейка",I1026="г. Москва",K1026="Выполнено",G1026&gt;=DATE(2020,7,1),G1026&lt;DATE(2020,8,1)),L1026,0)</f>
        <v>0</v>
      </c>
    </row>
    <row r="1027" customFormat="false" ht="15" hidden="false" customHeight="true" outlineLevel="0" collapsed="false">
      <c r="A1027" s="1" t="n">
        <v>100886</v>
      </c>
      <c r="B1027" s="1" t="n">
        <v>51571</v>
      </c>
      <c r="C1027" s="1" t="n">
        <v>3</v>
      </c>
      <c r="D1027" s="1" t="n">
        <v>4</v>
      </c>
      <c r="E1027" s="1" t="str">
        <f aca="false">VLOOKUP(C1027,Меню!$A$2:$C$24,2,FALSE())</f>
        <v>Пицца Диабло</v>
      </c>
      <c r="F1027" s="1" t="n">
        <f aca="false">VLOOKUP(C1027,Меню!$A$2:$C$24,3,FALSE())</f>
        <v>590</v>
      </c>
      <c r="G1027" s="5" t="n">
        <f aca="false">VLOOKUP(B1027,Заказы!$A$2:$E$2995,2,FALSE())</f>
        <v>44018</v>
      </c>
      <c r="H1027" s="1" t="n">
        <f aca="false">VLOOKUP(B1027,Заказы!$A$2:$E$2995,3,FALSE())</f>
        <v>705</v>
      </c>
      <c r="I1027" s="1" t="str">
        <f aca="false">VLOOKUP(H1027,Клиенты!$A$2:$E$1995,5,FALSE())</f>
        <v>г. Анива</v>
      </c>
      <c r="J1027" s="1" t="n">
        <f aca="false">VLOOKUP(B1027,Заказы!$A$2:$E$2995,4,FALSE())</f>
        <v>0</v>
      </c>
      <c r="K1027" s="1" t="str">
        <f aca="false">VLOOKUP(B1027,Заказы!$A$2:$E$2995,5,FALSE())</f>
        <v>Не выполнено</v>
      </c>
      <c r="L1027" s="1" t="n">
        <f aca="false">D1027*F1027+J1027</f>
        <v>2360</v>
      </c>
      <c r="M1027" s="1" t="n">
        <f aca="false">IF(AND(E1027="Пицца Труслейка",I1027="г. Москва",K1027="Выполнено",G1027&gt;=DATE(2020,7,1),G1027&lt;DATE(2020,8,1)),L1027,0)</f>
        <v>0</v>
      </c>
    </row>
    <row r="1028" customFormat="false" ht="15" hidden="false" customHeight="true" outlineLevel="0" collapsed="false">
      <c r="A1028" s="1" t="n">
        <v>101584</v>
      </c>
      <c r="B1028" s="1" t="n">
        <v>50225</v>
      </c>
      <c r="C1028" s="1" t="n">
        <v>2</v>
      </c>
      <c r="D1028" s="1" t="n">
        <v>7</v>
      </c>
      <c r="E1028" s="1" t="str">
        <f aca="false">VLOOKUP(C1028,Меню!$A$2:$C$24,2,FALSE())</f>
        <v>Пицца Двойная пепперони</v>
      </c>
      <c r="F1028" s="1" t="n">
        <f aca="false">VLOOKUP(C1028,Меню!$A$2:$C$24,3,FALSE())</f>
        <v>575</v>
      </c>
      <c r="G1028" s="5" t="n">
        <f aca="false">VLOOKUP(B1028,Заказы!$A$2:$E$2995,2,FALSE())</f>
        <v>43997</v>
      </c>
      <c r="H1028" s="1" t="n">
        <f aca="false">VLOOKUP(B1028,Заказы!$A$2:$E$2995,3,FALSE())</f>
        <v>1875</v>
      </c>
      <c r="I1028" s="1" t="str">
        <f aca="false">VLOOKUP(H1028,Клиенты!$A$2:$E$1995,5,FALSE())</f>
        <v>г. Бронницы</v>
      </c>
      <c r="J1028" s="1" t="n">
        <f aca="false">VLOOKUP(B1028,Заказы!$A$2:$E$2995,4,FALSE())</f>
        <v>0</v>
      </c>
      <c r="K1028" s="1" t="str">
        <f aca="false">VLOOKUP(B1028,Заказы!$A$2:$E$2995,5,FALSE())</f>
        <v>Не выполнено</v>
      </c>
      <c r="L1028" s="1" t="n">
        <f aca="false">D1028*F1028+J1028</f>
        <v>4025</v>
      </c>
      <c r="M1028" s="1" t="n">
        <f aca="false">IF(AND(E1028="Пицца Труслейка",I1028="г. Москва",K1028="Выполнено",G1028&gt;=DATE(2020,7,1),G1028&lt;DATE(2020,8,1)),L1028,0)</f>
        <v>0</v>
      </c>
    </row>
    <row r="1029" customFormat="false" ht="15" hidden="false" customHeight="true" outlineLevel="0" collapsed="false">
      <c r="A1029" s="1" t="n">
        <v>100492</v>
      </c>
      <c r="B1029" s="1" t="n">
        <v>51992</v>
      </c>
      <c r="C1029" s="1" t="n">
        <v>8</v>
      </c>
      <c r="D1029" s="1" t="n">
        <v>3</v>
      </c>
      <c r="E1029" s="1" t="str">
        <f aca="false">VLOOKUP(C1029,Меню!$A$2:$C$24,2,FALSE())</f>
        <v>Пицца Мясная</v>
      </c>
      <c r="F1029" s="1" t="n">
        <f aca="false">VLOOKUP(C1029,Меню!$A$2:$C$24,3,FALSE())</f>
        <v>615</v>
      </c>
      <c r="G1029" s="5" t="n">
        <f aca="false">VLOOKUP(B1029,Заказы!$A$2:$E$2995,2,FALSE())</f>
        <v>44068</v>
      </c>
      <c r="H1029" s="1" t="n">
        <f aca="false">VLOOKUP(B1029,Заказы!$A$2:$E$2995,3,FALSE())</f>
        <v>1366</v>
      </c>
      <c r="I1029" s="1" t="str">
        <f aca="false">VLOOKUP(H1029,Клиенты!$A$2:$E$1995,5,FALSE())</f>
        <v>г. Саров</v>
      </c>
      <c r="J1029" s="1" t="n">
        <f aca="false">VLOOKUP(B1029,Заказы!$A$2:$E$2995,4,FALSE())</f>
        <v>0</v>
      </c>
      <c r="K1029" s="1" t="str">
        <f aca="false">VLOOKUP(B1029,Заказы!$A$2:$E$2995,5,FALSE())</f>
        <v>Не выполнено</v>
      </c>
      <c r="L1029" s="1" t="n">
        <f aca="false">D1029*F1029+J1029</f>
        <v>1845</v>
      </c>
      <c r="M1029" s="1" t="n">
        <f aca="false">IF(AND(E1029="Пицца Труслейка",I1029="г. Москва",K1029="Выполнено",G1029&gt;=DATE(2020,7,1),G1029&lt;DATE(2020,8,1)),L1029,0)</f>
        <v>0</v>
      </c>
    </row>
    <row r="1030" customFormat="false" ht="15" hidden="false" customHeight="true" outlineLevel="0" collapsed="false">
      <c r="A1030" s="1" t="n">
        <v>100892</v>
      </c>
      <c r="B1030" s="1" t="n">
        <v>50599</v>
      </c>
      <c r="C1030" s="1" t="n">
        <v>7</v>
      </c>
      <c r="D1030" s="1" t="n">
        <v>2</v>
      </c>
      <c r="E1030" s="1" t="str">
        <f aca="false">VLOOKUP(C1030,Меню!$A$2:$C$24,2,FALSE())</f>
        <v>Пицца Карбонара</v>
      </c>
      <c r="F1030" s="1" t="n">
        <f aca="false">VLOOKUP(C1030,Меню!$A$2:$C$24,3,FALSE())</f>
        <v>625</v>
      </c>
      <c r="G1030" s="5" t="n">
        <f aca="false">VLOOKUP(B1030,Заказы!$A$2:$E$2995,2,FALSE())</f>
        <v>44048</v>
      </c>
      <c r="H1030" s="1" t="n">
        <f aca="false">VLOOKUP(B1030,Заказы!$A$2:$E$2995,3,FALSE())</f>
        <v>662</v>
      </c>
      <c r="I1030" s="1" t="str">
        <f aca="false">VLOOKUP(H1030,Клиенты!$A$2:$E$1995,5,FALSE())</f>
        <v>г. Кимовск</v>
      </c>
      <c r="J1030" s="1" t="n">
        <f aca="false">VLOOKUP(B1030,Заказы!$A$2:$E$2995,4,FALSE())</f>
        <v>684</v>
      </c>
      <c r="K1030" s="1" t="str">
        <f aca="false">VLOOKUP(B1030,Заказы!$A$2:$E$2995,5,FALSE())</f>
        <v>Выполнено</v>
      </c>
      <c r="L1030" s="1" t="n">
        <f aca="false">D1030*F1030+J1030</f>
        <v>1934</v>
      </c>
      <c r="M1030" s="1" t="n">
        <f aca="false">IF(AND(E1030="Пицца Труслейка",I1030="г. Москва",K1030="Выполнено",G1030&gt;=DATE(2020,7,1),G1030&lt;DATE(2020,8,1)),L1030,0)</f>
        <v>0</v>
      </c>
    </row>
    <row r="1031" customFormat="false" ht="15" hidden="false" customHeight="true" outlineLevel="0" collapsed="false">
      <c r="A1031" s="1" t="n">
        <v>100849</v>
      </c>
      <c r="B1031" s="1" t="n">
        <v>51495</v>
      </c>
      <c r="C1031" s="1" t="n">
        <v>4</v>
      </c>
      <c r="D1031" s="1" t="n">
        <v>9</v>
      </c>
      <c r="E1031" s="1" t="str">
        <f aca="false">VLOOKUP(C1031,Меню!$A$2:$C$24,2,FALSE())</f>
        <v>Пицца Труслейка</v>
      </c>
      <c r="F1031" s="1" t="n">
        <f aca="false">VLOOKUP(C1031,Меню!$A$2:$C$24,3,FALSE())</f>
        <v>610</v>
      </c>
      <c r="G1031" s="5" t="n">
        <f aca="false">VLOOKUP(B1031,Заказы!$A$2:$E$2995,2,FALSE())</f>
        <v>44056</v>
      </c>
      <c r="H1031" s="1" t="n">
        <f aca="false">VLOOKUP(B1031,Заказы!$A$2:$E$2995,3,FALSE())</f>
        <v>1796</v>
      </c>
      <c r="I1031" s="1" t="str">
        <f aca="false">VLOOKUP(H1031,Клиенты!$A$2:$E$1995,5,FALSE())</f>
        <v>г. Кувшиново</v>
      </c>
      <c r="J1031" s="1" t="n">
        <f aca="false">VLOOKUP(B1031,Заказы!$A$2:$E$2995,4,FALSE())</f>
        <v>373</v>
      </c>
      <c r="K1031" s="1" t="str">
        <f aca="false">VLOOKUP(B1031,Заказы!$A$2:$E$2995,5,FALSE())</f>
        <v>Выполнено</v>
      </c>
      <c r="L1031" s="1" t="n">
        <f aca="false">D1031*F1031+J1031</f>
        <v>5863</v>
      </c>
      <c r="M1031" s="1" t="n">
        <f aca="false">IF(AND(E1031="Пицца Труслейка",I1031="г. Москва",K1031="Выполнено",G1031&gt;=DATE(2020,7,1),G1031&lt;DATE(2020,8,1)),L1031,0)</f>
        <v>0</v>
      </c>
    </row>
    <row r="1032" customFormat="false" ht="15" hidden="false" customHeight="true" outlineLevel="0" collapsed="false">
      <c r="A1032" s="1" t="n">
        <v>101197</v>
      </c>
      <c r="B1032" s="1" t="n">
        <v>51691</v>
      </c>
      <c r="C1032" s="1" t="n">
        <v>16</v>
      </c>
      <c r="D1032" s="1" t="n">
        <v>4</v>
      </c>
      <c r="E1032" s="1" t="str">
        <f aca="false">VLOOKUP(C1032,Меню!$A$2:$C$24,2,FALSE())</f>
        <v>Пицца Флорида</v>
      </c>
      <c r="F1032" s="1" t="n">
        <f aca="false">VLOOKUP(C1032,Меню!$A$2:$C$24,3,FALSE())</f>
        <v>535</v>
      </c>
      <c r="G1032" s="5" t="n">
        <f aca="false">VLOOKUP(B1032,Заказы!$A$2:$E$2995,2,FALSE())</f>
        <v>44003</v>
      </c>
      <c r="H1032" s="1" t="n">
        <f aca="false">VLOOKUP(B1032,Заказы!$A$2:$E$2995,3,FALSE())</f>
        <v>940</v>
      </c>
      <c r="I1032" s="1" t="str">
        <f aca="false">VLOOKUP(H1032,Клиенты!$A$2:$E$1995,5,FALSE())</f>
        <v>г. Москва</v>
      </c>
      <c r="J1032" s="1" t="n">
        <f aca="false">VLOOKUP(B1032,Заказы!$A$2:$E$2995,4,FALSE())</f>
        <v>159</v>
      </c>
      <c r="K1032" s="1" t="str">
        <f aca="false">VLOOKUP(B1032,Заказы!$A$2:$E$2995,5,FALSE())</f>
        <v>Выполнено</v>
      </c>
      <c r="L1032" s="1" t="n">
        <f aca="false">D1032*F1032+J1032</f>
        <v>2299</v>
      </c>
      <c r="M1032" s="1" t="n">
        <f aca="false">IF(AND(E1032="Пицца Труслейка",I1032="г. Москва",K1032="Выполнено",G1032&gt;=DATE(2020,7,1),G1032&lt;DATE(2020,8,1)),L1032,0)</f>
        <v>0</v>
      </c>
    </row>
    <row r="1033" customFormat="false" ht="15" hidden="false" customHeight="true" outlineLevel="0" collapsed="false">
      <c r="A1033" s="1" t="n">
        <v>100751</v>
      </c>
      <c r="B1033" s="1" t="n">
        <v>51119</v>
      </c>
      <c r="C1033" s="1" t="n">
        <v>23</v>
      </c>
      <c r="D1033" s="1" t="n">
        <v>9</v>
      </c>
      <c r="E1033" s="1" t="str">
        <f aca="false">VLOOKUP(C1033,Меню!$A$2:$C$24,2,FALSE())</f>
        <v>Пицца с тунцом</v>
      </c>
      <c r="F1033" s="1" t="n">
        <f aca="false">VLOOKUP(C1033,Меню!$A$2:$C$24,3,FALSE())</f>
        <v>520</v>
      </c>
      <c r="G1033" s="5" t="n">
        <f aca="false">VLOOKUP(B1033,Заказы!$A$2:$E$2995,2,FALSE())</f>
        <v>44060</v>
      </c>
      <c r="H1033" s="1" t="n">
        <f aca="false">VLOOKUP(B1033,Заказы!$A$2:$E$2995,3,FALSE())</f>
        <v>1921</v>
      </c>
      <c r="I1033" s="1" t="str">
        <f aca="false">VLOOKUP(H1033,Клиенты!$A$2:$E$1995,5,FALSE())</f>
        <v>г. Багратионовск</v>
      </c>
      <c r="J1033" s="1" t="n">
        <f aca="false">VLOOKUP(B1033,Заказы!$A$2:$E$2995,4,FALSE())</f>
        <v>0</v>
      </c>
      <c r="K1033" s="1" t="str">
        <f aca="false">VLOOKUP(B1033,Заказы!$A$2:$E$2995,5,FALSE())</f>
        <v>Не выполнено</v>
      </c>
      <c r="L1033" s="1" t="n">
        <f aca="false">D1033*F1033+J1033</f>
        <v>4680</v>
      </c>
      <c r="M1033" s="1" t="n">
        <f aca="false">IF(AND(E1033="Пицца Труслейка",I1033="г. Москва",K1033="Выполнено",G1033&gt;=DATE(2020,7,1),G1033&lt;DATE(2020,8,1)),L1033,0)</f>
        <v>0</v>
      </c>
    </row>
    <row r="1034" customFormat="false" ht="15" hidden="false" customHeight="true" outlineLevel="0" collapsed="false">
      <c r="A1034" s="1" t="n">
        <v>101348</v>
      </c>
      <c r="B1034" s="1" t="n">
        <v>50847</v>
      </c>
      <c r="C1034" s="1" t="n">
        <v>11</v>
      </c>
      <c r="D1034" s="1" t="n">
        <v>8</v>
      </c>
      <c r="E1034" s="1" t="str">
        <f aca="false">VLOOKUP(C1034,Меню!$A$2:$C$24,2,FALSE())</f>
        <v>Пицца Песто</v>
      </c>
      <c r="F1034" s="1" t="n">
        <f aca="false">VLOOKUP(C1034,Меню!$A$2:$C$24,3,FALSE())</f>
        <v>530</v>
      </c>
      <c r="G1034" s="5" t="n">
        <f aca="false">VLOOKUP(B1034,Заказы!$A$2:$E$2995,2,FALSE())</f>
        <v>44023</v>
      </c>
      <c r="H1034" s="1" t="n">
        <f aca="false">VLOOKUP(B1034,Заказы!$A$2:$E$2995,3,FALSE())</f>
        <v>274</v>
      </c>
      <c r="I1034" s="1" t="str">
        <f aca="false">VLOOKUP(H1034,Клиенты!$A$2:$E$1995,5,FALSE())</f>
        <v>г. Чадан</v>
      </c>
      <c r="J1034" s="1" t="n">
        <f aca="false">VLOOKUP(B1034,Заказы!$A$2:$E$2995,4,FALSE())</f>
        <v>0</v>
      </c>
      <c r="K1034" s="1" t="str">
        <f aca="false">VLOOKUP(B1034,Заказы!$A$2:$E$2995,5,FALSE())</f>
        <v>Не выполнено</v>
      </c>
      <c r="L1034" s="1" t="n">
        <f aca="false">D1034*F1034+J1034</f>
        <v>4240</v>
      </c>
      <c r="M1034" s="1" t="n">
        <f aca="false">IF(AND(E1034="Пицца Труслейка",I1034="г. Москва",K1034="Выполнено",G1034&gt;=DATE(2020,7,1),G1034&lt;DATE(2020,8,1)),L1034,0)</f>
        <v>0</v>
      </c>
    </row>
    <row r="1035" customFormat="false" ht="15" hidden="false" customHeight="true" outlineLevel="0" collapsed="false">
      <c r="A1035" s="1" t="n">
        <v>100734</v>
      </c>
      <c r="B1035" s="1" t="n">
        <v>51874</v>
      </c>
      <c r="C1035" s="1" t="n">
        <v>20</v>
      </c>
      <c r="D1035" s="1" t="n">
        <v>4</v>
      </c>
      <c r="E1035" s="1" t="str">
        <f aca="false">VLOOKUP(C1035,Меню!$A$2:$C$24,2,FALSE())</f>
        <v>Пицца пиканте</v>
      </c>
      <c r="F1035" s="1" t="n">
        <f aca="false">VLOOKUP(C1035,Меню!$A$2:$C$24,3,FALSE())</f>
        <v>585</v>
      </c>
      <c r="G1035" s="5" t="n">
        <f aca="false">VLOOKUP(B1035,Заказы!$A$2:$E$2995,2,FALSE())</f>
        <v>44050</v>
      </c>
      <c r="H1035" s="1" t="n">
        <f aca="false">VLOOKUP(B1035,Заказы!$A$2:$E$2995,3,FALSE())</f>
        <v>1978</v>
      </c>
      <c r="I1035" s="1" t="str">
        <f aca="false">VLOOKUP(H1035,Клиенты!$A$2:$E$1995,5,FALSE())</f>
        <v>г. Тайга</v>
      </c>
      <c r="J1035" s="1" t="n">
        <f aca="false">VLOOKUP(B1035,Заказы!$A$2:$E$2995,4,FALSE())</f>
        <v>0</v>
      </c>
      <c r="K1035" s="1" t="str">
        <f aca="false">VLOOKUP(B1035,Заказы!$A$2:$E$2995,5,FALSE())</f>
        <v>Не выполнено</v>
      </c>
      <c r="L1035" s="1" t="n">
        <f aca="false">D1035*F1035+J1035</f>
        <v>2340</v>
      </c>
      <c r="M1035" s="1" t="n">
        <f aca="false">IF(AND(E1035="Пицца Труслейка",I1035="г. Москва",K1035="Выполнено",G1035&gt;=DATE(2020,7,1),G1035&lt;DATE(2020,8,1)),L1035,0)</f>
        <v>0</v>
      </c>
    </row>
    <row r="1036" customFormat="false" ht="15" hidden="false" customHeight="true" outlineLevel="0" collapsed="false">
      <c r="A1036" s="1" t="n">
        <v>101050</v>
      </c>
      <c r="B1036" s="1" t="n">
        <v>51005</v>
      </c>
      <c r="C1036" s="1" t="n">
        <v>13</v>
      </c>
      <c r="D1036" s="1" t="n">
        <v>4</v>
      </c>
      <c r="E1036" s="1" t="str">
        <f aca="false">VLOOKUP(C1036,Меню!$A$2:$C$24,2,FALSE())</f>
        <v>Пицца Сырная</v>
      </c>
      <c r="F1036" s="1" t="n">
        <f aca="false">VLOOKUP(C1036,Меню!$A$2:$C$24,3,FALSE())</f>
        <v>635</v>
      </c>
      <c r="G1036" s="5" t="n">
        <f aca="false">VLOOKUP(B1036,Заказы!$A$2:$E$2995,2,FALSE())</f>
        <v>44028</v>
      </c>
      <c r="H1036" s="1" t="n">
        <f aca="false">VLOOKUP(B1036,Заказы!$A$2:$E$2995,3,FALSE())</f>
        <v>1150</v>
      </c>
      <c r="I1036" s="1" t="str">
        <f aca="false">VLOOKUP(H1036,Клиенты!$A$2:$E$1995,5,FALSE())</f>
        <v>г. Москва</v>
      </c>
      <c r="J1036" s="1" t="n">
        <f aca="false">VLOOKUP(B1036,Заказы!$A$2:$E$2995,4,FALSE())</f>
        <v>0</v>
      </c>
      <c r="K1036" s="1" t="str">
        <f aca="false">VLOOKUP(B1036,Заказы!$A$2:$E$2995,5,FALSE())</f>
        <v>Не выполнено</v>
      </c>
      <c r="L1036" s="1" t="n">
        <f aca="false">D1036*F1036+J1036</f>
        <v>2540</v>
      </c>
      <c r="M1036" s="1" t="n">
        <f aca="false">IF(AND(E1036="Пицца Труслейка",I1036="г. Москва",K1036="Выполнено",G1036&gt;=DATE(2020,7,1),G1036&lt;DATE(2020,8,1)),L1036,0)</f>
        <v>0</v>
      </c>
    </row>
    <row r="1037" customFormat="false" ht="15" hidden="false" customHeight="true" outlineLevel="0" collapsed="false">
      <c r="A1037" s="1" t="n">
        <v>100047</v>
      </c>
      <c r="B1037" s="1" t="n">
        <v>50531</v>
      </c>
      <c r="C1037" s="1" t="n">
        <v>16</v>
      </c>
      <c r="D1037" s="1" t="n">
        <v>8</v>
      </c>
      <c r="E1037" s="1" t="str">
        <f aca="false">VLOOKUP(C1037,Меню!$A$2:$C$24,2,FALSE())</f>
        <v>Пицца Флорида</v>
      </c>
      <c r="F1037" s="1" t="n">
        <f aca="false">VLOOKUP(C1037,Меню!$A$2:$C$24,3,FALSE())</f>
        <v>535</v>
      </c>
      <c r="G1037" s="5" t="n">
        <f aca="false">VLOOKUP(B1037,Заказы!$A$2:$E$2995,2,FALSE())</f>
        <v>44046</v>
      </c>
      <c r="H1037" s="1" t="n">
        <f aca="false">VLOOKUP(B1037,Заказы!$A$2:$E$2995,3,FALSE())</f>
        <v>268</v>
      </c>
      <c r="I1037" s="1" t="str">
        <f aca="false">VLOOKUP(H1037,Клиенты!$A$2:$E$1995,5,FALSE())</f>
        <v>г. Нефтекамск</v>
      </c>
      <c r="J1037" s="1" t="n">
        <f aca="false">VLOOKUP(B1037,Заказы!$A$2:$E$2995,4,FALSE())</f>
        <v>485</v>
      </c>
      <c r="K1037" s="1" t="str">
        <f aca="false">VLOOKUP(B1037,Заказы!$A$2:$E$2995,5,FALSE())</f>
        <v>Выполнено</v>
      </c>
      <c r="L1037" s="1" t="n">
        <f aca="false">D1037*F1037+J1037</f>
        <v>4765</v>
      </c>
      <c r="M1037" s="1" t="n">
        <f aca="false">IF(AND(E1037="Пицца Труслейка",I1037="г. Москва",K1037="Выполнено",G1037&gt;=DATE(2020,7,1),G1037&lt;DATE(2020,8,1)),L1037,0)</f>
        <v>0</v>
      </c>
    </row>
    <row r="1038" customFormat="false" ht="15" hidden="false" customHeight="true" outlineLevel="0" collapsed="false">
      <c r="A1038" s="1" t="n">
        <v>100153</v>
      </c>
      <c r="B1038" s="1" t="n">
        <v>50549</v>
      </c>
      <c r="C1038" s="1" t="n">
        <v>17</v>
      </c>
      <c r="D1038" s="1" t="n">
        <v>10</v>
      </c>
      <c r="E1038" s="1" t="str">
        <f aca="false">VLOOKUP(C1038,Меню!$A$2:$C$24,2,FALSE())</f>
        <v>Пицца Френч Фрайз</v>
      </c>
      <c r="F1038" s="1" t="n">
        <f aca="false">VLOOKUP(C1038,Меню!$A$2:$C$24,3,FALSE())</f>
        <v>515</v>
      </c>
      <c r="G1038" s="5" t="n">
        <f aca="false">VLOOKUP(B1038,Заказы!$A$2:$E$2995,2,FALSE())</f>
        <v>44040</v>
      </c>
      <c r="H1038" s="1" t="n">
        <f aca="false">VLOOKUP(B1038,Заказы!$A$2:$E$2995,3,FALSE())</f>
        <v>1507</v>
      </c>
      <c r="I1038" s="1" t="str">
        <f aca="false">VLOOKUP(H1038,Клиенты!$A$2:$E$1995,5,FALSE())</f>
        <v>г. Лобня</v>
      </c>
      <c r="J1038" s="1" t="n">
        <f aca="false">VLOOKUP(B1038,Заказы!$A$2:$E$2995,4,FALSE())</f>
        <v>0</v>
      </c>
      <c r="K1038" s="1" t="str">
        <f aca="false">VLOOKUP(B1038,Заказы!$A$2:$E$2995,5,FALSE())</f>
        <v>Не выполнено</v>
      </c>
      <c r="L1038" s="1" t="n">
        <f aca="false">D1038*F1038+J1038</f>
        <v>5150</v>
      </c>
      <c r="M1038" s="1" t="n">
        <f aca="false">IF(AND(E1038="Пицца Труслейка",I1038="г. Москва",K1038="Выполнено",G1038&gt;=DATE(2020,7,1),G1038&lt;DATE(2020,8,1)),L1038,0)</f>
        <v>0</v>
      </c>
    </row>
    <row r="1039" customFormat="false" ht="15" hidden="false" customHeight="true" outlineLevel="0" collapsed="false">
      <c r="A1039" s="1" t="n">
        <v>100608</v>
      </c>
      <c r="B1039" s="1" t="n">
        <v>50035</v>
      </c>
      <c r="C1039" s="1" t="n">
        <v>3</v>
      </c>
      <c r="D1039" s="1" t="n">
        <v>7</v>
      </c>
      <c r="E1039" s="1" t="str">
        <f aca="false">VLOOKUP(C1039,Меню!$A$2:$C$24,2,FALSE())</f>
        <v>Пицца Диабло</v>
      </c>
      <c r="F1039" s="1" t="n">
        <f aca="false">VLOOKUP(C1039,Меню!$A$2:$C$24,3,FALSE())</f>
        <v>590</v>
      </c>
      <c r="G1039" s="5" t="n">
        <f aca="false">VLOOKUP(B1039,Заказы!$A$2:$E$2995,2,FALSE())</f>
        <v>44023</v>
      </c>
      <c r="H1039" s="1" t="n">
        <f aca="false">VLOOKUP(B1039,Заказы!$A$2:$E$2995,3,FALSE())</f>
        <v>1222</v>
      </c>
      <c r="I1039" s="1" t="str">
        <f aca="false">VLOOKUP(H1039,Клиенты!$A$2:$E$1995,5,FALSE())</f>
        <v>г. Чудово</v>
      </c>
      <c r="J1039" s="1" t="n">
        <f aca="false">VLOOKUP(B1039,Заказы!$A$2:$E$2995,4,FALSE())</f>
        <v>135</v>
      </c>
      <c r="K1039" s="1" t="str">
        <f aca="false">VLOOKUP(B1039,Заказы!$A$2:$E$2995,5,FALSE())</f>
        <v>Выполнено</v>
      </c>
      <c r="L1039" s="1" t="n">
        <f aca="false">D1039*F1039+J1039</f>
        <v>4265</v>
      </c>
      <c r="M1039" s="1" t="n">
        <f aca="false">IF(AND(E1039="Пицца Труслейка",I1039="г. Москва",K1039="Выполнено",G1039&gt;=DATE(2020,7,1),G1039&lt;DATE(2020,8,1)),L1039,0)</f>
        <v>0</v>
      </c>
    </row>
    <row r="1040" customFormat="false" ht="15" hidden="false" customHeight="true" outlineLevel="0" collapsed="false">
      <c r="A1040" s="1" t="n">
        <v>101594</v>
      </c>
      <c r="B1040" s="1" t="n">
        <v>50408</v>
      </c>
      <c r="C1040" s="1" t="n">
        <v>23</v>
      </c>
      <c r="D1040" s="1" t="n">
        <v>1</v>
      </c>
      <c r="E1040" s="1" t="str">
        <f aca="false">VLOOKUP(C1040,Меню!$A$2:$C$24,2,FALSE())</f>
        <v>Пицца с тунцом</v>
      </c>
      <c r="F1040" s="1" t="n">
        <f aca="false">VLOOKUP(C1040,Меню!$A$2:$C$24,3,FALSE())</f>
        <v>520</v>
      </c>
      <c r="G1040" s="5" t="n">
        <f aca="false">VLOOKUP(B1040,Заказы!$A$2:$E$2995,2,FALSE())</f>
        <v>44007</v>
      </c>
      <c r="H1040" s="1" t="n">
        <f aca="false">VLOOKUP(B1040,Заказы!$A$2:$E$2995,3,FALSE())</f>
        <v>441</v>
      </c>
      <c r="I1040" s="1" t="str">
        <f aca="false">VLOOKUP(H1040,Клиенты!$A$2:$E$1995,5,FALSE())</f>
        <v>г. Городовиковск</v>
      </c>
      <c r="J1040" s="1" t="n">
        <f aca="false">VLOOKUP(B1040,Заказы!$A$2:$E$2995,4,FALSE())</f>
        <v>0</v>
      </c>
      <c r="K1040" s="1" t="str">
        <f aca="false">VLOOKUP(B1040,Заказы!$A$2:$E$2995,5,FALSE())</f>
        <v>Не выполнено</v>
      </c>
      <c r="L1040" s="1" t="n">
        <f aca="false">D1040*F1040+J1040</f>
        <v>520</v>
      </c>
      <c r="M1040" s="1" t="n">
        <f aca="false">IF(AND(E1040="Пицца Труслейка",I1040="г. Москва",K1040="Выполнено",G1040&gt;=DATE(2020,7,1),G1040&lt;DATE(2020,8,1)),L1040,0)</f>
        <v>0</v>
      </c>
    </row>
    <row r="1041" customFormat="false" ht="15" hidden="false" customHeight="true" outlineLevel="0" collapsed="false">
      <c r="A1041" s="1" t="n">
        <v>101476</v>
      </c>
      <c r="B1041" s="1" t="n">
        <v>51843</v>
      </c>
      <c r="C1041" s="1" t="n">
        <v>4</v>
      </c>
      <c r="D1041" s="1" t="n">
        <v>1</v>
      </c>
      <c r="E1041" s="1" t="str">
        <f aca="false">VLOOKUP(C1041,Меню!$A$2:$C$24,2,FALSE())</f>
        <v>Пицца Труслейка</v>
      </c>
      <c r="F1041" s="1" t="n">
        <f aca="false">VLOOKUP(C1041,Меню!$A$2:$C$24,3,FALSE())</f>
        <v>610</v>
      </c>
      <c r="G1041" s="5" t="n">
        <f aca="false">VLOOKUP(B1041,Заказы!$A$2:$E$2995,2,FALSE())</f>
        <v>43998</v>
      </c>
      <c r="H1041" s="1" t="n">
        <f aca="false">VLOOKUP(B1041,Заказы!$A$2:$E$2995,3,FALSE())</f>
        <v>844</v>
      </c>
      <c r="I1041" s="1" t="str">
        <f aca="false">VLOOKUP(H1041,Клиенты!$A$2:$E$1995,5,FALSE())</f>
        <v>г. Норильск</v>
      </c>
      <c r="J1041" s="1" t="n">
        <f aca="false">VLOOKUP(B1041,Заказы!$A$2:$E$2995,4,FALSE())</f>
        <v>0</v>
      </c>
      <c r="K1041" s="1" t="str">
        <f aca="false">VLOOKUP(B1041,Заказы!$A$2:$E$2995,5,FALSE())</f>
        <v>Не выполнено</v>
      </c>
      <c r="L1041" s="1" t="n">
        <f aca="false">D1041*F1041+J1041</f>
        <v>610</v>
      </c>
      <c r="M1041" s="1" t="n">
        <f aca="false">IF(AND(E1041="Пицца Труслейка",I1041="г. Москва",K1041="Выполнено",G1041&gt;=DATE(2020,7,1),G1041&lt;DATE(2020,8,1)),L1041,0)</f>
        <v>0</v>
      </c>
    </row>
    <row r="1042" customFormat="false" ht="15" hidden="false" customHeight="true" outlineLevel="0" collapsed="false">
      <c r="A1042" s="1" t="n">
        <v>100440</v>
      </c>
      <c r="B1042" s="1" t="n">
        <v>51425</v>
      </c>
      <c r="C1042" s="1" t="n">
        <v>11</v>
      </c>
      <c r="D1042" s="1" t="n">
        <v>4</v>
      </c>
      <c r="E1042" s="1" t="str">
        <f aca="false">VLOOKUP(C1042,Меню!$A$2:$C$24,2,FALSE())</f>
        <v>Пицца Песто</v>
      </c>
      <c r="F1042" s="1" t="n">
        <f aca="false">VLOOKUP(C1042,Меню!$A$2:$C$24,3,FALSE())</f>
        <v>530</v>
      </c>
      <c r="G1042" s="5" t="n">
        <f aca="false">VLOOKUP(B1042,Заказы!$A$2:$E$2995,2,FALSE())</f>
        <v>44033</v>
      </c>
      <c r="H1042" s="1" t="n">
        <f aca="false">VLOOKUP(B1042,Заказы!$A$2:$E$2995,3,FALSE())</f>
        <v>404</v>
      </c>
      <c r="I1042" s="1" t="str">
        <f aca="false">VLOOKUP(H1042,Клиенты!$A$2:$E$1995,5,FALSE())</f>
        <v>г. Ярославль</v>
      </c>
      <c r="J1042" s="1" t="n">
        <f aca="false">VLOOKUP(B1042,Заказы!$A$2:$E$2995,4,FALSE())</f>
        <v>798</v>
      </c>
      <c r="K1042" s="1" t="str">
        <f aca="false">VLOOKUP(B1042,Заказы!$A$2:$E$2995,5,FALSE())</f>
        <v>Выполнено</v>
      </c>
      <c r="L1042" s="1" t="n">
        <f aca="false">D1042*F1042+J1042</f>
        <v>2918</v>
      </c>
      <c r="M1042" s="1" t="n">
        <f aca="false">IF(AND(E1042="Пицца Труслейка",I1042="г. Москва",K1042="Выполнено",G1042&gt;=DATE(2020,7,1),G1042&lt;DATE(2020,8,1)),L1042,0)</f>
        <v>0</v>
      </c>
    </row>
    <row r="1043" customFormat="false" ht="15" hidden="false" customHeight="true" outlineLevel="0" collapsed="false">
      <c r="A1043" s="1" t="n">
        <v>101059</v>
      </c>
      <c r="B1043" s="1" t="n">
        <v>50320</v>
      </c>
      <c r="C1043" s="1" t="n">
        <v>12</v>
      </c>
      <c r="D1043" s="1" t="n">
        <v>3</v>
      </c>
      <c r="E1043" s="1" t="str">
        <f aca="false">VLOOKUP(C1043,Меню!$A$2:$C$24,2,FALSE())</f>
        <v>Пицца Салями с трюфелем</v>
      </c>
      <c r="F1043" s="1" t="n">
        <f aca="false">VLOOKUP(C1043,Меню!$A$2:$C$24,3,FALSE())</f>
        <v>525</v>
      </c>
      <c r="G1043" s="5" t="n">
        <f aca="false">VLOOKUP(B1043,Заказы!$A$2:$E$2995,2,FALSE())</f>
        <v>44059</v>
      </c>
      <c r="H1043" s="1" t="n">
        <f aca="false">VLOOKUP(B1043,Заказы!$A$2:$E$2995,3,FALSE())</f>
        <v>1135</v>
      </c>
      <c r="I1043" s="1" t="str">
        <f aca="false">VLOOKUP(H1043,Клиенты!$A$2:$E$1995,5,FALSE())</f>
        <v>г. Данков</v>
      </c>
      <c r="J1043" s="1" t="n">
        <f aca="false">VLOOKUP(B1043,Заказы!$A$2:$E$2995,4,FALSE())</f>
        <v>874</v>
      </c>
      <c r="K1043" s="1" t="str">
        <f aca="false">VLOOKUP(B1043,Заказы!$A$2:$E$2995,5,FALSE())</f>
        <v>Выполнено</v>
      </c>
      <c r="L1043" s="1" t="n">
        <f aca="false">D1043*F1043+J1043</f>
        <v>2449</v>
      </c>
      <c r="M1043" s="1" t="n">
        <f aca="false">IF(AND(E1043="Пицца Труслейка",I1043="г. Москва",K1043="Выполнено",G1043&gt;=DATE(2020,7,1),G1043&lt;DATE(2020,8,1)),L1043,0)</f>
        <v>0</v>
      </c>
    </row>
    <row r="1044" customFormat="false" ht="15" hidden="false" customHeight="true" outlineLevel="0" collapsed="false">
      <c r="A1044" s="1" t="n">
        <v>101510</v>
      </c>
      <c r="B1044" s="1" t="n">
        <v>50958</v>
      </c>
      <c r="C1044" s="1" t="n">
        <v>6</v>
      </c>
      <c r="D1044" s="1" t="n">
        <v>3</v>
      </c>
      <c r="E1044" s="1" t="str">
        <f aca="false">VLOOKUP(C1044,Меню!$A$2:$C$24,2,FALSE())</f>
        <v>Пицца Капричиоза</v>
      </c>
      <c r="F1044" s="1" t="n">
        <f aca="false">VLOOKUP(C1044,Меню!$A$2:$C$24,3,FALSE())</f>
        <v>570</v>
      </c>
      <c r="G1044" s="5" t="n">
        <f aca="false">VLOOKUP(B1044,Заказы!$A$2:$E$2995,2,FALSE())</f>
        <v>44061</v>
      </c>
      <c r="H1044" s="1" t="n">
        <f aca="false">VLOOKUP(B1044,Заказы!$A$2:$E$2995,3,FALSE())</f>
        <v>1825</v>
      </c>
      <c r="I1044" s="1" t="str">
        <f aca="false">VLOOKUP(H1044,Клиенты!$A$2:$E$1995,5,FALSE())</f>
        <v>г. Пионерский</v>
      </c>
      <c r="J1044" s="1" t="n">
        <f aca="false">VLOOKUP(B1044,Заказы!$A$2:$E$2995,4,FALSE())</f>
        <v>148</v>
      </c>
      <c r="K1044" s="1" t="str">
        <f aca="false">VLOOKUP(B1044,Заказы!$A$2:$E$2995,5,FALSE())</f>
        <v>Выполнено</v>
      </c>
      <c r="L1044" s="1" t="n">
        <f aca="false">D1044*F1044+J1044</f>
        <v>1858</v>
      </c>
      <c r="M1044" s="1" t="n">
        <f aca="false">IF(AND(E1044="Пицца Труслейка",I1044="г. Москва",K1044="Выполнено",G1044&gt;=DATE(2020,7,1),G1044&lt;DATE(2020,8,1)),L1044,0)</f>
        <v>0</v>
      </c>
    </row>
    <row r="1045" customFormat="false" ht="15" hidden="false" customHeight="true" outlineLevel="0" collapsed="false">
      <c r="A1045" s="1" t="n">
        <v>101009</v>
      </c>
      <c r="B1045" s="1" t="n">
        <v>50589</v>
      </c>
      <c r="C1045" s="1" t="n">
        <v>19</v>
      </c>
      <c r="D1045" s="1" t="n">
        <v>5</v>
      </c>
      <c r="E1045" s="1" t="str">
        <f aca="false">VLOOKUP(C1045,Меню!$A$2:$C$24,2,FALSE())</f>
        <v>Пицца Цезарь</v>
      </c>
      <c r="F1045" s="1" t="n">
        <f aca="false">VLOOKUP(C1045,Меню!$A$2:$C$24,3,FALSE())</f>
        <v>630</v>
      </c>
      <c r="G1045" s="5" t="n">
        <f aca="false">VLOOKUP(B1045,Заказы!$A$2:$E$2995,2,FALSE())</f>
        <v>44041</v>
      </c>
      <c r="H1045" s="1" t="n">
        <f aca="false">VLOOKUP(B1045,Заказы!$A$2:$E$2995,3,FALSE())</f>
        <v>500</v>
      </c>
      <c r="I1045" s="1" t="str">
        <f aca="false">VLOOKUP(H1045,Клиенты!$A$2:$E$1995,5,FALSE())</f>
        <v>г. Москва</v>
      </c>
      <c r="J1045" s="1" t="n">
        <f aca="false">VLOOKUP(B1045,Заказы!$A$2:$E$2995,4,FALSE())</f>
        <v>0</v>
      </c>
      <c r="K1045" s="1" t="str">
        <f aca="false">VLOOKUP(B1045,Заказы!$A$2:$E$2995,5,FALSE())</f>
        <v>Не выполнено</v>
      </c>
      <c r="L1045" s="1" t="n">
        <f aca="false">D1045*F1045+J1045</f>
        <v>3150</v>
      </c>
      <c r="M1045" s="1" t="n">
        <f aca="false">IF(AND(E1045="Пицца Труслейка",I1045="г. Москва",K1045="Выполнено",G1045&gt;=DATE(2020,7,1),G1045&lt;DATE(2020,8,1)),L1045,0)</f>
        <v>0</v>
      </c>
    </row>
    <row r="1046" customFormat="false" ht="15" hidden="false" customHeight="true" outlineLevel="0" collapsed="false">
      <c r="A1046" s="1" t="n">
        <v>101181</v>
      </c>
      <c r="B1046" s="1" t="n">
        <v>50695</v>
      </c>
      <c r="C1046" s="1" t="n">
        <v>12</v>
      </c>
      <c r="D1046" s="1" t="n">
        <v>1</v>
      </c>
      <c r="E1046" s="1" t="str">
        <f aca="false">VLOOKUP(C1046,Меню!$A$2:$C$24,2,FALSE())</f>
        <v>Пицца Салями с трюфелем</v>
      </c>
      <c r="F1046" s="1" t="n">
        <f aca="false">VLOOKUP(C1046,Меню!$A$2:$C$24,3,FALSE())</f>
        <v>525</v>
      </c>
      <c r="G1046" s="5" t="n">
        <f aca="false">VLOOKUP(B1046,Заказы!$A$2:$E$2995,2,FALSE())</f>
        <v>44052</v>
      </c>
      <c r="H1046" s="1" t="n">
        <f aca="false">VLOOKUP(B1046,Заказы!$A$2:$E$2995,3,FALSE())</f>
        <v>861</v>
      </c>
      <c r="I1046" s="1" t="str">
        <f aca="false">VLOOKUP(H1046,Клиенты!$A$2:$E$1995,5,FALSE())</f>
        <v>г. Сусуман</v>
      </c>
      <c r="J1046" s="1" t="n">
        <f aca="false">VLOOKUP(B1046,Заказы!$A$2:$E$2995,4,FALSE())</f>
        <v>0</v>
      </c>
      <c r="K1046" s="1" t="str">
        <f aca="false">VLOOKUP(B1046,Заказы!$A$2:$E$2995,5,FALSE())</f>
        <v>Не выполнено</v>
      </c>
      <c r="L1046" s="1" t="n">
        <f aca="false">D1046*F1046+J1046</f>
        <v>525</v>
      </c>
      <c r="M1046" s="1" t="n">
        <f aca="false">IF(AND(E1046="Пицца Труслейка",I1046="г. Москва",K1046="Выполнено",G1046&gt;=DATE(2020,7,1),G1046&lt;DATE(2020,8,1)),L1046,0)</f>
        <v>0</v>
      </c>
    </row>
    <row r="1047" customFormat="false" ht="15" hidden="false" customHeight="true" outlineLevel="0" collapsed="false">
      <c r="A1047" s="1" t="n">
        <v>101937</v>
      </c>
      <c r="B1047" s="1" t="n">
        <v>50216</v>
      </c>
      <c r="C1047" s="1" t="n">
        <v>1</v>
      </c>
      <c r="D1047" s="1" t="n">
        <v>7</v>
      </c>
      <c r="E1047" s="1" t="str">
        <f aca="false">VLOOKUP(C1047,Меню!$A$2:$C$24,2,FALSE())</f>
        <v>Пицца Гавайская</v>
      </c>
      <c r="F1047" s="1" t="n">
        <f aca="false">VLOOKUP(C1047,Меню!$A$2:$C$24,3,FALSE())</f>
        <v>545</v>
      </c>
      <c r="G1047" s="5" t="n">
        <f aca="false">VLOOKUP(B1047,Заказы!$A$2:$E$2995,2,FALSE())</f>
        <v>44032</v>
      </c>
      <c r="H1047" s="1" t="n">
        <f aca="false">VLOOKUP(B1047,Заказы!$A$2:$E$2995,3,FALSE())</f>
        <v>348</v>
      </c>
      <c r="I1047" s="1" t="str">
        <f aca="false">VLOOKUP(H1047,Клиенты!$A$2:$E$1995,5,FALSE())</f>
        <v>г. Чудово</v>
      </c>
      <c r="J1047" s="1" t="n">
        <f aca="false">VLOOKUP(B1047,Заказы!$A$2:$E$2995,4,FALSE())</f>
        <v>697</v>
      </c>
      <c r="K1047" s="1" t="str">
        <f aca="false">VLOOKUP(B1047,Заказы!$A$2:$E$2995,5,FALSE())</f>
        <v>Выполнено</v>
      </c>
      <c r="L1047" s="1" t="n">
        <f aca="false">D1047*F1047+J1047</f>
        <v>4512</v>
      </c>
      <c r="M1047" s="1" t="n">
        <f aca="false">IF(AND(E1047="Пицца Труслейка",I1047="г. Москва",K1047="Выполнено",G1047&gt;=DATE(2020,7,1),G1047&lt;DATE(2020,8,1)),L1047,0)</f>
        <v>0</v>
      </c>
    </row>
    <row r="1048" customFormat="false" ht="15" hidden="false" customHeight="true" outlineLevel="0" collapsed="false">
      <c r="A1048" s="1" t="n">
        <v>101200</v>
      </c>
      <c r="B1048" s="1" t="n">
        <v>51061</v>
      </c>
      <c r="C1048" s="1" t="n">
        <v>12</v>
      </c>
      <c r="D1048" s="1" t="n">
        <v>3</v>
      </c>
      <c r="E1048" s="1" t="str">
        <f aca="false">VLOOKUP(C1048,Меню!$A$2:$C$24,2,FALSE())</f>
        <v>Пицца Салями с трюфелем</v>
      </c>
      <c r="F1048" s="1" t="n">
        <f aca="false">VLOOKUP(C1048,Меню!$A$2:$C$24,3,FALSE())</f>
        <v>525</v>
      </c>
      <c r="G1048" s="5" t="n">
        <f aca="false">VLOOKUP(B1048,Заказы!$A$2:$E$2995,2,FALSE())</f>
        <v>44057</v>
      </c>
      <c r="H1048" s="1" t="n">
        <f aca="false">VLOOKUP(B1048,Заказы!$A$2:$E$2995,3,FALSE())</f>
        <v>1708</v>
      </c>
      <c r="I1048" s="1" t="str">
        <f aca="false">VLOOKUP(H1048,Клиенты!$A$2:$E$1995,5,FALSE())</f>
        <v>г. Свободный</v>
      </c>
      <c r="J1048" s="1" t="n">
        <f aca="false">VLOOKUP(B1048,Заказы!$A$2:$E$2995,4,FALSE())</f>
        <v>0</v>
      </c>
      <c r="K1048" s="1" t="str">
        <f aca="false">VLOOKUP(B1048,Заказы!$A$2:$E$2995,5,FALSE())</f>
        <v>Не выполнено</v>
      </c>
      <c r="L1048" s="1" t="n">
        <f aca="false">D1048*F1048+J1048</f>
        <v>1575</v>
      </c>
      <c r="M1048" s="1" t="n">
        <f aca="false">IF(AND(E1048="Пицца Труслейка",I1048="г. Москва",K1048="Выполнено",G1048&gt;=DATE(2020,7,1),G1048&lt;DATE(2020,8,1)),L1048,0)</f>
        <v>0</v>
      </c>
    </row>
    <row r="1049" customFormat="false" ht="15" hidden="false" customHeight="true" outlineLevel="0" collapsed="false">
      <c r="A1049" s="1" t="n">
        <v>101494</v>
      </c>
      <c r="B1049" s="1" t="n">
        <v>51543</v>
      </c>
      <c r="C1049" s="1" t="n">
        <v>17</v>
      </c>
      <c r="D1049" s="1" t="n">
        <v>2</v>
      </c>
      <c r="E1049" s="1" t="str">
        <f aca="false">VLOOKUP(C1049,Меню!$A$2:$C$24,2,FALSE())</f>
        <v>Пицца Френч Фрайз</v>
      </c>
      <c r="F1049" s="1" t="n">
        <f aca="false">VLOOKUP(C1049,Меню!$A$2:$C$24,3,FALSE())</f>
        <v>515</v>
      </c>
      <c r="G1049" s="5" t="n">
        <f aca="false">VLOOKUP(B1049,Заказы!$A$2:$E$2995,2,FALSE())</f>
        <v>44013</v>
      </c>
      <c r="H1049" s="1" t="n">
        <f aca="false">VLOOKUP(B1049,Заказы!$A$2:$E$2995,3,FALSE())</f>
        <v>1475</v>
      </c>
      <c r="I1049" s="1" t="str">
        <f aca="false">VLOOKUP(H1049,Клиенты!$A$2:$E$1995,5,FALSE())</f>
        <v>г. Можга</v>
      </c>
      <c r="J1049" s="1" t="n">
        <f aca="false">VLOOKUP(B1049,Заказы!$A$2:$E$2995,4,FALSE())</f>
        <v>0</v>
      </c>
      <c r="K1049" s="1" t="str">
        <f aca="false">VLOOKUP(B1049,Заказы!$A$2:$E$2995,5,FALSE())</f>
        <v>Не выполнено</v>
      </c>
      <c r="L1049" s="1" t="n">
        <f aca="false">D1049*F1049+J1049</f>
        <v>1030</v>
      </c>
      <c r="M1049" s="1" t="n">
        <f aca="false">IF(AND(E1049="Пицца Труслейка",I1049="г. Москва",K1049="Выполнено",G1049&gt;=DATE(2020,7,1),G1049&lt;DATE(2020,8,1)),L1049,0)</f>
        <v>0</v>
      </c>
    </row>
    <row r="1050" customFormat="false" ht="15" hidden="false" customHeight="true" outlineLevel="0" collapsed="false">
      <c r="A1050" s="1" t="n">
        <v>100007</v>
      </c>
      <c r="B1050" s="1" t="n">
        <v>51214</v>
      </c>
      <c r="C1050" s="1" t="n">
        <v>6</v>
      </c>
      <c r="D1050" s="1" t="n">
        <v>9</v>
      </c>
      <c r="E1050" s="1" t="str">
        <f aca="false">VLOOKUP(C1050,Меню!$A$2:$C$24,2,FALSE())</f>
        <v>Пицца Капричиоза</v>
      </c>
      <c r="F1050" s="1" t="n">
        <f aca="false">VLOOKUP(C1050,Меню!$A$2:$C$24,3,FALSE())</f>
        <v>570</v>
      </c>
      <c r="G1050" s="5" t="n">
        <f aca="false">VLOOKUP(B1050,Заказы!$A$2:$E$2995,2,FALSE())</f>
        <v>44066</v>
      </c>
      <c r="H1050" s="1" t="n">
        <f aca="false">VLOOKUP(B1050,Заказы!$A$2:$E$2995,3,FALSE())</f>
        <v>1555</v>
      </c>
      <c r="I1050" s="1" t="str">
        <f aca="false">VLOOKUP(H1050,Клиенты!$A$2:$E$1995,5,FALSE())</f>
        <v>г. Похвистнево</v>
      </c>
      <c r="J1050" s="1" t="n">
        <f aca="false">VLOOKUP(B1050,Заказы!$A$2:$E$2995,4,FALSE())</f>
        <v>0</v>
      </c>
      <c r="K1050" s="1" t="str">
        <f aca="false">VLOOKUP(B1050,Заказы!$A$2:$E$2995,5,FALSE())</f>
        <v>Не выполнено</v>
      </c>
      <c r="L1050" s="1" t="n">
        <f aca="false">D1050*F1050+J1050</f>
        <v>5130</v>
      </c>
      <c r="M1050" s="1" t="n">
        <f aca="false">IF(AND(E1050="Пицца Труслейка",I1050="г. Москва",K1050="Выполнено",G1050&gt;=DATE(2020,7,1),G1050&lt;DATE(2020,8,1)),L1050,0)</f>
        <v>0</v>
      </c>
    </row>
    <row r="1051" customFormat="false" ht="15" hidden="false" customHeight="true" outlineLevel="0" collapsed="false">
      <c r="A1051" s="1" t="n">
        <v>101353</v>
      </c>
      <c r="B1051" s="1" t="n">
        <v>51313</v>
      </c>
      <c r="C1051" s="1" t="n">
        <v>4</v>
      </c>
      <c r="D1051" s="1" t="n">
        <v>9</v>
      </c>
      <c r="E1051" s="1" t="str">
        <f aca="false">VLOOKUP(C1051,Меню!$A$2:$C$24,2,FALSE())</f>
        <v>Пицца Труслейка</v>
      </c>
      <c r="F1051" s="1" t="n">
        <f aca="false">VLOOKUP(C1051,Меню!$A$2:$C$24,3,FALSE())</f>
        <v>610</v>
      </c>
      <c r="G1051" s="5" t="n">
        <f aca="false">VLOOKUP(B1051,Заказы!$A$2:$E$2995,2,FALSE())</f>
        <v>44030</v>
      </c>
      <c r="H1051" s="1" t="n">
        <f aca="false">VLOOKUP(B1051,Заказы!$A$2:$E$2995,3,FALSE())</f>
        <v>1890</v>
      </c>
      <c r="I1051" s="1" t="str">
        <f aca="false">VLOOKUP(H1051,Клиенты!$A$2:$E$1995,5,FALSE())</f>
        <v>г. Москва</v>
      </c>
      <c r="J1051" s="1" t="n">
        <f aca="false">VLOOKUP(B1051,Заказы!$A$2:$E$2995,4,FALSE())</f>
        <v>276</v>
      </c>
      <c r="K1051" s="1" t="str">
        <f aca="false">VLOOKUP(B1051,Заказы!$A$2:$E$2995,5,FALSE())</f>
        <v>Выполнено</v>
      </c>
      <c r="L1051" s="1" t="n">
        <f aca="false">D1051*F1051+J1051</f>
        <v>5766</v>
      </c>
      <c r="M1051" s="1" t="n">
        <f aca="false">IF(AND(E1051="Пицца Труслейка",I1051="г. Москва",K1051="Выполнено",G1051&gt;=DATE(2020,7,1),G1051&lt;DATE(2020,8,1)),L1051,0)</f>
        <v>5766</v>
      </c>
    </row>
    <row r="1052" customFormat="false" ht="15" hidden="false" customHeight="true" outlineLevel="0" collapsed="false">
      <c r="A1052" s="1" t="n">
        <v>101984</v>
      </c>
      <c r="B1052" s="1" t="n">
        <v>50333</v>
      </c>
      <c r="C1052" s="1" t="n">
        <v>9</v>
      </c>
      <c r="D1052" s="1" t="n">
        <v>6</v>
      </c>
      <c r="E1052" s="1" t="str">
        <f aca="false">VLOOKUP(C1052,Меню!$A$2:$C$24,2,FALSE())</f>
        <v>Пицца Острая с беконом</v>
      </c>
      <c r="F1052" s="1" t="n">
        <f aca="false">VLOOKUP(C1052,Меню!$A$2:$C$24,3,FALSE())</f>
        <v>540</v>
      </c>
      <c r="G1052" s="5" t="n">
        <f aca="false">VLOOKUP(B1052,Заказы!$A$2:$E$2995,2,FALSE())</f>
        <v>44011</v>
      </c>
      <c r="H1052" s="1" t="n">
        <f aca="false">VLOOKUP(B1052,Заказы!$A$2:$E$2995,3,FALSE())</f>
        <v>1433</v>
      </c>
      <c r="I1052" s="1" t="str">
        <f aca="false">VLOOKUP(H1052,Клиенты!$A$2:$E$1995,5,FALSE())</f>
        <v>г. Подольск</v>
      </c>
      <c r="J1052" s="1" t="n">
        <f aca="false">VLOOKUP(B1052,Заказы!$A$2:$E$2995,4,FALSE())</f>
        <v>0</v>
      </c>
      <c r="K1052" s="1" t="str">
        <f aca="false">VLOOKUP(B1052,Заказы!$A$2:$E$2995,5,FALSE())</f>
        <v>Не выполнено</v>
      </c>
      <c r="L1052" s="1" t="n">
        <f aca="false">D1052*F1052+J1052</f>
        <v>3240</v>
      </c>
      <c r="M1052" s="1" t="n">
        <f aca="false">IF(AND(E1052="Пицца Труслейка",I1052="г. Москва",K1052="Выполнено",G1052&gt;=DATE(2020,7,1),G1052&lt;DATE(2020,8,1)),L1052,0)</f>
        <v>0</v>
      </c>
    </row>
    <row r="1053" customFormat="false" ht="15" hidden="false" customHeight="true" outlineLevel="0" collapsed="false">
      <c r="A1053" s="1" t="n">
        <v>100270</v>
      </c>
      <c r="B1053" s="1" t="n">
        <v>51837</v>
      </c>
      <c r="C1053" s="1" t="n">
        <v>15</v>
      </c>
      <c r="D1053" s="1" t="n">
        <v>4</v>
      </c>
      <c r="E1053" s="1" t="str">
        <f aca="false">VLOOKUP(C1053,Меню!$A$2:$C$24,2,FALSE())</f>
        <v>Пицца Тропиканка</v>
      </c>
      <c r="F1053" s="1" t="n">
        <f aca="false">VLOOKUP(C1053,Меню!$A$2:$C$24,3,FALSE())</f>
        <v>605</v>
      </c>
      <c r="G1053" s="5" t="n">
        <f aca="false">VLOOKUP(B1053,Заказы!$A$2:$E$2995,2,FALSE())</f>
        <v>44040</v>
      </c>
      <c r="H1053" s="1" t="n">
        <f aca="false">VLOOKUP(B1053,Заказы!$A$2:$E$2995,3,FALSE())</f>
        <v>991</v>
      </c>
      <c r="I1053" s="1" t="str">
        <f aca="false">VLOOKUP(H1053,Клиенты!$A$2:$E$1995,5,FALSE())</f>
        <v>г. Хвалынск</v>
      </c>
      <c r="J1053" s="1" t="n">
        <f aca="false">VLOOKUP(B1053,Заказы!$A$2:$E$2995,4,FALSE())</f>
        <v>470</v>
      </c>
      <c r="K1053" s="1" t="str">
        <f aca="false">VLOOKUP(B1053,Заказы!$A$2:$E$2995,5,FALSE())</f>
        <v>Выполнено</v>
      </c>
      <c r="L1053" s="1" t="n">
        <f aca="false">D1053*F1053+J1053</f>
        <v>2890</v>
      </c>
      <c r="M1053" s="1" t="n">
        <f aca="false">IF(AND(E1053="Пицца Труслейка",I1053="г. Москва",K1053="Выполнено",G1053&gt;=DATE(2020,7,1),G1053&lt;DATE(2020,8,1)),L1053,0)</f>
        <v>0</v>
      </c>
    </row>
    <row r="1054" customFormat="false" ht="15" hidden="false" customHeight="true" outlineLevel="0" collapsed="false">
      <c r="A1054" s="1" t="n">
        <v>101520</v>
      </c>
      <c r="B1054" s="1" t="n">
        <v>50392</v>
      </c>
      <c r="C1054" s="1" t="n">
        <v>18</v>
      </c>
      <c r="D1054" s="1" t="n">
        <v>4</v>
      </c>
      <c r="E1054" s="1" t="str">
        <f aca="false">VLOOKUP(C1054,Меню!$A$2:$C$24,2,FALSE())</f>
        <v>Пицца Царская</v>
      </c>
      <c r="F1054" s="1" t="n">
        <f aca="false">VLOOKUP(C1054,Меню!$A$2:$C$24,3,FALSE())</f>
        <v>620</v>
      </c>
      <c r="G1054" s="5" t="n">
        <f aca="false">VLOOKUP(B1054,Заказы!$A$2:$E$2995,2,FALSE())</f>
        <v>44018</v>
      </c>
      <c r="H1054" s="1" t="n">
        <f aca="false">VLOOKUP(B1054,Заказы!$A$2:$E$2995,3,FALSE())</f>
        <v>713</v>
      </c>
      <c r="I1054" s="1" t="str">
        <f aca="false">VLOOKUP(H1054,Клиенты!$A$2:$E$1995,5,FALSE())</f>
        <v>г. Южно-Сухокумск</v>
      </c>
      <c r="J1054" s="1" t="n">
        <f aca="false">VLOOKUP(B1054,Заказы!$A$2:$E$2995,4,FALSE())</f>
        <v>534</v>
      </c>
      <c r="K1054" s="1" t="str">
        <f aca="false">VLOOKUP(B1054,Заказы!$A$2:$E$2995,5,FALSE())</f>
        <v>Выполнено</v>
      </c>
      <c r="L1054" s="1" t="n">
        <f aca="false">D1054*F1054+J1054</f>
        <v>3014</v>
      </c>
      <c r="M1054" s="1" t="n">
        <f aca="false">IF(AND(E1054="Пицца Труслейка",I1054="г. Москва",K1054="Выполнено",G1054&gt;=DATE(2020,7,1),G1054&lt;DATE(2020,8,1)),L1054,0)</f>
        <v>0</v>
      </c>
    </row>
    <row r="1055" customFormat="false" ht="15" hidden="false" customHeight="true" outlineLevel="0" collapsed="false">
      <c r="A1055" s="1" t="n">
        <v>100004</v>
      </c>
      <c r="B1055" s="1" t="n">
        <v>50446</v>
      </c>
      <c r="C1055" s="1" t="n">
        <v>6</v>
      </c>
      <c r="D1055" s="1" t="n">
        <v>3</v>
      </c>
      <c r="E1055" s="1" t="str">
        <f aca="false">VLOOKUP(C1055,Меню!$A$2:$C$24,2,FALSE())</f>
        <v>Пицца Капричиоза</v>
      </c>
      <c r="F1055" s="1" t="n">
        <f aca="false">VLOOKUP(C1055,Меню!$A$2:$C$24,3,FALSE())</f>
        <v>570</v>
      </c>
      <c r="G1055" s="5" t="n">
        <f aca="false">VLOOKUP(B1055,Заказы!$A$2:$E$2995,2,FALSE())</f>
        <v>44044</v>
      </c>
      <c r="H1055" s="1" t="n">
        <f aca="false">VLOOKUP(B1055,Заказы!$A$2:$E$2995,3,FALSE())</f>
        <v>105</v>
      </c>
      <c r="I1055" s="1" t="str">
        <f aca="false">VLOOKUP(H1055,Клиенты!$A$2:$E$1995,5,FALSE())</f>
        <v>г. Железногорск</v>
      </c>
      <c r="J1055" s="1" t="n">
        <f aca="false">VLOOKUP(B1055,Заказы!$A$2:$E$2995,4,FALSE())</f>
        <v>0</v>
      </c>
      <c r="K1055" s="1" t="str">
        <f aca="false">VLOOKUP(B1055,Заказы!$A$2:$E$2995,5,FALSE())</f>
        <v>Не выполнено</v>
      </c>
      <c r="L1055" s="1" t="n">
        <f aca="false">D1055*F1055+J1055</f>
        <v>1710</v>
      </c>
      <c r="M1055" s="1" t="n">
        <f aca="false">IF(AND(E1055="Пицца Труслейка",I1055="г. Москва",K1055="Выполнено",G1055&gt;=DATE(2020,7,1),G1055&lt;DATE(2020,8,1)),L1055,0)</f>
        <v>0</v>
      </c>
    </row>
    <row r="1056" customFormat="false" ht="15" hidden="false" customHeight="true" outlineLevel="0" collapsed="false">
      <c r="A1056" s="1" t="n">
        <v>101417</v>
      </c>
      <c r="B1056" s="1" t="n">
        <v>51223</v>
      </c>
      <c r="C1056" s="1" t="n">
        <v>18</v>
      </c>
      <c r="D1056" s="1" t="n">
        <v>10</v>
      </c>
      <c r="E1056" s="1" t="str">
        <f aca="false">VLOOKUP(C1056,Меню!$A$2:$C$24,2,FALSE())</f>
        <v>Пицца Царская</v>
      </c>
      <c r="F1056" s="1" t="n">
        <f aca="false">VLOOKUP(C1056,Меню!$A$2:$C$24,3,FALSE())</f>
        <v>620</v>
      </c>
      <c r="G1056" s="5" t="n">
        <f aca="false">VLOOKUP(B1056,Заказы!$A$2:$E$2995,2,FALSE())</f>
        <v>44037</v>
      </c>
      <c r="H1056" s="1" t="n">
        <f aca="false">VLOOKUP(B1056,Заказы!$A$2:$E$2995,3,FALSE())</f>
        <v>1051</v>
      </c>
      <c r="I1056" s="1" t="str">
        <f aca="false">VLOOKUP(H1056,Клиенты!$A$2:$E$1995,5,FALSE())</f>
        <v>г. Юрьевец</v>
      </c>
      <c r="J1056" s="1" t="n">
        <f aca="false">VLOOKUP(B1056,Заказы!$A$2:$E$2995,4,FALSE())</f>
        <v>0</v>
      </c>
      <c r="K1056" s="1" t="str">
        <f aca="false">VLOOKUP(B1056,Заказы!$A$2:$E$2995,5,FALSE())</f>
        <v>Не выполнено</v>
      </c>
      <c r="L1056" s="1" t="n">
        <f aca="false">D1056*F1056+J1056</f>
        <v>6200</v>
      </c>
      <c r="M1056" s="1" t="n">
        <f aca="false">IF(AND(E1056="Пицца Труслейка",I1056="г. Москва",K1056="Выполнено",G1056&gt;=DATE(2020,7,1),G1056&lt;DATE(2020,8,1)),L1056,0)</f>
        <v>0</v>
      </c>
    </row>
    <row r="1057" customFormat="false" ht="15" hidden="false" customHeight="true" outlineLevel="0" collapsed="false">
      <c r="A1057" s="1" t="n">
        <v>100393</v>
      </c>
      <c r="B1057" s="1" t="n">
        <v>51846</v>
      </c>
      <c r="C1057" s="1" t="n">
        <v>23</v>
      </c>
      <c r="D1057" s="1" t="n">
        <v>4</v>
      </c>
      <c r="E1057" s="1" t="str">
        <f aca="false">VLOOKUP(C1057,Меню!$A$2:$C$24,2,FALSE())</f>
        <v>Пицца с тунцом</v>
      </c>
      <c r="F1057" s="1" t="n">
        <f aca="false">VLOOKUP(C1057,Меню!$A$2:$C$24,3,FALSE())</f>
        <v>520</v>
      </c>
      <c r="G1057" s="5" t="n">
        <f aca="false">VLOOKUP(B1057,Заказы!$A$2:$E$2995,2,FALSE())</f>
        <v>44005</v>
      </c>
      <c r="H1057" s="1" t="n">
        <f aca="false">VLOOKUP(B1057,Заказы!$A$2:$E$2995,3,FALSE())</f>
        <v>817</v>
      </c>
      <c r="I1057" s="1" t="str">
        <f aca="false">VLOOKUP(H1057,Клиенты!$A$2:$E$1995,5,FALSE())</f>
        <v>г. Шагонар</v>
      </c>
      <c r="J1057" s="1" t="n">
        <f aca="false">VLOOKUP(B1057,Заказы!$A$2:$E$2995,4,FALSE())</f>
        <v>0</v>
      </c>
      <c r="K1057" s="1" t="str">
        <f aca="false">VLOOKUP(B1057,Заказы!$A$2:$E$2995,5,FALSE())</f>
        <v>Не выполнено</v>
      </c>
      <c r="L1057" s="1" t="n">
        <f aca="false">D1057*F1057+J1057</f>
        <v>2080</v>
      </c>
      <c r="M1057" s="1" t="n">
        <f aca="false">IF(AND(E1057="Пицца Труслейка",I1057="г. Москва",K1057="Выполнено",G1057&gt;=DATE(2020,7,1),G1057&lt;DATE(2020,8,1)),L1057,0)</f>
        <v>0</v>
      </c>
    </row>
    <row r="1058" customFormat="false" ht="15" hidden="false" customHeight="true" outlineLevel="0" collapsed="false">
      <c r="A1058" s="1" t="n">
        <v>100566</v>
      </c>
      <c r="B1058" s="1" t="n">
        <v>50721</v>
      </c>
      <c r="C1058" s="1" t="n">
        <v>7</v>
      </c>
      <c r="D1058" s="1" t="n">
        <v>10</v>
      </c>
      <c r="E1058" s="1" t="str">
        <f aca="false">VLOOKUP(C1058,Меню!$A$2:$C$24,2,FALSE())</f>
        <v>Пицца Карбонара</v>
      </c>
      <c r="F1058" s="1" t="n">
        <f aca="false">VLOOKUP(C1058,Меню!$A$2:$C$24,3,FALSE())</f>
        <v>625</v>
      </c>
      <c r="G1058" s="5" t="n">
        <f aca="false">VLOOKUP(B1058,Заказы!$A$2:$E$2995,2,FALSE())</f>
        <v>44000</v>
      </c>
      <c r="H1058" s="1" t="n">
        <f aca="false">VLOOKUP(B1058,Заказы!$A$2:$E$2995,3,FALSE())</f>
        <v>1186</v>
      </c>
      <c r="I1058" s="1" t="str">
        <f aca="false">VLOOKUP(H1058,Клиенты!$A$2:$E$1995,5,FALSE())</f>
        <v>г. Ленск</v>
      </c>
      <c r="J1058" s="1" t="n">
        <f aca="false">VLOOKUP(B1058,Заказы!$A$2:$E$2995,4,FALSE())</f>
        <v>897</v>
      </c>
      <c r="K1058" s="1" t="str">
        <f aca="false">VLOOKUP(B1058,Заказы!$A$2:$E$2995,5,FALSE())</f>
        <v>Выполнено</v>
      </c>
      <c r="L1058" s="1" t="n">
        <f aca="false">D1058*F1058+J1058</f>
        <v>7147</v>
      </c>
      <c r="M1058" s="1" t="n">
        <f aca="false">IF(AND(E1058="Пицца Труслейка",I1058="г. Москва",K1058="Выполнено",G1058&gt;=DATE(2020,7,1),G1058&lt;DATE(2020,8,1)),L1058,0)</f>
        <v>0</v>
      </c>
    </row>
    <row r="1059" customFormat="false" ht="15" hidden="false" customHeight="true" outlineLevel="0" collapsed="false">
      <c r="A1059" s="1" t="n">
        <v>100027</v>
      </c>
      <c r="B1059" s="1" t="n">
        <v>51329</v>
      </c>
      <c r="C1059" s="1" t="n">
        <v>3</v>
      </c>
      <c r="D1059" s="1" t="n">
        <v>4</v>
      </c>
      <c r="E1059" s="1" t="str">
        <f aca="false">VLOOKUP(C1059,Меню!$A$2:$C$24,2,FALSE())</f>
        <v>Пицца Диабло</v>
      </c>
      <c r="F1059" s="1" t="n">
        <f aca="false">VLOOKUP(C1059,Меню!$A$2:$C$24,3,FALSE())</f>
        <v>590</v>
      </c>
      <c r="G1059" s="5" t="n">
        <f aca="false">VLOOKUP(B1059,Заказы!$A$2:$E$2995,2,FALSE())</f>
        <v>44061</v>
      </c>
      <c r="H1059" s="1" t="n">
        <f aca="false">VLOOKUP(B1059,Заказы!$A$2:$E$2995,3,FALSE())</f>
        <v>1886</v>
      </c>
      <c r="I1059" s="1" t="str">
        <f aca="false">VLOOKUP(H1059,Клиенты!$A$2:$E$1995,5,FALSE())</f>
        <v>г. Губкин</v>
      </c>
      <c r="J1059" s="1" t="n">
        <f aca="false">VLOOKUP(B1059,Заказы!$A$2:$E$2995,4,FALSE())</f>
        <v>642</v>
      </c>
      <c r="K1059" s="1" t="str">
        <f aca="false">VLOOKUP(B1059,Заказы!$A$2:$E$2995,5,FALSE())</f>
        <v>Выполнено</v>
      </c>
      <c r="L1059" s="1" t="n">
        <f aca="false">D1059*F1059+J1059</f>
        <v>3002</v>
      </c>
      <c r="M1059" s="1" t="n">
        <f aca="false">IF(AND(E1059="Пицца Труслейка",I1059="г. Москва",K1059="Выполнено",G1059&gt;=DATE(2020,7,1),G1059&lt;DATE(2020,8,1)),L1059,0)</f>
        <v>0</v>
      </c>
    </row>
    <row r="1060" customFormat="false" ht="15" hidden="false" customHeight="true" outlineLevel="0" collapsed="false">
      <c r="A1060" s="1" t="n">
        <v>100381</v>
      </c>
      <c r="B1060" s="1" t="n">
        <v>51037</v>
      </c>
      <c r="C1060" s="1" t="n">
        <v>5</v>
      </c>
      <c r="D1060" s="1" t="n">
        <v>3</v>
      </c>
      <c r="E1060" s="1" t="str">
        <f aca="false">VLOOKUP(C1060,Меню!$A$2:$C$24,2,FALSE())</f>
        <v>Пицца Жюльен</v>
      </c>
      <c r="F1060" s="1" t="n">
        <f aca="false">VLOOKUP(C1060,Меню!$A$2:$C$24,3,FALSE())</f>
        <v>580</v>
      </c>
      <c r="G1060" s="5" t="n">
        <f aca="false">VLOOKUP(B1060,Заказы!$A$2:$E$2995,2,FALSE())</f>
        <v>44069</v>
      </c>
      <c r="H1060" s="1" t="n">
        <f aca="false">VLOOKUP(B1060,Заказы!$A$2:$E$2995,3,FALSE())</f>
        <v>65</v>
      </c>
      <c r="I1060" s="1" t="str">
        <f aca="false">VLOOKUP(H1060,Клиенты!$A$2:$E$1995,5,FALSE())</f>
        <v>г. Верея</v>
      </c>
      <c r="J1060" s="1" t="n">
        <f aca="false">VLOOKUP(B1060,Заказы!$A$2:$E$2995,4,FALSE())</f>
        <v>0</v>
      </c>
      <c r="K1060" s="1" t="str">
        <f aca="false">VLOOKUP(B1060,Заказы!$A$2:$E$2995,5,FALSE())</f>
        <v>Не выполнено</v>
      </c>
      <c r="L1060" s="1" t="n">
        <f aca="false">D1060*F1060+J1060</f>
        <v>1740</v>
      </c>
      <c r="M1060" s="1" t="n">
        <f aca="false">IF(AND(E1060="Пицца Труслейка",I1060="г. Москва",K1060="Выполнено",G1060&gt;=DATE(2020,7,1),G1060&lt;DATE(2020,8,1)),L1060,0)</f>
        <v>0</v>
      </c>
    </row>
    <row r="1061" customFormat="false" ht="15" hidden="false" customHeight="true" outlineLevel="0" collapsed="false">
      <c r="A1061" s="1" t="n">
        <v>100729</v>
      </c>
      <c r="B1061" s="1" t="n">
        <v>51697</v>
      </c>
      <c r="C1061" s="1" t="n">
        <v>4</v>
      </c>
      <c r="D1061" s="1" t="n">
        <v>8</v>
      </c>
      <c r="E1061" s="1" t="str">
        <f aca="false">VLOOKUP(C1061,Меню!$A$2:$C$24,2,FALSE())</f>
        <v>Пицца Труслейка</v>
      </c>
      <c r="F1061" s="1" t="n">
        <f aca="false">VLOOKUP(C1061,Меню!$A$2:$C$24,3,FALSE())</f>
        <v>610</v>
      </c>
      <c r="G1061" s="5" t="n">
        <f aca="false">VLOOKUP(B1061,Заказы!$A$2:$E$2995,2,FALSE())</f>
        <v>44062</v>
      </c>
      <c r="H1061" s="1" t="n">
        <f aca="false">VLOOKUP(B1061,Заказы!$A$2:$E$2995,3,FALSE())</f>
        <v>220</v>
      </c>
      <c r="I1061" s="1" t="str">
        <f aca="false">VLOOKUP(H1061,Клиенты!$A$2:$E$1995,5,FALSE())</f>
        <v>г. Москва</v>
      </c>
      <c r="J1061" s="1" t="n">
        <f aca="false">VLOOKUP(B1061,Заказы!$A$2:$E$2995,4,FALSE())</f>
        <v>620</v>
      </c>
      <c r="K1061" s="1" t="str">
        <f aca="false">VLOOKUP(B1061,Заказы!$A$2:$E$2995,5,FALSE())</f>
        <v>Выполнено</v>
      </c>
      <c r="L1061" s="1" t="n">
        <f aca="false">D1061*F1061+J1061</f>
        <v>5500</v>
      </c>
      <c r="M1061" s="1" t="n">
        <f aca="false">IF(AND(E1061="Пицца Труслейка",I1061="г. Москва",K1061="Выполнено",G1061&gt;=DATE(2020,7,1),G1061&lt;DATE(2020,8,1)),L1061,0)</f>
        <v>0</v>
      </c>
    </row>
    <row r="1062" customFormat="false" ht="15" hidden="false" customHeight="true" outlineLevel="0" collapsed="false">
      <c r="A1062" s="1" t="n">
        <v>100513</v>
      </c>
      <c r="B1062" s="1" t="n">
        <v>51838</v>
      </c>
      <c r="C1062" s="1" t="n">
        <v>18</v>
      </c>
      <c r="D1062" s="1" t="n">
        <v>8</v>
      </c>
      <c r="E1062" s="1" t="str">
        <f aca="false">VLOOKUP(C1062,Меню!$A$2:$C$24,2,FALSE())</f>
        <v>Пицца Царская</v>
      </c>
      <c r="F1062" s="1" t="n">
        <f aca="false">VLOOKUP(C1062,Меню!$A$2:$C$24,3,FALSE())</f>
        <v>620</v>
      </c>
      <c r="G1062" s="5" t="n">
        <f aca="false">VLOOKUP(B1062,Заказы!$A$2:$E$2995,2,FALSE())</f>
        <v>44024</v>
      </c>
      <c r="H1062" s="1" t="n">
        <f aca="false">VLOOKUP(B1062,Заказы!$A$2:$E$2995,3,FALSE())</f>
        <v>1502</v>
      </c>
      <c r="I1062" s="1" t="str">
        <f aca="false">VLOOKUP(H1062,Клиенты!$A$2:$E$1995,5,FALSE())</f>
        <v>г. Боровск</v>
      </c>
      <c r="J1062" s="1" t="n">
        <f aca="false">VLOOKUP(B1062,Заказы!$A$2:$E$2995,4,FALSE())</f>
        <v>0</v>
      </c>
      <c r="K1062" s="1" t="str">
        <f aca="false">VLOOKUP(B1062,Заказы!$A$2:$E$2995,5,FALSE())</f>
        <v>Не выполнено</v>
      </c>
      <c r="L1062" s="1" t="n">
        <f aca="false">D1062*F1062+J1062</f>
        <v>4960</v>
      </c>
      <c r="M1062" s="1" t="n">
        <f aca="false">IF(AND(E1062="Пицца Труслейка",I1062="г. Москва",K1062="Выполнено",G1062&gt;=DATE(2020,7,1),G1062&lt;DATE(2020,8,1)),L1062,0)</f>
        <v>0</v>
      </c>
    </row>
    <row r="1063" customFormat="false" ht="15" hidden="false" customHeight="true" outlineLevel="0" collapsed="false">
      <c r="A1063" s="1" t="n">
        <v>100878</v>
      </c>
      <c r="B1063" s="1" t="n">
        <v>50310</v>
      </c>
      <c r="C1063" s="1" t="n">
        <v>4</v>
      </c>
      <c r="D1063" s="1" t="n">
        <v>5</v>
      </c>
      <c r="E1063" s="1" t="str">
        <f aca="false">VLOOKUP(C1063,Меню!$A$2:$C$24,2,FALSE())</f>
        <v>Пицца Труслейка</v>
      </c>
      <c r="F1063" s="1" t="n">
        <f aca="false">VLOOKUP(C1063,Меню!$A$2:$C$24,3,FALSE())</f>
        <v>610</v>
      </c>
      <c r="G1063" s="5" t="n">
        <f aca="false">VLOOKUP(B1063,Заказы!$A$2:$E$2995,2,FALSE())</f>
        <v>44005</v>
      </c>
      <c r="H1063" s="1" t="n">
        <f aca="false">VLOOKUP(B1063,Заказы!$A$2:$E$2995,3,FALSE())</f>
        <v>821</v>
      </c>
      <c r="I1063" s="1" t="str">
        <f aca="false">VLOOKUP(H1063,Клиенты!$A$2:$E$1995,5,FALSE())</f>
        <v>г. Касимов</v>
      </c>
      <c r="J1063" s="1" t="n">
        <f aca="false">VLOOKUP(B1063,Заказы!$A$2:$E$2995,4,FALSE())</f>
        <v>134</v>
      </c>
      <c r="K1063" s="1" t="str">
        <f aca="false">VLOOKUP(B1063,Заказы!$A$2:$E$2995,5,FALSE())</f>
        <v>Выполнено</v>
      </c>
      <c r="L1063" s="1" t="n">
        <f aca="false">D1063*F1063+J1063</f>
        <v>3184</v>
      </c>
      <c r="M1063" s="1" t="n">
        <f aca="false">IF(AND(E1063="Пицца Труслейка",I1063="г. Москва",K1063="Выполнено",G1063&gt;=DATE(2020,7,1),G1063&lt;DATE(2020,8,1)),L1063,0)</f>
        <v>0</v>
      </c>
    </row>
    <row r="1064" customFormat="false" ht="15" hidden="false" customHeight="true" outlineLevel="0" collapsed="false">
      <c r="A1064" s="1" t="n">
        <v>100494</v>
      </c>
      <c r="B1064" s="1" t="n">
        <v>50580</v>
      </c>
      <c r="C1064" s="1" t="n">
        <v>9</v>
      </c>
      <c r="D1064" s="1" t="n">
        <v>6</v>
      </c>
      <c r="E1064" s="1" t="str">
        <f aca="false">VLOOKUP(C1064,Меню!$A$2:$C$24,2,FALSE())</f>
        <v>Пицца Острая с беконом</v>
      </c>
      <c r="F1064" s="1" t="n">
        <f aca="false">VLOOKUP(C1064,Меню!$A$2:$C$24,3,FALSE())</f>
        <v>540</v>
      </c>
      <c r="G1064" s="5" t="n">
        <f aca="false">VLOOKUP(B1064,Заказы!$A$2:$E$2995,2,FALSE())</f>
        <v>44042</v>
      </c>
      <c r="H1064" s="1" t="n">
        <f aca="false">VLOOKUP(B1064,Заказы!$A$2:$E$2995,3,FALSE())</f>
        <v>66</v>
      </c>
      <c r="I1064" s="1" t="str">
        <f aca="false">VLOOKUP(H1064,Клиенты!$A$2:$E$1995,5,FALSE())</f>
        <v>г. Волчанск</v>
      </c>
      <c r="J1064" s="1" t="n">
        <f aca="false">VLOOKUP(B1064,Заказы!$A$2:$E$2995,4,FALSE())</f>
        <v>134</v>
      </c>
      <c r="K1064" s="1" t="str">
        <f aca="false">VLOOKUP(B1064,Заказы!$A$2:$E$2995,5,FALSE())</f>
        <v>Выполнено</v>
      </c>
      <c r="L1064" s="1" t="n">
        <f aca="false">D1064*F1064+J1064</f>
        <v>3374</v>
      </c>
      <c r="M1064" s="1" t="n">
        <f aca="false">IF(AND(E1064="Пицца Труслейка",I1064="г. Москва",K1064="Выполнено",G1064&gt;=DATE(2020,7,1),G1064&lt;DATE(2020,8,1)),L1064,0)</f>
        <v>0</v>
      </c>
    </row>
    <row r="1065" customFormat="false" ht="15" hidden="false" customHeight="true" outlineLevel="0" collapsed="false">
      <c r="A1065" s="1" t="n">
        <v>101838</v>
      </c>
      <c r="B1065" s="1" t="n">
        <v>50969</v>
      </c>
      <c r="C1065" s="1" t="n">
        <v>11</v>
      </c>
      <c r="D1065" s="1" t="n">
        <v>9</v>
      </c>
      <c r="E1065" s="1" t="str">
        <f aca="false">VLOOKUP(C1065,Меню!$A$2:$C$24,2,FALSE())</f>
        <v>Пицца Песто</v>
      </c>
      <c r="F1065" s="1" t="n">
        <f aca="false">VLOOKUP(C1065,Меню!$A$2:$C$24,3,FALSE())</f>
        <v>530</v>
      </c>
      <c r="G1065" s="5" t="n">
        <f aca="false">VLOOKUP(B1065,Заказы!$A$2:$E$2995,2,FALSE())</f>
        <v>44047</v>
      </c>
      <c r="H1065" s="1" t="n">
        <f aca="false">VLOOKUP(B1065,Заказы!$A$2:$E$2995,3,FALSE())</f>
        <v>240</v>
      </c>
      <c r="I1065" s="1" t="str">
        <f aca="false">VLOOKUP(H1065,Клиенты!$A$2:$E$1995,5,FALSE())</f>
        <v>г. Москва</v>
      </c>
      <c r="J1065" s="1" t="n">
        <f aca="false">VLOOKUP(B1065,Заказы!$A$2:$E$2995,4,FALSE())</f>
        <v>118</v>
      </c>
      <c r="K1065" s="1" t="str">
        <f aca="false">VLOOKUP(B1065,Заказы!$A$2:$E$2995,5,FALSE())</f>
        <v>Выполнено</v>
      </c>
      <c r="L1065" s="1" t="n">
        <f aca="false">D1065*F1065+J1065</f>
        <v>4888</v>
      </c>
      <c r="M1065" s="1" t="n">
        <f aca="false">IF(AND(E1065="Пицца Труслейка",I1065="г. Москва",K1065="Выполнено",G1065&gt;=DATE(2020,7,1),G1065&lt;DATE(2020,8,1)),L1065,0)</f>
        <v>0</v>
      </c>
    </row>
    <row r="1066" customFormat="false" ht="15" hidden="false" customHeight="true" outlineLevel="0" collapsed="false">
      <c r="A1066" s="1" t="n">
        <v>101374</v>
      </c>
      <c r="B1066" s="1" t="n">
        <v>51864</v>
      </c>
      <c r="C1066" s="1" t="n">
        <v>23</v>
      </c>
      <c r="D1066" s="1" t="n">
        <v>9</v>
      </c>
      <c r="E1066" s="1" t="str">
        <f aca="false">VLOOKUP(C1066,Меню!$A$2:$C$24,2,FALSE())</f>
        <v>Пицца с тунцом</v>
      </c>
      <c r="F1066" s="1" t="n">
        <f aca="false">VLOOKUP(C1066,Меню!$A$2:$C$24,3,FALSE())</f>
        <v>520</v>
      </c>
      <c r="G1066" s="5" t="n">
        <f aca="false">VLOOKUP(B1066,Заказы!$A$2:$E$2995,2,FALSE())</f>
        <v>44043</v>
      </c>
      <c r="H1066" s="1" t="n">
        <f aca="false">VLOOKUP(B1066,Заказы!$A$2:$E$2995,3,FALSE())</f>
        <v>772</v>
      </c>
      <c r="I1066" s="1" t="str">
        <f aca="false">VLOOKUP(H1066,Клиенты!$A$2:$E$1995,5,FALSE())</f>
        <v>г. Благовещенск</v>
      </c>
      <c r="J1066" s="1" t="n">
        <f aca="false">VLOOKUP(B1066,Заказы!$A$2:$E$2995,4,FALSE())</f>
        <v>114</v>
      </c>
      <c r="K1066" s="1" t="str">
        <f aca="false">VLOOKUP(B1066,Заказы!$A$2:$E$2995,5,FALSE())</f>
        <v>Выполнено</v>
      </c>
      <c r="L1066" s="1" t="n">
        <f aca="false">D1066*F1066+J1066</f>
        <v>4794</v>
      </c>
      <c r="M1066" s="1" t="n">
        <f aca="false">IF(AND(E1066="Пицца Труслейка",I1066="г. Москва",K1066="Выполнено",G1066&gt;=DATE(2020,7,1),G1066&lt;DATE(2020,8,1)),L1066,0)</f>
        <v>0</v>
      </c>
    </row>
    <row r="1067" customFormat="false" ht="15" hidden="false" customHeight="true" outlineLevel="0" collapsed="false">
      <c r="A1067" s="1" t="n">
        <v>101413</v>
      </c>
      <c r="B1067" s="1" t="n">
        <v>50536</v>
      </c>
      <c r="C1067" s="1" t="n">
        <v>13</v>
      </c>
      <c r="D1067" s="1" t="n">
        <v>6</v>
      </c>
      <c r="E1067" s="1" t="str">
        <f aca="false">VLOOKUP(C1067,Меню!$A$2:$C$24,2,FALSE())</f>
        <v>Пицца Сырная</v>
      </c>
      <c r="F1067" s="1" t="n">
        <f aca="false">VLOOKUP(C1067,Меню!$A$2:$C$24,3,FALSE())</f>
        <v>635</v>
      </c>
      <c r="G1067" s="5" t="n">
        <f aca="false">VLOOKUP(B1067,Заказы!$A$2:$E$2995,2,FALSE())</f>
        <v>44034</v>
      </c>
      <c r="H1067" s="1" t="n">
        <f aca="false">VLOOKUP(B1067,Заказы!$A$2:$E$2995,3,FALSE())</f>
        <v>259</v>
      </c>
      <c r="I1067" s="1" t="str">
        <f aca="false">VLOOKUP(H1067,Клиенты!$A$2:$E$1995,5,FALSE())</f>
        <v>г. Орлов</v>
      </c>
      <c r="J1067" s="1" t="n">
        <f aca="false">VLOOKUP(B1067,Заказы!$A$2:$E$2995,4,FALSE())</f>
        <v>563</v>
      </c>
      <c r="K1067" s="1" t="str">
        <f aca="false">VLOOKUP(B1067,Заказы!$A$2:$E$2995,5,FALSE())</f>
        <v>Выполнено</v>
      </c>
      <c r="L1067" s="1" t="n">
        <f aca="false">D1067*F1067+J1067</f>
        <v>4373</v>
      </c>
      <c r="M1067" s="1" t="n">
        <f aca="false">IF(AND(E1067="Пицца Труслейка",I1067="г. Москва",K1067="Выполнено",G1067&gt;=DATE(2020,7,1),G1067&lt;DATE(2020,8,1)),L1067,0)</f>
        <v>0</v>
      </c>
    </row>
    <row r="1068" customFormat="false" ht="15" hidden="false" customHeight="true" outlineLevel="0" collapsed="false">
      <c r="A1068" s="1" t="n">
        <v>101279</v>
      </c>
      <c r="B1068" s="1" t="n">
        <v>50768</v>
      </c>
      <c r="C1068" s="1" t="n">
        <v>8</v>
      </c>
      <c r="D1068" s="1" t="n">
        <v>3</v>
      </c>
      <c r="E1068" s="1" t="str">
        <f aca="false">VLOOKUP(C1068,Меню!$A$2:$C$24,2,FALSE())</f>
        <v>Пицца Мясная</v>
      </c>
      <c r="F1068" s="1" t="n">
        <f aca="false">VLOOKUP(C1068,Меню!$A$2:$C$24,3,FALSE())</f>
        <v>615</v>
      </c>
      <c r="G1068" s="5" t="n">
        <f aca="false">VLOOKUP(B1068,Заказы!$A$2:$E$2995,2,FALSE())</f>
        <v>43990</v>
      </c>
      <c r="H1068" s="1" t="n">
        <f aca="false">VLOOKUP(B1068,Заказы!$A$2:$E$2995,3,FALSE())</f>
        <v>1928</v>
      </c>
      <c r="I1068" s="1" t="str">
        <f aca="false">VLOOKUP(H1068,Клиенты!$A$2:$E$1995,5,FALSE())</f>
        <v>г. Киренск</v>
      </c>
      <c r="J1068" s="1" t="n">
        <f aca="false">VLOOKUP(B1068,Заказы!$A$2:$E$2995,4,FALSE())</f>
        <v>0</v>
      </c>
      <c r="K1068" s="1" t="str">
        <f aca="false">VLOOKUP(B1068,Заказы!$A$2:$E$2995,5,FALSE())</f>
        <v>Не выполнено</v>
      </c>
      <c r="L1068" s="1" t="n">
        <f aca="false">D1068*F1068+J1068</f>
        <v>1845</v>
      </c>
      <c r="M1068" s="1" t="n">
        <f aca="false">IF(AND(E1068="Пицца Труслейка",I1068="г. Москва",K1068="Выполнено",G1068&gt;=DATE(2020,7,1),G1068&lt;DATE(2020,8,1)),L1068,0)</f>
        <v>0</v>
      </c>
    </row>
    <row r="1069" customFormat="false" ht="15" hidden="false" customHeight="true" outlineLevel="0" collapsed="false">
      <c r="A1069" s="1" t="n">
        <v>101048</v>
      </c>
      <c r="B1069" s="1" t="n">
        <v>50676</v>
      </c>
      <c r="C1069" s="1" t="n">
        <v>18</v>
      </c>
      <c r="D1069" s="1" t="n">
        <v>1</v>
      </c>
      <c r="E1069" s="1" t="str">
        <f aca="false">VLOOKUP(C1069,Меню!$A$2:$C$24,2,FALSE())</f>
        <v>Пицца Царская</v>
      </c>
      <c r="F1069" s="1" t="n">
        <f aca="false">VLOOKUP(C1069,Меню!$A$2:$C$24,3,FALSE())</f>
        <v>620</v>
      </c>
      <c r="G1069" s="5" t="n">
        <f aca="false">VLOOKUP(B1069,Заказы!$A$2:$E$2995,2,FALSE())</f>
        <v>44064</v>
      </c>
      <c r="H1069" s="1" t="n">
        <f aca="false">VLOOKUP(B1069,Заказы!$A$2:$E$2995,3,FALSE())</f>
        <v>531</v>
      </c>
      <c r="I1069" s="1" t="str">
        <f aca="false">VLOOKUP(H1069,Клиенты!$A$2:$E$1995,5,FALSE())</f>
        <v>г. Дзержинск</v>
      </c>
      <c r="J1069" s="1" t="n">
        <f aca="false">VLOOKUP(B1069,Заказы!$A$2:$E$2995,4,FALSE())</f>
        <v>0</v>
      </c>
      <c r="K1069" s="1" t="str">
        <f aca="false">VLOOKUP(B1069,Заказы!$A$2:$E$2995,5,FALSE())</f>
        <v>Не выполнено</v>
      </c>
      <c r="L1069" s="1" t="n">
        <f aca="false">D1069*F1069+J1069</f>
        <v>620</v>
      </c>
      <c r="M1069" s="1" t="n">
        <f aca="false">IF(AND(E1069="Пицца Труслейка",I1069="г. Москва",K1069="Выполнено",G1069&gt;=DATE(2020,7,1),G1069&lt;DATE(2020,8,1)),L1069,0)</f>
        <v>0</v>
      </c>
    </row>
    <row r="1070" customFormat="false" ht="15" hidden="false" customHeight="true" outlineLevel="0" collapsed="false">
      <c r="A1070" s="1" t="n">
        <v>101929</v>
      </c>
      <c r="B1070" s="1" t="n">
        <v>51679</v>
      </c>
      <c r="C1070" s="1" t="n">
        <v>7</v>
      </c>
      <c r="D1070" s="1" t="n">
        <v>6</v>
      </c>
      <c r="E1070" s="1" t="str">
        <f aca="false">VLOOKUP(C1070,Меню!$A$2:$C$24,2,FALSE())</f>
        <v>Пицца Карбонара</v>
      </c>
      <c r="F1070" s="1" t="n">
        <f aca="false">VLOOKUP(C1070,Меню!$A$2:$C$24,3,FALSE())</f>
        <v>625</v>
      </c>
      <c r="G1070" s="5" t="n">
        <f aca="false">VLOOKUP(B1070,Заказы!$A$2:$E$2995,2,FALSE())</f>
        <v>44048</v>
      </c>
      <c r="H1070" s="1" t="n">
        <f aca="false">VLOOKUP(B1070,Заказы!$A$2:$E$2995,3,FALSE())</f>
        <v>1451</v>
      </c>
      <c r="I1070" s="1" t="str">
        <f aca="false">VLOOKUP(H1070,Клиенты!$A$2:$E$1995,5,FALSE())</f>
        <v>г. Гатчина</v>
      </c>
      <c r="J1070" s="1" t="n">
        <f aca="false">VLOOKUP(B1070,Заказы!$A$2:$E$2995,4,FALSE())</f>
        <v>0</v>
      </c>
      <c r="K1070" s="1" t="str">
        <f aca="false">VLOOKUP(B1070,Заказы!$A$2:$E$2995,5,FALSE())</f>
        <v>Не выполнено</v>
      </c>
      <c r="L1070" s="1" t="n">
        <f aca="false">D1070*F1070+J1070</f>
        <v>3750</v>
      </c>
      <c r="M1070" s="1" t="n">
        <f aca="false">IF(AND(E1070="Пицца Труслейка",I1070="г. Москва",K1070="Выполнено",G1070&gt;=DATE(2020,7,1),G1070&lt;DATE(2020,8,1)),L1070,0)</f>
        <v>0</v>
      </c>
    </row>
    <row r="1071" customFormat="false" ht="15" hidden="false" customHeight="true" outlineLevel="0" collapsed="false">
      <c r="A1071" s="1" t="n">
        <v>101257</v>
      </c>
      <c r="B1071" s="1" t="n">
        <v>50516</v>
      </c>
      <c r="C1071" s="1" t="n">
        <v>4</v>
      </c>
      <c r="D1071" s="1" t="n">
        <v>7</v>
      </c>
      <c r="E1071" s="1" t="str">
        <f aca="false">VLOOKUP(C1071,Меню!$A$2:$C$24,2,FALSE())</f>
        <v>Пицца Труслейка</v>
      </c>
      <c r="F1071" s="1" t="n">
        <f aca="false">VLOOKUP(C1071,Меню!$A$2:$C$24,3,FALSE())</f>
        <v>610</v>
      </c>
      <c r="G1071" s="5" t="n">
        <f aca="false">VLOOKUP(B1071,Заказы!$A$2:$E$2995,2,FALSE())</f>
        <v>44069</v>
      </c>
      <c r="H1071" s="1" t="n">
        <f aca="false">VLOOKUP(B1071,Заказы!$A$2:$E$2995,3,FALSE())</f>
        <v>979</v>
      </c>
      <c r="I1071" s="1" t="str">
        <f aca="false">VLOOKUP(H1071,Клиенты!$A$2:$E$1995,5,FALSE())</f>
        <v>г. Ельня</v>
      </c>
      <c r="J1071" s="1" t="n">
        <f aca="false">VLOOKUP(B1071,Заказы!$A$2:$E$2995,4,FALSE())</f>
        <v>0</v>
      </c>
      <c r="K1071" s="1" t="str">
        <f aca="false">VLOOKUP(B1071,Заказы!$A$2:$E$2995,5,FALSE())</f>
        <v>Не выполнено</v>
      </c>
      <c r="L1071" s="1" t="n">
        <f aca="false">D1071*F1071+J1071</f>
        <v>4270</v>
      </c>
      <c r="M1071" s="1" t="n">
        <f aca="false">IF(AND(E1071="Пицца Труслейка",I1071="г. Москва",K1071="Выполнено",G1071&gt;=DATE(2020,7,1),G1071&lt;DATE(2020,8,1)),L1071,0)</f>
        <v>0</v>
      </c>
    </row>
    <row r="1072" customFormat="false" ht="15" hidden="false" customHeight="true" outlineLevel="0" collapsed="false">
      <c r="A1072" s="1" t="n">
        <v>101030</v>
      </c>
      <c r="B1072" s="1" t="n">
        <v>50728</v>
      </c>
      <c r="C1072" s="1" t="n">
        <v>9</v>
      </c>
      <c r="D1072" s="1" t="n">
        <v>10</v>
      </c>
      <c r="E1072" s="1" t="str">
        <f aca="false">VLOOKUP(C1072,Меню!$A$2:$C$24,2,FALSE())</f>
        <v>Пицца Острая с беконом</v>
      </c>
      <c r="F1072" s="1" t="n">
        <f aca="false">VLOOKUP(C1072,Меню!$A$2:$C$24,3,FALSE())</f>
        <v>540</v>
      </c>
      <c r="G1072" s="5" t="n">
        <f aca="false">VLOOKUP(B1072,Заказы!$A$2:$E$2995,2,FALSE())</f>
        <v>44038</v>
      </c>
      <c r="H1072" s="1" t="n">
        <f aca="false">VLOOKUP(B1072,Заказы!$A$2:$E$2995,3,FALSE())</f>
        <v>588</v>
      </c>
      <c r="I1072" s="1" t="str">
        <f aca="false">VLOOKUP(H1072,Клиенты!$A$2:$E$1995,5,FALSE())</f>
        <v>г. Егорьевск</v>
      </c>
      <c r="J1072" s="1" t="n">
        <f aca="false">VLOOKUP(B1072,Заказы!$A$2:$E$2995,4,FALSE())</f>
        <v>0</v>
      </c>
      <c r="K1072" s="1" t="str">
        <f aca="false">VLOOKUP(B1072,Заказы!$A$2:$E$2995,5,FALSE())</f>
        <v>Не выполнено</v>
      </c>
      <c r="L1072" s="1" t="n">
        <f aca="false">D1072*F1072+J1072</f>
        <v>5400</v>
      </c>
      <c r="M1072" s="1" t="n">
        <f aca="false">IF(AND(E1072="Пицца Труслейка",I1072="г. Москва",K1072="Выполнено",G1072&gt;=DATE(2020,7,1),G1072&lt;DATE(2020,8,1)),L1072,0)</f>
        <v>0</v>
      </c>
    </row>
    <row r="1073" customFormat="false" ht="15" hidden="false" customHeight="true" outlineLevel="0" collapsed="false">
      <c r="A1073" s="1" t="n">
        <v>100890</v>
      </c>
      <c r="B1073" s="1" t="n">
        <v>50861</v>
      </c>
      <c r="C1073" s="1" t="n">
        <v>16</v>
      </c>
      <c r="D1073" s="1" t="n">
        <v>2</v>
      </c>
      <c r="E1073" s="1" t="str">
        <f aca="false">VLOOKUP(C1073,Меню!$A$2:$C$24,2,FALSE())</f>
        <v>Пицца Флорида</v>
      </c>
      <c r="F1073" s="1" t="n">
        <f aca="false">VLOOKUP(C1073,Меню!$A$2:$C$24,3,FALSE())</f>
        <v>535</v>
      </c>
      <c r="G1073" s="5" t="n">
        <f aca="false">VLOOKUP(B1073,Заказы!$A$2:$E$2995,2,FALSE())</f>
        <v>44009</v>
      </c>
      <c r="H1073" s="1" t="n">
        <f aca="false">VLOOKUP(B1073,Заказы!$A$2:$E$2995,3,FALSE())</f>
        <v>1885</v>
      </c>
      <c r="I1073" s="1" t="str">
        <f aca="false">VLOOKUP(H1073,Клиенты!$A$2:$E$1995,5,FALSE())</f>
        <v>г. Пласт</v>
      </c>
      <c r="J1073" s="1" t="n">
        <f aca="false">VLOOKUP(B1073,Заказы!$A$2:$E$2995,4,FALSE())</f>
        <v>0</v>
      </c>
      <c r="K1073" s="1" t="str">
        <f aca="false">VLOOKUP(B1073,Заказы!$A$2:$E$2995,5,FALSE())</f>
        <v>Не выполнено</v>
      </c>
      <c r="L1073" s="1" t="n">
        <f aca="false">D1073*F1073+J1073</f>
        <v>1070</v>
      </c>
      <c r="M1073" s="1" t="n">
        <f aca="false">IF(AND(E1073="Пицца Труслейка",I1073="г. Москва",K1073="Выполнено",G1073&gt;=DATE(2020,7,1),G1073&lt;DATE(2020,8,1)),L1073,0)</f>
        <v>0</v>
      </c>
    </row>
    <row r="1074" customFormat="false" ht="15" hidden="false" customHeight="true" outlineLevel="0" collapsed="false">
      <c r="A1074" s="1" t="n">
        <v>101089</v>
      </c>
      <c r="B1074" s="1" t="n">
        <v>50467</v>
      </c>
      <c r="C1074" s="1" t="n">
        <v>22</v>
      </c>
      <c r="D1074" s="1" t="n">
        <v>4</v>
      </c>
      <c r="E1074" s="1" t="str">
        <f aca="false">VLOOKUP(C1074,Меню!$A$2:$C$24,2,FALSE())</f>
        <v>Пицца с поркеттой и фриарелли</v>
      </c>
      <c r="F1074" s="1" t="n">
        <f aca="false">VLOOKUP(C1074,Меню!$A$2:$C$24,3,FALSE())</f>
        <v>550</v>
      </c>
      <c r="G1074" s="5" t="n">
        <f aca="false">VLOOKUP(B1074,Заказы!$A$2:$E$2995,2,FALSE())</f>
        <v>43988</v>
      </c>
      <c r="H1074" s="1" t="n">
        <f aca="false">VLOOKUP(B1074,Заказы!$A$2:$E$2995,3,FALSE())</f>
        <v>344</v>
      </c>
      <c r="I1074" s="1" t="str">
        <f aca="false">VLOOKUP(H1074,Клиенты!$A$2:$E$1995,5,FALSE())</f>
        <v>г. Нововоронеж</v>
      </c>
      <c r="J1074" s="1" t="n">
        <f aca="false">VLOOKUP(B1074,Заказы!$A$2:$E$2995,4,FALSE())</f>
        <v>730</v>
      </c>
      <c r="K1074" s="1" t="str">
        <f aca="false">VLOOKUP(B1074,Заказы!$A$2:$E$2995,5,FALSE())</f>
        <v>Выполнено</v>
      </c>
      <c r="L1074" s="1" t="n">
        <f aca="false">D1074*F1074+J1074</f>
        <v>2930</v>
      </c>
      <c r="M1074" s="1" t="n">
        <f aca="false">IF(AND(E1074="Пицца Труслейка",I1074="г. Москва",K1074="Выполнено",G1074&gt;=DATE(2020,7,1),G1074&lt;DATE(2020,8,1)),L1074,0)</f>
        <v>0</v>
      </c>
    </row>
    <row r="1075" customFormat="false" ht="15" hidden="false" customHeight="true" outlineLevel="0" collapsed="false">
      <c r="A1075" s="1" t="n">
        <v>100029</v>
      </c>
      <c r="B1075" s="1" t="n">
        <v>51777</v>
      </c>
      <c r="C1075" s="1" t="n">
        <v>6</v>
      </c>
      <c r="D1075" s="1" t="n">
        <v>8</v>
      </c>
      <c r="E1075" s="1" t="str">
        <f aca="false">VLOOKUP(C1075,Меню!$A$2:$C$24,2,FALSE())</f>
        <v>Пицца Капричиоза</v>
      </c>
      <c r="F1075" s="1" t="n">
        <f aca="false">VLOOKUP(C1075,Меню!$A$2:$C$24,3,FALSE())</f>
        <v>570</v>
      </c>
      <c r="G1075" s="5" t="n">
        <f aca="false">VLOOKUP(B1075,Заказы!$A$2:$E$2995,2,FALSE())</f>
        <v>44048</v>
      </c>
      <c r="H1075" s="1" t="n">
        <f aca="false">VLOOKUP(B1075,Заказы!$A$2:$E$2995,3,FALSE())</f>
        <v>56</v>
      </c>
      <c r="I1075" s="1" t="str">
        <f aca="false">VLOOKUP(H1075,Клиенты!$A$2:$E$1995,5,FALSE())</f>
        <v>г. Новоржев</v>
      </c>
      <c r="J1075" s="1" t="n">
        <f aca="false">VLOOKUP(B1075,Заказы!$A$2:$E$2995,4,FALSE())</f>
        <v>0</v>
      </c>
      <c r="K1075" s="1" t="str">
        <f aca="false">VLOOKUP(B1075,Заказы!$A$2:$E$2995,5,FALSE())</f>
        <v>Не выполнено</v>
      </c>
      <c r="L1075" s="1" t="n">
        <f aca="false">D1075*F1075+J1075</f>
        <v>4560</v>
      </c>
      <c r="M1075" s="1" t="n">
        <f aca="false">IF(AND(E1075="Пицца Труслейка",I1075="г. Москва",K1075="Выполнено",G1075&gt;=DATE(2020,7,1),G1075&lt;DATE(2020,8,1)),L1075,0)</f>
        <v>0</v>
      </c>
    </row>
    <row r="1076" customFormat="false" ht="15" hidden="false" customHeight="true" outlineLevel="0" collapsed="false">
      <c r="A1076" s="1" t="n">
        <v>101472</v>
      </c>
      <c r="B1076" s="1" t="n">
        <v>50734</v>
      </c>
      <c r="C1076" s="1" t="n">
        <v>6</v>
      </c>
      <c r="D1076" s="1" t="n">
        <v>10</v>
      </c>
      <c r="E1076" s="1" t="str">
        <f aca="false">VLOOKUP(C1076,Меню!$A$2:$C$24,2,FALSE())</f>
        <v>Пицца Капричиоза</v>
      </c>
      <c r="F1076" s="1" t="n">
        <f aca="false">VLOOKUP(C1076,Меню!$A$2:$C$24,3,FALSE())</f>
        <v>570</v>
      </c>
      <c r="G1076" s="5" t="n">
        <f aca="false">VLOOKUP(B1076,Заказы!$A$2:$E$2995,2,FALSE())</f>
        <v>44056</v>
      </c>
      <c r="H1076" s="1" t="n">
        <f aca="false">VLOOKUP(B1076,Заказы!$A$2:$E$2995,3,FALSE())</f>
        <v>1090</v>
      </c>
      <c r="I1076" s="1" t="str">
        <f aca="false">VLOOKUP(H1076,Клиенты!$A$2:$E$1995,5,FALSE())</f>
        <v>г. Москва</v>
      </c>
      <c r="J1076" s="1" t="n">
        <f aca="false">VLOOKUP(B1076,Заказы!$A$2:$E$2995,4,FALSE())</f>
        <v>196</v>
      </c>
      <c r="K1076" s="1" t="str">
        <f aca="false">VLOOKUP(B1076,Заказы!$A$2:$E$2995,5,FALSE())</f>
        <v>Выполнено</v>
      </c>
      <c r="L1076" s="1" t="n">
        <f aca="false">D1076*F1076+J1076</f>
        <v>5896</v>
      </c>
      <c r="M1076" s="1" t="n">
        <f aca="false">IF(AND(E1076="Пицца Труслейка",I1076="г. Москва",K1076="Выполнено",G1076&gt;=DATE(2020,7,1),G1076&lt;DATE(2020,8,1)),L1076,0)</f>
        <v>0</v>
      </c>
    </row>
    <row r="1077" customFormat="false" ht="15" hidden="false" customHeight="true" outlineLevel="0" collapsed="false">
      <c r="A1077" s="1" t="n">
        <v>101596</v>
      </c>
      <c r="B1077" s="1" t="n">
        <v>51799</v>
      </c>
      <c r="C1077" s="1" t="n">
        <v>23</v>
      </c>
      <c r="D1077" s="1" t="n">
        <v>3</v>
      </c>
      <c r="E1077" s="1" t="str">
        <f aca="false">VLOOKUP(C1077,Меню!$A$2:$C$24,2,FALSE())</f>
        <v>Пицца с тунцом</v>
      </c>
      <c r="F1077" s="1" t="n">
        <f aca="false">VLOOKUP(C1077,Меню!$A$2:$C$24,3,FALSE())</f>
        <v>520</v>
      </c>
      <c r="G1077" s="5" t="n">
        <f aca="false">VLOOKUP(B1077,Заказы!$A$2:$E$2995,2,FALSE())</f>
        <v>43990</v>
      </c>
      <c r="H1077" s="1" t="n">
        <f aca="false">VLOOKUP(B1077,Заказы!$A$2:$E$2995,3,FALSE())</f>
        <v>1405</v>
      </c>
      <c r="I1077" s="1" t="str">
        <f aca="false">VLOOKUP(H1077,Клиенты!$A$2:$E$1995,5,FALSE())</f>
        <v>г. Тавда</v>
      </c>
      <c r="J1077" s="1" t="n">
        <f aca="false">VLOOKUP(B1077,Заказы!$A$2:$E$2995,4,FALSE())</f>
        <v>0</v>
      </c>
      <c r="K1077" s="1" t="str">
        <f aca="false">VLOOKUP(B1077,Заказы!$A$2:$E$2995,5,FALSE())</f>
        <v>Не выполнено</v>
      </c>
      <c r="L1077" s="1" t="n">
        <f aca="false">D1077*F1077+J1077</f>
        <v>1560</v>
      </c>
      <c r="M1077" s="1" t="n">
        <f aca="false">IF(AND(E1077="Пицца Труслейка",I1077="г. Москва",K1077="Выполнено",G1077&gt;=DATE(2020,7,1),G1077&lt;DATE(2020,8,1)),L1077,0)</f>
        <v>0</v>
      </c>
    </row>
    <row r="1078" customFormat="false" ht="15" hidden="false" customHeight="true" outlineLevel="0" collapsed="false">
      <c r="A1078" s="1" t="n">
        <v>101626</v>
      </c>
      <c r="B1078" s="1" t="n">
        <v>50863</v>
      </c>
      <c r="C1078" s="1" t="n">
        <v>18</v>
      </c>
      <c r="D1078" s="1" t="n">
        <v>8</v>
      </c>
      <c r="E1078" s="1" t="str">
        <f aca="false">VLOOKUP(C1078,Меню!$A$2:$C$24,2,FALSE())</f>
        <v>Пицца Царская</v>
      </c>
      <c r="F1078" s="1" t="n">
        <f aca="false">VLOOKUP(C1078,Меню!$A$2:$C$24,3,FALSE())</f>
        <v>620</v>
      </c>
      <c r="G1078" s="5" t="n">
        <f aca="false">VLOOKUP(B1078,Заказы!$A$2:$E$2995,2,FALSE())</f>
        <v>44062</v>
      </c>
      <c r="H1078" s="1" t="n">
        <f aca="false">VLOOKUP(B1078,Заказы!$A$2:$E$2995,3,FALSE())</f>
        <v>60</v>
      </c>
      <c r="I1078" s="1" t="str">
        <f aca="false">VLOOKUP(H1078,Клиенты!$A$2:$E$1995,5,FALSE())</f>
        <v>г. Москва</v>
      </c>
      <c r="J1078" s="1" t="n">
        <f aca="false">VLOOKUP(B1078,Заказы!$A$2:$E$2995,4,FALSE())</f>
        <v>552</v>
      </c>
      <c r="K1078" s="1" t="str">
        <f aca="false">VLOOKUP(B1078,Заказы!$A$2:$E$2995,5,FALSE())</f>
        <v>Выполнено</v>
      </c>
      <c r="L1078" s="1" t="n">
        <f aca="false">D1078*F1078+J1078</f>
        <v>5512</v>
      </c>
      <c r="M1078" s="1" t="n">
        <f aca="false">IF(AND(E1078="Пицца Труслейка",I1078="г. Москва",K1078="Выполнено",G1078&gt;=DATE(2020,7,1),G1078&lt;DATE(2020,8,1)),L1078,0)</f>
        <v>0</v>
      </c>
    </row>
    <row r="1079" customFormat="false" ht="15" hidden="false" customHeight="true" outlineLevel="0" collapsed="false">
      <c r="A1079" s="1" t="n">
        <v>100762</v>
      </c>
      <c r="B1079" s="1" t="n">
        <v>51365</v>
      </c>
      <c r="C1079" s="1" t="n">
        <v>17</v>
      </c>
      <c r="D1079" s="1" t="n">
        <v>9</v>
      </c>
      <c r="E1079" s="1" t="str">
        <f aca="false">VLOOKUP(C1079,Меню!$A$2:$C$24,2,FALSE())</f>
        <v>Пицца Френч Фрайз</v>
      </c>
      <c r="F1079" s="1" t="n">
        <f aca="false">VLOOKUP(C1079,Меню!$A$2:$C$24,3,FALSE())</f>
        <v>515</v>
      </c>
      <c r="G1079" s="5" t="n">
        <f aca="false">VLOOKUP(B1079,Заказы!$A$2:$E$2995,2,FALSE())</f>
        <v>44022</v>
      </c>
      <c r="H1079" s="1" t="n">
        <f aca="false">VLOOKUP(B1079,Заказы!$A$2:$E$2995,3,FALSE())</f>
        <v>1627</v>
      </c>
      <c r="I1079" s="1" t="str">
        <f aca="false">VLOOKUP(H1079,Клиенты!$A$2:$E$1995,5,FALSE())</f>
        <v>г. Фокино</v>
      </c>
      <c r="J1079" s="1" t="n">
        <f aca="false">VLOOKUP(B1079,Заказы!$A$2:$E$2995,4,FALSE())</f>
        <v>0</v>
      </c>
      <c r="K1079" s="1" t="str">
        <f aca="false">VLOOKUP(B1079,Заказы!$A$2:$E$2995,5,FALSE())</f>
        <v>Не выполнено</v>
      </c>
      <c r="L1079" s="1" t="n">
        <f aca="false">D1079*F1079+J1079</f>
        <v>4635</v>
      </c>
      <c r="M1079" s="1" t="n">
        <f aca="false">IF(AND(E1079="Пицца Труслейка",I1079="г. Москва",K1079="Выполнено",G1079&gt;=DATE(2020,7,1),G1079&lt;DATE(2020,8,1)),L1079,0)</f>
        <v>0</v>
      </c>
    </row>
    <row r="1080" customFormat="false" ht="15" hidden="false" customHeight="true" outlineLevel="0" collapsed="false">
      <c r="A1080" s="1" t="n">
        <v>100621</v>
      </c>
      <c r="B1080" s="1" t="n">
        <v>50610</v>
      </c>
      <c r="C1080" s="1" t="n">
        <v>16</v>
      </c>
      <c r="D1080" s="1" t="n">
        <v>1</v>
      </c>
      <c r="E1080" s="1" t="str">
        <f aca="false">VLOOKUP(C1080,Меню!$A$2:$C$24,2,FALSE())</f>
        <v>Пицца Флорида</v>
      </c>
      <c r="F1080" s="1" t="n">
        <f aca="false">VLOOKUP(C1080,Меню!$A$2:$C$24,3,FALSE())</f>
        <v>535</v>
      </c>
      <c r="G1080" s="5" t="n">
        <f aca="false">VLOOKUP(B1080,Заказы!$A$2:$E$2995,2,FALSE())</f>
        <v>44056</v>
      </c>
      <c r="H1080" s="1" t="n">
        <f aca="false">VLOOKUP(B1080,Заказы!$A$2:$E$2995,3,FALSE())</f>
        <v>1753</v>
      </c>
      <c r="I1080" s="1" t="str">
        <f aca="false">VLOOKUP(H1080,Клиенты!$A$2:$E$1995,5,FALSE())</f>
        <v>г. Сортавала</v>
      </c>
      <c r="J1080" s="1" t="n">
        <f aca="false">VLOOKUP(B1080,Заказы!$A$2:$E$2995,4,FALSE())</f>
        <v>0</v>
      </c>
      <c r="K1080" s="1" t="str">
        <f aca="false">VLOOKUP(B1080,Заказы!$A$2:$E$2995,5,FALSE())</f>
        <v>Не выполнено</v>
      </c>
      <c r="L1080" s="1" t="n">
        <f aca="false">D1080*F1080+J1080</f>
        <v>535</v>
      </c>
      <c r="M1080" s="1" t="n">
        <f aca="false">IF(AND(E1080="Пицца Труслейка",I1080="г. Москва",K1080="Выполнено",G1080&gt;=DATE(2020,7,1),G1080&lt;DATE(2020,8,1)),L1080,0)</f>
        <v>0</v>
      </c>
    </row>
    <row r="1081" customFormat="false" ht="15" hidden="false" customHeight="true" outlineLevel="0" collapsed="false">
      <c r="A1081" s="1" t="n">
        <v>100087</v>
      </c>
      <c r="B1081" s="1" t="n">
        <v>50338</v>
      </c>
      <c r="C1081" s="1" t="n">
        <v>4</v>
      </c>
      <c r="D1081" s="1" t="n">
        <v>9</v>
      </c>
      <c r="E1081" s="1" t="str">
        <f aca="false">VLOOKUP(C1081,Меню!$A$2:$C$24,2,FALSE())</f>
        <v>Пицца Труслейка</v>
      </c>
      <c r="F1081" s="1" t="n">
        <f aca="false">VLOOKUP(C1081,Меню!$A$2:$C$24,3,FALSE())</f>
        <v>610</v>
      </c>
      <c r="G1081" s="5" t="n">
        <f aca="false">VLOOKUP(B1081,Заказы!$A$2:$E$2995,2,FALSE())</f>
        <v>44008</v>
      </c>
      <c r="H1081" s="1" t="n">
        <f aca="false">VLOOKUP(B1081,Заказы!$A$2:$E$2995,3,FALSE())</f>
        <v>1465</v>
      </c>
      <c r="I1081" s="1" t="str">
        <f aca="false">VLOOKUP(H1081,Клиенты!$A$2:$E$1995,5,FALSE())</f>
        <v>г. Урай</v>
      </c>
      <c r="J1081" s="1" t="n">
        <f aca="false">VLOOKUP(B1081,Заказы!$A$2:$E$2995,4,FALSE())</f>
        <v>891</v>
      </c>
      <c r="K1081" s="1" t="str">
        <f aca="false">VLOOKUP(B1081,Заказы!$A$2:$E$2995,5,FALSE())</f>
        <v>Выполнено</v>
      </c>
      <c r="L1081" s="1" t="n">
        <f aca="false">D1081*F1081+J1081</f>
        <v>6381</v>
      </c>
      <c r="M1081" s="1" t="n">
        <f aca="false">IF(AND(E1081="Пицца Труслейка",I1081="г. Москва",K1081="Выполнено",G1081&gt;=DATE(2020,7,1),G1081&lt;DATE(2020,8,1)),L1081,0)</f>
        <v>0</v>
      </c>
    </row>
    <row r="1082" customFormat="false" ht="15" hidden="false" customHeight="true" outlineLevel="0" collapsed="false">
      <c r="A1082" s="1" t="n">
        <v>101150</v>
      </c>
      <c r="B1082" s="1" t="n">
        <v>51051</v>
      </c>
      <c r="C1082" s="1" t="n">
        <v>4</v>
      </c>
      <c r="D1082" s="1" t="n">
        <v>5</v>
      </c>
      <c r="E1082" s="1" t="str">
        <f aca="false">VLOOKUP(C1082,Меню!$A$2:$C$24,2,FALSE())</f>
        <v>Пицца Труслейка</v>
      </c>
      <c r="F1082" s="1" t="n">
        <f aca="false">VLOOKUP(C1082,Меню!$A$2:$C$24,3,FALSE())</f>
        <v>610</v>
      </c>
      <c r="G1082" s="5" t="n">
        <f aca="false">VLOOKUP(B1082,Заказы!$A$2:$E$2995,2,FALSE())</f>
        <v>44001</v>
      </c>
      <c r="H1082" s="1" t="n">
        <f aca="false">VLOOKUP(B1082,Заказы!$A$2:$E$2995,3,FALSE())</f>
        <v>1387</v>
      </c>
      <c r="I1082" s="1" t="str">
        <f aca="false">VLOOKUP(H1082,Клиенты!$A$2:$E$1995,5,FALSE())</f>
        <v>г. Заволжск</v>
      </c>
      <c r="J1082" s="1" t="n">
        <f aca="false">VLOOKUP(B1082,Заказы!$A$2:$E$2995,4,FALSE())</f>
        <v>553</v>
      </c>
      <c r="K1082" s="1" t="str">
        <f aca="false">VLOOKUP(B1082,Заказы!$A$2:$E$2995,5,FALSE())</f>
        <v>Выполнено</v>
      </c>
      <c r="L1082" s="1" t="n">
        <f aca="false">D1082*F1082+J1082</f>
        <v>3603</v>
      </c>
      <c r="M1082" s="1" t="n">
        <f aca="false">IF(AND(E1082="Пицца Труслейка",I1082="г. Москва",K1082="Выполнено",G1082&gt;=DATE(2020,7,1),G1082&lt;DATE(2020,8,1)),L1082,0)</f>
        <v>0</v>
      </c>
    </row>
    <row r="1083" customFormat="false" ht="15" hidden="false" customHeight="true" outlineLevel="0" collapsed="false">
      <c r="A1083" s="1" t="n">
        <v>101932</v>
      </c>
      <c r="B1083" s="1" t="n">
        <v>51454</v>
      </c>
      <c r="C1083" s="1" t="n">
        <v>1</v>
      </c>
      <c r="D1083" s="1" t="n">
        <v>9</v>
      </c>
      <c r="E1083" s="1" t="str">
        <f aca="false">VLOOKUP(C1083,Меню!$A$2:$C$24,2,FALSE())</f>
        <v>Пицца Гавайская</v>
      </c>
      <c r="F1083" s="1" t="n">
        <f aca="false">VLOOKUP(C1083,Меню!$A$2:$C$24,3,FALSE())</f>
        <v>545</v>
      </c>
      <c r="G1083" s="5" t="n">
        <f aca="false">VLOOKUP(B1083,Заказы!$A$2:$E$2995,2,FALSE())</f>
        <v>44014</v>
      </c>
      <c r="H1083" s="1" t="n">
        <f aca="false">VLOOKUP(B1083,Заказы!$A$2:$E$2995,3,FALSE())</f>
        <v>461</v>
      </c>
      <c r="I1083" s="1" t="str">
        <f aca="false">VLOOKUP(H1083,Клиенты!$A$2:$E$1995,5,FALSE())</f>
        <v>г. Велиж</v>
      </c>
      <c r="J1083" s="1" t="n">
        <f aca="false">VLOOKUP(B1083,Заказы!$A$2:$E$2995,4,FALSE())</f>
        <v>500</v>
      </c>
      <c r="K1083" s="1" t="str">
        <f aca="false">VLOOKUP(B1083,Заказы!$A$2:$E$2995,5,FALSE())</f>
        <v>Выполнено</v>
      </c>
      <c r="L1083" s="1" t="n">
        <f aca="false">D1083*F1083+J1083</f>
        <v>5405</v>
      </c>
      <c r="M1083" s="1" t="n">
        <f aca="false">IF(AND(E1083="Пицца Труслейка",I1083="г. Москва",K1083="Выполнено",G1083&gt;=DATE(2020,7,1),G1083&lt;DATE(2020,8,1)),L1083,0)</f>
        <v>0</v>
      </c>
    </row>
    <row r="1084" customFormat="false" ht="15" hidden="false" customHeight="true" outlineLevel="0" collapsed="false">
      <c r="A1084" s="1" t="n">
        <v>100392</v>
      </c>
      <c r="B1084" s="1" t="n">
        <v>50177</v>
      </c>
      <c r="C1084" s="1" t="n">
        <v>20</v>
      </c>
      <c r="D1084" s="1" t="n">
        <v>8</v>
      </c>
      <c r="E1084" s="1" t="str">
        <f aca="false">VLOOKUP(C1084,Меню!$A$2:$C$24,2,FALSE())</f>
        <v>Пицца пиканте</v>
      </c>
      <c r="F1084" s="1" t="n">
        <f aca="false">VLOOKUP(C1084,Меню!$A$2:$C$24,3,FALSE())</f>
        <v>585</v>
      </c>
      <c r="G1084" s="5" t="n">
        <f aca="false">VLOOKUP(B1084,Заказы!$A$2:$E$2995,2,FALSE())</f>
        <v>44071</v>
      </c>
      <c r="H1084" s="1" t="n">
        <f aca="false">VLOOKUP(B1084,Заказы!$A$2:$E$2995,3,FALSE())</f>
        <v>203</v>
      </c>
      <c r="I1084" s="1" t="str">
        <f aca="false">VLOOKUP(H1084,Клиенты!$A$2:$E$1995,5,FALSE())</f>
        <v>г. Себеж</v>
      </c>
      <c r="J1084" s="1" t="n">
        <f aca="false">VLOOKUP(B1084,Заказы!$A$2:$E$2995,4,FALSE())</f>
        <v>0</v>
      </c>
      <c r="K1084" s="1" t="str">
        <f aca="false">VLOOKUP(B1084,Заказы!$A$2:$E$2995,5,FALSE())</f>
        <v>Не выполнено</v>
      </c>
      <c r="L1084" s="1" t="n">
        <f aca="false">D1084*F1084+J1084</f>
        <v>4680</v>
      </c>
      <c r="M1084" s="1" t="n">
        <f aca="false">IF(AND(E1084="Пицца Труслейка",I1084="г. Москва",K1084="Выполнено",G1084&gt;=DATE(2020,7,1),G1084&lt;DATE(2020,8,1)),L1084,0)</f>
        <v>0</v>
      </c>
    </row>
    <row r="1085" customFormat="false" ht="15" hidden="false" customHeight="true" outlineLevel="0" collapsed="false">
      <c r="A1085" s="1" t="n">
        <v>101760</v>
      </c>
      <c r="B1085" s="1" t="n">
        <v>50926</v>
      </c>
      <c r="C1085" s="1" t="n">
        <v>19</v>
      </c>
      <c r="D1085" s="1" t="n">
        <v>4</v>
      </c>
      <c r="E1085" s="1" t="str">
        <f aca="false">VLOOKUP(C1085,Меню!$A$2:$C$24,2,FALSE())</f>
        <v>Пицца Цезарь</v>
      </c>
      <c r="F1085" s="1" t="n">
        <f aca="false">VLOOKUP(C1085,Меню!$A$2:$C$24,3,FALSE())</f>
        <v>630</v>
      </c>
      <c r="G1085" s="5" t="n">
        <f aca="false">VLOOKUP(B1085,Заказы!$A$2:$E$2995,2,FALSE())</f>
        <v>44023</v>
      </c>
      <c r="H1085" s="1" t="n">
        <f aca="false">VLOOKUP(B1085,Заказы!$A$2:$E$2995,3,FALSE())</f>
        <v>1982</v>
      </c>
      <c r="I1085" s="1" t="str">
        <f aca="false">VLOOKUP(H1085,Клиенты!$A$2:$E$1995,5,FALSE())</f>
        <v>г. Тольятти</v>
      </c>
      <c r="J1085" s="1" t="n">
        <f aca="false">VLOOKUP(B1085,Заказы!$A$2:$E$2995,4,FALSE())</f>
        <v>519</v>
      </c>
      <c r="K1085" s="1" t="str">
        <f aca="false">VLOOKUP(B1085,Заказы!$A$2:$E$2995,5,FALSE())</f>
        <v>Выполнено</v>
      </c>
      <c r="L1085" s="1" t="n">
        <f aca="false">D1085*F1085+J1085</f>
        <v>3039</v>
      </c>
      <c r="M1085" s="1" t="n">
        <f aca="false">IF(AND(E1085="Пицца Труслейка",I1085="г. Москва",K1085="Выполнено",G1085&gt;=DATE(2020,7,1),G1085&lt;DATE(2020,8,1)),L1085,0)</f>
        <v>0</v>
      </c>
    </row>
    <row r="1086" customFormat="false" ht="15" hidden="false" customHeight="true" outlineLevel="0" collapsed="false">
      <c r="A1086" s="1" t="n">
        <v>101496</v>
      </c>
      <c r="B1086" s="1" t="n">
        <v>51150</v>
      </c>
      <c r="C1086" s="1" t="n">
        <v>21</v>
      </c>
      <c r="D1086" s="1" t="n">
        <v>3</v>
      </c>
      <c r="E1086" s="1" t="str">
        <f aca="false">VLOOKUP(C1086,Меню!$A$2:$C$24,2,FALSE())</f>
        <v>Пицца с креветками и цукини</v>
      </c>
      <c r="F1086" s="1" t="n">
        <f aca="false">VLOOKUP(C1086,Меню!$A$2:$C$24,3,FALSE())</f>
        <v>600</v>
      </c>
      <c r="G1086" s="5" t="n">
        <f aca="false">VLOOKUP(B1086,Заказы!$A$2:$E$2995,2,FALSE())</f>
        <v>44020</v>
      </c>
      <c r="H1086" s="1" t="n">
        <f aca="false">VLOOKUP(B1086,Заказы!$A$2:$E$2995,3,FALSE())</f>
        <v>239</v>
      </c>
      <c r="I1086" s="1" t="str">
        <f aca="false">VLOOKUP(H1086,Клиенты!$A$2:$E$1995,5,FALSE())</f>
        <v>г. Асино</v>
      </c>
      <c r="J1086" s="1" t="n">
        <f aca="false">VLOOKUP(B1086,Заказы!$A$2:$E$2995,4,FALSE())</f>
        <v>0</v>
      </c>
      <c r="K1086" s="1" t="str">
        <f aca="false">VLOOKUP(B1086,Заказы!$A$2:$E$2995,5,FALSE())</f>
        <v>Не выполнено</v>
      </c>
      <c r="L1086" s="1" t="n">
        <f aca="false">D1086*F1086+J1086</f>
        <v>1800</v>
      </c>
      <c r="M1086" s="1" t="n">
        <f aca="false">IF(AND(E1086="Пицца Труслейка",I1086="г. Москва",K1086="Выполнено",G1086&gt;=DATE(2020,7,1),G1086&lt;DATE(2020,8,1)),L1086,0)</f>
        <v>0</v>
      </c>
    </row>
    <row r="1087" customFormat="false" ht="15" hidden="false" customHeight="true" outlineLevel="0" collapsed="false">
      <c r="A1087" s="1" t="n">
        <v>101393</v>
      </c>
      <c r="B1087" s="1" t="n">
        <v>50950</v>
      </c>
      <c r="C1087" s="1" t="n">
        <v>1</v>
      </c>
      <c r="D1087" s="1" t="n">
        <v>3</v>
      </c>
      <c r="E1087" s="1" t="str">
        <f aca="false">VLOOKUP(C1087,Меню!$A$2:$C$24,2,FALSE())</f>
        <v>Пицца Гавайская</v>
      </c>
      <c r="F1087" s="1" t="n">
        <f aca="false">VLOOKUP(C1087,Меню!$A$2:$C$24,3,FALSE())</f>
        <v>545</v>
      </c>
      <c r="G1087" s="5" t="n">
        <f aca="false">VLOOKUP(B1087,Заказы!$A$2:$E$2995,2,FALSE())</f>
        <v>44061</v>
      </c>
      <c r="H1087" s="1" t="n">
        <f aca="false">VLOOKUP(B1087,Заказы!$A$2:$E$2995,3,FALSE())</f>
        <v>1570</v>
      </c>
      <c r="I1087" s="1" t="str">
        <f aca="false">VLOOKUP(H1087,Клиенты!$A$2:$E$1995,5,FALSE())</f>
        <v>г. Москва</v>
      </c>
      <c r="J1087" s="1" t="n">
        <f aca="false">VLOOKUP(B1087,Заказы!$A$2:$E$2995,4,FALSE())</f>
        <v>0</v>
      </c>
      <c r="K1087" s="1" t="str">
        <f aca="false">VLOOKUP(B1087,Заказы!$A$2:$E$2995,5,FALSE())</f>
        <v>Не выполнено</v>
      </c>
      <c r="L1087" s="1" t="n">
        <f aca="false">D1087*F1087+J1087</f>
        <v>1635</v>
      </c>
      <c r="M1087" s="1" t="n">
        <f aca="false">IF(AND(E1087="Пицца Труслейка",I1087="г. Москва",K1087="Выполнено",G1087&gt;=DATE(2020,7,1),G1087&lt;DATE(2020,8,1)),L1087,0)</f>
        <v>0</v>
      </c>
    </row>
    <row r="1088" customFormat="false" ht="15" hidden="false" customHeight="true" outlineLevel="0" collapsed="false">
      <c r="A1088" s="1" t="n">
        <v>100735</v>
      </c>
      <c r="B1088" s="1" t="n">
        <v>50923</v>
      </c>
      <c r="C1088" s="1" t="n">
        <v>22</v>
      </c>
      <c r="D1088" s="1" t="n">
        <v>10</v>
      </c>
      <c r="E1088" s="1" t="str">
        <f aca="false">VLOOKUP(C1088,Меню!$A$2:$C$24,2,FALSE())</f>
        <v>Пицца с поркеттой и фриарелли</v>
      </c>
      <c r="F1088" s="1" t="n">
        <f aca="false">VLOOKUP(C1088,Меню!$A$2:$C$24,3,FALSE())</f>
        <v>550</v>
      </c>
      <c r="G1088" s="5" t="n">
        <f aca="false">VLOOKUP(B1088,Заказы!$A$2:$E$2995,2,FALSE())</f>
        <v>44010</v>
      </c>
      <c r="H1088" s="1" t="n">
        <f aca="false">VLOOKUP(B1088,Заказы!$A$2:$E$2995,3,FALSE())</f>
        <v>963</v>
      </c>
      <c r="I1088" s="1" t="str">
        <f aca="false">VLOOKUP(H1088,Клиенты!$A$2:$E$1995,5,FALSE())</f>
        <v>г. Фокино</v>
      </c>
      <c r="J1088" s="1" t="n">
        <f aca="false">VLOOKUP(B1088,Заказы!$A$2:$E$2995,4,FALSE())</f>
        <v>758</v>
      </c>
      <c r="K1088" s="1" t="str">
        <f aca="false">VLOOKUP(B1088,Заказы!$A$2:$E$2995,5,FALSE())</f>
        <v>Выполнено</v>
      </c>
      <c r="L1088" s="1" t="n">
        <f aca="false">D1088*F1088+J1088</f>
        <v>6258</v>
      </c>
      <c r="M1088" s="1" t="n">
        <f aca="false">IF(AND(E1088="Пицца Труслейка",I1088="г. Москва",K1088="Выполнено",G1088&gt;=DATE(2020,7,1),G1088&lt;DATE(2020,8,1)),L1088,0)</f>
        <v>0</v>
      </c>
    </row>
    <row r="1089" customFormat="false" ht="15" hidden="false" customHeight="true" outlineLevel="0" collapsed="false">
      <c r="A1089" s="1" t="n">
        <v>101440</v>
      </c>
      <c r="B1089" s="1" t="n">
        <v>50189</v>
      </c>
      <c r="C1089" s="1" t="n">
        <v>21</v>
      </c>
      <c r="D1089" s="1" t="n">
        <v>7</v>
      </c>
      <c r="E1089" s="1" t="str">
        <f aca="false">VLOOKUP(C1089,Меню!$A$2:$C$24,2,FALSE())</f>
        <v>Пицца с креветками и цукини</v>
      </c>
      <c r="F1089" s="1" t="n">
        <f aca="false">VLOOKUP(C1089,Меню!$A$2:$C$24,3,FALSE())</f>
        <v>600</v>
      </c>
      <c r="G1089" s="5" t="n">
        <f aca="false">VLOOKUP(B1089,Заказы!$A$2:$E$2995,2,FALSE())</f>
        <v>44004</v>
      </c>
      <c r="H1089" s="1" t="n">
        <f aca="false">VLOOKUP(B1089,Заказы!$A$2:$E$2995,3,FALSE())</f>
        <v>649</v>
      </c>
      <c r="I1089" s="1" t="str">
        <f aca="false">VLOOKUP(H1089,Клиенты!$A$2:$E$1995,5,FALSE())</f>
        <v>г. Карабулак</v>
      </c>
      <c r="J1089" s="1" t="n">
        <f aca="false">VLOOKUP(B1089,Заказы!$A$2:$E$2995,4,FALSE())</f>
        <v>0</v>
      </c>
      <c r="K1089" s="1" t="str">
        <f aca="false">VLOOKUP(B1089,Заказы!$A$2:$E$2995,5,FALSE())</f>
        <v>Не выполнено</v>
      </c>
      <c r="L1089" s="1" t="n">
        <f aca="false">D1089*F1089+J1089</f>
        <v>4200</v>
      </c>
      <c r="M1089" s="1" t="n">
        <f aca="false">IF(AND(E1089="Пицца Труслейка",I1089="г. Москва",K1089="Выполнено",G1089&gt;=DATE(2020,7,1),G1089&lt;DATE(2020,8,1)),L1089,0)</f>
        <v>0</v>
      </c>
    </row>
    <row r="1090" customFormat="false" ht="15" hidden="false" customHeight="true" outlineLevel="0" collapsed="false">
      <c r="A1090" s="1" t="n">
        <v>100647</v>
      </c>
      <c r="B1090" s="1" t="n">
        <v>51984</v>
      </c>
      <c r="C1090" s="1" t="n">
        <v>23</v>
      </c>
      <c r="D1090" s="1" t="n">
        <v>10</v>
      </c>
      <c r="E1090" s="1" t="str">
        <f aca="false">VLOOKUP(C1090,Меню!$A$2:$C$24,2,FALSE())</f>
        <v>Пицца с тунцом</v>
      </c>
      <c r="F1090" s="1" t="n">
        <f aca="false">VLOOKUP(C1090,Меню!$A$2:$C$24,3,FALSE())</f>
        <v>520</v>
      </c>
      <c r="G1090" s="5" t="n">
        <f aca="false">VLOOKUP(B1090,Заказы!$A$2:$E$2995,2,FALSE())</f>
        <v>44065</v>
      </c>
      <c r="H1090" s="1" t="n">
        <f aca="false">VLOOKUP(B1090,Заказы!$A$2:$E$2995,3,FALSE())</f>
        <v>916</v>
      </c>
      <c r="I1090" s="1" t="str">
        <f aca="false">VLOOKUP(H1090,Клиенты!$A$2:$E$1995,5,FALSE())</f>
        <v>г. Кирсанов</v>
      </c>
      <c r="J1090" s="1" t="n">
        <f aca="false">VLOOKUP(B1090,Заказы!$A$2:$E$2995,4,FALSE())</f>
        <v>0</v>
      </c>
      <c r="K1090" s="1" t="str">
        <f aca="false">VLOOKUP(B1090,Заказы!$A$2:$E$2995,5,FALSE())</f>
        <v>Не выполнено</v>
      </c>
      <c r="L1090" s="1" t="n">
        <f aca="false">D1090*F1090+J1090</f>
        <v>5200</v>
      </c>
      <c r="M1090" s="1" t="n">
        <f aca="false">IF(AND(E1090="Пицца Труслейка",I1090="г. Москва",K1090="Выполнено",G1090&gt;=DATE(2020,7,1),G1090&lt;DATE(2020,8,1)),L1090,0)</f>
        <v>0</v>
      </c>
    </row>
    <row r="1091" customFormat="false" ht="15" hidden="false" customHeight="true" outlineLevel="0" collapsed="false">
      <c r="A1091" s="1" t="n">
        <v>101227</v>
      </c>
      <c r="B1091" s="1" t="n">
        <v>51183</v>
      </c>
      <c r="C1091" s="1" t="n">
        <v>4</v>
      </c>
      <c r="D1091" s="1" t="n">
        <v>2</v>
      </c>
      <c r="E1091" s="1" t="str">
        <f aca="false">VLOOKUP(C1091,Меню!$A$2:$C$24,2,FALSE())</f>
        <v>Пицца Труслейка</v>
      </c>
      <c r="F1091" s="1" t="n">
        <f aca="false">VLOOKUP(C1091,Меню!$A$2:$C$24,3,FALSE())</f>
        <v>610</v>
      </c>
      <c r="G1091" s="5" t="n">
        <f aca="false">VLOOKUP(B1091,Заказы!$A$2:$E$2995,2,FALSE())</f>
        <v>44011</v>
      </c>
      <c r="H1091" s="1" t="n">
        <f aca="false">VLOOKUP(B1091,Заказы!$A$2:$E$2995,3,FALSE())</f>
        <v>490</v>
      </c>
      <c r="I1091" s="1" t="str">
        <f aca="false">VLOOKUP(H1091,Клиенты!$A$2:$E$1995,5,FALSE())</f>
        <v>г. Москва</v>
      </c>
      <c r="J1091" s="1" t="n">
        <f aca="false">VLOOKUP(B1091,Заказы!$A$2:$E$2995,4,FALSE())</f>
        <v>0</v>
      </c>
      <c r="K1091" s="1" t="str">
        <f aca="false">VLOOKUP(B1091,Заказы!$A$2:$E$2995,5,FALSE())</f>
        <v>Не выполнено</v>
      </c>
      <c r="L1091" s="1" t="n">
        <f aca="false">D1091*F1091+J1091</f>
        <v>1220</v>
      </c>
      <c r="M1091" s="1" t="n">
        <f aca="false">IF(AND(E1091="Пицца Труслейка",I1091="г. Москва",K1091="Выполнено",G1091&gt;=DATE(2020,7,1),G1091&lt;DATE(2020,8,1)),L1091,0)</f>
        <v>0</v>
      </c>
    </row>
    <row r="1092" customFormat="false" ht="15" hidden="false" customHeight="true" outlineLevel="0" collapsed="false">
      <c r="A1092" s="1" t="n">
        <v>100154</v>
      </c>
      <c r="B1092" s="1" t="n">
        <v>50410</v>
      </c>
      <c r="C1092" s="1" t="n">
        <v>8</v>
      </c>
      <c r="D1092" s="1" t="n">
        <v>2</v>
      </c>
      <c r="E1092" s="1" t="str">
        <f aca="false">VLOOKUP(C1092,Меню!$A$2:$C$24,2,FALSE())</f>
        <v>Пицца Мясная</v>
      </c>
      <c r="F1092" s="1" t="n">
        <f aca="false">VLOOKUP(C1092,Меню!$A$2:$C$24,3,FALSE())</f>
        <v>615</v>
      </c>
      <c r="G1092" s="5" t="n">
        <f aca="false">VLOOKUP(B1092,Заказы!$A$2:$E$2995,2,FALSE())</f>
        <v>44062</v>
      </c>
      <c r="H1092" s="1" t="n">
        <f aca="false">VLOOKUP(B1092,Заказы!$A$2:$E$2995,3,FALSE())</f>
        <v>1240</v>
      </c>
      <c r="I1092" s="1" t="str">
        <f aca="false">VLOOKUP(H1092,Клиенты!$A$2:$E$1995,5,FALSE())</f>
        <v>г. Москва</v>
      </c>
      <c r="J1092" s="1" t="n">
        <f aca="false">VLOOKUP(B1092,Заказы!$A$2:$E$2995,4,FALSE())</f>
        <v>593</v>
      </c>
      <c r="K1092" s="1" t="str">
        <f aca="false">VLOOKUP(B1092,Заказы!$A$2:$E$2995,5,FALSE())</f>
        <v>Выполнено</v>
      </c>
      <c r="L1092" s="1" t="n">
        <f aca="false">D1092*F1092+J1092</f>
        <v>1823</v>
      </c>
      <c r="M1092" s="1" t="n">
        <f aca="false">IF(AND(E1092="Пицца Труслейка",I1092="г. Москва",K1092="Выполнено",G1092&gt;=DATE(2020,7,1),G1092&lt;DATE(2020,8,1)),L1092,0)</f>
        <v>0</v>
      </c>
    </row>
    <row r="1093" customFormat="false" ht="15" hidden="false" customHeight="true" outlineLevel="0" collapsed="false">
      <c r="A1093" s="1" t="n">
        <v>100411</v>
      </c>
      <c r="B1093" s="1" t="n">
        <v>51367</v>
      </c>
      <c r="C1093" s="1" t="n">
        <v>1</v>
      </c>
      <c r="D1093" s="1" t="n">
        <v>4</v>
      </c>
      <c r="E1093" s="1" t="str">
        <f aca="false">VLOOKUP(C1093,Меню!$A$2:$C$24,2,FALSE())</f>
        <v>Пицца Гавайская</v>
      </c>
      <c r="F1093" s="1" t="n">
        <f aca="false">VLOOKUP(C1093,Меню!$A$2:$C$24,3,FALSE())</f>
        <v>545</v>
      </c>
      <c r="G1093" s="5" t="n">
        <f aca="false">VLOOKUP(B1093,Заказы!$A$2:$E$2995,2,FALSE())</f>
        <v>44067</v>
      </c>
      <c r="H1093" s="1" t="n">
        <f aca="false">VLOOKUP(B1093,Заказы!$A$2:$E$2995,3,FALSE())</f>
        <v>1459</v>
      </c>
      <c r="I1093" s="1" t="str">
        <f aca="false">VLOOKUP(H1093,Клиенты!$A$2:$E$1995,5,FALSE())</f>
        <v>г. Костомукша</v>
      </c>
      <c r="J1093" s="1" t="n">
        <f aca="false">VLOOKUP(B1093,Заказы!$A$2:$E$2995,4,FALSE())</f>
        <v>0</v>
      </c>
      <c r="K1093" s="1" t="str">
        <f aca="false">VLOOKUP(B1093,Заказы!$A$2:$E$2995,5,FALSE())</f>
        <v>Не выполнено</v>
      </c>
      <c r="L1093" s="1" t="n">
        <f aca="false">D1093*F1093+J1093</f>
        <v>2180</v>
      </c>
      <c r="M1093" s="1" t="n">
        <f aca="false">IF(AND(E1093="Пицца Труслейка",I1093="г. Москва",K1093="Выполнено",G1093&gt;=DATE(2020,7,1),G1093&lt;DATE(2020,8,1)),L1093,0)</f>
        <v>0</v>
      </c>
    </row>
    <row r="1094" customFormat="false" ht="15" hidden="false" customHeight="true" outlineLevel="0" collapsed="false">
      <c r="A1094" s="1" t="n">
        <v>100044</v>
      </c>
      <c r="B1094" s="1" t="n">
        <v>50484</v>
      </c>
      <c r="C1094" s="1" t="n">
        <v>14</v>
      </c>
      <c r="D1094" s="1" t="n">
        <v>9</v>
      </c>
      <c r="E1094" s="1" t="str">
        <f aca="false">VLOOKUP(C1094,Меню!$A$2:$C$24,2,FALSE())</f>
        <v>Пицца Сырный цыпленок</v>
      </c>
      <c r="F1094" s="1" t="n">
        <f aca="false">VLOOKUP(C1094,Меню!$A$2:$C$24,3,FALSE())</f>
        <v>555</v>
      </c>
      <c r="G1094" s="5" t="n">
        <f aca="false">VLOOKUP(B1094,Заказы!$A$2:$E$2995,2,FALSE())</f>
        <v>44043</v>
      </c>
      <c r="H1094" s="1" t="n">
        <f aca="false">VLOOKUP(B1094,Заказы!$A$2:$E$2995,3,FALSE())</f>
        <v>1528</v>
      </c>
      <c r="I1094" s="1" t="str">
        <f aca="false">VLOOKUP(H1094,Клиенты!$A$2:$E$1995,5,FALSE())</f>
        <v>г. Сусуман</v>
      </c>
      <c r="J1094" s="1" t="n">
        <f aca="false">VLOOKUP(B1094,Заказы!$A$2:$E$2995,4,FALSE())</f>
        <v>456</v>
      </c>
      <c r="K1094" s="1" t="str">
        <f aca="false">VLOOKUP(B1094,Заказы!$A$2:$E$2995,5,FALSE())</f>
        <v>Выполнено</v>
      </c>
      <c r="L1094" s="1" t="n">
        <f aca="false">D1094*F1094+J1094</f>
        <v>5451</v>
      </c>
      <c r="M1094" s="1" t="n">
        <f aca="false">IF(AND(E1094="Пицца Труслейка",I1094="г. Москва",K1094="Выполнено",G1094&gt;=DATE(2020,7,1),G1094&lt;DATE(2020,8,1)),L1094,0)</f>
        <v>0</v>
      </c>
    </row>
    <row r="1095" customFormat="false" ht="15" hidden="false" customHeight="true" outlineLevel="0" collapsed="false">
      <c r="A1095" s="1" t="n">
        <v>100547</v>
      </c>
      <c r="B1095" s="1" t="n">
        <v>50505</v>
      </c>
      <c r="C1095" s="1" t="n">
        <v>7</v>
      </c>
      <c r="D1095" s="1" t="n">
        <v>6</v>
      </c>
      <c r="E1095" s="1" t="str">
        <f aca="false">VLOOKUP(C1095,Меню!$A$2:$C$24,2,FALSE())</f>
        <v>Пицца Карбонара</v>
      </c>
      <c r="F1095" s="1" t="n">
        <f aca="false">VLOOKUP(C1095,Меню!$A$2:$C$24,3,FALSE())</f>
        <v>625</v>
      </c>
      <c r="G1095" s="5" t="n">
        <f aca="false">VLOOKUP(B1095,Заказы!$A$2:$E$2995,2,FALSE())</f>
        <v>44055</v>
      </c>
      <c r="H1095" s="1" t="n">
        <f aca="false">VLOOKUP(B1095,Заказы!$A$2:$E$2995,3,FALSE())</f>
        <v>1712</v>
      </c>
      <c r="I1095" s="1" t="str">
        <f aca="false">VLOOKUP(H1095,Клиенты!$A$2:$E$1995,5,FALSE())</f>
        <v>г. Пенза</v>
      </c>
      <c r="J1095" s="1" t="n">
        <f aca="false">VLOOKUP(B1095,Заказы!$A$2:$E$2995,4,FALSE())</f>
        <v>860</v>
      </c>
      <c r="K1095" s="1" t="str">
        <f aca="false">VLOOKUP(B1095,Заказы!$A$2:$E$2995,5,FALSE())</f>
        <v>Выполнено</v>
      </c>
      <c r="L1095" s="1" t="n">
        <f aca="false">D1095*F1095+J1095</f>
        <v>4610</v>
      </c>
      <c r="M1095" s="1" t="n">
        <f aca="false">IF(AND(E1095="Пицца Труслейка",I1095="г. Москва",K1095="Выполнено",G1095&gt;=DATE(2020,7,1),G1095&lt;DATE(2020,8,1)),L1095,0)</f>
        <v>0</v>
      </c>
    </row>
    <row r="1096" customFormat="false" ht="15" hidden="false" customHeight="true" outlineLevel="0" collapsed="false">
      <c r="A1096" s="1" t="n">
        <v>100368</v>
      </c>
      <c r="B1096" s="1" t="n">
        <v>50488</v>
      </c>
      <c r="C1096" s="1" t="n">
        <v>7</v>
      </c>
      <c r="D1096" s="1" t="n">
        <v>3</v>
      </c>
      <c r="E1096" s="1" t="str">
        <f aca="false">VLOOKUP(C1096,Меню!$A$2:$C$24,2,FALSE())</f>
        <v>Пицца Карбонара</v>
      </c>
      <c r="F1096" s="1" t="n">
        <f aca="false">VLOOKUP(C1096,Меню!$A$2:$C$24,3,FALSE())</f>
        <v>625</v>
      </c>
      <c r="G1096" s="5" t="n">
        <f aca="false">VLOOKUP(B1096,Заказы!$A$2:$E$2995,2,FALSE())</f>
        <v>43997</v>
      </c>
      <c r="H1096" s="1" t="n">
        <f aca="false">VLOOKUP(B1096,Заказы!$A$2:$E$2995,3,FALSE())</f>
        <v>353</v>
      </c>
      <c r="I1096" s="1" t="str">
        <f aca="false">VLOOKUP(H1096,Клиенты!$A$2:$E$1995,5,FALSE())</f>
        <v>г. Темрюк</v>
      </c>
      <c r="J1096" s="1" t="n">
        <f aca="false">VLOOKUP(B1096,Заказы!$A$2:$E$2995,4,FALSE())</f>
        <v>172</v>
      </c>
      <c r="K1096" s="1" t="str">
        <f aca="false">VLOOKUP(B1096,Заказы!$A$2:$E$2995,5,FALSE())</f>
        <v>Выполнено</v>
      </c>
      <c r="L1096" s="1" t="n">
        <f aca="false">D1096*F1096+J1096</f>
        <v>2047</v>
      </c>
      <c r="M1096" s="1" t="n">
        <f aca="false">IF(AND(E1096="Пицца Труслейка",I1096="г. Москва",K1096="Выполнено",G1096&gt;=DATE(2020,7,1),G1096&lt;DATE(2020,8,1)),L1096,0)</f>
        <v>0</v>
      </c>
    </row>
    <row r="1097" customFormat="false" ht="15" hidden="false" customHeight="true" outlineLevel="0" collapsed="false">
      <c r="A1097" s="1" t="n">
        <v>100077</v>
      </c>
      <c r="B1097" s="1" t="n">
        <v>51184</v>
      </c>
      <c r="C1097" s="1" t="n">
        <v>18</v>
      </c>
      <c r="D1097" s="1" t="n">
        <v>10</v>
      </c>
      <c r="E1097" s="1" t="str">
        <f aca="false">VLOOKUP(C1097,Меню!$A$2:$C$24,2,FALSE())</f>
        <v>Пицца Царская</v>
      </c>
      <c r="F1097" s="1" t="n">
        <f aca="false">VLOOKUP(C1097,Меню!$A$2:$C$24,3,FALSE())</f>
        <v>620</v>
      </c>
      <c r="G1097" s="5" t="n">
        <f aca="false">VLOOKUP(B1097,Заказы!$A$2:$E$2995,2,FALSE())</f>
        <v>43986</v>
      </c>
      <c r="H1097" s="1" t="n">
        <f aca="false">VLOOKUP(B1097,Заказы!$A$2:$E$2995,3,FALSE())</f>
        <v>1130</v>
      </c>
      <c r="I1097" s="1" t="str">
        <f aca="false">VLOOKUP(H1097,Клиенты!$A$2:$E$1995,5,FALSE())</f>
        <v>г. Москва</v>
      </c>
      <c r="J1097" s="1" t="n">
        <f aca="false">VLOOKUP(B1097,Заказы!$A$2:$E$2995,4,FALSE())</f>
        <v>530</v>
      </c>
      <c r="K1097" s="1" t="str">
        <f aca="false">VLOOKUP(B1097,Заказы!$A$2:$E$2995,5,FALSE())</f>
        <v>Выполнено</v>
      </c>
      <c r="L1097" s="1" t="n">
        <f aca="false">D1097*F1097+J1097</f>
        <v>6730</v>
      </c>
      <c r="M1097" s="1" t="n">
        <f aca="false">IF(AND(E1097="Пицца Труслейка",I1097="г. Москва",K1097="Выполнено",G1097&gt;=DATE(2020,7,1),G1097&lt;DATE(2020,8,1)),L1097,0)</f>
        <v>0</v>
      </c>
    </row>
    <row r="1098" customFormat="false" ht="15" hidden="false" customHeight="true" outlineLevel="0" collapsed="false">
      <c r="A1098" s="1" t="n">
        <v>101688</v>
      </c>
      <c r="B1098" s="1" t="n">
        <v>51247</v>
      </c>
      <c r="C1098" s="1" t="n">
        <v>22</v>
      </c>
      <c r="D1098" s="1" t="n">
        <v>6</v>
      </c>
      <c r="E1098" s="1" t="str">
        <f aca="false">VLOOKUP(C1098,Меню!$A$2:$C$24,2,FALSE())</f>
        <v>Пицца с поркеттой и фриарелли</v>
      </c>
      <c r="F1098" s="1" t="n">
        <f aca="false">VLOOKUP(C1098,Меню!$A$2:$C$24,3,FALSE())</f>
        <v>550</v>
      </c>
      <c r="G1098" s="5" t="n">
        <f aca="false">VLOOKUP(B1098,Заказы!$A$2:$E$2995,2,FALSE())</f>
        <v>44028</v>
      </c>
      <c r="H1098" s="1" t="n">
        <f aca="false">VLOOKUP(B1098,Заказы!$A$2:$E$2995,3,FALSE())</f>
        <v>467</v>
      </c>
      <c r="I1098" s="1" t="str">
        <f aca="false">VLOOKUP(H1098,Клиенты!$A$2:$E$1995,5,FALSE())</f>
        <v>г. Краснознаменск</v>
      </c>
      <c r="J1098" s="1" t="n">
        <f aca="false">VLOOKUP(B1098,Заказы!$A$2:$E$2995,4,FALSE())</f>
        <v>309</v>
      </c>
      <c r="K1098" s="1" t="str">
        <f aca="false">VLOOKUP(B1098,Заказы!$A$2:$E$2995,5,FALSE())</f>
        <v>Выполнено</v>
      </c>
      <c r="L1098" s="1" t="n">
        <f aca="false">D1098*F1098+J1098</f>
        <v>3609</v>
      </c>
      <c r="M1098" s="1" t="n">
        <f aca="false">IF(AND(E1098="Пицца Труслейка",I1098="г. Москва",K1098="Выполнено",G1098&gt;=DATE(2020,7,1),G1098&lt;DATE(2020,8,1)),L1098,0)</f>
        <v>0</v>
      </c>
    </row>
    <row r="1099" customFormat="false" ht="15" hidden="false" customHeight="true" outlineLevel="0" collapsed="false">
      <c r="A1099" s="1" t="n">
        <v>101904</v>
      </c>
      <c r="B1099" s="1" t="n">
        <v>50763</v>
      </c>
      <c r="C1099" s="1" t="n">
        <v>5</v>
      </c>
      <c r="D1099" s="1" t="n">
        <v>5</v>
      </c>
      <c r="E1099" s="1" t="str">
        <f aca="false">VLOOKUP(C1099,Меню!$A$2:$C$24,2,FALSE())</f>
        <v>Пицца Жюльен</v>
      </c>
      <c r="F1099" s="1" t="n">
        <f aca="false">VLOOKUP(C1099,Меню!$A$2:$C$24,3,FALSE())</f>
        <v>580</v>
      </c>
      <c r="G1099" s="5" t="n">
        <f aca="false">VLOOKUP(B1099,Заказы!$A$2:$E$2995,2,FALSE())</f>
        <v>44037</v>
      </c>
      <c r="H1099" s="1" t="n">
        <f aca="false">VLOOKUP(B1099,Заказы!$A$2:$E$2995,3,FALSE())</f>
        <v>432</v>
      </c>
      <c r="I1099" s="1" t="str">
        <f aca="false">VLOOKUP(H1099,Клиенты!$A$2:$E$1995,5,FALSE())</f>
        <v>г. Касли</v>
      </c>
      <c r="J1099" s="1" t="n">
        <f aca="false">VLOOKUP(B1099,Заказы!$A$2:$E$2995,4,FALSE())</f>
        <v>371</v>
      </c>
      <c r="K1099" s="1" t="str">
        <f aca="false">VLOOKUP(B1099,Заказы!$A$2:$E$2995,5,FALSE())</f>
        <v>Выполнено</v>
      </c>
      <c r="L1099" s="1" t="n">
        <f aca="false">D1099*F1099+J1099</f>
        <v>3271</v>
      </c>
      <c r="M1099" s="1" t="n">
        <f aca="false">IF(AND(E1099="Пицца Труслейка",I1099="г. Москва",K1099="Выполнено",G1099&gt;=DATE(2020,7,1),G1099&lt;DATE(2020,8,1)),L1099,0)</f>
        <v>0</v>
      </c>
    </row>
    <row r="1100" customFormat="false" ht="15" hidden="false" customHeight="true" outlineLevel="0" collapsed="false">
      <c r="A1100" s="1" t="n">
        <v>101535</v>
      </c>
      <c r="B1100" s="1" t="n">
        <v>50158</v>
      </c>
      <c r="C1100" s="1" t="n">
        <v>17</v>
      </c>
      <c r="D1100" s="1" t="n">
        <v>9</v>
      </c>
      <c r="E1100" s="1" t="str">
        <f aca="false">VLOOKUP(C1100,Меню!$A$2:$C$24,2,FALSE())</f>
        <v>Пицца Френч Фрайз</v>
      </c>
      <c r="F1100" s="1" t="n">
        <f aca="false">VLOOKUP(C1100,Меню!$A$2:$C$24,3,FALSE())</f>
        <v>515</v>
      </c>
      <c r="G1100" s="5" t="n">
        <f aca="false">VLOOKUP(B1100,Заказы!$A$2:$E$2995,2,FALSE())</f>
        <v>44044</v>
      </c>
      <c r="H1100" s="1" t="n">
        <f aca="false">VLOOKUP(B1100,Заказы!$A$2:$E$2995,3,FALSE())</f>
        <v>1671</v>
      </c>
      <c r="I1100" s="1" t="str">
        <f aca="false">VLOOKUP(H1100,Клиенты!$A$2:$E$1995,5,FALSE())</f>
        <v>г. Миллерово</v>
      </c>
      <c r="J1100" s="1" t="n">
        <f aca="false">VLOOKUP(B1100,Заказы!$A$2:$E$2995,4,FALSE())</f>
        <v>0</v>
      </c>
      <c r="K1100" s="1" t="str">
        <f aca="false">VLOOKUP(B1100,Заказы!$A$2:$E$2995,5,FALSE())</f>
        <v>Не выполнено</v>
      </c>
      <c r="L1100" s="1" t="n">
        <f aca="false">D1100*F1100+J1100</f>
        <v>4635</v>
      </c>
      <c r="M1100" s="1" t="n">
        <f aca="false">IF(AND(E1100="Пицца Труслейка",I1100="г. Москва",K1100="Выполнено",G1100&gt;=DATE(2020,7,1),G1100&lt;DATE(2020,8,1)),L1100,0)</f>
        <v>0</v>
      </c>
    </row>
    <row r="1101" customFormat="false" ht="15" hidden="false" customHeight="true" outlineLevel="0" collapsed="false">
      <c r="A1101" s="1" t="n">
        <v>101527</v>
      </c>
      <c r="B1101" s="1" t="n">
        <v>50929</v>
      </c>
      <c r="C1101" s="1" t="n">
        <v>4</v>
      </c>
      <c r="D1101" s="1" t="n">
        <v>10</v>
      </c>
      <c r="E1101" s="1" t="str">
        <f aca="false">VLOOKUP(C1101,Меню!$A$2:$C$24,2,FALSE())</f>
        <v>Пицца Труслейка</v>
      </c>
      <c r="F1101" s="1" t="n">
        <f aca="false">VLOOKUP(C1101,Меню!$A$2:$C$24,3,FALSE())</f>
        <v>610</v>
      </c>
      <c r="G1101" s="5" t="n">
        <f aca="false">VLOOKUP(B1101,Заказы!$A$2:$E$2995,2,FALSE())</f>
        <v>44068</v>
      </c>
      <c r="H1101" s="1" t="n">
        <f aca="false">VLOOKUP(B1101,Заказы!$A$2:$E$2995,3,FALSE())</f>
        <v>1614</v>
      </c>
      <c r="I1101" s="1" t="str">
        <f aca="false">VLOOKUP(H1101,Клиенты!$A$2:$E$1995,5,FALSE())</f>
        <v>г. Тюкалинск</v>
      </c>
      <c r="J1101" s="1" t="n">
        <f aca="false">VLOOKUP(B1101,Заказы!$A$2:$E$2995,4,FALSE())</f>
        <v>0</v>
      </c>
      <c r="K1101" s="1" t="str">
        <f aca="false">VLOOKUP(B1101,Заказы!$A$2:$E$2995,5,FALSE())</f>
        <v>Не выполнено</v>
      </c>
      <c r="L1101" s="1" t="n">
        <f aca="false">D1101*F1101+J1101</f>
        <v>6100</v>
      </c>
      <c r="M1101" s="1" t="n">
        <f aca="false">IF(AND(E1101="Пицца Труслейка",I1101="г. Москва",K1101="Выполнено",G1101&gt;=DATE(2020,7,1),G1101&lt;DATE(2020,8,1)),L1101,0)</f>
        <v>0</v>
      </c>
    </row>
    <row r="1102" customFormat="false" ht="15" hidden="false" customHeight="true" outlineLevel="0" collapsed="false">
      <c r="A1102" s="1" t="n">
        <v>101892</v>
      </c>
      <c r="B1102" s="1" t="n">
        <v>51207</v>
      </c>
      <c r="C1102" s="1" t="n">
        <v>17</v>
      </c>
      <c r="D1102" s="1" t="n">
        <v>9</v>
      </c>
      <c r="E1102" s="1" t="str">
        <f aca="false">VLOOKUP(C1102,Меню!$A$2:$C$24,2,FALSE())</f>
        <v>Пицца Френч Фрайз</v>
      </c>
      <c r="F1102" s="1" t="n">
        <f aca="false">VLOOKUP(C1102,Меню!$A$2:$C$24,3,FALSE())</f>
        <v>515</v>
      </c>
      <c r="G1102" s="5" t="n">
        <f aca="false">VLOOKUP(B1102,Заказы!$A$2:$E$2995,2,FALSE())</f>
        <v>44009</v>
      </c>
      <c r="H1102" s="1" t="n">
        <f aca="false">VLOOKUP(B1102,Заказы!$A$2:$E$2995,3,FALSE())</f>
        <v>44</v>
      </c>
      <c r="I1102" s="1" t="str">
        <f aca="false">VLOOKUP(H1102,Клиенты!$A$2:$E$1995,5,FALSE())</f>
        <v>г. Балашиха</v>
      </c>
      <c r="J1102" s="1" t="n">
        <f aca="false">VLOOKUP(B1102,Заказы!$A$2:$E$2995,4,FALSE())</f>
        <v>351</v>
      </c>
      <c r="K1102" s="1" t="str">
        <f aca="false">VLOOKUP(B1102,Заказы!$A$2:$E$2995,5,FALSE())</f>
        <v>Выполнено</v>
      </c>
      <c r="L1102" s="1" t="n">
        <f aca="false">D1102*F1102+J1102</f>
        <v>4986</v>
      </c>
      <c r="M1102" s="1" t="n">
        <f aca="false">IF(AND(E1102="Пицца Труслейка",I1102="г. Москва",K1102="Выполнено",G1102&gt;=DATE(2020,7,1),G1102&lt;DATE(2020,8,1)),L1102,0)</f>
        <v>0</v>
      </c>
    </row>
    <row r="1103" customFormat="false" ht="15" hidden="false" customHeight="true" outlineLevel="0" collapsed="false">
      <c r="A1103" s="1" t="n">
        <v>101657</v>
      </c>
      <c r="B1103" s="1" t="n">
        <v>51345</v>
      </c>
      <c r="C1103" s="1" t="n">
        <v>19</v>
      </c>
      <c r="D1103" s="1" t="n">
        <v>1</v>
      </c>
      <c r="E1103" s="1" t="str">
        <f aca="false">VLOOKUP(C1103,Меню!$A$2:$C$24,2,FALSE())</f>
        <v>Пицца Цезарь</v>
      </c>
      <c r="F1103" s="1" t="n">
        <f aca="false">VLOOKUP(C1103,Меню!$A$2:$C$24,3,FALSE())</f>
        <v>630</v>
      </c>
      <c r="G1103" s="5" t="n">
        <f aca="false">VLOOKUP(B1103,Заказы!$A$2:$E$2995,2,FALSE())</f>
        <v>43998</v>
      </c>
      <c r="H1103" s="1" t="n">
        <f aca="false">VLOOKUP(B1103,Заказы!$A$2:$E$2995,3,FALSE())</f>
        <v>1847</v>
      </c>
      <c r="I1103" s="1" t="str">
        <f aca="false">VLOOKUP(H1103,Клиенты!$A$2:$E$1995,5,FALSE())</f>
        <v>г. Иркутск</v>
      </c>
      <c r="J1103" s="1" t="n">
        <f aca="false">VLOOKUP(B1103,Заказы!$A$2:$E$2995,4,FALSE())</f>
        <v>516</v>
      </c>
      <c r="K1103" s="1" t="str">
        <f aca="false">VLOOKUP(B1103,Заказы!$A$2:$E$2995,5,FALSE())</f>
        <v>Выполнено</v>
      </c>
      <c r="L1103" s="1" t="n">
        <f aca="false">D1103*F1103+J1103</f>
        <v>1146</v>
      </c>
      <c r="M1103" s="1" t="n">
        <f aca="false">IF(AND(E1103="Пицца Труслейка",I1103="г. Москва",K1103="Выполнено",G1103&gt;=DATE(2020,7,1),G1103&lt;DATE(2020,8,1)),L1103,0)</f>
        <v>0</v>
      </c>
    </row>
    <row r="1104" customFormat="false" ht="15" hidden="false" customHeight="true" outlineLevel="0" collapsed="false">
      <c r="A1104" s="1" t="n">
        <v>101188</v>
      </c>
      <c r="B1104" s="1" t="n">
        <v>51908</v>
      </c>
      <c r="C1104" s="1" t="n">
        <v>15</v>
      </c>
      <c r="D1104" s="1" t="n">
        <v>4</v>
      </c>
      <c r="E1104" s="1" t="str">
        <f aca="false">VLOOKUP(C1104,Меню!$A$2:$C$24,2,FALSE())</f>
        <v>Пицца Тропиканка</v>
      </c>
      <c r="F1104" s="1" t="n">
        <f aca="false">VLOOKUP(C1104,Меню!$A$2:$C$24,3,FALSE())</f>
        <v>605</v>
      </c>
      <c r="G1104" s="5" t="n">
        <f aca="false">VLOOKUP(B1104,Заказы!$A$2:$E$2995,2,FALSE())</f>
        <v>44013</v>
      </c>
      <c r="H1104" s="1" t="n">
        <f aca="false">VLOOKUP(B1104,Заказы!$A$2:$E$2995,3,FALSE())</f>
        <v>1485</v>
      </c>
      <c r="I1104" s="1" t="str">
        <f aca="false">VLOOKUP(H1104,Клиенты!$A$2:$E$1995,5,FALSE())</f>
        <v>г. Старица</v>
      </c>
      <c r="J1104" s="1" t="n">
        <f aca="false">VLOOKUP(B1104,Заказы!$A$2:$E$2995,4,FALSE())</f>
        <v>0</v>
      </c>
      <c r="K1104" s="1" t="str">
        <f aca="false">VLOOKUP(B1104,Заказы!$A$2:$E$2995,5,FALSE())</f>
        <v>Не выполнено</v>
      </c>
      <c r="L1104" s="1" t="n">
        <f aca="false">D1104*F1104+J1104</f>
        <v>2420</v>
      </c>
      <c r="M1104" s="1" t="n">
        <f aca="false">IF(AND(E1104="Пицца Труслейка",I1104="г. Москва",K1104="Выполнено",G1104&gt;=DATE(2020,7,1),G1104&lt;DATE(2020,8,1)),L1104,0)</f>
        <v>0</v>
      </c>
    </row>
    <row r="1105" customFormat="false" ht="15" hidden="false" customHeight="true" outlineLevel="0" collapsed="false">
      <c r="A1105" s="1" t="n">
        <v>100634</v>
      </c>
      <c r="B1105" s="1" t="n">
        <v>50082</v>
      </c>
      <c r="C1105" s="1" t="n">
        <v>15</v>
      </c>
      <c r="D1105" s="1" t="n">
        <v>7</v>
      </c>
      <c r="E1105" s="1" t="str">
        <f aca="false">VLOOKUP(C1105,Меню!$A$2:$C$24,2,FALSE())</f>
        <v>Пицца Тропиканка</v>
      </c>
      <c r="F1105" s="1" t="n">
        <f aca="false">VLOOKUP(C1105,Меню!$A$2:$C$24,3,FALSE())</f>
        <v>605</v>
      </c>
      <c r="G1105" s="5" t="n">
        <f aca="false">VLOOKUP(B1105,Заказы!$A$2:$E$2995,2,FALSE())</f>
        <v>44028</v>
      </c>
      <c r="H1105" s="1" t="n">
        <f aca="false">VLOOKUP(B1105,Заказы!$A$2:$E$2995,3,FALSE())</f>
        <v>799</v>
      </c>
      <c r="I1105" s="1" t="str">
        <f aca="false">VLOOKUP(H1105,Клиенты!$A$2:$E$1995,5,FALSE())</f>
        <v>г. Цивильск</v>
      </c>
      <c r="J1105" s="1" t="n">
        <f aca="false">VLOOKUP(B1105,Заказы!$A$2:$E$2995,4,FALSE())</f>
        <v>866</v>
      </c>
      <c r="K1105" s="1" t="str">
        <f aca="false">VLOOKUP(B1105,Заказы!$A$2:$E$2995,5,FALSE())</f>
        <v>Выполнено</v>
      </c>
      <c r="L1105" s="1" t="n">
        <f aca="false">D1105*F1105+J1105</f>
        <v>5101</v>
      </c>
      <c r="M1105" s="1" t="n">
        <f aca="false">IF(AND(E1105="Пицца Труслейка",I1105="г. Москва",K1105="Выполнено",G1105&gt;=DATE(2020,7,1),G1105&lt;DATE(2020,8,1)),L1105,0)</f>
        <v>0</v>
      </c>
    </row>
    <row r="1106" customFormat="false" ht="15" hidden="false" customHeight="true" outlineLevel="0" collapsed="false">
      <c r="A1106" s="1" t="n">
        <v>101956</v>
      </c>
      <c r="B1106" s="1" t="n">
        <v>50587</v>
      </c>
      <c r="C1106" s="1" t="n">
        <v>2</v>
      </c>
      <c r="D1106" s="1" t="n">
        <v>7</v>
      </c>
      <c r="E1106" s="1" t="str">
        <f aca="false">VLOOKUP(C1106,Меню!$A$2:$C$24,2,FALSE())</f>
        <v>Пицца Двойная пепперони</v>
      </c>
      <c r="F1106" s="1" t="n">
        <f aca="false">VLOOKUP(C1106,Меню!$A$2:$C$24,3,FALSE())</f>
        <v>575</v>
      </c>
      <c r="G1106" s="5" t="n">
        <f aca="false">VLOOKUP(B1106,Заказы!$A$2:$E$2995,2,FALSE())</f>
        <v>44038</v>
      </c>
      <c r="H1106" s="1" t="n">
        <f aca="false">VLOOKUP(B1106,Заказы!$A$2:$E$2995,3,FALSE())</f>
        <v>902</v>
      </c>
      <c r="I1106" s="1" t="str">
        <f aca="false">VLOOKUP(H1106,Клиенты!$A$2:$E$1995,5,FALSE())</f>
        <v>г. Чебоксары</v>
      </c>
      <c r="J1106" s="1" t="n">
        <f aca="false">VLOOKUP(B1106,Заказы!$A$2:$E$2995,4,FALSE())</f>
        <v>0</v>
      </c>
      <c r="K1106" s="1" t="str">
        <f aca="false">VLOOKUP(B1106,Заказы!$A$2:$E$2995,5,FALSE())</f>
        <v>Не выполнено</v>
      </c>
      <c r="L1106" s="1" t="n">
        <f aca="false">D1106*F1106+J1106</f>
        <v>4025</v>
      </c>
      <c r="M1106" s="1" t="n">
        <f aca="false">IF(AND(E1106="Пицца Труслейка",I1106="г. Москва",K1106="Выполнено",G1106&gt;=DATE(2020,7,1),G1106&lt;DATE(2020,8,1)),L1106,0)</f>
        <v>0</v>
      </c>
    </row>
    <row r="1107" customFormat="false" ht="15" hidden="false" customHeight="true" outlineLevel="0" collapsed="false">
      <c r="A1107" s="1" t="n">
        <v>100273</v>
      </c>
      <c r="B1107" s="1" t="n">
        <v>50361</v>
      </c>
      <c r="C1107" s="1" t="n">
        <v>8</v>
      </c>
      <c r="D1107" s="1" t="n">
        <v>4</v>
      </c>
      <c r="E1107" s="1" t="str">
        <f aca="false">VLOOKUP(C1107,Меню!$A$2:$C$24,2,FALSE())</f>
        <v>Пицца Мясная</v>
      </c>
      <c r="F1107" s="1" t="n">
        <f aca="false">VLOOKUP(C1107,Меню!$A$2:$C$24,3,FALSE())</f>
        <v>615</v>
      </c>
      <c r="G1107" s="5" t="n">
        <f aca="false">VLOOKUP(B1107,Заказы!$A$2:$E$2995,2,FALSE())</f>
        <v>44066</v>
      </c>
      <c r="H1107" s="1" t="n">
        <f aca="false">VLOOKUP(B1107,Заказы!$A$2:$E$2995,3,FALSE())</f>
        <v>516</v>
      </c>
      <c r="I1107" s="1" t="str">
        <f aca="false">VLOOKUP(H1107,Клиенты!$A$2:$E$1995,5,FALSE())</f>
        <v>г. Бердск</v>
      </c>
      <c r="J1107" s="1" t="n">
        <f aca="false">VLOOKUP(B1107,Заказы!$A$2:$E$2995,4,FALSE())</f>
        <v>0</v>
      </c>
      <c r="K1107" s="1" t="str">
        <f aca="false">VLOOKUP(B1107,Заказы!$A$2:$E$2995,5,FALSE())</f>
        <v>Не выполнено</v>
      </c>
      <c r="L1107" s="1" t="n">
        <f aca="false">D1107*F1107+J1107</f>
        <v>2460</v>
      </c>
      <c r="M1107" s="1" t="n">
        <f aca="false">IF(AND(E1107="Пицца Труслейка",I1107="г. Москва",K1107="Выполнено",G1107&gt;=DATE(2020,7,1),G1107&lt;DATE(2020,8,1)),L1107,0)</f>
        <v>0</v>
      </c>
    </row>
    <row r="1108" customFormat="false" ht="15" hidden="false" customHeight="true" outlineLevel="0" collapsed="false">
      <c r="A1108" s="1" t="n">
        <v>101025</v>
      </c>
      <c r="B1108" s="1" t="n">
        <v>51101</v>
      </c>
      <c r="C1108" s="1" t="n">
        <v>20</v>
      </c>
      <c r="D1108" s="1" t="n">
        <v>4</v>
      </c>
      <c r="E1108" s="1" t="str">
        <f aca="false">VLOOKUP(C1108,Меню!$A$2:$C$24,2,FALSE())</f>
        <v>Пицца пиканте</v>
      </c>
      <c r="F1108" s="1" t="n">
        <f aca="false">VLOOKUP(C1108,Меню!$A$2:$C$24,3,FALSE())</f>
        <v>585</v>
      </c>
      <c r="G1108" s="5" t="n">
        <f aca="false">VLOOKUP(B1108,Заказы!$A$2:$E$2995,2,FALSE())</f>
        <v>43983</v>
      </c>
      <c r="H1108" s="1" t="n">
        <f aca="false">VLOOKUP(B1108,Заказы!$A$2:$E$2995,3,FALSE())</f>
        <v>1768</v>
      </c>
      <c r="I1108" s="1" t="str">
        <f aca="false">VLOOKUP(H1108,Клиенты!$A$2:$E$1995,5,FALSE())</f>
        <v>г. Шумерля</v>
      </c>
      <c r="J1108" s="1" t="n">
        <f aca="false">VLOOKUP(B1108,Заказы!$A$2:$E$2995,4,FALSE())</f>
        <v>872</v>
      </c>
      <c r="K1108" s="1" t="str">
        <f aca="false">VLOOKUP(B1108,Заказы!$A$2:$E$2995,5,FALSE())</f>
        <v>Выполнено</v>
      </c>
      <c r="L1108" s="1" t="n">
        <f aca="false">D1108*F1108+J1108</f>
        <v>3212</v>
      </c>
      <c r="M1108" s="1" t="n">
        <f aca="false">IF(AND(E1108="Пицца Труслейка",I1108="г. Москва",K1108="Выполнено",G1108&gt;=DATE(2020,7,1),G1108&lt;DATE(2020,8,1)),L1108,0)</f>
        <v>0</v>
      </c>
    </row>
    <row r="1109" customFormat="false" ht="15" hidden="false" customHeight="true" outlineLevel="0" collapsed="false">
      <c r="A1109" s="1" t="n">
        <v>100763</v>
      </c>
      <c r="B1109" s="1" t="n">
        <v>50511</v>
      </c>
      <c r="C1109" s="1" t="n">
        <v>17</v>
      </c>
      <c r="D1109" s="1" t="n">
        <v>9</v>
      </c>
      <c r="E1109" s="1" t="str">
        <f aca="false">VLOOKUP(C1109,Меню!$A$2:$C$24,2,FALSE())</f>
        <v>Пицца Френч Фрайз</v>
      </c>
      <c r="F1109" s="1" t="n">
        <f aca="false">VLOOKUP(C1109,Меню!$A$2:$C$24,3,FALSE())</f>
        <v>515</v>
      </c>
      <c r="G1109" s="5" t="n">
        <f aca="false">VLOOKUP(B1109,Заказы!$A$2:$E$2995,2,FALSE())</f>
        <v>44027</v>
      </c>
      <c r="H1109" s="1" t="n">
        <f aca="false">VLOOKUP(B1109,Заказы!$A$2:$E$2995,3,FALSE())</f>
        <v>388</v>
      </c>
      <c r="I1109" s="1" t="str">
        <f aca="false">VLOOKUP(H1109,Клиенты!$A$2:$E$1995,5,FALSE())</f>
        <v>г. Каменск-Шахтинский</v>
      </c>
      <c r="J1109" s="1" t="n">
        <f aca="false">VLOOKUP(B1109,Заказы!$A$2:$E$2995,4,FALSE())</f>
        <v>500</v>
      </c>
      <c r="K1109" s="1" t="str">
        <f aca="false">VLOOKUP(B1109,Заказы!$A$2:$E$2995,5,FALSE())</f>
        <v>Выполнено</v>
      </c>
      <c r="L1109" s="1" t="n">
        <f aca="false">D1109*F1109+J1109</f>
        <v>5135</v>
      </c>
      <c r="M1109" s="1" t="n">
        <f aca="false">IF(AND(E1109="Пицца Труслейка",I1109="г. Москва",K1109="Выполнено",G1109&gt;=DATE(2020,7,1),G1109&lt;DATE(2020,8,1)),L1109,0)</f>
        <v>0</v>
      </c>
    </row>
    <row r="1110" customFormat="false" ht="15" hidden="false" customHeight="true" outlineLevel="0" collapsed="false">
      <c r="A1110" s="1" t="n">
        <v>101366</v>
      </c>
      <c r="B1110" s="1" t="n">
        <v>51068</v>
      </c>
      <c r="C1110" s="1" t="n">
        <v>12</v>
      </c>
      <c r="D1110" s="1" t="n">
        <v>7</v>
      </c>
      <c r="E1110" s="1" t="str">
        <f aca="false">VLOOKUP(C1110,Меню!$A$2:$C$24,2,FALSE())</f>
        <v>Пицца Салями с трюфелем</v>
      </c>
      <c r="F1110" s="1" t="n">
        <f aca="false">VLOOKUP(C1110,Меню!$A$2:$C$24,3,FALSE())</f>
        <v>525</v>
      </c>
      <c r="G1110" s="5" t="n">
        <f aca="false">VLOOKUP(B1110,Заказы!$A$2:$E$2995,2,FALSE())</f>
        <v>44015</v>
      </c>
      <c r="H1110" s="1" t="n">
        <f aca="false">VLOOKUP(B1110,Заказы!$A$2:$E$2995,3,FALSE())</f>
        <v>509</v>
      </c>
      <c r="I1110" s="1" t="str">
        <f aca="false">VLOOKUP(H1110,Клиенты!$A$2:$E$1995,5,FALSE())</f>
        <v>г. Озёрск</v>
      </c>
      <c r="J1110" s="1" t="n">
        <f aca="false">VLOOKUP(B1110,Заказы!$A$2:$E$2995,4,FALSE())</f>
        <v>662</v>
      </c>
      <c r="K1110" s="1" t="str">
        <f aca="false">VLOOKUP(B1110,Заказы!$A$2:$E$2995,5,FALSE())</f>
        <v>Выполнено</v>
      </c>
      <c r="L1110" s="1" t="n">
        <f aca="false">D1110*F1110+J1110</f>
        <v>4337</v>
      </c>
      <c r="M1110" s="1" t="n">
        <f aca="false">IF(AND(E1110="Пицца Труслейка",I1110="г. Москва",K1110="Выполнено",G1110&gt;=DATE(2020,7,1),G1110&lt;DATE(2020,8,1)),L1110,0)</f>
        <v>0</v>
      </c>
    </row>
    <row r="1111" customFormat="false" ht="15" hidden="false" customHeight="true" outlineLevel="0" collapsed="false">
      <c r="A1111" s="1" t="n">
        <v>101344</v>
      </c>
      <c r="B1111" s="1" t="n">
        <v>51168</v>
      </c>
      <c r="C1111" s="1" t="n">
        <v>4</v>
      </c>
      <c r="D1111" s="1" t="n">
        <v>5</v>
      </c>
      <c r="E1111" s="1" t="str">
        <f aca="false">VLOOKUP(C1111,Меню!$A$2:$C$24,2,FALSE())</f>
        <v>Пицца Труслейка</v>
      </c>
      <c r="F1111" s="1" t="n">
        <f aca="false">VLOOKUP(C1111,Меню!$A$2:$C$24,3,FALSE())</f>
        <v>610</v>
      </c>
      <c r="G1111" s="5" t="n">
        <f aca="false">VLOOKUP(B1111,Заказы!$A$2:$E$2995,2,FALSE())</f>
        <v>44070</v>
      </c>
      <c r="H1111" s="1" t="n">
        <f aca="false">VLOOKUP(B1111,Заказы!$A$2:$E$2995,3,FALSE())</f>
        <v>448</v>
      </c>
      <c r="I1111" s="1" t="str">
        <f aca="false">VLOOKUP(H1111,Клиенты!$A$2:$E$1995,5,FALSE())</f>
        <v>г. Коммунар</v>
      </c>
      <c r="J1111" s="1" t="n">
        <f aca="false">VLOOKUP(B1111,Заказы!$A$2:$E$2995,4,FALSE())</f>
        <v>783</v>
      </c>
      <c r="K1111" s="1" t="str">
        <f aca="false">VLOOKUP(B1111,Заказы!$A$2:$E$2995,5,FALSE())</f>
        <v>Выполнено</v>
      </c>
      <c r="L1111" s="1" t="n">
        <f aca="false">D1111*F1111+J1111</f>
        <v>3833</v>
      </c>
      <c r="M1111" s="1" t="n">
        <f aca="false">IF(AND(E1111="Пицца Труслейка",I1111="г. Москва",K1111="Выполнено",G1111&gt;=DATE(2020,7,1),G1111&lt;DATE(2020,8,1)),L1111,0)</f>
        <v>0</v>
      </c>
    </row>
    <row r="1112" customFormat="false" ht="15" hidden="false" customHeight="true" outlineLevel="0" collapsed="false">
      <c r="A1112" s="1" t="n">
        <v>100307</v>
      </c>
      <c r="B1112" s="1" t="n">
        <v>50647</v>
      </c>
      <c r="C1112" s="1" t="n">
        <v>5</v>
      </c>
      <c r="D1112" s="1" t="n">
        <v>7</v>
      </c>
      <c r="E1112" s="1" t="str">
        <f aca="false">VLOOKUP(C1112,Меню!$A$2:$C$24,2,FALSE())</f>
        <v>Пицца Жюльен</v>
      </c>
      <c r="F1112" s="1" t="n">
        <f aca="false">VLOOKUP(C1112,Меню!$A$2:$C$24,3,FALSE())</f>
        <v>580</v>
      </c>
      <c r="G1112" s="5" t="n">
        <f aca="false">VLOOKUP(B1112,Заказы!$A$2:$E$2995,2,FALSE())</f>
        <v>44012</v>
      </c>
      <c r="H1112" s="1" t="n">
        <f aca="false">VLOOKUP(B1112,Заказы!$A$2:$E$2995,3,FALSE())</f>
        <v>1388</v>
      </c>
      <c r="I1112" s="1" t="str">
        <f aca="false">VLOOKUP(H1112,Клиенты!$A$2:$E$1995,5,FALSE())</f>
        <v>г. Нытва</v>
      </c>
      <c r="J1112" s="1" t="n">
        <f aca="false">VLOOKUP(B1112,Заказы!$A$2:$E$2995,4,FALSE())</f>
        <v>0</v>
      </c>
      <c r="K1112" s="1" t="str">
        <f aca="false">VLOOKUP(B1112,Заказы!$A$2:$E$2995,5,FALSE())</f>
        <v>Не выполнено</v>
      </c>
      <c r="L1112" s="1" t="n">
        <f aca="false">D1112*F1112+J1112</f>
        <v>4060</v>
      </c>
      <c r="M1112" s="1" t="n">
        <f aca="false">IF(AND(E1112="Пицца Труслейка",I1112="г. Москва",K1112="Выполнено",G1112&gt;=DATE(2020,7,1),G1112&lt;DATE(2020,8,1)),L1112,0)</f>
        <v>0</v>
      </c>
    </row>
    <row r="1113" customFormat="false" ht="15" hidden="false" customHeight="true" outlineLevel="0" collapsed="false">
      <c r="A1113" s="1" t="n">
        <v>100465</v>
      </c>
      <c r="B1113" s="1" t="n">
        <v>51348</v>
      </c>
      <c r="C1113" s="1" t="n">
        <v>10</v>
      </c>
      <c r="D1113" s="1" t="n">
        <v>8</v>
      </c>
      <c r="E1113" s="1" t="str">
        <f aca="false">VLOOKUP(C1113,Меню!$A$2:$C$24,2,FALSE())</f>
        <v>Пицца Пепперони фреш</v>
      </c>
      <c r="F1113" s="1" t="n">
        <f aca="false">VLOOKUP(C1113,Меню!$A$2:$C$24,3,FALSE())</f>
        <v>565</v>
      </c>
      <c r="G1113" s="5" t="n">
        <f aca="false">VLOOKUP(B1113,Заказы!$A$2:$E$2995,2,FALSE())</f>
        <v>43985</v>
      </c>
      <c r="H1113" s="1" t="n">
        <f aca="false">VLOOKUP(B1113,Заказы!$A$2:$E$2995,3,FALSE())</f>
        <v>119</v>
      </c>
      <c r="I1113" s="1" t="str">
        <f aca="false">VLOOKUP(H1113,Клиенты!$A$2:$E$1995,5,FALSE())</f>
        <v>г. Данков</v>
      </c>
      <c r="J1113" s="1" t="n">
        <f aca="false">VLOOKUP(B1113,Заказы!$A$2:$E$2995,4,FALSE())</f>
        <v>0</v>
      </c>
      <c r="K1113" s="1" t="str">
        <f aca="false">VLOOKUP(B1113,Заказы!$A$2:$E$2995,5,FALSE())</f>
        <v>Не выполнено</v>
      </c>
      <c r="L1113" s="1" t="n">
        <f aca="false">D1113*F1113+J1113</f>
        <v>4520</v>
      </c>
      <c r="M1113" s="1" t="n">
        <f aca="false">IF(AND(E1113="Пицца Труслейка",I1113="г. Москва",K1113="Выполнено",G1113&gt;=DATE(2020,7,1),G1113&lt;DATE(2020,8,1)),L1113,0)</f>
        <v>0</v>
      </c>
    </row>
    <row r="1114" customFormat="false" ht="15" hidden="false" customHeight="true" outlineLevel="0" collapsed="false">
      <c r="A1114" s="1" t="n">
        <v>101601</v>
      </c>
      <c r="B1114" s="1" t="n">
        <v>51010</v>
      </c>
      <c r="C1114" s="1" t="n">
        <v>12</v>
      </c>
      <c r="D1114" s="1" t="n">
        <v>8</v>
      </c>
      <c r="E1114" s="1" t="str">
        <f aca="false">VLOOKUP(C1114,Меню!$A$2:$C$24,2,FALSE())</f>
        <v>Пицца Салями с трюфелем</v>
      </c>
      <c r="F1114" s="1" t="n">
        <f aca="false">VLOOKUP(C1114,Меню!$A$2:$C$24,3,FALSE())</f>
        <v>525</v>
      </c>
      <c r="G1114" s="5" t="n">
        <f aca="false">VLOOKUP(B1114,Заказы!$A$2:$E$2995,2,FALSE())</f>
        <v>44048</v>
      </c>
      <c r="H1114" s="1" t="n">
        <f aca="false">VLOOKUP(B1114,Заказы!$A$2:$E$2995,3,FALSE())</f>
        <v>1378</v>
      </c>
      <c r="I1114" s="1" t="str">
        <f aca="false">VLOOKUP(H1114,Клиенты!$A$2:$E$1995,5,FALSE())</f>
        <v>г. Коммунар</v>
      </c>
      <c r="J1114" s="1" t="n">
        <f aca="false">VLOOKUP(B1114,Заказы!$A$2:$E$2995,4,FALSE())</f>
        <v>417</v>
      </c>
      <c r="K1114" s="1" t="str">
        <f aca="false">VLOOKUP(B1114,Заказы!$A$2:$E$2995,5,FALSE())</f>
        <v>Выполнено</v>
      </c>
      <c r="L1114" s="1" t="n">
        <f aca="false">D1114*F1114+J1114</f>
        <v>4617</v>
      </c>
      <c r="M1114" s="1" t="n">
        <f aca="false">IF(AND(E1114="Пицца Труслейка",I1114="г. Москва",K1114="Выполнено",G1114&gt;=DATE(2020,7,1),G1114&lt;DATE(2020,8,1)),L1114,0)</f>
        <v>0</v>
      </c>
    </row>
    <row r="1115" customFormat="false" ht="15" hidden="false" customHeight="true" outlineLevel="0" collapsed="false">
      <c r="A1115" s="1" t="n">
        <v>100934</v>
      </c>
      <c r="B1115" s="1" t="n">
        <v>50617</v>
      </c>
      <c r="C1115" s="1" t="n">
        <v>9</v>
      </c>
      <c r="D1115" s="1" t="n">
        <v>7</v>
      </c>
      <c r="E1115" s="1" t="str">
        <f aca="false">VLOOKUP(C1115,Меню!$A$2:$C$24,2,FALSE())</f>
        <v>Пицца Острая с беконом</v>
      </c>
      <c r="F1115" s="1" t="n">
        <f aca="false">VLOOKUP(C1115,Меню!$A$2:$C$24,3,FALSE())</f>
        <v>540</v>
      </c>
      <c r="G1115" s="5" t="n">
        <f aca="false">VLOOKUP(B1115,Заказы!$A$2:$E$2995,2,FALSE())</f>
        <v>43982</v>
      </c>
      <c r="H1115" s="1" t="n">
        <f aca="false">VLOOKUP(B1115,Заказы!$A$2:$E$2995,3,FALSE())</f>
        <v>834</v>
      </c>
      <c r="I1115" s="1" t="str">
        <f aca="false">VLOOKUP(H1115,Клиенты!$A$2:$E$1995,5,FALSE())</f>
        <v>г. Осташков</v>
      </c>
      <c r="J1115" s="1" t="n">
        <f aca="false">VLOOKUP(B1115,Заказы!$A$2:$E$2995,4,FALSE())</f>
        <v>193</v>
      </c>
      <c r="K1115" s="1" t="str">
        <f aca="false">VLOOKUP(B1115,Заказы!$A$2:$E$2995,5,FALSE())</f>
        <v>Выполнено</v>
      </c>
      <c r="L1115" s="1" t="n">
        <f aca="false">D1115*F1115+J1115</f>
        <v>3973</v>
      </c>
      <c r="M1115" s="1" t="n">
        <f aca="false">IF(AND(E1115="Пицца Труслейка",I1115="г. Москва",K1115="Выполнено",G1115&gt;=DATE(2020,7,1),G1115&lt;DATE(2020,8,1)),L1115,0)</f>
        <v>0</v>
      </c>
    </row>
    <row r="1116" customFormat="false" ht="15" hidden="false" customHeight="true" outlineLevel="0" collapsed="false">
      <c r="A1116" s="1" t="n">
        <v>100391</v>
      </c>
      <c r="B1116" s="1" t="n">
        <v>51494</v>
      </c>
      <c r="C1116" s="1" t="n">
        <v>13</v>
      </c>
      <c r="D1116" s="1" t="n">
        <v>3</v>
      </c>
      <c r="E1116" s="1" t="str">
        <f aca="false">VLOOKUP(C1116,Меню!$A$2:$C$24,2,FALSE())</f>
        <v>Пицца Сырная</v>
      </c>
      <c r="F1116" s="1" t="n">
        <f aca="false">VLOOKUP(C1116,Меню!$A$2:$C$24,3,FALSE())</f>
        <v>635</v>
      </c>
      <c r="G1116" s="5" t="n">
        <f aca="false">VLOOKUP(B1116,Заказы!$A$2:$E$2995,2,FALSE())</f>
        <v>43989</v>
      </c>
      <c r="H1116" s="1" t="n">
        <f aca="false">VLOOKUP(B1116,Заказы!$A$2:$E$2995,3,FALSE())</f>
        <v>561</v>
      </c>
      <c r="I1116" s="1" t="str">
        <f aca="false">VLOOKUP(H1116,Клиенты!$A$2:$E$1995,5,FALSE())</f>
        <v>г. Пугачёв</v>
      </c>
      <c r="J1116" s="1" t="n">
        <f aca="false">VLOOKUP(B1116,Заказы!$A$2:$E$2995,4,FALSE())</f>
        <v>0</v>
      </c>
      <c r="K1116" s="1" t="str">
        <f aca="false">VLOOKUP(B1116,Заказы!$A$2:$E$2995,5,FALSE())</f>
        <v>Не выполнено</v>
      </c>
      <c r="L1116" s="1" t="n">
        <f aca="false">D1116*F1116+J1116</f>
        <v>1905</v>
      </c>
      <c r="M1116" s="1" t="n">
        <f aca="false">IF(AND(E1116="Пицца Труслейка",I1116="г. Москва",K1116="Выполнено",G1116&gt;=DATE(2020,7,1),G1116&lt;DATE(2020,8,1)),L1116,0)</f>
        <v>0</v>
      </c>
    </row>
    <row r="1117" customFormat="false" ht="15" hidden="false" customHeight="true" outlineLevel="0" collapsed="false">
      <c r="A1117" s="1" t="n">
        <v>101076</v>
      </c>
      <c r="B1117" s="1" t="n">
        <v>50874</v>
      </c>
      <c r="C1117" s="1" t="n">
        <v>12</v>
      </c>
      <c r="D1117" s="1" t="n">
        <v>4</v>
      </c>
      <c r="E1117" s="1" t="str">
        <f aca="false">VLOOKUP(C1117,Меню!$A$2:$C$24,2,FALSE())</f>
        <v>Пицца Салями с трюфелем</v>
      </c>
      <c r="F1117" s="1" t="n">
        <f aca="false">VLOOKUP(C1117,Меню!$A$2:$C$24,3,FALSE())</f>
        <v>525</v>
      </c>
      <c r="G1117" s="5" t="n">
        <f aca="false">VLOOKUP(B1117,Заказы!$A$2:$E$2995,2,FALSE())</f>
        <v>44002</v>
      </c>
      <c r="H1117" s="1" t="n">
        <f aca="false">VLOOKUP(B1117,Заказы!$A$2:$E$2995,3,FALSE())</f>
        <v>621</v>
      </c>
      <c r="I1117" s="1" t="str">
        <f aca="false">VLOOKUP(H1117,Клиенты!$A$2:$E$1995,5,FALSE())</f>
        <v>г. Бабушкин</v>
      </c>
      <c r="J1117" s="1" t="n">
        <f aca="false">VLOOKUP(B1117,Заказы!$A$2:$E$2995,4,FALSE())</f>
        <v>153</v>
      </c>
      <c r="K1117" s="1" t="str">
        <f aca="false">VLOOKUP(B1117,Заказы!$A$2:$E$2995,5,FALSE())</f>
        <v>Выполнено</v>
      </c>
      <c r="L1117" s="1" t="n">
        <f aca="false">D1117*F1117+J1117</f>
        <v>2253</v>
      </c>
      <c r="M1117" s="1" t="n">
        <f aca="false">IF(AND(E1117="Пицца Труслейка",I1117="г. Москва",K1117="Выполнено",G1117&gt;=DATE(2020,7,1),G1117&lt;DATE(2020,8,1)),L1117,0)</f>
        <v>0</v>
      </c>
    </row>
    <row r="1118" customFormat="false" ht="15" hidden="false" customHeight="true" outlineLevel="0" collapsed="false">
      <c r="A1118" s="1" t="n">
        <v>101523</v>
      </c>
      <c r="B1118" s="1" t="n">
        <v>50070</v>
      </c>
      <c r="C1118" s="1" t="n">
        <v>9</v>
      </c>
      <c r="D1118" s="1" t="n">
        <v>9</v>
      </c>
      <c r="E1118" s="1" t="str">
        <f aca="false">VLOOKUP(C1118,Меню!$A$2:$C$24,2,FALSE())</f>
        <v>Пицца Острая с беконом</v>
      </c>
      <c r="F1118" s="1" t="n">
        <f aca="false">VLOOKUP(C1118,Меню!$A$2:$C$24,3,FALSE())</f>
        <v>540</v>
      </c>
      <c r="G1118" s="5" t="n">
        <f aca="false">VLOOKUP(B1118,Заказы!$A$2:$E$2995,2,FALSE())</f>
        <v>44052</v>
      </c>
      <c r="H1118" s="1" t="n">
        <f aca="false">VLOOKUP(B1118,Заказы!$A$2:$E$2995,3,FALSE())</f>
        <v>1788</v>
      </c>
      <c r="I1118" s="1" t="str">
        <f aca="false">VLOOKUP(H1118,Клиенты!$A$2:$E$1995,5,FALSE())</f>
        <v>г. Сасово</v>
      </c>
      <c r="J1118" s="1" t="n">
        <f aca="false">VLOOKUP(B1118,Заказы!$A$2:$E$2995,4,FALSE())</f>
        <v>0</v>
      </c>
      <c r="K1118" s="1" t="str">
        <f aca="false">VLOOKUP(B1118,Заказы!$A$2:$E$2995,5,FALSE())</f>
        <v>Не выполнено</v>
      </c>
      <c r="L1118" s="1" t="n">
        <f aca="false">D1118*F1118+J1118</f>
        <v>4860</v>
      </c>
      <c r="M1118" s="1" t="n">
        <f aca="false">IF(AND(E1118="Пицца Труслейка",I1118="г. Москва",K1118="Выполнено",G1118&gt;=DATE(2020,7,1),G1118&lt;DATE(2020,8,1)),L1118,0)</f>
        <v>0</v>
      </c>
    </row>
    <row r="1119" customFormat="false" ht="15" hidden="false" customHeight="true" outlineLevel="0" collapsed="false">
      <c r="A1119" s="1" t="n">
        <v>101755</v>
      </c>
      <c r="B1119" s="1" t="n">
        <v>50276</v>
      </c>
      <c r="C1119" s="1" t="n">
        <v>8</v>
      </c>
      <c r="D1119" s="1" t="n">
        <v>3</v>
      </c>
      <c r="E1119" s="1" t="str">
        <f aca="false">VLOOKUP(C1119,Меню!$A$2:$C$24,2,FALSE())</f>
        <v>Пицца Мясная</v>
      </c>
      <c r="F1119" s="1" t="n">
        <f aca="false">VLOOKUP(C1119,Меню!$A$2:$C$24,3,FALSE())</f>
        <v>615</v>
      </c>
      <c r="G1119" s="5" t="n">
        <f aca="false">VLOOKUP(B1119,Заказы!$A$2:$E$2995,2,FALSE())</f>
        <v>44005</v>
      </c>
      <c r="H1119" s="1" t="n">
        <f aca="false">VLOOKUP(B1119,Заказы!$A$2:$E$2995,3,FALSE())</f>
        <v>1931</v>
      </c>
      <c r="I1119" s="1" t="str">
        <f aca="false">VLOOKUP(H1119,Клиенты!$A$2:$E$1995,5,FALSE())</f>
        <v>г. Емва</v>
      </c>
      <c r="J1119" s="1" t="n">
        <f aca="false">VLOOKUP(B1119,Заказы!$A$2:$E$2995,4,FALSE())</f>
        <v>0</v>
      </c>
      <c r="K1119" s="1" t="str">
        <f aca="false">VLOOKUP(B1119,Заказы!$A$2:$E$2995,5,FALSE())</f>
        <v>Не выполнено</v>
      </c>
      <c r="L1119" s="1" t="n">
        <f aca="false">D1119*F1119+J1119</f>
        <v>1845</v>
      </c>
      <c r="M1119" s="1" t="n">
        <f aca="false">IF(AND(E1119="Пицца Труслейка",I1119="г. Москва",K1119="Выполнено",G1119&gt;=DATE(2020,7,1),G1119&lt;DATE(2020,8,1)),L1119,0)</f>
        <v>0</v>
      </c>
    </row>
    <row r="1120" customFormat="false" ht="15" hidden="false" customHeight="true" outlineLevel="0" collapsed="false">
      <c r="A1120" s="1" t="n">
        <v>100493</v>
      </c>
      <c r="B1120" s="1" t="n">
        <v>51951</v>
      </c>
      <c r="C1120" s="1" t="n">
        <v>22</v>
      </c>
      <c r="D1120" s="1" t="n">
        <v>5</v>
      </c>
      <c r="E1120" s="1" t="str">
        <f aca="false">VLOOKUP(C1120,Меню!$A$2:$C$24,2,FALSE())</f>
        <v>Пицца с поркеттой и фриарелли</v>
      </c>
      <c r="F1120" s="1" t="n">
        <f aca="false">VLOOKUP(C1120,Меню!$A$2:$C$24,3,FALSE())</f>
        <v>550</v>
      </c>
      <c r="G1120" s="5" t="n">
        <f aca="false">VLOOKUP(B1120,Заказы!$A$2:$E$2995,2,FALSE())</f>
        <v>44021</v>
      </c>
      <c r="H1120" s="1" t="n">
        <f aca="false">VLOOKUP(B1120,Заказы!$A$2:$E$2995,3,FALSE())</f>
        <v>1682</v>
      </c>
      <c r="I1120" s="1" t="str">
        <f aca="false">VLOOKUP(H1120,Клиенты!$A$2:$E$1995,5,FALSE())</f>
        <v>г. Духовщина</v>
      </c>
      <c r="J1120" s="1" t="n">
        <f aca="false">VLOOKUP(B1120,Заказы!$A$2:$E$2995,4,FALSE())</f>
        <v>0</v>
      </c>
      <c r="K1120" s="1" t="str">
        <f aca="false">VLOOKUP(B1120,Заказы!$A$2:$E$2995,5,FALSE())</f>
        <v>Не выполнено</v>
      </c>
      <c r="L1120" s="1" t="n">
        <f aca="false">D1120*F1120+J1120</f>
        <v>2750</v>
      </c>
      <c r="M1120" s="1" t="n">
        <f aca="false">IF(AND(E1120="Пицца Труслейка",I1120="г. Москва",K1120="Выполнено",G1120&gt;=DATE(2020,7,1),G1120&lt;DATE(2020,8,1)),L1120,0)</f>
        <v>0</v>
      </c>
    </row>
    <row r="1121" customFormat="false" ht="15" hidden="false" customHeight="true" outlineLevel="0" collapsed="false">
      <c r="A1121" s="1" t="n">
        <v>100308</v>
      </c>
      <c r="B1121" s="1" t="n">
        <v>51989</v>
      </c>
      <c r="C1121" s="1" t="n">
        <v>4</v>
      </c>
      <c r="D1121" s="1" t="n">
        <v>4</v>
      </c>
      <c r="E1121" s="1" t="str">
        <f aca="false">VLOOKUP(C1121,Меню!$A$2:$C$24,2,FALSE())</f>
        <v>Пицца Труслейка</v>
      </c>
      <c r="F1121" s="1" t="n">
        <f aca="false">VLOOKUP(C1121,Меню!$A$2:$C$24,3,FALSE())</f>
        <v>610</v>
      </c>
      <c r="G1121" s="5" t="n">
        <f aca="false">VLOOKUP(B1121,Заказы!$A$2:$E$2995,2,FALSE())</f>
        <v>44017</v>
      </c>
      <c r="H1121" s="1" t="n">
        <f aca="false">VLOOKUP(B1121,Заказы!$A$2:$E$2995,3,FALSE())</f>
        <v>1216</v>
      </c>
      <c r="I1121" s="1" t="str">
        <f aca="false">VLOOKUP(H1121,Клиенты!$A$2:$E$1995,5,FALSE())</f>
        <v>г. Кызыл</v>
      </c>
      <c r="J1121" s="1" t="n">
        <f aca="false">VLOOKUP(B1121,Заказы!$A$2:$E$2995,4,FALSE())</f>
        <v>0</v>
      </c>
      <c r="K1121" s="1" t="str">
        <f aca="false">VLOOKUP(B1121,Заказы!$A$2:$E$2995,5,FALSE())</f>
        <v>Не выполнено</v>
      </c>
      <c r="L1121" s="1" t="n">
        <f aca="false">D1121*F1121+J1121</f>
        <v>2440</v>
      </c>
      <c r="M1121" s="1" t="n">
        <f aca="false">IF(AND(E1121="Пицца Труслейка",I1121="г. Москва",K1121="Выполнено",G1121&gt;=DATE(2020,7,1),G1121&lt;DATE(2020,8,1)),L1121,0)</f>
        <v>0</v>
      </c>
    </row>
    <row r="1122" customFormat="false" ht="15" hidden="false" customHeight="true" outlineLevel="0" collapsed="false">
      <c r="A1122" s="1" t="n">
        <v>100403</v>
      </c>
      <c r="B1122" s="1" t="n">
        <v>50732</v>
      </c>
      <c r="C1122" s="1" t="n">
        <v>13</v>
      </c>
      <c r="D1122" s="1" t="n">
        <v>3</v>
      </c>
      <c r="E1122" s="1" t="str">
        <f aca="false">VLOOKUP(C1122,Меню!$A$2:$C$24,2,FALSE())</f>
        <v>Пицца Сырная</v>
      </c>
      <c r="F1122" s="1" t="n">
        <f aca="false">VLOOKUP(C1122,Меню!$A$2:$C$24,3,FALSE())</f>
        <v>635</v>
      </c>
      <c r="G1122" s="5" t="n">
        <f aca="false">VLOOKUP(B1122,Заказы!$A$2:$E$2995,2,FALSE())</f>
        <v>44034</v>
      </c>
      <c r="H1122" s="1" t="n">
        <f aca="false">VLOOKUP(B1122,Заказы!$A$2:$E$2995,3,FALSE())</f>
        <v>5</v>
      </c>
      <c r="I1122" s="1" t="str">
        <f aca="false">VLOOKUP(H1122,Клиенты!$A$2:$E$1995,5,FALSE())</f>
        <v>г. Благодарный</v>
      </c>
      <c r="J1122" s="1" t="n">
        <f aca="false">VLOOKUP(B1122,Заказы!$A$2:$E$2995,4,FALSE())</f>
        <v>0</v>
      </c>
      <c r="K1122" s="1" t="str">
        <f aca="false">VLOOKUP(B1122,Заказы!$A$2:$E$2995,5,FALSE())</f>
        <v>Не выполнено</v>
      </c>
      <c r="L1122" s="1" t="n">
        <f aca="false">D1122*F1122+J1122</f>
        <v>1905</v>
      </c>
      <c r="M1122" s="1" t="n">
        <f aca="false">IF(AND(E1122="Пицца Труслейка",I1122="г. Москва",K1122="Выполнено",G1122&gt;=DATE(2020,7,1),G1122&lt;DATE(2020,8,1)),L1122,0)</f>
        <v>0</v>
      </c>
    </row>
    <row r="1123" customFormat="false" ht="15" hidden="false" customHeight="true" outlineLevel="0" collapsed="false">
      <c r="A1123" s="1" t="n">
        <v>100512</v>
      </c>
      <c r="B1123" s="1" t="n">
        <v>50015</v>
      </c>
      <c r="C1123" s="1" t="n">
        <v>7</v>
      </c>
      <c r="D1123" s="1" t="n">
        <v>4</v>
      </c>
      <c r="E1123" s="1" t="str">
        <f aca="false">VLOOKUP(C1123,Меню!$A$2:$C$24,2,FALSE())</f>
        <v>Пицца Карбонара</v>
      </c>
      <c r="F1123" s="1" t="n">
        <f aca="false">VLOOKUP(C1123,Меню!$A$2:$C$24,3,FALSE())</f>
        <v>625</v>
      </c>
      <c r="G1123" s="5" t="n">
        <f aca="false">VLOOKUP(B1123,Заказы!$A$2:$E$2995,2,FALSE())</f>
        <v>44012</v>
      </c>
      <c r="H1123" s="1" t="n">
        <f aca="false">VLOOKUP(B1123,Заказы!$A$2:$E$2995,3,FALSE())</f>
        <v>184</v>
      </c>
      <c r="I1123" s="1" t="str">
        <f aca="false">VLOOKUP(H1123,Клиенты!$A$2:$E$1995,5,FALSE())</f>
        <v>г. Вельск</v>
      </c>
      <c r="J1123" s="1" t="n">
        <f aca="false">VLOOKUP(B1123,Заказы!$A$2:$E$2995,4,FALSE())</f>
        <v>0</v>
      </c>
      <c r="K1123" s="1" t="str">
        <f aca="false">VLOOKUP(B1123,Заказы!$A$2:$E$2995,5,FALSE())</f>
        <v>Не выполнено</v>
      </c>
      <c r="L1123" s="1" t="n">
        <f aca="false">D1123*F1123+J1123</f>
        <v>2500</v>
      </c>
      <c r="M1123" s="1" t="n">
        <f aca="false">IF(AND(E1123="Пицца Труслейка",I1123="г. Москва",K1123="Выполнено",G1123&gt;=DATE(2020,7,1),G1123&lt;DATE(2020,8,1)),L1123,0)</f>
        <v>0</v>
      </c>
    </row>
    <row r="1124" customFormat="false" ht="15" hidden="false" customHeight="true" outlineLevel="0" collapsed="false">
      <c r="A1124" s="1" t="n">
        <v>100062</v>
      </c>
      <c r="B1124" s="1" t="n">
        <v>51163</v>
      </c>
      <c r="C1124" s="1" t="n">
        <v>9</v>
      </c>
      <c r="D1124" s="1" t="n">
        <v>10</v>
      </c>
      <c r="E1124" s="1" t="str">
        <f aca="false">VLOOKUP(C1124,Меню!$A$2:$C$24,2,FALSE())</f>
        <v>Пицца Острая с беконом</v>
      </c>
      <c r="F1124" s="1" t="n">
        <f aca="false">VLOOKUP(C1124,Меню!$A$2:$C$24,3,FALSE())</f>
        <v>540</v>
      </c>
      <c r="G1124" s="5" t="n">
        <f aca="false">VLOOKUP(B1124,Заказы!$A$2:$E$2995,2,FALSE())</f>
        <v>44015</v>
      </c>
      <c r="H1124" s="1" t="n">
        <f aca="false">VLOOKUP(B1124,Заказы!$A$2:$E$2995,3,FALSE())</f>
        <v>1226</v>
      </c>
      <c r="I1124" s="1" t="str">
        <f aca="false">VLOOKUP(H1124,Клиенты!$A$2:$E$1995,5,FALSE())</f>
        <v>г. Мезень</v>
      </c>
      <c r="J1124" s="1" t="n">
        <f aca="false">VLOOKUP(B1124,Заказы!$A$2:$E$2995,4,FALSE())</f>
        <v>812</v>
      </c>
      <c r="K1124" s="1" t="str">
        <f aca="false">VLOOKUP(B1124,Заказы!$A$2:$E$2995,5,FALSE())</f>
        <v>Выполнено</v>
      </c>
      <c r="L1124" s="1" t="n">
        <f aca="false">D1124*F1124+J1124</f>
        <v>6212</v>
      </c>
      <c r="M1124" s="1" t="n">
        <f aca="false">IF(AND(E1124="Пицца Труслейка",I1124="г. Москва",K1124="Выполнено",G1124&gt;=DATE(2020,7,1),G1124&lt;DATE(2020,8,1)),L1124,0)</f>
        <v>0</v>
      </c>
    </row>
    <row r="1125" customFormat="false" ht="15" hidden="false" customHeight="true" outlineLevel="0" collapsed="false">
      <c r="A1125" s="1" t="n">
        <v>100061</v>
      </c>
      <c r="B1125" s="1" t="n">
        <v>50893</v>
      </c>
      <c r="C1125" s="1" t="n">
        <v>23</v>
      </c>
      <c r="D1125" s="1" t="n">
        <v>6</v>
      </c>
      <c r="E1125" s="1" t="str">
        <f aca="false">VLOOKUP(C1125,Меню!$A$2:$C$24,2,FALSE())</f>
        <v>Пицца с тунцом</v>
      </c>
      <c r="F1125" s="1" t="n">
        <f aca="false">VLOOKUP(C1125,Меню!$A$2:$C$24,3,FALSE())</f>
        <v>520</v>
      </c>
      <c r="G1125" s="5" t="n">
        <f aca="false">VLOOKUP(B1125,Заказы!$A$2:$E$2995,2,FALSE())</f>
        <v>43999</v>
      </c>
      <c r="H1125" s="1" t="n">
        <f aca="false">VLOOKUP(B1125,Заказы!$A$2:$E$2995,3,FALSE())</f>
        <v>407</v>
      </c>
      <c r="I1125" s="1" t="str">
        <f aca="false">VLOOKUP(H1125,Клиенты!$A$2:$E$1995,5,FALSE())</f>
        <v>г. Белебей</v>
      </c>
      <c r="J1125" s="1" t="n">
        <f aca="false">VLOOKUP(B1125,Заказы!$A$2:$E$2995,4,FALSE())</f>
        <v>277</v>
      </c>
      <c r="K1125" s="1" t="str">
        <f aca="false">VLOOKUP(B1125,Заказы!$A$2:$E$2995,5,FALSE())</f>
        <v>Выполнено</v>
      </c>
      <c r="L1125" s="1" t="n">
        <f aca="false">D1125*F1125+J1125</f>
        <v>3397</v>
      </c>
      <c r="M1125" s="1" t="n">
        <f aca="false">IF(AND(E1125="Пицца Труслейка",I1125="г. Москва",K1125="Выполнено",G1125&gt;=DATE(2020,7,1),G1125&lt;DATE(2020,8,1)),L1125,0)</f>
        <v>0</v>
      </c>
    </row>
    <row r="1126" customFormat="false" ht="15" hidden="false" customHeight="true" outlineLevel="0" collapsed="false">
      <c r="A1126" s="1" t="n">
        <v>101632</v>
      </c>
      <c r="B1126" s="1" t="n">
        <v>51078</v>
      </c>
      <c r="C1126" s="1" t="n">
        <v>12</v>
      </c>
      <c r="D1126" s="1" t="n">
        <v>7</v>
      </c>
      <c r="E1126" s="1" t="str">
        <f aca="false">VLOOKUP(C1126,Меню!$A$2:$C$24,2,FALSE())</f>
        <v>Пицца Салями с трюфелем</v>
      </c>
      <c r="F1126" s="1" t="n">
        <f aca="false">VLOOKUP(C1126,Меню!$A$2:$C$24,3,FALSE())</f>
        <v>525</v>
      </c>
      <c r="G1126" s="5" t="n">
        <f aca="false">VLOOKUP(B1126,Заказы!$A$2:$E$2995,2,FALSE())</f>
        <v>44031</v>
      </c>
      <c r="H1126" s="1" t="n">
        <f aca="false">VLOOKUP(B1126,Заказы!$A$2:$E$2995,3,FALSE())</f>
        <v>1001</v>
      </c>
      <c r="I1126" s="1" t="str">
        <f aca="false">VLOOKUP(H1126,Клиенты!$A$2:$E$1995,5,FALSE())</f>
        <v>г. Лакинск</v>
      </c>
      <c r="J1126" s="1" t="n">
        <f aca="false">VLOOKUP(B1126,Заказы!$A$2:$E$2995,4,FALSE())</f>
        <v>826</v>
      </c>
      <c r="K1126" s="1" t="str">
        <f aca="false">VLOOKUP(B1126,Заказы!$A$2:$E$2995,5,FALSE())</f>
        <v>Выполнено</v>
      </c>
      <c r="L1126" s="1" t="n">
        <f aca="false">D1126*F1126+J1126</f>
        <v>4501</v>
      </c>
      <c r="M1126" s="1" t="n">
        <f aca="false">IF(AND(E1126="Пицца Труслейка",I1126="г. Москва",K1126="Выполнено",G1126&gt;=DATE(2020,7,1),G1126&lt;DATE(2020,8,1)),L1126,0)</f>
        <v>0</v>
      </c>
    </row>
    <row r="1127" customFormat="false" ht="15" hidden="false" customHeight="true" outlineLevel="0" collapsed="false">
      <c r="A1127" s="1" t="n">
        <v>101903</v>
      </c>
      <c r="B1127" s="1" t="n">
        <v>50271</v>
      </c>
      <c r="C1127" s="1" t="n">
        <v>17</v>
      </c>
      <c r="D1127" s="1" t="n">
        <v>3</v>
      </c>
      <c r="E1127" s="1" t="str">
        <f aca="false">VLOOKUP(C1127,Меню!$A$2:$C$24,2,FALSE())</f>
        <v>Пицца Френч Фрайз</v>
      </c>
      <c r="F1127" s="1" t="n">
        <f aca="false">VLOOKUP(C1127,Меню!$A$2:$C$24,3,FALSE())</f>
        <v>515</v>
      </c>
      <c r="G1127" s="5" t="n">
        <f aca="false">VLOOKUP(B1127,Заказы!$A$2:$E$2995,2,FALSE())</f>
        <v>43997</v>
      </c>
      <c r="H1127" s="1" t="n">
        <f aca="false">VLOOKUP(B1127,Заказы!$A$2:$E$2995,3,FALSE())</f>
        <v>956</v>
      </c>
      <c r="I1127" s="1" t="str">
        <f aca="false">VLOOKUP(H1127,Клиенты!$A$2:$E$1995,5,FALSE())</f>
        <v>г. Лабытнанги</v>
      </c>
      <c r="J1127" s="1" t="n">
        <f aca="false">VLOOKUP(B1127,Заказы!$A$2:$E$2995,4,FALSE())</f>
        <v>612</v>
      </c>
      <c r="K1127" s="1" t="str">
        <f aca="false">VLOOKUP(B1127,Заказы!$A$2:$E$2995,5,FALSE())</f>
        <v>Выполнено</v>
      </c>
      <c r="L1127" s="1" t="n">
        <f aca="false">D1127*F1127+J1127</f>
        <v>2157</v>
      </c>
      <c r="M1127" s="1" t="n">
        <f aca="false">IF(AND(E1127="Пицца Труслейка",I1127="г. Москва",K1127="Выполнено",G1127&gt;=DATE(2020,7,1),G1127&lt;DATE(2020,8,1)),L1127,0)</f>
        <v>0</v>
      </c>
    </row>
    <row r="1128" customFormat="false" ht="15" hidden="false" customHeight="true" outlineLevel="0" collapsed="false">
      <c r="A1128" s="1" t="n">
        <v>100497</v>
      </c>
      <c r="B1128" s="1" t="n">
        <v>51704</v>
      </c>
      <c r="C1128" s="1" t="n">
        <v>18</v>
      </c>
      <c r="D1128" s="1" t="n">
        <v>5</v>
      </c>
      <c r="E1128" s="1" t="str">
        <f aca="false">VLOOKUP(C1128,Меню!$A$2:$C$24,2,FALSE())</f>
        <v>Пицца Царская</v>
      </c>
      <c r="F1128" s="1" t="n">
        <f aca="false">VLOOKUP(C1128,Меню!$A$2:$C$24,3,FALSE())</f>
        <v>620</v>
      </c>
      <c r="G1128" s="5" t="n">
        <f aca="false">VLOOKUP(B1128,Заказы!$A$2:$E$2995,2,FALSE())</f>
        <v>43986</v>
      </c>
      <c r="H1128" s="1" t="n">
        <f aca="false">VLOOKUP(B1128,Заказы!$A$2:$E$2995,3,FALSE())</f>
        <v>652</v>
      </c>
      <c r="I1128" s="1" t="str">
        <f aca="false">VLOOKUP(H1128,Клиенты!$A$2:$E$1995,5,FALSE())</f>
        <v>г. Нея</v>
      </c>
      <c r="J1128" s="1" t="n">
        <f aca="false">VLOOKUP(B1128,Заказы!$A$2:$E$2995,4,FALSE())</f>
        <v>199</v>
      </c>
      <c r="K1128" s="1" t="str">
        <f aca="false">VLOOKUP(B1128,Заказы!$A$2:$E$2995,5,FALSE())</f>
        <v>Выполнено</v>
      </c>
      <c r="L1128" s="1" t="n">
        <f aca="false">D1128*F1128+J1128</f>
        <v>3299</v>
      </c>
      <c r="M1128" s="1" t="n">
        <f aca="false">IF(AND(E1128="Пицца Труслейка",I1128="г. Москва",K1128="Выполнено",G1128&gt;=DATE(2020,7,1),G1128&lt;DATE(2020,8,1)),L1128,0)</f>
        <v>0</v>
      </c>
    </row>
    <row r="1129" customFormat="false" ht="15" hidden="false" customHeight="true" outlineLevel="0" collapsed="false">
      <c r="A1129" s="1" t="n">
        <v>101309</v>
      </c>
      <c r="B1129" s="1" t="n">
        <v>51515</v>
      </c>
      <c r="C1129" s="1" t="n">
        <v>22</v>
      </c>
      <c r="D1129" s="1" t="n">
        <v>6</v>
      </c>
      <c r="E1129" s="1" t="str">
        <f aca="false">VLOOKUP(C1129,Меню!$A$2:$C$24,2,FALSE())</f>
        <v>Пицца с поркеттой и фриарелли</v>
      </c>
      <c r="F1129" s="1" t="n">
        <f aca="false">VLOOKUP(C1129,Меню!$A$2:$C$24,3,FALSE())</f>
        <v>550</v>
      </c>
      <c r="G1129" s="5" t="n">
        <f aca="false">VLOOKUP(B1129,Заказы!$A$2:$E$2995,2,FALSE())</f>
        <v>44056</v>
      </c>
      <c r="H1129" s="1" t="n">
        <f aca="false">VLOOKUP(B1129,Заказы!$A$2:$E$2995,3,FALSE())</f>
        <v>644</v>
      </c>
      <c r="I1129" s="1" t="str">
        <f aca="false">VLOOKUP(H1129,Клиенты!$A$2:$E$1995,5,FALSE())</f>
        <v>г. Среднеколымск</v>
      </c>
      <c r="J1129" s="1" t="n">
        <f aca="false">VLOOKUP(B1129,Заказы!$A$2:$E$2995,4,FALSE())</f>
        <v>371</v>
      </c>
      <c r="K1129" s="1" t="str">
        <f aca="false">VLOOKUP(B1129,Заказы!$A$2:$E$2995,5,FALSE())</f>
        <v>Выполнено</v>
      </c>
      <c r="L1129" s="1" t="n">
        <f aca="false">D1129*F1129+J1129</f>
        <v>3671</v>
      </c>
      <c r="M1129" s="1" t="n">
        <f aca="false">IF(AND(E1129="Пицца Труслейка",I1129="г. Москва",K1129="Выполнено",G1129&gt;=DATE(2020,7,1),G1129&lt;DATE(2020,8,1)),L1129,0)</f>
        <v>0</v>
      </c>
    </row>
    <row r="1130" customFormat="false" ht="15" hidden="false" customHeight="true" outlineLevel="0" collapsed="false">
      <c r="A1130" s="1" t="n">
        <v>101219</v>
      </c>
      <c r="B1130" s="1" t="n">
        <v>51888</v>
      </c>
      <c r="C1130" s="1" t="n">
        <v>1</v>
      </c>
      <c r="D1130" s="1" t="n">
        <v>1</v>
      </c>
      <c r="E1130" s="1" t="str">
        <f aca="false">VLOOKUP(C1130,Меню!$A$2:$C$24,2,FALSE())</f>
        <v>Пицца Гавайская</v>
      </c>
      <c r="F1130" s="1" t="n">
        <f aca="false">VLOOKUP(C1130,Меню!$A$2:$C$24,3,FALSE())</f>
        <v>545</v>
      </c>
      <c r="G1130" s="5" t="n">
        <f aca="false">VLOOKUP(B1130,Заказы!$A$2:$E$2995,2,FALSE())</f>
        <v>43984</v>
      </c>
      <c r="H1130" s="1" t="n">
        <f aca="false">VLOOKUP(B1130,Заказы!$A$2:$E$2995,3,FALSE())</f>
        <v>610</v>
      </c>
      <c r="I1130" s="1" t="str">
        <f aca="false">VLOOKUP(H1130,Клиенты!$A$2:$E$1995,5,FALSE())</f>
        <v>г. Москва</v>
      </c>
      <c r="J1130" s="1" t="n">
        <f aca="false">VLOOKUP(B1130,Заказы!$A$2:$E$2995,4,FALSE())</f>
        <v>632</v>
      </c>
      <c r="K1130" s="1" t="str">
        <f aca="false">VLOOKUP(B1130,Заказы!$A$2:$E$2995,5,FALSE())</f>
        <v>Выполнено</v>
      </c>
      <c r="L1130" s="1" t="n">
        <f aca="false">D1130*F1130+J1130</f>
        <v>1177</v>
      </c>
      <c r="M1130" s="1" t="n">
        <f aca="false">IF(AND(E1130="Пицца Труслейка",I1130="г. Москва",K1130="Выполнено",G1130&gt;=DATE(2020,7,1),G1130&lt;DATE(2020,8,1)),L1130,0)</f>
        <v>0</v>
      </c>
    </row>
    <row r="1131" customFormat="false" ht="15" hidden="false" customHeight="true" outlineLevel="0" collapsed="false">
      <c r="A1131" s="1" t="n">
        <v>101744</v>
      </c>
      <c r="B1131" s="1" t="n">
        <v>50799</v>
      </c>
      <c r="C1131" s="1" t="n">
        <v>4</v>
      </c>
      <c r="D1131" s="1" t="n">
        <v>7</v>
      </c>
      <c r="E1131" s="1" t="str">
        <f aca="false">VLOOKUP(C1131,Меню!$A$2:$C$24,2,FALSE())</f>
        <v>Пицца Труслейка</v>
      </c>
      <c r="F1131" s="1" t="n">
        <f aca="false">VLOOKUP(C1131,Меню!$A$2:$C$24,3,FALSE())</f>
        <v>610</v>
      </c>
      <c r="G1131" s="5" t="n">
        <f aca="false">VLOOKUP(B1131,Заказы!$A$2:$E$2995,2,FALSE())</f>
        <v>44049</v>
      </c>
      <c r="H1131" s="1" t="n">
        <f aca="false">VLOOKUP(B1131,Заказы!$A$2:$E$2995,3,FALSE())</f>
        <v>1959</v>
      </c>
      <c r="I1131" s="1" t="str">
        <f aca="false">VLOOKUP(H1131,Клиенты!$A$2:$E$1995,5,FALSE())</f>
        <v>г. Серпухов</v>
      </c>
      <c r="J1131" s="1" t="n">
        <f aca="false">VLOOKUP(B1131,Заказы!$A$2:$E$2995,4,FALSE())</f>
        <v>356</v>
      </c>
      <c r="K1131" s="1" t="str">
        <f aca="false">VLOOKUP(B1131,Заказы!$A$2:$E$2995,5,FALSE())</f>
        <v>Выполнено</v>
      </c>
      <c r="L1131" s="1" t="n">
        <f aca="false">D1131*F1131+J1131</f>
        <v>4626</v>
      </c>
      <c r="M1131" s="1" t="n">
        <f aca="false">IF(AND(E1131="Пицца Труслейка",I1131="г. Москва",K1131="Выполнено",G1131&gt;=DATE(2020,7,1),G1131&lt;DATE(2020,8,1)),L1131,0)</f>
        <v>0</v>
      </c>
    </row>
    <row r="1132" customFormat="false" ht="15" hidden="false" customHeight="true" outlineLevel="0" collapsed="false">
      <c r="A1132" s="1" t="n">
        <v>101941</v>
      </c>
      <c r="B1132" s="1" t="n">
        <v>51493</v>
      </c>
      <c r="C1132" s="1" t="n">
        <v>1</v>
      </c>
      <c r="D1132" s="1" t="n">
        <v>4</v>
      </c>
      <c r="E1132" s="1" t="str">
        <f aca="false">VLOOKUP(C1132,Меню!$A$2:$C$24,2,FALSE())</f>
        <v>Пицца Гавайская</v>
      </c>
      <c r="F1132" s="1" t="n">
        <f aca="false">VLOOKUP(C1132,Меню!$A$2:$C$24,3,FALSE())</f>
        <v>545</v>
      </c>
      <c r="G1132" s="5" t="n">
        <f aca="false">VLOOKUP(B1132,Заказы!$A$2:$E$2995,2,FALSE())</f>
        <v>44000</v>
      </c>
      <c r="H1132" s="1" t="n">
        <f aca="false">VLOOKUP(B1132,Заказы!$A$2:$E$2995,3,FALSE())</f>
        <v>1710</v>
      </c>
      <c r="I1132" s="1" t="str">
        <f aca="false">VLOOKUP(H1132,Клиенты!$A$2:$E$1995,5,FALSE())</f>
        <v>г. Москва</v>
      </c>
      <c r="J1132" s="1" t="n">
        <f aca="false">VLOOKUP(B1132,Заказы!$A$2:$E$2995,4,FALSE())</f>
        <v>735</v>
      </c>
      <c r="K1132" s="1" t="str">
        <f aca="false">VLOOKUP(B1132,Заказы!$A$2:$E$2995,5,FALSE())</f>
        <v>Выполнено</v>
      </c>
      <c r="L1132" s="1" t="n">
        <f aca="false">D1132*F1132+J1132</f>
        <v>2915</v>
      </c>
      <c r="M1132" s="1" t="n">
        <f aca="false">IF(AND(E1132="Пицца Труслейка",I1132="г. Москва",K1132="Выполнено",G1132&gt;=DATE(2020,7,1),G1132&lt;DATE(2020,8,1)),L1132,0)</f>
        <v>0</v>
      </c>
    </row>
    <row r="1133" customFormat="false" ht="15" hidden="false" customHeight="true" outlineLevel="0" collapsed="false">
      <c r="A1133" s="1" t="n">
        <v>100186</v>
      </c>
      <c r="B1133" s="1" t="n">
        <v>51353</v>
      </c>
      <c r="C1133" s="1" t="n">
        <v>4</v>
      </c>
      <c r="D1133" s="1" t="n">
        <v>4</v>
      </c>
      <c r="E1133" s="1" t="str">
        <f aca="false">VLOOKUP(C1133,Меню!$A$2:$C$24,2,FALSE())</f>
        <v>Пицца Труслейка</v>
      </c>
      <c r="F1133" s="1" t="n">
        <f aca="false">VLOOKUP(C1133,Меню!$A$2:$C$24,3,FALSE())</f>
        <v>610</v>
      </c>
      <c r="G1133" s="5" t="n">
        <f aca="false">VLOOKUP(B1133,Заказы!$A$2:$E$2995,2,FALSE())</f>
        <v>44043</v>
      </c>
      <c r="H1133" s="1" t="n">
        <f aca="false">VLOOKUP(B1133,Заказы!$A$2:$E$2995,3,FALSE())</f>
        <v>199</v>
      </c>
      <c r="I1133" s="1" t="str">
        <f aca="false">VLOOKUP(H1133,Клиенты!$A$2:$E$1995,5,FALSE())</f>
        <v>г. Мантурово</v>
      </c>
      <c r="J1133" s="1" t="n">
        <f aca="false">VLOOKUP(B1133,Заказы!$A$2:$E$2995,4,FALSE())</f>
        <v>712</v>
      </c>
      <c r="K1133" s="1" t="str">
        <f aca="false">VLOOKUP(B1133,Заказы!$A$2:$E$2995,5,FALSE())</f>
        <v>Выполнено</v>
      </c>
      <c r="L1133" s="1" t="n">
        <f aca="false">D1133*F1133+J1133</f>
        <v>3152</v>
      </c>
      <c r="M1133" s="1" t="n">
        <f aca="false">IF(AND(E1133="Пицца Труслейка",I1133="г. Москва",K1133="Выполнено",G1133&gt;=DATE(2020,7,1),G1133&lt;DATE(2020,8,1)),L1133,0)</f>
        <v>0</v>
      </c>
    </row>
    <row r="1134" customFormat="false" ht="15" hidden="false" customHeight="true" outlineLevel="0" collapsed="false">
      <c r="A1134" s="1" t="n">
        <v>100355</v>
      </c>
      <c r="B1134" s="1" t="n">
        <v>50970</v>
      </c>
      <c r="C1134" s="1" t="n">
        <v>19</v>
      </c>
      <c r="D1134" s="1" t="n">
        <v>1</v>
      </c>
      <c r="E1134" s="1" t="str">
        <f aca="false">VLOOKUP(C1134,Меню!$A$2:$C$24,2,FALSE())</f>
        <v>Пицца Цезарь</v>
      </c>
      <c r="F1134" s="1" t="n">
        <f aca="false">VLOOKUP(C1134,Меню!$A$2:$C$24,3,FALSE())</f>
        <v>630</v>
      </c>
      <c r="G1134" s="5" t="n">
        <f aca="false">VLOOKUP(B1134,Заказы!$A$2:$E$2995,2,FALSE())</f>
        <v>44003</v>
      </c>
      <c r="H1134" s="1" t="n">
        <f aca="false">VLOOKUP(B1134,Заказы!$A$2:$E$2995,3,FALSE())</f>
        <v>317</v>
      </c>
      <c r="I1134" s="1" t="str">
        <f aca="false">VLOOKUP(H1134,Клиенты!$A$2:$E$1995,5,FALSE())</f>
        <v>г. Томск</v>
      </c>
      <c r="J1134" s="1" t="n">
        <f aca="false">VLOOKUP(B1134,Заказы!$A$2:$E$2995,4,FALSE())</f>
        <v>464</v>
      </c>
      <c r="K1134" s="1" t="str">
        <f aca="false">VLOOKUP(B1134,Заказы!$A$2:$E$2995,5,FALSE())</f>
        <v>Выполнено</v>
      </c>
      <c r="L1134" s="1" t="n">
        <f aca="false">D1134*F1134+J1134</f>
        <v>1094</v>
      </c>
      <c r="M1134" s="1" t="n">
        <f aca="false">IF(AND(E1134="Пицца Труслейка",I1134="г. Москва",K1134="Выполнено",G1134&gt;=DATE(2020,7,1),G1134&lt;DATE(2020,8,1)),L1134,0)</f>
        <v>0</v>
      </c>
    </row>
    <row r="1135" customFormat="false" ht="15" hidden="false" customHeight="true" outlineLevel="0" collapsed="false">
      <c r="A1135" s="1" t="n">
        <v>100926</v>
      </c>
      <c r="B1135" s="1" t="n">
        <v>51927</v>
      </c>
      <c r="C1135" s="1" t="n">
        <v>5</v>
      </c>
      <c r="D1135" s="1" t="n">
        <v>9</v>
      </c>
      <c r="E1135" s="1" t="str">
        <f aca="false">VLOOKUP(C1135,Меню!$A$2:$C$24,2,FALSE())</f>
        <v>Пицца Жюльен</v>
      </c>
      <c r="F1135" s="1" t="n">
        <f aca="false">VLOOKUP(C1135,Меню!$A$2:$C$24,3,FALSE())</f>
        <v>580</v>
      </c>
      <c r="G1135" s="5" t="n">
        <f aca="false">VLOOKUP(B1135,Заказы!$A$2:$E$2995,2,FALSE())</f>
        <v>43992</v>
      </c>
      <c r="H1135" s="1" t="n">
        <f aca="false">VLOOKUP(B1135,Заказы!$A$2:$E$2995,3,FALSE())</f>
        <v>1018</v>
      </c>
      <c r="I1135" s="1" t="str">
        <f aca="false">VLOOKUP(H1135,Клиенты!$A$2:$E$1995,5,FALSE())</f>
        <v>г. Новотроицк</v>
      </c>
      <c r="J1135" s="1" t="n">
        <f aca="false">VLOOKUP(B1135,Заказы!$A$2:$E$2995,4,FALSE())</f>
        <v>0</v>
      </c>
      <c r="K1135" s="1" t="str">
        <f aca="false">VLOOKUP(B1135,Заказы!$A$2:$E$2995,5,FALSE())</f>
        <v>Не выполнено</v>
      </c>
      <c r="L1135" s="1" t="n">
        <f aca="false">D1135*F1135+J1135</f>
        <v>5220</v>
      </c>
      <c r="M1135" s="1" t="n">
        <f aca="false">IF(AND(E1135="Пицца Труслейка",I1135="г. Москва",K1135="Выполнено",G1135&gt;=DATE(2020,7,1),G1135&lt;DATE(2020,8,1)),L1135,0)</f>
        <v>0</v>
      </c>
    </row>
    <row r="1136" customFormat="false" ht="15" hidden="false" customHeight="true" outlineLevel="0" collapsed="false">
      <c r="A1136" s="1" t="n">
        <v>100499</v>
      </c>
      <c r="B1136" s="1" t="n">
        <v>50806</v>
      </c>
      <c r="C1136" s="1" t="n">
        <v>12</v>
      </c>
      <c r="D1136" s="1" t="n">
        <v>3</v>
      </c>
      <c r="E1136" s="1" t="str">
        <f aca="false">VLOOKUP(C1136,Меню!$A$2:$C$24,2,FALSE())</f>
        <v>Пицца Салями с трюфелем</v>
      </c>
      <c r="F1136" s="1" t="n">
        <f aca="false">VLOOKUP(C1136,Меню!$A$2:$C$24,3,FALSE())</f>
        <v>525</v>
      </c>
      <c r="G1136" s="5" t="n">
        <f aca="false">VLOOKUP(B1136,Заказы!$A$2:$E$2995,2,FALSE())</f>
        <v>44008</v>
      </c>
      <c r="H1136" s="1" t="n">
        <f aca="false">VLOOKUP(B1136,Заказы!$A$2:$E$2995,3,FALSE())</f>
        <v>1215</v>
      </c>
      <c r="I1136" s="1" t="str">
        <f aca="false">VLOOKUP(H1136,Клиенты!$A$2:$E$1995,5,FALSE())</f>
        <v>г. Костомукша</v>
      </c>
      <c r="J1136" s="1" t="n">
        <f aca="false">VLOOKUP(B1136,Заказы!$A$2:$E$2995,4,FALSE())</f>
        <v>0</v>
      </c>
      <c r="K1136" s="1" t="str">
        <f aca="false">VLOOKUP(B1136,Заказы!$A$2:$E$2995,5,FALSE())</f>
        <v>Не выполнено</v>
      </c>
      <c r="L1136" s="1" t="n">
        <f aca="false">D1136*F1136+J1136</f>
        <v>1575</v>
      </c>
      <c r="M1136" s="1" t="n">
        <f aca="false">IF(AND(E1136="Пицца Труслейка",I1136="г. Москва",K1136="Выполнено",G1136&gt;=DATE(2020,7,1),G1136&lt;DATE(2020,8,1)),L1136,0)</f>
        <v>0</v>
      </c>
    </row>
    <row r="1137" customFormat="false" ht="15" hidden="false" customHeight="true" outlineLevel="0" collapsed="false">
      <c r="A1137" s="1" t="n">
        <v>100754</v>
      </c>
      <c r="B1137" s="1" t="n">
        <v>51091</v>
      </c>
      <c r="C1137" s="1" t="n">
        <v>22</v>
      </c>
      <c r="D1137" s="1" t="n">
        <v>10</v>
      </c>
      <c r="E1137" s="1" t="str">
        <f aca="false">VLOOKUP(C1137,Меню!$A$2:$C$24,2,FALSE())</f>
        <v>Пицца с поркеттой и фриарелли</v>
      </c>
      <c r="F1137" s="1" t="n">
        <f aca="false">VLOOKUP(C1137,Меню!$A$2:$C$24,3,FALSE())</f>
        <v>550</v>
      </c>
      <c r="G1137" s="5" t="n">
        <f aca="false">VLOOKUP(B1137,Заказы!$A$2:$E$2995,2,FALSE())</f>
        <v>43996</v>
      </c>
      <c r="H1137" s="1" t="n">
        <f aca="false">VLOOKUP(B1137,Заказы!$A$2:$E$2995,3,FALSE())</f>
        <v>943</v>
      </c>
      <c r="I1137" s="1" t="str">
        <f aca="false">VLOOKUP(H1137,Клиенты!$A$2:$E$1995,5,FALSE())</f>
        <v>г. Сольцы</v>
      </c>
      <c r="J1137" s="1" t="n">
        <f aca="false">VLOOKUP(B1137,Заказы!$A$2:$E$2995,4,FALSE())</f>
        <v>615</v>
      </c>
      <c r="K1137" s="1" t="str">
        <f aca="false">VLOOKUP(B1137,Заказы!$A$2:$E$2995,5,FALSE())</f>
        <v>Выполнено</v>
      </c>
      <c r="L1137" s="1" t="n">
        <f aca="false">D1137*F1137+J1137</f>
        <v>6115</v>
      </c>
      <c r="M1137" s="1" t="n">
        <f aca="false">IF(AND(E1137="Пицца Труслейка",I1137="г. Москва",K1137="Выполнено",G1137&gt;=DATE(2020,7,1),G1137&lt;DATE(2020,8,1)),L1137,0)</f>
        <v>0</v>
      </c>
    </row>
    <row r="1138" customFormat="false" ht="15" hidden="false" customHeight="true" outlineLevel="0" collapsed="false">
      <c r="A1138" s="1" t="n">
        <v>101033</v>
      </c>
      <c r="B1138" s="1" t="n">
        <v>51279</v>
      </c>
      <c r="C1138" s="1" t="n">
        <v>7</v>
      </c>
      <c r="D1138" s="1" t="n">
        <v>1</v>
      </c>
      <c r="E1138" s="1" t="str">
        <f aca="false">VLOOKUP(C1138,Меню!$A$2:$C$24,2,FALSE())</f>
        <v>Пицца Карбонара</v>
      </c>
      <c r="F1138" s="1" t="n">
        <f aca="false">VLOOKUP(C1138,Меню!$A$2:$C$24,3,FALSE())</f>
        <v>625</v>
      </c>
      <c r="G1138" s="5" t="n">
        <f aca="false">VLOOKUP(B1138,Заказы!$A$2:$E$2995,2,FALSE())</f>
        <v>44000</v>
      </c>
      <c r="H1138" s="1" t="n">
        <f aca="false">VLOOKUP(B1138,Заказы!$A$2:$E$2995,3,FALSE())</f>
        <v>1903</v>
      </c>
      <c r="I1138" s="1" t="str">
        <f aca="false">VLOOKUP(H1138,Клиенты!$A$2:$E$1995,5,FALSE())</f>
        <v>г. Торопец</v>
      </c>
      <c r="J1138" s="1" t="n">
        <f aca="false">VLOOKUP(B1138,Заказы!$A$2:$E$2995,4,FALSE())</f>
        <v>0</v>
      </c>
      <c r="K1138" s="1" t="str">
        <f aca="false">VLOOKUP(B1138,Заказы!$A$2:$E$2995,5,FALSE())</f>
        <v>Не выполнено</v>
      </c>
      <c r="L1138" s="1" t="n">
        <f aca="false">D1138*F1138+J1138</f>
        <v>625</v>
      </c>
      <c r="M1138" s="1" t="n">
        <f aca="false">IF(AND(E1138="Пицца Труслейка",I1138="г. Москва",K1138="Выполнено",G1138&gt;=DATE(2020,7,1),G1138&lt;DATE(2020,8,1)),L1138,0)</f>
        <v>0</v>
      </c>
    </row>
    <row r="1139" customFormat="false" ht="15" hidden="false" customHeight="true" outlineLevel="0" collapsed="false">
      <c r="A1139" s="1" t="n">
        <v>101631</v>
      </c>
      <c r="B1139" s="1" t="n">
        <v>50445</v>
      </c>
      <c r="C1139" s="1" t="n">
        <v>16</v>
      </c>
      <c r="D1139" s="1" t="n">
        <v>7</v>
      </c>
      <c r="E1139" s="1" t="str">
        <f aca="false">VLOOKUP(C1139,Меню!$A$2:$C$24,2,FALSE())</f>
        <v>Пицца Флорида</v>
      </c>
      <c r="F1139" s="1" t="n">
        <f aca="false">VLOOKUP(C1139,Меню!$A$2:$C$24,3,FALSE())</f>
        <v>535</v>
      </c>
      <c r="G1139" s="5" t="n">
        <f aca="false">VLOOKUP(B1139,Заказы!$A$2:$E$2995,2,FALSE())</f>
        <v>44052</v>
      </c>
      <c r="H1139" s="1" t="n">
        <f aca="false">VLOOKUP(B1139,Заказы!$A$2:$E$2995,3,FALSE())</f>
        <v>981</v>
      </c>
      <c r="I1139" s="1" t="str">
        <f aca="false">VLOOKUP(H1139,Клиенты!$A$2:$E$1995,5,FALSE())</f>
        <v>г. Ирбит</v>
      </c>
      <c r="J1139" s="1" t="n">
        <f aca="false">VLOOKUP(B1139,Заказы!$A$2:$E$2995,4,FALSE())</f>
        <v>417</v>
      </c>
      <c r="K1139" s="1" t="str">
        <f aca="false">VLOOKUP(B1139,Заказы!$A$2:$E$2995,5,FALSE())</f>
        <v>Выполнено</v>
      </c>
      <c r="L1139" s="1" t="n">
        <f aca="false">D1139*F1139+J1139</f>
        <v>4162</v>
      </c>
      <c r="M1139" s="1" t="n">
        <f aca="false">IF(AND(E1139="Пицца Труслейка",I1139="г. Москва",K1139="Выполнено",G1139&gt;=DATE(2020,7,1),G1139&lt;DATE(2020,8,1)),L1139,0)</f>
        <v>0</v>
      </c>
    </row>
    <row r="1140" customFormat="false" ht="15" hidden="false" customHeight="true" outlineLevel="0" collapsed="false">
      <c r="A1140" s="1" t="n">
        <v>100458</v>
      </c>
      <c r="B1140" s="1" t="n">
        <v>50186</v>
      </c>
      <c r="C1140" s="1" t="n">
        <v>21</v>
      </c>
      <c r="D1140" s="1" t="n">
        <v>1</v>
      </c>
      <c r="E1140" s="1" t="str">
        <f aca="false">VLOOKUP(C1140,Меню!$A$2:$C$24,2,FALSE())</f>
        <v>Пицца с креветками и цукини</v>
      </c>
      <c r="F1140" s="1" t="n">
        <f aca="false">VLOOKUP(C1140,Меню!$A$2:$C$24,3,FALSE())</f>
        <v>600</v>
      </c>
      <c r="G1140" s="5" t="n">
        <f aca="false">VLOOKUP(B1140,Заказы!$A$2:$E$2995,2,FALSE())</f>
        <v>44019</v>
      </c>
      <c r="H1140" s="1" t="n">
        <f aca="false">VLOOKUP(B1140,Заказы!$A$2:$E$2995,3,FALSE())</f>
        <v>477</v>
      </c>
      <c r="I1140" s="1" t="str">
        <f aca="false">VLOOKUP(H1140,Клиенты!$A$2:$E$1995,5,FALSE())</f>
        <v>г. Ак-Довурак</v>
      </c>
      <c r="J1140" s="1" t="n">
        <f aca="false">VLOOKUP(B1140,Заказы!$A$2:$E$2995,4,FALSE())</f>
        <v>326</v>
      </c>
      <c r="K1140" s="1" t="str">
        <f aca="false">VLOOKUP(B1140,Заказы!$A$2:$E$2995,5,FALSE())</f>
        <v>Выполнено</v>
      </c>
      <c r="L1140" s="1" t="n">
        <f aca="false">D1140*F1140+J1140</f>
        <v>926</v>
      </c>
      <c r="M1140" s="1" t="n">
        <f aca="false">IF(AND(E1140="Пицца Труслейка",I1140="г. Москва",K1140="Выполнено",G1140&gt;=DATE(2020,7,1),G1140&lt;DATE(2020,8,1)),L1140,0)</f>
        <v>0</v>
      </c>
    </row>
    <row r="1141" customFormat="false" ht="15" hidden="false" customHeight="true" outlineLevel="0" collapsed="false">
      <c r="A1141" s="1" t="n">
        <v>100518</v>
      </c>
      <c r="B1141" s="1" t="n">
        <v>51802</v>
      </c>
      <c r="C1141" s="1" t="n">
        <v>4</v>
      </c>
      <c r="D1141" s="1" t="n">
        <v>8</v>
      </c>
      <c r="E1141" s="1" t="str">
        <f aca="false">VLOOKUP(C1141,Меню!$A$2:$C$24,2,FALSE())</f>
        <v>Пицца Труслейка</v>
      </c>
      <c r="F1141" s="1" t="n">
        <f aca="false">VLOOKUP(C1141,Меню!$A$2:$C$24,3,FALSE())</f>
        <v>610</v>
      </c>
      <c r="G1141" s="5" t="n">
        <f aca="false">VLOOKUP(B1141,Заказы!$A$2:$E$2995,2,FALSE())</f>
        <v>44069</v>
      </c>
      <c r="H1141" s="1" t="n">
        <f aca="false">VLOOKUP(B1141,Заказы!$A$2:$E$2995,3,FALSE())</f>
        <v>1779</v>
      </c>
      <c r="I1141" s="1" t="str">
        <f aca="false">VLOOKUP(H1141,Клиенты!$A$2:$E$1995,5,FALSE())</f>
        <v>г. Новозыбков</v>
      </c>
      <c r="J1141" s="1" t="n">
        <f aca="false">VLOOKUP(B1141,Заказы!$A$2:$E$2995,4,FALSE())</f>
        <v>100</v>
      </c>
      <c r="K1141" s="1" t="str">
        <f aca="false">VLOOKUP(B1141,Заказы!$A$2:$E$2995,5,FALSE())</f>
        <v>Выполнено</v>
      </c>
      <c r="L1141" s="1" t="n">
        <f aca="false">D1141*F1141+J1141</f>
        <v>4980</v>
      </c>
      <c r="M1141" s="1" t="n">
        <f aca="false">IF(AND(E1141="Пицца Труслейка",I1141="г. Москва",K1141="Выполнено",G1141&gt;=DATE(2020,7,1),G1141&lt;DATE(2020,8,1)),L1141,0)</f>
        <v>0</v>
      </c>
    </row>
    <row r="1142" customFormat="false" ht="15" hidden="false" customHeight="true" outlineLevel="0" collapsed="false">
      <c r="A1142" s="1" t="n">
        <v>100667</v>
      </c>
      <c r="B1142" s="1" t="n">
        <v>50459</v>
      </c>
      <c r="C1142" s="1" t="n">
        <v>21</v>
      </c>
      <c r="D1142" s="1" t="n">
        <v>6</v>
      </c>
      <c r="E1142" s="1" t="str">
        <f aca="false">VLOOKUP(C1142,Меню!$A$2:$C$24,2,FALSE())</f>
        <v>Пицца с креветками и цукини</v>
      </c>
      <c r="F1142" s="1" t="n">
        <f aca="false">VLOOKUP(C1142,Меню!$A$2:$C$24,3,FALSE())</f>
        <v>600</v>
      </c>
      <c r="G1142" s="5" t="n">
        <f aca="false">VLOOKUP(B1142,Заказы!$A$2:$E$2995,2,FALSE())</f>
        <v>44051</v>
      </c>
      <c r="H1142" s="1" t="n">
        <f aca="false">VLOOKUP(B1142,Заказы!$A$2:$E$2995,3,FALSE())</f>
        <v>1953</v>
      </c>
      <c r="I1142" s="1" t="str">
        <f aca="false">VLOOKUP(H1142,Клиенты!$A$2:$E$1995,5,FALSE())</f>
        <v>г. Шадринск</v>
      </c>
      <c r="J1142" s="1" t="n">
        <f aca="false">VLOOKUP(B1142,Заказы!$A$2:$E$2995,4,FALSE())</f>
        <v>0</v>
      </c>
      <c r="K1142" s="1" t="str">
        <f aca="false">VLOOKUP(B1142,Заказы!$A$2:$E$2995,5,FALSE())</f>
        <v>Не выполнено</v>
      </c>
      <c r="L1142" s="1" t="n">
        <f aca="false">D1142*F1142+J1142</f>
        <v>3600</v>
      </c>
      <c r="M1142" s="1" t="n">
        <f aca="false">IF(AND(E1142="Пицца Труслейка",I1142="г. Москва",K1142="Выполнено",G1142&gt;=DATE(2020,7,1),G1142&lt;DATE(2020,8,1)),L1142,0)</f>
        <v>0</v>
      </c>
    </row>
    <row r="1143" customFormat="false" ht="15" hidden="false" customHeight="true" outlineLevel="0" collapsed="false">
      <c r="A1143" s="1" t="n">
        <v>101162</v>
      </c>
      <c r="B1143" s="1" t="n">
        <v>51939</v>
      </c>
      <c r="C1143" s="1" t="n">
        <v>2</v>
      </c>
      <c r="D1143" s="1" t="n">
        <v>7</v>
      </c>
      <c r="E1143" s="1" t="str">
        <f aca="false">VLOOKUP(C1143,Меню!$A$2:$C$24,2,FALSE())</f>
        <v>Пицца Двойная пепперони</v>
      </c>
      <c r="F1143" s="1" t="n">
        <f aca="false">VLOOKUP(C1143,Меню!$A$2:$C$24,3,FALSE())</f>
        <v>575</v>
      </c>
      <c r="G1143" s="5" t="n">
        <f aca="false">VLOOKUP(B1143,Заказы!$A$2:$E$2995,2,FALSE())</f>
        <v>44050</v>
      </c>
      <c r="H1143" s="1" t="n">
        <f aca="false">VLOOKUP(B1143,Заказы!$A$2:$E$2995,3,FALSE())</f>
        <v>430</v>
      </c>
      <c r="I1143" s="1" t="str">
        <f aca="false">VLOOKUP(H1143,Клиенты!$A$2:$E$1995,5,FALSE())</f>
        <v>г. Москва</v>
      </c>
      <c r="J1143" s="1" t="n">
        <f aca="false">VLOOKUP(B1143,Заказы!$A$2:$E$2995,4,FALSE())</f>
        <v>0</v>
      </c>
      <c r="K1143" s="1" t="str">
        <f aca="false">VLOOKUP(B1143,Заказы!$A$2:$E$2995,5,FALSE())</f>
        <v>Не выполнено</v>
      </c>
      <c r="L1143" s="1" t="n">
        <f aca="false">D1143*F1143+J1143</f>
        <v>4025</v>
      </c>
      <c r="M1143" s="1" t="n">
        <f aca="false">IF(AND(E1143="Пицца Труслейка",I1143="г. Москва",K1143="Выполнено",G1143&gt;=DATE(2020,7,1),G1143&lt;DATE(2020,8,1)),L1143,0)</f>
        <v>0</v>
      </c>
    </row>
    <row r="1144" customFormat="false" ht="15" hidden="false" customHeight="true" outlineLevel="0" collapsed="false">
      <c r="A1144" s="1" t="n">
        <v>100288</v>
      </c>
      <c r="B1144" s="1" t="n">
        <v>51262</v>
      </c>
      <c r="C1144" s="1" t="n">
        <v>19</v>
      </c>
      <c r="D1144" s="1" t="n">
        <v>10</v>
      </c>
      <c r="E1144" s="1" t="str">
        <f aca="false">VLOOKUP(C1144,Меню!$A$2:$C$24,2,FALSE())</f>
        <v>Пицца Цезарь</v>
      </c>
      <c r="F1144" s="1" t="n">
        <f aca="false">VLOOKUP(C1144,Меню!$A$2:$C$24,3,FALSE())</f>
        <v>630</v>
      </c>
      <c r="G1144" s="5" t="n">
        <f aca="false">VLOOKUP(B1144,Заказы!$A$2:$E$2995,2,FALSE())</f>
        <v>43991</v>
      </c>
      <c r="H1144" s="1" t="n">
        <f aca="false">VLOOKUP(B1144,Заказы!$A$2:$E$2995,3,FALSE())</f>
        <v>1058</v>
      </c>
      <c r="I1144" s="1" t="str">
        <f aca="false">VLOOKUP(H1144,Клиенты!$A$2:$E$1995,5,FALSE())</f>
        <v>г. Ивангород</v>
      </c>
      <c r="J1144" s="1" t="n">
        <f aca="false">VLOOKUP(B1144,Заказы!$A$2:$E$2995,4,FALSE())</f>
        <v>0</v>
      </c>
      <c r="K1144" s="1" t="str">
        <f aca="false">VLOOKUP(B1144,Заказы!$A$2:$E$2995,5,FALSE())</f>
        <v>Не выполнено</v>
      </c>
      <c r="L1144" s="1" t="n">
        <f aca="false">D1144*F1144+J1144</f>
        <v>6300</v>
      </c>
      <c r="M1144" s="1" t="n">
        <f aca="false">IF(AND(E1144="Пицца Труслейка",I1144="г. Москва",K1144="Выполнено",G1144&gt;=DATE(2020,7,1),G1144&lt;DATE(2020,8,1)),L1144,0)</f>
        <v>0</v>
      </c>
    </row>
    <row r="1145" customFormat="false" ht="15" hidden="false" customHeight="true" outlineLevel="0" collapsed="false">
      <c r="A1145" s="1" t="n">
        <v>100902</v>
      </c>
      <c r="B1145" s="1" t="n">
        <v>51634</v>
      </c>
      <c r="C1145" s="1" t="n">
        <v>22</v>
      </c>
      <c r="D1145" s="1" t="n">
        <v>3</v>
      </c>
      <c r="E1145" s="1" t="str">
        <f aca="false">VLOOKUP(C1145,Меню!$A$2:$C$24,2,FALSE())</f>
        <v>Пицца с поркеттой и фриарелли</v>
      </c>
      <c r="F1145" s="1" t="n">
        <f aca="false">VLOOKUP(C1145,Меню!$A$2:$C$24,3,FALSE())</f>
        <v>550</v>
      </c>
      <c r="G1145" s="5" t="n">
        <f aca="false">VLOOKUP(B1145,Заказы!$A$2:$E$2995,2,FALSE())</f>
        <v>43998</v>
      </c>
      <c r="H1145" s="1" t="n">
        <f aca="false">VLOOKUP(B1145,Заказы!$A$2:$E$2995,3,FALSE())</f>
        <v>1888</v>
      </c>
      <c r="I1145" s="1" t="str">
        <f aca="false">VLOOKUP(H1145,Клиенты!$A$2:$E$1995,5,FALSE())</f>
        <v>г. Батайск</v>
      </c>
      <c r="J1145" s="1" t="n">
        <f aca="false">VLOOKUP(B1145,Заказы!$A$2:$E$2995,4,FALSE())</f>
        <v>0</v>
      </c>
      <c r="K1145" s="1" t="str">
        <f aca="false">VLOOKUP(B1145,Заказы!$A$2:$E$2995,5,FALSE())</f>
        <v>Не выполнено</v>
      </c>
      <c r="L1145" s="1" t="n">
        <f aca="false">D1145*F1145+J1145</f>
        <v>1650</v>
      </c>
      <c r="M1145" s="1" t="n">
        <f aca="false">IF(AND(E1145="Пицца Труслейка",I1145="г. Москва",K1145="Выполнено",G1145&gt;=DATE(2020,7,1),G1145&lt;DATE(2020,8,1)),L1145,0)</f>
        <v>0</v>
      </c>
    </row>
    <row r="1146" customFormat="false" ht="15" hidden="false" customHeight="true" outlineLevel="0" collapsed="false">
      <c r="A1146" s="1" t="n">
        <v>101849</v>
      </c>
      <c r="B1146" s="1" t="n">
        <v>51932</v>
      </c>
      <c r="C1146" s="1" t="n">
        <v>20</v>
      </c>
      <c r="D1146" s="1" t="n">
        <v>3</v>
      </c>
      <c r="E1146" s="1" t="str">
        <f aca="false">VLOOKUP(C1146,Меню!$A$2:$C$24,2,FALSE())</f>
        <v>Пицца пиканте</v>
      </c>
      <c r="F1146" s="1" t="n">
        <f aca="false">VLOOKUP(C1146,Меню!$A$2:$C$24,3,FALSE())</f>
        <v>585</v>
      </c>
      <c r="G1146" s="5" t="n">
        <f aca="false">VLOOKUP(B1146,Заказы!$A$2:$E$2995,2,FALSE())</f>
        <v>44069</v>
      </c>
      <c r="H1146" s="1" t="n">
        <f aca="false">VLOOKUP(B1146,Заказы!$A$2:$E$2995,3,FALSE())</f>
        <v>794</v>
      </c>
      <c r="I1146" s="1" t="str">
        <f aca="false">VLOOKUP(H1146,Клиенты!$A$2:$E$1995,5,FALSE())</f>
        <v>г. Хотьково</v>
      </c>
      <c r="J1146" s="1" t="n">
        <f aca="false">VLOOKUP(B1146,Заказы!$A$2:$E$2995,4,FALSE())</f>
        <v>431</v>
      </c>
      <c r="K1146" s="1" t="str">
        <f aca="false">VLOOKUP(B1146,Заказы!$A$2:$E$2995,5,FALSE())</f>
        <v>Выполнено</v>
      </c>
      <c r="L1146" s="1" t="n">
        <f aca="false">D1146*F1146+J1146</f>
        <v>2186</v>
      </c>
      <c r="M1146" s="1" t="n">
        <f aca="false">IF(AND(E1146="Пицца Труслейка",I1146="г. Москва",K1146="Выполнено",G1146&gt;=DATE(2020,7,1),G1146&lt;DATE(2020,8,1)),L1146,0)</f>
        <v>0</v>
      </c>
    </row>
    <row r="1147" customFormat="false" ht="15" hidden="false" customHeight="true" outlineLevel="0" collapsed="false">
      <c r="A1147" s="1" t="n">
        <v>100913</v>
      </c>
      <c r="B1147" s="1" t="n">
        <v>50574</v>
      </c>
      <c r="C1147" s="1" t="n">
        <v>19</v>
      </c>
      <c r="D1147" s="1" t="n">
        <v>7</v>
      </c>
      <c r="E1147" s="1" t="str">
        <f aca="false">VLOOKUP(C1147,Меню!$A$2:$C$24,2,FALSE())</f>
        <v>Пицца Цезарь</v>
      </c>
      <c r="F1147" s="1" t="n">
        <f aca="false">VLOOKUP(C1147,Меню!$A$2:$C$24,3,FALSE())</f>
        <v>630</v>
      </c>
      <c r="G1147" s="5" t="n">
        <f aca="false">VLOOKUP(B1147,Заказы!$A$2:$E$2995,2,FALSE())</f>
        <v>43986</v>
      </c>
      <c r="H1147" s="1" t="n">
        <f aca="false">VLOOKUP(B1147,Заказы!$A$2:$E$2995,3,FALSE())</f>
        <v>1241</v>
      </c>
      <c r="I1147" s="1" t="str">
        <f aca="false">VLOOKUP(H1147,Клиенты!$A$2:$E$1995,5,FALSE())</f>
        <v>г. Нытва</v>
      </c>
      <c r="J1147" s="1" t="n">
        <f aca="false">VLOOKUP(B1147,Заказы!$A$2:$E$2995,4,FALSE())</f>
        <v>749</v>
      </c>
      <c r="K1147" s="1" t="str">
        <f aca="false">VLOOKUP(B1147,Заказы!$A$2:$E$2995,5,FALSE())</f>
        <v>Выполнено</v>
      </c>
      <c r="L1147" s="1" t="n">
        <f aca="false">D1147*F1147+J1147</f>
        <v>5159</v>
      </c>
      <c r="M1147" s="1" t="n">
        <f aca="false">IF(AND(E1147="Пицца Труслейка",I1147="г. Москва",K1147="Выполнено",G1147&gt;=DATE(2020,7,1),G1147&lt;DATE(2020,8,1)),L1147,0)</f>
        <v>0</v>
      </c>
    </row>
    <row r="1148" customFormat="false" ht="15" hidden="false" customHeight="true" outlineLevel="0" collapsed="false">
      <c r="A1148" s="1" t="n">
        <v>100787</v>
      </c>
      <c r="B1148" s="1" t="n">
        <v>50263</v>
      </c>
      <c r="C1148" s="1" t="n">
        <v>3</v>
      </c>
      <c r="D1148" s="1" t="n">
        <v>10</v>
      </c>
      <c r="E1148" s="1" t="str">
        <f aca="false">VLOOKUP(C1148,Меню!$A$2:$C$24,2,FALSE())</f>
        <v>Пицца Диабло</v>
      </c>
      <c r="F1148" s="1" t="n">
        <f aca="false">VLOOKUP(C1148,Меню!$A$2:$C$24,3,FALSE())</f>
        <v>590</v>
      </c>
      <c r="G1148" s="5" t="n">
        <f aca="false">VLOOKUP(B1148,Заказы!$A$2:$E$2995,2,FALSE())</f>
        <v>44069</v>
      </c>
      <c r="H1148" s="1" t="n">
        <f aca="false">VLOOKUP(B1148,Заказы!$A$2:$E$2995,3,FALSE())</f>
        <v>1393</v>
      </c>
      <c r="I1148" s="1" t="str">
        <f aca="false">VLOOKUP(H1148,Клиенты!$A$2:$E$1995,5,FALSE())</f>
        <v>г. Слободской</v>
      </c>
      <c r="J1148" s="1" t="n">
        <f aca="false">VLOOKUP(B1148,Заказы!$A$2:$E$2995,4,FALSE())</f>
        <v>896</v>
      </c>
      <c r="K1148" s="1" t="str">
        <f aca="false">VLOOKUP(B1148,Заказы!$A$2:$E$2995,5,FALSE())</f>
        <v>Выполнено</v>
      </c>
      <c r="L1148" s="1" t="n">
        <f aca="false">D1148*F1148+J1148</f>
        <v>6796</v>
      </c>
      <c r="M1148" s="1" t="n">
        <f aca="false">IF(AND(E1148="Пицца Труслейка",I1148="г. Москва",K1148="Выполнено",G1148&gt;=DATE(2020,7,1),G1148&lt;DATE(2020,8,1)),L1148,0)</f>
        <v>0</v>
      </c>
    </row>
    <row r="1149" customFormat="false" ht="15" hidden="false" customHeight="true" outlineLevel="0" collapsed="false">
      <c r="A1149" s="1" t="n">
        <v>100989</v>
      </c>
      <c r="B1149" s="1" t="n">
        <v>50200</v>
      </c>
      <c r="C1149" s="1" t="n">
        <v>19</v>
      </c>
      <c r="D1149" s="1" t="n">
        <v>2</v>
      </c>
      <c r="E1149" s="1" t="str">
        <f aca="false">VLOOKUP(C1149,Меню!$A$2:$C$24,2,FALSE())</f>
        <v>Пицца Цезарь</v>
      </c>
      <c r="F1149" s="1" t="n">
        <f aca="false">VLOOKUP(C1149,Меню!$A$2:$C$24,3,FALSE())</f>
        <v>630</v>
      </c>
      <c r="G1149" s="5" t="n">
        <f aca="false">VLOOKUP(B1149,Заказы!$A$2:$E$2995,2,FALSE())</f>
        <v>44028</v>
      </c>
      <c r="H1149" s="1" t="n">
        <f aca="false">VLOOKUP(B1149,Заказы!$A$2:$E$2995,3,FALSE())</f>
        <v>958</v>
      </c>
      <c r="I1149" s="1" t="str">
        <f aca="false">VLOOKUP(H1149,Клиенты!$A$2:$E$1995,5,FALSE())</f>
        <v>г. Козьмодемьянск</v>
      </c>
      <c r="J1149" s="1" t="n">
        <f aca="false">VLOOKUP(B1149,Заказы!$A$2:$E$2995,4,FALSE())</f>
        <v>143</v>
      </c>
      <c r="K1149" s="1" t="str">
        <f aca="false">VLOOKUP(B1149,Заказы!$A$2:$E$2995,5,FALSE())</f>
        <v>Выполнено</v>
      </c>
      <c r="L1149" s="1" t="n">
        <f aca="false">D1149*F1149+J1149</f>
        <v>1403</v>
      </c>
      <c r="M1149" s="1" t="n">
        <f aca="false">IF(AND(E1149="Пицца Труслейка",I1149="г. Москва",K1149="Выполнено",G1149&gt;=DATE(2020,7,1),G1149&lt;DATE(2020,8,1)),L1149,0)</f>
        <v>0</v>
      </c>
    </row>
    <row r="1150" customFormat="false" ht="15" hidden="false" customHeight="true" outlineLevel="0" collapsed="false">
      <c r="A1150" s="1" t="n">
        <v>101028</v>
      </c>
      <c r="B1150" s="1" t="n">
        <v>50869</v>
      </c>
      <c r="C1150" s="1" t="n">
        <v>2</v>
      </c>
      <c r="D1150" s="1" t="n">
        <v>10</v>
      </c>
      <c r="E1150" s="1" t="str">
        <f aca="false">VLOOKUP(C1150,Меню!$A$2:$C$24,2,FALSE())</f>
        <v>Пицца Двойная пепперони</v>
      </c>
      <c r="F1150" s="1" t="n">
        <f aca="false">VLOOKUP(C1150,Меню!$A$2:$C$24,3,FALSE())</f>
        <v>575</v>
      </c>
      <c r="G1150" s="5" t="n">
        <f aca="false">VLOOKUP(B1150,Заказы!$A$2:$E$2995,2,FALSE())</f>
        <v>44064</v>
      </c>
      <c r="H1150" s="1" t="n">
        <f aca="false">VLOOKUP(B1150,Заказы!$A$2:$E$2995,3,FALSE())</f>
        <v>1265</v>
      </c>
      <c r="I1150" s="1" t="str">
        <f aca="false">VLOOKUP(H1150,Клиенты!$A$2:$E$1995,5,FALSE())</f>
        <v>г. Лениногорск</v>
      </c>
      <c r="J1150" s="1" t="n">
        <f aca="false">VLOOKUP(B1150,Заказы!$A$2:$E$2995,4,FALSE())</f>
        <v>0</v>
      </c>
      <c r="K1150" s="1" t="str">
        <f aca="false">VLOOKUP(B1150,Заказы!$A$2:$E$2995,5,FALSE())</f>
        <v>Не выполнено</v>
      </c>
      <c r="L1150" s="1" t="n">
        <f aca="false">D1150*F1150+J1150</f>
        <v>5750</v>
      </c>
      <c r="M1150" s="1" t="n">
        <f aca="false">IF(AND(E1150="Пицца Труслейка",I1150="г. Москва",K1150="Выполнено",G1150&gt;=DATE(2020,7,1),G1150&lt;DATE(2020,8,1)),L1150,0)</f>
        <v>0</v>
      </c>
    </row>
    <row r="1151" customFormat="false" ht="15" hidden="false" customHeight="true" outlineLevel="0" collapsed="false">
      <c r="A1151" s="1" t="n">
        <v>100848</v>
      </c>
      <c r="B1151" s="1" t="n">
        <v>50762</v>
      </c>
      <c r="C1151" s="1" t="n">
        <v>4</v>
      </c>
      <c r="D1151" s="1" t="n">
        <v>2</v>
      </c>
      <c r="E1151" s="1" t="str">
        <f aca="false">VLOOKUP(C1151,Меню!$A$2:$C$24,2,FALSE())</f>
        <v>Пицца Труслейка</v>
      </c>
      <c r="F1151" s="1" t="n">
        <f aca="false">VLOOKUP(C1151,Меню!$A$2:$C$24,3,FALSE())</f>
        <v>610</v>
      </c>
      <c r="G1151" s="5" t="n">
        <f aca="false">VLOOKUP(B1151,Заказы!$A$2:$E$2995,2,FALSE())</f>
        <v>44007</v>
      </c>
      <c r="H1151" s="1" t="n">
        <f aca="false">VLOOKUP(B1151,Заказы!$A$2:$E$2995,3,FALSE())</f>
        <v>1842</v>
      </c>
      <c r="I1151" s="1" t="str">
        <f aca="false">VLOOKUP(H1151,Клиенты!$A$2:$E$1995,5,FALSE())</f>
        <v>г. Рудня</v>
      </c>
      <c r="J1151" s="1" t="n">
        <f aca="false">VLOOKUP(B1151,Заказы!$A$2:$E$2995,4,FALSE())</f>
        <v>0</v>
      </c>
      <c r="K1151" s="1" t="str">
        <f aca="false">VLOOKUP(B1151,Заказы!$A$2:$E$2995,5,FALSE())</f>
        <v>Не выполнено</v>
      </c>
      <c r="L1151" s="1" t="n">
        <f aca="false">D1151*F1151+J1151</f>
        <v>1220</v>
      </c>
      <c r="M1151" s="1" t="n">
        <f aca="false">IF(AND(E1151="Пицца Труслейка",I1151="г. Москва",K1151="Выполнено",G1151&gt;=DATE(2020,7,1),G1151&lt;DATE(2020,8,1)),L1151,0)</f>
        <v>0</v>
      </c>
    </row>
    <row r="1152" customFormat="false" ht="15" hidden="false" customHeight="true" outlineLevel="0" collapsed="false">
      <c r="A1152" s="1" t="n">
        <v>101398</v>
      </c>
      <c r="B1152" s="1" t="n">
        <v>50110</v>
      </c>
      <c r="C1152" s="1" t="n">
        <v>2</v>
      </c>
      <c r="D1152" s="1" t="n">
        <v>2</v>
      </c>
      <c r="E1152" s="1" t="str">
        <f aca="false">VLOOKUP(C1152,Меню!$A$2:$C$24,2,FALSE())</f>
        <v>Пицца Двойная пепперони</v>
      </c>
      <c r="F1152" s="1" t="n">
        <f aca="false">VLOOKUP(C1152,Меню!$A$2:$C$24,3,FALSE())</f>
        <v>575</v>
      </c>
      <c r="G1152" s="5" t="n">
        <f aca="false">VLOOKUP(B1152,Заказы!$A$2:$E$2995,2,FALSE())</f>
        <v>44041</v>
      </c>
      <c r="H1152" s="1" t="n">
        <f aca="false">VLOOKUP(B1152,Заказы!$A$2:$E$2995,3,FALSE())</f>
        <v>1675</v>
      </c>
      <c r="I1152" s="1" t="str">
        <f aca="false">VLOOKUP(H1152,Клиенты!$A$2:$E$1995,5,FALSE())</f>
        <v>г. Медногорск</v>
      </c>
      <c r="J1152" s="1" t="n">
        <f aca="false">VLOOKUP(B1152,Заказы!$A$2:$E$2995,4,FALSE())</f>
        <v>119</v>
      </c>
      <c r="K1152" s="1" t="str">
        <f aca="false">VLOOKUP(B1152,Заказы!$A$2:$E$2995,5,FALSE())</f>
        <v>Выполнено</v>
      </c>
      <c r="L1152" s="1" t="n">
        <f aca="false">D1152*F1152+J1152</f>
        <v>1269</v>
      </c>
      <c r="M1152" s="1" t="n">
        <f aca="false">IF(AND(E1152="Пицца Труслейка",I1152="г. Москва",K1152="Выполнено",G1152&gt;=DATE(2020,7,1),G1152&lt;DATE(2020,8,1)),L1152,0)</f>
        <v>0</v>
      </c>
    </row>
    <row r="1153" customFormat="false" ht="15" hidden="false" customHeight="true" outlineLevel="0" collapsed="false">
      <c r="A1153" s="1" t="n">
        <v>101976</v>
      </c>
      <c r="B1153" s="1" t="n">
        <v>50324</v>
      </c>
      <c r="C1153" s="1" t="n">
        <v>6</v>
      </c>
      <c r="D1153" s="1" t="n">
        <v>4</v>
      </c>
      <c r="E1153" s="1" t="str">
        <f aca="false">VLOOKUP(C1153,Меню!$A$2:$C$24,2,FALSE())</f>
        <v>Пицца Капричиоза</v>
      </c>
      <c r="F1153" s="1" t="n">
        <f aca="false">VLOOKUP(C1153,Меню!$A$2:$C$24,3,FALSE())</f>
        <v>570</v>
      </c>
      <c r="G1153" s="5" t="n">
        <f aca="false">VLOOKUP(B1153,Заказы!$A$2:$E$2995,2,FALSE())</f>
        <v>44005</v>
      </c>
      <c r="H1153" s="1" t="n">
        <f aca="false">VLOOKUP(B1153,Заказы!$A$2:$E$2995,3,FALSE())</f>
        <v>193</v>
      </c>
      <c r="I1153" s="1" t="str">
        <f aca="false">VLOOKUP(H1153,Клиенты!$A$2:$E$1995,5,FALSE())</f>
        <v>г. Гдов</v>
      </c>
      <c r="J1153" s="1" t="n">
        <f aca="false">VLOOKUP(B1153,Заказы!$A$2:$E$2995,4,FALSE())</f>
        <v>112</v>
      </c>
      <c r="K1153" s="1" t="str">
        <f aca="false">VLOOKUP(B1153,Заказы!$A$2:$E$2995,5,FALSE())</f>
        <v>Выполнено</v>
      </c>
      <c r="L1153" s="1" t="n">
        <f aca="false">D1153*F1153+J1153</f>
        <v>2392</v>
      </c>
      <c r="M1153" s="1" t="n">
        <f aca="false">IF(AND(E1153="Пицца Труслейка",I1153="г. Москва",K1153="Выполнено",G1153&gt;=DATE(2020,7,1),G1153&lt;DATE(2020,8,1)),L1153,0)</f>
        <v>0</v>
      </c>
    </row>
    <row r="1154" customFormat="false" ht="15" hidden="false" customHeight="true" outlineLevel="0" collapsed="false">
      <c r="A1154" s="1" t="n">
        <v>100067</v>
      </c>
      <c r="B1154" s="1" t="n">
        <v>51986</v>
      </c>
      <c r="C1154" s="1" t="n">
        <v>13</v>
      </c>
      <c r="D1154" s="1" t="n">
        <v>5</v>
      </c>
      <c r="E1154" s="1" t="str">
        <f aca="false">VLOOKUP(C1154,Меню!$A$2:$C$24,2,FALSE())</f>
        <v>Пицца Сырная</v>
      </c>
      <c r="F1154" s="1" t="n">
        <f aca="false">VLOOKUP(C1154,Меню!$A$2:$C$24,3,FALSE())</f>
        <v>635</v>
      </c>
      <c r="G1154" s="5" t="n">
        <f aca="false">VLOOKUP(B1154,Заказы!$A$2:$E$2995,2,FALSE())</f>
        <v>43990</v>
      </c>
      <c r="H1154" s="1" t="n">
        <f aca="false">VLOOKUP(B1154,Заказы!$A$2:$E$2995,3,FALSE())</f>
        <v>1332</v>
      </c>
      <c r="I1154" s="1" t="str">
        <f aca="false">VLOOKUP(H1154,Клиенты!$A$2:$E$1995,5,FALSE())</f>
        <v>г. Салаир</v>
      </c>
      <c r="J1154" s="1" t="n">
        <f aca="false">VLOOKUP(B1154,Заказы!$A$2:$E$2995,4,FALSE())</f>
        <v>438</v>
      </c>
      <c r="K1154" s="1" t="str">
        <f aca="false">VLOOKUP(B1154,Заказы!$A$2:$E$2995,5,FALSE())</f>
        <v>Выполнено</v>
      </c>
      <c r="L1154" s="1" t="n">
        <f aca="false">D1154*F1154+J1154</f>
        <v>3613</v>
      </c>
      <c r="M1154" s="1" t="n">
        <f aca="false">IF(AND(E1154="Пицца Труслейка",I1154="г. Москва",K1154="Выполнено",G1154&gt;=DATE(2020,7,1),G1154&lt;DATE(2020,8,1)),L1154,0)</f>
        <v>0</v>
      </c>
    </row>
    <row r="1155" customFormat="false" ht="15" hidden="false" customHeight="true" outlineLevel="0" collapsed="false">
      <c r="A1155" s="1" t="n">
        <v>101608</v>
      </c>
      <c r="B1155" s="1" t="n">
        <v>50514</v>
      </c>
      <c r="C1155" s="1" t="n">
        <v>12</v>
      </c>
      <c r="D1155" s="1" t="n">
        <v>7</v>
      </c>
      <c r="E1155" s="1" t="str">
        <f aca="false">VLOOKUP(C1155,Меню!$A$2:$C$24,2,FALSE())</f>
        <v>Пицца Салями с трюфелем</v>
      </c>
      <c r="F1155" s="1" t="n">
        <f aca="false">VLOOKUP(C1155,Меню!$A$2:$C$24,3,FALSE())</f>
        <v>525</v>
      </c>
      <c r="G1155" s="5" t="n">
        <f aca="false">VLOOKUP(B1155,Заказы!$A$2:$E$2995,2,FALSE())</f>
        <v>44007</v>
      </c>
      <c r="H1155" s="1" t="n">
        <f aca="false">VLOOKUP(B1155,Заказы!$A$2:$E$2995,3,FALSE())</f>
        <v>911</v>
      </c>
      <c r="I1155" s="1" t="str">
        <f aca="false">VLOOKUP(H1155,Клиенты!$A$2:$E$1995,5,FALSE())</f>
        <v>г. Змеиногорск</v>
      </c>
      <c r="J1155" s="1" t="n">
        <f aca="false">VLOOKUP(B1155,Заказы!$A$2:$E$2995,4,FALSE())</f>
        <v>0</v>
      </c>
      <c r="K1155" s="1" t="str">
        <f aca="false">VLOOKUP(B1155,Заказы!$A$2:$E$2995,5,FALSE())</f>
        <v>Не выполнено</v>
      </c>
      <c r="L1155" s="1" t="n">
        <f aca="false">D1155*F1155+J1155</f>
        <v>3675</v>
      </c>
      <c r="M1155" s="1" t="n">
        <f aca="false">IF(AND(E1155="Пицца Труслейка",I1155="г. Москва",K1155="Выполнено",G1155&gt;=DATE(2020,7,1),G1155&lt;DATE(2020,8,1)),L1155,0)</f>
        <v>0</v>
      </c>
    </row>
    <row r="1156" customFormat="false" ht="15" hidden="false" customHeight="true" outlineLevel="0" collapsed="false">
      <c r="A1156" s="1" t="n">
        <v>100280</v>
      </c>
      <c r="B1156" s="1" t="n">
        <v>50561</v>
      </c>
      <c r="C1156" s="1" t="n">
        <v>10</v>
      </c>
      <c r="D1156" s="1" t="n">
        <v>7</v>
      </c>
      <c r="E1156" s="1" t="str">
        <f aca="false">VLOOKUP(C1156,Меню!$A$2:$C$24,2,FALSE())</f>
        <v>Пицца Пепперони фреш</v>
      </c>
      <c r="F1156" s="1" t="n">
        <f aca="false">VLOOKUP(C1156,Меню!$A$2:$C$24,3,FALSE())</f>
        <v>565</v>
      </c>
      <c r="G1156" s="5" t="n">
        <f aca="false">VLOOKUP(B1156,Заказы!$A$2:$E$2995,2,FALSE())</f>
        <v>44045</v>
      </c>
      <c r="H1156" s="1" t="n">
        <f aca="false">VLOOKUP(B1156,Заказы!$A$2:$E$2995,3,FALSE())</f>
        <v>1994</v>
      </c>
      <c r="I1156" s="1" t="str">
        <f aca="false">VLOOKUP(H1156,Клиенты!$A$2:$E$1995,5,FALSE())</f>
        <v>г. Снежногорск</v>
      </c>
      <c r="J1156" s="1" t="n">
        <f aca="false">VLOOKUP(B1156,Заказы!$A$2:$E$2995,4,FALSE())</f>
        <v>0</v>
      </c>
      <c r="K1156" s="1" t="str">
        <f aca="false">VLOOKUP(B1156,Заказы!$A$2:$E$2995,5,FALSE())</f>
        <v>Не выполнено</v>
      </c>
      <c r="L1156" s="1" t="n">
        <f aca="false">D1156*F1156+J1156</f>
        <v>3955</v>
      </c>
      <c r="M1156" s="1" t="n">
        <f aca="false">IF(AND(E1156="Пицца Труслейка",I1156="г. Москва",K1156="Выполнено",G1156&gt;=DATE(2020,7,1),G1156&lt;DATE(2020,8,1)),L1156,0)</f>
        <v>0</v>
      </c>
    </row>
    <row r="1157" customFormat="false" ht="15" hidden="false" customHeight="true" outlineLevel="0" collapsed="false">
      <c r="A1157" s="1" t="n">
        <v>100922</v>
      </c>
      <c r="B1157" s="1" t="n">
        <v>50387</v>
      </c>
      <c r="C1157" s="1" t="n">
        <v>17</v>
      </c>
      <c r="D1157" s="1" t="n">
        <v>10</v>
      </c>
      <c r="E1157" s="1" t="str">
        <f aca="false">VLOOKUP(C1157,Меню!$A$2:$C$24,2,FALSE())</f>
        <v>Пицца Френч Фрайз</v>
      </c>
      <c r="F1157" s="1" t="n">
        <f aca="false">VLOOKUP(C1157,Меню!$A$2:$C$24,3,FALSE())</f>
        <v>515</v>
      </c>
      <c r="G1157" s="5" t="n">
        <f aca="false">VLOOKUP(B1157,Заказы!$A$2:$E$2995,2,FALSE())</f>
        <v>44049</v>
      </c>
      <c r="H1157" s="1" t="n">
        <f aca="false">VLOOKUP(B1157,Заказы!$A$2:$E$2995,3,FALSE())</f>
        <v>427</v>
      </c>
      <c r="I1157" s="1" t="str">
        <f aca="false">VLOOKUP(H1157,Клиенты!$A$2:$E$1995,5,FALSE())</f>
        <v>г. Белореченск</v>
      </c>
      <c r="J1157" s="1" t="n">
        <f aca="false">VLOOKUP(B1157,Заказы!$A$2:$E$2995,4,FALSE())</f>
        <v>0</v>
      </c>
      <c r="K1157" s="1" t="str">
        <f aca="false">VLOOKUP(B1157,Заказы!$A$2:$E$2995,5,FALSE())</f>
        <v>Не выполнено</v>
      </c>
      <c r="L1157" s="1" t="n">
        <f aca="false">D1157*F1157+J1157</f>
        <v>5150</v>
      </c>
      <c r="M1157" s="1" t="n">
        <f aca="false">IF(AND(E1157="Пицца Труслейка",I1157="г. Москва",K1157="Выполнено",G1157&gt;=DATE(2020,7,1),G1157&lt;DATE(2020,8,1)),L1157,0)</f>
        <v>0</v>
      </c>
    </row>
    <row r="1158" customFormat="false" ht="15" hidden="false" customHeight="true" outlineLevel="0" collapsed="false">
      <c r="A1158" s="1" t="n">
        <v>101538</v>
      </c>
      <c r="B1158" s="1" t="n">
        <v>51780</v>
      </c>
      <c r="C1158" s="1" t="n">
        <v>20</v>
      </c>
      <c r="D1158" s="1" t="n">
        <v>2</v>
      </c>
      <c r="E1158" s="1" t="str">
        <f aca="false">VLOOKUP(C1158,Меню!$A$2:$C$24,2,FALSE())</f>
        <v>Пицца пиканте</v>
      </c>
      <c r="F1158" s="1" t="n">
        <f aca="false">VLOOKUP(C1158,Меню!$A$2:$C$24,3,FALSE())</f>
        <v>585</v>
      </c>
      <c r="G1158" s="5" t="n">
        <f aca="false">VLOOKUP(B1158,Заказы!$A$2:$E$2995,2,FALSE())</f>
        <v>44038</v>
      </c>
      <c r="H1158" s="1" t="n">
        <f aca="false">VLOOKUP(B1158,Заказы!$A$2:$E$2995,3,FALSE())</f>
        <v>151</v>
      </c>
      <c r="I1158" s="1" t="str">
        <f aca="false">VLOOKUP(H1158,Клиенты!$A$2:$E$1995,5,FALSE())</f>
        <v>г. Барнаул</v>
      </c>
      <c r="J1158" s="1" t="n">
        <f aca="false">VLOOKUP(B1158,Заказы!$A$2:$E$2995,4,FALSE())</f>
        <v>0</v>
      </c>
      <c r="K1158" s="1" t="str">
        <f aca="false">VLOOKUP(B1158,Заказы!$A$2:$E$2995,5,FALSE())</f>
        <v>Не выполнено</v>
      </c>
      <c r="L1158" s="1" t="n">
        <f aca="false">D1158*F1158+J1158</f>
        <v>1170</v>
      </c>
      <c r="M1158" s="1" t="n">
        <f aca="false">IF(AND(E1158="Пицца Труслейка",I1158="г. Москва",K1158="Выполнено",G1158&gt;=DATE(2020,7,1),G1158&lt;DATE(2020,8,1)),L1158,0)</f>
        <v>0</v>
      </c>
    </row>
    <row r="1159" customFormat="false" ht="15" hidden="false" customHeight="true" outlineLevel="0" collapsed="false">
      <c r="A1159" s="1" t="n">
        <v>100994</v>
      </c>
      <c r="B1159" s="1" t="n">
        <v>50629</v>
      </c>
      <c r="C1159" s="1" t="n">
        <v>19</v>
      </c>
      <c r="D1159" s="1" t="n">
        <v>1</v>
      </c>
      <c r="E1159" s="1" t="str">
        <f aca="false">VLOOKUP(C1159,Меню!$A$2:$C$24,2,FALSE())</f>
        <v>Пицца Цезарь</v>
      </c>
      <c r="F1159" s="1" t="n">
        <f aca="false">VLOOKUP(C1159,Меню!$A$2:$C$24,3,FALSE())</f>
        <v>630</v>
      </c>
      <c r="G1159" s="5" t="n">
        <f aca="false">VLOOKUP(B1159,Заказы!$A$2:$E$2995,2,FALSE())</f>
        <v>44014</v>
      </c>
      <c r="H1159" s="1" t="n">
        <f aca="false">VLOOKUP(B1159,Заказы!$A$2:$E$2995,3,FALSE())</f>
        <v>755</v>
      </c>
      <c r="I1159" s="1" t="str">
        <f aca="false">VLOOKUP(H1159,Клиенты!$A$2:$E$1995,5,FALSE())</f>
        <v>г. Бугуруслан</v>
      </c>
      <c r="J1159" s="1" t="n">
        <f aca="false">VLOOKUP(B1159,Заказы!$A$2:$E$2995,4,FALSE())</f>
        <v>0</v>
      </c>
      <c r="K1159" s="1" t="str">
        <f aca="false">VLOOKUP(B1159,Заказы!$A$2:$E$2995,5,FALSE())</f>
        <v>Не выполнено</v>
      </c>
      <c r="L1159" s="1" t="n">
        <f aca="false">D1159*F1159+J1159</f>
        <v>630</v>
      </c>
      <c r="M1159" s="1" t="n">
        <f aca="false">IF(AND(E1159="Пицца Труслейка",I1159="г. Москва",K1159="Выполнено",G1159&gt;=DATE(2020,7,1),G1159&lt;DATE(2020,8,1)),L1159,0)</f>
        <v>0</v>
      </c>
    </row>
    <row r="1160" customFormat="false" ht="15" hidden="false" customHeight="true" outlineLevel="0" collapsed="false">
      <c r="A1160" s="1" t="n">
        <v>100759</v>
      </c>
      <c r="B1160" s="1" t="n">
        <v>50149</v>
      </c>
      <c r="C1160" s="1" t="n">
        <v>2</v>
      </c>
      <c r="D1160" s="1" t="n">
        <v>9</v>
      </c>
      <c r="E1160" s="1" t="str">
        <f aca="false">VLOOKUP(C1160,Меню!$A$2:$C$24,2,FALSE())</f>
        <v>Пицца Двойная пепперони</v>
      </c>
      <c r="F1160" s="1" t="n">
        <f aca="false">VLOOKUP(C1160,Меню!$A$2:$C$24,3,FALSE())</f>
        <v>575</v>
      </c>
      <c r="G1160" s="5" t="n">
        <f aca="false">VLOOKUP(B1160,Заказы!$A$2:$E$2995,2,FALSE())</f>
        <v>44012</v>
      </c>
      <c r="H1160" s="1" t="n">
        <f aca="false">VLOOKUP(B1160,Заказы!$A$2:$E$2995,3,FALSE())</f>
        <v>1170</v>
      </c>
      <c r="I1160" s="1" t="str">
        <f aca="false">VLOOKUP(H1160,Клиенты!$A$2:$E$1995,5,FALSE())</f>
        <v>г. Москва</v>
      </c>
      <c r="J1160" s="1" t="n">
        <f aca="false">VLOOKUP(B1160,Заказы!$A$2:$E$2995,4,FALSE())</f>
        <v>348</v>
      </c>
      <c r="K1160" s="1" t="str">
        <f aca="false">VLOOKUP(B1160,Заказы!$A$2:$E$2995,5,FALSE())</f>
        <v>Выполнено</v>
      </c>
      <c r="L1160" s="1" t="n">
        <f aca="false">D1160*F1160+J1160</f>
        <v>5523</v>
      </c>
      <c r="M1160" s="1" t="n">
        <f aca="false">IF(AND(E1160="Пицца Труслейка",I1160="г. Москва",K1160="Выполнено",G1160&gt;=DATE(2020,7,1),G1160&lt;DATE(2020,8,1)),L1160,0)</f>
        <v>0</v>
      </c>
    </row>
    <row r="1161" customFormat="false" ht="15" hidden="false" customHeight="true" outlineLevel="0" collapsed="false">
      <c r="A1161" s="1" t="n">
        <v>101974</v>
      </c>
      <c r="B1161" s="1" t="n">
        <v>51478</v>
      </c>
      <c r="C1161" s="1" t="n">
        <v>4</v>
      </c>
      <c r="D1161" s="1" t="n">
        <v>5</v>
      </c>
      <c r="E1161" s="1" t="str">
        <f aca="false">VLOOKUP(C1161,Меню!$A$2:$C$24,2,FALSE())</f>
        <v>Пицца Труслейка</v>
      </c>
      <c r="F1161" s="1" t="n">
        <f aca="false">VLOOKUP(C1161,Меню!$A$2:$C$24,3,FALSE())</f>
        <v>610</v>
      </c>
      <c r="G1161" s="5" t="n">
        <f aca="false">VLOOKUP(B1161,Заказы!$A$2:$E$2995,2,FALSE())</f>
        <v>44048</v>
      </c>
      <c r="H1161" s="1" t="n">
        <f aca="false">VLOOKUP(B1161,Заказы!$A$2:$E$2995,3,FALSE())</f>
        <v>139</v>
      </c>
      <c r="I1161" s="1" t="str">
        <f aca="false">VLOOKUP(H1161,Клиенты!$A$2:$E$1995,5,FALSE())</f>
        <v>г. Сортавала</v>
      </c>
      <c r="J1161" s="1" t="n">
        <f aca="false">VLOOKUP(B1161,Заказы!$A$2:$E$2995,4,FALSE())</f>
        <v>497</v>
      </c>
      <c r="K1161" s="1" t="str">
        <f aca="false">VLOOKUP(B1161,Заказы!$A$2:$E$2995,5,FALSE())</f>
        <v>Выполнено</v>
      </c>
      <c r="L1161" s="1" t="n">
        <f aca="false">D1161*F1161+J1161</f>
        <v>3547</v>
      </c>
      <c r="M1161" s="1" t="n">
        <f aca="false">IF(AND(E1161="Пицца Труслейка",I1161="г. Москва",K1161="Выполнено",G1161&gt;=DATE(2020,7,1),G1161&lt;DATE(2020,8,1)),L1161,0)</f>
        <v>0</v>
      </c>
    </row>
    <row r="1162" customFormat="false" ht="15" hidden="false" customHeight="true" outlineLevel="0" collapsed="false">
      <c r="A1162" s="1" t="n">
        <v>101069</v>
      </c>
      <c r="B1162" s="1" t="n">
        <v>51693</v>
      </c>
      <c r="C1162" s="1" t="n">
        <v>11</v>
      </c>
      <c r="D1162" s="1" t="n">
        <v>1</v>
      </c>
      <c r="E1162" s="1" t="str">
        <f aca="false">VLOOKUP(C1162,Меню!$A$2:$C$24,2,FALSE())</f>
        <v>Пицца Песто</v>
      </c>
      <c r="F1162" s="1" t="n">
        <f aca="false">VLOOKUP(C1162,Меню!$A$2:$C$24,3,FALSE())</f>
        <v>530</v>
      </c>
      <c r="G1162" s="5" t="n">
        <f aca="false">VLOOKUP(B1162,Заказы!$A$2:$E$2995,2,FALSE())</f>
        <v>43989</v>
      </c>
      <c r="H1162" s="1" t="n">
        <f aca="false">VLOOKUP(B1162,Заказы!$A$2:$E$2995,3,FALSE())</f>
        <v>1462</v>
      </c>
      <c r="I1162" s="1" t="str">
        <f aca="false">VLOOKUP(H1162,Клиенты!$A$2:$E$1995,5,FALSE())</f>
        <v>г. Багратионовск</v>
      </c>
      <c r="J1162" s="1" t="n">
        <f aca="false">VLOOKUP(B1162,Заказы!$A$2:$E$2995,4,FALSE())</f>
        <v>0</v>
      </c>
      <c r="K1162" s="1" t="str">
        <f aca="false">VLOOKUP(B1162,Заказы!$A$2:$E$2995,5,FALSE())</f>
        <v>Не выполнено</v>
      </c>
      <c r="L1162" s="1" t="n">
        <f aca="false">D1162*F1162+J1162</f>
        <v>530</v>
      </c>
      <c r="M1162" s="1" t="n">
        <f aca="false">IF(AND(E1162="Пицца Труслейка",I1162="г. Москва",K1162="Выполнено",G1162&gt;=DATE(2020,7,1),G1162&lt;DATE(2020,8,1)),L1162,0)</f>
        <v>0</v>
      </c>
    </row>
    <row r="1163" customFormat="false" ht="15" hidden="false" customHeight="true" outlineLevel="0" collapsed="false">
      <c r="A1163" s="1" t="n">
        <v>100317</v>
      </c>
      <c r="B1163" s="1" t="n">
        <v>50126</v>
      </c>
      <c r="C1163" s="1" t="n">
        <v>22</v>
      </c>
      <c r="D1163" s="1" t="n">
        <v>9</v>
      </c>
      <c r="E1163" s="1" t="str">
        <f aca="false">VLOOKUP(C1163,Меню!$A$2:$C$24,2,FALSE())</f>
        <v>Пицца с поркеттой и фриарелли</v>
      </c>
      <c r="F1163" s="1" t="n">
        <f aca="false">VLOOKUP(C1163,Меню!$A$2:$C$24,3,FALSE())</f>
        <v>550</v>
      </c>
      <c r="G1163" s="5" t="n">
        <f aca="false">VLOOKUP(B1163,Заказы!$A$2:$E$2995,2,FALSE())</f>
        <v>44005</v>
      </c>
      <c r="H1163" s="1" t="n">
        <f aca="false">VLOOKUP(B1163,Заказы!$A$2:$E$2995,3,FALSE())</f>
        <v>762</v>
      </c>
      <c r="I1163" s="1" t="str">
        <f aca="false">VLOOKUP(H1163,Клиенты!$A$2:$E$1995,5,FALSE())</f>
        <v>г. Мурманск</v>
      </c>
      <c r="J1163" s="1" t="n">
        <f aca="false">VLOOKUP(B1163,Заказы!$A$2:$E$2995,4,FALSE())</f>
        <v>238</v>
      </c>
      <c r="K1163" s="1" t="str">
        <f aca="false">VLOOKUP(B1163,Заказы!$A$2:$E$2995,5,FALSE())</f>
        <v>Выполнено</v>
      </c>
      <c r="L1163" s="1" t="n">
        <f aca="false">D1163*F1163+J1163</f>
        <v>5188</v>
      </c>
      <c r="M1163" s="1" t="n">
        <f aca="false">IF(AND(E1163="Пицца Труслейка",I1163="г. Москва",K1163="Выполнено",G1163&gt;=DATE(2020,7,1),G1163&lt;DATE(2020,8,1)),L1163,0)</f>
        <v>0</v>
      </c>
    </row>
    <row r="1164" customFormat="false" ht="15" hidden="false" customHeight="true" outlineLevel="0" collapsed="false">
      <c r="A1164" s="1" t="n">
        <v>101899</v>
      </c>
      <c r="B1164" s="1" t="n">
        <v>50652</v>
      </c>
      <c r="C1164" s="1" t="n">
        <v>16</v>
      </c>
      <c r="D1164" s="1" t="n">
        <v>1</v>
      </c>
      <c r="E1164" s="1" t="str">
        <f aca="false">VLOOKUP(C1164,Меню!$A$2:$C$24,2,FALSE())</f>
        <v>Пицца Флорида</v>
      </c>
      <c r="F1164" s="1" t="n">
        <f aca="false">VLOOKUP(C1164,Меню!$A$2:$C$24,3,FALSE())</f>
        <v>535</v>
      </c>
      <c r="G1164" s="5" t="n">
        <f aca="false">VLOOKUP(B1164,Заказы!$A$2:$E$2995,2,FALSE())</f>
        <v>44021</v>
      </c>
      <c r="H1164" s="1" t="n">
        <f aca="false">VLOOKUP(B1164,Заказы!$A$2:$E$2995,3,FALSE())</f>
        <v>373</v>
      </c>
      <c r="I1164" s="1" t="str">
        <f aca="false">VLOOKUP(H1164,Клиенты!$A$2:$E$1995,5,FALSE())</f>
        <v>г. Грязовец</v>
      </c>
      <c r="J1164" s="1" t="n">
        <f aca="false">VLOOKUP(B1164,Заказы!$A$2:$E$2995,4,FALSE())</f>
        <v>0</v>
      </c>
      <c r="K1164" s="1" t="str">
        <f aca="false">VLOOKUP(B1164,Заказы!$A$2:$E$2995,5,FALSE())</f>
        <v>Не выполнено</v>
      </c>
      <c r="L1164" s="1" t="n">
        <f aca="false">D1164*F1164+J1164</f>
        <v>535</v>
      </c>
      <c r="M1164" s="1" t="n">
        <f aca="false">IF(AND(E1164="Пицца Труслейка",I1164="г. Москва",K1164="Выполнено",G1164&gt;=DATE(2020,7,1),G1164&lt;DATE(2020,8,1)),L1164,0)</f>
        <v>0</v>
      </c>
    </row>
    <row r="1165" customFormat="false" ht="15" hidden="false" customHeight="true" outlineLevel="0" collapsed="false">
      <c r="A1165" s="1" t="n">
        <v>100008</v>
      </c>
      <c r="B1165" s="1" t="n">
        <v>50577</v>
      </c>
      <c r="C1165" s="1" t="n">
        <v>23</v>
      </c>
      <c r="D1165" s="1" t="n">
        <v>10</v>
      </c>
      <c r="E1165" s="1" t="str">
        <f aca="false">VLOOKUP(C1165,Меню!$A$2:$C$24,2,FALSE())</f>
        <v>Пицца с тунцом</v>
      </c>
      <c r="F1165" s="1" t="n">
        <f aca="false">VLOOKUP(C1165,Меню!$A$2:$C$24,3,FALSE())</f>
        <v>520</v>
      </c>
      <c r="G1165" s="5" t="n">
        <f aca="false">VLOOKUP(B1165,Заказы!$A$2:$E$2995,2,FALSE())</f>
        <v>43984</v>
      </c>
      <c r="H1165" s="1" t="n">
        <f aca="false">VLOOKUP(B1165,Заказы!$A$2:$E$2995,3,FALSE())</f>
        <v>246</v>
      </c>
      <c r="I1165" s="1" t="str">
        <f aca="false">VLOOKUP(H1165,Клиенты!$A$2:$E$1995,5,FALSE())</f>
        <v>г. Нефтегорск</v>
      </c>
      <c r="J1165" s="1" t="n">
        <f aca="false">VLOOKUP(B1165,Заказы!$A$2:$E$2995,4,FALSE())</f>
        <v>386</v>
      </c>
      <c r="K1165" s="1" t="str">
        <f aca="false">VLOOKUP(B1165,Заказы!$A$2:$E$2995,5,FALSE())</f>
        <v>Выполнено</v>
      </c>
      <c r="L1165" s="1" t="n">
        <f aca="false">D1165*F1165+J1165</f>
        <v>5586</v>
      </c>
      <c r="M1165" s="1" t="n">
        <f aca="false">IF(AND(E1165="Пицца Труслейка",I1165="г. Москва",K1165="Выполнено",G1165&gt;=DATE(2020,7,1),G1165&lt;DATE(2020,8,1)),L1165,0)</f>
        <v>0</v>
      </c>
    </row>
    <row r="1166" customFormat="false" ht="15" hidden="false" customHeight="true" outlineLevel="0" collapsed="false">
      <c r="A1166" s="1" t="n">
        <v>101591</v>
      </c>
      <c r="B1166" s="1" t="n">
        <v>50853</v>
      </c>
      <c r="C1166" s="1" t="n">
        <v>6</v>
      </c>
      <c r="D1166" s="1" t="n">
        <v>6</v>
      </c>
      <c r="E1166" s="1" t="str">
        <f aca="false">VLOOKUP(C1166,Меню!$A$2:$C$24,2,FALSE())</f>
        <v>Пицца Капричиоза</v>
      </c>
      <c r="F1166" s="1" t="n">
        <f aca="false">VLOOKUP(C1166,Меню!$A$2:$C$24,3,FALSE())</f>
        <v>570</v>
      </c>
      <c r="G1166" s="5" t="n">
        <f aca="false">VLOOKUP(B1166,Заказы!$A$2:$E$2995,2,FALSE())</f>
        <v>44014</v>
      </c>
      <c r="H1166" s="1" t="n">
        <f aca="false">VLOOKUP(B1166,Заказы!$A$2:$E$2995,3,FALSE())</f>
        <v>533</v>
      </c>
      <c r="I1166" s="1" t="str">
        <f aca="false">VLOOKUP(H1166,Клиенты!$A$2:$E$1995,5,FALSE())</f>
        <v>г. Городец</v>
      </c>
      <c r="J1166" s="1" t="n">
        <f aca="false">VLOOKUP(B1166,Заказы!$A$2:$E$2995,4,FALSE())</f>
        <v>311</v>
      </c>
      <c r="K1166" s="1" t="str">
        <f aca="false">VLOOKUP(B1166,Заказы!$A$2:$E$2995,5,FALSE())</f>
        <v>Выполнено</v>
      </c>
      <c r="L1166" s="1" t="n">
        <f aca="false">D1166*F1166+J1166</f>
        <v>3731</v>
      </c>
      <c r="M1166" s="1" t="n">
        <f aca="false">IF(AND(E1166="Пицца Труслейка",I1166="г. Москва",K1166="Выполнено",G1166&gt;=DATE(2020,7,1),G1166&lt;DATE(2020,8,1)),L1166,0)</f>
        <v>0</v>
      </c>
    </row>
    <row r="1167" customFormat="false" ht="15" hidden="false" customHeight="true" outlineLevel="0" collapsed="false">
      <c r="A1167" s="1" t="n">
        <v>100245</v>
      </c>
      <c r="B1167" s="1" t="n">
        <v>50102</v>
      </c>
      <c r="C1167" s="1" t="n">
        <v>10</v>
      </c>
      <c r="D1167" s="1" t="n">
        <v>2</v>
      </c>
      <c r="E1167" s="1" t="str">
        <f aca="false">VLOOKUP(C1167,Меню!$A$2:$C$24,2,FALSE())</f>
        <v>Пицца Пепперони фреш</v>
      </c>
      <c r="F1167" s="1" t="n">
        <f aca="false">VLOOKUP(C1167,Меню!$A$2:$C$24,3,FALSE())</f>
        <v>565</v>
      </c>
      <c r="G1167" s="5" t="n">
        <f aca="false">VLOOKUP(B1167,Заказы!$A$2:$E$2995,2,FALSE())</f>
        <v>44069</v>
      </c>
      <c r="H1167" s="1" t="n">
        <f aca="false">VLOOKUP(B1167,Заказы!$A$2:$E$2995,3,FALSE())</f>
        <v>1377</v>
      </c>
      <c r="I1167" s="1" t="str">
        <f aca="false">VLOOKUP(H1167,Клиенты!$A$2:$E$1995,5,FALSE())</f>
        <v>г. Нязепетровск</v>
      </c>
      <c r="J1167" s="1" t="n">
        <f aca="false">VLOOKUP(B1167,Заказы!$A$2:$E$2995,4,FALSE())</f>
        <v>803</v>
      </c>
      <c r="K1167" s="1" t="str">
        <f aca="false">VLOOKUP(B1167,Заказы!$A$2:$E$2995,5,FALSE())</f>
        <v>Выполнено</v>
      </c>
      <c r="L1167" s="1" t="n">
        <f aca="false">D1167*F1167+J1167</f>
        <v>1933</v>
      </c>
      <c r="M1167" s="1" t="n">
        <f aca="false">IF(AND(E1167="Пицца Труслейка",I1167="г. Москва",K1167="Выполнено",G1167&gt;=DATE(2020,7,1),G1167&lt;DATE(2020,8,1)),L1167,0)</f>
        <v>0</v>
      </c>
    </row>
    <row r="1168" customFormat="false" ht="15" hidden="false" customHeight="true" outlineLevel="0" collapsed="false">
      <c r="A1168" s="1" t="n">
        <v>100135</v>
      </c>
      <c r="B1168" s="1" t="n">
        <v>51736</v>
      </c>
      <c r="C1168" s="1" t="n">
        <v>14</v>
      </c>
      <c r="D1168" s="1" t="n">
        <v>1</v>
      </c>
      <c r="E1168" s="1" t="str">
        <f aca="false">VLOOKUP(C1168,Меню!$A$2:$C$24,2,FALSE())</f>
        <v>Пицца Сырный цыпленок</v>
      </c>
      <c r="F1168" s="1" t="n">
        <f aca="false">VLOOKUP(C1168,Меню!$A$2:$C$24,3,FALSE())</f>
        <v>555</v>
      </c>
      <c r="G1168" s="5" t="n">
        <f aca="false">VLOOKUP(B1168,Заказы!$A$2:$E$2995,2,FALSE())</f>
        <v>44000</v>
      </c>
      <c r="H1168" s="1" t="n">
        <f aca="false">VLOOKUP(B1168,Заказы!$A$2:$E$2995,3,FALSE())</f>
        <v>747</v>
      </c>
      <c r="I1168" s="1" t="str">
        <f aca="false">VLOOKUP(H1168,Клиенты!$A$2:$E$1995,5,FALSE())</f>
        <v>г. Челябинск</v>
      </c>
      <c r="J1168" s="1" t="n">
        <f aca="false">VLOOKUP(B1168,Заказы!$A$2:$E$2995,4,FALSE())</f>
        <v>0</v>
      </c>
      <c r="K1168" s="1" t="str">
        <f aca="false">VLOOKUP(B1168,Заказы!$A$2:$E$2995,5,FALSE())</f>
        <v>Не выполнено</v>
      </c>
      <c r="L1168" s="1" t="n">
        <f aca="false">D1168*F1168+J1168</f>
        <v>555</v>
      </c>
      <c r="M1168" s="1" t="n">
        <f aca="false">IF(AND(E1168="Пицца Труслейка",I1168="г. Москва",K1168="Выполнено",G1168&gt;=DATE(2020,7,1),G1168&lt;DATE(2020,8,1)),L1168,0)</f>
        <v>0</v>
      </c>
    </row>
    <row r="1169" customFormat="false" ht="15" hidden="false" customHeight="true" outlineLevel="0" collapsed="false">
      <c r="A1169" s="1" t="n">
        <v>101948</v>
      </c>
      <c r="B1169" s="1" t="n">
        <v>50374</v>
      </c>
      <c r="C1169" s="1" t="n">
        <v>19</v>
      </c>
      <c r="D1169" s="1" t="n">
        <v>7</v>
      </c>
      <c r="E1169" s="1" t="str">
        <f aca="false">VLOOKUP(C1169,Меню!$A$2:$C$24,2,FALSE())</f>
        <v>Пицца Цезарь</v>
      </c>
      <c r="F1169" s="1" t="n">
        <f aca="false">VLOOKUP(C1169,Меню!$A$2:$C$24,3,FALSE())</f>
        <v>630</v>
      </c>
      <c r="G1169" s="5" t="n">
        <f aca="false">VLOOKUP(B1169,Заказы!$A$2:$E$2995,2,FALSE())</f>
        <v>44067</v>
      </c>
      <c r="H1169" s="1" t="n">
        <f aca="false">VLOOKUP(B1169,Заказы!$A$2:$E$2995,3,FALSE())</f>
        <v>1694</v>
      </c>
      <c r="I1169" s="1" t="str">
        <f aca="false">VLOOKUP(H1169,Клиенты!$A$2:$E$1995,5,FALSE())</f>
        <v>г. Балаково</v>
      </c>
      <c r="J1169" s="1" t="n">
        <f aca="false">VLOOKUP(B1169,Заказы!$A$2:$E$2995,4,FALSE())</f>
        <v>364</v>
      </c>
      <c r="K1169" s="1" t="str">
        <f aca="false">VLOOKUP(B1169,Заказы!$A$2:$E$2995,5,FALSE())</f>
        <v>Выполнено</v>
      </c>
      <c r="L1169" s="1" t="n">
        <f aca="false">D1169*F1169+J1169</f>
        <v>4774</v>
      </c>
      <c r="M1169" s="1" t="n">
        <f aca="false">IF(AND(E1169="Пицца Труслейка",I1169="г. Москва",K1169="Выполнено",G1169&gt;=DATE(2020,7,1),G1169&lt;DATE(2020,8,1)),L1169,0)</f>
        <v>0</v>
      </c>
    </row>
    <row r="1170" customFormat="false" ht="15" hidden="false" customHeight="true" outlineLevel="0" collapsed="false">
      <c r="A1170" s="1" t="n">
        <v>101516</v>
      </c>
      <c r="B1170" s="1" t="n">
        <v>51212</v>
      </c>
      <c r="C1170" s="1" t="n">
        <v>23</v>
      </c>
      <c r="D1170" s="1" t="n">
        <v>5</v>
      </c>
      <c r="E1170" s="1" t="str">
        <f aca="false">VLOOKUP(C1170,Меню!$A$2:$C$24,2,FALSE())</f>
        <v>Пицца с тунцом</v>
      </c>
      <c r="F1170" s="1" t="n">
        <f aca="false">VLOOKUP(C1170,Меню!$A$2:$C$24,3,FALSE())</f>
        <v>520</v>
      </c>
      <c r="G1170" s="5" t="n">
        <f aca="false">VLOOKUP(B1170,Заказы!$A$2:$E$2995,2,FALSE())</f>
        <v>44066</v>
      </c>
      <c r="H1170" s="1" t="n">
        <f aca="false">VLOOKUP(B1170,Заказы!$A$2:$E$2995,3,FALSE())</f>
        <v>924</v>
      </c>
      <c r="I1170" s="1" t="str">
        <f aca="false">VLOOKUP(H1170,Клиенты!$A$2:$E$1995,5,FALSE())</f>
        <v>г. Сурск</v>
      </c>
      <c r="J1170" s="1" t="n">
        <f aca="false">VLOOKUP(B1170,Заказы!$A$2:$E$2995,4,FALSE())</f>
        <v>830</v>
      </c>
      <c r="K1170" s="1" t="str">
        <f aca="false">VLOOKUP(B1170,Заказы!$A$2:$E$2995,5,FALSE())</f>
        <v>Выполнено</v>
      </c>
      <c r="L1170" s="1" t="n">
        <f aca="false">D1170*F1170+J1170</f>
        <v>3430</v>
      </c>
      <c r="M1170" s="1" t="n">
        <f aca="false">IF(AND(E1170="Пицца Труслейка",I1170="г. Москва",K1170="Выполнено",G1170&gt;=DATE(2020,7,1),G1170&lt;DATE(2020,8,1)),L1170,0)</f>
        <v>0</v>
      </c>
    </row>
    <row r="1171" customFormat="false" ht="15" hidden="false" customHeight="true" outlineLevel="0" collapsed="false">
      <c r="A1171" s="1" t="n">
        <v>101137</v>
      </c>
      <c r="B1171" s="1" t="n">
        <v>50371</v>
      </c>
      <c r="C1171" s="1" t="n">
        <v>4</v>
      </c>
      <c r="D1171" s="1" t="n">
        <v>7</v>
      </c>
      <c r="E1171" s="1" t="str">
        <f aca="false">VLOOKUP(C1171,Меню!$A$2:$C$24,2,FALSE())</f>
        <v>Пицца Труслейка</v>
      </c>
      <c r="F1171" s="1" t="n">
        <f aca="false">VLOOKUP(C1171,Меню!$A$2:$C$24,3,FALSE())</f>
        <v>610</v>
      </c>
      <c r="G1171" s="5" t="n">
        <f aca="false">VLOOKUP(B1171,Заказы!$A$2:$E$2995,2,FALSE())</f>
        <v>44002</v>
      </c>
      <c r="H1171" s="1" t="n">
        <f aca="false">VLOOKUP(B1171,Заказы!$A$2:$E$2995,3,FALSE())</f>
        <v>775</v>
      </c>
      <c r="I1171" s="1" t="str">
        <f aca="false">VLOOKUP(H1171,Клиенты!$A$2:$E$1995,5,FALSE())</f>
        <v>г. Альметьевск</v>
      </c>
      <c r="J1171" s="1" t="n">
        <f aca="false">VLOOKUP(B1171,Заказы!$A$2:$E$2995,4,FALSE())</f>
        <v>0</v>
      </c>
      <c r="K1171" s="1" t="str">
        <f aca="false">VLOOKUP(B1171,Заказы!$A$2:$E$2995,5,FALSE())</f>
        <v>Не выполнено</v>
      </c>
      <c r="L1171" s="1" t="n">
        <f aca="false">D1171*F1171+J1171</f>
        <v>4270</v>
      </c>
      <c r="M1171" s="1" t="n">
        <f aca="false">IF(AND(E1171="Пицца Труслейка",I1171="г. Москва",K1171="Выполнено",G1171&gt;=DATE(2020,7,1),G1171&lt;DATE(2020,8,1)),L1171,0)</f>
        <v>0</v>
      </c>
    </row>
    <row r="1172" customFormat="false" ht="15" hidden="false" customHeight="true" outlineLevel="0" collapsed="false">
      <c r="A1172" s="1" t="n">
        <v>100301</v>
      </c>
      <c r="B1172" s="1" t="n">
        <v>50058</v>
      </c>
      <c r="C1172" s="1" t="n">
        <v>20</v>
      </c>
      <c r="D1172" s="1" t="n">
        <v>5</v>
      </c>
      <c r="E1172" s="1" t="str">
        <f aca="false">VLOOKUP(C1172,Меню!$A$2:$C$24,2,FALSE())</f>
        <v>Пицца пиканте</v>
      </c>
      <c r="F1172" s="1" t="n">
        <f aca="false">VLOOKUP(C1172,Меню!$A$2:$C$24,3,FALSE())</f>
        <v>585</v>
      </c>
      <c r="G1172" s="5" t="n">
        <f aca="false">VLOOKUP(B1172,Заказы!$A$2:$E$2995,2,FALSE())</f>
        <v>44034</v>
      </c>
      <c r="H1172" s="1" t="n">
        <f aca="false">VLOOKUP(B1172,Заказы!$A$2:$E$2995,3,FALSE())</f>
        <v>1769</v>
      </c>
      <c r="I1172" s="1" t="str">
        <f aca="false">VLOOKUP(H1172,Клиенты!$A$2:$E$1995,5,FALSE())</f>
        <v>г. Янаул</v>
      </c>
      <c r="J1172" s="1" t="n">
        <f aca="false">VLOOKUP(B1172,Заказы!$A$2:$E$2995,4,FALSE())</f>
        <v>383</v>
      </c>
      <c r="K1172" s="1" t="str">
        <f aca="false">VLOOKUP(B1172,Заказы!$A$2:$E$2995,5,FALSE())</f>
        <v>Выполнено</v>
      </c>
      <c r="L1172" s="1" t="n">
        <f aca="false">D1172*F1172+J1172</f>
        <v>3308</v>
      </c>
      <c r="M1172" s="1" t="n">
        <f aca="false">IF(AND(E1172="Пицца Труслейка",I1172="г. Москва",K1172="Выполнено",G1172&gt;=DATE(2020,7,1),G1172&lt;DATE(2020,8,1)),L1172,0)</f>
        <v>0</v>
      </c>
    </row>
    <row r="1173" customFormat="false" ht="15" hidden="false" customHeight="true" outlineLevel="0" collapsed="false">
      <c r="A1173" s="1" t="n">
        <v>100347</v>
      </c>
      <c r="B1173" s="1" t="n">
        <v>50996</v>
      </c>
      <c r="C1173" s="1" t="n">
        <v>21</v>
      </c>
      <c r="D1173" s="1" t="n">
        <v>10</v>
      </c>
      <c r="E1173" s="1" t="str">
        <f aca="false">VLOOKUP(C1173,Меню!$A$2:$C$24,2,FALSE())</f>
        <v>Пицца с креветками и цукини</v>
      </c>
      <c r="F1173" s="1" t="n">
        <f aca="false">VLOOKUP(C1173,Меню!$A$2:$C$24,3,FALSE())</f>
        <v>600</v>
      </c>
      <c r="G1173" s="5" t="n">
        <f aca="false">VLOOKUP(B1173,Заказы!$A$2:$E$2995,2,FALSE())</f>
        <v>43993</v>
      </c>
      <c r="H1173" s="1" t="n">
        <f aca="false">VLOOKUP(B1173,Заказы!$A$2:$E$2995,3,FALSE())</f>
        <v>305</v>
      </c>
      <c r="I1173" s="1" t="str">
        <f aca="false">VLOOKUP(H1173,Клиенты!$A$2:$E$1995,5,FALSE())</f>
        <v>г. Северо-Курильск</v>
      </c>
      <c r="J1173" s="1" t="n">
        <f aca="false">VLOOKUP(B1173,Заказы!$A$2:$E$2995,4,FALSE())</f>
        <v>0</v>
      </c>
      <c r="K1173" s="1" t="str">
        <f aca="false">VLOOKUP(B1173,Заказы!$A$2:$E$2995,5,FALSE())</f>
        <v>Не выполнено</v>
      </c>
      <c r="L1173" s="1" t="n">
        <f aca="false">D1173*F1173+J1173</f>
        <v>6000</v>
      </c>
      <c r="M1173" s="1" t="n">
        <f aca="false">IF(AND(E1173="Пицца Труслейка",I1173="г. Москва",K1173="Выполнено",G1173&gt;=DATE(2020,7,1),G1173&lt;DATE(2020,8,1)),L1173,0)</f>
        <v>0</v>
      </c>
    </row>
    <row r="1174" customFormat="false" ht="15" hidden="false" customHeight="true" outlineLevel="0" collapsed="false">
      <c r="A1174" s="1" t="n">
        <v>101230</v>
      </c>
      <c r="B1174" s="1" t="n">
        <v>50797</v>
      </c>
      <c r="C1174" s="1" t="n">
        <v>16</v>
      </c>
      <c r="D1174" s="1" t="n">
        <v>7</v>
      </c>
      <c r="E1174" s="1" t="str">
        <f aca="false">VLOOKUP(C1174,Меню!$A$2:$C$24,2,FALSE())</f>
        <v>Пицца Флорида</v>
      </c>
      <c r="F1174" s="1" t="n">
        <f aca="false">VLOOKUP(C1174,Меню!$A$2:$C$24,3,FALSE())</f>
        <v>535</v>
      </c>
      <c r="G1174" s="5" t="n">
        <f aca="false">VLOOKUP(B1174,Заказы!$A$2:$E$2995,2,FALSE())</f>
        <v>44054</v>
      </c>
      <c r="H1174" s="1" t="n">
        <f aca="false">VLOOKUP(B1174,Заказы!$A$2:$E$2995,3,FALSE())</f>
        <v>679</v>
      </c>
      <c r="I1174" s="1" t="str">
        <f aca="false">VLOOKUP(H1174,Клиенты!$A$2:$E$1995,5,FALSE())</f>
        <v>г. Печоры</v>
      </c>
      <c r="J1174" s="1" t="n">
        <f aca="false">VLOOKUP(B1174,Заказы!$A$2:$E$2995,4,FALSE())</f>
        <v>0</v>
      </c>
      <c r="K1174" s="1" t="str">
        <f aca="false">VLOOKUP(B1174,Заказы!$A$2:$E$2995,5,FALSE())</f>
        <v>Не выполнено</v>
      </c>
      <c r="L1174" s="1" t="n">
        <f aca="false">D1174*F1174+J1174</f>
        <v>3745</v>
      </c>
      <c r="M1174" s="1" t="n">
        <f aca="false">IF(AND(E1174="Пицца Труслейка",I1174="г. Москва",K1174="Выполнено",G1174&gt;=DATE(2020,7,1),G1174&lt;DATE(2020,8,1)),L1174,0)</f>
        <v>0</v>
      </c>
    </row>
    <row r="1175" customFormat="false" ht="15" hidden="false" customHeight="true" outlineLevel="0" collapsed="false">
      <c r="A1175" s="1" t="n">
        <v>101448</v>
      </c>
      <c r="B1175" s="1" t="n">
        <v>51771</v>
      </c>
      <c r="C1175" s="1" t="n">
        <v>4</v>
      </c>
      <c r="D1175" s="1" t="n">
        <v>2</v>
      </c>
      <c r="E1175" s="1" t="str">
        <f aca="false">VLOOKUP(C1175,Меню!$A$2:$C$24,2,FALSE())</f>
        <v>Пицца Труслейка</v>
      </c>
      <c r="F1175" s="1" t="n">
        <f aca="false">VLOOKUP(C1175,Меню!$A$2:$C$24,3,FALSE())</f>
        <v>610</v>
      </c>
      <c r="G1175" s="5" t="n">
        <f aca="false">VLOOKUP(B1175,Заказы!$A$2:$E$2995,2,FALSE())</f>
        <v>43985</v>
      </c>
      <c r="H1175" s="1" t="n">
        <f aca="false">VLOOKUP(B1175,Заказы!$A$2:$E$2995,3,FALSE())</f>
        <v>15</v>
      </c>
      <c r="I1175" s="1" t="str">
        <f aca="false">VLOOKUP(H1175,Клиенты!$A$2:$E$1995,5,FALSE())</f>
        <v>г. Североморск</v>
      </c>
      <c r="J1175" s="1" t="n">
        <f aca="false">VLOOKUP(B1175,Заказы!$A$2:$E$2995,4,FALSE())</f>
        <v>0</v>
      </c>
      <c r="K1175" s="1" t="str">
        <f aca="false">VLOOKUP(B1175,Заказы!$A$2:$E$2995,5,FALSE())</f>
        <v>Не выполнено</v>
      </c>
      <c r="L1175" s="1" t="n">
        <f aca="false">D1175*F1175+J1175</f>
        <v>1220</v>
      </c>
      <c r="M1175" s="1" t="n">
        <f aca="false">IF(AND(E1175="Пицца Труслейка",I1175="г. Москва",K1175="Выполнено",G1175&gt;=DATE(2020,7,1),G1175&lt;DATE(2020,8,1)),L1175,0)</f>
        <v>0</v>
      </c>
    </row>
    <row r="1176" customFormat="false" ht="15" hidden="false" customHeight="true" outlineLevel="0" collapsed="false">
      <c r="A1176" s="1" t="n">
        <v>100238</v>
      </c>
      <c r="B1176" s="1" t="n">
        <v>51012</v>
      </c>
      <c r="C1176" s="1" t="n">
        <v>10</v>
      </c>
      <c r="D1176" s="1" t="n">
        <v>1</v>
      </c>
      <c r="E1176" s="1" t="str">
        <f aca="false">VLOOKUP(C1176,Меню!$A$2:$C$24,2,FALSE())</f>
        <v>Пицца Пепперони фреш</v>
      </c>
      <c r="F1176" s="1" t="n">
        <f aca="false">VLOOKUP(C1176,Меню!$A$2:$C$24,3,FALSE())</f>
        <v>565</v>
      </c>
      <c r="G1176" s="5" t="n">
        <f aca="false">VLOOKUP(B1176,Заказы!$A$2:$E$2995,2,FALSE())</f>
        <v>43994</v>
      </c>
      <c r="H1176" s="1" t="n">
        <f aca="false">VLOOKUP(B1176,Заказы!$A$2:$E$2995,3,FALSE())</f>
        <v>1324</v>
      </c>
      <c r="I1176" s="1" t="str">
        <f aca="false">VLOOKUP(H1176,Клиенты!$A$2:$E$1995,5,FALSE())</f>
        <v>г. Чёрмоз</v>
      </c>
      <c r="J1176" s="1" t="n">
        <f aca="false">VLOOKUP(B1176,Заказы!$A$2:$E$2995,4,FALSE())</f>
        <v>0</v>
      </c>
      <c r="K1176" s="1" t="str">
        <f aca="false">VLOOKUP(B1176,Заказы!$A$2:$E$2995,5,FALSE())</f>
        <v>Не выполнено</v>
      </c>
      <c r="L1176" s="1" t="n">
        <f aca="false">D1176*F1176+J1176</f>
        <v>565</v>
      </c>
      <c r="M1176" s="1" t="n">
        <f aca="false">IF(AND(E1176="Пицца Труслейка",I1176="г. Москва",K1176="Выполнено",G1176&gt;=DATE(2020,7,1),G1176&lt;DATE(2020,8,1)),L1176,0)</f>
        <v>0</v>
      </c>
    </row>
    <row r="1177" customFormat="false" ht="15" hidden="false" customHeight="true" outlineLevel="0" collapsed="false">
      <c r="A1177" s="1" t="n">
        <v>100874</v>
      </c>
      <c r="B1177" s="1" t="n">
        <v>51058</v>
      </c>
      <c r="C1177" s="1" t="n">
        <v>6</v>
      </c>
      <c r="D1177" s="1" t="n">
        <v>6</v>
      </c>
      <c r="E1177" s="1" t="str">
        <f aca="false">VLOOKUP(C1177,Меню!$A$2:$C$24,2,FALSE())</f>
        <v>Пицца Капричиоза</v>
      </c>
      <c r="F1177" s="1" t="n">
        <f aca="false">VLOOKUP(C1177,Меню!$A$2:$C$24,3,FALSE())</f>
        <v>570</v>
      </c>
      <c r="G1177" s="5" t="n">
        <f aca="false">VLOOKUP(B1177,Заказы!$A$2:$E$2995,2,FALSE())</f>
        <v>43993</v>
      </c>
      <c r="H1177" s="1" t="n">
        <f aca="false">VLOOKUP(B1177,Заказы!$A$2:$E$2995,3,FALSE())</f>
        <v>1254</v>
      </c>
      <c r="I1177" s="1" t="str">
        <f aca="false">VLOOKUP(H1177,Клиенты!$A$2:$E$1995,5,FALSE())</f>
        <v>г. Димитровград</v>
      </c>
      <c r="J1177" s="1" t="n">
        <f aca="false">VLOOKUP(B1177,Заказы!$A$2:$E$2995,4,FALSE())</f>
        <v>765</v>
      </c>
      <c r="K1177" s="1" t="str">
        <f aca="false">VLOOKUP(B1177,Заказы!$A$2:$E$2995,5,FALSE())</f>
        <v>Выполнено</v>
      </c>
      <c r="L1177" s="1" t="n">
        <f aca="false">D1177*F1177+J1177</f>
        <v>4185</v>
      </c>
      <c r="M1177" s="1" t="n">
        <f aca="false">IF(AND(E1177="Пицца Труслейка",I1177="г. Москва",K1177="Выполнено",G1177&gt;=DATE(2020,7,1),G1177&lt;DATE(2020,8,1)),L1177,0)</f>
        <v>0</v>
      </c>
    </row>
    <row r="1178" customFormat="false" ht="15" hidden="false" customHeight="true" outlineLevel="0" collapsed="false">
      <c r="A1178" s="1" t="n">
        <v>101738</v>
      </c>
      <c r="B1178" s="1" t="n">
        <v>50678</v>
      </c>
      <c r="C1178" s="1" t="n">
        <v>15</v>
      </c>
      <c r="D1178" s="1" t="n">
        <v>6</v>
      </c>
      <c r="E1178" s="1" t="str">
        <f aca="false">VLOOKUP(C1178,Меню!$A$2:$C$24,2,FALSE())</f>
        <v>Пицца Тропиканка</v>
      </c>
      <c r="F1178" s="1" t="n">
        <f aca="false">VLOOKUP(C1178,Меню!$A$2:$C$24,3,FALSE())</f>
        <v>605</v>
      </c>
      <c r="G1178" s="5" t="n">
        <f aca="false">VLOOKUP(B1178,Заказы!$A$2:$E$2995,2,FALSE())</f>
        <v>44049</v>
      </c>
      <c r="H1178" s="1" t="n">
        <f aca="false">VLOOKUP(B1178,Заказы!$A$2:$E$2995,3,FALSE())</f>
        <v>1303</v>
      </c>
      <c r="I1178" s="1" t="str">
        <f aca="false">VLOOKUP(H1178,Клиенты!$A$2:$E$1995,5,FALSE())</f>
        <v>г. Слободской</v>
      </c>
      <c r="J1178" s="1" t="n">
        <f aca="false">VLOOKUP(B1178,Заказы!$A$2:$E$2995,4,FALSE())</f>
        <v>316</v>
      </c>
      <c r="K1178" s="1" t="str">
        <f aca="false">VLOOKUP(B1178,Заказы!$A$2:$E$2995,5,FALSE())</f>
        <v>Выполнено</v>
      </c>
      <c r="L1178" s="1" t="n">
        <f aca="false">D1178*F1178+J1178</f>
        <v>3946</v>
      </c>
      <c r="M1178" s="1" t="n">
        <f aca="false">IF(AND(E1178="Пицца Труслейка",I1178="г. Москва",K1178="Выполнено",G1178&gt;=DATE(2020,7,1),G1178&lt;DATE(2020,8,1)),L1178,0)</f>
        <v>0</v>
      </c>
    </row>
    <row r="1179" customFormat="false" ht="15" hidden="false" customHeight="true" outlineLevel="0" collapsed="false">
      <c r="A1179" s="1" t="n">
        <v>101500</v>
      </c>
      <c r="B1179" s="1" t="n">
        <v>51941</v>
      </c>
      <c r="C1179" s="1" t="n">
        <v>11</v>
      </c>
      <c r="D1179" s="1" t="n">
        <v>9</v>
      </c>
      <c r="E1179" s="1" t="str">
        <f aca="false">VLOOKUP(C1179,Меню!$A$2:$C$24,2,FALSE())</f>
        <v>Пицца Песто</v>
      </c>
      <c r="F1179" s="1" t="n">
        <f aca="false">VLOOKUP(C1179,Меню!$A$2:$C$24,3,FALSE())</f>
        <v>530</v>
      </c>
      <c r="G1179" s="5" t="n">
        <f aca="false">VLOOKUP(B1179,Заказы!$A$2:$E$2995,2,FALSE())</f>
        <v>44048</v>
      </c>
      <c r="H1179" s="1" t="n">
        <f aca="false">VLOOKUP(B1179,Заказы!$A$2:$E$2995,3,FALSE())</f>
        <v>1190</v>
      </c>
      <c r="I1179" s="1" t="str">
        <f aca="false">VLOOKUP(H1179,Клиенты!$A$2:$E$1995,5,FALSE())</f>
        <v>г. Москва</v>
      </c>
      <c r="J1179" s="1" t="n">
        <f aca="false">VLOOKUP(B1179,Заказы!$A$2:$E$2995,4,FALSE())</f>
        <v>0</v>
      </c>
      <c r="K1179" s="1" t="str">
        <f aca="false">VLOOKUP(B1179,Заказы!$A$2:$E$2995,5,FALSE())</f>
        <v>Не выполнено</v>
      </c>
      <c r="L1179" s="1" t="n">
        <f aca="false">D1179*F1179+J1179</f>
        <v>4770</v>
      </c>
      <c r="M1179" s="1" t="n">
        <f aca="false">IF(AND(E1179="Пицца Труслейка",I1179="г. Москва",K1179="Выполнено",G1179&gt;=DATE(2020,7,1),G1179&lt;DATE(2020,8,1)),L1179,0)</f>
        <v>0</v>
      </c>
    </row>
    <row r="1180" customFormat="false" ht="15" hidden="false" customHeight="true" outlineLevel="0" collapsed="false">
      <c r="A1180" s="1" t="n">
        <v>101809</v>
      </c>
      <c r="B1180" s="1" t="n">
        <v>50963</v>
      </c>
      <c r="C1180" s="1" t="n">
        <v>10</v>
      </c>
      <c r="D1180" s="1" t="n">
        <v>2</v>
      </c>
      <c r="E1180" s="1" t="str">
        <f aca="false">VLOOKUP(C1180,Меню!$A$2:$C$24,2,FALSE())</f>
        <v>Пицца Пепперони фреш</v>
      </c>
      <c r="F1180" s="1" t="n">
        <f aca="false">VLOOKUP(C1180,Меню!$A$2:$C$24,3,FALSE())</f>
        <v>565</v>
      </c>
      <c r="G1180" s="5" t="n">
        <f aca="false">VLOOKUP(B1180,Заказы!$A$2:$E$2995,2,FALSE())</f>
        <v>44001</v>
      </c>
      <c r="H1180" s="1" t="n">
        <f aca="false">VLOOKUP(B1180,Заказы!$A$2:$E$2995,3,FALSE())</f>
        <v>1922</v>
      </c>
      <c r="I1180" s="1" t="str">
        <f aca="false">VLOOKUP(H1180,Клиенты!$A$2:$E$1995,5,FALSE())</f>
        <v>г. Яровое</v>
      </c>
      <c r="J1180" s="1" t="n">
        <f aca="false">VLOOKUP(B1180,Заказы!$A$2:$E$2995,4,FALSE())</f>
        <v>749</v>
      </c>
      <c r="K1180" s="1" t="str">
        <f aca="false">VLOOKUP(B1180,Заказы!$A$2:$E$2995,5,FALSE())</f>
        <v>Выполнено</v>
      </c>
      <c r="L1180" s="1" t="n">
        <f aca="false">D1180*F1180+J1180</f>
        <v>1879</v>
      </c>
      <c r="M1180" s="1" t="n">
        <f aca="false">IF(AND(E1180="Пицца Труслейка",I1180="г. Москва",K1180="Выполнено",G1180&gt;=DATE(2020,7,1),G1180&lt;DATE(2020,8,1)),L1180,0)</f>
        <v>0</v>
      </c>
    </row>
    <row r="1181" customFormat="false" ht="15" hidden="false" customHeight="true" outlineLevel="0" collapsed="false">
      <c r="A1181" s="1" t="n">
        <v>100865</v>
      </c>
      <c r="B1181" s="1" t="n">
        <v>51915</v>
      </c>
      <c r="C1181" s="1" t="n">
        <v>4</v>
      </c>
      <c r="D1181" s="1" t="n">
        <v>7</v>
      </c>
      <c r="E1181" s="1" t="str">
        <f aca="false">VLOOKUP(C1181,Меню!$A$2:$C$24,2,FALSE())</f>
        <v>Пицца Труслейка</v>
      </c>
      <c r="F1181" s="1" t="n">
        <f aca="false">VLOOKUP(C1181,Меню!$A$2:$C$24,3,FALSE())</f>
        <v>610</v>
      </c>
      <c r="G1181" s="5" t="n">
        <f aca="false">VLOOKUP(B1181,Заказы!$A$2:$E$2995,2,FALSE())</f>
        <v>44072</v>
      </c>
      <c r="H1181" s="1" t="n">
        <f aca="false">VLOOKUP(B1181,Заказы!$A$2:$E$2995,3,FALSE())</f>
        <v>265</v>
      </c>
      <c r="I1181" s="1" t="str">
        <f aca="false">VLOOKUP(H1181,Клиенты!$A$2:$E$1995,5,FALSE())</f>
        <v>г. Богородицк</v>
      </c>
      <c r="J1181" s="1" t="n">
        <f aca="false">VLOOKUP(B1181,Заказы!$A$2:$E$2995,4,FALSE())</f>
        <v>0</v>
      </c>
      <c r="K1181" s="1" t="str">
        <f aca="false">VLOOKUP(B1181,Заказы!$A$2:$E$2995,5,FALSE())</f>
        <v>Не выполнено</v>
      </c>
      <c r="L1181" s="1" t="n">
        <f aca="false">D1181*F1181+J1181</f>
        <v>4270</v>
      </c>
      <c r="M1181" s="1" t="n">
        <f aca="false">IF(AND(E1181="Пицца Труслейка",I1181="г. Москва",K1181="Выполнено",G1181&gt;=DATE(2020,7,1),G1181&lt;DATE(2020,8,1)),L1181,0)</f>
        <v>0</v>
      </c>
    </row>
    <row r="1182" customFormat="false" ht="15" hidden="false" customHeight="true" outlineLevel="0" collapsed="false">
      <c r="A1182" s="1" t="n">
        <v>101942</v>
      </c>
      <c r="B1182" s="1" t="n">
        <v>50682</v>
      </c>
      <c r="C1182" s="1" t="n">
        <v>22</v>
      </c>
      <c r="D1182" s="1" t="n">
        <v>5</v>
      </c>
      <c r="E1182" s="1" t="str">
        <f aca="false">VLOOKUP(C1182,Меню!$A$2:$C$24,2,FALSE())</f>
        <v>Пицца с поркеттой и фриарелли</v>
      </c>
      <c r="F1182" s="1" t="n">
        <f aca="false">VLOOKUP(C1182,Меню!$A$2:$C$24,3,FALSE())</f>
        <v>550</v>
      </c>
      <c r="G1182" s="5" t="n">
        <f aca="false">VLOOKUP(B1182,Заказы!$A$2:$E$2995,2,FALSE())</f>
        <v>44002</v>
      </c>
      <c r="H1182" s="1" t="n">
        <f aca="false">VLOOKUP(B1182,Заказы!$A$2:$E$2995,3,FALSE())</f>
        <v>1987</v>
      </c>
      <c r="I1182" s="1" t="str">
        <f aca="false">VLOOKUP(H1182,Клиенты!$A$2:$E$1995,5,FALSE())</f>
        <v>г. Гурьевск</v>
      </c>
      <c r="J1182" s="1" t="n">
        <f aca="false">VLOOKUP(B1182,Заказы!$A$2:$E$2995,4,FALSE())</f>
        <v>647</v>
      </c>
      <c r="K1182" s="1" t="str">
        <f aca="false">VLOOKUP(B1182,Заказы!$A$2:$E$2995,5,FALSE())</f>
        <v>Выполнено</v>
      </c>
      <c r="L1182" s="1" t="n">
        <f aca="false">D1182*F1182+J1182</f>
        <v>3397</v>
      </c>
      <c r="M1182" s="1" t="n">
        <f aca="false">IF(AND(E1182="Пицца Труслейка",I1182="г. Москва",K1182="Выполнено",G1182&gt;=DATE(2020,7,1),G1182&lt;DATE(2020,8,1)),L1182,0)</f>
        <v>0</v>
      </c>
    </row>
    <row r="1183" customFormat="false" ht="15" hidden="false" customHeight="true" outlineLevel="0" collapsed="false">
      <c r="A1183" s="1" t="n">
        <v>101979</v>
      </c>
      <c r="B1183" s="1" t="n">
        <v>50715</v>
      </c>
      <c r="C1183" s="1" t="n">
        <v>18</v>
      </c>
      <c r="D1183" s="1" t="n">
        <v>5</v>
      </c>
      <c r="E1183" s="1" t="str">
        <f aca="false">VLOOKUP(C1183,Меню!$A$2:$C$24,2,FALSE())</f>
        <v>Пицца Царская</v>
      </c>
      <c r="F1183" s="1" t="n">
        <f aca="false">VLOOKUP(C1183,Меню!$A$2:$C$24,3,FALSE())</f>
        <v>620</v>
      </c>
      <c r="G1183" s="5" t="n">
        <f aca="false">VLOOKUP(B1183,Заказы!$A$2:$E$2995,2,FALSE())</f>
        <v>44065</v>
      </c>
      <c r="H1183" s="1" t="n">
        <f aca="false">VLOOKUP(B1183,Заказы!$A$2:$E$2995,3,FALSE())</f>
        <v>58</v>
      </c>
      <c r="I1183" s="1" t="str">
        <f aca="false">VLOOKUP(H1183,Клиенты!$A$2:$E$1995,5,FALSE())</f>
        <v>г. Саратов</v>
      </c>
      <c r="J1183" s="1" t="n">
        <f aca="false">VLOOKUP(B1183,Заказы!$A$2:$E$2995,4,FALSE())</f>
        <v>737</v>
      </c>
      <c r="K1183" s="1" t="str">
        <f aca="false">VLOOKUP(B1183,Заказы!$A$2:$E$2995,5,FALSE())</f>
        <v>Выполнено</v>
      </c>
      <c r="L1183" s="1" t="n">
        <f aca="false">D1183*F1183+J1183</f>
        <v>3837</v>
      </c>
      <c r="M1183" s="1" t="n">
        <f aca="false">IF(AND(E1183="Пицца Труслейка",I1183="г. Москва",K1183="Выполнено",G1183&gt;=DATE(2020,7,1),G1183&lt;DATE(2020,8,1)),L1183,0)</f>
        <v>0</v>
      </c>
    </row>
    <row r="1184" customFormat="false" ht="15" hidden="false" customHeight="true" outlineLevel="0" collapsed="false">
      <c r="A1184" s="1" t="n">
        <v>100804</v>
      </c>
      <c r="B1184" s="1" t="n">
        <v>50608</v>
      </c>
      <c r="C1184" s="1" t="n">
        <v>15</v>
      </c>
      <c r="D1184" s="1" t="n">
        <v>7</v>
      </c>
      <c r="E1184" s="1" t="str">
        <f aca="false">VLOOKUP(C1184,Меню!$A$2:$C$24,2,FALSE())</f>
        <v>Пицца Тропиканка</v>
      </c>
      <c r="F1184" s="1" t="n">
        <f aca="false">VLOOKUP(C1184,Меню!$A$2:$C$24,3,FALSE())</f>
        <v>605</v>
      </c>
      <c r="G1184" s="5" t="n">
        <f aca="false">VLOOKUP(B1184,Заказы!$A$2:$E$2995,2,FALSE())</f>
        <v>44017</v>
      </c>
      <c r="H1184" s="1" t="n">
        <f aca="false">VLOOKUP(B1184,Заказы!$A$2:$E$2995,3,FALSE())</f>
        <v>1092</v>
      </c>
      <c r="I1184" s="1" t="str">
        <f aca="false">VLOOKUP(H1184,Клиенты!$A$2:$E$1995,5,FALSE())</f>
        <v>г. Карасук</v>
      </c>
      <c r="J1184" s="1" t="n">
        <f aca="false">VLOOKUP(B1184,Заказы!$A$2:$E$2995,4,FALSE())</f>
        <v>0</v>
      </c>
      <c r="K1184" s="1" t="str">
        <f aca="false">VLOOKUP(B1184,Заказы!$A$2:$E$2995,5,FALSE())</f>
        <v>Не выполнено</v>
      </c>
      <c r="L1184" s="1" t="n">
        <f aca="false">D1184*F1184+J1184</f>
        <v>4235</v>
      </c>
      <c r="M1184" s="1" t="n">
        <f aca="false">IF(AND(E1184="Пицца Труслейка",I1184="г. Москва",K1184="Выполнено",G1184&gt;=DATE(2020,7,1),G1184&lt;DATE(2020,8,1)),L1184,0)</f>
        <v>0</v>
      </c>
    </row>
    <row r="1185" customFormat="false" ht="15" hidden="false" customHeight="true" outlineLevel="0" collapsed="false">
      <c r="A1185" s="1" t="n">
        <v>100164</v>
      </c>
      <c r="B1185" s="1" t="n">
        <v>50270</v>
      </c>
      <c r="C1185" s="1" t="n">
        <v>15</v>
      </c>
      <c r="D1185" s="1" t="n">
        <v>7</v>
      </c>
      <c r="E1185" s="1" t="str">
        <f aca="false">VLOOKUP(C1185,Меню!$A$2:$C$24,2,FALSE())</f>
        <v>Пицца Тропиканка</v>
      </c>
      <c r="F1185" s="1" t="n">
        <f aca="false">VLOOKUP(C1185,Меню!$A$2:$C$24,3,FALSE())</f>
        <v>605</v>
      </c>
      <c r="G1185" s="5" t="n">
        <f aca="false">VLOOKUP(B1185,Заказы!$A$2:$E$2995,2,FALSE())</f>
        <v>44011</v>
      </c>
      <c r="H1185" s="1" t="n">
        <f aca="false">VLOOKUP(B1185,Заказы!$A$2:$E$2995,3,FALSE())</f>
        <v>1525</v>
      </c>
      <c r="I1185" s="1" t="str">
        <f aca="false">VLOOKUP(H1185,Клиенты!$A$2:$E$1995,5,FALSE())</f>
        <v>г. Екатеринбург</v>
      </c>
      <c r="J1185" s="1" t="n">
        <f aca="false">VLOOKUP(B1185,Заказы!$A$2:$E$2995,4,FALSE())</f>
        <v>659</v>
      </c>
      <c r="K1185" s="1" t="str">
        <f aca="false">VLOOKUP(B1185,Заказы!$A$2:$E$2995,5,FALSE())</f>
        <v>Выполнено</v>
      </c>
      <c r="L1185" s="1" t="n">
        <f aca="false">D1185*F1185+J1185</f>
        <v>4894</v>
      </c>
      <c r="M1185" s="1" t="n">
        <f aca="false">IF(AND(E1185="Пицца Труслейка",I1185="г. Москва",K1185="Выполнено",G1185&gt;=DATE(2020,7,1),G1185&lt;DATE(2020,8,1)),L1185,0)</f>
        <v>0</v>
      </c>
    </row>
    <row r="1186" customFormat="false" ht="15" hidden="false" customHeight="true" outlineLevel="0" collapsed="false">
      <c r="A1186" s="1" t="n">
        <v>100948</v>
      </c>
      <c r="B1186" s="1" t="n">
        <v>51789</v>
      </c>
      <c r="C1186" s="1" t="n">
        <v>21</v>
      </c>
      <c r="D1186" s="1" t="n">
        <v>9</v>
      </c>
      <c r="E1186" s="1" t="str">
        <f aca="false">VLOOKUP(C1186,Меню!$A$2:$C$24,2,FALSE())</f>
        <v>Пицца с креветками и цукини</v>
      </c>
      <c r="F1186" s="1" t="n">
        <f aca="false">VLOOKUP(C1186,Меню!$A$2:$C$24,3,FALSE())</f>
        <v>600</v>
      </c>
      <c r="G1186" s="5" t="n">
        <f aca="false">VLOOKUP(B1186,Заказы!$A$2:$E$2995,2,FALSE())</f>
        <v>44052</v>
      </c>
      <c r="H1186" s="1" t="n">
        <f aca="false">VLOOKUP(B1186,Заказы!$A$2:$E$2995,3,FALSE())</f>
        <v>10</v>
      </c>
      <c r="I1186" s="1" t="str">
        <f aca="false">VLOOKUP(H1186,Клиенты!$A$2:$E$1995,5,FALSE())</f>
        <v>г. Москва</v>
      </c>
      <c r="J1186" s="1" t="n">
        <f aca="false">VLOOKUP(B1186,Заказы!$A$2:$E$2995,4,FALSE())</f>
        <v>184</v>
      </c>
      <c r="K1186" s="1" t="str">
        <f aca="false">VLOOKUP(B1186,Заказы!$A$2:$E$2995,5,FALSE())</f>
        <v>Выполнено</v>
      </c>
      <c r="L1186" s="1" t="n">
        <f aca="false">D1186*F1186+J1186</f>
        <v>5584</v>
      </c>
      <c r="M1186" s="1" t="n">
        <f aca="false">IF(AND(E1186="Пицца Труслейка",I1186="г. Москва",K1186="Выполнено",G1186&gt;=DATE(2020,7,1),G1186&lt;DATE(2020,8,1)),L1186,0)</f>
        <v>0</v>
      </c>
    </row>
    <row r="1187" customFormat="false" ht="15" hidden="false" customHeight="true" outlineLevel="0" collapsed="false">
      <c r="A1187" s="1" t="n">
        <v>100765</v>
      </c>
      <c r="B1187" s="1" t="n">
        <v>50698</v>
      </c>
      <c r="C1187" s="1" t="n">
        <v>23</v>
      </c>
      <c r="D1187" s="1" t="n">
        <v>1</v>
      </c>
      <c r="E1187" s="1" t="str">
        <f aca="false">VLOOKUP(C1187,Меню!$A$2:$C$24,2,FALSE())</f>
        <v>Пицца с тунцом</v>
      </c>
      <c r="F1187" s="1" t="n">
        <f aca="false">VLOOKUP(C1187,Меню!$A$2:$C$24,3,FALSE())</f>
        <v>520</v>
      </c>
      <c r="G1187" s="5" t="n">
        <f aca="false">VLOOKUP(B1187,Заказы!$A$2:$E$2995,2,FALSE())</f>
        <v>44031</v>
      </c>
      <c r="H1187" s="1" t="n">
        <f aca="false">VLOOKUP(B1187,Заказы!$A$2:$E$2995,3,FALSE())</f>
        <v>198</v>
      </c>
      <c r="I1187" s="1" t="str">
        <f aca="false">VLOOKUP(H1187,Клиенты!$A$2:$E$1995,5,FALSE())</f>
        <v>г. Коломна</v>
      </c>
      <c r="J1187" s="1" t="n">
        <f aca="false">VLOOKUP(B1187,Заказы!$A$2:$E$2995,4,FALSE())</f>
        <v>828</v>
      </c>
      <c r="K1187" s="1" t="str">
        <f aca="false">VLOOKUP(B1187,Заказы!$A$2:$E$2995,5,FALSE())</f>
        <v>Выполнено</v>
      </c>
      <c r="L1187" s="1" t="n">
        <f aca="false">D1187*F1187+J1187</f>
        <v>1348</v>
      </c>
      <c r="M1187" s="1" t="n">
        <f aca="false">IF(AND(E1187="Пицца Труслейка",I1187="г. Москва",K1187="Выполнено",G1187&gt;=DATE(2020,7,1),G1187&lt;DATE(2020,8,1)),L1187,0)</f>
        <v>0</v>
      </c>
    </row>
    <row r="1188" customFormat="false" ht="15" hidden="false" customHeight="true" outlineLevel="0" collapsed="false">
      <c r="A1188" s="1" t="n">
        <v>101592</v>
      </c>
      <c r="B1188" s="1" t="n">
        <v>51669</v>
      </c>
      <c r="C1188" s="1" t="n">
        <v>16</v>
      </c>
      <c r="D1188" s="1" t="n">
        <v>4</v>
      </c>
      <c r="E1188" s="1" t="str">
        <f aca="false">VLOOKUP(C1188,Меню!$A$2:$C$24,2,FALSE())</f>
        <v>Пицца Флорида</v>
      </c>
      <c r="F1188" s="1" t="n">
        <f aca="false">VLOOKUP(C1188,Меню!$A$2:$C$24,3,FALSE())</f>
        <v>535</v>
      </c>
      <c r="G1188" s="5" t="n">
        <f aca="false">VLOOKUP(B1188,Заказы!$A$2:$E$2995,2,FALSE())</f>
        <v>44026</v>
      </c>
      <c r="H1188" s="1" t="n">
        <f aca="false">VLOOKUP(B1188,Заказы!$A$2:$E$2995,3,FALSE())</f>
        <v>976</v>
      </c>
      <c r="I1188" s="1" t="str">
        <f aca="false">VLOOKUP(H1188,Клиенты!$A$2:$E$1995,5,FALSE())</f>
        <v>г. Буйнакск</v>
      </c>
      <c r="J1188" s="1" t="n">
        <f aca="false">VLOOKUP(B1188,Заказы!$A$2:$E$2995,4,FALSE())</f>
        <v>551</v>
      </c>
      <c r="K1188" s="1" t="str">
        <f aca="false">VLOOKUP(B1188,Заказы!$A$2:$E$2995,5,FALSE())</f>
        <v>Выполнено</v>
      </c>
      <c r="L1188" s="1" t="n">
        <f aca="false">D1188*F1188+J1188</f>
        <v>2691</v>
      </c>
      <c r="M1188" s="1" t="n">
        <f aca="false">IF(AND(E1188="Пицца Труслейка",I1188="г. Москва",K1188="Выполнено",G1188&gt;=DATE(2020,7,1),G1188&lt;DATE(2020,8,1)),L1188,0)</f>
        <v>0</v>
      </c>
    </row>
    <row r="1189" customFormat="false" ht="15" hidden="false" customHeight="true" outlineLevel="0" collapsed="false">
      <c r="A1189" s="1" t="n">
        <v>101875</v>
      </c>
      <c r="B1189" s="1" t="n">
        <v>50951</v>
      </c>
      <c r="C1189" s="1" t="n">
        <v>14</v>
      </c>
      <c r="D1189" s="1" t="n">
        <v>6</v>
      </c>
      <c r="E1189" s="1" t="str">
        <f aca="false">VLOOKUP(C1189,Меню!$A$2:$C$24,2,FALSE())</f>
        <v>Пицца Сырный цыпленок</v>
      </c>
      <c r="F1189" s="1" t="n">
        <f aca="false">VLOOKUP(C1189,Меню!$A$2:$C$24,3,FALSE())</f>
        <v>555</v>
      </c>
      <c r="G1189" s="5" t="n">
        <f aca="false">VLOOKUP(B1189,Заказы!$A$2:$E$2995,2,FALSE())</f>
        <v>44022</v>
      </c>
      <c r="H1189" s="1" t="n">
        <f aca="false">VLOOKUP(B1189,Заказы!$A$2:$E$2995,3,FALSE())</f>
        <v>972</v>
      </c>
      <c r="I1189" s="1" t="str">
        <f aca="false">VLOOKUP(H1189,Клиенты!$A$2:$E$1995,5,FALSE())</f>
        <v>г. Анива</v>
      </c>
      <c r="J1189" s="1" t="n">
        <f aca="false">VLOOKUP(B1189,Заказы!$A$2:$E$2995,4,FALSE())</f>
        <v>0</v>
      </c>
      <c r="K1189" s="1" t="str">
        <f aca="false">VLOOKUP(B1189,Заказы!$A$2:$E$2995,5,FALSE())</f>
        <v>Не выполнено</v>
      </c>
      <c r="L1189" s="1" t="n">
        <f aca="false">D1189*F1189+J1189</f>
        <v>3330</v>
      </c>
      <c r="M1189" s="1" t="n">
        <f aca="false">IF(AND(E1189="Пицца Труслейка",I1189="г. Москва",K1189="Выполнено",G1189&gt;=DATE(2020,7,1),G1189&lt;DATE(2020,8,1)),L1189,0)</f>
        <v>0</v>
      </c>
    </row>
    <row r="1190" customFormat="false" ht="15" hidden="false" customHeight="true" outlineLevel="0" collapsed="false">
      <c r="A1190" s="1" t="n">
        <v>100818</v>
      </c>
      <c r="B1190" s="1" t="n">
        <v>50914</v>
      </c>
      <c r="C1190" s="1" t="n">
        <v>4</v>
      </c>
      <c r="D1190" s="1" t="n">
        <v>1</v>
      </c>
      <c r="E1190" s="1" t="str">
        <f aca="false">VLOOKUP(C1190,Меню!$A$2:$C$24,2,FALSE())</f>
        <v>Пицца Труслейка</v>
      </c>
      <c r="F1190" s="1" t="n">
        <f aca="false">VLOOKUP(C1190,Меню!$A$2:$C$24,3,FALSE())</f>
        <v>610</v>
      </c>
      <c r="G1190" s="5" t="n">
        <f aca="false">VLOOKUP(B1190,Заказы!$A$2:$E$2995,2,FALSE())</f>
        <v>44071</v>
      </c>
      <c r="H1190" s="1" t="n">
        <f aca="false">VLOOKUP(B1190,Заказы!$A$2:$E$2995,3,FALSE())</f>
        <v>1002</v>
      </c>
      <c r="I1190" s="1" t="str">
        <f aca="false">VLOOKUP(H1190,Клиенты!$A$2:$E$1995,5,FALSE())</f>
        <v>г. Калач</v>
      </c>
      <c r="J1190" s="1" t="n">
        <f aca="false">VLOOKUP(B1190,Заказы!$A$2:$E$2995,4,FALSE())</f>
        <v>829</v>
      </c>
      <c r="K1190" s="1" t="str">
        <f aca="false">VLOOKUP(B1190,Заказы!$A$2:$E$2995,5,FALSE())</f>
        <v>Выполнено</v>
      </c>
      <c r="L1190" s="1" t="n">
        <f aca="false">D1190*F1190+J1190</f>
        <v>1439</v>
      </c>
      <c r="M1190" s="1" t="n">
        <f aca="false">IF(AND(E1190="Пицца Труслейка",I1190="г. Москва",K1190="Выполнено",G1190&gt;=DATE(2020,7,1),G1190&lt;DATE(2020,8,1)),L1190,0)</f>
        <v>0</v>
      </c>
    </row>
    <row r="1191" customFormat="false" ht="15" hidden="false" customHeight="true" outlineLevel="0" collapsed="false">
      <c r="A1191" s="1" t="n">
        <v>100701</v>
      </c>
      <c r="B1191" s="1" t="n">
        <v>51318</v>
      </c>
      <c r="C1191" s="1" t="n">
        <v>4</v>
      </c>
      <c r="D1191" s="1" t="n">
        <v>8</v>
      </c>
      <c r="E1191" s="1" t="str">
        <f aca="false">VLOOKUP(C1191,Меню!$A$2:$C$24,2,FALSE())</f>
        <v>Пицца Труслейка</v>
      </c>
      <c r="F1191" s="1" t="n">
        <f aca="false">VLOOKUP(C1191,Меню!$A$2:$C$24,3,FALSE())</f>
        <v>610</v>
      </c>
      <c r="G1191" s="5" t="n">
        <f aca="false">VLOOKUP(B1191,Заказы!$A$2:$E$2995,2,FALSE())</f>
        <v>44003</v>
      </c>
      <c r="H1191" s="1" t="n">
        <f aca="false">VLOOKUP(B1191,Заказы!$A$2:$E$2995,3,FALSE())</f>
        <v>784</v>
      </c>
      <c r="I1191" s="1" t="str">
        <f aca="false">VLOOKUP(H1191,Клиенты!$A$2:$E$1995,5,FALSE())</f>
        <v>г. Малоярославец</v>
      </c>
      <c r="J1191" s="1" t="n">
        <f aca="false">VLOOKUP(B1191,Заказы!$A$2:$E$2995,4,FALSE())</f>
        <v>862</v>
      </c>
      <c r="K1191" s="1" t="str">
        <f aca="false">VLOOKUP(B1191,Заказы!$A$2:$E$2995,5,FALSE())</f>
        <v>Выполнено</v>
      </c>
      <c r="L1191" s="1" t="n">
        <f aca="false">D1191*F1191+J1191</f>
        <v>5742</v>
      </c>
      <c r="M1191" s="1" t="n">
        <f aca="false">IF(AND(E1191="Пицца Труслейка",I1191="г. Москва",K1191="Выполнено",G1191&gt;=DATE(2020,7,1),G1191&lt;DATE(2020,8,1)),L1191,0)</f>
        <v>0</v>
      </c>
    </row>
    <row r="1192" customFormat="false" ht="15" hidden="false" customHeight="true" outlineLevel="0" collapsed="false">
      <c r="A1192" s="1" t="n">
        <v>101749</v>
      </c>
      <c r="B1192" s="1" t="n">
        <v>51328</v>
      </c>
      <c r="C1192" s="1" t="n">
        <v>18</v>
      </c>
      <c r="D1192" s="1" t="n">
        <v>5</v>
      </c>
      <c r="E1192" s="1" t="str">
        <f aca="false">VLOOKUP(C1192,Меню!$A$2:$C$24,2,FALSE())</f>
        <v>Пицца Царская</v>
      </c>
      <c r="F1192" s="1" t="n">
        <f aca="false">VLOOKUP(C1192,Меню!$A$2:$C$24,3,FALSE())</f>
        <v>620</v>
      </c>
      <c r="G1192" s="5" t="n">
        <f aca="false">VLOOKUP(B1192,Заказы!$A$2:$E$2995,2,FALSE())</f>
        <v>44064</v>
      </c>
      <c r="H1192" s="1" t="n">
        <f aca="false">VLOOKUP(B1192,Заказы!$A$2:$E$2995,3,FALSE())</f>
        <v>1247</v>
      </c>
      <c r="I1192" s="1" t="str">
        <f aca="false">VLOOKUP(H1192,Клиенты!$A$2:$E$1995,5,FALSE())</f>
        <v>г. Лысково</v>
      </c>
      <c r="J1192" s="1" t="n">
        <f aca="false">VLOOKUP(B1192,Заказы!$A$2:$E$2995,4,FALSE())</f>
        <v>0</v>
      </c>
      <c r="K1192" s="1" t="str">
        <f aca="false">VLOOKUP(B1192,Заказы!$A$2:$E$2995,5,FALSE())</f>
        <v>Не выполнено</v>
      </c>
      <c r="L1192" s="1" t="n">
        <f aca="false">D1192*F1192+J1192</f>
        <v>3100</v>
      </c>
      <c r="M1192" s="1" t="n">
        <f aca="false">IF(AND(E1192="Пицца Труслейка",I1192="г. Москва",K1192="Выполнено",G1192&gt;=DATE(2020,7,1),G1192&lt;DATE(2020,8,1)),L1192,0)</f>
        <v>0</v>
      </c>
    </row>
    <row r="1193" customFormat="false" ht="15" hidden="false" customHeight="true" outlineLevel="0" collapsed="false">
      <c r="A1193" s="1" t="n">
        <v>101846</v>
      </c>
      <c r="B1193" s="1" t="n">
        <v>50045</v>
      </c>
      <c r="C1193" s="1" t="n">
        <v>5</v>
      </c>
      <c r="D1193" s="1" t="n">
        <v>2</v>
      </c>
      <c r="E1193" s="1" t="str">
        <f aca="false">VLOOKUP(C1193,Меню!$A$2:$C$24,2,FALSE())</f>
        <v>Пицца Жюльен</v>
      </c>
      <c r="F1193" s="1" t="n">
        <f aca="false">VLOOKUP(C1193,Меню!$A$2:$C$24,3,FALSE())</f>
        <v>580</v>
      </c>
      <c r="G1193" s="5" t="n">
        <f aca="false">VLOOKUP(B1193,Заказы!$A$2:$E$2995,2,FALSE())</f>
        <v>44011</v>
      </c>
      <c r="H1193" s="1" t="n">
        <f aca="false">VLOOKUP(B1193,Заказы!$A$2:$E$2995,3,FALSE())</f>
        <v>726</v>
      </c>
      <c r="I1193" s="1" t="str">
        <f aca="false">VLOOKUP(H1193,Клиенты!$A$2:$E$1995,5,FALSE())</f>
        <v>г. Курганинск</v>
      </c>
      <c r="J1193" s="1" t="n">
        <f aca="false">VLOOKUP(B1193,Заказы!$A$2:$E$2995,4,FALSE())</f>
        <v>0</v>
      </c>
      <c r="K1193" s="1" t="str">
        <f aca="false">VLOOKUP(B1193,Заказы!$A$2:$E$2995,5,FALSE())</f>
        <v>Не выполнено</v>
      </c>
      <c r="L1193" s="1" t="n">
        <f aca="false">D1193*F1193+J1193</f>
        <v>1160</v>
      </c>
      <c r="M1193" s="1" t="n">
        <f aca="false">IF(AND(E1193="Пицца Труслейка",I1193="г. Москва",K1193="Выполнено",G1193&gt;=DATE(2020,7,1),G1193&lt;DATE(2020,8,1)),L1193,0)</f>
        <v>0</v>
      </c>
    </row>
    <row r="1194" customFormat="false" ht="15" hidden="false" customHeight="true" outlineLevel="0" collapsed="false">
      <c r="A1194" s="1" t="n">
        <v>100901</v>
      </c>
      <c r="B1194" s="1" t="n">
        <v>50635</v>
      </c>
      <c r="C1194" s="1" t="n">
        <v>1</v>
      </c>
      <c r="D1194" s="1" t="n">
        <v>5</v>
      </c>
      <c r="E1194" s="1" t="str">
        <f aca="false">VLOOKUP(C1194,Меню!$A$2:$C$24,2,FALSE())</f>
        <v>Пицца Гавайская</v>
      </c>
      <c r="F1194" s="1" t="n">
        <f aca="false">VLOOKUP(C1194,Меню!$A$2:$C$24,3,FALSE())</f>
        <v>545</v>
      </c>
      <c r="G1194" s="5" t="n">
        <f aca="false">VLOOKUP(B1194,Заказы!$A$2:$E$2995,2,FALSE())</f>
        <v>44063</v>
      </c>
      <c r="H1194" s="1" t="n">
        <f aca="false">VLOOKUP(B1194,Заказы!$A$2:$E$2995,3,FALSE())</f>
        <v>1386</v>
      </c>
      <c r="I1194" s="1" t="str">
        <f aca="false">VLOOKUP(H1194,Клиенты!$A$2:$E$1995,5,FALSE())</f>
        <v>г. Кинешма</v>
      </c>
      <c r="J1194" s="1" t="n">
        <f aca="false">VLOOKUP(B1194,Заказы!$A$2:$E$2995,4,FALSE())</f>
        <v>125</v>
      </c>
      <c r="K1194" s="1" t="str">
        <f aca="false">VLOOKUP(B1194,Заказы!$A$2:$E$2995,5,FALSE())</f>
        <v>Выполнено</v>
      </c>
      <c r="L1194" s="1" t="n">
        <f aca="false">D1194*F1194+J1194</f>
        <v>2850</v>
      </c>
      <c r="M1194" s="1" t="n">
        <f aca="false">IF(AND(E1194="Пицца Труслейка",I1194="г. Москва",K1194="Выполнено",G1194&gt;=DATE(2020,7,1),G1194&lt;DATE(2020,8,1)),L1194,0)</f>
        <v>0</v>
      </c>
    </row>
    <row r="1195" customFormat="false" ht="15" hidden="false" customHeight="true" outlineLevel="0" collapsed="false">
      <c r="A1195" s="1" t="n">
        <v>100094</v>
      </c>
      <c r="B1195" s="1" t="n">
        <v>50720</v>
      </c>
      <c r="C1195" s="1" t="n">
        <v>8</v>
      </c>
      <c r="D1195" s="1" t="n">
        <v>5</v>
      </c>
      <c r="E1195" s="1" t="str">
        <f aca="false">VLOOKUP(C1195,Меню!$A$2:$C$24,2,FALSE())</f>
        <v>Пицца Мясная</v>
      </c>
      <c r="F1195" s="1" t="n">
        <f aca="false">VLOOKUP(C1195,Меню!$A$2:$C$24,3,FALSE())</f>
        <v>615</v>
      </c>
      <c r="G1195" s="5" t="n">
        <f aca="false">VLOOKUP(B1195,Заказы!$A$2:$E$2995,2,FALSE())</f>
        <v>44037</v>
      </c>
      <c r="H1195" s="1" t="n">
        <f aca="false">VLOOKUP(B1195,Заказы!$A$2:$E$2995,3,FALSE())</f>
        <v>1729</v>
      </c>
      <c r="I1195" s="1" t="str">
        <f aca="false">VLOOKUP(H1195,Клиенты!$A$2:$E$1995,5,FALSE())</f>
        <v>г. Магадан</v>
      </c>
      <c r="J1195" s="1" t="n">
        <f aca="false">VLOOKUP(B1195,Заказы!$A$2:$E$2995,4,FALSE())</f>
        <v>0</v>
      </c>
      <c r="K1195" s="1" t="str">
        <f aca="false">VLOOKUP(B1195,Заказы!$A$2:$E$2995,5,FALSE())</f>
        <v>Не выполнено</v>
      </c>
      <c r="L1195" s="1" t="n">
        <f aca="false">D1195*F1195+J1195</f>
        <v>3075</v>
      </c>
      <c r="M1195" s="1" t="n">
        <f aca="false">IF(AND(E1195="Пицца Труслейка",I1195="г. Москва",K1195="Выполнено",G1195&gt;=DATE(2020,7,1),G1195&lt;DATE(2020,8,1)),L1195,0)</f>
        <v>0</v>
      </c>
    </row>
    <row r="1196" customFormat="false" ht="15" hidden="false" customHeight="true" outlineLevel="0" collapsed="false">
      <c r="A1196" s="1" t="n">
        <v>101990</v>
      </c>
      <c r="B1196" s="1" t="n">
        <v>51182</v>
      </c>
      <c r="C1196" s="1" t="n">
        <v>2</v>
      </c>
      <c r="D1196" s="1" t="n">
        <v>2</v>
      </c>
      <c r="E1196" s="1" t="str">
        <f aca="false">VLOOKUP(C1196,Меню!$A$2:$C$24,2,FALSE())</f>
        <v>Пицца Двойная пепперони</v>
      </c>
      <c r="F1196" s="1" t="n">
        <f aca="false">VLOOKUP(C1196,Меню!$A$2:$C$24,3,FALSE())</f>
        <v>575</v>
      </c>
      <c r="G1196" s="5" t="n">
        <f aca="false">VLOOKUP(B1196,Заказы!$A$2:$E$2995,2,FALSE())</f>
        <v>44058</v>
      </c>
      <c r="H1196" s="1" t="n">
        <f aca="false">VLOOKUP(B1196,Заказы!$A$2:$E$2995,3,FALSE())</f>
        <v>1271</v>
      </c>
      <c r="I1196" s="1" t="str">
        <f aca="false">VLOOKUP(H1196,Клиенты!$A$2:$E$1995,5,FALSE())</f>
        <v>г. Урус-Мартан</v>
      </c>
      <c r="J1196" s="1" t="n">
        <f aca="false">VLOOKUP(B1196,Заказы!$A$2:$E$2995,4,FALSE())</f>
        <v>0</v>
      </c>
      <c r="K1196" s="1" t="str">
        <f aca="false">VLOOKUP(B1196,Заказы!$A$2:$E$2995,5,FALSE())</f>
        <v>Не выполнено</v>
      </c>
      <c r="L1196" s="1" t="n">
        <f aca="false">D1196*F1196+J1196</f>
        <v>1150</v>
      </c>
      <c r="M1196" s="1" t="n">
        <f aca="false">IF(AND(E1196="Пицца Труслейка",I1196="г. Москва",K1196="Выполнено",G1196&gt;=DATE(2020,7,1),G1196&lt;DATE(2020,8,1)),L1196,0)</f>
        <v>0</v>
      </c>
    </row>
    <row r="1197" customFormat="false" ht="15" hidden="false" customHeight="true" outlineLevel="0" collapsed="false">
      <c r="A1197" s="1" t="n">
        <v>101993</v>
      </c>
      <c r="B1197" s="1" t="n">
        <v>51876</v>
      </c>
      <c r="C1197" s="1" t="n">
        <v>7</v>
      </c>
      <c r="D1197" s="1" t="n">
        <v>6</v>
      </c>
      <c r="E1197" s="1" t="str">
        <f aca="false">VLOOKUP(C1197,Меню!$A$2:$C$24,2,FALSE())</f>
        <v>Пицца Карбонара</v>
      </c>
      <c r="F1197" s="1" t="n">
        <f aca="false">VLOOKUP(C1197,Меню!$A$2:$C$24,3,FALSE())</f>
        <v>625</v>
      </c>
      <c r="G1197" s="5" t="n">
        <f aca="false">VLOOKUP(B1197,Заказы!$A$2:$E$2995,2,FALSE())</f>
        <v>43993</v>
      </c>
      <c r="H1197" s="1" t="n">
        <f aca="false">VLOOKUP(B1197,Заказы!$A$2:$E$2995,3,FALSE())</f>
        <v>1245</v>
      </c>
      <c r="I1197" s="1" t="str">
        <f aca="false">VLOOKUP(H1197,Клиенты!$A$2:$E$1995,5,FALSE())</f>
        <v>г. Удачный</v>
      </c>
      <c r="J1197" s="1" t="n">
        <f aca="false">VLOOKUP(B1197,Заказы!$A$2:$E$2995,4,FALSE())</f>
        <v>0</v>
      </c>
      <c r="K1197" s="1" t="str">
        <f aca="false">VLOOKUP(B1197,Заказы!$A$2:$E$2995,5,FALSE())</f>
        <v>Не выполнено</v>
      </c>
      <c r="L1197" s="1" t="n">
        <f aca="false">D1197*F1197+J1197</f>
        <v>3750</v>
      </c>
      <c r="M1197" s="1" t="n">
        <f aca="false">IF(AND(E1197="Пицца Труслейка",I1197="г. Москва",K1197="Выполнено",G1197&gt;=DATE(2020,7,1),G1197&lt;DATE(2020,8,1)),L1197,0)</f>
        <v>0</v>
      </c>
    </row>
    <row r="1198" customFormat="false" ht="15" hidden="false" customHeight="true" outlineLevel="0" collapsed="false">
      <c r="A1198" s="1" t="n">
        <v>101422</v>
      </c>
      <c r="B1198" s="1" t="n">
        <v>51522</v>
      </c>
      <c r="C1198" s="1" t="n">
        <v>13</v>
      </c>
      <c r="D1198" s="1" t="n">
        <v>6</v>
      </c>
      <c r="E1198" s="1" t="str">
        <f aca="false">VLOOKUP(C1198,Меню!$A$2:$C$24,2,FALSE())</f>
        <v>Пицца Сырная</v>
      </c>
      <c r="F1198" s="1" t="n">
        <f aca="false">VLOOKUP(C1198,Меню!$A$2:$C$24,3,FALSE())</f>
        <v>635</v>
      </c>
      <c r="G1198" s="5" t="n">
        <f aca="false">VLOOKUP(B1198,Заказы!$A$2:$E$2995,2,FALSE())</f>
        <v>44024</v>
      </c>
      <c r="H1198" s="1" t="n">
        <f aca="false">VLOOKUP(B1198,Заказы!$A$2:$E$2995,3,FALSE())</f>
        <v>282</v>
      </c>
      <c r="I1198" s="1" t="str">
        <f aca="false">VLOOKUP(H1198,Клиенты!$A$2:$E$1995,5,FALSE())</f>
        <v>г. Батайск</v>
      </c>
      <c r="J1198" s="1" t="n">
        <f aca="false">VLOOKUP(B1198,Заказы!$A$2:$E$2995,4,FALSE())</f>
        <v>0</v>
      </c>
      <c r="K1198" s="1" t="str">
        <f aca="false">VLOOKUP(B1198,Заказы!$A$2:$E$2995,5,FALSE())</f>
        <v>Не выполнено</v>
      </c>
      <c r="L1198" s="1" t="n">
        <f aca="false">D1198*F1198+J1198</f>
        <v>3810</v>
      </c>
      <c r="M1198" s="1" t="n">
        <f aca="false">IF(AND(E1198="Пицца Труслейка",I1198="г. Москва",K1198="Выполнено",G1198&gt;=DATE(2020,7,1),G1198&lt;DATE(2020,8,1)),L1198,0)</f>
        <v>0</v>
      </c>
    </row>
    <row r="1199" customFormat="false" ht="15" hidden="false" customHeight="true" outlineLevel="0" collapsed="false">
      <c r="A1199" s="1" t="n">
        <v>100736</v>
      </c>
      <c r="B1199" s="1" t="n">
        <v>50423</v>
      </c>
      <c r="C1199" s="1" t="n">
        <v>2</v>
      </c>
      <c r="D1199" s="1" t="n">
        <v>6</v>
      </c>
      <c r="E1199" s="1" t="str">
        <f aca="false">VLOOKUP(C1199,Меню!$A$2:$C$24,2,FALSE())</f>
        <v>Пицца Двойная пепперони</v>
      </c>
      <c r="F1199" s="1" t="n">
        <f aca="false">VLOOKUP(C1199,Меню!$A$2:$C$24,3,FALSE())</f>
        <v>575</v>
      </c>
      <c r="G1199" s="5" t="n">
        <f aca="false">VLOOKUP(B1199,Заказы!$A$2:$E$2995,2,FALSE())</f>
        <v>44059</v>
      </c>
      <c r="H1199" s="1" t="n">
        <f aca="false">VLOOKUP(B1199,Заказы!$A$2:$E$2995,3,FALSE())</f>
        <v>1195</v>
      </c>
      <c r="I1199" s="1" t="str">
        <f aca="false">VLOOKUP(H1199,Клиенты!$A$2:$E$1995,5,FALSE())</f>
        <v>г. Ярцево</v>
      </c>
      <c r="J1199" s="1" t="n">
        <f aca="false">VLOOKUP(B1199,Заказы!$A$2:$E$2995,4,FALSE())</f>
        <v>0</v>
      </c>
      <c r="K1199" s="1" t="str">
        <f aca="false">VLOOKUP(B1199,Заказы!$A$2:$E$2995,5,FALSE())</f>
        <v>Не выполнено</v>
      </c>
      <c r="L1199" s="1" t="n">
        <f aca="false">D1199*F1199+J1199</f>
        <v>3450</v>
      </c>
      <c r="M1199" s="1" t="n">
        <f aca="false">IF(AND(E1199="Пицца Труслейка",I1199="г. Москва",K1199="Выполнено",G1199&gt;=DATE(2020,7,1),G1199&lt;DATE(2020,8,1)),L1199,0)</f>
        <v>0</v>
      </c>
    </row>
    <row r="1200" customFormat="false" ht="15" hidden="false" customHeight="true" outlineLevel="0" collapsed="false">
      <c r="A1200" s="1" t="n">
        <v>101573</v>
      </c>
      <c r="B1200" s="1" t="n">
        <v>50913</v>
      </c>
      <c r="C1200" s="1" t="n">
        <v>9</v>
      </c>
      <c r="D1200" s="1" t="n">
        <v>7</v>
      </c>
      <c r="E1200" s="1" t="str">
        <f aca="false">VLOOKUP(C1200,Меню!$A$2:$C$24,2,FALSE())</f>
        <v>Пицца Острая с беконом</v>
      </c>
      <c r="F1200" s="1" t="n">
        <f aca="false">VLOOKUP(C1200,Меню!$A$2:$C$24,3,FALSE())</f>
        <v>540</v>
      </c>
      <c r="G1200" s="5" t="n">
        <f aca="false">VLOOKUP(B1200,Заказы!$A$2:$E$2995,2,FALSE())</f>
        <v>44043</v>
      </c>
      <c r="H1200" s="1" t="n">
        <f aca="false">VLOOKUP(B1200,Заказы!$A$2:$E$2995,3,FALSE())</f>
        <v>123</v>
      </c>
      <c r="I1200" s="1" t="str">
        <f aca="false">VLOOKUP(H1200,Клиенты!$A$2:$E$1995,5,FALSE())</f>
        <v>г. Кувандык</v>
      </c>
      <c r="J1200" s="1" t="n">
        <f aca="false">VLOOKUP(B1200,Заказы!$A$2:$E$2995,4,FALSE())</f>
        <v>0</v>
      </c>
      <c r="K1200" s="1" t="str">
        <f aca="false">VLOOKUP(B1200,Заказы!$A$2:$E$2995,5,FALSE())</f>
        <v>Не выполнено</v>
      </c>
      <c r="L1200" s="1" t="n">
        <f aca="false">D1200*F1200+J1200</f>
        <v>3780</v>
      </c>
      <c r="M1200" s="1" t="n">
        <f aca="false">IF(AND(E1200="Пицца Труслейка",I1200="г. Москва",K1200="Выполнено",G1200&gt;=DATE(2020,7,1),G1200&lt;DATE(2020,8,1)),L1200,0)</f>
        <v>0</v>
      </c>
    </row>
    <row r="1201" customFormat="false" ht="15" hidden="false" customHeight="true" outlineLevel="0" collapsed="false">
      <c r="A1201" s="1" t="n">
        <v>101118</v>
      </c>
      <c r="B1201" s="1" t="n">
        <v>51914</v>
      </c>
      <c r="C1201" s="1" t="n">
        <v>4</v>
      </c>
      <c r="D1201" s="1" t="n">
        <v>6</v>
      </c>
      <c r="E1201" s="1" t="str">
        <f aca="false">VLOOKUP(C1201,Меню!$A$2:$C$24,2,FALSE())</f>
        <v>Пицца Труслейка</v>
      </c>
      <c r="F1201" s="1" t="n">
        <f aca="false">VLOOKUP(C1201,Меню!$A$2:$C$24,3,FALSE())</f>
        <v>610</v>
      </c>
      <c r="G1201" s="5" t="n">
        <f aca="false">VLOOKUP(B1201,Заказы!$A$2:$E$2995,2,FALSE())</f>
        <v>44003</v>
      </c>
      <c r="H1201" s="1" t="n">
        <f aca="false">VLOOKUP(B1201,Заказы!$A$2:$E$2995,3,FALSE())</f>
        <v>1344</v>
      </c>
      <c r="I1201" s="1" t="str">
        <f aca="false">VLOOKUP(H1201,Клиенты!$A$2:$E$1995,5,FALSE())</f>
        <v>г. Холмск</v>
      </c>
      <c r="J1201" s="1" t="n">
        <f aca="false">VLOOKUP(B1201,Заказы!$A$2:$E$2995,4,FALSE())</f>
        <v>0</v>
      </c>
      <c r="K1201" s="1" t="str">
        <f aca="false">VLOOKUP(B1201,Заказы!$A$2:$E$2995,5,FALSE())</f>
        <v>Не выполнено</v>
      </c>
      <c r="L1201" s="1" t="n">
        <f aca="false">D1201*F1201+J1201</f>
        <v>3660</v>
      </c>
      <c r="M1201" s="1" t="n">
        <f aca="false">IF(AND(E1201="Пицца Труслейка",I1201="г. Москва",K1201="Выполнено",G1201&gt;=DATE(2020,7,1),G1201&lt;DATE(2020,8,1)),L1201,0)</f>
        <v>0</v>
      </c>
    </row>
    <row r="1202" customFormat="false" ht="15" hidden="false" customHeight="true" outlineLevel="0" collapsed="false">
      <c r="A1202" s="1" t="n">
        <v>101339</v>
      </c>
      <c r="B1202" s="1" t="n">
        <v>50231</v>
      </c>
      <c r="C1202" s="1" t="n">
        <v>12</v>
      </c>
      <c r="D1202" s="1" t="n">
        <v>7</v>
      </c>
      <c r="E1202" s="1" t="str">
        <f aca="false">VLOOKUP(C1202,Меню!$A$2:$C$24,2,FALSE())</f>
        <v>Пицца Салями с трюфелем</v>
      </c>
      <c r="F1202" s="1" t="n">
        <f aca="false">VLOOKUP(C1202,Меню!$A$2:$C$24,3,FALSE())</f>
        <v>525</v>
      </c>
      <c r="G1202" s="5" t="n">
        <f aca="false">VLOOKUP(B1202,Заказы!$A$2:$E$2995,2,FALSE())</f>
        <v>44043</v>
      </c>
      <c r="H1202" s="1" t="n">
        <f aca="false">VLOOKUP(B1202,Заказы!$A$2:$E$2995,3,FALSE())</f>
        <v>323</v>
      </c>
      <c r="I1202" s="1" t="str">
        <f aca="false">VLOOKUP(H1202,Клиенты!$A$2:$E$1995,5,FALSE())</f>
        <v>г. Изобильный</v>
      </c>
      <c r="J1202" s="1" t="n">
        <f aca="false">VLOOKUP(B1202,Заказы!$A$2:$E$2995,4,FALSE())</f>
        <v>0</v>
      </c>
      <c r="K1202" s="1" t="str">
        <f aca="false">VLOOKUP(B1202,Заказы!$A$2:$E$2995,5,FALSE())</f>
        <v>Не выполнено</v>
      </c>
      <c r="L1202" s="1" t="n">
        <f aca="false">D1202*F1202+J1202</f>
        <v>3675</v>
      </c>
      <c r="M1202" s="1" t="n">
        <f aca="false">IF(AND(E1202="Пицца Труслейка",I1202="г. Москва",K1202="Выполнено",G1202&gt;=DATE(2020,7,1),G1202&lt;DATE(2020,8,1)),L1202,0)</f>
        <v>0</v>
      </c>
    </row>
    <row r="1203" customFormat="false" ht="15" hidden="false" customHeight="true" outlineLevel="0" collapsed="false">
      <c r="A1203" s="1" t="n">
        <v>100982</v>
      </c>
      <c r="B1203" s="1" t="n">
        <v>50176</v>
      </c>
      <c r="C1203" s="1" t="n">
        <v>6</v>
      </c>
      <c r="D1203" s="1" t="n">
        <v>9</v>
      </c>
      <c r="E1203" s="1" t="str">
        <f aca="false">VLOOKUP(C1203,Меню!$A$2:$C$24,2,FALSE())</f>
        <v>Пицца Капричиоза</v>
      </c>
      <c r="F1203" s="1" t="n">
        <f aca="false">VLOOKUP(C1203,Меню!$A$2:$C$24,3,FALSE())</f>
        <v>570</v>
      </c>
      <c r="G1203" s="5" t="n">
        <f aca="false">VLOOKUP(B1203,Заказы!$A$2:$E$2995,2,FALSE())</f>
        <v>44050</v>
      </c>
      <c r="H1203" s="1" t="n">
        <f aca="false">VLOOKUP(B1203,Заказы!$A$2:$E$2995,3,FALSE())</f>
        <v>1871</v>
      </c>
      <c r="I1203" s="1" t="str">
        <f aca="false">VLOOKUP(H1203,Клиенты!$A$2:$E$1995,5,FALSE())</f>
        <v>г. Армавир</v>
      </c>
      <c r="J1203" s="1" t="n">
        <f aca="false">VLOOKUP(B1203,Заказы!$A$2:$E$2995,4,FALSE())</f>
        <v>769</v>
      </c>
      <c r="K1203" s="1" t="str">
        <f aca="false">VLOOKUP(B1203,Заказы!$A$2:$E$2995,5,FALSE())</f>
        <v>Выполнено</v>
      </c>
      <c r="L1203" s="1" t="n">
        <f aca="false">D1203*F1203+J1203</f>
        <v>5899</v>
      </c>
      <c r="M1203" s="1" t="n">
        <f aca="false">IF(AND(E1203="Пицца Труслейка",I1203="г. Москва",K1203="Выполнено",G1203&gt;=DATE(2020,7,1),G1203&lt;DATE(2020,8,1)),L1203,0)</f>
        <v>0</v>
      </c>
    </row>
    <row r="1204" customFormat="false" ht="15" hidden="false" customHeight="true" outlineLevel="0" collapsed="false">
      <c r="A1204" s="1" t="n">
        <v>101521</v>
      </c>
      <c r="B1204" s="1" t="n">
        <v>51334</v>
      </c>
      <c r="C1204" s="1" t="n">
        <v>4</v>
      </c>
      <c r="D1204" s="1" t="n">
        <v>10</v>
      </c>
      <c r="E1204" s="1" t="str">
        <f aca="false">VLOOKUP(C1204,Меню!$A$2:$C$24,2,FALSE())</f>
        <v>Пицца Труслейка</v>
      </c>
      <c r="F1204" s="1" t="n">
        <f aca="false">VLOOKUP(C1204,Меню!$A$2:$C$24,3,FALSE())</f>
        <v>610</v>
      </c>
      <c r="G1204" s="5" t="n">
        <f aca="false">VLOOKUP(B1204,Заказы!$A$2:$E$2995,2,FALSE())</f>
        <v>44031</v>
      </c>
      <c r="H1204" s="1" t="n">
        <f aca="false">VLOOKUP(B1204,Заказы!$A$2:$E$2995,3,FALSE())</f>
        <v>860</v>
      </c>
      <c r="I1204" s="1" t="str">
        <f aca="false">VLOOKUP(H1204,Клиенты!$A$2:$E$1995,5,FALSE())</f>
        <v>г. Москва</v>
      </c>
      <c r="J1204" s="1" t="n">
        <f aca="false">VLOOKUP(B1204,Заказы!$A$2:$E$2995,4,FALSE())</f>
        <v>886</v>
      </c>
      <c r="K1204" s="1" t="str">
        <f aca="false">VLOOKUP(B1204,Заказы!$A$2:$E$2995,5,FALSE())</f>
        <v>Выполнено</v>
      </c>
      <c r="L1204" s="1" t="n">
        <f aca="false">D1204*F1204+J1204</f>
        <v>6986</v>
      </c>
      <c r="M1204" s="1" t="n">
        <f aca="false">IF(AND(E1204="Пицца Труслейка",I1204="г. Москва",K1204="Выполнено",G1204&gt;=DATE(2020,7,1),G1204&lt;DATE(2020,8,1)),L1204,0)</f>
        <v>6986</v>
      </c>
    </row>
    <row r="1205" customFormat="false" ht="15" hidden="false" customHeight="true" outlineLevel="0" collapsed="false">
      <c r="A1205" s="1" t="n">
        <v>100798</v>
      </c>
      <c r="B1205" s="1" t="n">
        <v>50583</v>
      </c>
      <c r="C1205" s="1" t="n">
        <v>12</v>
      </c>
      <c r="D1205" s="1" t="n">
        <v>3</v>
      </c>
      <c r="E1205" s="1" t="str">
        <f aca="false">VLOOKUP(C1205,Меню!$A$2:$C$24,2,FALSE())</f>
        <v>Пицца Салями с трюфелем</v>
      </c>
      <c r="F1205" s="1" t="n">
        <f aca="false">VLOOKUP(C1205,Меню!$A$2:$C$24,3,FALSE())</f>
        <v>525</v>
      </c>
      <c r="G1205" s="5" t="n">
        <f aca="false">VLOOKUP(B1205,Заказы!$A$2:$E$2995,2,FALSE())</f>
        <v>43992</v>
      </c>
      <c r="H1205" s="1" t="n">
        <f aca="false">VLOOKUP(B1205,Заказы!$A$2:$E$2995,3,FALSE())</f>
        <v>643</v>
      </c>
      <c r="I1205" s="1" t="str">
        <f aca="false">VLOOKUP(H1205,Клиенты!$A$2:$E$1995,5,FALSE())</f>
        <v>г. Саяногорск</v>
      </c>
      <c r="J1205" s="1" t="n">
        <f aca="false">VLOOKUP(B1205,Заказы!$A$2:$E$2995,4,FALSE())</f>
        <v>0</v>
      </c>
      <c r="K1205" s="1" t="str">
        <f aca="false">VLOOKUP(B1205,Заказы!$A$2:$E$2995,5,FALSE())</f>
        <v>Не выполнено</v>
      </c>
      <c r="L1205" s="1" t="n">
        <f aca="false">D1205*F1205+J1205</f>
        <v>1575</v>
      </c>
      <c r="M1205" s="1" t="n">
        <f aca="false">IF(AND(E1205="Пицца Труслейка",I1205="г. Москва",K1205="Выполнено",G1205&gt;=DATE(2020,7,1),G1205&lt;DATE(2020,8,1)),L1205,0)</f>
        <v>0</v>
      </c>
    </row>
    <row r="1206" customFormat="false" ht="15" hidden="false" customHeight="true" outlineLevel="0" collapsed="false">
      <c r="A1206" s="1" t="n">
        <v>100350</v>
      </c>
      <c r="B1206" s="1" t="n">
        <v>50793</v>
      </c>
      <c r="C1206" s="1" t="n">
        <v>11</v>
      </c>
      <c r="D1206" s="1" t="n">
        <v>3</v>
      </c>
      <c r="E1206" s="1" t="str">
        <f aca="false">VLOOKUP(C1206,Меню!$A$2:$C$24,2,FALSE())</f>
        <v>Пицца Песто</v>
      </c>
      <c r="F1206" s="1" t="n">
        <f aca="false">VLOOKUP(C1206,Меню!$A$2:$C$24,3,FALSE())</f>
        <v>530</v>
      </c>
      <c r="G1206" s="5" t="n">
        <f aca="false">VLOOKUP(B1206,Заказы!$A$2:$E$2995,2,FALSE())</f>
        <v>44048</v>
      </c>
      <c r="H1206" s="1" t="n">
        <f aca="false">VLOOKUP(B1206,Заказы!$A$2:$E$2995,3,FALSE())</f>
        <v>529</v>
      </c>
      <c r="I1206" s="1" t="str">
        <f aca="false">VLOOKUP(H1206,Клиенты!$A$2:$E$1995,5,FALSE())</f>
        <v>г. Новокуйбышевск</v>
      </c>
      <c r="J1206" s="1" t="n">
        <f aca="false">VLOOKUP(B1206,Заказы!$A$2:$E$2995,4,FALSE())</f>
        <v>517</v>
      </c>
      <c r="K1206" s="1" t="str">
        <f aca="false">VLOOKUP(B1206,Заказы!$A$2:$E$2995,5,FALSE())</f>
        <v>Выполнено</v>
      </c>
      <c r="L1206" s="1" t="n">
        <f aca="false">D1206*F1206+J1206</f>
        <v>2107</v>
      </c>
      <c r="M1206" s="1" t="n">
        <f aca="false">IF(AND(E1206="Пицца Труслейка",I1206="г. Москва",K1206="Выполнено",G1206&gt;=DATE(2020,7,1),G1206&lt;DATE(2020,8,1)),L1206,0)</f>
        <v>0</v>
      </c>
    </row>
    <row r="1207" customFormat="false" ht="15" hidden="false" customHeight="true" outlineLevel="0" collapsed="false">
      <c r="A1207" s="1" t="n">
        <v>100650</v>
      </c>
      <c r="B1207" s="1" t="n">
        <v>51527</v>
      </c>
      <c r="C1207" s="1" t="n">
        <v>2</v>
      </c>
      <c r="D1207" s="1" t="n">
        <v>10</v>
      </c>
      <c r="E1207" s="1" t="str">
        <f aca="false">VLOOKUP(C1207,Меню!$A$2:$C$24,2,FALSE())</f>
        <v>Пицца Двойная пепперони</v>
      </c>
      <c r="F1207" s="1" t="n">
        <f aca="false">VLOOKUP(C1207,Меню!$A$2:$C$24,3,FALSE())</f>
        <v>575</v>
      </c>
      <c r="G1207" s="5" t="n">
        <f aca="false">VLOOKUP(B1207,Заказы!$A$2:$E$2995,2,FALSE())</f>
        <v>44040</v>
      </c>
      <c r="H1207" s="1" t="n">
        <f aca="false">VLOOKUP(B1207,Заказы!$A$2:$E$2995,3,FALSE())</f>
        <v>1326</v>
      </c>
      <c r="I1207" s="1" t="str">
        <f aca="false">VLOOKUP(H1207,Клиенты!$A$2:$E$1995,5,FALSE())</f>
        <v>г. Пионерский</v>
      </c>
      <c r="J1207" s="1" t="n">
        <f aca="false">VLOOKUP(B1207,Заказы!$A$2:$E$2995,4,FALSE())</f>
        <v>201</v>
      </c>
      <c r="K1207" s="1" t="str">
        <f aca="false">VLOOKUP(B1207,Заказы!$A$2:$E$2995,5,FALSE())</f>
        <v>Выполнено</v>
      </c>
      <c r="L1207" s="1" t="n">
        <f aca="false">D1207*F1207+J1207</f>
        <v>5951</v>
      </c>
      <c r="M1207" s="1" t="n">
        <f aca="false">IF(AND(E1207="Пицца Труслейка",I1207="г. Москва",K1207="Выполнено",G1207&gt;=DATE(2020,7,1),G1207&lt;DATE(2020,8,1)),L1207,0)</f>
        <v>0</v>
      </c>
    </row>
    <row r="1208" customFormat="false" ht="15" hidden="false" customHeight="true" outlineLevel="0" collapsed="false">
      <c r="A1208" s="1" t="n">
        <v>101653</v>
      </c>
      <c r="B1208" s="1" t="n">
        <v>51434</v>
      </c>
      <c r="C1208" s="1" t="n">
        <v>12</v>
      </c>
      <c r="D1208" s="1" t="n">
        <v>7</v>
      </c>
      <c r="E1208" s="1" t="str">
        <f aca="false">VLOOKUP(C1208,Меню!$A$2:$C$24,2,FALSE())</f>
        <v>Пицца Салями с трюфелем</v>
      </c>
      <c r="F1208" s="1" t="n">
        <f aca="false">VLOOKUP(C1208,Меню!$A$2:$C$24,3,FALSE())</f>
        <v>525</v>
      </c>
      <c r="G1208" s="5" t="n">
        <f aca="false">VLOOKUP(B1208,Заказы!$A$2:$E$2995,2,FALSE())</f>
        <v>44060</v>
      </c>
      <c r="H1208" s="1" t="n">
        <f aca="false">VLOOKUP(B1208,Заказы!$A$2:$E$2995,3,FALSE())</f>
        <v>1304</v>
      </c>
      <c r="I1208" s="1" t="str">
        <f aca="false">VLOOKUP(H1208,Клиенты!$A$2:$E$1995,5,FALSE())</f>
        <v>г. Лесной</v>
      </c>
      <c r="J1208" s="1" t="n">
        <f aca="false">VLOOKUP(B1208,Заказы!$A$2:$E$2995,4,FALSE())</f>
        <v>0</v>
      </c>
      <c r="K1208" s="1" t="str">
        <f aca="false">VLOOKUP(B1208,Заказы!$A$2:$E$2995,5,FALSE())</f>
        <v>Не выполнено</v>
      </c>
      <c r="L1208" s="1" t="n">
        <f aca="false">D1208*F1208+J1208</f>
        <v>3675</v>
      </c>
      <c r="M1208" s="1" t="n">
        <f aca="false">IF(AND(E1208="Пицца Труслейка",I1208="г. Москва",K1208="Выполнено",G1208&gt;=DATE(2020,7,1),G1208&lt;DATE(2020,8,1)),L1208,0)</f>
        <v>0</v>
      </c>
    </row>
    <row r="1209" customFormat="false" ht="15" hidden="false" customHeight="true" outlineLevel="0" collapsed="false">
      <c r="A1209" s="1" t="n">
        <v>100374</v>
      </c>
      <c r="B1209" s="1" t="n">
        <v>50248</v>
      </c>
      <c r="C1209" s="1" t="n">
        <v>6</v>
      </c>
      <c r="D1209" s="1" t="n">
        <v>3</v>
      </c>
      <c r="E1209" s="1" t="str">
        <f aca="false">VLOOKUP(C1209,Меню!$A$2:$C$24,2,FALSE())</f>
        <v>Пицца Капричиоза</v>
      </c>
      <c r="F1209" s="1" t="n">
        <f aca="false">VLOOKUP(C1209,Меню!$A$2:$C$24,3,FALSE())</f>
        <v>570</v>
      </c>
      <c r="G1209" s="5" t="n">
        <f aca="false">VLOOKUP(B1209,Заказы!$A$2:$E$2995,2,FALSE())</f>
        <v>44050</v>
      </c>
      <c r="H1209" s="1" t="n">
        <f aca="false">VLOOKUP(B1209,Заказы!$A$2:$E$2995,3,FALSE())</f>
        <v>524</v>
      </c>
      <c r="I1209" s="1" t="str">
        <f aca="false">VLOOKUP(H1209,Клиенты!$A$2:$E$1995,5,FALSE())</f>
        <v>г. Талица</v>
      </c>
      <c r="J1209" s="1" t="n">
        <f aca="false">VLOOKUP(B1209,Заказы!$A$2:$E$2995,4,FALSE())</f>
        <v>721</v>
      </c>
      <c r="K1209" s="1" t="str">
        <f aca="false">VLOOKUP(B1209,Заказы!$A$2:$E$2995,5,FALSE())</f>
        <v>Выполнено</v>
      </c>
      <c r="L1209" s="1" t="n">
        <f aca="false">D1209*F1209+J1209</f>
        <v>2431</v>
      </c>
      <c r="M1209" s="1" t="n">
        <f aca="false">IF(AND(E1209="Пицца Труслейка",I1209="г. Москва",K1209="Выполнено",G1209&gt;=DATE(2020,7,1),G1209&lt;DATE(2020,8,1)),L1209,0)</f>
        <v>0</v>
      </c>
    </row>
    <row r="1210" customFormat="false" ht="15" hidden="false" customHeight="true" outlineLevel="0" collapsed="false">
      <c r="A1210" s="1" t="n">
        <v>101504</v>
      </c>
      <c r="B1210" s="1" t="n">
        <v>50235</v>
      </c>
      <c r="C1210" s="1" t="n">
        <v>12</v>
      </c>
      <c r="D1210" s="1" t="n">
        <v>3</v>
      </c>
      <c r="E1210" s="1" t="str">
        <f aca="false">VLOOKUP(C1210,Меню!$A$2:$C$24,2,FALSE())</f>
        <v>Пицца Салями с трюфелем</v>
      </c>
      <c r="F1210" s="1" t="n">
        <f aca="false">VLOOKUP(C1210,Меню!$A$2:$C$24,3,FALSE())</f>
        <v>525</v>
      </c>
      <c r="G1210" s="5" t="n">
        <f aca="false">VLOOKUP(B1210,Заказы!$A$2:$E$2995,2,FALSE())</f>
        <v>43999</v>
      </c>
      <c r="H1210" s="1" t="n">
        <f aca="false">VLOOKUP(B1210,Заказы!$A$2:$E$2995,3,FALSE())</f>
        <v>322</v>
      </c>
      <c r="I1210" s="1" t="str">
        <f aca="false">VLOOKUP(H1210,Клиенты!$A$2:$E$1995,5,FALSE())</f>
        <v>г. Лесной</v>
      </c>
      <c r="J1210" s="1" t="n">
        <f aca="false">VLOOKUP(B1210,Заказы!$A$2:$E$2995,4,FALSE())</f>
        <v>0</v>
      </c>
      <c r="K1210" s="1" t="str">
        <f aca="false">VLOOKUP(B1210,Заказы!$A$2:$E$2995,5,FALSE())</f>
        <v>Не выполнено</v>
      </c>
      <c r="L1210" s="1" t="n">
        <f aca="false">D1210*F1210+J1210</f>
        <v>1575</v>
      </c>
      <c r="M1210" s="1" t="n">
        <f aca="false">IF(AND(E1210="Пицца Труслейка",I1210="г. Москва",K1210="Выполнено",G1210&gt;=DATE(2020,7,1),G1210&lt;DATE(2020,8,1)),L1210,0)</f>
        <v>0</v>
      </c>
    </row>
    <row r="1211" customFormat="false" ht="15" hidden="false" customHeight="true" outlineLevel="0" collapsed="false">
      <c r="A1211" s="1" t="n">
        <v>100081</v>
      </c>
      <c r="B1211" s="1" t="n">
        <v>50634</v>
      </c>
      <c r="C1211" s="1" t="n">
        <v>4</v>
      </c>
      <c r="D1211" s="1" t="n">
        <v>9</v>
      </c>
      <c r="E1211" s="1" t="str">
        <f aca="false">VLOOKUP(C1211,Меню!$A$2:$C$24,2,FALSE())</f>
        <v>Пицца Труслейка</v>
      </c>
      <c r="F1211" s="1" t="n">
        <f aca="false">VLOOKUP(C1211,Меню!$A$2:$C$24,3,FALSE())</f>
        <v>610</v>
      </c>
      <c r="G1211" s="5" t="n">
        <f aca="false">VLOOKUP(B1211,Заказы!$A$2:$E$2995,2,FALSE())</f>
        <v>43984</v>
      </c>
      <c r="H1211" s="1" t="n">
        <f aca="false">VLOOKUP(B1211,Заказы!$A$2:$E$2995,3,FALSE())</f>
        <v>1860</v>
      </c>
      <c r="I1211" s="1" t="str">
        <f aca="false">VLOOKUP(H1211,Клиенты!$A$2:$E$1995,5,FALSE())</f>
        <v>г. Москва</v>
      </c>
      <c r="J1211" s="1" t="n">
        <f aca="false">VLOOKUP(B1211,Заказы!$A$2:$E$2995,4,FALSE())</f>
        <v>222</v>
      </c>
      <c r="K1211" s="1" t="str">
        <f aca="false">VLOOKUP(B1211,Заказы!$A$2:$E$2995,5,FALSE())</f>
        <v>Выполнено</v>
      </c>
      <c r="L1211" s="1" t="n">
        <f aca="false">D1211*F1211+J1211</f>
        <v>5712</v>
      </c>
      <c r="M1211" s="1" t="n">
        <f aca="false">IF(AND(E1211="Пицца Труслейка",I1211="г. Москва",K1211="Выполнено",G1211&gt;=DATE(2020,7,1),G1211&lt;DATE(2020,8,1)),L1211,0)</f>
        <v>0</v>
      </c>
    </row>
    <row r="1212" customFormat="false" ht="15" hidden="false" customHeight="true" outlineLevel="0" collapsed="false">
      <c r="A1212" s="1" t="n">
        <v>101014</v>
      </c>
      <c r="B1212" s="1" t="n">
        <v>50469</v>
      </c>
      <c r="C1212" s="1" t="n">
        <v>2</v>
      </c>
      <c r="D1212" s="1" t="n">
        <v>10</v>
      </c>
      <c r="E1212" s="1" t="str">
        <f aca="false">VLOOKUP(C1212,Меню!$A$2:$C$24,2,FALSE())</f>
        <v>Пицца Двойная пепперони</v>
      </c>
      <c r="F1212" s="1" t="n">
        <f aca="false">VLOOKUP(C1212,Меню!$A$2:$C$24,3,FALSE())</f>
        <v>575</v>
      </c>
      <c r="G1212" s="5" t="n">
        <f aca="false">VLOOKUP(B1212,Заказы!$A$2:$E$2995,2,FALSE())</f>
        <v>44037</v>
      </c>
      <c r="H1212" s="1" t="n">
        <f aca="false">VLOOKUP(B1212,Заказы!$A$2:$E$2995,3,FALSE())</f>
        <v>1487</v>
      </c>
      <c r="I1212" s="1" t="str">
        <f aca="false">VLOOKUP(H1212,Клиенты!$A$2:$E$1995,5,FALSE())</f>
        <v>г. Зверево</v>
      </c>
      <c r="J1212" s="1" t="n">
        <f aca="false">VLOOKUP(B1212,Заказы!$A$2:$E$2995,4,FALSE())</f>
        <v>556</v>
      </c>
      <c r="K1212" s="1" t="str">
        <f aca="false">VLOOKUP(B1212,Заказы!$A$2:$E$2995,5,FALSE())</f>
        <v>Выполнено</v>
      </c>
      <c r="L1212" s="1" t="n">
        <f aca="false">D1212*F1212+J1212</f>
        <v>6306</v>
      </c>
      <c r="M1212" s="1" t="n">
        <f aca="false">IF(AND(E1212="Пицца Труслейка",I1212="г. Москва",K1212="Выполнено",G1212&gt;=DATE(2020,7,1),G1212&lt;DATE(2020,8,1)),L1212,0)</f>
        <v>0</v>
      </c>
    </row>
    <row r="1213" customFormat="false" ht="15" hidden="false" customHeight="true" outlineLevel="0" collapsed="false">
      <c r="A1213" s="1" t="n">
        <v>101487</v>
      </c>
      <c r="B1213" s="1" t="n">
        <v>50943</v>
      </c>
      <c r="C1213" s="1" t="n">
        <v>13</v>
      </c>
      <c r="D1213" s="1" t="n">
        <v>1</v>
      </c>
      <c r="E1213" s="1" t="str">
        <f aca="false">VLOOKUP(C1213,Меню!$A$2:$C$24,2,FALSE())</f>
        <v>Пицца Сырная</v>
      </c>
      <c r="F1213" s="1" t="n">
        <f aca="false">VLOOKUP(C1213,Меню!$A$2:$C$24,3,FALSE())</f>
        <v>635</v>
      </c>
      <c r="G1213" s="5" t="n">
        <f aca="false">VLOOKUP(B1213,Заказы!$A$2:$E$2995,2,FALSE())</f>
        <v>44014</v>
      </c>
      <c r="H1213" s="1" t="n">
        <f aca="false">VLOOKUP(B1213,Заказы!$A$2:$E$2995,3,FALSE())</f>
        <v>737</v>
      </c>
      <c r="I1213" s="1" t="str">
        <f aca="false">VLOOKUP(H1213,Клиенты!$A$2:$E$1995,5,FALSE())</f>
        <v>г. Челябинск</v>
      </c>
      <c r="J1213" s="1" t="n">
        <f aca="false">VLOOKUP(B1213,Заказы!$A$2:$E$2995,4,FALSE())</f>
        <v>275</v>
      </c>
      <c r="K1213" s="1" t="str">
        <f aca="false">VLOOKUP(B1213,Заказы!$A$2:$E$2995,5,FALSE())</f>
        <v>Выполнено</v>
      </c>
      <c r="L1213" s="1" t="n">
        <f aca="false">D1213*F1213+J1213</f>
        <v>910</v>
      </c>
      <c r="M1213" s="1" t="n">
        <f aca="false">IF(AND(E1213="Пицца Труслейка",I1213="г. Москва",K1213="Выполнено",G1213&gt;=DATE(2020,7,1),G1213&lt;DATE(2020,8,1)),L1213,0)</f>
        <v>0</v>
      </c>
    </row>
    <row r="1214" customFormat="false" ht="15" hidden="false" customHeight="true" outlineLevel="0" collapsed="false">
      <c r="A1214" s="1" t="n">
        <v>100291</v>
      </c>
      <c r="B1214" s="1" t="n">
        <v>50357</v>
      </c>
      <c r="C1214" s="1" t="n">
        <v>3</v>
      </c>
      <c r="D1214" s="1" t="n">
        <v>5</v>
      </c>
      <c r="E1214" s="1" t="str">
        <f aca="false">VLOOKUP(C1214,Меню!$A$2:$C$24,2,FALSE())</f>
        <v>Пицца Диабло</v>
      </c>
      <c r="F1214" s="1" t="n">
        <f aca="false">VLOOKUP(C1214,Меню!$A$2:$C$24,3,FALSE())</f>
        <v>590</v>
      </c>
      <c r="G1214" s="5" t="n">
        <f aca="false">VLOOKUP(B1214,Заказы!$A$2:$E$2995,2,FALSE())</f>
        <v>43988</v>
      </c>
      <c r="H1214" s="1" t="n">
        <f aca="false">VLOOKUP(B1214,Заказы!$A$2:$E$2995,3,FALSE())</f>
        <v>1556</v>
      </c>
      <c r="I1214" s="1" t="str">
        <f aca="false">VLOOKUP(H1214,Клиенты!$A$2:$E$1995,5,FALSE())</f>
        <v>г. Элиста</v>
      </c>
      <c r="J1214" s="1" t="n">
        <f aca="false">VLOOKUP(B1214,Заказы!$A$2:$E$2995,4,FALSE())</f>
        <v>0</v>
      </c>
      <c r="K1214" s="1" t="str">
        <f aca="false">VLOOKUP(B1214,Заказы!$A$2:$E$2995,5,FALSE())</f>
        <v>Не выполнено</v>
      </c>
      <c r="L1214" s="1" t="n">
        <f aca="false">D1214*F1214+J1214</f>
        <v>2950</v>
      </c>
      <c r="M1214" s="1" t="n">
        <f aca="false">IF(AND(E1214="Пицца Труслейка",I1214="г. Москва",K1214="Выполнено",G1214&gt;=DATE(2020,7,1),G1214&lt;DATE(2020,8,1)),L1214,0)</f>
        <v>0</v>
      </c>
    </row>
    <row r="1215" customFormat="false" ht="15" hidden="false" customHeight="true" outlineLevel="0" collapsed="false">
      <c r="A1215" s="1" t="n">
        <v>100170</v>
      </c>
      <c r="B1215" s="1" t="n">
        <v>50809</v>
      </c>
      <c r="C1215" s="1" t="n">
        <v>19</v>
      </c>
      <c r="D1215" s="1" t="n">
        <v>9</v>
      </c>
      <c r="E1215" s="1" t="str">
        <f aca="false">VLOOKUP(C1215,Меню!$A$2:$C$24,2,FALSE())</f>
        <v>Пицца Цезарь</v>
      </c>
      <c r="F1215" s="1" t="n">
        <f aca="false">VLOOKUP(C1215,Меню!$A$2:$C$24,3,FALSE())</f>
        <v>630</v>
      </c>
      <c r="G1215" s="5" t="n">
        <f aca="false">VLOOKUP(B1215,Заказы!$A$2:$E$2995,2,FALSE())</f>
        <v>44025</v>
      </c>
      <c r="H1215" s="1" t="n">
        <f aca="false">VLOOKUP(B1215,Заказы!$A$2:$E$2995,3,FALSE())</f>
        <v>1806</v>
      </c>
      <c r="I1215" s="1" t="str">
        <f aca="false">VLOOKUP(H1215,Клиенты!$A$2:$E$1995,5,FALSE())</f>
        <v>г. Чернушка</v>
      </c>
      <c r="J1215" s="1" t="n">
        <f aca="false">VLOOKUP(B1215,Заказы!$A$2:$E$2995,4,FALSE())</f>
        <v>881</v>
      </c>
      <c r="K1215" s="1" t="str">
        <f aca="false">VLOOKUP(B1215,Заказы!$A$2:$E$2995,5,FALSE())</f>
        <v>Выполнено</v>
      </c>
      <c r="L1215" s="1" t="n">
        <f aca="false">D1215*F1215+J1215</f>
        <v>6551</v>
      </c>
      <c r="M1215" s="1" t="n">
        <f aca="false">IF(AND(E1215="Пицца Труслейка",I1215="г. Москва",K1215="Выполнено",G1215&gt;=DATE(2020,7,1),G1215&lt;DATE(2020,8,1)),L1215,0)</f>
        <v>0</v>
      </c>
    </row>
    <row r="1216" customFormat="false" ht="15" hidden="false" customHeight="true" outlineLevel="0" collapsed="false">
      <c r="A1216" s="1" t="n">
        <v>101506</v>
      </c>
      <c r="B1216" s="1" t="n">
        <v>50910</v>
      </c>
      <c r="C1216" s="1" t="n">
        <v>16</v>
      </c>
      <c r="D1216" s="1" t="n">
        <v>8</v>
      </c>
      <c r="E1216" s="1" t="str">
        <f aca="false">VLOOKUP(C1216,Меню!$A$2:$C$24,2,FALSE())</f>
        <v>Пицца Флорида</v>
      </c>
      <c r="F1216" s="1" t="n">
        <f aca="false">VLOOKUP(C1216,Меню!$A$2:$C$24,3,FALSE())</f>
        <v>535</v>
      </c>
      <c r="G1216" s="5" t="n">
        <f aca="false">VLOOKUP(B1216,Заказы!$A$2:$E$2995,2,FALSE())</f>
        <v>44052</v>
      </c>
      <c r="H1216" s="1" t="n">
        <f aca="false">VLOOKUP(B1216,Заказы!$A$2:$E$2995,3,FALSE())</f>
        <v>254</v>
      </c>
      <c r="I1216" s="1" t="str">
        <f aca="false">VLOOKUP(H1216,Клиенты!$A$2:$E$1995,5,FALSE())</f>
        <v>г. Елец</v>
      </c>
      <c r="J1216" s="1" t="n">
        <f aca="false">VLOOKUP(B1216,Заказы!$A$2:$E$2995,4,FALSE())</f>
        <v>0</v>
      </c>
      <c r="K1216" s="1" t="str">
        <f aca="false">VLOOKUP(B1216,Заказы!$A$2:$E$2995,5,FALSE())</f>
        <v>Не выполнено</v>
      </c>
      <c r="L1216" s="1" t="n">
        <f aca="false">D1216*F1216+J1216</f>
        <v>4280</v>
      </c>
      <c r="M1216" s="1" t="n">
        <f aca="false">IF(AND(E1216="Пицца Труслейка",I1216="г. Москва",K1216="Выполнено",G1216&gt;=DATE(2020,7,1),G1216&lt;DATE(2020,8,1)),L1216,0)</f>
        <v>0</v>
      </c>
    </row>
    <row r="1217" customFormat="false" ht="15" hidden="false" customHeight="true" outlineLevel="0" collapsed="false">
      <c r="A1217" s="1" t="n">
        <v>101680</v>
      </c>
      <c r="B1217" s="1" t="n">
        <v>50089</v>
      </c>
      <c r="C1217" s="1" t="n">
        <v>3</v>
      </c>
      <c r="D1217" s="1" t="n">
        <v>10</v>
      </c>
      <c r="E1217" s="1" t="str">
        <f aca="false">VLOOKUP(C1217,Меню!$A$2:$C$24,2,FALSE())</f>
        <v>Пицца Диабло</v>
      </c>
      <c r="F1217" s="1" t="n">
        <f aca="false">VLOOKUP(C1217,Меню!$A$2:$C$24,3,FALSE())</f>
        <v>590</v>
      </c>
      <c r="G1217" s="5" t="n">
        <f aca="false">VLOOKUP(B1217,Заказы!$A$2:$E$2995,2,FALSE())</f>
        <v>43994</v>
      </c>
      <c r="H1217" s="1" t="n">
        <f aca="false">VLOOKUP(B1217,Заказы!$A$2:$E$2995,3,FALSE())</f>
        <v>1034</v>
      </c>
      <c r="I1217" s="1" t="str">
        <f aca="false">VLOOKUP(H1217,Клиенты!$A$2:$E$1995,5,FALSE())</f>
        <v>г. Фокино</v>
      </c>
      <c r="J1217" s="1" t="n">
        <f aca="false">VLOOKUP(B1217,Заказы!$A$2:$E$2995,4,FALSE())</f>
        <v>125</v>
      </c>
      <c r="K1217" s="1" t="str">
        <f aca="false">VLOOKUP(B1217,Заказы!$A$2:$E$2995,5,FALSE())</f>
        <v>Выполнено</v>
      </c>
      <c r="L1217" s="1" t="n">
        <f aca="false">D1217*F1217+J1217</f>
        <v>6025</v>
      </c>
      <c r="M1217" s="1" t="n">
        <f aca="false">IF(AND(E1217="Пицца Труслейка",I1217="г. Москва",K1217="Выполнено",G1217&gt;=DATE(2020,7,1),G1217&lt;DATE(2020,8,1)),L1217,0)</f>
        <v>0</v>
      </c>
    </row>
    <row r="1218" customFormat="false" ht="15" hidden="false" customHeight="true" outlineLevel="0" collapsed="false">
      <c r="A1218" s="1" t="n">
        <v>101399</v>
      </c>
      <c r="B1218" s="1" t="n">
        <v>51224</v>
      </c>
      <c r="C1218" s="1" t="n">
        <v>13</v>
      </c>
      <c r="D1218" s="1" t="n">
        <v>10</v>
      </c>
      <c r="E1218" s="1" t="str">
        <f aca="false">VLOOKUP(C1218,Меню!$A$2:$C$24,2,FALSE())</f>
        <v>Пицца Сырная</v>
      </c>
      <c r="F1218" s="1" t="n">
        <f aca="false">VLOOKUP(C1218,Меню!$A$2:$C$24,3,FALSE())</f>
        <v>635</v>
      </c>
      <c r="G1218" s="5" t="n">
        <f aca="false">VLOOKUP(B1218,Заказы!$A$2:$E$2995,2,FALSE())</f>
        <v>44013</v>
      </c>
      <c r="H1218" s="1" t="n">
        <f aca="false">VLOOKUP(B1218,Заказы!$A$2:$E$2995,3,FALSE())</f>
        <v>1738</v>
      </c>
      <c r="I1218" s="1" t="str">
        <f aca="false">VLOOKUP(H1218,Клиенты!$A$2:$E$1995,5,FALSE())</f>
        <v>г. Абинск</v>
      </c>
      <c r="J1218" s="1" t="n">
        <f aca="false">VLOOKUP(B1218,Заказы!$A$2:$E$2995,4,FALSE())</f>
        <v>0</v>
      </c>
      <c r="K1218" s="1" t="str">
        <f aca="false">VLOOKUP(B1218,Заказы!$A$2:$E$2995,5,FALSE())</f>
        <v>Не выполнено</v>
      </c>
      <c r="L1218" s="1" t="n">
        <f aca="false">D1218*F1218+J1218</f>
        <v>6350</v>
      </c>
      <c r="M1218" s="1" t="n">
        <f aca="false">IF(AND(E1218="Пицца Труслейка",I1218="г. Москва",K1218="Выполнено",G1218&gt;=DATE(2020,7,1),G1218&lt;DATE(2020,8,1)),L1218,0)</f>
        <v>0</v>
      </c>
    </row>
    <row r="1219" customFormat="false" ht="15" hidden="false" customHeight="true" outlineLevel="0" collapsed="false">
      <c r="A1219" s="1" t="n">
        <v>101103</v>
      </c>
      <c r="B1219" s="1" t="n">
        <v>50788</v>
      </c>
      <c r="C1219" s="1" t="n">
        <v>4</v>
      </c>
      <c r="D1219" s="1" t="n">
        <v>3</v>
      </c>
      <c r="E1219" s="1" t="str">
        <f aca="false">VLOOKUP(C1219,Меню!$A$2:$C$24,2,FALSE())</f>
        <v>Пицца Труслейка</v>
      </c>
      <c r="F1219" s="1" t="n">
        <f aca="false">VLOOKUP(C1219,Меню!$A$2:$C$24,3,FALSE())</f>
        <v>610</v>
      </c>
      <c r="G1219" s="5" t="n">
        <f aca="false">VLOOKUP(B1219,Заказы!$A$2:$E$2995,2,FALSE())</f>
        <v>44047</v>
      </c>
      <c r="H1219" s="1" t="n">
        <f aca="false">VLOOKUP(B1219,Заказы!$A$2:$E$2995,3,FALSE())</f>
        <v>36</v>
      </c>
      <c r="I1219" s="1" t="str">
        <f aca="false">VLOOKUP(H1219,Клиенты!$A$2:$E$1995,5,FALSE())</f>
        <v>г. Одинцово</v>
      </c>
      <c r="J1219" s="1" t="n">
        <f aca="false">VLOOKUP(B1219,Заказы!$A$2:$E$2995,4,FALSE())</f>
        <v>655</v>
      </c>
      <c r="K1219" s="1" t="str">
        <f aca="false">VLOOKUP(B1219,Заказы!$A$2:$E$2995,5,FALSE())</f>
        <v>Выполнено</v>
      </c>
      <c r="L1219" s="1" t="n">
        <f aca="false">D1219*F1219+J1219</f>
        <v>2485</v>
      </c>
      <c r="M1219" s="1" t="n">
        <f aca="false">IF(AND(E1219="Пицца Труслейка",I1219="г. Москва",K1219="Выполнено",G1219&gt;=DATE(2020,7,1),G1219&lt;DATE(2020,8,1)),L1219,0)</f>
        <v>0</v>
      </c>
    </row>
    <row r="1220" customFormat="false" ht="15" hidden="false" customHeight="true" outlineLevel="0" collapsed="false">
      <c r="A1220" s="1" t="n">
        <v>100957</v>
      </c>
      <c r="B1220" s="1" t="n">
        <v>51936</v>
      </c>
      <c r="C1220" s="1" t="n">
        <v>19</v>
      </c>
      <c r="D1220" s="1" t="n">
        <v>6</v>
      </c>
      <c r="E1220" s="1" t="str">
        <f aca="false">VLOOKUP(C1220,Меню!$A$2:$C$24,2,FALSE())</f>
        <v>Пицца Цезарь</v>
      </c>
      <c r="F1220" s="1" t="n">
        <f aca="false">VLOOKUP(C1220,Меню!$A$2:$C$24,3,FALSE())</f>
        <v>630</v>
      </c>
      <c r="G1220" s="5" t="n">
        <f aca="false">VLOOKUP(B1220,Заказы!$A$2:$E$2995,2,FALSE())</f>
        <v>44033</v>
      </c>
      <c r="H1220" s="1" t="n">
        <f aca="false">VLOOKUP(B1220,Заказы!$A$2:$E$2995,3,FALSE())</f>
        <v>1101</v>
      </c>
      <c r="I1220" s="1" t="str">
        <f aca="false">VLOOKUP(H1220,Клиенты!$A$2:$E$1995,5,FALSE())</f>
        <v>г. Дрезна</v>
      </c>
      <c r="J1220" s="1" t="n">
        <f aca="false">VLOOKUP(B1220,Заказы!$A$2:$E$2995,4,FALSE())</f>
        <v>0</v>
      </c>
      <c r="K1220" s="1" t="str">
        <f aca="false">VLOOKUP(B1220,Заказы!$A$2:$E$2995,5,FALSE())</f>
        <v>Не выполнено</v>
      </c>
      <c r="L1220" s="1" t="n">
        <f aca="false">D1220*F1220+J1220</f>
        <v>3780</v>
      </c>
      <c r="M1220" s="1" t="n">
        <f aca="false">IF(AND(E1220="Пицца Труслейка",I1220="г. Москва",K1220="Выполнено",G1220&gt;=DATE(2020,7,1),G1220&lt;DATE(2020,8,1)),L1220,0)</f>
        <v>0</v>
      </c>
    </row>
    <row r="1221" customFormat="false" ht="15" hidden="false" customHeight="true" outlineLevel="0" collapsed="false">
      <c r="A1221" s="1" t="n">
        <v>100970</v>
      </c>
      <c r="B1221" s="1" t="n">
        <v>50902</v>
      </c>
      <c r="C1221" s="1" t="n">
        <v>4</v>
      </c>
      <c r="D1221" s="1" t="n">
        <v>10</v>
      </c>
      <c r="E1221" s="1" t="str">
        <f aca="false">VLOOKUP(C1221,Меню!$A$2:$C$24,2,FALSE())</f>
        <v>Пицца Труслейка</v>
      </c>
      <c r="F1221" s="1" t="n">
        <f aca="false">VLOOKUP(C1221,Меню!$A$2:$C$24,3,FALSE())</f>
        <v>610</v>
      </c>
      <c r="G1221" s="5" t="n">
        <f aca="false">VLOOKUP(B1221,Заказы!$A$2:$E$2995,2,FALSE())</f>
        <v>44022</v>
      </c>
      <c r="H1221" s="1" t="n">
        <f aca="false">VLOOKUP(B1221,Заказы!$A$2:$E$2995,3,FALSE())</f>
        <v>1703</v>
      </c>
      <c r="I1221" s="1" t="str">
        <f aca="false">VLOOKUP(H1221,Клиенты!$A$2:$E$1995,5,FALSE())</f>
        <v>г. Жуков</v>
      </c>
      <c r="J1221" s="1" t="n">
        <f aca="false">VLOOKUP(B1221,Заказы!$A$2:$E$2995,4,FALSE())</f>
        <v>397</v>
      </c>
      <c r="K1221" s="1" t="str">
        <f aca="false">VLOOKUP(B1221,Заказы!$A$2:$E$2995,5,FALSE())</f>
        <v>Выполнено</v>
      </c>
      <c r="L1221" s="1" t="n">
        <f aca="false">D1221*F1221+J1221</f>
        <v>6497</v>
      </c>
      <c r="M1221" s="1" t="n">
        <f aca="false">IF(AND(E1221="Пицца Труслейка",I1221="г. Москва",K1221="Выполнено",G1221&gt;=DATE(2020,7,1),G1221&lt;DATE(2020,8,1)),L1221,0)</f>
        <v>0</v>
      </c>
    </row>
    <row r="1222" customFormat="false" ht="15" hidden="false" customHeight="true" outlineLevel="0" collapsed="false">
      <c r="A1222" s="1" t="n">
        <v>101072</v>
      </c>
      <c r="B1222" s="1" t="n">
        <v>50003</v>
      </c>
      <c r="C1222" s="1" t="n">
        <v>14</v>
      </c>
      <c r="D1222" s="1" t="n">
        <v>9</v>
      </c>
      <c r="E1222" s="1" t="str">
        <f aca="false">VLOOKUP(C1222,Меню!$A$2:$C$24,2,FALSE())</f>
        <v>Пицца Сырный цыпленок</v>
      </c>
      <c r="F1222" s="1" t="n">
        <f aca="false">VLOOKUP(C1222,Меню!$A$2:$C$24,3,FALSE())</f>
        <v>555</v>
      </c>
      <c r="G1222" s="5" t="n">
        <f aca="false">VLOOKUP(B1222,Заказы!$A$2:$E$2995,2,FALSE())</f>
        <v>44004</v>
      </c>
      <c r="H1222" s="1" t="n">
        <f aca="false">VLOOKUP(B1222,Заказы!$A$2:$E$2995,3,FALSE())</f>
        <v>613</v>
      </c>
      <c r="I1222" s="1" t="str">
        <f aca="false">VLOOKUP(H1222,Клиенты!$A$2:$E$1995,5,FALSE())</f>
        <v>г. Боготол</v>
      </c>
      <c r="J1222" s="1" t="n">
        <f aca="false">VLOOKUP(B1222,Заказы!$A$2:$E$2995,4,FALSE())</f>
        <v>643</v>
      </c>
      <c r="K1222" s="1" t="str">
        <f aca="false">VLOOKUP(B1222,Заказы!$A$2:$E$2995,5,FALSE())</f>
        <v>Выполнено</v>
      </c>
      <c r="L1222" s="1" t="n">
        <f aca="false">D1222*F1222+J1222</f>
        <v>5638</v>
      </c>
      <c r="M1222" s="1" t="n">
        <f aca="false">IF(AND(E1222="Пицца Труслейка",I1222="г. Москва",K1222="Выполнено",G1222&gt;=DATE(2020,7,1),G1222&lt;DATE(2020,8,1)),L1222,0)</f>
        <v>0</v>
      </c>
    </row>
    <row r="1223" customFormat="false" ht="15" hidden="false" customHeight="true" outlineLevel="0" collapsed="false">
      <c r="A1223" s="1" t="n">
        <v>100264</v>
      </c>
      <c r="B1223" s="1" t="n">
        <v>51435</v>
      </c>
      <c r="C1223" s="1" t="n">
        <v>4</v>
      </c>
      <c r="D1223" s="1" t="n">
        <v>9</v>
      </c>
      <c r="E1223" s="1" t="str">
        <f aca="false">VLOOKUP(C1223,Меню!$A$2:$C$24,2,FALSE())</f>
        <v>Пицца Труслейка</v>
      </c>
      <c r="F1223" s="1" t="n">
        <f aca="false">VLOOKUP(C1223,Меню!$A$2:$C$24,3,FALSE())</f>
        <v>610</v>
      </c>
      <c r="G1223" s="5" t="n">
        <f aca="false">VLOOKUP(B1223,Заказы!$A$2:$E$2995,2,FALSE())</f>
        <v>44013</v>
      </c>
      <c r="H1223" s="1" t="n">
        <f aca="false">VLOOKUP(B1223,Заказы!$A$2:$E$2995,3,FALSE())</f>
        <v>1695</v>
      </c>
      <c r="I1223" s="1" t="str">
        <f aca="false">VLOOKUP(H1223,Клиенты!$A$2:$E$1995,5,FALSE())</f>
        <v>г. Вуктыл</v>
      </c>
      <c r="J1223" s="1" t="n">
        <f aca="false">VLOOKUP(B1223,Заказы!$A$2:$E$2995,4,FALSE())</f>
        <v>588</v>
      </c>
      <c r="K1223" s="1" t="str">
        <f aca="false">VLOOKUP(B1223,Заказы!$A$2:$E$2995,5,FALSE())</f>
        <v>Выполнено</v>
      </c>
      <c r="L1223" s="1" t="n">
        <f aca="false">D1223*F1223+J1223</f>
        <v>6078</v>
      </c>
      <c r="M1223" s="1" t="n">
        <f aca="false">IF(AND(E1223="Пицца Труслейка",I1223="г. Москва",K1223="Выполнено",G1223&gt;=DATE(2020,7,1),G1223&lt;DATE(2020,8,1)),L1223,0)</f>
        <v>0</v>
      </c>
    </row>
    <row r="1224" customFormat="false" ht="15" hidden="false" customHeight="true" outlineLevel="0" collapsed="false">
      <c r="A1224" s="1" t="n">
        <v>101139</v>
      </c>
      <c r="B1224" s="1" t="n">
        <v>50933</v>
      </c>
      <c r="C1224" s="1" t="n">
        <v>18</v>
      </c>
      <c r="D1224" s="1" t="n">
        <v>6</v>
      </c>
      <c r="E1224" s="1" t="str">
        <f aca="false">VLOOKUP(C1224,Меню!$A$2:$C$24,2,FALSE())</f>
        <v>Пицца Царская</v>
      </c>
      <c r="F1224" s="1" t="n">
        <f aca="false">VLOOKUP(C1224,Меню!$A$2:$C$24,3,FALSE())</f>
        <v>620</v>
      </c>
      <c r="G1224" s="5" t="n">
        <f aca="false">VLOOKUP(B1224,Заказы!$A$2:$E$2995,2,FALSE())</f>
        <v>43987</v>
      </c>
      <c r="H1224" s="1" t="n">
        <f aca="false">VLOOKUP(B1224,Заказы!$A$2:$E$2995,3,FALSE())</f>
        <v>224</v>
      </c>
      <c r="I1224" s="1" t="str">
        <f aca="false">VLOOKUP(H1224,Клиенты!$A$2:$E$1995,5,FALSE())</f>
        <v>г. Арск</v>
      </c>
      <c r="J1224" s="1" t="n">
        <f aca="false">VLOOKUP(B1224,Заказы!$A$2:$E$2995,4,FALSE())</f>
        <v>703</v>
      </c>
      <c r="K1224" s="1" t="str">
        <f aca="false">VLOOKUP(B1224,Заказы!$A$2:$E$2995,5,FALSE())</f>
        <v>Выполнено</v>
      </c>
      <c r="L1224" s="1" t="n">
        <f aca="false">D1224*F1224+J1224</f>
        <v>4423</v>
      </c>
      <c r="M1224" s="1" t="n">
        <f aca="false">IF(AND(E1224="Пицца Труслейка",I1224="г. Москва",K1224="Выполнено",G1224&gt;=DATE(2020,7,1),G1224&lt;DATE(2020,8,1)),L1224,0)</f>
        <v>0</v>
      </c>
    </row>
    <row r="1225" customFormat="false" ht="15" hidden="false" customHeight="true" outlineLevel="0" collapsed="false">
      <c r="A1225" s="1" t="n">
        <v>100757</v>
      </c>
      <c r="B1225" s="1" t="n">
        <v>50009</v>
      </c>
      <c r="C1225" s="1" t="n">
        <v>17</v>
      </c>
      <c r="D1225" s="1" t="n">
        <v>9</v>
      </c>
      <c r="E1225" s="1" t="str">
        <f aca="false">VLOOKUP(C1225,Меню!$A$2:$C$24,2,FALSE())</f>
        <v>Пицца Френч Фрайз</v>
      </c>
      <c r="F1225" s="1" t="n">
        <f aca="false">VLOOKUP(C1225,Меню!$A$2:$C$24,3,FALSE())</f>
        <v>515</v>
      </c>
      <c r="G1225" s="5" t="n">
        <f aca="false">VLOOKUP(B1225,Заказы!$A$2:$E$2995,2,FALSE())</f>
        <v>43995</v>
      </c>
      <c r="H1225" s="1" t="n">
        <f aca="false">VLOOKUP(B1225,Заказы!$A$2:$E$2995,3,FALSE())</f>
        <v>1527</v>
      </c>
      <c r="I1225" s="1" t="str">
        <f aca="false">VLOOKUP(H1225,Клиенты!$A$2:$E$1995,5,FALSE())</f>
        <v>г. Мглин</v>
      </c>
      <c r="J1225" s="1" t="n">
        <f aca="false">VLOOKUP(B1225,Заказы!$A$2:$E$2995,4,FALSE())</f>
        <v>0</v>
      </c>
      <c r="K1225" s="1" t="str">
        <f aca="false">VLOOKUP(B1225,Заказы!$A$2:$E$2995,5,FALSE())</f>
        <v>Не выполнено</v>
      </c>
      <c r="L1225" s="1" t="n">
        <f aca="false">D1225*F1225+J1225</f>
        <v>4635</v>
      </c>
      <c r="M1225" s="1" t="n">
        <f aca="false">IF(AND(E1225="Пицца Труслейка",I1225="г. Москва",K1225="Выполнено",G1225&gt;=DATE(2020,7,1),G1225&lt;DATE(2020,8,1)),L1225,0)</f>
        <v>0</v>
      </c>
    </row>
    <row r="1226" customFormat="false" ht="15" hidden="false" customHeight="true" outlineLevel="0" collapsed="false">
      <c r="A1226" s="1" t="n">
        <v>101829</v>
      </c>
      <c r="B1226" s="1" t="n">
        <v>51961</v>
      </c>
      <c r="C1226" s="1" t="n">
        <v>16</v>
      </c>
      <c r="D1226" s="1" t="n">
        <v>10</v>
      </c>
      <c r="E1226" s="1" t="str">
        <f aca="false">VLOOKUP(C1226,Меню!$A$2:$C$24,2,FALSE())</f>
        <v>Пицца Флорида</v>
      </c>
      <c r="F1226" s="1" t="n">
        <f aca="false">VLOOKUP(C1226,Меню!$A$2:$C$24,3,FALSE())</f>
        <v>535</v>
      </c>
      <c r="G1226" s="5" t="n">
        <f aca="false">VLOOKUP(B1226,Заказы!$A$2:$E$2995,2,FALSE())</f>
        <v>44067</v>
      </c>
      <c r="H1226" s="1" t="n">
        <f aca="false">VLOOKUP(B1226,Заказы!$A$2:$E$2995,3,FALSE())</f>
        <v>128</v>
      </c>
      <c r="I1226" s="1" t="str">
        <f aca="false">VLOOKUP(H1226,Клиенты!$A$2:$E$1995,5,FALSE())</f>
        <v>г. Находка</v>
      </c>
      <c r="J1226" s="1" t="n">
        <f aca="false">VLOOKUP(B1226,Заказы!$A$2:$E$2995,4,FALSE())</f>
        <v>809</v>
      </c>
      <c r="K1226" s="1" t="str">
        <f aca="false">VLOOKUP(B1226,Заказы!$A$2:$E$2995,5,FALSE())</f>
        <v>Выполнено</v>
      </c>
      <c r="L1226" s="1" t="n">
        <f aca="false">D1226*F1226+J1226</f>
        <v>6159</v>
      </c>
      <c r="M1226" s="1" t="n">
        <f aca="false">IF(AND(E1226="Пицца Труслейка",I1226="г. Москва",K1226="Выполнено",G1226&gt;=DATE(2020,7,1),G1226&lt;DATE(2020,8,1)),L1226,0)</f>
        <v>0</v>
      </c>
    </row>
    <row r="1227" customFormat="false" ht="15" hidden="false" customHeight="true" outlineLevel="0" collapsed="false">
      <c r="A1227" s="1" t="n">
        <v>101478</v>
      </c>
      <c r="B1227" s="1" t="n">
        <v>50601</v>
      </c>
      <c r="C1227" s="1" t="n">
        <v>6</v>
      </c>
      <c r="D1227" s="1" t="n">
        <v>9</v>
      </c>
      <c r="E1227" s="1" t="str">
        <f aca="false">VLOOKUP(C1227,Меню!$A$2:$C$24,2,FALSE())</f>
        <v>Пицца Капричиоза</v>
      </c>
      <c r="F1227" s="1" t="n">
        <f aca="false">VLOOKUP(C1227,Меню!$A$2:$C$24,3,FALSE())</f>
        <v>570</v>
      </c>
      <c r="G1227" s="5" t="n">
        <f aca="false">VLOOKUP(B1227,Заказы!$A$2:$E$2995,2,FALSE())</f>
        <v>44037</v>
      </c>
      <c r="H1227" s="1" t="n">
        <f aca="false">VLOOKUP(B1227,Заказы!$A$2:$E$2995,3,FALSE())</f>
        <v>899</v>
      </c>
      <c r="I1227" s="1" t="str">
        <f aca="false">VLOOKUP(H1227,Клиенты!$A$2:$E$1995,5,FALSE())</f>
        <v>г. Таруса</v>
      </c>
      <c r="J1227" s="1" t="n">
        <f aca="false">VLOOKUP(B1227,Заказы!$A$2:$E$2995,4,FALSE())</f>
        <v>0</v>
      </c>
      <c r="K1227" s="1" t="str">
        <f aca="false">VLOOKUP(B1227,Заказы!$A$2:$E$2995,5,FALSE())</f>
        <v>Не выполнено</v>
      </c>
      <c r="L1227" s="1" t="n">
        <f aca="false">D1227*F1227+J1227</f>
        <v>5130</v>
      </c>
      <c r="M1227" s="1" t="n">
        <f aca="false">IF(AND(E1227="Пицца Труслейка",I1227="г. Москва",K1227="Выполнено",G1227&gt;=DATE(2020,7,1),G1227&lt;DATE(2020,8,1)),L1227,0)</f>
        <v>0</v>
      </c>
    </row>
    <row r="1228" customFormat="false" ht="15" hidden="false" customHeight="true" outlineLevel="0" collapsed="false">
      <c r="A1228" s="1" t="n">
        <v>101021</v>
      </c>
      <c r="B1228" s="1" t="n">
        <v>50490</v>
      </c>
      <c r="C1228" s="1" t="n">
        <v>6</v>
      </c>
      <c r="D1228" s="1" t="n">
        <v>4</v>
      </c>
      <c r="E1228" s="1" t="str">
        <f aca="false">VLOOKUP(C1228,Меню!$A$2:$C$24,2,FALSE())</f>
        <v>Пицца Капричиоза</v>
      </c>
      <c r="F1228" s="1" t="n">
        <f aca="false">VLOOKUP(C1228,Меню!$A$2:$C$24,3,FALSE())</f>
        <v>570</v>
      </c>
      <c r="G1228" s="5" t="n">
        <f aca="false">VLOOKUP(B1228,Заказы!$A$2:$E$2995,2,FALSE())</f>
        <v>44026</v>
      </c>
      <c r="H1228" s="1" t="n">
        <f aca="false">VLOOKUP(B1228,Заказы!$A$2:$E$2995,3,FALSE())</f>
        <v>835</v>
      </c>
      <c r="I1228" s="1" t="str">
        <f aca="false">VLOOKUP(H1228,Клиенты!$A$2:$E$1995,5,FALSE())</f>
        <v>г. Холм</v>
      </c>
      <c r="J1228" s="1" t="n">
        <f aca="false">VLOOKUP(B1228,Заказы!$A$2:$E$2995,4,FALSE())</f>
        <v>859</v>
      </c>
      <c r="K1228" s="1" t="str">
        <f aca="false">VLOOKUP(B1228,Заказы!$A$2:$E$2995,5,FALSE())</f>
        <v>Выполнено</v>
      </c>
      <c r="L1228" s="1" t="n">
        <f aca="false">D1228*F1228+J1228</f>
        <v>3139</v>
      </c>
      <c r="M1228" s="1" t="n">
        <f aca="false">IF(AND(E1228="Пицца Труслейка",I1228="г. Москва",K1228="Выполнено",G1228&gt;=DATE(2020,7,1),G1228&lt;DATE(2020,8,1)),L1228,0)</f>
        <v>0</v>
      </c>
    </row>
    <row r="1229" customFormat="false" ht="15" hidden="false" customHeight="true" outlineLevel="0" collapsed="false">
      <c r="A1229" s="1" t="n">
        <v>101438</v>
      </c>
      <c r="B1229" s="1" t="n">
        <v>51850</v>
      </c>
      <c r="C1229" s="1" t="n">
        <v>15</v>
      </c>
      <c r="D1229" s="1" t="n">
        <v>2</v>
      </c>
      <c r="E1229" s="1" t="str">
        <f aca="false">VLOOKUP(C1229,Меню!$A$2:$C$24,2,FALSE())</f>
        <v>Пицца Тропиканка</v>
      </c>
      <c r="F1229" s="1" t="n">
        <f aca="false">VLOOKUP(C1229,Меню!$A$2:$C$24,3,FALSE())</f>
        <v>605</v>
      </c>
      <c r="G1229" s="5" t="n">
        <f aca="false">VLOOKUP(B1229,Заказы!$A$2:$E$2995,2,FALSE())</f>
        <v>43999</v>
      </c>
      <c r="H1229" s="1" t="n">
        <f aca="false">VLOOKUP(B1229,Заказы!$A$2:$E$2995,3,FALSE())</f>
        <v>858</v>
      </c>
      <c r="I1229" s="1" t="str">
        <f aca="false">VLOOKUP(H1229,Клиенты!$A$2:$E$1995,5,FALSE())</f>
        <v>г. Моршанск</v>
      </c>
      <c r="J1229" s="1" t="n">
        <f aca="false">VLOOKUP(B1229,Заказы!$A$2:$E$2995,4,FALSE())</f>
        <v>0</v>
      </c>
      <c r="K1229" s="1" t="str">
        <f aca="false">VLOOKUP(B1229,Заказы!$A$2:$E$2995,5,FALSE())</f>
        <v>Не выполнено</v>
      </c>
      <c r="L1229" s="1" t="n">
        <f aca="false">D1229*F1229+J1229</f>
        <v>1210</v>
      </c>
      <c r="M1229" s="1" t="n">
        <f aca="false">IF(AND(E1229="Пицца Труслейка",I1229="г. Москва",K1229="Выполнено",G1229&gt;=DATE(2020,7,1),G1229&lt;DATE(2020,8,1)),L1229,0)</f>
        <v>0</v>
      </c>
    </row>
    <row r="1230" customFormat="false" ht="15" hidden="false" customHeight="true" outlineLevel="0" collapsed="false">
      <c r="A1230" s="1" t="n">
        <v>100824</v>
      </c>
      <c r="B1230" s="1" t="n">
        <v>50239</v>
      </c>
      <c r="C1230" s="1" t="n">
        <v>8</v>
      </c>
      <c r="D1230" s="1" t="n">
        <v>10</v>
      </c>
      <c r="E1230" s="1" t="str">
        <f aca="false">VLOOKUP(C1230,Меню!$A$2:$C$24,2,FALSE())</f>
        <v>Пицца Мясная</v>
      </c>
      <c r="F1230" s="1" t="n">
        <f aca="false">VLOOKUP(C1230,Меню!$A$2:$C$24,3,FALSE())</f>
        <v>615</v>
      </c>
      <c r="G1230" s="5" t="n">
        <f aca="false">VLOOKUP(B1230,Заказы!$A$2:$E$2995,2,FALSE())</f>
        <v>44072</v>
      </c>
      <c r="H1230" s="1" t="n">
        <f aca="false">VLOOKUP(B1230,Заказы!$A$2:$E$2995,3,FALSE())</f>
        <v>275</v>
      </c>
      <c r="I1230" s="1" t="str">
        <f aca="false">VLOOKUP(H1230,Клиенты!$A$2:$E$1995,5,FALSE())</f>
        <v>г. Березники</v>
      </c>
      <c r="J1230" s="1" t="n">
        <f aca="false">VLOOKUP(B1230,Заказы!$A$2:$E$2995,4,FALSE())</f>
        <v>313</v>
      </c>
      <c r="K1230" s="1" t="str">
        <f aca="false">VLOOKUP(B1230,Заказы!$A$2:$E$2995,5,FALSE())</f>
        <v>Выполнено</v>
      </c>
      <c r="L1230" s="1" t="n">
        <f aca="false">D1230*F1230+J1230</f>
        <v>6463</v>
      </c>
      <c r="M1230" s="1" t="n">
        <f aca="false">IF(AND(E1230="Пицца Труслейка",I1230="г. Москва",K1230="Выполнено",G1230&gt;=DATE(2020,7,1),G1230&lt;DATE(2020,8,1)),L1230,0)</f>
        <v>0</v>
      </c>
    </row>
    <row r="1231" customFormat="false" ht="15" hidden="false" customHeight="true" outlineLevel="0" collapsed="false">
      <c r="A1231" s="1" t="n">
        <v>101356</v>
      </c>
      <c r="B1231" s="1" t="n">
        <v>51670</v>
      </c>
      <c r="C1231" s="1" t="n">
        <v>4</v>
      </c>
      <c r="D1231" s="1" t="n">
        <v>2</v>
      </c>
      <c r="E1231" s="1" t="str">
        <f aca="false">VLOOKUP(C1231,Меню!$A$2:$C$24,2,FALSE())</f>
        <v>Пицца Труслейка</v>
      </c>
      <c r="F1231" s="1" t="n">
        <f aca="false">VLOOKUP(C1231,Меню!$A$2:$C$24,3,FALSE())</f>
        <v>610</v>
      </c>
      <c r="G1231" s="5" t="n">
        <f aca="false">VLOOKUP(B1231,Заказы!$A$2:$E$2995,2,FALSE())</f>
        <v>44056</v>
      </c>
      <c r="H1231" s="1" t="n">
        <f aca="false">VLOOKUP(B1231,Заказы!$A$2:$E$2995,3,FALSE())</f>
        <v>1896</v>
      </c>
      <c r="I1231" s="1" t="str">
        <f aca="false">VLOOKUP(H1231,Клиенты!$A$2:$E$1995,5,FALSE())</f>
        <v>г. Каргат</v>
      </c>
      <c r="J1231" s="1" t="n">
        <f aca="false">VLOOKUP(B1231,Заказы!$A$2:$E$2995,4,FALSE())</f>
        <v>416</v>
      </c>
      <c r="K1231" s="1" t="str">
        <f aca="false">VLOOKUP(B1231,Заказы!$A$2:$E$2995,5,FALSE())</f>
        <v>Выполнено</v>
      </c>
      <c r="L1231" s="1" t="n">
        <f aca="false">D1231*F1231+J1231</f>
        <v>1636</v>
      </c>
      <c r="M1231" s="1" t="n">
        <f aca="false">IF(AND(E1231="Пицца Труслейка",I1231="г. Москва",K1231="Выполнено",G1231&gt;=DATE(2020,7,1),G1231&lt;DATE(2020,8,1)),L1231,0)</f>
        <v>0</v>
      </c>
    </row>
    <row r="1232" customFormat="false" ht="15" hidden="false" customHeight="true" outlineLevel="0" collapsed="false">
      <c r="A1232" s="1" t="n">
        <v>101051</v>
      </c>
      <c r="B1232" s="1" t="n">
        <v>51130</v>
      </c>
      <c r="C1232" s="1" t="n">
        <v>4</v>
      </c>
      <c r="D1232" s="1" t="n">
        <v>7</v>
      </c>
      <c r="E1232" s="1" t="str">
        <f aca="false">VLOOKUP(C1232,Меню!$A$2:$C$24,2,FALSE())</f>
        <v>Пицца Труслейка</v>
      </c>
      <c r="F1232" s="1" t="n">
        <f aca="false">VLOOKUP(C1232,Меню!$A$2:$C$24,3,FALSE())</f>
        <v>610</v>
      </c>
      <c r="G1232" s="5" t="n">
        <f aca="false">VLOOKUP(B1232,Заказы!$A$2:$E$2995,2,FALSE())</f>
        <v>44049</v>
      </c>
      <c r="H1232" s="1" t="n">
        <f aca="false">VLOOKUP(B1232,Заказы!$A$2:$E$2995,3,FALSE())</f>
        <v>1918</v>
      </c>
      <c r="I1232" s="1" t="str">
        <f aca="false">VLOOKUP(H1232,Клиенты!$A$2:$E$1995,5,FALSE())</f>
        <v>г. Свирск</v>
      </c>
      <c r="J1232" s="1" t="n">
        <f aca="false">VLOOKUP(B1232,Заказы!$A$2:$E$2995,4,FALSE())</f>
        <v>0</v>
      </c>
      <c r="K1232" s="1" t="str">
        <f aca="false">VLOOKUP(B1232,Заказы!$A$2:$E$2995,5,FALSE())</f>
        <v>Не выполнено</v>
      </c>
      <c r="L1232" s="1" t="n">
        <f aca="false">D1232*F1232+J1232</f>
        <v>4270</v>
      </c>
      <c r="M1232" s="1" t="n">
        <f aca="false">IF(AND(E1232="Пицца Труслейка",I1232="г. Москва",K1232="Выполнено",G1232&gt;=DATE(2020,7,1),G1232&lt;DATE(2020,8,1)),L1232,0)</f>
        <v>0</v>
      </c>
    </row>
    <row r="1233" customFormat="false" ht="15" hidden="false" customHeight="true" outlineLevel="0" collapsed="false">
      <c r="A1233" s="1" t="n">
        <v>101485</v>
      </c>
      <c r="B1233" s="1" t="n">
        <v>51133</v>
      </c>
      <c r="C1233" s="1" t="n">
        <v>22</v>
      </c>
      <c r="D1233" s="1" t="n">
        <v>3</v>
      </c>
      <c r="E1233" s="1" t="str">
        <f aca="false">VLOOKUP(C1233,Меню!$A$2:$C$24,2,FALSE())</f>
        <v>Пицца с поркеттой и фриарелли</v>
      </c>
      <c r="F1233" s="1" t="n">
        <f aca="false">VLOOKUP(C1233,Меню!$A$2:$C$24,3,FALSE())</f>
        <v>550</v>
      </c>
      <c r="G1233" s="5" t="n">
        <f aca="false">VLOOKUP(B1233,Заказы!$A$2:$E$2995,2,FALSE())</f>
        <v>44031</v>
      </c>
      <c r="H1233" s="1" t="n">
        <f aca="false">VLOOKUP(B1233,Заказы!$A$2:$E$2995,3,FALSE())</f>
        <v>1116</v>
      </c>
      <c r="I1233" s="1" t="str">
        <f aca="false">VLOOKUP(H1233,Клиенты!$A$2:$E$1995,5,FALSE())</f>
        <v>г. Буйнакск</v>
      </c>
      <c r="J1233" s="1" t="n">
        <f aca="false">VLOOKUP(B1233,Заказы!$A$2:$E$2995,4,FALSE())</f>
        <v>176</v>
      </c>
      <c r="K1233" s="1" t="str">
        <f aca="false">VLOOKUP(B1233,Заказы!$A$2:$E$2995,5,FALSE())</f>
        <v>Выполнено</v>
      </c>
      <c r="L1233" s="1" t="n">
        <f aca="false">D1233*F1233+J1233</f>
        <v>1826</v>
      </c>
      <c r="M1233" s="1" t="n">
        <f aca="false">IF(AND(E1233="Пицца Труслейка",I1233="г. Москва",K1233="Выполнено",G1233&gt;=DATE(2020,7,1),G1233&lt;DATE(2020,8,1)),L1233,0)</f>
        <v>0</v>
      </c>
    </row>
    <row r="1234" customFormat="false" ht="15" hidden="false" customHeight="true" outlineLevel="0" collapsed="false">
      <c r="A1234" s="1" t="n">
        <v>101423</v>
      </c>
      <c r="B1234" s="1" t="n">
        <v>50012</v>
      </c>
      <c r="C1234" s="1" t="n">
        <v>14</v>
      </c>
      <c r="D1234" s="1" t="n">
        <v>4</v>
      </c>
      <c r="E1234" s="1" t="str">
        <f aca="false">VLOOKUP(C1234,Меню!$A$2:$C$24,2,FALSE())</f>
        <v>Пицца Сырный цыпленок</v>
      </c>
      <c r="F1234" s="1" t="n">
        <f aca="false">VLOOKUP(C1234,Меню!$A$2:$C$24,3,FALSE())</f>
        <v>555</v>
      </c>
      <c r="G1234" s="5" t="n">
        <f aca="false">VLOOKUP(B1234,Заказы!$A$2:$E$2995,2,FALSE())</f>
        <v>44072</v>
      </c>
      <c r="H1234" s="1" t="n">
        <f aca="false">VLOOKUP(B1234,Заказы!$A$2:$E$2995,3,FALSE())</f>
        <v>412</v>
      </c>
      <c r="I1234" s="1" t="str">
        <f aca="false">VLOOKUP(H1234,Клиенты!$A$2:$E$1995,5,FALSE())</f>
        <v>г. Мглин</v>
      </c>
      <c r="J1234" s="1" t="n">
        <f aca="false">VLOOKUP(B1234,Заказы!$A$2:$E$2995,4,FALSE())</f>
        <v>0</v>
      </c>
      <c r="K1234" s="1" t="str">
        <f aca="false">VLOOKUP(B1234,Заказы!$A$2:$E$2995,5,FALSE())</f>
        <v>Не выполнено</v>
      </c>
      <c r="L1234" s="1" t="n">
        <f aca="false">D1234*F1234+J1234</f>
        <v>2220</v>
      </c>
      <c r="M1234" s="1" t="n">
        <f aca="false">IF(AND(E1234="Пицца Труслейка",I1234="г. Москва",K1234="Выполнено",G1234&gt;=DATE(2020,7,1),G1234&lt;DATE(2020,8,1)),L1234,0)</f>
        <v>0</v>
      </c>
    </row>
    <row r="1235" customFormat="false" ht="15" hidden="false" customHeight="true" outlineLevel="0" collapsed="false">
      <c r="A1235" s="1" t="n">
        <v>100442</v>
      </c>
      <c r="B1235" s="1" t="n">
        <v>51030</v>
      </c>
      <c r="C1235" s="1" t="n">
        <v>5</v>
      </c>
      <c r="D1235" s="1" t="n">
        <v>4</v>
      </c>
      <c r="E1235" s="1" t="str">
        <f aca="false">VLOOKUP(C1235,Меню!$A$2:$C$24,2,FALSE())</f>
        <v>Пицца Жюльен</v>
      </c>
      <c r="F1235" s="1" t="n">
        <f aca="false">VLOOKUP(C1235,Меню!$A$2:$C$24,3,FALSE())</f>
        <v>580</v>
      </c>
      <c r="G1235" s="5" t="n">
        <f aca="false">VLOOKUP(B1235,Заказы!$A$2:$E$2995,2,FALSE())</f>
        <v>44033</v>
      </c>
      <c r="H1235" s="1" t="n">
        <f aca="false">VLOOKUP(B1235,Заказы!$A$2:$E$2995,3,FALSE())</f>
        <v>753</v>
      </c>
      <c r="I1235" s="1" t="str">
        <f aca="false">VLOOKUP(H1235,Клиенты!$A$2:$E$1995,5,FALSE())</f>
        <v>г. Среднеколымск</v>
      </c>
      <c r="J1235" s="1" t="n">
        <f aca="false">VLOOKUP(B1235,Заказы!$A$2:$E$2995,4,FALSE())</f>
        <v>578</v>
      </c>
      <c r="K1235" s="1" t="str">
        <f aca="false">VLOOKUP(B1235,Заказы!$A$2:$E$2995,5,FALSE())</f>
        <v>Выполнено</v>
      </c>
      <c r="L1235" s="1" t="n">
        <f aca="false">D1235*F1235+J1235</f>
        <v>2898</v>
      </c>
      <c r="M1235" s="1" t="n">
        <f aca="false">IF(AND(E1235="Пицца Труслейка",I1235="г. Москва",K1235="Выполнено",G1235&gt;=DATE(2020,7,1),G1235&lt;DATE(2020,8,1)),L1235,0)</f>
        <v>0</v>
      </c>
    </row>
    <row r="1236" customFormat="false" ht="15" hidden="false" customHeight="true" outlineLevel="0" collapsed="false">
      <c r="A1236" s="1" t="n">
        <v>101883</v>
      </c>
      <c r="B1236" s="1" t="n">
        <v>51053</v>
      </c>
      <c r="C1236" s="1" t="n">
        <v>19</v>
      </c>
      <c r="D1236" s="1" t="n">
        <v>4</v>
      </c>
      <c r="E1236" s="1" t="str">
        <f aca="false">VLOOKUP(C1236,Меню!$A$2:$C$24,2,FALSE())</f>
        <v>Пицца Цезарь</v>
      </c>
      <c r="F1236" s="1" t="n">
        <f aca="false">VLOOKUP(C1236,Меню!$A$2:$C$24,3,FALSE())</f>
        <v>630</v>
      </c>
      <c r="G1236" s="5" t="n">
        <f aca="false">VLOOKUP(B1236,Заказы!$A$2:$E$2995,2,FALSE())</f>
        <v>44060</v>
      </c>
      <c r="H1236" s="1" t="n">
        <f aca="false">VLOOKUP(B1236,Заказы!$A$2:$E$2995,3,FALSE())</f>
        <v>1317</v>
      </c>
      <c r="I1236" s="1" t="str">
        <f aca="false">VLOOKUP(H1236,Клиенты!$A$2:$E$1995,5,FALSE())</f>
        <v>г. Михайловск</v>
      </c>
      <c r="J1236" s="1" t="n">
        <f aca="false">VLOOKUP(B1236,Заказы!$A$2:$E$2995,4,FALSE())</f>
        <v>0</v>
      </c>
      <c r="K1236" s="1" t="str">
        <f aca="false">VLOOKUP(B1236,Заказы!$A$2:$E$2995,5,FALSE())</f>
        <v>Не выполнено</v>
      </c>
      <c r="L1236" s="1" t="n">
        <f aca="false">D1236*F1236+J1236</f>
        <v>2520</v>
      </c>
      <c r="M1236" s="1" t="n">
        <f aca="false">IF(AND(E1236="Пицца Труслейка",I1236="г. Москва",K1236="Выполнено",G1236&gt;=DATE(2020,7,1),G1236&lt;DATE(2020,8,1)),L1236,0)</f>
        <v>0</v>
      </c>
    </row>
    <row r="1237" customFormat="false" ht="15" hidden="false" customHeight="true" outlineLevel="0" collapsed="false">
      <c r="A1237" s="1" t="n">
        <v>101779</v>
      </c>
      <c r="B1237" s="1" t="n">
        <v>51705</v>
      </c>
      <c r="C1237" s="1" t="n">
        <v>7</v>
      </c>
      <c r="D1237" s="1" t="n">
        <v>10</v>
      </c>
      <c r="E1237" s="1" t="str">
        <f aca="false">VLOOKUP(C1237,Меню!$A$2:$C$24,2,FALSE())</f>
        <v>Пицца Карбонара</v>
      </c>
      <c r="F1237" s="1" t="n">
        <f aca="false">VLOOKUP(C1237,Меню!$A$2:$C$24,3,FALSE())</f>
        <v>625</v>
      </c>
      <c r="G1237" s="5" t="n">
        <f aca="false">VLOOKUP(B1237,Заказы!$A$2:$E$2995,2,FALSE())</f>
        <v>43997</v>
      </c>
      <c r="H1237" s="1" t="n">
        <f aca="false">VLOOKUP(B1237,Заказы!$A$2:$E$2995,3,FALSE())</f>
        <v>876</v>
      </c>
      <c r="I1237" s="1" t="str">
        <f aca="false">VLOOKUP(H1237,Клиенты!$A$2:$E$1995,5,FALSE())</f>
        <v>г. Щёкино</v>
      </c>
      <c r="J1237" s="1" t="n">
        <f aca="false">VLOOKUP(B1237,Заказы!$A$2:$E$2995,4,FALSE())</f>
        <v>560</v>
      </c>
      <c r="K1237" s="1" t="str">
        <f aca="false">VLOOKUP(B1237,Заказы!$A$2:$E$2995,5,FALSE())</f>
        <v>Выполнено</v>
      </c>
      <c r="L1237" s="1" t="n">
        <f aca="false">D1237*F1237+J1237</f>
        <v>6810</v>
      </c>
      <c r="M1237" s="1" t="n">
        <f aca="false">IF(AND(E1237="Пицца Труслейка",I1237="г. Москва",K1237="Выполнено",G1237&gt;=DATE(2020,7,1),G1237&lt;DATE(2020,8,1)),L1237,0)</f>
        <v>0</v>
      </c>
    </row>
    <row r="1238" customFormat="false" ht="15" hidden="false" customHeight="true" outlineLevel="0" collapsed="false">
      <c r="A1238" s="1" t="n">
        <v>100684</v>
      </c>
      <c r="B1238" s="1" t="n">
        <v>50794</v>
      </c>
      <c r="C1238" s="1" t="n">
        <v>23</v>
      </c>
      <c r="D1238" s="1" t="n">
        <v>7</v>
      </c>
      <c r="E1238" s="1" t="str">
        <f aca="false">VLOOKUP(C1238,Меню!$A$2:$C$24,2,FALSE())</f>
        <v>Пицца с тунцом</v>
      </c>
      <c r="F1238" s="1" t="n">
        <f aca="false">VLOOKUP(C1238,Меню!$A$2:$C$24,3,FALSE())</f>
        <v>520</v>
      </c>
      <c r="G1238" s="5" t="n">
        <f aca="false">VLOOKUP(B1238,Заказы!$A$2:$E$2995,2,FALSE())</f>
        <v>43992</v>
      </c>
      <c r="H1238" s="1" t="n">
        <f aca="false">VLOOKUP(B1238,Заказы!$A$2:$E$2995,3,FALSE())</f>
        <v>1479</v>
      </c>
      <c r="I1238" s="1" t="str">
        <f aca="false">VLOOKUP(H1238,Клиенты!$A$2:$E$1995,5,FALSE())</f>
        <v>г. Среднеуральск</v>
      </c>
      <c r="J1238" s="1" t="n">
        <f aca="false">VLOOKUP(B1238,Заказы!$A$2:$E$2995,4,FALSE())</f>
        <v>275</v>
      </c>
      <c r="K1238" s="1" t="str">
        <f aca="false">VLOOKUP(B1238,Заказы!$A$2:$E$2995,5,FALSE())</f>
        <v>Выполнено</v>
      </c>
      <c r="L1238" s="1" t="n">
        <f aca="false">D1238*F1238+J1238</f>
        <v>3915</v>
      </c>
      <c r="M1238" s="1" t="n">
        <f aca="false">IF(AND(E1238="Пицца Труслейка",I1238="г. Москва",K1238="Выполнено",G1238&gt;=DATE(2020,7,1),G1238&lt;DATE(2020,8,1)),L1238,0)</f>
        <v>0</v>
      </c>
    </row>
    <row r="1239" customFormat="false" ht="15" hidden="false" customHeight="true" outlineLevel="0" collapsed="false">
      <c r="A1239" s="1" t="n">
        <v>101659</v>
      </c>
      <c r="B1239" s="1" t="n">
        <v>50222</v>
      </c>
      <c r="C1239" s="1" t="n">
        <v>4</v>
      </c>
      <c r="D1239" s="1" t="n">
        <v>4</v>
      </c>
      <c r="E1239" s="1" t="str">
        <f aca="false">VLOOKUP(C1239,Меню!$A$2:$C$24,2,FALSE())</f>
        <v>Пицца Труслейка</v>
      </c>
      <c r="F1239" s="1" t="n">
        <f aca="false">VLOOKUP(C1239,Меню!$A$2:$C$24,3,FALSE())</f>
        <v>610</v>
      </c>
      <c r="G1239" s="5" t="n">
        <f aca="false">VLOOKUP(B1239,Заказы!$A$2:$E$2995,2,FALSE())</f>
        <v>44033</v>
      </c>
      <c r="H1239" s="1" t="n">
        <f aca="false">VLOOKUP(B1239,Заказы!$A$2:$E$2995,3,FALSE())</f>
        <v>900</v>
      </c>
      <c r="I1239" s="1" t="str">
        <f aca="false">VLOOKUP(H1239,Клиенты!$A$2:$E$1995,5,FALSE())</f>
        <v>г. Москва</v>
      </c>
      <c r="J1239" s="1" t="n">
        <f aca="false">VLOOKUP(B1239,Заказы!$A$2:$E$2995,4,FALSE())</f>
        <v>0</v>
      </c>
      <c r="K1239" s="1" t="str">
        <f aca="false">VLOOKUP(B1239,Заказы!$A$2:$E$2995,5,FALSE())</f>
        <v>Не выполнено</v>
      </c>
      <c r="L1239" s="1" t="n">
        <f aca="false">D1239*F1239+J1239</f>
        <v>2440</v>
      </c>
      <c r="M1239" s="1" t="n">
        <f aca="false">IF(AND(E1239="Пицца Труслейка",I1239="г. Москва",K1239="Выполнено",G1239&gt;=DATE(2020,7,1),G1239&lt;DATE(2020,8,1)),L1239,0)</f>
        <v>0</v>
      </c>
    </row>
    <row r="1240" customFormat="false" ht="15" hidden="false" customHeight="true" outlineLevel="0" collapsed="false">
      <c r="A1240" s="1" t="n">
        <v>101499</v>
      </c>
      <c r="B1240" s="1" t="n">
        <v>51237</v>
      </c>
      <c r="C1240" s="1" t="n">
        <v>11</v>
      </c>
      <c r="D1240" s="1" t="n">
        <v>8</v>
      </c>
      <c r="E1240" s="1" t="str">
        <f aca="false">VLOOKUP(C1240,Меню!$A$2:$C$24,2,FALSE())</f>
        <v>Пицца Песто</v>
      </c>
      <c r="F1240" s="1" t="n">
        <f aca="false">VLOOKUP(C1240,Меню!$A$2:$C$24,3,FALSE())</f>
        <v>530</v>
      </c>
      <c r="G1240" s="5" t="n">
        <f aca="false">VLOOKUP(B1240,Заказы!$A$2:$E$2995,2,FALSE())</f>
        <v>44057</v>
      </c>
      <c r="H1240" s="1" t="n">
        <f aca="false">VLOOKUP(B1240,Заказы!$A$2:$E$2995,3,FALSE())</f>
        <v>1333</v>
      </c>
      <c r="I1240" s="1" t="str">
        <f aca="false">VLOOKUP(H1240,Клиенты!$A$2:$E$1995,5,FALSE())</f>
        <v>г. Микунь</v>
      </c>
      <c r="J1240" s="1" t="n">
        <f aca="false">VLOOKUP(B1240,Заказы!$A$2:$E$2995,4,FALSE())</f>
        <v>808</v>
      </c>
      <c r="K1240" s="1" t="str">
        <f aca="false">VLOOKUP(B1240,Заказы!$A$2:$E$2995,5,FALSE())</f>
        <v>Выполнено</v>
      </c>
      <c r="L1240" s="1" t="n">
        <f aca="false">D1240*F1240+J1240</f>
        <v>5048</v>
      </c>
      <c r="M1240" s="1" t="n">
        <f aca="false">IF(AND(E1240="Пицца Труслейка",I1240="г. Москва",K1240="Выполнено",G1240&gt;=DATE(2020,7,1),G1240&lt;DATE(2020,8,1)),L1240,0)</f>
        <v>0</v>
      </c>
    </row>
    <row r="1241" customFormat="false" ht="15" hidden="false" customHeight="true" outlineLevel="0" collapsed="false">
      <c r="A1241" s="1" t="n">
        <v>100720</v>
      </c>
      <c r="B1241" s="1" t="n">
        <v>51924</v>
      </c>
      <c r="C1241" s="1" t="n">
        <v>4</v>
      </c>
      <c r="D1241" s="1" t="n">
        <v>7</v>
      </c>
      <c r="E1241" s="1" t="str">
        <f aca="false">VLOOKUP(C1241,Меню!$A$2:$C$24,2,FALSE())</f>
        <v>Пицца Труслейка</v>
      </c>
      <c r="F1241" s="1" t="n">
        <f aca="false">VLOOKUP(C1241,Меню!$A$2:$C$24,3,FALSE())</f>
        <v>610</v>
      </c>
      <c r="G1241" s="5" t="n">
        <f aca="false">VLOOKUP(B1241,Заказы!$A$2:$E$2995,2,FALSE())</f>
        <v>44049</v>
      </c>
      <c r="H1241" s="1" t="n">
        <f aca="false">VLOOKUP(B1241,Заказы!$A$2:$E$2995,3,FALSE())</f>
        <v>1191</v>
      </c>
      <c r="I1241" s="1" t="str">
        <f aca="false">VLOOKUP(H1241,Клиенты!$A$2:$E$1995,5,FALSE())</f>
        <v>г. Черняховск</v>
      </c>
      <c r="J1241" s="1" t="n">
        <f aca="false">VLOOKUP(B1241,Заказы!$A$2:$E$2995,4,FALSE())</f>
        <v>0</v>
      </c>
      <c r="K1241" s="1" t="str">
        <f aca="false">VLOOKUP(B1241,Заказы!$A$2:$E$2995,5,FALSE())</f>
        <v>Не выполнено</v>
      </c>
      <c r="L1241" s="1" t="n">
        <f aca="false">D1241*F1241+J1241</f>
        <v>4270</v>
      </c>
      <c r="M1241" s="1" t="n">
        <f aca="false">IF(AND(E1241="Пицца Труслейка",I1241="г. Москва",K1241="Выполнено",G1241&gt;=DATE(2020,7,1),G1241&lt;DATE(2020,8,1)),L1241,0)</f>
        <v>0</v>
      </c>
    </row>
    <row r="1242" customFormat="false" ht="15" hidden="false" customHeight="true" outlineLevel="0" collapsed="false">
      <c r="A1242" s="1" t="n">
        <v>100653</v>
      </c>
      <c r="B1242" s="1" t="n">
        <v>51651</v>
      </c>
      <c r="C1242" s="1" t="n">
        <v>21</v>
      </c>
      <c r="D1242" s="1" t="n">
        <v>1</v>
      </c>
      <c r="E1242" s="1" t="str">
        <f aca="false">VLOOKUP(C1242,Меню!$A$2:$C$24,2,FALSE())</f>
        <v>Пицца с креветками и цукини</v>
      </c>
      <c r="F1242" s="1" t="n">
        <f aca="false">VLOOKUP(C1242,Меню!$A$2:$C$24,3,FALSE())</f>
        <v>600</v>
      </c>
      <c r="G1242" s="5" t="n">
        <f aca="false">VLOOKUP(B1242,Заказы!$A$2:$E$2995,2,FALSE())</f>
        <v>44052</v>
      </c>
      <c r="H1242" s="1" t="n">
        <f aca="false">VLOOKUP(B1242,Заказы!$A$2:$E$2995,3,FALSE())</f>
        <v>49</v>
      </c>
      <c r="I1242" s="1" t="str">
        <f aca="false">VLOOKUP(H1242,Клиенты!$A$2:$E$1995,5,FALSE())</f>
        <v>г. Севск</v>
      </c>
      <c r="J1242" s="1" t="n">
        <f aca="false">VLOOKUP(B1242,Заказы!$A$2:$E$2995,4,FALSE())</f>
        <v>0</v>
      </c>
      <c r="K1242" s="1" t="str">
        <f aca="false">VLOOKUP(B1242,Заказы!$A$2:$E$2995,5,FALSE())</f>
        <v>Не выполнено</v>
      </c>
      <c r="L1242" s="1" t="n">
        <f aca="false">D1242*F1242+J1242</f>
        <v>600</v>
      </c>
      <c r="M1242" s="1" t="n">
        <f aca="false">IF(AND(E1242="Пицца Труслейка",I1242="г. Москва",K1242="Выполнено",G1242&gt;=DATE(2020,7,1),G1242&lt;DATE(2020,8,1)),L1242,0)</f>
        <v>0</v>
      </c>
    </row>
    <row r="1243" customFormat="false" ht="15" hidden="false" customHeight="true" outlineLevel="0" collapsed="false">
      <c r="A1243" s="1" t="n">
        <v>101820</v>
      </c>
      <c r="B1243" s="1" t="n">
        <v>51243</v>
      </c>
      <c r="C1243" s="1" t="n">
        <v>14</v>
      </c>
      <c r="D1243" s="1" t="n">
        <v>8</v>
      </c>
      <c r="E1243" s="1" t="str">
        <f aca="false">VLOOKUP(C1243,Меню!$A$2:$C$24,2,FALSE())</f>
        <v>Пицца Сырный цыпленок</v>
      </c>
      <c r="F1243" s="1" t="n">
        <f aca="false">VLOOKUP(C1243,Меню!$A$2:$C$24,3,FALSE())</f>
        <v>555</v>
      </c>
      <c r="G1243" s="5" t="n">
        <f aca="false">VLOOKUP(B1243,Заказы!$A$2:$E$2995,2,FALSE())</f>
        <v>43993</v>
      </c>
      <c r="H1243" s="1" t="n">
        <f aca="false">VLOOKUP(B1243,Заказы!$A$2:$E$2995,3,FALSE())</f>
        <v>1223</v>
      </c>
      <c r="I1243" s="1" t="str">
        <f aca="false">VLOOKUP(H1243,Клиенты!$A$2:$E$1995,5,FALSE())</f>
        <v>г. Полысаево</v>
      </c>
      <c r="J1243" s="1" t="n">
        <f aca="false">VLOOKUP(B1243,Заказы!$A$2:$E$2995,4,FALSE())</f>
        <v>0</v>
      </c>
      <c r="K1243" s="1" t="str">
        <f aca="false">VLOOKUP(B1243,Заказы!$A$2:$E$2995,5,FALSE())</f>
        <v>Не выполнено</v>
      </c>
      <c r="L1243" s="1" t="n">
        <f aca="false">D1243*F1243+J1243</f>
        <v>4440</v>
      </c>
      <c r="M1243" s="1" t="n">
        <f aca="false">IF(AND(E1243="Пицца Труслейка",I1243="г. Москва",K1243="Выполнено",G1243&gt;=DATE(2020,7,1),G1243&lt;DATE(2020,8,1)),L1243,0)</f>
        <v>0</v>
      </c>
    </row>
    <row r="1244" customFormat="false" ht="15" hidden="false" customHeight="true" outlineLevel="0" collapsed="false">
      <c r="A1244" s="1" t="n">
        <v>101112</v>
      </c>
      <c r="B1244" s="1" t="n">
        <v>51610</v>
      </c>
      <c r="C1244" s="1" t="n">
        <v>10</v>
      </c>
      <c r="D1244" s="1" t="n">
        <v>4</v>
      </c>
      <c r="E1244" s="1" t="str">
        <f aca="false">VLOOKUP(C1244,Меню!$A$2:$C$24,2,FALSE())</f>
        <v>Пицца Пепперони фреш</v>
      </c>
      <c r="F1244" s="1" t="n">
        <f aca="false">VLOOKUP(C1244,Меню!$A$2:$C$24,3,FALSE())</f>
        <v>565</v>
      </c>
      <c r="G1244" s="5" t="n">
        <f aca="false">VLOOKUP(B1244,Заказы!$A$2:$E$2995,2,FALSE())</f>
        <v>44013</v>
      </c>
      <c r="H1244" s="1" t="n">
        <f aca="false">VLOOKUP(B1244,Заказы!$A$2:$E$2995,3,FALSE())</f>
        <v>845</v>
      </c>
      <c r="I1244" s="1" t="str">
        <f aca="false">VLOOKUP(H1244,Клиенты!$A$2:$E$1995,5,FALSE())</f>
        <v>г. Дно</v>
      </c>
      <c r="J1244" s="1" t="n">
        <f aca="false">VLOOKUP(B1244,Заказы!$A$2:$E$2995,4,FALSE())</f>
        <v>672</v>
      </c>
      <c r="K1244" s="1" t="str">
        <f aca="false">VLOOKUP(B1244,Заказы!$A$2:$E$2995,5,FALSE())</f>
        <v>Выполнено</v>
      </c>
      <c r="L1244" s="1" t="n">
        <f aca="false">D1244*F1244+J1244</f>
        <v>2932</v>
      </c>
      <c r="M1244" s="1" t="n">
        <f aca="false">IF(AND(E1244="Пицца Труслейка",I1244="г. Москва",K1244="Выполнено",G1244&gt;=DATE(2020,7,1),G1244&lt;DATE(2020,8,1)),L1244,0)</f>
        <v>0</v>
      </c>
    </row>
    <row r="1245" customFormat="false" ht="15" hidden="false" customHeight="true" outlineLevel="0" collapsed="false">
      <c r="A1245" s="1" t="n">
        <v>101252</v>
      </c>
      <c r="B1245" s="1" t="n">
        <v>51626</v>
      </c>
      <c r="C1245" s="1" t="n">
        <v>22</v>
      </c>
      <c r="D1245" s="1" t="n">
        <v>6</v>
      </c>
      <c r="E1245" s="1" t="str">
        <f aca="false">VLOOKUP(C1245,Меню!$A$2:$C$24,2,FALSE())</f>
        <v>Пицца с поркеттой и фриарелли</v>
      </c>
      <c r="F1245" s="1" t="n">
        <f aca="false">VLOOKUP(C1245,Меню!$A$2:$C$24,3,FALSE())</f>
        <v>550</v>
      </c>
      <c r="G1245" s="5" t="n">
        <f aca="false">VLOOKUP(B1245,Заказы!$A$2:$E$2995,2,FALSE())</f>
        <v>44068</v>
      </c>
      <c r="H1245" s="1" t="n">
        <f aca="false">VLOOKUP(B1245,Заказы!$A$2:$E$2995,3,FALSE())</f>
        <v>1778</v>
      </c>
      <c r="I1245" s="1" t="str">
        <f aca="false">VLOOKUP(H1245,Клиенты!$A$2:$E$1995,5,FALSE())</f>
        <v>г. Любим</v>
      </c>
      <c r="J1245" s="1" t="n">
        <f aca="false">VLOOKUP(B1245,Заказы!$A$2:$E$2995,4,FALSE())</f>
        <v>0</v>
      </c>
      <c r="K1245" s="1" t="str">
        <f aca="false">VLOOKUP(B1245,Заказы!$A$2:$E$2995,5,FALSE())</f>
        <v>Не выполнено</v>
      </c>
      <c r="L1245" s="1" t="n">
        <f aca="false">D1245*F1245+J1245</f>
        <v>3300</v>
      </c>
      <c r="M1245" s="1" t="n">
        <f aca="false">IF(AND(E1245="Пицца Труслейка",I1245="г. Москва",K1245="Выполнено",G1245&gt;=DATE(2020,7,1),G1245&lt;DATE(2020,8,1)),L1245,0)</f>
        <v>0</v>
      </c>
    </row>
    <row r="1246" customFormat="false" ht="15" hidden="false" customHeight="true" outlineLevel="0" collapsed="false">
      <c r="A1246" s="1" t="n">
        <v>100877</v>
      </c>
      <c r="B1246" s="1" t="n">
        <v>51590</v>
      </c>
      <c r="C1246" s="1" t="n">
        <v>17</v>
      </c>
      <c r="D1246" s="1" t="n">
        <v>6</v>
      </c>
      <c r="E1246" s="1" t="str">
        <f aca="false">VLOOKUP(C1246,Меню!$A$2:$C$24,2,FALSE())</f>
        <v>Пицца Френч Фрайз</v>
      </c>
      <c r="F1246" s="1" t="n">
        <f aca="false">VLOOKUP(C1246,Меню!$A$2:$C$24,3,FALSE())</f>
        <v>515</v>
      </c>
      <c r="G1246" s="5" t="n">
        <f aca="false">VLOOKUP(B1246,Заказы!$A$2:$E$2995,2,FALSE())</f>
        <v>44068</v>
      </c>
      <c r="H1246" s="1" t="n">
        <f aca="false">VLOOKUP(B1246,Заказы!$A$2:$E$2995,3,FALSE())</f>
        <v>731</v>
      </c>
      <c r="I1246" s="1" t="str">
        <f aca="false">VLOOKUP(H1246,Клиенты!$A$2:$E$1995,5,FALSE())</f>
        <v>г. Нерюнгри</v>
      </c>
      <c r="J1246" s="1" t="n">
        <f aca="false">VLOOKUP(B1246,Заказы!$A$2:$E$2995,4,FALSE())</f>
        <v>337</v>
      </c>
      <c r="K1246" s="1" t="str">
        <f aca="false">VLOOKUP(B1246,Заказы!$A$2:$E$2995,5,FALSE())</f>
        <v>Выполнено</v>
      </c>
      <c r="L1246" s="1" t="n">
        <f aca="false">D1246*F1246+J1246</f>
        <v>3427</v>
      </c>
      <c r="M1246" s="1" t="n">
        <f aca="false">IF(AND(E1246="Пицца Труслейка",I1246="г. Москва",K1246="Выполнено",G1246&gt;=DATE(2020,7,1),G1246&lt;DATE(2020,8,1)),L1246,0)</f>
        <v>0</v>
      </c>
    </row>
    <row r="1247" customFormat="false" ht="15" hidden="false" customHeight="true" outlineLevel="0" collapsed="false">
      <c r="A1247" s="1" t="n">
        <v>100498</v>
      </c>
      <c r="B1247" s="1" t="n">
        <v>50411</v>
      </c>
      <c r="C1247" s="1" t="n">
        <v>19</v>
      </c>
      <c r="D1247" s="1" t="n">
        <v>10</v>
      </c>
      <c r="E1247" s="1" t="str">
        <f aca="false">VLOOKUP(C1247,Меню!$A$2:$C$24,2,FALSE())</f>
        <v>Пицца Цезарь</v>
      </c>
      <c r="F1247" s="1" t="n">
        <f aca="false">VLOOKUP(C1247,Меню!$A$2:$C$24,3,FALSE())</f>
        <v>630</v>
      </c>
      <c r="G1247" s="5" t="n">
        <f aca="false">VLOOKUP(B1247,Заказы!$A$2:$E$2995,2,FALSE())</f>
        <v>44058</v>
      </c>
      <c r="H1247" s="1" t="n">
        <f aca="false">VLOOKUP(B1247,Заказы!$A$2:$E$2995,3,FALSE())</f>
        <v>519</v>
      </c>
      <c r="I1247" s="1" t="str">
        <f aca="false">VLOOKUP(H1247,Клиенты!$A$2:$E$1995,5,FALSE())</f>
        <v>г. Серов</v>
      </c>
      <c r="J1247" s="1" t="n">
        <f aca="false">VLOOKUP(B1247,Заказы!$A$2:$E$2995,4,FALSE())</f>
        <v>0</v>
      </c>
      <c r="K1247" s="1" t="str">
        <f aca="false">VLOOKUP(B1247,Заказы!$A$2:$E$2995,5,FALSE())</f>
        <v>Не выполнено</v>
      </c>
      <c r="L1247" s="1" t="n">
        <f aca="false">D1247*F1247+J1247</f>
        <v>6300</v>
      </c>
      <c r="M1247" s="1" t="n">
        <f aca="false">IF(AND(E1247="Пицца Труслейка",I1247="г. Москва",K1247="Выполнено",G1247&gt;=DATE(2020,7,1),G1247&lt;DATE(2020,8,1)),L1247,0)</f>
        <v>0</v>
      </c>
    </row>
    <row r="1248" customFormat="false" ht="15" hidden="false" customHeight="true" outlineLevel="0" collapsed="false">
      <c r="A1248" s="1" t="n">
        <v>101808</v>
      </c>
      <c r="B1248" s="1" t="n">
        <v>51575</v>
      </c>
      <c r="C1248" s="1" t="n">
        <v>3</v>
      </c>
      <c r="D1248" s="1" t="n">
        <v>10</v>
      </c>
      <c r="E1248" s="1" t="str">
        <f aca="false">VLOOKUP(C1248,Меню!$A$2:$C$24,2,FALSE())</f>
        <v>Пицца Диабло</v>
      </c>
      <c r="F1248" s="1" t="n">
        <f aca="false">VLOOKUP(C1248,Меню!$A$2:$C$24,3,FALSE())</f>
        <v>590</v>
      </c>
      <c r="G1248" s="5" t="n">
        <f aca="false">VLOOKUP(B1248,Заказы!$A$2:$E$2995,2,FALSE())</f>
        <v>44013</v>
      </c>
      <c r="H1248" s="1" t="n">
        <f aca="false">VLOOKUP(B1248,Заказы!$A$2:$E$2995,3,FALSE())</f>
        <v>1783</v>
      </c>
      <c r="I1248" s="1" t="str">
        <f aca="false">VLOOKUP(H1248,Клиенты!$A$2:$E$1995,5,FALSE())</f>
        <v>г. Иннополис</v>
      </c>
      <c r="J1248" s="1" t="n">
        <f aca="false">VLOOKUP(B1248,Заказы!$A$2:$E$2995,4,FALSE())</f>
        <v>0</v>
      </c>
      <c r="K1248" s="1" t="str">
        <f aca="false">VLOOKUP(B1248,Заказы!$A$2:$E$2995,5,FALSE())</f>
        <v>Не выполнено</v>
      </c>
      <c r="L1248" s="1" t="n">
        <f aca="false">D1248*F1248+J1248</f>
        <v>5900</v>
      </c>
      <c r="M1248" s="1" t="n">
        <f aca="false">IF(AND(E1248="Пицца Труслейка",I1248="г. Москва",K1248="Выполнено",G1248&gt;=DATE(2020,7,1),G1248&lt;DATE(2020,8,1)),L1248,0)</f>
        <v>0</v>
      </c>
    </row>
    <row r="1249" customFormat="false" ht="15" hidden="false" customHeight="true" outlineLevel="0" collapsed="false">
      <c r="A1249" s="1" t="n">
        <v>100194</v>
      </c>
      <c r="B1249" s="1" t="n">
        <v>51436</v>
      </c>
      <c r="C1249" s="1" t="n">
        <v>6</v>
      </c>
      <c r="D1249" s="1" t="n">
        <v>7</v>
      </c>
      <c r="E1249" s="1" t="str">
        <f aca="false">VLOOKUP(C1249,Меню!$A$2:$C$24,2,FALSE())</f>
        <v>Пицца Капричиоза</v>
      </c>
      <c r="F1249" s="1" t="n">
        <f aca="false">VLOOKUP(C1249,Меню!$A$2:$C$24,3,FALSE())</f>
        <v>570</v>
      </c>
      <c r="G1249" s="5" t="n">
        <f aca="false">VLOOKUP(B1249,Заказы!$A$2:$E$2995,2,FALSE())</f>
        <v>44009</v>
      </c>
      <c r="H1249" s="1" t="n">
        <f aca="false">VLOOKUP(B1249,Заказы!$A$2:$E$2995,3,FALSE())</f>
        <v>865</v>
      </c>
      <c r="I1249" s="1" t="str">
        <f aca="false">VLOOKUP(H1249,Клиенты!$A$2:$E$1995,5,FALSE())</f>
        <v>г. Каргополь</v>
      </c>
      <c r="J1249" s="1" t="n">
        <f aca="false">VLOOKUP(B1249,Заказы!$A$2:$E$2995,4,FALSE())</f>
        <v>0</v>
      </c>
      <c r="K1249" s="1" t="str">
        <f aca="false">VLOOKUP(B1249,Заказы!$A$2:$E$2995,5,FALSE())</f>
        <v>Не выполнено</v>
      </c>
      <c r="L1249" s="1" t="n">
        <f aca="false">D1249*F1249+J1249</f>
        <v>3990</v>
      </c>
      <c r="M1249" s="1" t="n">
        <f aca="false">IF(AND(E1249="Пицца Труслейка",I1249="г. Москва",K1249="Выполнено",G1249&gt;=DATE(2020,7,1),G1249&lt;DATE(2020,8,1)),L1249,0)</f>
        <v>0</v>
      </c>
    </row>
    <row r="1250" customFormat="false" ht="15" hidden="false" customHeight="true" outlineLevel="0" collapsed="false">
      <c r="A1250" s="1" t="n">
        <v>101052</v>
      </c>
      <c r="B1250" s="1" t="n">
        <v>50704</v>
      </c>
      <c r="C1250" s="1" t="n">
        <v>20</v>
      </c>
      <c r="D1250" s="1" t="n">
        <v>10</v>
      </c>
      <c r="E1250" s="1" t="str">
        <f aca="false">VLOOKUP(C1250,Меню!$A$2:$C$24,2,FALSE())</f>
        <v>Пицца пиканте</v>
      </c>
      <c r="F1250" s="1" t="n">
        <f aca="false">VLOOKUP(C1250,Меню!$A$2:$C$24,3,FALSE())</f>
        <v>585</v>
      </c>
      <c r="G1250" s="5" t="n">
        <f aca="false">VLOOKUP(B1250,Заказы!$A$2:$E$2995,2,FALSE())</f>
        <v>44038</v>
      </c>
      <c r="H1250" s="1" t="n">
        <f aca="false">VLOOKUP(B1250,Заказы!$A$2:$E$2995,3,FALSE())</f>
        <v>579</v>
      </c>
      <c r="I1250" s="1" t="str">
        <f aca="false">VLOOKUP(H1250,Клиенты!$A$2:$E$1995,5,FALSE())</f>
        <v>г. Чернушка</v>
      </c>
      <c r="J1250" s="1" t="n">
        <f aca="false">VLOOKUP(B1250,Заказы!$A$2:$E$2995,4,FALSE())</f>
        <v>0</v>
      </c>
      <c r="K1250" s="1" t="str">
        <f aca="false">VLOOKUP(B1250,Заказы!$A$2:$E$2995,5,FALSE())</f>
        <v>Не выполнено</v>
      </c>
      <c r="L1250" s="1" t="n">
        <f aca="false">D1250*F1250+J1250</f>
        <v>5850</v>
      </c>
      <c r="M1250" s="1" t="n">
        <f aca="false">IF(AND(E1250="Пицца Труслейка",I1250="г. Москва",K1250="Выполнено",G1250&gt;=DATE(2020,7,1),G1250&lt;DATE(2020,8,1)),L1250,0)</f>
        <v>0</v>
      </c>
    </row>
    <row r="1251" customFormat="false" ht="15" hidden="false" customHeight="true" outlineLevel="0" collapsed="false">
      <c r="A1251" s="1" t="n">
        <v>100213</v>
      </c>
      <c r="B1251" s="1" t="n">
        <v>50888</v>
      </c>
      <c r="C1251" s="1" t="n">
        <v>4</v>
      </c>
      <c r="D1251" s="1" t="n">
        <v>9</v>
      </c>
      <c r="E1251" s="1" t="str">
        <f aca="false">VLOOKUP(C1251,Меню!$A$2:$C$24,2,FALSE())</f>
        <v>Пицца Труслейка</v>
      </c>
      <c r="F1251" s="1" t="n">
        <f aca="false">VLOOKUP(C1251,Меню!$A$2:$C$24,3,FALSE())</f>
        <v>610</v>
      </c>
      <c r="G1251" s="5" t="n">
        <f aca="false">VLOOKUP(B1251,Заказы!$A$2:$E$2995,2,FALSE())</f>
        <v>44057</v>
      </c>
      <c r="H1251" s="1" t="n">
        <f aca="false">VLOOKUP(B1251,Заказы!$A$2:$E$2995,3,FALSE())</f>
        <v>761</v>
      </c>
      <c r="I1251" s="1" t="str">
        <f aca="false">VLOOKUP(H1251,Клиенты!$A$2:$E$1995,5,FALSE())</f>
        <v>г. Мамоново</v>
      </c>
      <c r="J1251" s="1" t="n">
        <f aca="false">VLOOKUP(B1251,Заказы!$A$2:$E$2995,4,FALSE())</f>
        <v>0</v>
      </c>
      <c r="K1251" s="1" t="str">
        <f aca="false">VLOOKUP(B1251,Заказы!$A$2:$E$2995,5,FALSE())</f>
        <v>Не выполнено</v>
      </c>
      <c r="L1251" s="1" t="n">
        <f aca="false">D1251*F1251+J1251</f>
        <v>5490</v>
      </c>
      <c r="M1251" s="1" t="n">
        <f aca="false">IF(AND(E1251="Пицца Труслейка",I1251="г. Москва",K1251="Выполнено",G1251&gt;=DATE(2020,7,1),G1251&lt;DATE(2020,8,1)),L1251,0)</f>
        <v>0</v>
      </c>
    </row>
    <row r="1252" customFormat="false" ht="15" hidden="false" customHeight="true" outlineLevel="0" collapsed="false">
      <c r="A1252" s="1" t="n">
        <v>101192</v>
      </c>
      <c r="B1252" s="1" t="n">
        <v>51349</v>
      </c>
      <c r="C1252" s="1" t="n">
        <v>17</v>
      </c>
      <c r="D1252" s="1" t="n">
        <v>5</v>
      </c>
      <c r="E1252" s="1" t="str">
        <f aca="false">VLOOKUP(C1252,Меню!$A$2:$C$24,2,FALSE())</f>
        <v>Пицца Френч Фрайз</v>
      </c>
      <c r="F1252" s="1" t="n">
        <f aca="false">VLOOKUP(C1252,Меню!$A$2:$C$24,3,FALSE())</f>
        <v>515</v>
      </c>
      <c r="G1252" s="5" t="n">
        <f aca="false">VLOOKUP(B1252,Заказы!$A$2:$E$2995,2,FALSE())</f>
        <v>44035</v>
      </c>
      <c r="H1252" s="1" t="n">
        <f aca="false">VLOOKUP(B1252,Заказы!$A$2:$E$2995,3,FALSE())</f>
        <v>551</v>
      </c>
      <c r="I1252" s="1" t="str">
        <f aca="false">VLOOKUP(H1252,Клиенты!$A$2:$E$1995,5,FALSE())</f>
        <v>г. Белорецк</v>
      </c>
      <c r="J1252" s="1" t="n">
        <f aca="false">VLOOKUP(B1252,Заказы!$A$2:$E$2995,4,FALSE())</f>
        <v>0</v>
      </c>
      <c r="K1252" s="1" t="str">
        <f aca="false">VLOOKUP(B1252,Заказы!$A$2:$E$2995,5,FALSE())</f>
        <v>Не выполнено</v>
      </c>
      <c r="L1252" s="1" t="n">
        <f aca="false">D1252*F1252+J1252</f>
        <v>2575</v>
      </c>
      <c r="M1252" s="1" t="n">
        <f aca="false">IF(AND(E1252="Пицца Труслейка",I1252="г. Москва",K1252="Выполнено",G1252&gt;=DATE(2020,7,1),G1252&lt;DATE(2020,8,1)),L1252,0)</f>
        <v>0</v>
      </c>
    </row>
    <row r="1253" customFormat="false" ht="15" hidden="false" customHeight="true" outlineLevel="0" collapsed="false">
      <c r="A1253" s="1" t="n">
        <v>100259</v>
      </c>
      <c r="B1253" s="1" t="n">
        <v>51331</v>
      </c>
      <c r="C1253" s="1" t="n">
        <v>23</v>
      </c>
      <c r="D1253" s="1" t="n">
        <v>8</v>
      </c>
      <c r="E1253" s="1" t="str">
        <f aca="false">VLOOKUP(C1253,Меню!$A$2:$C$24,2,FALSE())</f>
        <v>Пицца с тунцом</v>
      </c>
      <c r="F1253" s="1" t="n">
        <f aca="false">VLOOKUP(C1253,Меню!$A$2:$C$24,3,FALSE())</f>
        <v>520</v>
      </c>
      <c r="G1253" s="5" t="n">
        <f aca="false">VLOOKUP(B1253,Заказы!$A$2:$E$2995,2,FALSE())</f>
        <v>44065</v>
      </c>
      <c r="H1253" s="1" t="n">
        <f aca="false">VLOOKUP(B1253,Заказы!$A$2:$E$2995,3,FALSE())</f>
        <v>30</v>
      </c>
      <c r="I1253" s="1" t="str">
        <f aca="false">VLOOKUP(H1253,Клиенты!$A$2:$E$1995,5,FALSE())</f>
        <v>г. Москва</v>
      </c>
      <c r="J1253" s="1" t="n">
        <f aca="false">VLOOKUP(B1253,Заказы!$A$2:$E$2995,4,FALSE())</f>
        <v>0</v>
      </c>
      <c r="K1253" s="1" t="str">
        <f aca="false">VLOOKUP(B1253,Заказы!$A$2:$E$2995,5,FALSE())</f>
        <v>Не выполнено</v>
      </c>
      <c r="L1253" s="1" t="n">
        <f aca="false">D1253*F1253+J1253</f>
        <v>4160</v>
      </c>
      <c r="M1253" s="1" t="n">
        <f aca="false">IF(AND(E1253="Пицца Труслейка",I1253="г. Москва",K1253="Выполнено",G1253&gt;=DATE(2020,7,1),G1253&lt;DATE(2020,8,1)),L1253,0)</f>
        <v>0</v>
      </c>
    </row>
    <row r="1254" customFormat="false" ht="15" hidden="false" customHeight="true" outlineLevel="0" collapsed="false">
      <c r="A1254" s="1" t="n">
        <v>100384</v>
      </c>
      <c r="B1254" s="1" t="n">
        <v>51648</v>
      </c>
      <c r="C1254" s="1" t="n">
        <v>22</v>
      </c>
      <c r="D1254" s="1" t="n">
        <v>3</v>
      </c>
      <c r="E1254" s="1" t="str">
        <f aca="false">VLOOKUP(C1254,Меню!$A$2:$C$24,2,FALSE())</f>
        <v>Пицца с поркеттой и фриарелли</v>
      </c>
      <c r="F1254" s="1" t="n">
        <f aca="false">VLOOKUP(C1254,Меню!$A$2:$C$24,3,FALSE())</f>
        <v>550</v>
      </c>
      <c r="G1254" s="5" t="n">
        <f aca="false">VLOOKUP(B1254,Заказы!$A$2:$E$2995,2,FALSE())</f>
        <v>43993</v>
      </c>
      <c r="H1254" s="1" t="n">
        <f aca="false">VLOOKUP(B1254,Заказы!$A$2:$E$2995,3,FALSE())</f>
        <v>912</v>
      </c>
      <c r="I1254" s="1" t="str">
        <f aca="false">VLOOKUP(H1254,Клиенты!$A$2:$E$1995,5,FALSE())</f>
        <v>г. Бобров</v>
      </c>
      <c r="J1254" s="1" t="n">
        <f aca="false">VLOOKUP(B1254,Заказы!$A$2:$E$2995,4,FALSE())</f>
        <v>781</v>
      </c>
      <c r="K1254" s="1" t="str">
        <f aca="false">VLOOKUP(B1254,Заказы!$A$2:$E$2995,5,FALSE())</f>
        <v>Выполнено</v>
      </c>
      <c r="L1254" s="1" t="n">
        <f aca="false">D1254*F1254+J1254</f>
        <v>2431</v>
      </c>
      <c r="M1254" s="1" t="n">
        <f aca="false">IF(AND(E1254="Пицца Труслейка",I1254="г. Москва",K1254="Выполнено",G1254&gt;=DATE(2020,7,1),G1254&lt;DATE(2020,8,1)),L1254,0)</f>
        <v>0</v>
      </c>
    </row>
    <row r="1255" customFormat="false" ht="15" hidden="false" customHeight="true" outlineLevel="0" collapsed="false">
      <c r="A1255" s="1" t="n">
        <v>101003</v>
      </c>
      <c r="B1255" s="1" t="n">
        <v>50520</v>
      </c>
      <c r="C1255" s="1" t="n">
        <v>9</v>
      </c>
      <c r="D1255" s="1" t="n">
        <v>3</v>
      </c>
      <c r="E1255" s="1" t="str">
        <f aca="false">VLOOKUP(C1255,Меню!$A$2:$C$24,2,FALSE())</f>
        <v>Пицца Острая с беконом</v>
      </c>
      <c r="F1255" s="1" t="n">
        <f aca="false">VLOOKUP(C1255,Меню!$A$2:$C$24,3,FALSE())</f>
        <v>540</v>
      </c>
      <c r="G1255" s="5" t="n">
        <f aca="false">VLOOKUP(B1255,Заказы!$A$2:$E$2995,2,FALSE())</f>
        <v>44050</v>
      </c>
      <c r="H1255" s="1" t="n">
        <f aca="false">VLOOKUP(B1255,Заказы!$A$2:$E$2995,3,FALSE())</f>
        <v>504</v>
      </c>
      <c r="I1255" s="1" t="str">
        <f aca="false">VLOOKUP(H1255,Клиенты!$A$2:$E$1995,5,FALSE())</f>
        <v>г. Сим</v>
      </c>
      <c r="J1255" s="1" t="n">
        <f aca="false">VLOOKUP(B1255,Заказы!$A$2:$E$2995,4,FALSE())</f>
        <v>0</v>
      </c>
      <c r="K1255" s="1" t="str">
        <f aca="false">VLOOKUP(B1255,Заказы!$A$2:$E$2995,5,FALSE())</f>
        <v>Не выполнено</v>
      </c>
      <c r="L1255" s="1" t="n">
        <f aca="false">D1255*F1255+J1255</f>
        <v>1620</v>
      </c>
      <c r="M1255" s="1" t="n">
        <f aca="false">IF(AND(E1255="Пицца Труслейка",I1255="г. Москва",K1255="Выполнено",G1255&gt;=DATE(2020,7,1),G1255&lt;DATE(2020,8,1)),L1255,0)</f>
        <v>0</v>
      </c>
    </row>
    <row r="1256" customFormat="false" ht="15" hidden="false" customHeight="true" outlineLevel="0" collapsed="false">
      <c r="A1256" s="1" t="n">
        <v>100112</v>
      </c>
      <c r="B1256" s="1" t="n">
        <v>51883</v>
      </c>
      <c r="C1256" s="1" t="n">
        <v>22</v>
      </c>
      <c r="D1256" s="1" t="n">
        <v>7</v>
      </c>
      <c r="E1256" s="1" t="str">
        <f aca="false">VLOOKUP(C1256,Меню!$A$2:$C$24,2,FALSE())</f>
        <v>Пицца с поркеттой и фриарелли</v>
      </c>
      <c r="F1256" s="1" t="n">
        <f aca="false">VLOOKUP(C1256,Меню!$A$2:$C$24,3,FALSE())</f>
        <v>550</v>
      </c>
      <c r="G1256" s="5" t="n">
        <f aca="false">VLOOKUP(B1256,Заказы!$A$2:$E$2995,2,FALSE())</f>
        <v>44003</v>
      </c>
      <c r="H1256" s="1" t="n">
        <f aca="false">VLOOKUP(B1256,Заказы!$A$2:$E$2995,3,FALSE())</f>
        <v>1557</v>
      </c>
      <c r="I1256" s="1" t="str">
        <f aca="false">VLOOKUP(H1256,Клиенты!$A$2:$E$1995,5,FALSE())</f>
        <v>г. Певек</v>
      </c>
      <c r="J1256" s="1" t="n">
        <f aca="false">VLOOKUP(B1256,Заказы!$A$2:$E$2995,4,FALSE())</f>
        <v>0</v>
      </c>
      <c r="K1256" s="1" t="str">
        <f aca="false">VLOOKUP(B1256,Заказы!$A$2:$E$2995,5,FALSE())</f>
        <v>Не выполнено</v>
      </c>
      <c r="L1256" s="1" t="n">
        <f aca="false">D1256*F1256+J1256</f>
        <v>3850</v>
      </c>
      <c r="M1256" s="1" t="n">
        <f aca="false">IF(AND(E1256="Пицца Труслейка",I1256="г. Москва",K1256="Выполнено",G1256&gt;=DATE(2020,7,1),G1256&lt;DATE(2020,8,1)),L1256,0)</f>
        <v>0</v>
      </c>
    </row>
    <row r="1257" customFormat="false" ht="15" hidden="false" customHeight="true" outlineLevel="0" collapsed="false">
      <c r="A1257" s="1" t="n">
        <v>100122</v>
      </c>
      <c r="B1257" s="1" t="n">
        <v>51540</v>
      </c>
      <c r="C1257" s="1" t="n">
        <v>7</v>
      </c>
      <c r="D1257" s="1" t="n">
        <v>8</v>
      </c>
      <c r="E1257" s="1" t="str">
        <f aca="false">VLOOKUP(C1257,Меню!$A$2:$C$24,2,FALSE())</f>
        <v>Пицца Карбонара</v>
      </c>
      <c r="F1257" s="1" t="n">
        <f aca="false">VLOOKUP(C1257,Меню!$A$2:$C$24,3,FALSE())</f>
        <v>625</v>
      </c>
      <c r="G1257" s="5" t="n">
        <f aca="false">VLOOKUP(B1257,Заказы!$A$2:$E$2995,2,FALSE())</f>
        <v>44032</v>
      </c>
      <c r="H1257" s="1" t="n">
        <f aca="false">VLOOKUP(B1257,Заказы!$A$2:$E$2995,3,FALSE())</f>
        <v>1739</v>
      </c>
      <c r="I1257" s="1" t="str">
        <f aca="false">VLOOKUP(H1257,Клиенты!$A$2:$E$1995,5,FALSE())</f>
        <v>г. Тюкалинск</v>
      </c>
      <c r="J1257" s="1" t="n">
        <f aca="false">VLOOKUP(B1257,Заказы!$A$2:$E$2995,4,FALSE())</f>
        <v>0</v>
      </c>
      <c r="K1257" s="1" t="str">
        <f aca="false">VLOOKUP(B1257,Заказы!$A$2:$E$2995,5,FALSE())</f>
        <v>Не выполнено</v>
      </c>
      <c r="L1257" s="1" t="n">
        <f aca="false">D1257*F1257+J1257</f>
        <v>5000</v>
      </c>
      <c r="M1257" s="1" t="n">
        <f aca="false">IF(AND(E1257="Пицца Труслейка",I1257="г. Москва",K1257="Выполнено",G1257&gt;=DATE(2020,7,1),G1257&lt;DATE(2020,8,1)),L1257,0)</f>
        <v>0</v>
      </c>
    </row>
    <row r="1258" customFormat="false" ht="15" hidden="false" customHeight="true" outlineLevel="0" collapsed="false">
      <c r="A1258" s="1" t="n">
        <v>101178</v>
      </c>
      <c r="B1258" s="1" t="n">
        <v>50479</v>
      </c>
      <c r="C1258" s="1" t="n">
        <v>8</v>
      </c>
      <c r="D1258" s="1" t="n">
        <v>9</v>
      </c>
      <c r="E1258" s="1" t="str">
        <f aca="false">VLOOKUP(C1258,Меню!$A$2:$C$24,2,FALSE())</f>
        <v>Пицца Мясная</v>
      </c>
      <c r="F1258" s="1" t="n">
        <f aca="false">VLOOKUP(C1258,Меню!$A$2:$C$24,3,FALSE())</f>
        <v>615</v>
      </c>
      <c r="G1258" s="5" t="n">
        <f aca="false">VLOOKUP(B1258,Заказы!$A$2:$E$2995,2,FALSE())</f>
        <v>44001</v>
      </c>
      <c r="H1258" s="1" t="n">
        <f aca="false">VLOOKUP(B1258,Заказы!$A$2:$E$2995,3,FALSE())</f>
        <v>959</v>
      </c>
      <c r="I1258" s="1" t="str">
        <f aca="false">VLOOKUP(H1258,Клиенты!$A$2:$E$1995,5,FALSE())</f>
        <v>г. Красноармейск</v>
      </c>
      <c r="J1258" s="1" t="n">
        <f aca="false">VLOOKUP(B1258,Заказы!$A$2:$E$2995,4,FALSE())</f>
        <v>0</v>
      </c>
      <c r="K1258" s="1" t="str">
        <f aca="false">VLOOKUP(B1258,Заказы!$A$2:$E$2995,5,FALSE())</f>
        <v>Не выполнено</v>
      </c>
      <c r="L1258" s="1" t="n">
        <f aca="false">D1258*F1258+J1258</f>
        <v>5535</v>
      </c>
      <c r="M1258" s="1" t="n">
        <f aca="false">IF(AND(E1258="Пицца Труслейка",I1258="г. Москва",K1258="Выполнено",G1258&gt;=DATE(2020,7,1),G1258&lt;DATE(2020,8,1)),L1258,0)</f>
        <v>0</v>
      </c>
    </row>
    <row r="1259" customFormat="false" ht="15" hidden="false" customHeight="true" outlineLevel="0" collapsed="false">
      <c r="A1259" s="1" t="n">
        <v>100166</v>
      </c>
      <c r="B1259" s="1" t="n">
        <v>50161</v>
      </c>
      <c r="C1259" s="1" t="n">
        <v>17</v>
      </c>
      <c r="D1259" s="1" t="n">
        <v>3</v>
      </c>
      <c r="E1259" s="1" t="str">
        <f aca="false">VLOOKUP(C1259,Меню!$A$2:$C$24,2,FALSE())</f>
        <v>Пицца Френч Фрайз</v>
      </c>
      <c r="F1259" s="1" t="n">
        <f aca="false">VLOOKUP(C1259,Меню!$A$2:$C$24,3,FALSE())</f>
        <v>515</v>
      </c>
      <c r="G1259" s="5" t="n">
        <f aca="false">VLOOKUP(B1259,Заказы!$A$2:$E$2995,2,FALSE())</f>
        <v>44027</v>
      </c>
      <c r="H1259" s="1" t="n">
        <f aca="false">VLOOKUP(B1259,Заказы!$A$2:$E$2995,3,FALSE())</f>
        <v>1547</v>
      </c>
      <c r="I1259" s="1" t="str">
        <f aca="false">VLOOKUP(H1259,Клиенты!$A$2:$E$1995,5,FALSE())</f>
        <v>г. Аша</v>
      </c>
      <c r="J1259" s="1" t="n">
        <f aca="false">VLOOKUP(B1259,Заказы!$A$2:$E$2995,4,FALSE())</f>
        <v>0</v>
      </c>
      <c r="K1259" s="1" t="str">
        <f aca="false">VLOOKUP(B1259,Заказы!$A$2:$E$2995,5,FALSE())</f>
        <v>Не выполнено</v>
      </c>
      <c r="L1259" s="1" t="n">
        <f aca="false">D1259*F1259+J1259</f>
        <v>1545</v>
      </c>
      <c r="M1259" s="1" t="n">
        <f aca="false">IF(AND(E1259="Пицца Труслейка",I1259="г. Москва",K1259="Выполнено",G1259&gt;=DATE(2020,7,1),G1259&lt;DATE(2020,8,1)),L1259,0)</f>
        <v>0</v>
      </c>
    </row>
    <row r="1260" customFormat="false" ht="15" hidden="false" customHeight="true" outlineLevel="0" collapsed="false">
      <c r="A1260" s="1" t="n">
        <v>100395</v>
      </c>
      <c r="B1260" s="1" t="n">
        <v>50646</v>
      </c>
      <c r="C1260" s="1" t="n">
        <v>16</v>
      </c>
      <c r="D1260" s="1" t="n">
        <v>10</v>
      </c>
      <c r="E1260" s="1" t="str">
        <f aca="false">VLOOKUP(C1260,Меню!$A$2:$C$24,2,FALSE())</f>
        <v>Пицца Флорида</v>
      </c>
      <c r="F1260" s="1" t="n">
        <f aca="false">VLOOKUP(C1260,Меню!$A$2:$C$24,3,FALSE())</f>
        <v>535</v>
      </c>
      <c r="G1260" s="5" t="n">
        <f aca="false">VLOOKUP(B1260,Заказы!$A$2:$E$2995,2,FALSE())</f>
        <v>43992</v>
      </c>
      <c r="H1260" s="1" t="n">
        <f aca="false">VLOOKUP(B1260,Заказы!$A$2:$E$2995,3,FALSE())</f>
        <v>270</v>
      </c>
      <c r="I1260" s="1" t="str">
        <f aca="false">VLOOKUP(H1260,Клиенты!$A$2:$E$1995,5,FALSE())</f>
        <v>г. Москва</v>
      </c>
      <c r="J1260" s="1" t="n">
        <f aca="false">VLOOKUP(B1260,Заказы!$A$2:$E$2995,4,FALSE())</f>
        <v>618</v>
      </c>
      <c r="K1260" s="1" t="str">
        <f aca="false">VLOOKUP(B1260,Заказы!$A$2:$E$2995,5,FALSE())</f>
        <v>Выполнено</v>
      </c>
      <c r="L1260" s="1" t="n">
        <f aca="false">D1260*F1260+J1260</f>
        <v>5968</v>
      </c>
      <c r="M1260" s="1" t="n">
        <f aca="false">IF(AND(E1260="Пицца Труслейка",I1260="г. Москва",K1260="Выполнено",G1260&gt;=DATE(2020,7,1),G1260&lt;DATE(2020,8,1)),L1260,0)</f>
        <v>0</v>
      </c>
    </row>
    <row r="1261" customFormat="false" ht="15" hidden="false" customHeight="true" outlineLevel="0" collapsed="false">
      <c r="A1261" s="1" t="n">
        <v>100954</v>
      </c>
      <c r="B1261" s="1" t="n">
        <v>50242</v>
      </c>
      <c r="C1261" s="1" t="n">
        <v>4</v>
      </c>
      <c r="D1261" s="1" t="n">
        <v>3</v>
      </c>
      <c r="E1261" s="1" t="str">
        <f aca="false">VLOOKUP(C1261,Меню!$A$2:$C$24,2,FALSE())</f>
        <v>Пицца Труслейка</v>
      </c>
      <c r="F1261" s="1" t="n">
        <f aca="false">VLOOKUP(C1261,Меню!$A$2:$C$24,3,FALSE())</f>
        <v>610</v>
      </c>
      <c r="G1261" s="5" t="n">
        <f aca="false">VLOOKUP(B1261,Заказы!$A$2:$E$2995,2,FALSE())</f>
        <v>44064</v>
      </c>
      <c r="H1261" s="1" t="n">
        <f aca="false">VLOOKUP(B1261,Заказы!$A$2:$E$2995,3,FALSE())</f>
        <v>742</v>
      </c>
      <c r="I1261" s="1" t="str">
        <f aca="false">VLOOKUP(H1261,Клиенты!$A$2:$E$1995,5,FALSE())</f>
        <v>г. Куйбышев</v>
      </c>
      <c r="J1261" s="1" t="n">
        <f aca="false">VLOOKUP(B1261,Заказы!$A$2:$E$2995,4,FALSE())</f>
        <v>0</v>
      </c>
      <c r="K1261" s="1" t="str">
        <f aca="false">VLOOKUP(B1261,Заказы!$A$2:$E$2995,5,FALSE())</f>
        <v>Не выполнено</v>
      </c>
      <c r="L1261" s="1" t="n">
        <f aca="false">D1261*F1261+J1261</f>
        <v>1830</v>
      </c>
      <c r="M1261" s="1" t="n">
        <f aca="false">IF(AND(E1261="Пицца Труслейка",I1261="г. Москва",K1261="Выполнено",G1261&gt;=DATE(2020,7,1),G1261&lt;DATE(2020,8,1)),L1261,0)</f>
        <v>0</v>
      </c>
    </row>
    <row r="1262" customFormat="false" ht="15" hidden="false" customHeight="true" outlineLevel="0" collapsed="false">
      <c r="A1262" s="1" t="n">
        <v>101199</v>
      </c>
      <c r="B1262" s="1" t="n">
        <v>50151</v>
      </c>
      <c r="C1262" s="1" t="n">
        <v>1</v>
      </c>
      <c r="D1262" s="1" t="n">
        <v>4</v>
      </c>
      <c r="E1262" s="1" t="str">
        <f aca="false">VLOOKUP(C1262,Меню!$A$2:$C$24,2,FALSE())</f>
        <v>Пицца Гавайская</v>
      </c>
      <c r="F1262" s="1" t="n">
        <f aca="false">VLOOKUP(C1262,Меню!$A$2:$C$24,3,FALSE())</f>
        <v>545</v>
      </c>
      <c r="G1262" s="5" t="n">
        <f aca="false">VLOOKUP(B1262,Заказы!$A$2:$E$2995,2,FALSE())</f>
        <v>44064</v>
      </c>
      <c r="H1262" s="1" t="n">
        <f aca="false">VLOOKUP(B1262,Заказы!$A$2:$E$2995,3,FALSE())</f>
        <v>1325</v>
      </c>
      <c r="I1262" s="1" t="str">
        <f aca="false">VLOOKUP(H1262,Клиенты!$A$2:$E$1995,5,FALSE())</f>
        <v>г. Нововоронеж</v>
      </c>
      <c r="J1262" s="1" t="n">
        <f aca="false">VLOOKUP(B1262,Заказы!$A$2:$E$2995,4,FALSE())</f>
        <v>0</v>
      </c>
      <c r="K1262" s="1" t="str">
        <f aca="false">VLOOKUP(B1262,Заказы!$A$2:$E$2995,5,FALSE())</f>
        <v>Не выполнено</v>
      </c>
      <c r="L1262" s="1" t="n">
        <f aca="false">D1262*F1262+J1262</f>
        <v>2180</v>
      </c>
      <c r="M1262" s="1" t="n">
        <f aca="false">IF(AND(E1262="Пицца Труслейка",I1262="г. Москва",K1262="Выполнено",G1262&gt;=DATE(2020,7,1),G1262&lt;DATE(2020,8,1)),L1262,0)</f>
        <v>0</v>
      </c>
    </row>
    <row r="1263" customFormat="false" ht="15" hidden="false" customHeight="true" outlineLevel="0" collapsed="false">
      <c r="A1263" s="1" t="n">
        <v>101969</v>
      </c>
      <c r="B1263" s="1" t="n">
        <v>51049</v>
      </c>
      <c r="C1263" s="1" t="n">
        <v>10</v>
      </c>
      <c r="D1263" s="1" t="n">
        <v>10</v>
      </c>
      <c r="E1263" s="1" t="str">
        <f aca="false">VLOOKUP(C1263,Меню!$A$2:$C$24,2,FALSE())</f>
        <v>Пицца Пепперони фреш</v>
      </c>
      <c r="F1263" s="1" t="n">
        <f aca="false">VLOOKUP(C1263,Меню!$A$2:$C$24,3,FALSE())</f>
        <v>565</v>
      </c>
      <c r="G1263" s="5" t="n">
        <f aca="false">VLOOKUP(B1263,Заказы!$A$2:$E$2995,2,FALSE())</f>
        <v>44041</v>
      </c>
      <c r="H1263" s="1" t="n">
        <f aca="false">VLOOKUP(B1263,Заказы!$A$2:$E$2995,3,FALSE())</f>
        <v>1381</v>
      </c>
      <c r="I1263" s="1" t="str">
        <f aca="false">VLOOKUP(H1263,Клиенты!$A$2:$E$1995,5,FALSE())</f>
        <v>г. Черногорск</v>
      </c>
      <c r="J1263" s="1" t="n">
        <f aca="false">VLOOKUP(B1263,Заказы!$A$2:$E$2995,4,FALSE())</f>
        <v>483</v>
      </c>
      <c r="K1263" s="1" t="str">
        <f aca="false">VLOOKUP(B1263,Заказы!$A$2:$E$2995,5,FALSE())</f>
        <v>Выполнено</v>
      </c>
      <c r="L1263" s="1" t="n">
        <f aca="false">D1263*F1263+J1263</f>
        <v>6133</v>
      </c>
      <c r="M1263" s="1" t="n">
        <f aca="false">IF(AND(E1263="Пицца Труслейка",I1263="г. Москва",K1263="Выполнено",G1263&gt;=DATE(2020,7,1),G1263&lt;DATE(2020,8,1)),L1263,0)</f>
        <v>0</v>
      </c>
    </row>
    <row r="1264" customFormat="false" ht="15" hidden="false" customHeight="true" outlineLevel="0" collapsed="false">
      <c r="A1264" s="1" t="n">
        <v>100652</v>
      </c>
      <c r="B1264" s="1" t="n">
        <v>51423</v>
      </c>
      <c r="C1264" s="1" t="n">
        <v>10</v>
      </c>
      <c r="D1264" s="1" t="n">
        <v>10</v>
      </c>
      <c r="E1264" s="1" t="str">
        <f aca="false">VLOOKUP(C1264,Меню!$A$2:$C$24,2,FALSE())</f>
        <v>Пицца Пепперони фреш</v>
      </c>
      <c r="F1264" s="1" t="n">
        <f aca="false">VLOOKUP(C1264,Меню!$A$2:$C$24,3,FALSE())</f>
        <v>565</v>
      </c>
      <c r="G1264" s="5" t="n">
        <f aca="false">VLOOKUP(B1264,Заказы!$A$2:$E$2995,2,FALSE())</f>
        <v>44029</v>
      </c>
      <c r="H1264" s="1" t="n">
        <f aca="false">VLOOKUP(B1264,Заказы!$A$2:$E$2995,3,FALSE())</f>
        <v>1981</v>
      </c>
      <c r="I1264" s="1" t="str">
        <f aca="false">VLOOKUP(H1264,Клиенты!$A$2:$E$1995,5,FALSE())</f>
        <v>г. Яхрома</v>
      </c>
      <c r="J1264" s="1" t="n">
        <f aca="false">VLOOKUP(B1264,Заказы!$A$2:$E$2995,4,FALSE())</f>
        <v>836</v>
      </c>
      <c r="K1264" s="1" t="str">
        <f aca="false">VLOOKUP(B1264,Заказы!$A$2:$E$2995,5,FALSE())</f>
        <v>Выполнено</v>
      </c>
      <c r="L1264" s="1" t="n">
        <f aca="false">D1264*F1264+J1264</f>
        <v>6486</v>
      </c>
      <c r="M1264" s="1" t="n">
        <f aca="false">IF(AND(E1264="Пицца Труслейка",I1264="г. Москва",K1264="Выполнено",G1264&gt;=DATE(2020,7,1),G1264&lt;DATE(2020,8,1)),L1264,0)</f>
        <v>0</v>
      </c>
    </row>
    <row r="1265" customFormat="false" ht="15" hidden="false" customHeight="true" outlineLevel="0" collapsed="false">
      <c r="A1265" s="1" t="n">
        <v>100330</v>
      </c>
      <c r="B1265" s="1" t="n">
        <v>50422</v>
      </c>
      <c r="C1265" s="1" t="n">
        <v>23</v>
      </c>
      <c r="D1265" s="1" t="n">
        <v>9</v>
      </c>
      <c r="E1265" s="1" t="str">
        <f aca="false">VLOOKUP(C1265,Меню!$A$2:$C$24,2,FALSE())</f>
        <v>Пицца с тунцом</v>
      </c>
      <c r="F1265" s="1" t="n">
        <f aca="false">VLOOKUP(C1265,Меню!$A$2:$C$24,3,FALSE())</f>
        <v>520</v>
      </c>
      <c r="G1265" s="5" t="n">
        <f aca="false">VLOOKUP(B1265,Заказы!$A$2:$E$2995,2,FALSE())</f>
        <v>44051</v>
      </c>
      <c r="H1265" s="1" t="n">
        <f aca="false">VLOOKUP(B1265,Заказы!$A$2:$E$2995,3,FALSE())</f>
        <v>1579</v>
      </c>
      <c r="I1265" s="1" t="str">
        <f aca="false">VLOOKUP(H1265,Клиенты!$A$2:$E$1995,5,FALSE())</f>
        <v>г. Георгиевск</v>
      </c>
      <c r="J1265" s="1" t="n">
        <f aca="false">VLOOKUP(B1265,Заказы!$A$2:$E$2995,4,FALSE())</f>
        <v>0</v>
      </c>
      <c r="K1265" s="1" t="str">
        <f aca="false">VLOOKUP(B1265,Заказы!$A$2:$E$2995,5,FALSE())</f>
        <v>Не выполнено</v>
      </c>
      <c r="L1265" s="1" t="n">
        <f aca="false">D1265*F1265+J1265</f>
        <v>4680</v>
      </c>
      <c r="M1265" s="1" t="n">
        <f aca="false">IF(AND(E1265="Пицца Труслейка",I1265="г. Москва",K1265="Выполнено",G1265&gt;=DATE(2020,7,1),G1265&lt;DATE(2020,8,1)),L1265,0)</f>
        <v>0</v>
      </c>
    </row>
    <row r="1266" customFormat="false" ht="15" hidden="false" customHeight="true" outlineLevel="0" collapsed="false">
      <c r="A1266" s="1" t="n">
        <v>100386</v>
      </c>
      <c r="B1266" s="1" t="n">
        <v>51301</v>
      </c>
      <c r="C1266" s="1" t="n">
        <v>2</v>
      </c>
      <c r="D1266" s="1" t="n">
        <v>3</v>
      </c>
      <c r="E1266" s="1" t="str">
        <f aca="false">VLOOKUP(C1266,Меню!$A$2:$C$24,2,FALSE())</f>
        <v>Пицца Двойная пепперони</v>
      </c>
      <c r="F1266" s="1" t="n">
        <f aca="false">VLOOKUP(C1266,Меню!$A$2:$C$24,3,FALSE())</f>
        <v>575</v>
      </c>
      <c r="G1266" s="5" t="n">
        <f aca="false">VLOOKUP(B1266,Заказы!$A$2:$E$2995,2,FALSE())</f>
        <v>44035</v>
      </c>
      <c r="H1266" s="1" t="n">
        <f aca="false">VLOOKUP(B1266,Заказы!$A$2:$E$2995,3,FALSE())</f>
        <v>292</v>
      </c>
      <c r="I1266" s="1" t="str">
        <f aca="false">VLOOKUP(H1266,Клиенты!$A$2:$E$1995,5,FALSE())</f>
        <v>г. Алатырь</v>
      </c>
      <c r="J1266" s="1" t="n">
        <f aca="false">VLOOKUP(B1266,Заказы!$A$2:$E$2995,4,FALSE())</f>
        <v>0</v>
      </c>
      <c r="K1266" s="1" t="str">
        <f aca="false">VLOOKUP(B1266,Заказы!$A$2:$E$2995,5,FALSE())</f>
        <v>Не выполнено</v>
      </c>
      <c r="L1266" s="1" t="n">
        <f aca="false">D1266*F1266+J1266</f>
        <v>1725</v>
      </c>
      <c r="M1266" s="1" t="n">
        <f aca="false">IF(AND(E1266="Пицца Труслейка",I1266="г. Москва",K1266="Выполнено",G1266&gt;=DATE(2020,7,1),G1266&lt;DATE(2020,8,1)),L1266,0)</f>
        <v>0</v>
      </c>
    </row>
    <row r="1267" customFormat="false" ht="15" hidden="false" customHeight="true" outlineLevel="0" collapsed="false">
      <c r="A1267" s="1" t="n">
        <v>101161</v>
      </c>
      <c r="B1267" s="1" t="n">
        <v>51620</v>
      </c>
      <c r="C1267" s="1" t="n">
        <v>23</v>
      </c>
      <c r="D1267" s="1" t="n">
        <v>7</v>
      </c>
      <c r="E1267" s="1" t="str">
        <f aca="false">VLOOKUP(C1267,Меню!$A$2:$C$24,2,FALSE())</f>
        <v>Пицца с тунцом</v>
      </c>
      <c r="F1267" s="1" t="n">
        <f aca="false">VLOOKUP(C1267,Меню!$A$2:$C$24,3,FALSE())</f>
        <v>520</v>
      </c>
      <c r="G1267" s="5" t="n">
        <f aca="false">VLOOKUP(B1267,Заказы!$A$2:$E$2995,2,FALSE())</f>
        <v>44010</v>
      </c>
      <c r="H1267" s="1" t="n">
        <f aca="false">VLOOKUP(B1267,Заказы!$A$2:$E$2995,3,FALSE())</f>
        <v>43</v>
      </c>
      <c r="I1267" s="1" t="str">
        <f aca="false">VLOOKUP(H1267,Клиенты!$A$2:$E$1995,5,FALSE())</f>
        <v>г. Ставрополь</v>
      </c>
      <c r="J1267" s="1" t="n">
        <f aca="false">VLOOKUP(B1267,Заказы!$A$2:$E$2995,4,FALSE())</f>
        <v>770</v>
      </c>
      <c r="K1267" s="1" t="str">
        <f aca="false">VLOOKUP(B1267,Заказы!$A$2:$E$2995,5,FALSE())</f>
        <v>Выполнено</v>
      </c>
      <c r="L1267" s="1" t="n">
        <f aca="false">D1267*F1267+J1267</f>
        <v>4410</v>
      </c>
      <c r="M1267" s="1" t="n">
        <f aca="false">IF(AND(E1267="Пицца Труслейка",I1267="г. Москва",K1267="Выполнено",G1267&gt;=DATE(2020,7,1),G1267&lt;DATE(2020,8,1)),L1267,0)</f>
        <v>0</v>
      </c>
    </row>
    <row r="1268" customFormat="false" ht="15" hidden="false" customHeight="true" outlineLevel="0" collapsed="false">
      <c r="A1268" s="1" t="n">
        <v>100748</v>
      </c>
      <c r="B1268" s="1" t="n">
        <v>50191</v>
      </c>
      <c r="C1268" s="1" t="n">
        <v>20</v>
      </c>
      <c r="D1268" s="1" t="n">
        <v>1</v>
      </c>
      <c r="E1268" s="1" t="str">
        <f aca="false">VLOOKUP(C1268,Меню!$A$2:$C$24,2,FALSE())</f>
        <v>Пицца пиканте</v>
      </c>
      <c r="F1268" s="1" t="n">
        <f aca="false">VLOOKUP(C1268,Меню!$A$2:$C$24,3,FALSE())</f>
        <v>585</v>
      </c>
      <c r="G1268" s="5" t="n">
        <f aca="false">VLOOKUP(B1268,Заказы!$A$2:$E$2995,2,FALSE())</f>
        <v>44041</v>
      </c>
      <c r="H1268" s="1" t="n">
        <f aca="false">VLOOKUP(B1268,Заказы!$A$2:$E$2995,3,FALSE())</f>
        <v>1984</v>
      </c>
      <c r="I1268" s="1" t="str">
        <f aca="false">VLOOKUP(H1268,Клиенты!$A$2:$E$1995,5,FALSE())</f>
        <v>г. Барабинск</v>
      </c>
      <c r="J1268" s="1" t="n">
        <f aca="false">VLOOKUP(B1268,Заказы!$A$2:$E$2995,4,FALSE())</f>
        <v>740</v>
      </c>
      <c r="K1268" s="1" t="str">
        <f aca="false">VLOOKUP(B1268,Заказы!$A$2:$E$2995,5,FALSE())</f>
        <v>Выполнено</v>
      </c>
      <c r="L1268" s="1" t="n">
        <f aca="false">D1268*F1268+J1268</f>
        <v>1325</v>
      </c>
      <c r="M1268" s="1" t="n">
        <f aca="false">IF(AND(E1268="Пицца Труслейка",I1268="г. Москва",K1268="Выполнено",G1268&gt;=DATE(2020,7,1),G1268&lt;DATE(2020,8,1)),L1268,0)</f>
        <v>0</v>
      </c>
    </row>
    <row r="1269" customFormat="false" ht="15" hidden="false" customHeight="true" outlineLevel="0" collapsed="false">
      <c r="A1269" s="1" t="n">
        <v>101263</v>
      </c>
      <c r="B1269" s="1" t="n">
        <v>50769</v>
      </c>
      <c r="C1269" s="1" t="n">
        <v>1</v>
      </c>
      <c r="D1269" s="1" t="n">
        <v>7</v>
      </c>
      <c r="E1269" s="1" t="str">
        <f aca="false">VLOOKUP(C1269,Меню!$A$2:$C$24,2,FALSE())</f>
        <v>Пицца Гавайская</v>
      </c>
      <c r="F1269" s="1" t="n">
        <f aca="false">VLOOKUP(C1269,Меню!$A$2:$C$24,3,FALSE())</f>
        <v>545</v>
      </c>
      <c r="G1269" s="5" t="n">
        <f aca="false">VLOOKUP(B1269,Заказы!$A$2:$E$2995,2,FALSE())</f>
        <v>44067</v>
      </c>
      <c r="H1269" s="1" t="n">
        <f aca="false">VLOOKUP(B1269,Заказы!$A$2:$E$2995,3,FALSE())</f>
        <v>1844</v>
      </c>
      <c r="I1269" s="1" t="str">
        <f aca="false">VLOOKUP(H1269,Клиенты!$A$2:$E$1995,5,FALSE())</f>
        <v>г. Ялуторовск</v>
      </c>
      <c r="J1269" s="1" t="n">
        <f aca="false">VLOOKUP(B1269,Заказы!$A$2:$E$2995,4,FALSE())</f>
        <v>0</v>
      </c>
      <c r="K1269" s="1" t="str">
        <f aca="false">VLOOKUP(B1269,Заказы!$A$2:$E$2995,5,FALSE())</f>
        <v>Не выполнено</v>
      </c>
      <c r="L1269" s="1" t="n">
        <f aca="false">D1269*F1269+J1269</f>
        <v>3815</v>
      </c>
      <c r="M1269" s="1" t="n">
        <f aca="false">IF(AND(E1269="Пицца Труслейка",I1269="г. Москва",K1269="Выполнено",G1269&gt;=DATE(2020,7,1),G1269&lt;DATE(2020,8,1)),L1269,0)</f>
        <v>0</v>
      </c>
    </row>
    <row r="1270" customFormat="false" ht="15" hidden="false" customHeight="true" outlineLevel="0" collapsed="false">
      <c r="A1270" s="1" t="n">
        <v>101671</v>
      </c>
      <c r="B1270" s="1" t="n">
        <v>51267</v>
      </c>
      <c r="C1270" s="1" t="n">
        <v>23</v>
      </c>
      <c r="D1270" s="1" t="n">
        <v>4</v>
      </c>
      <c r="E1270" s="1" t="str">
        <f aca="false">VLOOKUP(C1270,Меню!$A$2:$C$24,2,FALSE())</f>
        <v>Пицца с тунцом</v>
      </c>
      <c r="F1270" s="1" t="n">
        <f aca="false">VLOOKUP(C1270,Меню!$A$2:$C$24,3,FALSE())</f>
        <v>520</v>
      </c>
      <c r="G1270" s="5" t="n">
        <f aca="false">VLOOKUP(B1270,Заказы!$A$2:$E$2995,2,FALSE())</f>
        <v>44047</v>
      </c>
      <c r="H1270" s="1" t="n">
        <f aca="false">VLOOKUP(B1270,Заказы!$A$2:$E$2995,3,FALSE())</f>
        <v>1774</v>
      </c>
      <c r="I1270" s="1" t="str">
        <f aca="false">VLOOKUP(H1270,Клиенты!$A$2:$E$1995,5,FALSE())</f>
        <v>г. Хилок</v>
      </c>
      <c r="J1270" s="1" t="n">
        <f aca="false">VLOOKUP(B1270,Заказы!$A$2:$E$2995,4,FALSE())</f>
        <v>0</v>
      </c>
      <c r="K1270" s="1" t="str">
        <f aca="false">VLOOKUP(B1270,Заказы!$A$2:$E$2995,5,FALSE())</f>
        <v>Не выполнено</v>
      </c>
      <c r="L1270" s="1" t="n">
        <f aca="false">D1270*F1270+J1270</f>
        <v>2080</v>
      </c>
      <c r="M1270" s="1" t="n">
        <f aca="false">IF(AND(E1270="Пицца Труслейка",I1270="г. Москва",K1270="Выполнено",G1270&gt;=DATE(2020,7,1),G1270&lt;DATE(2020,8,1)),L1270,0)</f>
        <v>0</v>
      </c>
    </row>
    <row r="1271" customFormat="false" ht="15" hidden="false" customHeight="true" outlineLevel="0" collapsed="false">
      <c r="A1271" s="1" t="n">
        <v>101933</v>
      </c>
      <c r="B1271" s="1" t="n">
        <v>51036</v>
      </c>
      <c r="C1271" s="1" t="n">
        <v>4</v>
      </c>
      <c r="D1271" s="1" t="n">
        <v>9</v>
      </c>
      <c r="E1271" s="1" t="str">
        <f aca="false">VLOOKUP(C1271,Меню!$A$2:$C$24,2,FALSE())</f>
        <v>Пицца Труслейка</v>
      </c>
      <c r="F1271" s="1" t="n">
        <f aca="false">VLOOKUP(C1271,Меню!$A$2:$C$24,3,FALSE())</f>
        <v>610</v>
      </c>
      <c r="G1271" s="5" t="n">
        <f aca="false">VLOOKUP(B1271,Заказы!$A$2:$E$2995,2,FALSE())</f>
        <v>44047</v>
      </c>
      <c r="H1271" s="1" t="n">
        <f aca="false">VLOOKUP(B1271,Заказы!$A$2:$E$2995,3,FALSE())</f>
        <v>1544</v>
      </c>
      <c r="I1271" s="1" t="str">
        <f aca="false">VLOOKUP(H1271,Клиенты!$A$2:$E$1995,5,FALSE())</f>
        <v>г. Боровичи</v>
      </c>
      <c r="J1271" s="1" t="n">
        <f aca="false">VLOOKUP(B1271,Заказы!$A$2:$E$2995,4,FALSE())</f>
        <v>0</v>
      </c>
      <c r="K1271" s="1" t="str">
        <f aca="false">VLOOKUP(B1271,Заказы!$A$2:$E$2995,5,FALSE())</f>
        <v>Не выполнено</v>
      </c>
      <c r="L1271" s="1" t="n">
        <f aca="false">D1271*F1271+J1271</f>
        <v>5490</v>
      </c>
      <c r="M1271" s="1" t="n">
        <f aca="false">IF(AND(E1271="Пицца Труслейка",I1271="г. Москва",K1271="Выполнено",G1271&gt;=DATE(2020,7,1),G1271&lt;DATE(2020,8,1)),L1271,0)</f>
        <v>0</v>
      </c>
    </row>
    <row r="1272" customFormat="false" ht="15" hidden="false" customHeight="true" outlineLevel="0" collapsed="false">
      <c r="A1272" s="1" t="n">
        <v>100674</v>
      </c>
      <c r="B1272" s="1" t="n">
        <v>50068</v>
      </c>
      <c r="C1272" s="1" t="n">
        <v>15</v>
      </c>
      <c r="D1272" s="1" t="n">
        <v>10</v>
      </c>
      <c r="E1272" s="1" t="str">
        <f aca="false">VLOOKUP(C1272,Меню!$A$2:$C$24,2,FALSE())</f>
        <v>Пицца Тропиканка</v>
      </c>
      <c r="F1272" s="1" t="n">
        <f aca="false">VLOOKUP(C1272,Меню!$A$2:$C$24,3,FALSE())</f>
        <v>605</v>
      </c>
      <c r="G1272" s="5" t="n">
        <f aca="false">VLOOKUP(B1272,Заказы!$A$2:$E$2995,2,FALSE())</f>
        <v>43993</v>
      </c>
      <c r="H1272" s="1" t="n">
        <f aca="false">VLOOKUP(B1272,Заказы!$A$2:$E$2995,3,FALSE())</f>
        <v>1078</v>
      </c>
      <c r="I1272" s="1" t="str">
        <f aca="false">VLOOKUP(H1272,Клиенты!$A$2:$E$1995,5,FALSE())</f>
        <v>г. Ставрополь</v>
      </c>
      <c r="J1272" s="1" t="n">
        <f aca="false">VLOOKUP(B1272,Заказы!$A$2:$E$2995,4,FALSE())</f>
        <v>0</v>
      </c>
      <c r="K1272" s="1" t="str">
        <f aca="false">VLOOKUP(B1272,Заказы!$A$2:$E$2995,5,FALSE())</f>
        <v>Не выполнено</v>
      </c>
      <c r="L1272" s="1" t="n">
        <f aca="false">D1272*F1272+J1272</f>
        <v>6050</v>
      </c>
      <c r="M1272" s="1" t="n">
        <f aca="false">IF(AND(E1272="Пицца Труслейка",I1272="г. Москва",K1272="Выполнено",G1272&gt;=DATE(2020,7,1),G1272&lt;DATE(2020,8,1)),L1272,0)</f>
        <v>0</v>
      </c>
    </row>
    <row r="1273" customFormat="false" ht="15" hidden="false" customHeight="true" outlineLevel="0" collapsed="false">
      <c r="A1273" s="1" t="n">
        <v>101126</v>
      </c>
      <c r="B1273" s="1" t="n">
        <v>51104</v>
      </c>
      <c r="C1273" s="1" t="n">
        <v>9</v>
      </c>
      <c r="D1273" s="1" t="n">
        <v>5</v>
      </c>
      <c r="E1273" s="1" t="str">
        <f aca="false">VLOOKUP(C1273,Меню!$A$2:$C$24,2,FALSE())</f>
        <v>Пицца Острая с беконом</v>
      </c>
      <c r="F1273" s="1" t="n">
        <f aca="false">VLOOKUP(C1273,Меню!$A$2:$C$24,3,FALSE())</f>
        <v>540</v>
      </c>
      <c r="G1273" s="5" t="n">
        <f aca="false">VLOOKUP(B1273,Заказы!$A$2:$E$2995,2,FALSE())</f>
        <v>44031</v>
      </c>
      <c r="H1273" s="1" t="n">
        <f aca="false">VLOOKUP(B1273,Заказы!$A$2:$E$2995,3,FALSE())</f>
        <v>1631</v>
      </c>
      <c r="I1273" s="1" t="str">
        <f aca="false">VLOOKUP(H1273,Клиенты!$A$2:$E$1995,5,FALSE())</f>
        <v>г. Зерноград</v>
      </c>
      <c r="J1273" s="1" t="n">
        <f aca="false">VLOOKUP(B1273,Заказы!$A$2:$E$2995,4,FALSE())</f>
        <v>0</v>
      </c>
      <c r="K1273" s="1" t="str">
        <f aca="false">VLOOKUP(B1273,Заказы!$A$2:$E$2995,5,FALSE())</f>
        <v>Не выполнено</v>
      </c>
      <c r="L1273" s="1" t="n">
        <f aca="false">D1273*F1273+J1273</f>
        <v>2700</v>
      </c>
      <c r="M1273" s="1" t="n">
        <f aca="false">IF(AND(E1273="Пицца Труслейка",I1273="г. Москва",K1273="Выполнено",G1273&gt;=DATE(2020,7,1),G1273&lt;DATE(2020,8,1)),L1273,0)</f>
        <v>0</v>
      </c>
    </row>
    <row r="1274" customFormat="false" ht="15" hidden="false" customHeight="true" outlineLevel="0" collapsed="false">
      <c r="A1274" s="1" t="n">
        <v>101352</v>
      </c>
      <c r="B1274" s="1" t="n">
        <v>51374</v>
      </c>
      <c r="C1274" s="1" t="n">
        <v>17</v>
      </c>
      <c r="D1274" s="1" t="n">
        <v>5</v>
      </c>
      <c r="E1274" s="1" t="str">
        <f aca="false">VLOOKUP(C1274,Меню!$A$2:$C$24,2,FALSE())</f>
        <v>Пицца Френч Фрайз</v>
      </c>
      <c r="F1274" s="1" t="n">
        <f aca="false">VLOOKUP(C1274,Меню!$A$2:$C$24,3,FALSE())</f>
        <v>515</v>
      </c>
      <c r="G1274" s="5" t="n">
        <f aca="false">VLOOKUP(B1274,Заказы!$A$2:$E$2995,2,FALSE())</f>
        <v>44054</v>
      </c>
      <c r="H1274" s="1" t="n">
        <f aca="false">VLOOKUP(B1274,Заказы!$A$2:$E$2995,3,FALSE())</f>
        <v>18</v>
      </c>
      <c r="I1274" s="1" t="str">
        <f aca="false">VLOOKUP(H1274,Клиенты!$A$2:$E$1995,5,FALSE())</f>
        <v>г. Костерёво</v>
      </c>
      <c r="J1274" s="1" t="n">
        <f aca="false">VLOOKUP(B1274,Заказы!$A$2:$E$2995,4,FALSE())</f>
        <v>0</v>
      </c>
      <c r="K1274" s="1" t="str">
        <f aca="false">VLOOKUP(B1274,Заказы!$A$2:$E$2995,5,FALSE())</f>
        <v>Не выполнено</v>
      </c>
      <c r="L1274" s="1" t="n">
        <f aca="false">D1274*F1274+J1274</f>
        <v>2575</v>
      </c>
      <c r="M1274" s="1" t="n">
        <f aca="false">IF(AND(E1274="Пицца Труслейка",I1274="г. Москва",K1274="Выполнено",G1274&gt;=DATE(2020,7,1),G1274&lt;DATE(2020,8,1)),L1274,0)</f>
        <v>0</v>
      </c>
    </row>
    <row r="1275" customFormat="false" ht="15" hidden="false" customHeight="true" outlineLevel="0" collapsed="false">
      <c r="A1275" s="1" t="n">
        <v>100001</v>
      </c>
      <c r="B1275" s="1" t="n">
        <v>51676</v>
      </c>
      <c r="C1275" s="1" t="n">
        <v>1</v>
      </c>
      <c r="D1275" s="1" t="n">
        <v>4</v>
      </c>
      <c r="E1275" s="1" t="str">
        <f aca="false">VLOOKUP(C1275,Меню!$A$2:$C$24,2,FALSE())</f>
        <v>Пицца Гавайская</v>
      </c>
      <c r="F1275" s="1" t="n">
        <f aca="false">VLOOKUP(C1275,Меню!$A$2:$C$24,3,FALSE())</f>
        <v>545</v>
      </c>
      <c r="G1275" s="5" t="n">
        <f aca="false">VLOOKUP(B1275,Заказы!$A$2:$E$2995,2,FALSE())</f>
        <v>44008</v>
      </c>
      <c r="H1275" s="1" t="n">
        <f aca="false">VLOOKUP(B1275,Заказы!$A$2:$E$2995,3,FALSE())</f>
        <v>1235</v>
      </c>
      <c r="I1275" s="1" t="str">
        <f aca="false">VLOOKUP(H1275,Клиенты!$A$2:$E$1995,5,FALSE())</f>
        <v>г. Кушва</v>
      </c>
      <c r="J1275" s="1" t="n">
        <f aca="false">VLOOKUP(B1275,Заказы!$A$2:$E$2995,4,FALSE())</f>
        <v>0</v>
      </c>
      <c r="K1275" s="1" t="str">
        <f aca="false">VLOOKUP(B1275,Заказы!$A$2:$E$2995,5,FALSE())</f>
        <v>Не выполнено</v>
      </c>
      <c r="L1275" s="1" t="n">
        <f aca="false">D1275*F1275+J1275</f>
        <v>2180</v>
      </c>
      <c r="M1275" s="1" t="n">
        <f aca="false">IF(AND(E1275="Пицца Труслейка",I1275="г. Москва",K1275="Выполнено",G1275&gt;=DATE(2020,7,1),G1275&lt;DATE(2020,8,1)),L1275,0)</f>
        <v>0</v>
      </c>
    </row>
    <row r="1276" customFormat="false" ht="15" hidden="false" customHeight="true" outlineLevel="0" collapsed="false">
      <c r="A1276" s="1" t="n">
        <v>100567</v>
      </c>
      <c r="B1276" s="1" t="n">
        <v>51055</v>
      </c>
      <c r="C1276" s="1" t="n">
        <v>14</v>
      </c>
      <c r="D1276" s="1" t="n">
        <v>8</v>
      </c>
      <c r="E1276" s="1" t="str">
        <f aca="false">VLOOKUP(C1276,Меню!$A$2:$C$24,2,FALSE())</f>
        <v>Пицца Сырный цыпленок</v>
      </c>
      <c r="F1276" s="1" t="n">
        <f aca="false">VLOOKUP(C1276,Меню!$A$2:$C$24,3,FALSE())</f>
        <v>555</v>
      </c>
      <c r="G1276" s="5" t="n">
        <f aca="false">VLOOKUP(B1276,Заказы!$A$2:$E$2995,2,FALSE())</f>
        <v>44066</v>
      </c>
      <c r="H1276" s="1" t="n">
        <f aca="false">VLOOKUP(B1276,Заказы!$A$2:$E$2995,3,FALSE())</f>
        <v>137</v>
      </c>
      <c r="I1276" s="1" t="str">
        <f aca="false">VLOOKUP(H1276,Клиенты!$A$2:$E$1995,5,FALSE())</f>
        <v>г. Североморск</v>
      </c>
      <c r="J1276" s="1" t="n">
        <f aca="false">VLOOKUP(B1276,Заказы!$A$2:$E$2995,4,FALSE())</f>
        <v>735</v>
      </c>
      <c r="K1276" s="1" t="str">
        <f aca="false">VLOOKUP(B1276,Заказы!$A$2:$E$2995,5,FALSE())</f>
        <v>Выполнено</v>
      </c>
      <c r="L1276" s="1" t="n">
        <f aca="false">D1276*F1276+J1276</f>
        <v>5175</v>
      </c>
      <c r="M1276" s="1" t="n">
        <f aca="false">IF(AND(E1276="Пицца Труслейка",I1276="г. Москва",K1276="Выполнено",G1276&gt;=DATE(2020,7,1),G1276&lt;DATE(2020,8,1)),L1276,0)</f>
        <v>0</v>
      </c>
    </row>
    <row r="1277" customFormat="false" ht="15" hidden="false" customHeight="true" outlineLevel="0" collapsed="false">
      <c r="A1277" s="1" t="n">
        <v>100932</v>
      </c>
      <c r="B1277" s="1" t="n">
        <v>50675</v>
      </c>
      <c r="C1277" s="1" t="n">
        <v>12</v>
      </c>
      <c r="D1277" s="1" t="n">
        <v>5</v>
      </c>
      <c r="E1277" s="1" t="str">
        <f aca="false">VLOOKUP(C1277,Меню!$A$2:$C$24,2,FALSE())</f>
        <v>Пицца Салями с трюфелем</v>
      </c>
      <c r="F1277" s="1" t="n">
        <f aca="false">VLOOKUP(C1277,Меню!$A$2:$C$24,3,FALSE())</f>
        <v>525</v>
      </c>
      <c r="G1277" s="5" t="n">
        <f aca="false">VLOOKUP(B1277,Заказы!$A$2:$E$2995,2,FALSE())</f>
        <v>43988</v>
      </c>
      <c r="H1277" s="1" t="n">
        <f aca="false">VLOOKUP(B1277,Заказы!$A$2:$E$2995,3,FALSE())</f>
        <v>1030</v>
      </c>
      <c r="I1277" s="1" t="str">
        <f aca="false">VLOOKUP(H1277,Клиенты!$A$2:$E$1995,5,FALSE())</f>
        <v>г. Москва</v>
      </c>
      <c r="J1277" s="1" t="n">
        <f aca="false">VLOOKUP(B1277,Заказы!$A$2:$E$2995,4,FALSE())</f>
        <v>342</v>
      </c>
      <c r="K1277" s="1" t="str">
        <f aca="false">VLOOKUP(B1277,Заказы!$A$2:$E$2995,5,FALSE())</f>
        <v>Выполнено</v>
      </c>
      <c r="L1277" s="1" t="n">
        <f aca="false">D1277*F1277+J1277</f>
        <v>2967</v>
      </c>
      <c r="M1277" s="1" t="n">
        <f aca="false">IF(AND(E1277="Пицца Труслейка",I1277="г. Москва",K1277="Выполнено",G1277&gt;=DATE(2020,7,1),G1277&lt;DATE(2020,8,1)),L1277,0)</f>
        <v>0</v>
      </c>
    </row>
    <row r="1278" customFormat="false" ht="15" hidden="false" customHeight="true" outlineLevel="0" collapsed="false">
      <c r="A1278" s="1" t="n">
        <v>101543</v>
      </c>
      <c r="B1278" s="1" t="n">
        <v>51013</v>
      </c>
      <c r="C1278" s="1" t="n">
        <v>12</v>
      </c>
      <c r="D1278" s="1" t="n">
        <v>5</v>
      </c>
      <c r="E1278" s="1" t="str">
        <f aca="false">VLOOKUP(C1278,Меню!$A$2:$C$24,2,FALSE())</f>
        <v>Пицца Салями с трюфелем</v>
      </c>
      <c r="F1278" s="1" t="n">
        <f aca="false">VLOOKUP(C1278,Меню!$A$2:$C$24,3,FALSE())</f>
        <v>525</v>
      </c>
      <c r="G1278" s="5" t="n">
        <f aca="false">VLOOKUP(B1278,Заказы!$A$2:$E$2995,2,FALSE())</f>
        <v>44036</v>
      </c>
      <c r="H1278" s="1" t="n">
        <f aca="false">VLOOKUP(B1278,Заказы!$A$2:$E$2995,3,FALSE())</f>
        <v>678</v>
      </c>
      <c r="I1278" s="1" t="str">
        <f aca="false">VLOOKUP(H1278,Клиенты!$A$2:$E$1995,5,FALSE())</f>
        <v>г. Щёкино</v>
      </c>
      <c r="J1278" s="1" t="n">
        <f aca="false">VLOOKUP(B1278,Заказы!$A$2:$E$2995,4,FALSE())</f>
        <v>732</v>
      </c>
      <c r="K1278" s="1" t="str">
        <f aca="false">VLOOKUP(B1278,Заказы!$A$2:$E$2995,5,FALSE())</f>
        <v>Выполнено</v>
      </c>
      <c r="L1278" s="1" t="n">
        <f aca="false">D1278*F1278+J1278</f>
        <v>3357</v>
      </c>
      <c r="M1278" s="1" t="n">
        <f aca="false">IF(AND(E1278="Пицца Труслейка",I1278="г. Москва",K1278="Выполнено",G1278&gt;=DATE(2020,7,1),G1278&lt;DATE(2020,8,1)),L1278,0)</f>
        <v>0</v>
      </c>
    </row>
    <row r="1279" customFormat="false" ht="15" hidden="false" customHeight="true" outlineLevel="0" collapsed="false">
      <c r="A1279" s="1" t="n">
        <v>100792</v>
      </c>
      <c r="B1279" s="1" t="n">
        <v>51472</v>
      </c>
      <c r="C1279" s="1" t="n">
        <v>16</v>
      </c>
      <c r="D1279" s="1" t="n">
        <v>6</v>
      </c>
      <c r="E1279" s="1" t="str">
        <f aca="false">VLOOKUP(C1279,Меню!$A$2:$C$24,2,FALSE())</f>
        <v>Пицца Флорида</v>
      </c>
      <c r="F1279" s="1" t="n">
        <f aca="false">VLOOKUP(C1279,Меню!$A$2:$C$24,3,FALSE())</f>
        <v>535</v>
      </c>
      <c r="G1279" s="5" t="n">
        <f aca="false">VLOOKUP(B1279,Заказы!$A$2:$E$2995,2,FALSE())</f>
        <v>44051</v>
      </c>
      <c r="H1279" s="1" t="n">
        <f aca="false">VLOOKUP(B1279,Заказы!$A$2:$E$2995,3,FALSE())</f>
        <v>673</v>
      </c>
      <c r="I1279" s="1" t="str">
        <f aca="false">VLOOKUP(H1279,Клиенты!$A$2:$E$1995,5,FALSE())</f>
        <v>г. Клинцы</v>
      </c>
      <c r="J1279" s="1" t="n">
        <f aca="false">VLOOKUP(B1279,Заказы!$A$2:$E$2995,4,FALSE())</f>
        <v>0</v>
      </c>
      <c r="K1279" s="1" t="str">
        <f aca="false">VLOOKUP(B1279,Заказы!$A$2:$E$2995,5,FALSE())</f>
        <v>Не выполнено</v>
      </c>
      <c r="L1279" s="1" t="n">
        <f aca="false">D1279*F1279+J1279</f>
        <v>3210</v>
      </c>
      <c r="M1279" s="1" t="n">
        <f aca="false">IF(AND(E1279="Пицца Труслейка",I1279="г. Москва",K1279="Выполнено",G1279&gt;=DATE(2020,7,1),G1279&lt;DATE(2020,8,1)),L1279,0)</f>
        <v>0</v>
      </c>
    </row>
    <row r="1280" customFormat="false" ht="15" hidden="false" customHeight="true" outlineLevel="0" collapsed="false">
      <c r="A1280" s="1" t="n">
        <v>101553</v>
      </c>
      <c r="B1280" s="1" t="n">
        <v>50710</v>
      </c>
      <c r="C1280" s="1" t="n">
        <v>15</v>
      </c>
      <c r="D1280" s="1" t="n">
        <v>2</v>
      </c>
      <c r="E1280" s="1" t="str">
        <f aca="false">VLOOKUP(C1280,Меню!$A$2:$C$24,2,FALSE())</f>
        <v>Пицца Тропиканка</v>
      </c>
      <c r="F1280" s="1" t="n">
        <f aca="false">VLOOKUP(C1280,Меню!$A$2:$C$24,3,FALSE())</f>
        <v>605</v>
      </c>
      <c r="G1280" s="5" t="n">
        <f aca="false">VLOOKUP(B1280,Заказы!$A$2:$E$2995,2,FALSE())</f>
        <v>44036</v>
      </c>
      <c r="H1280" s="1" t="n">
        <f aca="false">VLOOKUP(B1280,Заказы!$A$2:$E$2995,3,FALSE())</f>
        <v>1826</v>
      </c>
      <c r="I1280" s="1" t="str">
        <f aca="false">VLOOKUP(H1280,Клиенты!$A$2:$E$1995,5,FALSE())</f>
        <v>г. Саратов</v>
      </c>
      <c r="J1280" s="1" t="n">
        <f aca="false">VLOOKUP(B1280,Заказы!$A$2:$E$2995,4,FALSE())</f>
        <v>0</v>
      </c>
      <c r="K1280" s="1" t="str">
        <f aca="false">VLOOKUP(B1280,Заказы!$A$2:$E$2995,5,FALSE())</f>
        <v>Не выполнено</v>
      </c>
      <c r="L1280" s="1" t="n">
        <f aca="false">D1280*F1280+J1280</f>
        <v>1210</v>
      </c>
      <c r="M1280" s="1" t="n">
        <f aca="false">IF(AND(E1280="Пицца Труслейка",I1280="г. Москва",K1280="Выполнено",G1280&gt;=DATE(2020,7,1),G1280&lt;DATE(2020,8,1)),L1280,0)</f>
        <v>0</v>
      </c>
    </row>
    <row r="1281" customFormat="false" ht="15" hidden="false" customHeight="true" outlineLevel="0" collapsed="false">
      <c r="A1281" s="1" t="n">
        <v>101375</v>
      </c>
      <c r="B1281" s="1" t="n">
        <v>51733</v>
      </c>
      <c r="C1281" s="1" t="n">
        <v>4</v>
      </c>
      <c r="D1281" s="1" t="n">
        <v>6</v>
      </c>
      <c r="E1281" s="1" t="str">
        <f aca="false">VLOOKUP(C1281,Меню!$A$2:$C$24,2,FALSE())</f>
        <v>Пицца Труслейка</v>
      </c>
      <c r="F1281" s="1" t="n">
        <f aca="false">VLOOKUP(C1281,Меню!$A$2:$C$24,3,FALSE())</f>
        <v>610</v>
      </c>
      <c r="G1281" s="5" t="n">
        <f aca="false">VLOOKUP(B1281,Заказы!$A$2:$E$2995,2,FALSE())</f>
        <v>44029</v>
      </c>
      <c r="H1281" s="1" t="n">
        <f aca="false">VLOOKUP(B1281,Заказы!$A$2:$E$2995,3,FALSE())</f>
        <v>851</v>
      </c>
      <c r="I1281" s="1" t="str">
        <f aca="false">VLOOKUP(H1281,Клиенты!$A$2:$E$1995,5,FALSE())</f>
        <v>г. Белоярский</v>
      </c>
      <c r="J1281" s="1" t="n">
        <f aca="false">VLOOKUP(B1281,Заказы!$A$2:$E$2995,4,FALSE())</f>
        <v>319</v>
      </c>
      <c r="K1281" s="1" t="str">
        <f aca="false">VLOOKUP(B1281,Заказы!$A$2:$E$2995,5,FALSE())</f>
        <v>Выполнено</v>
      </c>
      <c r="L1281" s="1" t="n">
        <f aca="false">D1281*F1281+J1281</f>
        <v>3979</v>
      </c>
      <c r="M1281" s="1" t="n">
        <f aca="false">IF(AND(E1281="Пицца Труслейка",I1281="г. Москва",K1281="Выполнено",G1281&gt;=DATE(2020,7,1),G1281&lt;DATE(2020,8,1)),L1281,0)</f>
        <v>0</v>
      </c>
    </row>
    <row r="1282" customFormat="false" ht="15" hidden="false" customHeight="true" outlineLevel="0" collapsed="false">
      <c r="A1282" s="1" t="n">
        <v>100055</v>
      </c>
      <c r="B1282" s="1" t="n">
        <v>50725</v>
      </c>
      <c r="C1282" s="1" t="n">
        <v>18</v>
      </c>
      <c r="D1282" s="1" t="n">
        <v>3</v>
      </c>
      <c r="E1282" s="1" t="str">
        <f aca="false">VLOOKUP(C1282,Меню!$A$2:$C$24,2,FALSE())</f>
        <v>Пицца Царская</v>
      </c>
      <c r="F1282" s="1" t="n">
        <f aca="false">VLOOKUP(C1282,Меню!$A$2:$C$24,3,FALSE())</f>
        <v>620</v>
      </c>
      <c r="G1282" s="5" t="n">
        <f aca="false">VLOOKUP(B1282,Заказы!$A$2:$E$2995,2,FALSE())</f>
        <v>43988</v>
      </c>
      <c r="H1282" s="1" t="n">
        <f aca="false">VLOOKUP(B1282,Заказы!$A$2:$E$2995,3,FALSE())</f>
        <v>1870</v>
      </c>
      <c r="I1282" s="1" t="str">
        <f aca="false">VLOOKUP(H1282,Клиенты!$A$2:$E$1995,5,FALSE())</f>
        <v>г. Москва</v>
      </c>
      <c r="J1282" s="1" t="n">
        <f aca="false">VLOOKUP(B1282,Заказы!$A$2:$E$2995,4,FALSE())</f>
        <v>0</v>
      </c>
      <c r="K1282" s="1" t="str">
        <f aca="false">VLOOKUP(B1282,Заказы!$A$2:$E$2995,5,FALSE())</f>
        <v>Не выполнено</v>
      </c>
      <c r="L1282" s="1" t="n">
        <f aca="false">D1282*F1282+J1282</f>
        <v>1860</v>
      </c>
      <c r="M1282" s="1" t="n">
        <f aca="false">IF(AND(E1282="Пицца Труслейка",I1282="г. Москва",K1282="Выполнено",G1282&gt;=DATE(2020,7,1),G1282&lt;DATE(2020,8,1)),L1282,0)</f>
        <v>0</v>
      </c>
    </row>
    <row r="1283" customFormat="false" ht="15" hidden="false" customHeight="true" outlineLevel="0" collapsed="false">
      <c r="A1283" s="1" t="n">
        <v>100910</v>
      </c>
      <c r="B1283" s="1" t="n">
        <v>50426</v>
      </c>
      <c r="C1283" s="1" t="n">
        <v>4</v>
      </c>
      <c r="D1283" s="1" t="n">
        <v>7</v>
      </c>
      <c r="E1283" s="1" t="str">
        <f aca="false">VLOOKUP(C1283,Меню!$A$2:$C$24,2,FALSE())</f>
        <v>Пицца Труслейка</v>
      </c>
      <c r="F1283" s="1" t="n">
        <f aca="false">VLOOKUP(C1283,Меню!$A$2:$C$24,3,FALSE())</f>
        <v>610</v>
      </c>
      <c r="G1283" s="5" t="n">
        <f aca="false">VLOOKUP(B1283,Заказы!$A$2:$E$2995,2,FALSE())</f>
        <v>43990</v>
      </c>
      <c r="H1283" s="1" t="n">
        <f aca="false">VLOOKUP(B1283,Заказы!$A$2:$E$2995,3,FALSE())</f>
        <v>1083</v>
      </c>
      <c r="I1283" s="1" t="str">
        <f aca="false">VLOOKUP(H1283,Клиенты!$A$2:$E$1995,5,FALSE())</f>
        <v>г. Воронеж</v>
      </c>
      <c r="J1283" s="1" t="n">
        <f aca="false">VLOOKUP(B1283,Заказы!$A$2:$E$2995,4,FALSE())</f>
        <v>0</v>
      </c>
      <c r="K1283" s="1" t="str">
        <f aca="false">VLOOKUP(B1283,Заказы!$A$2:$E$2995,5,FALSE())</f>
        <v>Не выполнено</v>
      </c>
      <c r="L1283" s="1" t="n">
        <f aca="false">D1283*F1283+J1283</f>
        <v>4270</v>
      </c>
      <c r="M1283" s="1" t="n">
        <f aca="false">IF(AND(E1283="Пицца Труслейка",I1283="г. Москва",K1283="Выполнено",G1283&gt;=DATE(2020,7,1),G1283&lt;DATE(2020,8,1)),L1283,0)</f>
        <v>0</v>
      </c>
    </row>
    <row r="1284" customFormat="false" ht="15" hidden="false" customHeight="true" outlineLevel="0" collapsed="false">
      <c r="A1284" s="1" t="n">
        <v>101175</v>
      </c>
      <c r="B1284" s="1" t="n">
        <v>51314</v>
      </c>
      <c r="C1284" s="1" t="n">
        <v>3</v>
      </c>
      <c r="D1284" s="1" t="n">
        <v>7</v>
      </c>
      <c r="E1284" s="1" t="str">
        <f aca="false">VLOOKUP(C1284,Меню!$A$2:$C$24,2,FALSE())</f>
        <v>Пицца Диабло</v>
      </c>
      <c r="F1284" s="1" t="n">
        <f aca="false">VLOOKUP(C1284,Меню!$A$2:$C$24,3,FALSE())</f>
        <v>590</v>
      </c>
      <c r="G1284" s="5" t="n">
        <f aca="false">VLOOKUP(B1284,Заказы!$A$2:$E$2995,2,FALSE())</f>
        <v>44027</v>
      </c>
      <c r="H1284" s="1" t="n">
        <f aca="false">VLOOKUP(B1284,Заказы!$A$2:$E$2995,3,FALSE())</f>
        <v>1088</v>
      </c>
      <c r="I1284" s="1" t="str">
        <f aca="false">VLOOKUP(H1284,Клиенты!$A$2:$E$1995,5,FALSE())</f>
        <v>г. Знаменск</v>
      </c>
      <c r="J1284" s="1" t="n">
        <f aca="false">VLOOKUP(B1284,Заказы!$A$2:$E$2995,4,FALSE())</f>
        <v>0</v>
      </c>
      <c r="K1284" s="1" t="str">
        <f aca="false">VLOOKUP(B1284,Заказы!$A$2:$E$2995,5,FALSE())</f>
        <v>Не выполнено</v>
      </c>
      <c r="L1284" s="1" t="n">
        <f aca="false">D1284*F1284+J1284</f>
        <v>4130</v>
      </c>
      <c r="M1284" s="1" t="n">
        <f aca="false">IF(AND(E1284="Пицца Труслейка",I1284="г. Москва",K1284="Выполнено",G1284&gt;=DATE(2020,7,1),G1284&lt;DATE(2020,8,1)),L1284,0)</f>
        <v>0</v>
      </c>
    </row>
    <row r="1285" customFormat="false" ht="15" hidden="false" customHeight="true" outlineLevel="0" collapsed="false">
      <c r="A1285" s="1" t="n">
        <v>100747</v>
      </c>
      <c r="B1285" s="1" t="n">
        <v>51447</v>
      </c>
      <c r="C1285" s="1" t="n">
        <v>22</v>
      </c>
      <c r="D1285" s="1" t="n">
        <v>1</v>
      </c>
      <c r="E1285" s="1" t="str">
        <f aca="false">VLOOKUP(C1285,Меню!$A$2:$C$24,2,FALSE())</f>
        <v>Пицца с поркеттой и фриарелли</v>
      </c>
      <c r="F1285" s="1" t="n">
        <f aca="false">VLOOKUP(C1285,Меню!$A$2:$C$24,3,FALSE())</f>
        <v>550</v>
      </c>
      <c r="G1285" s="5" t="n">
        <f aca="false">VLOOKUP(B1285,Заказы!$A$2:$E$2995,2,FALSE())</f>
        <v>44013</v>
      </c>
      <c r="H1285" s="1" t="n">
        <f aca="false">VLOOKUP(B1285,Заказы!$A$2:$E$2995,3,FALSE())</f>
        <v>1572</v>
      </c>
      <c r="I1285" s="1" t="str">
        <f aca="false">VLOOKUP(H1285,Клиенты!$A$2:$E$1995,5,FALSE())</f>
        <v>г. Калининск</v>
      </c>
      <c r="J1285" s="1" t="n">
        <f aca="false">VLOOKUP(B1285,Заказы!$A$2:$E$2995,4,FALSE())</f>
        <v>848</v>
      </c>
      <c r="K1285" s="1" t="str">
        <f aca="false">VLOOKUP(B1285,Заказы!$A$2:$E$2995,5,FALSE())</f>
        <v>Выполнено</v>
      </c>
      <c r="L1285" s="1" t="n">
        <f aca="false">D1285*F1285+J1285</f>
        <v>1398</v>
      </c>
      <c r="M1285" s="1" t="n">
        <f aca="false">IF(AND(E1285="Пицца Труслейка",I1285="г. Москва",K1285="Выполнено",G1285&gt;=DATE(2020,7,1),G1285&lt;DATE(2020,8,1)),L1285,0)</f>
        <v>0</v>
      </c>
    </row>
    <row r="1286" customFormat="false" ht="15" hidden="false" customHeight="true" outlineLevel="0" collapsed="false">
      <c r="A1286" s="1" t="n">
        <v>100862</v>
      </c>
      <c r="B1286" s="1" t="n">
        <v>50173</v>
      </c>
      <c r="C1286" s="1" t="n">
        <v>2</v>
      </c>
      <c r="D1286" s="1" t="n">
        <v>7</v>
      </c>
      <c r="E1286" s="1" t="str">
        <f aca="false">VLOOKUP(C1286,Меню!$A$2:$C$24,2,FALSE())</f>
        <v>Пицца Двойная пепперони</v>
      </c>
      <c r="F1286" s="1" t="n">
        <f aca="false">VLOOKUP(C1286,Меню!$A$2:$C$24,3,FALSE())</f>
        <v>575</v>
      </c>
      <c r="G1286" s="5" t="n">
        <f aca="false">VLOOKUP(B1286,Заказы!$A$2:$E$2995,2,FALSE())</f>
        <v>44022</v>
      </c>
      <c r="H1286" s="1" t="n">
        <f aca="false">VLOOKUP(B1286,Заказы!$A$2:$E$2995,3,FALSE())</f>
        <v>850</v>
      </c>
      <c r="I1286" s="1" t="str">
        <f aca="false">VLOOKUP(H1286,Клиенты!$A$2:$E$1995,5,FALSE())</f>
        <v>г. Москва</v>
      </c>
      <c r="J1286" s="1" t="n">
        <f aca="false">VLOOKUP(B1286,Заказы!$A$2:$E$2995,4,FALSE())</f>
        <v>762</v>
      </c>
      <c r="K1286" s="1" t="str">
        <f aca="false">VLOOKUP(B1286,Заказы!$A$2:$E$2995,5,FALSE())</f>
        <v>Выполнено</v>
      </c>
      <c r="L1286" s="1" t="n">
        <f aca="false">D1286*F1286+J1286</f>
        <v>4787</v>
      </c>
      <c r="M1286" s="1" t="n">
        <f aca="false">IF(AND(E1286="Пицца Труслейка",I1286="г. Москва",K1286="Выполнено",G1286&gt;=DATE(2020,7,1),G1286&lt;DATE(2020,8,1)),L1286,0)</f>
        <v>0</v>
      </c>
    </row>
    <row r="1287" customFormat="false" ht="15" hidden="false" customHeight="true" outlineLevel="0" collapsed="false">
      <c r="A1287" s="1" t="n">
        <v>100039</v>
      </c>
      <c r="B1287" s="1" t="n">
        <v>51680</v>
      </c>
      <c r="C1287" s="1" t="n">
        <v>21</v>
      </c>
      <c r="D1287" s="1" t="n">
        <v>10</v>
      </c>
      <c r="E1287" s="1" t="str">
        <f aca="false">VLOOKUP(C1287,Меню!$A$2:$C$24,2,FALSE())</f>
        <v>Пицца с креветками и цукини</v>
      </c>
      <c r="F1287" s="1" t="n">
        <f aca="false">VLOOKUP(C1287,Меню!$A$2:$C$24,3,FALSE())</f>
        <v>600</v>
      </c>
      <c r="G1287" s="5" t="n">
        <f aca="false">VLOOKUP(B1287,Заказы!$A$2:$E$2995,2,FALSE())</f>
        <v>44059</v>
      </c>
      <c r="H1287" s="1" t="n">
        <f aca="false">VLOOKUP(B1287,Заказы!$A$2:$E$2995,3,FALSE())</f>
        <v>368</v>
      </c>
      <c r="I1287" s="1" t="str">
        <f aca="false">VLOOKUP(H1287,Клиенты!$A$2:$E$1995,5,FALSE())</f>
        <v>г. Белебей</v>
      </c>
      <c r="J1287" s="1" t="n">
        <f aca="false">VLOOKUP(B1287,Заказы!$A$2:$E$2995,4,FALSE())</f>
        <v>431</v>
      </c>
      <c r="K1287" s="1" t="str">
        <f aca="false">VLOOKUP(B1287,Заказы!$A$2:$E$2995,5,FALSE())</f>
        <v>Выполнено</v>
      </c>
      <c r="L1287" s="1" t="n">
        <f aca="false">D1287*F1287+J1287</f>
        <v>6431</v>
      </c>
      <c r="M1287" s="1" t="n">
        <f aca="false">IF(AND(E1287="Пицца Труслейка",I1287="г. Москва",K1287="Выполнено",G1287&gt;=DATE(2020,7,1),G1287&lt;DATE(2020,8,1)),L1287,0)</f>
        <v>0</v>
      </c>
    </row>
    <row r="1288" customFormat="false" ht="15" hidden="false" customHeight="true" outlineLevel="0" collapsed="false">
      <c r="A1288" s="1" t="n">
        <v>101885</v>
      </c>
      <c r="B1288" s="1" t="n">
        <v>51683</v>
      </c>
      <c r="C1288" s="1" t="n">
        <v>13</v>
      </c>
      <c r="D1288" s="1" t="n">
        <v>3</v>
      </c>
      <c r="E1288" s="1" t="str">
        <f aca="false">VLOOKUP(C1288,Меню!$A$2:$C$24,2,FALSE())</f>
        <v>Пицца Сырная</v>
      </c>
      <c r="F1288" s="1" t="n">
        <f aca="false">VLOOKUP(C1288,Меню!$A$2:$C$24,3,FALSE())</f>
        <v>635</v>
      </c>
      <c r="G1288" s="5" t="n">
        <f aca="false">VLOOKUP(B1288,Заказы!$A$2:$E$2995,2,FALSE())</f>
        <v>44017</v>
      </c>
      <c r="H1288" s="1" t="n">
        <f aca="false">VLOOKUP(B1288,Заказы!$A$2:$E$2995,3,FALSE())</f>
        <v>211</v>
      </c>
      <c r="I1288" s="1" t="str">
        <f aca="false">VLOOKUP(H1288,Клиенты!$A$2:$E$1995,5,FALSE())</f>
        <v>г. Сухиничи</v>
      </c>
      <c r="J1288" s="1" t="n">
        <f aca="false">VLOOKUP(B1288,Заказы!$A$2:$E$2995,4,FALSE())</f>
        <v>0</v>
      </c>
      <c r="K1288" s="1" t="str">
        <f aca="false">VLOOKUP(B1288,Заказы!$A$2:$E$2995,5,FALSE())</f>
        <v>Не выполнено</v>
      </c>
      <c r="L1288" s="1" t="n">
        <f aca="false">D1288*F1288+J1288</f>
        <v>1905</v>
      </c>
      <c r="M1288" s="1" t="n">
        <f aca="false">IF(AND(E1288="Пицца Труслейка",I1288="г. Москва",K1288="Выполнено",G1288&gt;=DATE(2020,7,1),G1288&lt;DATE(2020,8,1)),L1288,0)</f>
        <v>0</v>
      </c>
    </row>
    <row r="1289" customFormat="false" ht="15" hidden="false" customHeight="true" outlineLevel="0" collapsed="false">
      <c r="A1289" s="1" t="n">
        <v>101445</v>
      </c>
      <c r="B1289" s="1" t="n">
        <v>51246</v>
      </c>
      <c r="C1289" s="1" t="n">
        <v>7</v>
      </c>
      <c r="D1289" s="1" t="n">
        <v>4</v>
      </c>
      <c r="E1289" s="1" t="str">
        <f aca="false">VLOOKUP(C1289,Меню!$A$2:$C$24,2,FALSE())</f>
        <v>Пицца Карбонара</v>
      </c>
      <c r="F1289" s="1" t="n">
        <f aca="false">VLOOKUP(C1289,Меню!$A$2:$C$24,3,FALSE())</f>
        <v>625</v>
      </c>
      <c r="G1289" s="5" t="n">
        <f aca="false">VLOOKUP(B1289,Заказы!$A$2:$E$2995,2,FALSE())</f>
        <v>44033</v>
      </c>
      <c r="H1289" s="1" t="n">
        <f aca="false">VLOOKUP(B1289,Заказы!$A$2:$E$2995,3,FALSE())</f>
        <v>1681</v>
      </c>
      <c r="I1289" s="1" t="str">
        <f aca="false">VLOOKUP(H1289,Клиенты!$A$2:$E$1995,5,FALSE())</f>
        <v>г. Волгореченск</v>
      </c>
      <c r="J1289" s="1" t="n">
        <f aca="false">VLOOKUP(B1289,Заказы!$A$2:$E$2995,4,FALSE())</f>
        <v>0</v>
      </c>
      <c r="K1289" s="1" t="str">
        <f aca="false">VLOOKUP(B1289,Заказы!$A$2:$E$2995,5,FALSE())</f>
        <v>Не выполнено</v>
      </c>
      <c r="L1289" s="1" t="n">
        <f aca="false">D1289*F1289+J1289</f>
        <v>2500</v>
      </c>
      <c r="M1289" s="1" t="n">
        <f aca="false">IF(AND(E1289="Пицца Труслейка",I1289="г. Москва",K1289="Выполнено",G1289&gt;=DATE(2020,7,1),G1289&lt;DATE(2020,8,1)),L1289,0)</f>
        <v>0</v>
      </c>
    </row>
    <row r="1290" customFormat="false" ht="15" hidden="false" customHeight="true" outlineLevel="0" collapsed="false">
      <c r="A1290" s="1" t="n">
        <v>100108</v>
      </c>
      <c r="B1290" s="1" t="n">
        <v>51254</v>
      </c>
      <c r="C1290" s="1" t="n">
        <v>18</v>
      </c>
      <c r="D1290" s="1" t="n">
        <v>5</v>
      </c>
      <c r="E1290" s="1" t="str">
        <f aca="false">VLOOKUP(C1290,Меню!$A$2:$C$24,2,FALSE())</f>
        <v>Пицца Царская</v>
      </c>
      <c r="F1290" s="1" t="n">
        <f aca="false">VLOOKUP(C1290,Меню!$A$2:$C$24,3,FALSE())</f>
        <v>620</v>
      </c>
      <c r="G1290" s="5" t="n">
        <f aca="false">VLOOKUP(B1290,Заказы!$A$2:$E$2995,2,FALSE())</f>
        <v>44013</v>
      </c>
      <c r="H1290" s="1" t="n">
        <f aca="false">VLOOKUP(B1290,Заказы!$A$2:$E$2995,3,FALSE())</f>
        <v>846</v>
      </c>
      <c r="I1290" s="1" t="str">
        <f aca="false">VLOOKUP(H1290,Клиенты!$A$2:$E$1995,5,FALSE())</f>
        <v>г. Волоколамск</v>
      </c>
      <c r="J1290" s="1" t="n">
        <f aca="false">VLOOKUP(B1290,Заказы!$A$2:$E$2995,4,FALSE())</f>
        <v>0</v>
      </c>
      <c r="K1290" s="1" t="str">
        <f aca="false">VLOOKUP(B1290,Заказы!$A$2:$E$2995,5,FALSE())</f>
        <v>Не выполнено</v>
      </c>
      <c r="L1290" s="1" t="n">
        <f aca="false">D1290*F1290+J1290</f>
        <v>3100</v>
      </c>
      <c r="M1290" s="1" t="n">
        <f aca="false">IF(AND(E1290="Пицца Труслейка",I1290="г. Москва",K1290="Выполнено",G1290&gt;=DATE(2020,7,1),G1290&lt;DATE(2020,8,1)),L1290,0)</f>
        <v>0</v>
      </c>
    </row>
    <row r="1291" customFormat="false" ht="15" hidden="false" customHeight="true" outlineLevel="0" collapsed="false">
      <c r="A1291" s="1" t="n">
        <v>101449</v>
      </c>
      <c r="B1291" s="1" t="n">
        <v>50791</v>
      </c>
      <c r="C1291" s="1" t="n">
        <v>4</v>
      </c>
      <c r="D1291" s="1" t="n">
        <v>3</v>
      </c>
      <c r="E1291" s="1" t="str">
        <f aca="false">VLOOKUP(C1291,Меню!$A$2:$C$24,2,FALSE())</f>
        <v>Пицца Труслейка</v>
      </c>
      <c r="F1291" s="1" t="n">
        <f aca="false">VLOOKUP(C1291,Меню!$A$2:$C$24,3,FALSE())</f>
        <v>610</v>
      </c>
      <c r="G1291" s="5" t="n">
        <f aca="false">VLOOKUP(B1291,Заказы!$A$2:$E$2995,2,FALSE())</f>
        <v>44019</v>
      </c>
      <c r="H1291" s="1" t="n">
        <f aca="false">VLOOKUP(B1291,Заказы!$A$2:$E$2995,3,FALSE())</f>
        <v>1985</v>
      </c>
      <c r="I1291" s="1" t="str">
        <f aca="false">VLOOKUP(H1291,Клиенты!$A$2:$E$1995,5,FALSE())</f>
        <v>г. Назрань</v>
      </c>
      <c r="J1291" s="1" t="n">
        <f aca="false">VLOOKUP(B1291,Заказы!$A$2:$E$2995,4,FALSE())</f>
        <v>812</v>
      </c>
      <c r="K1291" s="1" t="str">
        <f aca="false">VLOOKUP(B1291,Заказы!$A$2:$E$2995,5,FALSE())</f>
        <v>Выполнено</v>
      </c>
      <c r="L1291" s="1" t="n">
        <f aca="false">D1291*F1291+J1291</f>
        <v>2642</v>
      </c>
      <c r="M1291" s="1" t="n">
        <f aca="false">IF(AND(E1291="Пицца Труслейка",I1291="г. Москва",K1291="Выполнено",G1291&gt;=DATE(2020,7,1),G1291&lt;DATE(2020,8,1)),L1291,0)</f>
        <v>0</v>
      </c>
    </row>
    <row r="1292" customFormat="false" ht="15" hidden="false" customHeight="true" outlineLevel="0" collapsed="false">
      <c r="A1292" s="1" t="n">
        <v>100715</v>
      </c>
      <c r="B1292" s="1" t="n">
        <v>51642</v>
      </c>
      <c r="C1292" s="1" t="n">
        <v>4</v>
      </c>
      <c r="D1292" s="1" t="n">
        <v>1</v>
      </c>
      <c r="E1292" s="1" t="str">
        <f aca="false">VLOOKUP(C1292,Меню!$A$2:$C$24,2,FALSE())</f>
        <v>Пицца Труслейка</v>
      </c>
      <c r="F1292" s="1" t="n">
        <f aca="false">VLOOKUP(C1292,Меню!$A$2:$C$24,3,FALSE())</f>
        <v>610</v>
      </c>
      <c r="G1292" s="5" t="n">
        <f aca="false">VLOOKUP(B1292,Заказы!$A$2:$E$2995,2,FALSE())</f>
        <v>44059</v>
      </c>
      <c r="H1292" s="1" t="n">
        <f aca="false">VLOOKUP(B1292,Заказы!$A$2:$E$2995,3,FALSE())</f>
        <v>619</v>
      </c>
      <c r="I1292" s="1" t="str">
        <f aca="false">VLOOKUP(H1292,Клиенты!$A$2:$E$1995,5,FALSE())</f>
        <v>г. Темников</v>
      </c>
      <c r="J1292" s="1" t="n">
        <f aca="false">VLOOKUP(B1292,Заказы!$A$2:$E$2995,4,FALSE())</f>
        <v>667</v>
      </c>
      <c r="K1292" s="1" t="str">
        <f aca="false">VLOOKUP(B1292,Заказы!$A$2:$E$2995,5,FALSE())</f>
        <v>Выполнено</v>
      </c>
      <c r="L1292" s="1" t="n">
        <f aca="false">D1292*F1292+J1292</f>
        <v>1277</v>
      </c>
      <c r="M1292" s="1" t="n">
        <f aca="false">IF(AND(E1292="Пицца Труслейка",I1292="г. Москва",K1292="Выполнено",G1292&gt;=DATE(2020,7,1),G1292&lt;DATE(2020,8,1)),L1292,0)</f>
        <v>0</v>
      </c>
    </row>
    <row r="1293" customFormat="false" ht="15" hidden="false" customHeight="true" outlineLevel="0" collapsed="false">
      <c r="A1293" s="1" t="n">
        <v>101716</v>
      </c>
      <c r="B1293" s="1" t="n">
        <v>51148</v>
      </c>
      <c r="C1293" s="1" t="n">
        <v>11</v>
      </c>
      <c r="D1293" s="1" t="n">
        <v>5</v>
      </c>
      <c r="E1293" s="1" t="str">
        <f aca="false">VLOOKUP(C1293,Меню!$A$2:$C$24,2,FALSE())</f>
        <v>Пицца Песто</v>
      </c>
      <c r="F1293" s="1" t="n">
        <f aca="false">VLOOKUP(C1293,Меню!$A$2:$C$24,3,FALSE())</f>
        <v>530</v>
      </c>
      <c r="G1293" s="5" t="n">
        <f aca="false">VLOOKUP(B1293,Заказы!$A$2:$E$2995,2,FALSE())</f>
        <v>44001</v>
      </c>
      <c r="H1293" s="1" t="n">
        <f aca="false">VLOOKUP(B1293,Заказы!$A$2:$E$2995,3,FALSE())</f>
        <v>1350</v>
      </c>
      <c r="I1293" s="1" t="str">
        <f aca="false">VLOOKUP(H1293,Клиенты!$A$2:$E$1995,5,FALSE())</f>
        <v>г. Москва</v>
      </c>
      <c r="J1293" s="1" t="n">
        <f aca="false">VLOOKUP(B1293,Заказы!$A$2:$E$2995,4,FALSE())</f>
        <v>754</v>
      </c>
      <c r="K1293" s="1" t="str">
        <f aca="false">VLOOKUP(B1293,Заказы!$A$2:$E$2995,5,FALSE())</f>
        <v>Выполнено</v>
      </c>
      <c r="L1293" s="1" t="n">
        <f aca="false">D1293*F1293+J1293</f>
        <v>3404</v>
      </c>
      <c r="M1293" s="1" t="n">
        <f aca="false">IF(AND(E1293="Пицца Труслейка",I1293="г. Москва",K1293="Выполнено",G1293&gt;=DATE(2020,7,1),G1293&lt;DATE(2020,8,1)),L1293,0)</f>
        <v>0</v>
      </c>
    </row>
    <row r="1294" customFormat="false" ht="15" hidden="false" customHeight="true" outlineLevel="0" collapsed="false">
      <c r="A1294" s="1" t="n">
        <v>101794</v>
      </c>
      <c r="B1294" s="1" t="n">
        <v>50664</v>
      </c>
      <c r="C1294" s="1" t="n">
        <v>1</v>
      </c>
      <c r="D1294" s="1" t="n">
        <v>3</v>
      </c>
      <c r="E1294" s="1" t="str">
        <f aca="false">VLOOKUP(C1294,Меню!$A$2:$C$24,2,FALSE())</f>
        <v>Пицца Гавайская</v>
      </c>
      <c r="F1294" s="1" t="n">
        <f aca="false">VLOOKUP(C1294,Меню!$A$2:$C$24,3,FALSE())</f>
        <v>545</v>
      </c>
      <c r="G1294" s="5" t="n">
        <f aca="false">VLOOKUP(B1294,Заказы!$A$2:$E$2995,2,FALSE())</f>
        <v>43993</v>
      </c>
      <c r="H1294" s="1" t="n">
        <f aca="false">VLOOKUP(B1294,Заказы!$A$2:$E$2995,3,FALSE())</f>
        <v>1560</v>
      </c>
      <c r="I1294" s="1" t="str">
        <f aca="false">VLOOKUP(H1294,Клиенты!$A$2:$E$1995,5,FALSE())</f>
        <v>г. Москва</v>
      </c>
      <c r="J1294" s="1" t="n">
        <f aca="false">VLOOKUP(B1294,Заказы!$A$2:$E$2995,4,FALSE())</f>
        <v>0</v>
      </c>
      <c r="K1294" s="1" t="str">
        <f aca="false">VLOOKUP(B1294,Заказы!$A$2:$E$2995,5,FALSE())</f>
        <v>Не выполнено</v>
      </c>
      <c r="L1294" s="1" t="n">
        <f aca="false">D1294*F1294+J1294</f>
        <v>1635</v>
      </c>
      <c r="M1294" s="1" t="n">
        <f aca="false">IF(AND(E1294="Пицца Труслейка",I1294="г. Москва",K1294="Выполнено",G1294&gt;=DATE(2020,7,1),G1294&lt;DATE(2020,8,1)),L1294,0)</f>
        <v>0</v>
      </c>
    </row>
    <row r="1295" customFormat="false" ht="15" hidden="false" customHeight="true" outlineLevel="0" collapsed="false">
      <c r="A1295" s="1" t="n">
        <v>101043</v>
      </c>
      <c r="B1295" s="1" t="n">
        <v>50054</v>
      </c>
      <c r="C1295" s="1" t="n">
        <v>4</v>
      </c>
      <c r="D1295" s="1" t="n">
        <v>2</v>
      </c>
      <c r="E1295" s="1" t="str">
        <f aca="false">VLOOKUP(C1295,Меню!$A$2:$C$24,2,FALSE())</f>
        <v>Пицца Труслейка</v>
      </c>
      <c r="F1295" s="1" t="n">
        <f aca="false">VLOOKUP(C1295,Меню!$A$2:$C$24,3,FALSE())</f>
        <v>610</v>
      </c>
      <c r="G1295" s="5" t="n">
        <f aca="false">VLOOKUP(B1295,Заказы!$A$2:$E$2995,2,FALSE())</f>
        <v>43995</v>
      </c>
      <c r="H1295" s="1" t="n">
        <f aca="false">VLOOKUP(B1295,Заказы!$A$2:$E$2995,3,FALSE())</f>
        <v>276</v>
      </c>
      <c r="I1295" s="1" t="str">
        <f aca="false">VLOOKUP(H1295,Клиенты!$A$2:$E$1995,5,FALSE())</f>
        <v>г. Сольвычегодск</v>
      </c>
      <c r="J1295" s="1" t="n">
        <f aca="false">VLOOKUP(B1295,Заказы!$A$2:$E$2995,4,FALSE())</f>
        <v>0</v>
      </c>
      <c r="K1295" s="1" t="str">
        <f aca="false">VLOOKUP(B1295,Заказы!$A$2:$E$2995,5,FALSE())</f>
        <v>Не выполнено</v>
      </c>
      <c r="L1295" s="1" t="n">
        <f aca="false">D1295*F1295+J1295</f>
        <v>1220</v>
      </c>
      <c r="M1295" s="1" t="n">
        <f aca="false">IF(AND(E1295="Пицца Труслейка",I1295="г. Москва",K1295="Выполнено",G1295&gt;=DATE(2020,7,1),G1295&lt;DATE(2020,8,1)),L1295,0)</f>
        <v>0</v>
      </c>
    </row>
    <row r="1296" customFormat="false" ht="15" hidden="false" customHeight="true" outlineLevel="0" collapsed="false">
      <c r="A1296" s="1" t="n">
        <v>101718</v>
      </c>
      <c r="B1296" s="1" t="n">
        <v>50827</v>
      </c>
      <c r="C1296" s="1" t="n">
        <v>14</v>
      </c>
      <c r="D1296" s="1" t="n">
        <v>6</v>
      </c>
      <c r="E1296" s="1" t="str">
        <f aca="false">VLOOKUP(C1296,Меню!$A$2:$C$24,2,FALSE())</f>
        <v>Пицца Сырный цыпленок</v>
      </c>
      <c r="F1296" s="1" t="n">
        <f aca="false">VLOOKUP(C1296,Меню!$A$2:$C$24,3,FALSE())</f>
        <v>555</v>
      </c>
      <c r="G1296" s="5" t="n">
        <f aca="false">VLOOKUP(B1296,Заказы!$A$2:$E$2995,2,FALSE())</f>
        <v>44067</v>
      </c>
      <c r="H1296" s="1" t="n">
        <f aca="false">VLOOKUP(B1296,Заказы!$A$2:$E$2995,3,FALSE())</f>
        <v>401</v>
      </c>
      <c r="I1296" s="1" t="str">
        <f aca="false">VLOOKUP(H1296,Клиенты!$A$2:$E$1995,5,FALSE())</f>
        <v>г. Королёв</v>
      </c>
      <c r="J1296" s="1" t="n">
        <f aca="false">VLOOKUP(B1296,Заказы!$A$2:$E$2995,4,FALSE())</f>
        <v>0</v>
      </c>
      <c r="K1296" s="1" t="str">
        <f aca="false">VLOOKUP(B1296,Заказы!$A$2:$E$2995,5,FALSE())</f>
        <v>Не выполнено</v>
      </c>
      <c r="L1296" s="1" t="n">
        <f aca="false">D1296*F1296+J1296</f>
        <v>3330</v>
      </c>
      <c r="M1296" s="1" t="n">
        <f aca="false">IF(AND(E1296="Пицца Труслейка",I1296="г. Москва",K1296="Выполнено",G1296&gt;=DATE(2020,7,1),G1296&lt;DATE(2020,8,1)),L1296,0)</f>
        <v>0</v>
      </c>
    </row>
    <row r="1297" customFormat="false" ht="15" hidden="false" customHeight="true" outlineLevel="0" collapsed="false">
      <c r="A1297" s="1" t="n">
        <v>101195</v>
      </c>
      <c r="B1297" s="1" t="n">
        <v>50327</v>
      </c>
      <c r="C1297" s="1" t="n">
        <v>4</v>
      </c>
      <c r="D1297" s="1" t="n">
        <v>2</v>
      </c>
      <c r="E1297" s="1" t="str">
        <f aca="false">VLOOKUP(C1297,Меню!$A$2:$C$24,2,FALSE())</f>
        <v>Пицца Труслейка</v>
      </c>
      <c r="F1297" s="1" t="n">
        <f aca="false">VLOOKUP(C1297,Меню!$A$2:$C$24,3,FALSE())</f>
        <v>610</v>
      </c>
      <c r="G1297" s="5" t="n">
        <f aca="false">VLOOKUP(B1297,Заказы!$A$2:$E$2995,2,FALSE())</f>
        <v>44050</v>
      </c>
      <c r="H1297" s="1" t="n">
        <f aca="false">VLOOKUP(B1297,Заказы!$A$2:$E$2995,3,FALSE())</f>
        <v>609</v>
      </c>
      <c r="I1297" s="1" t="str">
        <f aca="false">VLOOKUP(H1297,Клиенты!$A$2:$E$1995,5,FALSE())</f>
        <v>г. Людиново</v>
      </c>
      <c r="J1297" s="1" t="n">
        <f aca="false">VLOOKUP(B1297,Заказы!$A$2:$E$2995,4,FALSE())</f>
        <v>0</v>
      </c>
      <c r="K1297" s="1" t="str">
        <f aca="false">VLOOKUP(B1297,Заказы!$A$2:$E$2995,5,FALSE())</f>
        <v>Не выполнено</v>
      </c>
      <c r="L1297" s="1" t="n">
        <f aca="false">D1297*F1297+J1297</f>
        <v>1220</v>
      </c>
      <c r="M1297" s="1" t="n">
        <f aca="false">IF(AND(E1297="Пицца Труслейка",I1297="г. Москва",K1297="Выполнено",G1297&gt;=DATE(2020,7,1),G1297&lt;DATE(2020,8,1)),L1297,0)</f>
        <v>0</v>
      </c>
    </row>
    <row r="1298" customFormat="false" ht="15" hidden="false" customHeight="true" outlineLevel="0" collapsed="false">
      <c r="A1298" s="1" t="n">
        <v>101815</v>
      </c>
      <c r="B1298" s="1" t="n">
        <v>51549</v>
      </c>
      <c r="C1298" s="1" t="n">
        <v>10</v>
      </c>
      <c r="D1298" s="1" t="n">
        <v>3</v>
      </c>
      <c r="E1298" s="1" t="str">
        <f aca="false">VLOOKUP(C1298,Меню!$A$2:$C$24,2,FALSE())</f>
        <v>Пицца Пепперони фреш</v>
      </c>
      <c r="F1298" s="1" t="n">
        <f aca="false">VLOOKUP(C1298,Меню!$A$2:$C$24,3,FALSE())</f>
        <v>565</v>
      </c>
      <c r="G1298" s="5" t="n">
        <f aca="false">VLOOKUP(B1298,Заказы!$A$2:$E$2995,2,FALSE())</f>
        <v>44054</v>
      </c>
      <c r="H1298" s="1" t="n">
        <f aca="false">VLOOKUP(B1298,Заказы!$A$2:$E$2995,3,FALSE())</f>
        <v>1934</v>
      </c>
      <c r="I1298" s="1" t="str">
        <f aca="false">VLOOKUP(H1298,Клиенты!$A$2:$E$1995,5,FALSE())</f>
        <v>г. Агидель</v>
      </c>
      <c r="J1298" s="1" t="n">
        <f aca="false">VLOOKUP(B1298,Заказы!$A$2:$E$2995,4,FALSE())</f>
        <v>220</v>
      </c>
      <c r="K1298" s="1" t="str">
        <f aca="false">VLOOKUP(B1298,Заказы!$A$2:$E$2995,5,FALSE())</f>
        <v>Выполнено</v>
      </c>
      <c r="L1298" s="1" t="n">
        <f aca="false">D1298*F1298+J1298</f>
        <v>1915</v>
      </c>
      <c r="M1298" s="1" t="n">
        <f aca="false">IF(AND(E1298="Пицца Труслейка",I1298="г. Москва",K1298="Выполнено",G1298&gt;=DATE(2020,7,1),G1298&lt;DATE(2020,8,1)),L1298,0)</f>
        <v>0</v>
      </c>
    </row>
    <row r="1299" customFormat="false" ht="15" hidden="false" customHeight="true" outlineLevel="0" collapsed="false">
      <c r="A1299" s="1" t="n">
        <v>100885</v>
      </c>
      <c r="B1299" s="1" t="n">
        <v>50118</v>
      </c>
      <c r="C1299" s="1" t="n">
        <v>15</v>
      </c>
      <c r="D1299" s="1" t="n">
        <v>7</v>
      </c>
      <c r="E1299" s="1" t="str">
        <f aca="false">VLOOKUP(C1299,Меню!$A$2:$C$24,2,FALSE())</f>
        <v>Пицца Тропиканка</v>
      </c>
      <c r="F1299" s="1" t="n">
        <f aca="false">VLOOKUP(C1299,Меню!$A$2:$C$24,3,FALSE())</f>
        <v>605</v>
      </c>
      <c r="G1299" s="5" t="n">
        <f aca="false">VLOOKUP(B1299,Заказы!$A$2:$E$2995,2,FALSE())</f>
        <v>44009</v>
      </c>
      <c r="H1299" s="1" t="n">
        <f aca="false">VLOOKUP(B1299,Заказы!$A$2:$E$2995,3,FALSE())</f>
        <v>75</v>
      </c>
      <c r="I1299" s="1" t="str">
        <f aca="false">VLOOKUP(H1299,Клиенты!$A$2:$E$1995,5,FALSE())</f>
        <v>г. Озёрск</v>
      </c>
      <c r="J1299" s="1" t="n">
        <f aca="false">VLOOKUP(B1299,Заказы!$A$2:$E$2995,4,FALSE())</f>
        <v>892</v>
      </c>
      <c r="K1299" s="1" t="str">
        <f aca="false">VLOOKUP(B1299,Заказы!$A$2:$E$2995,5,FALSE())</f>
        <v>Выполнено</v>
      </c>
      <c r="L1299" s="1" t="n">
        <f aca="false">D1299*F1299+J1299</f>
        <v>5127</v>
      </c>
      <c r="M1299" s="1" t="n">
        <f aca="false">IF(AND(E1299="Пицца Труслейка",I1299="г. Москва",K1299="Выполнено",G1299&gt;=DATE(2020,7,1),G1299&lt;DATE(2020,8,1)),L1299,0)</f>
        <v>0</v>
      </c>
    </row>
    <row r="1300" customFormat="false" ht="15" hidden="false" customHeight="true" outlineLevel="0" collapsed="false">
      <c r="A1300" s="1" t="n">
        <v>100616</v>
      </c>
      <c r="B1300" s="1" t="n">
        <v>51695</v>
      </c>
      <c r="C1300" s="1" t="n">
        <v>12</v>
      </c>
      <c r="D1300" s="1" t="n">
        <v>4</v>
      </c>
      <c r="E1300" s="1" t="str">
        <f aca="false">VLOOKUP(C1300,Меню!$A$2:$C$24,2,FALSE())</f>
        <v>Пицца Салями с трюфелем</v>
      </c>
      <c r="F1300" s="1" t="n">
        <f aca="false">VLOOKUP(C1300,Меню!$A$2:$C$24,3,FALSE())</f>
        <v>525</v>
      </c>
      <c r="G1300" s="5" t="n">
        <f aca="false">VLOOKUP(B1300,Заказы!$A$2:$E$2995,2,FALSE())</f>
        <v>43995</v>
      </c>
      <c r="H1300" s="1" t="n">
        <f aca="false">VLOOKUP(B1300,Заказы!$A$2:$E$2995,3,FALSE())</f>
        <v>223</v>
      </c>
      <c r="I1300" s="1" t="str">
        <f aca="false">VLOOKUP(H1300,Клиенты!$A$2:$E$1995,5,FALSE())</f>
        <v>г. Шенкурск</v>
      </c>
      <c r="J1300" s="1" t="n">
        <f aca="false">VLOOKUP(B1300,Заказы!$A$2:$E$2995,4,FALSE())</f>
        <v>310</v>
      </c>
      <c r="K1300" s="1" t="str">
        <f aca="false">VLOOKUP(B1300,Заказы!$A$2:$E$2995,5,FALSE())</f>
        <v>Выполнено</v>
      </c>
      <c r="L1300" s="1" t="n">
        <f aca="false">D1300*F1300+J1300</f>
        <v>2410</v>
      </c>
      <c r="M1300" s="1" t="n">
        <f aca="false">IF(AND(E1300="Пицца Труслейка",I1300="г. Москва",K1300="Выполнено",G1300&gt;=DATE(2020,7,1),G1300&lt;DATE(2020,8,1)),L1300,0)</f>
        <v>0</v>
      </c>
    </row>
    <row r="1301" customFormat="false" ht="15" hidden="false" customHeight="true" outlineLevel="0" collapsed="false">
      <c r="A1301" s="1" t="n">
        <v>101111</v>
      </c>
      <c r="B1301" s="1" t="n">
        <v>50867</v>
      </c>
      <c r="C1301" s="1" t="n">
        <v>4</v>
      </c>
      <c r="D1301" s="1" t="n">
        <v>9</v>
      </c>
      <c r="E1301" s="1" t="str">
        <f aca="false">VLOOKUP(C1301,Меню!$A$2:$C$24,2,FALSE())</f>
        <v>Пицца Труслейка</v>
      </c>
      <c r="F1301" s="1" t="n">
        <f aca="false">VLOOKUP(C1301,Меню!$A$2:$C$24,3,FALSE())</f>
        <v>610</v>
      </c>
      <c r="G1301" s="5" t="n">
        <f aca="false">VLOOKUP(B1301,Заказы!$A$2:$E$2995,2,FALSE())</f>
        <v>44031</v>
      </c>
      <c r="H1301" s="1" t="n">
        <f aca="false">VLOOKUP(B1301,Заказы!$A$2:$E$2995,3,FALSE())</f>
        <v>485</v>
      </c>
      <c r="I1301" s="1" t="str">
        <f aca="false">VLOOKUP(H1301,Клиенты!$A$2:$E$1995,5,FALSE())</f>
        <v>г. Богородицк</v>
      </c>
      <c r="J1301" s="1" t="n">
        <f aca="false">VLOOKUP(B1301,Заказы!$A$2:$E$2995,4,FALSE())</f>
        <v>513</v>
      </c>
      <c r="K1301" s="1" t="str">
        <f aca="false">VLOOKUP(B1301,Заказы!$A$2:$E$2995,5,FALSE())</f>
        <v>Выполнено</v>
      </c>
      <c r="L1301" s="1" t="n">
        <f aca="false">D1301*F1301+J1301</f>
        <v>6003</v>
      </c>
      <c r="M1301" s="1" t="n">
        <f aca="false">IF(AND(E1301="Пицца Труслейка",I1301="г. Москва",K1301="Выполнено",G1301&gt;=DATE(2020,7,1),G1301&lt;DATE(2020,8,1)),L1301,0)</f>
        <v>0</v>
      </c>
    </row>
    <row r="1302" customFormat="false" ht="15" hidden="false" customHeight="true" outlineLevel="0" collapsed="false">
      <c r="A1302" s="1" t="n">
        <v>100711</v>
      </c>
      <c r="B1302" s="1" t="n">
        <v>50890</v>
      </c>
      <c r="C1302" s="1" t="n">
        <v>7</v>
      </c>
      <c r="D1302" s="1" t="n">
        <v>2</v>
      </c>
      <c r="E1302" s="1" t="str">
        <f aca="false">VLOOKUP(C1302,Меню!$A$2:$C$24,2,FALSE())</f>
        <v>Пицца Карбонара</v>
      </c>
      <c r="F1302" s="1" t="n">
        <f aca="false">VLOOKUP(C1302,Меню!$A$2:$C$24,3,FALSE())</f>
        <v>625</v>
      </c>
      <c r="G1302" s="5" t="n">
        <f aca="false">VLOOKUP(B1302,Заказы!$A$2:$E$2995,2,FALSE())</f>
        <v>44020</v>
      </c>
      <c r="H1302" s="1" t="n">
        <f aca="false">VLOOKUP(B1302,Заказы!$A$2:$E$2995,3,FALSE())</f>
        <v>1988</v>
      </c>
      <c r="I1302" s="1" t="str">
        <f aca="false">VLOOKUP(H1302,Клиенты!$A$2:$E$1995,5,FALSE())</f>
        <v>г. Тайшет</v>
      </c>
      <c r="J1302" s="1" t="n">
        <f aca="false">VLOOKUP(B1302,Заказы!$A$2:$E$2995,4,FALSE())</f>
        <v>0</v>
      </c>
      <c r="K1302" s="1" t="str">
        <f aca="false">VLOOKUP(B1302,Заказы!$A$2:$E$2995,5,FALSE())</f>
        <v>Не выполнено</v>
      </c>
      <c r="L1302" s="1" t="n">
        <f aca="false">D1302*F1302+J1302</f>
        <v>1250</v>
      </c>
      <c r="M1302" s="1" t="n">
        <f aca="false">IF(AND(E1302="Пицца Труслейка",I1302="г. Москва",K1302="Выполнено",G1302&gt;=DATE(2020,7,1),G1302&lt;DATE(2020,8,1)),L1302,0)</f>
        <v>0</v>
      </c>
    </row>
    <row r="1303" customFormat="false" ht="15" hidden="false" customHeight="true" outlineLevel="0" collapsed="false">
      <c r="A1303" s="1" t="n">
        <v>100724</v>
      </c>
      <c r="B1303" s="1" t="n">
        <v>50775</v>
      </c>
      <c r="C1303" s="1" t="n">
        <v>12</v>
      </c>
      <c r="D1303" s="1" t="n">
        <v>4</v>
      </c>
      <c r="E1303" s="1" t="str">
        <f aca="false">VLOOKUP(C1303,Меню!$A$2:$C$24,2,FALSE())</f>
        <v>Пицца Салями с трюфелем</v>
      </c>
      <c r="F1303" s="1" t="n">
        <f aca="false">VLOOKUP(C1303,Меню!$A$2:$C$24,3,FALSE())</f>
        <v>525</v>
      </c>
      <c r="G1303" s="5" t="n">
        <f aca="false">VLOOKUP(B1303,Заказы!$A$2:$E$2995,2,FALSE())</f>
        <v>44014</v>
      </c>
      <c r="H1303" s="1" t="n">
        <f aca="false">VLOOKUP(B1303,Заказы!$A$2:$E$2995,3,FALSE())</f>
        <v>1068</v>
      </c>
      <c r="I1303" s="1" t="str">
        <f aca="false">VLOOKUP(H1303,Клиенты!$A$2:$E$1995,5,FALSE())</f>
        <v>г. Серпухов</v>
      </c>
      <c r="J1303" s="1" t="n">
        <f aca="false">VLOOKUP(B1303,Заказы!$A$2:$E$2995,4,FALSE())</f>
        <v>560</v>
      </c>
      <c r="K1303" s="1" t="str">
        <f aca="false">VLOOKUP(B1303,Заказы!$A$2:$E$2995,5,FALSE())</f>
        <v>Выполнено</v>
      </c>
      <c r="L1303" s="1" t="n">
        <f aca="false">D1303*F1303+J1303</f>
        <v>2660</v>
      </c>
      <c r="M1303" s="1" t="n">
        <f aca="false">IF(AND(E1303="Пицца Труслейка",I1303="г. Москва",K1303="Выполнено",G1303&gt;=DATE(2020,7,1),G1303&lt;DATE(2020,8,1)),L1303,0)</f>
        <v>0</v>
      </c>
    </row>
    <row r="1304" customFormat="false" ht="15" hidden="false" customHeight="true" outlineLevel="0" collapsed="false">
      <c r="A1304" s="1" t="n">
        <v>100777</v>
      </c>
      <c r="B1304" s="1" t="n">
        <v>50124</v>
      </c>
      <c r="C1304" s="1" t="n">
        <v>3</v>
      </c>
      <c r="D1304" s="1" t="n">
        <v>5</v>
      </c>
      <c r="E1304" s="1" t="str">
        <f aca="false">VLOOKUP(C1304,Меню!$A$2:$C$24,2,FALSE())</f>
        <v>Пицца Диабло</v>
      </c>
      <c r="F1304" s="1" t="n">
        <f aca="false">VLOOKUP(C1304,Меню!$A$2:$C$24,3,FALSE())</f>
        <v>590</v>
      </c>
      <c r="G1304" s="5" t="n">
        <f aca="false">VLOOKUP(B1304,Заказы!$A$2:$E$2995,2,FALSE())</f>
        <v>44049</v>
      </c>
      <c r="H1304" s="1" t="n">
        <f aca="false">VLOOKUP(B1304,Заказы!$A$2:$E$2995,3,FALSE())</f>
        <v>754</v>
      </c>
      <c r="I1304" s="1" t="str">
        <f aca="false">VLOOKUP(H1304,Клиенты!$A$2:$E$1995,5,FALSE())</f>
        <v>г. Амурск</v>
      </c>
      <c r="J1304" s="1" t="n">
        <f aca="false">VLOOKUP(B1304,Заказы!$A$2:$E$2995,4,FALSE())</f>
        <v>343</v>
      </c>
      <c r="K1304" s="1" t="str">
        <f aca="false">VLOOKUP(B1304,Заказы!$A$2:$E$2995,5,FALSE())</f>
        <v>Выполнено</v>
      </c>
      <c r="L1304" s="1" t="n">
        <f aca="false">D1304*F1304+J1304</f>
        <v>3293</v>
      </c>
      <c r="M1304" s="1" t="n">
        <f aca="false">IF(AND(E1304="Пицца Труслейка",I1304="г. Москва",K1304="Выполнено",G1304&gt;=DATE(2020,7,1),G1304&lt;DATE(2020,8,1)),L1304,0)</f>
        <v>0</v>
      </c>
    </row>
    <row r="1305" customFormat="false" ht="15" hidden="false" customHeight="true" outlineLevel="0" collapsed="false">
      <c r="A1305" s="1" t="n">
        <v>101720</v>
      </c>
      <c r="B1305" s="1" t="n">
        <v>51935</v>
      </c>
      <c r="C1305" s="1" t="n">
        <v>21</v>
      </c>
      <c r="D1305" s="1" t="n">
        <v>3</v>
      </c>
      <c r="E1305" s="1" t="str">
        <f aca="false">VLOOKUP(C1305,Меню!$A$2:$C$24,2,FALSE())</f>
        <v>Пицца с креветками и цукини</v>
      </c>
      <c r="F1305" s="1" t="n">
        <f aca="false">VLOOKUP(C1305,Меню!$A$2:$C$24,3,FALSE())</f>
        <v>600</v>
      </c>
      <c r="G1305" s="5" t="n">
        <f aca="false">VLOOKUP(B1305,Заказы!$A$2:$E$2995,2,FALSE())</f>
        <v>44049</v>
      </c>
      <c r="H1305" s="1" t="n">
        <f aca="false">VLOOKUP(B1305,Заказы!$A$2:$E$2995,3,FALSE())</f>
        <v>380</v>
      </c>
      <c r="I1305" s="1" t="str">
        <f aca="false">VLOOKUP(H1305,Клиенты!$A$2:$E$1995,5,FALSE())</f>
        <v>г. Москва</v>
      </c>
      <c r="J1305" s="1" t="n">
        <f aca="false">VLOOKUP(B1305,Заказы!$A$2:$E$2995,4,FALSE())</f>
        <v>784</v>
      </c>
      <c r="K1305" s="1" t="str">
        <f aca="false">VLOOKUP(B1305,Заказы!$A$2:$E$2995,5,FALSE())</f>
        <v>Выполнено</v>
      </c>
      <c r="L1305" s="1" t="n">
        <f aca="false">D1305*F1305+J1305</f>
        <v>2584</v>
      </c>
      <c r="M1305" s="1" t="n">
        <f aca="false">IF(AND(E1305="Пицца Труслейка",I1305="г. Москва",K1305="Выполнено",G1305&gt;=DATE(2020,7,1),G1305&lt;DATE(2020,8,1)),L1305,0)</f>
        <v>0</v>
      </c>
    </row>
    <row r="1306" customFormat="false" ht="15" hidden="false" customHeight="true" outlineLevel="0" collapsed="false">
      <c r="A1306" s="1" t="n">
        <v>100205</v>
      </c>
      <c r="B1306" s="1" t="n">
        <v>51505</v>
      </c>
      <c r="C1306" s="1" t="n">
        <v>9</v>
      </c>
      <c r="D1306" s="1" t="n">
        <v>2</v>
      </c>
      <c r="E1306" s="1" t="str">
        <f aca="false">VLOOKUP(C1306,Меню!$A$2:$C$24,2,FALSE())</f>
        <v>Пицца Острая с беконом</v>
      </c>
      <c r="F1306" s="1" t="n">
        <f aca="false">VLOOKUP(C1306,Меню!$A$2:$C$24,3,FALSE())</f>
        <v>540</v>
      </c>
      <c r="G1306" s="5" t="n">
        <f aca="false">VLOOKUP(B1306,Заказы!$A$2:$E$2995,2,FALSE())</f>
        <v>44019</v>
      </c>
      <c r="H1306" s="1" t="n">
        <f aca="false">VLOOKUP(B1306,Заказы!$A$2:$E$2995,3,FALSE())</f>
        <v>4</v>
      </c>
      <c r="I1306" s="1" t="str">
        <f aca="false">VLOOKUP(H1306,Клиенты!$A$2:$E$1995,5,FALSE())</f>
        <v>г. Грайворон</v>
      </c>
      <c r="J1306" s="1" t="n">
        <f aca="false">VLOOKUP(B1306,Заказы!$A$2:$E$2995,4,FALSE())</f>
        <v>0</v>
      </c>
      <c r="K1306" s="1" t="str">
        <f aca="false">VLOOKUP(B1306,Заказы!$A$2:$E$2995,5,FALSE())</f>
        <v>Не выполнено</v>
      </c>
      <c r="L1306" s="1" t="n">
        <f aca="false">D1306*F1306+J1306</f>
        <v>1080</v>
      </c>
      <c r="M1306" s="1" t="n">
        <f aca="false">IF(AND(E1306="Пицца Труслейка",I1306="г. Москва",K1306="Выполнено",G1306&gt;=DATE(2020,7,1),G1306&lt;DATE(2020,8,1)),L1306,0)</f>
        <v>0</v>
      </c>
    </row>
    <row r="1307" customFormat="false" ht="15" hidden="false" customHeight="true" outlineLevel="0" collapsed="false">
      <c r="A1307" s="1" t="n">
        <v>100521</v>
      </c>
      <c r="B1307" s="1" t="n">
        <v>51738</v>
      </c>
      <c r="C1307" s="1" t="n">
        <v>9</v>
      </c>
      <c r="D1307" s="1" t="n">
        <v>6</v>
      </c>
      <c r="E1307" s="1" t="str">
        <f aca="false">VLOOKUP(C1307,Меню!$A$2:$C$24,2,FALSE())</f>
        <v>Пицца Острая с беконом</v>
      </c>
      <c r="F1307" s="1" t="n">
        <f aca="false">VLOOKUP(C1307,Меню!$A$2:$C$24,3,FALSE())</f>
        <v>540</v>
      </c>
      <c r="G1307" s="5" t="n">
        <f aca="false">VLOOKUP(B1307,Заказы!$A$2:$E$2995,2,FALSE())</f>
        <v>44062</v>
      </c>
      <c r="H1307" s="1" t="n">
        <f aca="false">VLOOKUP(B1307,Заказы!$A$2:$E$2995,3,FALSE())</f>
        <v>520</v>
      </c>
      <c r="I1307" s="1" t="str">
        <f aca="false">VLOOKUP(H1307,Клиенты!$A$2:$E$1995,5,FALSE())</f>
        <v>г. Москва</v>
      </c>
      <c r="J1307" s="1" t="n">
        <f aca="false">VLOOKUP(B1307,Заказы!$A$2:$E$2995,4,FALSE())</f>
        <v>0</v>
      </c>
      <c r="K1307" s="1" t="str">
        <f aca="false">VLOOKUP(B1307,Заказы!$A$2:$E$2995,5,FALSE())</f>
        <v>Не выполнено</v>
      </c>
      <c r="L1307" s="1" t="n">
        <f aca="false">D1307*F1307+J1307</f>
        <v>3240</v>
      </c>
      <c r="M1307" s="1" t="n">
        <f aca="false">IF(AND(E1307="Пицца Труслейка",I1307="г. Москва",K1307="Выполнено",G1307&gt;=DATE(2020,7,1),G1307&lt;DATE(2020,8,1)),L1307,0)</f>
        <v>0</v>
      </c>
    </row>
    <row r="1308" customFormat="false" ht="15" hidden="false" customHeight="true" outlineLevel="0" collapsed="false">
      <c r="A1308" s="1" t="n">
        <v>101146</v>
      </c>
      <c r="B1308" s="1" t="n">
        <v>51475</v>
      </c>
      <c r="C1308" s="1" t="n">
        <v>16</v>
      </c>
      <c r="D1308" s="1" t="n">
        <v>1</v>
      </c>
      <c r="E1308" s="1" t="str">
        <f aca="false">VLOOKUP(C1308,Меню!$A$2:$C$24,2,FALSE())</f>
        <v>Пицца Флорида</v>
      </c>
      <c r="F1308" s="1" t="n">
        <f aca="false">VLOOKUP(C1308,Меню!$A$2:$C$24,3,FALSE())</f>
        <v>535</v>
      </c>
      <c r="G1308" s="5" t="n">
        <f aca="false">VLOOKUP(B1308,Заказы!$A$2:$E$2995,2,FALSE())</f>
        <v>43991</v>
      </c>
      <c r="H1308" s="1" t="n">
        <f aca="false">VLOOKUP(B1308,Заказы!$A$2:$E$2995,3,FALSE())</f>
        <v>1610</v>
      </c>
      <c r="I1308" s="1" t="str">
        <f aca="false">VLOOKUP(H1308,Клиенты!$A$2:$E$1995,5,FALSE())</f>
        <v>г. Москва</v>
      </c>
      <c r="J1308" s="1" t="n">
        <f aca="false">VLOOKUP(B1308,Заказы!$A$2:$E$2995,4,FALSE())</f>
        <v>885</v>
      </c>
      <c r="K1308" s="1" t="str">
        <f aca="false">VLOOKUP(B1308,Заказы!$A$2:$E$2995,5,FALSE())</f>
        <v>Выполнено</v>
      </c>
      <c r="L1308" s="1" t="n">
        <f aca="false">D1308*F1308+J1308</f>
        <v>1420</v>
      </c>
      <c r="M1308" s="1" t="n">
        <f aca="false">IF(AND(E1308="Пицца Труслейка",I1308="г. Москва",K1308="Выполнено",G1308&gt;=DATE(2020,7,1),G1308&lt;DATE(2020,8,1)),L1308,0)</f>
        <v>0</v>
      </c>
    </row>
    <row r="1309" customFormat="false" ht="15" hidden="false" customHeight="true" outlineLevel="0" collapsed="false">
      <c r="A1309" s="1" t="n">
        <v>101439</v>
      </c>
      <c r="B1309" s="1" t="n">
        <v>50674</v>
      </c>
      <c r="C1309" s="1" t="n">
        <v>1</v>
      </c>
      <c r="D1309" s="1" t="n">
        <v>4</v>
      </c>
      <c r="E1309" s="1" t="str">
        <f aca="false">VLOOKUP(C1309,Меню!$A$2:$C$24,2,FALSE())</f>
        <v>Пицца Гавайская</v>
      </c>
      <c r="F1309" s="1" t="n">
        <f aca="false">VLOOKUP(C1309,Меню!$A$2:$C$24,3,FALSE())</f>
        <v>545</v>
      </c>
      <c r="G1309" s="5" t="n">
        <f aca="false">VLOOKUP(B1309,Заказы!$A$2:$E$2995,2,FALSE())</f>
        <v>44039</v>
      </c>
      <c r="H1309" s="1" t="n">
        <f aca="false">VLOOKUP(B1309,Заказы!$A$2:$E$2995,3,FALSE())</f>
        <v>805</v>
      </c>
      <c r="I1309" s="1" t="str">
        <f aca="false">VLOOKUP(H1309,Клиенты!$A$2:$E$1995,5,FALSE())</f>
        <v>г. Учалы</v>
      </c>
      <c r="J1309" s="1" t="n">
        <f aca="false">VLOOKUP(B1309,Заказы!$A$2:$E$2995,4,FALSE())</f>
        <v>0</v>
      </c>
      <c r="K1309" s="1" t="str">
        <f aca="false">VLOOKUP(B1309,Заказы!$A$2:$E$2995,5,FALSE())</f>
        <v>Не выполнено</v>
      </c>
      <c r="L1309" s="1" t="n">
        <f aca="false">D1309*F1309+J1309</f>
        <v>2180</v>
      </c>
      <c r="M1309" s="1" t="n">
        <f aca="false">IF(AND(E1309="Пицца Труслейка",I1309="г. Москва",K1309="Выполнено",G1309&gt;=DATE(2020,7,1),G1309&lt;DATE(2020,8,1)),L1309,0)</f>
        <v>0</v>
      </c>
    </row>
    <row r="1310" customFormat="false" ht="15" hidden="false" customHeight="true" outlineLevel="0" collapsed="false">
      <c r="A1310" s="1" t="n">
        <v>101312</v>
      </c>
      <c r="B1310" s="1" t="n">
        <v>51512</v>
      </c>
      <c r="C1310" s="1" t="n">
        <v>4</v>
      </c>
      <c r="D1310" s="1" t="n">
        <v>10</v>
      </c>
      <c r="E1310" s="1" t="str">
        <f aca="false">VLOOKUP(C1310,Меню!$A$2:$C$24,2,FALSE())</f>
        <v>Пицца Труслейка</v>
      </c>
      <c r="F1310" s="1" t="n">
        <f aca="false">VLOOKUP(C1310,Меню!$A$2:$C$24,3,FALSE())</f>
        <v>610</v>
      </c>
      <c r="G1310" s="5" t="n">
        <f aca="false">VLOOKUP(B1310,Заказы!$A$2:$E$2995,2,FALSE())</f>
        <v>44061</v>
      </c>
      <c r="H1310" s="1" t="n">
        <f aca="false">VLOOKUP(B1310,Заказы!$A$2:$E$2995,3,FALSE())</f>
        <v>1552</v>
      </c>
      <c r="I1310" s="1" t="str">
        <f aca="false">VLOOKUP(H1310,Клиенты!$A$2:$E$1995,5,FALSE())</f>
        <v>г. Горно-Алтайск</v>
      </c>
      <c r="J1310" s="1" t="n">
        <f aca="false">VLOOKUP(B1310,Заказы!$A$2:$E$2995,4,FALSE())</f>
        <v>550</v>
      </c>
      <c r="K1310" s="1" t="str">
        <f aca="false">VLOOKUP(B1310,Заказы!$A$2:$E$2995,5,FALSE())</f>
        <v>Выполнено</v>
      </c>
      <c r="L1310" s="1" t="n">
        <f aca="false">D1310*F1310+J1310</f>
        <v>6650</v>
      </c>
      <c r="M1310" s="1" t="n">
        <f aca="false">IF(AND(E1310="Пицца Труслейка",I1310="г. Москва",K1310="Выполнено",G1310&gt;=DATE(2020,7,1),G1310&lt;DATE(2020,8,1)),L1310,0)</f>
        <v>0</v>
      </c>
    </row>
    <row r="1311" customFormat="false" ht="15" hidden="false" customHeight="true" outlineLevel="0" collapsed="false">
      <c r="A1311" s="1" t="n">
        <v>101377</v>
      </c>
      <c r="B1311" s="1" t="n">
        <v>50708</v>
      </c>
      <c r="C1311" s="1" t="n">
        <v>4</v>
      </c>
      <c r="D1311" s="1" t="n">
        <v>3</v>
      </c>
      <c r="E1311" s="1" t="str">
        <f aca="false">VLOOKUP(C1311,Меню!$A$2:$C$24,2,FALSE())</f>
        <v>Пицца Труслейка</v>
      </c>
      <c r="F1311" s="1" t="n">
        <f aca="false">VLOOKUP(C1311,Меню!$A$2:$C$24,3,FALSE())</f>
        <v>610</v>
      </c>
      <c r="G1311" s="5" t="n">
        <f aca="false">VLOOKUP(B1311,Заказы!$A$2:$E$2995,2,FALSE())</f>
        <v>44017</v>
      </c>
      <c r="H1311" s="1" t="n">
        <f aca="false">VLOOKUP(B1311,Заказы!$A$2:$E$2995,3,FALSE())</f>
        <v>1882</v>
      </c>
      <c r="I1311" s="1" t="str">
        <f aca="false">VLOOKUP(H1311,Клиенты!$A$2:$E$1995,5,FALSE())</f>
        <v>г. Ладушкин</v>
      </c>
      <c r="J1311" s="1" t="n">
        <f aca="false">VLOOKUP(B1311,Заказы!$A$2:$E$2995,4,FALSE())</f>
        <v>0</v>
      </c>
      <c r="K1311" s="1" t="str">
        <f aca="false">VLOOKUP(B1311,Заказы!$A$2:$E$2995,5,FALSE())</f>
        <v>Не выполнено</v>
      </c>
      <c r="L1311" s="1" t="n">
        <f aca="false">D1311*F1311+J1311</f>
        <v>1830</v>
      </c>
      <c r="M1311" s="1" t="n">
        <f aca="false">IF(AND(E1311="Пицца Труслейка",I1311="г. Москва",K1311="Выполнено",G1311&gt;=DATE(2020,7,1),G1311&lt;DATE(2020,8,1)),L1311,0)</f>
        <v>0</v>
      </c>
    </row>
    <row r="1312" customFormat="false" ht="15" hidden="false" customHeight="true" outlineLevel="0" collapsed="false">
      <c r="A1312" s="1" t="n">
        <v>100313</v>
      </c>
      <c r="B1312" s="1" t="n">
        <v>51756</v>
      </c>
      <c r="C1312" s="1" t="n">
        <v>20</v>
      </c>
      <c r="D1312" s="1" t="n">
        <v>3</v>
      </c>
      <c r="E1312" s="1" t="str">
        <f aca="false">VLOOKUP(C1312,Меню!$A$2:$C$24,2,FALSE())</f>
        <v>Пицца пиканте</v>
      </c>
      <c r="F1312" s="1" t="n">
        <f aca="false">VLOOKUP(C1312,Меню!$A$2:$C$24,3,FALSE())</f>
        <v>585</v>
      </c>
      <c r="G1312" s="5" t="n">
        <f aca="false">VLOOKUP(B1312,Заказы!$A$2:$E$2995,2,FALSE())</f>
        <v>43993</v>
      </c>
      <c r="H1312" s="1" t="n">
        <f aca="false">VLOOKUP(B1312,Заказы!$A$2:$E$2995,3,FALSE())</f>
        <v>431</v>
      </c>
      <c r="I1312" s="1" t="str">
        <f aca="false">VLOOKUP(H1312,Клиенты!$A$2:$E$1995,5,FALSE())</f>
        <v>г. Когалым</v>
      </c>
      <c r="J1312" s="1" t="n">
        <f aca="false">VLOOKUP(B1312,Заказы!$A$2:$E$2995,4,FALSE())</f>
        <v>131</v>
      </c>
      <c r="K1312" s="1" t="str">
        <f aca="false">VLOOKUP(B1312,Заказы!$A$2:$E$2995,5,FALSE())</f>
        <v>Выполнено</v>
      </c>
      <c r="L1312" s="1" t="n">
        <f aca="false">D1312*F1312+J1312</f>
        <v>1886</v>
      </c>
      <c r="M1312" s="1" t="n">
        <f aca="false">IF(AND(E1312="Пицца Труслейка",I1312="г. Москва",K1312="Выполнено",G1312&gt;=DATE(2020,7,1),G1312&lt;DATE(2020,8,1)),L1312,0)</f>
        <v>0</v>
      </c>
    </row>
    <row r="1313" customFormat="false" ht="15" hidden="false" customHeight="true" outlineLevel="0" collapsed="false">
      <c r="A1313" s="1" t="n">
        <v>100789</v>
      </c>
      <c r="B1313" s="1" t="n">
        <v>51025</v>
      </c>
      <c r="C1313" s="1" t="n">
        <v>18</v>
      </c>
      <c r="D1313" s="1" t="n">
        <v>2</v>
      </c>
      <c r="E1313" s="1" t="str">
        <f aca="false">VLOOKUP(C1313,Меню!$A$2:$C$24,2,FALSE())</f>
        <v>Пицца Царская</v>
      </c>
      <c r="F1313" s="1" t="n">
        <f aca="false">VLOOKUP(C1313,Меню!$A$2:$C$24,3,FALSE())</f>
        <v>620</v>
      </c>
      <c r="G1313" s="5" t="n">
        <f aca="false">VLOOKUP(B1313,Заказы!$A$2:$E$2995,2,FALSE())</f>
        <v>44036</v>
      </c>
      <c r="H1313" s="1" t="n">
        <f aca="false">VLOOKUP(B1313,Заказы!$A$2:$E$2995,3,FALSE())</f>
        <v>720</v>
      </c>
      <c r="I1313" s="1" t="str">
        <f aca="false">VLOOKUP(H1313,Клиенты!$A$2:$E$1995,5,FALSE())</f>
        <v>г. Москва</v>
      </c>
      <c r="J1313" s="1" t="n">
        <f aca="false">VLOOKUP(B1313,Заказы!$A$2:$E$2995,4,FALSE())</f>
        <v>0</v>
      </c>
      <c r="K1313" s="1" t="str">
        <f aca="false">VLOOKUP(B1313,Заказы!$A$2:$E$2995,5,FALSE())</f>
        <v>Не выполнено</v>
      </c>
      <c r="L1313" s="1" t="n">
        <f aca="false">D1313*F1313+J1313</f>
        <v>1240</v>
      </c>
      <c r="M1313" s="1" t="n">
        <f aca="false">IF(AND(E1313="Пицца Труслейка",I1313="г. Москва",K1313="Выполнено",G1313&gt;=DATE(2020,7,1),G1313&lt;DATE(2020,8,1)),L1313,0)</f>
        <v>0</v>
      </c>
    </row>
    <row r="1314" customFormat="false" ht="15" hidden="false" customHeight="true" outlineLevel="0" collapsed="false">
      <c r="A1314" s="1" t="n">
        <v>101730</v>
      </c>
      <c r="B1314" s="1" t="n">
        <v>51948</v>
      </c>
      <c r="C1314" s="1" t="n">
        <v>8</v>
      </c>
      <c r="D1314" s="1" t="n">
        <v>2</v>
      </c>
      <c r="E1314" s="1" t="str">
        <f aca="false">VLOOKUP(C1314,Меню!$A$2:$C$24,2,FALSE())</f>
        <v>Пицца Мясная</v>
      </c>
      <c r="F1314" s="1" t="n">
        <f aca="false">VLOOKUP(C1314,Меню!$A$2:$C$24,3,FALSE())</f>
        <v>615</v>
      </c>
      <c r="G1314" s="5" t="n">
        <f aca="false">VLOOKUP(B1314,Заказы!$A$2:$E$2995,2,FALSE())</f>
        <v>43995</v>
      </c>
      <c r="H1314" s="1" t="n">
        <f aca="false">VLOOKUP(B1314,Заказы!$A$2:$E$2995,3,FALSE())</f>
        <v>46</v>
      </c>
      <c r="I1314" s="1" t="str">
        <f aca="false">VLOOKUP(H1314,Клиенты!$A$2:$E$1995,5,FALSE())</f>
        <v>г. Краснотурьинск</v>
      </c>
      <c r="J1314" s="1" t="n">
        <f aca="false">VLOOKUP(B1314,Заказы!$A$2:$E$2995,4,FALSE())</f>
        <v>0</v>
      </c>
      <c r="K1314" s="1" t="str">
        <f aca="false">VLOOKUP(B1314,Заказы!$A$2:$E$2995,5,FALSE())</f>
        <v>Не выполнено</v>
      </c>
      <c r="L1314" s="1" t="n">
        <f aca="false">D1314*F1314+J1314</f>
        <v>1230</v>
      </c>
      <c r="M1314" s="1" t="n">
        <f aca="false">IF(AND(E1314="Пицца Труслейка",I1314="г. Москва",K1314="Выполнено",G1314&gt;=DATE(2020,7,1),G1314&lt;DATE(2020,8,1)),L1314,0)</f>
        <v>0</v>
      </c>
    </row>
    <row r="1315" customFormat="false" ht="15" hidden="false" customHeight="true" outlineLevel="0" collapsed="false">
      <c r="A1315" s="1" t="n">
        <v>101805</v>
      </c>
      <c r="B1315" s="1" t="n">
        <v>51901</v>
      </c>
      <c r="C1315" s="1" t="n">
        <v>21</v>
      </c>
      <c r="D1315" s="1" t="n">
        <v>4</v>
      </c>
      <c r="E1315" s="1" t="str">
        <f aca="false">VLOOKUP(C1315,Меню!$A$2:$C$24,2,FALSE())</f>
        <v>Пицца с креветками и цукини</v>
      </c>
      <c r="F1315" s="1" t="n">
        <f aca="false">VLOOKUP(C1315,Меню!$A$2:$C$24,3,FALSE())</f>
        <v>600</v>
      </c>
      <c r="G1315" s="5" t="n">
        <f aca="false">VLOOKUP(B1315,Заказы!$A$2:$E$2995,2,FALSE())</f>
        <v>43985</v>
      </c>
      <c r="H1315" s="1" t="n">
        <f aca="false">VLOOKUP(B1315,Заказы!$A$2:$E$2995,3,FALSE())</f>
        <v>1958</v>
      </c>
      <c r="I1315" s="1" t="str">
        <f aca="false">VLOOKUP(H1315,Клиенты!$A$2:$E$1995,5,FALSE())</f>
        <v>г. Кольчугино</v>
      </c>
      <c r="J1315" s="1" t="n">
        <f aca="false">VLOOKUP(B1315,Заказы!$A$2:$E$2995,4,FALSE())</f>
        <v>263</v>
      </c>
      <c r="K1315" s="1" t="str">
        <f aca="false">VLOOKUP(B1315,Заказы!$A$2:$E$2995,5,FALSE())</f>
        <v>Выполнено</v>
      </c>
      <c r="L1315" s="1" t="n">
        <f aca="false">D1315*F1315+J1315</f>
        <v>2663</v>
      </c>
      <c r="M1315" s="1" t="n">
        <f aca="false">IF(AND(E1315="Пицца Труслейка",I1315="г. Москва",K1315="Выполнено",G1315&gt;=DATE(2020,7,1),G1315&lt;DATE(2020,8,1)),L1315,0)</f>
        <v>0</v>
      </c>
    </row>
    <row r="1316" customFormat="false" ht="15" hidden="false" customHeight="true" outlineLevel="0" collapsed="false">
      <c r="A1316" s="1" t="n">
        <v>101694</v>
      </c>
      <c r="B1316" s="1" t="n">
        <v>51782</v>
      </c>
      <c r="C1316" s="1" t="n">
        <v>3</v>
      </c>
      <c r="D1316" s="1" t="n">
        <v>2</v>
      </c>
      <c r="E1316" s="1" t="str">
        <f aca="false">VLOOKUP(C1316,Меню!$A$2:$C$24,2,FALSE())</f>
        <v>Пицца Диабло</v>
      </c>
      <c r="F1316" s="1" t="n">
        <f aca="false">VLOOKUP(C1316,Меню!$A$2:$C$24,3,FALSE())</f>
        <v>590</v>
      </c>
      <c r="G1316" s="5" t="n">
        <f aca="false">VLOOKUP(B1316,Заказы!$A$2:$E$2995,2,FALSE())</f>
        <v>43995</v>
      </c>
      <c r="H1316" s="1" t="n">
        <f aca="false">VLOOKUP(B1316,Заказы!$A$2:$E$2995,3,FALSE())</f>
        <v>1162</v>
      </c>
      <c r="I1316" s="1" t="str">
        <f aca="false">VLOOKUP(H1316,Клиенты!$A$2:$E$1995,5,FALSE())</f>
        <v>г. Кадников</v>
      </c>
      <c r="J1316" s="1" t="n">
        <f aca="false">VLOOKUP(B1316,Заказы!$A$2:$E$2995,4,FALSE())</f>
        <v>547</v>
      </c>
      <c r="K1316" s="1" t="str">
        <f aca="false">VLOOKUP(B1316,Заказы!$A$2:$E$2995,5,FALSE())</f>
        <v>Выполнено</v>
      </c>
      <c r="L1316" s="1" t="n">
        <f aca="false">D1316*F1316+J1316</f>
        <v>1727</v>
      </c>
      <c r="M1316" s="1" t="n">
        <f aca="false">IF(AND(E1316="Пицца Труслейка",I1316="г. Москва",K1316="Выполнено",G1316&gt;=DATE(2020,7,1),G1316&lt;DATE(2020,8,1)),L1316,0)</f>
        <v>0</v>
      </c>
    </row>
    <row r="1317" customFormat="false" ht="15" hidden="false" customHeight="true" outlineLevel="0" collapsed="false">
      <c r="A1317" s="1" t="n">
        <v>101597</v>
      </c>
      <c r="B1317" s="1" t="n">
        <v>50107</v>
      </c>
      <c r="C1317" s="1" t="n">
        <v>23</v>
      </c>
      <c r="D1317" s="1" t="n">
        <v>7</v>
      </c>
      <c r="E1317" s="1" t="str">
        <f aca="false">VLOOKUP(C1317,Меню!$A$2:$C$24,2,FALSE())</f>
        <v>Пицца с тунцом</v>
      </c>
      <c r="F1317" s="1" t="n">
        <f aca="false">VLOOKUP(C1317,Меню!$A$2:$C$24,3,FALSE())</f>
        <v>520</v>
      </c>
      <c r="G1317" s="5" t="n">
        <f aca="false">VLOOKUP(B1317,Заказы!$A$2:$E$2995,2,FALSE())</f>
        <v>44064</v>
      </c>
      <c r="H1317" s="1" t="n">
        <f aca="false">VLOOKUP(B1317,Заказы!$A$2:$E$2995,3,FALSE())</f>
        <v>188</v>
      </c>
      <c r="I1317" s="1" t="str">
        <f aca="false">VLOOKUP(H1317,Клиенты!$A$2:$E$1995,5,FALSE())</f>
        <v>г. Иркутск</v>
      </c>
      <c r="J1317" s="1" t="n">
        <f aca="false">VLOOKUP(B1317,Заказы!$A$2:$E$2995,4,FALSE())</f>
        <v>669</v>
      </c>
      <c r="K1317" s="1" t="str">
        <f aca="false">VLOOKUP(B1317,Заказы!$A$2:$E$2995,5,FALSE())</f>
        <v>Выполнено</v>
      </c>
      <c r="L1317" s="1" t="n">
        <f aca="false">D1317*F1317+J1317</f>
        <v>4309</v>
      </c>
      <c r="M1317" s="1" t="n">
        <f aca="false">IF(AND(E1317="Пицца Труслейка",I1317="г. Москва",K1317="Выполнено",G1317&gt;=DATE(2020,7,1),G1317&lt;DATE(2020,8,1)),L1317,0)</f>
        <v>0</v>
      </c>
    </row>
    <row r="1318" customFormat="false" ht="15" hidden="false" customHeight="true" outlineLevel="0" collapsed="false">
      <c r="A1318" s="1" t="n">
        <v>101225</v>
      </c>
      <c r="B1318" s="1" t="n">
        <v>51160</v>
      </c>
      <c r="C1318" s="1" t="n">
        <v>19</v>
      </c>
      <c r="D1318" s="1" t="n">
        <v>1</v>
      </c>
      <c r="E1318" s="1" t="str">
        <f aca="false">VLOOKUP(C1318,Меню!$A$2:$C$24,2,FALSE())</f>
        <v>Пицца Цезарь</v>
      </c>
      <c r="F1318" s="1" t="n">
        <f aca="false">VLOOKUP(C1318,Меню!$A$2:$C$24,3,FALSE())</f>
        <v>630</v>
      </c>
      <c r="G1318" s="5" t="n">
        <f aca="false">VLOOKUP(B1318,Заказы!$A$2:$E$2995,2,FALSE())</f>
        <v>44044</v>
      </c>
      <c r="H1318" s="1" t="n">
        <f aca="false">VLOOKUP(B1318,Заказы!$A$2:$E$2995,3,FALSE())</f>
        <v>733</v>
      </c>
      <c r="I1318" s="1" t="str">
        <f aca="false">VLOOKUP(H1318,Клиенты!$A$2:$E$1995,5,FALSE())</f>
        <v>г. Ярославль</v>
      </c>
      <c r="J1318" s="1" t="n">
        <f aca="false">VLOOKUP(B1318,Заказы!$A$2:$E$2995,4,FALSE())</f>
        <v>0</v>
      </c>
      <c r="K1318" s="1" t="str">
        <f aca="false">VLOOKUP(B1318,Заказы!$A$2:$E$2995,5,FALSE())</f>
        <v>Не выполнено</v>
      </c>
      <c r="L1318" s="1" t="n">
        <f aca="false">D1318*F1318+J1318</f>
        <v>630</v>
      </c>
      <c r="M1318" s="1" t="n">
        <f aca="false">IF(AND(E1318="Пицца Труслейка",I1318="г. Москва",K1318="Выполнено",G1318&gt;=DATE(2020,7,1),G1318&lt;DATE(2020,8,1)),L1318,0)</f>
        <v>0</v>
      </c>
    </row>
    <row r="1319" customFormat="false" ht="15" hidden="false" customHeight="true" outlineLevel="0" collapsed="false">
      <c r="A1319" s="1" t="n">
        <v>101670</v>
      </c>
      <c r="B1319" s="1" t="n">
        <v>51235</v>
      </c>
      <c r="C1319" s="1" t="n">
        <v>12</v>
      </c>
      <c r="D1319" s="1" t="n">
        <v>8</v>
      </c>
      <c r="E1319" s="1" t="str">
        <f aca="false">VLOOKUP(C1319,Меню!$A$2:$C$24,2,FALSE())</f>
        <v>Пицца Салями с трюфелем</v>
      </c>
      <c r="F1319" s="1" t="n">
        <f aca="false">VLOOKUP(C1319,Меню!$A$2:$C$24,3,FALSE())</f>
        <v>525</v>
      </c>
      <c r="G1319" s="5" t="n">
        <f aca="false">VLOOKUP(B1319,Заказы!$A$2:$E$2995,2,FALSE())</f>
        <v>44006</v>
      </c>
      <c r="H1319" s="1" t="n">
        <f aca="false">VLOOKUP(B1319,Заказы!$A$2:$E$2995,3,FALSE())</f>
        <v>1740</v>
      </c>
      <c r="I1319" s="1" t="str">
        <f aca="false">VLOOKUP(H1319,Клиенты!$A$2:$E$1995,5,FALSE())</f>
        <v>г. Москва</v>
      </c>
      <c r="J1319" s="1" t="n">
        <f aca="false">VLOOKUP(B1319,Заказы!$A$2:$E$2995,4,FALSE())</f>
        <v>0</v>
      </c>
      <c r="K1319" s="1" t="str">
        <f aca="false">VLOOKUP(B1319,Заказы!$A$2:$E$2995,5,FALSE())</f>
        <v>Не выполнено</v>
      </c>
      <c r="L1319" s="1" t="n">
        <f aca="false">D1319*F1319+J1319</f>
        <v>4200</v>
      </c>
      <c r="M1319" s="1" t="n">
        <f aca="false">IF(AND(E1319="Пицца Труслейка",I1319="г. Москва",K1319="Выполнено",G1319&gt;=DATE(2020,7,1),G1319&lt;DATE(2020,8,1)),L1319,0)</f>
        <v>0</v>
      </c>
    </row>
    <row r="1320" customFormat="false" ht="15" hidden="false" customHeight="true" outlineLevel="0" collapsed="false">
      <c r="A1320" s="1" t="n">
        <v>100274</v>
      </c>
      <c r="B1320" s="1" t="n">
        <v>50590</v>
      </c>
      <c r="C1320" s="1" t="n">
        <v>10</v>
      </c>
      <c r="D1320" s="1" t="n">
        <v>10</v>
      </c>
      <c r="E1320" s="1" t="str">
        <f aca="false">VLOOKUP(C1320,Меню!$A$2:$C$24,2,FALSE())</f>
        <v>Пицца Пепперони фреш</v>
      </c>
      <c r="F1320" s="1" t="n">
        <f aca="false">VLOOKUP(C1320,Меню!$A$2:$C$24,3,FALSE())</f>
        <v>565</v>
      </c>
      <c r="G1320" s="5" t="n">
        <f aca="false">VLOOKUP(B1320,Заказы!$A$2:$E$2995,2,FALSE())</f>
        <v>44027</v>
      </c>
      <c r="H1320" s="1" t="n">
        <f aca="false">VLOOKUP(B1320,Заказы!$A$2:$E$2995,3,FALSE())</f>
        <v>1965</v>
      </c>
      <c r="I1320" s="1" t="str">
        <f aca="false">VLOOKUP(H1320,Клиенты!$A$2:$E$1995,5,FALSE())</f>
        <v>г. Гдов</v>
      </c>
      <c r="J1320" s="1" t="n">
        <f aca="false">VLOOKUP(B1320,Заказы!$A$2:$E$2995,4,FALSE())</f>
        <v>0</v>
      </c>
      <c r="K1320" s="1" t="str">
        <f aca="false">VLOOKUP(B1320,Заказы!$A$2:$E$2995,5,FALSE())</f>
        <v>Не выполнено</v>
      </c>
      <c r="L1320" s="1" t="n">
        <f aca="false">D1320*F1320+J1320</f>
        <v>5650</v>
      </c>
      <c r="M1320" s="1" t="n">
        <f aca="false">IF(AND(E1320="Пицца Труслейка",I1320="г. Москва",K1320="Выполнено",G1320&gt;=DATE(2020,7,1),G1320&lt;DATE(2020,8,1)),L1320,0)</f>
        <v>0</v>
      </c>
    </row>
    <row r="1321" customFormat="false" ht="15" hidden="false" customHeight="true" outlineLevel="0" collapsed="false">
      <c r="A1321" s="1" t="n">
        <v>100048</v>
      </c>
      <c r="B1321" s="1" t="n">
        <v>50135</v>
      </c>
      <c r="C1321" s="1" t="n">
        <v>4</v>
      </c>
      <c r="D1321" s="1" t="n">
        <v>5</v>
      </c>
      <c r="E1321" s="1" t="str">
        <f aca="false">VLOOKUP(C1321,Меню!$A$2:$C$24,2,FALSE())</f>
        <v>Пицца Труслейка</v>
      </c>
      <c r="F1321" s="1" t="n">
        <f aca="false">VLOOKUP(C1321,Меню!$A$2:$C$24,3,FALSE())</f>
        <v>610</v>
      </c>
      <c r="G1321" s="5" t="n">
        <f aca="false">VLOOKUP(B1321,Заказы!$A$2:$E$2995,2,FALSE())</f>
        <v>43991</v>
      </c>
      <c r="H1321" s="1" t="n">
        <f aca="false">VLOOKUP(B1321,Заказы!$A$2:$E$2995,3,FALSE())</f>
        <v>1872</v>
      </c>
      <c r="I1321" s="1" t="str">
        <f aca="false">VLOOKUP(H1321,Клиенты!$A$2:$E$1995,5,FALSE())</f>
        <v>г. Троицк</v>
      </c>
      <c r="J1321" s="1" t="n">
        <f aca="false">VLOOKUP(B1321,Заказы!$A$2:$E$2995,4,FALSE())</f>
        <v>0</v>
      </c>
      <c r="K1321" s="1" t="str">
        <f aca="false">VLOOKUP(B1321,Заказы!$A$2:$E$2995,5,FALSE())</f>
        <v>Не выполнено</v>
      </c>
      <c r="L1321" s="1" t="n">
        <f aca="false">D1321*F1321+J1321</f>
        <v>3050</v>
      </c>
      <c r="M1321" s="1" t="n">
        <f aca="false">IF(AND(E1321="Пицца Труслейка",I1321="г. Москва",K1321="Выполнено",G1321&gt;=DATE(2020,7,1),G1321&lt;DATE(2020,8,1)),L1321,0)</f>
        <v>0</v>
      </c>
    </row>
    <row r="1322" customFormat="false" ht="15" hidden="false" customHeight="true" outlineLevel="0" collapsed="false">
      <c r="A1322" s="1" t="n">
        <v>100851</v>
      </c>
      <c r="B1322" s="1" t="n">
        <v>50800</v>
      </c>
      <c r="C1322" s="1" t="n">
        <v>5</v>
      </c>
      <c r="D1322" s="1" t="n">
        <v>8</v>
      </c>
      <c r="E1322" s="1" t="str">
        <f aca="false">VLOOKUP(C1322,Меню!$A$2:$C$24,2,FALSE())</f>
        <v>Пицца Жюльен</v>
      </c>
      <c r="F1322" s="1" t="n">
        <f aca="false">VLOOKUP(C1322,Меню!$A$2:$C$24,3,FALSE())</f>
        <v>580</v>
      </c>
      <c r="G1322" s="5" t="n">
        <f aca="false">VLOOKUP(B1322,Заказы!$A$2:$E$2995,2,FALSE())</f>
        <v>44034</v>
      </c>
      <c r="H1322" s="1" t="n">
        <f aca="false">VLOOKUP(B1322,Заказы!$A$2:$E$2995,3,FALSE())</f>
        <v>1791</v>
      </c>
      <c r="I1322" s="1" t="str">
        <f aca="false">VLOOKUP(H1322,Клиенты!$A$2:$E$1995,5,FALSE())</f>
        <v>г. Кандалакша</v>
      </c>
      <c r="J1322" s="1" t="n">
        <f aca="false">VLOOKUP(B1322,Заказы!$A$2:$E$2995,4,FALSE())</f>
        <v>0</v>
      </c>
      <c r="K1322" s="1" t="str">
        <f aca="false">VLOOKUP(B1322,Заказы!$A$2:$E$2995,5,FALSE())</f>
        <v>Не выполнено</v>
      </c>
      <c r="L1322" s="1" t="n">
        <f aca="false">D1322*F1322+J1322</f>
        <v>4640</v>
      </c>
      <c r="M1322" s="1" t="n">
        <f aca="false">IF(AND(E1322="Пицца Труслейка",I1322="г. Москва",K1322="Выполнено",G1322&gt;=DATE(2020,7,1),G1322&lt;DATE(2020,8,1)),L1322,0)</f>
        <v>0</v>
      </c>
    </row>
    <row r="1323" customFormat="false" ht="15" hidden="false" customHeight="true" outlineLevel="0" collapsed="false">
      <c r="A1323" s="1" t="n">
        <v>100011</v>
      </c>
      <c r="B1323" s="1" t="n">
        <v>50101</v>
      </c>
      <c r="C1323" s="1" t="n">
        <v>1</v>
      </c>
      <c r="D1323" s="1" t="n">
        <v>7</v>
      </c>
      <c r="E1323" s="1" t="str">
        <f aca="false">VLOOKUP(C1323,Меню!$A$2:$C$24,2,FALSE())</f>
        <v>Пицца Гавайская</v>
      </c>
      <c r="F1323" s="1" t="n">
        <f aca="false">VLOOKUP(C1323,Меню!$A$2:$C$24,3,FALSE())</f>
        <v>545</v>
      </c>
      <c r="G1323" s="5" t="n">
        <f aca="false">VLOOKUP(B1323,Заказы!$A$2:$E$2995,2,FALSE())</f>
        <v>44054</v>
      </c>
      <c r="H1323" s="1" t="n">
        <f aca="false">VLOOKUP(B1323,Заказы!$A$2:$E$2995,3,FALSE())</f>
        <v>149</v>
      </c>
      <c r="I1323" s="1" t="str">
        <f aca="false">VLOOKUP(H1323,Клиенты!$A$2:$E$1995,5,FALSE())</f>
        <v>г. Подольск</v>
      </c>
      <c r="J1323" s="1" t="n">
        <f aca="false">VLOOKUP(B1323,Заказы!$A$2:$E$2995,4,FALSE())</f>
        <v>833</v>
      </c>
      <c r="K1323" s="1" t="str">
        <f aca="false">VLOOKUP(B1323,Заказы!$A$2:$E$2995,5,FALSE())</f>
        <v>Выполнено</v>
      </c>
      <c r="L1323" s="1" t="n">
        <f aca="false">D1323*F1323+J1323</f>
        <v>4648</v>
      </c>
      <c r="M1323" s="1" t="n">
        <f aca="false">IF(AND(E1323="Пицца Труслейка",I1323="г. Москва",K1323="Выполнено",G1323&gt;=DATE(2020,7,1),G1323&lt;DATE(2020,8,1)),L1323,0)</f>
        <v>0</v>
      </c>
    </row>
    <row r="1324" customFormat="false" ht="15" hidden="false" customHeight="true" outlineLevel="0" collapsed="false">
      <c r="A1324" s="1" t="n">
        <v>101697</v>
      </c>
      <c r="B1324" s="1" t="n">
        <v>50817</v>
      </c>
      <c r="C1324" s="1" t="n">
        <v>9</v>
      </c>
      <c r="D1324" s="1" t="n">
        <v>2</v>
      </c>
      <c r="E1324" s="1" t="str">
        <f aca="false">VLOOKUP(C1324,Меню!$A$2:$C$24,2,FALSE())</f>
        <v>Пицца Острая с беконом</v>
      </c>
      <c r="F1324" s="1" t="n">
        <f aca="false">VLOOKUP(C1324,Меню!$A$2:$C$24,3,FALSE())</f>
        <v>540</v>
      </c>
      <c r="G1324" s="5" t="n">
        <f aca="false">VLOOKUP(B1324,Заказы!$A$2:$E$2995,2,FALSE())</f>
        <v>44044</v>
      </c>
      <c r="H1324" s="1" t="n">
        <f aca="false">VLOOKUP(B1324,Заказы!$A$2:$E$2995,3,FALSE())</f>
        <v>463</v>
      </c>
      <c r="I1324" s="1" t="str">
        <f aca="false">VLOOKUP(H1324,Клиенты!$A$2:$E$1995,5,FALSE())</f>
        <v>г. Тверь</v>
      </c>
      <c r="J1324" s="1" t="n">
        <f aca="false">VLOOKUP(B1324,Заказы!$A$2:$E$2995,4,FALSE())</f>
        <v>789</v>
      </c>
      <c r="K1324" s="1" t="str">
        <f aca="false">VLOOKUP(B1324,Заказы!$A$2:$E$2995,5,FALSE())</f>
        <v>Выполнено</v>
      </c>
      <c r="L1324" s="1" t="n">
        <f aca="false">D1324*F1324+J1324</f>
        <v>1869</v>
      </c>
      <c r="M1324" s="1" t="n">
        <f aca="false">IF(AND(E1324="Пицца Труслейка",I1324="г. Москва",K1324="Выполнено",G1324&gt;=DATE(2020,7,1),G1324&lt;DATE(2020,8,1)),L1324,0)</f>
        <v>0</v>
      </c>
    </row>
    <row r="1325" customFormat="false" ht="15" hidden="false" customHeight="true" outlineLevel="0" collapsed="false">
      <c r="A1325" s="1" t="n">
        <v>101871</v>
      </c>
      <c r="B1325" s="1" t="n">
        <v>50745</v>
      </c>
      <c r="C1325" s="1" t="n">
        <v>22</v>
      </c>
      <c r="D1325" s="1" t="n">
        <v>5</v>
      </c>
      <c r="E1325" s="1" t="str">
        <f aca="false">VLOOKUP(C1325,Меню!$A$2:$C$24,2,FALSE())</f>
        <v>Пицца с поркеттой и фриарелли</v>
      </c>
      <c r="F1325" s="1" t="n">
        <f aca="false">VLOOKUP(C1325,Меню!$A$2:$C$24,3,FALSE())</f>
        <v>550</v>
      </c>
      <c r="G1325" s="5" t="n">
        <f aca="false">VLOOKUP(B1325,Заказы!$A$2:$E$2995,2,FALSE())</f>
        <v>44022</v>
      </c>
      <c r="H1325" s="1" t="n">
        <f aca="false">VLOOKUP(B1325,Заказы!$A$2:$E$2995,3,FALSE())</f>
        <v>961</v>
      </c>
      <c r="I1325" s="1" t="str">
        <f aca="false">VLOOKUP(H1325,Клиенты!$A$2:$E$1995,5,FALSE())</f>
        <v>г. Перевоз</v>
      </c>
      <c r="J1325" s="1" t="n">
        <f aca="false">VLOOKUP(B1325,Заказы!$A$2:$E$2995,4,FALSE())</f>
        <v>0</v>
      </c>
      <c r="K1325" s="1" t="str">
        <f aca="false">VLOOKUP(B1325,Заказы!$A$2:$E$2995,5,FALSE())</f>
        <v>Не выполнено</v>
      </c>
      <c r="L1325" s="1" t="n">
        <f aca="false">D1325*F1325+J1325</f>
        <v>2750</v>
      </c>
      <c r="M1325" s="1" t="n">
        <f aca="false">IF(AND(E1325="Пицца Труслейка",I1325="г. Москва",K1325="Выполнено",G1325&gt;=DATE(2020,7,1),G1325&lt;DATE(2020,8,1)),L1325,0)</f>
        <v>0</v>
      </c>
    </row>
    <row r="1326" customFormat="false" ht="15" hidden="false" customHeight="true" outlineLevel="0" collapsed="false">
      <c r="A1326" s="1" t="n">
        <v>101099</v>
      </c>
      <c r="B1326" s="1" t="n">
        <v>50733</v>
      </c>
      <c r="C1326" s="1" t="n">
        <v>15</v>
      </c>
      <c r="D1326" s="1" t="n">
        <v>9</v>
      </c>
      <c r="E1326" s="1" t="str">
        <f aca="false">VLOOKUP(C1326,Меню!$A$2:$C$24,2,FALSE())</f>
        <v>Пицца Тропиканка</v>
      </c>
      <c r="F1326" s="1" t="n">
        <f aca="false">VLOOKUP(C1326,Меню!$A$2:$C$24,3,FALSE())</f>
        <v>605</v>
      </c>
      <c r="G1326" s="5" t="n">
        <f aca="false">VLOOKUP(B1326,Заказы!$A$2:$E$2995,2,FALSE())</f>
        <v>44022</v>
      </c>
      <c r="H1326" s="1" t="n">
        <f aca="false">VLOOKUP(B1326,Заказы!$A$2:$E$2995,3,FALSE())</f>
        <v>962</v>
      </c>
      <c r="I1326" s="1" t="str">
        <f aca="false">VLOOKUP(H1326,Клиенты!$A$2:$E$1995,5,FALSE())</f>
        <v>г. Шилка</v>
      </c>
      <c r="J1326" s="1" t="n">
        <f aca="false">VLOOKUP(B1326,Заказы!$A$2:$E$2995,4,FALSE())</f>
        <v>168</v>
      </c>
      <c r="K1326" s="1" t="str">
        <f aca="false">VLOOKUP(B1326,Заказы!$A$2:$E$2995,5,FALSE())</f>
        <v>Выполнено</v>
      </c>
      <c r="L1326" s="1" t="n">
        <f aca="false">D1326*F1326+J1326</f>
        <v>5613</v>
      </c>
      <c r="M1326" s="1" t="n">
        <f aca="false">IF(AND(E1326="Пицца Труслейка",I1326="г. Москва",K1326="Выполнено",G1326&gt;=DATE(2020,7,1),G1326&lt;DATE(2020,8,1)),L1326,0)</f>
        <v>0</v>
      </c>
    </row>
    <row r="1327" customFormat="false" ht="15" hidden="false" customHeight="true" outlineLevel="0" collapsed="false">
      <c r="A1327" s="1" t="n">
        <v>101507</v>
      </c>
      <c r="B1327" s="1" t="n">
        <v>51175</v>
      </c>
      <c r="C1327" s="1" t="n">
        <v>18</v>
      </c>
      <c r="D1327" s="1" t="n">
        <v>2</v>
      </c>
      <c r="E1327" s="1" t="str">
        <f aca="false">VLOOKUP(C1327,Меню!$A$2:$C$24,2,FALSE())</f>
        <v>Пицца Царская</v>
      </c>
      <c r="F1327" s="1" t="n">
        <f aca="false">VLOOKUP(C1327,Меню!$A$2:$C$24,3,FALSE())</f>
        <v>620</v>
      </c>
      <c r="G1327" s="5" t="n">
        <f aca="false">VLOOKUP(B1327,Заказы!$A$2:$E$2995,2,FALSE())</f>
        <v>44037</v>
      </c>
      <c r="H1327" s="1" t="n">
        <f aca="false">VLOOKUP(B1327,Заказы!$A$2:$E$2995,3,FALSE())</f>
        <v>1168</v>
      </c>
      <c r="I1327" s="1" t="str">
        <f aca="false">VLOOKUP(H1327,Клиенты!$A$2:$E$1995,5,FALSE())</f>
        <v>г. Голицыно</v>
      </c>
      <c r="J1327" s="1" t="n">
        <f aca="false">VLOOKUP(B1327,Заказы!$A$2:$E$2995,4,FALSE())</f>
        <v>587</v>
      </c>
      <c r="K1327" s="1" t="str">
        <f aca="false">VLOOKUP(B1327,Заказы!$A$2:$E$2995,5,FALSE())</f>
        <v>Выполнено</v>
      </c>
      <c r="L1327" s="1" t="n">
        <f aca="false">D1327*F1327+J1327</f>
        <v>1827</v>
      </c>
      <c r="M1327" s="1" t="n">
        <f aca="false">IF(AND(E1327="Пицца Труслейка",I1327="г. Москва",K1327="Выполнено",G1327&gt;=DATE(2020,7,1),G1327&lt;DATE(2020,8,1)),L1327,0)</f>
        <v>0</v>
      </c>
    </row>
    <row r="1328" customFormat="false" ht="15" hidden="false" customHeight="true" outlineLevel="0" collapsed="false">
      <c r="A1328" s="1" t="n">
        <v>101551</v>
      </c>
      <c r="B1328" s="1" t="n">
        <v>51942</v>
      </c>
      <c r="C1328" s="1" t="n">
        <v>14</v>
      </c>
      <c r="D1328" s="1" t="n">
        <v>1</v>
      </c>
      <c r="E1328" s="1" t="str">
        <f aca="false">VLOOKUP(C1328,Меню!$A$2:$C$24,2,FALSE())</f>
        <v>Пицца Сырный цыпленок</v>
      </c>
      <c r="F1328" s="1" t="n">
        <f aca="false">VLOOKUP(C1328,Меню!$A$2:$C$24,3,FALSE())</f>
        <v>555</v>
      </c>
      <c r="G1328" s="5" t="n">
        <f aca="false">VLOOKUP(B1328,Заказы!$A$2:$E$2995,2,FALSE())</f>
        <v>43988</v>
      </c>
      <c r="H1328" s="1" t="n">
        <f aca="false">VLOOKUP(B1328,Заказы!$A$2:$E$2995,3,FALSE())</f>
        <v>1937</v>
      </c>
      <c r="I1328" s="1" t="str">
        <f aca="false">VLOOKUP(H1328,Клиенты!$A$2:$E$1995,5,FALSE())</f>
        <v>г. Кисловодск</v>
      </c>
      <c r="J1328" s="1" t="n">
        <f aca="false">VLOOKUP(B1328,Заказы!$A$2:$E$2995,4,FALSE())</f>
        <v>0</v>
      </c>
      <c r="K1328" s="1" t="str">
        <f aca="false">VLOOKUP(B1328,Заказы!$A$2:$E$2995,5,FALSE())</f>
        <v>Не выполнено</v>
      </c>
      <c r="L1328" s="1" t="n">
        <f aca="false">D1328*F1328+J1328</f>
        <v>555</v>
      </c>
      <c r="M1328" s="1" t="n">
        <f aca="false">IF(AND(E1328="Пицца Труслейка",I1328="г. Москва",K1328="Выполнено",G1328&gt;=DATE(2020,7,1),G1328&lt;DATE(2020,8,1)),L1328,0)</f>
        <v>0</v>
      </c>
    </row>
    <row r="1329" customFormat="false" ht="15" hidden="false" customHeight="true" outlineLevel="0" collapsed="false">
      <c r="A1329" s="1" t="n">
        <v>100538</v>
      </c>
      <c r="B1329" s="1" t="n">
        <v>51040</v>
      </c>
      <c r="C1329" s="1" t="n">
        <v>2</v>
      </c>
      <c r="D1329" s="1" t="n">
        <v>10</v>
      </c>
      <c r="E1329" s="1" t="str">
        <f aca="false">VLOOKUP(C1329,Меню!$A$2:$C$24,2,FALSE())</f>
        <v>Пицца Двойная пепперони</v>
      </c>
      <c r="F1329" s="1" t="n">
        <f aca="false">VLOOKUP(C1329,Меню!$A$2:$C$24,3,FALSE())</f>
        <v>575</v>
      </c>
      <c r="G1329" s="5" t="n">
        <f aca="false">VLOOKUP(B1329,Заказы!$A$2:$E$2995,2,FALSE())</f>
        <v>44067</v>
      </c>
      <c r="H1329" s="1" t="n">
        <f aca="false">VLOOKUP(B1329,Заказы!$A$2:$E$2995,3,FALSE())</f>
        <v>471</v>
      </c>
      <c r="I1329" s="1" t="str">
        <f aca="false">VLOOKUP(H1329,Клиенты!$A$2:$E$1995,5,FALSE())</f>
        <v>г. Малгобек</v>
      </c>
      <c r="J1329" s="1" t="n">
        <f aca="false">VLOOKUP(B1329,Заказы!$A$2:$E$2995,4,FALSE())</f>
        <v>138</v>
      </c>
      <c r="K1329" s="1" t="str">
        <f aca="false">VLOOKUP(B1329,Заказы!$A$2:$E$2995,5,FALSE())</f>
        <v>Выполнено</v>
      </c>
      <c r="L1329" s="1" t="n">
        <f aca="false">D1329*F1329+J1329</f>
        <v>5888</v>
      </c>
      <c r="M1329" s="1" t="n">
        <f aca="false">IF(AND(E1329="Пицца Труслейка",I1329="г. Москва",K1329="Выполнено",G1329&gt;=DATE(2020,7,1),G1329&lt;DATE(2020,8,1)),L1329,0)</f>
        <v>0</v>
      </c>
    </row>
    <row r="1330" customFormat="false" ht="15" hidden="false" customHeight="true" outlineLevel="0" collapsed="false">
      <c r="A1330" s="1" t="n">
        <v>100219</v>
      </c>
      <c r="B1330" s="1" t="n">
        <v>50319</v>
      </c>
      <c r="C1330" s="1" t="n">
        <v>9</v>
      </c>
      <c r="D1330" s="1" t="n">
        <v>5</v>
      </c>
      <c r="E1330" s="1" t="str">
        <f aca="false">VLOOKUP(C1330,Меню!$A$2:$C$24,2,FALSE())</f>
        <v>Пицца Острая с беконом</v>
      </c>
      <c r="F1330" s="1" t="n">
        <f aca="false">VLOOKUP(C1330,Меню!$A$2:$C$24,3,FALSE())</f>
        <v>540</v>
      </c>
      <c r="G1330" s="5" t="n">
        <f aca="false">VLOOKUP(B1330,Заказы!$A$2:$E$2995,2,FALSE())</f>
        <v>43997</v>
      </c>
      <c r="H1330" s="1" t="n">
        <f aca="false">VLOOKUP(B1330,Заказы!$A$2:$E$2995,3,FALSE())</f>
        <v>704</v>
      </c>
      <c r="I1330" s="1" t="str">
        <f aca="false">VLOOKUP(H1330,Клиенты!$A$2:$E$1995,5,FALSE())</f>
        <v>г. Бийск</v>
      </c>
      <c r="J1330" s="1" t="n">
        <f aca="false">VLOOKUP(B1330,Заказы!$A$2:$E$2995,4,FALSE())</f>
        <v>0</v>
      </c>
      <c r="K1330" s="1" t="str">
        <f aca="false">VLOOKUP(B1330,Заказы!$A$2:$E$2995,5,FALSE())</f>
        <v>Не выполнено</v>
      </c>
      <c r="L1330" s="1" t="n">
        <f aca="false">D1330*F1330+J1330</f>
        <v>2700</v>
      </c>
      <c r="M1330" s="1" t="n">
        <f aca="false">IF(AND(E1330="Пицца Труслейка",I1330="г. Москва",K1330="Выполнено",G1330&gt;=DATE(2020,7,1),G1330&lt;DATE(2020,8,1)),L1330,0)</f>
        <v>0</v>
      </c>
    </row>
    <row r="1331" customFormat="false" ht="15" hidden="false" customHeight="true" outlineLevel="0" collapsed="false">
      <c r="A1331" s="1" t="n">
        <v>100064</v>
      </c>
      <c r="B1331" s="1" t="n">
        <v>50759</v>
      </c>
      <c r="C1331" s="1" t="n">
        <v>4</v>
      </c>
      <c r="D1331" s="1" t="n">
        <v>9</v>
      </c>
      <c r="E1331" s="1" t="str">
        <f aca="false">VLOOKUP(C1331,Меню!$A$2:$C$24,2,FALSE())</f>
        <v>Пицца Труслейка</v>
      </c>
      <c r="F1331" s="1" t="n">
        <f aca="false">VLOOKUP(C1331,Меню!$A$2:$C$24,3,FALSE())</f>
        <v>610</v>
      </c>
      <c r="G1331" s="5" t="n">
        <f aca="false">VLOOKUP(B1331,Заказы!$A$2:$E$2995,2,FALSE())</f>
        <v>44024</v>
      </c>
      <c r="H1331" s="1" t="n">
        <f aca="false">VLOOKUP(B1331,Заказы!$A$2:$E$2995,3,FALSE())</f>
        <v>1893</v>
      </c>
      <c r="I1331" s="1" t="str">
        <f aca="false">VLOOKUP(H1331,Клиенты!$A$2:$E$1995,5,FALSE())</f>
        <v>г. Боровск</v>
      </c>
      <c r="J1331" s="1" t="n">
        <f aca="false">VLOOKUP(B1331,Заказы!$A$2:$E$2995,4,FALSE())</f>
        <v>0</v>
      </c>
      <c r="K1331" s="1" t="str">
        <f aca="false">VLOOKUP(B1331,Заказы!$A$2:$E$2995,5,FALSE())</f>
        <v>Не выполнено</v>
      </c>
      <c r="L1331" s="1" t="n">
        <f aca="false">D1331*F1331+J1331</f>
        <v>5490</v>
      </c>
      <c r="M1331" s="1" t="n">
        <f aca="false">IF(AND(E1331="Пицца Труслейка",I1331="г. Москва",K1331="Выполнено",G1331&gt;=DATE(2020,7,1),G1331&lt;DATE(2020,8,1)),L1331,0)</f>
        <v>0</v>
      </c>
    </row>
    <row r="1332" customFormat="false" ht="15" hidden="false" customHeight="true" outlineLevel="0" collapsed="false">
      <c r="A1332" s="1" t="n">
        <v>101341</v>
      </c>
      <c r="B1332" s="1" t="n">
        <v>51366</v>
      </c>
      <c r="C1332" s="1" t="n">
        <v>23</v>
      </c>
      <c r="D1332" s="1" t="n">
        <v>5</v>
      </c>
      <c r="E1332" s="1" t="str">
        <f aca="false">VLOOKUP(C1332,Меню!$A$2:$C$24,2,FALSE())</f>
        <v>Пицца с тунцом</v>
      </c>
      <c r="F1332" s="1" t="n">
        <f aca="false">VLOOKUP(C1332,Меню!$A$2:$C$24,3,FALSE())</f>
        <v>520</v>
      </c>
      <c r="G1332" s="5" t="n">
        <f aca="false">VLOOKUP(B1332,Заказы!$A$2:$E$2995,2,FALSE())</f>
        <v>43982</v>
      </c>
      <c r="H1332" s="1" t="n">
        <f aca="false">VLOOKUP(B1332,Заказы!$A$2:$E$2995,3,FALSE())</f>
        <v>356</v>
      </c>
      <c r="I1332" s="1" t="str">
        <f aca="false">VLOOKUP(H1332,Клиенты!$A$2:$E$1995,5,FALSE())</f>
        <v>г. Талдом</v>
      </c>
      <c r="J1332" s="1" t="n">
        <f aca="false">VLOOKUP(B1332,Заказы!$A$2:$E$2995,4,FALSE())</f>
        <v>0</v>
      </c>
      <c r="K1332" s="1" t="str">
        <f aca="false">VLOOKUP(B1332,Заказы!$A$2:$E$2995,5,FALSE())</f>
        <v>Не выполнено</v>
      </c>
      <c r="L1332" s="1" t="n">
        <f aca="false">D1332*F1332+J1332</f>
        <v>2600</v>
      </c>
      <c r="M1332" s="1" t="n">
        <f aca="false">IF(AND(E1332="Пицца Труслейка",I1332="г. Москва",K1332="Выполнено",G1332&gt;=DATE(2020,7,1),G1332&lt;DATE(2020,8,1)),L1332,0)</f>
        <v>0</v>
      </c>
    </row>
    <row r="1333" customFormat="false" ht="15" hidden="false" customHeight="true" outlineLevel="0" collapsed="false">
      <c r="A1333" s="1" t="n">
        <v>100921</v>
      </c>
      <c r="B1333" s="1" t="n">
        <v>51565</v>
      </c>
      <c r="C1333" s="1" t="n">
        <v>1</v>
      </c>
      <c r="D1333" s="1" t="n">
        <v>9</v>
      </c>
      <c r="E1333" s="1" t="str">
        <f aca="false">VLOOKUP(C1333,Меню!$A$2:$C$24,2,FALSE())</f>
        <v>Пицца Гавайская</v>
      </c>
      <c r="F1333" s="1" t="n">
        <f aca="false">VLOOKUP(C1333,Меню!$A$2:$C$24,3,FALSE())</f>
        <v>545</v>
      </c>
      <c r="G1333" s="5" t="n">
        <f aca="false">VLOOKUP(B1333,Заказы!$A$2:$E$2995,2,FALSE())</f>
        <v>44058</v>
      </c>
      <c r="H1333" s="1" t="n">
        <f aca="false">VLOOKUP(B1333,Заказы!$A$2:$E$2995,3,FALSE())</f>
        <v>279</v>
      </c>
      <c r="I1333" s="1" t="str">
        <f aca="false">VLOOKUP(H1333,Клиенты!$A$2:$E$1995,5,FALSE())</f>
        <v>г. Сердобск</v>
      </c>
      <c r="J1333" s="1" t="n">
        <f aca="false">VLOOKUP(B1333,Заказы!$A$2:$E$2995,4,FALSE())</f>
        <v>857</v>
      </c>
      <c r="K1333" s="1" t="str">
        <f aca="false">VLOOKUP(B1333,Заказы!$A$2:$E$2995,5,FALSE())</f>
        <v>Выполнено</v>
      </c>
      <c r="L1333" s="1" t="n">
        <f aca="false">D1333*F1333+J1333</f>
        <v>5762</v>
      </c>
      <c r="M1333" s="1" t="n">
        <f aca="false">IF(AND(E1333="Пицца Труслейка",I1333="г. Москва",K1333="Выполнено",G1333&gt;=DATE(2020,7,1),G1333&lt;DATE(2020,8,1)),L1333,0)</f>
        <v>0</v>
      </c>
    </row>
    <row r="1334" customFormat="false" ht="15" hidden="false" customHeight="true" outlineLevel="0" collapsed="false">
      <c r="A1334" s="1" t="n">
        <v>101576</v>
      </c>
      <c r="B1334" s="1" t="n">
        <v>51394</v>
      </c>
      <c r="C1334" s="1" t="n">
        <v>22</v>
      </c>
      <c r="D1334" s="1" t="n">
        <v>9</v>
      </c>
      <c r="E1334" s="1" t="str">
        <f aca="false">VLOOKUP(C1334,Меню!$A$2:$C$24,2,FALSE())</f>
        <v>Пицца с поркеттой и фриарелли</v>
      </c>
      <c r="F1334" s="1" t="n">
        <f aca="false">VLOOKUP(C1334,Меню!$A$2:$C$24,3,FALSE())</f>
        <v>550</v>
      </c>
      <c r="G1334" s="5" t="n">
        <f aca="false">VLOOKUP(B1334,Заказы!$A$2:$E$2995,2,FALSE())</f>
        <v>43995</v>
      </c>
      <c r="H1334" s="1" t="n">
        <f aca="false">VLOOKUP(B1334,Заказы!$A$2:$E$2995,3,FALSE())</f>
        <v>1323</v>
      </c>
      <c r="I1334" s="1" t="str">
        <f aca="false">VLOOKUP(H1334,Клиенты!$A$2:$E$1995,5,FALSE())</f>
        <v>г. Наро-Фоминск</v>
      </c>
      <c r="J1334" s="1" t="n">
        <f aca="false">VLOOKUP(B1334,Заказы!$A$2:$E$2995,4,FALSE())</f>
        <v>0</v>
      </c>
      <c r="K1334" s="1" t="str">
        <f aca="false">VLOOKUP(B1334,Заказы!$A$2:$E$2995,5,FALSE())</f>
        <v>Не выполнено</v>
      </c>
      <c r="L1334" s="1" t="n">
        <f aca="false">D1334*F1334+J1334</f>
        <v>4950</v>
      </c>
      <c r="M1334" s="1" t="n">
        <f aca="false">IF(AND(E1334="Пицца Труслейка",I1334="г. Москва",K1334="Выполнено",G1334&gt;=DATE(2020,7,1),G1334&lt;DATE(2020,8,1)),L1334,0)</f>
        <v>0</v>
      </c>
    </row>
    <row r="1335" customFormat="false" ht="15" hidden="false" customHeight="true" outlineLevel="0" collapsed="false">
      <c r="A1335" s="1" t="n">
        <v>100585</v>
      </c>
      <c r="B1335" s="1" t="n">
        <v>51896</v>
      </c>
      <c r="C1335" s="1" t="n">
        <v>11</v>
      </c>
      <c r="D1335" s="1" t="n">
        <v>5</v>
      </c>
      <c r="E1335" s="1" t="str">
        <f aca="false">VLOOKUP(C1335,Меню!$A$2:$C$24,2,FALSE())</f>
        <v>Пицца Песто</v>
      </c>
      <c r="F1335" s="1" t="n">
        <f aca="false">VLOOKUP(C1335,Меню!$A$2:$C$24,3,FALSE())</f>
        <v>530</v>
      </c>
      <c r="G1335" s="5" t="n">
        <f aca="false">VLOOKUP(B1335,Заказы!$A$2:$E$2995,2,FALSE())</f>
        <v>44039</v>
      </c>
      <c r="H1335" s="1" t="n">
        <f aca="false">VLOOKUP(B1335,Заказы!$A$2:$E$2995,3,FALSE())</f>
        <v>1772</v>
      </c>
      <c r="I1335" s="1" t="str">
        <f aca="false">VLOOKUP(H1335,Клиенты!$A$2:$E$1995,5,FALSE())</f>
        <v>г. Братск</v>
      </c>
      <c r="J1335" s="1" t="n">
        <f aca="false">VLOOKUP(B1335,Заказы!$A$2:$E$2995,4,FALSE())</f>
        <v>0</v>
      </c>
      <c r="K1335" s="1" t="str">
        <f aca="false">VLOOKUP(B1335,Заказы!$A$2:$E$2995,5,FALSE())</f>
        <v>Не выполнено</v>
      </c>
      <c r="L1335" s="1" t="n">
        <f aca="false">D1335*F1335+J1335</f>
        <v>2650</v>
      </c>
      <c r="M1335" s="1" t="n">
        <f aca="false">IF(AND(E1335="Пицца Труслейка",I1335="г. Москва",K1335="Выполнено",G1335&gt;=DATE(2020,7,1),G1335&lt;DATE(2020,8,1)),L1335,0)</f>
        <v>0</v>
      </c>
    </row>
    <row r="1336" customFormat="false" ht="15" hidden="false" customHeight="true" outlineLevel="0" collapsed="false">
      <c r="A1336" s="1" t="n">
        <v>101206</v>
      </c>
      <c r="B1336" s="1" t="n">
        <v>50959</v>
      </c>
      <c r="C1336" s="1" t="n">
        <v>17</v>
      </c>
      <c r="D1336" s="1" t="n">
        <v>7</v>
      </c>
      <c r="E1336" s="1" t="str">
        <f aca="false">VLOOKUP(C1336,Меню!$A$2:$C$24,2,FALSE())</f>
        <v>Пицца Френч Фрайз</v>
      </c>
      <c r="F1336" s="1" t="n">
        <f aca="false">VLOOKUP(C1336,Меню!$A$2:$C$24,3,FALSE())</f>
        <v>515</v>
      </c>
      <c r="G1336" s="5" t="n">
        <f aca="false">VLOOKUP(B1336,Заказы!$A$2:$E$2995,2,FALSE())</f>
        <v>44033</v>
      </c>
      <c r="H1336" s="1" t="n">
        <f aca="false">VLOOKUP(B1336,Заказы!$A$2:$E$2995,3,FALSE())</f>
        <v>93</v>
      </c>
      <c r="I1336" s="1" t="str">
        <f aca="false">VLOOKUP(H1336,Клиенты!$A$2:$E$1995,5,FALSE())</f>
        <v>г. Темников</v>
      </c>
      <c r="J1336" s="1" t="n">
        <f aca="false">VLOOKUP(B1336,Заказы!$A$2:$E$2995,4,FALSE())</f>
        <v>304</v>
      </c>
      <c r="K1336" s="1" t="str">
        <f aca="false">VLOOKUP(B1336,Заказы!$A$2:$E$2995,5,FALSE())</f>
        <v>Выполнено</v>
      </c>
      <c r="L1336" s="1" t="n">
        <f aca="false">D1336*F1336+J1336</f>
        <v>3909</v>
      </c>
      <c r="M1336" s="1" t="n">
        <f aca="false">IF(AND(E1336="Пицца Труслейка",I1336="г. Москва",K1336="Выполнено",G1336&gt;=DATE(2020,7,1),G1336&lt;DATE(2020,8,1)),L1336,0)</f>
        <v>0</v>
      </c>
    </row>
    <row r="1337" customFormat="false" ht="15" hidden="false" customHeight="true" outlineLevel="0" collapsed="false">
      <c r="A1337" s="1" t="n">
        <v>100979</v>
      </c>
      <c r="B1337" s="1" t="n">
        <v>51218</v>
      </c>
      <c r="C1337" s="1" t="n">
        <v>11</v>
      </c>
      <c r="D1337" s="1" t="n">
        <v>8</v>
      </c>
      <c r="E1337" s="1" t="str">
        <f aca="false">VLOOKUP(C1337,Меню!$A$2:$C$24,2,FALSE())</f>
        <v>Пицца Песто</v>
      </c>
      <c r="F1337" s="1" t="n">
        <f aca="false">VLOOKUP(C1337,Меню!$A$2:$C$24,3,FALSE())</f>
        <v>530</v>
      </c>
      <c r="G1337" s="5" t="n">
        <f aca="false">VLOOKUP(B1337,Заказы!$A$2:$E$2995,2,FALSE())</f>
        <v>44053</v>
      </c>
      <c r="H1337" s="1" t="n">
        <f aca="false">VLOOKUP(B1337,Заказы!$A$2:$E$2995,3,FALSE())</f>
        <v>1169</v>
      </c>
      <c r="I1337" s="1" t="str">
        <f aca="false">VLOOKUP(H1337,Клиенты!$A$2:$E$1995,5,FALSE())</f>
        <v>г. Нытва</v>
      </c>
      <c r="J1337" s="1" t="n">
        <f aca="false">VLOOKUP(B1337,Заказы!$A$2:$E$2995,4,FALSE())</f>
        <v>0</v>
      </c>
      <c r="K1337" s="1" t="str">
        <f aca="false">VLOOKUP(B1337,Заказы!$A$2:$E$2995,5,FALSE())</f>
        <v>Не выполнено</v>
      </c>
      <c r="L1337" s="1" t="n">
        <f aca="false">D1337*F1337+J1337</f>
        <v>4240</v>
      </c>
      <c r="M1337" s="1" t="n">
        <f aca="false">IF(AND(E1337="Пицца Труслейка",I1337="г. Москва",K1337="Выполнено",G1337&gt;=DATE(2020,7,1),G1337&lt;DATE(2020,8,1)),L1337,0)</f>
        <v>0</v>
      </c>
    </row>
    <row r="1338" customFormat="false" ht="15" hidden="false" customHeight="true" outlineLevel="0" collapsed="false">
      <c r="A1338" s="1" t="n">
        <v>100053</v>
      </c>
      <c r="B1338" s="1" t="n">
        <v>50575</v>
      </c>
      <c r="C1338" s="1" t="n">
        <v>16</v>
      </c>
      <c r="D1338" s="1" t="n">
        <v>1</v>
      </c>
      <c r="E1338" s="1" t="str">
        <f aca="false">VLOOKUP(C1338,Меню!$A$2:$C$24,2,FALSE())</f>
        <v>Пицца Флорида</v>
      </c>
      <c r="F1338" s="1" t="n">
        <f aca="false">VLOOKUP(C1338,Меню!$A$2:$C$24,3,FALSE())</f>
        <v>535</v>
      </c>
      <c r="G1338" s="5" t="n">
        <f aca="false">VLOOKUP(B1338,Заказы!$A$2:$E$2995,2,FALSE())</f>
        <v>43998</v>
      </c>
      <c r="H1338" s="1" t="n">
        <f aca="false">VLOOKUP(B1338,Заказы!$A$2:$E$2995,3,FALSE())</f>
        <v>171</v>
      </c>
      <c r="I1338" s="1" t="str">
        <f aca="false">VLOOKUP(H1338,Клиенты!$A$2:$E$1995,5,FALSE())</f>
        <v>г. Темников</v>
      </c>
      <c r="J1338" s="1" t="n">
        <f aca="false">VLOOKUP(B1338,Заказы!$A$2:$E$2995,4,FALSE())</f>
        <v>0</v>
      </c>
      <c r="K1338" s="1" t="str">
        <f aca="false">VLOOKUP(B1338,Заказы!$A$2:$E$2995,5,FALSE())</f>
        <v>Не выполнено</v>
      </c>
      <c r="L1338" s="1" t="n">
        <f aca="false">D1338*F1338+J1338</f>
        <v>535</v>
      </c>
      <c r="M1338" s="1" t="n">
        <f aca="false">IF(AND(E1338="Пицца Труслейка",I1338="г. Москва",K1338="Выполнено",G1338&gt;=DATE(2020,7,1),G1338&lt;DATE(2020,8,1)),L1338,0)</f>
        <v>0</v>
      </c>
    </row>
    <row r="1339" customFormat="false" ht="15" hidden="false" customHeight="true" outlineLevel="0" collapsed="false">
      <c r="A1339" s="1" t="n">
        <v>100508</v>
      </c>
      <c r="B1339" s="1" t="n">
        <v>50787</v>
      </c>
      <c r="C1339" s="1" t="n">
        <v>11</v>
      </c>
      <c r="D1339" s="1" t="n">
        <v>5</v>
      </c>
      <c r="E1339" s="1" t="str">
        <f aca="false">VLOOKUP(C1339,Меню!$A$2:$C$24,2,FALSE())</f>
        <v>Пицца Песто</v>
      </c>
      <c r="F1339" s="1" t="n">
        <f aca="false">VLOOKUP(C1339,Меню!$A$2:$C$24,3,FALSE())</f>
        <v>530</v>
      </c>
      <c r="G1339" s="5" t="n">
        <f aca="false">VLOOKUP(B1339,Заказы!$A$2:$E$2995,2,FALSE())</f>
        <v>44014</v>
      </c>
      <c r="H1339" s="1" t="n">
        <f aca="false">VLOOKUP(B1339,Заказы!$A$2:$E$2995,3,FALSE())</f>
        <v>1536</v>
      </c>
      <c r="I1339" s="1" t="str">
        <f aca="false">VLOOKUP(H1339,Клиенты!$A$2:$E$1995,5,FALSE())</f>
        <v>г. Нестеров</v>
      </c>
      <c r="J1339" s="1" t="n">
        <f aca="false">VLOOKUP(B1339,Заказы!$A$2:$E$2995,4,FALSE())</f>
        <v>0</v>
      </c>
      <c r="K1339" s="1" t="str">
        <f aca="false">VLOOKUP(B1339,Заказы!$A$2:$E$2995,5,FALSE())</f>
        <v>Не выполнено</v>
      </c>
      <c r="L1339" s="1" t="n">
        <f aca="false">D1339*F1339+J1339</f>
        <v>2650</v>
      </c>
      <c r="M1339" s="1" t="n">
        <f aca="false">IF(AND(E1339="Пицца Труслейка",I1339="г. Москва",K1339="Выполнено",G1339&gt;=DATE(2020,7,1),G1339&lt;DATE(2020,8,1)),L1339,0)</f>
        <v>0</v>
      </c>
    </row>
    <row r="1340" customFormat="false" ht="15" hidden="false" customHeight="true" outlineLevel="0" collapsed="false">
      <c r="A1340" s="1" t="n">
        <v>101914</v>
      </c>
      <c r="B1340" s="1" t="n">
        <v>50944</v>
      </c>
      <c r="C1340" s="1" t="n">
        <v>17</v>
      </c>
      <c r="D1340" s="1" t="n">
        <v>4</v>
      </c>
      <c r="E1340" s="1" t="str">
        <f aca="false">VLOOKUP(C1340,Меню!$A$2:$C$24,2,FALSE())</f>
        <v>Пицца Френч Фрайз</v>
      </c>
      <c r="F1340" s="1" t="n">
        <f aca="false">VLOOKUP(C1340,Меню!$A$2:$C$24,3,FALSE())</f>
        <v>515</v>
      </c>
      <c r="G1340" s="5" t="n">
        <f aca="false">VLOOKUP(B1340,Заказы!$A$2:$E$2995,2,FALSE())</f>
        <v>44059</v>
      </c>
      <c r="H1340" s="1" t="n">
        <f aca="false">VLOOKUP(B1340,Заказы!$A$2:$E$2995,3,FALSE())</f>
        <v>1340</v>
      </c>
      <c r="I1340" s="1" t="str">
        <f aca="false">VLOOKUP(H1340,Клиенты!$A$2:$E$1995,5,FALSE())</f>
        <v>г. Москва</v>
      </c>
      <c r="J1340" s="1" t="n">
        <f aca="false">VLOOKUP(B1340,Заказы!$A$2:$E$2995,4,FALSE())</f>
        <v>0</v>
      </c>
      <c r="K1340" s="1" t="str">
        <f aca="false">VLOOKUP(B1340,Заказы!$A$2:$E$2995,5,FALSE())</f>
        <v>Не выполнено</v>
      </c>
      <c r="L1340" s="1" t="n">
        <f aca="false">D1340*F1340+J1340</f>
        <v>2060</v>
      </c>
      <c r="M1340" s="1" t="n">
        <f aca="false">IF(AND(E1340="Пицца Труслейка",I1340="г. Москва",K1340="Выполнено",G1340&gt;=DATE(2020,7,1),G1340&lt;DATE(2020,8,1)),L1340,0)</f>
        <v>0</v>
      </c>
    </row>
    <row r="1341" customFormat="false" ht="15" hidden="false" customHeight="true" outlineLevel="0" collapsed="false">
      <c r="A1341" s="1" t="n">
        <v>101562</v>
      </c>
      <c r="B1341" s="1" t="n">
        <v>50204</v>
      </c>
      <c r="C1341" s="1" t="n">
        <v>4</v>
      </c>
      <c r="D1341" s="1" t="n">
        <v>7</v>
      </c>
      <c r="E1341" s="1" t="str">
        <f aca="false">VLOOKUP(C1341,Меню!$A$2:$C$24,2,FALSE())</f>
        <v>Пицца Труслейка</v>
      </c>
      <c r="F1341" s="1" t="n">
        <f aca="false">VLOOKUP(C1341,Меню!$A$2:$C$24,3,FALSE())</f>
        <v>610</v>
      </c>
      <c r="G1341" s="5" t="n">
        <f aca="false">VLOOKUP(B1341,Заказы!$A$2:$E$2995,2,FALSE())</f>
        <v>44043</v>
      </c>
      <c r="H1341" s="1" t="n">
        <f aca="false">VLOOKUP(B1341,Заказы!$A$2:$E$2995,3,FALSE())</f>
        <v>1047</v>
      </c>
      <c r="I1341" s="1" t="str">
        <f aca="false">VLOOKUP(H1341,Клиенты!$A$2:$E$1995,5,FALSE())</f>
        <v>г. Высоцк</v>
      </c>
      <c r="J1341" s="1" t="n">
        <f aca="false">VLOOKUP(B1341,Заказы!$A$2:$E$2995,4,FALSE())</f>
        <v>468</v>
      </c>
      <c r="K1341" s="1" t="str">
        <f aca="false">VLOOKUP(B1341,Заказы!$A$2:$E$2995,5,FALSE())</f>
        <v>Выполнено</v>
      </c>
      <c r="L1341" s="1" t="n">
        <f aca="false">D1341*F1341+J1341</f>
        <v>4738</v>
      </c>
      <c r="M1341" s="1" t="n">
        <f aca="false">IF(AND(E1341="Пицца Труслейка",I1341="г. Москва",K1341="Выполнено",G1341&gt;=DATE(2020,7,1),G1341&lt;DATE(2020,8,1)),L1341,0)</f>
        <v>0</v>
      </c>
    </row>
    <row r="1342" customFormat="false" ht="15" hidden="false" customHeight="true" outlineLevel="0" collapsed="false">
      <c r="A1342" s="1" t="n">
        <v>100675</v>
      </c>
      <c r="B1342" s="1" t="n">
        <v>50907</v>
      </c>
      <c r="C1342" s="1" t="n">
        <v>1</v>
      </c>
      <c r="D1342" s="1" t="n">
        <v>1</v>
      </c>
      <c r="E1342" s="1" t="str">
        <f aca="false">VLOOKUP(C1342,Меню!$A$2:$C$24,2,FALSE())</f>
        <v>Пицца Гавайская</v>
      </c>
      <c r="F1342" s="1" t="n">
        <f aca="false">VLOOKUP(C1342,Меню!$A$2:$C$24,3,FALSE())</f>
        <v>545</v>
      </c>
      <c r="G1342" s="5" t="n">
        <f aca="false">VLOOKUP(B1342,Заказы!$A$2:$E$2995,2,FALSE())</f>
        <v>44016</v>
      </c>
      <c r="H1342" s="1" t="n">
        <f aca="false">VLOOKUP(B1342,Заказы!$A$2:$E$2995,3,FALSE())</f>
        <v>311</v>
      </c>
      <c r="I1342" s="1" t="str">
        <f aca="false">VLOOKUP(H1342,Клиенты!$A$2:$E$1995,5,FALSE())</f>
        <v>г. Сафоново</v>
      </c>
      <c r="J1342" s="1" t="n">
        <f aca="false">VLOOKUP(B1342,Заказы!$A$2:$E$2995,4,FALSE())</f>
        <v>0</v>
      </c>
      <c r="K1342" s="1" t="str">
        <f aca="false">VLOOKUP(B1342,Заказы!$A$2:$E$2995,5,FALSE())</f>
        <v>Не выполнено</v>
      </c>
      <c r="L1342" s="1" t="n">
        <f aca="false">D1342*F1342+J1342</f>
        <v>545</v>
      </c>
      <c r="M1342" s="1" t="n">
        <f aca="false">IF(AND(E1342="Пицца Труслейка",I1342="г. Москва",K1342="Выполнено",G1342&gt;=DATE(2020,7,1),G1342&lt;DATE(2020,8,1)),L1342,0)</f>
        <v>0</v>
      </c>
    </row>
    <row r="1343" customFormat="false" ht="15" hidden="false" customHeight="true" outlineLevel="0" collapsed="false">
      <c r="A1343" s="1" t="n">
        <v>101381</v>
      </c>
      <c r="B1343" s="1" t="n">
        <v>51293</v>
      </c>
      <c r="C1343" s="1" t="n">
        <v>21</v>
      </c>
      <c r="D1343" s="1" t="n">
        <v>5</v>
      </c>
      <c r="E1343" s="1" t="str">
        <f aca="false">VLOOKUP(C1343,Меню!$A$2:$C$24,2,FALSE())</f>
        <v>Пицца с креветками и цукини</v>
      </c>
      <c r="F1343" s="1" t="n">
        <f aca="false">VLOOKUP(C1343,Меню!$A$2:$C$24,3,FALSE())</f>
        <v>600</v>
      </c>
      <c r="G1343" s="5" t="n">
        <f aca="false">VLOOKUP(B1343,Заказы!$A$2:$E$2995,2,FALSE())</f>
        <v>43993</v>
      </c>
      <c r="H1343" s="1" t="n">
        <f aca="false">VLOOKUP(B1343,Заказы!$A$2:$E$2995,3,FALSE())</f>
        <v>1678</v>
      </c>
      <c r="I1343" s="1" t="str">
        <f aca="false">VLOOKUP(H1343,Клиенты!$A$2:$E$1995,5,FALSE())</f>
        <v>г. Магас</v>
      </c>
      <c r="J1343" s="1" t="n">
        <f aca="false">VLOOKUP(B1343,Заказы!$A$2:$E$2995,4,FALSE())</f>
        <v>757</v>
      </c>
      <c r="K1343" s="1" t="str">
        <f aca="false">VLOOKUP(B1343,Заказы!$A$2:$E$2995,5,FALSE())</f>
        <v>Выполнено</v>
      </c>
      <c r="L1343" s="1" t="n">
        <f aca="false">D1343*F1343+J1343</f>
        <v>3757</v>
      </c>
      <c r="M1343" s="1" t="n">
        <f aca="false">IF(AND(E1343="Пицца Труслейка",I1343="г. Москва",K1343="Выполнено",G1343&gt;=DATE(2020,7,1),G1343&lt;DATE(2020,8,1)),L1343,0)</f>
        <v>0</v>
      </c>
    </row>
    <row r="1344" customFormat="false" ht="15" hidden="false" customHeight="true" outlineLevel="0" collapsed="false">
      <c r="A1344" s="1" t="n">
        <v>100540</v>
      </c>
      <c r="B1344" s="1" t="n">
        <v>50498</v>
      </c>
      <c r="C1344" s="1" t="n">
        <v>5</v>
      </c>
      <c r="D1344" s="1" t="n">
        <v>5</v>
      </c>
      <c r="E1344" s="1" t="str">
        <f aca="false">VLOOKUP(C1344,Меню!$A$2:$C$24,2,FALSE())</f>
        <v>Пицца Жюльен</v>
      </c>
      <c r="F1344" s="1" t="n">
        <f aca="false">VLOOKUP(C1344,Меню!$A$2:$C$24,3,FALSE())</f>
        <v>580</v>
      </c>
      <c r="G1344" s="5" t="n">
        <f aca="false">VLOOKUP(B1344,Заказы!$A$2:$E$2995,2,FALSE())</f>
        <v>44049</v>
      </c>
      <c r="H1344" s="1" t="n">
        <f aca="false">VLOOKUP(B1344,Заказы!$A$2:$E$2995,3,FALSE())</f>
        <v>602</v>
      </c>
      <c r="I1344" s="1" t="str">
        <f aca="false">VLOOKUP(H1344,Клиенты!$A$2:$E$1995,5,FALSE())</f>
        <v>г. Обь</v>
      </c>
      <c r="J1344" s="1" t="n">
        <f aca="false">VLOOKUP(B1344,Заказы!$A$2:$E$2995,4,FALSE())</f>
        <v>683</v>
      </c>
      <c r="K1344" s="1" t="str">
        <f aca="false">VLOOKUP(B1344,Заказы!$A$2:$E$2995,5,FALSE())</f>
        <v>Выполнено</v>
      </c>
      <c r="L1344" s="1" t="n">
        <f aca="false">D1344*F1344+J1344</f>
        <v>3583</v>
      </c>
      <c r="M1344" s="1" t="n">
        <f aca="false">IF(AND(E1344="Пицца Труслейка",I1344="г. Москва",K1344="Выполнено",G1344&gt;=DATE(2020,7,1),G1344&lt;DATE(2020,8,1)),L1344,0)</f>
        <v>0</v>
      </c>
    </row>
    <row r="1345" customFormat="false" ht="15" hidden="false" customHeight="true" outlineLevel="0" collapsed="false">
      <c r="A1345" s="1" t="n">
        <v>100333</v>
      </c>
      <c r="B1345" s="1" t="n">
        <v>51039</v>
      </c>
      <c r="C1345" s="1" t="n">
        <v>22</v>
      </c>
      <c r="D1345" s="1" t="n">
        <v>5</v>
      </c>
      <c r="E1345" s="1" t="str">
        <f aca="false">VLOOKUP(C1345,Меню!$A$2:$C$24,2,FALSE())</f>
        <v>Пицца с поркеттой и фриарелли</v>
      </c>
      <c r="F1345" s="1" t="n">
        <f aca="false">VLOOKUP(C1345,Меню!$A$2:$C$24,3,FALSE())</f>
        <v>550</v>
      </c>
      <c r="G1345" s="5" t="n">
        <f aca="false">VLOOKUP(B1345,Заказы!$A$2:$E$2995,2,FALSE())</f>
        <v>44043</v>
      </c>
      <c r="H1345" s="1" t="n">
        <f aca="false">VLOOKUP(B1345,Заказы!$A$2:$E$2995,3,FALSE())</f>
        <v>194</v>
      </c>
      <c r="I1345" s="1" t="str">
        <f aca="false">VLOOKUP(H1345,Клиенты!$A$2:$E$1995,5,FALSE())</f>
        <v>г. Микунь</v>
      </c>
      <c r="J1345" s="1" t="n">
        <f aca="false">VLOOKUP(B1345,Заказы!$A$2:$E$2995,4,FALSE())</f>
        <v>800</v>
      </c>
      <c r="K1345" s="1" t="str">
        <f aca="false">VLOOKUP(B1345,Заказы!$A$2:$E$2995,5,FALSE())</f>
        <v>Выполнено</v>
      </c>
      <c r="L1345" s="1" t="n">
        <f aca="false">D1345*F1345+J1345</f>
        <v>3550</v>
      </c>
      <c r="M1345" s="1" t="n">
        <f aca="false">IF(AND(E1345="Пицца Труслейка",I1345="г. Москва",K1345="Выполнено",G1345&gt;=DATE(2020,7,1),G1345&lt;DATE(2020,8,1)),L1345,0)</f>
        <v>0</v>
      </c>
    </row>
    <row r="1346" customFormat="false" ht="15" hidden="false" customHeight="true" outlineLevel="0" collapsed="false">
      <c r="A1346" s="1" t="n">
        <v>100980</v>
      </c>
      <c r="B1346" s="1" t="n">
        <v>51723</v>
      </c>
      <c r="C1346" s="1" t="n">
        <v>6</v>
      </c>
      <c r="D1346" s="1" t="n">
        <v>4</v>
      </c>
      <c r="E1346" s="1" t="str">
        <f aca="false">VLOOKUP(C1346,Меню!$A$2:$C$24,2,FALSE())</f>
        <v>Пицца Капричиоза</v>
      </c>
      <c r="F1346" s="1" t="n">
        <f aca="false">VLOOKUP(C1346,Меню!$A$2:$C$24,3,FALSE())</f>
        <v>570</v>
      </c>
      <c r="G1346" s="5" t="n">
        <f aca="false">VLOOKUP(B1346,Заказы!$A$2:$E$2995,2,FALSE())</f>
        <v>44062</v>
      </c>
      <c r="H1346" s="1" t="n">
        <f aca="false">VLOOKUP(B1346,Заказы!$A$2:$E$2995,3,FALSE())</f>
        <v>528</v>
      </c>
      <c r="I1346" s="1" t="str">
        <f aca="false">VLOOKUP(H1346,Клиенты!$A$2:$E$1995,5,FALSE())</f>
        <v>г. Сызрань</v>
      </c>
      <c r="J1346" s="1" t="n">
        <f aca="false">VLOOKUP(B1346,Заказы!$A$2:$E$2995,4,FALSE())</f>
        <v>730</v>
      </c>
      <c r="K1346" s="1" t="str">
        <f aca="false">VLOOKUP(B1346,Заказы!$A$2:$E$2995,5,FALSE())</f>
        <v>Выполнено</v>
      </c>
      <c r="L1346" s="1" t="n">
        <f aca="false">D1346*F1346+J1346</f>
        <v>3010</v>
      </c>
      <c r="M1346" s="1" t="n">
        <f aca="false">IF(AND(E1346="Пицца Труслейка",I1346="г. Москва",K1346="Выполнено",G1346&gt;=DATE(2020,7,1),G1346&lt;DATE(2020,8,1)),L1346,0)</f>
        <v>0</v>
      </c>
    </row>
    <row r="1347" customFormat="false" ht="15" hidden="false" customHeight="true" outlineLevel="0" collapsed="false">
      <c r="A1347" s="1" t="n">
        <v>100406</v>
      </c>
      <c r="B1347" s="1" t="n">
        <v>50494</v>
      </c>
      <c r="C1347" s="1" t="n">
        <v>16</v>
      </c>
      <c r="D1347" s="1" t="n">
        <v>5</v>
      </c>
      <c r="E1347" s="1" t="str">
        <f aca="false">VLOOKUP(C1347,Меню!$A$2:$C$24,2,FALSE())</f>
        <v>Пицца Флорида</v>
      </c>
      <c r="F1347" s="1" t="n">
        <f aca="false">VLOOKUP(C1347,Меню!$A$2:$C$24,3,FALSE())</f>
        <v>535</v>
      </c>
      <c r="G1347" s="5" t="n">
        <f aca="false">VLOOKUP(B1347,Заказы!$A$2:$E$2995,2,FALSE())</f>
        <v>44050</v>
      </c>
      <c r="H1347" s="1" t="n">
        <f aca="false">VLOOKUP(B1347,Заказы!$A$2:$E$2995,3,FALSE())</f>
        <v>1706</v>
      </c>
      <c r="I1347" s="1" t="str">
        <f aca="false">VLOOKUP(H1347,Клиенты!$A$2:$E$1995,5,FALSE())</f>
        <v>г. Балашиха</v>
      </c>
      <c r="J1347" s="1" t="n">
        <f aca="false">VLOOKUP(B1347,Заказы!$A$2:$E$2995,4,FALSE())</f>
        <v>0</v>
      </c>
      <c r="K1347" s="1" t="str">
        <f aca="false">VLOOKUP(B1347,Заказы!$A$2:$E$2995,5,FALSE())</f>
        <v>Не выполнено</v>
      </c>
      <c r="L1347" s="1" t="n">
        <f aca="false">D1347*F1347+J1347</f>
        <v>2675</v>
      </c>
      <c r="M1347" s="1" t="n">
        <f aca="false">IF(AND(E1347="Пицца Труслейка",I1347="г. Москва",K1347="Выполнено",G1347&gt;=DATE(2020,7,1),G1347&lt;DATE(2020,8,1)),L1347,0)</f>
        <v>0</v>
      </c>
    </row>
    <row r="1348" customFormat="false" ht="15" hidden="false" customHeight="true" outlineLevel="0" collapsed="false">
      <c r="A1348" s="1" t="n">
        <v>100527</v>
      </c>
      <c r="B1348" s="1" t="n">
        <v>50050</v>
      </c>
      <c r="C1348" s="1" t="n">
        <v>3</v>
      </c>
      <c r="D1348" s="1" t="n">
        <v>3</v>
      </c>
      <c r="E1348" s="1" t="str">
        <f aca="false">VLOOKUP(C1348,Меню!$A$2:$C$24,2,FALSE())</f>
        <v>Пицца Диабло</v>
      </c>
      <c r="F1348" s="1" t="n">
        <f aca="false">VLOOKUP(C1348,Меню!$A$2:$C$24,3,FALSE())</f>
        <v>590</v>
      </c>
      <c r="G1348" s="5" t="n">
        <f aca="false">VLOOKUP(B1348,Заказы!$A$2:$E$2995,2,FALSE())</f>
        <v>44008</v>
      </c>
      <c r="H1348" s="1" t="n">
        <f aca="false">VLOOKUP(B1348,Заказы!$A$2:$E$2995,3,FALSE())</f>
        <v>1022</v>
      </c>
      <c r="I1348" s="1" t="str">
        <f aca="false">VLOOKUP(H1348,Клиенты!$A$2:$E$1995,5,FALSE())</f>
        <v>г. Кунгур</v>
      </c>
      <c r="J1348" s="1" t="n">
        <f aca="false">VLOOKUP(B1348,Заказы!$A$2:$E$2995,4,FALSE())</f>
        <v>0</v>
      </c>
      <c r="K1348" s="1" t="str">
        <f aca="false">VLOOKUP(B1348,Заказы!$A$2:$E$2995,5,FALSE())</f>
        <v>Не выполнено</v>
      </c>
      <c r="L1348" s="1" t="n">
        <f aca="false">D1348*F1348+J1348</f>
        <v>1770</v>
      </c>
      <c r="M1348" s="1" t="n">
        <f aca="false">IF(AND(E1348="Пицца Труслейка",I1348="г. Москва",K1348="Выполнено",G1348&gt;=DATE(2020,7,1),G1348&lt;DATE(2020,8,1)),L1348,0)</f>
        <v>0</v>
      </c>
    </row>
    <row r="1349" customFormat="false" ht="15" hidden="false" customHeight="true" outlineLevel="0" collapsed="false">
      <c r="A1349" s="1" t="n">
        <v>101732</v>
      </c>
      <c r="B1349" s="1" t="n">
        <v>51289</v>
      </c>
      <c r="C1349" s="1" t="n">
        <v>18</v>
      </c>
      <c r="D1349" s="1" t="n">
        <v>8</v>
      </c>
      <c r="E1349" s="1" t="str">
        <f aca="false">VLOOKUP(C1349,Меню!$A$2:$C$24,2,FALSE())</f>
        <v>Пицца Царская</v>
      </c>
      <c r="F1349" s="1" t="n">
        <f aca="false">VLOOKUP(C1349,Меню!$A$2:$C$24,3,FALSE())</f>
        <v>620</v>
      </c>
      <c r="G1349" s="5" t="n">
        <f aca="false">VLOOKUP(B1349,Заказы!$A$2:$E$2995,2,FALSE())</f>
        <v>44022</v>
      </c>
      <c r="H1349" s="1" t="n">
        <f aca="false">VLOOKUP(B1349,Заказы!$A$2:$E$2995,3,FALSE())</f>
        <v>263</v>
      </c>
      <c r="I1349" s="1" t="str">
        <f aca="false">VLOOKUP(H1349,Клиенты!$A$2:$E$1995,5,FALSE())</f>
        <v>г. Сегежа</v>
      </c>
      <c r="J1349" s="1" t="n">
        <f aca="false">VLOOKUP(B1349,Заказы!$A$2:$E$2995,4,FALSE())</f>
        <v>0</v>
      </c>
      <c r="K1349" s="1" t="str">
        <f aca="false">VLOOKUP(B1349,Заказы!$A$2:$E$2995,5,FALSE())</f>
        <v>Не выполнено</v>
      </c>
      <c r="L1349" s="1" t="n">
        <f aca="false">D1349*F1349+J1349</f>
        <v>4960</v>
      </c>
      <c r="M1349" s="1" t="n">
        <f aca="false">IF(AND(E1349="Пицца Труслейка",I1349="г. Москва",K1349="Выполнено",G1349&gt;=DATE(2020,7,1),G1349&lt;DATE(2020,8,1)),L1349,0)</f>
        <v>0</v>
      </c>
    </row>
    <row r="1350" customFormat="false" ht="15" hidden="false" customHeight="true" outlineLevel="0" collapsed="false">
      <c r="A1350" s="1" t="n">
        <v>100092</v>
      </c>
      <c r="B1350" s="1" t="n">
        <v>50129</v>
      </c>
      <c r="C1350" s="1" t="n">
        <v>10</v>
      </c>
      <c r="D1350" s="1" t="n">
        <v>4</v>
      </c>
      <c r="E1350" s="1" t="str">
        <f aca="false">VLOOKUP(C1350,Меню!$A$2:$C$24,2,FALSE())</f>
        <v>Пицца Пепперони фреш</v>
      </c>
      <c r="F1350" s="1" t="n">
        <f aca="false">VLOOKUP(C1350,Меню!$A$2:$C$24,3,FALSE())</f>
        <v>565</v>
      </c>
      <c r="G1350" s="5" t="n">
        <f aca="false">VLOOKUP(B1350,Заказы!$A$2:$E$2995,2,FALSE())</f>
        <v>44008</v>
      </c>
      <c r="H1350" s="1" t="n">
        <f aca="false">VLOOKUP(B1350,Заказы!$A$2:$E$2995,3,FALSE())</f>
        <v>1661</v>
      </c>
      <c r="I1350" s="1" t="str">
        <f aca="false">VLOOKUP(H1350,Клиенты!$A$2:$E$1995,5,FALSE())</f>
        <v>г. Дедовск</v>
      </c>
      <c r="J1350" s="1" t="n">
        <f aca="false">VLOOKUP(B1350,Заказы!$A$2:$E$2995,4,FALSE())</f>
        <v>702</v>
      </c>
      <c r="K1350" s="1" t="str">
        <f aca="false">VLOOKUP(B1350,Заказы!$A$2:$E$2995,5,FALSE())</f>
        <v>Выполнено</v>
      </c>
      <c r="L1350" s="1" t="n">
        <f aca="false">D1350*F1350+J1350</f>
        <v>2962</v>
      </c>
      <c r="M1350" s="1" t="n">
        <f aca="false">IF(AND(E1350="Пицца Труслейка",I1350="г. Москва",K1350="Выполнено",G1350&gt;=DATE(2020,7,1),G1350&lt;DATE(2020,8,1)),L1350,0)</f>
        <v>0</v>
      </c>
    </row>
    <row r="1351" customFormat="false" ht="15" hidden="false" customHeight="true" outlineLevel="0" collapsed="false">
      <c r="A1351" s="1" t="n">
        <v>100080</v>
      </c>
      <c r="B1351" s="1" t="n">
        <v>51069</v>
      </c>
      <c r="C1351" s="1" t="n">
        <v>4</v>
      </c>
      <c r="D1351" s="1" t="n">
        <v>3</v>
      </c>
      <c r="E1351" s="1" t="str">
        <f aca="false">VLOOKUP(C1351,Меню!$A$2:$C$24,2,FALSE())</f>
        <v>Пицца Труслейка</v>
      </c>
      <c r="F1351" s="1" t="n">
        <f aca="false">VLOOKUP(C1351,Меню!$A$2:$C$24,3,FALSE())</f>
        <v>610</v>
      </c>
      <c r="G1351" s="5" t="n">
        <f aca="false">VLOOKUP(B1351,Заказы!$A$2:$E$2995,2,FALSE())</f>
        <v>44023</v>
      </c>
      <c r="H1351" s="1" t="n">
        <f aca="false">VLOOKUP(B1351,Заказы!$A$2:$E$2995,3,FALSE())</f>
        <v>340</v>
      </c>
      <c r="I1351" s="1" t="str">
        <f aca="false">VLOOKUP(H1351,Клиенты!$A$2:$E$1995,5,FALSE())</f>
        <v>г. Москва</v>
      </c>
      <c r="J1351" s="1" t="n">
        <f aca="false">VLOOKUP(B1351,Заказы!$A$2:$E$2995,4,FALSE())</f>
        <v>253</v>
      </c>
      <c r="K1351" s="1" t="str">
        <f aca="false">VLOOKUP(B1351,Заказы!$A$2:$E$2995,5,FALSE())</f>
        <v>Выполнено</v>
      </c>
      <c r="L1351" s="1" t="n">
        <f aca="false">D1351*F1351+J1351</f>
        <v>2083</v>
      </c>
      <c r="M1351" s="1" t="n">
        <f aca="false">IF(AND(E1351="Пицца Труслейка",I1351="г. Москва",K1351="Выполнено",G1351&gt;=DATE(2020,7,1),G1351&lt;DATE(2020,8,1)),L1351,0)</f>
        <v>2083</v>
      </c>
    </row>
    <row r="1352" customFormat="false" ht="15" hidden="false" customHeight="true" outlineLevel="0" collapsed="false">
      <c r="A1352" s="1" t="n">
        <v>101610</v>
      </c>
      <c r="B1352" s="1" t="n">
        <v>51548</v>
      </c>
      <c r="C1352" s="1" t="n">
        <v>7</v>
      </c>
      <c r="D1352" s="1" t="n">
        <v>5</v>
      </c>
      <c r="E1352" s="1" t="str">
        <f aca="false">VLOOKUP(C1352,Меню!$A$2:$C$24,2,FALSE())</f>
        <v>Пицца Карбонара</v>
      </c>
      <c r="F1352" s="1" t="n">
        <f aca="false">VLOOKUP(C1352,Меню!$A$2:$C$24,3,FALSE())</f>
        <v>625</v>
      </c>
      <c r="G1352" s="5" t="n">
        <f aca="false">VLOOKUP(B1352,Заказы!$A$2:$E$2995,2,FALSE())</f>
        <v>43985</v>
      </c>
      <c r="H1352" s="1" t="n">
        <f aca="false">VLOOKUP(B1352,Заказы!$A$2:$E$2995,3,FALSE())</f>
        <v>677</v>
      </c>
      <c r="I1352" s="1" t="str">
        <f aca="false">VLOOKUP(H1352,Клиенты!$A$2:$E$1995,5,FALSE())</f>
        <v>г. Железногорск</v>
      </c>
      <c r="J1352" s="1" t="n">
        <f aca="false">VLOOKUP(B1352,Заказы!$A$2:$E$2995,4,FALSE())</f>
        <v>0</v>
      </c>
      <c r="K1352" s="1" t="str">
        <f aca="false">VLOOKUP(B1352,Заказы!$A$2:$E$2995,5,FALSE())</f>
        <v>Не выполнено</v>
      </c>
      <c r="L1352" s="1" t="n">
        <f aca="false">D1352*F1352+J1352</f>
        <v>3125</v>
      </c>
      <c r="M1352" s="1" t="n">
        <f aca="false">IF(AND(E1352="Пицца Труслейка",I1352="г. Москва",K1352="Выполнено",G1352&gt;=DATE(2020,7,1),G1352&lt;DATE(2020,8,1)),L1352,0)</f>
        <v>0</v>
      </c>
    </row>
    <row r="1353" customFormat="false" ht="15" hidden="false" customHeight="true" outlineLevel="0" collapsed="false">
      <c r="A1353" s="1" t="n">
        <v>100325</v>
      </c>
      <c r="B1353" s="1" t="n">
        <v>51677</v>
      </c>
      <c r="C1353" s="1" t="n">
        <v>20</v>
      </c>
      <c r="D1353" s="1" t="n">
        <v>10</v>
      </c>
      <c r="E1353" s="1" t="str">
        <f aca="false">VLOOKUP(C1353,Меню!$A$2:$C$24,2,FALSE())</f>
        <v>Пицца пиканте</v>
      </c>
      <c r="F1353" s="1" t="n">
        <f aca="false">VLOOKUP(C1353,Меню!$A$2:$C$24,3,FALSE())</f>
        <v>585</v>
      </c>
      <c r="G1353" s="5" t="n">
        <f aca="false">VLOOKUP(B1353,Заказы!$A$2:$E$2995,2,FALSE())</f>
        <v>44010</v>
      </c>
      <c r="H1353" s="1" t="n">
        <f aca="false">VLOOKUP(B1353,Заказы!$A$2:$E$2995,3,FALSE())</f>
        <v>218</v>
      </c>
      <c r="I1353" s="1" t="str">
        <f aca="false">VLOOKUP(H1353,Клиенты!$A$2:$E$1995,5,FALSE())</f>
        <v>г. Самара</v>
      </c>
      <c r="J1353" s="1" t="n">
        <f aca="false">VLOOKUP(B1353,Заказы!$A$2:$E$2995,4,FALSE())</f>
        <v>454</v>
      </c>
      <c r="K1353" s="1" t="str">
        <f aca="false">VLOOKUP(B1353,Заказы!$A$2:$E$2995,5,FALSE())</f>
        <v>Выполнено</v>
      </c>
      <c r="L1353" s="1" t="n">
        <f aca="false">D1353*F1353+J1353</f>
        <v>6304</v>
      </c>
      <c r="M1353" s="1" t="n">
        <f aca="false">IF(AND(E1353="Пицца Труслейка",I1353="г. Москва",K1353="Выполнено",G1353&gt;=DATE(2020,7,1),G1353&lt;DATE(2020,8,1)),L1353,0)</f>
        <v>0</v>
      </c>
    </row>
    <row r="1354" customFormat="false" ht="15" hidden="false" customHeight="true" outlineLevel="0" collapsed="false">
      <c r="A1354" s="1" t="n">
        <v>100978</v>
      </c>
      <c r="B1354" s="1" t="n">
        <v>51656</v>
      </c>
      <c r="C1354" s="1" t="n">
        <v>17</v>
      </c>
      <c r="D1354" s="1" t="n">
        <v>3</v>
      </c>
      <c r="E1354" s="1" t="str">
        <f aca="false">VLOOKUP(C1354,Меню!$A$2:$C$24,2,FALSE())</f>
        <v>Пицца Френч Фрайз</v>
      </c>
      <c r="F1354" s="1" t="n">
        <f aca="false">VLOOKUP(C1354,Меню!$A$2:$C$24,3,FALSE())</f>
        <v>515</v>
      </c>
      <c r="G1354" s="5" t="n">
        <f aca="false">VLOOKUP(B1354,Заказы!$A$2:$E$2995,2,FALSE())</f>
        <v>43992</v>
      </c>
      <c r="H1354" s="1" t="n">
        <f aca="false">VLOOKUP(B1354,Заказы!$A$2:$E$2995,3,FALSE())</f>
        <v>809</v>
      </c>
      <c r="I1354" s="1" t="str">
        <f aca="false">VLOOKUP(H1354,Клиенты!$A$2:$E$1995,5,FALSE())</f>
        <v>г. Терек</v>
      </c>
      <c r="J1354" s="1" t="n">
        <f aca="false">VLOOKUP(B1354,Заказы!$A$2:$E$2995,4,FALSE())</f>
        <v>170</v>
      </c>
      <c r="K1354" s="1" t="str">
        <f aca="false">VLOOKUP(B1354,Заказы!$A$2:$E$2995,5,FALSE())</f>
        <v>Выполнено</v>
      </c>
      <c r="L1354" s="1" t="n">
        <f aca="false">D1354*F1354+J1354</f>
        <v>1715</v>
      </c>
      <c r="M1354" s="1" t="n">
        <f aca="false">IF(AND(E1354="Пицца Труслейка",I1354="г. Москва",K1354="Выполнено",G1354&gt;=DATE(2020,7,1),G1354&lt;DATE(2020,8,1)),L1354,0)</f>
        <v>0</v>
      </c>
    </row>
    <row r="1355" customFormat="false" ht="15" hidden="false" customHeight="true" outlineLevel="0" collapsed="false">
      <c r="A1355" s="1" t="n">
        <v>100318</v>
      </c>
      <c r="B1355" s="1" t="n">
        <v>50833</v>
      </c>
      <c r="C1355" s="1" t="n">
        <v>13</v>
      </c>
      <c r="D1355" s="1" t="n">
        <v>6</v>
      </c>
      <c r="E1355" s="1" t="str">
        <f aca="false">VLOOKUP(C1355,Меню!$A$2:$C$24,2,FALSE())</f>
        <v>Пицца Сырная</v>
      </c>
      <c r="F1355" s="1" t="n">
        <f aca="false">VLOOKUP(C1355,Меню!$A$2:$C$24,3,FALSE())</f>
        <v>635</v>
      </c>
      <c r="G1355" s="5" t="n">
        <f aca="false">VLOOKUP(B1355,Заказы!$A$2:$E$2995,2,FALSE())</f>
        <v>44071</v>
      </c>
      <c r="H1355" s="1" t="n">
        <f aca="false">VLOOKUP(B1355,Заказы!$A$2:$E$2995,3,FALSE())</f>
        <v>1418</v>
      </c>
      <c r="I1355" s="1" t="str">
        <f aca="false">VLOOKUP(H1355,Клиенты!$A$2:$E$1995,5,FALSE())</f>
        <v>г. Навашино</v>
      </c>
      <c r="J1355" s="1" t="n">
        <f aca="false">VLOOKUP(B1355,Заказы!$A$2:$E$2995,4,FALSE())</f>
        <v>557</v>
      </c>
      <c r="K1355" s="1" t="str">
        <f aca="false">VLOOKUP(B1355,Заказы!$A$2:$E$2995,5,FALSE())</f>
        <v>Выполнено</v>
      </c>
      <c r="L1355" s="1" t="n">
        <f aca="false">D1355*F1355+J1355</f>
        <v>4367</v>
      </c>
      <c r="M1355" s="1" t="n">
        <f aca="false">IF(AND(E1355="Пицца Труслейка",I1355="г. Москва",K1355="Выполнено",G1355&gt;=DATE(2020,7,1),G1355&lt;DATE(2020,8,1)),L1355,0)</f>
        <v>0</v>
      </c>
    </row>
    <row r="1356" customFormat="false" ht="15" hidden="false" customHeight="true" outlineLevel="0" collapsed="false">
      <c r="A1356" s="1" t="n">
        <v>101742</v>
      </c>
      <c r="B1356" s="1" t="n">
        <v>51149</v>
      </c>
      <c r="C1356" s="1" t="n">
        <v>11</v>
      </c>
      <c r="D1356" s="1" t="n">
        <v>4</v>
      </c>
      <c r="E1356" s="1" t="str">
        <f aca="false">VLOOKUP(C1356,Меню!$A$2:$C$24,2,FALSE())</f>
        <v>Пицца Песто</v>
      </c>
      <c r="F1356" s="1" t="n">
        <f aca="false">VLOOKUP(C1356,Меню!$A$2:$C$24,3,FALSE())</f>
        <v>530</v>
      </c>
      <c r="G1356" s="5" t="n">
        <f aca="false">VLOOKUP(B1356,Заказы!$A$2:$E$2995,2,FALSE())</f>
        <v>43988</v>
      </c>
      <c r="H1356" s="1" t="n">
        <f aca="false">VLOOKUP(B1356,Заказы!$A$2:$E$2995,3,FALSE())</f>
        <v>1793</v>
      </c>
      <c r="I1356" s="1" t="str">
        <f aca="false">VLOOKUP(H1356,Клиенты!$A$2:$E$1995,5,FALSE())</f>
        <v>г. Уяр</v>
      </c>
      <c r="J1356" s="1" t="n">
        <f aca="false">VLOOKUP(B1356,Заказы!$A$2:$E$2995,4,FALSE())</f>
        <v>0</v>
      </c>
      <c r="K1356" s="1" t="str">
        <f aca="false">VLOOKUP(B1356,Заказы!$A$2:$E$2995,5,FALSE())</f>
        <v>Не выполнено</v>
      </c>
      <c r="L1356" s="1" t="n">
        <f aca="false">D1356*F1356+J1356</f>
        <v>2120</v>
      </c>
      <c r="M1356" s="1" t="n">
        <f aca="false">IF(AND(E1356="Пицца Труслейка",I1356="г. Москва",K1356="Выполнено",G1356&gt;=DATE(2020,7,1),G1356&lt;DATE(2020,8,1)),L1356,0)</f>
        <v>0</v>
      </c>
    </row>
    <row r="1357" customFormat="false" ht="15" hidden="false" customHeight="true" outlineLevel="0" collapsed="false">
      <c r="A1357" s="1" t="n">
        <v>101782</v>
      </c>
      <c r="B1357" s="1" t="n">
        <v>51302</v>
      </c>
      <c r="C1357" s="1" t="n">
        <v>15</v>
      </c>
      <c r="D1357" s="1" t="n">
        <v>4</v>
      </c>
      <c r="E1357" s="1" t="str">
        <f aca="false">VLOOKUP(C1357,Меню!$A$2:$C$24,2,FALSE())</f>
        <v>Пицца Тропиканка</v>
      </c>
      <c r="F1357" s="1" t="n">
        <f aca="false">VLOOKUP(C1357,Меню!$A$2:$C$24,3,FALSE())</f>
        <v>605</v>
      </c>
      <c r="G1357" s="5" t="n">
        <f aca="false">VLOOKUP(B1357,Заказы!$A$2:$E$2995,2,FALSE())</f>
        <v>44044</v>
      </c>
      <c r="H1357" s="1" t="n">
        <f aca="false">VLOOKUP(B1357,Заказы!$A$2:$E$2995,3,FALSE())</f>
        <v>1808</v>
      </c>
      <c r="I1357" s="1" t="str">
        <f aca="false">VLOOKUP(H1357,Клиенты!$A$2:$E$1995,5,FALSE())</f>
        <v>г. Новороссийск</v>
      </c>
      <c r="J1357" s="1" t="n">
        <f aca="false">VLOOKUP(B1357,Заказы!$A$2:$E$2995,4,FALSE())</f>
        <v>0</v>
      </c>
      <c r="K1357" s="1" t="str">
        <f aca="false">VLOOKUP(B1357,Заказы!$A$2:$E$2995,5,FALSE())</f>
        <v>Не выполнено</v>
      </c>
      <c r="L1357" s="1" t="n">
        <f aca="false">D1357*F1357+J1357</f>
        <v>2420</v>
      </c>
      <c r="M1357" s="1" t="n">
        <f aca="false">IF(AND(E1357="Пицца Труслейка",I1357="г. Москва",K1357="Выполнено",G1357&gt;=DATE(2020,7,1),G1357&lt;DATE(2020,8,1)),L1357,0)</f>
        <v>0</v>
      </c>
    </row>
    <row r="1358" customFormat="false" ht="15" hidden="false" customHeight="true" outlineLevel="0" collapsed="false">
      <c r="A1358" s="1" t="n">
        <v>101032</v>
      </c>
      <c r="B1358" s="1" t="n">
        <v>51103</v>
      </c>
      <c r="C1358" s="1" t="n">
        <v>22</v>
      </c>
      <c r="D1358" s="1" t="n">
        <v>10</v>
      </c>
      <c r="E1358" s="1" t="str">
        <f aca="false">VLOOKUP(C1358,Меню!$A$2:$C$24,2,FALSE())</f>
        <v>Пицца с поркеттой и фриарелли</v>
      </c>
      <c r="F1358" s="1" t="n">
        <f aca="false">VLOOKUP(C1358,Меню!$A$2:$C$24,3,FALSE())</f>
        <v>550</v>
      </c>
      <c r="G1358" s="5" t="n">
        <f aca="false">VLOOKUP(B1358,Заказы!$A$2:$E$2995,2,FALSE())</f>
        <v>43988</v>
      </c>
      <c r="H1358" s="1" t="n">
        <f aca="false">VLOOKUP(B1358,Заказы!$A$2:$E$2995,3,FALSE())</f>
        <v>847</v>
      </c>
      <c r="I1358" s="1" t="str">
        <f aca="false">VLOOKUP(H1358,Клиенты!$A$2:$E$1995,5,FALSE())</f>
        <v>г. Кисловодск</v>
      </c>
      <c r="J1358" s="1" t="n">
        <f aca="false">VLOOKUP(B1358,Заказы!$A$2:$E$2995,4,FALSE())</f>
        <v>0</v>
      </c>
      <c r="K1358" s="1" t="str">
        <f aca="false">VLOOKUP(B1358,Заказы!$A$2:$E$2995,5,FALSE())</f>
        <v>Не выполнено</v>
      </c>
      <c r="L1358" s="1" t="n">
        <f aca="false">D1358*F1358+J1358</f>
        <v>5500</v>
      </c>
      <c r="M1358" s="1" t="n">
        <f aca="false">IF(AND(E1358="Пицца Труслейка",I1358="г. Москва",K1358="Выполнено",G1358&gt;=DATE(2020,7,1),G1358&lt;DATE(2020,8,1)),L1358,0)</f>
        <v>0</v>
      </c>
    </row>
    <row r="1359" customFormat="false" ht="15" hidden="false" customHeight="true" outlineLevel="0" collapsed="false">
      <c r="A1359" s="1" t="n">
        <v>100539</v>
      </c>
      <c r="B1359" s="1" t="n">
        <v>51215</v>
      </c>
      <c r="C1359" s="1" t="n">
        <v>16</v>
      </c>
      <c r="D1359" s="1" t="n">
        <v>1</v>
      </c>
      <c r="E1359" s="1" t="str">
        <f aca="false">VLOOKUP(C1359,Меню!$A$2:$C$24,2,FALSE())</f>
        <v>Пицца Флорида</v>
      </c>
      <c r="F1359" s="1" t="n">
        <f aca="false">VLOOKUP(C1359,Меню!$A$2:$C$24,3,FALSE())</f>
        <v>535</v>
      </c>
      <c r="G1359" s="5" t="n">
        <f aca="false">VLOOKUP(B1359,Заказы!$A$2:$E$2995,2,FALSE())</f>
        <v>44004</v>
      </c>
      <c r="H1359" s="1" t="n">
        <f aca="false">VLOOKUP(B1359,Заказы!$A$2:$E$2995,3,FALSE())</f>
        <v>1876</v>
      </c>
      <c r="I1359" s="1" t="str">
        <f aca="false">VLOOKUP(H1359,Клиенты!$A$2:$E$1995,5,FALSE())</f>
        <v>г. Анива</v>
      </c>
      <c r="J1359" s="1" t="n">
        <f aca="false">VLOOKUP(B1359,Заказы!$A$2:$E$2995,4,FALSE())</f>
        <v>132</v>
      </c>
      <c r="K1359" s="1" t="str">
        <f aca="false">VLOOKUP(B1359,Заказы!$A$2:$E$2995,5,FALSE())</f>
        <v>Выполнено</v>
      </c>
      <c r="L1359" s="1" t="n">
        <f aca="false">D1359*F1359+J1359</f>
        <v>667</v>
      </c>
      <c r="M1359" s="1" t="n">
        <f aca="false">IF(AND(E1359="Пицца Труслейка",I1359="г. Москва",K1359="Выполнено",G1359&gt;=DATE(2020,7,1),G1359&lt;DATE(2020,8,1)),L1359,0)</f>
        <v>0</v>
      </c>
    </row>
    <row r="1360" customFormat="false" ht="15" hidden="false" customHeight="true" outlineLevel="0" collapsed="false">
      <c r="A1360" s="1" t="n">
        <v>101238</v>
      </c>
      <c r="B1360" s="1" t="n">
        <v>50533</v>
      </c>
      <c r="C1360" s="1" t="n">
        <v>20</v>
      </c>
      <c r="D1360" s="1" t="n">
        <v>1</v>
      </c>
      <c r="E1360" s="1" t="str">
        <f aca="false">VLOOKUP(C1360,Меню!$A$2:$C$24,2,FALSE())</f>
        <v>Пицца пиканте</v>
      </c>
      <c r="F1360" s="1" t="n">
        <f aca="false">VLOOKUP(C1360,Меню!$A$2:$C$24,3,FALSE())</f>
        <v>585</v>
      </c>
      <c r="G1360" s="5" t="n">
        <f aca="false">VLOOKUP(B1360,Заказы!$A$2:$E$2995,2,FALSE())</f>
        <v>44011</v>
      </c>
      <c r="H1360" s="1" t="n">
        <f aca="false">VLOOKUP(B1360,Заказы!$A$2:$E$2995,3,FALSE())</f>
        <v>634</v>
      </c>
      <c r="I1360" s="1" t="str">
        <f aca="false">VLOOKUP(H1360,Клиенты!$A$2:$E$1995,5,FALSE())</f>
        <v>г. Бологое</v>
      </c>
      <c r="J1360" s="1" t="n">
        <f aca="false">VLOOKUP(B1360,Заказы!$A$2:$E$2995,4,FALSE())</f>
        <v>630</v>
      </c>
      <c r="K1360" s="1" t="str">
        <f aca="false">VLOOKUP(B1360,Заказы!$A$2:$E$2995,5,FALSE())</f>
        <v>Выполнено</v>
      </c>
      <c r="L1360" s="1" t="n">
        <f aca="false">D1360*F1360+J1360</f>
        <v>1215</v>
      </c>
      <c r="M1360" s="1" t="n">
        <f aca="false">IF(AND(E1360="Пицца Труслейка",I1360="г. Москва",K1360="Выполнено",G1360&gt;=DATE(2020,7,1),G1360&lt;DATE(2020,8,1)),L1360,0)</f>
        <v>0</v>
      </c>
    </row>
    <row r="1361" customFormat="false" ht="15" hidden="false" customHeight="true" outlineLevel="0" collapsed="false">
      <c r="A1361" s="1" t="n">
        <v>100051</v>
      </c>
      <c r="B1361" s="1" t="n">
        <v>51352</v>
      </c>
      <c r="C1361" s="1" t="n">
        <v>4</v>
      </c>
      <c r="D1361" s="1" t="n">
        <v>10</v>
      </c>
      <c r="E1361" s="1" t="str">
        <f aca="false">VLOOKUP(C1361,Меню!$A$2:$C$24,2,FALSE())</f>
        <v>Пицца Труслейка</v>
      </c>
      <c r="F1361" s="1" t="n">
        <f aca="false">VLOOKUP(C1361,Меню!$A$2:$C$24,3,FALSE())</f>
        <v>610</v>
      </c>
      <c r="G1361" s="5" t="n">
        <f aca="false">VLOOKUP(B1361,Заказы!$A$2:$E$2995,2,FALSE())</f>
        <v>43988</v>
      </c>
      <c r="H1361" s="1" t="n">
        <f aca="false">VLOOKUP(B1361,Заказы!$A$2:$E$2995,3,FALSE())</f>
        <v>20</v>
      </c>
      <c r="I1361" s="1" t="str">
        <f aca="false">VLOOKUP(H1361,Клиенты!$A$2:$E$1995,5,FALSE())</f>
        <v>г. Москва</v>
      </c>
      <c r="J1361" s="1" t="n">
        <f aca="false">VLOOKUP(B1361,Заказы!$A$2:$E$2995,4,FALSE())</f>
        <v>851</v>
      </c>
      <c r="K1361" s="1" t="str">
        <f aca="false">VLOOKUP(B1361,Заказы!$A$2:$E$2995,5,FALSE())</f>
        <v>Выполнено</v>
      </c>
      <c r="L1361" s="1" t="n">
        <f aca="false">D1361*F1361+J1361</f>
        <v>6951</v>
      </c>
      <c r="M1361" s="1" t="n">
        <f aca="false">IF(AND(E1361="Пицца Труслейка",I1361="г. Москва",K1361="Выполнено",G1361&gt;=DATE(2020,7,1),G1361&lt;DATE(2020,8,1)),L1361,0)</f>
        <v>0</v>
      </c>
    </row>
    <row r="1362" customFormat="false" ht="15" hidden="false" customHeight="true" outlineLevel="0" collapsed="false">
      <c r="A1362" s="1" t="n">
        <v>101397</v>
      </c>
      <c r="B1362" s="1" t="n">
        <v>51751</v>
      </c>
      <c r="C1362" s="1" t="n">
        <v>5</v>
      </c>
      <c r="D1362" s="1" t="n">
        <v>8</v>
      </c>
      <c r="E1362" s="1" t="str">
        <f aca="false">VLOOKUP(C1362,Меню!$A$2:$C$24,2,FALSE())</f>
        <v>Пицца Жюльен</v>
      </c>
      <c r="F1362" s="1" t="n">
        <f aca="false">VLOOKUP(C1362,Меню!$A$2:$C$24,3,FALSE())</f>
        <v>580</v>
      </c>
      <c r="G1362" s="5" t="n">
        <f aca="false">VLOOKUP(B1362,Заказы!$A$2:$E$2995,2,FALSE())</f>
        <v>44009</v>
      </c>
      <c r="H1362" s="1" t="n">
        <f aca="false">VLOOKUP(B1362,Заказы!$A$2:$E$2995,3,FALSE())</f>
        <v>280</v>
      </c>
      <c r="I1362" s="1" t="str">
        <f aca="false">VLOOKUP(H1362,Клиенты!$A$2:$E$1995,5,FALSE())</f>
        <v>г. Москва</v>
      </c>
      <c r="J1362" s="1" t="n">
        <f aca="false">VLOOKUP(B1362,Заказы!$A$2:$E$2995,4,FALSE())</f>
        <v>0</v>
      </c>
      <c r="K1362" s="1" t="str">
        <f aca="false">VLOOKUP(B1362,Заказы!$A$2:$E$2995,5,FALSE())</f>
        <v>Не выполнено</v>
      </c>
      <c r="L1362" s="1" t="n">
        <f aca="false">D1362*F1362+J1362</f>
        <v>4640</v>
      </c>
      <c r="M1362" s="1" t="n">
        <f aca="false">IF(AND(E1362="Пицца Труслейка",I1362="г. Москва",K1362="Выполнено",G1362&gt;=DATE(2020,7,1),G1362&lt;DATE(2020,8,1)),L1362,0)</f>
        <v>0</v>
      </c>
    </row>
    <row r="1363" customFormat="false" ht="15" hidden="false" customHeight="true" outlineLevel="0" collapsed="false">
      <c r="A1363" s="1" t="n">
        <v>100066</v>
      </c>
      <c r="B1363" s="1" t="n">
        <v>50087</v>
      </c>
      <c r="C1363" s="1" t="n">
        <v>17</v>
      </c>
      <c r="D1363" s="1" t="n">
        <v>5</v>
      </c>
      <c r="E1363" s="1" t="str">
        <f aca="false">VLOOKUP(C1363,Меню!$A$2:$C$24,2,FALSE())</f>
        <v>Пицца Френч Фрайз</v>
      </c>
      <c r="F1363" s="1" t="n">
        <f aca="false">VLOOKUP(C1363,Меню!$A$2:$C$24,3,FALSE())</f>
        <v>515</v>
      </c>
      <c r="G1363" s="5" t="n">
        <f aca="false">VLOOKUP(B1363,Заказы!$A$2:$E$2995,2,FALSE())</f>
        <v>44015</v>
      </c>
      <c r="H1363" s="1" t="n">
        <f aca="false">VLOOKUP(B1363,Заказы!$A$2:$E$2995,3,FALSE())</f>
        <v>1123</v>
      </c>
      <c r="I1363" s="1" t="str">
        <f aca="false">VLOOKUP(H1363,Клиенты!$A$2:$E$1995,5,FALSE())</f>
        <v>г. Когалым</v>
      </c>
      <c r="J1363" s="1" t="n">
        <f aca="false">VLOOKUP(B1363,Заказы!$A$2:$E$2995,4,FALSE())</f>
        <v>0</v>
      </c>
      <c r="K1363" s="1" t="str">
        <f aca="false">VLOOKUP(B1363,Заказы!$A$2:$E$2995,5,FALSE())</f>
        <v>Не выполнено</v>
      </c>
      <c r="L1363" s="1" t="n">
        <f aca="false">D1363*F1363+J1363</f>
        <v>2575</v>
      </c>
      <c r="M1363" s="1" t="n">
        <f aca="false">IF(AND(E1363="Пицца Труслейка",I1363="г. Москва",K1363="Выполнено",G1363&gt;=DATE(2020,7,1),G1363&lt;DATE(2020,8,1)),L1363,0)</f>
        <v>0</v>
      </c>
    </row>
    <row r="1364" customFormat="false" ht="15" hidden="false" customHeight="true" outlineLevel="0" collapsed="false">
      <c r="A1364" s="1" t="n">
        <v>101147</v>
      </c>
      <c r="B1364" s="1" t="n">
        <v>51826</v>
      </c>
      <c r="C1364" s="1" t="n">
        <v>6</v>
      </c>
      <c r="D1364" s="1" t="n">
        <v>4</v>
      </c>
      <c r="E1364" s="1" t="str">
        <f aca="false">VLOOKUP(C1364,Меню!$A$2:$C$24,2,FALSE())</f>
        <v>Пицца Капричиоза</v>
      </c>
      <c r="F1364" s="1" t="n">
        <f aca="false">VLOOKUP(C1364,Меню!$A$2:$C$24,3,FALSE())</f>
        <v>570</v>
      </c>
      <c r="G1364" s="5" t="n">
        <f aca="false">VLOOKUP(B1364,Заказы!$A$2:$E$2995,2,FALSE())</f>
        <v>44009</v>
      </c>
      <c r="H1364" s="1" t="n">
        <f aca="false">VLOOKUP(B1364,Заказы!$A$2:$E$2995,3,FALSE())</f>
        <v>25</v>
      </c>
      <c r="I1364" s="1" t="str">
        <f aca="false">VLOOKUP(H1364,Клиенты!$A$2:$E$1995,5,FALSE())</f>
        <v>г. Чайковский</v>
      </c>
      <c r="J1364" s="1" t="n">
        <f aca="false">VLOOKUP(B1364,Заказы!$A$2:$E$2995,4,FALSE())</f>
        <v>0</v>
      </c>
      <c r="K1364" s="1" t="str">
        <f aca="false">VLOOKUP(B1364,Заказы!$A$2:$E$2995,5,FALSE())</f>
        <v>Не выполнено</v>
      </c>
      <c r="L1364" s="1" t="n">
        <f aca="false">D1364*F1364+J1364</f>
        <v>2280</v>
      </c>
      <c r="M1364" s="1" t="n">
        <f aca="false">IF(AND(E1364="Пицца Труслейка",I1364="г. Москва",K1364="Выполнено",G1364&gt;=DATE(2020,7,1),G1364&lt;DATE(2020,8,1)),L1364,0)</f>
        <v>0</v>
      </c>
    </row>
    <row r="1365" customFormat="false" ht="15" hidden="false" customHeight="true" outlineLevel="0" collapsed="false">
      <c r="A1365" s="1" t="n">
        <v>100385</v>
      </c>
      <c r="B1365" s="1" t="n">
        <v>50220</v>
      </c>
      <c r="C1365" s="1" t="n">
        <v>7</v>
      </c>
      <c r="D1365" s="1" t="n">
        <v>4</v>
      </c>
      <c r="E1365" s="1" t="str">
        <f aca="false">VLOOKUP(C1365,Меню!$A$2:$C$24,2,FALSE())</f>
        <v>Пицца Карбонара</v>
      </c>
      <c r="F1365" s="1" t="n">
        <f aca="false">VLOOKUP(C1365,Меню!$A$2:$C$24,3,FALSE())</f>
        <v>625</v>
      </c>
      <c r="G1365" s="5" t="n">
        <f aca="false">VLOOKUP(B1365,Заказы!$A$2:$E$2995,2,FALSE())</f>
        <v>43987</v>
      </c>
      <c r="H1365" s="1" t="n">
        <f aca="false">VLOOKUP(B1365,Заказы!$A$2:$E$2995,3,FALSE())</f>
        <v>62</v>
      </c>
      <c r="I1365" s="1" t="str">
        <f aca="false">VLOOKUP(H1365,Клиенты!$A$2:$E$1995,5,FALSE())</f>
        <v>г. Краснокамск</v>
      </c>
      <c r="J1365" s="1" t="n">
        <f aca="false">VLOOKUP(B1365,Заказы!$A$2:$E$2995,4,FALSE())</f>
        <v>0</v>
      </c>
      <c r="K1365" s="1" t="str">
        <f aca="false">VLOOKUP(B1365,Заказы!$A$2:$E$2995,5,FALSE())</f>
        <v>Не выполнено</v>
      </c>
      <c r="L1365" s="1" t="n">
        <f aca="false">D1365*F1365+J1365</f>
        <v>2500</v>
      </c>
      <c r="M1365" s="1" t="n">
        <f aca="false">IF(AND(E1365="Пицца Труслейка",I1365="г. Москва",K1365="Выполнено",G1365&gt;=DATE(2020,7,1),G1365&lt;DATE(2020,8,1)),L1365,0)</f>
        <v>0</v>
      </c>
    </row>
    <row r="1366" customFormat="false" ht="15" hidden="false" customHeight="true" outlineLevel="0" collapsed="false">
      <c r="A1366" s="1" t="n">
        <v>100758</v>
      </c>
      <c r="B1366" s="1" t="n">
        <v>51821</v>
      </c>
      <c r="C1366" s="1" t="n">
        <v>4</v>
      </c>
      <c r="D1366" s="1" t="n">
        <v>9</v>
      </c>
      <c r="E1366" s="1" t="str">
        <f aca="false">VLOOKUP(C1366,Меню!$A$2:$C$24,2,FALSE())</f>
        <v>Пицца Труслейка</v>
      </c>
      <c r="F1366" s="1" t="n">
        <f aca="false">VLOOKUP(C1366,Меню!$A$2:$C$24,3,FALSE())</f>
        <v>610</v>
      </c>
      <c r="G1366" s="5" t="n">
        <f aca="false">VLOOKUP(B1366,Заказы!$A$2:$E$2995,2,FALSE())</f>
        <v>43983</v>
      </c>
      <c r="H1366" s="1" t="n">
        <f aca="false">VLOOKUP(B1366,Заказы!$A$2:$E$2995,3,FALSE())</f>
        <v>1912</v>
      </c>
      <c r="I1366" s="1" t="str">
        <f aca="false">VLOOKUP(H1366,Клиенты!$A$2:$E$1995,5,FALSE())</f>
        <v>г. Мантурово</v>
      </c>
      <c r="J1366" s="1" t="n">
        <f aca="false">VLOOKUP(B1366,Заказы!$A$2:$E$2995,4,FALSE())</f>
        <v>0</v>
      </c>
      <c r="K1366" s="1" t="str">
        <f aca="false">VLOOKUP(B1366,Заказы!$A$2:$E$2995,5,FALSE())</f>
        <v>Не выполнено</v>
      </c>
      <c r="L1366" s="1" t="n">
        <f aca="false">D1366*F1366+J1366</f>
        <v>5490</v>
      </c>
      <c r="M1366" s="1" t="n">
        <f aca="false">IF(AND(E1366="Пицца Труслейка",I1366="г. Москва",K1366="Выполнено",G1366&gt;=DATE(2020,7,1),G1366&lt;DATE(2020,8,1)),L1366,0)</f>
        <v>0</v>
      </c>
    </row>
    <row r="1367" customFormat="false" ht="15" hidden="false" customHeight="true" outlineLevel="0" collapsed="false">
      <c r="A1367" s="1" t="n">
        <v>101557</v>
      </c>
      <c r="B1367" s="1" t="n">
        <v>50816</v>
      </c>
      <c r="C1367" s="1" t="n">
        <v>23</v>
      </c>
      <c r="D1367" s="1" t="n">
        <v>4</v>
      </c>
      <c r="E1367" s="1" t="str">
        <f aca="false">VLOOKUP(C1367,Меню!$A$2:$C$24,2,FALSE())</f>
        <v>Пицца с тунцом</v>
      </c>
      <c r="F1367" s="1" t="n">
        <f aca="false">VLOOKUP(C1367,Меню!$A$2:$C$24,3,FALSE())</f>
        <v>520</v>
      </c>
      <c r="G1367" s="5" t="n">
        <f aca="false">VLOOKUP(B1367,Заказы!$A$2:$E$2995,2,FALSE())</f>
        <v>44037</v>
      </c>
      <c r="H1367" s="1" t="n">
        <f aca="false">VLOOKUP(B1367,Заказы!$A$2:$E$2995,3,FALSE())</f>
        <v>1884</v>
      </c>
      <c r="I1367" s="1" t="str">
        <f aca="false">VLOOKUP(H1367,Клиенты!$A$2:$E$1995,5,FALSE())</f>
        <v>г. Россошь</v>
      </c>
      <c r="J1367" s="1" t="n">
        <f aca="false">VLOOKUP(B1367,Заказы!$A$2:$E$2995,4,FALSE())</f>
        <v>323</v>
      </c>
      <c r="K1367" s="1" t="str">
        <f aca="false">VLOOKUP(B1367,Заказы!$A$2:$E$2995,5,FALSE())</f>
        <v>Выполнено</v>
      </c>
      <c r="L1367" s="1" t="n">
        <f aca="false">D1367*F1367+J1367</f>
        <v>2403</v>
      </c>
      <c r="M1367" s="1" t="n">
        <f aca="false">IF(AND(E1367="Пицца Труслейка",I1367="г. Москва",K1367="Выполнено",G1367&gt;=DATE(2020,7,1),G1367&lt;DATE(2020,8,1)),L1367,0)</f>
        <v>0</v>
      </c>
    </row>
    <row r="1368" customFormat="false" ht="15" hidden="false" customHeight="true" outlineLevel="0" collapsed="false">
      <c r="A1368" s="1" t="n">
        <v>100782</v>
      </c>
      <c r="B1368" s="1" t="n">
        <v>50670</v>
      </c>
      <c r="C1368" s="1" t="n">
        <v>10</v>
      </c>
      <c r="D1368" s="1" t="n">
        <v>6</v>
      </c>
      <c r="E1368" s="1" t="str">
        <f aca="false">VLOOKUP(C1368,Меню!$A$2:$C$24,2,FALSE())</f>
        <v>Пицца Пепперони фреш</v>
      </c>
      <c r="F1368" s="1" t="n">
        <f aca="false">VLOOKUP(C1368,Меню!$A$2:$C$24,3,FALSE())</f>
        <v>565</v>
      </c>
      <c r="G1368" s="5" t="n">
        <f aca="false">VLOOKUP(B1368,Заказы!$A$2:$E$2995,2,FALSE())</f>
        <v>44005</v>
      </c>
      <c r="H1368" s="1" t="n">
        <f aca="false">VLOOKUP(B1368,Заказы!$A$2:$E$2995,3,FALSE())</f>
        <v>957</v>
      </c>
      <c r="I1368" s="1" t="str">
        <f aca="false">VLOOKUP(H1368,Клиенты!$A$2:$E$1995,5,FALSE())</f>
        <v>г. Североуральск</v>
      </c>
      <c r="J1368" s="1" t="n">
        <f aca="false">VLOOKUP(B1368,Заказы!$A$2:$E$2995,4,FALSE())</f>
        <v>0</v>
      </c>
      <c r="K1368" s="1" t="str">
        <f aca="false">VLOOKUP(B1368,Заказы!$A$2:$E$2995,5,FALSE())</f>
        <v>Не выполнено</v>
      </c>
      <c r="L1368" s="1" t="n">
        <f aca="false">D1368*F1368+J1368</f>
        <v>3390</v>
      </c>
      <c r="M1368" s="1" t="n">
        <f aca="false">IF(AND(E1368="Пицца Труслейка",I1368="г. Москва",K1368="Выполнено",G1368&gt;=DATE(2020,7,1),G1368&lt;DATE(2020,8,1)),L1368,0)</f>
        <v>0</v>
      </c>
    </row>
    <row r="1369" customFormat="false" ht="15" hidden="false" customHeight="true" outlineLevel="0" collapsed="false">
      <c r="A1369" s="1" t="n">
        <v>100775</v>
      </c>
      <c r="B1369" s="1" t="n">
        <v>51729</v>
      </c>
      <c r="C1369" s="1" t="n">
        <v>14</v>
      </c>
      <c r="D1369" s="1" t="n">
        <v>2</v>
      </c>
      <c r="E1369" s="1" t="str">
        <f aca="false">VLOOKUP(C1369,Меню!$A$2:$C$24,2,FALSE())</f>
        <v>Пицца Сырный цыпленок</v>
      </c>
      <c r="F1369" s="1" t="n">
        <f aca="false">VLOOKUP(C1369,Меню!$A$2:$C$24,3,FALSE())</f>
        <v>555</v>
      </c>
      <c r="G1369" s="5" t="n">
        <f aca="false">VLOOKUP(B1369,Заказы!$A$2:$E$2995,2,FALSE())</f>
        <v>44048</v>
      </c>
      <c r="H1369" s="1" t="n">
        <f aca="false">VLOOKUP(B1369,Заказы!$A$2:$E$2995,3,FALSE())</f>
        <v>1156</v>
      </c>
      <c r="I1369" s="1" t="str">
        <f aca="false">VLOOKUP(H1369,Клиенты!$A$2:$E$1995,5,FALSE())</f>
        <v>г. Советск</v>
      </c>
      <c r="J1369" s="1" t="n">
        <f aca="false">VLOOKUP(B1369,Заказы!$A$2:$E$2995,4,FALSE())</f>
        <v>0</v>
      </c>
      <c r="K1369" s="1" t="str">
        <f aca="false">VLOOKUP(B1369,Заказы!$A$2:$E$2995,5,FALSE())</f>
        <v>Не выполнено</v>
      </c>
      <c r="L1369" s="1" t="n">
        <f aca="false">D1369*F1369+J1369</f>
        <v>1110</v>
      </c>
      <c r="M1369" s="1" t="n">
        <f aca="false">IF(AND(E1369="Пицца Труслейка",I1369="г. Москва",K1369="Выполнено",G1369&gt;=DATE(2020,7,1),G1369&lt;DATE(2020,8,1)),L1369,0)</f>
        <v>0</v>
      </c>
    </row>
    <row r="1370" customFormat="false" ht="15" hidden="false" customHeight="true" outlineLevel="0" collapsed="false">
      <c r="A1370" s="1" t="n">
        <v>101798</v>
      </c>
      <c r="B1370" s="1" t="n">
        <v>50764</v>
      </c>
      <c r="C1370" s="1" t="n">
        <v>12</v>
      </c>
      <c r="D1370" s="1" t="n">
        <v>3</v>
      </c>
      <c r="E1370" s="1" t="str">
        <f aca="false">VLOOKUP(C1370,Меню!$A$2:$C$24,2,FALSE())</f>
        <v>Пицца Салями с трюфелем</v>
      </c>
      <c r="F1370" s="1" t="n">
        <f aca="false">VLOOKUP(C1370,Меню!$A$2:$C$24,3,FALSE())</f>
        <v>525</v>
      </c>
      <c r="G1370" s="5" t="n">
        <f aca="false">VLOOKUP(B1370,Заказы!$A$2:$E$2995,2,FALSE())</f>
        <v>44037</v>
      </c>
      <c r="H1370" s="1" t="n">
        <f aca="false">VLOOKUP(B1370,Заказы!$A$2:$E$2995,3,FALSE())</f>
        <v>1926</v>
      </c>
      <c r="I1370" s="1" t="str">
        <f aca="false">VLOOKUP(H1370,Клиенты!$A$2:$E$1995,5,FALSE())</f>
        <v>г. Яранск</v>
      </c>
      <c r="J1370" s="1" t="n">
        <f aca="false">VLOOKUP(B1370,Заказы!$A$2:$E$2995,4,FALSE())</f>
        <v>296</v>
      </c>
      <c r="K1370" s="1" t="str">
        <f aca="false">VLOOKUP(B1370,Заказы!$A$2:$E$2995,5,FALSE())</f>
        <v>Выполнено</v>
      </c>
      <c r="L1370" s="1" t="n">
        <f aca="false">D1370*F1370+J1370</f>
        <v>1871</v>
      </c>
      <c r="M1370" s="1" t="n">
        <f aca="false">IF(AND(E1370="Пицца Труслейка",I1370="г. Москва",K1370="Выполнено",G1370&gt;=DATE(2020,7,1),G1370&lt;DATE(2020,8,1)),L1370,0)</f>
        <v>0</v>
      </c>
    </row>
    <row r="1371" customFormat="false" ht="15" hidden="false" customHeight="true" outlineLevel="0" collapsed="false">
      <c r="A1371" s="1" t="n">
        <v>101134</v>
      </c>
      <c r="B1371" s="1" t="n">
        <v>51977</v>
      </c>
      <c r="C1371" s="1" t="n">
        <v>4</v>
      </c>
      <c r="D1371" s="1" t="n">
        <v>10</v>
      </c>
      <c r="E1371" s="1" t="str">
        <f aca="false">VLOOKUP(C1371,Меню!$A$2:$C$24,2,FALSE())</f>
        <v>Пицца Труслейка</v>
      </c>
      <c r="F1371" s="1" t="n">
        <f aca="false">VLOOKUP(C1371,Меню!$A$2:$C$24,3,FALSE())</f>
        <v>610</v>
      </c>
      <c r="G1371" s="5" t="n">
        <f aca="false">VLOOKUP(B1371,Заказы!$A$2:$E$2995,2,FALSE())</f>
        <v>44039</v>
      </c>
      <c r="H1371" s="1" t="n">
        <f aca="false">VLOOKUP(B1371,Заказы!$A$2:$E$2995,3,FALSE())</f>
        <v>476</v>
      </c>
      <c r="I1371" s="1" t="str">
        <f aca="false">VLOOKUP(H1371,Клиенты!$A$2:$E$1995,5,FALSE())</f>
        <v>г. Ардатов</v>
      </c>
      <c r="J1371" s="1" t="n">
        <f aca="false">VLOOKUP(B1371,Заказы!$A$2:$E$2995,4,FALSE())</f>
        <v>0</v>
      </c>
      <c r="K1371" s="1" t="str">
        <f aca="false">VLOOKUP(B1371,Заказы!$A$2:$E$2995,5,FALSE())</f>
        <v>Не выполнено</v>
      </c>
      <c r="L1371" s="1" t="n">
        <f aca="false">D1371*F1371+J1371</f>
        <v>6100</v>
      </c>
      <c r="M1371" s="1" t="n">
        <f aca="false">IF(AND(E1371="Пицца Труслейка",I1371="г. Москва",K1371="Выполнено",G1371&gt;=DATE(2020,7,1),G1371&lt;DATE(2020,8,1)),L1371,0)</f>
        <v>0</v>
      </c>
    </row>
    <row r="1372" customFormat="false" ht="15" hidden="false" customHeight="true" outlineLevel="0" collapsed="false">
      <c r="A1372" s="1" t="n">
        <v>100045</v>
      </c>
      <c r="B1372" s="1" t="n">
        <v>51433</v>
      </c>
      <c r="C1372" s="1" t="n">
        <v>5</v>
      </c>
      <c r="D1372" s="1" t="n">
        <v>2</v>
      </c>
      <c r="E1372" s="1" t="str">
        <f aca="false">VLOOKUP(C1372,Меню!$A$2:$C$24,2,FALSE())</f>
        <v>Пицца Жюльен</v>
      </c>
      <c r="F1372" s="1" t="n">
        <f aca="false">VLOOKUP(C1372,Меню!$A$2:$C$24,3,FALSE())</f>
        <v>580</v>
      </c>
      <c r="G1372" s="5" t="n">
        <f aca="false">VLOOKUP(B1372,Заказы!$A$2:$E$2995,2,FALSE())</f>
        <v>44038</v>
      </c>
      <c r="H1372" s="1" t="n">
        <f aca="false">VLOOKUP(B1372,Заказы!$A$2:$E$2995,3,FALSE())</f>
        <v>169</v>
      </c>
      <c r="I1372" s="1" t="str">
        <f aca="false">VLOOKUP(H1372,Клиенты!$A$2:$E$1995,5,FALSE())</f>
        <v>г. Гулькевичи</v>
      </c>
      <c r="J1372" s="1" t="n">
        <f aca="false">VLOOKUP(B1372,Заказы!$A$2:$E$2995,4,FALSE())</f>
        <v>0</v>
      </c>
      <c r="K1372" s="1" t="str">
        <f aca="false">VLOOKUP(B1372,Заказы!$A$2:$E$2995,5,FALSE())</f>
        <v>Не выполнено</v>
      </c>
      <c r="L1372" s="1" t="n">
        <f aca="false">D1372*F1372+J1372</f>
        <v>1160</v>
      </c>
      <c r="M1372" s="1" t="n">
        <f aca="false">IF(AND(E1372="Пицца Труслейка",I1372="г. Москва",K1372="Выполнено",G1372&gt;=DATE(2020,7,1),G1372&lt;DATE(2020,8,1)),L1372,0)</f>
        <v>0</v>
      </c>
    </row>
    <row r="1373" customFormat="false" ht="15" hidden="false" customHeight="true" outlineLevel="0" collapsed="false">
      <c r="A1373" s="1" t="n">
        <v>101080</v>
      </c>
      <c r="B1373" s="1" t="n">
        <v>51508</v>
      </c>
      <c r="C1373" s="1" t="n">
        <v>17</v>
      </c>
      <c r="D1373" s="1" t="n">
        <v>1</v>
      </c>
      <c r="E1373" s="1" t="str">
        <f aca="false">VLOOKUP(C1373,Меню!$A$2:$C$24,2,FALSE())</f>
        <v>Пицца Френч Фрайз</v>
      </c>
      <c r="F1373" s="1" t="n">
        <f aca="false">VLOOKUP(C1373,Меню!$A$2:$C$24,3,FALSE())</f>
        <v>515</v>
      </c>
      <c r="G1373" s="5" t="n">
        <f aca="false">VLOOKUP(B1373,Заказы!$A$2:$E$2995,2,FALSE())</f>
        <v>44054</v>
      </c>
      <c r="H1373" s="1" t="n">
        <f aca="false">VLOOKUP(B1373,Заказы!$A$2:$E$2995,3,FALSE())</f>
        <v>300</v>
      </c>
      <c r="I1373" s="1" t="str">
        <f aca="false">VLOOKUP(H1373,Клиенты!$A$2:$E$1995,5,FALSE())</f>
        <v>г. Москва</v>
      </c>
      <c r="J1373" s="1" t="n">
        <f aca="false">VLOOKUP(B1373,Заказы!$A$2:$E$2995,4,FALSE())</f>
        <v>0</v>
      </c>
      <c r="K1373" s="1" t="str">
        <f aca="false">VLOOKUP(B1373,Заказы!$A$2:$E$2995,5,FALSE())</f>
        <v>Не выполнено</v>
      </c>
      <c r="L1373" s="1" t="n">
        <f aca="false">D1373*F1373+J1373</f>
        <v>515</v>
      </c>
      <c r="M1373" s="1" t="n">
        <f aca="false">IF(AND(E1373="Пицца Труслейка",I1373="г. Москва",K1373="Выполнено",G1373&gt;=DATE(2020,7,1),G1373&lt;DATE(2020,8,1)),L1373,0)</f>
        <v>0</v>
      </c>
    </row>
    <row r="1374" customFormat="false" ht="15" hidden="false" customHeight="true" outlineLevel="0" collapsed="false">
      <c r="A1374" s="1" t="n">
        <v>100671</v>
      </c>
      <c r="B1374" s="1" t="n">
        <v>50244</v>
      </c>
      <c r="C1374" s="1" t="n">
        <v>17</v>
      </c>
      <c r="D1374" s="1" t="n">
        <v>7</v>
      </c>
      <c r="E1374" s="1" t="str">
        <f aca="false">VLOOKUP(C1374,Меню!$A$2:$C$24,2,FALSE())</f>
        <v>Пицца Френч Фрайз</v>
      </c>
      <c r="F1374" s="1" t="n">
        <f aca="false">VLOOKUP(C1374,Меню!$A$2:$C$24,3,FALSE())</f>
        <v>515</v>
      </c>
      <c r="G1374" s="5" t="n">
        <f aca="false">VLOOKUP(B1374,Заказы!$A$2:$E$2995,2,FALSE())</f>
        <v>44021</v>
      </c>
      <c r="H1374" s="1" t="n">
        <f aca="false">VLOOKUP(B1374,Заказы!$A$2:$E$2995,3,FALSE())</f>
        <v>183</v>
      </c>
      <c r="I1374" s="1" t="str">
        <f aca="false">VLOOKUP(H1374,Клиенты!$A$2:$E$1995,5,FALSE())</f>
        <v>г. Белоусово</v>
      </c>
      <c r="J1374" s="1" t="n">
        <f aca="false">VLOOKUP(B1374,Заказы!$A$2:$E$2995,4,FALSE())</f>
        <v>471</v>
      </c>
      <c r="K1374" s="1" t="str">
        <f aca="false">VLOOKUP(B1374,Заказы!$A$2:$E$2995,5,FALSE())</f>
        <v>Выполнено</v>
      </c>
      <c r="L1374" s="1" t="n">
        <f aca="false">D1374*F1374+J1374</f>
        <v>4076</v>
      </c>
      <c r="M1374" s="1" t="n">
        <f aca="false">IF(AND(E1374="Пицца Труслейка",I1374="г. Москва",K1374="Выполнено",G1374&gt;=DATE(2020,7,1),G1374&lt;DATE(2020,8,1)),L1374,0)</f>
        <v>0</v>
      </c>
    </row>
    <row r="1375" customFormat="false" ht="15" hidden="false" customHeight="true" outlineLevel="0" collapsed="false">
      <c r="A1375" s="1" t="n">
        <v>100160</v>
      </c>
      <c r="B1375" s="1" t="n">
        <v>50205</v>
      </c>
      <c r="C1375" s="1" t="n">
        <v>17</v>
      </c>
      <c r="D1375" s="1" t="n">
        <v>3</v>
      </c>
      <c r="E1375" s="1" t="str">
        <f aca="false">VLOOKUP(C1375,Меню!$A$2:$C$24,2,FALSE())</f>
        <v>Пицца Френч Фрайз</v>
      </c>
      <c r="F1375" s="1" t="n">
        <f aca="false">VLOOKUP(C1375,Меню!$A$2:$C$24,3,FALSE())</f>
        <v>515</v>
      </c>
      <c r="G1375" s="5" t="n">
        <f aca="false">VLOOKUP(B1375,Заказы!$A$2:$E$2995,2,FALSE())</f>
        <v>44008</v>
      </c>
      <c r="H1375" s="1" t="n">
        <f aca="false">VLOOKUP(B1375,Заказы!$A$2:$E$2995,3,FALSE())</f>
        <v>227</v>
      </c>
      <c r="I1375" s="1" t="str">
        <f aca="false">VLOOKUP(H1375,Клиенты!$A$2:$E$1995,5,FALSE())</f>
        <v>г. Райчихинск</v>
      </c>
      <c r="J1375" s="1" t="n">
        <f aca="false">VLOOKUP(B1375,Заказы!$A$2:$E$2995,4,FALSE())</f>
        <v>307</v>
      </c>
      <c r="K1375" s="1" t="str">
        <f aca="false">VLOOKUP(B1375,Заказы!$A$2:$E$2995,5,FALSE())</f>
        <v>Выполнено</v>
      </c>
      <c r="L1375" s="1" t="n">
        <f aca="false">D1375*F1375+J1375</f>
        <v>1852</v>
      </c>
      <c r="M1375" s="1" t="n">
        <f aca="false">IF(AND(E1375="Пицца Труслейка",I1375="г. Москва",K1375="Выполнено",G1375&gt;=DATE(2020,7,1),G1375&lt;DATE(2020,8,1)),L1375,0)</f>
        <v>0</v>
      </c>
    </row>
    <row r="1376" customFormat="false" ht="15" hidden="false" customHeight="true" outlineLevel="0" collapsed="false">
      <c r="A1376" s="1" t="n">
        <v>101966</v>
      </c>
      <c r="B1376" s="1" t="n">
        <v>51779</v>
      </c>
      <c r="C1376" s="1" t="n">
        <v>20</v>
      </c>
      <c r="D1376" s="1" t="n">
        <v>8</v>
      </c>
      <c r="E1376" s="1" t="str">
        <f aca="false">VLOOKUP(C1376,Меню!$A$2:$C$24,2,FALSE())</f>
        <v>Пицца пиканте</v>
      </c>
      <c r="F1376" s="1" t="n">
        <f aca="false">VLOOKUP(C1376,Меню!$A$2:$C$24,3,FALSE())</f>
        <v>585</v>
      </c>
      <c r="G1376" s="5" t="n">
        <f aca="false">VLOOKUP(B1376,Заказы!$A$2:$E$2995,2,FALSE())</f>
        <v>43996</v>
      </c>
      <c r="H1376" s="1" t="n">
        <f aca="false">VLOOKUP(B1376,Заказы!$A$2:$E$2995,3,FALSE())</f>
        <v>1012</v>
      </c>
      <c r="I1376" s="1" t="str">
        <f aca="false">VLOOKUP(H1376,Клиенты!$A$2:$E$1995,5,FALSE())</f>
        <v>г. Новохопёрск</v>
      </c>
      <c r="J1376" s="1" t="n">
        <f aca="false">VLOOKUP(B1376,Заказы!$A$2:$E$2995,4,FALSE())</f>
        <v>162</v>
      </c>
      <c r="K1376" s="1" t="str">
        <f aca="false">VLOOKUP(B1376,Заказы!$A$2:$E$2995,5,FALSE())</f>
        <v>Выполнено</v>
      </c>
      <c r="L1376" s="1" t="n">
        <f aca="false">D1376*F1376+J1376</f>
        <v>4842</v>
      </c>
      <c r="M1376" s="1" t="n">
        <f aca="false">IF(AND(E1376="Пицца Труслейка",I1376="г. Москва",K1376="Выполнено",G1376&gt;=DATE(2020,7,1),G1376&lt;DATE(2020,8,1)),L1376,0)</f>
        <v>0</v>
      </c>
    </row>
    <row r="1377" customFormat="false" ht="15" hidden="false" customHeight="true" outlineLevel="0" collapsed="false">
      <c r="A1377" s="1" t="n">
        <v>101848</v>
      </c>
      <c r="B1377" s="1" t="n">
        <v>51899</v>
      </c>
      <c r="C1377" s="1" t="n">
        <v>21</v>
      </c>
      <c r="D1377" s="1" t="n">
        <v>9</v>
      </c>
      <c r="E1377" s="1" t="str">
        <f aca="false">VLOOKUP(C1377,Меню!$A$2:$C$24,2,FALSE())</f>
        <v>Пицца с креветками и цукини</v>
      </c>
      <c r="F1377" s="1" t="n">
        <f aca="false">VLOOKUP(C1377,Меню!$A$2:$C$24,3,FALSE())</f>
        <v>600</v>
      </c>
      <c r="G1377" s="5" t="n">
        <f aca="false">VLOOKUP(B1377,Заказы!$A$2:$E$2995,2,FALSE())</f>
        <v>44043</v>
      </c>
      <c r="H1377" s="1" t="n">
        <f aca="false">VLOOKUP(B1377,Заказы!$A$2:$E$2995,3,FALSE())</f>
        <v>1637</v>
      </c>
      <c r="I1377" s="1" t="str">
        <f aca="false">VLOOKUP(H1377,Клиенты!$A$2:$E$1995,5,FALSE())</f>
        <v>г. Никольск</v>
      </c>
      <c r="J1377" s="1" t="n">
        <f aca="false">VLOOKUP(B1377,Заказы!$A$2:$E$2995,4,FALSE())</f>
        <v>0</v>
      </c>
      <c r="K1377" s="1" t="str">
        <f aca="false">VLOOKUP(B1377,Заказы!$A$2:$E$2995,5,FALSE())</f>
        <v>Не выполнено</v>
      </c>
      <c r="L1377" s="1" t="n">
        <f aca="false">D1377*F1377+J1377</f>
        <v>5400</v>
      </c>
      <c r="M1377" s="1" t="n">
        <f aca="false">IF(AND(E1377="Пицца Труслейка",I1377="г. Москва",K1377="Выполнено",G1377&gt;=DATE(2020,7,1),G1377&lt;DATE(2020,8,1)),L1377,0)</f>
        <v>0</v>
      </c>
    </row>
    <row r="1378" customFormat="false" ht="15" hidden="false" customHeight="true" outlineLevel="0" collapsed="false">
      <c r="A1378" s="1" t="n">
        <v>100283</v>
      </c>
      <c r="B1378" s="1" t="n">
        <v>51227</v>
      </c>
      <c r="C1378" s="1" t="n">
        <v>18</v>
      </c>
      <c r="D1378" s="1" t="n">
        <v>8</v>
      </c>
      <c r="E1378" s="1" t="str">
        <f aca="false">VLOOKUP(C1378,Меню!$A$2:$C$24,2,FALSE())</f>
        <v>Пицца Царская</v>
      </c>
      <c r="F1378" s="1" t="n">
        <f aca="false">VLOOKUP(C1378,Меню!$A$2:$C$24,3,FALSE())</f>
        <v>620</v>
      </c>
      <c r="G1378" s="5" t="n">
        <f aca="false">VLOOKUP(B1378,Заказы!$A$2:$E$2995,2,FALSE())</f>
        <v>44072</v>
      </c>
      <c r="H1378" s="1" t="n">
        <f aca="false">VLOOKUP(B1378,Заказы!$A$2:$E$2995,3,FALSE())</f>
        <v>637</v>
      </c>
      <c r="I1378" s="1" t="str">
        <f aca="false">VLOOKUP(H1378,Клиенты!$A$2:$E$1995,5,FALSE())</f>
        <v>г. Алагир</v>
      </c>
      <c r="J1378" s="1" t="n">
        <f aca="false">VLOOKUP(B1378,Заказы!$A$2:$E$2995,4,FALSE())</f>
        <v>0</v>
      </c>
      <c r="K1378" s="1" t="str">
        <f aca="false">VLOOKUP(B1378,Заказы!$A$2:$E$2995,5,FALSE())</f>
        <v>Не выполнено</v>
      </c>
      <c r="L1378" s="1" t="n">
        <f aca="false">D1378*F1378+J1378</f>
        <v>4960</v>
      </c>
      <c r="M1378" s="1" t="n">
        <f aca="false">IF(AND(E1378="Пицца Труслейка",I1378="г. Москва",K1378="Выполнено",G1378&gt;=DATE(2020,7,1),G1378&lt;DATE(2020,8,1)),L1378,0)</f>
        <v>0</v>
      </c>
    </row>
    <row r="1379" customFormat="false" ht="15" hidden="false" customHeight="true" outlineLevel="0" collapsed="false">
      <c r="A1379" s="1" t="n">
        <v>101065</v>
      </c>
      <c r="B1379" s="1" t="n">
        <v>51884</v>
      </c>
      <c r="C1379" s="1" t="n">
        <v>5</v>
      </c>
      <c r="D1379" s="1" t="n">
        <v>6</v>
      </c>
      <c r="E1379" s="1" t="str">
        <f aca="false">VLOOKUP(C1379,Меню!$A$2:$C$24,2,FALSE())</f>
        <v>Пицца Жюльен</v>
      </c>
      <c r="F1379" s="1" t="n">
        <f aca="false">VLOOKUP(C1379,Меню!$A$2:$C$24,3,FALSE())</f>
        <v>580</v>
      </c>
      <c r="G1379" s="5" t="n">
        <f aca="false">VLOOKUP(B1379,Заказы!$A$2:$E$2995,2,FALSE())</f>
        <v>44033</v>
      </c>
      <c r="H1379" s="1" t="n">
        <f aca="false">VLOOKUP(B1379,Заказы!$A$2:$E$2995,3,FALSE())</f>
        <v>1422</v>
      </c>
      <c r="I1379" s="1" t="str">
        <f aca="false">VLOOKUP(H1379,Клиенты!$A$2:$E$1995,5,FALSE())</f>
        <v>г. Ардон</v>
      </c>
      <c r="J1379" s="1" t="n">
        <f aca="false">VLOOKUP(B1379,Заказы!$A$2:$E$2995,4,FALSE())</f>
        <v>0</v>
      </c>
      <c r="K1379" s="1" t="str">
        <f aca="false">VLOOKUP(B1379,Заказы!$A$2:$E$2995,5,FALSE())</f>
        <v>Не выполнено</v>
      </c>
      <c r="L1379" s="1" t="n">
        <f aca="false">D1379*F1379+J1379</f>
        <v>3480</v>
      </c>
      <c r="M1379" s="1" t="n">
        <f aca="false">IF(AND(E1379="Пицца Труслейка",I1379="г. Москва",K1379="Выполнено",G1379&gt;=DATE(2020,7,1),G1379&lt;DATE(2020,8,1)),L1379,0)</f>
        <v>0</v>
      </c>
    </row>
    <row r="1380" customFormat="false" ht="15" hidden="false" customHeight="true" outlineLevel="0" collapsed="false">
      <c r="A1380" s="1" t="n">
        <v>101056</v>
      </c>
      <c r="B1380" s="1" t="n">
        <v>51721</v>
      </c>
      <c r="C1380" s="1" t="n">
        <v>6</v>
      </c>
      <c r="D1380" s="1" t="n">
        <v>2</v>
      </c>
      <c r="E1380" s="1" t="str">
        <f aca="false">VLOOKUP(C1380,Меню!$A$2:$C$24,2,FALSE())</f>
        <v>Пицца Капричиоза</v>
      </c>
      <c r="F1380" s="1" t="n">
        <f aca="false">VLOOKUP(C1380,Меню!$A$2:$C$24,3,FALSE())</f>
        <v>570</v>
      </c>
      <c r="G1380" s="5" t="n">
        <f aca="false">VLOOKUP(B1380,Заказы!$A$2:$E$2995,2,FALSE())</f>
        <v>44056</v>
      </c>
      <c r="H1380" s="1" t="n">
        <f aca="false">VLOOKUP(B1380,Заказы!$A$2:$E$2995,3,FALSE())</f>
        <v>642</v>
      </c>
      <c r="I1380" s="1" t="str">
        <f aca="false">VLOOKUP(H1380,Клиенты!$A$2:$E$1995,5,FALSE())</f>
        <v>г. Димитровград</v>
      </c>
      <c r="J1380" s="1" t="n">
        <f aca="false">VLOOKUP(B1380,Заказы!$A$2:$E$2995,4,FALSE())</f>
        <v>0</v>
      </c>
      <c r="K1380" s="1" t="str">
        <f aca="false">VLOOKUP(B1380,Заказы!$A$2:$E$2995,5,FALSE())</f>
        <v>Не выполнено</v>
      </c>
      <c r="L1380" s="1" t="n">
        <f aca="false">D1380*F1380+J1380</f>
        <v>1140</v>
      </c>
      <c r="M1380" s="1" t="n">
        <f aca="false">IF(AND(E1380="Пицца Труслейка",I1380="г. Москва",K1380="Выполнено",G1380&gt;=DATE(2020,7,1),G1380&lt;DATE(2020,8,1)),L1380,0)</f>
        <v>0</v>
      </c>
    </row>
    <row r="1381" customFormat="false" ht="15" hidden="false" customHeight="true" outlineLevel="0" collapsed="false">
      <c r="A1381" s="1" t="n">
        <v>100504</v>
      </c>
      <c r="B1381" s="1" t="n">
        <v>50790</v>
      </c>
      <c r="C1381" s="1" t="n">
        <v>4</v>
      </c>
      <c r="D1381" s="1" t="n">
        <v>4</v>
      </c>
      <c r="E1381" s="1" t="str">
        <f aca="false">VLOOKUP(C1381,Меню!$A$2:$C$24,2,FALSE())</f>
        <v>Пицца Труслейка</v>
      </c>
      <c r="F1381" s="1" t="n">
        <f aca="false">VLOOKUP(C1381,Меню!$A$2:$C$24,3,FALSE())</f>
        <v>610</v>
      </c>
      <c r="G1381" s="5" t="n">
        <f aca="false">VLOOKUP(B1381,Заказы!$A$2:$E$2995,2,FALSE())</f>
        <v>43984</v>
      </c>
      <c r="H1381" s="1" t="n">
        <f aca="false">VLOOKUP(B1381,Заказы!$A$2:$E$2995,3,FALSE())</f>
        <v>1320</v>
      </c>
      <c r="I1381" s="1" t="str">
        <f aca="false">VLOOKUP(H1381,Клиенты!$A$2:$E$1995,5,FALSE())</f>
        <v>г. Москва</v>
      </c>
      <c r="J1381" s="1" t="n">
        <f aca="false">VLOOKUP(B1381,Заказы!$A$2:$E$2995,4,FALSE())</f>
        <v>0</v>
      </c>
      <c r="K1381" s="1" t="str">
        <f aca="false">VLOOKUP(B1381,Заказы!$A$2:$E$2995,5,FALSE())</f>
        <v>Не выполнено</v>
      </c>
      <c r="L1381" s="1" t="n">
        <f aca="false">D1381*F1381+J1381</f>
        <v>2440</v>
      </c>
      <c r="M1381" s="1" t="n">
        <f aca="false">IF(AND(E1381="Пицца Труслейка",I1381="г. Москва",K1381="Выполнено",G1381&gt;=DATE(2020,7,1),G1381&lt;DATE(2020,8,1)),L1381,0)</f>
        <v>0</v>
      </c>
    </row>
    <row r="1382" customFormat="false" ht="15" hidden="false" customHeight="true" outlineLevel="0" collapsed="false">
      <c r="A1382" s="1" t="n">
        <v>101839</v>
      </c>
      <c r="B1382" s="1" t="n">
        <v>51466</v>
      </c>
      <c r="C1382" s="1" t="n">
        <v>12</v>
      </c>
      <c r="D1382" s="1" t="n">
        <v>9</v>
      </c>
      <c r="E1382" s="1" t="str">
        <f aca="false">VLOOKUP(C1382,Меню!$A$2:$C$24,2,FALSE())</f>
        <v>Пицца Салями с трюфелем</v>
      </c>
      <c r="F1382" s="1" t="n">
        <f aca="false">VLOOKUP(C1382,Меню!$A$2:$C$24,3,FALSE())</f>
        <v>525</v>
      </c>
      <c r="G1382" s="5" t="n">
        <f aca="false">VLOOKUP(B1382,Заказы!$A$2:$E$2995,2,FALSE())</f>
        <v>44016</v>
      </c>
      <c r="H1382" s="1" t="n">
        <f aca="false">VLOOKUP(B1382,Заказы!$A$2:$E$2995,3,FALSE())</f>
        <v>460</v>
      </c>
      <c r="I1382" s="1" t="str">
        <f aca="false">VLOOKUP(H1382,Клиенты!$A$2:$E$1995,5,FALSE())</f>
        <v>г. Москва</v>
      </c>
      <c r="J1382" s="1" t="n">
        <f aca="false">VLOOKUP(B1382,Заказы!$A$2:$E$2995,4,FALSE())</f>
        <v>248</v>
      </c>
      <c r="K1382" s="1" t="str">
        <f aca="false">VLOOKUP(B1382,Заказы!$A$2:$E$2995,5,FALSE())</f>
        <v>Выполнено</v>
      </c>
      <c r="L1382" s="1" t="n">
        <f aca="false">D1382*F1382+J1382</f>
        <v>4973</v>
      </c>
      <c r="M1382" s="1" t="n">
        <f aca="false">IF(AND(E1382="Пицца Труслейка",I1382="г. Москва",K1382="Выполнено",G1382&gt;=DATE(2020,7,1),G1382&lt;DATE(2020,8,1)),L1382,0)</f>
        <v>0</v>
      </c>
    </row>
    <row r="1383" customFormat="false" ht="15" hidden="false" customHeight="true" outlineLevel="0" collapsed="false">
      <c r="A1383" s="1" t="n">
        <v>101646</v>
      </c>
      <c r="B1383" s="1" t="n">
        <v>51644</v>
      </c>
      <c r="C1383" s="1" t="n">
        <v>18</v>
      </c>
      <c r="D1383" s="1" t="n">
        <v>8</v>
      </c>
      <c r="E1383" s="1" t="str">
        <f aca="false">VLOOKUP(C1383,Меню!$A$2:$C$24,2,FALSE())</f>
        <v>Пицца Царская</v>
      </c>
      <c r="F1383" s="1" t="n">
        <f aca="false">VLOOKUP(C1383,Меню!$A$2:$C$24,3,FALSE())</f>
        <v>620</v>
      </c>
      <c r="G1383" s="5" t="n">
        <f aca="false">VLOOKUP(B1383,Заказы!$A$2:$E$2995,2,FALSE())</f>
        <v>44057</v>
      </c>
      <c r="H1383" s="1" t="n">
        <f aca="false">VLOOKUP(B1383,Заказы!$A$2:$E$2995,3,FALSE())</f>
        <v>1414</v>
      </c>
      <c r="I1383" s="1" t="str">
        <f aca="false">VLOOKUP(H1383,Клиенты!$A$2:$E$1995,5,FALSE())</f>
        <v>г. Ворсма</v>
      </c>
      <c r="J1383" s="1" t="n">
        <f aca="false">VLOOKUP(B1383,Заказы!$A$2:$E$2995,4,FALSE())</f>
        <v>0</v>
      </c>
      <c r="K1383" s="1" t="str">
        <f aca="false">VLOOKUP(B1383,Заказы!$A$2:$E$2995,5,FALSE())</f>
        <v>Не выполнено</v>
      </c>
      <c r="L1383" s="1" t="n">
        <f aca="false">D1383*F1383+J1383</f>
        <v>4960</v>
      </c>
      <c r="M1383" s="1" t="n">
        <f aca="false">IF(AND(E1383="Пицца Труслейка",I1383="г. Москва",K1383="Выполнено",G1383&gt;=DATE(2020,7,1),G1383&lt;DATE(2020,8,1)),L1383,0)</f>
        <v>0</v>
      </c>
    </row>
    <row r="1384" customFormat="false" ht="15" hidden="false" customHeight="true" outlineLevel="0" collapsed="false">
      <c r="A1384" s="1" t="n">
        <v>100614</v>
      </c>
      <c r="B1384" s="1" t="n">
        <v>50739</v>
      </c>
      <c r="C1384" s="1" t="n">
        <v>22</v>
      </c>
      <c r="D1384" s="1" t="n">
        <v>3</v>
      </c>
      <c r="E1384" s="1" t="str">
        <f aca="false">VLOOKUP(C1384,Меню!$A$2:$C$24,2,FALSE())</f>
        <v>Пицца с поркеттой и фриарелли</v>
      </c>
      <c r="F1384" s="1" t="n">
        <f aca="false">VLOOKUP(C1384,Меню!$A$2:$C$24,3,FALSE())</f>
        <v>550</v>
      </c>
      <c r="G1384" s="5" t="n">
        <f aca="false">VLOOKUP(B1384,Заказы!$A$2:$E$2995,2,FALSE())</f>
        <v>44017</v>
      </c>
      <c r="H1384" s="1" t="n">
        <f aca="false">VLOOKUP(B1384,Заказы!$A$2:$E$2995,3,FALSE())</f>
        <v>1700</v>
      </c>
      <c r="I1384" s="1" t="str">
        <f aca="false">VLOOKUP(H1384,Клиенты!$A$2:$E$1995,5,FALSE())</f>
        <v>г. Москва</v>
      </c>
      <c r="J1384" s="1" t="n">
        <f aca="false">VLOOKUP(B1384,Заказы!$A$2:$E$2995,4,FALSE())</f>
        <v>0</v>
      </c>
      <c r="K1384" s="1" t="str">
        <f aca="false">VLOOKUP(B1384,Заказы!$A$2:$E$2995,5,FALSE())</f>
        <v>Не выполнено</v>
      </c>
      <c r="L1384" s="1" t="n">
        <f aca="false">D1384*F1384+J1384</f>
        <v>1650</v>
      </c>
      <c r="M1384" s="1" t="n">
        <f aca="false">IF(AND(E1384="Пицца Труслейка",I1384="г. Москва",K1384="Выполнено",G1384&gt;=DATE(2020,7,1),G1384&lt;DATE(2020,8,1)),L1384,0)</f>
        <v>0</v>
      </c>
    </row>
    <row r="1385" customFormat="false" ht="15" hidden="false" customHeight="true" outlineLevel="0" collapsed="false">
      <c r="A1385" s="1" t="n">
        <v>100265</v>
      </c>
      <c r="B1385" s="1" t="n">
        <v>50434</v>
      </c>
      <c r="C1385" s="1" t="n">
        <v>6</v>
      </c>
      <c r="D1385" s="1" t="n">
        <v>3</v>
      </c>
      <c r="E1385" s="1" t="str">
        <f aca="false">VLOOKUP(C1385,Меню!$A$2:$C$24,2,FALSE())</f>
        <v>Пицца Капричиоза</v>
      </c>
      <c r="F1385" s="1" t="n">
        <f aca="false">VLOOKUP(C1385,Меню!$A$2:$C$24,3,FALSE())</f>
        <v>570</v>
      </c>
      <c r="G1385" s="5" t="n">
        <f aca="false">VLOOKUP(B1385,Заказы!$A$2:$E$2995,2,FALSE())</f>
        <v>44047</v>
      </c>
      <c r="H1385" s="1" t="n">
        <f aca="false">VLOOKUP(B1385,Заказы!$A$2:$E$2995,3,FALSE())</f>
        <v>487</v>
      </c>
      <c r="I1385" s="1" t="str">
        <f aca="false">VLOOKUP(H1385,Клиенты!$A$2:$E$1995,5,FALSE())</f>
        <v>г. Кандалакша</v>
      </c>
      <c r="J1385" s="1" t="n">
        <f aca="false">VLOOKUP(B1385,Заказы!$A$2:$E$2995,4,FALSE())</f>
        <v>873</v>
      </c>
      <c r="K1385" s="1" t="str">
        <f aca="false">VLOOKUP(B1385,Заказы!$A$2:$E$2995,5,FALSE())</f>
        <v>Выполнено</v>
      </c>
      <c r="L1385" s="1" t="n">
        <f aca="false">D1385*F1385+J1385</f>
        <v>2583</v>
      </c>
      <c r="M1385" s="1" t="n">
        <f aca="false">IF(AND(E1385="Пицца Труслейка",I1385="г. Москва",K1385="Выполнено",G1385&gt;=DATE(2020,7,1),G1385&lt;DATE(2020,8,1)),L1385,0)</f>
        <v>0</v>
      </c>
    </row>
    <row r="1386" customFormat="false" ht="15" hidden="false" customHeight="true" outlineLevel="0" collapsed="false">
      <c r="A1386" s="1" t="n">
        <v>101874</v>
      </c>
      <c r="B1386" s="1" t="n">
        <v>50640</v>
      </c>
      <c r="C1386" s="1" t="n">
        <v>8</v>
      </c>
      <c r="D1386" s="1" t="n">
        <v>3</v>
      </c>
      <c r="E1386" s="1" t="str">
        <f aca="false">VLOOKUP(C1386,Меню!$A$2:$C$24,2,FALSE())</f>
        <v>Пицца Мясная</v>
      </c>
      <c r="F1386" s="1" t="n">
        <f aca="false">VLOOKUP(C1386,Меню!$A$2:$C$24,3,FALSE())</f>
        <v>615</v>
      </c>
      <c r="G1386" s="5" t="n">
        <f aca="false">VLOOKUP(B1386,Заказы!$A$2:$E$2995,2,FALSE())</f>
        <v>44067</v>
      </c>
      <c r="H1386" s="1" t="n">
        <f aca="false">VLOOKUP(B1386,Заказы!$A$2:$E$2995,3,FALSE())</f>
        <v>1828</v>
      </c>
      <c r="I1386" s="1" t="str">
        <f aca="false">VLOOKUP(H1386,Клиенты!$A$2:$E$1995,5,FALSE())</f>
        <v>г. Пыть-Ях</v>
      </c>
      <c r="J1386" s="1" t="n">
        <f aca="false">VLOOKUP(B1386,Заказы!$A$2:$E$2995,4,FALSE())</f>
        <v>660</v>
      </c>
      <c r="K1386" s="1" t="str">
        <f aca="false">VLOOKUP(B1386,Заказы!$A$2:$E$2995,5,FALSE())</f>
        <v>Выполнено</v>
      </c>
      <c r="L1386" s="1" t="n">
        <f aca="false">D1386*F1386+J1386</f>
        <v>2505</v>
      </c>
      <c r="M1386" s="1" t="n">
        <f aca="false">IF(AND(E1386="Пицца Труслейка",I1386="г. Москва",K1386="Выполнено",G1386&gt;=DATE(2020,7,1),G1386&lt;DATE(2020,8,1)),L1386,0)</f>
        <v>0</v>
      </c>
    </row>
    <row r="1387" customFormat="false" ht="15" hidden="false" customHeight="true" outlineLevel="0" collapsed="false">
      <c r="A1387" s="1" t="n">
        <v>101704</v>
      </c>
      <c r="B1387" s="1" t="n">
        <v>50351</v>
      </c>
      <c r="C1387" s="1" t="n">
        <v>12</v>
      </c>
      <c r="D1387" s="1" t="n">
        <v>7</v>
      </c>
      <c r="E1387" s="1" t="str">
        <f aca="false">VLOOKUP(C1387,Меню!$A$2:$C$24,2,FALSE())</f>
        <v>Пицца Салями с трюфелем</v>
      </c>
      <c r="F1387" s="1" t="n">
        <f aca="false">VLOOKUP(C1387,Меню!$A$2:$C$24,3,FALSE())</f>
        <v>525</v>
      </c>
      <c r="G1387" s="5" t="n">
        <f aca="false">VLOOKUP(B1387,Заказы!$A$2:$E$2995,2,FALSE())</f>
        <v>43989</v>
      </c>
      <c r="H1387" s="1" t="n">
        <f aca="false">VLOOKUP(B1387,Заказы!$A$2:$E$2995,3,FALSE())</f>
        <v>1450</v>
      </c>
      <c r="I1387" s="1" t="str">
        <f aca="false">VLOOKUP(H1387,Клиенты!$A$2:$E$1995,5,FALSE())</f>
        <v>г. Москва</v>
      </c>
      <c r="J1387" s="1" t="n">
        <f aca="false">VLOOKUP(B1387,Заказы!$A$2:$E$2995,4,FALSE())</f>
        <v>599</v>
      </c>
      <c r="K1387" s="1" t="str">
        <f aca="false">VLOOKUP(B1387,Заказы!$A$2:$E$2995,5,FALSE())</f>
        <v>Выполнено</v>
      </c>
      <c r="L1387" s="1" t="n">
        <f aca="false">D1387*F1387+J1387</f>
        <v>4274</v>
      </c>
      <c r="M1387" s="1" t="n">
        <f aca="false">IF(AND(E1387="Пицца Труслейка",I1387="г. Москва",K1387="Выполнено",G1387&gt;=DATE(2020,7,1),G1387&lt;DATE(2020,8,1)),L1387,0)</f>
        <v>0</v>
      </c>
    </row>
    <row r="1388" customFormat="false" ht="15" hidden="false" customHeight="true" outlineLevel="0" collapsed="false">
      <c r="A1388" s="1" t="n">
        <v>101783</v>
      </c>
      <c r="B1388" s="1" t="n">
        <v>51502</v>
      </c>
      <c r="C1388" s="1" t="n">
        <v>15</v>
      </c>
      <c r="D1388" s="1" t="n">
        <v>1</v>
      </c>
      <c r="E1388" s="1" t="str">
        <f aca="false">VLOOKUP(C1388,Меню!$A$2:$C$24,2,FALSE())</f>
        <v>Пицца Тропиканка</v>
      </c>
      <c r="F1388" s="1" t="n">
        <f aca="false">VLOOKUP(C1388,Меню!$A$2:$C$24,3,FALSE())</f>
        <v>605</v>
      </c>
      <c r="G1388" s="5" t="n">
        <f aca="false">VLOOKUP(B1388,Заказы!$A$2:$E$2995,2,FALSE())</f>
        <v>44030</v>
      </c>
      <c r="H1388" s="1" t="n">
        <f aca="false">VLOOKUP(B1388,Заказы!$A$2:$E$2995,3,FALSE())</f>
        <v>1492</v>
      </c>
      <c r="I1388" s="1" t="str">
        <f aca="false">VLOOKUP(H1388,Клиенты!$A$2:$E$1995,5,FALSE())</f>
        <v>г. Певек</v>
      </c>
      <c r="J1388" s="1" t="n">
        <f aca="false">VLOOKUP(B1388,Заказы!$A$2:$E$2995,4,FALSE())</f>
        <v>804</v>
      </c>
      <c r="K1388" s="1" t="str">
        <f aca="false">VLOOKUP(B1388,Заказы!$A$2:$E$2995,5,FALSE())</f>
        <v>Выполнено</v>
      </c>
      <c r="L1388" s="1" t="n">
        <f aca="false">D1388*F1388+J1388</f>
        <v>1409</v>
      </c>
      <c r="M1388" s="1" t="n">
        <f aca="false">IF(AND(E1388="Пицца Труслейка",I1388="г. Москва",K1388="Выполнено",G1388&gt;=DATE(2020,7,1),G1388&lt;DATE(2020,8,1)),L1388,0)</f>
        <v>0</v>
      </c>
    </row>
    <row r="1389" customFormat="false" ht="15" hidden="false" customHeight="true" outlineLevel="0" collapsed="false">
      <c r="A1389" s="1" t="n">
        <v>100806</v>
      </c>
      <c r="B1389" s="1" t="n">
        <v>51785</v>
      </c>
      <c r="C1389" s="1" t="n">
        <v>2</v>
      </c>
      <c r="D1389" s="1" t="n">
        <v>7</v>
      </c>
      <c r="E1389" s="1" t="str">
        <f aca="false">VLOOKUP(C1389,Меню!$A$2:$C$24,2,FALSE())</f>
        <v>Пицца Двойная пепперони</v>
      </c>
      <c r="F1389" s="1" t="n">
        <f aca="false">VLOOKUP(C1389,Меню!$A$2:$C$24,3,FALSE())</f>
        <v>575</v>
      </c>
      <c r="G1389" s="5" t="n">
        <f aca="false">VLOOKUP(B1389,Заказы!$A$2:$E$2995,2,FALSE())</f>
        <v>44055</v>
      </c>
      <c r="H1389" s="1" t="n">
        <f aca="false">VLOOKUP(B1389,Заказы!$A$2:$E$2995,3,FALSE())</f>
        <v>1371</v>
      </c>
      <c r="I1389" s="1" t="str">
        <f aca="false">VLOOKUP(H1389,Клиенты!$A$2:$E$1995,5,FALSE())</f>
        <v>г. Нариманов</v>
      </c>
      <c r="J1389" s="1" t="n">
        <f aca="false">VLOOKUP(B1389,Заказы!$A$2:$E$2995,4,FALSE())</f>
        <v>546</v>
      </c>
      <c r="K1389" s="1" t="str">
        <f aca="false">VLOOKUP(B1389,Заказы!$A$2:$E$2995,5,FALSE())</f>
        <v>Выполнено</v>
      </c>
      <c r="L1389" s="1" t="n">
        <f aca="false">D1389*F1389+J1389</f>
        <v>4571</v>
      </c>
      <c r="M1389" s="1" t="n">
        <f aca="false">IF(AND(E1389="Пицца Труслейка",I1389="г. Москва",K1389="Выполнено",G1389&gt;=DATE(2020,7,1),G1389&lt;DATE(2020,8,1)),L1389,0)</f>
        <v>0</v>
      </c>
    </row>
    <row r="1390" customFormat="false" ht="15" hidden="false" customHeight="true" outlineLevel="0" collapsed="false">
      <c r="A1390" s="1" t="n">
        <v>101563</v>
      </c>
      <c r="B1390" s="1" t="n">
        <v>51703</v>
      </c>
      <c r="C1390" s="1" t="n">
        <v>13</v>
      </c>
      <c r="D1390" s="1" t="n">
        <v>8</v>
      </c>
      <c r="E1390" s="1" t="str">
        <f aca="false">VLOOKUP(C1390,Меню!$A$2:$C$24,2,FALSE())</f>
        <v>Пицца Сырная</v>
      </c>
      <c r="F1390" s="1" t="n">
        <f aca="false">VLOOKUP(C1390,Меню!$A$2:$C$24,3,FALSE())</f>
        <v>635</v>
      </c>
      <c r="G1390" s="5" t="n">
        <f aca="false">VLOOKUP(B1390,Заказы!$A$2:$E$2995,2,FALSE())</f>
        <v>44027</v>
      </c>
      <c r="H1390" s="1" t="n">
        <f aca="false">VLOOKUP(B1390,Заказы!$A$2:$E$2995,3,FALSE())</f>
        <v>1076</v>
      </c>
      <c r="I1390" s="1" t="str">
        <f aca="false">VLOOKUP(H1390,Клиенты!$A$2:$E$1995,5,FALSE())</f>
        <v>г. Качканар</v>
      </c>
      <c r="J1390" s="1" t="n">
        <f aca="false">VLOOKUP(B1390,Заказы!$A$2:$E$2995,4,FALSE())</f>
        <v>723</v>
      </c>
      <c r="K1390" s="1" t="str">
        <f aca="false">VLOOKUP(B1390,Заказы!$A$2:$E$2995,5,FALSE())</f>
        <v>Выполнено</v>
      </c>
      <c r="L1390" s="1" t="n">
        <f aca="false">D1390*F1390+J1390</f>
        <v>5803</v>
      </c>
      <c r="M1390" s="1" t="n">
        <f aca="false">IF(AND(E1390="Пицца Труслейка",I1390="г. Москва",K1390="Выполнено",G1390&gt;=DATE(2020,7,1),G1390&lt;DATE(2020,8,1)),L1390,0)</f>
        <v>0</v>
      </c>
    </row>
    <row r="1391" customFormat="false" ht="15" hidden="false" customHeight="true" outlineLevel="0" collapsed="false">
      <c r="A1391" s="1" t="n">
        <v>100174</v>
      </c>
      <c r="B1391" s="1" t="n">
        <v>51270</v>
      </c>
      <c r="C1391" s="1" t="n">
        <v>4</v>
      </c>
      <c r="D1391" s="1" t="n">
        <v>5</v>
      </c>
      <c r="E1391" s="1" t="str">
        <f aca="false">VLOOKUP(C1391,Меню!$A$2:$C$24,2,FALSE())</f>
        <v>Пицца Труслейка</v>
      </c>
      <c r="F1391" s="1" t="n">
        <f aca="false">VLOOKUP(C1391,Меню!$A$2:$C$24,3,FALSE())</f>
        <v>610</v>
      </c>
      <c r="G1391" s="5" t="n">
        <f aca="false">VLOOKUP(B1391,Заказы!$A$2:$E$2995,2,FALSE())</f>
        <v>44018</v>
      </c>
      <c r="H1391" s="1" t="n">
        <f aca="false">VLOOKUP(B1391,Заказы!$A$2:$E$2995,3,FALSE())</f>
        <v>309</v>
      </c>
      <c r="I1391" s="1" t="str">
        <f aca="false">VLOOKUP(H1391,Клиенты!$A$2:$E$1995,5,FALSE())</f>
        <v>г. Ликино-Дулёво</v>
      </c>
      <c r="J1391" s="1" t="n">
        <f aca="false">VLOOKUP(B1391,Заказы!$A$2:$E$2995,4,FALSE())</f>
        <v>172</v>
      </c>
      <c r="K1391" s="1" t="str">
        <f aca="false">VLOOKUP(B1391,Заказы!$A$2:$E$2995,5,FALSE())</f>
        <v>Выполнено</v>
      </c>
      <c r="L1391" s="1" t="n">
        <f aca="false">D1391*F1391+J1391</f>
        <v>3222</v>
      </c>
      <c r="M1391" s="1" t="n">
        <f aca="false">IF(AND(E1391="Пицца Труслейка",I1391="г. Москва",K1391="Выполнено",G1391&gt;=DATE(2020,7,1),G1391&lt;DATE(2020,8,1)),L1391,0)</f>
        <v>0</v>
      </c>
    </row>
    <row r="1392" customFormat="false" ht="15" hidden="false" customHeight="true" outlineLevel="0" collapsed="false">
      <c r="A1392" s="1" t="n">
        <v>101104</v>
      </c>
      <c r="B1392" s="1" t="n">
        <v>51675</v>
      </c>
      <c r="C1392" s="1" t="n">
        <v>20</v>
      </c>
      <c r="D1392" s="1" t="n">
        <v>2</v>
      </c>
      <c r="E1392" s="1" t="str">
        <f aca="false">VLOOKUP(C1392,Меню!$A$2:$C$24,2,FALSE())</f>
        <v>Пицца пиканте</v>
      </c>
      <c r="F1392" s="1" t="n">
        <f aca="false">VLOOKUP(C1392,Меню!$A$2:$C$24,3,FALSE())</f>
        <v>585</v>
      </c>
      <c r="G1392" s="5" t="n">
        <f aca="false">VLOOKUP(B1392,Заказы!$A$2:$E$2995,2,FALSE())</f>
        <v>43986</v>
      </c>
      <c r="H1392" s="1" t="n">
        <f aca="false">VLOOKUP(B1392,Заказы!$A$2:$E$2995,3,FALSE())</f>
        <v>897</v>
      </c>
      <c r="I1392" s="1" t="str">
        <f aca="false">VLOOKUP(H1392,Клиенты!$A$2:$E$1995,5,FALSE())</f>
        <v>г. Липецк</v>
      </c>
      <c r="J1392" s="1" t="n">
        <f aca="false">VLOOKUP(B1392,Заказы!$A$2:$E$2995,4,FALSE())</f>
        <v>299</v>
      </c>
      <c r="K1392" s="1" t="str">
        <f aca="false">VLOOKUP(B1392,Заказы!$A$2:$E$2995,5,FALSE())</f>
        <v>Выполнено</v>
      </c>
      <c r="L1392" s="1" t="n">
        <f aca="false">D1392*F1392+J1392</f>
        <v>1469</v>
      </c>
      <c r="M1392" s="1" t="n">
        <f aca="false">IF(AND(E1392="Пицца Труслейка",I1392="г. Москва",K1392="Выполнено",G1392&gt;=DATE(2020,7,1),G1392&lt;DATE(2020,8,1)),L1392,0)</f>
        <v>0</v>
      </c>
    </row>
    <row r="1393" customFormat="false" ht="15" hidden="false" customHeight="true" outlineLevel="0" collapsed="false">
      <c r="A1393" s="1" t="n">
        <v>100968</v>
      </c>
      <c r="B1393" s="1" t="n">
        <v>50269</v>
      </c>
      <c r="C1393" s="1" t="n">
        <v>16</v>
      </c>
      <c r="D1393" s="1" t="n">
        <v>10</v>
      </c>
      <c r="E1393" s="1" t="str">
        <f aca="false">VLOOKUP(C1393,Меню!$A$2:$C$24,2,FALSE())</f>
        <v>Пицца Флорида</v>
      </c>
      <c r="F1393" s="1" t="n">
        <f aca="false">VLOOKUP(C1393,Меню!$A$2:$C$24,3,FALSE())</f>
        <v>535</v>
      </c>
      <c r="G1393" s="5" t="n">
        <f aca="false">VLOOKUP(B1393,Заказы!$A$2:$E$2995,2,FALSE())</f>
        <v>44024</v>
      </c>
      <c r="H1393" s="1" t="n">
        <f aca="false">VLOOKUP(B1393,Заказы!$A$2:$E$2995,3,FALSE())</f>
        <v>944</v>
      </c>
      <c r="I1393" s="1" t="str">
        <f aca="false">VLOOKUP(H1393,Клиенты!$A$2:$E$1995,5,FALSE())</f>
        <v>г. Лесозаводск</v>
      </c>
      <c r="J1393" s="1" t="n">
        <f aca="false">VLOOKUP(B1393,Заказы!$A$2:$E$2995,4,FALSE())</f>
        <v>863</v>
      </c>
      <c r="K1393" s="1" t="str">
        <f aca="false">VLOOKUP(B1393,Заказы!$A$2:$E$2995,5,FALSE())</f>
        <v>Выполнено</v>
      </c>
      <c r="L1393" s="1" t="n">
        <f aca="false">D1393*F1393+J1393</f>
        <v>6213</v>
      </c>
      <c r="M1393" s="1" t="n">
        <f aca="false">IF(AND(E1393="Пицца Труслейка",I1393="г. Москва",K1393="Выполнено",G1393&gt;=DATE(2020,7,1),G1393&lt;DATE(2020,8,1)),L1393,0)</f>
        <v>0</v>
      </c>
    </row>
    <row r="1394" customFormat="false" ht="15" hidden="false" customHeight="true" outlineLevel="0" collapsed="false">
      <c r="A1394" s="1" t="n">
        <v>101470</v>
      </c>
      <c r="B1394" s="1" t="n">
        <v>51391</v>
      </c>
      <c r="C1394" s="1" t="n">
        <v>16</v>
      </c>
      <c r="D1394" s="1" t="n">
        <v>6</v>
      </c>
      <c r="E1394" s="1" t="str">
        <f aca="false">VLOOKUP(C1394,Меню!$A$2:$C$24,2,FALSE())</f>
        <v>Пицца Флорида</v>
      </c>
      <c r="F1394" s="1" t="n">
        <f aca="false">VLOOKUP(C1394,Меню!$A$2:$C$24,3,FALSE())</f>
        <v>535</v>
      </c>
      <c r="G1394" s="5" t="n">
        <f aca="false">VLOOKUP(B1394,Заказы!$A$2:$E$2995,2,FALSE())</f>
        <v>44050</v>
      </c>
      <c r="H1394" s="1" t="n">
        <f aca="false">VLOOKUP(B1394,Заказы!$A$2:$E$2995,3,FALSE())</f>
        <v>1940</v>
      </c>
      <c r="I1394" s="1" t="str">
        <f aca="false">VLOOKUP(H1394,Клиенты!$A$2:$E$1995,5,FALSE())</f>
        <v>г. Москва</v>
      </c>
      <c r="J1394" s="1" t="n">
        <f aca="false">VLOOKUP(B1394,Заказы!$A$2:$E$2995,4,FALSE())</f>
        <v>199</v>
      </c>
      <c r="K1394" s="1" t="str">
        <f aca="false">VLOOKUP(B1394,Заказы!$A$2:$E$2995,5,FALSE())</f>
        <v>Выполнено</v>
      </c>
      <c r="L1394" s="1" t="n">
        <f aca="false">D1394*F1394+J1394</f>
        <v>3409</v>
      </c>
      <c r="M1394" s="1" t="n">
        <f aca="false">IF(AND(E1394="Пицца Труслейка",I1394="г. Москва",K1394="Выполнено",G1394&gt;=DATE(2020,7,1),G1394&lt;DATE(2020,8,1)),L1394,0)</f>
        <v>0</v>
      </c>
    </row>
    <row r="1395" customFormat="false" ht="15" hidden="false" customHeight="true" outlineLevel="0" collapsed="false">
      <c r="A1395" s="1" t="n">
        <v>100510</v>
      </c>
      <c r="B1395" s="1" t="n">
        <v>50681</v>
      </c>
      <c r="C1395" s="1" t="n">
        <v>14</v>
      </c>
      <c r="D1395" s="1" t="n">
        <v>2</v>
      </c>
      <c r="E1395" s="1" t="str">
        <f aca="false">VLOOKUP(C1395,Меню!$A$2:$C$24,2,FALSE())</f>
        <v>Пицца Сырный цыпленок</v>
      </c>
      <c r="F1395" s="1" t="n">
        <f aca="false">VLOOKUP(C1395,Меню!$A$2:$C$24,3,FALSE())</f>
        <v>555</v>
      </c>
      <c r="G1395" s="5" t="n">
        <f aca="false">VLOOKUP(B1395,Заказы!$A$2:$E$2995,2,FALSE())</f>
        <v>44019</v>
      </c>
      <c r="H1395" s="1" t="n">
        <f aca="false">VLOOKUP(B1395,Заказы!$A$2:$E$2995,3,FALSE())</f>
        <v>1102</v>
      </c>
      <c r="I1395" s="1" t="str">
        <f aca="false">VLOOKUP(H1395,Клиенты!$A$2:$E$1995,5,FALSE())</f>
        <v>г. Котлас</v>
      </c>
      <c r="J1395" s="1" t="n">
        <f aca="false">VLOOKUP(B1395,Заказы!$A$2:$E$2995,4,FALSE())</f>
        <v>728</v>
      </c>
      <c r="K1395" s="1" t="str">
        <f aca="false">VLOOKUP(B1395,Заказы!$A$2:$E$2995,5,FALSE())</f>
        <v>Выполнено</v>
      </c>
      <c r="L1395" s="1" t="n">
        <f aca="false">D1395*F1395+J1395</f>
        <v>1838</v>
      </c>
      <c r="M1395" s="1" t="n">
        <f aca="false">IF(AND(E1395="Пицца Труслейка",I1395="г. Москва",K1395="Выполнено",G1395&gt;=DATE(2020,7,1),G1395&lt;DATE(2020,8,1)),L1395,0)</f>
        <v>0</v>
      </c>
    </row>
    <row r="1396" customFormat="false" ht="15" hidden="false" customHeight="true" outlineLevel="0" collapsed="false">
      <c r="A1396" s="1" t="n">
        <v>100860</v>
      </c>
      <c r="B1396" s="1" t="n">
        <v>50376</v>
      </c>
      <c r="C1396" s="1" t="n">
        <v>1</v>
      </c>
      <c r="D1396" s="1" t="n">
        <v>7</v>
      </c>
      <c r="E1396" s="1" t="str">
        <f aca="false">VLOOKUP(C1396,Меню!$A$2:$C$24,2,FALSE())</f>
        <v>Пицца Гавайская</v>
      </c>
      <c r="F1396" s="1" t="n">
        <f aca="false">VLOOKUP(C1396,Меню!$A$2:$C$24,3,FALSE())</f>
        <v>545</v>
      </c>
      <c r="G1396" s="5" t="n">
        <f aca="false">VLOOKUP(B1396,Заказы!$A$2:$E$2995,2,FALSE())</f>
        <v>44052</v>
      </c>
      <c r="H1396" s="1" t="n">
        <f aca="false">VLOOKUP(B1396,Заказы!$A$2:$E$2995,3,FALSE())</f>
        <v>1936</v>
      </c>
      <c r="I1396" s="1" t="str">
        <f aca="false">VLOOKUP(H1396,Клиенты!$A$2:$E$1995,5,FALSE())</f>
        <v>г. Фатеж</v>
      </c>
      <c r="J1396" s="1" t="n">
        <f aca="false">VLOOKUP(B1396,Заказы!$A$2:$E$2995,4,FALSE())</f>
        <v>404</v>
      </c>
      <c r="K1396" s="1" t="str">
        <f aca="false">VLOOKUP(B1396,Заказы!$A$2:$E$2995,5,FALSE())</f>
        <v>Выполнено</v>
      </c>
      <c r="L1396" s="1" t="n">
        <f aca="false">D1396*F1396+J1396</f>
        <v>4219</v>
      </c>
      <c r="M1396" s="1" t="n">
        <f aca="false">IF(AND(E1396="Пицца Труслейка",I1396="г. Москва",K1396="Выполнено",G1396&gt;=DATE(2020,7,1),G1396&lt;DATE(2020,8,1)),L1396,0)</f>
        <v>0</v>
      </c>
    </row>
    <row r="1397" customFormat="false" ht="15" hidden="false" customHeight="true" outlineLevel="0" collapsed="false">
      <c r="A1397" s="1" t="n">
        <v>100111</v>
      </c>
      <c r="B1397" s="1" t="n">
        <v>50093</v>
      </c>
      <c r="C1397" s="1" t="n">
        <v>14</v>
      </c>
      <c r="D1397" s="1" t="n">
        <v>5</v>
      </c>
      <c r="E1397" s="1" t="str">
        <f aca="false">VLOOKUP(C1397,Меню!$A$2:$C$24,2,FALSE())</f>
        <v>Пицца Сырный цыпленок</v>
      </c>
      <c r="F1397" s="1" t="n">
        <f aca="false">VLOOKUP(C1397,Меню!$A$2:$C$24,3,FALSE())</f>
        <v>555</v>
      </c>
      <c r="G1397" s="5" t="n">
        <f aca="false">VLOOKUP(B1397,Заказы!$A$2:$E$2995,2,FALSE())</f>
        <v>43984</v>
      </c>
      <c r="H1397" s="1" t="n">
        <f aca="false">VLOOKUP(B1397,Заказы!$A$2:$E$2995,3,FALSE())</f>
        <v>1977</v>
      </c>
      <c r="I1397" s="1" t="str">
        <f aca="false">VLOOKUP(H1397,Клиенты!$A$2:$E$1995,5,FALSE())</f>
        <v>г. Усть-Кут</v>
      </c>
      <c r="J1397" s="1" t="n">
        <f aca="false">VLOOKUP(B1397,Заказы!$A$2:$E$2995,4,FALSE())</f>
        <v>203</v>
      </c>
      <c r="K1397" s="1" t="str">
        <f aca="false">VLOOKUP(B1397,Заказы!$A$2:$E$2995,5,FALSE())</f>
        <v>Выполнено</v>
      </c>
      <c r="L1397" s="1" t="n">
        <f aca="false">D1397*F1397+J1397</f>
        <v>2978</v>
      </c>
      <c r="M1397" s="1" t="n">
        <f aca="false">IF(AND(E1397="Пицца Труслейка",I1397="г. Москва",K1397="Выполнено",G1397&gt;=DATE(2020,7,1),G1397&lt;DATE(2020,8,1)),L1397,0)</f>
        <v>0</v>
      </c>
    </row>
    <row r="1398" customFormat="false" ht="15" hidden="false" customHeight="true" outlineLevel="0" collapsed="false">
      <c r="A1398" s="1" t="n">
        <v>101261</v>
      </c>
      <c r="B1398" s="1" t="n">
        <v>51468</v>
      </c>
      <c r="C1398" s="1" t="n">
        <v>1</v>
      </c>
      <c r="D1398" s="1" t="n">
        <v>7</v>
      </c>
      <c r="E1398" s="1" t="str">
        <f aca="false">VLOOKUP(C1398,Меню!$A$2:$C$24,2,FALSE())</f>
        <v>Пицца Гавайская</v>
      </c>
      <c r="F1398" s="1" t="n">
        <f aca="false">VLOOKUP(C1398,Меню!$A$2:$C$24,3,FALSE())</f>
        <v>545</v>
      </c>
      <c r="G1398" s="5" t="n">
        <f aca="false">VLOOKUP(B1398,Заказы!$A$2:$E$2995,2,FALSE())</f>
        <v>44066</v>
      </c>
      <c r="H1398" s="1" t="n">
        <f aca="false">VLOOKUP(B1398,Заказы!$A$2:$E$2995,3,FALSE())</f>
        <v>1227</v>
      </c>
      <c r="I1398" s="1" t="str">
        <f aca="false">VLOOKUP(H1398,Клиенты!$A$2:$E$1995,5,FALSE())</f>
        <v>г. Кириши</v>
      </c>
      <c r="J1398" s="1" t="n">
        <f aca="false">VLOOKUP(B1398,Заказы!$A$2:$E$2995,4,FALSE())</f>
        <v>107</v>
      </c>
      <c r="K1398" s="1" t="str">
        <f aca="false">VLOOKUP(B1398,Заказы!$A$2:$E$2995,5,FALSE())</f>
        <v>Выполнено</v>
      </c>
      <c r="L1398" s="1" t="n">
        <f aca="false">D1398*F1398+J1398</f>
        <v>3922</v>
      </c>
      <c r="M1398" s="1" t="n">
        <f aca="false">IF(AND(E1398="Пицца Труслейка",I1398="г. Москва",K1398="Выполнено",G1398&gt;=DATE(2020,7,1),G1398&lt;DATE(2020,8,1)),L1398,0)</f>
        <v>0</v>
      </c>
    </row>
    <row r="1399" customFormat="false" ht="15" hidden="false" customHeight="true" outlineLevel="0" collapsed="false">
      <c r="A1399" s="1" t="n">
        <v>101817</v>
      </c>
      <c r="B1399" s="1" t="n">
        <v>51664</v>
      </c>
      <c r="C1399" s="1" t="n">
        <v>8</v>
      </c>
      <c r="D1399" s="1" t="n">
        <v>9</v>
      </c>
      <c r="E1399" s="1" t="str">
        <f aca="false">VLOOKUP(C1399,Меню!$A$2:$C$24,2,FALSE())</f>
        <v>Пицца Мясная</v>
      </c>
      <c r="F1399" s="1" t="n">
        <f aca="false">VLOOKUP(C1399,Меню!$A$2:$C$24,3,FALSE())</f>
        <v>615</v>
      </c>
      <c r="G1399" s="5" t="n">
        <f aca="false">VLOOKUP(B1399,Заказы!$A$2:$E$2995,2,FALSE())</f>
        <v>44004</v>
      </c>
      <c r="H1399" s="1" t="n">
        <f aca="false">VLOOKUP(B1399,Заказы!$A$2:$E$2995,3,FALSE())</f>
        <v>197</v>
      </c>
      <c r="I1399" s="1" t="str">
        <f aca="false">VLOOKUP(H1399,Клиенты!$A$2:$E$1995,5,FALSE())</f>
        <v>г. Зеленокумск</v>
      </c>
      <c r="J1399" s="1" t="n">
        <f aca="false">VLOOKUP(B1399,Заказы!$A$2:$E$2995,4,FALSE())</f>
        <v>847</v>
      </c>
      <c r="K1399" s="1" t="str">
        <f aca="false">VLOOKUP(B1399,Заказы!$A$2:$E$2995,5,FALSE())</f>
        <v>Выполнено</v>
      </c>
      <c r="L1399" s="1" t="n">
        <f aca="false">D1399*F1399+J1399</f>
        <v>6382</v>
      </c>
      <c r="M1399" s="1" t="n">
        <f aca="false">IF(AND(E1399="Пицца Труслейка",I1399="г. Москва",K1399="Выполнено",G1399&gt;=DATE(2020,7,1),G1399&lt;DATE(2020,8,1)),L1399,0)</f>
        <v>0</v>
      </c>
    </row>
    <row r="1400" customFormat="false" ht="15" hidden="false" customHeight="true" outlineLevel="0" collapsed="false">
      <c r="A1400" s="1" t="n">
        <v>101674</v>
      </c>
      <c r="B1400" s="1" t="n">
        <v>51835</v>
      </c>
      <c r="C1400" s="1" t="n">
        <v>22</v>
      </c>
      <c r="D1400" s="1" t="n">
        <v>3</v>
      </c>
      <c r="E1400" s="1" t="str">
        <f aca="false">VLOOKUP(C1400,Меню!$A$2:$C$24,2,FALSE())</f>
        <v>Пицца с поркеттой и фриарелли</v>
      </c>
      <c r="F1400" s="1" t="n">
        <f aca="false">VLOOKUP(C1400,Меню!$A$2:$C$24,3,FALSE())</f>
        <v>550</v>
      </c>
      <c r="G1400" s="5" t="n">
        <f aca="false">VLOOKUP(B1400,Заказы!$A$2:$E$2995,2,FALSE())</f>
        <v>44018</v>
      </c>
      <c r="H1400" s="1" t="n">
        <f aca="false">VLOOKUP(B1400,Заказы!$A$2:$E$2995,3,FALSE())</f>
        <v>1351</v>
      </c>
      <c r="I1400" s="1" t="str">
        <f aca="false">VLOOKUP(H1400,Клиенты!$A$2:$E$1995,5,FALSE())</f>
        <v>г. Абдулино</v>
      </c>
      <c r="J1400" s="1" t="n">
        <f aca="false">VLOOKUP(B1400,Заказы!$A$2:$E$2995,4,FALSE())</f>
        <v>172</v>
      </c>
      <c r="K1400" s="1" t="str">
        <f aca="false">VLOOKUP(B1400,Заказы!$A$2:$E$2995,5,FALSE())</f>
        <v>Выполнено</v>
      </c>
      <c r="L1400" s="1" t="n">
        <f aca="false">D1400*F1400+J1400</f>
        <v>1822</v>
      </c>
      <c r="M1400" s="1" t="n">
        <f aca="false">IF(AND(E1400="Пицца Труслейка",I1400="г. Москва",K1400="Выполнено",G1400&gt;=DATE(2020,7,1),G1400&lt;DATE(2020,8,1)),L1400,0)</f>
        <v>0</v>
      </c>
    </row>
    <row r="1401" customFormat="false" ht="15" hidden="false" customHeight="true" outlineLevel="0" collapsed="false">
      <c r="A1401" s="1" t="n">
        <v>101719</v>
      </c>
      <c r="B1401" s="1" t="n">
        <v>51919</v>
      </c>
      <c r="C1401" s="1" t="n">
        <v>4</v>
      </c>
      <c r="D1401" s="1" t="n">
        <v>8</v>
      </c>
      <c r="E1401" s="1" t="str">
        <f aca="false">VLOOKUP(C1401,Меню!$A$2:$C$24,2,FALSE())</f>
        <v>Пицца Труслейка</v>
      </c>
      <c r="F1401" s="1" t="n">
        <f aca="false">VLOOKUP(C1401,Меню!$A$2:$C$24,3,FALSE())</f>
        <v>610</v>
      </c>
      <c r="G1401" s="5" t="n">
        <f aca="false">VLOOKUP(B1401,Заказы!$A$2:$E$2995,2,FALSE())</f>
        <v>44043</v>
      </c>
      <c r="H1401" s="1" t="n">
        <f aca="false">VLOOKUP(B1401,Заказы!$A$2:$E$2995,3,FALSE())</f>
        <v>1672</v>
      </c>
      <c r="I1401" s="1" t="str">
        <f aca="false">VLOOKUP(H1401,Клиенты!$A$2:$E$1995,5,FALSE())</f>
        <v>г. Саратов</v>
      </c>
      <c r="J1401" s="1" t="n">
        <f aca="false">VLOOKUP(B1401,Заказы!$A$2:$E$2995,4,FALSE())</f>
        <v>0</v>
      </c>
      <c r="K1401" s="1" t="str">
        <f aca="false">VLOOKUP(B1401,Заказы!$A$2:$E$2995,5,FALSE())</f>
        <v>Не выполнено</v>
      </c>
      <c r="L1401" s="1" t="n">
        <f aca="false">D1401*F1401+J1401</f>
        <v>4880</v>
      </c>
      <c r="M1401" s="1" t="n">
        <f aca="false">IF(AND(E1401="Пицца Труслейка",I1401="г. Москва",K1401="Выполнено",G1401&gt;=DATE(2020,7,1),G1401&lt;DATE(2020,8,1)),L1401,0)</f>
        <v>0</v>
      </c>
    </row>
    <row r="1402" customFormat="false" ht="15" hidden="false" customHeight="true" outlineLevel="0" collapsed="false">
      <c r="A1402" s="1" t="n">
        <v>101401</v>
      </c>
      <c r="B1402" s="1" t="n">
        <v>51446</v>
      </c>
      <c r="C1402" s="1" t="n">
        <v>14</v>
      </c>
      <c r="D1402" s="1" t="n">
        <v>3</v>
      </c>
      <c r="E1402" s="1" t="str">
        <f aca="false">VLOOKUP(C1402,Меню!$A$2:$C$24,2,FALSE())</f>
        <v>Пицца Сырный цыпленок</v>
      </c>
      <c r="F1402" s="1" t="n">
        <f aca="false">VLOOKUP(C1402,Меню!$A$2:$C$24,3,FALSE())</f>
        <v>555</v>
      </c>
      <c r="G1402" s="5" t="n">
        <f aca="false">VLOOKUP(B1402,Заказы!$A$2:$E$2995,2,FALSE())</f>
        <v>44052</v>
      </c>
      <c r="H1402" s="1" t="n">
        <f aca="false">VLOOKUP(B1402,Заказы!$A$2:$E$2995,3,FALSE())</f>
        <v>1117</v>
      </c>
      <c r="I1402" s="1" t="str">
        <f aca="false">VLOOKUP(H1402,Клиенты!$A$2:$E$1995,5,FALSE())</f>
        <v>г. Пучеж</v>
      </c>
      <c r="J1402" s="1" t="n">
        <f aca="false">VLOOKUP(B1402,Заказы!$A$2:$E$2995,4,FALSE())</f>
        <v>677</v>
      </c>
      <c r="K1402" s="1" t="str">
        <f aca="false">VLOOKUP(B1402,Заказы!$A$2:$E$2995,5,FALSE())</f>
        <v>Выполнено</v>
      </c>
      <c r="L1402" s="1" t="n">
        <f aca="false">D1402*F1402+J1402</f>
        <v>2342</v>
      </c>
      <c r="M1402" s="1" t="n">
        <f aca="false">IF(AND(E1402="Пицца Труслейка",I1402="г. Москва",K1402="Выполнено",G1402&gt;=DATE(2020,7,1),G1402&lt;DATE(2020,8,1)),L1402,0)</f>
        <v>0</v>
      </c>
    </row>
    <row r="1403" customFormat="false" ht="15" hidden="false" customHeight="true" outlineLevel="0" collapsed="false">
      <c r="A1403" s="1" t="n">
        <v>100942</v>
      </c>
      <c r="B1403" s="1" t="n">
        <v>51955</v>
      </c>
      <c r="C1403" s="1" t="n">
        <v>5</v>
      </c>
      <c r="D1403" s="1" t="n">
        <v>7</v>
      </c>
      <c r="E1403" s="1" t="str">
        <f aca="false">VLOOKUP(C1403,Меню!$A$2:$C$24,2,FALSE())</f>
        <v>Пицца Жюльен</v>
      </c>
      <c r="F1403" s="1" t="n">
        <f aca="false">VLOOKUP(C1403,Меню!$A$2:$C$24,3,FALSE())</f>
        <v>580</v>
      </c>
      <c r="G1403" s="5" t="n">
        <f aca="false">VLOOKUP(B1403,Заказы!$A$2:$E$2995,2,FALSE())</f>
        <v>44030</v>
      </c>
      <c r="H1403" s="1" t="n">
        <f aca="false">VLOOKUP(B1403,Заказы!$A$2:$E$2995,3,FALSE())</f>
        <v>1759</v>
      </c>
      <c r="I1403" s="1" t="str">
        <f aca="false">VLOOKUP(H1403,Клиенты!$A$2:$E$1995,5,FALSE())</f>
        <v>г. Качканар</v>
      </c>
      <c r="J1403" s="1" t="n">
        <f aca="false">VLOOKUP(B1403,Заказы!$A$2:$E$2995,4,FALSE())</f>
        <v>0</v>
      </c>
      <c r="K1403" s="1" t="str">
        <f aca="false">VLOOKUP(B1403,Заказы!$A$2:$E$2995,5,FALSE())</f>
        <v>Не выполнено</v>
      </c>
      <c r="L1403" s="1" t="n">
        <f aca="false">D1403*F1403+J1403</f>
        <v>4060</v>
      </c>
      <c r="M1403" s="1" t="n">
        <f aca="false">IF(AND(E1403="Пицца Труслейка",I1403="г. Москва",K1403="Выполнено",G1403&gt;=DATE(2020,7,1),G1403&lt;DATE(2020,8,1)),L1403,0)</f>
        <v>0</v>
      </c>
    </row>
    <row r="1404" customFormat="false" ht="15" hidden="false" customHeight="true" outlineLevel="0" collapsed="false">
      <c r="A1404" s="1" t="n">
        <v>100768</v>
      </c>
      <c r="B1404" s="1" t="n">
        <v>50388</v>
      </c>
      <c r="C1404" s="1" t="n">
        <v>10</v>
      </c>
      <c r="D1404" s="1" t="n">
        <v>9</v>
      </c>
      <c r="E1404" s="1" t="str">
        <f aca="false">VLOOKUP(C1404,Меню!$A$2:$C$24,2,FALSE())</f>
        <v>Пицца Пепперони фреш</v>
      </c>
      <c r="F1404" s="1" t="n">
        <f aca="false">VLOOKUP(C1404,Меню!$A$2:$C$24,3,FALSE())</f>
        <v>565</v>
      </c>
      <c r="G1404" s="5" t="n">
        <f aca="false">VLOOKUP(B1404,Заказы!$A$2:$E$2995,2,FALSE())</f>
        <v>44047</v>
      </c>
      <c r="H1404" s="1" t="n">
        <f aca="false">VLOOKUP(B1404,Заказы!$A$2:$E$2995,3,FALSE())</f>
        <v>608</v>
      </c>
      <c r="I1404" s="1" t="str">
        <f aca="false">VLOOKUP(H1404,Клиенты!$A$2:$E$1995,5,FALSE())</f>
        <v>г. Усть-Илимск</v>
      </c>
      <c r="J1404" s="1" t="n">
        <f aca="false">VLOOKUP(B1404,Заказы!$A$2:$E$2995,4,FALSE())</f>
        <v>0</v>
      </c>
      <c r="K1404" s="1" t="str">
        <f aca="false">VLOOKUP(B1404,Заказы!$A$2:$E$2995,5,FALSE())</f>
        <v>Не выполнено</v>
      </c>
      <c r="L1404" s="1" t="n">
        <f aca="false">D1404*F1404+J1404</f>
        <v>5085</v>
      </c>
      <c r="M1404" s="1" t="n">
        <f aca="false">IF(AND(E1404="Пицца Труслейка",I1404="г. Москва",K1404="Выполнено",G1404&gt;=DATE(2020,7,1),G1404&lt;DATE(2020,8,1)),L1404,0)</f>
        <v>0</v>
      </c>
    </row>
    <row r="1405" customFormat="false" ht="15" hidden="false" customHeight="true" outlineLevel="0" collapsed="false">
      <c r="A1405" s="1" t="n">
        <v>101935</v>
      </c>
      <c r="B1405" s="1" t="n">
        <v>50441</v>
      </c>
      <c r="C1405" s="1" t="n">
        <v>14</v>
      </c>
      <c r="D1405" s="1" t="n">
        <v>7</v>
      </c>
      <c r="E1405" s="1" t="str">
        <f aca="false">VLOOKUP(C1405,Меню!$A$2:$C$24,2,FALSE())</f>
        <v>Пицца Сырный цыпленок</v>
      </c>
      <c r="F1405" s="1" t="n">
        <f aca="false">VLOOKUP(C1405,Меню!$A$2:$C$24,3,FALSE())</f>
        <v>555</v>
      </c>
      <c r="G1405" s="5" t="n">
        <f aca="false">VLOOKUP(B1405,Заказы!$A$2:$E$2995,2,FALSE())</f>
        <v>44060</v>
      </c>
      <c r="H1405" s="1" t="n">
        <f aca="false">VLOOKUP(B1405,Заказы!$A$2:$E$2995,3,FALSE())</f>
        <v>618</v>
      </c>
      <c r="I1405" s="1" t="str">
        <f aca="false">VLOOKUP(H1405,Клиенты!$A$2:$E$1995,5,FALSE())</f>
        <v>г. Котовск</v>
      </c>
      <c r="J1405" s="1" t="n">
        <f aca="false">VLOOKUP(B1405,Заказы!$A$2:$E$2995,4,FALSE())</f>
        <v>0</v>
      </c>
      <c r="K1405" s="1" t="str">
        <f aca="false">VLOOKUP(B1405,Заказы!$A$2:$E$2995,5,FALSE())</f>
        <v>Не выполнено</v>
      </c>
      <c r="L1405" s="1" t="n">
        <f aca="false">D1405*F1405+J1405</f>
        <v>3885</v>
      </c>
      <c r="M1405" s="1" t="n">
        <f aca="false">IF(AND(E1405="Пицца Труслейка",I1405="г. Москва",K1405="Выполнено",G1405&gt;=DATE(2020,7,1),G1405&lt;DATE(2020,8,1)),L1405,0)</f>
        <v>0</v>
      </c>
    </row>
    <row r="1406" customFormat="false" ht="15" hidden="false" customHeight="true" outlineLevel="0" collapsed="false">
      <c r="A1406" s="1" t="n">
        <v>101857</v>
      </c>
      <c r="B1406" s="1" t="n">
        <v>51694</v>
      </c>
      <c r="C1406" s="1" t="n">
        <v>8</v>
      </c>
      <c r="D1406" s="1" t="n">
        <v>3</v>
      </c>
      <c r="E1406" s="1" t="str">
        <f aca="false">VLOOKUP(C1406,Меню!$A$2:$C$24,2,FALSE())</f>
        <v>Пицца Мясная</v>
      </c>
      <c r="F1406" s="1" t="n">
        <f aca="false">VLOOKUP(C1406,Меню!$A$2:$C$24,3,FALSE())</f>
        <v>615</v>
      </c>
      <c r="G1406" s="5" t="n">
        <f aca="false">VLOOKUP(B1406,Заказы!$A$2:$E$2995,2,FALSE())</f>
        <v>44042</v>
      </c>
      <c r="H1406" s="1" t="n">
        <f aca="false">VLOOKUP(B1406,Заказы!$A$2:$E$2995,3,FALSE())</f>
        <v>544</v>
      </c>
      <c r="I1406" s="1" t="str">
        <f aca="false">VLOOKUP(H1406,Клиенты!$A$2:$E$1995,5,FALSE())</f>
        <v>г. Новотроицк</v>
      </c>
      <c r="J1406" s="1" t="n">
        <f aca="false">VLOOKUP(B1406,Заказы!$A$2:$E$2995,4,FALSE())</f>
        <v>0</v>
      </c>
      <c r="K1406" s="1" t="str">
        <f aca="false">VLOOKUP(B1406,Заказы!$A$2:$E$2995,5,FALSE())</f>
        <v>Не выполнено</v>
      </c>
      <c r="L1406" s="1" t="n">
        <f aca="false">D1406*F1406+J1406</f>
        <v>1845</v>
      </c>
      <c r="M1406" s="1" t="n">
        <f aca="false">IF(AND(E1406="Пицца Труслейка",I1406="г. Москва",K1406="Выполнено",G1406&gt;=DATE(2020,7,1),G1406&lt;DATE(2020,8,1)),L1406,0)</f>
        <v>0</v>
      </c>
    </row>
    <row r="1407" customFormat="false" ht="15" hidden="false" customHeight="true" outlineLevel="0" collapsed="false">
      <c r="A1407" s="1" t="n">
        <v>100037</v>
      </c>
      <c r="B1407" s="1" t="n">
        <v>51164</v>
      </c>
      <c r="C1407" s="1" t="n">
        <v>2</v>
      </c>
      <c r="D1407" s="1" t="n">
        <v>4</v>
      </c>
      <c r="E1407" s="1" t="str">
        <f aca="false">VLOOKUP(C1407,Меню!$A$2:$C$24,2,FALSE())</f>
        <v>Пицца Двойная пепперони</v>
      </c>
      <c r="F1407" s="1" t="n">
        <f aca="false">VLOOKUP(C1407,Меню!$A$2:$C$24,3,FALSE())</f>
        <v>575</v>
      </c>
      <c r="G1407" s="5" t="n">
        <f aca="false">VLOOKUP(B1407,Заказы!$A$2:$E$2995,2,FALSE())</f>
        <v>44055</v>
      </c>
      <c r="H1407" s="1" t="n">
        <f aca="false">VLOOKUP(B1407,Заказы!$A$2:$E$2995,3,FALSE())</f>
        <v>1176</v>
      </c>
      <c r="I1407" s="1" t="str">
        <f aca="false">VLOOKUP(H1407,Клиенты!$A$2:$E$1995,5,FALSE())</f>
        <v>г. Пятигорск</v>
      </c>
      <c r="J1407" s="1" t="n">
        <f aca="false">VLOOKUP(B1407,Заказы!$A$2:$E$2995,4,FALSE())</f>
        <v>510</v>
      </c>
      <c r="K1407" s="1" t="str">
        <f aca="false">VLOOKUP(B1407,Заказы!$A$2:$E$2995,5,FALSE())</f>
        <v>Выполнено</v>
      </c>
      <c r="L1407" s="1" t="n">
        <f aca="false">D1407*F1407+J1407</f>
        <v>2810</v>
      </c>
      <c r="M1407" s="1" t="n">
        <f aca="false">IF(AND(E1407="Пицца Труслейка",I1407="г. Москва",K1407="Выполнено",G1407&gt;=DATE(2020,7,1),G1407&lt;DATE(2020,8,1)),L1407,0)</f>
        <v>0</v>
      </c>
    </row>
    <row r="1408" customFormat="false" ht="15" hidden="false" customHeight="true" outlineLevel="0" collapsed="false">
      <c r="A1408" s="1" t="n">
        <v>101092</v>
      </c>
      <c r="B1408" s="1" t="n">
        <v>51210</v>
      </c>
      <c r="C1408" s="1" t="n">
        <v>21</v>
      </c>
      <c r="D1408" s="1" t="n">
        <v>10</v>
      </c>
      <c r="E1408" s="1" t="str">
        <f aca="false">VLOOKUP(C1408,Меню!$A$2:$C$24,2,FALSE())</f>
        <v>Пицца с креветками и цукини</v>
      </c>
      <c r="F1408" s="1" t="n">
        <f aca="false">VLOOKUP(C1408,Меню!$A$2:$C$24,3,FALSE())</f>
        <v>600</v>
      </c>
      <c r="G1408" s="5" t="n">
        <f aca="false">VLOOKUP(B1408,Заказы!$A$2:$E$2995,2,FALSE())</f>
        <v>43998</v>
      </c>
      <c r="H1408" s="1" t="n">
        <f aca="false">VLOOKUP(B1408,Заказы!$A$2:$E$2995,3,FALSE())</f>
        <v>71</v>
      </c>
      <c r="I1408" s="1" t="str">
        <f aca="false">VLOOKUP(H1408,Клиенты!$A$2:$E$1995,5,FALSE())</f>
        <v>г. Сенгилей</v>
      </c>
      <c r="J1408" s="1" t="n">
        <f aca="false">VLOOKUP(B1408,Заказы!$A$2:$E$2995,4,FALSE())</f>
        <v>0</v>
      </c>
      <c r="K1408" s="1" t="str">
        <f aca="false">VLOOKUP(B1408,Заказы!$A$2:$E$2995,5,FALSE())</f>
        <v>Не выполнено</v>
      </c>
      <c r="L1408" s="1" t="n">
        <f aca="false">D1408*F1408+J1408</f>
        <v>6000</v>
      </c>
      <c r="M1408" s="1" t="n">
        <f aca="false">IF(AND(E1408="Пицца Труслейка",I1408="г. Москва",K1408="Выполнено",G1408&gt;=DATE(2020,7,1),G1408&lt;DATE(2020,8,1)),L1408,0)</f>
        <v>0</v>
      </c>
    </row>
    <row r="1409" customFormat="false" ht="15" hidden="false" customHeight="true" outlineLevel="0" collapsed="false">
      <c r="A1409" s="1" t="n">
        <v>101989</v>
      </c>
      <c r="B1409" s="1" t="n">
        <v>51755</v>
      </c>
      <c r="C1409" s="1" t="n">
        <v>5</v>
      </c>
      <c r="D1409" s="1" t="n">
        <v>10</v>
      </c>
      <c r="E1409" s="1" t="str">
        <f aca="false">VLOOKUP(C1409,Меню!$A$2:$C$24,2,FALSE())</f>
        <v>Пицца Жюльен</v>
      </c>
      <c r="F1409" s="1" t="n">
        <f aca="false">VLOOKUP(C1409,Меню!$A$2:$C$24,3,FALSE())</f>
        <v>580</v>
      </c>
      <c r="G1409" s="5" t="n">
        <f aca="false">VLOOKUP(B1409,Заказы!$A$2:$E$2995,2,FALSE())</f>
        <v>44068</v>
      </c>
      <c r="H1409" s="1" t="n">
        <f aca="false">VLOOKUP(B1409,Заказы!$A$2:$E$2995,3,FALSE())</f>
        <v>1638</v>
      </c>
      <c r="I1409" s="1" t="str">
        <f aca="false">VLOOKUP(H1409,Клиенты!$A$2:$E$1995,5,FALSE())</f>
        <v>г. Заинск</v>
      </c>
      <c r="J1409" s="1" t="n">
        <f aca="false">VLOOKUP(B1409,Заказы!$A$2:$E$2995,4,FALSE())</f>
        <v>0</v>
      </c>
      <c r="K1409" s="1" t="str">
        <f aca="false">VLOOKUP(B1409,Заказы!$A$2:$E$2995,5,FALSE())</f>
        <v>Не выполнено</v>
      </c>
      <c r="L1409" s="1" t="n">
        <f aca="false">D1409*F1409+J1409</f>
        <v>5800</v>
      </c>
      <c r="M1409" s="1" t="n">
        <f aca="false">IF(AND(E1409="Пицца Труслейка",I1409="г. Москва",K1409="Выполнено",G1409&gt;=DATE(2020,7,1),G1409&lt;DATE(2020,8,1)),L1409,0)</f>
        <v>0</v>
      </c>
    </row>
    <row r="1410" customFormat="false" ht="15" hidden="false" customHeight="true" outlineLevel="0" collapsed="false">
      <c r="A1410" s="1" t="n">
        <v>101533</v>
      </c>
      <c r="B1410" s="1" t="n">
        <v>50246</v>
      </c>
      <c r="C1410" s="1" t="n">
        <v>18</v>
      </c>
      <c r="D1410" s="1" t="n">
        <v>6</v>
      </c>
      <c r="E1410" s="1" t="str">
        <f aca="false">VLOOKUP(C1410,Меню!$A$2:$C$24,2,FALSE())</f>
        <v>Пицца Царская</v>
      </c>
      <c r="F1410" s="1" t="n">
        <f aca="false">VLOOKUP(C1410,Меню!$A$2:$C$24,3,FALSE())</f>
        <v>620</v>
      </c>
      <c r="G1410" s="5" t="n">
        <f aca="false">VLOOKUP(B1410,Заказы!$A$2:$E$2995,2,FALSE())</f>
        <v>43985</v>
      </c>
      <c r="H1410" s="1" t="n">
        <f aca="false">VLOOKUP(B1410,Заказы!$A$2:$E$2995,3,FALSE())</f>
        <v>515</v>
      </c>
      <c r="I1410" s="1" t="str">
        <f aca="false">VLOOKUP(H1410,Клиенты!$A$2:$E$1995,5,FALSE())</f>
        <v>г. Сокол</v>
      </c>
      <c r="J1410" s="1" t="n">
        <f aca="false">VLOOKUP(B1410,Заказы!$A$2:$E$2995,4,FALSE())</f>
        <v>0</v>
      </c>
      <c r="K1410" s="1" t="str">
        <f aca="false">VLOOKUP(B1410,Заказы!$A$2:$E$2995,5,FALSE())</f>
        <v>Не выполнено</v>
      </c>
      <c r="L1410" s="1" t="n">
        <f aca="false">D1410*F1410+J1410</f>
        <v>3720</v>
      </c>
      <c r="M1410" s="1" t="n">
        <f aca="false">IF(AND(E1410="Пицца Труслейка",I1410="г. Москва",K1410="Выполнено",G1410&gt;=DATE(2020,7,1),G1410&lt;DATE(2020,8,1)),L1410,0)</f>
        <v>0</v>
      </c>
    </row>
    <row r="1411" customFormat="false" ht="15" hidden="false" customHeight="true" outlineLevel="0" collapsed="false">
      <c r="A1411" s="1" t="n">
        <v>100424</v>
      </c>
      <c r="B1411" s="1" t="n">
        <v>51761</v>
      </c>
      <c r="C1411" s="1" t="n">
        <v>4</v>
      </c>
      <c r="D1411" s="1" t="n">
        <v>7</v>
      </c>
      <c r="E1411" s="1" t="str">
        <f aca="false">VLOOKUP(C1411,Меню!$A$2:$C$24,2,FALSE())</f>
        <v>Пицца Труслейка</v>
      </c>
      <c r="F1411" s="1" t="n">
        <f aca="false">VLOOKUP(C1411,Меню!$A$2:$C$24,3,FALSE())</f>
        <v>610</v>
      </c>
      <c r="G1411" s="5" t="n">
        <f aca="false">VLOOKUP(B1411,Заказы!$A$2:$E$2995,2,FALSE())</f>
        <v>43998</v>
      </c>
      <c r="H1411" s="1" t="n">
        <f aca="false">VLOOKUP(B1411,Заказы!$A$2:$E$2995,3,FALSE())</f>
        <v>1829</v>
      </c>
      <c r="I1411" s="1" t="str">
        <f aca="false">VLOOKUP(H1411,Клиенты!$A$2:$E$1995,5,FALSE())</f>
        <v>г. Ачинск</v>
      </c>
      <c r="J1411" s="1" t="n">
        <f aca="false">VLOOKUP(B1411,Заказы!$A$2:$E$2995,4,FALSE())</f>
        <v>0</v>
      </c>
      <c r="K1411" s="1" t="str">
        <f aca="false">VLOOKUP(B1411,Заказы!$A$2:$E$2995,5,FALSE())</f>
        <v>Не выполнено</v>
      </c>
      <c r="L1411" s="1" t="n">
        <f aca="false">D1411*F1411+J1411</f>
        <v>4270</v>
      </c>
      <c r="M1411" s="1" t="n">
        <f aca="false">IF(AND(E1411="Пицца Труслейка",I1411="г. Москва",K1411="Выполнено",G1411&gt;=DATE(2020,7,1),G1411&lt;DATE(2020,8,1)),L1411,0)</f>
        <v>0</v>
      </c>
    </row>
    <row r="1412" customFormat="false" ht="15" hidden="false" customHeight="true" outlineLevel="0" collapsed="false">
      <c r="A1412" s="1" t="n">
        <v>101612</v>
      </c>
      <c r="B1412" s="1" t="n">
        <v>51910</v>
      </c>
      <c r="C1412" s="1" t="n">
        <v>8</v>
      </c>
      <c r="D1412" s="1" t="n">
        <v>4</v>
      </c>
      <c r="E1412" s="1" t="str">
        <f aca="false">VLOOKUP(C1412,Меню!$A$2:$C$24,2,FALSE())</f>
        <v>Пицца Мясная</v>
      </c>
      <c r="F1412" s="1" t="n">
        <f aca="false">VLOOKUP(C1412,Меню!$A$2:$C$24,3,FALSE())</f>
        <v>615</v>
      </c>
      <c r="G1412" s="5" t="n">
        <f aca="false">VLOOKUP(B1412,Заказы!$A$2:$E$2995,2,FALSE())</f>
        <v>44016</v>
      </c>
      <c r="H1412" s="1" t="n">
        <f aca="false">VLOOKUP(B1412,Заказы!$A$2:$E$2995,3,FALSE())</f>
        <v>1609</v>
      </c>
      <c r="I1412" s="1" t="str">
        <f aca="false">VLOOKUP(H1412,Клиенты!$A$2:$E$1995,5,FALSE())</f>
        <v>г. Облучье</v>
      </c>
      <c r="J1412" s="1" t="n">
        <f aca="false">VLOOKUP(B1412,Заказы!$A$2:$E$2995,4,FALSE())</f>
        <v>0</v>
      </c>
      <c r="K1412" s="1" t="str">
        <f aca="false">VLOOKUP(B1412,Заказы!$A$2:$E$2995,5,FALSE())</f>
        <v>Не выполнено</v>
      </c>
      <c r="L1412" s="1" t="n">
        <f aca="false">D1412*F1412+J1412</f>
        <v>2460</v>
      </c>
      <c r="M1412" s="1" t="n">
        <f aca="false">IF(AND(E1412="Пицца Труслейка",I1412="г. Москва",K1412="Выполнено",G1412&gt;=DATE(2020,7,1),G1412&lt;DATE(2020,8,1)),L1412,0)</f>
        <v>0</v>
      </c>
    </row>
    <row r="1413" customFormat="false" ht="15" hidden="false" customHeight="true" outlineLevel="0" collapsed="false">
      <c r="A1413" s="1" t="n">
        <v>101710</v>
      </c>
      <c r="B1413" s="1" t="n">
        <v>50673</v>
      </c>
      <c r="C1413" s="1" t="n">
        <v>22</v>
      </c>
      <c r="D1413" s="1" t="n">
        <v>6</v>
      </c>
      <c r="E1413" s="1" t="str">
        <f aca="false">VLOOKUP(C1413,Меню!$A$2:$C$24,2,FALSE())</f>
        <v>Пицца с поркеттой и фриарелли</v>
      </c>
      <c r="F1413" s="1" t="n">
        <f aca="false">VLOOKUP(C1413,Меню!$A$2:$C$24,3,FALSE())</f>
        <v>550</v>
      </c>
      <c r="G1413" s="5" t="n">
        <f aca="false">VLOOKUP(B1413,Заказы!$A$2:$E$2995,2,FALSE())</f>
        <v>44054</v>
      </c>
      <c r="H1413" s="1" t="n">
        <f aca="false">VLOOKUP(B1413,Заказы!$A$2:$E$2995,3,FALSE())</f>
        <v>777</v>
      </c>
      <c r="I1413" s="1" t="str">
        <f aca="false">VLOOKUP(H1413,Клиенты!$A$2:$E$1995,5,FALSE())</f>
        <v>г. Первомайск</v>
      </c>
      <c r="J1413" s="1" t="n">
        <f aca="false">VLOOKUP(B1413,Заказы!$A$2:$E$2995,4,FALSE())</f>
        <v>0</v>
      </c>
      <c r="K1413" s="1" t="str">
        <f aca="false">VLOOKUP(B1413,Заказы!$A$2:$E$2995,5,FALSE())</f>
        <v>Не выполнено</v>
      </c>
      <c r="L1413" s="1" t="n">
        <f aca="false">D1413*F1413+J1413</f>
        <v>3300</v>
      </c>
      <c r="M1413" s="1" t="n">
        <f aca="false">IF(AND(E1413="Пицца Труслейка",I1413="г. Москва",K1413="Выполнено",G1413&gt;=DATE(2020,7,1),G1413&lt;DATE(2020,8,1)),L1413,0)</f>
        <v>0</v>
      </c>
    </row>
    <row r="1414" customFormat="false" ht="15" hidden="false" customHeight="true" outlineLevel="0" collapsed="false">
      <c r="A1414" s="1" t="n">
        <v>100293</v>
      </c>
      <c r="B1414" s="1" t="n">
        <v>50066</v>
      </c>
      <c r="C1414" s="1" t="n">
        <v>15</v>
      </c>
      <c r="D1414" s="1" t="n">
        <v>1</v>
      </c>
      <c r="E1414" s="1" t="str">
        <f aca="false">VLOOKUP(C1414,Меню!$A$2:$C$24,2,FALSE())</f>
        <v>Пицца Тропиканка</v>
      </c>
      <c r="F1414" s="1" t="n">
        <f aca="false">VLOOKUP(C1414,Меню!$A$2:$C$24,3,FALSE())</f>
        <v>605</v>
      </c>
      <c r="G1414" s="5" t="n">
        <f aca="false">VLOOKUP(B1414,Заказы!$A$2:$E$2995,2,FALSE())</f>
        <v>44014</v>
      </c>
      <c r="H1414" s="1" t="n">
        <f aca="false">VLOOKUP(B1414,Заказы!$A$2:$E$2995,3,FALSE())</f>
        <v>37</v>
      </c>
      <c r="I1414" s="1" t="str">
        <f aca="false">VLOOKUP(H1414,Клиенты!$A$2:$E$1995,5,FALSE())</f>
        <v>г. Волжск</v>
      </c>
      <c r="J1414" s="1" t="n">
        <f aca="false">VLOOKUP(B1414,Заказы!$A$2:$E$2995,4,FALSE())</f>
        <v>629</v>
      </c>
      <c r="K1414" s="1" t="str">
        <f aca="false">VLOOKUP(B1414,Заказы!$A$2:$E$2995,5,FALSE())</f>
        <v>Выполнено</v>
      </c>
      <c r="L1414" s="1" t="n">
        <f aca="false">D1414*F1414+J1414</f>
        <v>1234</v>
      </c>
      <c r="M1414" s="1" t="n">
        <f aca="false">IF(AND(E1414="Пицца Труслейка",I1414="г. Москва",K1414="Выполнено",G1414&gt;=DATE(2020,7,1),G1414&lt;DATE(2020,8,1)),L1414,0)</f>
        <v>0</v>
      </c>
    </row>
    <row r="1415" customFormat="false" ht="15" hidden="false" customHeight="true" outlineLevel="0" collapsed="false">
      <c r="A1415" s="1" t="n">
        <v>100491</v>
      </c>
      <c r="B1415" s="1" t="n">
        <v>51866</v>
      </c>
      <c r="C1415" s="1" t="n">
        <v>16</v>
      </c>
      <c r="D1415" s="1" t="n">
        <v>1</v>
      </c>
      <c r="E1415" s="1" t="str">
        <f aca="false">VLOOKUP(C1415,Меню!$A$2:$C$24,2,FALSE())</f>
        <v>Пицца Флорида</v>
      </c>
      <c r="F1415" s="1" t="n">
        <f aca="false">VLOOKUP(C1415,Меню!$A$2:$C$24,3,FALSE())</f>
        <v>535</v>
      </c>
      <c r="G1415" s="5" t="n">
        <f aca="false">VLOOKUP(B1415,Заказы!$A$2:$E$2995,2,FALSE())</f>
        <v>44029</v>
      </c>
      <c r="H1415" s="1" t="n">
        <f aca="false">VLOOKUP(B1415,Заказы!$A$2:$E$2995,3,FALSE())</f>
        <v>1307</v>
      </c>
      <c r="I1415" s="1" t="str">
        <f aca="false">VLOOKUP(H1415,Клиенты!$A$2:$E$1995,5,FALSE())</f>
        <v>г. Клинцы</v>
      </c>
      <c r="J1415" s="1" t="n">
        <f aca="false">VLOOKUP(B1415,Заказы!$A$2:$E$2995,4,FALSE())</f>
        <v>0</v>
      </c>
      <c r="K1415" s="1" t="str">
        <f aca="false">VLOOKUP(B1415,Заказы!$A$2:$E$2995,5,FALSE())</f>
        <v>Не выполнено</v>
      </c>
      <c r="L1415" s="1" t="n">
        <f aca="false">D1415*F1415+J1415</f>
        <v>535</v>
      </c>
      <c r="M1415" s="1" t="n">
        <f aca="false">IF(AND(E1415="Пицца Труслейка",I1415="г. Москва",K1415="Выполнено",G1415&gt;=DATE(2020,7,1),G1415&lt;DATE(2020,8,1)),L1415,0)</f>
        <v>0</v>
      </c>
    </row>
    <row r="1416" customFormat="false" ht="15" hidden="false" customHeight="true" outlineLevel="0" collapsed="false">
      <c r="A1416" s="1" t="n">
        <v>101321</v>
      </c>
      <c r="B1416" s="1" t="n">
        <v>50880</v>
      </c>
      <c r="C1416" s="1" t="n">
        <v>6</v>
      </c>
      <c r="D1416" s="1" t="n">
        <v>10</v>
      </c>
      <c r="E1416" s="1" t="str">
        <f aca="false">VLOOKUP(C1416,Меню!$A$2:$C$24,2,FALSE())</f>
        <v>Пицца Капричиоза</v>
      </c>
      <c r="F1416" s="1" t="n">
        <f aca="false">VLOOKUP(C1416,Меню!$A$2:$C$24,3,FALSE())</f>
        <v>570</v>
      </c>
      <c r="G1416" s="5" t="n">
        <f aca="false">VLOOKUP(B1416,Заказы!$A$2:$E$2995,2,FALSE())</f>
        <v>44072</v>
      </c>
      <c r="H1416" s="1" t="n">
        <f aca="false">VLOOKUP(B1416,Заказы!$A$2:$E$2995,3,FALSE())</f>
        <v>534</v>
      </c>
      <c r="I1416" s="1" t="str">
        <f aca="false">VLOOKUP(H1416,Клиенты!$A$2:$E$1995,5,FALSE())</f>
        <v>г. Белоусово</v>
      </c>
      <c r="J1416" s="1" t="n">
        <f aca="false">VLOOKUP(B1416,Заказы!$A$2:$E$2995,4,FALSE())</f>
        <v>0</v>
      </c>
      <c r="K1416" s="1" t="str">
        <f aca="false">VLOOKUP(B1416,Заказы!$A$2:$E$2995,5,FALSE())</f>
        <v>Не выполнено</v>
      </c>
      <c r="L1416" s="1" t="n">
        <f aca="false">D1416*F1416+J1416</f>
        <v>5700</v>
      </c>
      <c r="M1416" s="1" t="n">
        <f aca="false">IF(AND(E1416="Пицца Труслейка",I1416="г. Москва",K1416="Выполнено",G1416&gt;=DATE(2020,7,1),G1416&lt;DATE(2020,8,1)),L1416,0)</f>
        <v>0</v>
      </c>
    </row>
    <row r="1417" customFormat="false" ht="15" hidden="false" customHeight="true" outlineLevel="0" collapsed="false">
      <c r="A1417" s="1" t="n">
        <v>100955</v>
      </c>
      <c r="B1417" s="1" t="n">
        <v>51306</v>
      </c>
      <c r="C1417" s="1" t="n">
        <v>6</v>
      </c>
      <c r="D1417" s="1" t="n">
        <v>4</v>
      </c>
      <c r="E1417" s="1" t="str">
        <f aca="false">VLOOKUP(C1417,Меню!$A$2:$C$24,2,FALSE())</f>
        <v>Пицца Капричиоза</v>
      </c>
      <c r="F1417" s="1" t="n">
        <f aca="false">VLOOKUP(C1417,Меню!$A$2:$C$24,3,FALSE())</f>
        <v>570</v>
      </c>
      <c r="G1417" s="5" t="n">
        <f aca="false">VLOOKUP(B1417,Заказы!$A$2:$E$2995,2,FALSE())</f>
        <v>43990</v>
      </c>
      <c r="H1417" s="1" t="n">
        <f aca="false">VLOOKUP(B1417,Заказы!$A$2:$E$2995,3,FALSE())</f>
        <v>518</v>
      </c>
      <c r="I1417" s="1" t="str">
        <f aca="false">VLOOKUP(H1417,Клиенты!$A$2:$E$1995,5,FALSE())</f>
        <v>г. Лабинск</v>
      </c>
      <c r="J1417" s="1" t="n">
        <f aca="false">VLOOKUP(B1417,Заказы!$A$2:$E$2995,4,FALSE())</f>
        <v>561</v>
      </c>
      <c r="K1417" s="1" t="str">
        <f aca="false">VLOOKUP(B1417,Заказы!$A$2:$E$2995,5,FALSE())</f>
        <v>Выполнено</v>
      </c>
      <c r="L1417" s="1" t="n">
        <f aca="false">D1417*F1417+J1417</f>
        <v>2841</v>
      </c>
      <c r="M1417" s="1" t="n">
        <f aca="false">IF(AND(E1417="Пицца Труслейка",I1417="г. Москва",K1417="Выполнено",G1417&gt;=DATE(2020,7,1),G1417&lt;DATE(2020,8,1)),L1417,0)</f>
        <v>0</v>
      </c>
    </row>
    <row r="1418" customFormat="false" ht="15" hidden="false" customHeight="true" outlineLevel="0" collapsed="false">
      <c r="A1418" s="1" t="n">
        <v>100742</v>
      </c>
      <c r="B1418" s="1" t="n">
        <v>51399</v>
      </c>
      <c r="C1418" s="1" t="n">
        <v>22</v>
      </c>
      <c r="D1418" s="1" t="n">
        <v>10</v>
      </c>
      <c r="E1418" s="1" t="str">
        <f aca="false">VLOOKUP(C1418,Меню!$A$2:$C$24,2,FALSE())</f>
        <v>Пицца с поркеттой и фриарелли</v>
      </c>
      <c r="F1418" s="1" t="n">
        <f aca="false">VLOOKUP(C1418,Меню!$A$2:$C$24,3,FALSE())</f>
        <v>550</v>
      </c>
      <c r="G1418" s="5" t="n">
        <f aca="false">VLOOKUP(B1418,Заказы!$A$2:$E$2995,2,FALSE())</f>
        <v>44054</v>
      </c>
      <c r="H1418" s="1" t="n">
        <f aca="false">VLOOKUP(B1418,Заказы!$A$2:$E$2995,3,FALSE())</f>
        <v>95</v>
      </c>
      <c r="I1418" s="1" t="str">
        <f aca="false">VLOOKUP(H1418,Клиенты!$A$2:$E$1995,5,FALSE())</f>
        <v>г. Вольск</v>
      </c>
      <c r="J1418" s="1" t="n">
        <f aca="false">VLOOKUP(B1418,Заказы!$A$2:$E$2995,4,FALSE())</f>
        <v>0</v>
      </c>
      <c r="K1418" s="1" t="str">
        <f aca="false">VLOOKUP(B1418,Заказы!$A$2:$E$2995,5,FALSE())</f>
        <v>Не выполнено</v>
      </c>
      <c r="L1418" s="1" t="n">
        <f aca="false">D1418*F1418+J1418</f>
        <v>5500</v>
      </c>
      <c r="M1418" s="1" t="n">
        <f aca="false">IF(AND(E1418="Пицца Труслейка",I1418="г. Москва",K1418="Выполнено",G1418&gt;=DATE(2020,7,1),G1418&lt;DATE(2020,8,1)),L1418,0)</f>
        <v>0</v>
      </c>
    </row>
    <row r="1419" customFormat="false" ht="15" hidden="false" customHeight="true" outlineLevel="0" collapsed="false">
      <c r="A1419" s="1" t="n">
        <v>100268</v>
      </c>
      <c r="B1419" s="1" t="n">
        <v>50341</v>
      </c>
      <c r="C1419" s="1" t="n">
        <v>23</v>
      </c>
      <c r="D1419" s="1" t="n">
        <v>6</v>
      </c>
      <c r="E1419" s="1" t="str">
        <f aca="false">VLOOKUP(C1419,Меню!$A$2:$C$24,2,FALSE())</f>
        <v>Пицца с тунцом</v>
      </c>
      <c r="F1419" s="1" t="n">
        <f aca="false">VLOOKUP(C1419,Меню!$A$2:$C$24,3,FALSE())</f>
        <v>520</v>
      </c>
      <c r="G1419" s="5" t="n">
        <f aca="false">VLOOKUP(B1419,Заказы!$A$2:$E$2995,2,FALSE())</f>
        <v>44046</v>
      </c>
      <c r="H1419" s="1" t="n">
        <f aca="false">VLOOKUP(B1419,Заказы!$A$2:$E$2995,3,FALSE())</f>
        <v>27</v>
      </c>
      <c r="I1419" s="1" t="str">
        <f aca="false">VLOOKUP(H1419,Клиенты!$A$2:$E$1995,5,FALSE())</f>
        <v>г. Называевск</v>
      </c>
      <c r="J1419" s="1" t="n">
        <f aca="false">VLOOKUP(B1419,Заказы!$A$2:$E$2995,4,FALSE())</f>
        <v>864</v>
      </c>
      <c r="K1419" s="1" t="str">
        <f aca="false">VLOOKUP(B1419,Заказы!$A$2:$E$2995,5,FALSE())</f>
        <v>Выполнено</v>
      </c>
      <c r="L1419" s="1" t="n">
        <f aca="false">D1419*F1419+J1419</f>
        <v>3984</v>
      </c>
      <c r="M1419" s="1" t="n">
        <f aca="false">IF(AND(E1419="Пицца Труслейка",I1419="г. Москва",K1419="Выполнено",G1419&gt;=DATE(2020,7,1),G1419&lt;DATE(2020,8,1)),L1419,0)</f>
        <v>0</v>
      </c>
    </row>
    <row r="1420" customFormat="false" ht="15" hidden="false" customHeight="true" outlineLevel="0" collapsed="false">
      <c r="A1420" s="1" t="n">
        <v>101830</v>
      </c>
      <c r="B1420" s="1" t="n">
        <v>50291</v>
      </c>
      <c r="C1420" s="1" t="n">
        <v>6</v>
      </c>
      <c r="D1420" s="1" t="n">
        <v>2</v>
      </c>
      <c r="E1420" s="1" t="str">
        <f aca="false">VLOOKUP(C1420,Меню!$A$2:$C$24,2,FALSE())</f>
        <v>Пицца Капричиоза</v>
      </c>
      <c r="F1420" s="1" t="n">
        <f aca="false">VLOOKUP(C1420,Меню!$A$2:$C$24,3,FALSE())</f>
        <v>570</v>
      </c>
      <c r="G1420" s="5" t="n">
        <f aca="false">VLOOKUP(B1420,Заказы!$A$2:$E$2995,2,FALSE())</f>
        <v>44044</v>
      </c>
      <c r="H1420" s="1" t="n">
        <f aca="false">VLOOKUP(B1420,Заказы!$A$2:$E$2995,3,FALSE())</f>
        <v>67</v>
      </c>
      <c r="I1420" s="1" t="str">
        <f aca="false">VLOOKUP(H1420,Клиенты!$A$2:$E$1995,5,FALSE())</f>
        <v>г. Усть-Катав</v>
      </c>
      <c r="J1420" s="1" t="n">
        <f aca="false">VLOOKUP(B1420,Заказы!$A$2:$E$2995,4,FALSE())</f>
        <v>441</v>
      </c>
      <c r="K1420" s="1" t="str">
        <f aca="false">VLOOKUP(B1420,Заказы!$A$2:$E$2995,5,FALSE())</f>
        <v>Выполнено</v>
      </c>
      <c r="L1420" s="1" t="n">
        <f aca="false">D1420*F1420+J1420</f>
        <v>1581</v>
      </c>
      <c r="M1420" s="1" t="n">
        <f aca="false">IF(AND(E1420="Пицца Труслейка",I1420="г. Москва",K1420="Выполнено",G1420&gt;=DATE(2020,7,1),G1420&lt;DATE(2020,8,1)),L1420,0)</f>
        <v>0</v>
      </c>
    </row>
    <row r="1421" customFormat="false" ht="15" hidden="false" customHeight="true" outlineLevel="0" collapsed="false">
      <c r="A1421" s="1" t="n">
        <v>101299</v>
      </c>
      <c r="B1421" s="1" t="n">
        <v>50529</v>
      </c>
      <c r="C1421" s="1" t="n">
        <v>4</v>
      </c>
      <c r="D1421" s="1" t="n">
        <v>8</v>
      </c>
      <c r="E1421" s="1" t="str">
        <f aca="false">VLOOKUP(C1421,Меню!$A$2:$C$24,2,FALSE())</f>
        <v>Пицца Труслейка</v>
      </c>
      <c r="F1421" s="1" t="n">
        <f aca="false">VLOOKUP(C1421,Меню!$A$2:$C$24,3,FALSE())</f>
        <v>610</v>
      </c>
      <c r="G1421" s="5" t="n">
        <f aca="false">VLOOKUP(B1421,Заказы!$A$2:$E$2995,2,FALSE())</f>
        <v>44054</v>
      </c>
      <c r="H1421" s="1" t="n">
        <f aca="false">VLOOKUP(B1421,Заказы!$A$2:$E$2995,3,FALSE())</f>
        <v>1685</v>
      </c>
      <c r="I1421" s="1" t="str">
        <f aca="false">VLOOKUP(H1421,Клиенты!$A$2:$E$1995,5,FALSE())</f>
        <v>г. Бабушкин</v>
      </c>
      <c r="J1421" s="1" t="n">
        <f aca="false">VLOOKUP(B1421,Заказы!$A$2:$E$2995,4,FALSE())</f>
        <v>0</v>
      </c>
      <c r="K1421" s="1" t="str">
        <f aca="false">VLOOKUP(B1421,Заказы!$A$2:$E$2995,5,FALSE())</f>
        <v>Не выполнено</v>
      </c>
      <c r="L1421" s="1" t="n">
        <f aca="false">D1421*F1421+J1421</f>
        <v>4880</v>
      </c>
      <c r="M1421" s="1" t="n">
        <f aca="false">IF(AND(E1421="Пицца Труслейка",I1421="г. Москва",K1421="Выполнено",G1421&gt;=DATE(2020,7,1),G1421&lt;DATE(2020,8,1)),L1421,0)</f>
        <v>0</v>
      </c>
    </row>
    <row r="1422" customFormat="false" ht="15" hidden="false" customHeight="true" outlineLevel="0" collapsed="false">
      <c r="A1422" s="1" t="n">
        <v>101869</v>
      </c>
      <c r="B1422" s="1" t="n">
        <v>50754</v>
      </c>
      <c r="C1422" s="1" t="n">
        <v>12</v>
      </c>
      <c r="D1422" s="1" t="n">
        <v>4</v>
      </c>
      <c r="E1422" s="1" t="str">
        <f aca="false">VLOOKUP(C1422,Меню!$A$2:$C$24,2,FALSE())</f>
        <v>Пицца Салями с трюфелем</v>
      </c>
      <c r="F1422" s="1" t="n">
        <f aca="false">VLOOKUP(C1422,Меню!$A$2:$C$24,3,FALSE())</f>
        <v>525</v>
      </c>
      <c r="G1422" s="5" t="n">
        <f aca="false">VLOOKUP(B1422,Заказы!$A$2:$E$2995,2,FALSE())</f>
        <v>44068</v>
      </c>
      <c r="H1422" s="1" t="n">
        <f aca="false">VLOOKUP(B1422,Заказы!$A$2:$E$2995,3,FALSE())</f>
        <v>242</v>
      </c>
      <c r="I1422" s="1" t="str">
        <f aca="false">VLOOKUP(H1422,Клиенты!$A$2:$E$1995,5,FALSE())</f>
        <v>г. Касли</v>
      </c>
      <c r="J1422" s="1" t="n">
        <f aca="false">VLOOKUP(B1422,Заказы!$A$2:$E$2995,4,FALSE())</f>
        <v>0</v>
      </c>
      <c r="K1422" s="1" t="str">
        <f aca="false">VLOOKUP(B1422,Заказы!$A$2:$E$2995,5,FALSE())</f>
        <v>Не выполнено</v>
      </c>
      <c r="L1422" s="1" t="n">
        <f aca="false">D1422*F1422+J1422</f>
        <v>2100</v>
      </c>
      <c r="M1422" s="1" t="n">
        <f aca="false">IF(AND(E1422="Пицца Труслейка",I1422="г. Москва",K1422="Выполнено",G1422&gt;=DATE(2020,7,1),G1422&lt;DATE(2020,8,1)),L1422,0)</f>
        <v>0</v>
      </c>
    </row>
    <row r="1423" customFormat="false" ht="15" hidden="false" customHeight="true" outlineLevel="0" collapsed="false">
      <c r="A1423" s="1" t="n">
        <v>100515</v>
      </c>
      <c r="B1423" s="1" t="n">
        <v>51554</v>
      </c>
      <c r="C1423" s="1" t="n">
        <v>19</v>
      </c>
      <c r="D1423" s="1" t="n">
        <v>10</v>
      </c>
      <c r="E1423" s="1" t="str">
        <f aca="false">VLOOKUP(C1423,Меню!$A$2:$C$24,2,FALSE())</f>
        <v>Пицца Цезарь</v>
      </c>
      <c r="F1423" s="1" t="n">
        <f aca="false">VLOOKUP(C1423,Меню!$A$2:$C$24,3,FALSE())</f>
        <v>630</v>
      </c>
      <c r="G1423" s="5" t="n">
        <f aca="false">VLOOKUP(B1423,Заказы!$A$2:$E$2995,2,FALSE())</f>
        <v>44039</v>
      </c>
      <c r="H1423" s="1" t="n">
        <f aca="false">VLOOKUP(B1423,Заказы!$A$2:$E$2995,3,FALSE())</f>
        <v>1397</v>
      </c>
      <c r="I1423" s="1" t="str">
        <f aca="false">VLOOKUP(H1423,Клиенты!$A$2:$E$1995,5,FALSE())</f>
        <v>г. Рузаевка</v>
      </c>
      <c r="J1423" s="1" t="n">
        <f aca="false">VLOOKUP(B1423,Заказы!$A$2:$E$2995,4,FALSE())</f>
        <v>0</v>
      </c>
      <c r="K1423" s="1" t="str">
        <f aca="false">VLOOKUP(B1423,Заказы!$A$2:$E$2995,5,FALSE())</f>
        <v>Не выполнено</v>
      </c>
      <c r="L1423" s="1" t="n">
        <f aca="false">D1423*F1423+J1423</f>
        <v>6300</v>
      </c>
      <c r="M1423" s="1" t="n">
        <f aca="false">IF(AND(E1423="Пицца Труслейка",I1423="г. Москва",K1423="Выполнено",G1423&gt;=DATE(2020,7,1),G1423&lt;DATE(2020,8,1)),L1423,0)</f>
        <v>0</v>
      </c>
    </row>
    <row r="1424" customFormat="false" ht="15" hidden="false" customHeight="true" outlineLevel="0" collapsed="false">
      <c r="A1424" s="1" t="n">
        <v>100915</v>
      </c>
      <c r="B1424" s="1" t="n">
        <v>51206</v>
      </c>
      <c r="C1424" s="1" t="n">
        <v>22</v>
      </c>
      <c r="D1424" s="1" t="n">
        <v>5</v>
      </c>
      <c r="E1424" s="1" t="str">
        <f aca="false">VLOOKUP(C1424,Меню!$A$2:$C$24,2,FALSE())</f>
        <v>Пицца с поркеттой и фриарелли</v>
      </c>
      <c r="F1424" s="1" t="n">
        <f aca="false">VLOOKUP(C1424,Меню!$A$2:$C$24,3,FALSE())</f>
        <v>550</v>
      </c>
      <c r="G1424" s="5" t="n">
        <f aca="false">VLOOKUP(B1424,Заказы!$A$2:$E$2995,2,FALSE())</f>
        <v>44043</v>
      </c>
      <c r="H1424" s="1" t="n">
        <f aca="false">VLOOKUP(B1424,Заказы!$A$2:$E$2995,3,FALSE())</f>
        <v>1196</v>
      </c>
      <c r="I1424" s="1" t="str">
        <f aca="false">VLOOKUP(H1424,Клиенты!$A$2:$E$1995,5,FALSE())</f>
        <v>г. Солигалич</v>
      </c>
      <c r="J1424" s="1" t="n">
        <f aca="false">VLOOKUP(B1424,Заказы!$A$2:$E$2995,4,FALSE())</f>
        <v>0</v>
      </c>
      <c r="K1424" s="1" t="str">
        <f aca="false">VLOOKUP(B1424,Заказы!$A$2:$E$2995,5,FALSE())</f>
        <v>Не выполнено</v>
      </c>
      <c r="L1424" s="1" t="n">
        <f aca="false">D1424*F1424+J1424</f>
        <v>2750</v>
      </c>
      <c r="M1424" s="1" t="n">
        <f aca="false">IF(AND(E1424="Пицца Труслейка",I1424="г. Москва",K1424="Выполнено",G1424&gt;=DATE(2020,7,1),G1424&lt;DATE(2020,8,1)),L1424,0)</f>
        <v>0</v>
      </c>
    </row>
    <row r="1425" customFormat="false" ht="15" hidden="false" customHeight="true" outlineLevel="0" collapsed="false">
      <c r="A1425" s="1" t="n">
        <v>100036</v>
      </c>
      <c r="B1425" s="1" t="n">
        <v>51803</v>
      </c>
      <c r="C1425" s="1" t="n">
        <v>19</v>
      </c>
      <c r="D1425" s="1" t="n">
        <v>3</v>
      </c>
      <c r="E1425" s="1" t="str">
        <f aca="false">VLOOKUP(C1425,Меню!$A$2:$C$24,2,FALSE())</f>
        <v>Пицца Цезарь</v>
      </c>
      <c r="F1425" s="1" t="n">
        <f aca="false">VLOOKUP(C1425,Меню!$A$2:$C$24,3,FALSE())</f>
        <v>630</v>
      </c>
      <c r="G1425" s="5" t="n">
        <f aca="false">VLOOKUP(B1425,Заказы!$A$2:$E$2995,2,FALSE())</f>
        <v>43997</v>
      </c>
      <c r="H1425" s="1" t="n">
        <f aca="false">VLOOKUP(B1425,Заказы!$A$2:$E$2995,3,FALSE())</f>
        <v>1249</v>
      </c>
      <c r="I1425" s="1" t="str">
        <f aca="false">VLOOKUP(H1425,Клиенты!$A$2:$E$1995,5,FALSE())</f>
        <v>г. Азов</v>
      </c>
      <c r="J1425" s="1" t="n">
        <f aca="false">VLOOKUP(B1425,Заказы!$A$2:$E$2995,4,FALSE())</f>
        <v>859</v>
      </c>
      <c r="K1425" s="1" t="str">
        <f aca="false">VLOOKUP(B1425,Заказы!$A$2:$E$2995,5,FALSE())</f>
        <v>Выполнено</v>
      </c>
      <c r="L1425" s="1" t="n">
        <f aca="false">D1425*F1425+J1425</f>
        <v>2749</v>
      </c>
      <c r="M1425" s="1" t="n">
        <f aca="false">IF(AND(E1425="Пицца Труслейка",I1425="г. Москва",K1425="Выполнено",G1425&gt;=DATE(2020,7,1),G1425&lt;DATE(2020,8,1)),L1425,0)</f>
        <v>0</v>
      </c>
    </row>
    <row r="1426" customFormat="false" ht="15" hidden="false" customHeight="true" outlineLevel="0" collapsed="false">
      <c r="A1426" s="1" t="n">
        <v>100562</v>
      </c>
      <c r="B1426" s="1" t="n">
        <v>51627</v>
      </c>
      <c r="C1426" s="1" t="n">
        <v>14</v>
      </c>
      <c r="D1426" s="1" t="n">
        <v>8</v>
      </c>
      <c r="E1426" s="1" t="str">
        <f aca="false">VLOOKUP(C1426,Меню!$A$2:$C$24,2,FALSE())</f>
        <v>Пицца Сырный цыпленок</v>
      </c>
      <c r="F1426" s="1" t="n">
        <f aca="false">VLOOKUP(C1426,Меню!$A$2:$C$24,3,FALSE())</f>
        <v>555</v>
      </c>
      <c r="G1426" s="5" t="n">
        <f aca="false">VLOOKUP(B1426,Заказы!$A$2:$E$2995,2,FALSE())</f>
        <v>43986</v>
      </c>
      <c r="H1426" s="1" t="n">
        <f aca="false">VLOOKUP(B1426,Заказы!$A$2:$E$2995,3,FALSE())</f>
        <v>891</v>
      </c>
      <c r="I1426" s="1" t="str">
        <f aca="false">VLOOKUP(H1426,Клиенты!$A$2:$E$1995,5,FALSE())</f>
        <v>г. Магас</v>
      </c>
      <c r="J1426" s="1" t="n">
        <f aca="false">VLOOKUP(B1426,Заказы!$A$2:$E$2995,4,FALSE())</f>
        <v>212</v>
      </c>
      <c r="K1426" s="1" t="str">
        <f aca="false">VLOOKUP(B1426,Заказы!$A$2:$E$2995,5,FALSE())</f>
        <v>Выполнено</v>
      </c>
      <c r="L1426" s="1" t="n">
        <f aca="false">D1426*F1426+J1426</f>
        <v>4652</v>
      </c>
      <c r="M1426" s="1" t="n">
        <f aca="false">IF(AND(E1426="Пицца Труслейка",I1426="г. Москва",K1426="Выполнено",G1426&gt;=DATE(2020,7,1),G1426&lt;DATE(2020,8,1)),L1426,0)</f>
        <v>0</v>
      </c>
    </row>
    <row r="1427" customFormat="false" ht="15" hidden="false" customHeight="true" outlineLevel="0" collapsed="false">
      <c r="A1427" s="1" t="n">
        <v>100561</v>
      </c>
      <c r="B1427" s="1" t="n">
        <v>51230</v>
      </c>
      <c r="C1427" s="1" t="n">
        <v>12</v>
      </c>
      <c r="D1427" s="1" t="n">
        <v>1</v>
      </c>
      <c r="E1427" s="1" t="str">
        <f aca="false">VLOOKUP(C1427,Меню!$A$2:$C$24,2,FALSE())</f>
        <v>Пицца Салями с трюфелем</v>
      </c>
      <c r="F1427" s="1" t="n">
        <f aca="false">VLOOKUP(C1427,Меню!$A$2:$C$24,3,FALSE())</f>
        <v>525</v>
      </c>
      <c r="G1427" s="5" t="n">
        <f aca="false">VLOOKUP(B1427,Заказы!$A$2:$E$2995,2,FALSE())</f>
        <v>44039</v>
      </c>
      <c r="H1427" s="1" t="n">
        <f aca="false">VLOOKUP(B1427,Заказы!$A$2:$E$2995,3,FALSE())</f>
        <v>1508</v>
      </c>
      <c r="I1427" s="1" t="str">
        <f aca="false">VLOOKUP(H1427,Клиенты!$A$2:$E$1995,5,FALSE())</f>
        <v>г. Малоярославец</v>
      </c>
      <c r="J1427" s="1" t="n">
        <f aca="false">VLOOKUP(B1427,Заказы!$A$2:$E$2995,4,FALSE())</f>
        <v>841</v>
      </c>
      <c r="K1427" s="1" t="str">
        <f aca="false">VLOOKUP(B1427,Заказы!$A$2:$E$2995,5,FALSE())</f>
        <v>Выполнено</v>
      </c>
      <c r="L1427" s="1" t="n">
        <f aca="false">D1427*F1427+J1427</f>
        <v>1366</v>
      </c>
      <c r="M1427" s="1" t="n">
        <f aca="false">IF(AND(E1427="Пицца Труслейка",I1427="г. Москва",K1427="Выполнено",G1427&gt;=DATE(2020,7,1),G1427&lt;DATE(2020,8,1)),L1427,0)</f>
        <v>0</v>
      </c>
    </row>
    <row r="1428" customFormat="false" ht="15" hidden="false" customHeight="true" outlineLevel="0" collapsed="false">
      <c r="A1428" s="1" t="n">
        <v>101462</v>
      </c>
      <c r="B1428" s="1" t="n">
        <v>50372</v>
      </c>
      <c r="C1428" s="1" t="n">
        <v>1</v>
      </c>
      <c r="D1428" s="1" t="n">
        <v>2</v>
      </c>
      <c r="E1428" s="1" t="str">
        <f aca="false">VLOOKUP(C1428,Меню!$A$2:$C$24,2,FALSE())</f>
        <v>Пицца Гавайская</v>
      </c>
      <c r="F1428" s="1" t="n">
        <f aca="false">VLOOKUP(C1428,Меню!$A$2:$C$24,3,FALSE())</f>
        <v>545</v>
      </c>
      <c r="G1428" s="5" t="n">
        <f aca="false">VLOOKUP(B1428,Заказы!$A$2:$E$2995,2,FALSE())</f>
        <v>43994</v>
      </c>
      <c r="H1428" s="1" t="n">
        <f aca="false">VLOOKUP(B1428,Заказы!$A$2:$E$2995,3,FALSE())</f>
        <v>1593</v>
      </c>
      <c r="I1428" s="1" t="str">
        <f aca="false">VLOOKUP(H1428,Клиенты!$A$2:$E$1995,5,FALSE())</f>
        <v>г. Миньяр</v>
      </c>
      <c r="J1428" s="1" t="n">
        <f aca="false">VLOOKUP(B1428,Заказы!$A$2:$E$2995,4,FALSE())</f>
        <v>0</v>
      </c>
      <c r="K1428" s="1" t="str">
        <f aca="false">VLOOKUP(B1428,Заказы!$A$2:$E$2995,5,FALSE())</f>
        <v>Не выполнено</v>
      </c>
      <c r="L1428" s="1" t="n">
        <f aca="false">D1428*F1428+J1428</f>
        <v>1090</v>
      </c>
      <c r="M1428" s="1" t="n">
        <f aca="false">IF(AND(E1428="Пицца Труслейка",I1428="г. Москва",K1428="Выполнено",G1428&gt;=DATE(2020,7,1),G1428&lt;DATE(2020,8,1)),L1428,0)</f>
        <v>0</v>
      </c>
    </row>
    <row r="1429" customFormat="false" ht="15" hidden="false" customHeight="true" outlineLevel="0" collapsed="false">
      <c r="A1429" s="1" t="n">
        <v>100116</v>
      </c>
      <c r="B1429" s="1" t="n">
        <v>51688</v>
      </c>
      <c r="C1429" s="1" t="n">
        <v>16</v>
      </c>
      <c r="D1429" s="1" t="n">
        <v>4</v>
      </c>
      <c r="E1429" s="1" t="str">
        <f aca="false">VLOOKUP(C1429,Меню!$A$2:$C$24,2,FALSE())</f>
        <v>Пицца Флорида</v>
      </c>
      <c r="F1429" s="1" t="n">
        <f aca="false">VLOOKUP(C1429,Меню!$A$2:$C$24,3,FALSE())</f>
        <v>535</v>
      </c>
      <c r="G1429" s="5" t="n">
        <f aca="false">VLOOKUP(B1429,Заказы!$A$2:$E$2995,2,FALSE())</f>
        <v>44010</v>
      </c>
      <c r="H1429" s="1" t="n">
        <f aca="false">VLOOKUP(B1429,Заказы!$A$2:$E$2995,3,FALSE())</f>
        <v>612</v>
      </c>
      <c r="I1429" s="1" t="str">
        <f aca="false">VLOOKUP(H1429,Клиенты!$A$2:$E$1995,5,FALSE())</f>
        <v>г. Ершов</v>
      </c>
      <c r="J1429" s="1" t="n">
        <f aca="false">VLOOKUP(B1429,Заказы!$A$2:$E$2995,4,FALSE())</f>
        <v>805</v>
      </c>
      <c r="K1429" s="1" t="str">
        <f aca="false">VLOOKUP(B1429,Заказы!$A$2:$E$2995,5,FALSE())</f>
        <v>Выполнено</v>
      </c>
      <c r="L1429" s="1" t="n">
        <f aca="false">D1429*F1429+J1429</f>
        <v>2945</v>
      </c>
      <c r="M1429" s="1" t="n">
        <f aca="false">IF(AND(E1429="Пицца Труслейка",I1429="г. Москва",K1429="Выполнено",G1429&gt;=DATE(2020,7,1),G1429&lt;DATE(2020,8,1)),L1429,0)</f>
        <v>0</v>
      </c>
    </row>
    <row r="1430" customFormat="false" ht="15" hidden="false" customHeight="true" outlineLevel="0" collapsed="false">
      <c r="A1430" s="1" t="n">
        <v>101264</v>
      </c>
      <c r="B1430" s="1" t="n">
        <v>50059</v>
      </c>
      <c r="C1430" s="1" t="n">
        <v>10</v>
      </c>
      <c r="D1430" s="1" t="n">
        <v>4</v>
      </c>
      <c r="E1430" s="1" t="str">
        <f aca="false">VLOOKUP(C1430,Меню!$A$2:$C$24,2,FALSE())</f>
        <v>Пицца Пепперони фреш</v>
      </c>
      <c r="F1430" s="1" t="n">
        <f aca="false">VLOOKUP(C1430,Меню!$A$2:$C$24,3,FALSE())</f>
        <v>565</v>
      </c>
      <c r="G1430" s="5" t="n">
        <f aca="false">VLOOKUP(B1430,Заказы!$A$2:$E$2995,2,FALSE())</f>
        <v>44066</v>
      </c>
      <c r="H1430" s="1" t="n">
        <f aca="false">VLOOKUP(B1430,Заказы!$A$2:$E$2995,3,FALSE())</f>
        <v>601</v>
      </c>
      <c r="I1430" s="1" t="str">
        <f aca="false">VLOOKUP(H1430,Клиенты!$A$2:$E$1995,5,FALSE())</f>
        <v>г. Гвардейск</v>
      </c>
      <c r="J1430" s="1" t="n">
        <f aca="false">VLOOKUP(B1430,Заказы!$A$2:$E$2995,4,FALSE())</f>
        <v>556</v>
      </c>
      <c r="K1430" s="1" t="str">
        <f aca="false">VLOOKUP(B1430,Заказы!$A$2:$E$2995,5,FALSE())</f>
        <v>Выполнено</v>
      </c>
      <c r="L1430" s="1" t="n">
        <f aca="false">D1430*F1430+J1430</f>
        <v>2816</v>
      </c>
      <c r="M1430" s="1" t="n">
        <f aca="false">IF(AND(E1430="Пицца Труслейка",I1430="г. Москва",K1430="Выполнено",G1430&gt;=DATE(2020,7,1),G1430&lt;DATE(2020,8,1)),L1430,0)</f>
        <v>0</v>
      </c>
    </row>
    <row r="1431" customFormat="false" ht="15" hidden="false" customHeight="true" outlineLevel="0" collapsed="false">
      <c r="A1431" s="1" t="n">
        <v>100454</v>
      </c>
      <c r="B1431" s="1" t="n">
        <v>50416</v>
      </c>
      <c r="C1431" s="1" t="n">
        <v>4</v>
      </c>
      <c r="D1431" s="1" t="n">
        <v>4</v>
      </c>
      <c r="E1431" s="1" t="str">
        <f aca="false">VLOOKUP(C1431,Меню!$A$2:$C$24,2,FALSE())</f>
        <v>Пицца Труслейка</v>
      </c>
      <c r="F1431" s="1" t="n">
        <f aca="false">VLOOKUP(C1431,Меню!$A$2:$C$24,3,FALSE())</f>
        <v>610</v>
      </c>
      <c r="G1431" s="5" t="n">
        <f aca="false">VLOOKUP(B1431,Заказы!$A$2:$E$2995,2,FALSE())</f>
        <v>44067</v>
      </c>
      <c r="H1431" s="1" t="n">
        <f aca="false">VLOOKUP(B1431,Заказы!$A$2:$E$2995,3,FALSE())</f>
        <v>482</v>
      </c>
      <c r="I1431" s="1" t="str">
        <f aca="false">VLOOKUP(H1431,Клиенты!$A$2:$E$1995,5,FALSE())</f>
        <v>г. Кудымкар</v>
      </c>
      <c r="J1431" s="1" t="n">
        <f aca="false">VLOOKUP(B1431,Заказы!$A$2:$E$2995,4,FALSE())</f>
        <v>864</v>
      </c>
      <c r="K1431" s="1" t="str">
        <f aca="false">VLOOKUP(B1431,Заказы!$A$2:$E$2995,5,FALSE())</f>
        <v>Выполнено</v>
      </c>
      <c r="L1431" s="1" t="n">
        <f aca="false">D1431*F1431+J1431</f>
        <v>3304</v>
      </c>
      <c r="M1431" s="1" t="n">
        <f aca="false">IF(AND(E1431="Пицца Труслейка",I1431="г. Москва",K1431="Выполнено",G1431&gt;=DATE(2020,7,1),G1431&lt;DATE(2020,8,1)),L1431,0)</f>
        <v>0</v>
      </c>
    </row>
    <row r="1432" customFormat="false" ht="15" hidden="false" customHeight="true" outlineLevel="0" collapsed="false">
      <c r="A1432" s="1" t="n">
        <v>101209</v>
      </c>
      <c r="B1432" s="1" t="n">
        <v>50364</v>
      </c>
      <c r="C1432" s="1" t="n">
        <v>2</v>
      </c>
      <c r="D1432" s="1" t="n">
        <v>1</v>
      </c>
      <c r="E1432" s="1" t="str">
        <f aca="false">VLOOKUP(C1432,Меню!$A$2:$C$24,2,FALSE())</f>
        <v>Пицца Двойная пепперони</v>
      </c>
      <c r="F1432" s="1" t="n">
        <f aca="false">VLOOKUP(C1432,Меню!$A$2:$C$24,3,FALSE())</f>
        <v>575</v>
      </c>
      <c r="G1432" s="5" t="n">
        <f aca="false">VLOOKUP(B1432,Заказы!$A$2:$E$2995,2,FALSE())</f>
        <v>44068</v>
      </c>
      <c r="H1432" s="1" t="n">
        <f aca="false">VLOOKUP(B1432,Заказы!$A$2:$E$2995,3,FALSE())</f>
        <v>811</v>
      </c>
      <c r="I1432" s="1" t="str">
        <f aca="false">VLOOKUP(H1432,Клиенты!$A$2:$E$1995,5,FALSE())</f>
        <v>г. Гвардейск</v>
      </c>
      <c r="J1432" s="1" t="n">
        <f aca="false">VLOOKUP(B1432,Заказы!$A$2:$E$2995,4,FALSE())</f>
        <v>769</v>
      </c>
      <c r="K1432" s="1" t="str">
        <f aca="false">VLOOKUP(B1432,Заказы!$A$2:$E$2995,5,FALSE())</f>
        <v>Выполнено</v>
      </c>
      <c r="L1432" s="1" t="n">
        <f aca="false">D1432*F1432+J1432</f>
        <v>1344</v>
      </c>
      <c r="M1432" s="1" t="n">
        <f aca="false">IF(AND(E1432="Пицца Труслейка",I1432="г. Москва",K1432="Выполнено",G1432&gt;=DATE(2020,7,1),G1432&lt;DATE(2020,8,1)),L1432,0)</f>
        <v>0</v>
      </c>
    </row>
    <row r="1433" customFormat="false" ht="15" hidden="false" customHeight="true" outlineLevel="0" collapsed="false">
      <c r="A1433" s="1" t="n">
        <v>101096</v>
      </c>
      <c r="B1433" s="1" t="n">
        <v>50724</v>
      </c>
      <c r="C1433" s="1" t="n">
        <v>19</v>
      </c>
      <c r="D1433" s="1" t="n">
        <v>9</v>
      </c>
      <c r="E1433" s="1" t="str">
        <f aca="false">VLOOKUP(C1433,Меню!$A$2:$C$24,2,FALSE())</f>
        <v>Пицца Цезарь</v>
      </c>
      <c r="F1433" s="1" t="n">
        <f aca="false">VLOOKUP(C1433,Меню!$A$2:$C$24,3,FALSE())</f>
        <v>630</v>
      </c>
      <c r="G1433" s="5" t="n">
        <f aca="false">VLOOKUP(B1433,Заказы!$A$2:$E$2995,2,FALSE())</f>
        <v>44045</v>
      </c>
      <c r="H1433" s="1" t="n">
        <f aca="false">VLOOKUP(B1433,Заказы!$A$2:$E$2995,3,FALSE())</f>
        <v>1510</v>
      </c>
      <c r="I1433" s="1" t="str">
        <f aca="false">VLOOKUP(H1433,Клиенты!$A$2:$E$1995,5,FALSE())</f>
        <v>г. Москва</v>
      </c>
      <c r="J1433" s="1" t="n">
        <f aca="false">VLOOKUP(B1433,Заказы!$A$2:$E$2995,4,FALSE())</f>
        <v>0</v>
      </c>
      <c r="K1433" s="1" t="str">
        <f aca="false">VLOOKUP(B1433,Заказы!$A$2:$E$2995,5,FALSE())</f>
        <v>Не выполнено</v>
      </c>
      <c r="L1433" s="1" t="n">
        <f aca="false">D1433*F1433+J1433</f>
        <v>5670</v>
      </c>
      <c r="M1433" s="1" t="n">
        <f aca="false">IF(AND(E1433="Пицца Труслейка",I1433="г. Москва",K1433="Выполнено",G1433&gt;=DATE(2020,7,1),G1433&lt;DATE(2020,8,1)),L1433,0)</f>
        <v>0</v>
      </c>
    </row>
    <row r="1434" customFormat="false" ht="15" hidden="false" customHeight="true" outlineLevel="0" collapsed="false">
      <c r="A1434" s="1" t="n">
        <v>100279</v>
      </c>
      <c r="B1434" s="1" t="n">
        <v>51188</v>
      </c>
      <c r="C1434" s="1" t="n">
        <v>15</v>
      </c>
      <c r="D1434" s="1" t="n">
        <v>8</v>
      </c>
      <c r="E1434" s="1" t="str">
        <f aca="false">VLOOKUP(C1434,Меню!$A$2:$C$24,2,FALSE())</f>
        <v>Пицца Тропиканка</v>
      </c>
      <c r="F1434" s="1" t="n">
        <f aca="false">VLOOKUP(C1434,Меню!$A$2:$C$24,3,FALSE())</f>
        <v>605</v>
      </c>
      <c r="G1434" s="5" t="n">
        <f aca="false">VLOOKUP(B1434,Заказы!$A$2:$E$2995,2,FALSE())</f>
        <v>43986</v>
      </c>
      <c r="H1434" s="1" t="n">
        <f aca="false">VLOOKUP(B1434,Заказы!$A$2:$E$2995,3,FALSE())</f>
        <v>867</v>
      </c>
      <c r="I1434" s="1" t="str">
        <f aca="false">VLOOKUP(H1434,Клиенты!$A$2:$E$1995,5,FALSE())</f>
        <v>г. Сретенск</v>
      </c>
      <c r="J1434" s="1" t="n">
        <f aca="false">VLOOKUP(B1434,Заказы!$A$2:$E$2995,4,FALSE())</f>
        <v>0</v>
      </c>
      <c r="K1434" s="1" t="str">
        <f aca="false">VLOOKUP(B1434,Заказы!$A$2:$E$2995,5,FALSE())</f>
        <v>Не выполнено</v>
      </c>
      <c r="L1434" s="1" t="n">
        <f aca="false">D1434*F1434+J1434</f>
        <v>4840</v>
      </c>
      <c r="M1434" s="1" t="n">
        <f aca="false">IF(AND(E1434="Пицца Труслейка",I1434="г. Москва",K1434="Выполнено",G1434&gt;=DATE(2020,7,1),G1434&lt;DATE(2020,8,1)),L1434,0)</f>
        <v>0</v>
      </c>
    </row>
    <row r="1435" customFormat="false" ht="15" hidden="false" customHeight="true" outlineLevel="0" collapsed="false">
      <c r="A1435" s="1" t="n">
        <v>101595</v>
      </c>
      <c r="B1435" s="1" t="n">
        <v>50182</v>
      </c>
      <c r="C1435" s="1" t="n">
        <v>15</v>
      </c>
      <c r="D1435" s="1" t="n">
        <v>8</v>
      </c>
      <c r="E1435" s="1" t="str">
        <f aca="false">VLOOKUP(C1435,Меню!$A$2:$C$24,2,FALSE())</f>
        <v>Пицца Тропиканка</v>
      </c>
      <c r="F1435" s="1" t="n">
        <f aca="false">VLOOKUP(C1435,Меню!$A$2:$C$24,3,FALSE())</f>
        <v>605</v>
      </c>
      <c r="G1435" s="5" t="n">
        <f aca="false">VLOOKUP(B1435,Заказы!$A$2:$E$2995,2,FALSE())</f>
        <v>44022</v>
      </c>
      <c r="H1435" s="1" t="n">
        <f aca="false">VLOOKUP(B1435,Заказы!$A$2:$E$2995,3,FALSE())</f>
        <v>1339</v>
      </c>
      <c r="I1435" s="1" t="str">
        <f aca="false">VLOOKUP(H1435,Клиенты!$A$2:$E$1995,5,FALSE())</f>
        <v>г. Нижнеудинск</v>
      </c>
      <c r="J1435" s="1" t="n">
        <f aca="false">VLOOKUP(B1435,Заказы!$A$2:$E$2995,4,FALSE())</f>
        <v>695</v>
      </c>
      <c r="K1435" s="1" t="str">
        <f aca="false">VLOOKUP(B1435,Заказы!$A$2:$E$2995,5,FALSE())</f>
        <v>Выполнено</v>
      </c>
      <c r="L1435" s="1" t="n">
        <f aca="false">D1435*F1435+J1435</f>
        <v>5535</v>
      </c>
      <c r="M1435" s="1" t="n">
        <f aca="false">IF(AND(E1435="Пицца Труслейка",I1435="г. Москва",K1435="Выполнено",G1435&gt;=DATE(2020,7,1),G1435&lt;DATE(2020,8,1)),L1435,0)</f>
        <v>0</v>
      </c>
    </row>
    <row r="1436" customFormat="false" ht="15" hidden="false" customHeight="true" outlineLevel="0" collapsed="false">
      <c r="A1436" s="1" t="n">
        <v>101789</v>
      </c>
      <c r="B1436" s="1" t="n">
        <v>51963</v>
      </c>
      <c r="C1436" s="1" t="n">
        <v>12</v>
      </c>
      <c r="D1436" s="1" t="n">
        <v>2</v>
      </c>
      <c r="E1436" s="1" t="str">
        <f aca="false">VLOOKUP(C1436,Меню!$A$2:$C$24,2,FALSE())</f>
        <v>Пицца Салями с трюфелем</v>
      </c>
      <c r="F1436" s="1" t="n">
        <f aca="false">VLOOKUP(C1436,Меню!$A$2:$C$24,3,FALSE())</f>
        <v>525</v>
      </c>
      <c r="G1436" s="5" t="n">
        <f aca="false">VLOOKUP(B1436,Заказы!$A$2:$E$2995,2,FALSE())</f>
        <v>44015</v>
      </c>
      <c r="H1436" s="1" t="n">
        <f aca="false">VLOOKUP(B1436,Заказы!$A$2:$E$2995,3,FALSE())</f>
        <v>1356</v>
      </c>
      <c r="I1436" s="1" t="str">
        <f aca="false">VLOOKUP(H1436,Клиенты!$A$2:$E$1995,5,FALSE())</f>
        <v>г. Кушва</v>
      </c>
      <c r="J1436" s="1" t="n">
        <f aca="false">VLOOKUP(B1436,Заказы!$A$2:$E$2995,4,FALSE())</f>
        <v>0</v>
      </c>
      <c r="K1436" s="1" t="str">
        <f aca="false">VLOOKUP(B1436,Заказы!$A$2:$E$2995,5,FALSE())</f>
        <v>Не выполнено</v>
      </c>
      <c r="L1436" s="1" t="n">
        <f aca="false">D1436*F1436+J1436</f>
        <v>1050</v>
      </c>
      <c r="M1436" s="1" t="n">
        <f aca="false">IF(AND(E1436="Пицца Труслейка",I1436="г. Москва",K1436="Выполнено",G1436&gt;=DATE(2020,7,1),G1436&lt;DATE(2020,8,1)),L1436,0)</f>
        <v>0</v>
      </c>
    </row>
    <row r="1437" customFormat="false" ht="15" hidden="false" customHeight="true" outlineLevel="0" collapsed="false">
      <c r="A1437" s="1" t="n">
        <v>101926</v>
      </c>
      <c r="B1437" s="1" t="n">
        <v>50628</v>
      </c>
      <c r="C1437" s="1" t="n">
        <v>11</v>
      </c>
      <c r="D1437" s="1" t="n">
        <v>5</v>
      </c>
      <c r="E1437" s="1" t="str">
        <f aca="false">VLOOKUP(C1437,Меню!$A$2:$C$24,2,FALSE())</f>
        <v>Пицца Песто</v>
      </c>
      <c r="F1437" s="1" t="n">
        <f aca="false">VLOOKUP(C1437,Меню!$A$2:$C$24,3,FALSE())</f>
        <v>530</v>
      </c>
      <c r="G1437" s="5" t="n">
        <f aca="false">VLOOKUP(B1437,Заказы!$A$2:$E$2995,2,FALSE())</f>
        <v>44034</v>
      </c>
      <c r="H1437" s="1" t="n">
        <f aca="false">VLOOKUP(B1437,Заказы!$A$2:$E$2995,3,FALSE())</f>
        <v>1189</v>
      </c>
      <c r="I1437" s="1" t="str">
        <f aca="false">VLOOKUP(H1437,Клиенты!$A$2:$E$1995,5,FALSE())</f>
        <v>г. Голицыно</v>
      </c>
      <c r="J1437" s="1" t="n">
        <f aca="false">VLOOKUP(B1437,Заказы!$A$2:$E$2995,4,FALSE())</f>
        <v>0</v>
      </c>
      <c r="K1437" s="1" t="str">
        <f aca="false">VLOOKUP(B1437,Заказы!$A$2:$E$2995,5,FALSE())</f>
        <v>Не выполнено</v>
      </c>
      <c r="L1437" s="1" t="n">
        <f aca="false">D1437*F1437+J1437</f>
        <v>2650</v>
      </c>
      <c r="M1437" s="1" t="n">
        <f aca="false">IF(AND(E1437="Пицца Труслейка",I1437="г. Москва",K1437="Выполнено",G1437&gt;=DATE(2020,7,1),G1437&lt;DATE(2020,8,1)),L1437,0)</f>
        <v>0</v>
      </c>
    </row>
    <row r="1438" customFormat="false" ht="15" hidden="false" customHeight="true" outlineLevel="0" collapsed="false">
      <c r="A1438" s="1" t="n">
        <v>101683</v>
      </c>
      <c r="B1438" s="1" t="n">
        <v>51165</v>
      </c>
      <c r="C1438" s="1" t="n">
        <v>16</v>
      </c>
      <c r="D1438" s="1" t="n">
        <v>3</v>
      </c>
      <c r="E1438" s="1" t="str">
        <f aca="false">VLOOKUP(C1438,Меню!$A$2:$C$24,2,FALSE())</f>
        <v>Пицца Флорида</v>
      </c>
      <c r="F1438" s="1" t="n">
        <f aca="false">VLOOKUP(C1438,Меню!$A$2:$C$24,3,FALSE())</f>
        <v>535</v>
      </c>
      <c r="G1438" s="5" t="n">
        <f aca="false">VLOOKUP(B1438,Заказы!$A$2:$E$2995,2,FALSE())</f>
        <v>44023</v>
      </c>
      <c r="H1438" s="1" t="n">
        <f aca="false">VLOOKUP(B1438,Заказы!$A$2:$E$2995,3,FALSE())</f>
        <v>1290</v>
      </c>
      <c r="I1438" s="1" t="str">
        <f aca="false">VLOOKUP(H1438,Клиенты!$A$2:$E$1995,5,FALSE())</f>
        <v>г. Москва</v>
      </c>
      <c r="J1438" s="1" t="n">
        <f aca="false">VLOOKUP(B1438,Заказы!$A$2:$E$2995,4,FALSE())</f>
        <v>169</v>
      </c>
      <c r="K1438" s="1" t="str">
        <f aca="false">VLOOKUP(B1438,Заказы!$A$2:$E$2995,5,FALSE())</f>
        <v>Выполнено</v>
      </c>
      <c r="L1438" s="1" t="n">
        <f aca="false">D1438*F1438+J1438</f>
        <v>1774</v>
      </c>
      <c r="M1438" s="1" t="n">
        <f aca="false">IF(AND(E1438="Пицца Труслейка",I1438="г. Москва",K1438="Выполнено",G1438&gt;=DATE(2020,7,1),G1438&lt;DATE(2020,8,1)),L1438,0)</f>
        <v>0</v>
      </c>
    </row>
    <row r="1439" customFormat="false" ht="15" hidden="false" customHeight="true" outlineLevel="0" collapsed="false">
      <c r="A1439" s="1" t="n">
        <v>100434</v>
      </c>
      <c r="B1439" s="1" t="n">
        <v>51174</v>
      </c>
      <c r="C1439" s="1" t="n">
        <v>15</v>
      </c>
      <c r="D1439" s="1" t="n">
        <v>8</v>
      </c>
      <c r="E1439" s="1" t="str">
        <f aca="false">VLOOKUP(C1439,Меню!$A$2:$C$24,2,FALSE())</f>
        <v>Пицца Тропиканка</v>
      </c>
      <c r="F1439" s="1" t="n">
        <f aca="false">VLOOKUP(C1439,Меню!$A$2:$C$24,3,FALSE())</f>
        <v>605</v>
      </c>
      <c r="G1439" s="5" t="n">
        <f aca="false">VLOOKUP(B1439,Заказы!$A$2:$E$2995,2,FALSE())</f>
        <v>44042</v>
      </c>
      <c r="H1439" s="1" t="n">
        <f aca="false">VLOOKUP(B1439,Заказы!$A$2:$E$2995,3,FALSE())</f>
        <v>1473</v>
      </c>
      <c r="I1439" s="1" t="str">
        <f aca="false">VLOOKUP(H1439,Клиенты!$A$2:$E$1995,5,FALSE())</f>
        <v>г. Анжеро-Судженск</v>
      </c>
      <c r="J1439" s="1" t="n">
        <f aca="false">VLOOKUP(B1439,Заказы!$A$2:$E$2995,4,FALSE())</f>
        <v>297</v>
      </c>
      <c r="K1439" s="1" t="str">
        <f aca="false">VLOOKUP(B1439,Заказы!$A$2:$E$2995,5,FALSE())</f>
        <v>Выполнено</v>
      </c>
      <c r="L1439" s="1" t="n">
        <f aca="false">D1439*F1439+J1439</f>
        <v>5137</v>
      </c>
      <c r="M1439" s="1" t="n">
        <f aca="false">IF(AND(E1439="Пицца Труслейка",I1439="г. Москва",K1439="Выполнено",G1439&gt;=DATE(2020,7,1),G1439&lt;DATE(2020,8,1)),L1439,0)</f>
        <v>0</v>
      </c>
    </row>
    <row r="1440" customFormat="false" ht="15" hidden="false" customHeight="true" outlineLevel="0" collapsed="false">
      <c r="A1440" s="1" t="n">
        <v>100444</v>
      </c>
      <c r="B1440" s="1" t="n">
        <v>50033</v>
      </c>
      <c r="C1440" s="1" t="n">
        <v>18</v>
      </c>
      <c r="D1440" s="1" t="n">
        <v>8</v>
      </c>
      <c r="E1440" s="1" t="str">
        <f aca="false">VLOOKUP(C1440,Меню!$A$2:$C$24,2,FALSE())</f>
        <v>Пицца Царская</v>
      </c>
      <c r="F1440" s="1" t="n">
        <f aca="false">VLOOKUP(C1440,Меню!$A$2:$C$24,3,FALSE())</f>
        <v>620</v>
      </c>
      <c r="G1440" s="5" t="n">
        <f aca="false">VLOOKUP(B1440,Заказы!$A$2:$E$2995,2,FALSE())</f>
        <v>43985</v>
      </c>
      <c r="H1440" s="1" t="n">
        <f aca="false">VLOOKUP(B1440,Заказы!$A$2:$E$2995,3,FALSE())</f>
        <v>1713</v>
      </c>
      <c r="I1440" s="1" t="str">
        <f aca="false">VLOOKUP(H1440,Клиенты!$A$2:$E$1995,5,FALSE())</f>
        <v>г. Истра</v>
      </c>
      <c r="J1440" s="1" t="n">
        <f aca="false">VLOOKUP(B1440,Заказы!$A$2:$E$2995,4,FALSE())</f>
        <v>678</v>
      </c>
      <c r="K1440" s="1" t="str">
        <f aca="false">VLOOKUP(B1440,Заказы!$A$2:$E$2995,5,FALSE())</f>
        <v>Выполнено</v>
      </c>
      <c r="L1440" s="1" t="n">
        <f aca="false">D1440*F1440+J1440</f>
        <v>5638</v>
      </c>
      <c r="M1440" s="1" t="n">
        <f aca="false">IF(AND(E1440="Пицца Труслейка",I1440="г. Москва",K1440="Выполнено",G1440&gt;=DATE(2020,7,1),G1440&lt;DATE(2020,8,1)),L1440,0)</f>
        <v>0</v>
      </c>
    </row>
    <row r="1441" customFormat="false" ht="15" hidden="false" customHeight="true" outlineLevel="0" collapsed="false">
      <c r="A1441" s="1" t="n">
        <v>101098</v>
      </c>
      <c r="B1441" s="1" t="n">
        <v>50331</v>
      </c>
      <c r="C1441" s="1" t="n">
        <v>4</v>
      </c>
      <c r="D1441" s="1" t="n">
        <v>3</v>
      </c>
      <c r="E1441" s="1" t="str">
        <f aca="false">VLOOKUP(C1441,Меню!$A$2:$C$24,2,FALSE())</f>
        <v>Пицца Труслейка</v>
      </c>
      <c r="F1441" s="1" t="n">
        <f aca="false">VLOOKUP(C1441,Меню!$A$2:$C$24,3,FALSE())</f>
        <v>610</v>
      </c>
      <c r="G1441" s="5" t="n">
        <f aca="false">VLOOKUP(B1441,Заказы!$A$2:$E$2995,2,FALSE())</f>
        <v>43995</v>
      </c>
      <c r="H1441" s="1" t="n">
        <f aca="false">VLOOKUP(B1441,Заказы!$A$2:$E$2995,3,FALSE())</f>
        <v>600</v>
      </c>
      <c r="I1441" s="1" t="str">
        <f aca="false">VLOOKUP(H1441,Клиенты!$A$2:$E$1995,5,FALSE())</f>
        <v>г. Москва</v>
      </c>
      <c r="J1441" s="1" t="n">
        <f aca="false">VLOOKUP(B1441,Заказы!$A$2:$E$2995,4,FALSE())</f>
        <v>0</v>
      </c>
      <c r="K1441" s="1" t="str">
        <f aca="false">VLOOKUP(B1441,Заказы!$A$2:$E$2995,5,FALSE())</f>
        <v>Не выполнено</v>
      </c>
      <c r="L1441" s="1" t="n">
        <f aca="false">D1441*F1441+J1441</f>
        <v>1830</v>
      </c>
      <c r="M1441" s="1" t="n">
        <f aca="false">IF(AND(E1441="Пицца Труслейка",I1441="г. Москва",K1441="Выполнено",G1441&gt;=DATE(2020,7,1),G1441&lt;DATE(2020,8,1)),L1441,0)</f>
        <v>0</v>
      </c>
    </row>
    <row r="1442" customFormat="false" ht="15" hidden="false" customHeight="true" outlineLevel="0" collapsed="false">
      <c r="A1442" s="1" t="n">
        <v>101400</v>
      </c>
      <c r="B1442" s="1" t="n">
        <v>50208</v>
      </c>
      <c r="C1442" s="1" t="n">
        <v>18</v>
      </c>
      <c r="D1442" s="1" t="n">
        <v>8</v>
      </c>
      <c r="E1442" s="1" t="str">
        <f aca="false">VLOOKUP(C1442,Меню!$A$2:$C$24,2,FALSE())</f>
        <v>Пицца Царская</v>
      </c>
      <c r="F1442" s="1" t="n">
        <f aca="false">VLOOKUP(C1442,Меню!$A$2:$C$24,3,FALSE())</f>
        <v>620</v>
      </c>
      <c r="G1442" s="5" t="n">
        <f aca="false">VLOOKUP(B1442,Заказы!$A$2:$E$2995,2,FALSE())</f>
        <v>44050</v>
      </c>
      <c r="H1442" s="1" t="n">
        <f aca="false">VLOOKUP(B1442,Заказы!$A$2:$E$2995,3,FALSE())</f>
        <v>1790</v>
      </c>
      <c r="I1442" s="1" t="str">
        <f aca="false">VLOOKUP(H1442,Клиенты!$A$2:$E$1995,5,FALSE())</f>
        <v>г. Москва</v>
      </c>
      <c r="J1442" s="1" t="n">
        <f aca="false">VLOOKUP(B1442,Заказы!$A$2:$E$2995,4,FALSE())</f>
        <v>0</v>
      </c>
      <c r="K1442" s="1" t="str">
        <f aca="false">VLOOKUP(B1442,Заказы!$A$2:$E$2995,5,FALSE())</f>
        <v>Не выполнено</v>
      </c>
      <c r="L1442" s="1" t="n">
        <f aca="false">D1442*F1442+J1442</f>
        <v>4960</v>
      </c>
      <c r="M1442" s="1" t="n">
        <f aca="false">IF(AND(E1442="Пицца Труслейка",I1442="г. Москва",K1442="Выполнено",G1442&gt;=DATE(2020,7,1),G1442&lt;DATE(2020,8,1)),L1442,0)</f>
        <v>0</v>
      </c>
    </row>
    <row r="1443" customFormat="false" ht="15" hidden="false" customHeight="true" outlineLevel="0" collapsed="false">
      <c r="A1443" s="1" t="n">
        <v>100473</v>
      </c>
      <c r="B1443" s="1" t="n">
        <v>50097</v>
      </c>
      <c r="C1443" s="1" t="n">
        <v>22</v>
      </c>
      <c r="D1443" s="1" t="n">
        <v>8</v>
      </c>
      <c r="E1443" s="1" t="str">
        <f aca="false">VLOOKUP(C1443,Меню!$A$2:$C$24,2,FALSE())</f>
        <v>Пицца с поркеттой и фриарелли</v>
      </c>
      <c r="F1443" s="1" t="n">
        <f aca="false">VLOOKUP(C1443,Меню!$A$2:$C$24,3,FALSE())</f>
        <v>550</v>
      </c>
      <c r="G1443" s="5" t="n">
        <f aca="false">VLOOKUP(B1443,Заказы!$A$2:$E$2995,2,FALSE())</f>
        <v>44062</v>
      </c>
      <c r="H1443" s="1" t="n">
        <f aca="false">VLOOKUP(B1443,Заказы!$A$2:$E$2995,3,FALSE())</f>
        <v>565</v>
      </c>
      <c r="I1443" s="1" t="str">
        <f aca="false">VLOOKUP(H1443,Клиенты!$A$2:$E$1995,5,FALSE())</f>
        <v>г. Агрыз</v>
      </c>
      <c r="J1443" s="1" t="n">
        <f aca="false">VLOOKUP(B1443,Заказы!$A$2:$E$2995,4,FALSE())</f>
        <v>0</v>
      </c>
      <c r="K1443" s="1" t="str">
        <f aca="false">VLOOKUP(B1443,Заказы!$A$2:$E$2995,5,FALSE())</f>
        <v>Не выполнено</v>
      </c>
      <c r="L1443" s="1" t="n">
        <f aca="false">D1443*F1443+J1443</f>
        <v>4400</v>
      </c>
      <c r="M1443" s="1" t="n">
        <f aca="false">IF(AND(E1443="Пицца Труслейка",I1443="г. Москва",K1443="Выполнено",G1443&gt;=DATE(2020,7,1),G1443&lt;DATE(2020,8,1)),L1443,0)</f>
        <v>0</v>
      </c>
    </row>
    <row r="1444" customFormat="false" ht="15" hidden="false" customHeight="true" outlineLevel="0" collapsed="false">
      <c r="A1444" s="1" t="n">
        <v>101201</v>
      </c>
      <c r="B1444" s="1" t="n">
        <v>51229</v>
      </c>
      <c r="C1444" s="1" t="n">
        <v>2</v>
      </c>
      <c r="D1444" s="1" t="n">
        <v>9</v>
      </c>
      <c r="E1444" s="1" t="str">
        <f aca="false">VLOOKUP(C1444,Меню!$A$2:$C$24,2,FALSE())</f>
        <v>Пицца Двойная пепперони</v>
      </c>
      <c r="F1444" s="1" t="n">
        <f aca="false">VLOOKUP(C1444,Меню!$A$2:$C$24,3,FALSE())</f>
        <v>575</v>
      </c>
      <c r="G1444" s="5" t="n">
        <f aca="false">VLOOKUP(B1444,Заказы!$A$2:$E$2995,2,FALSE())</f>
        <v>44008</v>
      </c>
      <c r="H1444" s="1" t="n">
        <f aca="false">VLOOKUP(B1444,Заказы!$A$2:$E$2995,3,FALSE())</f>
        <v>1499</v>
      </c>
      <c r="I1444" s="1" t="str">
        <f aca="false">VLOOKUP(H1444,Клиенты!$A$2:$E$1995,5,FALSE())</f>
        <v>г. Ковдор</v>
      </c>
      <c r="J1444" s="1" t="n">
        <f aca="false">VLOOKUP(B1444,Заказы!$A$2:$E$2995,4,FALSE())</f>
        <v>0</v>
      </c>
      <c r="K1444" s="1" t="str">
        <f aca="false">VLOOKUP(B1444,Заказы!$A$2:$E$2995,5,FALSE())</f>
        <v>Не выполнено</v>
      </c>
      <c r="L1444" s="1" t="n">
        <f aca="false">D1444*F1444+J1444</f>
        <v>5175</v>
      </c>
      <c r="M1444" s="1" t="n">
        <f aca="false">IF(AND(E1444="Пицца Труслейка",I1444="г. Москва",K1444="Выполнено",G1444&gt;=DATE(2020,7,1),G1444&lt;DATE(2020,8,1)),L1444,0)</f>
        <v>0</v>
      </c>
    </row>
    <row r="1445" customFormat="false" ht="15" hidden="false" customHeight="true" outlineLevel="0" collapsed="false">
      <c r="A1445" s="1" t="n">
        <v>101256</v>
      </c>
      <c r="B1445" s="1" t="n">
        <v>51042</v>
      </c>
      <c r="C1445" s="1" t="n">
        <v>13</v>
      </c>
      <c r="D1445" s="1" t="n">
        <v>1</v>
      </c>
      <c r="E1445" s="1" t="str">
        <f aca="false">VLOOKUP(C1445,Меню!$A$2:$C$24,2,FALSE())</f>
        <v>Пицца Сырная</v>
      </c>
      <c r="F1445" s="1" t="n">
        <f aca="false">VLOOKUP(C1445,Меню!$A$2:$C$24,3,FALSE())</f>
        <v>635</v>
      </c>
      <c r="G1445" s="5" t="n">
        <f aca="false">VLOOKUP(B1445,Заказы!$A$2:$E$2995,2,FALSE())</f>
        <v>44042</v>
      </c>
      <c r="H1445" s="1" t="n">
        <f aca="false">VLOOKUP(B1445,Заказы!$A$2:$E$2995,3,FALSE())</f>
        <v>1895</v>
      </c>
      <c r="I1445" s="1" t="str">
        <f aca="false">VLOOKUP(H1445,Клиенты!$A$2:$E$1995,5,FALSE())</f>
        <v>г. Костерёво</v>
      </c>
      <c r="J1445" s="1" t="n">
        <f aca="false">VLOOKUP(B1445,Заказы!$A$2:$E$2995,4,FALSE())</f>
        <v>822</v>
      </c>
      <c r="K1445" s="1" t="str">
        <f aca="false">VLOOKUP(B1445,Заказы!$A$2:$E$2995,5,FALSE())</f>
        <v>Выполнено</v>
      </c>
      <c r="L1445" s="1" t="n">
        <f aca="false">D1445*F1445+J1445</f>
        <v>1457</v>
      </c>
      <c r="M1445" s="1" t="n">
        <f aca="false">IF(AND(E1445="Пицца Труслейка",I1445="г. Москва",K1445="Выполнено",G1445&gt;=DATE(2020,7,1),G1445&lt;DATE(2020,8,1)),L1445,0)</f>
        <v>0</v>
      </c>
    </row>
    <row r="1446" customFormat="false" ht="15" hidden="false" customHeight="true" outlineLevel="0" collapsed="false">
      <c r="A1446" s="1" t="n">
        <v>101778</v>
      </c>
      <c r="B1446" s="1" t="n">
        <v>51579</v>
      </c>
      <c r="C1446" s="1" t="n">
        <v>4</v>
      </c>
      <c r="D1446" s="1" t="n">
        <v>3</v>
      </c>
      <c r="E1446" s="1" t="str">
        <f aca="false">VLOOKUP(C1446,Меню!$A$2:$C$24,2,FALSE())</f>
        <v>Пицца Труслейка</v>
      </c>
      <c r="F1446" s="1" t="n">
        <f aca="false">VLOOKUP(C1446,Меню!$A$2:$C$24,3,FALSE())</f>
        <v>610</v>
      </c>
      <c r="G1446" s="5" t="n">
        <f aca="false">VLOOKUP(B1446,Заказы!$A$2:$E$2995,2,FALSE())</f>
        <v>44038</v>
      </c>
      <c r="H1446" s="1" t="n">
        <f aca="false">VLOOKUP(B1446,Заказы!$A$2:$E$2995,3,FALSE())</f>
        <v>333</v>
      </c>
      <c r="I1446" s="1" t="str">
        <f aca="false">VLOOKUP(H1446,Клиенты!$A$2:$E$1995,5,FALSE())</f>
        <v>г. Болохово</v>
      </c>
      <c r="J1446" s="1" t="n">
        <f aca="false">VLOOKUP(B1446,Заказы!$A$2:$E$2995,4,FALSE())</f>
        <v>357</v>
      </c>
      <c r="K1446" s="1" t="str">
        <f aca="false">VLOOKUP(B1446,Заказы!$A$2:$E$2995,5,FALSE())</f>
        <v>Выполнено</v>
      </c>
      <c r="L1446" s="1" t="n">
        <f aca="false">D1446*F1446+J1446</f>
        <v>2187</v>
      </c>
      <c r="M1446" s="1" t="n">
        <f aca="false">IF(AND(E1446="Пицца Труслейка",I1446="г. Москва",K1446="Выполнено",G1446&gt;=DATE(2020,7,1),G1446&lt;DATE(2020,8,1)),L1446,0)</f>
        <v>0</v>
      </c>
    </row>
    <row r="1447" customFormat="false" ht="15" hidden="false" customHeight="true" outlineLevel="0" collapsed="false">
      <c r="A1447" s="1" t="n">
        <v>101539</v>
      </c>
      <c r="B1447" s="1" t="n">
        <v>51245</v>
      </c>
      <c r="C1447" s="1" t="n">
        <v>1</v>
      </c>
      <c r="D1447" s="1" t="n">
        <v>1</v>
      </c>
      <c r="E1447" s="1" t="str">
        <f aca="false">VLOOKUP(C1447,Меню!$A$2:$C$24,2,FALSE())</f>
        <v>Пицца Гавайская</v>
      </c>
      <c r="F1447" s="1" t="n">
        <f aca="false">VLOOKUP(C1447,Меню!$A$2:$C$24,3,FALSE())</f>
        <v>545</v>
      </c>
      <c r="G1447" s="5" t="n">
        <f aca="false">VLOOKUP(B1447,Заказы!$A$2:$E$2995,2,FALSE())</f>
        <v>43987</v>
      </c>
      <c r="H1447" s="1" t="n">
        <f aca="false">VLOOKUP(B1447,Заказы!$A$2:$E$2995,3,FALSE())</f>
        <v>620</v>
      </c>
      <c r="I1447" s="1" t="str">
        <f aca="false">VLOOKUP(H1447,Клиенты!$A$2:$E$1995,5,FALSE())</f>
        <v>г. Москва</v>
      </c>
      <c r="J1447" s="1" t="n">
        <f aca="false">VLOOKUP(B1447,Заказы!$A$2:$E$2995,4,FALSE())</f>
        <v>658</v>
      </c>
      <c r="K1447" s="1" t="str">
        <f aca="false">VLOOKUP(B1447,Заказы!$A$2:$E$2995,5,FALSE())</f>
        <v>Выполнено</v>
      </c>
      <c r="L1447" s="1" t="n">
        <f aca="false">D1447*F1447+J1447</f>
        <v>1203</v>
      </c>
      <c r="M1447" s="1" t="n">
        <f aca="false">IF(AND(E1447="Пицца Труслейка",I1447="г. Москва",K1447="Выполнено",G1447&gt;=DATE(2020,7,1),G1447&lt;DATE(2020,8,1)),L1447,0)</f>
        <v>0</v>
      </c>
    </row>
    <row r="1448" customFormat="false" ht="15" hidden="false" customHeight="true" outlineLevel="0" collapsed="false">
      <c r="A1448" s="1" t="n">
        <v>101045</v>
      </c>
      <c r="B1448" s="1" t="n">
        <v>50029</v>
      </c>
      <c r="C1448" s="1" t="n">
        <v>8</v>
      </c>
      <c r="D1448" s="1" t="n">
        <v>5</v>
      </c>
      <c r="E1448" s="1" t="str">
        <f aca="false">VLOOKUP(C1448,Меню!$A$2:$C$24,2,FALSE())</f>
        <v>Пицца Мясная</v>
      </c>
      <c r="F1448" s="1" t="n">
        <f aca="false">VLOOKUP(C1448,Меню!$A$2:$C$24,3,FALSE())</f>
        <v>615</v>
      </c>
      <c r="G1448" s="5" t="n">
        <f aca="false">VLOOKUP(B1448,Заказы!$A$2:$E$2995,2,FALSE())</f>
        <v>44010</v>
      </c>
      <c r="H1448" s="1" t="n">
        <f aca="false">VLOOKUP(B1448,Заказы!$A$2:$E$2995,3,FALSE())</f>
        <v>987</v>
      </c>
      <c r="I1448" s="1" t="str">
        <f aca="false">VLOOKUP(H1448,Клиенты!$A$2:$E$1995,5,FALSE())</f>
        <v>г. Нефтекамск</v>
      </c>
      <c r="J1448" s="1" t="n">
        <f aca="false">VLOOKUP(B1448,Заказы!$A$2:$E$2995,4,FALSE())</f>
        <v>166</v>
      </c>
      <c r="K1448" s="1" t="str">
        <f aca="false">VLOOKUP(B1448,Заказы!$A$2:$E$2995,5,FALSE())</f>
        <v>Выполнено</v>
      </c>
      <c r="L1448" s="1" t="n">
        <f aca="false">D1448*F1448+J1448</f>
        <v>3241</v>
      </c>
      <c r="M1448" s="1" t="n">
        <f aca="false">IF(AND(E1448="Пицца Труслейка",I1448="г. Москва",K1448="Выполнено",G1448&gt;=DATE(2020,7,1),G1448&lt;DATE(2020,8,1)),L1448,0)</f>
        <v>0</v>
      </c>
    </row>
    <row r="1449" customFormat="false" ht="15" hidden="false" customHeight="true" outlineLevel="0" collapsed="false">
      <c r="A1449" s="1" t="n">
        <v>101444</v>
      </c>
      <c r="B1449" s="1" t="n">
        <v>51741</v>
      </c>
      <c r="C1449" s="1" t="n">
        <v>23</v>
      </c>
      <c r="D1449" s="1" t="n">
        <v>8</v>
      </c>
      <c r="E1449" s="1" t="str">
        <f aca="false">VLOOKUP(C1449,Меню!$A$2:$C$24,2,FALSE())</f>
        <v>Пицца с тунцом</v>
      </c>
      <c r="F1449" s="1" t="n">
        <f aca="false">VLOOKUP(C1449,Меню!$A$2:$C$24,3,FALSE())</f>
        <v>520</v>
      </c>
      <c r="G1449" s="5" t="n">
        <f aca="false">VLOOKUP(B1449,Заказы!$A$2:$E$2995,2,FALSE())</f>
        <v>44061</v>
      </c>
      <c r="H1449" s="1" t="n">
        <f aca="false">VLOOKUP(B1449,Заказы!$A$2:$E$2995,3,FALSE())</f>
        <v>597</v>
      </c>
      <c r="I1449" s="1" t="str">
        <f aca="false">VLOOKUP(H1449,Клиенты!$A$2:$E$1995,5,FALSE())</f>
        <v>г. Стрежевой</v>
      </c>
      <c r="J1449" s="1" t="n">
        <f aca="false">VLOOKUP(B1449,Заказы!$A$2:$E$2995,4,FALSE())</f>
        <v>890</v>
      </c>
      <c r="K1449" s="1" t="str">
        <f aca="false">VLOOKUP(B1449,Заказы!$A$2:$E$2995,5,FALSE())</f>
        <v>Выполнено</v>
      </c>
      <c r="L1449" s="1" t="n">
        <f aca="false">D1449*F1449+J1449</f>
        <v>5050</v>
      </c>
      <c r="M1449" s="1" t="n">
        <f aca="false">IF(AND(E1449="Пицца Труслейка",I1449="г. Москва",K1449="Выполнено",G1449&gt;=DATE(2020,7,1),G1449&lt;DATE(2020,8,1)),L1449,0)</f>
        <v>0</v>
      </c>
    </row>
    <row r="1450" customFormat="false" ht="15" hidden="false" customHeight="true" outlineLevel="0" collapsed="false">
      <c r="A1450" s="1" t="n">
        <v>100484</v>
      </c>
      <c r="B1450" s="1" t="n">
        <v>50238</v>
      </c>
      <c r="C1450" s="1" t="n">
        <v>19</v>
      </c>
      <c r="D1450" s="1" t="n">
        <v>8</v>
      </c>
      <c r="E1450" s="1" t="str">
        <f aca="false">VLOOKUP(C1450,Меню!$A$2:$C$24,2,FALSE())</f>
        <v>Пицца Цезарь</v>
      </c>
      <c r="F1450" s="1" t="n">
        <f aca="false">VLOOKUP(C1450,Меню!$A$2:$C$24,3,FALSE())</f>
        <v>630</v>
      </c>
      <c r="G1450" s="5" t="n">
        <f aca="false">VLOOKUP(B1450,Заказы!$A$2:$E$2995,2,FALSE())</f>
        <v>43982</v>
      </c>
      <c r="H1450" s="1" t="n">
        <f aca="false">VLOOKUP(B1450,Заказы!$A$2:$E$2995,3,FALSE())</f>
        <v>1550</v>
      </c>
      <c r="I1450" s="1" t="str">
        <f aca="false">VLOOKUP(H1450,Клиенты!$A$2:$E$1995,5,FALSE())</f>
        <v>г. Москва</v>
      </c>
      <c r="J1450" s="1" t="n">
        <f aca="false">VLOOKUP(B1450,Заказы!$A$2:$E$2995,4,FALSE())</f>
        <v>564</v>
      </c>
      <c r="K1450" s="1" t="str">
        <f aca="false">VLOOKUP(B1450,Заказы!$A$2:$E$2995,5,FALSE())</f>
        <v>Выполнено</v>
      </c>
      <c r="L1450" s="1" t="n">
        <f aca="false">D1450*F1450+J1450</f>
        <v>5604</v>
      </c>
      <c r="M1450" s="1" t="n">
        <f aca="false">IF(AND(E1450="Пицца Труслейка",I1450="г. Москва",K1450="Выполнено",G1450&gt;=DATE(2020,7,1),G1450&lt;DATE(2020,8,1)),L1450,0)</f>
        <v>0</v>
      </c>
    </row>
    <row r="1451" customFormat="false" ht="15" hidden="false" customHeight="true" outlineLevel="0" collapsed="false">
      <c r="A1451" s="1" t="n">
        <v>101129</v>
      </c>
      <c r="B1451" s="1" t="n">
        <v>51428</v>
      </c>
      <c r="C1451" s="1" t="n">
        <v>4</v>
      </c>
      <c r="D1451" s="1" t="n">
        <v>5</v>
      </c>
      <c r="E1451" s="1" t="str">
        <f aca="false">VLOOKUP(C1451,Меню!$A$2:$C$24,2,FALSE())</f>
        <v>Пицца Труслейка</v>
      </c>
      <c r="F1451" s="1" t="n">
        <f aca="false">VLOOKUP(C1451,Меню!$A$2:$C$24,3,FALSE())</f>
        <v>610</v>
      </c>
      <c r="G1451" s="5" t="n">
        <f aca="false">VLOOKUP(B1451,Заказы!$A$2:$E$2995,2,FALSE())</f>
        <v>43989</v>
      </c>
      <c r="H1451" s="1" t="n">
        <f aca="false">VLOOKUP(B1451,Заказы!$A$2:$E$2995,3,FALSE())</f>
        <v>205</v>
      </c>
      <c r="I1451" s="1" t="str">
        <f aca="false">VLOOKUP(H1451,Клиенты!$A$2:$E$1995,5,FALSE())</f>
        <v>г. Североморск</v>
      </c>
      <c r="J1451" s="1" t="n">
        <f aca="false">VLOOKUP(B1451,Заказы!$A$2:$E$2995,4,FALSE())</f>
        <v>452</v>
      </c>
      <c r="K1451" s="1" t="str">
        <f aca="false">VLOOKUP(B1451,Заказы!$A$2:$E$2995,5,FALSE())</f>
        <v>Выполнено</v>
      </c>
      <c r="L1451" s="1" t="n">
        <f aca="false">D1451*F1451+J1451</f>
        <v>3502</v>
      </c>
      <c r="M1451" s="1" t="n">
        <f aca="false">IF(AND(E1451="Пицца Труслейка",I1451="г. Москва",K1451="Выполнено",G1451&gt;=DATE(2020,7,1),G1451&lt;DATE(2020,8,1)),L1451,0)</f>
        <v>0</v>
      </c>
    </row>
    <row r="1452" customFormat="false" ht="15" hidden="false" customHeight="true" outlineLevel="0" collapsed="false">
      <c r="A1452" s="1" t="n">
        <v>100601</v>
      </c>
      <c r="B1452" s="1" t="n">
        <v>50197</v>
      </c>
      <c r="C1452" s="1" t="n">
        <v>10</v>
      </c>
      <c r="D1452" s="1" t="n">
        <v>10</v>
      </c>
      <c r="E1452" s="1" t="str">
        <f aca="false">VLOOKUP(C1452,Меню!$A$2:$C$24,2,FALSE())</f>
        <v>Пицца Пепперони фреш</v>
      </c>
      <c r="F1452" s="1" t="n">
        <f aca="false">VLOOKUP(C1452,Меню!$A$2:$C$24,3,FALSE())</f>
        <v>565</v>
      </c>
      <c r="G1452" s="5" t="n">
        <f aca="false">VLOOKUP(B1452,Заказы!$A$2:$E$2995,2,FALSE())</f>
        <v>44026</v>
      </c>
      <c r="H1452" s="1" t="n">
        <f aca="false">VLOOKUP(B1452,Заказы!$A$2:$E$2995,3,FALSE())</f>
        <v>1904</v>
      </c>
      <c r="I1452" s="1" t="str">
        <f aca="false">VLOOKUP(H1452,Клиенты!$A$2:$E$1995,5,FALSE())</f>
        <v>г. Алатырь</v>
      </c>
      <c r="J1452" s="1" t="n">
        <f aca="false">VLOOKUP(B1452,Заказы!$A$2:$E$2995,4,FALSE())</f>
        <v>0</v>
      </c>
      <c r="K1452" s="1" t="str">
        <f aca="false">VLOOKUP(B1452,Заказы!$A$2:$E$2995,5,FALSE())</f>
        <v>Не выполнено</v>
      </c>
      <c r="L1452" s="1" t="n">
        <f aca="false">D1452*F1452+J1452</f>
        <v>5650</v>
      </c>
      <c r="M1452" s="1" t="n">
        <f aca="false">IF(AND(E1452="Пицца Труслейка",I1452="г. Москва",K1452="Выполнено",G1452&gt;=DATE(2020,7,1),G1452&lt;DATE(2020,8,1)),L1452,0)</f>
        <v>0</v>
      </c>
    </row>
    <row r="1453" customFormat="false" ht="15" hidden="false" customHeight="true" outlineLevel="0" collapsed="false">
      <c r="A1453" s="1" t="n">
        <v>101847</v>
      </c>
      <c r="B1453" s="1" t="n">
        <v>50515</v>
      </c>
      <c r="C1453" s="1" t="n">
        <v>3</v>
      </c>
      <c r="D1453" s="1" t="n">
        <v>3</v>
      </c>
      <c r="E1453" s="1" t="str">
        <f aca="false">VLOOKUP(C1453,Меню!$A$2:$C$24,2,FALSE())</f>
        <v>Пицца Диабло</v>
      </c>
      <c r="F1453" s="1" t="n">
        <f aca="false">VLOOKUP(C1453,Меню!$A$2:$C$24,3,FALSE())</f>
        <v>590</v>
      </c>
      <c r="G1453" s="5" t="n">
        <f aca="false">VLOOKUP(B1453,Заказы!$A$2:$E$2995,2,FALSE())</f>
        <v>43982</v>
      </c>
      <c r="H1453" s="1" t="n">
        <f aca="false">VLOOKUP(B1453,Заказы!$A$2:$E$2995,3,FALSE())</f>
        <v>1728</v>
      </c>
      <c r="I1453" s="1" t="str">
        <f aca="false">VLOOKUP(H1453,Клиенты!$A$2:$E$1995,5,FALSE())</f>
        <v>г. Красавино</v>
      </c>
      <c r="J1453" s="1" t="n">
        <f aca="false">VLOOKUP(B1453,Заказы!$A$2:$E$2995,4,FALSE())</f>
        <v>0</v>
      </c>
      <c r="K1453" s="1" t="str">
        <f aca="false">VLOOKUP(B1453,Заказы!$A$2:$E$2995,5,FALSE())</f>
        <v>Не выполнено</v>
      </c>
      <c r="L1453" s="1" t="n">
        <f aca="false">D1453*F1453+J1453</f>
        <v>1770</v>
      </c>
      <c r="M1453" s="1" t="n">
        <f aca="false">IF(AND(E1453="Пицца Труслейка",I1453="г. Москва",K1453="Выполнено",G1453&gt;=DATE(2020,7,1),G1453&lt;DATE(2020,8,1)),L1453,0)</f>
        <v>0</v>
      </c>
    </row>
    <row r="1454" customFormat="false" ht="15" hidden="false" customHeight="true" outlineLevel="0" collapsed="false">
      <c r="A1454" s="1" t="n">
        <v>100123</v>
      </c>
      <c r="B1454" s="1" t="n">
        <v>51687</v>
      </c>
      <c r="C1454" s="1" t="n">
        <v>9</v>
      </c>
      <c r="D1454" s="1" t="n">
        <v>9</v>
      </c>
      <c r="E1454" s="1" t="str">
        <f aca="false">VLOOKUP(C1454,Меню!$A$2:$C$24,2,FALSE())</f>
        <v>Пицца Острая с беконом</v>
      </c>
      <c r="F1454" s="1" t="n">
        <f aca="false">VLOOKUP(C1454,Меню!$A$2:$C$24,3,FALSE())</f>
        <v>540</v>
      </c>
      <c r="G1454" s="5" t="n">
        <f aca="false">VLOOKUP(B1454,Заказы!$A$2:$E$2995,2,FALSE())</f>
        <v>44053</v>
      </c>
      <c r="H1454" s="1" t="n">
        <f aca="false">VLOOKUP(B1454,Заказы!$A$2:$E$2995,3,FALSE())</f>
        <v>1315</v>
      </c>
      <c r="I1454" s="1" t="str">
        <f aca="false">VLOOKUP(H1454,Клиенты!$A$2:$E$1995,5,FALSE())</f>
        <v>г. Ревда</v>
      </c>
      <c r="J1454" s="1" t="n">
        <f aca="false">VLOOKUP(B1454,Заказы!$A$2:$E$2995,4,FALSE())</f>
        <v>0</v>
      </c>
      <c r="K1454" s="1" t="str">
        <f aca="false">VLOOKUP(B1454,Заказы!$A$2:$E$2995,5,FALSE())</f>
        <v>Не выполнено</v>
      </c>
      <c r="L1454" s="1" t="n">
        <f aca="false">D1454*F1454+J1454</f>
        <v>4860</v>
      </c>
      <c r="M1454" s="1" t="n">
        <f aca="false">IF(AND(E1454="Пицца Труслейка",I1454="г. Москва",K1454="Выполнено",G1454&gt;=DATE(2020,7,1),G1454&lt;DATE(2020,8,1)),L1454,0)</f>
        <v>0</v>
      </c>
    </row>
    <row r="1455" customFormat="false" ht="15" hidden="false" customHeight="true" outlineLevel="0" collapsed="false">
      <c r="A1455" s="1" t="n">
        <v>101207</v>
      </c>
      <c r="B1455" s="1" t="n">
        <v>51533</v>
      </c>
      <c r="C1455" s="1" t="n">
        <v>11</v>
      </c>
      <c r="D1455" s="1" t="n">
        <v>1</v>
      </c>
      <c r="E1455" s="1" t="str">
        <f aca="false">VLOOKUP(C1455,Меню!$A$2:$C$24,2,FALSE())</f>
        <v>Пицца Песто</v>
      </c>
      <c r="F1455" s="1" t="n">
        <f aca="false">VLOOKUP(C1455,Меню!$A$2:$C$24,3,FALSE())</f>
        <v>530</v>
      </c>
      <c r="G1455" s="5" t="n">
        <f aca="false">VLOOKUP(B1455,Заказы!$A$2:$E$2995,2,FALSE())</f>
        <v>44024</v>
      </c>
      <c r="H1455" s="1" t="n">
        <f aca="false">VLOOKUP(B1455,Заказы!$A$2:$E$2995,3,FALSE())</f>
        <v>1819</v>
      </c>
      <c r="I1455" s="1" t="str">
        <f aca="false">VLOOKUP(H1455,Клиенты!$A$2:$E$1995,5,FALSE())</f>
        <v>г. Кудымкар</v>
      </c>
      <c r="J1455" s="1" t="n">
        <f aca="false">VLOOKUP(B1455,Заказы!$A$2:$E$2995,4,FALSE())</f>
        <v>0</v>
      </c>
      <c r="K1455" s="1" t="str">
        <f aca="false">VLOOKUP(B1455,Заказы!$A$2:$E$2995,5,FALSE())</f>
        <v>Не выполнено</v>
      </c>
      <c r="L1455" s="1" t="n">
        <f aca="false">D1455*F1455+J1455</f>
        <v>530</v>
      </c>
      <c r="M1455" s="1" t="n">
        <f aca="false">IF(AND(E1455="Пицца Труслейка",I1455="г. Москва",K1455="Выполнено",G1455&gt;=DATE(2020,7,1),G1455&lt;DATE(2020,8,1)),L1455,0)</f>
        <v>0</v>
      </c>
    </row>
    <row r="1456" customFormat="false" ht="15" hidden="false" customHeight="true" outlineLevel="0" collapsed="false">
      <c r="A1456" s="1" t="n">
        <v>101212</v>
      </c>
      <c r="B1456" s="1" t="n">
        <v>50360</v>
      </c>
      <c r="C1456" s="1" t="n">
        <v>15</v>
      </c>
      <c r="D1456" s="1" t="n">
        <v>7</v>
      </c>
      <c r="E1456" s="1" t="str">
        <f aca="false">VLOOKUP(C1456,Меню!$A$2:$C$24,2,FALSE())</f>
        <v>Пицца Тропиканка</v>
      </c>
      <c r="F1456" s="1" t="n">
        <f aca="false">VLOOKUP(C1456,Меню!$A$2:$C$24,3,FALSE())</f>
        <v>605</v>
      </c>
      <c r="G1456" s="5" t="n">
        <f aca="false">VLOOKUP(B1456,Заказы!$A$2:$E$2995,2,FALSE())</f>
        <v>44007</v>
      </c>
      <c r="H1456" s="1" t="n">
        <f aca="false">VLOOKUP(B1456,Заказы!$A$2:$E$2995,3,FALSE())</f>
        <v>1655</v>
      </c>
      <c r="I1456" s="1" t="str">
        <f aca="false">VLOOKUP(H1456,Клиенты!$A$2:$E$1995,5,FALSE())</f>
        <v>г. Тара</v>
      </c>
      <c r="J1456" s="1" t="n">
        <f aca="false">VLOOKUP(B1456,Заказы!$A$2:$E$2995,4,FALSE())</f>
        <v>0</v>
      </c>
      <c r="K1456" s="1" t="str">
        <f aca="false">VLOOKUP(B1456,Заказы!$A$2:$E$2995,5,FALSE())</f>
        <v>Не выполнено</v>
      </c>
      <c r="L1456" s="1" t="n">
        <f aca="false">D1456*F1456+J1456</f>
        <v>4235</v>
      </c>
      <c r="M1456" s="1" t="n">
        <f aca="false">IF(AND(E1456="Пицца Труслейка",I1456="г. Москва",K1456="Выполнено",G1456&gt;=DATE(2020,7,1),G1456&lt;DATE(2020,8,1)),L1456,0)</f>
        <v>0</v>
      </c>
    </row>
    <row r="1457" customFormat="false" ht="15" hidden="false" customHeight="true" outlineLevel="0" collapsed="false">
      <c r="A1457" s="1" t="n">
        <v>101972</v>
      </c>
      <c r="B1457" s="1" t="n">
        <v>50881</v>
      </c>
      <c r="C1457" s="1" t="n">
        <v>1</v>
      </c>
      <c r="D1457" s="1" t="n">
        <v>6</v>
      </c>
      <c r="E1457" s="1" t="str">
        <f aca="false">VLOOKUP(C1457,Меню!$A$2:$C$24,2,FALSE())</f>
        <v>Пицца Гавайская</v>
      </c>
      <c r="F1457" s="1" t="n">
        <f aca="false">VLOOKUP(C1457,Меню!$A$2:$C$24,3,FALSE())</f>
        <v>545</v>
      </c>
      <c r="G1457" s="5" t="n">
        <f aca="false">VLOOKUP(B1457,Заказы!$A$2:$E$2995,2,FALSE())</f>
        <v>44028</v>
      </c>
      <c r="H1457" s="1" t="n">
        <f aca="false">VLOOKUP(B1457,Заказы!$A$2:$E$2995,3,FALSE())</f>
        <v>512</v>
      </c>
      <c r="I1457" s="1" t="str">
        <f aca="false">VLOOKUP(H1457,Клиенты!$A$2:$E$1995,5,FALSE())</f>
        <v>г. Нюрба</v>
      </c>
      <c r="J1457" s="1" t="n">
        <f aca="false">VLOOKUP(B1457,Заказы!$A$2:$E$2995,4,FALSE())</f>
        <v>599</v>
      </c>
      <c r="K1457" s="1" t="str">
        <f aca="false">VLOOKUP(B1457,Заказы!$A$2:$E$2995,5,FALSE())</f>
        <v>Выполнено</v>
      </c>
      <c r="L1457" s="1" t="n">
        <f aca="false">D1457*F1457+J1457</f>
        <v>3869</v>
      </c>
      <c r="M1457" s="1" t="n">
        <f aca="false">IF(AND(E1457="Пицца Труслейка",I1457="г. Москва",K1457="Выполнено",G1457&gt;=DATE(2020,7,1),G1457&lt;DATE(2020,8,1)),L1457,0)</f>
        <v>0</v>
      </c>
    </row>
    <row r="1458" customFormat="false" ht="15" hidden="false" customHeight="true" outlineLevel="0" collapsed="false">
      <c r="A1458" s="1" t="n">
        <v>100745</v>
      </c>
      <c r="B1458" s="1" t="n">
        <v>51828</v>
      </c>
      <c r="C1458" s="1" t="n">
        <v>18</v>
      </c>
      <c r="D1458" s="1" t="n">
        <v>8</v>
      </c>
      <c r="E1458" s="1" t="str">
        <f aca="false">VLOOKUP(C1458,Меню!$A$2:$C$24,2,FALSE())</f>
        <v>Пицца Царская</v>
      </c>
      <c r="F1458" s="1" t="n">
        <f aca="false">VLOOKUP(C1458,Меню!$A$2:$C$24,3,FALSE())</f>
        <v>620</v>
      </c>
      <c r="G1458" s="5" t="n">
        <f aca="false">VLOOKUP(B1458,Заказы!$A$2:$E$2995,2,FALSE())</f>
        <v>44042</v>
      </c>
      <c r="H1458" s="1" t="n">
        <f aca="false">VLOOKUP(B1458,Заказы!$A$2:$E$2995,3,FALSE())</f>
        <v>1495</v>
      </c>
      <c r="I1458" s="1" t="str">
        <f aca="false">VLOOKUP(H1458,Клиенты!$A$2:$E$1995,5,FALSE())</f>
        <v>г. Гдов</v>
      </c>
      <c r="J1458" s="1" t="n">
        <f aca="false">VLOOKUP(B1458,Заказы!$A$2:$E$2995,4,FALSE())</f>
        <v>0</v>
      </c>
      <c r="K1458" s="1" t="str">
        <f aca="false">VLOOKUP(B1458,Заказы!$A$2:$E$2995,5,FALSE())</f>
        <v>Не выполнено</v>
      </c>
      <c r="L1458" s="1" t="n">
        <f aca="false">D1458*F1458+J1458</f>
        <v>4960</v>
      </c>
      <c r="M1458" s="1" t="n">
        <f aca="false">IF(AND(E1458="Пицца Труслейка",I1458="г. Москва",K1458="Выполнено",G1458&gt;=DATE(2020,7,1),G1458&lt;DATE(2020,8,1)),L1458,0)</f>
        <v>0</v>
      </c>
    </row>
    <row r="1459" customFormat="false" ht="15" hidden="false" customHeight="true" outlineLevel="0" collapsed="false">
      <c r="A1459" s="1" t="n">
        <v>101282</v>
      </c>
      <c r="B1459" s="1" t="n">
        <v>51706</v>
      </c>
      <c r="C1459" s="1" t="n">
        <v>7</v>
      </c>
      <c r="D1459" s="1" t="n">
        <v>8</v>
      </c>
      <c r="E1459" s="1" t="str">
        <f aca="false">VLOOKUP(C1459,Меню!$A$2:$C$24,2,FALSE())</f>
        <v>Пицца Карбонара</v>
      </c>
      <c r="F1459" s="1" t="n">
        <f aca="false">VLOOKUP(C1459,Меню!$A$2:$C$24,3,FALSE())</f>
        <v>625</v>
      </c>
      <c r="G1459" s="5" t="n">
        <f aca="false">VLOOKUP(B1459,Заказы!$A$2:$E$2995,2,FALSE())</f>
        <v>44072</v>
      </c>
      <c r="H1459" s="1" t="n">
        <f aca="false">VLOOKUP(B1459,Заказы!$A$2:$E$2995,3,FALSE())</f>
        <v>257</v>
      </c>
      <c r="I1459" s="1" t="str">
        <f aca="false">VLOOKUP(H1459,Клиенты!$A$2:$E$1995,5,FALSE())</f>
        <v>г. Берёзовский</v>
      </c>
      <c r="J1459" s="1" t="n">
        <f aca="false">VLOOKUP(B1459,Заказы!$A$2:$E$2995,4,FALSE())</f>
        <v>845</v>
      </c>
      <c r="K1459" s="1" t="str">
        <f aca="false">VLOOKUP(B1459,Заказы!$A$2:$E$2995,5,FALSE())</f>
        <v>Выполнено</v>
      </c>
      <c r="L1459" s="1" t="n">
        <f aca="false">D1459*F1459+J1459</f>
        <v>5845</v>
      </c>
      <c r="M1459" s="1" t="n">
        <f aca="false">IF(AND(E1459="Пицца Труслейка",I1459="г. Москва",K1459="Выполнено",G1459&gt;=DATE(2020,7,1),G1459&lt;DATE(2020,8,1)),L1459,0)</f>
        <v>0</v>
      </c>
    </row>
    <row r="1460" customFormat="false" ht="15" hidden="false" customHeight="true" outlineLevel="0" collapsed="false">
      <c r="A1460" s="1" t="n">
        <v>101057</v>
      </c>
      <c r="B1460" s="1" t="n">
        <v>51710</v>
      </c>
      <c r="C1460" s="1" t="n">
        <v>23</v>
      </c>
      <c r="D1460" s="1" t="n">
        <v>4</v>
      </c>
      <c r="E1460" s="1" t="str">
        <f aca="false">VLOOKUP(C1460,Меню!$A$2:$C$24,2,FALSE())</f>
        <v>Пицца с тунцом</v>
      </c>
      <c r="F1460" s="1" t="n">
        <f aca="false">VLOOKUP(C1460,Меню!$A$2:$C$24,3,FALSE())</f>
        <v>520</v>
      </c>
      <c r="G1460" s="5" t="n">
        <f aca="false">VLOOKUP(B1460,Заказы!$A$2:$E$2995,2,FALSE())</f>
        <v>44051</v>
      </c>
      <c r="H1460" s="1" t="n">
        <f aca="false">VLOOKUP(B1460,Заказы!$A$2:$E$2995,3,FALSE())</f>
        <v>1</v>
      </c>
      <c r="I1460" s="1" t="str">
        <f aca="false">VLOOKUP(H1460,Клиенты!$A$2:$E$1995,5,FALSE())</f>
        <v>г. Крымск</v>
      </c>
      <c r="J1460" s="1" t="n">
        <f aca="false">VLOOKUP(B1460,Заказы!$A$2:$E$2995,4,FALSE())</f>
        <v>0</v>
      </c>
      <c r="K1460" s="1" t="str">
        <f aca="false">VLOOKUP(B1460,Заказы!$A$2:$E$2995,5,FALSE())</f>
        <v>Не выполнено</v>
      </c>
      <c r="L1460" s="1" t="n">
        <f aca="false">D1460*F1460+J1460</f>
        <v>2080</v>
      </c>
      <c r="M1460" s="1" t="n">
        <f aca="false">IF(AND(E1460="Пицца Труслейка",I1460="г. Москва",K1460="Выполнено",G1460&gt;=DATE(2020,7,1),G1460&lt;DATE(2020,8,1)),L1460,0)</f>
        <v>0</v>
      </c>
    </row>
    <row r="1461" customFormat="false" ht="15" hidden="false" customHeight="true" outlineLevel="0" collapsed="false">
      <c r="A1461" s="1" t="n">
        <v>101962</v>
      </c>
      <c r="B1461" s="1" t="n">
        <v>50092</v>
      </c>
      <c r="C1461" s="1" t="n">
        <v>4</v>
      </c>
      <c r="D1461" s="1" t="n">
        <v>2</v>
      </c>
      <c r="E1461" s="1" t="str">
        <f aca="false">VLOOKUP(C1461,Меню!$A$2:$C$24,2,FALSE())</f>
        <v>Пицца Труслейка</v>
      </c>
      <c r="F1461" s="1" t="n">
        <f aca="false">VLOOKUP(C1461,Меню!$A$2:$C$24,3,FALSE())</f>
        <v>610</v>
      </c>
      <c r="G1461" s="5" t="n">
        <f aca="false">VLOOKUP(B1461,Заказы!$A$2:$E$2995,2,FALSE())</f>
        <v>44027</v>
      </c>
      <c r="H1461" s="1" t="n">
        <f aca="false">VLOOKUP(B1461,Заказы!$A$2:$E$2995,3,FALSE())</f>
        <v>695</v>
      </c>
      <c r="I1461" s="1" t="str">
        <f aca="false">VLOOKUP(H1461,Клиенты!$A$2:$E$1995,5,FALSE())</f>
        <v>г. Кизилюрт</v>
      </c>
      <c r="J1461" s="1" t="n">
        <f aca="false">VLOOKUP(B1461,Заказы!$A$2:$E$2995,4,FALSE())</f>
        <v>198</v>
      </c>
      <c r="K1461" s="1" t="str">
        <f aca="false">VLOOKUP(B1461,Заказы!$A$2:$E$2995,5,FALSE())</f>
        <v>Выполнено</v>
      </c>
      <c r="L1461" s="1" t="n">
        <f aca="false">D1461*F1461+J1461</f>
        <v>1418</v>
      </c>
      <c r="M1461" s="1" t="n">
        <f aca="false">IF(AND(E1461="Пицца Труслейка",I1461="г. Москва",K1461="Выполнено",G1461&gt;=DATE(2020,7,1),G1461&lt;DATE(2020,8,1)),L1461,0)</f>
        <v>0</v>
      </c>
    </row>
    <row r="1462" customFormat="false" ht="15" hidden="false" customHeight="true" outlineLevel="0" collapsed="false">
      <c r="A1462" s="1" t="n">
        <v>101739</v>
      </c>
      <c r="B1462" s="1" t="n">
        <v>50203</v>
      </c>
      <c r="C1462" s="1" t="n">
        <v>21</v>
      </c>
      <c r="D1462" s="1" t="n">
        <v>9</v>
      </c>
      <c r="E1462" s="1" t="str">
        <f aca="false">VLOOKUP(C1462,Меню!$A$2:$C$24,2,FALSE())</f>
        <v>Пицца с креветками и цукини</v>
      </c>
      <c r="F1462" s="1" t="n">
        <f aca="false">VLOOKUP(C1462,Меню!$A$2:$C$24,3,FALSE())</f>
        <v>600</v>
      </c>
      <c r="G1462" s="5" t="n">
        <f aca="false">VLOOKUP(B1462,Заказы!$A$2:$E$2995,2,FALSE())</f>
        <v>44052</v>
      </c>
      <c r="H1462" s="1" t="n">
        <f aca="false">VLOOKUP(B1462,Заказы!$A$2:$E$2995,3,FALSE())</f>
        <v>1887</v>
      </c>
      <c r="I1462" s="1" t="str">
        <f aca="false">VLOOKUP(H1462,Клиенты!$A$2:$E$1995,5,FALSE())</f>
        <v>г. Петропавловск-Камчатский</v>
      </c>
      <c r="J1462" s="1" t="n">
        <f aca="false">VLOOKUP(B1462,Заказы!$A$2:$E$2995,4,FALSE())</f>
        <v>0</v>
      </c>
      <c r="K1462" s="1" t="str">
        <f aca="false">VLOOKUP(B1462,Заказы!$A$2:$E$2995,5,FALSE())</f>
        <v>Не выполнено</v>
      </c>
      <c r="L1462" s="1" t="n">
        <f aca="false">D1462*F1462+J1462</f>
        <v>5400</v>
      </c>
      <c r="M1462" s="1" t="n">
        <f aca="false">IF(AND(E1462="Пицца Труслейка",I1462="г. Москва",K1462="Выполнено",G1462&gt;=DATE(2020,7,1),G1462&lt;DATE(2020,8,1)),L1462,0)</f>
        <v>0</v>
      </c>
    </row>
    <row r="1463" customFormat="false" ht="15" hidden="false" customHeight="true" outlineLevel="0" collapsed="false">
      <c r="A1463" s="1" t="n">
        <v>101311</v>
      </c>
      <c r="B1463" s="1" t="n">
        <v>50056</v>
      </c>
      <c r="C1463" s="1" t="n">
        <v>7</v>
      </c>
      <c r="D1463" s="1" t="n">
        <v>10</v>
      </c>
      <c r="E1463" s="1" t="str">
        <f aca="false">VLOOKUP(C1463,Меню!$A$2:$C$24,2,FALSE())</f>
        <v>Пицца Карбонара</v>
      </c>
      <c r="F1463" s="1" t="n">
        <f aca="false">VLOOKUP(C1463,Меню!$A$2:$C$24,3,FALSE())</f>
        <v>625</v>
      </c>
      <c r="G1463" s="5" t="n">
        <f aca="false">VLOOKUP(B1463,Заказы!$A$2:$E$2995,2,FALSE())</f>
        <v>44005</v>
      </c>
      <c r="H1463" s="1" t="n">
        <f aca="false">VLOOKUP(B1463,Заказы!$A$2:$E$2995,3,FALSE())</f>
        <v>455</v>
      </c>
      <c r="I1463" s="1" t="str">
        <f aca="false">VLOOKUP(H1463,Клиенты!$A$2:$E$1995,5,FALSE())</f>
        <v>г. Майкоп</v>
      </c>
      <c r="J1463" s="1" t="n">
        <f aca="false">VLOOKUP(B1463,Заказы!$A$2:$E$2995,4,FALSE())</f>
        <v>0</v>
      </c>
      <c r="K1463" s="1" t="str">
        <f aca="false">VLOOKUP(B1463,Заказы!$A$2:$E$2995,5,FALSE())</f>
        <v>Не выполнено</v>
      </c>
      <c r="L1463" s="1" t="n">
        <f aca="false">D1463*F1463+J1463</f>
        <v>6250</v>
      </c>
      <c r="M1463" s="1" t="n">
        <f aca="false">IF(AND(E1463="Пицца Труслейка",I1463="г. Москва",K1463="Выполнено",G1463&gt;=DATE(2020,7,1),G1463&lt;DATE(2020,8,1)),L1463,0)</f>
        <v>0</v>
      </c>
    </row>
    <row r="1464" customFormat="false" ht="15" hidden="false" customHeight="true" outlineLevel="0" collapsed="false">
      <c r="A1464" s="1" t="n">
        <v>100548</v>
      </c>
      <c r="B1464" s="1" t="n">
        <v>50004</v>
      </c>
      <c r="C1464" s="1" t="n">
        <v>9</v>
      </c>
      <c r="D1464" s="1" t="n">
        <v>2</v>
      </c>
      <c r="E1464" s="1" t="str">
        <f aca="false">VLOOKUP(C1464,Меню!$A$2:$C$24,2,FALSE())</f>
        <v>Пицца Острая с беконом</v>
      </c>
      <c r="F1464" s="1" t="n">
        <f aca="false">VLOOKUP(C1464,Меню!$A$2:$C$24,3,FALSE())</f>
        <v>540</v>
      </c>
      <c r="G1464" s="5" t="n">
        <f aca="false">VLOOKUP(B1464,Заказы!$A$2:$E$2995,2,FALSE())</f>
        <v>44038</v>
      </c>
      <c r="H1464" s="1" t="n">
        <f aca="false">VLOOKUP(B1464,Заказы!$A$2:$E$2995,3,FALSE())</f>
        <v>1243</v>
      </c>
      <c r="I1464" s="1" t="str">
        <f aca="false">VLOOKUP(H1464,Клиенты!$A$2:$E$1995,5,FALSE())</f>
        <v>г. Кыштым</v>
      </c>
      <c r="J1464" s="1" t="n">
        <f aca="false">VLOOKUP(B1464,Заказы!$A$2:$E$2995,4,FALSE())</f>
        <v>0</v>
      </c>
      <c r="K1464" s="1" t="str">
        <f aca="false">VLOOKUP(B1464,Заказы!$A$2:$E$2995,5,FALSE())</f>
        <v>Не выполнено</v>
      </c>
      <c r="L1464" s="1" t="n">
        <f aca="false">D1464*F1464+J1464</f>
        <v>1080</v>
      </c>
      <c r="M1464" s="1" t="n">
        <f aca="false">IF(AND(E1464="Пицца Труслейка",I1464="г. Москва",K1464="Выполнено",G1464&gt;=DATE(2020,7,1),G1464&lt;DATE(2020,8,1)),L1464,0)</f>
        <v>0</v>
      </c>
    </row>
    <row r="1465" customFormat="false" ht="15" hidden="false" customHeight="true" outlineLevel="0" collapsed="false">
      <c r="A1465" s="1" t="n">
        <v>101182</v>
      </c>
      <c r="B1465" s="1" t="n">
        <v>51806</v>
      </c>
      <c r="C1465" s="1" t="n">
        <v>11</v>
      </c>
      <c r="D1465" s="1" t="n">
        <v>1</v>
      </c>
      <c r="E1465" s="1" t="str">
        <f aca="false">VLOOKUP(C1465,Меню!$A$2:$C$24,2,FALSE())</f>
        <v>Пицца Песто</v>
      </c>
      <c r="F1465" s="1" t="n">
        <f aca="false">VLOOKUP(C1465,Меню!$A$2:$C$24,3,FALSE())</f>
        <v>530</v>
      </c>
      <c r="G1465" s="5" t="n">
        <f aca="false">VLOOKUP(B1465,Заказы!$A$2:$E$2995,2,FALSE())</f>
        <v>44033</v>
      </c>
      <c r="H1465" s="1" t="n">
        <f aca="false">VLOOKUP(B1465,Заказы!$A$2:$E$2995,3,FALSE())</f>
        <v>1410</v>
      </c>
      <c r="I1465" s="1" t="str">
        <f aca="false">VLOOKUP(H1465,Клиенты!$A$2:$E$1995,5,FALSE())</f>
        <v>г. Москва</v>
      </c>
      <c r="J1465" s="1" t="n">
        <f aca="false">VLOOKUP(B1465,Заказы!$A$2:$E$2995,4,FALSE())</f>
        <v>282</v>
      </c>
      <c r="K1465" s="1" t="str">
        <f aca="false">VLOOKUP(B1465,Заказы!$A$2:$E$2995,5,FALSE())</f>
        <v>Выполнено</v>
      </c>
      <c r="L1465" s="1" t="n">
        <f aca="false">D1465*F1465+J1465</f>
        <v>812</v>
      </c>
      <c r="M1465" s="1" t="n">
        <f aca="false">IF(AND(E1465="Пицца Труслейка",I1465="г. Москва",K1465="Выполнено",G1465&gt;=DATE(2020,7,1),G1465&lt;DATE(2020,8,1)),L1465,0)</f>
        <v>0</v>
      </c>
    </row>
    <row r="1466" customFormat="false" ht="15" hidden="false" customHeight="true" outlineLevel="0" collapsed="false">
      <c r="A1466" s="1" t="n">
        <v>100881</v>
      </c>
      <c r="B1466" s="1" t="n">
        <v>51678</v>
      </c>
      <c r="C1466" s="1" t="n">
        <v>7</v>
      </c>
      <c r="D1466" s="1" t="n">
        <v>6</v>
      </c>
      <c r="E1466" s="1" t="str">
        <f aca="false">VLOOKUP(C1466,Меню!$A$2:$C$24,2,FALSE())</f>
        <v>Пицца Карбонара</v>
      </c>
      <c r="F1466" s="1" t="n">
        <f aca="false">VLOOKUP(C1466,Меню!$A$2:$C$24,3,FALSE())</f>
        <v>625</v>
      </c>
      <c r="G1466" s="5" t="n">
        <f aca="false">VLOOKUP(B1466,Заказы!$A$2:$E$2995,2,FALSE())</f>
        <v>44052</v>
      </c>
      <c r="H1466" s="1" t="n">
        <f aca="false">VLOOKUP(B1466,Заказы!$A$2:$E$2995,3,FALSE())</f>
        <v>1756</v>
      </c>
      <c r="I1466" s="1" t="str">
        <f aca="false">VLOOKUP(H1466,Клиенты!$A$2:$E$1995,5,FALSE())</f>
        <v>г. Назарово</v>
      </c>
      <c r="J1466" s="1" t="n">
        <f aca="false">VLOOKUP(B1466,Заказы!$A$2:$E$2995,4,FALSE())</f>
        <v>0</v>
      </c>
      <c r="K1466" s="1" t="str">
        <f aca="false">VLOOKUP(B1466,Заказы!$A$2:$E$2995,5,FALSE())</f>
        <v>Не выполнено</v>
      </c>
      <c r="L1466" s="1" t="n">
        <f aca="false">D1466*F1466+J1466</f>
        <v>3750</v>
      </c>
      <c r="M1466" s="1" t="n">
        <f aca="false">IF(AND(E1466="Пицца Труслейка",I1466="г. Москва",K1466="Выполнено",G1466&gt;=DATE(2020,7,1),G1466&lt;DATE(2020,8,1)),L1466,0)</f>
        <v>0</v>
      </c>
    </row>
    <row r="1467" customFormat="false" ht="15" hidden="false" customHeight="true" outlineLevel="0" collapsed="false">
      <c r="A1467" s="1" t="n">
        <v>100469</v>
      </c>
      <c r="B1467" s="1" t="n">
        <v>50120</v>
      </c>
      <c r="C1467" s="1" t="n">
        <v>10</v>
      </c>
      <c r="D1467" s="1" t="n">
        <v>5</v>
      </c>
      <c r="E1467" s="1" t="str">
        <f aca="false">VLOOKUP(C1467,Меню!$A$2:$C$24,2,FALSE())</f>
        <v>Пицца Пепперони фреш</v>
      </c>
      <c r="F1467" s="1" t="n">
        <f aca="false">VLOOKUP(C1467,Меню!$A$2:$C$24,3,FALSE())</f>
        <v>565</v>
      </c>
      <c r="G1467" s="5" t="n">
        <f aca="false">VLOOKUP(B1467,Заказы!$A$2:$E$2995,2,FALSE())</f>
        <v>44052</v>
      </c>
      <c r="H1467" s="1" t="n">
        <f aca="false">VLOOKUP(B1467,Заказы!$A$2:$E$2995,3,FALSE())</f>
        <v>715</v>
      </c>
      <c r="I1467" s="1" t="str">
        <f aca="false">VLOOKUP(H1467,Клиенты!$A$2:$E$1995,5,FALSE())</f>
        <v>г. Мирный</v>
      </c>
      <c r="J1467" s="1" t="n">
        <f aca="false">VLOOKUP(B1467,Заказы!$A$2:$E$2995,4,FALSE())</f>
        <v>882</v>
      </c>
      <c r="K1467" s="1" t="str">
        <f aca="false">VLOOKUP(B1467,Заказы!$A$2:$E$2995,5,FALSE())</f>
        <v>Выполнено</v>
      </c>
      <c r="L1467" s="1" t="n">
        <f aca="false">D1467*F1467+J1467</f>
        <v>3707</v>
      </c>
      <c r="M1467" s="1" t="n">
        <f aca="false">IF(AND(E1467="Пицца Труслейка",I1467="г. Москва",K1467="Выполнено",G1467&gt;=DATE(2020,7,1),G1467&lt;DATE(2020,8,1)),L1467,0)</f>
        <v>0</v>
      </c>
    </row>
    <row r="1468" customFormat="false" ht="15" hidden="false" customHeight="true" outlineLevel="0" collapsed="false">
      <c r="A1468" s="1" t="n">
        <v>101777</v>
      </c>
      <c r="B1468" s="1" t="n">
        <v>50011</v>
      </c>
      <c r="C1468" s="1" t="n">
        <v>17</v>
      </c>
      <c r="D1468" s="1" t="n">
        <v>9</v>
      </c>
      <c r="E1468" s="1" t="str">
        <f aca="false">VLOOKUP(C1468,Меню!$A$2:$C$24,2,FALSE())</f>
        <v>Пицца Френч Фрайз</v>
      </c>
      <c r="F1468" s="1" t="n">
        <f aca="false">VLOOKUP(C1468,Меню!$A$2:$C$24,3,FALSE())</f>
        <v>515</v>
      </c>
      <c r="G1468" s="5" t="n">
        <f aca="false">VLOOKUP(B1468,Заказы!$A$2:$E$2995,2,FALSE())</f>
        <v>44035</v>
      </c>
      <c r="H1468" s="1" t="n">
        <f aca="false">VLOOKUP(B1468,Заказы!$A$2:$E$2995,3,FALSE())</f>
        <v>657</v>
      </c>
      <c r="I1468" s="1" t="str">
        <f aca="false">VLOOKUP(H1468,Клиенты!$A$2:$E$1995,5,FALSE())</f>
        <v>г. Таганрог</v>
      </c>
      <c r="J1468" s="1" t="n">
        <f aca="false">VLOOKUP(B1468,Заказы!$A$2:$E$2995,4,FALSE())</f>
        <v>760</v>
      </c>
      <c r="K1468" s="1" t="str">
        <f aca="false">VLOOKUP(B1468,Заказы!$A$2:$E$2995,5,FALSE())</f>
        <v>Выполнено</v>
      </c>
      <c r="L1468" s="1" t="n">
        <f aca="false">D1468*F1468+J1468</f>
        <v>5395</v>
      </c>
      <c r="M1468" s="1" t="n">
        <f aca="false">IF(AND(E1468="Пицца Труслейка",I1468="г. Москва",K1468="Выполнено",G1468&gt;=DATE(2020,7,1),G1468&lt;DATE(2020,8,1)),L1468,0)</f>
        <v>0</v>
      </c>
    </row>
    <row r="1469" customFormat="false" ht="15" hidden="false" customHeight="true" outlineLevel="0" collapsed="false">
      <c r="A1469" s="1" t="n">
        <v>100770</v>
      </c>
      <c r="B1469" s="1" t="n">
        <v>51402</v>
      </c>
      <c r="C1469" s="1" t="n">
        <v>21</v>
      </c>
      <c r="D1469" s="1" t="n">
        <v>10</v>
      </c>
      <c r="E1469" s="1" t="str">
        <f aca="false">VLOOKUP(C1469,Меню!$A$2:$C$24,2,FALSE())</f>
        <v>Пицца с креветками и цукини</v>
      </c>
      <c r="F1469" s="1" t="n">
        <f aca="false">VLOOKUP(C1469,Меню!$A$2:$C$24,3,FALSE())</f>
        <v>600</v>
      </c>
      <c r="G1469" s="5" t="n">
        <f aca="false">VLOOKUP(B1469,Заказы!$A$2:$E$2995,2,FALSE())</f>
        <v>44047</v>
      </c>
      <c r="H1469" s="1" t="n">
        <f aca="false">VLOOKUP(B1469,Заказы!$A$2:$E$2995,3,FALSE())</f>
        <v>1402</v>
      </c>
      <c r="I1469" s="1" t="str">
        <f aca="false">VLOOKUP(H1469,Клиенты!$A$2:$E$1995,5,FALSE())</f>
        <v>г. Прохладный</v>
      </c>
      <c r="J1469" s="1" t="n">
        <f aca="false">VLOOKUP(B1469,Заказы!$A$2:$E$2995,4,FALSE())</f>
        <v>0</v>
      </c>
      <c r="K1469" s="1" t="str">
        <f aca="false">VLOOKUP(B1469,Заказы!$A$2:$E$2995,5,FALSE())</f>
        <v>Не выполнено</v>
      </c>
      <c r="L1469" s="1" t="n">
        <f aca="false">D1469*F1469+J1469</f>
        <v>6000</v>
      </c>
      <c r="M1469" s="1" t="n">
        <f aca="false">IF(AND(E1469="Пицца Труслейка",I1469="г. Москва",K1469="Выполнено",G1469&gt;=DATE(2020,7,1),G1469&lt;DATE(2020,8,1)),L1469,0)</f>
        <v>0</v>
      </c>
    </row>
    <row r="1470" customFormat="false" ht="15" hidden="false" customHeight="true" outlineLevel="0" collapsed="false">
      <c r="A1470" s="1" t="n">
        <v>101272</v>
      </c>
      <c r="B1470" s="1" t="n">
        <v>50493</v>
      </c>
      <c r="C1470" s="1" t="n">
        <v>17</v>
      </c>
      <c r="D1470" s="1" t="n">
        <v>5</v>
      </c>
      <c r="E1470" s="1" t="str">
        <f aca="false">VLOOKUP(C1470,Меню!$A$2:$C$24,2,FALSE())</f>
        <v>Пицца Френч Фрайз</v>
      </c>
      <c r="F1470" s="1" t="n">
        <f aca="false">VLOOKUP(C1470,Меню!$A$2:$C$24,3,FALSE())</f>
        <v>515</v>
      </c>
      <c r="G1470" s="5" t="n">
        <f aca="false">VLOOKUP(B1470,Заказы!$A$2:$E$2995,2,FALSE())</f>
        <v>44006</v>
      </c>
      <c r="H1470" s="1" t="n">
        <f aca="false">VLOOKUP(B1470,Заказы!$A$2:$E$2995,3,FALSE())</f>
        <v>735</v>
      </c>
      <c r="I1470" s="1" t="str">
        <f aca="false">VLOOKUP(H1470,Клиенты!$A$2:$E$1995,5,FALSE())</f>
        <v>г. Рошаль</v>
      </c>
      <c r="J1470" s="1" t="n">
        <f aca="false">VLOOKUP(B1470,Заказы!$A$2:$E$2995,4,FALSE())</f>
        <v>0</v>
      </c>
      <c r="K1470" s="1" t="str">
        <f aca="false">VLOOKUP(B1470,Заказы!$A$2:$E$2995,5,FALSE())</f>
        <v>Не выполнено</v>
      </c>
      <c r="L1470" s="1" t="n">
        <f aca="false">D1470*F1470+J1470</f>
        <v>2575</v>
      </c>
      <c r="M1470" s="1" t="n">
        <f aca="false">IF(AND(E1470="Пицца Труслейка",I1470="г. Москва",K1470="Выполнено",G1470&gt;=DATE(2020,7,1),G1470&lt;DATE(2020,8,1)),L1470,0)</f>
        <v>0</v>
      </c>
    </row>
    <row r="1471" customFormat="false" ht="15" hidden="false" customHeight="true" outlineLevel="0" collapsed="false">
      <c r="A1471" s="1" t="n">
        <v>101176</v>
      </c>
      <c r="B1471" s="1" t="n">
        <v>50558</v>
      </c>
      <c r="C1471" s="1" t="n">
        <v>4</v>
      </c>
      <c r="D1471" s="1" t="n">
        <v>8</v>
      </c>
      <c r="E1471" s="1" t="str">
        <f aca="false">VLOOKUP(C1471,Меню!$A$2:$C$24,2,FALSE())</f>
        <v>Пицца Труслейка</v>
      </c>
      <c r="F1471" s="1" t="n">
        <f aca="false">VLOOKUP(C1471,Меню!$A$2:$C$24,3,FALSE())</f>
        <v>610</v>
      </c>
      <c r="G1471" s="5" t="n">
        <f aca="false">VLOOKUP(B1471,Заказы!$A$2:$E$2995,2,FALSE())</f>
        <v>44057</v>
      </c>
      <c r="H1471" s="1" t="n">
        <f aca="false">VLOOKUP(B1471,Заказы!$A$2:$E$2995,3,FALSE())</f>
        <v>1096</v>
      </c>
      <c r="I1471" s="1" t="str">
        <f aca="false">VLOOKUP(H1471,Клиенты!$A$2:$E$1995,5,FALSE())</f>
        <v>г. Михайловск</v>
      </c>
      <c r="J1471" s="1" t="n">
        <f aca="false">VLOOKUP(B1471,Заказы!$A$2:$E$2995,4,FALSE())</f>
        <v>0</v>
      </c>
      <c r="K1471" s="1" t="str">
        <f aca="false">VLOOKUP(B1471,Заказы!$A$2:$E$2995,5,FALSE())</f>
        <v>Не выполнено</v>
      </c>
      <c r="L1471" s="1" t="n">
        <f aca="false">D1471*F1471+J1471</f>
        <v>4880</v>
      </c>
      <c r="M1471" s="1" t="n">
        <f aca="false">IF(AND(E1471="Пицца Труслейка",I1471="г. Москва",K1471="Выполнено",G1471&gt;=DATE(2020,7,1),G1471&lt;DATE(2020,8,1)),L1471,0)</f>
        <v>0</v>
      </c>
    </row>
    <row r="1472" customFormat="false" ht="15" hidden="false" customHeight="true" outlineLevel="0" collapsed="false">
      <c r="A1472" s="1" t="n">
        <v>101163</v>
      </c>
      <c r="B1472" s="1" t="n">
        <v>51920</v>
      </c>
      <c r="C1472" s="1" t="n">
        <v>12</v>
      </c>
      <c r="D1472" s="1" t="n">
        <v>5</v>
      </c>
      <c r="E1472" s="1" t="str">
        <f aca="false">VLOOKUP(C1472,Меню!$A$2:$C$24,2,FALSE())</f>
        <v>Пицца Салями с трюфелем</v>
      </c>
      <c r="F1472" s="1" t="n">
        <f aca="false">VLOOKUP(C1472,Меню!$A$2:$C$24,3,FALSE())</f>
        <v>525</v>
      </c>
      <c r="G1472" s="5" t="n">
        <f aca="false">VLOOKUP(B1472,Заказы!$A$2:$E$2995,2,FALSE())</f>
        <v>44026</v>
      </c>
      <c r="H1472" s="1" t="n">
        <f aca="false">VLOOKUP(B1472,Заказы!$A$2:$E$2995,3,FALSE())</f>
        <v>318</v>
      </c>
      <c r="I1472" s="1" t="str">
        <f aca="false">VLOOKUP(H1472,Клиенты!$A$2:$E$1995,5,FALSE())</f>
        <v>г. Елец</v>
      </c>
      <c r="J1472" s="1" t="n">
        <f aca="false">VLOOKUP(B1472,Заказы!$A$2:$E$2995,4,FALSE())</f>
        <v>0</v>
      </c>
      <c r="K1472" s="1" t="str">
        <f aca="false">VLOOKUP(B1472,Заказы!$A$2:$E$2995,5,FALSE())</f>
        <v>Не выполнено</v>
      </c>
      <c r="L1472" s="1" t="n">
        <f aca="false">D1472*F1472+J1472</f>
        <v>2625</v>
      </c>
      <c r="M1472" s="1" t="n">
        <f aca="false">IF(AND(E1472="Пицца Труслейка",I1472="г. Москва",K1472="Выполнено",G1472&gt;=DATE(2020,7,1),G1472&lt;DATE(2020,8,1)),L1472,0)</f>
        <v>0</v>
      </c>
    </row>
    <row r="1473" customFormat="false" ht="15" hidden="false" customHeight="true" outlineLevel="0" collapsed="false">
      <c r="A1473" s="1" t="n">
        <v>100276</v>
      </c>
      <c r="B1473" s="1" t="n">
        <v>50535</v>
      </c>
      <c r="C1473" s="1" t="n">
        <v>15</v>
      </c>
      <c r="D1473" s="1" t="n">
        <v>2</v>
      </c>
      <c r="E1473" s="1" t="str">
        <f aca="false">VLOOKUP(C1473,Меню!$A$2:$C$24,2,FALSE())</f>
        <v>Пицца Тропиканка</v>
      </c>
      <c r="F1473" s="1" t="n">
        <f aca="false">VLOOKUP(C1473,Меню!$A$2:$C$24,3,FALSE())</f>
        <v>605</v>
      </c>
      <c r="G1473" s="5" t="n">
        <f aca="false">VLOOKUP(B1473,Заказы!$A$2:$E$2995,2,FALSE())</f>
        <v>44063</v>
      </c>
      <c r="H1473" s="1" t="n">
        <f aca="false">VLOOKUP(B1473,Заказы!$A$2:$E$2995,3,FALSE())</f>
        <v>1686</v>
      </c>
      <c r="I1473" s="1" t="str">
        <f aca="false">VLOOKUP(H1473,Клиенты!$A$2:$E$1995,5,FALSE())</f>
        <v>г. Железноводск</v>
      </c>
      <c r="J1473" s="1" t="n">
        <f aca="false">VLOOKUP(B1473,Заказы!$A$2:$E$2995,4,FALSE())</f>
        <v>0</v>
      </c>
      <c r="K1473" s="1" t="str">
        <f aca="false">VLOOKUP(B1473,Заказы!$A$2:$E$2995,5,FALSE())</f>
        <v>Не выполнено</v>
      </c>
      <c r="L1473" s="1" t="n">
        <f aca="false">D1473*F1473+J1473</f>
        <v>1210</v>
      </c>
      <c r="M1473" s="1" t="n">
        <f aca="false">IF(AND(E1473="Пицца Труслейка",I1473="г. Москва",K1473="Выполнено",G1473&gt;=DATE(2020,7,1),G1473&lt;DATE(2020,8,1)),L1473,0)</f>
        <v>0</v>
      </c>
    </row>
    <row r="1474" customFormat="false" ht="15" hidden="false" customHeight="true" outlineLevel="0" collapsed="false">
      <c r="A1474" s="1" t="n">
        <v>100455</v>
      </c>
      <c r="B1474" s="1" t="n">
        <v>51528</v>
      </c>
      <c r="C1474" s="1" t="n">
        <v>7</v>
      </c>
      <c r="D1474" s="1" t="n">
        <v>10</v>
      </c>
      <c r="E1474" s="1" t="str">
        <f aca="false">VLOOKUP(C1474,Меню!$A$2:$C$24,2,FALSE())</f>
        <v>Пицца Карбонара</v>
      </c>
      <c r="F1474" s="1" t="n">
        <f aca="false">VLOOKUP(C1474,Меню!$A$2:$C$24,3,FALSE())</f>
        <v>625</v>
      </c>
      <c r="G1474" s="5" t="n">
        <f aca="false">VLOOKUP(B1474,Заказы!$A$2:$E$2995,2,FALSE())</f>
        <v>44022</v>
      </c>
      <c r="H1474" s="1" t="n">
        <f aca="false">VLOOKUP(B1474,Заказы!$A$2:$E$2995,3,FALSE())</f>
        <v>127</v>
      </c>
      <c r="I1474" s="1" t="str">
        <f aca="false">VLOOKUP(H1474,Клиенты!$A$2:$E$1995,5,FALSE())</f>
        <v>г. Звенигород</v>
      </c>
      <c r="J1474" s="1" t="n">
        <f aca="false">VLOOKUP(B1474,Заказы!$A$2:$E$2995,4,FALSE())</f>
        <v>0</v>
      </c>
      <c r="K1474" s="1" t="str">
        <f aca="false">VLOOKUP(B1474,Заказы!$A$2:$E$2995,5,FALSE())</f>
        <v>Не выполнено</v>
      </c>
      <c r="L1474" s="1" t="n">
        <f aca="false">D1474*F1474+J1474</f>
        <v>6250</v>
      </c>
      <c r="M1474" s="1" t="n">
        <f aca="false">IF(AND(E1474="Пицца Труслейка",I1474="г. Москва",K1474="Выполнено",G1474&gt;=DATE(2020,7,1),G1474&lt;DATE(2020,8,1)),L1474,0)</f>
        <v>0</v>
      </c>
    </row>
    <row r="1475" customFormat="false" ht="15" hidden="false" customHeight="true" outlineLevel="0" collapsed="false">
      <c r="A1475" s="1" t="n">
        <v>101911</v>
      </c>
      <c r="B1475" s="1" t="n">
        <v>50496</v>
      </c>
      <c r="C1475" s="1" t="n">
        <v>6</v>
      </c>
      <c r="D1475" s="1" t="n">
        <v>4</v>
      </c>
      <c r="E1475" s="1" t="str">
        <f aca="false">VLOOKUP(C1475,Меню!$A$2:$C$24,2,FALSE())</f>
        <v>Пицца Капричиоза</v>
      </c>
      <c r="F1475" s="1" t="n">
        <f aca="false">VLOOKUP(C1475,Меню!$A$2:$C$24,3,FALSE())</f>
        <v>570</v>
      </c>
      <c r="G1475" s="5" t="n">
        <f aca="false">VLOOKUP(B1475,Заказы!$A$2:$E$2995,2,FALSE())</f>
        <v>44026</v>
      </c>
      <c r="H1475" s="1" t="n">
        <f aca="false">VLOOKUP(B1475,Заказы!$A$2:$E$2995,3,FALSE())</f>
        <v>1597</v>
      </c>
      <c r="I1475" s="1" t="str">
        <f aca="false">VLOOKUP(H1475,Клиенты!$A$2:$E$1995,5,FALSE())</f>
        <v>г. Ясный</v>
      </c>
      <c r="J1475" s="1" t="n">
        <f aca="false">VLOOKUP(B1475,Заказы!$A$2:$E$2995,4,FALSE())</f>
        <v>0</v>
      </c>
      <c r="K1475" s="1" t="str">
        <f aca="false">VLOOKUP(B1475,Заказы!$A$2:$E$2995,5,FALSE())</f>
        <v>Не выполнено</v>
      </c>
      <c r="L1475" s="1" t="n">
        <f aca="false">D1475*F1475+J1475</f>
        <v>2280</v>
      </c>
      <c r="M1475" s="1" t="n">
        <f aca="false">IF(AND(E1475="Пицца Труслейка",I1475="г. Москва",K1475="Выполнено",G1475&gt;=DATE(2020,7,1),G1475&lt;DATE(2020,8,1)),L1475,0)</f>
        <v>0</v>
      </c>
    </row>
    <row r="1476" customFormat="false" ht="15" hidden="false" customHeight="true" outlineLevel="0" collapsed="false">
      <c r="A1476" s="1" t="n">
        <v>100141</v>
      </c>
      <c r="B1476" s="1" t="n">
        <v>50600</v>
      </c>
      <c r="C1476" s="1" t="n">
        <v>10</v>
      </c>
      <c r="D1476" s="1" t="n">
        <v>2</v>
      </c>
      <c r="E1476" s="1" t="str">
        <f aca="false">VLOOKUP(C1476,Меню!$A$2:$C$24,2,FALSE())</f>
        <v>Пицца Пепперони фреш</v>
      </c>
      <c r="F1476" s="1" t="n">
        <f aca="false">VLOOKUP(C1476,Меню!$A$2:$C$24,3,FALSE())</f>
        <v>565</v>
      </c>
      <c r="G1476" s="5" t="n">
        <f aca="false">VLOOKUP(B1476,Заказы!$A$2:$E$2995,2,FALSE())</f>
        <v>43999</v>
      </c>
      <c r="H1476" s="1" t="n">
        <f aca="false">VLOOKUP(B1476,Заказы!$A$2:$E$2995,3,FALSE())</f>
        <v>1993</v>
      </c>
      <c r="I1476" s="1" t="str">
        <f aca="false">VLOOKUP(H1476,Клиенты!$A$2:$E$1995,5,FALSE())</f>
        <v>г. Лаишево</v>
      </c>
      <c r="J1476" s="1" t="n">
        <f aca="false">VLOOKUP(B1476,Заказы!$A$2:$E$2995,4,FALSE())</f>
        <v>292</v>
      </c>
      <c r="K1476" s="1" t="str">
        <f aca="false">VLOOKUP(B1476,Заказы!$A$2:$E$2995,5,FALSE())</f>
        <v>Выполнено</v>
      </c>
      <c r="L1476" s="1" t="n">
        <f aca="false">D1476*F1476+J1476</f>
        <v>1422</v>
      </c>
      <c r="M1476" s="1" t="n">
        <f aca="false">IF(AND(E1476="Пицца Труслейка",I1476="г. Москва",K1476="Выполнено",G1476&gt;=DATE(2020,7,1),G1476&lt;DATE(2020,8,1)),L1476,0)</f>
        <v>0</v>
      </c>
    </row>
    <row r="1477" customFormat="false" ht="15" hidden="false" customHeight="true" outlineLevel="0" collapsed="false">
      <c r="A1477" s="1" t="n">
        <v>101405</v>
      </c>
      <c r="B1477" s="1" t="n">
        <v>50104</v>
      </c>
      <c r="C1477" s="1" t="n">
        <v>11</v>
      </c>
      <c r="D1477" s="1" t="n">
        <v>6</v>
      </c>
      <c r="E1477" s="1" t="str">
        <f aca="false">VLOOKUP(C1477,Меню!$A$2:$C$24,2,FALSE())</f>
        <v>Пицца Песто</v>
      </c>
      <c r="F1477" s="1" t="n">
        <f aca="false">VLOOKUP(C1477,Меню!$A$2:$C$24,3,FALSE())</f>
        <v>530</v>
      </c>
      <c r="G1477" s="5" t="n">
        <f aca="false">VLOOKUP(B1477,Заказы!$A$2:$E$2995,2,FALSE())</f>
        <v>44015</v>
      </c>
      <c r="H1477" s="1" t="n">
        <f aca="false">VLOOKUP(B1477,Заказы!$A$2:$E$2995,3,FALSE())</f>
        <v>421</v>
      </c>
      <c r="I1477" s="1" t="str">
        <f aca="false">VLOOKUP(H1477,Клиенты!$A$2:$E$1995,5,FALSE())</f>
        <v>г. Елец</v>
      </c>
      <c r="J1477" s="1" t="n">
        <f aca="false">VLOOKUP(B1477,Заказы!$A$2:$E$2995,4,FALSE())</f>
        <v>669</v>
      </c>
      <c r="K1477" s="1" t="str">
        <f aca="false">VLOOKUP(B1477,Заказы!$A$2:$E$2995,5,FALSE())</f>
        <v>Выполнено</v>
      </c>
      <c r="L1477" s="1" t="n">
        <f aca="false">D1477*F1477+J1477</f>
        <v>3849</v>
      </c>
      <c r="M1477" s="1" t="n">
        <f aca="false">IF(AND(E1477="Пицца Труслейка",I1477="г. Москва",K1477="Выполнено",G1477&gt;=DATE(2020,7,1),G1477&lt;DATE(2020,8,1)),L1477,0)</f>
        <v>0</v>
      </c>
    </row>
    <row r="1478" customFormat="false" ht="15" hidden="false" customHeight="true" outlineLevel="0" collapsed="false">
      <c r="A1478" s="1" t="n">
        <v>100677</v>
      </c>
      <c r="B1478" s="1" t="n">
        <v>51469</v>
      </c>
      <c r="C1478" s="1" t="n">
        <v>2</v>
      </c>
      <c r="D1478" s="1" t="n">
        <v>8</v>
      </c>
      <c r="E1478" s="1" t="str">
        <f aca="false">VLOOKUP(C1478,Меню!$A$2:$C$24,2,FALSE())</f>
        <v>Пицца Двойная пепперони</v>
      </c>
      <c r="F1478" s="1" t="n">
        <f aca="false">VLOOKUP(C1478,Меню!$A$2:$C$24,3,FALSE())</f>
        <v>575</v>
      </c>
      <c r="G1478" s="5" t="n">
        <f aca="false">VLOOKUP(B1478,Заказы!$A$2:$E$2995,2,FALSE())</f>
        <v>44057</v>
      </c>
      <c r="H1478" s="1" t="n">
        <f aca="false">VLOOKUP(B1478,Заказы!$A$2:$E$2995,3,FALSE())</f>
        <v>403</v>
      </c>
      <c r="I1478" s="1" t="str">
        <f aca="false">VLOOKUP(H1478,Клиенты!$A$2:$E$1995,5,FALSE())</f>
        <v>г. Неман</v>
      </c>
      <c r="J1478" s="1" t="n">
        <f aca="false">VLOOKUP(B1478,Заказы!$A$2:$E$2995,4,FALSE())</f>
        <v>0</v>
      </c>
      <c r="K1478" s="1" t="str">
        <f aca="false">VLOOKUP(B1478,Заказы!$A$2:$E$2995,5,FALSE())</f>
        <v>Не выполнено</v>
      </c>
      <c r="L1478" s="1" t="n">
        <f aca="false">D1478*F1478+J1478</f>
        <v>4600</v>
      </c>
      <c r="M1478" s="1" t="n">
        <f aca="false">IF(AND(E1478="Пицца Труслейка",I1478="г. Москва",K1478="Выполнено",G1478&gt;=DATE(2020,7,1),G1478&lt;DATE(2020,8,1)),L1478,0)</f>
        <v>0</v>
      </c>
    </row>
    <row r="1479" customFormat="false" ht="15" hidden="false" customHeight="true" outlineLevel="0" collapsed="false">
      <c r="A1479" s="1" t="n">
        <v>101153</v>
      </c>
      <c r="B1479" s="1" t="n">
        <v>51208</v>
      </c>
      <c r="C1479" s="1" t="n">
        <v>10</v>
      </c>
      <c r="D1479" s="1" t="n">
        <v>2</v>
      </c>
      <c r="E1479" s="1" t="str">
        <f aca="false">VLOOKUP(C1479,Меню!$A$2:$C$24,2,FALSE())</f>
        <v>Пицца Пепперони фреш</v>
      </c>
      <c r="F1479" s="1" t="n">
        <f aca="false">VLOOKUP(C1479,Меню!$A$2:$C$24,3,FALSE())</f>
        <v>565</v>
      </c>
      <c r="G1479" s="5" t="n">
        <f aca="false">VLOOKUP(B1479,Заказы!$A$2:$E$2995,2,FALSE())</f>
        <v>44048</v>
      </c>
      <c r="H1479" s="1" t="n">
        <f aca="false">VLOOKUP(B1479,Заказы!$A$2:$E$2995,3,FALSE())</f>
        <v>926</v>
      </c>
      <c r="I1479" s="1" t="str">
        <f aca="false">VLOOKUP(H1479,Клиенты!$A$2:$E$1995,5,FALSE())</f>
        <v>г. Дятьково</v>
      </c>
      <c r="J1479" s="1" t="n">
        <f aca="false">VLOOKUP(B1479,Заказы!$A$2:$E$2995,4,FALSE())</f>
        <v>522</v>
      </c>
      <c r="K1479" s="1" t="str">
        <f aca="false">VLOOKUP(B1479,Заказы!$A$2:$E$2995,5,FALSE())</f>
        <v>Выполнено</v>
      </c>
      <c r="L1479" s="1" t="n">
        <f aca="false">D1479*F1479+J1479</f>
        <v>1652</v>
      </c>
      <c r="M1479" s="1" t="n">
        <f aca="false">IF(AND(E1479="Пицца Труслейка",I1479="г. Москва",K1479="Выполнено",G1479&gt;=DATE(2020,7,1),G1479&lt;DATE(2020,8,1)),L1479,0)</f>
        <v>0</v>
      </c>
    </row>
    <row r="1480" customFormat="false" ht="15" hidden="false" customHeight="true" outlineLevel="0" collapsed="false">
      <c r="A1480" s="1" t="n">
        <v>101310</v>
      </c>
      <c r="B1480" s="1" t="n">
        <v>51902</v>
      </c>
      <c r="C1480" s="1" t="n">
        <v>20</v>
      </c>
      <c r="D1480" s="1" t="n">
        <v>2</v>
      </c>
      <c r="E1480" s="1" t="str">
        <f aca="false">VLOOKUP(C1480,Меню!$A$2:$C$24,2,FALSE())</f>
        <v>Пицца пиканте</v>
      </c>
      <c r="F1480" s="1" t="n">
        <f aca="false">VLOOKUP(C1480,Меню!$A$2:$C$24,3,FALSE())</f>
        <v>585</v>
      </c>
      <c r="G1480" s="5" t="n">
        <f aca="false">VLOOKUP(B1480,Заказы!$A$2:$E$2995,2,FALSE())</f>
        <v>44060</v>
      </c>
      <c r="H1480" s="1" t="n">
        <f aca="false">VLOOKUP(B1480,Заказы!$A$2:$E$2995,3,FALSE())</f>
        <v>503</v>
      </c>
      <c r="I1480" s="1" t="str">
        <f aca="false">VLOOKUP(H1480,Клиенты!$A$2:$E$1995,5,FALSE())</f>
        <v>г. Ивантеевка</v>
      </c>
      <c r="J1480" s="1" t="n">
        <f aca="false">VLOOKUP(B1480,Заказы!$A$2:$E$2995,4,FALSE())</f>
        <v>0</v>
      </c>
      <c r="K1480" s="1" t="str">
        <f aca="false">VLOOKUP(B1480,Заказы!$A$2:$E$2995,5,FALSE())</f>
        <v>Не выполнено</v>
      </c>
      <c r="L1480" s="1" t="n">
        <f aca="false">D1480*F1480+J1480</f>
        <v>1170</v>
      </c>
      <c r="M1480" s="1" t="n">
        <f aca="false">IF(AND(E1480="Пицца Труслейка",I1480="г. Москва",K1480="Выполнено",G1480&gt;=DATE(2020,7,1),G1480&lt;DATE(2020,8,1)),L1480,0)</f>
        <v>0</v>
      </c>
    </row>
    <row r="1481" customFormat="false" ht="15" hidden="false" customHeight="true" outlineLevel="0" collapsed="false">
      <c r="A1481" s="1" t="n">
        <v>101635</v>
      </c>
      <c r="B1481" s="1" t="n">
        <v>50835</v>
      </c>
      <c r="C1481" s="1" t="n">
        <v>4</v>
      </c>
      <c r="D1481" s="1" t="n">
        <v>6</v>
      </c>
      <c r="E1481" s="1" t="str">
        <f aca="false">VLOOKUP(C1481,Меню!$A$2:$C$24,2,FALSE())</f>
        <v>Пицца Труслейка</v>
      </c>
      <c r="F1481" s="1" t="n">
        <f aca="false">VLOOKUP(C1481,Меню!$A$2:$C$24,3,FALSE())</f>
        <v>610</v>
      </c>
      <c r="G1481" s="5" t="n">
        <f aca="false">VLOOKUP(B1481,Заказы!$A$2:$E$2995,2,FALSE())</f>
        <v>44069</v>
      </c>
      <c r="H1481" s="1" t="n">
        <f aca="false">VLOOKUP(B1481,Заказы!$A$2:$E$2995,3,FALSE())</f>
        <v>1224</v>
      </c>
      <c r="I1481" s="1" t="str">
        <f aca="false">VLOOKUP(H1481,Клиенты!$A$2:$E$1995,5,FALSE())</f>
        <v>г. Алзамай</v>
      </c>
      <c r="J1481" s="1" t="n">
        <f aca="false">VLOOKUP(B1481,Заказы!$A$2:$E$2995,4,FALSE())</f>
        <v>152</v>
      </c>
      <c r="K1481" s="1" t="str">
        <f aca="false">VLOOKUP(B1481,Заказы!$A$2:$E$2995,5,FALSE())</f>
        <v>Выполнено</v>
      </c>
      <c r="L1481" s="1" t="n">
        <f aca="false">D1481*F1481+J1481</f>
        <v>3812</v>
      </c>
      <c r="M1481" s="1" t="n">
        <f aca="false">IF(AND(E1481="Пицца Труслейка",I1481="г. Москва",K1481="Выполнено",G1481&gt;=DATE(2020,7,1),G1481&lt;DATE(2020,8,1)),L1481,0)</f>
        <v>0</v>
      </c>
    </row>
    <row r="1482" customFormat="false" ht="15" hidden="false" customHeight="true" outlineLevel="0" collapsed="false">
      <c r="A1482" s="1" t="n">
        <v>101625</v>
      </c>
      <c r="B1482" s="1" t="n">
        <v>51198</v>
      </c>
      <c r="C1482" s="1" t="n">
        <v>5</v>
      </c>
      <c r="D1482" s="1" t="n">
        <v>9</v>
      </c>
      <c r="E1482" s="1" t="str">
        <f aca="false">VLOOKUP(C1482,Меню!$A$2:$C$24,2,FALSE())</f>
        <v>Пицца Жюльен</v>
      </c>
      <c r="F1482" s="1" t="n">
        <f aca="false">VLOOKUP(C1482,Меню!$A$2:$C$24,3,FALSE())</f>
        <v>580</v>
      </c>
      <c r="G1482" s="5" t="n">
        <f aca="false">VLOOKUP(B1482,Заказы!$A$2:$E$2995,2,FALSE())</f>
        <v>44031</v>
      </c>
      <c r="H1482" s="1" t="n">
        <f aca="false">VLOOKUP(B1482,Заказы!$A$2:$E$2995,3,FALSE())</f>
        <v>1961</v>
      </c>
      <c r="I1482" s="1" t="str">
        <f aca="false">VLOOKUP(H1482,Клиенты!$A$2:$E$1995,5,FALSE())</f>
        <v>г. Тула</v>
      </c>
      <c r="J1482" s="1" t="n">
        <f aca="false">VLOOKUP(B1482,Заказы!$A$2:$E$2995,4,FALSE())</f>
        <v>530</v>
      </c>
      <c r="K1482" s="1" t="str">
        <f aca="false">VLOOKUP(B1482,Заказы!$A$2:$E$2995,5,FALSE())</f>
        <v>Выполнено</v>
      </c>
      <c r="L1482" s="1" t="n">
        <f aca="false">D1482*F1482+J1482</f>
        <v>5750</v>
      </c>
      <c r="M1482" s="1" t="n">
        <f aca="false">IF(AND(E1482="Пицца Труслейка",I1482="г. Москва",K1482="Выполнено",G1482&gt;=DATE(2020,7,1),G1482&lt;DATE(2020,8,1)),L1482,0)</f>
        <v>0</v>
      </c>
    </row>
    <row r="1483" customFormat="false" ht="15" hidden="false" customHeight="true" outlineLevel="0" collapsed="false">
      <c r="A1483" s="1" t="n">
        <v>100314</v>
      </c>
      <c r="B1483" s="1" t="n">
        <v>50166</v>
      </c>
      <c r="C1483" s="1" t="n">
        <v>11</v>
      </c>
      <c r="D1483" s="1" t="n">
        <v>3</v>
      </c>
      <c r="E1483" s="1" t="str">
        <f aca="false">VLOOKUP(C1483,Меню!$A$2:$C$24,2,FALSE())</f>
        <v>Пицца Песто</v>
      </c>
      <c r="F1483" s="1" t="n">
        <f aca="false">VLOOKUP(C1483,Меню!$A$2:$C$24,3,FALSE())</f>
        <v>530</v>
      </c>
      <c r="G1483" s="5" t="n">
        <f aca="false">VLOOKUP(B1483,Заказы!$A$2:$E$2995,2,FALSE())</f>
        <v>44060</v>
      </c>
      <c r="H1483" s="1" t="n">
        <f aca="false">VLOOKUP(B1483,Заказы!$A$2:$E$2995,3,FALSE())</f>
        <v>1423</v>
      </c>
      <c r="I1483" s="1" t="str">
        <f aca="false">VLOOKUP(H1483,Клиенты!$A$2:$E$1995,5,FALSE())</f>
        <v>г. Теберда</v>
      </c>
      <c r="J1483" s="1" t="n">
        <f aca="false">VLOOKUP(B1483,Заказы!$A$2:$E$2995,4,FALSE())</f>
        <v>330</v>
      </c>
      <c r="K1483" s="1" t="str">
        <f aca="false">VLOOKUP(B1483,Заказы!$A$2:$E$2995,5,FALSE())</f>
        <v>Выполнено</v>
      </c>
      <c r="L1483" s="1" t="n">
        <f aca="false">D1483*F1483+J1483</f>
        <v>1920</v>
      </c>
      <c r="M1483" s="1" t="n">
        <f aca="false">IF(AND(E1483="Пицца Труслейка",I1483="г. Москва",K1483="Выполнено",G1483&gt;=DATE(2020,7,1),G1483&lt;DATE(2020,8,1)),L1483,0)</f>
        <v>0</v>
      </c>
    </row>
    <row r="1484" customFormat="false" ht="15" hidden="false" customHeight="true" outlineLevel="0" collapsed="false">
      <c r="A1484" s="1" t="n">
        <v>101505</v>
      </c>
      <c r="B1484" s="1" t="n">
        <v>51943</v>
      </c>
      <c r="C1484" s="1" t="n">
        <v>23</v>
      </c>
      <c r="D1484" s="1" t="n">
        <v>3</v>
      </c>
      <c r="E1484" s="1" t="str">
        <f aca="false">VLOOKUP(C1484,Меню!$A$2:$C$24,2,FALSE())</f>
        <v>Пицца с тунцом</v>
      </c>
      <c r="F1484" s="1" t="n">
        <f aca="false">VLOOKUP(C1484,Меню!$A$2:$C$24,3,FALSE())</f>
        <v>520</v>
      </c>
      <c r="G1484" s="5" t="n">
        <f aca="false">VLOOKUP(B1484,Заказы!$A$2:$E$2995,2,FALSE())</f>
        <v>44058</v>
      </c>
      <c r="H1484" s="1" t="n">
        <f aca="false">VLOOKUP(B1484,Заказы!$A$2:$E$2995,3,FALSE())</f>
        <v>1087</v>
      </c>
      <c r="I1484" s="1" t="str">
        <f aca="false">VLOOKUP(H1484,Клиенты!$A$2:$E$1995,5,FALSE())</f>
        <v>г. Усть-Джегута</v>
      </c>
      <c r="J1484" s="1" t="n">
        <f aca="false">VLOOKUP(B1484,Заказы!$A$2:$E$2995,4,FALSE())</f>
        <v>765</v>
      </c>
      <c r="K1484" s="1" t="str">
        <f aca="false">VLOOKUP(B1484,Заказы!$A$2:$E$2995,5,FALSE())</f>
        <v>Выполнено</v>
      </c>
      <c r="L1484" s="1" t="n">
        <f aca="false">D1484*F1484+J1484</f>
        <v>2325</v>
      </c>
      <c r="M1484" s="1" t="n">
        <f aca="false">IF(AND(E1484="Пицца Труслейка",I1484="г. Москва",K1484="Выполнено",G1484&gt;=DATE(2020,7,1),G1484&lt;DATE(2020,8,1)),L1484,0)</f>
        <v>0</v>
      </c>
    </row>
    <row r="1485" customFormat="false" ht="15" hidden="false" customHeight="true" outlineLevel="0" collapsed="false">
      <c r="A1485" s="1" t="n">
        <v>101132</v>
      </c>
      <c r="B1485" s="1" t="n">
        <v>50074</v>
      </c>
      <c r="C1485" s="1" t="n">
        <v>5</v>
      </c>
      <c r="D1485" s="1" t="n">
        <v>7</v>
      </c>
      <c r="E1485" s="1" t="str">
        <f aca="false">VLOOKUP(C1485,Меню!$A$2:$C$24,2,FALSE())</f>
        <v>Пицца Жюльен</v>
      </c>
      <c r="F1485" s="1" t="n">
        <f aca="false">VLOOKUP(C1485,Меню!$A$2:$C$24,3,FALSE())</f>
        <v>580</v>
      </c>
      <c r="G1485" s="5" t="n">
        <f aca="false">VLOOKUP(B1485,Заказы!$A$2:$E$2995,2,FALSE())</f>
        <v>43984</v>
      </c>
      <c r="H1485" s="1" t="n">
        <f aca="false">VLOOKUP(B1485,Заказы!$A$2:$E$2995,3,FALSE())</f>
        <v>24</v>
      </c>
      <c r="I1485" s="1" t="str">
        <f aca="false">VLOOKUP(H1485,Клиенты!$A$2:$E$1995,5,FALSE())</f>
        <v>г. Тихвин</v>
      </c>
      <c r="J1485" s="1" t="n">
        <f aca="false">VLOOKUP(B1485,Заказы!$A$2:$E$2995,4,FALSE())</f>
        <v>0</v>
      </c>
      <c r="K1485" s="1" t="str">
        <f aca="false">VLOOKUP(B1485,Заказы!$A$2:$E$2995,5,FALSE())</f>
        <v>Не выполнено</v>
      </c>
      <c r="L1485" s="1" t="n">
        <f aca="false">D1485*F1485+J1485</f>
        <v>4060</v>
      </c>
      <c r="M1485" s="1" t="n">
        <f aca="false">IF(AND(E1485="Пицца Труслейка",I1485="г. Москва",K1485="Выполнено",G1485&gt;=DATE(2020,7,1),G1485&lt;DATE(2020,8,1)),L1485,0)</f>
        <v>0</v>
      </c>
    </row>
    <row r="1486" customFormat="false" ht="15" hidden="false" customHeight="true" outlineLevel="0" collapsed="false">
      <c r="A1486" s="1" t="n">
        <v>100871</v>
      </c>
      <c r="B1486" s="1" t="n">
        <v>51451</v>
      </c>
      <c r="C1486" s="1" t="n">
        <v>13</v>
      </c>
      <c r="D1486" s="1" t="n">
        <v>5</v>
      </c>
      <c r="E1486" s="1" t="str">
        <f aca="false">VLOOKUP(C1486,Меню!$A$2:$C$24,2,FALSE())</f>
        <v>Пицца Сырная</v>
      </c>
      <c r="F1486" s="1" t="n">
        <f aca="false">VLOOKUP(C1486,Меню!$A$2:$C$24,3,FALSE())</f>
        <v>635</v>
      </c>
      <c r="G1486" s="5" t="n">
        <f aca="false">VLOOKUP(B1486,Заказы!$A$2:$E$2995,2,FALSE())</f>
        <v>44007</v>
      </c>
      <c r="H1486" s="1" t="n">
        <f aca="false">VLOOKUP(B1486,Заказы!$A$2:$E$2995,3,FALSE())</f>
        <v>611</v>
      </c>
      <c r="I1486" s="1" t="str">
        <f aca="false">VLOOKUP(H1486,Клиенты!$A$2:$E$1995,5,FALSE())</f>
        <v>г. Урюпинск</v>
      </c>
      <c r="J1486" s="1" t="n">
        <f aca="false">VLOOKUP(B1486,Заказы!$A$2:$E$2995,4,FALSE())</f>
        <v>0</v>
      </c>
      <c r="K1486" s="1" t="str">
        <f aca="false">VLOOKUP(B1486,Заказы!$A$2:$E$2995,5,FALSE())</f>
        <v>Не выполнено</v>
      </c>
      <c r="L1486" s="1" t="n">
        <f aca="false">D1486*F1486+J1486</f>
        <v>3175</v>
      </c>
      <c r="M1486" s="1" t="n">
        <f aca="false">IF(AND(E1486="Пицца Труслейка",I1486="г. Москва",K1486="Выполнено",G1486&gt;=DATE(2020,7,1),G1486&lt;DATE(2020,8,1)),L1486,0)</f>
        <v>0</v>
      </c>
    </row>
    <row r="1487" customFormat="false" ht="15" hidden="false" customHeight="true" outlineLevel="0" collapsed="false">
      <c r="A1487" s="1" t="n">
        <v>101831</v>
      </c>
      <c r="B1487" s="1" t="n">
        <v>51162</v>
      </c>
      <c r="C1487" s="1" t="n">
        <v>22</v>
      </c>
      <c r="D1487" s="1" t="n">
        <v>4</v>
      </c>
      <c r="E1487" s="1" t="str">
        <f aca="false">VLOOKUP(C1487,Меню!$A$2:$C$24,2,FALSE())</f>
        <v>Пицца с поркеттой и фриарелли</v>
      </c>
      <c r="F1487" s="1" t="n">
        <f aca="false">VLOOKUP(C1487,Меню!$A$2:$C$24,3,FALSE())</f>
        <v>550</v>
      </c>
      <c r="G1487" s="5" t="n">
        <f aca="false">VLOOKUP(B1487,Заказы!$A$2:$E$2995,2,FALSE())</f>
        <v>44042</v>
      </c>
      <c r="H1487" s="1" t="n">
        <f aca="false">VLOOKUP(B1487,Заказы!$A$2:$E$2995,3,FALSE())</f>
        <v>763</v>
      </c>
      <c r="I1487" s="1" t="str">
        <f aca="false">VLOOKUP(H1487,Клиенты!$A$2:$E$1995,5,FALSE())</f>
        <v>г. Ухта</v>
      </c>
      <c r="J1487" s="1" t="n">
        <f aca="false">VLOOKUP(B1487,Заказы!$A$2:$E$2995,4,FALSE())</f>
        <v>816</v>
      </c>
      <c r="K1487" s="1" t="str">
        <f aca="false">VLOOKUP(B1487,Заказы!$A$2:$E$2995,5,FALSE())</f>
        <v>Выполнено</v>
      </c>
      <c r="L1487" s="1" t="n">
        <f aca="false">D1487*F1487+J1487</f>
        <v>3016</v>
      </c>
      <c r="M1487" s="1" t="n">
        <f aca="false">IF(AND(E1487="Пицца Труслейка",I1487="г. Москва",K1487="Выполнено",G1487&gt;=DATE(2020,7,1),G1487&lt;DATE(2020,8,1)),L1487,0)</f>
        <v>0</v>
      </c>
    </row>
    <row r="1488" customFormat="false" ht="15" hidden="false" customHeight="true" outlineLevel="0" collapsed="false">
      <c r="A1488" s="1" t="n">
        <v>101609</v>
      </c>
      <c r="B1488" s="1" t="n">
        <v>51146</v>
      </c>
      <c r="C1488" s="1" t="n">
        <v>5</v>
      </c>
      <c r="D1488" s="1" t="n">
        <v>7</v>
      </c>
      <c r="E1488" s="1" t="str">
        <f aca="false">VLOOKUP(C1488,Меню!$A$2:$C$24,2,FALSE())</f>
        <v>Пицца Жюльен</v>
      </c>
      <c r="F1488" s="1" t="n">
        <f aca="false">VLOOKUP(C1488,Меню!$A$2:$C$24,3,FALSE())</f>
        <v>580</v>
      </c>
      <c r="G1488" s="5" t="n">
        <f aca="false">VLOOKUP(B1488,Заказы!$A$2:$E$2995,2,FALSE())</f>
        <v>44019</v>
      </c>
      <c r="H1488" s="1" t="n">
        <f aca="false">VLOOKUP(B1488,Заказы!$A$2:$E$2995,3,FALSE())</f>
        <v>1972</v>
      </c>
      <c r="I1488" s="1" t="str">
        <f aca="false">VLOOKUP(H1488,Клиенты!$A$2:$E$1995,5,FALSE())</f>
        <v>г. Кировск</v>
      </c>
      <c r="J1488" s="1" t="n">
        <f aca="false">VLOOKUP(B1488,Заказы!$A$2:$E$2995,4,FALSE())</f>
        <v>900</v>
      </c>
      <c r="K1488" s="1" t="str">
        <f aca="false">VLOOKUP(B1488,Заказы!$A$2:$E$2995,5,FALSE())</f>
        <v>Выполнено</v>
      </c>
      <c r="L1488" s="1" t="n">
        <f aca="false">D1488*F1488+J1488</f>
        <v>4960</v>
      </c>
      <c r="M1488" s="1" t="n">
        <f aca="false">IF(AND(E1488="Пицца Труслейка",I1488="г. Москва",K1488="Выполнено",G1488&gt;=DATE(2020,7,1),G1488&lt;DATE(2020,8,1)),L1488,0)</f>
        <v>0</v>
      </c>
    </row>
    <row r="1489" customFormat="false" ht="15" hidden="false" customHeight="true" outlineLevel="0" collapsed="false">
      <c r="A1489" s="1" t="n">
        <v>101662</v>
      </c>
      <c r="B1489" s="1" t="n">
        <v>50502</v>
      </c>
      <c r="C1489" s="1" t="n">
        <v>22</v>
      </c>
      <c r="D1489" s="1" t="n">
        <v>4</v>
      </c>
      <c r="E1489" s="1" t="str">
        <f aca="false">VLOOKUP(C1489,Меню!$A$2:$C$24,2,FALSE())</f>
        <v>Пицца с поркеттой и фриарелли</v>
      </c>
      <c r="F1489" s="1" t="n">
        <f aca="false">VLOOKUP(C1489,Меню!$A$2:$C$24,3,FALSE())</f>
        <v>550</v>
      </c>
      <c r="G1489" s="5" t="n">
        <f aca="false">VLOOKUP(B1489,Заказы!$A$2:$E$2995,2,FALSE())</f>
        <v>44018</v>
      </c>
      <c r="H1489" s="1" t="n">
        <f aca="false">VLOOKUP(B1489,Заказы!$A$2:$E$2995,3,FALSE())</f>
        <v>1015</v>
      </c>
      <c r="I1489" s="1" t="str">
        <f aca="false">VLOOKUP(H1489,Клиенты!$A$2:$E$1995,5,FALSE())</f>
        <v>г. Узловая</v>
      </c>
      <c r="J1489" s="1" t="n">
        <f aca="false">VLOOKUP(B1489,Заказы!$A$2:$E$2995,4,FALSE())</f>
        <v>0</v>
      </c>
      <c r="K1489" s="1" t="str">
        <f aca="false">VLOOKUP(B1489,Заказы!$A$2:$E$2995,5,FALSE())</f>
        <v>Не выполнено</v>
      </c>
      <c r="L1489" s="1" t="n">
        <f aca="false">D1489*F1489+J1489</f>
        <v>2200</v>
      </c>
      <c r="M1489" s="1" t="n">
        <f aca="false">IF(AND(E1489="Пицца Труслейка",I1489="г. Москва",K1489="Выполнено",G1489&gt;=DATE(2020,7,1),G1489&lt;DATE(2020,8,1)),L1489,0)</f>
        <v>0</v>
      </c>
    </row>
    <row r="1490" customFormat="false" ht="15" hidden="false" customHeight="true" outlineLevel="0" collapsed="false">
      <c r="A1490" s="1" t="n">
        <v>101586</v>
      </c>
      <c r="B1490" s="1" t="n">
        <v>50920</v>
      </c>
      <c r="C1490" s="1" t="n">
        <v>12</v>
      </c>
      <c r="D1490" s="1" t="n">
        <v>1</v>
      </c>
      <c r="E1490" s="1" t="str">
        <f aca="false">VLOOKUP(C1490,Меню!$A$2:$C$24,2,FALSE())</f>
        <v>Пицца Салями с трюфелем</v>
      </c>
      <c r="F1490" s="1" t="n">
        <f aca="false">VLOOKUP(C1490,Меню!$A$2:$C$24,3,FALSE())</f>
        <v>525</v>
      </c>
      <c r="G1490" s="5" t="n">
        <f aca="false">VLOOKUP(B1490,Заказы!$A$2:$E$2995,2,FALSE())</f>
        <v>44018</v>
      </c>
      <c r="H1490" s="1" t="n">
        <f aca="false">VLOOKUP(B1490,Заказы!$A$2:$E$2995,3,FALSE())</f>
        <v>918</v>
      </c>
      <c r="I1490" s="1" t="str">
        <f aca="false">VLOOKUP(H1490,Клиенты!$A$2:$E$1995,5,FALSE())</f>
        <v>г. Бабаево</v>
      </c>
      <c r="J1490" s="1" t="n">
        <f aca="false">VLOOKUP(B1490,Заказы!$A$2:$E$2995,4,FALSE())</f>
        <v>351</v>
      </c>
      <c r="K1490" s="1" t="str">
        <f aca="false">VLOOKUP(B1490,Заказы!$A$2:$E$2995,5,FALSE())</f>
        <v>Выполнено</v>
      </c>
      <c r="L1490" s="1" t="n">
        <f aca="false">D1490*F1490+J1490</f>
        <v>876</v>
      </c>
      <c r="M1490" s="1" t="n">
        <f aca="false">IF(AND(E1490="Пицца Труслейка",I1490="г. Москва",K1490="Выполнено",G1490&gt;=DATE(2020,7,1),G1490&lt;DATE(2020,8,1)),L1490,0)</f>
        <v>0</v>
      </c>
    </row>
    <row r="1491" customFormat="false" ht="15" hidden="false" customHeight="true" outlineLevel="0" collapsed="false">
      <c r="A1491" s="1" t="n">
        <v>101717</v>
      </c>
      <c r="B1491" s="1" t="n">
        <v>51661</v>
      </c>
      <c r="C1491" s="1" t="n">
        <v>4</v>
      </c>
      <c r="D1491" s="1" t="n">
        <v>4</v>
      </c>
      <c r="E1491" s="1" t="str">
        <f aca="false">VLOOKUP(C1491,Меню!$A$2:$C$24,2,FALSE())</f>
        <v>Пицца Труслейка</v>
      </c>
      <c r="F1491" s="1" t="n">
        <f aca="false">VLOOKUP(C1491,Меню!$A$2:$C$24,3,FALSE())</f>
        <v>610</v>
      </c>
      <c r="G1491" s="5" t="n">
        <f aca="false">VLOOKUP(B1491,Заказы!$A$2:$E$2995,2,FALSE())</f>
        <v>44070</v>
      </c>
      <c r="H1491" s="1" t="n">
        <f aca="false">VLOOKUP(B1491,Заказы!$A$2:$E$2995,3,FALSE())</f>
        <v>1601</v>
      </c>
      <c r="I1491" s="1" t="str">
        <f aca="false">VLOOKUP(H1491,Клиенты!$A$2:$E$1995,5,FALSE())</f>
        <v>г. Арамиль</v>
      </c>
      <c r="J1491" s="1" t="n">
        <f aca="false">VLOOKUP(B1491,Заказы!$A$2:$E$2995,4,FALSE())</f>
        <v>0</v>
      </c>
      <c r="K1491" s="1" t="str">
        <f aca="false">VLOOKUP(B1491,Заказы!$A$2:$E$2995,5,FALSE())</f>
        <v>Не выполнено</v>
      </c>
      <c r="L1491" s="1" t="n">
        <f aca="false">D1491*F1491+J1491</f>
        <v>2440</v>
      </c>
      <c r="M1491" s="1" t="n">
        <f aca="false">IF(AND(E1491="Пицца Труслейка",I1491="г. Москва",K1491="Выполнено",G1491&gt;=DATE(2020,7,1),G1491&lt;DATE(2020,8,1)),L1491,0)</f>
        <v>0</v>
      </c>
    </row>
    <row r="1492" customFormat="false" ht="15" hidden="false" customHeight="true" outlineLevel="0" collapsed="false">
      <c r="A1492" s="1" t="n">
        <v>100664</v>
      </c>
      <c r="B1492" s="1" t="n">
        <v>50798</v>
      </c>
      <c r="C1492" s="1" t="n">
        <v>22</v>
      </c>
      <c r="D1492" s="1" t="n">
        <v>5</v>
      </c>
      <c r="E1492" s="1" t="str">
        <f aca="false">VLOOKUP(C1492,Меню!$A$2:$C$24,2,FALSE())</f>
        <v>Пицца с поркеттой и фриарелли</v>
      </c>
      <c r="F1492" s="1" t="n">
        <f aca="false">VLOOKUP(C1492,Меню!$A$2:$C$24,3,FALSE())</f>
        <v>550</v>
      </c>
      <c r="G1492" s="5" t="n">
        <f aca="false">VLOOKUP(B1492,Заказы!$A$2:$E$2995,2,FALSE())</f>
        <v>44047</v>
      </c>
      <c r="H1492" s="1" t="n">
        <f aca="false">VLOOKUP(B1492,Заказы!$A$2:$E$2995,3,FALSE())</f>
        <v>1268</v>
      </c>
      <c r="I1492" s="1" t="str">
        <f aca="false">VLOOKUP(H1492,Клиенты!$A$2:$E$1995,5,FALSE())</f>
        <v>г. Петушки</v>
      </c>
      <c r="J1492" s="1" t="n">
        <f aca="false">VLOOKUP(B1492,Заказы!$A$2:$E$2995,4,FALSE())</f>
        <v>0</v>
      </c>
      <c r="K1492" s="1" t="str">
        <f aca="false">VLOOKUP(B1492,Заказы!$A$2:$E$2995,5,FALSE())</f>
        <v>Не выполнено</v>
      </c>
      <c r="L1492" s="1" t="n">
        <f aca="false">D1492*F1492+J1492</f>
        <v>2750</v>
      </c>
      <c r="M1492" s="1" t="n">
        <f aca="false">IF(AND(E1492="Пицца Труслейка",I1492="г. Москва",K1492="Выполнено",G1492&gt;=DATE(2020,7,1),G1492&lt;DATE(2020,8,1)),L1492,0)</f>
        <v>0</v>
      </c>
    </row>
    <row r="1493" customFormat="false" ht="15" hidden="false" customHeight="true" outlineLevel="0" collapsed="false">
      <c r="A1493" s="1" t="n">
        <v>101114</v>
      </c>
      <c r="B1493" s="1" t="n">
        <v>50404</v>
      </c>
      <c r="C1493" s="1" t="n">
        <v>2</v>
      </c>
      <c r="D1493" s="1" t="n">
        <v>4</v>
      </c>
      <c r="E1493" s="1" t="str">
        <f aca="false">VLOOKUP(C1493,Меню!$A$2:$C$24,2,FALSE())</f>
        <v>Пицца Двойная пепперони</v>
      </c>
      <c r="F1493" s="1" t="n">
        <f aca="false">VLOOKUP(C1493,Меню!$A$2:$C$24,3,FALSE())</f>
        <v>575</v>
      </c>
      <c r="G1493" s="5" t="n">
        <f aca="false">VLOOKUP(B1493,Заказы!$A$2:$E$2995,2,FALSE())</f>
        <v>44055</v>
      </c>
      <c r="H1493" s="1" t="n">
        <f aca="false">VLOOKUP(B1493,Заказы!$A$2:$E$2995,3,FALSE())</f>
        <v>232</v>
      </c>
      <c r="I1493" s="1" t="str">
        <f aca="false">VLOOKUP(H1493,Клиенты!$A$2:$E$1995,5,FALSE())</f>
        <v>г. Отрадный</v>
      </c>
      <c r="J1493" s="1" t="n">
        <f aca="false">VLOOKUP(B1493,Заказы!$A$2:$E$2995,4,FALSE())</f>
        <v>356</v>
      </c>
      <c r="K1493" s="1" t="str">
        <f aca="false">VLOOKUP(B1493,Заказы!$A$2:$E$2995,5,FALSE())</f>
        <v>Выполнено</v>
      </c>
      <c r="L1493" s="1" t="n">
        <f aca="false">D1493*F1493+J1493</f>
        <v>2656</v>
      </c>
      <c r="M1493" s="1" t="n">
        <f aca="false">IF(AND(E1493="Пицца Труслейка",I1493="г. Москва",K1493="Выполнено",G1493&gt;=DATE(2020,7,1),G1493&lt;DATE(2020,8,1)),L1493,0)</f>
        <v>0</v>
      </c>
    </row>
    <row r="1494" customFormat="false" ht="15" hidden="false" customHeight="true" outlineLevel="0" collapsed="false">
      <c r="A1494" s="1" t="n">
        <v>100524</v>
      </c>
      <c r="B1494" s="1" t="n">
        <v>51009</v>
      </c>
      <c r="C1494" s="1" t="n">
        <v>10</v>
      </c>
      <c r="D1494" s="1" t="n">
        <v>2</v>
      </c>
      <c r="E1494" s="1" t="str">
        <f aca="false">VLOOKUP(C1494,Меню!$A$2:$C$24,2,FALSE())</f>
        <v>Пицца Пепперони фреш</v>
      </c>
      <c r="F1494" s="1" t="n">
        <f aca="false">VLOOKUP(C1494,Меню!$A$2:$C$24,3,FALSE())</f>
        <v>565</v>
      </c>
      <c r="G1494" s="5" t="n">
        <f aca="false">VLOOKUP(B1494,Заказы!$A$2:$E$2995,2,FALSE())</f>
        <v>44016</v>
      </c>
      <c r="H1494" s="1" t="n">
        <f aca="false">VLOOKUP(B1494,Заказы!$A$2:$E$2995,3,FALSE())</f>
        <v>1966</v>
      </c>
      <c r="I1494" s="1" t="str">
        <f aca="false">VLOOKUP(H1494,Клиенты!$A$2:$E$1995,5,FALSE())</f>
        <v>г. Арзамас</v>
      </c>
      <c r="J1494" s="1" t="n">
        <f aca="false">VLOOKUP(B1494,Заказы!$A$2:$E$2995,4,FALSE())</f>
        <v>0</v>
      </c>
      <c r="K1494" s="1" t="str">
        <f aca="false">VLOOKUP(B1494,Заказы!$A$2:$E$2995,5,FALSE())</f>
        <v>Не выполнено</v>
      </c>
      <c r="L1494" s="1" t="n">
        <f aca="false">D1494*F1494+J1494</f>
        <v>1130</v>
      </c>
      <c r="M1494" s="1" t="n">
        <f aca="false">IF(AND(E1494="Пицца Труслейка",I1494="г. Москва",K1494="Выполнено",G1494&gt;=DATE(2020,7,1),G1494&lt;DATE(2020,8,1)),L1494,0)</f>
        <v>0</v>
      </c>
    </row>
    <row r="1495" customFormat="false" ht="15" hidden="false" customHeight="true" outlineLevel="0" collapsed="false">
      <c r="A1495" s="1" t="n">
        <v>100691</v>
      </c>
      <c r="B1495" s="1" t="n">
        <v>51534</v>
      </c>
      <c r="C1495" s="1" t="n">
        <v>15</v>
      </c>
      <c r="D1495" s="1" t="n">
        <v>4</v>
      </c>
      <c r="E1495" s="1" t="str">
        <f aca="false">VLOOKUP(C1495,Меню!$A$2:$C$24,2,FALSE())</f>
        <v>Пицца Тропиканка</v>
      </c>
      <c r="F1495" s="1" t="n">
        <f aca="false">VLOOKUP(C1495,Меню!$A$2:$C$24,3,FALSE())</f>
        <v>605</v>
      </c>
      <c r="G1495" s="5" t="n">
        <f aca="false">VLOOKUP(B1495,Заказы!$A$2:$E$2995,2,FALSE())</f>
        <v>44002</v>
      </c>
      <c r="H1495" s="1" t="n">
        <f aca="false">VLOOKUP(B1495,Заказы!$A$2:$E$2995,3,FALSE())</f>
        <v>1069</v>
      </c>
      <c r="I1495" s="1" t="str">
        <f aca="false">VLOOKUP(H1495,Клиенты!$A$2:$E$1995,5,FALSE())</f>
        <v>г. Королёв</v>
      </c>
      <c r="J1495" s="1" t="n">
        <f aca="false">VLOOKUP(B1495,Заказы!$A$2:$E$2995,4,FALSE())</f>
        <v>0</v>
      </c>
      <c r="K1495" s="1" t="str">
        <f aca="false">VLOOKUP(B1495,Заказы!$A$2:$E$2995,5,FALSE())</f>
        <v>Не выполнено</v>
      </c>
      <c r="L1495" s="1" t="n">
        <f aca="false">D1495*F1495+J1495</f>
        <v>2420</v>
      </c>
      <c r="M1495" s="1" t="n">
        <f aca="false">IF(AND(E1495="Пицца Труслейка",I1495="г. Москва",K1495="Выполнено",G1495&gt;=DATE(2020,7,1),G1495&lt;DATE(2020,8,1)),L1495,0)</f>
        <v>0</v>
      </c>
    </row>
    <row r="1496" customFormat="false" ht="15" hidden="false" customHeight="true" outlineLevel="0" collapsed="false">
      <c r="A1496" s="1" t="n">
        <v>100680</v>
      </c>
      <c r="B1496" s="1" t="n">
        <v>50967</v>
      </c>
      <c r="C1496" s="1" t="n">
        <v>3</v>
      </c>
      <c r="D1496" s="1" t="n">
        <v>10</v>
      </c>
      <c r="E1496" s="1" t="str">
        <f aca="false">VLOOKUP(C1496,Меню!$A$2:$C$24,2,FALSE())</f>
        <v>Пицца Диабло</v>
      </c>
      <c r="F1496" s="1" t="n">
        <f aca="false">VLOOKUP(C1496,Меню!$A$2:$C$24,3,FALSE())</f>
        <v>590</v>
      </c>
      <c r="G1496" s="5" t="n">
        <f aca="false">VLOOKUP(B1496,Заказы!$A$2:$E$2995,2,FALSE())</f>
        <v>44066</v>
      </c>
      <c r="H1496" s="1" t="n">
        <f aca="false">VLOOKUP(B1496,Заказы!$A$2:$E$2995,3,FALSE())</f>
        <v>1183</v>
      </c>
      <c r="I1496" s="1" t="str">
        <f aca="false">VLOOKUP(H1496,Клиенты!$A$2:$E$1995,5,FALSE())</f>
        <v>г. Сертолово</v>
      </c>
      <c r="J1496" s="1" t="n">
        <f aca="false">VLOOKUP(B1496,Заказы!$A$2:$E$2995,4,FALSE())</f>
        <v>718</v>
      </c>
      <c r="K1496" s="1" t="str">
        <f aca="false">VLOOKUP(B1496,Заказы!$A$2:$E$2995,5,FALSE())</f>
        <v>Выполнено</v>
      </c>
      <c r="L1496" s="1" t="n">
        <f aca="false">D1496*F1496+J1496</f>
        <v>6618</v>
      </c>
      <c r="M1496" s="1" t="n">
        <f aca="false">IF(AND(E1496="Пицца Труслейка",I1496="г. Москва",K1496="Выполнено",G1496&gt;=DATE(2020,7,1),G1496&lt;DATE(2020,8,1)),L1496,0)</f>
        <v>0</v>
      </c>
    </row>
    <row r="1497" customFormat="false" ht="15" hidden="false" customHeight="true" outlineLevel="0" collapsed="false">
      <c r="A1497" s="1" t="n">
        <v>101726</v>
      </c>
      <c r="B1497" s="1" t="n">
        <v>50811</v>
      </c>
      <c r="C1497" s="1" t="n">
        <v>9</v>
      </c>
      <c r="D1497" s="1" t="n">
        <v>6</v>
      </c>
      <c r="E1497" s="1" t="str">
        <f aca="false">VLOOKUP(C1497,Меню!$A$2:$C$24,2,FALSE())</f>
        <v>Пицца Острая с беконом</v>
      </c>
      <c r="F1497" s="1" t="n">
        <f aca="false">VLOOKUP(C1497,Меню!$A$2:$C$24,3,FALSE())</f>
        <v>540</v>
      </c>
      <c r="G1497" s="5" t="n">
        <f aca="false">VLOOKUP(B1497,Заказы!$A$2:$E$2995,2,FALSE())</f>
        <v>44022</v>
      </c>
      <c r="H1497" s="1" t="n">
        <f aca="false">VLOOKUP(B1497,Заказы!$A$2:$E$2995,3,FALSE())</f>
        <v>9</v>
      </c>
      <c r="I1497" s="1" t="str">
        <f aca="false">VLOOKUP(H1497,Клиенты!$A$2:$E$1995,5,FALSE())</f>
        <v>г. Шелехов</v>
      </c>
      <c r="J1497" s="1" t="n">
        <f aca="false">VLOOKUP(B1497,Заказы!$A$2:$E$2995,4,FALSE())</f>
        <v>0</v>
      </c>
      <c r="K1497" s="1" t="str">
        <f aca="false">VLOOKUP(B1497,Заказы!$A$2:$E$2995,5,FALSE())</f>
        <v>Не выполнено</v>
      </c>
      <c r="L1497" s="1" t="n">
        <f aca="false">D1497*F1497+J1497</f>
        <v>3240</v>
      </c>
      <c r="M1497" s="1" t="n">
        <f aca="false">IF(AND(E1497="Пицца Труслейка",I1497="г. Москва",K1497="Выполнено",G1497&gt;=DATE(2020,7,1),G1497&lt;DATE(2020,8,1)),L1497,0)</f>
        <v>0</v>
      </c>
    </row>
    <row r="1498" customFormat="false" ht="15" hidden="false" customHeight="true" outlineLevel="0" collapsed="false">
      <c r="A1498" s="1" t="n">
        <v>100370</v>
      </c>
      <c r="B1498" s="1" t="n">
        <v>50887</v>
      </c>
      <c r="C1498" s="1" t="n">
        <v>6</v>
      </c>
      <c r="D1498" s="1" t="n">
        <v>5</v>
      </c>
      <c r="E1498" s="1" t="str">
        <f aca="false">VLOOKUP(C1498,Меню!$A$2:$C$24,2,FALSE())</f>
        <v>Пицца Капричиоза</v>
      </c>
      <c r="F1498" s="1" t="n">
        <f aca="false">VLOOKUP(C1498,Меню!$A$2:$C$24,3,FALSE())</f>
        <v>570</v>
      </c>
      <c r="G1498" s="5" t="n">
        <f aca="false">VLOOKUP(B1498,Заказы!$A$2:$E$2995,2,FALSE())</f>
        <v>44032</v>
      </c>
      <c r="H1498" s="1" t="n">
        <f aca="false">VLOOKUP(B1498,Заказы!$A$2:$E$2995,3,FALSE())</f>
        <v>420</v>
      </c>
      <c r="I1498" s="1" t="str">
        <f aca="false">VLOOKUP(H1498,Клиенты!$A$2:$E$1995,5,FALSE())</f>
        <v>г. Москва</v>
      </c>
      <c r="J1498" s="1" t="n">
        <f aca="false">VLOOKUP(B1498,Заказы!$A$2:$E$2995,4,FALSE())</f>
        <v>0</v>
      </c>
      <c r="K1498" s="1" t="str">
        <f aca="false">VLOOKUP(B1498,Заказы!$A$2:$E$2995,5,FALSE())</f>
        <v>Не выполнено</v>
      </c>
      <c r="L1498" s="1" t="n">
        <f aca="false">D1498*F1498+J1498</f>
        <v>2850</v>
      </c>
      <c r="M1498" s="1" t="n">
        <f aca="false">IF(AND(E1498="Пицца Труслейка",I1498="г. Москва",K1498="Выполнено",G1498&gt;=DATE(2020,7,1),G1498&lt;DATE(2020,8,1)),L1498,0)</f>
        <v>0</v>
      </c>
    </row>
    <row r="1499" customFormat="false" ht="15" hidden="false" customHeight="true" outlineLevel="0" collapsed="false">
      <c r="A1499" s="1" t="n">
        <v>101314</v>
      </c>
      <c r="B1499" s="1" t="n">
        <v>50829</v>
      </c>
      <c r="C1499" s="1" t="n">
        <v>3</v>
      </c>
      <c r="D1499" s="1" t="n">
        <v>5</v>
      </c>
      <c r="E1499" s="1" t="str">
        <f aca="false">VLOOKUP(C1499,Меню!$A$2:$C$24,2,FALSE())</f>
        <v>Пицца Диабло</v>
      </c>
      <c r="F1499" s="1" t="n">
        <f aca="false">VLOOKUP(C1499,Меню!$A$2:$C$24,3,FALSE())</f>
        <v>590</v>
      </c>
      <c r="G1499" s="5" t="n">
        <f aca="false">VLOOKUP(B1499,Заказы!$A$2:$E$2995,2,FALSE())</f>
        <v>44071</v>
      </c>
      <c r="H1499" s="1" t="n">
        <f aca="false">VLOOKUP(B1499,Заказы!$A$2:$E$2995,3,FALSE())</f>
        <v>449</v>
      </c>
      <c r="I1499" s="1" t="str">
        <f aca="false">VLOOKUP(H1499,Клиенты!$A$2:$E$1995,5,FALSE())</f>
        <v>г. Донецк</v>
      </c>
      <c r="J1499" s="1" t="n">
        <f aca="false">VLOOKUP(B1499,Заказы!$A$2:$E$2995,4,FALSE())</f>
        <v>511</v>
      </c>
      <c r="K1499" s="1" t="str">
        <f aca="false">VLOOKUP(B1499,Заказы!$A$2:$E$2995,5,FALSE())</f>
        <v>Выполнено</v>
      </c>
      <c r="L1499" s="1" t="n">
        <f aca="false">D1499*F1499+J1499</f>
        <v>3461</v>
      </c>
      <c r="M1499" s="1" t="n">
        <f aca="false">IF(AND(E1499="Пицца Труслейка",I1499="г. Москва",K1499="Выполнено",G1499&gt;=DATE(2020,7,1),G1499&lt;DATE(2020,8,1)),L1499,0)</f>
        <v>0</v>
      </c>
    </row>
    <row r="1500" customFormat="false" ht="15" hidden="false" customHeight="true" outlineLevel="0" collapsed="false">
      <c r="A1500" s="1" t="n">
        <v>101066</v>
      </c>
      <c r="B1500" s="1" t="n">
        <v>51906</v>
      </c>
      <c r="C1500" s="1" t="n">
        <v>10</v>
      </c>
      <c r="D1500" s="1" t="n">
        <v>3</v>
      </c>
      <c r="E1500" s="1" t="str">
        <f aca="false">VLOOKUP(C1500,Меню!$A$2:$C$24,2,FALSE())</f>
        <v>Пицца Пепперони фреш</v>
      </c>
      <c r="F1500" s="1" t="n">
        <f aca="false">VLOOKUP(C1500,Меню!$A$2:$C$24,3,FALSE())</f>
        <v>565</v>
      </c>
      <c r="G1500" s="5" t="n">
        <f aca="false">VLOOKUP(B1500,Заказы!$A$2:$E$2995,2,FALSE())</f>
        <v>43997</v>
      </c>
      <c r="H1500" s="1" t="n">
        <f aca="false">VLOOKUP(B1500,Заказы!$A$2:$E$2995,3,FALSE())</f>
        <v>1944</v>
      </c>
      <c r="I1500" s="1" t="str">
        <f aca="false">VLOOKUP(H1500,Клиенты!$A$2:$E$1995,5,FALSE())</f>
        <v>г. Сельцо</v>
      </c>
      <c r="J1500" s="1" t="n">
        <f aca="false">VLOOKUP(B1500,Заказы!$A$2:$E$2995,4,FALSE())</f>
        <v>0</v>
      </c>
      <c r="K1500" s="1" t="str">
        <f aca="false">VLOOKUP(B1500,Заказы!$A$2:$E$2995,5,FALSE())</f>
        <v>Не выполнено</v>
      </c>
      <c r="L1500" s="1" t="n">
        <f aca="false">D1500*F1500+J1500</f>
        <v>1695</v>
      </c>
      <c r="M1500" s="1" t="n">
        <f aca="false">IF(AND(E1500="Пицца Труслейка",I1500="г. Москва",K1500="Выполнено",G1500&gt;=DATE(2020,7,1),G1500&lt;DATE(2020,8,1)),L1500,0)</f>
        <v>0</v>
      </c>
    </row>
    <row r="1501" customFormat="false" ht="15" hidden="false" customHeight="true" outlineLevel="0" collapsed="false">
      <c r="A1501" s="1" t="n">
        <v>100209</v>
      </c>
      <c r="B1501" s="1" t="n">
        <v>51604</v>
      </c>
      <c r="C1501" s="1" t="n">
        <v>4</v>
      </c>
      <c r="D1501" s="1" t="n">
        <v>3</v>
      </c>
      <c r="E1501" s="1" t="str">
        <f aca="false">VLOOKUP(C1501,Меню!$A$2:$C$24,2,FALSE())</f>
        <v>Пицца Труслейка</v>
      </c>
      <c r="F1501" s="1" t="n">
        <f aca="false">VLOOKUP(C1501,Меню!$A$2:$C$24,3,FALSE())</f>
        <v>610</v>
      </c>
      <c r="G1501" s="5" t="n">
        <f aca="false">VLOOKUP(B1501,Заказы!$A$2:$E$2995,2,FALSE())</f>
        <v>44035</v>
      </c>
      <c r="H1501" s="1" t="n">
        <f aca="false">VLOOKUP(B1501,Заказы!$A$2:$E$2995,3,FALSE())</f>
        <v>1760</v>
      </c>
      <c r="I1501" s="1" t="str">
        <f aca="false">VLOOKUP(H1501,Клиенты!$A$2:$E$1995,5,FALSE())</f>
        <v>г. Москва</v>
      </c>
      <c r="J1501" s="1" t="n">
        <f aca="false">VLOOKUP(B1501,Заказы!$A$2:$E$2995,4,FALSE())</f>
        <v>0</v>
      </c>
      <c r="K1501" s="1" t="str">
        <f aca="false">VLOOKUP(B1501,Заказы!$A$2:$E$2995,5,FALSE())</f>
        <v>Не выполнено</v>
      </c>
      <c r="L1501" s="1" t="n">
        <f aca="false">D1501*F1501+J1501</f>
        <v>1830</v>
      </c>
      <c r="M1501" s="1" t="n">
        <f aca="false">IF(AND(E1501="Пицца Труслейка",I1501="г. Москва",K1501="Выполнено",G1501&gt;=DATE(2020,7,1),G1501&lt;DATE(2020,8,1)),L1501,0)</f>
        <v>0</v>
      </c>
    </row>
    <row r="1502" customFormat="false" ht="15" hidden="false" customHeight="true" outlineLevel="0" collapsed="false">
      <c r="A1502" s="1" t="n">
        <v>100278</v>
      </c>
      <c r="B1502" s="1" t="n">
        <v>50513</v>
      </c>
      <c r="C1502" s="1" t="n">
        <v>12</v>
      </c>
      <c r="D1502" s="1" t="n">
        <v>7</v>
      </c>
      <c r="E1502" s="1" t="str">
        <f aca="false">VLOOKUP(C1502,Меню!$A$2:$C$24,2,FALSE())</f>
        <v>Пицца Салями с трюфелем</v>
      </c>
      <c r="F1502" s="1" t="n">
        <f aca="false">VLOOKUP(C1502,Меню!$A$2:$C$24,3,FALSE())</f>
        <v>525</v>
      </c>
      <c r="G1502" s="5" t="n">
        <f aca="false">VLOOKUP(B1502,Заказы!$A$2:$E$2995,2,FALSE())</f>
        <v>44041</v>
      </c>
      <c r="H1502" s="1" t="n">
        <f aca="false">VLOOKUP(B1502,Заказы!$A$2:$E$2995,3,FALSE())</f>
        <v>1014</v>
      </c>
      <c r="I1502" s="1" t="str">
        <f aca="false">VLOOKUP(H1502,Клиенты!$A$2:$E$1995,5,FALSE())</f>
        <v>г. Сасово</v>
      </c>
      <c r="J1502" s="1" t="n">
        <f aca="false">VLOOKUP(B1502,Заказы!$A$2:$E$2995,4,FALSE())</f>
        <v>302</v>
      </c>
      <c r="K1502" s="1" t="str">
        <f aca="false">VLOOKUP(B1502,Заказы!$A$2:$E$2995,5,FALSE())</f>
        <v>Выполнено</v>
      </c>
      <c r="L1502" s="1" t="n">
        <f aca="false">D1502*F1502+J1502</f>
        <v>3977</v>
      </c>
      <c r="M1502" s="1" t="n">
        <f aca="false">IF(AND(E1502="Пицца Труслейка",I1502="г. Москва",K1502="Выполнено",G1502&gt;=DATE(2020,7,1),G1502&lt;DATE(2020,8,1)),L1502,0)</f>
        <v>0</v>
      </c>
    </row>
    <row r="1503" customFormat="false" ht="15" hidden="false" customHeight="true" outlineLevel="0" collapsed="false">
      <c r="A1503" s="1" t="n">
        <v>100086</v>
      </c>
      <c r="B1503" s="1" t="n">
        <v>50706</v>
      </c>
      <c r="C1503" s="1" t="n">
        <v>7</v>
      </c>
      <c r="D1503" s="1" t="n">
        <v>9</v>
      </c>
      <c r="E1503" s="1" t="str">
        <f aca="false">VLOOKUP(C1503,Меню!$A$2:$C$24,2,FALSE())</f>
        <v>Пицца Карбонара</v>
      </c>
      <c r="F1503" s="1" t="n">
        <f aca="false">VLOOKUP(C1503,Меню!$A$2:$C$24,3,FALSE())</f>
        <v>625</v>
      </c>
      <c r="G1503" s="5" t="n">
        <f aca="false">VLOOKUP(B1503,Заказы!$A$2:$E$2995,2,FALSE())</f>
        <v>44069</v>
      </c>
      <c r="H1503" s="1" t="n">
        <f aca="false">VLOOKUP(B1503,Заказы!$A$2:$E$2995,3,FALSE())</f>
        <v>1376</v>
      </c>
      <c r="I1503" s="1" t="str">
        <f aca="false">VLOOKUP(H1503,Клиенты!$A$2:$E$1995,5,FALSE())</f>
        <v>г. Кореновск</v>
      </c>
      <c r="J1503" s="1" t="n">
        <f aca="false">VLOOKUP(B1503,Заказы!$A$2:$E$2995,4,FALSE())</f>
        <v>0</v>
      </c>
      <c r="K1503" s="1" t="str">
        <f aca="false">VLOOKUP(B1503,Заказы!$A$2:$E$2995,5,FALSE())</f>
        <v>Не выполнено</v>
      </c>
      <c r="L1503" s="1" t="n">
        <f aca="false">D1503*F1503+J1503</f>
        <v>5625</v>
      </c>
      <c r="M1503" s="1" t="n">
        <f aca="false">IF(AND(E1503="Пицца Труслейка",I1503="г. Москва",K1503="Выполнено",G1503&gt;=DATE(2020,7,1),G1503&lt;DATE(2020,8,1)),L1503,0)</f>
        <v>0</v>
      </c>
    </row>
    <row r="1504" customFormat="false" ht="15" hidden="false" customHeight="true" outlineLevel="0" collapsed="false">
      <c r="A1504" s="1" t="n">
        <v>100315</v>
      </c>
      <c r="B1504" s="1" t="n">
        <v>51492</v>
      </c>
      <c r="C1504" s="1" t="n">
        <v>6</v>
      </c>
      <c r="D1504" s="1" t="n">
        <v>2</v>
      </c>
      <c r="E1504" s="1" t="str">
        <f aca="false">VLOOKUP(C1504,Меню!$A$2:$C$24,2,FALSE())</f>
        <v>Пицца Капричиоза</v>
      </c>
      <c r="F1504" s="1" t="n">
        <f aca="false">VLOOKUP(C1504,Меню!$A$2:$C$24,3,FALSE())</f>
        <v>570</v>
      </c>
      <c r="G1504" s="5" t="n">
        <f aca="false">VLOOKUP(B1504,Заказы!$A$2:$E$2995,2,FALSE())</f>
        <v>43987</v>
      </c>
      <c r="H1504" s="1" t="n">
        <f aca="false">VLOOKUP(B1504,Заказы!$A$2:$E$2995,3,FALSE())</f>
        <v>701</v>
      </c>
      <c r="I1504" s="1" t="str">
        <f aca="false">VLOOKUP(H1504,Клиенты!$A$2:$E$1995,5,FALSE())</f>
        <v>г. Георгиевск</v>
      </c>
      <c r="J1504" s="1" t="n">
        <f aca="false">VLOOKUP(B1504,Заказы!$A$2:$E$2995,4,FALSE())</f>
        <v>0</v>
      </c>
      <c r="K1504" s="1" t="str">
        <f aca="false">VLOOKUP(B1504,Заказы!$A$2:$E$2995,5,FALSE())</f>
        <v>Не выполнено</v>
      </c>
      <c r="L1504" s="1" t="n">
        <f aca="false">D1504*F1504+J1504</f>
        <v>1140</v>
      </c>
      <c r="M1504" s="1" t="n">
        <f aca="false">IF(AND(E1504="Пицца Труслейка",I1504="г. Москва",K1504="Выполнено",G1504&gt;=DATE(2020,7,1),G1504&lt;DATE(2020,8,1)),L1504,0)</f>
        <v>0</v>
      </c>
    </row>
    <row r="1505" customFormat="false" ht="15" hidden="false" customHeight="true" outlineLevel="0" collapsed="false">
      <c r="A1505" s="1" t="n">
        <v>100023</v>
      </c>
      <c r="B1505" s="1" t="n">
        <v>50293</v>
      </c>
      <c r="C1505" s="1" t="n">
        <v>23</v>
      </c>
      <c r="D1505" s="1" t="n">
        <v>10</v>
      </c>
      <c r="E1505" s="1" t="str">
        <f aca="false">VLOOKUP(C1505,Меню!$A$2:$C$24,2,FALSE())</f>
        <v>Пицца с тунцом</v>
      </c>
      <c r="F1505" s="1" t="n">
        <f aca="false">VLOOKUP(C1505,Меню!$A$2:$C$24,3,FALSE())</f>
        <v>520</v>
      </c>
      <c r="G1505" s="5" t="n">
        <f aca="false">VLOOKUP(B1505,Заказы!$A$2:$E$2995,2,FALSE())</f>
        <v>43987</v>
      </c>
      <c r="H1505" s="1" t="n">
        <f aca="false">VLOOKUP(B1505,Заказы!$A$2:$E$2995,3,FALSE())</f>
        <v>291</v>
      </c>
      <c r="I1505" s="1" t="str">
        <f aca="false">VLOOKUP(H1505,Клиенты!$A$2:$E$1995,5,FALSE())</f>
        <v>г. Клин</v>
      </c>
      <c r="J1505" s="1" t="n">
        <f aca="false">VLOOKUP(B1505,Заказы!$A$2:$E$2995,4,FALSE())</f>
        <v>0</v>
      </c>
      <c r="K1505" s="1" t="str">
        <f aca="false">VLOOKUP(B1505,Заказы!$A$2:$E$2995,5,FALSE())</f>
        <v>Не выполнено</v>
      </c>
      <c r="L1505" s="1" t="n">
        <f aca="false">D1505*F1505+J1505</f>
        <v>5200</v>
      </c>
      <c r="M1505" s="1" t="n">
        <f aca="false">IF(AND(E1505="Пицца Труслейка",I1505="г. Москва",K1505="Выполнено",G1505&gt;=DATE(2020,7,1),G1505&lt;DATE(2020,8,1)),L1505,0)</f>
        <v>0</v>
      </c>
    </row>
    <row r="1506" customFormat="false" ht="15" hidden="false" customHeight="true" outlineLevel="0" collapsed="false">
      <c r="A1506" s="1" t="n">
        <v>101361</v>
      </c>
      <c r="B1506" s="1" t="n">
        <v>51186</v>
      </c>
      <c r="C1506" s="1" t="n">
        <v>4</v>
      </c>
      <c r="D1506" s="1" t="n">
        <v>4</v>
      </c>
      <c r="E1506" s="1" t="str">
        <f aca="false">VLOOKUP(C1506,Меню!$A$2:$C$24,2,FALSE())</f>
        <v>Пицца Труслейка</v>
      </c>
      <c r="F1506" s="1" t="n">
        <f aca="false">VLOOKUP(C1506,Меню!$A$2:$C$24,3,FALSE())</f>
        <v>610</v>
      </c>
      <c r="G1506" s="5" t="n">
        <f aca="false">VLOOKUP(B1506,Заказы!$A$2:$E$2995,2,FALSE())</f>
        <v>43988</v>
      </c>
      <c r="H1506" s="1" t="n">
        <f aca="false">VLOOKUP(B1506,Заказы!$A$2:$E$2995,3,FALSE())</f>
        <v>935</v>
      </c>
      <c r="I1506" s="1" t="str">
        <f aca="false">VLOOKUP(H1506,Клиенты!$A$2:$E$1995,5,FALSE())</f>
        <v>г. Кузнецк</v>
      </c>
      <c r="J1506" s="1" t="n">
        <f aca="false">VLOOKUP(B1506,Заказы!$A$2:$E$2995,4,FALSE())</f>
        <v>684</v>
      </c>
      <c r="K1506" s="1" t="str">
        <f aca="false">VLOOKUP(B1506,Заказы!$A$2:$E$2995,5,FALSE())</f>
        <v>Выполнено</v>
      </c>
      <c r="L1506" s="1" t="n">
        <f aca="false">D1506*F1506+J1506</f>
        <v>3124</v>
      </c>
      <c r="M1506" s="1" t="n">
        <f aca="false">IF(AND(E1506="Пицца Труслейка",I1506="г. Москва",K1506="Выполнено",G1506&gt;=DATE(2020,7,1),G1506&lt;DATE(2020,8,1)),L1506,0)</f>
        <v>0</v>
      </c>
    </row>
    <row r="1507" customFormat="false" ht="15" hidden="false" customHeight="true" outlineLevel="0" collapsed="false">
      <c r="A1507" s="1" t="n">
        <v>101827</v>
      </c>
      <c r="B1507" s="1" t="n">
        <v>51976</v>
      </c>
      <c r="C1507" s="1" t="n">
        <v>18</v>
      </c>
      <c r="D1507" s="1" t="n">
        <v>1</v>
      </c>
      <c r="E1507" s="1" t="str">
        <f aca="false">VLOOKUP(C1507,Меню!$A$2:$C$24,2,FALSE())</f>
        <v>Пицца Царская</v>
      </c>
      <c r="F1507" s="1" t="n">
        <f aca="false">VLOOKUP(C1507,Меню!$A$2:$C$24,3,FALSE())</f>
        <v>620</v>
      </c>
      <c r="G1507" s="5" t="n">
        <f aca="false">VLOOKUP(B1507,Заказы!$A$2:$E$2995,2,FALSE())</f>
        <v>44016</v>
      </c>
      <c r="H1507" s="1" t="n">
        <f aca="false">VLOOKUP(B1507,Заказы!$A$2:$E$2995,3,FALSE())</f>
        <v>1794</v>
      </c>
      <c r="I1507" s="1" t="str">
        <f aca="false">VLOOKUP(H1507,Клиенты!$A$2:$E$1995,5,FALSE())</f>
        <v>г. Суровикино</v>
      </c>
      <c r="J1507" s="1" t="n">
        <f aca="false">VLOOKUP(B1507,Заказы!$A$2:$E$2995,4,FALSE())</f>
        <v>0</v>
      </c>
      <c r="K1507" s="1" t="str">
        <f aca="false">VLOOKUP(B1507,Заказы!$A$2:$E$2995,5,FALSE())</f>
        <v>Не выполнено</v>
      </c>
      <c r="L1507" s="1" t="n">
        <f aca="false">D1507*F1507+J1507</f>
        <v>620</v>
      </c>
      <c r="M1507" s="1" t="n">
        <f aca="false">IF(AND(E1507="Пицца Труслейка",I1507="г. Москва",K1507="Выполнено",G1507&gt;=DATE(2020,7,1),G1507&lt;DATE(2020,8,1)),L1507,0)</f>
        <v>0</v>
      </c>
    </row>
    <row r="1508" customFormat="false" ht="15" hidden="false" customHeight="true" outlineLevel="0" collapsed="false">
      <c r="A1508" s="1" t="n">
        <v>101792</v>
      </c>
      <c r="B1508" s="1" t="n">
        <v>50606</v>
      </c>
      <c r="C1508" s="1" t="n">
        <v>23</v>
      </c>
      <c r="D1508" s="1" t="n">
        <v>9</v>
      </c>
      <c r="E1508" s="1" t="str">
        <f aca="false">VLOOKUP(C1508,Меню!$A$2:$C$24,2,FALSE())</f>
        <v>Пицца с тунцом</v>
      </c>
      <c r="F1508" s="1" t="n">
        <f aca="false">VLOOKUP(C1508,Меню!$A$2:$C$24,3,FALSE())</f>
        <v>520</v>
      </c>
      <c r="G1508" s="5" t="n">
        <f aca="false">VLOOKUP(B1508,Заказы!$A$2:$E$2995,2,FALSE())</f>
        <v>43999</v>
      </c>
      <c r="H1508" s="1" t="n">
        <f aca="false">VLOOKUP(B1508,Заказы!$A$2:$E$2995,3,FALSE())</f>
        <v>1233</v>
      </c>
      <c r="I1508" s="1" t="str">
        <f aca="false">VLOOKUP(H1508,Клиенты!$A$2:$E$1995,5,FALSE())</f>
        <v>г. Асино</v>
      </c>
      <c r="J1508" s="1" t="n">
        <f aca="false">VLOOKUP(B1508,Заказы!$A$2:$E$2995,4,FALSE())</f>
        <v>574</v>
      </c>
      <c r="K1508" s="1" t="str">
        <f aca="false">VLOOKUP(B1508,Заказы!$A$2:$E$2995,5,FALSE())</f>
        <v>Выполнено</v>
      </c>
      <c r="L1508" s="1" t="n">
        <f aca="false">D1508*F1508+J1508</f>
        <v>5254</v>
      </c>
      <c r="M1508" s="1" t="n">
        <f aca="false">IF(AND(E1508="Пицца Труслейка",I1508="г. Москва",K1508="Выполнено",G1508&gt;=DATE(2020,7,1),G1508&lt;DATE(2020,8,1)),L1508,0)</f>
        <v>0</v>
      </c>
    </row>
    <row r="1509" customFormat="false" ht="15" hidden="false" customHeight="true" outlineLevel="0" collapsed="false">
      <c r="A1509" s="1" t="n">
        <v>101070</v>
      </c>
      <c r="B1509" s="1" t="n">
        <v>50465</v>
      </c>
      <c r="C1509" s="1" t="n">
        <v>14</v>
      </c>
      <c r="D1509" s="1" t="n">
        <v>8</v>
      </c>
      <c r="E1509" s="1" t="str">
        <f aca="false">VLOOKUP(C1509,Меню!$A$2:$C$24,2,FALSE())</f>
        <v>Пицца Сырный цыпленок</v>
      </c>
      <c r="F1509" s="1" t="n">
        <f aca="false">VLOOKUP(C1509,Меню!$A$2:$C$24,3,FALSE())</f>
        <v>555</v>
      </c>
      <c r="G1509" s="5" t="n">
        <f aca="false">VLOOKUP(B1509,Заказы!$A$2:$E$2995,2,FALSE())</f>
        <v>43984</v>
      </c>
      <c r="H1509" s="1" t="n">
        <f aca="false">VLOOKUP(B1509,Заказы!$A$2:$E$2995,3,FALSE())</f>
        <v>1586</v>
      </c>
      <c r="I1509" s="1" t="str">
        <f aca="false">VLOOKUP(H1509,Клиенты!$A$2:$E$1995,5,FALSE())</f>
        <v>г. Шарья</v>
      </c>
      <c r="J1509" s="1" t="n">
        <f aca="false">VLOOKUP(B1509,Заказы!$A$2:$E$2995,4,FALSE())</f>
        <v>0</v>
      </c>
      <c r="K1509" s="1" t="str">
        <f aca="false">VLOOKUP(B1509,Заказы!$A$2:$E$2995,5,FALSE())</f>
        <v>Не выполнено</v>
      </c>
      <c r="L1509" s="1" t="n">
        <f aca="false">D1509*F1509+J1509</f>
        <v>4440</v>
      </c>
      <c r="M1509" s="1" t="n">
        <f aca="false">IF(AND(E1509="Пицца Труслейка",I1509="г. Москва",K1509="Выполнено",G1509&gt;=DATE(2020,7,1),G1509&lt;DATE(2020,8,1)),L1509,0)</f>
        <v>0</v>
      </c>
    </row>
    <row r="1510" customFormat="false" ht="15" hidden="false" customHeight="true" outlineLevel="0" collapsed="false">
      <c r="A1510" s="1" t="n">
        <v>101420</v>
      </c>
      <c r="B1510" s="1" t="n">
        <v>50356</v>
      </c>
      <c r="C1510" s="1" t="n">
        <v>13</v>
      </c>
      <c r="D1510" s="1" t="n">
        <v>10</v>
      </c>
      <c r="E1510" s="1" t="str">
        <f aca="false">VLOOKUP(C1510,Меню!$A$2:$C$24,2,FALSE())</f>
        <v>Пицца Сырная</v>
      </c>
      <c r="F1510" s="1" t="n">
        <f aca="false">VLOOKUP(C1510,Меню!$A$2:$C$24,3,FALSE())</f>
        <v>635</v>
      </c>
      <c r="G1510" s="5" t="n">
        <f aca="false">VLOOKUP(B1510,Заказы!$A$2:$E$2995,2,FALSE())</f>
        <v>44072</v>
      </c>
      <c r="H1510" s="1" t="n">
        <f aca="false">VLOOKUP(B1510,Заказы!$A$2:$E$2995,3,FALSE())</f>
        <v>793</v>
      </c>
      <c r="I1510" s="1" t="str">
        <f aca="false">VLOOKUP(H1510,Клиенты!$A$2:$E$1995,5,FALSE())</f>
        <v>г. Новокузнецк</v>
      </c>
      <c r="J1510" s="1" t="n">
        <f aca="false">VLOOKUP(B1510,Заказы!$A$2:$E$2995,4,FALSE())</f>
        <v>0</v>
      </c>
      <c r="K1510" s="1" t="str">
        <f aca="false">VLOOKUP(B1510,Заказы!$A$2:$E$2995,5,FALSE())</f>
        <v>Не выполнено</v>
      </c>
      <c r="L1510" s="1" t="n">
        <f aca="false">D1510*F1510+J1510</f>
        <v>6350</v>
      </c>
      <c r="M1510" s="1" t="n">
        <f aca="false">IF(AND(E1510="Пицца Труслейка",I1510="г. Москва",K1510="Выполнено",G1510&gt;=DATE(2020,7,1),G1510&lt;DATE(2020,8,1)),L1510,0)</f>
        <v>0</v>
      </c>
    </row>
    <row r="1511" customFormat="false" ht="15" hidden="false" customHeight="true" outlineLevel="0" collapsed="false">
      <c r="A1511" s="1" t="n">
        <v>101015</v>
      </c>
      <c r="B1511" s="1" t="n">
        <v>51767</v>
      </c>
      <c r="C1511" s="1" t="n">
        <v>4</v>
      </c>
      <c r="D1511" s="1" t="n">
        <v>3</v>
      </c>
      <c r="E1511" s="1" t="str">
        <f aca="false">VLOOKUP(C1511,Меню!$A$2:$C$24,2,FALSE())</f>
        <v>Пицца Труслейка</v>
      </c>
      <c r="F1511" s="1" t="n">
        <f aca="false">VLOOKUP(C1511,Меню!$A$2:$C$24,3,FALSE())</f>
        <v>610</v>
      </c>
      <c r="G1511" s="5" t="n">
        <f aca="false">VLOOKUP(B1511,Заказы!$A$2:$E$2995,2,FALSE())</f>
        <v>44021</v>
      </c>
      <c r="H1511" s="1" t="n">
        <f aca="false">VLOOKUP(B1511,Заказы!$A$2:$E$2995,3,FALSE())</f>
        <v>1805</v>
      </c>
      <c r="I1511" s="1" t="str">
        <f aca="false">VLOOKUP(H1511,Клиенты!$A$2:$E$1995,5,FALSE())</f>
        <v>г. Канаш</v>
      </c>
      <c r="J1511" s="1" t="n">
        <f aca="false">VLOOKUP(B1511,Заказы!$A$2:$E$2995,4,FALSE())</f>
        <v>0</v>
      </c>
      <c r="K1511" s="1" t="str">
        <f aca="false">VLOOKUP(B1511,Заказы!$A$2:$E$2995,5,FALSE())</f>
        <v>Не выполнено</v>
      </c>
      <c r="L1511" s="1" t="n">
        <f aca="false">D1511*F1511+J1511</f>
        <v>1830</v>
      </c>
      <c r="M1511" s="1" t="n">
        <f aca="false">IF(AND(E1511="Пицца Труслейка",I1511="г. Москва",K1511="Выполнено",G1511&gt;=DATE(2020,7,1),G1511&lt;DATE(2020,8,1)),L1511,0)</f>
        <v>0</v>
      </c>
    </row>
    <row r="1512" customFormat="false" ht="15" hidden="false" customHeight="true" outlineLevel="0" collapsed="false">
      <c r="A1512" s="1" t="n">
        <v>100362</v>
      </c>
      <c r="B1512" s="1" t="n">
        <v>51062</v>
      </c>
      <c r="C1512" s="1" t="n">
        <v>22</v>
      </c>
      <c r="D1512" s="1" t="n">
        <v>1</v>
      </c>
      <c r="E1512" s="1" t="str">
        <f aca="false">VLOOKUP(C1512,Меню!$A$2:$C$24,2,FALSE())</f>
        <v>Пицца с поркеттой и фриарелли</v>
      </c>
      <c r="F1512" s="1" t="n">
        <f aca="false">VLOOKUP(C1512,Меню!$A$2:$C$24,3,FALSE())</f>
        <v>550</v>
      </c>
      <c r="G1512" s="5" t="n">
        <f aca="false">VLOOKUP(B1512,Заказы!$A$2:$E$2995,2,FALSE())</f>
        <v>44054</v>
      </c>
      <c r="H1512" s="1" t="n">
        <f aca="false">VLOOKUP(B1512,Заказы!$A$2:$E$2995,3,FALSE())</f>
        <v>966</v>
      </c>
      <c r="I1512" s="1" t="str">
        <f aca="false">VLOOKUP(H1512,Клиенты!$A$2:$E$1995,5,FALSE())</f>
        <v>г. Арзамас</v>
      </c>
      <c r="J1512" s="1" t="n">
        <f aca="false">VLOOKUP(B1512,Заказы!$A$2:$E$2995,4,FALSE())</f>
        <v>361</v>
      </c>
      <c r="K1512" s="1" t="str">
        <f aca="false">VLOOKUP(B1512,Заказы!$A$2:$E$2995,5,FALSE())</f>
        <v>Выполнено</v>
      </c>
      <c r="L1512" s="1" t="n">
        <f aca="false">D1512*F1512+J1512</f>
        <v>911</v>
      </c>
      <c r="M1512" s="1" t="n">
        <f aca="false">IF(AND(E1512="Пицца Труслейка",I1512="г. Москва",K1512="Выполнено",G1512&gt;=DATE(2020,7,1),G1512&lt;DATE(2020,8,1)),L1512,0)</f>
        <v>0</v>
      </c>
    </row>
    <row r="1513" customFormat="false" ht="15" hidden="false" customHeight="true" outlineLevel="0" collapsed="false">
      <c r="A1513" s="1" t="n">
        <v>101980</v>
      </c>
      <c r="B1513" s="1" t="n">
        <v>51299</v>
      </c>
      <c r="C1513" s="1" t="n">
        <v>20</v>
      </c>
      <c r="D1513" s="1" t="n">
        <v>10</v>
      </c>
      <c r="E1513" s="1" t="str">
        <f aca="false">VLOOKUP(C1513,Меню!$A$2:$C$24,2,FALSE())</f>
        <v>Пицца пиканте</v>
      </c>
      <c r="F1513" s="1" t="n">
        <f aca="false">VLOOKUP(C1513,Меню!$A$2:$C$24,3,FALSE())</f>
        <v>585</v>
      </c>
      <c r="G1513" s="5" t="n">
        <f aca="false">VLOOKUP(B1513,Заказы!$A$2:$E$2995,2,FALSE())</f>
        <v>44064</v>
      </c>
      <c r="H1513" s="1" t="n">
        <f aca="false">VLOOKUP(B1513,Заказы!$A$2:$E$2995,3,FALSE())</f>
        <v>378</v>
      </c>
      <c r="I1513" s="1" t="str">
        <f aca="false">VLOOKUP(H1513,Клиенты!$A$2:$E$1995,5,FALSE())</f>
        <v>г. Малоярославец</v>
      </c>
      <c r="J1513" s="1" t="n">
        <f aca="false">VLOOKUP(B1513,Заказы!$A$2:$E$2995,4,FALSE())</f>
        <v>0</v>
      </c>
      <c r="K1513" s="1" t="str">
        <f aca="false">VLOOKUP(B1513,Заказы!$A$2:$E$2995,5,FALSE())</f>
        <v>Не выполнено</v>
      </c>
      <c r="L1513" s="1" t="n">
        <f aca="false">D1513*F1513+J1513</f>
        <v>5850</v>
      </c>
      <c r="M1513" s="1" t="n">
        <f aca="false">IF(AND(E1513="Пицца Труслейка",I1513="г. Москва",K1513="Выполнено",G1513&gt;=DATE(2020,7,1),G1513&lt;DATE(2020,8,1)),L1513,0)</f>
        <v>0</v>
      </c>
    </row>
    <row r="1514" customFormat="false" ht="15" hidden="false" customHeight="true" outlineLevel="0" collapsed="false">
      <c r="A1514" s="1" t="n">
        <v>101253</v>
      </c>
      <c r="B1514" s="1" t="n">
        <v>50436</v>
      </c>
      <c r="C1514" s="1" t="n">
        <v>6</v>
      </c>
      <c r="D1514" s="1" t="n">
        <v>10</v>
      </c>
      <c r="E1514" s="1" t="str">
        <f aca="false">VLOOKUP(C1514,Меню!$A$2:$C$24,2,FALSE())</f>
        <v>Пицца Капричиоза</v>
      </c>
      <c r="F1514" s="1" t="n">
        <f aca="false">VLOOKUP(C1514,Меню!$A$2:$C$24,3,FALSE())</f>
        <v>570</v>
      </c>
      <c r="G1514" s="5" t="n">
        <f aca="false">VLOOKUP(B1514,Заказы!$A$2:$E$2995,2,FALSE())</f>
        <v>44028</v>
      </c>
      <c r="H1514" s="1" t="n">
        <f aca="false">VLOOKUP(B1514,Заказы!$A$2:$E$2995,3,FALSE())</f>
        <v>1641</v>
      </c>
      <c r="I1514" s="1" t="str">
        <f aca="false">VLOOKUP(H1514,Клиенты!$A$2:$E$1995,5,FALSE())</f>
        <v>г. Буинск</v>
      </c>
      <c r="J1514" s="1" t="n">
        <f aca="false">VLOOKUP(B1514,Заказы!$A$2:$E$2995,4,FALSE())</f>
        <v>0</v>
      </c>
      <c r="K1514" s="1" t="str">
        <f aca="false">VLOOKUP(B1514,Заказы!$A$2:$E$2995,5,FALSE())</f>
        <v>Не выполнено</v>
      </c>
      <c r="L1514" s="1" t="n">
        <f aca="false">D1514*F1514+J1514</f>
        <v>5700</v>
      </c>
      <c r="M1514" s="1" t="n">
        <f aca="false">IF(AND(E1514="Пицца Труслейка",I1514="г. Москва",K1514="Выполнено",G1514&gt;=DATE(2020,7,1),G1514&lt;DATE(2020,8,1)),L1514,0)</f>
        <v>0</v>
      </c>
    </row>
    <row r="1515" customFormat="false" ht="15" hidden="false" customHeight="true" outlineLevel="0" collapsed="false">
      <c r="A1515" s="1" t="n">
        <v>100158</v>
      </c>
      <c r="B1515" s="1" t="n">
        <v>51076</v>
      </c>
      <c r="C1515" s="1" t="n">
        <v>13</v>
      </c>
      <c r="D1515" s="1" t="n">
        <v>5</v>
      </c>
      <c r="E1515" s="1" t="str">
        <f aca="false">VLOOKUP(C1515,Меню!$A$2:$C$24,2,FALSE())</f>
        <v>Пицца Сырная</v>
      </c>
      <c r="F1515" s="1" t="n">
        <f aca="false">VLOOKUP(C1515,Меню!$A$2:$C$24,3,FALSE())</f>
        <v>635</v>
      </c>
      <c r="G1515" s="5" t="n">
        <f aca="false">VLOOKUP(B1515,Заказы!$A$2:$E$2995,2,FALSE())</f>
        <v>44064</v>
      </c>
      <c r="H1515" s="1" t="n">
        <f aca="false">VLOOKUP(B1515,Заказы!$A$2:$E$2995,3,FALSE())</f>
        <v>152</v>
      </c>
      <c r="I1515" s="1" t="str">
        <f aca="false">VLOOKUP(H1515,Клиенты!$A$2:$E$1995,5,FALSE())</f>
        <v>г. Шуя</v>
      </c>
      <c r="J1515" s="1" t="n">
        <f aca="false">VLOOKUP(B1515,Заказы!$A$2:$E$2995,4,FALSE())</f>
        <v>829</v>
      </c>
      <c r="K1515" s="1" t="str">
        <f aca="false">VLOOKUP(B1515,Заказы!$A$2:$E$2995,5,FALSE())</f>
        <v>Выполнено</v>
      </c>
      <c r="L1515" s="1" t="n">
        <f aca="false">D1515*F1515+J1515</f>
        <v>4004</v>
      </c>
      <c r="M1515" s="1" t="n">
        <f aca="false">IF(AND(E1515="Пицца Труслейка",I1515="г. Москва",K1515="Выполнено",G1515&gt;=DATE(2020,7,1),G1515&lt;DATE(2020,8,1)),L1515,0)</f>
        <v>0</v>
      </c>
    </row>
    <row r="1516" customFormat="false" ht="15" hidden="false" customHeight="true" outlineLevel="0" collapsed="false">
      <c r="A1516" s="1" t="n">
        <v>101954</v>
      </c>
      <c r="B1516" s="1" t="n">
        <v>50154</v>
      </c>
      <c r="C1516" s="1" t="n">
        <v>6</v>
      </c>
      <c r="D1516" s="1" t="n">
        <v>1</v>
      </c>
      <c r="E1516" s="1" t="str">
        <f aca="false">VLOOKUP(C1516,Меню!$A$2:$C$24,2,FALSE())</f>
        <v>Пицца Капричиоза</v>
      </c>
      <c r="F1516" s="1" t="n">
        <f aca="false">VLOOKUP(C1516,Меню!$A$2:$C$24,3,FALSE())</f>
        <v>570</v>
      </c>
      <c r="G1516" s="5" t="n">
        <f aca="false">VLOOKUP(B1516,Заказы!$A$2:$E$2995,2,FALSE())</f>
        <v>43992</v>
      </c>
      <c r="H1516" s="1" t="n">
        <f aca="false">VLOOKUP(B1516,Заказы!$A$2:$E$2995,3,FALSE())</f>
        <v>998</v>
      </c>
      <c r="I1516" s="1" t="str">
        <f aca="false">VLOOKUP(H1516,Клиенты!$A$2:$E$1995,5,FALSE())</f>
        <v>г. Партизанск</v>
      </c>
      <c r="J1516" s="1" t="n">
        <f aca="false">VLOOKUP(B1516,Заказы!$A$2:$E$2995,4,FALSE())</f>
        <v>0</v>
      </c>
      <c r="K1516" s="1" t="str">
        <f aca="false">VLOOKUP(B1516,Заказы!$A$2:$E$2995,5,FALSE())</f>
        <v>Не выполнено</v>
      </c>
      <c r="L1516" s="1" t="n">
        <f aca="false">D1516*F1516+J1516</f>
        <v>570</v>
      </c>
      <c r="M1516" s="1" t="n">
        <f aca="false">IF(AND(E1516="Пицца Труслейка",I1516="г. Москва",K1516="Выполнено",G1516&gt;=DATE(2020,7,1),G1516&lt;DATE(2020,8,1)),L1516,0)</f>
        <v>0</v>
      </c>
    </row>
    <row r="1517" customFormat="false" ht="15" hidden="false" customHeight="true" outlineLevel="0" collapsed="false">
      <c r="A1517" s="1" t="n">
        <v>100713</v>
      </c>
      <c r="B1517" s="1" t="n">
        <v>51156</v>
      </c>
      <c r="C1517" s="1" t="n">
        <v>22</v>
      </c>
      <c r="D1517" s="1" t="n">
        <v>2</v>
      </c>
      <c r="E1517" s="1" t="str">
        <f aca="false">VLOOKUP(C1517,Меню!$A$2:$C$24,2,FALSE())</f>
        <v>Пицца с поркеттой и фриарелли</v>
      </c>
      <c r="F1517" s="1" t="n">
        <f aca="false">VLOOKUP(C1517,Меню!$A$2:$C$24,3,FALSE())</f>
        <v>550</v>
      </c>
      <c r="G1517" s="5" t="n">
        <f aca="false">VLOOKUP(B1517,Заказы!$A$2:$E$2995,2,FALSE())</f>
        <v>44054</v>
      </c>
      <c r="H1517" s="1" t="n">
        <f aca="false">VLOOKUP(B1517,Заказы!$A$2:$E$2995,3,FALSE())</f>
        <v>1463</v>
      </c>
      <c r="I1517" s="1" t="str">
        <f aca="false">VLOOKUP(H1517,Клиенты!$A$2:$E$1995,5,FALSE())</f>
        <v>г. Вольск</v>
      </c>
      <c r="J1517" s="1" t="n">
        <f aca="false">VLOOKUP(B1517,Заказы!$A$2:$E$2995,4,FALSE())</f>
        <v>365</v>
      </c>
      <c r="K1517" s="1" t="str">
        <f aca="false">VLOOKUP(B1517,Заказы!$A$2:$E$2995,5,FALSE())</f>
        <v>Выполнено</v>
      </c>
      <c r="L1517" s="1" t="n">
        <f aca="false">D1517*F1517+J1517</f>
        <v>1465</v>
      </c>
      <c r="M1517" s="1" t="n">
        <f aca="false">IF(AND(E1517="Пицца Труслейка",I1517="г. Москва",K1517="Выполнено",G1517&gt;=DATE(2020,7,1),G1517&lt;DATE(2020,8,1)),L1517,0)</f>
        <v>0</v>
      </c>
    </row>
    <row r="1518" customFormat="false" ht="15" hidden="false" customHeight="true" outlineLevel="0" collapsed="false">
      <c r="A1518" s="1" t="n">
        <v>100152</v>
      </c>
      <c r="B1518" s="1" t="n">
        <v>51870</v>
      </c>
      <c r="C1518" s="1" t="n">
        <v>23</v>
      </c>
      <c r="D1518" s="1" t="n">
        <v>3</v>
      </c>
      <c r="E1518" s="1" t="str">
        <f aca="false">VLOOKUP(C1518,Меню!$A$2:$C$24,2,FALSE())</f>
        <v>Пицца с тунцом</v>
      </c>
      <c r="F1518" s="1" t="n">
        <f aca="false">VLOOKUP(C1518,Меню!$A$2:$C$24,3,FALSE())</f>
        <v>520</v>
      </c>
      <c r="G1518" s="5" t="n">
        <f aca="false">VLOOKUP(B1518,Заказы!$A$2:$E$2995,2,FALSE())</f>
        <v>44051</v>
      </c>
      <c r="H1518" s="1" t="n">
        <f aca="false">VLOOKUP(B1518,Заказы!$A$2:$E$2995,3,FALSE())</f>
        <v>153</v>
      </c>
      <c r="I1518" s="1" t="str">
        <f aca="false">VLOOKUP(H1518,Клиенты!$A$2:$E$1995,5,FALSE())</f>
        <v>г. Электроугли</v>
      </c>
      <c r="J1518" s="1" t="n">
        <f aca="false">VLOOKUP(B1518,Заказы!$A$2:$E$2995,4,FALSE())</f>
        <v>838</v>
      </c>
      <c r="K1518" s="1" t="str">
        <f aca="false">VLOOKUP(B1518,Заказы!$A$2:$E$2995,5,FALSE())</f>
        <v>Выполнено</v>
      </c>
      <c r="L1518" s="1" t="n">
        <f aca="false">D1518*F1518+J1518</f>
        <v>2398</v>
      </c>
      <c r="M1518" s="1" t="n">
        <f aca="false">IF(AND(E1518="Пицца Труслейка",I1518="г. Москва",K1518="Выполнено",G1518&gt;=DATE(2020,7,1),G1518&lt;DATE(2020,8,1)),L1518,0)</f>
        <v>0</v>
      </c>
    </row>
    <row r="1519" customFormat="false" ht="15" hidden="false" customHeight="true" outlineLevel="0" collapsed="false">
      <c r="A1519" s="1" t="n">
        <v>101819</v>
      </c>
      <c r="B1519" s="1" t="n">
        <v>50391</v>
      </c>
      <c r="C1519" s="1" t="n">
        <v>15</v>
      </c>
      <c r="D1519" s="1" t="n">
        <v>5</v>
      </c>
      <c r="E1519" s="1" t="str">
        <f aca="false">VLOOKUP(C1519,Меню!$A$2:$C$24,2,FALSE())</f>
        <v>Пицца Тропиканка</v>
      </c>
      <c r="F1519" s="1" t="n">
        <f aca="false">VLOOKUP(C1519,Меню!$A$2:$C$24,3,FALSE())</f>
        <v>605</v>
      </c>
      <c r="G1519" s="5" t="n">
        <f aca="false">VLOOKUP(B1519,Заказы!$A$2:$E$2995,2,FALSE())</f>
        <v>44011</v>
      </c>
      <c r="H1519" s="1" t="n">
        <f aca="false">VLOOKUP(B1519,Заказы!$A$2:$E$2995,3,FALSE())</f>
        <v>1446</v>
      </c>
      <c r="I1519" s="1" t="str">
        <f aca="false">VLOOKUP(H1519,Клиенты!$A$2:$E$1995,5,FALSE())</f>
        <v>г. Гусев</v>
      </c>
      <c r="J1519" s="1" t="n">
        <f aca="false">VLOOKUP(B1519,Заказы!$A$2:$E$2995,4,FALSE())</f>
        <v>425</v>
      </c>
      <c r="K1519" s="1" t="str">
        <f aca="false">VLOOKUP(B1519,Заказы!$A$2:$E$2995,5,FALSE())</f>
        <v>Выполнено</v>
      </c>
      <c r="L1519" s="1" t="n">
        <f aca="false">D1519*F1519+J1519</f>
        <v>3450</v>
      </c>
      <c r="M1519" s="1" t="n">
        <f aca="false">IF(AND(E1519="Пицца Труслейка",I1519="г. Москва",K1519="Выполнено",G1519&gt;=DATE(2020,7,1),G1519&lt;DATE(2020,8,1)),L1519,0)</f>
        <v>0</v>
      </c>
    </row>
    <row r="1520" customFormat="false" ht="15" hidden="false" customHeight="true" outlineLevel="0" collapsed="false">
      <c r="A1520" s="1" t="n">
        <v>101270</v>
      </c>
      <c r="B1520" s="1" t="n">
        <v>51420</v>
      </c>
      <c r="C1520" s="1" t="n">
        <v>5</v>
      </c>
      <c r="D1520" s="1" t="n">
        <v>7</v>
      </c>
      <c r="E1520" s="1" t="str">
        <f aca="false">VLOOKUP(C1520,Меню!$A$2:$C$24,2,FALSE())</f>
        <v>Пицца Жюльен</v>
      </c>
      <c r="F1520" s="1" t="n">
        <f aca="false">VLOOKUP(C1520,Меню!$A$2:$C$24,3,FALSE())</f>
        <v>580</v>
      </c>
      <c r="G1520" s="5" t="n">
        <f aca="false">VLOOKUP(B1520,Заказы!$A$2:$E$2995,2,FALSE())</f>
        <v>44058</v>
      </c>
      <c r="H1520" s="1" t="n">
        <f aca="false">VLOOKUP(B1520,Заказы!$A$2:$E$2995,3,FALSE())</f>
        <v>1385</v>
      </c>
      <c r="I1520" s="1" t="str">
        <f aca="false">VLOOKUP(H1520,Клиенты!$A$2:$E$1995,5,FALSE())</f>
        <v>г. Солигалич</v>
      </c>
      <c r="J1520" s="1" t="n">
        <f aca="false">VLOOKUP(B1520,Заказы!$A$2:$E$2995,4,FALSE())</f>
        <v>0</v>
      </c>
      <c r="K1520" s="1" t="str">
        <f aca="false">VLOOKUP(B1520,Заказы!$A$2:$E$2995,5,FALSE())</f>
        <v>Не выполнено</v>
      </c>
      <c r="L1520" s="1" t="n">
        <f aca="false">D1520*F1520+J1520</f>
        <v>4060</v>
      </c>
      <c r="M1520" s="1" t="n">
        <f aca="false">IF(AND(E1520="Пицца Труслейка",I1520="г. Москва",K1520="Выполнено",G1520&gt;=DATE(2020,7,1),G1520&lt;DATE(2020,8,1)),L1520,0)</f>
        <v>0</v>
      </c>
    </row>
    <row r="1521" customFormat="false" ht="15" hidden="false" customHeight="true" outlineLevel="0" collapsed="false">
      <c r="A1521" s="1" t="n">
        <v>100764</v>
      </c>
      <c r="B1521" s="1" t="n">
        <v>50938</v>
      </c>
      <c r="C1521" s="1" t="n">
        <v>4</v>
      </c>
      <c r="D1521" s="1" t="n">
        <v>6</v>
      </c>
      <c r="E1521" s="1" t="str">
        <f aca="false">VLOOKUP(C1521,Меню!$A$2:$C$24,2,FALSE())</f>
        <v>Пицца Труслейка</v>
      </c>
      <c r="F1521" s="1" t="n">
        <f aca="false">VLOOKUP(C1521,Меню!$A$2:$C$24,3,FALSE())</f>
        <v>610</v>
      </c>
      <c r="G1521" s="5" t="n">
        <f aca="false">VLOOKUP(B1521,Заказы!$A$2:$E$2995,2,FALSE())</f>
        <v>44060</v>
      </c>
      <c r="H1521" s="1" t="n">
        <f aca="false">VLOOKUP(B1521,Заказы!$A$2:$E$2995,3,FALSE())</f>
        <v>3</v>
      </c>
      <c r="I1521" s="1" t="str">
        <f aca="false">VLOOKUP(H1521,Клиенты!$A$2:$E$1995,5,FALSE())</f>
        <v>г. Бобров</v>
      </c>
      <c r="J1521" s="1" t="n">
        <f aca="false">VLOOKUP(B1521,Заказы!$A$2:$E$2995,4,FALSE())</f>
        <v>0</v>
      </c>
      <c r="K1521" s="1" t="str">
        <f aca="false">VLOOKUP(B1521,Заказы!$A$2:$E$2995,5,FALSE())</f>
        <v>Не выполнено</v>
      </c>
      <c r="L1521" s="1" t="n">
        <f aca="false">D1521*F1521+J1521</f>
        <v>3660</v>
      </c>
      <c r="M1521" s="1" t="n">
        <f aca="false">IF(AND(E1521="Пицца Труслейка",I1521="г. Москва",K1521="Выполнено",G1521&gt;=DATE(2020,7,1),G1521&lt;DATE(2020,8,1)),L1521,0)</f>
        <v>0</v>
      </c>
    </row>
    <row r="1522" customFormat="false" ht="15" hidden="false" customHeight="true" outlineLevel="0" collapsed="false">
      <c r="A1522" s="1" t="n">
        <v>101580</v>
      </c>
      <c r="B1522" s="1" t="n">
        <v>50069</v>
      </c>
      <c r="C1522" s="1" t="n">
        <v>20</v>
      </c>
      <c r="D1522" s="1" t="n">
        <v>1</v>
      </c>
      <c r="E1522" s="1" t="str">
        <f aca="false">VLOOKUP(C1522,Меню!$A$2:$C$24,2,FALSE())</f>
        <v>Пицца пиканте</v>
      </c>
      <c r="F1522" s="1" t="n">
        <f aca="false">VLOOKUP(C1522,Меню!$A$2:$C$24,3,FALSE())</f>
        <v>585</v>
      </c>
      <c r="G1522" s="5" t="n">
        <f aca="false">VLOOKUP(B1522,Заказы!$A$2:$E$2995,2,FALSE())</f>
        <v>44017</v>
      </c>
      <c r="H1522" s="1" t="n">
        <f aca="false">VLOOKUP(B1522,Заказы!$A$2:$E$2995,3,FALSE())</f>
        <v>21</v>
      </c>
      <c r="I1522" s="1" t="str">
        <f aca="false">VLOOKUP(H1522,Клиенты!$A$2:$E$1995,5,FALSE())</f>
        <v>г. Валдай</v>
      </c>
      <c r="J1522" s="1" t="n">
        <f aca="false">VLOOKUP(B1522,Заказы!$A$2:$E$2995,4,FALSE())</f>
        <v>353</v>
      </c>
      <c r="K1522" s="1" t="str">
        <f aca="false">VLOOKUP(B1522,Заказы!$A$2:$E$2995,5,FALSE())</f>
        <v>Выполнено</v>
      </c>
      <c r="L1522" s="1" t="n">
        <f aca="false">D1522*F1522+J1522</f>
        <v>938</v>
      </c>
      <c r="M1522" s="1" t="n">
        <f aca="false">IF(AND(E1522="Пицца Труслейка",I1522="г. Москва",K1522="Выполнено",G1522&gt;=DATE(2020,7,1),G1522&lt;DATE(2020,8,1)),L1522,0)</f>
        <v>0</v>
      </c>
    </row>
    <row r="1523" customFormat="false" ht="15" hidden="false" customHeight="true" outlineLevel="0" collapsed="false">
      <c r="A1523" s="1" t="n">
        <v>101160</v>
      </c>
      <c r="B1523" s="1" t="n">
        <v>50949</v>
      </c>
      <c r="C1523" s="1" t="n">
        <v>3</v>
      </c>
      <c r="D1523" s="1" t="n">
        <v>5</v>
      </c>
      <c r="E1523" s="1" t="str">
        <f aca="false">VLOOKUP(C1523,Меню!$A$2:$C$24,2,FALSE())</f>
        <v>Пицца Диабло</v>
      </c>
      <c r="F1523" s="1" t="n">
        <f aca="false">VLOOKUP(C1523,Меню!$A$2:$C$24,3,FALSE())</f>
        <v>590</v>
      </c>
      <c r="G1523" s="5" t="n">
        <f aca="false">VLOOKUP(B1523,Заказы!$A$2:$E$2995,2,FALSE())</f>
        <v>43989</v>
      </c>
      <c r="H1523" s="1" t="n">
        <f aca="false">VLOOKUP(B1523,Заказы!$A$2:$E$2995,3,FALSE())</f>
        <v>1272</v>
      </c>
      <c r="I1523" s="1" t="str">
        <f aca="false">VLOOKUP(H1523,Клиенты!$A$2:$E$1995,5,FALSE())</f>
        <v>г. Мещовск</v>
      </c>
      <c r="J1523" s="1" t="n">
        <f aca="false">VLOOKUP(B1523,Заказы!$A$2:$E$2995,4,FALSE())</f>
        <v>519</v>
      </c>
      <c r="K1523" s="1" t="str">
        <f aca="false">VLOOKUP(B1523,Заказы!$A$2:$E$2995,5,FALSE())</f>
        <v>Выполнено</v>
      </c>
      <c r="L1523" s="1" t="n">
        <f aca="false">D1523*F1523+J1523</f>
        <v>3469</v>
      </c>
      <c r="M1523" s="1" t="n">
        <f aca="false">IF(AND(E1523="Пицца Труслейка",I1523="г. Москва",K1523="Выполнено",G1523&gt;=DATE(2020,7,1),G1523&lt;DATE(2020,8,1)),L1523,0)</f>
        <v>0</v>
      </c>
    </row>
    <row r="1524" customFormat="false" ht="15" hidden="false" customHeight="true" outlineLevel="0" collapsed="false">
      <c r="A1524" s="1" t="n">
        <v>101882</v>
      </c>
      <c r="B1524" s="1" t="n">
        <v>51912</v>
      </c>
      <c r="C1524" s="1" t="n">
        <v>23</v>
      </c>
      <c r="D1524" s="1" t="n">
        <v>3</v>
      </c>
      <c r="E1524" s="1" t="str">
        <f aca="false">VLOOKUP(C1524,Меню!$A$2:$C$24,2,FALSE())</f>
        <v>Пицца с тунцом</v>
      </c>
      <c r="F1524" s="1" t="n">
        <f aca="false">VLOOKUP(C1524,Меню!$A$2:$C$24,3,FALSE())</f>
        <v>520</v>
      </c>
      <c r="G1524" s="5" t="n">
        <f aca="false">VLOOKUP(B1524,Заказы!$A$2:$E$2995,2,FALSE())</f>
        <v>44007</v>
      </c>
      <c r="H1524" s="1" t="n">
        <f aca="false">VLOOKUP(B1524,Заказы!$A$2:$E$2995,3,FALSE())</f>
        <v>1200</v>
      </c>
      <c r="I1524" s="1" t="str">
        <f aca="false">VLOOKUP(H1524,Клиенты!$A$2:$E$1995,5,FALSE())</f>
        <v>г. Москва</v>
      </c>
      <c r="J1524" s="1" t="n">
        <f aca="false">VLOOKUP(B1524,Заказы!$A$2:$E$2995,4,FALSE())</f>
        <v>0</v>
      </c>
      <c r="K1524" s="1" t="str">
        <f aca="false">VLOOKUP(B1524,Заказы!$A$2:$E$2995,5,FALSE())</f>
        <v>Не выполнено</v>
      </c>
      <c r="L1524" s="1" t="n">
        <f aca="false">D1524*F1524+J1524</f>
        <v>1560</v>
      </c>
      <c r="M1524" s="1" t="n">
        <f aca="false">IF(AND(E1524="Пицца Труслейка",I1524="г. Москва",K1524="Выполнено",G1524&gt;=DATE(2020,7,1),G1524&lt;DATE(2020,8,1)),L1524,0)</f>
        <v>0</v>
      </c>
    </row>
    <row r="1525" customFormat="false" ht="15" hidden="false" customHeight="true" outlineLevel="0" collapsed="false">
      <c r="A1525" s="1" t="n">
        <v>100559</v>
      </c>
      <c r="B1525" s="1" t="n">
        <v>51298</v>
      </c>
      <c r="C1525" s="1" t="n">
        <v>9</v>
      </c>
      <c r="D1525" s="1" t="n">
        <v>9</v>
      </c>
      <c r="E1525" s="1" t="str">
        <f aca="false">VLOOKUP(C1525,Меню!$A$2:$C$24,2,FALSE())</f>
        <v>Пицца Острая с беконом</v>
      </c>
      <c r="F1525" s="1" t="n">
        <f aca="false">VLOOKUP(C1525,Меню!$A$2:$C$24,3,FALSE())</f>
        <v>540</v>
      </c>
      <c r="G1525" s="5" t="n">
        <f aca="false">VLOOKUP(B1525,Заказы!$A$2:$E$2995,2,FALSE())</f>
        <v>43983</v>
      </c>
      <c r="H1525" s="1" t="n">
        <f aca="false">VLOOKUP(B1525,Заказы!$A$2:$E$2995,3,FALSE())</f>
        <v>1204</v>
      </c>
      <c r="I1525" s="1" t="str">
        <f aca="false">VLOOKUP(H1525,Клиенты!$A$2:$E$1995,5,FALSE())</f>
        <v>г. Урень</v>
      </c>
      <c r="J1525" s="1" t="n">
        <f aca="false">VLOOKUP(B1525,Заказы!$A$2:$E$2995,4,FALSE())</f>
        <v>0</v>
      </c>
      <c r="K1525" s="1" t="str">
        <f aca="false">VLOOKUP(B1525,Заказы!$A$2:$E$2995,5,FALSE())</f>
        <v>Не выполнено</v>
      </c>
      <c r="L1525" s="1" t="n">
        <f aca="false">D1525*F1525+J1525</f>
        <v>4860</v>
      </c>
      <c r="M1525" s="1" t="n">
        <f aca="false">IF(AND(E1525="Пицца Труслейка",I1525="г. Москва",K1525="Выполнено",G1525&gt;=DATE(2020,7,1),G1525&lt;DATE(2020,8,1)),L1525,0)</f>
        <v>0</v>
      </c>
    </row>
    <row r="1526" customFormat="false" ht="15" hidden="false" customHeight="true" outlineLevel="0" collapsed="false">
      <c r="A1526" s="1" t="n">
        <v>100605</v>
      </c>
      <c r="B1526" s="1" t="n">
        <v>50168</v>
      </c>
      <c r="C1526" s="1" t="n">
        <v>21</v>
      </c>
      <c r="D1526" s="1" t="n">
        <v>10</v>
      </c>
      <c r="E1526" s="1" t="str">
        <f aca="false">VLOOKUP(C1526,Меню!$A$2:$C$24,2,FALSE())</f>
        <v>Пицца с креветками и цукини</v>
      </c>
      <c r="F1526" s="1" t="n">
        <f aca="false">VLOOKUP(C1526,Меню!$A$2:$C$24,3,FALSE())</f>
        <v>600</v>
      </c>
      <c r="G1526" s="5" t="n">
        <f aca="false">VLOOKUP(B1526,Заказы!$A$2:$E$2995,2,FALSE())</f>
        <v>44066</v>
      </c>
      <c r="H1526" s="1" t="n">
        <f aca="false">VLOOKUP(B1526,Заказы!$A$2:$E$2995,3,FALSE())</f>
        <v>581</v>
      </c>
      <c r="I1526" s="1" t="str">
        <f aca="false">VLOOKUP(H1526,Клиенты!$A$2:$E$1995,5,FALSE())</f>
        <v>г. Белгород</v>
      </c>
      <c r="J1526" s="1" t="n">
        <f aca="false">VLOOKUP(B1526,Заказы!$A$2:$E$2995,4,FALSE())</f>
        <v>765</v>
      </c>
      <c r="K1526" s="1" t="str">
        <f aca="false">VLOOKUP(B1526,Заказы!$A$2:$E$2995,5,FALSE())</f>
        <v>Выполнено</v>
      </c>
      <c r="L1526" s="1" t="n">
        <f aca="false">D1526*F1526+J1526</f>
        <v>6765</v>
      </c>
      <c r="M1526" s="1" t="n">
        <f aca="false">IF(AND(E1526="Пицца Труслейка",I1526="г. Москва",K1526="Выполнено",G1526&gt;=DATE(2020,7,1),G1526&lt;DATE(2020,8,1)),L1526,0)</f>
        <v>0</v>
      </c>
    </row>
    <row r="1527" customFormat="false" ht="15" hidden="false" customHeight="true" outlineLevel="0" collapsed="false">
      <c r="A1527" s="1" t="n">
        <v>101285</v>
      </c>
      <c r="B1527" s="1" t="n">
        <v>51509</v>
      </c>
      <c r="C1527" s="1" t="n">
        <v>20</v>
      </c>
      <c r="D1527" s="1" t="n">
        <v>3</v>
      </c>
      <c r="E1527" s="1" t="str">
        <f aca="false">VLOOKUP(C1527,Меню!$A$2:$C$24,2,FALSE())</f>
        <v>Пицца пиканте</v>
      </c>
      <c r="F1527" s="1" t="n">
        <f aca="false">VLOOKUP(C1527,Меню!$A$2:$C$24,3,FALSE())</f>
        <v>585</v>
      </c>
      <c r="G1527" s="5" t="n">
        <f aca="false">VLOOKUP(B1527,Заказы!$A$2:$E$2995,2,FALSE())</f>
        <v>44005</v>
      </c>
      <c r="H1527" s="1" t="n">
        <f aca="false">VLOOKUP(B1527,Заказы!$A$2:$E$2995,3,FALSE())</f>
        <v>1741</v>
      </c>
      <c r="I1527" s="1" t="str">
        <f aca="false">VLOOKUP(H1527,Клиенты!$A$2:$E$1995,5,FALSE())</f>
        <v>г. Калининск</v>
      </c>
      <c r="J1527" s="1" t="n">
        <f aca="false">VLOOKUP(B1527,Заказы!$A$2:$E$2995,4,FALSE())</f>
        <v>0</v>
      </c>
      <c r="K1527" s="1" t="str">
        <f aca="false">VLOOKUP(B1527,Заказы!$A$2:$E$2995,5,FALSE())</f>
        <v>Не выполнено</v>
      </c>
      <c r="L1527" s="1" t="n">
        <f aca="false">D1527*F1527+J1527</f>
        <v>1755</v>
      </c>
      <c r="M1527" s="1" t="n">
        <f aca="false">IF(AND(E1527="Пицца Труслейка",I1527="г. Москва",K1527="Выполнено",G1527&gt;=DATE(2020,7,1),G1527&lt;DATE(2020,8,1)),L1527,0)</f>
        <v>0</v>
      </c>
    </row>
    <row r="1528" customFormat="false" ht="15" hidden="false" customHeight="true" outlineLevel="0" collapsed="false">
      <c r="A1528" s="1" t="n">
        <v>101761</v>
      </c>
      <c r="B1528" s="1" t="n">
        <v>51911</v>
      </c>
      <c r="C1528" s="1" t="n">
        <v>11</v>
      </c>
      <c r="D1528" s="1" t="n">
        <v>4</v>
      </c>
      <c r="E1528" s="1" t="str">
        <f aca="false">VLOOKUP(C1528,Меню!$A$2:$C$24,2,FALSE())</f>
        <v>Пицца Песто</v>
      </c>
      <c r="F1528" s="1" t="n">
        <f aca="false">VLOOKUP(C1528,Меню!$A$2:$C$24,3,FALSE())</f>
        <v>530</v>
      </c>
      <c r="G1528" s="5" t="n">
        <f aca="false">VLOOKUP(B1528,Заказы!$A$2:$E$2995,2,FALSE())</f>
        <v>44041</v>
      </c>
      <c r="H1528" s="1" t="n">
        <f aca="false">VLOOKUP(B1528,Заказы!$A$2:$E$2995,3,FALSE())</f>
        <v>1489</v>
      </c>
      <c r="I1528" s="1" t="str">
        <f aca="false">VLOOKUP(H1528,Клиенты!$A$2:$E$1995,5,FALSE())</f>
        <v>г. Кумертау</v>
      </c>
      <c r="J1528" s="1" t="n">
        <f aca="false">VLOOKUP(B1528,Заказы!$A$2:$E$2995,4,FALSE())</f>
        <v>395</v>
      </c>
      <c r="K1528" s="1" t="str">
        <f aca="false">VLOOKUP(B1528,Заказы!$A$2:$E$2995,5,FALSE())</f>
        <v>Выполнено</v>
      </c>
      <c r="L1528" s="1" t="n">
        <f aca="false">D1528*F1528+J1528</f>
        <v>2515</v>
      </c>
      <c r="M1528" s="1" t="n">
        <f aca="false">IF(AND(E1528="Пицца Труслейка",I1528="г. Москва",K1528="Выполнено",G1528&gt;=DATE(2020,7,1),G1528&lt;DATE(2020,8,1)),L1528,0)</f>
        <v>0</v>
      </c>
    </row>
    <row r="1529" customFormat="false" ht="15" hidden="false" customHeight="true" outlineLevel="0" collapsed="false">
      <c r="A1529" s="1" t="n">
        <v>101031</v>
      </c>
      <c r="B1529" s="1" t="n">
        <v>51355</v>
      </c>
      <c r="C1529" s="1" t="n">
        <v>15</v>
      </c>
      <c r="D1529" s="1" t="n">
        <v>8</v>
      </c>
      <c r="E1529" s="1" t="str">
        <f aca="false">VLOOKUP(C1529,Меню!$A$2:$C$24,2,FALSE())</f>
        <v>Пицца Тропиканка</v>
      </c>
      <c r="F1529" s="1" t="n">
        <f aca="false">VLOOKUP(C1529,Меню!$A$2:$C$24,3,FALSE())</f>
        <v>605</v>
      </c>
      <c r="G1529" s="5" t="n">
        <f aca="false">VLOOKUP(B1529,Заказы!$A$2:$E$2995,2,FALSE())</f>
        <v>44064</v>
      </c>
      <c r="H1529" s="1" t="n">
        <f aca="false">VLOOKUP(B1529,Заказы!$A$2:$E$2995,3,FALSE())</f>
        <v>1161</v>
      </c>
      <c r="I1529" s="1" t="str">
        <f aca="false">VLOOKUP(H1529,Клиенты!$A$2:$E$1995,5,FALSE())</f>
        <v>г. Обоянь</v>
      </c>
      <c r="J1529" s="1" t="n">
        <f aca="false">VLOOKUP(B1529,Заказы!$A$2:$E$2995,4,FALSE())</f>
        <v>492</v>
      </c>
      <c r="K1529" s="1" t="str">
        <f aca="false">VLOOKUP(B1529,Заказы!$A$2:$E$2995,5,FALSE())</f>
        <v>Выполнено</v>
      </c>
      <c r="L1529" s="1" t="n">
        <f aca="false">D1529*F1529+J1529</f>
        <v>5332</v>
      </c>
      <c r="M1529" s="1" t="n">
        <f aca="false">IF(AND(E1529="Пицца Труслейка",I1529="г. Москва",K1529="Выполнено",G1529&gt;=DATE(2020,7,1),G1529&lt;DATE(2020,8,1)),L1529,0)</f>
        <v>0</v>
      </c>
    </row>
    <row r="1530" customFormat="false" ht="15" hidden="false" customHeight="true" outlineLevel="0" collapsed="false">
      <c r="A1530" s="1" t="n">
        <v>100659</v>
      </c>
      <c r="B1530" s="1" t="n">
        <v>50039</v>
      </c>
      <c r="C1530" s="1" t="n">
        <v>22</v>
      </c>
      <c r="D1530" s="1" t="n">
        <v>4</v>
      </c>
      <c r="E1530" s="1" t="str">
        <f aca="false">VLOOKUP(C1530,Меню!$A$2:$C$24,2,FALSE())</f>
        <v>Пицца с поркеттой и фриарелли</v>
      </c>
      <c r="F1530" s="1" t="n">
        <f aca="false">VLOOKUP(C1530,Меню!$A$2:$C$24,3,FALSE())</f>
        <v>550</v>
      </c>
      <c r="G1530" s="5" t="n">
        <f aca="false">VLOOKUP(B1530,Заказы!$A$2:$E$2995,2,FALSE())</f>
        <v>44071</v>
      </c>
      <c r="H1530" s="1" t="n">
        <f aca="false">VLOOKUP(B1530,Заказы!$A$2:$E$2995,3,FALSE())</f>
        <v>1540</v>
      </c>
      <c r="I1530" s="1" t="str">
        <f aca="false">VLOOKUP(H1530,Клиенты!$A$2:$E$1995,5,FALSE())</f>
        <v>г. Москва</v>
      </c>
      <c r="J1530" s="1" t="n">
        <f aca="false">VLOOKUP(B1530,Заказы!$A$2:$E$2995,4,FALSE())</f>
        <v>0</v>
      </c>
      <c r="K1530" s="1" t="str">
        <f aca="false">VLOOKUP(B1530,Заказы!$A$2:$E$2995,5,FALSE())</f>
        <v>Не выполнено</v>
      </c>
      <c r="L1530" s="1" t="n">
        <f aca="false">D1530*F1530+J1530</f>
        <v>2200</v>
      </c>
      <c r="M1530" s="1" t="n">
        <f aca="false">IF(AND(E1530="Пицца Труслейка",I1530="г. Москва",K1530="Выполнено",G1530&gt;=DATE(2020,7,1),G1530&lt;DATE(2020,8,1)),L1530,0)</f>
        <v>0</v>
      </c>
    </row>
    <row r="1531" customFormat="false" ht="15" hidden="false" customHeight="true" outlineLevel="0" collapsed="false">
      <c r="A1531" s="1" t="n">
        <v>101046</v>
      </c>
      <c r="B1531" s="1" t="n">
        <v>50781</v>
      </c>
      <c r="C1531" s="1" t="n">
        <v>4</v>
      </c>
      <c r="D1531" s="1" t="n">
        <v>10</v>
      </c>
      <c r="E1531" s="1" t="str">
        <f aca="false">VLOOKUP(C1531,Меню!$A$2:$C$24,2,FALSE())</f>
        <v>Пицца Труслейка</v>
      </c>
      <c r="F1531" s="1" t="n">
        <f aca="false">VLOOKUP(C1531,Меню!$A$2:$C$24,3,FALSE())</f>
        <v>610</v>
      </c>
      <c r="G1531" s="5" t="n">
        <f aca="false">VLOOKUP(B1531,Заказы!$A$2:$E$2995,2,FALSE())</f>
        <v>43988</v>
      </c>
      <c r="H1531" s="1" t="n">
        <f aca="false">VLOOKUP(B1531,Заказы!$A$2:$E$2995,3,FALSE())</f>
        <v>1792</v>
      </c>
      <c r="I1531" s="1" t="str">
        <f aca="false">VLOOKUP(H1531,Клиенты!$A$2:$E$1995,5,FALSE())</f>
        <v>г. Углегорск</v>
      </c>
      <c r="J1531" s="1" t="n">
        <f aca="false">VLOOKUP(B1531,Заказы!$A$2:$E$2995,4,FALSE())</f>
        <v>449</v>
      </c>
      <c r="K1531" s="1" t="str">
        <f aca="false">VLOOKUP(B1531,Заказы!$A$2:$E$2995,5,FALSE())</f>
        <v>Выполнено</v>
      </c>
      <c r="L1531" s="1" t="n">
        <f aca="false">D1531*F1531+J1531</f>
        <v>6549</v>
      </c>
      <c r="M1531" s="1" t="n">
        <f aca="false">IF(AND(E1531="Пицца Труслейка",I1531="г. Москва",K1531="Выполнено",G1531&gt;=DATE(2020,7,1),G1531&lt;DATE(2020,8,1)),L1531,0)</f>
        <v>0</v>
      </c>
    </row>
    <row r="1532" customFormat="false" ht="15" hidden="false" customHeight="true" outlineLevel="0" collapsed="false">
      <c r="A1532" s="1" t="n">
        <v>100438</v>
      </c>
      <c r="B1532" s="1" t="n">
        <v>51418</v>
      </c>
      <c r="C1532" s="1" t="n">
        <v>4</v>
      </c>
      <c r="D1532" s="1" t="n">
        <v>3</v>
      </c>
      <c r="E1532" s="1" t="str">
        <f aca="false">VLOOKUP(C1532,Меню!$A$2:$C$24,2,FALSE())</f>
        <v>Пицца Труслейка</v>
      </c>
      <c r="F1532" s="1" t="n">
        <f aca="false">VLOOKUP(C1532,Меню!$A$2:$C$24,3,FALSE())</f>
        <v>610</v>
      </c>
      <c r="G1532" s="5" t="n">
        <f aca="false">VLOOKUP(B1532,Заказы!$A$2:$E$2995,2,FALSE())</f>
        <v>44027</v>
      </c>
      <c r="H1532" s="1" t="n">
        <f aca="false">VLOOKUP(B1532,Заказы!$A$2:$E$2995,3,FALSE())</f>
        <v>948</v>
      </c>
      <c r="I1532" s="1" t="str">
        <f aca="false">VLOOKUP(H1532,Клиенты!$A$2:$E$1995,5,FALSE())</f>
        <v>г. Слюдянка</v>
      </c>
      <c r="J1532" s="1" t="n">
        <f aca="false">VLOOKUP(B1532,Заказы!$A$2:$E$2995,4,FALSE())</f>
        <v>0</v>
      </c>
      <c r="K1532" s="1" t="str">
        <f aca="false">VLOOKUP(B1532,Заказы!$A$2:$E$2995,5,FALSE())</f>
        <v>Не выполнено</v>
      </c>
      <c r="L1532" s="1" t="n">
        <f aca="false">D1532*F1532+J1532</f>
        <v>1830</v>
      </c>
      <c r="M1532" s="1" t="n">
        <f aca="false">IF(AND(E1532="Пицца Труслейка",I1532="г. Москва",K1532="Выполнено",G1532&gt;=DATE(2020,7,1),G1532&lt;DATE(2020,8,1)),L1532,0)</f>
        <v>0</v>
      </c>
    </row>
    <row r="1533" customFormat="false" ht="15" hidden="false" customHeight="true" outlineLevel="0" collapsed="false">
      <c r="A1533" s="1" t="n">
        <v>100272</v>
      </c>
      <c r="B1533" s="1" t="n">
        <v>50554</v>
      </c>
      <c r="C1533" s="1" t="n">
        <v>17</v>
      </c>
      <c r="D1533" s="1" t="n">
        <v>8</v>
      </c>
      <c r="E1533" s="1" t="str">
        <f aca="false">VLOOKUP(C1533,Меню!$A$2:$C$24,2,FALSE())</f>
        <v>Пицца Френч Фрайз</v>
      </c>
      <c r="F1533" s="1" t="n">
        <f aca="false">VLOOKUP(C1533,Меню!$A$2:$C$24,3,FALSE())</f>
        <v>515</v>
      </c>
      <c r="G1533" s="5" t="n">
        <f aca="false">VLOOKUP(B1533,Заказы!$A$2:$E$2995,2,FALSE())</f>
        <v>44014</v>
      </c>
      <c r="H1533" s="1" t="n">
        <f aca="false">VLOOKUP(B1533,Заказы!$A$2:$E$2995,3,FALSE())</f>
        <v>552</v>
      </c>
      <c r="I1533" s="1" t="str">
        <f aca="false">VLOOKUP(H1533,Клиенты!$A$2:$E$1995,5,FALSE())</f>
        <v>г. Чистополь</v>
      </c>
      <c r="J1533" s="1" t="n">
        <f aca="false">VLOOKUP(B1533,Заказы!$A$2:$E$2995,4,FALSE())</f>
        <v>0</v>
      </c>
      <c r="K1533" s="1" t="str">
        <f aca="false">VLOOKUP(B1533,Заказы!$A$2:$E$2995,5,FALSE())</f>
        <v>Не выполнено</v>
      </c>
      <c r="L1533" s="1" t="n">
        <f aca="false">D1533*F1533+J1533</f>
        <v>4120</v>
      </c>
      <c r="M1533" s="1" t="n">
        <f aca="false">IF(AND(E1533="Пицца Труслейка",I1533="г. Москва",K1533="Выполнено",G1533&gt;=DATE(2020,7,1),G1533&lt;DATE(2020,8,1)),L1533,0)</f>
        <v>0</v>
      </c>
    </row>
    <row r="1534" customFormat="false" ht="15" hidden="false" customHeight="true" outlineLevel="0" collapsed="false">
      <c r="A1534" s="1" t="n">
        <v>100560</v>
      </c>
      <c r="B1534" s="1" t="n">
        <v>51471</v>
      </c>
      <c r="C1534" s="1" t="n">
        <v>12</v>
      </c>
      <c r="D1534" s="1" t="n">
        <v>1</v>
      </c>
      <c r="E1534" s="1" t="str">
        <f aca="false">VLOOKUP(C1534,Меню!$A$2:$C$24,2,FALSE())</f>
        <v>Пицца Салями с трюфелем</v>
      </c>
      <c r="F1534" s="1" t="n">
        <f aca="false">VLOOKUP(C1534,Меню!$A$2:$C$24,3,FALSE())</f>
        <v>525</v>
      </c>
      <c r="G1534" s="5" t="n">
        <f aca="false">VLOOKUP(B1534,Заказы!$A$2:$E$2995,2,FALSE())</f>
        <v>44063</v>
      </c>
      <c r="H1534" s="1" t="n">
        <f aca="false">VLOOKUP(B1534,Заказы!$A$2:$E$2995,3,FALSE())</f>
        <v>1026</v>
      </c>
      <c r="I1534" s="1" t="str">
        <f aca="false">VLOOKUP(H1534,Клиенты!$A$2:$E$1995,5,FALSE())</f>
        <v>г. Новоржев</v>
      </c>
      <c r="J1534" s="1" t="n">
        <f aca="false">VLOOKUP(B1534,Заказы!$A$2:$E$2995,4,FALSE())</f>
        <v>570</v>
      </c>
      <c r="K1534" s="1" t="str">
        <f aca="false">VLOOKUP(B1534,Заказы!$A$2:$E$2995,5,FALSE())</f>
        <v>Выполнено</v>
      </c>
      <c r="L1534" s="1" t="n">
        <f aca="false">D1534*F1534+J1534</f>
        <v>1095</v>
      </c>
      <c r="M1534" s="1" t="n">
        <f aca="false">IF(AND(E1534="Пицца Труслейка",I1534="г. Москва",K1534="Выполнено",G1534&gt;=DATE(2020,7,1),G1534&lt;DATE(2020,8,1)),L1534,0)</f>
        <v>0</v>
      </c>
    </row>
    <row r="1535" customFormat="false" ht="15" hidden="false" customHeight="true" outlineLevel="0" collapsed="false">
      <c r="A1535" s="1" t="n">
        <v>101503</v>
      </c>
      <c r="B1535" s="1" t="n">
        <v>50966</v>
      </c>
      <c r="C1535" s="1" t="n">
        <v>19</v>
      </c>
      <c r="D1535" s="1" t="n">
        <v>1</v>
      </c>
      <c r="E1535" s="1" t="str">
        <f aca="false">VLOOKUP(C1535,Меню!$A$2:$C$24,2,FALSE())</f>
        <v>Пицца Цезарь</v>
      </c>
      <c r="F1535" s="1" t="n">
        <f aca="false">VLOOKUP(C1535,Меню!$A$2:$C$24,3,FALSE())</f>
        <v>630</v>
      </c>
      <c r="G1535" s="5" t="n">
        <f aca="false">VLOOKUP(B1535,Заказы!$A$2:$E$2995,2,FALSE())</f>
        <v>44034</v>
      </c>
      <c r="H1535" s="1" t="n">
        <f aca="false">VLOOKUP(B1535,Заказы!$A$2:$E$2995,3,FALSE())</f>
        <v>1052</v>
      </c>
      <c r="I1535" s="1" t="str">
        <f aca="false">VLOOKUP(H1535,Клиенты!$A$2:$E$1995,5,FALSE())</f>
        <v>г. Велиж</v>
      </c>
      <c r="J1535" s="1" t="n">
        <f aca="false">VLOOKUP(B1535,Заказы!$A$2:$E$2995,4,FALSE())</f>
        <v>430</v>
      </c>
      <c r="K1535" s="1" t="str">
        <f aca="false">VLOOKUP(B1535,Заказы!$A$2:$E$2995,5,FALSE())</f>
        <v>Выполнено</v>
      </c>
      <c r="L1535" s="1" t="n">
        <f aca="false">D1535*F1535+J1535</f>
        <v>1060</v>
      </c>
      <c r="M1535" s="1" t="n">
        <f aca="false">IF(AND(E1535="Пицца Труслейка",I1535="г. Москва",K1535="Выполнено",G1535&gt;=DATE(2020,7,1),G1535&lt;DATE(2020,8,1)),L1535,0)</f>
        <v>0</v>
      </c>
    </row>
    <row r="1536" customFormat="false" ht="15" hidden="false" customHeight="true" outlineLevel="0" collapsed="false">
      <c r="A1536" s="1" t="n">
        <v>100012</v>
      </c>
      <c r="B1536" s="1" t="n">
        <v>51097</v>
      </c>
      <c r="C1536" s="1" t="n">
        <v>22</v>
      </c>
      <c r="D1536" s="1" t="n">
        <v>7</v>
      </c>
      <c r="E1536" s="1" t="str">
        <f aca="false">VLOOKUP(C1536,Меню!$A$2:$C$24,2,FALSE())</f>
        <v>Пицца с поркеттой и фриарелли</v>
      </c>
      <c r="F1536" s="1" t="n">
        <f aca="false">VLOOKUP(C1536,Меню!$A$2:$C$24,3,FALSE())</f>
        <v>550</v>
      </c>
      <c r="G1536" s="5" t="n">
        <f aca="false">VLOOKUP(B1536,Заказы!$A$2:$E$2995,2,FALSE())</f>
        <v>44042</v>
      </c>
      <c r="H1536" s="1" t="n">
        <f aca="false">VLOOKUP(B1536,Заказы!$A$2:$E$2995,3,FALSE())</f>
        <v>1652</v>
      </c>
      <c r="I1536" s="1" t="str">
        <f aca="false">VLOOKUP(H1536,Клиенты!$A$2:$E$1995,5,FALSE())</f>
        <v>г. Мелеуз</v>
      </c>
      <c r="J1536" s="1" t="n">
        <f aca="false">VLOOKUP(B1536,Заказы!$A$2:$E$2995,4,FALSE())</f>
        <v>0</v>
      </c>
      <c r="K1536" s="1" t="str">
        <f aca="false">VLOOKUP(B1536,Заказы!$A$2:$E$2995,5,FALSE())</f>
        <v>Не выполнено</v>
      </c>
      <c r="L1536" s="1" t="n">
        <f aca="false">D1536*F1536+J1536</f>
        <v>3850</v>
      </c>
      <c r="M1536" s="1" t="n">
        <f aca="false">IF(AND(E1536="Пицца Труслейка",I1536="г. Москва",K1536="Выполнено",G1536&gt;=DATE(2020,7,1),G1536&lt;DATE(2020,8,1)),L1536,0)</f>
        <v>0</v>
      </c>
    </row>
    <row r="1537" customFormat="false" ht="15" hidden="false" customHeight="true" outlineLevel="0" collapsed="false">
      <c r="A1537" s="1" t="n">
        <v>101034</v>
      </c>
      <c r="B1537" s="1" t="n">
        <v>50305</v>
      </c>
      <c r="C1537" s="1" t="n">
        <v>22</v>
      </c>
      <c r="D1537" s="1" t="n">
        <v>9</v>
      </c>
      <c r="E1537" s="1" t="str">
        <f aca="false">VLOOKUP(C1537,Меню!$A$2:$C$24,2,FALSE())</f>
        <v>Пицца с поркеттой и фриарелли</v>
      </c>
      <c r="F1537" s="1" t="n">
        <f aca="false">VLOOKUP(C1537,Меню!$A$2:$C$24,3,FALSE())</f>
        <v>550</v>
      </c>
      <c r="G1537" s="5" t="n">
        <f aca="false">VLOOKUP(B1537,Заказы!$A$2:$E$2995,2,FALSE())</f>
        <v>44070</v>
      </c>
      <c r="H1537" s="1" t="n">
        <f aca="false">VLOOKUP(B1537,Заказы!$A$2:$E$2995,3,FALSE())</f>
        <v>466</v>
      </c>
      <c r="I1537" s="1" t="str">
        <f aca="false">VLOOKUP(H1537,Клиенты!$A$2:$E$1995,5,FALSE())</f>
        <v>г. Петушки</v>
      </c>
      <c r="J1537" s="1" t="n">
        <f aca="false">VLOOKUP(B1537,Заказы!$A$2:$E$2995,4,FALSE())</f>
        <v>723</v>
      </c>
      <c r="K1537" s="1" t="str">
        <f aca="false">VLOOKUP(B1537,Заказы!$A$2:$E$2995,5,FALSE())</f>
        <v>Выполнено</v>
      </c>
      <c r="L1537" s="1" t="n">
        <f aca="false">D1537*F1537+J1537</f>
        <v>5673</v>
      </c>
      <c r="M1537" s="1" t="n">
        <f aca="false">IF(AND(E1537="Пицца Труслейка",I1537="г. Москва",K1537="Выполнено",G1537&gt;=DATE(2020,7,1),G1537&lt;DATE(2020,8,1)),L1537,0)</f>
        <v>0</v>
      </c>
    </row>
    <row r="1538" customFormat="false" ht="15" hidden="false" customHeight="true" outlineLevel="0" collapsed="false">
      <c r="A1538" s="1" t="n">
        <v>101305</v>
      </c>
      <c r="B1538" s="1" t="n">
        <v>50078</v>
      </c>
      <c r="C1538" s="1" t="n">
        <v>21</v>
      </c>
      <c r="D1538" s="1" t="n">
        <v>6</v>
      </c>
      <c r="E1538" s="1" t="str">
        <f aca="false">VLOOKUP(C1538,Меню!$A$2:$C$24,2,FALSE())</f>
        <v>Пицца с креветками и цукини</v>
      </c>
      <c r="F1538" s="1" t="n">
        <f aca="false">VLOOKUP(C1538,Меню!$A$2:$C$24,3,FALSE())</f>
        <v>600</v>
      </c>
      <c r="G1538" s="5" t="n">
        <f aca="false">VLOOKUP(B1538,Заказы!$A$2:$E$2995,2,FALSE())</f>
        <v>44059</v>
      </c>
      <c r="H1538" s="1" t="n">
        <f aca="false">VLOOKUP(B1538,Заказы!$A$2:$E$2995,3,FALSE())</f>
        <v>1299</v>
      </c>
      <c r="I1538" s="1" t="str">
        <f aca="false">VLOOKUP(H1538,Клиенты!$A$2:$E$1995,5,FALSE())</f>
        <v>г. Дедовск</v>
      </c>
      <c r="J1538" s="1" t="n">
        <f aca="false">VLOOKUP(B1538,Заказы!$A$2:$E$2995,4,FALSE())</f>
        <v>525</v>
      </c>
      <c r="K1538" s="1" t="str">
        <f aca="false">VLOOKUP(B1538,Заказы!$A$2:$E$2995,5,FALSE())</f>
        <v>Выполнено</v>
      </c>
      <c r="L1538" s="1" t="n">
        <f aca="false">D1538*F1538+J1538</f>
        <v>4125</v>
      </c>
      <c r="M1538" s="1" t="n">
        <f aca="false">IF(AND(E1538="Пицца Труслейка",I1538="г. Москва",K1538="Выполнено",G1538&gt;=DATE(2020,7,1),G1538&lt;DATE(2020,8,1)),L1538,0)</f>
        <v>0</v>
      </c>
    </row>
    <row r="1539" customFormat="false" ht="15" hidden="false" customHeight="true" outlineLevel="0" collapsed="false">
      <c r="A1539" s="1" t="n">
        <v>101731</v>
      </c>
      <c r="B1539" s="1" t="n">
        <v>50103</v>
      </c>
      <c r="C1539" s="1" t="n">
        <v>9</v>
      </c>
      <c r="D1539" s="1" t="n">
        <v>9</v>
      </c>
      <c r="E1539" s="1" t="str">
        <f aca="false">VLOOKUP(C1539,Меню!$A$2:$C$24,2,FALSE())</f>
        <v>Пицца Острая с беконом</v>
      </c>
      <c r="F1539" s="1" t="n">
        <f aca="false">VLOOKUP(C1539,Меню!$A$2:$C$24,3,FALSE())</f>
        <v>540</v>
      </c>
      <c r="G1539" s="5" t="n">
        <f aca="false">VLOOKUP(B1539,Заказы!$A$2:$E$2995,2,FALSE())</f>
        <v>44015</v>
      </c>
      <c r="H1539" s="1" t="n">
        <f aca="false">VLOOKUP(B1539,Заказы!$A$2:$E$2995,3,FALSE())</f>
        <v>1743</v>
      </c>
      <c r="I1539" s="1" t="str">
        <f aca="false">VLOOKUP(H1539,Клиенты!$A$2:$E$1995,5,FALSE())</f>
        <v>г. Кировск</v>
      </c>
      <c r="J1539" s="1" t="n">
        <f aca="false">VLOOKUP(B1539,Заказы!$A$2:$E$2995,4,FALSE())</f>
        <v>0</v>
      </c>
      <c r="K1539" s="1" t="str">
        <f aca="false">VLOOKUP(B1539,Заказы!$A$2:$E$2995,5,FALSE())</f>
        <v>Не выполнено</v>
      </c>
      <c r="L1539" s="1" t="n">
        <f aca="false">D1539*F1539+J1539</f>
        <v>4860</v>
      </c>
      <c r="M1539" s="1" t="n">
        <f aca="false">IF(AND(E1539="Пицца Труслейка",I1539="г. Москва",K1539="Выполнено",G1539&gt;=DATE(2020,7,1),G1539&lt;DATE(2020,8,1)),L1539,0)</f>
        <v>0</v>
      </c>
    </row>
    <row r="1540" customFormat="false" ht="15" hidden="false" customHeight="true" outlineLevel="0" collapsed="false">
      <c r="A1540" s="1" t="n">
        <v>101766</v>
      </c>
      <c r="B1540" s="1" t="n">
        <v>50477</v>
      </c>
      <c r="C1540" s="1" t="n">
        <v>23</v>
      </c>
      <c r="D1540" s="1" t="n">
        <v>8</v>
      </c>
      <c r="E1540" s="1" t="str">
        <f aca="false">VLOOKUP(C1540,Меню!$A$2:$C$24,2,FALSE())</f>
        <v>Пицца с тунцом</v>
      </c>
      <c r="F1540" s="1" t="n">
        <f aca="false">VLOOKUP(C1540,Меню!$A$2:$C$24,3,FALSE())</f>
        <v>520</v>
      </c>
      <c r="G1540" s="5" t="n">
        <f aca="false">VLOOKUP(B1540,Заказы!$A$2:$E$2995,2,FALSE())</f>
        <v>44006</v>
      </c>
      <c r="H1540" s="1" t="n">
        <f aca="false">VLOOKUP(B1540,Заказы!$A$2:$E$2995,3,FALSE())</f>
        <v>1878</v>
      </c>
      <c r="I1540" s="1" t="str">
        <f aca="false">VLOOKUP(H1540,Клиенты!$A$2:$E$1995,5,FALSE())</f>
        <v>г. Копейск</v>
      </c>
      <c r="J1540" s="1" t="n">
        <f aca="false">VLOOKUP(B1540,Заказы!$A$2:$E$2995,4,FALSE())</f>
        <v>0</v>
      </c>
      <c r="K1540" s="1" t="str">
        <f aca="false">VLOOKUP(B1540,Заказы!$A$2:$E$2995,5,FALSE())</f>
        <v>Не выполнено</v>
      </c>
      <c r="L1540" s="1" t="n">
        <f aca="false">D1540*F1540+J1540</f>
        <v>4160</v>
      </c>
      <c r="M1540" s="1" t="n">
        <f aca="false">IF(AND(E1540="Пицца Труслейка",I1540="г. Москва",K1540="Выполнено",G1540&gt;=DATE(2020,7,1),G1540&lt;DATE(2020,8,1)),L1540,0)</f>
        <v>0</v>
      </c>
    </row>
    <row r="1541" customFormat="false" ht="15" hidden="false" customHeight="true" outlineLevel="0" collapsed="false">
      <c r="A1541" s="1" t="n">
        <v>100098</v>
      </c>
      <c r="B1541" s="1" t="n">
        <v>50761</v>
      </c>
      <c r="C1541" s="1" t="n">
        <v>4</v>
      </c>
      <c r="D1541" s="1" t="n">
        <v>2</v>
      </c>
      <c r="E1541" s="1" t="str">
        <f aca="false">VLOOKUP(C1541,Меню!$A$2:$C$24,2,FALSE())</f>
        <v>Пицца Труслейка</v>
      </c>
      <c r="F1541" s="1" t="n">
        <f aca="false">VLOOKUP(C1541,Меню!$A$2:$C$24,3,FALSE())</f>
        <v>610</v>
      </c>
      <c r="G1541" s="5" t="n">
        <f aca="false">VLOOKUP(B1541,Заказы!$A$2:$E$2995,2,FALSE())</f>
        <v>44061</v>
      </c>
      <c r="H1541" s="1" t="n">
        <f aca="false">VLOOKUP(B1541,Заказы!$A$2:$E$2995,3,FALSE())</f>
        <v>682</v>
      </c>
      <c r="I1541" s="1" t="str">
        <f aca="false">VLOOKUP(H1541,Клиенты!$A$2:$E$1995,5,FALSE())</f>
        <v>г. Новокузнецк</v>
      </c>
      <c r="J1541" s="1" t="n">
        <f aca="false">VLOOKUP(B1541,Заказы!$A$2:$E$2995,4,FALSE())</f>
        <v>0</v>
      </c>
      <c r="K1541" s="1" t="str">
        <f aca="false">VLOOKUP(B1541,Заказы!$A$2:$E$2995,5,FALSE())</f>
        <v>Не выполнено</v>
      </c>
      <c r="L1541" s="1" t="n">
        <f aca="false">D1541*F1541+J1541</f>
        <v>1220</v>
      </c>
      <c r="M1541" s="1" t="n">
        <f aca="false">IF(AND(E1541="Пицца Труслейка",I1541="г. Москва",K1541="Выполнено",G1541&gt;=DATE(2020,7,1),G1541&lt;DATE(2020,8,1)),L1541,0)</f>
        <v>0</v>
      </c>
    </row>
    <row r="1542" customFormat="false" ht="15" hidden="false" customHeight="true" outlineLevel="0" collapsed="false">
      <c r="A1542" s="1" t="n">
        <v>100240</v>
      </c>
      <c r="B1542" s="1" t="n">
        <v>51858</v>
      </c>
      <c r="C1542" s="1" t="n">
        <v>7</v>
      </c>
      <c r="D1542" s="1" t="n">
        <v>9</v>
      </c>
      <c r="E1542" s="1" t="str">
        <f aca="false">VLOOKUP(C1542,Меню!$A$2:$C$24,2,FALSE())</f>
        <v>Пицца Карбонара</v>
      </c>
      <c r="F1542" s="1" t="n">
        <f aca="false">VLOOKUP(C1542,Меню!$A$2:$C$24,3,FALSE())</f>
        <v>625</v>
      </c>
      <c r="G1542" s="5" t="n">
        <f aca="false">VLOOKUP(B1542,Заказы!$A$2:$E$2995,2,FALSE())</f>
        <v>44070</v>
      </c>
      <c r="H1542" s="1" t="n">
        <f aca="false">VLOOKUP(B1542,Заказы!$A$2:$E$2995,3,FALSE())</f>
        <v>102</v>
      </c>
      <c r="I1542" s="1" t="str">
        <f aca="false">VLOOKUP(H1542,Клиенты!$A$2:$E$1995,5,FALSE())</f>
        <v>г. Сковородино</v>
      </c>
      <c r="J1542" s="1" t="n">
        <f aca="false">VLOOKUP(B1542,Заказы!$A$2:$E$2995,4,FALSE())</f>
        <v>0</v>
      </c>
      <c r="K1542" s="1" t="str">
        <f aca="false">VLOOKUP(B1542,Заказы!$A$2:$E$2995,5,FALSE())</f>
        <v>Не выполнено</v>
      </c>
      <c r="L1542" s="1" t="n">
        <f aca="false">D1542*F1542+J1542</f>
        <v>5625</v>
      </c>
      <c r="M1542" s="1" t="n">
        <f aca="false">IF(AND(E1542="Пицца Труслейка",I1542="г. Москва",K1542="Выполнено",G1542&gt;=DATE(2020,7,1),G1542&lt;DATE(2020,8,1)),L1542,0)</f>
        <v>0</v>
      </c>
    </row>
    <row r="1543" customFormat="false" ht="15" hidden="false" customHeight="true" outlineLevel="0" collapsed="false">
      <c r="A1543" s="1" t="n">
        <v>100284</v>
      </c>
      <c r="B1543" s="1" t="n">
        <v>51275</v>
      </c>
      <c r="C1543" s="1" t="n">
        <v>23</v>
      </c>
      <c r="D1543" s="1" t="n">
        <v>2</v>
      </c>
      <c r="E1543" s="1" t="str">
        <f aca="false">VLOOKUP(C1543,Меню!$A$2:$C$24,2,FALSE())</f>
        <v>Пицца с тунцом</v>
      </c>
      <c r="F1543" s="1" t="n">
        <f aca="false">VLOOKUP(C1543,Меню!$A$2:$C$24,3,FALSE())</f>
        <v>520</v>
      </c>
      <c r="G1543" s="5" t="n">
        <f aca="false">VLOOKUP(B1543,Заказы!$A$2:$E$2995,2,FALSE())</f>
        <v>43985</v>
      </c>
      <c r="H1543" s="1" t="n">
        <f aca="false">VLOOKUP(B1543,Заказы!$A$2:$E$2995,3,FALSE())</f>
        <v>693</v>
      </c>
      <c r="I1543" s="1" t="str">
        <f aca="false">VLOOKUP(H1543,Клиенты!$A$2:$E$1995,5,FALSE())</f>
        <v>г. Краснослободск</v>
      </c>
      <c r="J1543" s="1" t="n">
        <f aca="false">VLOOKUP(B1543,Заказы!$A$2:$E$2995,4,FALSE())</f>
        <v>414</v>
      </c>
      <c r="K1543" s="1" t="str">
        <f aca="false">VLOOKUP(B1543,Заказы!$A$2:$E$2995,5,FALSE())</f>
        <v>Выполнено</v>
      </c>
      <c r="L1543" s="1" t="n">
        <f aca="false">D1543*F1543+J1543</f>
        <v>1454</v>
      </c>
      <c r="M1543" s="1" t="n">
        <f aca="false">IF(AND(E1543="Пицца Труслейка",I1543="г. Москва",K1543="Выполнено",G1543&gt;=DATE(2020,7,1),G1543&lt;DATE(2020,8,1)),L1543,0)</f>
        <v>0</v>
      </c>
    </row>
    <row r="1544" customFormat="false" ht="15" hidden="false" customHeight="true" outlineLevel="0" collapsed="false">
      <c r="A1544" s="1" t="n">
        <v>101870</v>
      </c>
      <c r="B1544" s="1" t="n">
        <v>50630</v>
      </c>
      <c r="C1544" s="1" t="n">
        <v>10</v>
      </c>
      <c r="D1544" s="1" t="n">
        <v>3</v>
      </c>
      <c r="E1544" s="1" t="str">
        <f aca="false">VLOOKUP(C1544,Меню!$A$2:$C$24,2,FALSE())</f>
        <v>Пицца Пепперони фреш</v>
      </c>
      <c r="F1544" s="1" t="n">
        <f aca="false">VLOOKUP(C1544,Меню!$A$2:$C$24,3,FALSE())</f>
        <v>565</v>
      </c>
      <c r="G1544" s="5" t="n">
        <f aca="false">VLOOKUP(B1544,Заказы!$A$2:$E$2995,2,FALSE())</f>
        <v>43984</v>
      </c>
      <c r="H1544" s="1" t="n">
        <f aca="false">VLOOKUP(B1544,Заказы!$A$2:$E$2995,3,FALSE())</f>
        <v>1184</v>
      </c>
      <c r="I1544" s="1" t="str">
        <f aca="false">VLOOKUP(H1544,Клиенты!$A$2:$E$1995,5,FALSE())</f>
        <v>г. Зеленогорск</v>
      </c>
      <c r="J1544" s="1" t="n">
        <f aca="false">VLOOKUP(B1544,Заказы!$A$2:$E$2995,4,FALSE())</f>
        <v>606</v>
      </c>
      <c r="K1544" s="1" t="str">
        <f aca="false">VLOOKUP(B1544,Заказы!$A$2:$E$2995,5,FALSE())</f>
        <v>Выполнено</v>
      </c>
      <c r="L1544" s="1" t="n">
        <f aca="false">D1544*F1544+J1544</f>
        <v>2301</v>
      </c>
      <c r="M1544" s="1" t="n">
        <f aca="false">IF(AND(E1544="Пицца Труслейка",I1544="г. Москва",K1544="Выполнено",G1544&gt;=DATE(2020,7,1),G1544&lt;DATE(2020,8,1)),L1544,0)</f>
        <v>0</v>
      </c>
    </row>
    <row r="1545" customFormat="false" ht="15" hidden="false" customHeight="true" outlineLevel="0" collapsed="false">
      <c r="A1545" s="1" t="n">
        <v>101690</v>
      </c>
      <c r="B1545" s="1" t="n">
        <v>51600</v>
      </c>
      <c r="C1545" s="1" t="n">
        <v>19</v>
      </c>
      <c r="D1545" s="1" t="n">
        <v>3</v>
      </c>
      <c r="E1545" s="1" t="str">
        <f aca="false">VLOOKUP(C1545,Меню!$A$2:$C$24,2,FALSE())</f>
        <v>Пицца Цезарь</v>
      </c>
      <c r="F1545" s="1" t="n">
        <f aca="false">VLOOKUP(C1545,Меню!$A$2:$C$24,3,FALSE())</f>
        <v>630</v>
      </c>
      <c r="G1545" s="5" t="n">
        <f aca="false">VLOOKUP(B1545,Заказы!$A$2:$E$2995,2,FALSE())</f>
        <v>43995</v>
      </c>
      <c r="H1545" s="1" t="n">
        <f aca="false">VLOOKUP(B1545,Заказы!$A$2:$E$2995,3,FALSE())</f>
        <v>101</v>
      </c>
      <c r="I1545" s="1" t="str">
        <f aca="false">VLOOKUP(H1545,Клиенты!$A$2:$E$1995,5,FALSE())</f>
        <v>г. Ростов</v>
      </c>
      <c r="J1545" s="1" t="n">
        <f aca="false">VLOOKUP(B1545,Заказы!$A$2:$E$2995,4,FALSE())</f>
        <v>215</v>
      </c>
      <c r="K1545" s="1" t="str">
        <f aca="false">VLOOKUP(B1545,Заказы!$A$2:$E$2995,5,FALSE())</f>
        <v>Выполнено</v>
      </c>
      <c r="L1545" s="1" t="n">
        <f aca="false">D1545*F1545+J1545</f>
        <v>2105</v>
      </c>
      <c r="M1545" s="1" t="n">
        <f aca="false">IF(AND(E1545="Пицца Труслейка",I1545="г. Москва",K1545="Выполнено",G1545&gt;=DATE(2020,7,1),G1545&lt;DATE(2020,8,1)),L1545,0)</f>
        <v>0</v>
      </c>
    </row>
    <row r="1546" customFormat="false" ht="15" hidden="false" customHeight="true" outlineLevel="0" collapsed="false">
      <c r="A1546" s="1" t="n">
        <v>101748</v>
      </c>
      <c r="B1546" s="1" t="n">
        <v>50752</v>
      </c>
      <c r="C1546" s="1" t="n">
        <v>13</v>
      </c>
      <c r="D1546" s="1" t="n">
        <v>8</v>
      </c>
      <c r="E1546" s="1" t="str">
        <f aca="false">VLOOKUP(C1546,Меню!$A$2:$C$24,2,FALSE())</f>
        <v>Пицца Сырная</v>
      </c>
      <c r="F1546" s="1" t="n">
        <f aca="false">VLOOKUP(C1546,Меню!$A$2:$C$24,3,FALSE())</f>
        <v>635</v>
      </c>
      <c r="G1546" s="5" t="n">
        <f aca="false">VLOOKUP(B1546,Заказы!$A$2:$E$2995,2,FALSE())</f>
        <v>44045</v>
      </c>
      <c r="H1546" s="1" t="n">
        <f aca="false">VLOOKUP(B1546,Заказы!$A$2:$E$2995,3,FALSE())</f>
        <v>1428</v>
      </c>
      <c r="I1546" s="1" t="str">
        <f aca="false">VLOOKUP(H1546,Клиенты!$A$2:$E$1995,5,FALSE())</f>
        <v>г. Яхрома</v>
      </c>
      <c r="J1546" s="1" t="n">
        <f aca="false">VLOOKUP(B1546,Заказы!$A$2:$E$2995,4,FALSE())</f>
        <v>0</v>
      </c>
      <c r="K1546" s="1" t="str">
        <f aca="false">VLOOKUP(B1546,Заказы!$A$2:$E$2995,5,FALSE())</f>
        <v>Не выполнено</v>
      </c>
      <c r="L1546" s="1" t="n">
        <f aca="false">D1546*F1546+J1546</f>
        <v>5080</v>
      </c>
      <c r="M1546" s="1" t="n">
        <f aca="false">IF(AND(E1546="Пицца Труслейка",I1546="г. Москва",K1546="Выполнено",G1546&gt;=DATE(2020,7,1),G1546&lt;DATE(2020,8,1)),L1546,0)</f>
        <v>0</v>
      </c>
    </row>
    <row r="1547" customFormat="false" ht="15" hidden="false" customHeight="true" outlineLevel="0" collapsed="false">
      <c r="A1547" s="1" t="n">
        <v>100717</v>
      </c>
      <c r="B1547" s="1" t="n">
        <v>50022</v>
      </c>
      <c r="C1547" s="1" t="n">
        <v>13</v>
      </c>
      <c r="D1547" s="1" t="n">
        <v>5</v>
      </c>
      <c r="E1547" s="1" t="str">
        <f aca="false">VLOOKUP(C1547,Меню!$A$2:$C$24,2,FALSE())</f>
        <v>Пицца Сырная</v>
      </c>
      <c r="F1547" s="1" t="n">
        <f aca="false">VLOOKUP(C1547,Меню!$A$2:$C$24,3,FALSE())</f>
        <v>635</v>
      </c>
      <c r="G1547" s="5" t="n">
        <f aca="false">VLOOKUP(B1547,Заказы!$A$2:$E$2995,2,FALSE())</f>
        <v>43988</v>
      </c>
      <c r="H1547" s="1" t="n">
        <f aca="false">VLOOKUP(B1547,Заказы!$A$2:$E$2995,3,FALSE())</f>
        <v>1435</v>
      </c>
      <c r="I1547" s="1" t="str">
        <f aca="false">VLOOKUP(H1547,Клиенты!$A$2:$E$1995,5,FALSE())</f>
        <v>г. Пыть-Ях</v>
      </c>
      <c r="J1547" s="1" t="n">
        <f aca="false">VLOOKUP(B1547,Заказы!$A$2:$E$2995,4,FALSE())</f>
        <v>0</v>
      </c>
      <c r="K1547" s="1" t="str">
        <f aca="false">VLOOKUP(B1547,Заказы!$A$2:$E$2995,5,FALSE())</f>
        <v>Не выполнено</v>
      </c>
      <c r="L1547" s="1" t="n">
        <f aca="false">D1547*F1547+J1547</f>
        <v>3175</v>
      </c>
      <c r="M1547" s="1" t="n">
        <f aca="false">IF(AND(E1547="Пицца Труслейка",I1547="г. Москва",K1547="Выполнено",G1547&gt;=DATE(2020,7,1),G1547&lt;DATE(2020,8,1)),L1547,0)</f>
        <v>0</v>
      </c>
    </row>
    <row r="1548" customFormat="false" ht="15" hidden="false" customHeight="true" outlineLevel="0" collapsed="false">
      <c r="A1548" s="1" t="n">
        <v>101300</v>
      </c>
      <c r="B1548" s="1" t="n">
        <v>51067</v>
      </c>
      <c r="C1548" s="1" t="n">
        <v>9</v>
      </c>
      <c r="D1548" s="1" t="n">
        <v>7</v>
      </c>
      <c r="E1548" s="1" t="str">
        <f aca="false">VLOOKUP(C1548,Меню!$A$2:$C$24,2,FALSE())</f>
        <v>Пицца Острая с беконом</v>
      </c>
      <c r="F1548" s="1" t="n">
        <f aca="false">VLOOKUP(C1548,Меню!$A$2:$C$24,3,FALSE())</f>
        <v>540</v>
      </c>
      <c r="G1548" s="5" t="n">
        <f aca="false">VLOOKUP(B1548,Заказы!$A$2:$E$2995,2,FALSE())</f>
        <v>44031</v>
      </c>
      <c r="H1548" s="1" t="n">
        <f aca="false">VLOOKUP(B1548,Заказы!$A$2:$E$2995,3,FALSE())</f>
        <v>984</v>
      </c>
      <c r="I1548" s="1" t="str">
        <f aca="false">VLOOKUP(H1548,Клиенты!$A$2:$E$1995,5,FALSE())</f>
        <v>г. Шебекино</v>
      </c>
      <c r="J1548" s="1" t="n">
        <f aca="false">VLOOKUP(B1548,Заказы!$A$2:$E$2995,4,FALSE())</f>
        <v>383</v>
      </c>
      <c r="K1548" s="1" t="str">
        <f aca="false">VLOOKUP(B1548,Заказы!$A$2:$E$2995,5,FALSE())</f>
        <v>Выполнено</v>
      </c>
      <c r="L1548" s="1" t="n">
        <f aca="false">D1548*F1548+J1548</f>
        <v>4163</v>
      </c>
      <c r="M1548" s="1" t="n">
        <f aca="false">IF(AND(E1548="Пицца Труслейка",I1548="г. Москва",K1548="Выполнено",G1548&gt;=DATE(2020,7,1),G1548&lt;DATE(2020,8,1)),L1548,0)</f>
        <v>0</v>
      </c>
    </row>
    <row r="1549" customFormat="false" ht="15" hidden="false" customHeight="true" outlineLevel="0" collapsed="false">
      <c r="A1549" s="1" t="n">
        <v>101555</v>
      </c>
      <c r="B1549" s="1" t="n">
        <v>50595</v>
      </c>
      <c r="C1549" s="1" t="n">
        <v>11</v>
      </c>
      <c r="D1549" s="1" t="n">
        <v>9</v>
      </c>
      <c r="E1549" s="1" t="str">
        <f aca="false">VLOOKUP(C1549,Меню!$A$2:$C$24,2,FALSE())</f>
        <v>Пицца Песто</v>
      </c>
      <c r="F1549" s="1" t="n">
        <f aca="false">VLOOKUP(C1549,Меню!$A$2:$C$24,3,FALSE())</f>
        <v>530</v>
      </c>
      <c r="G1549" s="5" t="n">
        <f aca="false">VLOOKUP(B1549,Заказы!$A$2:$E$2995,2,FALSE())</f>
        <v>44006</v>
      </c>
      <c r="H1549" s="1" t="n">
        <f aca="false">VLOOKUP(B1549,Заказы!$A$2:$E$2995,3,FALSE())</f>
        <v>1900</v>
      </c>
      <c r="I1549" s="1" t="str">
        <f aca="false">VLOOKUP(H1549,Клиенты!$A$2:$E$1995,5,FALSE())</f>
        <v>г. Москва</v>
      </c>
      <c r="J1549" s="1" t="n">
        <f aca="false">VLOOKUP(B1549,Заказы!$A$2:$E$2995,4,FALSE())</f>
        <v>694</v>
      </c>
      <c r="K1549" s="1" t="str">
        <f aca="false">VLOOKUP(B1549,Заказы!$A$2:$E$2995,5,FALSE())</f>
        <v>Выполнено</v>
      </c>
      <c r="L1549" s="1" t="n">
        <f aca="false">D1549*F1549+J1549</f>
        <v>5464</v>
      </c>
      <c r="M1549" s="1" t="n">
        <f aca="false">IF(AND(E1549="Пицца Труслейка",I1549="г. Москва",K1549="Выполнено",G1549&gt;=DATE(2020,7,1),G1549&lt;DATE(2020,8,1)),L1549,0)</f>
        <v>0</v>
      </c>
    </row>
    <row r="1550" customFormat="false" ht="15" hidden="false" customHeight="true" outlineLevel="0" collapsed="false">
      <c r="A1550" s="1" t="n">
        <v>101290</v>
      </c>
      <c r="B1550" s="1" t="n">
        <v>50385</v>
      </c>
      <c r="C1550" s="1" t="n">
        <v>5</v>
      </c>
      <c r="D1550" s="1" t="n">
        <v>2</v>
      </c>
      <c r="E1550" s="1" t="str">
        <f aca="false">VLOOKUP(C1550,Меню!$A$2:$C$24,2,FALSE())</f>
        <v>Пицца Жюльен</v>
      </c>
      <c r="F1550" s="1" t="n">
        <f aca="false">VLOOKUP(C1550,Меню!$A$2:$C$24,3,FALSE())</f>
        <v>580</v>
      </c>
      <c r="G1550" s="5" t="n">
        <f aca="false">VLOOKUP(B1550,Заказы!$A$2:$E$2995,2,FALSE())</f>
        <v>44067</v>
      </c>
      <c r="H1550" s="1" t="n">
        <f aca="false">VLOOKUP(B1550,Заказы!$A$2:$E$2995,3,FALSE())</f>
        <v>1263</v>
      </c>
      <c r="I1550" s="1" t="str">
        <f aca="false">VLOOKUP(H1550,Клиенты!$A$2:$E$1995,5,FALSE())</f>
        <v>г. Бор</v>
      </c>
      <c r="J1550" s="1" t="n">
        <f aca="false">VLOOKUP(B1550,Заказы!$A$2:$E$2995,4,FALSE())</f>
        <v>0</v>
      </c>
      <c r="K1550" s="1" t="str">
        <f aca="false">VLOOKUP(B1550,Заказы!$A$2:$E$2995,5,FALSE())</f>
        <v>Не выполнено</v>
      </c>
      <c r="L1550" s="1" t="n">
        <f aca="false">D1550*F1550+J1550</f>
        <v>1160</v>
      </c>
      <c r="M1550" s="1" t="n">
        <f aca="false">IF(AND(E1550="Пицца Труслейка",I1550="г. Москва",K1550="Выполнено",G1550&gt;=DATE(2020,7,1),G1550&lt;DATE(2020,8,1)),L1550,0)</f>
        <v>0</v>
      </c>
    </row>
    <row r="1551" customFormat="false" ht="15" hidden="false" customHeight="true" outlineLevel="0" collapsed="false">
      <c r="A1551" s="1" t="n">
        <v>100266</v>
      </c>
      <c r="B1551" s="1" t="n">
        <v>51762</v>
      </c>
      <c r="C1551" s="1" t="n">
        <v>4</v>
      </c>
      <c r="D1551" s="1" t="n">
        <v>3</v>
      </c>
      <c r="E1551" s="1" t="str">
        <f aca="false">VLOOKUP(C1551,Меню!$A$2:$C$24,2,FALSE())</f>
        <v>Пицца Труслейка</v>
      </c>
      <c r="F1551" s="1" t="n">
        <f aca="false">VLOOKUP(C1551,Меню!$A$2:$C$24,3,FALSE())</f>
        <v>610</v>
      </c>
      <c r="G1551" s="5" t="n">
        <f aca="false">VLOOKUP(B1551,Заказы!$A$2:$E$2995,2,FALSE())</f>
        <v>44044</v>
      </c>
      <c r="H1551" s="1" t="n">
        <f aca="false">VLOOKUP(B1551,Заказы!$A$2:$E$2995,3,FALSE())</f>
        <v>174</v>
      </c>
      <c r="I1551" s="1" t="str">
        <f aca="false">VLOOKUP(H1551,Клиенты!$A$2:$E$1995,5,FALSE())</f>
        <v>г. Кирово-Чепецк</v>
      </c>
      <c r="J1551" s="1" t="n">
        <f aca="false">VLOOKUP(B1551,Заказы!$A$2:$E$2995,4,FALSE())</f>
        <v>0</v>
      </c>
      <c r="K1551" s="1" t="str">
        <f aca="false">VLOOKUP(B1551,Заказы!$A$2:$E$2995,5,FALSE())</f>
        <v>Не выполнено</v>
      </c>
      <c r="L1551" s="1" t="n">
        <f aca="false">D1551*F1551+J1551</f>
        <v>1830</v>
      </c>
      <c r="M1551" s="1" t="n">
        <f aca="false">IF(AND(E1551="Пицца Труслейка",I1551="г. Москва",K1551="Выполнено",G1551&gt;=DATE(2020,7,1),G1551&lt;DATE(2020,8,1)),L1551,0)</f>
        <v>0</v>
      </c>
    </row>
    <row r="1552" customFormat="false" ht="15" hidden="false" customHeight="true" outlineLevel="0" collapsed="false">
      <c r="A1552" s="1" t="n">
        <v>100628</v>
      </c>
      <c r="B1552" s="1" t="n">
        <v>50415</v>
      </c>
      <c r="C1552" s="1" t="n">
        <v>4</v>
      </c>
      <c r="D1552" s="1" t="n">
        <v>7</v>
      </c>
      <c r="E1552" s="1" t="str">
        <f aca="false">VLOOKUP(C1552,Меню!$A$2:$C$24,2,FALSE())</f>
        <v>Пицца Труслейка</v>
      </c>
      <c r="F1552" s="1" t="n">
        <f aca="false">VLOOKUP(C1552,Меню!$A$2:$C$24,3,FALSE())</f>
        <v>610</v>
      </c>
      <c r="G1552" s="5" t="n">
        <f aca="false">VLOOKUP(B1552,Заказы!$A$2:$E$2995,2,FALSE())</f>
        <v>43990</v>
      </c>
      <c r="H1552" s="1" t="n">
        <f aca="false">VLOOKUP(B1552,Заказы!$A$2:$E$2995,3,FALSE())</f>
        <v>1970</v>
      </c>
      <c r="I1552" s="1" t="str">
        <f aca="false">VLOOKUP(H1552,Клиенты!$A$2:$E$1995,5,FALSE())</f>
        <v>г. Москва</v>
      </c>
      <c r="J1552" s="1" t="n">
        <f aca="false">VLOOKUP(B1552,Заказы!$A$2:$E$2995,4,FALSE())</f>
        <v>0</v>
      </c>
      <c r="K1552" s="1" t="str">
        <f aca="false">VLOOKUP(B1552,Заказы!$A$2:$E$2995,5,FALSE())</f>
        <v>Не выполнено</v>
      </c>
      <c r="L1552" s="1" t="n">
        <f aca="false">D1552*F1552+J1552</f>
        <v>4270</v>
      </c>
      <c r="M1552" s="1" t="n">
        <f aca="false">IF(AND(E1552="Пицца Труслейка",I1552="г. Москва",K1552="Выполнено",G1552&gt;=DATE(2020,7,1),G1552&lt;DATE(2020,8,1)),L1552,0)</f>
        <v>0</v>
      </c>
    </row>
    <row r="1553" customFormat="false" ht="15" hidden="false" customHeight="true" outlineLevel="0" collapsed="false">
      <c r="A1553" s="1" t="n">
        <v>100519</v>
      </c>
      <c r="B1553" s="1" t="n">
        <v>51317</v>
      </c>
      <c r="C1553" s="1" t="n">
        <v>12</v>
      </c>
      <c r="D1553" s="1" t="n">
        <v>7</v>
      </c>
      <c r="E1553" s="1" t="str">
        <f aca="false">VLOOKUP(C1553,Меню!$A$2:$C$24,2,FALSE())</f>
        <v>Пицца Салями с трюфелем</v>
      </c>
      <c r="F1553" s="1" t="n">
        <f aca="false">VLOOKUP(C1553,Меню!$A$2:$C$24,3,FALSE())</f>
        <v>525</v>
      </c>
      <c r="G1553" s="5" t="n">
        <f aca="false">VLOOKUP(B1553,Заказы!$A$2:$E$2995,2,FALSE())</f>
        <v>43996</v>
      </c>
      <c r="H1553" s="1" t="n">
        <f aca="false">VLOOKUP(B1553,Заказы!$A$2:$E$2995,3,FALSE())</f>
        <v>1114</v>
      </c>
      <c r="I1553" s="1" t="str">
        <f aca="false">VLOOKUP(H1553,Клиенты!$A$2:$E$1995,5,FALSE())</f>
        <v>г. Тула</v>
      </c>
      <c r="J1553" s="1" t="n">
        <f aca="false">VLOOKUP(B1553,Заказы!$A$2:$E$2995,4,FALSE())</f>
        <v>0</v>
      </c>
      <c r="K1553" s="1" t="str">
        <f aca="false">VLOOKUP(B1553,Заказы!$A$2:$E$2995,5,FALSE())</f>
        <v>Не выполнено</v>
      </c>
      <c r="L1553" s="1" t="n">
        <f aca="false">D1553*F1553+J1553</f>
        <v>3675</v>
      </c>
      <c r="M1553" s="1" t="n">
        <f aca="false">IF(AND(E1553="Пицца Труслейка",I1553="г. Москва",K1553="Выполнено",G1553&gt;=DATE(2020,7,1),G1553&lt;DATE(2020,8,1)),L1553,0)</f>
        <v>0</v>
      </c>
    </row>
    <row r="1554" customFormat="false" ht="15" hidden="false" customHeight="true" outlineLevel="0" collapsed="false">
      <c r="A1554" s="1" t="n">
        <v>101268</v>
      </c>
      <c r="B1554" s="1" t="n">
        <v>51593</v>
      </c>
      <c r="C1554" s="1" t="n">
        <v>1</v>
      </c>
      <c r="D1554" s="1" t="n">
        <v>9</v>
      </c>
      <c r="E1554" s="1" t="str">
        <f aca="false">VLOOKUP(C1554,Меню!$A$2:$C$24,2,FALSE())</f>
        <v>Пицца Гавайская</v>
      </c>
      <c r="F1554" s="1" t="n">
        <f aca="false">VLOOKUP(C1554,Меню!$A$2:$C$24,3,FALSE())</f>
        <v>545</v>
      </c>
      <c r="G1554" s="5" t="n">
        <f aca="false">VLOOKUP(B1554,Заказы!$A$2:$E$2995,2,FALSE())</f>
        <v>44056</v>
      </c>
      <c r="H1554" s="1" t="n">
        <f aca="false">VLOOKUP(B1554,Заказы!$A$2:$E$2995,3,FALSE())</f>
        <v>1541</v>
      </c>
      <c r="I1554" s="1" t="str">
        <f aca="false">VLOOKUP(H1554,Клиенты!$A$2:$E$1995,5,FALSE())</f>
        <v>г. Суздаль</v>
      </c>
      <c r="J1554" s="1" t="n">
        <f aca="false">VLOOKUP(B1554,Заказы!$A$2:$E$2995,4,FALSE())</f>
        <v>0</v>
      </c>
      <c r="K1554" s="1" t="str">
        <f aca="false">VLOOKUP(B1554,Заказы!$A$2:$E$2995,5,FALSE())</f>
        <v>Не выполнено</v>
      </c>
      <c r="L1554" s="1" t="n">
        <f aca="false">D1554*F1554+J1554</f>
        <v>4905</v>
      </c>
      <c r="M1554" s="1" t="n">
        <f aca="false">IF(AND(E1554="Пицца Труслейка",I1554="г. Москва",K1554="Выполнено",G1554&gt;=DATE(2020,7,1),G1554&lt;DATE(2020,8,1)),L1554,0)</f>
        <v>0</v>
      </c>
    </row>
    <row r="1555" customFormat="false" ht="15" hidden="false" customHeight="true" outlineLevel="0" collapsed="false">
      <c r="A1555" s="1" t="n">
        <v>100326</v>
      </c>
      <c r="B1555" s="1" t="n">
        <v>51233</v>
      </c>
      <c r="C1555" s="1" t="n">
        <v>1</v>
      </c>
      <c r="D1555" s="1" t="n">
        <v>4</v>
      </c>
      <c r="E1555" s="1" t="str">
        <f aca="false">VLOOKUP(C1555,Меню!$A$2:$C$24,2,FALSE())</f>
        <v>Пицца Гавайская</v>
      </c>
      <c r="F1555" s="1" t="n">
        <f aca="false">VLOOKUP(C1555,Меню!$A$2:$C$24,3,FALSE())</f>
        <v>545</v>
      </c>
      <c r="G1555" s="5" t="n">
        <f aca="false">VLOOKUP(B1555,Заказы!$A$2:$E$2995,2,FALSE())</f>
        <v>44023</v>
      </c>
      <c r="H1555" s="1" t="n">
        <f aca="false">VLOOKUP(B1555,Заказы!$A$2:$E$2995,3,FALSE())</f>
        <v>118</v>
      </c>
      <c r="I1555" s="1" t="str">
        <f aca="false">VLOOKUP(H1555,Клиенты!$A$2:$E$1995,5,FALSE())</f>
        <v>г. Лесозаводск</v>
      </c>
      <c r="J1555" s="1" t="n">
        <f aca="false">VLOOKUP(B1555,Заказы!$A$2:$E$2995,4,FALSE())</f>
        <v>180</v>
      </c>
      <c r="K1555" s="1" t="str">
        <f aca="false">VLOOKUP(B1555,Заказы!$A$2:$E$2995,5,FALSE())</f>
        <v>Выполнено</v>
      </c>
      <c r="L1555" s="1" t="n">
        <f aca="false">D1555*F1555+J1555</f>
        <v>2360</v>
      </c>
      <c r="M1555" s="1" t="n">
        <f aca="false">IF(AND(E1555="Пицца Труслейка",I1555="г. Москва",K1555="Выполнено",G1555&gt;=DATE(2020,7,1),G1555&lt;DATE(2020,8,1)),L1555,0)</f>
        <v>0</v>
      </c>
    </row>
    <row r="1556" customFormat="false" ht="15" hidden="false" customHeight="true" outlineLevel="0" collapsed="false">
      <c r="A1556" s="1" t="n">
        <v>101432</v>
      </c>
      <c r="B1556" s="1" t="n">
        <v>51002</v>
      </c>
      <c r="C1556" s="1" t="n">
        <v>18</v>
      </c>
      <c r="D1556" s="1" t="n">
        <v>2</v>
      </c>
      <c r="E1556" s="1" t="str">
        <f aca="false">VLOOKUP(C1556,Меню!$A$2:$C$24,2,FALSE())</f>
        <v>Пицца Царская</v>
      </c>
      <c r="F1556" s="1" t="n">
        <f aca="false">VLOOKUP(C1556,Меню!$A$2:$C$24,3,FALSE())</f>
        <v>620</v>
      </c>
      <c r="G1556" s="5" t="n">
        <f aca="false">VLOOKUP(B1556,Заказы!$A$2:$E$2995,2,FALSE())</f>
        <v>43988</v>
      </c>
      <c r="H1556" s="1" t="n">
        <f aca="false">VLOOKUP(B1556,Заказы!$A$2:$E$2995,3,FALSE())</f>
        <v>639</v>
      </c>
      <c r="I1556" s="1" t="str">
        <f aca="false">VLOOKUP(H1556,Клиенты!$A$2:$E$1995,5,FALSE())</f>
        <v>г. Струнино</v>
      </c>
      <c r="J1556" s="1" t="n">
        <f aca="false">VLOOKUP(B1556,Заказы!$A$2:$E$2995,4,FALSE())</f>
        <v>0</v>
      </c>
      <c r="K1556" s="1" t="str">
        <f aca="false">VLOOKUP(B1556,Заказы!$A$2:$E$2995,5,FALSE())</f>
        <v>Не выполнено</v>
      </c>
      <c r="L1556" s="1" t="n">
        <f aca="false">D1556*F1556+J1556</f>
        <v>1240</v>
      </c>
      <c r="M1556" s="1" t="n">
        <f aca="false">IF(AND(E1556="Пицца Труслейка",I1556="г. Москва",K1556="Выполнено",G1556&gt;=DATE(2020,7,1),G1556&lt;DATE(2020,8,1)),L1556,0)</f>
        <v>0</v>
      </c>
    </row>
    <row r="1557" customFormat="false" ht="15" hidden="false" customHeight="true" outlineLevel="0" collapsed="false">
      <c r="A1557" s="1" t="n">
        <v>100033</v>
      </c>
      <c r="B1557" s="1" t="n">
        <v>50002</v>
      </c>
      <c r="C1557" s="1" t="n">
        <v>6</v>
      </c>
      <c r="D1557" s="1" t="n">
        <v>9</v>
      </c>
      <c r="E1557" s="1" t="str">
        <f aca="false">VLOOKUP(C1557,Меню!$A$2:$C$24,2,FALSE())</f>
        <v>Пицца Капричиоза</v>
      </c>
      <c r="F1557" s="1" t="n">
        <f aca="false">VLOOKUP(C1557,Меню!$A$2:$C$24,3,FALSE())</f>
        <v>570</v>
      </c>
      <c r="G1557" s="5" t="n">
        <f aca="false">VLOOKUP(B1557,Заказы!$A$2:$E$2995,2,FALSE())</f>
        <v>44034</v>
      </c>
      <c r="H1557" s="1" t="n">
        <f aca="false">VLOOKUP(B1557,Заказы!$A$2:$E$2995,3,FALSE())</f>
        <v>689</v>
      </c>
      <c r="I1557" s="1" t="str">
        <f aca="false">VLOOKUP(H1557,Клиенты!$A$2:$E$1995,5,FALSE())</f>
        <v>г. Химки</v>
      </c>
      <c r="J1557" s="1" t="n">
        <f aca="false">VLOOKUP(B1557,Заказы!$A$2:$E$2995,4,FALSE())</f>
        <v>0</v>
      </c>
      <c r="K1557" s="1" t="str">
        <f aca="false">VLOOKUP(B1557,Заказы!$A$2:$E$2995,5,FALSE())</f>
        <v>Не выполнено</v>
      </c>
      <c r="L1557" s="1" t="n">
        <f aca="false">D1557*F1557+J1557</f>
        <v>5130</v>
      </c>
      <c r="M1557" s="1" t="n">
        <f aca="false">IF(AND(E1557="Пицца Труслейка",I1557="г. Москва",K1557="Выполнено",G1557&gt;=DATE(2020,7,1),G1557&lt;DATE(2020,8,1)),L1557,0)</f>
        <v>0</v>
      </c>
    </row>
    <row r="1558" customFormat="false" ht="15" hidden="false" customHeight="true" outlineLevel="0" collapsed="false">
      <c r="A1558" s="1" t="n">
        <v>100242</v>
      </c>
      <c r="B1558" s="1" t="n">
        <v>50692</v>
      </c>
      <c r="C1558" s="1" t="n">
        <v>4</v>
      </c>
      <c r="D1558" s="1" t="n">
        <v>4</v>
      </c>
      <c r="E1558" s="1" t="str">
        <f aca="false">VLOOKUP(C1558,Меню!$A$2:$C$24,2,FALSE())</f>
        <v>Пицца Труслейка</v>
      </c>
      <c r="F1558" s="1" t="n">
        <f aca="false">VLOOKUP(C1558,Меню!$A$2:$C$24,3,FALSE())</f>
        <v>610</v>
      </c>
      <c r="G1558" s="5" t="n">
        <f aca="false">VLOOKUP(B1558,Заказы!$A$2:$E$2995,2,FALSE())</f>
        <v>43996</v>
      </c>
      <c r="H1558" s="1" t="n">
        <f aca="false">VLOOKUP(B1558,Заказы!$A$2:$E$2995,3,FALSE())</f>
        <v>288</v>
      </c>
      <c r="I1558" s="1" t="str">
        <f aca="false">VLOOKUP(H1558,Клиенты!$A$2:$E$1995,5,FALSE())</f>
        <v>г. Абдулино</v>
      </c>
      <c r="J1558" s="1" t="n">
        <f aca="false">VLOOKUP(B1558,Заказы!$A$2:$E$2995,4,FALSE())</f>
        <v>451</v>
      </c>
      <c r="K1558" s="1" t="str">
        <f aca="false">VLOOKUP(B1558,Заказы!$A$2:$E$2995,5,FALSE())</f>
        <v>Выполнено</v>
      </c>
      <c r="L1558" s="1" t="n">
        <f aca="false">D1558*F1558+J1558</f>
        <v>2891</v>
      </c>
      <c r="M1558" s="1" t="n">
        <f aca="false">IF(AND(E1558="Пицца Труслейка",I1558="г. Москва",K1558="Выполнено",G1558&gt;=DATE(2020,7,1),G1558&lt;DATE(2020,8,1)),L1558,0)</f>
        <v>0</v>
      </c>
    </row>
    <row r="1559" customFormat="false" ht="15" hidden="false" customHeight="true" outlineLevel="0" collapsed="false">
      <c r="A1559" s="1" t="n">
        <v>100353</v>
      </c>
      <c r="B1559" s="1" t="n">
        <v>50211</v>
      </c>
      <c r="C1559" s="1" t="n">
        <v>13</v>
      </c>
      <c r="D1559" s="1" t="n">
        <v>1</v>
      </c>
      <c r="E1559" s="1" t="str">
        <f aca="false">VLOOKUP(C1559,Меню!$A$2:$C$24,2,FALSE())</f>
        <v>Пицца Сырная</v>
      </c>
      <c r="F1559" s="1" t="n">
        <f aca="false">VLOOKUP(C1559,Меню!$A$2:$C$24,3,FALSE())</f>
        <v>635</v>
      </c>
      <c r="G1559" s="5" t="n">
        <f aca="false">VLOOKUP(B1559,Заказы!$A$2:$E$2995,2,FALSE())</f>
        <v>44029</v>
      </c>
      <c r="H1559" s="1" t="n">
        <f aca="false">VLOOKUP(B1559,Заказы!$A$2:$E$2995,3,FALSE())</f>
        <v>1518</v>
      </c>
      <c r="I1559" s="1" t="str">
        <f aca="false">VLOOKUP(H1559,Клиенты!$A$2:$E$1995,5,FALSE())</f>
        <v>г. Курчатов</v>
      </c>
      <c r="J1559" s="1" t="n">
        <f aca="false">VLOOKUP(B1559,Заказы!$A$2:$E$2995,4,FALSE())</f>
        <v>0</v>
      </c>
      <c r="K1559" s="1" t="str">
        <f aca="false">VLOOKUP(B1559,Заказы!$A$2:$E$2995,5,FALSE())</f>
        <v>Не выполнено</v>
      </c>
      <c r="L1559" s="1" t="n">
        <f aca="false">D1559*F1559+J1559</f>
        <v>635</v>
      </c>
      <c r="M1559" s="1" t="n">
        <f aca="false">IF(AND(E1559="Пицца Труслейка",I1559="г. Москва",K1559="Выполнено",G1559&gt;=DATE(2020,7,1),G1559&lt;DATE(2020,8,1)),L1559,0)</f>
        <v>0</v>
      </c>
    </row>
    <row r="1560" customFormat="false" ht="15" hidden="false" customHeight="true" outlineLevel="0" collapsed="false">
      <c r="A1560" s="1" t="n">
        <v>101183</v>
      </c>
      <c r="B1560" s="1" t="n">
        <v>50567</v>
      </c>
      <c r="C1560" s="1" t="n">
        <v>19</v>
      </c>
      <c r="D1560" s="1" t="n">
        <v>8</v>
      </c>
      <c r="E1560" s="1" t="str">
        <f aca="false">VLOOKUP(C1560,Меню!$A$2:$C$24,2,FALSE())</f>
        <v>Пицца Цезарь</v>
      </c>
      <c r="F1560" s="1" t="n">
        <f aca="false">VLOOKUP(C1560,Меню!$A$2:$C$24,3,FALSE())</f>
        <v>630</v>
      </c>
      <c r="G1560" s="5" t="n">
        <f aca="false">VLOOKUP(B1560,Заказы!$A$2:$E$2995,2,FALSE())</f>
        <v>44005</v>
      </c>
      <c r="H1560" s="1" t="n">
        <f aca="false">VLOOKUP(B1560,Заказы!$A$2:$E$2995,3,FALSE())</f>
        <v>1603</v>
      </c>
      <c r="I1560" s="1" t="str">
        <f aca="false">VLOOKUP(H1560,Клиенты!$A$2:$E$1995,5,FALSE())</f>
        <v>г. Апшеронск</v>
      </c>
      <c r="J1560" s="1" t="n">
        <f aca="false">VLOOKUP(B1560,Заказы!$A$2:$E$2995,4,FALSE())</f>
        <v>562</v>
      </c>
      <c r="K1560" s="1" t="str">
        <f aca="false">VLOOKUP(B1560,Заказы!$A$2:$E$2995,5,FALSE())</f>
        <v>Выполнено</v>
      </c>
      <c r="L1560" s="1" t="n">
        <f aca="false">D1560*F1560+J1560</f>
        <v>5602</v>
      </c>
      <c r="M1560" s="1" t="n">
        <f aca="false">IF(AND(E1560="Пицца Труслейка",I1560="г. Москва",K1560="Выполнено",G1560&gt;=DATE(2020,7,1),G1560&lt;DATE(2020,8,1)),L1560,0)</f>
        <v>0</v>
      </c>
    </row>
    <row r="1561" customFormat="false" ht="15" hidden="false" customHeight="true" outlineLevel="0" collapsed="false">
      <c r="A1561" s="1" t="n">
        <v>100816</v>
      </c>
      <c r="B1561" s="1" t="n">
        <v>51754</v>
      </c>
      <c r="C1561" s="1" t="n">
        <v>4</v>
      </c>
      <c r="D1561" s="1" t="n">
        <v>6</v>
      </c>
      <c r="E1561" s="1" t="str">
        <f aca="false">VLOOKUP(C1561,Меню!$A$2:$C$24,2,FALSE())</f>
        <v>Пицца Труслейка</v>
      </c>
      <c r="F1561" s="1" t="n">
        <f aca="false">VLOOKUP(C1561,Меню!$A$2:$C$24,3,FALSE())</f>
        <v>610</v>
      </c>
      <c r="G1561" s="5" t="n">
        <f aca="false">VLOOKUP(B1561,Заказы!$A$2:$E$2995,2,FALSE())</f>
        <v>44023</v>
      </c>
      <c r="H1561" s="1" t="n">
        <f aca="false">VLOOKUP(B1561,Заказы!$A$2:$E$2995,3,FALSE())</f>
        <v>1172</v>
      </c>
      <c r="I1561" s="1" t="str">
        <f aca="false">VLOOKUP(H1561,Клиенты!$A$2:$E$1995,5,FALSE())</f>
        <v>г. Шатура</v>
      </c>
      <c r="J1561" s="1" t="n">
        <f aca="false">VLOOKUP(B1561,Заказы!$A$2:$E$2995,4,FALSE())</f>
        <v>0</v>
      </c>
      <c r="K1561" s="1" t="str">
        <f aca="false">VLOOKUP(B1561,Заказы!$A$2:$E$2995,5,FALSE())</f>
        <v>Не выполнено</v>
      </c>
      <c r="L1561" s="1" t="n">
        <f aca="false">D1561*F1561+J1561</f>
        <v>3660</v>
      </c>
      <c r="M1561" s="1" t="n">
        <f aca="false">IF(AND(E1561="Пицца Труслейка",I1561="г. Москва",K1561="Выполнено",G1561&gt;=DATE(2020,7,1),G1561&lt;DATE(2020,8,1)),L1561,0)</f>
        <v>0</v>
      </c>
    </row>
    <row r="1562" customFormat="false" ht="15" hidden="false" customHeight="true" outlineLevel="0" collapsed="false">
      <c r="A1562" s="1" t="n">
        <v>100040</v>
      </c>
      <c r="B1562" s="1" t="n">
        <v>50808</v>
      </c>
      <c r="C1562" s="1" t="n">
        <v>7</v>
      </c>
      <c r="D1562" s="1" t="n">
        <v>2</v>
      </c>
      <c r="E1562" s="1" t="str">
        <f aca="false">VLOOKUP(C1562,Меню!$A$2:$C$24,2,FALSE())</f>
        <v>Пицца Карбонара</v>
      </c>
      <c r="F1562" s="1" t="n">
        <f aca="false">VLOOKUP(C1562,Меню!$A$2:$C$24,3,FALSE())</f>
        <v>625</v>
      </c>
      <c r="G1562" s="5" t="n">
        <f aca="false">VLOOKUP(B1562,Заказы!$A$2:$E$2995,2,FALSE())</f>
        <v>43995</v>
      </c>
      <c r="H1562" s="1" t="n">
        <f aca="false">VLOOKUP(B1562,Заказы!$A$2:$E$2995,3,FALSE())</f>
        <v>1291</v>
      </c>
      <c r="I1562" s="1" t="str">
        <f aca="false">VLOOKUP(H1562,Клиенты!$A$2:$E$1995,5,FALSE())</f>
        <v>г. Ижевск</v>
      </c>
      <c r="J1562" s="1" t="n">
        <f aca="false">VLOOKUP(B1562,Заказы!$A$2:$E$2995,4,FALSE())</f>
        <v>636</v>
      </c>
      <c r="K1562" s="1" t="str">
        <f aca="false">VLOOKUP(B1562,Заказы!$A$2:$E$2995,5,FALSE())</f>
        <v>Выполнено</v>
      </c>
      <c r="L1562" s="1" t="n">
        <f aca="false">D1562*F1562+J1562</f>
        <v>1886</v>
      </c>
      <c r="M1562" s="1" t="n">
        <f aca="false">IF(AND(E1562="Пицца Труслейка",I1562="г. Москва",K1562="Выполнено",G1562&gt;=DATE(2020,7,1),G1562&lt;DATE(2020,8,1)),L1562,0)</f>
        <v>0</v>
      </c>
    </row>
    <row r="1563" customFormat="false" ht="15" hidden="false" customHeight="true" outlineLevel="0" collapsed="false">
      <c r="A1563" s="1" t="n">
        <v>101525</v>
      </c>
      <c r="B1563" s="1" t="n">
        <v>50521</v>
      </c>
      <c r="C1563" s="1" t="n">
        <v>10</v>
      </c>
      <c r="D1563" s="1" t="n">
        <v>6</v>
      </c>
      <c r="E1563" s="1" t="str">
        <f aca="false">VLOOKUP(C1563,Меню!$A$2:$C$24,2,FALSE())</f>
        <v>Пицца Пепперони фреш</v>
      </c>
      <c r="F1563" s="1" t="n">
        <f aca="false">VLOOKUP(C1563,Меню!$A$2:$C$24,3,FALSE())</f>
        <v>565</v>
      </c>
      <c r="G1563" s="5" t="n">
        <f aca="false">VLOOKUP(B1563,Заказы!$A$2:$E$2995,2,FALSE())</f>
        <v>44032</v>
      </c>
      <c r="H1563" s="1" t="n">
        <f aca="false">VLOOKUP(B1563,Заказы!$A$2:$E$2995,3,FALSE())</f>
        <v>147</v>
      </c>
      <c r="I1563" s="1" t="str">
        <f aca="false">VLOOKUP(H1563,Клиенты!$A$2:$E$1995,5,FALSE())</f>
        <v>г. Чистополь</v>
      </c>
      <c r="J1563" s="1" t="n">
        <f aca="false">VLOOKUP(B1563,Заказы!$A$2:$E$2995,4,FALSE())</f>
        <v>364</v>
      </c>
      <c r="K1563" s="1" t="str">
        <f aca="false">VLOOKUP(B1563,Заказы!$A$2:$E$2995,5,FALSE())</f>
        <v>Выполнено</v>
      </c>
      <c r="L1563" s="1" t="n">
        <f aca="false">D1563*F1563+J1563</f>
        <v>3754</v>
      </c>
      <c r="M1563" s="1" t="n">
        <f aca="false">IF(AND(E1563="Пицца Труслейка",I1563="г. Москва",K1563="Выполнено",G1563&gt;=DATE(2020,7,1),G1563&lt;DATE(2020,8,1)),L1563,0)</f>
        <v>0</v>
      </c>
    </row>
    <row r="1564" customFormat="false" ht="15" hidden="false" customHeight="true" outlineLevel="0" collapsed="false">
      <c r="A1564" s="1" t="n">
        <v>101519</v>
      </c>
      <c r="B1564" s="1" t="n">
        <v>51684</v>
      </c>
      <c r="C1564" s="1" t="n">
        <v>21</v>
      </c>
      <c r="D1564" s="1" t="n">
        <v>9</v>
      </c>
      <c r="E1564" s="1" t="str">
        <f aca="false">VLOOKUP(C1564,Меню!$A$2:$C$24,2,FALSE())</f>
        <v>Пицца с креветками и цукини</v>
      </c>
      <c r="F1564" s="1" t="n">
        <f aca="false">VLOOKUP(C1564,Меню!$A$2:$C$24,3,FALSE())</f>
        <v>600</v>
      </c>
      <c r="G1564" s="5" t="n">
        <f aca="false">VLOOKUP(B1564,Заказы!$A$2:$E$2995,2,FALSE())</f>
        <v>43999</v>
      </c>
      <c r="H1564" s="1" t="n">
        <f aca="false">VLOOKUP(B1564,Заказы!$A$2:$E$2995,3,FALSE())</f>
        <v>882</v>
      </c>
      <c r="I1564" s="1" t="str">
        <f aca="false">VLOOKUP(H1564,Клиенты!$A$2:$E$1995,5,FALSE())</f>
        <v>г. Кировград</v>
      </c>
      <c r="J1564" s="1" t="n">
        <f aca="false">VLOOKUP(B1564,Заказы!$A$2:$E$2995,4,FALSE())</f>
        <v>0</v>
      </c>
      <c r="K1564" s="1" t="str">
        <f aca="false">VLOOKUP(B1564,Заказы!$A$2:$E$2995,5,FALSE())</f>
        <v>Не выполнено</v>
      </c>
      <c r="L1564" s="1" t="n">
        <f aca="false">D1564*F1564+J1564</f>
        <v>5400</v>
      </c>
      <c r="M1564" s="1" t="n">
        <f aca="false">IF(AND(E1564="Пицца Труслейка",I1564="г. Москва",K1564="Выполнено",G1564&gt;=DATE(2020,7,1),G1564&lt;DATE(2020,8,1)),L1564,0)</f>
        <v>0</v>
      </c>
    </row>
    <row r="1565" customFormat="false" ht="15" hidden="false" customHeight="true" outlineLevel="0" collapsed="false">
      <c r="A1565" s="1" t="n">
        <v>101781</v>
      </c>
      <c r="B1565" s="1" t="n">
        <v>51093</v>
      </c>
      <c r="C1565" s="1" t="n">
        <v>7</v>
      </c>
      <c r="D1565" s="1" t="n">
        <v>4</v>
      </c>
      <c r="E1565" s="1" t="str">
        <f aca="false">VLOOKUP(C1565,Меню!$A$2:$C$24,2,FALSE())</f>
        <v>Пицца Карбонара</v>
      </c>
      <c r="F1565" s="1" t="n">
        <f aca="false">VLOOKUP(C1565,Меню!$A$2:$C$24,3,FALSE())</f>
        <v>625</v>
      </c>
      <c r="G1565" s="5" t="n">
        <f aca="false">VLOOKUP(B1565,Заказы!$A$2:$E$2995,2,FALSE())</f>
        <v>44039</v>
      </c>
      <c r="H1565" s="1" t="n">
        <f aca="false">VLOOKUP(B1565,Заказы!$A$2:$E$2995,3,FALSE())</f>
        <v>839</v>
      </c>
      <c r="I1565" s="1" t="str">
        <f aca="false">VLOOKUP(H1565,Клиенты!$A$2:$E$1995,5,FALSE())</f>
        <v>г. Почеп</v>
      </c>
      <c r="J1565" s="1" t="n">
        <f aca="false">VLOOKUP(B1565,Заказы!$A$2:$E$2995,4,FALSE())</f>
        <v>344</v>
      </c>
      <c r="K1565" s="1" t="str">
        <f aca="false">VLOOKUP(B1565,Заказы!$A$2:$E$2995,5,FALSE())</f>
        <v>Выполнено</v>
      </c>
      <c r="L1565" s="1" t="n">
        <f aca="false">D1565*F1565+J1565</f>
        <v>2844</v>
      </c>
      <c r="M1565" s="1" t="n">
        <f aca="false">IF(AND(E1565="Пицца Труслейка",I1565="г. Москва",K1565="Выполнено",G1565&gt;=DATE(2020,7,1),G1565&lt;DATE(2020,8,1)),L1565,0)</f>
        <v>0</v>
      </c>
    </row>
    <row r="1566" customFormat="false" ht="15" hidden="false" customHeight="true" outlineLevel="0" collapsed="false">
      <c r="A1566" s="1" t="n">
        <v>100312</v>
      </c>
      <c r="B1566" s="1" t="n">
        <v>50358</v>
      </c>
      <c r="C1566" s="1" t="n">
        <v>13</v>
      </c>
      <c r="D1566" s="1" t="n">
        <v>7</v>
      </c>
      <c r="E1566" s="1" t="str">
        <f aca="false">VLOOKUP(C1566,Меню!$A$2:$C$24,2,FALSE())</f>
        <v>Пицца Сырная</v>
      </c>
      <c r="F1566" s="1" t="n">
        <f aca="false">VLOOKUP(C1566,Меню!$A$2:$C$24,3,FALSE())</f>
        <v>635</v>
      </c>
      <c r="G1566" s="5" t="n">
        <f aca="false">VLOOKUP(B1566,Заказы!$A$2:$E$2995,2,FALSE())</f>
        <v>44068</v>
      </c>
      <c r="H1566" s="1" t="n">
        <f aca="false">VLOOKUP(B1566,Заказы!$A$2:$E$2995,3,FALSE())</f>
        <v>249</v>
      </c>
      <c r="I1566" s="1" t="str">
        <f aca="false">VLOOKUP(H1566,Клиенты!$A$2:$E$1995,5,FALSE())</f>
        <v>г. Нязепетровск</v>
      </c>
      <c r="J1566" s="1" t="n">
        <f aca="false">VLOOKUP(B1566,Заказы!$A$2:$E$2995,4,FALSE())</f>
        <v>790</v>
      </c>
      <c r="K1566" s="1" t="str">
        <f aca="false">VLOOKUP(B1566,Заказы!$A$2:$E$2995,5,FALSE())</f>
        <v>Выполнено</v>
      </c>
      <c r="L1566" s="1" t="n">
        <f aca="false">D1566*F1566+J1566</f>
        <v>5235</v>
      </c>
      <c r="M1566" s="1" t="n">
        <f aca="false">IF(AND(E1566="Пицца Труслейка",I1566="г. Москва",K1566="Выполнено",G1566&gt;=DATE(2020,7,1),G1566&lt;DATE(2020,8,1)),L1566,0)</f>
        <v>0</v>
      </c>
    </row>
    <row r="1567" customFormat="false" ht="15" hidden="false" customHeight="true" outlineLevel="0" collapsed="false">
      <c r="A1567" s="1" t="n">
        <v>100359</v>
      </c>
      <c r="B1567" s="1" t="n">
        <v>50099</v>
      </c>
      <c r="C1567" s="1" t="n">
        <v>1</v>
      </c>
      <c r="D1567" s="1" t="n">
        <v>4</v>
      </c>
      <c r="E1567" s="1" t="str">
        <f aca="false">VLOOKUP(C1567,Меню!$A$2:$C$24,2,FALSE())</f>
        <v>Пицца Гавайская</v>
      </c>
      <c r="F1567" s="1" t="n">
        <f aca="false">VLOOKUP(C1567,Меню!$A$2:$C$24,3,FALSE())</f>
        <v>545</v>
      </c>
      <c r="G1567" s="5" t="n">
        <f aca="false">VLOOKUP(B1567,Заказы!$A$2:$E$2995,2,FALSE())</f>
        <v>43982</v>
      </c>
      <c r="H1567" s="1" t="n">
        <f aca="false">VLOOKUP(B1567,Заказы!$A$2:$E$2995,3,FALSE())</f>
        <v>1666</v>
      </c>
      <c r="I1567" s="1" t="str">
        <f aca="false">VLOOKUP(H1567,Клиенты!$A$2:$E$1995,5,FALSE())</f>
        <v>г. Мегион</v>
      </c>
      <c r="J1567" s="1" t="n">
        <f aca="false">VLOOKUP(B1567,Заказы!$A$2:$E$2995,4,FALSE())</f>
        <v>272</v>
      </c>
      <c r="K1567" s="1" t="str">
        <f aca="false">VLOOKUP(B1567,Заказы!$A$2:$E$2995,5,FALSE())</f>
        <v>Выполнено</v>
      </c>
      <c r="L1567" s="1" t="n">
        <f aca="false">D1567*F1567+J1567</f>
        <v>2452</v>
      </c>
      <c r="M1567" s="1" t="n">
        <f aca="false">IF(AND(E1567="Пицца Труслейка",I1567="г. Москва",K1567="Выполнено",G1567&gt;=DATE(2020,7,1),G1567&lt;DATE(2020,8,1)),L1567,0)</f>
        <v>0</v>
      </c>
    </row>
    <row r="1568" customFormat="false" ht="15" hidden="false" customHeight="true" outlineLevel="0" collapsed="false">
      <c r="A1568" s="1" t="n">
        <v>100507</v>
      </c>
      <c r="B1568" s="1" t="n">
        <v>51728</v>
      </c>
      <c r="C1568" s="1" t="n">
        <v>3</v>
      </c>
      <c r="D1568" s="1" t="n">
        <v>9</v>
      </c>
      <c r="E1568" s="1" t="str">
        <f aca="false">VLOOKUP(C1568,Меню!$A$2:$C$24,2,FALSE())</f>
        <v>Пицца Диабло</v>
      </c>
      <c r="F1568" s="1" t="n">
        <f aca="false">VLOOKUP(C1568,Меню!$A$2:$C$24,3,FALSE())</f>
        <v>590</v>
      </c>
      <c r="G1568" s="5" t="n">
        <f aca="false">VLOOKUP(B1568,Заказы!$A$2:$E$2995,2,FALSE())</f>
        <v>44014</v>
      </c>
      <c r="H1568" s="1" t="n">
        <f aca="false">VLOOKUP(B1568,Заказы!$A$2:$E$2995,3,FALSE())</f>
        <v>328</v>
      </c>
      <c r="I1568" s="1" t="str">
        <f aca="false">VLOOKUP(H1568,Клиенты!$A$2:$E$1995,5,FALSE())</f>
        <v>г. Нюрба</v>
      </c>
      <c r="J1568" s="1" t="n">
        <f aca="false">VLOOKUP(B1568,Заказы!$A$2:$E$2995,4,FALSE())</f>
        <v>0</v>
      </c>
      <c r="K1568" s="1" t="str">
        <f aca="false">VLOOKUP(B1568,Заказы!$A$2:$E$2995,5,FALSE())</f>
        <v>Не выполнено</v>
      </c>
      <c r="L1568" s="1" t="n">
        <f aca="false">D1568*F1568+J1568</f>
        <v>5310</v>
      </c>
      <c r="M1568" s="1" t="n">
        <f aca="false">IF(AND(E1568="Пицца Труслейка",I1568="г. Москва",K1568="Выполнено",G1568&gt;=DATE(2020,7,1),G1568&lt;DATE(2020,8,1)),L1568,0)</f>
        <v>0</v>
      </c>
    </row>
    <row r="1569" customFormat="false" ht="15" hidden="false" customHeight="true" outlineLevel="0" collapsed="false">
      <c r="A1569" s="1" t="n">
        <v>100398</v>
      </c>
      <c r="B1569" s="1" t="n">
        <v>50125</v>
      </c>
      <c r="C1569" s="1" t="n">
        <v>20</v>
      </c>
      <c r="D1569" s="1" t="n">
        <v>2</v>
      </c>
      <c r="E1569" s="1" t="str">
        <f aca="false">VLOOKUP(C1569,Меню!$A$2:$C$24,2,FALSE())</f>
        <v>Пицца пиканте</v>
      </c>
      <c r="F1569" s="1" t="n">
        <f aca="false">VLOOKUP(C1569,Меню!$A$2:$C$24,3,FALSE())</f>
        <v>585</v>
      </c>
      <c r="G1569" s="5" t="n">
        <f aca="false">VLOOKUP(B1569,Заказы!$A$2:$E$2995,2,FALSE())</f>
        <v>44004</v>
      </c>
      <c r="H1569" s="1" t="n">
        <f aca="false">VLOOKUP(B1569,Заказы!$A$2:$E$2995,3,FALSE())</f>
        <v>1214</v>
      </c>
      <c r="I1569" s="1" t="str">
        <f aca="false">VLOOKUP(H1569,Клиенты!$A$2:$E$1995,5,FALSE())</f>
        <v>г. Канаш</v>
      </c>
      <c r="J1569" s="1" t="n">
        <f aca="false">VLOOKUP(B1569,Заказы!$A$2:$E$2995,4,FALSE())</f>
        <v>0</v>
      </c>
      <c r="K1569" s="1" t="str">
        <f aca="false">VLOOKUP(B1569,Заказы!$A$2:$E$2995,5,FALSE())</f>
        <v>Не выполнено</v>
      </c>
      <c r="L1569" s="1" t="n">
        <f aca="false">D1569*F1569+J1569</f>
        <v>1170</v>
      </c>
      <c r="M1569" s="1" t="n">
        <f aca="false">IF(AND(E1569="Пицца Труслейка",I1569="г. Москва",K1569="Выполнено",G1569&gt;=DATE(2020,7,1),G1569&lt;DATE(2020,8,1)),L1569,0)</f>
        <v>0</v>
      </c>
    </row>
    <row r="1570" customFormat="false" ht="15" hidden="false" customHeight="true" outlineLevel="0" collapsed="false">
      <c r="A1570" s="1" t="n">
        <v>100646</v>
      </c>
      <c r="B1570" s="1" t="n">
        <v>51011</v>
      </c>
      <c r="C1570" s="1" t="n">
        <v>23</v>
      </c>
      <c r="D1570" s="1" t="n">
        <v>6</v>
      </c>
      <c r="E1570" s="1" t="str">
        <f aca="false">VLOOKUP(C1570,Меню!$A$2:$C$24,2,FALSE())</f>
        <v>Пицца с тунцом</v>
      </c>
      <c r="F1570" s="1" t="n">
        <f aca="false">VLOOKUP(C1570,Меню!$A$2:$C$24,3,FALSE())</f>
        <v>520</v>
      </c>
      <c r="G1570" s="5" t="n">
        <f aca="false">VLOOKUP(B1570,Заказы!$A$2:$E$2995,2,FALSE())</f>
        <v>43993</v>
      </c>
      <c r="H1570" s="1" t="n">
        <f aca="false">VLOOKUP(B1570,Заказы!$A$2:$E$2995,3,FALSE())</f>
        <v>31</v>
      </c>
      <c r="I1570" s="1" t="str">
        <f aca="false">VLOOKUP(H1570,Клиенты!$A$2:$E$1995,5,FALSE())</f>
        <v>г. Пикалёво</v>
      </c>
      <c r="J1570" s="1" t="n">
        <f aca="false">VLOOKUP(B1570,Заказы!$A$2:$E$2995,4,FALSE())</f>
        <v>672</v>
      </c>
      <c r="K1570" s="1" t="str">
        <f aca="false">VLOOKUP(B1570,Заказы!$A$2:$E$2995,5,FALSE())</f>
        <v>Выполнено</v>
      </c>
      <c r="L1570" s="1" t="n">
        <f aca="false">D1570*F1570+J1570</f>
        <v>3792</v>
      </c>
      <c r="M1570" s="1" t="n">
        <f aca="false">IF(AND(E1570="Пицца Труслейка",I1570="г. Москва",K1570="Выполнено",G1570&gt;=DATE(2020,7,1),G1570&lt;DATE(2020,8,1)),L1570,0)</f>
        <v>0</v>
      </c>
    </row>
    <row r="1571" customFormat="false" ht="15" hidden="false" customHeight="true" outlineLevel="0" collapsed="false">
      <c r="A1571" s="1" t="n">
        <v>100038</v>
      </c>
      <c r="B1571" s="1" t="n">
        <v>50447</v>
      </c>
      <c r="C1571" s="1" t="n">
        <v>4</v>
      </c>
      <c r="D1571" s="1" t="n">
        <v>10</v>
      </c>
      <c r="E1571" s="1" t="str">
        <f aca="false">VLOOKUP(C1571,Меню!$A$2:$C$24,2,FALSE())</f>
        <v>Пицца Труслейка</v>
      </c>
      <c r="F1571" s="1" t="n">
        <f aca="false">VLOOKUP(C1571,Меню!$A$2:$C$24,3,FALSE())</f>
        <v>610</v>
      </c>
      <c r="G1571" s="5" t="n">
        <f aca="false">VLOOKUP(B1571,Заказы!$A$2:$E$2995,2,FALSE())</f>
        <v>44060</v>
      </c>
      <c r="H1571" s="1" t="n">
        <f aca="false">VLOOKUP(B1571,Заказы!$A$2:$E$2995,3,FALSE())</f>
        <v>1285</v>
      </c>
      <c r="I1571" s="1" t="str">
        <f aca="false">VLOOKUP(H1571,Клиенты!$A$2:$E$1995,5,FALSE())</f>
        <v>г. Плёс</v>
      </c>
      <c r="J1571" s="1" t="n">
        <f aca="false">VLOOKUP(B1571,Заказы!$A$2:$E$2995,4,FALSE())</f>
        <v>0</v>
      </c>
      <c r="K1571" s="1" t="str">
        <f aca="false">VLOOKUP(B1571,Заказы!$A$2:$E$2995,5,FALSE())</f>
        <v>Не выполнено</v>
      </c>
      <c r="L1571" s="1" t="n">
        <f aca="false">D1571*F1571+J1571</f>
        <v>6100</v>
      </c>
      <c r="M1571" s="1" t="n">
        <f aca="false">IF(AND(E1571="Пицца Труслейка",I1571="г. Москва",K1571="Выполнено",G1571&gt;=DATE(2020,7,1),G1571&lt;DATE(2020,8,1)),L1571,0)</f>
        <v>0</v>
      </c>
    </row>
    <row r="1572" customFormat="false" ht="15" hidden="false" customHeight="true" outlineLevel="0" collapsed="false">
      <c r="A1572" s="1" t="n">
        <v>101169</v>
      </c>
      <c r="B1572" s="1" t="n">
        <v>50427</v>
      </c>
      <c r="C1572" s="1" t="n">
        <v>1</v>
      </c>
      <c r="D1572" s="1" t="n">
        <v>9</v>
      </c>
      <c r="E1572" s="1" t="str">
        <f aca="false">VLOOKUP(C1572,Меню!$A$2:$C$24,2,FALSE())</f>
        <v>Пицца Гавайская</v>
      </c>
      <c r="F1572" s="1" t="n">
        <f aca="false">VLOOKUP(C1572,Меню!$A$2:$C$24,3,FALSE())</f>
        <v>545</v>
      </c>
      <c r="G1572" s="5" t="n">
        <f aca="false">VLOOKUP(B1572,Заказы!$A$2:$E$2995,2,FALSE())</f>
        <v>43983</v>
      </c>
      <c r="H1572" s="1" t="n">
        <f aca="false">VLOOKUP(B1572,Заказы!$A$2:$E$2995,3,FALSE())</f>
        <v>1401</v>
      </c>
      <c r="I1572" s="1" t="str">
        <f aca="false">VLOOKUP(H1572,Клиенты!$A$2:$E$1995,5,FALSE())</f>
        <v>г. Петрозаводск</v>
      </c>
      <c r="J1572" s="1" t="n">
        <f aca="false">VLOOKUP(B1572,Заказы!$A$2:$E$2995,4,FALSE())</f>
        <v>777</v>
      </c>
      <c r="K1572" s="1" t="str">
        <f aca="false">VLOOKUP(B1572,Заказы!$A$2:$E$2995,5,FALSE())</f>
        <v>Выполнено</v>
      </c>
      <c r="L1572" s="1" t="n">
        <f aca="false">D1572*F1572+J1572</f>
        <v>5682</v>
      </c>
      <c r="M1572" s="1" t="n">
        <f aca="false">IF(AND(E1572="Пицца Труслейка",I1572="г. Москва",K1572="Выполнено",G1572&gt;=DATE(2020,7,1),G1572&lt;DATE(2020,8,1)),L1572,0)</f>
        <v>0</v>
      </c>
    </row>
    <row r="1573" customFormat="false" ht="15" hidden="false" customHeight="true" outlineLevel="0" collapsed="false">
      <c r="A1573" s="1" t="n">
        <v>101010</v>
      </c>
      <c r="B1573" s="1" t="n">
        <v>51833</v>
      </c>
      <c r="C1573" s="1" t="n">
        <v>4</v>
      </c>
      <c r="D1573" s="1" t="n">
        <v>1</v>
      </c>
      <c r="E1573" s="1" t="str">
        <f aca="false">VLOOKUP(C1573,Меню!$A$2:$C$24,2,FALSE())</f>
        <v>Пицца Труслейка</v>
      </c>
      <c r="F1573" s="1" t="n">
        <f aca="false">VLOOKUP(C1573,Меню!$A$2:$C$24,3,FALSE())</f>
        <v>610</v>
      </c>
      <c r="G1573" s="5" t="n">
        <f aca="false">VLOOKUP(B1573,Заказы!$A$2:$E$2995,2,FALSE())</f>
        <v>44051</v>
      </c>
      <c r="H1573" s="1" t="n">
        <f aca="false">VLOOKUP(B1573,Заказы!$A$2:$E$2995,3,FALSE())</f>
        <v>675</v>
      </c>
      <c r="I1573" s="1" t="str">
        <f aca="false">VLOOKUP(H1573,Клиенты!$A$2:$E$1995,5,FALSE())</f>
        <v>г. Крымск</v>
      </c>
      <c r="J1573" s="1" t="n">
        <f aca="false">VLOOKUP(B1573,Заказы!$A$2:$E$2995,4,FALSE())</f>
        <v>0</v>
      </c>
      <c r="K1573" s="1" t="str">
        <f aca="false">VLOOKUP(B1573,Заказы!$A$2:$E$2995,5,FALSE())</f>
        <v>Не выполнено</v>
      </c>
      <c r="L1573" s="1" t="n">
        <f aca="false">D1573*F1573+J1573</f>
        <v>610</v>
      </c>
      <c r="M1573" s="1" t="n">
        <f aca="false">IF(AND(E1573="Пицца Труслейка",I1573="г. Москва",K1573="Выполнено",G1573&gt;=DATE(2020,7,1),G1573&lt;DATE(2020,8,1)),L1573,0)</f>
        <v>0</v>
      </c>
    </row>
    <row r="1574" customFormat="false" ht="15" hidden="false" customHeight="true" outlineLevel="0" collapsed="false">
      <c r="A1574" s="1" t="n">
        <v>100590</v>
      </c>
      <c r="B1574" s="1" t="n">
        <v>51546</v>
      </c>
      <c r="C1574" s="1" t="n">
        <v>4</v>
      </c>
      <c r="D1574" s="1" t="n">
        <v>2</v>
      </c>
      <c r="E1574" s="1" t="str">
        <f aca="false">VLOOKUP(C1574,Меню!$A$2:$C$24,2,FALSE())</f>
        <v>Пицца Труслейка</v>
      </c>
      <c r="F1574" s="1" t="n">
        <f aca="false">VLOOKUP(C1574,Меню!$A$2:$C$24,3,FALSE())</f>
        <v>610</v>
      </c>
      <c r="G1574" s="5" t="n">
        <f aca="false">VLOOKUP(B1574,Заказы!$A$2:$E$2995,2,FALSE())</f>
        <v>44015</v>
      </c>
      <c r="H1574" s="1" t="n">
        <f aca="false">VLOOKUP(B1574,Заказы!$A$2:$E$2995,3,FALSE())</f>
        <v>1840</v>
      </c>
      <c r="I1574" s="1" t="str">
        <f aca="false">VLOOKUP(H1574,Клиенты!$A$2:$E$1995,5,FALSE())</f>
        <v>г. Москва</v>
      </c>
      <c r="J1574" s="1" t="n">
        <f aca="false">VLOOKUP(B1574,Заказы!$A$2:$E$2995,4,FALSE())</f>
        <v>0</v>
      </c>
      <c r="K1574" s="1" t="str">
        <f aca="false">VLOOKUP(B1574,Заказы!$A$2:$E$2995,5,FALSE())</f>
        <v>Не выполнено</v>
      </c>
      <c r="L1574" s="1" t="n">
        <f aca="false">D1574*F1574+J1574</f>
        <v>1220</v>
      </c>
      <c r="M1574" s="1" t="n">
        <f aca="false">IF(AND(E1574="Пицца Труслейка",I1574="г. Москва",K1574="Выполнено",G1574&gt;=DATE(2020,7,1),G1574&lt;DATE(2020,8,1)),L1574,0)</f>
        <v>0</v>
      </c>
    </row>
    <row r="1575" customFormat="false" ht="15" hidden="false" customHeight="true" outlineLevel="0" collapsed="false">
      <c r="A1575" s="1" t="n">
        <v>100093</v>
      </c>
      <c r="B1575" s="1" t="n">
        <v>51740</v>
      </c>
      <c r="C1575" s="1" t="n">
        <v>18</v>
      </c>
      <c r="D1575" s="1" t="n">
        <v>8</v>
      </c>
      <c r="E1575" s="1" t="str">
        <f aca="false">VLOOKUP(C1575,Меню!$A$2:$C$24,2,FALSE())</f>
        <v>Пицца Царская</v>
      </c>
      <c r="F1575" s="1" t="n">
        <f aca="false">VLOOKUP(C1575,Меню!$A$2:$C$24,3,FALSE())</f>
        <v>620</v>
      </c>
      <c r="G1575" s="5" t="n">
        <f aca="false">VLOOKUP(B1575,Заказы!$A$2:$E$2995,2,FALSE())</f>
        <v>44058</v>
      </c>
      <c r="H1575" s="1" t="n">
        <f aca="false">VLOOKUP(B1575,Заказы!$A$2:$E$2995,3,FALSE())</f>
        <v>913</v>
      </c>
      <c r="I1575" s="1" t="str">
        <f aca="false">VLOOKUP(H1575,Клиенты!$A$2:$E$1995,5,FALSE())</f>
        <v>г. Мирный</v>
      </c>
      <c r="J1575" s="1" t="n">
        <f aca="false">VLOOKUP(B1575,Заказы!$A$2:$E$2995,4,FALSE())</f>
        <v>0</v>
      </c>
      <c r="K1575" s="1" t="str">
        <f aca="false">VLOOKUP(B1575,Заказы!$A$2:$E$2995,5,FALSE())</f>
        <v>Не выполнено</v>
      </c>
      <c r="L1575" s="1" t="n">
        <f aca="false">D1575*F1575+J1575</f>
        <v>4960</v>
      </c>
      <c r="M1575" s="1" t="n">
        <f aca="false">IF(AND(E1575="Пицца Труслейка",I1575="г. Москва",K1575="Выполнено",G1575&gt;=DATE(2020,7,1),G1575&lt;DATE(2020,8,1)),L1575,0)</f>
        <v>0</v>
      </c>
    </row>
    <row r="1576" customFormat="false" ht="15" hidden="false" customHeight="true" outlineLevel="0" collapsed="false">
      <c r="A1576" s="1" t="n">
        <v>100943</v>
      </c>
      <c r="B1576" s="1" t="n">
        <v>51739</v>
      </c>
      <c r="C1576" s="1" t="n">
        <v>16</v>
      </c>
      <c r="D1576" s="1" t="n">
        <v>3</v>
      </c>
      <c r="E1576" s="1" t="str">
        <f aca="false">VLOOKUP(C1576,Меню!$A$2:$C$24,2,FALSE())</f>
        <v>Пицца Флорида</v>
      </c>
      <c r="F1576" s="1" t="n">
        <f aca="false">VLOOKUP(C1576,Меню!$A$2:$C$24,3,FALSE())</f>
        <v>535</v>
      </c>
      <c r="G1576" s="5" t="n">
        <f aca="false">VLOOKUP(B1576,Заказы!$A$2:$E$2995,2,FALSE())</f>
        <v>43991</v>
      </c>
      <c r="H1576" s="1" t="n">
        <f aca="false">VLOOKUP(B1576,Заказы!$A$2:$E$2995,3,FALSE())</f>
        <v>446</v>
      </c>
      <c r="I1576" s="1" t="str">
        <f aca="false">VLOOKUP(H1576,Клиенты!$A$2:$E$1995,5,FALSE())</f>
        <v>г. Бавлы</v>
      </c>
      <c r="J1576" s="1" t="n">
        <f aca="false">VLOOKUP(B1576,Заказы!$A$2:$E$2995,4,FALSE())</f>
        <v>100</v>
      </c>
      <c r="K1576" s="1" t="str">
        <f aca="false">VLOOKUP(B1576,Заказы!$A$2:$E$2995,5,FALSE())</f>
        <v>Выполнено</v>
      </c>
      <c r="L1576" s="1" t="n">
        <f aca="false">D1576*F1576+J1576</f>
        <v>1705</v>
      </c>
      <c r="M1576" s="1" t="n">
        <f aca="false">IF(AND(E1576="Пицца Труслейка",I1576="г. Москва",K1576="Выполнено",G1576&gt;=DATE(2020,7,1),G1576&lt;DATE(2020,8,1)),L1576,0)</f>
        <v>0</v>
      </c>
    </row>
    <row r="1577" customFormat="false" ht="15" hidden="false" customHeight="true" outlineLevel="0" collapsed="false">
      <c r="A1577" s="1" t="n">
        <v>100082</v>
      </c>
      <c r="B1577" s="1" t="n">
        <v>50472</v>
      </c>
      <c r="C1577" s="1" t="n">
        <v>23</v>
      </c>
      <c r="D1577" s="1" t="n">
        <v>9</v>
      </c>
      <c r="E1577" s="1" t="str">
        <f aca="false">VLOOKUP(C1577,Меню!$A$2:$C$24,2,FALSE())</f>
        <v>Пицца с тунцом</v>
      </c>
      <c r="F1577" s="1" t="n">
        <f aca="false">VLOOKUP(C1577,Меню!$A$2:$C$24,3,FALSE())</f>
        <v>520</v>
      </c>
      <c r="G1577" s="5" t="n">
        <f aca="false">VLOOKUP(B1577,Заказы!$A$2:$E$2995,2,FALSE())</f>
        <v>43997</v>
      </c>
      <c r="H1577" s="1" t="n">
        <f aca="false">VLOOKUP(B1577,Заказы!$A$2:$E$2995,3,FALSE())</f>
        <v>941</v>
      </c>
      <c r="I1577" s="1" t="str">
        <f aca="false">VLOOKUP(H1577,Клиенты!$A$2:$E$1995,5,FALSE())</f>
        <v>г. Кувандык</v>
      </c>
      <c r="J1577" s="1" t="n">
        <f aca="false">VLOOKUP(B1577,Заказы!$A$2:$E$2995,4,FALSE())</f>
        <v>0</v>
      </c>
      <c r="K1577" s="1" t="str">
        <f aca="false">VLOOKUP(B1577,Заказы!$A$2:$E$2995,5,FALSE())</f>
        <v>Не выполнено</v>
      </c>
      <c r="L1577" s="1" t="n">
        <f aca="false">D1577*F1577+J1577</f>
        <v>4680</v>
      </c>
      <c r="M1577" s="1" t="n">
        <f aca="false">IF(AND(E1577="Пицца Труслейка",I1577="г. Москва",K1577="Выполнено",G1577&gt;=DATE(2020,7,1),G1577&lt;DATE(2020,8,1)),L1577,0)</f>
        <v>0</v>
      </c>
    </row>
    <row r="1578" customFormat="false" ht="15" hidden="false" customHeight="true" outlineLevel="0" collapsed="false">
      <c r="A1578" s="1" t="n">
        <v>100134</v>
      </c>
      <c r="B1578" s="1" t="n">
        <v>51406</v>
      </c>
      <c r="C1578" s="1" t="n">
        <v>23</v>
      </c>
      <c r="D1578" s="1" t="n">
        <v>10</v>
      </c>
      <c r="E1578" s="1" t="str">
        <f aca="false">VLOOKUP(C1578,Меню!$A$2:$C$24,2,FALSE())</f>
        <v>Пицца с тунцом</v>
      </c>
      <c r="F1578" s="1" t="n">
        <f aca="false">VLOOKUP(C1578,Меню!$A$2:$C$24,3,FALSE())</f>
        <v>520</v>
      </c>
      <c r="G1578" s="5" t="n">
        <f aca="false">VLOOKUP(B1578,Заказы!$A$2:$E$2995,2,FALSE())</f>
        <v>44034</v>
      </c>
      <c r="H1578" s="1" t="n">
        <f aca="false">VLOOKUP(B1578,Заказы!$A$2:$E$2995,3,FALSE())</f>
        <v>996</v>
      </c>
      <c r="I1578" s="1" t="str">
        <f aca="false">VLOOKUP(H1578,Клиенты!$A$2:$E$1995,5,FALSE())</f>
        <v>г. Пыть-Ях</v>
      </c>
      <c r="J1578" s="1" t="n">
        <f aca="false">VLOOKUP(B1578,Заказы!$A$2:$E$2995,4,FALSE())</f>
        <v>666</v>
      </c>
      <c r="K1578" s="1" t="str">
        <f aca="false">VLOOKUP(B1578,Заказы!$A$2:$E$2995,5,FALSE())</f>
        <v>Выполнено</v>
      </c>
      <c r="L1578" s="1" t="n">
        <f aca="false">D1578*F1578+J1578</f>
        <v>5866</v>
      </c>
      <c r="M1578" s="1" t="n">
        <f aca="false">IF(AND(E1578="Пицца Труслейка",I1578="г. Москва",K1578="Выполнено",G1578&gt;=DATE(2020,7,1),G1578&lt;DATE(2020,8,1)),L1578,0)</f>
        <v>0</v>
      </c>
    </row>
    <row r="1579" customFormat="false" ht="15" hidden="false" customHeight="true" outlineLevel="0" collapsed="false">
      <c r="A1579" s="1" t="n">
        <v>101602</v>
      </c>
      <c r="B1579" s="1" t="n">
        <v>50685</v>
      </c>
      <c r="C1579" s="1" t="n">
        <v>11</v>
      </c>
      <c r="D1579" s="1" t="n">
        <v>4</v>
      </c>
      <c r="E1579" s="1" t="str">
        <f aca="false">VLOOKUP(C1579,Меню!$A$2:$C$24,2,FALSE())</f>
        <v>Пицца Песто</v>
      </c>
      <c r="F1579" s="1" t="n">
        <f aca="false">VLOOKUP(C1579,Меню!$A$2:$C$24,3,FALSE())</f>
        <v>530</v>
      </c>
      <c r="G1579" s="5" t="n">
        <f aca="false">VLOOKUP(B1579,Заказы!$A$2:$E$2995,2,FALSE())</f>
        <v>44052</v>
      </c>
      <c r="H1579" s="1" t="n">
        <f aca="false">VLOOKUP(B1579,Заказы!$A$2:$E$2995,3,FALSE())</f>
        <v>395</v>
      </c>
      <c r="I1579" s="1" t="str">
        <f aca="false">VLOOKUP(H1579,Клиенты!$A$2:$E$1995,5,FALSE())</f>
        <v>г. Пролетарск</v>
      </c>
      <c r="J1579" s="1" t="n">
        <f aca="false">VLOOKUP(B1579,Заказы!$A$2:$E$2995,4,FALSE())</f>
        <v>263</v>
      </c>
      <c r="K1579" s="1" t="str">
        <f aca="false">VLOOKUP(B1579,Заказы!$A$2:$E$2995,5,FALSE())</f>
        <v>Выполнено</v>
      </c>
      <c r="L1579" s="1" t="n">
        <f aca="false">D1579*F1579+J1579</f>
        <v>2383</v>
      </c>
      <c r="M1579" s="1" t="n">
        <f aca="false">IF(AND(E1579="Пицца Труслейка",I1579="г. Москва",K1579="Выполнено",G1579&gt;=DATE(2020,7,1),G1579&lt;DATE(2020,8,1)),L1579,0)</f>
        <v>0</v>
      </c>
    </row>
    <row r="1580" customFormat="false" ht="15" hidden="false" customHeight="true" outlineLevel="0" collapsed="false">
      <c r="A1580" s="1" t="n">
        <v>100859</v>
      </c>
      <c r="B1580" s="1" t="n">
        <v>50818</v>
      </c>
      <c r="C1580" s="1" t="n">
        <v>12</v>
      </c>
      <c r="D1580" s="1" t="n">
        <v>9</v>
      </c>
      <c r="E1580" s="1" t="str">
        <f aca="false">VLOOKUP(C1580,Меню!$A$2:$C$24,2,FALSE())</f>
        <v>Пицца Салями с трюфелем</v>
      </c>
      <c r="F1580" s="1" t="n">
        <f aca="false">VLOOKUP(C1580,Меню!$A$2:$C$24,3,FALSE())</f>
        <v>525</v>
      </c>
      <c r="G1580" s="5" t="n">
        <f aca="false">VLOOKUP(B1580,Заказы!$A$2:$E$2995,2,FALSE())</f>
        <v>44055</v>
      </c>
      <c r="H1580" s="1" t="n">
        <f aca="false">VLOOKUP(B1580,Заказы!$A$2:$E$2995,3,FALSE())</f>
        <v>1537</v>
      </c>
      <c r="I1580" s="1" t="str">
        <f aca="false">VLOOKUP(H1580,Клиенты!$A$2:$E$1995,5,FALSE())</f>
        <v>г. Игарка</v>
      </c>
      <c r="J1580" s="1" t="n">
        <f aca="false">VLOOKUP(B1580,Заказы!$A$2:$E$2995,4,FALSE())</f>
        <v>477</v>
      </c>
      <c r="K1580" s="1" t="str">
        <f aca="false">VLOOKUP(B1580,Заказы!$A$2:$E$2995,5,FALSE())</f>
        <v>Выполнено</v>
      </c>
      <c r="L1580" s="1" t="n">
        <f aca="false">D1580*F1580+J1580</f>
        <v>5202</v>
      </c>
      <c r="M1580" s="1" t="n">
        <f aca="false">IF(AND(E1580="Пицца Труслейка",I1580="г. Москва",K1580="Выполнено",G1580&gt;=DATE(2020,7,1),G1580&lt;DATE(2020,8,1)),L1580,0)</f>
        <v>0</v>
      </c>
    </row>
    <row r="1581" customFormat="false" ht="15" hidden="false" customHeight="true" outlineLevel="0" collapsed="false">
      <c r="A1581" s="1" t="n">
        <v>101834</v>
      </c>
      <c r="B1581" s="1" t="n">
        <v>51330</v>
      </c>
      <c r="C1581" s="1" t="n">
        <v>4</v>
      </c>
      <c r="D1581" s="1" t="n">
        <v>1</v>
      </c>
      <c r="E1581" s="1" t="str">
        <f aca="false">VLOOKUP(C1581,Меню!$A$2:$C$24,2,FALSE())</f>
        <v>Пицца Труслейка</v>
      </c>
      <c r="F1581" s="1" t="n">
        <f aca="false">VLOOKUP(C1581,Меню!$A$2:$C$24,3,FALSE())</f>
        <v>610</v>
      </c>
      <c r="G1581" s="5" t="n">
        <f aca="false">VLOOKUP(B1581,Заказы!$A$2:$E$2995,2,FALSE())</f>
        <v>43985</v>
      </c>
      <c r="H1581" s="1" t="n">
        <f aca="false">VLOOKUP(B1581,Заказы!$A$2:$E$2995,3,FALSE())</f>
        <v>1217</v>
      </c>
      <c r="I1581" s="1" t="str">
        <f aca="false">VLOOKUP(H1581,Клиенты!$A$2:$E$1995,5,FALSE())</f>
        <v>г. Гаджиево</v>
      </c>
      <c r="J1581" s="1" t="n">
        <f aca="false">VLOOKUP(B1581,Заказы!$A$2:$E$2995,4,FALSE())</f>
        <v>0</v>
      </c>
      <c r="K1581" s="1" t="str">
        <f aca="false">VLOOKUP(B1581,Заказы!$A$2:$E$2995,5,FALSE())</f>
        <v>Не выполнено</v>
      </c>
      <c r="L1581" s="1" t="n">
        <f aca="false">D1581*F1581+J1581</f>
        <v>610</v>
      </c>
      <c r="M1581" s="1" t="n">
        <f aca="false">IF(AND(E1581="Пицца Труслейка",I1581="г. Москва",K1581="Выполнено",G1581&gt;=DATE(2020,7,1),G1581&lt;DATE(2020,8,1)),L1581,0)</f>
        <v>0</v>
      </c>
    </row>
    <row r="1582" customFormat="false" ht="15" hidden="false" customHeight="true" outlineLevel="0" collapsed="false">
      <c r="A1582" s="1" t="n">
        <v>101624</v>
      </c>
      <c r="B1582" s="1" t="n">
        <v>51297</v>
      </c>
      <c r="C1582" s="1" t="n">
        <v>13</v>
      </c>
      <c r="D1582" s="1" t="n">
        <v>1</v>
      </c>
      <c r="E1582" s="1" t="str">
        <f aca="false">VLOOKUP(C1582,Меню!$A$2:$C$24,2,FALSE())</f>
        <v>Пицца Сырная</v>
      </c>
      <c r="F1582" s="1" t="n">
        <f aca="false">VLOOKUP(C1582,Меню!$A$2:$C$24,3,FALSE())</f>
        <v>635</v>
      </c>
      <c r="G1582" s="5" t="n">
        <f aca="false">VLOOKUP(B1582,Заказы!$A$2:$E$2995,2,FALSE())</f>
        <v>43994</v>
      </c>
      <c r="H1582" s="1" t="n">
        <f aca="false">VLOOKUP(B1582,Заказы!$A$2:$E$2995,3,FALSE())</f>
        <v>1665</v>
      </c>
      <c r="I1582" s="1" t="str">
        <f aca="false">VLOOKUP(H1582,Клиенты!$A$2:$E$1995,5,FALSE())</f>
        <v>г. Шатура</v>
      </c>
      <c r="J1582" s="1" t="n">
        <f aca="false">VLOOKUP(B1582,Заказы!$A$2:$E$2995,4,FALSE())</f>
        <v>0</v>
      </c>
      <c r="K1582" s="1" t="str">
        <f aca="false">VLOOKUP(B1582,Заказы!$A$2:$E$2995,5,FALSE())</f>
        <v>Не выполнено</v>
      </c>
      <c r="L1582" s="1" t="n">
        <f aca="false">D1582*F1582+J1582</f>
        <v>635</v>
      </c>
      <c r="M1582" s="1" t="n">
        <f aca="false">IF(AND(E1582="Пицца Труслейка",I1582="г. Москва",K1582="Выполнено",G1582&gt;=DATE(2020,7,1),G1582&lt;DATE(2020,8,1)),L1582,0)</f>
        <v>0</v>
      </c>
    </row>
    <row r="1583" customFormat="false" ht="15" hidden="false" customHeight="true" outlineLevel="0" collapsed="false">
      <c r="A1583" s="1" t="n">
        <v>101347</v>
      </c>
      <c r="B1583" s="1" t="n">
        <v>51859</v>
      </c>
      <c r="C1583" s="1" t="n">
        <v>7</v>
      </c>
      <c r="D1583" s="1" t="n">
        <v>10</v>
      </c>
      <c r="E1583" s="1" t="str">
        <f aca="false">VLOOKUP(C1583,Меню!$A$2:$C$24,2,FALSE())</f>
        <v>Пицца Карбонара</v>
      </c>
      <c r="F1583" s="1" t="n">
        <f aca="false">VLOOKUP(C1583,Меню!$A$2:$C$24,3,FALSE())</f>
        <v>625</v>
      </c>
      <c r="G1583" s="5" t="n">
        <f aca="false">VLOOKUP(B1583,Заказы!$A$2:$E$2995,2,FALSE())</f>
        <v>44003</v>
      </c>
      <c r="H1583" s="1" t="n">
        <f aca="false">VLOOKUP(B1583,Заказы!$A$2:$E$2995,3,FALSE())</f>
        <v>1858</v>
      </c>
      <c r="I1583" s="1" t="str">
        <f aca="false">VLOOKUP(H1583,Клиенты!$A$2:$E$1995,5,FALSE())</f>
        <v>г. Семикаракорск</v>
      </c>
      <c r="J1583" s="1" t="n">
        <f aca="false">VLOOKUP(B1583,Заказы!$A$2:$E$2995,4,FALSE())</f>
        <v>413</v>
      </c>
      <c r="K1583" s="1" t="str">
        <f aca="false">VLOOKUP(B1583,Заказы!$A$2:$E$2995,5,FALSE())</f>
        <v>Выполнено</v>
      </c>
      <c r="L1583" s="1" t="n">
        <f aca="false">D1583*F1583+J1583</f>
        <v>6663</v>
      </c>
      <c r="M1583" s="1" t="n">
        <f aca="false">IF(AND(E1583="Пицца Труслейка",I1583="г. Москва",K1583="Выполнено",G1583&gt;=DATE(2020,7,1),G1583&lt;DATE(2020,8,1)),L1583,0)</f>
        <v>0</v>
      </c>
    </row>
    <row r="1584" customFormat="false" ht="15" hidden="false" customHeight="true" outlineLevel="0" collapsed="false">
      <c r="A1584" s="1" t="n">
        <v>100700</v>
      </c>
      <c r="B1584" s="1" t="n">
        <v>51326</v>
      </c>
      <c r="C1584" s="1" t="n">
        <v>23</v>
      </c>
      <c r="D1584" s="1" t="n">
        <v>2</v>
      </c>
      <c r="E1584" s="1" t="str">
        <f aca="false">VLOOKUP(C1584,Меню!$A$2:$C$24,2,FALSE())</f>
        <v>Пицца с тунцом</v>
      </c>
      <c r="F1584" s="1" t="n">
        <f aca="false">VLOOKUP(C1584,Меню!$A$2:$C$24,3,FALSE())</f>
        <v>520</v>
      </c>
      <c r="G1584" s="5" t="n">
        <f aca="false">VLOOKUP(B1584,Заказы!$A$2:$E$2995,2,FALSE())</f>
        <v>44001</v>
      </c>
      <c r="H1584" s="1" t="n">
        <f aca="false">VLOOKUP(B1584,Заказы!$A$2:$E$2995,3,FALSE())</f>
        <v>443</v>
      </c>
      <c r="I1584" s="1" t="str">
        <f aca="false">VLOOKUP(H1584,Клиенты!$A$2:$E$1995,5,FALSE())</f>
        <v>г. Оленегорск</v>
      </c>
      <c r="J1584" s="1" t="n">
        <f aca="false">VLOOKUP(B1584,Заказы!$A$2:$E$2995,4,FALSE())</f>
        <v>0</v>
      </c>
      <c r="K1584" s="1" t="str">
        <f aca="false">VLOOKUP(B1584,Заказы!$A$2:$E$2995,5,FALSE())</f>
        <v>Не выполнено</v>
      </c>
      <c r="L1584" s="1" t="n">
        <f aca="false">D1584*F1584+J1584</f>
        <v>1040</v>
      </c>
      <c r="M1584" s="1" t="n">
        <f aca="false">IF(AND(E1584="Пицца Труслейка",I1584="г. Москва",K1584="Выполнено",G1584&gt;=DATE(2020,7,1),G1584&lt;DATE(2020,8,1)),L1584,0)</f>
        <v>0</v>
      </c>
    </row>
    <row r="1585" customFormat="false" ht="15" hidden="false" customHeight="true" outlineLevel="0" collapsed="false">
      <c r="A1585" s="1" t="n">
        <v>101705</v>
      </c>
      <c r="B1585" s="1" t="n">
        <v>50984</v>
      </c>
      <c r="C1585" s="1" t="n">
        <v>16</v>
      </c>
      <c r="D1585" s="1" t="n">
        <v>8</v>
      </c>
      <c r="E1585" s="1" t="str">
        <f aca="false">VLOOKUP(C1585,Меню!$A$2:$C$24,2,FALSE())</f>
        <v>Пицца Флорида</v>
      </c>
      <c r="F1585" s="1" t="n">
        <f aca="false">VLOOKUP(C1585,Меню!$A$2:$C$24,3,FALSE())</f>
        <v>535</v>
      </c>
      <c r="G1585" s="5" t="n">
        <f aca="false">VLOOKUP(B1585,Заказы!$A$2:$E$2995,2,FALSE())</f>
        <v>43986</v>
      </c>
      <c r="H1585" s="1" t="n">
        <f aca="false">VLOOKUP(B1585,Заказы!$A$2:$E$2995,3,FALSE())</f>
        <v>875</v>
      </c>
      <c r="I1585" s="1" t="str">
        <f aca="false">VLOOKUP(H1585,Клиенты!$A$2:$E$1995,5,FALSE())</f>
        <v>г. Гороховец</v>
      </c>
      <c r="J1585" s="1" t="n">
        <f aca="false">VLOOKUP(B1585,Заказы!$A$2:$E$2995,4,FALSE())</f>
        <v>0</v>
      </c>
      <c r="K1585" s="1" t="str">
        <f aca="false">VLOOKUP(B1585,Заказы!$A$2:$E$2995,5,FALSE())</f>
        <v>Не выполнено</v>
      </c>
      <c r="L1585" s="1" t="n">
        <f aca="false">D1585*F1585+J1585</f>
        <v>4280</v>
      </c>
      <c r="M1585" s="1" t="n">
        <f aca="false">IF(AND(E1585="Пицца Труслейка",I1585="г. Москва",K1585="Выполнено",G1585&gt;=DATE(2020,7,1),G1585&lt;DATE(2020,8,1)),L1585,0)</f>
        <v>0</v>
      </c>
    </row>
    <row r="1586" customFormat="false" ht="15" hidden="false" customHeight="true" outlineLevel="0" collapsed="false">
      <c r="A1586" s="1" t="n">
        <v>101124</v>
      </c>
      <c r="B1586" s="1" t="n">
        <v>51616</v>
      </c>
      <c r="C1586" s="1" t="n">
        <v>5</v>
      </c>
      <c r="D1586" s="1" t="n">
        <v>2</v>
      </c>
      <c r="E1586" s="1" t="str">
        <f aca="false">VLOOKUP(C1586,Меню!$A$2:$C$24,2,FALSE())</f>
        <v>Пицца Жюльен</v>
      </c>
      <c r="F1586" s="1" t="n">
        <f aca="false">VLOOKUP(C1586,Меню!$A$2:$C$24,3,FALSE())</f>
        <v>580</v>
      </c>
      <c r="G1586" s="5" t="n">
        <f aca="false">VLOOKUP(B1586,Заказы!$A$2:$E$2995,2,FALSE())</f>
        <v>44007</v>
      </c>
      <c r="H1586" s="1" t="n">
        <f aca="false">VLOOKUP(B1586,Заказы!$A$2:$E$2995,3,FALSE())</f>
        <v>1573</v>
      </c>
      <c r="I1586" s="1" t="str">
        <f aca="false">VLOOKUP(H1586,Клиенты!$A$2:$E$1995,5,FALSE())</f>
        <v>г. Няндома</v>
      </c>
      <c r="J1586" s="1" t="n">
        <f aca="false">VLOOKUP(B1586,Заказы!$A$2:$E$2995,4,FALSE())</f>
        <v>0</v>
      </c>
      <c r="K1586" s="1" t="str">
        <f aca="false">VLOOKUP(B1586,Заказы!$A$2:$E$2995,5,FALSE())</f>
        <v>Не выполнено</v>
      </c>
      <c r="L1586" s="1" t="n">
        <f aca="false">D1586*F1586+J1586</f>
        <v>1160</v>
      </c>
      <c r="M1586" s="1" t="n">
        <f aca="false">IF(AND(E1586="Пицца Труслейка",I1586="г. Москва",K1586="Выполнено",G1586&gt;=DATE(2020,7,1),G1586&lt;DATE(2020,8,1)),L1586,0)</f>
        <v>0</v>
      </c>
    </row>
    <row r="1587" customFormat="false" ht="15" hidden="false" customHeight="true" outlineLevel="0" collapsed="false">
      <c r="A1587" s="1" t="n">
        <v>100351</v>
      </c>
      <c r="B1587" s="1" t="n">
        <v>50633</v>
      </c>
      <c r="C1587" s="1" t="n">
        <v>19</v>
      </c>
      <c r="D1587" s="1" t="n">
        <v>5</v>
      </c>
      <c r="E1587" s="1" t="str">
        <f aca="false">VLOOKUP(C1587,Меню!$A$2:$C$24,2,FALSE())</f>
        <v>Пицца Цезарь</v>
      </c>
      <c r="F1587" s="1" t="n">
        <f aca="false">VLOOKUP(C1587,Меню!$A$2:$C$24,3,FALSE())</f>
        <v>630</v>
      </c>
      <c r="G1587" s="5" t="n">
        <f aca="false">VLOOKUP(B1587,Заказы!$A$2:$E$2995,2,FALSE())</f>
        <v>44070</v>
      </c>
      <c r="H1587" s="1" t="n">
        <f aca="false">VLOOKUP(B1587,Заказы!$A$2:$E$2995,3,FALSE())</f>
        <v>647</v>
      </c>
      <c r="I1587" s="1" t="str">
        <f aca="false">VLOOKUP(H1587,Клиенты!$A$2:$E$1995,5,FALSE())</f>
        <v>г. Кемь</v>
      </c>
      <c r="J1587" s="1" t="n">
        <f aca="false">VLOOKUP(B1587,Заказы!$A$2:$E$2995,4,FALSE())</f>
        <v>554</v>
      </c>
      <c r="K1587" s="1" t="str">
        <f aca="false">VLOOKUP(B1587,Заказы!$A$2:$E$2995,5,FALSE())</f>
        <v>Выполнено</v>
      </c>
      <c r="L1587" s="1" t="n">
        <f aca="false">D1587*F1587+J1587</f>
        <v>3704</v>
      </c>
      <c r="M1587" s="1" t="n">
        <f aca="false">IF(AND(E1587="Пицца Труслейка",I1587="г. Москва",K1587="Выполнено",G1587&gt;=DATE(2020,7,1),G1587&lt;DATE(2020,8,1)),L1587,0)</f>
        <v>0</v>
      </c>
    </row>
    <row r="1588" customFormat="false" ht="15" hidden="false" customHeight="true" outlineLevel="0" collapsed="false">
      <c r="A1588" s="1" t="n">
        <v>100870</v>
      </c>
      <c r="B1588" s="1" t="n">
        <v>50312</v>
      </c>
      <c r="C1588" s="1" t="n">
        <v>13</v>
      </c>
      <c r="D1588" s="1" t="n">
        <v>10</v>
      </c>
      <c r="E1588" s="1" t="str">
        <f aca="false">VLOOKUP(C1588,Меню!$A$2:$C$24,2,FALSE())</f>
        <v>Пицца Сырная</v>
      </c>
      <c r="F1588" s="1" t="n">
        <f aca="false">VLOOKUP(C1588,Меню!$A$2:$C$24,3,FALSE())</f>
        <v>635</v>
      </c>
      <c r="G1588" s="5" t="n">
        <f aca="false">VLOOKUP(B1588,Заказы!$A$2:$E$2995,2,FALSE())</f>
        <v>44022</v>
      </c>
      <c r="H1588" s="1" t="n">
        <f aca="false">VLOOKUP(B1588,Заказы!$A$2:$E$2995,3,FALSE())</f>
        <v>889</v>
      </c>
      <c r="I1588" s="1" t="str">
        <f aca="false">VLOOKUP(H1588,Клиенты!$A$2:$E$1995,5,FALSE())</f>
        <v>г. Котовск</v>
      </c>
      <c r="J1588" s="1" t="n">
        <f aca="false">VLOOKUP(B1588,Заказы!$A$2:$E$2995,4,FALSE())</f>
        <v>769</v>
      </c>
      <c r="K1588" s="1" t="str">
        <f aca="false">VLOOKUP(B1588,Заказы!$A$2:$E$2995,5,FALSE())</f>
        <v>Выполнено</v>
      </c>
      <c r="L1588" s="1" t="n">
        <f aca="false">D1588*F1588+J1588</f>
        <v>7119</v>
      </c>
      <c r="M1588" s="1" t="n">
        <f aca="false">IF(AND(E1588="Пицца Труслейка",I1588="г. Москва",K1588="Выполнено",G1588&gt;=DATE(2020,7,1),G1588&lt;DATE(2020,8,1)),L1588,0)</f>
        <v>0</v>
      </c>
    </row>
    <row r="1589" customFormat="false" ht="15" hidden="false" customHeight="true" outlineLevel="0" collapsed="false">
      <c r="A1589" s="1" t="n">
        <v>101651</v>
      </c>
      <c r="B1589" s="1" t="n">
        <v>51787</v>
      </c>
      <c r="C1589" s="1" t="n">
        <v>14</v>
      </c>
      <c r="D1589" s="1" t="n">
        <v>4</v>
      </c>
      <c r="E1589" s="1" t="str">
        <f aca="false">VLOOKUP(C1589,Меню!$A$2:$C$24,2,FALSE())</f>
        <v>Пицца Сырный цыпленок</v>
      </c>
      <c r="F1589" s="1" t="n">
        <f aca="false">VLOOKUP(C1589,Меню!$A$2:$C$24,3,FALSE())</f>
        <v>555</v>
      </c>
      <c r="G1589" s="5" t="n">
        <f aca="false">VLOOKUP(B1589,Заказы!$A$2:$E$2995,2,FALSE())</f>
        <v>44069</v>
      </c>
      <c r="H1589" s="1" t="n">
        <f aca="false">VLOOKUP(B1589,Заказы!$A$2:$E$2995,3,FALSE())</f>
        <v>1663</v>
      </c>
      <c r="I1589" s="1" t="str">
        <f aca="false">VLOOKUP(H1589,Клиенты!$A$2:$E$1995,5,FALSE())</f>
        <v>г. Луховицы</v>
      </c>
      <c r="J1589" s="1" t="n">
        <f aca="false">VLOOKUP(B1589,Заказы!$A$2:$E$2995,4,FALSE())</f>
        <v>781</v>
      </c>
      <c r="K1589" s="1" t="str">
        <f aca="false">VLOOKUP(B1589,Заказы!$A$2:$E$2995,5,FALSE())</f>
        <v>Выполнено</v>
      </c>
      <c r="L1589" s="1" t="n">
        <f aca="false">D1589*F1589+J1589</f>
        <v>3001</v>
      </c>
      <c r="M1589" s="1" t="n">
        <f aca="false">IF(AND(E1589="Пицца Труслейка",I1589="г. Москва",K1589="Выполнено",G1589&gt;=DATE(2020,7,1),G1589&lt;DATE(2020,8,1)),L1589,0)</f>
        <v>0</v>
      </c>
    </row>
    <row r="1590" customFormat="false" ht="15" hidden="false" customHeight="true" outlineLevel="0" collapsed="false">
      <c r="A1590" s="1" t="n">
        <v>100025</v>
      </c>
      <c r="B1590" s="1" t="n">
        <v>51791</v>
      </c>
      <c r="C1590" s="1" t="n">
        <v>23</v>
      </c>
      <c r="D1590" s="1" t="n">
        <v>10</v>
      </c>
      <c r="E1590" s="1" t="str">
        <f aca="false">VLOOKUP(C1590,Меню!$A$2:$C$24,2,FALSE())</f>
        <v>Пицца с тунцом</v>
      </c>
      <c r="F1590" s="1" t="n">
        <f aca="false">VLOOKUP(C1590,Меню!$A$2:$C$24,3,FALSE())</f>
        <v>520</v>
      </c>
      <c r="G1590" s="5" t="n">
        <f aca="false">VLOOKUP(B1590,Заказы!$A$2:$E$2995,2,FALSE())</f>
        <v>44029</v>
      </c>
      <c r="H1590" s="1" t="n">
        <f aca="false">VLOOKUP(B1590,Заказы!$A$2:$E$2995,3,FALSE())</f>
        <v>1817</v>
      </c>
      <c r="I1590" s="1" t="str">
        <f aca="false">VLOOKUP(H1590,Клиенты!$A$2:$E$1995,5,FALSE())</f>
        <v>г. Тетюши</v>
      </c>
      <c r="J1590" s="1" t="n">
        <f aca="false">VLOOKUP(B1590,Заказы!$A$2:$E$2995,4,FALSE())</f>
        <v>0</v>
      </c>
      <c r="K1590" s="1" t="str">
        <f aca="false">VLOOKUP(B1590,Заказы!$A$2:$E$2995,5,FALSE())</f>
        <v>Не выполнено</v>
      </c>
      <c r="L1590" s="1" t="n">
        <f aca="false">D1590*F1590+J1590</f>
        <v>5200</v>
      </c>
      <c r="M1590" s="1" t="n">
        <f aca="false">IF(AND(E1590="Пицца Труслейка",I1590="г. Москва",K1590="Выполнено",G1590&gt;=DATE(2020,7,1),G1590&lt;DATE(2020,8,1)),L1590,0)</f>
        <v>0</v>
      </c>
    </row>
    <row r="1591" customFormat="false" ht="15" hidden="false" customHeight="true" outlineLevel="0" collapsed="false">
      <c r="A1591" s="1" t="n">
        <v>100750</v>
      </c>
      <c r="B1591" s="1" t="n">
        <v>50442</v>
      </c>
      <c r="C1591" s="1" t="n">
        <v>4</v>
      </c>
      <c r="D1591" s="1" t="n">
        <v>9</v>
      </c>
      <c r="E1591" s="1" t="str">
        <f aca="false">VLOOKUP(C1591,Меню!$A$2:$C$24,2,FALSE())</f>
        <v>Пицца Труслейка</v>
      </c>
      <c r="F1591" s="1" t="n">
        <f aca="false">VLOOKUP(C1591,Меню!$A$2:$C$24,3,FALSE())</f>
        <v>610</v>
      </c>
      <c r="G1591" s="5" t="n">
        <f aca="false">VLOOKUP(B1591,Заказы!$A$2:$E$2995,2,FALSE())</f>
        <v>43995</v>
      </c>
      <c r="H1591" s="1" t="n">
        <f aca="false">VLOOKUP(B1591,Заказы!$A$2:$E$2995,3,FALSE())</f>
        <v>814</v>
      </c>
      <c r="I1591" s="1" t="str">
        <f aca="false">VLOOKUP(H1591,Клиенты!$A$2:$E$1995,5,FALSE())</f>
        <v>г. Сурск</v>
      </c>
      <c r="J1591" s="1" t="n">
        <f aca="false">VLOOKUP(B1591,Заказы!$A$2:$E$2995,4,FALSE())</f>
        <v>219</v>
      </c>
      <c r="K1591" s="1" t="str">
        <f aca="false">VLOOKUP(B1591,Заказы!$A$2:$E$2995,5,FALSE())</f>
        <v>Выполнено</v>
      </c>
      <c r="L1591" s="1" t="n">
        <f aca="false">D1591*F1591+J1591</f>
        <v>5709</v>
      </c>
      <c r="M1591" s="1" t="n">
        <f aca="false">IF(AND(E1591="Пицца Труслейка",I1591="г. Москва",K1591="Выполнено",G1591&gt;=DATE(2020,7,1),G1591&lt;DATE(2020,8,1)),L1591,0)</f>
        <v>0</v>
      </c>
    </row>
    <row r="1592" customFormat="false" ht="15" hidden="false" customHeight="true" outlineLevel="0" collapsed="false">
      <c r="A1592" s="1" t="n">
        <v>101791</v>
      </c>
      <c r="B1592" s="1" t="n">
        <v>51800</v>
      </c>
      <c r="C1592" s="1" t="n">
        <v>1</v>
      </c>
      <c r="D1592" s="1" t="n">
        <v>9</v>
      </c>
      <c r="E1592" s="1" t="str">
        <f aca="false">VLOOKUP(C1592,Меню!$A$2:$C$24,2,FALSE())</f>
        <v>Пицца Гавайская</v>
      </c>
      <c r="F1592" s="1" t="n">
        <f aca="false">VLOOKUP(C1592,Меню!$A$2:$C$24,3,FALSE())</f>
        <v>545</v>
      </c>
      <c r="G1592" s="5" t="n">
        <f aca="false">VLOOKUP(B1592,Заказы!$A$2:$E$2995,2,FALSE())</f>
        <v>43995</v>
      </c>
      <c r="H1592" s="1" t="n">
        <f aca="false">VLOOKUP(B1592,Заказы!$A$2:$E$2995,3,FALSE())</f>
        <v>1812</v>
      </c>
      <c r="I1592" s="1" t="str">
        <f aca="false">VLOOKUP(H1592,Клиенты!$A$2:$E$1995,5,FALSE())</f>
        <v>г. Печоры</v>
      </c>
      <c r="J1592" s="1" t="n">
        <f aca="false">VLOOKUP(B1592,Заказы!$A$2:$E$2995,4,FALSE())</f>
        <v>790</v>
      </c>
      <c r="K1592" s="1" t="str">
        <f aca="false">VLOOKUP(B1592,Заказы!$A$2:$E$2995,5,FALSE())</f>
        <v>Выполнено</v>
      </c>
      <c r="L1592" s="1" t="n">
        <f aca="false">D1592*F1592+J1592</f>
        <v>5695</v>
      </c>
      <c r="M1592" s="1" t="n">
        <f aca="false">IF(AND(E1592="Пицца Труслейка",I1592="г. Москва",K1592="Выполнено",G1592&gt;=DATE(2020,7,1),G1592&lt;DATE(2020,8,1)),L1592,0)</f>
        <v>0</v>
      </c>
    </row>
    <row r="1593" customFormat="false" ht="15" hidden="false" customHeight="true" outlineLevel="0" collapsed="false">
      <c r="A1593" s="1" t="n">
        <v>101578</v>
      </c>
      <c r="B1593" s="1" t="n">
        <v>51991</v>
      </c>
      <c r="C1593" s="1" t="n">
        <v>15</v>
      </c>
      <c r="D1593" s="1" t="n">
        <v>10</v>
      </c>
      <c r="E1593" s="1" t="str">
        <f aca="false">VLOOKUP(C1593,Меню!$A$2:$C$24,2,FALSE())</f>
        <v>Пицца Тропиканка</v>
      </c>
      <c r="F1593" s="1" t="n">
        <f aca="false">VLOOKUP(C1593,Меню!$A$2:$C$24,3,FALSE())</f>
        <v>605</v>
      </c>
      <c r="G1593" s="5" t="n">
        <f aca="false">VLOOKUP(B1593,Заказы!$A$2:$E$2995,2,FALSE())</f>
        <v>44063</v>
      </c>
      <c r="H1593" s="1" t="n">
        <f aca="false">VLOOKUP(B1593,Заказы!$A$2:$E$2995,3,FALSE())</f>
        <v>1554</v>
      </c>
      <c r="I1593" s="1" t="str">
        <f aca="false">VLOOKUP(H1593,Клиенты!$A$2:$E$1995,5,FALSE())</f>
        <v>г. Урус-Мартан</v>
      </c>
      <c r="J1593" s="1" t="n">
        <f aca="false">VLOOKUP(B1593,Заказы!$A$2:$E$2995,4,FALSE())</f>
        <v>0</v>
      </c>
      <c r="K1593" s="1" t="str">
        <f aca="false">VLOOKUP(B1593,Заказы!$A$2:$E$2995,5,FALSE())</f>
        <v>Не выполнено</v>
      </c>
      <c r="L1593" s="1" t="n">
        <f aca="false">D1593*F1593+J1593</f>
        <v>6050</v>
      </c>
      <c r="M1593" s="1" t="n">
        <f aca="false">IF(AND(E1593="Пицца Труслейка",I1593="г. Москва",K1593="Выполнено",G1593&gt;=DATE(2020,7,1),G1593&lt;DATE(2020,8,1)),L1593,0)</f>
        <v>0</v>
      </c>
    </row>
    <row r="1594" customFormat="false" ht="15" hidden="false" customHeight="true" outlineLevel="0" collapsed="false">
      <c r="A1594" s="1" t="n">
        <v>101333</v>
      </c>
      <c r="B1594" s="1" t="n">
        <v>50931</v>
      </c>
      <c r="C1594" s="1" t="n">
        <v>20</v>
      </c>
      <c r="D1594" s="1" t="n">
        <v>8</v>
      </c>
      <c r="E1594" s="1" t="str">
        <f aca="false">VLOOKUP(C1594,Меню!$A$2:$C$24,2,FALSE())</f>
        <v>Пицца пиканте</v>
      </c>
      <c r="F1594" s="1" t="n">
        <f aca="false">VLOOKUP(C1594,Меню!$A$2:$C$24,3,FALSE())</f>
        <v>585</v>
      </c>
      <c r="G1594" s="5" t="n">
        <f aca="false">VLOOKUP(B1594,Заказы!$A$2:$E$2995,2,FALSE())</f>
        <v>43989</v>
      </c>
      <c r="H1594" s="1" t="n">
        <f aca="false">VLOOKUP(B1594,Заказы!$A$2:$E$2995,3,FALSE())</f>
        <v>857</v>
      </c>
      <c r="I1594" s="1" t="str">
        <f aca="false">VLOOKUP(H1594,Клиенты!$A$2:$E$1995,5,FALSE())</f>
        <v>г. Дорогобуж</v>
      </c>
      <c r="J1594" s="1" t="n">
        <f aca="false">VLOOKUP(B1594,Заказы!$A$2:$E$2995,4,FALSE())</f>
        <v>851</v>
      </c>
      <c r="K1594" s="1" t="str">
        <f aca="false">VLOOKUP(B1594,Заказы!$A$2:$E$2995,5,FALSE())</f>
        <v>Выполнено</v>
      </c>
      <c r="L1594" s="1" t="n">
        <f aca="false">D1594*F1594+J1594</f>
        <v>5531</v>
      </c>
      <c r="M1594" s="1" t="n">
        <f aca="false">IF(AND(E1594="Пицца Труслейка",I1594="г. Москва",K1594="Выполнено",G1594&gt;=DATE(2020,7,1),G1594&lt;DATE(2020,8,1)),L1594,0)</f>
        <v>0</v>
      </c>
    </row>
    <row r="1595" customFormat="false" ht="15" hidden="false" customHeight="true" outlineLevel="0" collapsed="false">
      <c r="A1595" s="1" t="n">
        <v>101968</v>
      </c>
      <c r="B1595" s="1" t="n">
        <v>50241</v>
      </c>
      <c r="C1595" s="1" t="n">
        <v>20</v>
      </c>
      <c r="D1595" s="1" t="n">
        <v>7</v>
      </c>
      <c r="E1595" s="1" t="str">
        <f aca="false">VLOOKUP(C1595,Меню!$A$2:$C$24,2,FALSE())</f>
        <v>Пицца пиканте</v>
      </c>
      <c r="F1595" s="1" t="n">
        <f aca="false">VLOOKUP(C1595,Меню!$A$2:$C$24,3,FALSE())</f>
        <v>585</v>
      </c>
      <c r="G1595" s="5" t="n">
        <f aca="false">VLOOKUP(B1595,Заказы!$A$2:$E$2995,2,FALSE())</f>
        <v>43988</v>
      </c>
      <c r="H1595" s="1" t="n">
        <f aca="false">VLOOKUP(B1595,Заказы!$A$2:$E$2995,3,FALSE())</f>
        <v>231</v>
      </c>
      <c r="I1595" s="1" t="str">
        <f aca="false">VLOOKUP(H1595,Клиенты!$A$2:$E$1995,5,FALSE())</f>
        <v>г. Печора</v>
      </c>
      <c r="J1595" s="1" t="n">
        <f aca="false">VLOOKUP(B1595,Заказы!$A$2:$E$2995,4,FALSE())</f>
        <v>182</v>
      </c>
      <c r="K1595" s="1" t="str">
        <f aca="false">VLOOKUP(B1595,Заказы!$A$2:$E$2995,5,FALSE())</f>
        <v>Выполнено</v>
      </c>
      <c r="L1595" s="1" t="n">
        <f aca="false">D1595*F1595+J1595</f>
        <v>4277</v>
      </c>
      <c r="M1595" s="1" t="n">
        <f aca="false">IF(AND(E1595="Пицца Труслейка",I1595="г. Москва",K1595="Выполнено",G1595&gt;=DATE(2020,7,1),G1595&lt;DATE(2020,8,1)),L1595,0)</f>
        <v>0</v>
      </c>
    </row>
    <row r="1596" customFormat="false" ht="15" hidden="false" customHeight="true" outlineLevel="0" collapsed="false">
      <c r="A1596" s="1" t="n">
        <v>100965</v>
      </c>
      <c r="B1596" s="1" t="n">
        <v>50828</v>
      </c>
      <c r="C1596" s="1" t="n">
        <v>15</v>
      </c>
      <c r="D1596" s="1" t="n">
        <v>9</v>
      </c>
      <c r="E1596" s="1" t="str">
        <f aca="false">VLOOKUP(C1596,Меню!$A$2:$C$24,2,FALSE())</f>
        <v>Пицца Тропиканка</v>
      </c>
      <c r="F1596" s="1" t="n">
        <f aca="false">VLOOKUP(C1596,Меню!$A$2:$C$24,3,FALSE())</f>
        <v>605</v>
      </c>
      <c r="G1596" s="5" t="n">
        <f aca="false">VLOOKUP(B1596,Заказы!$A$2:$E$2995,2,FALSE())</f>
        <v>44006</v>
      </c>
      <c r="H1596" s="1" t="n">
        <f aca="false">VLOOKUP(B1596,Заказы!$A$2:$E$2995,3,FALSE())</f>
        <v>1033</v>
      </c>
      <c r="I1596" s="1" t="str">
        <f aca="false">VLOOKUP(H1596,Клиенты!$A$2:$E$1995,5,FALSE())</f>
        <v>г. Вязьма</v>
      </c>
      <c r="J1596" s="1" t="n">
        <f aca="false">VLOOKUP(B1596,Заказы!$A$2:$E$2995,4,FALSE())</f>
        <v>0</v>
      </c>
      <c r="K1596" s="1" t="str">
        <f aca="false">VLOOKUP(B1596,Заказы!$A$2:$E$2995,5,FALSE())</f>
        <v>Не выполнено</v>
      </c>
      <c r="L1596" s="1" t="n">
        <f aca="false">D1596*F1596+J1596</f>
        <v>5445</v>
      </c>
      <c r="M1596" s="1" t="n">
        <f aca="false">IF(AND(E1596="Пицца Труслейка",I1596="г. Москва",K1596="Выполнено",G1596&gt;=DATE(2020,7,1),G1596&lt;DATE(2020,8,1)),L1596,0)</f>
        <v>0</v>
      </c>
    </row>
    <row r="1597" customFormat="false" ht="15" hidden="false" customHeight="true" outlineLevel="0" collapsed="false">
      <c r="A1597" s="1" t="n">
        <v>100866</v>
      </c>
      <c r="B1597" s="1" t="n">
        <v>50671</v>
      </c>
      <c r="C1597" s="1" t="n">
        <v>19</v>
      </c>
      <c r="D1597" s="1" t="n">
        <v>5</v>
      </c>
      <c r="E1597" s="1" t="str">
        <f aca="false">VLOOKUP(C1597,Меню!$A$2:$C$24,2,FALSE())</f>
        <v>Пицца Цезарь</v>
      </c>
      <c r="F1597" s="1" t="n">
        <f aca="false">VLOOKUP(C1597,Меню!$A$2:$C$24,3,FALSE())</f>
        <v>630</v>
      </c>
      <c r="G1597" s="5" t="n">
        <f aca="false">VLOOKUP(B1597,Заказы!$A$2:$E$2995,2,FALSE())</f>
        <v>44072</v>
      </c>
      <c r="H1597" s="1" t="n">
        <f aca="false">VLOOKUP(B1597,Заказы!$A$2:$E$2995,3,FALSE())</f>
        <v>556</v>
      </c>
      <c r="I1597" s="1" t="str">
        <f aca="false">VLOOKUP(H1597,Клиенты!$A$2:$E$1995,5,FALSE())</f>
        <v>г. Рыбинск</v>
      </c>
      <c r="J1597" s="1" t="n">
        <f aca="false">VLOOKUP(B1597,Заказы!$A$2:$E$2995,4,FALSE())</f>
        <v>0</v>
      </c>
      <c r="K1597" s="1" t="str">
        <f aca="false">VLOOKUP(B1597,Заказы!$A$2:$E$2995,5,FALSE())</f>
        <v>Не выполнено</v>
      </c>
      <c r="L1597" s="1" t="n">
        <f aca="false">D1597*F1597+J1597</f>
        <v>3150</v>
      </c>
      <c r="M1597" s="1" t="n">
        <f aca="false">IF(AND(E1597="Пицца Труслейка",I1597="г. Москва",K1597="Выполнено",G1597&gt;=DATE(2020,7,1),G1597&lt;DATE(2020,8,1)),L1597,0)</f>
        <v>0</v>
      </c>
    </row>
    <row r="1598" customFormat="false" ht="15" hidden="false" customHeight="true" outlineLevel="0" collapsed="false">
      <c r="A1598" s="1" t="n">
        <v>100638</v>
      </c>
      <c r="B1598" s="1" t="n">
        <v>50892</v>
      </c>
      <c r="C1598" s="1" t="n">
        <v>16</v>
      </c>
      <c r="D1598" s="1" t="n">
        <v>8</v>
      </c>
      <c r="E1598" s="1" t="str">
        <f aca="false">VLOOKUP(C1598,Меню!$A$2:$C$24,2,FALSE())</f>
        <v>Пицца Флорида</v>
      </c>
      <c r="F1598" s="1" t="n">
        <f aca="false">VLOOKUP(C1598,Меню!$A$2:$C$24,3,FALSE())</f>
        <v>535</v>
      </c>
      <c r="G1598" s="5" t="n">
        <f aca="false">VLOOKUP(B1598,Заказы!$A$2:$E$2995,2,FALSE())</f>
        <v>44065</v>
      </c>
      <c r="H1598" s="1" t="n">
        <f aca="false">VLOOKUP(B1598,Заказы!$A$2:$E$2995,3,FALSE())</f>
        <v>332</v>
      </c>
      <c r="I1598" s="1" t="str">
        <f aca="false">VLOOKUP(H1598,Клиенты!$A$2:$E$1995,5,FALSE())</f>
        <v>г. Сясьстрой</v>
      </c>
      <c r="J1598" s="1" t="n">
        <f aca="false">VLOOKUP(B1598,Заказы!$A$2:$E$2995,4,FALSE())</f>
        <v>0</v>
      </c>
      <c r="K1598" s="1" t="str">
        <f aca="false">VLOOKUP(B1598,Заказы!$A$2:$E$2995,5,FALSE())</f>
        <v>Не выполнено</v>
      </c>
      <c r="L1598" s="1" t="n">
        <f aca="false">D1598*F1598+J1598</f>
        <v>4280</v>
      </c>
      <c r="M1598" s="1" t="n">
        <f aca="false">IF(AND(E1598="Пицца Труслейка",I1598="г. Москва",K1598="Выполнено",G1598&gt;=DATE(2020,7,1),G1598&lt;DATE(2020,8,1)),L1598,0)</f>
        <v>0</v>
      </c>
    </row>
    <row r="1599" customFormat="false" ht="15" hidden="false" customHeight="true" outlineLevel="0" collapsed="false">
      <c r="A1599" s="1" t="n">
        <v>100072</v>
      </c>
      <c r="B1599" s="1" t="n">
        <v>50556</v>
      </c>
      <c r="C1599" s="1" t="n">
        <v>6</v>
      </c>
      <c r="D1599" s="1" t="n">
        <v>4</v>
      </c>
      <c r="E1599" s="1" t="str">
        <f aca="false">VLOOKUP(C1599,Меню!$A$2:$C$24,2,FALSE())</f>
        <v>Пицца Капричиоза</v>
      </c>
      <c r="F1599" s="1" t="n">
        <f aca="false">VLOOKUP(C1599,Меню!$A$2:$C$24,3,FALSE())</f>
        <v>570</v>
      </c>
      <c r="G1599" s="5" t="n">
        <f aca="false">VLOOKUP(B1599,Заказы!$A$2:$E$2995,2,FALSE())</f>
        <v>44055</v>
      </c>
      <c r="H1599" s="1" t="n">
        <f aca="false">VLOOKUP(B1599,Заказы!$A$2:$E$2995,3,FALSE())</f>
        <v>1318</v>
      </c>
      <c r="I1599" s="1" t="str">
        <f aca="false">VLOOKUP(H1599,Клиенты!$A$2:$E$1995,5,FALSE())</f>
        <v>г. Богородицк</v>
      </c>
      <c r="J1599" s="1" t="n">
        <f aca="false">VLOOKUP(B1599,Заказы!$A$2:$E$2995,4,FALSE())</f>
        <v>0</v>
      </c>
      <c r="K1599" s="1" t="str">
        <f aca="false">VLOOKUP(B1599,Заказы!$A$2:$E$2995,5,FALSE())</f>
        <v>Не выполнено</v>
      </c>
      <c r="L1599" s="1" t="n">
        <f aca="false">D1599*F1599+J1599</f>
        <v>2280</v>
      </c>
      <c r="M1599" s="1" t="n">
        <f aca="false">IF(AND(E1599="Пицца Труслейка",I1599="г. Москва",K1599="Выполнено",G1599&gt;=DATE(2020,7,1),G1599&lt;DATE(2020,8,1)),L1599,0)</f>
        <v>0</v>
      </c>
    </row>
    <row r="1600" customFormat="false" ht="15" hidden="false" customHeight="true" outlineLevel="0" collapsed="false">
      <c r="A1600" s="1" t="n">
        <v>101833</v>
      </c>
      <c r="B1600" s="1" t="n">
        <v>51107</v>
      </c>
      <c r="C1600" s="1" t="n">
        <v>12</v>
      </c>
      <c r="D1600" s="1" t="n">
        <v>10</v>
      </c>
      <c r="E1600" s="1" t="str">
        <f aca="false">VLOOKUP(C1600,Меню!$A$2:$C$24,2,FALSE())</f>
        <v>Пицца Салями с трюфелем</v>
      </c>
      <c r="F1600" s="1" t="n">
        <f aca="false">VLOOKUP(C1600,Меню!$A$2:$C$24,3,FALSE())</f>
        <v>525</v>
      </c>
      <c r="G1600" s="5" t="n">
        <f aca="false">VLOOKUP(B1600,Заказы!$A$2:$E$2995,2,FALSE())</f>
        <v>44048</v>
      </c>
      <c r="H1600" s="1" t="n">
        <f aca="false">VLOOKUP(B1600,Заказы!$A$2:$E$2995,3,FALSE())</f>
        <v>1735</v>
      </c>
      <c r="I1600" s="1" t="str">
        <f aca="false">VLOOKUP(H1600,Клиенты!$A$2:$E$1995,5,FALSE())</f>
        <v>г. Темников</v>
      </c>
      <c r="J1600" s="1" t="n">
        <f aca="false">VLOOKUP(B1600,Заказы!$A$2:$E$2995,4,FALSE())</f>
        <v>356</v>
      </c>
      <c r="K1600" s="1" t="str">
        <f aca="false">VLOOKUP(B1600,Заказы!$A$2:$E$2995,5,FALSE())</f>
        <v>Выполнено</v>
      </c>
      <c r="L1600" s="1" t="n">
        <f aca="false">D1600*F1600+J1600</f>
        <v>5606</v>
      </c>
      <c r="M1600" s="1" t="n">
        <f aca="false">IF(AND(E1600="Пицца Труслейка",I1600="г. Москва",K1600="Выполнено",G1600&gt;=DATE(2020,7,1),G1600&lt;DATE(2020,8,1)),L1600,0)</f>
        <v>0</v>
      </c>
    </row>
    <row r="1601" customFormat="false" ht="15" hidden="false" customHeight="true" outlineLevel="0" collapsed="false">
      <c r="A1601" s="1" t="n">
        <v>101975</v>
      </c>
      <c r="B1601" s="1" t="n">
        <v>50850</v>
      </c>
      <c r="C1601" s="1" t="n">
        <v>4</v>
      </c>
      <c r="D1601" s="1" t="n">
        <v>2</v>
      </c>
      <c r="E1601" s="1" t="str">
        <f aca="false">VLOOKUP(C1601,Меню!$A$2:$C$24,2,FALSE())</f>
        <v>Пицца Труслейка</v>
      </c>
      <c r="F1601" s="1" t="n">
        <f aca="false">VLOOKUP(C1601,Меню!$A$2:$C$24,3,FALSE())</f>
        <v>610</v>
      </c>
      <c r="G1601" s="5" t="n">
        <f aca="false">VLOOKUP(B1601,Заказы!$A$2:$E$2995,2,FALSE())</f>
        <v>44041</v>
      </c>
      <c r="H1601" s="1" t="n">
        <f aca="false">VLOOKUP(B1601,Заказы!$A$2:$E$2995,3,FALSE())</f>
        <v>452</v>
      </c>
      <c r="I1601" s="1" t="str">
        <f aca="false">VLOOKUP(H1601,Клиенты!$A$2:$E$1995,5,FALSE())</f>
        <v>г. Усть-Катав</v>
      </c>
      <c r="J1601" s="1" t="n">
        <f aca="false">VLOOKUP(B1601,Заказы!$A$2:$E$2995,4,FALSE())</f>
        <v>428</v>
      </c>
      <c r="K1601" s="1" t="str">
        <f aca="false">VLOOKUP(B1601,Заказы!$A$2:$E$2995,5,FALSE())</f>
        <v>Выполнено</v>
      </c>
      <c r="L1601" s="1" t="n">
        <f aca="false">D1601*F1601+J1601</f>
        <v>1648</v>
      </c>
      <c r="M1601" s="1" t="n">
        <f aca="false">IF(AND(E1601="Пицца Труслейка",I1601="г. Москва",K1601="Выполнено",G1601&gt;=DATE(2020,7,1),G1601&lt;DATE(2020,8,1)),L1601,0)</f>
        <v>0</v>
      </c>
    </row>
    <row r="1602" customFormat="false" ht="15" hidden="false" customHeight="true" outlineLevel="0" collapsed="false">
      <c r="A1602" s="1" t="n">
        <v>100030</v>
      </c>
      <c r="B1602" s="1" t="n">
        <v>50217</v>
      </c>
      <c r="C1602" s="1" t="n">
        <v>15</v>
      </c>
      <c r="D1602" s="1" t="n">
        <v>3</v>
      </c>
      <c r="E1602" s="1" t="str">
        <f aca="false">VLOOKUP(C1602,Меню!$A$2:$C$24,2,FALSE())</f>
        <v>Пицца Тропиканка</v>
      </c>
      <c r="F1602" s="1" t="n">
        <f aca="false">VLOOKUP(C1602,Меню!$A$2:$C$24,3,FALSE())</f>
        <v>605</v>
      </c>
      <c r="G1602" s="5" t="n">
        <f aca="false">VLOOKUP(B1602,Заказы!$A$2:$E$2995,2,FALSE())</f>
        <v>44025</v>
      </c>
      <c r="H1602" s="1" t="n">
        <f aca="false">VLOOKUP(B1602,Заказы!$A$2:$E$2995,3,FALSE())</f>
        <v>988</v>
      </c>
      <c r="I1602" s="1" t="str">
        <f aca="false">VLOOKUP(H1602,Клиенты!$A$2:$E$1995,5,FALSE())</f>
        <v>г. Каргат</v>
      </c>
      <c r="J1602" s="1" t="n">
        <f aca="false">VLOOKUP(B1602,Заказы!$A$2:$E$2995,4,FALSE())</f>
        <v>0</v>
      </c>
      <c r="K1602" s="1" t="str">
        <f aca="false">VLOOKUP(B1602,Заказы!$A$2:$E$2995,5,FALSE())</f>
        <v>Не выполнено</v>
      </c>
      <c r="L1602" s="1" t="n">
        <f aca="false">D1602*F1602+J1602</f>
        <v>1815</v>
      </c>
      <c r="M1602" s="1" t="n">
        <f aca="false">IF(AND(E1602="Пицца Труслейка",I1602="г. Москва",K1602="Выполнено",G1602&gt;=DATE(2020,7,1),G1602&lt;DATE(2020,8,1)),L1602,0)</f>
        <v>0</v>
      </c>
    </row>
    <row r="1603" customFormat="false" ht="15" hidden="false" customHeight="true" outlineLevel="0" collapsed="false">
      <c r="A1603" s="1" t="n">
        <v>101001</v>
      </c>
      <c r="B1603" s="1" t="n">
        <v>51109</v>
      </c>
      <c r="C1603" s="1" t="n">
        <v>20</v>
      </c>
      <c r="D1603" s="1" t="n">
        <v>3</v>
      </c>
      <c r="E1603" s="1" t="str">
        <f aca="false">VLOOKUP(C1603,Меню!$A$2:$C$24,2,FALSE())</f>
        <v>Пицца пиканте</v>
      </c>
      <c r="F1603" s="1" t="n">
        <f aca="false">VLOOKUP(C1603,Меню!$A$2:$C$24,3,FALSE())</f>
        <v>585</v>
      </c>
      <c r="G1603" s="5" t="n">
        <f aca="false">VLOOKUP(B1603,Заказы!$A$2:$E$2995,2,FALSE())</f>
        <v>44045</v>
      </c>
      <c r="H1603" s="1" t="n">
        <f aca="false">VLOOKUP(B1603,Заказы!$A$2:$E$2995,3,FALSE())</f>
        <v>1368</v>
      </c>
      <c r="I1603" s="1" t="str">
        <f aca="false">VLOOKUP(H1603,Клиенты!$A$2:$E$1995,5,FALSE())</f>
        <v>г. Черепаново</v>
      </c>
      <c r="J1603" s="1" t="n">
        <f aca="false">VLOOKUP(B1603,Заказы!$A$2:$E$2995,4,FALSE())</f>
        <v>0</v>
      </c>
      <c r="K1603" s="1" t="str">
        <f aca="false">VLOOKUP(B1603,Заказы!$A$2:$E$2995,5,FALSE())</f>
        <v>Не выполнено</v>
      </c>
      <c r="L1603" s="1" t="n">
        <f aca="false">D1603*F1603+J1603</f>
        <v>1755</v>
      </c>
      <c r="M1603" s="1" t="n">
        <f aca="false">IF(AND(E1603="Пицца Труслейка",I1603="г. Москва",K1603="Выполнено",G1603&gt;=DATE(2020,7,1),G1603&lt;DATE(2020,8,1)),L1603,0)</f>
        <v>0</v>
      </c>
    </row>
    <row r="1604" customFormat="false" ht="15" hidden="false" customHeight="true" outlineLevel="0" collapsed="false">
      <c r="A1604" s="1" t="n">
        <v>101170</v>
      </c>
      <c r="B1604" s="1" t="n">
        <v>50741</v>
      </c>
      <c r="C1604" s="1" t="n">
        <v>7</v>
      </c>
      <c r="D1604" s="1" t="n">
        <v>9</v>
      </c>
      <c r="E1604" s="1" t="str">
        <f aca="false">VLOOKUP(C1604,Меню!$A$2:$C$24,2,FALSE())</f>
        <v>Пицца Карбонара</v>
      </c>
      <c r="F1604" s="1" t="n">
        <f aca="false">VLOOKUP(C1604,Меню!$A$2:$C$24,3,FALSE())</f>
        <v>625</v>
      </c>
      <c r="G1604" s="5" t="n">
        <f aca="false">VLOOKUP(B1604,Заказы!$A$2:$E$2995,2,FALSE())</f>
        <v>43996</v>
      </c>
      <c r="H1604" s="1" t="n">
        <f aca="false">VLOOKUP(B1604,Заказы!$A$2:$E$2995,3,FALSE())</f>
        <v>1282</v>
      </c>
      <c r="I1604" s="1" t="str">
        <f aca="false">VLOOKUP(H1604,Клиенты!$A$2:$E$1995,5,FALSE())</f>
        <v>г. Краснослободск</v>
      </c>
      <c r="J1604" s="1" t="n">
        <f aca="false">VLOOKUP(B1604,Заказы!$A$2:$E$2995,4,FALSE())</f>
        <v>0</v>
      </c>
      <c r="K1604" s="1" t="str">
        <f aca="false">VLOOKUP(B1604,Заказы!$A$2:$E$2995,5,FALSE())</f>
        <v>Не выполнено</v>
      </c>
      <c r="L1604" s="1" t="n">
        <f aca="false">D1604*F1604+J1604</f>
        <v>5625</v>
      </c>
      <c r="M1604" s="1" t="n">
        <f aca="false">IF(AND(E1604="Пицца Труслейка",I1604="г. Москва",K1604="Выполнено",G1604&gt;=DATE(2020,7,1),G1604&lt;DATE(2020,8,1)),L1604,0)</f>
        <v>0</v>
      </c>
    </row>
    <row r="1605" customFormat="false" ht="15" hidden="false" customHeight="true" outlineLevel="0" collapsed="false">
      <c r="A1605" s="1" t="n">
        <v>100997</v>
      </c>
      <c r="B1605" s="1" t="n">
        <v>50308</v>
      </c>
      <c r="C1605" s="1" t="n">
        <v>15</v>
      </c>
      <c r="D1605" s="1" t="n">
        <v>6</v>
      </c>
      <c r="E1605" s="1" t="str">
        <f aca="false">VLOOKUP(C1605,Меню!$A$2:$C$24,2,FALSE())</f>
        <v>Пицца Тропиканка</v>
      </c>
      <c r="F1605" s="1" t="n">
        <f aca="false">VLOOKUP(C1605,Меню!$A$2:$C$24,3,FALSE())</f>
        <v>605</v>
      </c>
      <c r="G1605" s="5" t="n">
        <f aca="false">VLOOKUP(B1605,Заказы!$A$2:$E$2995,2,FALSE())</f>
        <v>44044</v>
      </c>
      <c r="H1605" s="1" t="n">
        <f aca="false">VLOOKUP(B1605,Заказы!$A$2:$E$2995,3,FALSE())</f>
        <v>925</v>
      </c>
      <c r="I1605" s="1" t="str">
        <f aca="false">VLOOKUP(H1605,Клиенты!$A$2:$E$1995,5,FALSE())</f>
        <v>г. Покачи</v>
      </c>
      <c r="J1605" s="1" t="n">
        <f aca="false">VLOOKUP(B1605,Заказы!$A$2:$E$2995,4,FALSE())</f>
        <v>794</v>
      </c>
      <c r="K1605" s="1" t="str">
        <f aca="false">VLOOKUP(B1605,Заказы!$A$2:$E$2995,5,FALSE())</f>
        <v>Выполнено</v>
      </c>
      <c r="L1605" s="1" t="n">
        <f aca="false">D1605*F1605+J1605</f>
        <v>4424</v>
      </c>
      <c r="M1605" s="1" t="n">
        <f aca="false">IF(AND(E1605="Пицца Труслейка",I1605="г. Москва",K1605="Выполнено",G1605&gt;=DATE(2020,7,1),G1605&lt;DATE(2020,8,1)),L1605,0)</f>
        <v>0</v>
      </c>
    </row>
    <row r="1606" customFormat="false" ht="15" hidden="false" customHeight="true" outlineLevel="0" collapsed="false">
      <c r="A1606" s="1" t="n">
        <v>100800</v>
      </c>
      <c r="B1606" s="1" t="n">
        <v>50268</v>
      </c>
      <c r="C1606" s="1" t="n">
        <v>17</v>
      </c>
      <c r="D1606" s="1" t="n">
        <v>2</v>
      </c>
      <c r="E1606" s="1" t="str">
        <f aca="false">VLOOKUP(C1606,Меню!$A$2:$C$24,2,FALSE())</f>
        <v>Пицца Френч Фрайз</v>
      </c>
      <c r="F1606" s="1" t="n">
        <f aca="false">VLOOKUP(C1606,Меню!$A$2:$C$24,3,FALSE())</f>
        <v>515</v>
      </c>
      <c r="G1606" s="5" t="n">
        <f aca="false">VLOOKUP(B1606,Заказы!$A$2:$E$2995,2,FALSE())</f>
        <v>44034</v>
      </c>
      <c r="H1606" s="1" t="n">
        <f aca="false">VLOOKUP(B1606,Заказы!$A$2:$E$2995,3,FALSE())</f>
        <v>580</v>
      </c>
      <c r="I1606" s="1" t="str">
        <f aca="false">VLOOKUP(H1606,Клиенты!$A$2:$E$1995,5,FALSE())</f>
        <v>г. Москва</v>
      </c>
      <c r="J1606" s="1" t="n">
        <f aca="false">VLOOKUP(B1606,Заказы!$A$2:$E$2995,4,FALSE())</f>
        <v>447</v>
      </c>
      <c r="K1606" s="1" t="str">
        <f aca="false">VLOOKUP(B1606,Заказы!$A$2:$E$2995,5,FALSE())</f>
        <v>Выполнено</v>
      </c>
      <c r="L1606" s="1" t="n">
        <f aca="false">D1606*F1606+J1606</f>
        <v>1477</v>
      </c>
      <c r="M1606" s="1" t="n">
        <f aca="false">IF(AND(E1606="Пицца Труслейка",I1606="г. Москва",K1606="Выполнено",G1606&gt;=DATE(2020,7,1),G1606&lt;DATE(2020,8,1)),L1606,0)</f>
        <v>0</v>
      </c>
    </row>
    <row r="1607" customFormat="false" ht="15" hidden="false" customHeight="true" outlineLevel="0" collapsed="false">
      <c r="A1607" s="1" t="n">
        <v>100809</v>
      </c>
      <c r="B1607" s="1" t="n">
        <v>51385</v>
      </c>
      <c r="C1607" s="1" t="n">
        <v>12</v>
      </c>
      <c r="D1607" s="1" t="n">
        <v>10</v>
      </c>
      <c r="E1607" s="1" t="str">
        <f aca="false">VLOOKUP(C1607,Меню!$A$2:$C$24,2,FALSE())</f>
        <v>Пицца Салями с трюфелем</v>
      </c>
      <c r="F1607" s="1" t="n">
        <f aca="false">VLOOKUP(C1607,Меню!$A$2:$C$24,3,FALSE())</f>
        <v>525</v>
      </c>
      <c r="G1607" s="5" t="n">
        <f aca="false">VLOOKUP(B1607,Заказы!$A$2:$E$2995,2,FALSE())</f>
        <v>44058</v>
      </c>
      <c r="H1607" s="1" t="n">
        <f aca="false">VLOOKUP(B1607,Заказы!$A$2:$E$2995,3,FALSE())</f>
        <v>351</v>
      </c>
      <c r="I1607" s="1" t="str">
        <f aca="false">VLOOKUP(H1607,Клиенты!$A$2:$E$1995,5,FALSE())</f>
        <v>г. Павловск</v>
      </c>
      <c r="J1607" s="1" t="n">
        <f aca="false">VLOOKUP(B1607,Заказы!$A$2:$E$2995,4,FALSE())</f>
        <v>0</v>
      </c>
      <c r="K1607" s="1" t="str">
        <f aca="false">VLOOKUP(B1607,Заказы!$A$2:$E$2995,5,FALSE())</f>
        <v>Не выполнено</v>
      </c>
      <c r="L1607" s="1" t="n">
        <f aca="false">D1607*F1607+J1607</f>
        <v>5250</v>
      </c>
      <c r="M1607" s="1" t="n">
        <f aca="false">IF(AND(E1607="Пицца Труслейка",I1607="г. Москва",K1607="Выполнено",G1607&gt;=DATE(2020,7,1),G1607&lt;DATE(2020,8,1)),L1607,0)</f>
        <v>0</v>
      </c>
    </row>
    <row r="1608" customFormat="false" ht="15" hidden="false" customHeight="true" outlineLevel="0" collapsed="false">
      <c r="A1608" s="1" t="n">
        <v>101644</v>
      </c>
      <c r="B1608" s="1" t="n">
        <v>51090</v>
      </c>
      <c r="C1608" s="1" t="n">
        <v>13</v>
      </c>
      <c r="D1608" s="1" t="n">
        <v>6</v>
      </c>
      <c r="E1608" s="1" t="str">
        <f aca="false">VLOOKUP(C1608,Меню!$A$2:$C$24,2,FALSE())</f>
        <v>Пицца Сырная</v>
      </c>
      <c r="F1608" s="1" t="n">
        <f aca="false">VLOOKUP(C1608,Меню!$A$2:$C$24,3,FALSE())</f>
        <v>635</v>
      </c>
      <c r="G1608" s="5" t="n">
        <f aca="false">VLOOKUP(B1608,Заказы!$A$2:$E$2995,2,FALSE())</f>
        <v>44054</v>
      </c>
      <c r="H1608" s="1" t="n">
        <f aca="false">VLOOKUP(B1608,Заказы!$A$2:$E$2995,3,FALSE())</f>
        <v>968</v>
      </c>
      <c r="I1608" s="1" t="str">
        <f aca="false">VLOOKUP(H1608,Клиенты!$A$2:$E$1995,5,FALSE())</f>
        <v>г. Нерехта</v>
      </c>
      <c r="J1608" s="1" t="n">
        <f aca="false">VLOOKUP(B1608,Заказы!$A$2:$E$2995,4,FALSE())</f>
        <v>675</v>
      </c>
      <c r="K1608" s="1" t="str">
        <f aca="false">VLOOKUP(B1608,Заказы!$A$2:$E$2995,5,FALSE())</f>
        <v>Выполнено</v>
      </c>
      <c r="L1608" s="1" t="n">
        <f aca="false">D1608*F1608+J1608</f>
        <v>4485</v>
      </c>
      <c r="M1608" s="1" t="n">
        <f aca="false">IF(AND(E1608="Пицца Труслейка",I1608="г. Москва",K1608="Выполнено",G1608&gt;=DATE(2020,7,1),G1608&lt;DATE(2020,8,1)),L1608,0)</f>
        <v>0</v>
      </c>
    </row>
    <row r="1609" customFormat="false" ht="15" hidden="false" customHeight="true" outlineLevel="0" collapsed="false">
      <c r="A1609" s="1" t="n">
        <v>101621</v>
      </c>
      <c r="B1609" s="1" t="n">
        <v>50842</v>
      </c>
      <c r="C1609" s="1" t="n">
        <v>19</v>
      </c>
      <c r="D1609" s="1" t="n">
        <v>6</v>
      </c>
      <c r="E1609" s="1" t="str">
        <f aca="false">VLOOKUP(C1609,Меню!$A$2:$C$24,2,FALSE())</f>
        <v>Пицца Цезарь</v>
      </c>
      <c r="F1609" s="1" t="n">
        <f aca="false">VLOOKUP(C1609,Меню!$A$2:$C$24,3,FALSE())</f>
        <v>630</v>
      </c>
      <c r="G1609" s="5" t="n">
        <f aca="false">VLOOKUP(B1609,Заказы!$A$2:$E$2995,2,FALSE())</f>
        <v>43989</v>
      </c>
      <c r="H1609" s="1" t="n">
        <f aca="false">VLOOKUP(B1609,Заказы!$A$2:$E$2995,3,FALSE())</f>
        <v>823</v>
      </c>
      <c r="I1609" s="1" t="str">
        <f aca="false">VLOOKUP(H1609,Клиенты!$A$2:$E$1995,5,FALSE())</f>
        <v>г. Самара</v>
      </c>
      <c r="J1609" s="1" t="n">
        <f aca="false">VLOOKUP(B1609,Заказы!$A$2:$E$2995,4,FALSE())</f>
        <v>0</v>
      </c>
      <c r="K1609" s="1" t="str">
        <f aca="false">VLOOKUP(B1609,Заказы!$A$2:$E$2995,5,FALSE())</f>
        <v>Не выполнено</v>
      </c>
      <c r="L1609" s="1" t="n">
        <f aca="false">D1609*F1609+J1609</f>
        <v>3780</v>
      </c>
      <c r="M1609" s="1" t="n">
        <f aca="false">IF(AND(E1609="Пицца Труслейка",I1609="г. Москва",K1609="Выполнено",G1609&gt;=DATE(2020,7,1),G1609&lt;DATE(2020,8,1)),L1609,0)</f>
        <v>0</v>
      </c>
    </row>
    <row r="1610" customFormat="false" ht="15" hidden="false" customHeight="true" outlineLevel="0" collapsed="false">
      <c r="A1610" s="1" t="n">
        <v>101213</v>
      </c>
      <c r="B1610" s="1" t="n">
        <v>51916</v>
      </c>
      <c r="C1610" s="1" t="n">
        <v>14</v>
      </c>
      <c r="D1610" s="1" t="n">
        <v>6</v>
      </c>
      <c r="E1610" s="1" t="str">
        <f aca="false">VLOOKUP(C1610,Меню!$A$2:$C$24,2,FALSE())</f>
        <v>Пицца Сырный цыпленок</v>
      </c>
      <c r="F1610" s="1" t="n">
        <f aca="false">VLOOKUP(C1610,Меню!$A$2:$C$24,3,FALSE())</f>
        <v>555</v>
      </c>
      <c r="G1610" s="5" t="n">
        <f aca="false">VLOOKUP(B1610,Заказы!$A$2:$E$2995,2,FALSE())</f>
        <v>44034</v>
      </c>
      <c r="H1610" s="1" t="n">
        <f aca="false">VLOOKUP(B1610,Заказы!$A$2:$E$2995,3,FALSE())</f>
        <v>355</v>
      </c>
      <c r="I1610" s="1" t="str">
        <f aca="false">VLOOKUP(H1610,Клиенты!$A$2:$E$1995,5,FALSE())</f>
        <v>г. Подольск</v>
      </c>
      <c r="J1610" s="1" t="n">
        <f aca="false">VLOOKUP(B1610,Заказы!$A$2:$E$2995,4,FALSE())</f>
        <v>101</v>
      </c>
      <c r="K1610" s="1" t="str">
        <f aca="false">VLOOKUP(B1610,Заказы!$A$2:$E$2995,5,FALSE())</f>
        <v>Выполнено</v>
      </c>
      <c r="L1610" s="1" t="n">
        <f aca="false">D1610*F1610+J1610</f>
        <v>3431</v>
      </c>
      <c r="M1610" s="1" t="n">
        <f aca="false">IF(AND(E1610="Пицца Труслейка",I1610="г. Москва",K1610="Выполнено",G1610&gt;=DATE(2020,7,1),G1610&lt;DATE(2020,8,1)),L1610,0)</f>
        <v>0</v>
      </c>
    </row>
    <row r="1611" customFormat="false" ht="15" hidden="false" customHeight="true" outlineLevel="0" collapsed="false">
      <c r="A1611" s="1" t="n">
        <v>101951</v>
      </c>
      <c r="B1611" s="1" t="n">
        <v>51869</v>
      </c>
      <c r="C1611" s="1" t="n">
        <v>4</v>
      </c>
      <c r="D1611" s="1" t="n">
        <v>5</v>
      </c>
      <c r="E1611" s="1" t="str">
        <f aca="false">VLOOKUP(C1611,Меню!$A$2:$C$24,2,FALSE())</f>
        <v>Пицца Труслейка</v>
      </c>
      <c r="F1611" s="1" t="n">
        <f aca="false">VLOOKUP(C1611,Меню!$A$2:$C$24,3,FALSE())</f>
        <v>610</v>
      </c>
      <c r="G1611" s="5" t="n">
        <f aca="false">VLOOKUP(B1611,Заказы!$A$2:$E$2995,2,FALSE())</f>
        <v>43987</v>
      </c>
      <c r="H1611" s="1" t="n">
        <f aca="false">VLOOKUP(B1611,Заказы!$A$2:$E$2995,3,FALSE())</f>
        <v>1674</v>
      </c>
      <c r="I1611" s="1" t="str">
        <f aca="false">VLOOKUP(H1611,Клиенты!$A$2:$E$1995,5,FALSE())</f>
        <v>г. Кашира</v>
      </c>
      <c r="J1611" s="1" t="n">
        <f aca="false">VLOOKUP(B1611,Заказы!$A$2:$E$2995,4,FALSE())</f>
        <v>560</v>
      </c>
      <c r="K1611" s="1" t="str">
        <f aca="false">VLOOKUP(B1611,Заказы!$A$2:$E$2995,5,FALSE())</f>
        <v>Выполнено</v>
      </c>
      <c r="L1611" s="1" t="n">
        <f aca="false">D1611*F1611+J1611</f>
        <v>3610</v>
      </c>
      <c r="M1611" s="1" t="n">
        <f aca="false">IF(AND(E1611="Пицца Труслейка",I1611="г. Москва",K1611="Выполнено",G1611&gt;=DATE(2020,7,1),G1611&lt;DATE(2020,8,1)),L1611,0)</f>
        <v>0</v>
      </c>
    </row>
    <row r="1612" customFormat="false" ht="15" hidden="false" customHeight="true" outlineLevel="0" collapsed="false">
      <c r="A1612" s="1" t="n">
        <v>101554</v>
      </c>
      <c r="B1612" s="1" t="n">
        <v>51154</v>
      </c>
      <c r="C1612" s="1" t="n">
        <v>2</v>
      </c>
      <c r="D1612" s="1" t="n">
        <v>2</v>
      </c>
      <c r="E1612" s="1" t="str">
        <f aca="false">VLOOKUP(C1612,Меню!$A$2:$C$24,2,FALSE())</f>
        <v>Пицца Двойная пепперони</v>
      </c>
      <c r="F1612" s="1" t="n">
        <f aca="false">VLOOKUP(C1612,Меню!$A$2:$C$24,3,FALSE())</f>
        <v>575</v>
      </c>
      <c r="G1612" s="5" t="n">
        <f aca="false">VLOOKUP(B1612,Заказы!$A$2:$E$2995,2,FALSE())</f>
        <v>44047</v>
      </c>
      <c r="H1612" s="1" t="n">
        <f aca="false">VLOOKUP(B1612,Заказы!$A$2:$E$2995,3,FALSE())</f>
        <v>989</v>
      </c>
      <c r="I1612" s="1" t="str">
        <f aca="false">VLOOKUP(H1612,Клиенты!$A$2:$E$1995,5,FALSE())</f>
        <v>г. Находка</v>
      </c>
      <c r="J1612" s="1" t="n">
        <f aca="false">VLOOKUP(B1612,Заказы!$A$2:$E$2995,4,FALSE())</f>
        <v>0</v>
      </c>
      <c r="K1612" s="1" t="str">
        <f aca="false">VLOOKUP(B1612,Заказы!$A$2:$E$2995,5,FALSE())</f>
        <v>Не выполнено</v>
      </c>
      <c r="L1612" s="1" t="n">
        <f aca="false">D1612*F1612+J1612</f>
        <v>1150</v>
      </c>
      <c r="M1612" s="1" t="n">
        <f aca="false">IF(AND(E1612="Пицца Труслейка",I1612="г. Москва",K1612="Выполнено",G1612&gt;=DATE(2020,7,1),G1612&lt;DATE(2020,8,1)),L1612,0)</f>
        <v>0</v>
      </c>
    </row>
    <row r="1613" customFormat="false" ht="15" hidden="false" customHeight="true" outlineLevel="0" collapsed="false">
      <c r="A1613" s="1" t="n">
        <v>101842</v>
      </c>
      <c r="B1613" s="1" t="n">
        <v>50626</v>
      </c>
      <c r="C1613" s="1" t="n">
        <v>11</v>
      </c>
      <c r="D1613" s="1" t="n">
        <v>1</v>
      </c>
      <c r="E1613" s="1" t="str">
        <f aca="false">VLOOKUP(C1613,Меню!$A$2:$C$24,2,FALSE())</f>
        <v>Пицца Песто</v>
      </c>
      <c r="F1613" s="1" t="n">
        <f aca="false">VLOOKUP(C1613,Меню!$A$2:$C$24,3,FALSE())</f>
        <v>530</v>
      </c>
      <c r="G1613" s="5" t="n">
        <f aca="false">VLOOKUP(B1613,Заказы!$A$2:$E$2995,2,FALSE())</f>
        <v>43985</v>
      </c>
      <c r="H1613" s="1" t="n">
        <f aca="false">VLOOKUP(B1613,Заказы!$A$2:$E$2995,3,FALSE())</f>
        <v>1575</v>
      </c>
      <c r="I1613" s="1" t="str">
        <f aca="false">VLOOKUP(H1613,Клиенты!$A$2:$E$1995,5,FALSE())</f>
        <v>г. Питкяранта</v>
      </c>
      <c r="J1613" s="1" t="n">
        <f aca="false">VLOOKUP(B1613,Заказы!$A$2:$E$2995,4,FALSE())</f>
        <v>352</v>
      </c>
      <c r="K1613" s="1" t="str">
        <f aca="false">VLOOKUP(B1613,Заказы!$A$2:$E$2995,5,FALSE())</f>
        <v>Выполнено</v>
      </c>
      <c r="L1613" s="1" t="n">
        <f aca="false">D1613*F1613+J1613</f>
        <v>882</v>
      </c>
      <c r="M1613" s="1" t="n">
        <f aca="false">IF(AND(E1613="Пицца Труслейка",I1613="г. Москва",K1613="Выполнено",G1613&gt;=DATE(2020,7,1),G1613&lt;DATE(2020,8,1)),L1613,0)</f>
        <v>0</v>
      </c>
    </row>
    <row r="1614" customFormat="false" ht="15" hidden="false" customHeight="true" outlineLevel="0" collapsed="false">
      <c r="A1614" s="1" t="n">
        <v>101179</v>
      </c>
      <c r="B1614" s="1" t="n">
        <v>51167</v>
      </c>
      <c r="C1614" s="1" t="n">
        <v>20</v>
      </c>
      <c r="D1614" s="1" t="n">
        <v>2</v>
      </c>
      <c r="E1614" s="1" t="str">
        <f aca="false">VLOOKUP(C1614,Меню!$A$2:$C$24,2,FALSE())</f>
        <v>Пицца пиканте</v>
      </c>
      <c r="F1614" s="1" t="n">
        <f aca="false">VLOOKUP(C1614,Меню!$A$2:$C$24,3,FALSE())</f>
        <v>585</v>
      </c>
      <c r="G1614" s="5" t="n">
        <f aca="false">VLOOKUP(B1614,Заказы!$A$2:$E$2995,2,FALSE())</f>
        <v>44032</v>
      </c>
      <c r="H1614" s="1" t="n">
        <f aca="false">VLOOKUP(B1614,Заказы!$A$2:$E$2995,3,FALSE())</f>
        <v>1571</v>
      </c>
      <c r="I1614" s="1" t="str">
        <f aca="false">VLOOKUP(H1614,Клиенты!$A$2:$E$1995,5,FALSE())</f>
        <v>г. Отрадное</v>
      </c>
      <c r="J1614" s="1" t="n">
        <f aca="false">VLOOKUP(B1614,Заказы!$A$2:$E$2995,4,FALSE())</f>
        <v>408</v>
      </c>
      <c r="K1614" s="1" t="str">
        <f aca="false">VLOOKUP(B1614,Заказы!$A$2:$E$2995,5,FALSE())</f>
        <v>Выполнено</v>
      </c>
      <c r="L1614" s="1" t="n">
        <f aca="false">D1614*F1614+J1614</f>
        <v>1578</v>
      </c>
      <c r="M1614" s="1" t="n">
        <f aca="false">IF(AND(E1614="Пицца Труслейка",I1614="г. Москва",K1614="Выполнено",G1614&gt;=DATE(2020,7,1),G1614&lt;DATE(2020,8,1)),L1614,0)</f>
        <v>0</v>
      </c>
    </row>
    <row r="1615" customFormat="false" ht="15" hidden="false" customHeight="true" outlineLevel="0" collapsed="false">
      <c r="A1615" s="1" t="n">
        <v>100138</v>
      </c>
      <c r="B1615" s="1" t="n">
        <v>50394</v>
      </c>
      <c r="C1615" s="1" t="n">
        <v>14</v>
      </c>
      <c r="D1615" s="1" t="n">
        <v>6</v>
      </c>
      <c r="E1615" s="1" t="str">
        <f aca="false">VLOOKUP(C1615,Меню!$A$2:$C$24,2,FALSE())</f>
        <v>Пицца Сырный цыпленок</v>
      </c>
      <c r="F1615" s="1" t="n">
        <f aca="false">VLOOKUP(C1615,Меню!$A$2:$C$24,3,FALSE())</f>
        <v>555</v>
      </c>
      <c r="G1615" s="5" t="n">
        <f aca="false">VLOOKUP(B1615,Заказы!$A$2:$E$2995,2,FALSE())</f>
        <v>44004</v>
      </c>
      <c r="H1615" s="1" t="n">
        <f aca="false">VLOOKUP(B1615,Заказы!$A$2:$E$2995,3,FALSE())</f>
        <v>1656</v>
      </c>
      <c r="I1615" s="1" t="str">
        <f aca="false">VLOOKUP(H1615,Клиенты!$A$2:$E$1995,5,FALSE())</f>
        <v>г. Красноуфимск</v>
      </c>
      <c r="J1615" s="1" t="n">
        <f aca="false">VLOOKUP(B1615,Заказы!$A$2:$E$2995,4,FALSE())</f>
        <v>298</v>
      </c>
      <c r="K1615" s="1" t="str">
        <f aca="false">VLOOKUP(B1615,Заказы!$A$2:$E$2995,5,FALSE())</f>
        <v>Выполнено</v>
      </c>
      <c r="L1615" s="1" t="n">
        <f aca="false">D1615*F1615+J1615</f>
        <v>3628</v>
      </c>
      <c r="M1615" s="1" t="n">
        <f aca="false">IF(AND(E1615="Пицца Труслейка",I1615="г. Москва",K1615="Выполнено",G1615&gt;=DATE(2020,7,1),G1615&lt;DATE(2020,8,1)),L1615,0)</f>
        <v>0</v>
      </c>
    </row>
    <row r="1616" customFormat="false" ht="15" hidden="false" customHeight="true" outlineLevel="0" collapsed="false">
      <c r="A1616" s="1" t="n">
        <v>100633</v>
      </c>
      <c r="B1616" s="1" t="n">
        <v>51047</v>
      </c>
      <c r="C1616" s="1" t="n">
        <v>8</v>
      </c>
      <c r="D1616" s="1" t="n">
        <v>7</v>
      </c>
      <c r="E1616" s="1" t="str">
        <f aca="false">VLOOKUP(C1616,Меню!$A$2:$C$24,2,FALSE())</f>
        <v>Пицца Мясная</v>
      </c>
      <c r="F1616" s="1" t="n">
        <f aca="false">VLOOKUP(C1616,Меню!$A$2:$C$24,3,FALSE())</f>
        <v>615</v>
      </c>
      <c r="G1616" s="5" t="n">
        <f aca="false">VLOOKUP(B1616,Заказы!$A$2:$E$2995,2,FALSE())</f>
        <v>44041</v>
      </c>
      <c r="H1616" s="1" t="n">
        <f aca="false">VLOOKUP(B1616,Заказы!$A$2:$E$2995,3,FALSE())</f>
        <v>1409</v>
      </c>
      <c r="I1616" s="1" t="str">
        <f aca="false">VLOOKUP(H1616,Клиенты!$A$2:$E$1995,5,FALSE())</f>
        <v>г. Дегтярск</v>
      </c>
      <c r="J1616" s="1" t="n">
        <f aca="false">VLOOKUP(B1616,Заказы!$A$2:$E$2995,4,FALSE())</f>
        <v>796</v>
      </c>
      <c r="K1616" s="1" t="str">
        <f aca="false">VLOOKUP(B1616,Заказы!$A$2:$E$2995,5,FALSE())</f>
        <v>Выполнено</v>
      </c>
      <c r="L1616" s="1" t="n">
        <f aca="false">D1616*F1616+J1616</f>
        <v>5101</v>
      </c>
      <c r="M1616" s="1" t="n">
        <f aca="false">IF(AND(E1616="Пицца Труслейка",I1616="г. Москва",K1616="Выполнено",G1616&gt;=DATE(2020,7,1),G1616&lt;DATE(2020,8,1)),L1616,0)</f>
        <v>0</v>
      </c>
    </row>
    <row r="1617" customFormat="false" ht="15" hidden="false" customHeight="true" outlineLevel="0" collapsed="false">
      <c r="A1617" s="1" t="n">
        <v>100128</v>
      </c>
      <c r="B1617" s="1" t="n">
        <v>51811</v>
      </c>
      <c r="C1617" s="1" t="n">
        <v>6</v>
      </c>
      <c r="D1617" s="1" t="n">
        <v>7</v>
      </c>
      <c r="E1617" s="1" t="str">
        <f aca="false">VLOOKUP(C1617,Меню!$A$2:$C$24,2,FALSE())</f>
        <v>Пицца Капричиоза</v>
      </c>
      <c r="F1617" s="1" t="n">
        <f aca="false">VLOOKUP(C1617,Меню!$A$2:$C$24,3,FALSE())</f>
        <v>570</v>
      </c>
      <c r="G1617" s="5" t="n">
        <f aca="false">VLOOKUP(B1617,Заказы!$A$2:$E$2995,2,FALSE())</f>
        <v>43999</v>
      </c>
      <c r="H1617" s="1" t="n">
        <f aca="false">VLOOKUP(B1617,Заказы!$A$2:$E$2995,3,FALSE())</f>
        <v>303</v>
      </c>
      <c r="I1617" s="1" t="str">
        <f aca="false">VLOOKUP(H1617,Клиенты!$A$2:$E$1995,5,FALSE())</f>
        <v>г. Дедовск</v>
      </c>
      <c r="J1617" s="1" t="n">
        <f aca="false">VLOOKUP(B1617,Заказы!$A$2:$E$2995,4,FALSE())</f>
        <v>0</v>
      </c>
      <c r="K1617" s="1" t="str">
        <f aca="false">VLOOKUP(B1617,Заказы!$A$2:$E$2995,5,FALSE())</f>
        <v>Не выполнено</v>
      </c>
      <c r="L1617" s="1" t="n">
        <f aca="false">D1617*F1617+J1617</f>
        <v>3990</v>
      </c>
      <c r="M1617" s="1" t="n">
        <f aca="false">IF(AND(E1617="Пицца Труслейка",I1617="г. Москва",K1617="Выполнено",G1617&gt;=DATE(2020,7,1),G1617&lt;DATE(2020,8,1)),L1617,0)</f>
        <v>0</v>
      </c>
    </row>
    <row r="1618" customFormat="false" ht="15" hidden="false" customHeight="true" outlineLevel="0" collapsed="false">
      <c r="A1618" s="1" t="n">
        <v>100771</v>
      </c>
      <c r="B1618" s="1" t="n">
        <v>50433</v>
      </c>
      <c r="C1618" s="1" t="n">
        <v>6</v>
      </c>
      <c r="D1618" s="1" t="n">
        <v>1</v>
      </c>
      <c r="E1618" s="1" t="str">
        <f aca="false">VLOOKUP(C1618,Меню!$A$2:$C$24,2,FALSE())</f>
        <v>Пицца Капричиоза</v>
      </c>
      <c r="F1618" s="1" t="n">
        <f aca="false">VLOOKUP(C1618,Меню!$A$2:$C$24,3,FALSE())</f>
        <v>570</v>
      </c>
      <c r="G1618" s="5" t="n">
        <f aca="false">VLOOKUP(B1618,Заказы!$A$2:$E$2995,2,FALSE())</f>
        <v>43983</v>
      </c>
      <c r="H1618" s="1" t="n">
        <f aca="false">VLOOKUP(B1618,Заказы!$A$2:$E$2995,3,FALSE())</f>
        <v>1628</v>
      </c>
      <c r="I1618" s="1" t="str">
        <f aca="false">VLOOKUP(H1618,Клиенты!$A$2:$E$1995,5,FALSE())</f>
        <v>г. Болотное</v>
      </c>
      <c r="J1618" s="1" t="n">
        <f aca="false">VLOOKUP(B1618,Заказы!$A$2:$E$2995,4,FALSE())</f>
        <v>517</v>
      </c>
      <c r="K1618" s="1" t="str">
        <f aca="false">VLOOKUP(B1618,Заказы!$A$2:$E$2995,5,FALSE())</f>
        <v>Выполнено</v>
      </c>
      <c r="L1618" s="1" t="n">
        <f aca="false">D1618*F1618+J1618</f>
        <v>1087</v>
      </c>
      <c r="M1618" s="1" t="n">
        <f aca="false">IF(AND(E1618="Пицца Труслейка",I1618="г. Москва",K1618="Выполнено",G1618&gt;=DATE(2020,7,1),G1618&lt;DATE(2020,8,1)),L1618,0)</f>
        <v>0</v>
      </c>
    </row>
    <row r="1619" customFormat="false" ht="15" hidden="false" customHeight="true" outlineLevel="0" collapsed="false">
      <c r="A1619" s="1" t="n">
        <v>101204</v>
      </c>
      <c r="B1619" s="1" t="n">
        <v>50150</v>
      </c>
      <c r="C1619" s="1" t="n">
        <v>4</v>
      </c>
      <c r="D1619" s="1" t="n">
        <v>6</v>
      </c>
      <c r="E1619" s="1" t="str">
        <f aca="false">VLOOKUP(C1619,Меню!$A$2:$C$24,2,FALSE())</f>
        <v>Пицца Труслейка</v>
      </c>
      <c r="F1619" s="1" t="n">
        <f aca="false">VLOOKUP(C1619,Меню!$A$2:$C$24,3,FALSE())</f>
        <v>610</v>
      </c>
      <c r="G1619" s="5" t="n">
        <f aca="false">VLOOKUP(B1619,Заказы!$A$2:$E$2995,2,FALSE())</f>
        <v>44062</v>
      </c>
      <c r="H1619" s="1" t="n">
        <f aca="false">VLOOKUP(B1619,Заказы!$A$2:$E$2995,3,FALSE())</f>
        <v>1906</v>
      </c>
      <c r="I1619" s="1" t="str">
        <f aca="false">VLOOKUP(H1619,Клиенты!$A$2:$E$1995,5,FALSE())</f>
        <v>г. Купино</v>
      </c>
      <c r="J1619" s="1" t="n">
        <f aca="false">VLOOKUP(B1619,Заказы!$A$2:$E$2995,4,FALSE())</f>
        <v>0</v>
      </c>
      <c r="K1619" s="1" t="str">
        <f aca="false">VLOOKUP(B1619,Заказы!$A$2:$E$2995,5,FALSE())</f>
        <v>Не выполнено</v>
      </c>
      <c r="L1619" s="1" t="n">
        <f aca="false">D1619*F1619+J1619</f>
        <v>3660</v>
      </c>
      <c r="M1619" s="1" t="n">
        <f aca="false">IF(AND(E1619="Пицца Труслейка",I1619="г. Москва",K1619="Выполнено",G1619&gt;=DATE(2020,7,1),G1619&lt;DATE(2020,8,1)),L1619,0)</f>
        <v>0</v>
      </c>
    </row>
    <row r="1620" customFormat="false" ht="15" hidden="false" customHeight="true" outlineLevel="0" collapsed="false">
      <c r="A1620" s="1" t="n">
        <v>101203</v>
      </c>
      <c r="B1620" s="1" t="n">
        <v>51064</v>
      </c>
      <c r="C1620" s="1" t="n">
        <v>23</v>
      </c>
      <c r="D1620" s="1" t="n">
        <v>6</v>
      </c>
      <c r="E1620" s="1" t="str">
        <f aca="false">VLOOKUP(C1620,Меню!$A$2:$C$24,2,FALSE())</f>
        <v>Пицца с тунцом</v>
      </c>
      <c r="F1620" s="1" t="n">
        <f aca="false">VLOOKUP(C1620,Меню!$A$2:$C$24,3,FALSE())</f>
        <v>520</v>
      </c>
      <c r="G1620" s="5" t="n">
        <f aca="false">VLOOKUP(B1620,Заказы!$A$2:$E$2995,2,FALSE())</f>
        <v>44007</v>
      </c>
      <c r="H1620" s="1" t="n">
        <f aca="false">VLOOKUP(B1620,Заказы!$A$2:$E$2995,3,FALSE())</f>
        <v>1010</v>
      </c>
      <c r="I1620" s="1" t="str">
        <f aca="false">VLOOKUP(H1620,Клиенты!$A$2:$E$1995,5,FALSE())</f>
        <v>г. Москва</v>
      </c>
      <c r="J1620" s="1" t="n">
        <f aca="false">VLOOKUP(B1620,Заказы!$A$2:$E$2995,4,FALSE())</f>
        <v>262</v>
      </c>
      <c r="K1620" s="1" t="str">
        <f aca="false">VLOOKUP(B1620,Заказы!$A$2:$E$2995,5,FALSE())</f>
        <v>Выполнено</v>
      </c>
      <c r="L1620" s="1" t="n">
        <f aca="false">D1620*F1620+J1620</f>
        <v>3382</v>
      </c>
      <c r="M1620" s="1" t="n">
        <f aca="false">IF(AND(E1620="Пицца Труслейка",I1620="г. Москва",K1620="Выполнено",G1620&gt;=DATE(2020,7,1),G1620&lt;DATE(2020,8,1)),L1620,0)</f>
        <v>0</v>
      </c>
    </row>
    <row r="1621" customFormat="false" ht="15" hidden="false" customHeight="true" outlineLevel="0" collapsed="false">
      <c r="A1621" s="1" t="n">
        <v>100068</v>
      </c>
      <c r="B1621" s="1" t="n">
        <v>51195</v>
      </c>
      <c r="C1621" s="1" t="n">
        <v>4</v>
      </c>
      <c r="D1621" s="1" t="n">
        <v>1</v>
      </c>
      <c r="E1621" s="1" t="str">
        <f aca="false">VLOOKUP(C1621,Меню!$A$2:$C$24,2,FALSE())</f>
        <v>Пицца Труслейка</v>
      </c>
      <c r="F1621" s="1" t="n">
        <f aca="false">VLOOKUP(C1621,Меню!$A$2:$C$24,3,FALSE())</f>
        <v>610</v>
      </c>
      <c r="G1621" s="5" t="n">
        <f aca="false">VLOOKUP(B1621,Заказы!$A$2:$E$2995,2,FALSE())</f>
        <v>44017</v>
      </c>
      <c r="H1621" s="1" t="n">
        <f aca="false">VLOOKUP(B1621,Заказы!$A$2:$E$2995,3,FALSE())</f>
        <v>1343</v>
      </c>
      <c r="I1621" s="1" t="str">
        <f aca="false">VLOOKUP(H1621,Клиенты!$A$2:$E$1995,5,FALSE())</f>
        <v>г. Гаджиево</v>
      </c>
      <c r="J1621" s="1" t="n">
        <f aca="false">VLOOKUP(B1621,Заказы!$A$2:$E$2995,4,FALSE())</f>
        <v>0</v>
      </c>
      <c r="K1621" s="1" t="str">
        <f aca="false">VLOOKUP(B1621,Заказы!$A$2:$E$2995,5,FALSE())</f>
        <v>Не выполнено</v>
      </c>
      <c r="L1621" s="1" t="n">
        <f aca="false">D1621*F1621+J1621</f>
        <v>610</v>
      </c>
      <c r="M1621" s="1" t="n">
        <f aca="false">IF(AND(E1621="Пицца Труслейка",I1621="г. Москва",K1621="Выполнено",G1621&gt;=DATE(2020,7,1),G1621&lt;DATE(2020,8,1)),L1621,0)</f>
        <v>0</v>
      </c>
    </row>
    <row r="1622" customFormat="false" ht="15" hidden="false" customHeight="true" outlineLevel="0" collapsed="false">
      <c r="A1622" s="1" t="n">
        <v>101952</v>
      </c>
      <c r="B1622" s="1" t="n">
        <v>50052</v>
      </c>
      <c r="C1622" s="1" t="n">
        <v>22</v>
      </c>
      <c r="D1622" s="1" t="n">
        <v>6</v>
      </c>
      <c r="E1622" s="1" t="str">
        <f aca="false">VLOOKUP(C1622,Меню!$A$2:$C$24,2,FALSE())</f>
        <v>Пицца с поркеттой и фриарелли</v>
      </c>
      <c r="F1622" s="1" t="n">
        <f aca="false">VLOOKUP(C1622,Меню!$A$2:$C$24,3,FALSE())</f>
        <v>550</v>
      </c>
      <c r="G1622" s="5" t="n">
        <f aca="false">VLOOKUP(B1622,Заказы!$A$2:$E$2995,2,FALSE())</f>
        <v>44005</v>
      </c>
      <c r="H1622" s="1" t="n">
        <f aca="false">VLOOKUP(B1622,Заказы!$A$2:$E$2995,3,FALSE())</f>
        <v>1392</v>
      </c>
      <c r="I1622" s="1" t="str">
        <f aca="false">VLOOKUP(H1622,Клиенты!$A$2:$E$1995,5,FALSE())</f>
        <v>г. Нягань</v>
      </c>
      <c r="J1622" s="1" t="n">
        <f aca="false">VLOOKUP(B1622,Заказы!$A$2:$E$2995,4,FALSE())</f>
        <v>258</v>
      </c>
      <c r="K1622" s="1" t="str">
        <f aca="false">VLOOKUP(B1622,Заказы!$A$2:$E$2995,5,FALSE())</f>
        <v>Выполнено</v>
      </c>
      <c r="L1622" s="1" t="n">
        <f aca="false">D1622*F1622+J1622</f>
        <v>3558</v>
      </c>
      <c r="M1622" s="1" t="n">
        <f aca="false">IF(AND(E1622="Пицца Труслейка",I1622="г. Москва",K1622="Выполнено",G1622&gt;=DATE(2020,7,1),G1622&lt;DATE(2020,8,1)),L1622,0)</f>
        <v>0</v>
      </c>
    </row>
    <row r="1623" customFormat="false" ht="15" hidden="false" customHeight="true" outlineLevel="0" collapsed="false">
      <c r="A1623" s="1" t="n">
        <v>101656</v>
      </c>
      <c r="B1623" s="1" t="n">
        <v>50711</v>
      </c>
      <c r="C1623" s="1" t="n">
        <v>8</v>
      </c>
      <c r="D1623" s="1" t="n">
        <v>9</v>
      </c>
      <c r="E1623" s="1" t="str">
        <f aca="false">VLOOKUP(C1623,Меню!$A$2:$C$24,2,FALSE())</f>
        <v>Пицца Мясная</v>
      </c>
      <c r="F1623" s="1" t="n">
        <f aca="false">VLOOKUP(C1623,Меню!$A$2:$C$24,3,FALSE())</f>
        <v>615</v>
      </c>
      <c r="G1623" s="5" t="n">
        <f aca="false">VLOOKUP(B1623,Заказы!$A$2:$E$2995,2,FALSE())</f>
        <v>44034</v>
      </c>
      <c r="H1623" s="1" t="n">
        <f aca="false">VLOOKUP(B1623,Заказы!$A$2:$E$2995,3,FALSE())</f>
        <v>1898</v>
      </c>
      <c r="I1623" s="1" t="str">
        <f aca="false">VLOOKUP(H1623,Клиенты!$A$2:$E$1995,5,FALSE())</f>
        <v>г. Городовиковск</v>
      </c>
      <c r="J1623" s="1" t="n">
        <f aca="false">VLOOKUP(B1623,Заказы!$A$2:$E$2995,4,FALSE())</f>
        <v>0</v>
      </c>
      <c r="K1623" s="1" t="str">
        <f aca="false">VLOOKUP(B1623,Заказы!$A$2:$E$2995,5,FALSE())</f>
        <v>Не выполнено</v>
      </c>
      <c r="L1623" s="1" t="n">
        <f aca="false">D1623*F1623+J1623</f>
        <v>5535</v>
      </c>
      <c r="M1623" s="1" t="n">
        <f aca="false">IF(AND(E1623="Пицца Труслейка",I1623="г. Москва",K1623="Выполнено",G1623&gt;=DATE(2020,7,1),G1623&lt;DATE(2020,8,1)),L1623,0)</f>
        <v>0</v>
      </c>
    </row>
    <row r="1624" customFormat="false" ht="15" hidden="false" customHeight="true" outlineLevel="0" collapsed="false">
      <c r="A1624" s="1" t="n">
        <v>101246</v>
      </c>
      <c r="B1624" s="1" t="n">
        <v>51867</v>
      </c>
      <c r="C1624" s="1" t="n">
        <v>10</v>
      </c>
      <c r="D1624" s="1" t="n">
        <v>5</v>
      </c>
      <c r="E1624" s="1" t="str">
        <f aca="false">VLOOKUP(C1624,Меню!$A$2:$C$24,2,FALSE())</f>
        <v>Пицца Пепперони фреш</v>
      </c>
      <c r="F1624" s="1" t="n">
        <f aca="false">VLOOKUP(C1624,Меню!$A$2:$C$24,3,FALSE())</f>
        <v>565</v>
      </c>
      <c r="G1624" s="5" t="n">
        <f aca="false">VLOOKUP(B1624,Заказы!$A$2:$E$2995,2,FALSE())</f>
        <v>43982</v>
      </c>
      <c r="H1624" s="1" t="n">
        <f aca="false">VLOOKUP(B1624,Заказы!$A$2:$E$2995,3,FALSE())</f>
        <v>883</v>
      </c>
      <c r="I1624" s="1" t="str">
        <f aca="false">VLOOKUP(H1624,Клиенты!$A$2:$E$1995,5,FALSE())</f>
        <v>г. Емва</v>
      </c>
      <c r="J1624" s="1" t="n">
        <f aca="false">VLOOKUP(B1624,Заказы!$A$2:$E$2995,4,FALSE())</f>
        <v>0</v>
      </c>
      <c r="K1624" s="1" t="str">
        <f aca="false">VLOOKUP(B1624,Заказы!$A$2:$E$2995,5,FALSE())</f>
        <v>Не выполнено</v>
      </c>
      <c r="L1624" s="1" t="n">
        <f aca="false">D1624*F1624+J1624</f>
        <v>2825</v>
      </c>
      <c r="M1624" s="1" t="n">
        <f aca="false">IF(AND(E1624="Пицца Труслейка",I1624="г. Москва",K1624="Выполнено",G1624&gt;=DATE(2020,7,1),G1624&lt;DATE(2020,8,1)),L1624,0)</f>
        <v>0</v>
      </c>
    </row>
    <row r="1625" customFormat="false" ht="15" hidden="false" customHeight="true" outlineLevel="0" collapsed="false">
      <c r="A1625" s="1" t="n">
        <v>101649</v>
      </c>
      <c r="B1625" s="1" t="n">
        <v>51382</v>
      </c>
      <c r="C1625" s="1" t="n">
        <v>11</v>
      </c>
      <c r="D1625" s="1" t="n">
        <v>5</v>
      </c>
      <c r="E1625" s="1" t="str">
        <f aca="false">VLOOKUP(C1625,Меню!$A$2:$C$24,2,FALSE())</f>
        <v>Пицца Песто</v>
      </c>
      <c r="F1625" s="1" t="n">
        <f aca="false">VLOOKUP(C1625,Меню!$A$2:$C$24,3,FALSE())</f>
        <v>530</v>
      </c>
      <c r="G1625" s="5" t="n">
        <f aca="false">VLOOKUP(B1625,Заказы!$A$2:$E$2995,2,FALSE())</f>
        <v>43998</v>
      </c>
      <c r="H1625" s="1" t="n">
        <f aca="false">VLOOKUP(B1625,Заказы!$A$2:$E$2995,3,FALSE())</f>
        <v>1313</v>
      </c>
      <c r="I1625" s="1" t="str">
        <f aca="false">VLOOKUP(H1625,Клиенты!$A$2:$E$1995,5,FALSE())</f>
        <v>г. Новоульяновск</v>
      </c>
      <c r="J1625" s="1" t="n">
        <f aca="false">VLOOKUP(B1625,Заказы!$A$2:$E$2995,4,FALSE())</f>
        <v>0</v>
      </c>
      <c r="K1625" s="1" t="str">
        <f aca="false">VLOOKUP(B1625,Заказы!$A$2:$E$2995,5,FALSE())</f>
        <v>Не выполнено</v>
      </c>
      <c r="L1625" s="1" t="n">
        <f aca="false">D1625*F1625+J1625</f>
        <v>2650</v>
      </c>
      <c r="M1625" s="1" t="n">
        <f aca="false">IF(AND(E1625="Пицца Труслейка",I1625="г. Москва",K1625="Выполнено",G1625&gt;=DATE(2020,7,1),G1625&lt;DATE(2020,8,1)),L1625,0)</f>
        <v>0</v>
      </c>
    </row>
    <row r="1626" customFormat="false" ht="15" hidden="false" customHeight="true" outlineLevel="0" collapsed="false">
      <c r="A1626" s="1" t="n">
        <v>101334</v>
      </c>
      <c r="B1626" s="1" t="n">
        <v>51155</v>
      </c>
      <c r="C1626" s="1" t="n">
        <v>7</v>
      </c>
      <c r="D1626" s="1" t="n">
        <v>2</v>
      </c>
      <c r="E1626" s="1" t="str">
        <f aca="false">VLOOKUP(C1626,Меню!$A$2:$C$24,2,FALSE())</f>
        <v>Пицца Карбонара</v>
      </c>
      <c r="F1626" s="1" t="n">
        <f aca="false">VLOOKUP(C1626,Меню!$A$2:$C$24,3,FALSE())</f>
        <v>625</v>
      </c>
      <c r="G1626" s="5" t="n">
        <f aca="false">VLOOKUP(B1626,Заказы!$A$2:$E$2995,2,FALSE())</f>
        <v>44033</v>
      </c>
      <c r="H1626" s="1" t="n">
        <f aca="false">VLOOKUP(B1626,Заказы!$A$2:$E$2995,3,FALSE())</f>
        <v>298</v>
      </c>
      <c r="I1626" s="1" t="str">
        <f aca="false">VLOOKUP(H1626,Клиенты!$A$2:$E$1995,5,FALSE())</f>
        <v>г. Пласт</v>
      </c>
      <c r="J1626" s="1" t="n">
        <f aca="false">VLOOKUP(B1626,Заказы!$A$2:$E$2995,4,FALSE())</f>
        <v>0</v>
      </c>
      <c r="K1626" s="1" t="str">
        <f aca="false">VLOOKUP(B1626,Заказы!$A$2:$E$2995,5,FALSE())</f>
        <v>Не выполнено</v>
      </c>
      <c r="L1626" s="1" t="n">
        <f aca="false">D1626*F1626+J1626</f>
        <v>1250</v>
      </c>
      <c r="M1626" s="1" t="n">
        <f aca="false">IF(AND(E1626="Пицца Труслейка",I1626="г. Москва",K1626="Выполнено",G1626&gt;=DATE(2020,7,1),G1626&lt;DATE(2020,8,1)),L1626,0)</f>
        <v>0</v>
      </c>
    </row>
    <row r="1627" customFormat="false" ht="15" hidden="false" customHeight="true" outlineLevel="0" collapsed="false">
      <c r="A1627" s="1" t="n">
        <v>100796</v>
      </c>
      <c r="B1627" s="1" t="n">
        <v>51088</v>
      </c>
      <c r="C1627" s="1" t="n">
        <v>16</v>
      </c>
      <c r="D1627" s="1" t="n">
        <v>4</v>
      </c>
      <c r="E1627" s="1" t="str">
        <f aca="false">VLOOKUP(C1627,Меню!$A$2:$C$24,2,FALSE())</f>
        <v>Пицца Флорида</v>
      </c>
      <c r="F1627" s="1" t="n">
        <f aca="false">VLOOKUP(C1627,Меню!$A$2:$C$24,3,FALSE())</f>
        <v>535</v>
      </c>
      <c r="G1627" s="5" t="n">
        <f aca="false">VLOOKUP(B1627,Заказы!$A$2:$E$2995,2,FALSE())</f>
        <v>44048</v>
      </c>
      <c r="H1627" s="1" t="n">
        <f aca="false">VLOOKUP(B1627,Заказы!$A$2:$E$2995,3,FALSE())</f>
        <v>826</v>
      </c>
      <c r="I1627" s="1" t="str">
        <f aca="false">VLOOKUP(H1627,Клиенты!$A$2:$E$1995,5,FALSE())</f>
        <v>г. Усть-Катав</v>
      </c>
      <c r="J1627" s="1" t="n">
        <f aca="false">VLOOKUP(B1627,Заказы!$A$2:$E$2995,4,FALSE())</f>
        <v>0</v>
      </c>
      <c r="K1627" s="1" t="str">
        <f aca="false">VLOOKUP(B1627,Заказы!$A$2:$E$2995,5,FALSE())</f>
        <v>Не выполнено</v>
      </c>
      <c r="L1627" s="1" t="n">
        <f aca="false">D1627*F1627+J1627</f>
        <v>2140</v>
      </c>
      <c r="M1627" s="1" t="n">
        <f aca="false">IF(AND(E1627="Пицца Труслейка",I1627="г. Москва",K1627="Выполнено",G1627&gt;=DATE(2020,7,1),G1627&lt;DATE(2020,8,1)),L1627,0)</f>
        <v>0</v>
      </c>
    </row>
    <row r="1628" customFormat="false" ht="15" hidden="false" customHeight="true" outlineLevel="0" collapsed="false">
      <c r="A1628" s="1" t="n">
        <v>100854</v>
      </c>
      <c r="B1628" s="1" t="n">
        <v>51798</v>
      </c>
      <c r="C1628" s="1" t="n">
        <v>3</v>
      </c>
      <c r="D1628" s="1" t="n">
        <v>1</v>
      </c>
      <c r="E1628" s="1" t="str">
        <f aca="false">VLOOKUP(C1628,Меню!$A$2:$C$24,2,FALSE())</f>
        <v>Пицца Диабло</v>
      </c>
      <c r="F1628" s="1" t="n">
        <f aca="false">VLOOKUP(C1628,Меню!$A$2:$C$24,3,FALSE())</f>
        <v>590</v>
      </c>
      <c r="G1628" s="5" t="n">
        <f aca="false">VLOOKUP(B1628,Заказы!$A$2:$E$2995,2,FALSE())</f>
        <v>43992</v>
      </c>
      <c r="H1628" s="1" t="n">
        <f aca="false">VLOOKUP(B1628,Заказы!$A$2:$E$2995,3,FALSE())</f>
        <v>1480</v>
      </c>
      <c r="I1628" s="1" t="str">
        <f aca="false">VLOOKUP(H1628,Клиенты!$A$2:$E$1995,5,FALSE())</f>
        <v>г. Москва</v>
      </c>
      <c r="J1628" s="1" t="n">
        <f aca="false">VLOOKUP(B1628,Заказы!$A$2:$E$2995,4,FALSE())</f>
        <v>849</v>
      </c>
      <c r="K1628" s="1" t="str">
        <f aca="false">VLOOKUP(B1628,Заказы!$A$2:$E$2995,5,FALSE())</f>
        <v>Выполнено</v>
      </c>
      <c r="L1628" s="1" t="n">
        <f aca="false">D1628*F1628+J1628</f>
        <v>1439</v>
      </c>
      <c r="M1628" s="1" t="n">
        <f aca="false">IF(AND(E1628="Пицца Труслейка",I1628="г. Москва",K1628="Выполнено",G1628&gt;=DATE(2020,7,1),G1628&lt;DATE(2020,8,1)),L1628,0)</f>
        <v>0</v>
      </c>
    </row>
    <row r="1629" customFormat="false" ht="15" hidden="false" customHeight="true" outlineLevel="0" collapsed="false">
      <c r="A1629" s="1" t="n">
        <v>101813</v>
      </c>
      <c r="B1629" s="1" t="n">
        <v>51416</v>
      </c>
      <c r="C1629" s="1" t="n">
        <v>16</v>
      </c>
      <c r="D1629" s="1" t="n">
        <v>8</v>
      </c>
      <c r="E1629" s="1" t="str">
        <f aca="false">VLOOKUP(C1629,Меню!$A$2:$C$24,2,FALSE())</f>
        <v>Пицца Флорида</v>
      </c>
      <c r="F1629" s="1" t="n">
        <f aca="false">VLOOKUP(C1629,Меню!$A$2:$C$24,3,FALSE())</f>
        <v>535</v>
      </c>
      <c r="G1629" s="5" t="n">
        <f aca="false">VLOOKUP(B1629,Заказы!$A$2:$E$2995,2,FALSE())</f>
        <v>44036</v>
      </c>
      <c r="H1629" s="1" t="n">
        <f aca="false">VLOOKUP(B1629,Заказы!$A$2:$E$2995,3,FALSE())</f>
        <v>191</v>
      </c>
      <c r="I1629" s="1" t="str">
        <f aca="false">VLOOKUP(H1629,Клиенты!$A$2:$E$1995,5,FALSE())</f>
        <v>г. Павлово</v>
      </c>
      <c r="J1629" s="1" t="n">
        <f aca="false">VLOOKUP(B1629,Заказы!$A$2:$E$2995,4,FALSE())</f>
        <v>0</v>
      </c>
      <c r="K1629" s="1" t="str">
        <f aca="false">VLOOKUP(B1629,Заказы!$A$2:$E$2995,5,FALSE())</f>
        <v>Не выполнено</v>
      </c>
      <c r="L1629" s="1" t="n">
        <f aca="false">D1629*F1629+J1629</f>
        <v>4280</v>
      </c>
      <c r="M1629" s="1" t="n">
        <f aca="false">IF(AND(E1629="Пицца Труслейка",I1629="г. Москва",K1629="Выполнено",G1629&gt;=DATE(2020,7,1),G1629&lt;DATE(2020,8,1)),L1629,0)</f>
        <v>0</v>
      </c>
    </row>
    <row r="1630" customFormat="false" ht="15" hidden="false" customHeight="true" outlineLevel="0" collapsed="false">
      <c r="A1630" s="1" t="n">
        <v>101918</v>
      </c>
      <c r="B1630" s="1" t="n">
        <v>51714</v>
      </c>
      <c r="C1630" s="1" t="n">
        <v>20</v>
      </c>
      <c r="D1630" s="1" t="n">
        <v>1</v>
      </c>
      <c r="E1630" s="1" t="str">
        <f aca="false">VLOOKUP(C1630,Меню!$A$2:$C$24,2,FALSE())</f>
        <v>Пицца пиканте</v>
      </c>
      <c r="F1630" s="1" t="n">
        <f aca="false">VLOOKUP(C1630,Меню!$A$2:$C$24,3,FALSE())</f>
        <v>585</v>
      </c>
      <c r="G1630" s="5" t="n">
        <f aca="false">VLOOKUP(B1630,Заказы!$A$2:$E$2995,2,FALSE())</f>
        <v>44016</v>
      </c>
      <c r="H1630" s="1" t="n">
        <f aca="false">VLOOKUP(B1630,Заказы!$A$2:$E$2995,3,FALSE())</f>
        <v>1613</v>
      </c>
      <c r="I1630" s="1" t="str">
        <f aca="false">VLOOKUP(H1630,Клиенты!$A$2:$E$1995,5,FALSE())</f>
        <v>г. Горно-Алтайск</v>
      </c>
      <c r="J1630" s="1" t="n">
        <f aca="false">VLOOKUP(B1630,Заказы!$A$2:$E$2995,4,FALSE())</f>
        <v>328</v>
      </c>
      <c r="K1630" s="1" t="str">
        <f aca="false">VLOOKUP(B1630,Заказы!$A$2:$E$2995,5,FALSE())</f>
        <v>Выполнено</v>
      </c>
      <c r="L1630" s="1" t="n">
        <f aca="false">D1630*F1630+J1630</f>
        <v>913</v>
      </c>
      <c r="M1630" s="1" t="n">
        <f aca="false">IF(AND(E1630="Пицца Труслейка",I1630="г. Москва",K1630="Выполнено",G1630&gt;=DATE(2020,7,1),G1630&lt;DATE(2020,8,1)),L1630,0)</f>
        <v>0</v>
      </c>
    </row>
    <row r="1631" customFormat="false" ht="15" hidden="false" customHeight="true" outlineLevel="0" collapsed="false">
      <c r="A1631" s="1" t="n">
        <v>101572</v>
      </c>
      <c r="B1631" s="1" t="n">
        <v>50855</v>
      </c>
      <c r="C1631" s="1" t="n">
        <v>4</v>
      </c>
      <c r="D1631" s="1" t="n">
        <v>1</v>
      </c>
      <c r="E1631" s="1" t="str">
        <f aca="false">VLOOKUP(C1631,Меню!$A$2:$C$24,2,FALSE())</f>
        <v>Пицца Труслейка</v>
      </c>
      <c r="F1631" s="1" t="n">
        <f aca="false">VLOOKUP(C1631,Меню!$A$2:$C$24,3,FALSE())</f>
        <v>610</v>
      </c>
      <c r="G1631" s="5" t="n">
        <f aca="false">VLOOKUP(B1631,Заказы!$A$2:$E$2995,2,FALSE())</f>
        <v>43999</v>
      </c>
      <c r="H1631" s="1" t="n">
        <f aca="false">VLOOKUP(B1631,Заказы!$A$2:$E$2995,3,FALSE())</f>
        <v>785</v>
      </c>
      <c r="I1631" s="1" t="str">
        <f aca="false">VLOOKUP(H1631,Клиенты!$A$2:$E$1995,5,FALSE())</f>
        <v>г. Тарко-Сале</v>
      </c>
      <c r="J1631" s="1" t="n">
        <f aca="false">VLOOKUP(B1631,Заказы!$A$2:$E$2995,4,FALSE())</f>
        <v>605</v>
      </c>
      <c r="K1631" s="1" t="str">
        <f aca="false">VLOOKUP(B1631,Заказы!$A$2:$E$2995,5,FALSE())</f>
        <v>Выполнено</v>
      </c>
      <c r="L1631" s="1" t="n">
        <f aca="false">D1631*F1631+J1631</f>
        <v>1215</v>
      </c>
      <c r="M1631" s="1" t="n">
        <f aca="false">IF(AND(E1631="Пицца Труслейка",I1631="г. Москва",K1631="Выполнено",G1631&gt;=DATE(2020,7,1),G1631&lt;DATE(2020,8,1)),L1631,0)</f>
        <v>0</v>
      </c>
    </row>
    <row r="1632" customFormat="false" ht="15" hidden="false" customHeight="true" outlineLevel="0" collapsed="false">
      <c r="A1632" s="1" t="n">
        <v>101184</v>
      </c>
      <c r="B1632" s="1" t="n">
        <v>50014</v>
      </c>
      <c r="C1632" s="1" t="n">
        <v>15</v>
      </c>
      <c r="D1632" s="1" t="n">
        <v>4</v>
      </c>
      <c r="E1632" s="1" t="str">
        <f aca="false">VLOOKUP(C1632,Меню!$A$2:$C$24,2,FALSE())</f>
        <v>Пицца Тропиканка</v>
      </c>
      <c r="F1632" s="1" t="n">
        <f aca="false">VLOOKUP(C1632,Меню!$A$2:$C$24,3,FALSE())</f>
        <v>605</v>
      </c>
      <c r="G1632" s="5" t="n">
        <f aca="false">VLOOKUP(B1632,Заказы!$A$2:$E$2995,2,FALSE())</f>
        <v>44053</v>
      </c>
      <c r="H1632" s="1" t="n">
        <f aca="false">VLOOKUP(B1632,Заказы!$A$2:$E$2995,3,FALSE())</f>
        <v>547</v>
      </c>
      <c r="I1632" s="1" t="str">
        <f aca="false">VLOOKUP(H1632,Клиенты!$A$2:$E$1995,5,FALSE())</f>
        <v>г. Тобольск</v>
      </c>
      <c r="J1632" s="1" t="n">
        <f aca="false">VLOOKUP(B1632,Заказы!$A$2:$E$2995,4,FALSE())</f>
        <v>818</v>
      </c>
      <c r="K1632" s="1" t="str">
        <f aca="false">VLOOKUP(B1632,Заказы!$A$2:$E$2995,5,FALSE())</f>
        <v>Выполнено</v>
      </c>
      <c r="L1632" s="1" t="n">
        <f aca="false">D1632*F1632+J1632</f>
        <v>3238</v>
      </c>
      <c r="M1632" s="1" t="n">
        <f aca="false">IF(AND(E1632="Пицца Труслейка",I1632="г. Москва",K1632="Выполнено",G1632&gt;=DATE(2020,7,1),G1632&lt;DATE(2020,8,1)),L1632,0)</f>
        <v>0</v>
      </c>
    </row>
    <row r="1633" customFormat="false" ht="15" hidden="false" customHeight="true" outlineLevel="0" collapsed="false">
      <c r="A1633" s="1" t="n">
        <v>100267</v>
      </c>
      <c r="B1633" s="1" t="n">
        <v>51171</v>
      </c>
      <c r="C1633" s="1" t="n">
        <v>10</v>
      </c>
      <c r="D1633" s="1" t="n">
        <v>5</v>
      </c>
      <c r="E1633" s="1" t="str">
        <f aca="false">VLOOKUP(C1633,Меню!$A$2:$C$24,2,FALSE())</f>
        <v>Пицца Пепперони фреш</v>
      </c>
      <c r="F1633" s="1" t="n">
        <f aca="false">VLOOKUP(C1633,Меню!$A$2:$C$24,3,FALSE())</f>
        <v>565</v>
      </c>
      <c r="G1633" s="5" t="n">
        <f aca="false">VLOOKUP(B1633,Заказы!$A$2:$E$2995,2,FALSE())</f>
        <v>43993</v>
      </c>
      <c r="H1633" s="1" t="n">
        <f aca="false">VLOOKUP(B1633,Заказы!$A$2:$E$2995,3,FALSE())</f>
        <v>6</v>
      </c>
      <c r="I1633" s="1" t="str">
        <f aca="false">VLOOKUP(H1633,Клиенты!$A$2:$E$1995,5,FALSE())</f>
        <v>г. Калининград</v>
      </c>
      <c r="J1633" s="1" t="n">
        <f aca="false">VLOOKUP(B1633,Заказы!$A$2:$E$2995,4,FALSE())</f>
        <v>320</v>
      </c>
      <c r="K1633" s="1" t="str">
        <f aca="false">VLOOKUP(B1633,Заказы!$A$2:$E$2995,5,FALSE())</f>
        <v>Выполнено</v>
      </c>
      <c r="L1633" s="1" t="n">
        <f aca="false">D1633*F1633+J1633</f>
        <v>3145</v>
      </c>
      <c r="M1633" s="1" t="n">
        <f aca="false">IF(AND(E1633="Пицца Труслейка",I1633="г. Москва",K1633="Выполнено",G1633&gt;=DATE(2020,7,1),G1633&lt;DATE(2020,8,1)),L1633,0)</f>
        <v>0</v>
      </c>
    </row>
    <row r="1634" customFormat="false" ht="15" hidden="false" customHeight="true" outlineLevel="0" collapsed="false">
      <c r="A1634" s="1" t="n">
        <v>101428</v>
      </c>
      <c r="B1634" s="1" t="n">
        <v>51259</v>
      </c>
      <c r="C1634" s="1" t="n">
        <v>12</v>
      </c>
      <c r="D1634" s="1" t="n">
        <v>1</v>
      </c>
      <c r="E1634" s="1" t="str">
        <f aca="false">VLOOKUP(C1634,Меню!$A$2:$C$24,2,FALSE())</f>
        <v>Пицца Салями с трюфелем</v>
      </c>
      <c r="F1634" s="1" t="n">
        <f aca="false">VLOOKUP(C1634,Меню!$A$2:$C$24,3,FALSE())</f>
        <v>525</v>
      </c>
      <c r="G1634" s="5" t="n">
        <f aca="false">VLOOKUP(B1634,Заказы!$A$2:$E$2995,2,FALSE())</f>
        <v>44061</v>
      </c>
      <c r="H1634" s="1" t="n">
        <f aca="false">VLOOKUP(B1634,Заказы!$A$2:$E$2995,3,FALSE())</f>
        <v>308</v>
      </c>
      <c r="I1634" s="1" t="str">
        <f aca="false">VLOOKUP(H1634,Клиенты!$A$2:$E$1995,5,FALSE())</f>
        <v>г. Михайловск</v>
      </c>
      <c r="J1634" s="1" t="n">
        <f aca="false">VLOOKUP(B1634,Заказы!$A$2:$E$2995,4,FALSE())</f>
        <v>0</v>
      </c>
      <c r="K1634" s="1" t="str">
        <f aca="false">VLOOKUP(B1634,Заказы!$A$2:$E$2995,5,FALSE())</f>
        <v>Не выполнено</v>
      </c>
      <c r="L1634" s="1" t="n">
        <f aca="false">D1634*F1634+J1634</f>
        <v>525</v>
      </c>
      <c r="M1634" s="1" t="n">
        <f aca="false">IF(AND(E1634="Пицца Труслейка",I1634="г. Москва",K1634="Выполнено",G1634&gt;=DATE(2020,7,1),G1634&lt;DATE(2020,8,1)),L1634,0)</f>
        <v>0</v>
      </c>
    </row>
    <row r="1635" customFormat="false" ht="15" hidden="false" customHeight="true" outlineLevel="0" collapsed="false">
      <c r="A1635" s="1" t="n">
        <v>101509</v>
      </c>
      <c r="B1635" s="1" t="n">
        <v>51111</v>
      </c>
      <c r="C1635" s="1" t="n">
        <v>9</v>
      </c>
      <c r="D1635" s="1" t="n">
        <v>2</v>
      </c>
      <c r="E1635" s="1" t="str">
        <f aca="false">VLOOKUP(C1635,Меню!$A$2:$C$24,2,FALSE())</f>
        <v>Пицца Острая с беконом</v>
      </c>
      <c r="F1635" s="1" t="n">
        <f aca="false">VLOOKUP(C1635,Меню!$A$2:$C$24,3,FALSE())</f>
        <v>540</v>
      </c>
      <c r="G1635" s="5" t="n">
        <f aca="false">VLOOKUP(B1635,Заказы!$A$2:$E$2995,2,FALSE())</f>
        <v>44036</v>
      </c>
      <c r="H1635" s="1" t="n">
        <f aca="false">VLOOKUP(B1635,Заказы!$A$2:$E$2995,3,FALSE())</f>
        <v>451</v>
      </c>
      <c r="I1635" s="1" t="str">
        <f aca="false">VLOOKUP(H1635,Клиенты!$A$2:$E$1995,5,FALSE())</f>
        <v>г. Дальнереченск</v>
      </c>
      <c r="J1635" s="1" t="n">
        <f aca="false">VLOOKUP(B1635,Заказы!$A$2:$E$2995,4,FALSE())</f>
        <v>201</v>
      </c>
      <c r="K1635" s="1" t="str">
        <f aca="false">VLOOKUP(B1635,Заказы!$A$2:$E$2995,5,FALSE())</f>
        <v>Выполнено</v>
      </c>
      <c r="L1635" s="1" t="n">
        <f aca="false">D1635*F1635+J1635</f>
        <v>1281</v>
      </c>
      <c r="M1635" s="1" t="n">
        <f aca="false">IF(AND(E1635="Пицца Труслейка",I1635="г. Москва",K1635="Выполнено",G1635&gt;=DATE(2020,7,1),G1635&lt;DATE(2020,8,1)),L1635,0)</f>
        <v>0</v>
      </c>
    </row>
    <row r="1636" customFormat="false" ht="15" hidden="false" customHeight="true" outlineLevel="0" collapsed="false">
      <c r="A1636" s="1" t="n">
        <v>100884</v>
      </c>
      <c r="B1636" s="1" t="n">
        <v>50369</v>
      </c>
      <c r="C1636" s="1" t="n">
        <v>8</v>
      </c>
      <c r="D1636" s="1" t="n">
        <v>9</v>
      </c>
      <c r="E1636" s="1" t="str">
        <f aca="false">VLOOKUP(C1636,Меню!$A$2:$C$24,2,FALSE())</f>
        <v>Пицца Мясная</v>
      </c>
      <c r="F1636" s="1" t="n">
        <f aca="false">VLOOKUP(C1636,Меню!$A$2:$C$24,3,FALSE())</f>
        <v>615</v>
      </c>
      <c r="G1636" s="5" t="n">
        <f aca="false">VLOOKUP(B1636,Заказы!$A$2:$E$2995,2,FALSE())</f>
        <v>44026</v>
      </c>
      <c r="H1636" s="1" t="n">
        <f aca="false">VLOOKUP(B1636,Заказы!$A$2:$E$2995,3,FALSE())</f>
        <v>1372</v>
      </c>
      <c r="I1636" s="1" t="str">
        <f aca="false">VLOOKUP(H1636,Клиенты!$A$2:$E$1995,5,FALSE())</f>
        <v>г. Кострома</v>
      </c>
      <c r="J1636" s="1" t="n">
        <f aca="false">VLOOKUP(B1636,Заказы!$A$2:$E$2995,4,FALSE())</f>
        <v>593</v>
      </c>
      <c r="K1636" s="1" t="str">
        <f aca="false">VLOOKUP(B1636,Заказы!$A$2:$E$2995,5,FALSE())</f>
        <v>Выполнено</v>
      </c>
      <c r="L1636" s="1" t="n">
        <f aca="false">D1636*F1636+J1636</f>
        <v>6128</v>
      </c>
      <c r="M1636" s="1" t="n">
        <f aca="false">IF(AND(E1636="Пицца Труслейка",I1636="г. Москва",K1636="Выполнено",G1636&gt;=DATE(2020,7,1),G1636&lt;DATE(2020,8,1)),L1636,0)</f>
        <v>0</v>
      </c>
    </row>
    <row r="1637" customFormat="false" ht="15" hidden="false" customHeight="true" outlineLevel="0" collapsed="false">
      <c r="A1637" s="1" t="n">
        <v>101325</v>
      </c>
      <c r="B1637" s="1" t="n">
        <v>50593</v>
      </c>
      <c r="C1637" s="1" t="n">
        <v>14</v>
      </c>
      <c r="D1637" s="1" t="n">
        <v>5</v>
      </c>
      <c r="E1637" s="1" t="str">
        <f aca="false">VLOOKUP(C1637,Меню!$A$2:$C$24,2,FALSE())</f>
        <v>Пицца Сырный цыпленок</v>
      </c>
      <c r="F1637" s="1" t="n">
        <f aca="false">VLOOKUP(C1637,Меню!$A$2:$C$24,3,FALSE())</f>
        <v>555</v>
      </c>
      <c r="G1637" s="5" t="n">
        <f aca="false">VLOOKUP(B1637,Заказы!$A$2:$E$2995,2,FALSE())</f>
        <v>44007</v>
      </c>
      <c r="H1637" s="1" t="n">
        <f aca="false">VLOOKUP(B1637,Заказы!$A$2:$E$2995,3,FALSE())</f>
        <v>262</v>
      </c>
      <c r="I1637" s="1" t="str">
        <f aca="false">VLOOKUP(H1637,Клиенты!$A$2:$E$1995,5,FALSE())</f>
        <v>г. Дзержинский</v>
      </c>
      <c r="J1637" s="1" t="n">
        <f aca="false">VLOOKUP(B1637,Заказы!$A$2:$E$2995,4,FALSE())</f>
        <v>756</v>
      </c>
      <c r="K1637" s="1" t="str">
        <f aca="false">VLOOKUP(B1637,Заказы!$A$2:$E$2995,5,FALSE())</f>
        <v>Выполнено</v>
      </c>
      <c r="L1637" s="1" t="n">
        <f aca="false">D1637*F1637+J1637</f>
        <v>3531</v>
      </c>
      <c r="M1637" s="1" t="n">
        <f aca="false">IF(AND(E1637="Пицца Труслейка",I1637="г. Москва",K1637="Выполнено",G1637&gt;=DATE(2020,7,1),G1637&lt;DATE(2020,8,1)),L1637,0)</f>
        <v>0</v>
      </c>
    </row>
    <row r="1638" customFormat="false" ht="15" hidden="false" customHeight="true" outlineLevel="0" collapsed="false">
      <c r="A1638" s="1" t="n">
        <v>101340</v>
      </c>
      <c r="B1638" s="1" t="n">
        <v>50233</v>
      </c>
      <c r="C1638" s="1" t="n">
        <v>8</v>
      </c>
      <c r="D1638" s="1" t="n">
        <v>3</v>
      </c>
      <c r="E1638" s="1" t="str">
        <f aca="false">VLOOKUP(C1638,Меню!$A$2:$C$24,2,FALSE())</f>
        <v>Пицца Мясная</v>
      </c>
      <c r="F1638" s="1" t="n">
        <f aca="false">VLOOKUP(C1638,Меню!$A$2:$C$24,3,FALSE())</f>
        <v>615</v>
      </c>
      <c r="G1638" s="5" t="n">
        <f aca="false">VLOOKUP(B1638,Заказы!$A$2:$E$2995,2,FALSE())</f>
        <v>44063</v>
      </c>
      <c r="H1638" s="1" t="n">
        <f aca="false">VLOOKUP(B1638,Заказы!$A$2:$E$2995,3,FALSE())</f>
        <v>1658</v>
      </c>
      <c r="I1638" s="1" t="str">
        <f aca="false">VLOOKUP(H1638,Клиенты!$A$2:$E$1995,5,FALSE())</f>
        <v>г. Дно</v>
      </c>
      <c r="J1638" s="1" t="n">
        <f aca="false">VLOOKUP(B1638,Заказы!$A$2:$E$2995,4,FALSE())</f>
        <v>486</v>
      </c>
      <c r="K1638" s="1" t="str">
        <f aca="false">VLOOKUP(B1638,Заказы!$A$2:$E$2995,5,FALSE())</f>
        <v>Выполнено</v>
      </c>
      <c r="L1638" s="1" t="n">
        <f aca="false">D1638*F1638+J1638</f>
        <v>2331</v>
      </c>
      <c r="M1638" s="1" t="n">
        <f aca="false">IF(AND(E1638="Пицца Труслейка",I1638="г. Москва",K1638="Выполнено",G1638&gt;=DATE(2020,7,1),G1638&lt;DATE(2020,8,1)),L1638,0)</f>
        <v>0</v>
      </c>
    </row>
    <row r="1639" customFormat="false" ht="15" hidden="false" customHeight="true" outlineLevel="0" collapsed="false">
      <c r="A1639" s="1" t="n">
        <v>100319</v>
      </c>
      <c r="B1639" s="1" t="n">
        <v>51734</v>
      </c>
      <c r="C1639" s="1" t="n">
        <v>6</v>
      </c>
      <c r="D1639" s="1" t="n">
        <v>3</v>
      </c>
      <c r="E1639" s="1" t="str">
        <f aca="false">VLOOKUP(C1639,Меню!$A$2:$C$24,2,FALSE())</f>
        <v>Пицца Капричиоза</v>
      </c>
      <c r="F1639" s="1" t="n">
        <f aca="false">VLOOKUP(C1639,Меню!$A$2:$C$24,3,FALSE())</f>
        <v>570</v>
      </c>
      <c r="G1639" s="5" t="n">
        <f aca="false">VLOOKUP(B1639,Заказы!$A$2:$E$2995,2,FALSE())</f>
        <v>43983</v>
      </c>
      <c r="H1639" s="1" t="n">
        <f aca="false">VLOOKUP(B1639,Заказы!$A$2:$E$2995,3,FALSE())</f>
        <v>383</v>
      </c>
      <c r="I1639" s="1" t="str">
        <f aca="false">VLOOKUP(H1639,Клиенты!$A$2:$E$1995,5,FALSE())</f>
        <v>г. Нижневартовск</v>
      </c>
      <c r="J1639" s="1" t="n">
        <f aca="false">VLOOKUP(B1639,Заказы!$A$2:$E$2995,4,FALSE())</f>
        <v>0</v>
      </c>
      <c r="K1639" s="1" t="str">
        <f aca="false">VLOOKUP(B1639,Заказы!$A$2:$E$2995,5,FALSE())</f>
        <v>Не выполнено</v>
      </c>
      <c r="L1639" s="1" t="n">
        <f aca="false">D1639*F1639+J1639</f>
        <v>1710</v>
      </c>
      <c r="M1639" s="1" t="n">
        <f aca="false">IF(AND(E1639="Пицца Труслейка",I1639="г. Москва",K1639="Выполнено",G1639&gt;=DATE(2020,7,1),G1639&lt;DATE(2020,8,1)),L1639,0)</f>
        <v>0</v>
      </c>
    </row>
    <row r="1640" customFormat="false" ht="15" hidden="false" customHeight="true" outlineLevel="0" collapsed="false">
      <c r="A1640" s="1" t="n">
        <v>100009</v>
      </c>
      <c r="B1640" s="1" t="n">
        <v>50419</v>
      </c>
      <c r="C1640" s="1" t="n">
        <v>17</v>
      </c>
      <c r="D1640" s="1" t="n">
        <v>5</v>
      </c>
      <c r="E1640" s="1" t="str">
        <f aca="false">VLOOKUP(C1640,Меню!$A$2:$C$24,2,FALSE())</f>
        <v>Пицца Френч Фрайз</v>
      </c>
      <c r="F1640" s="1" t="n">
        <f aca="false">VLOOKUP(C1640,Меню!$A$2:$C$24,3,FALSE())</f>
        <v>515</v>
      </c>
      <c r="G1640" s="5" t="n">
        <f aca="false">VLOOKUP(B1640,Заказы!$A$2:$E$2995,2,FALSE())</f>
        <v>44057</v>
      </c>
      <c r="H1640" s="1" t="n">
        <f aca="false">VLOOKUP(B1640,Заказы!$A$2:$E$2995,3,FALSE())</f>
        <v>517</v>
      </c>
      <c r="I1640" s="1" t="str">
        <f aca="false">VLOOKUP(H1640,Клиенты!$A$2:$E$1995,5,FALSE())</f>
        <v>г. Батайск</v>
      </c>
      <c r="J1640" s="1" t="n">
        <f aca="false">VLOOKUP(B1640,Заказы!$A$2:$E$2995,4,FALSE())</f>
        <v>0</v>
      </c>
      <c r="K1640" s="1" t="str">
        <f aca="false">VLOOKUP(B1640,Заказы!$A$2:$E$2995,5,FALSE())</f>
        <v>Не выполнено</v>
      </c>
      <c r="L1640" s="1" t="n">
        <f aca="false">D1640*F1640+J1640</f>
        <v>2575</v>
      </c>
      <c r="M1640" s="1" t="n">
        <f aca="false">IF(AND(E1640="Пицца Труслейка",I1640="г. Москва",K1640="Выполнено",G1640&gt;=DATE(2020,7,1),G1640&lt;DATE(2020,8,1)),L1640,0)</f>
        <v>0</v>
      </c>
    </row>
    <row r="1641" customFormat="false" ht="15" hidden="false" customHeight="true" outlineLevel="0" collapsed="false">
      <c r="A1641" s="1" t="n">
        <v>101455</v>
      </c>
      <c r="B1641" s="1" t="n">
        <v>50562</v>
      </c>
      <c r="C1641" s="1" t="n">
        <v>4</v>
      </c>
      <c r="D1641" s="1" t="n">
        <v>3</v>
      </c>
      <c r="E1641" s="1" t="str">
        <f aca="false">VLOOKUP(C1641,Меню!$A$2:$C$24,2,FALSE())</f>
        <v>Пицца Труслейка</v>
      </c>
      <c r="F1641" s="1" t="n">
        <f aca="false">VLOOKUP(C1641,Меню!$A$2:$C$24,3,FALSE())</f>
        <v>610</v>
      </c>
      <c r="G1641" s="5" t="n">
        <f aca="false">VLOOKUP(B1641,Заказы!$A$2:$E$2995,2,FALSE())</f>
        <v>44055</v>
      </c>
      <c r="H1641" s="1" t="n">
        <f aca="false">VLOOKUP(B1641,Заказы!$A$2:$E$2995,3,FALSE())</f>
        <v>22</v>
      </c>
      <c r="I1641" s="1" t="str">
        <f aca="false">VLOOKUP(H1641,Клиенты!$A$2:$E$1995,5,FALSE())</f>
        <v>г. Сельцо</v>
      </c>
      <c r="J1641" s="1" t="n">
        <f aca="false">VLOOKUP(B1641,Заказы!$A$2:$E$2995,4,FALSE())</f>
        <v>301</v>
      </c>
      <c r="K1641" s="1" t="str">
        <f aca="false">VLOOKUP(B1641,Заказы!$A$2:$E$2995,5,FALSE())</f>
        <v>Выполнено</v>
      </c>
      <c r="L1641" s="1" t="n">
        <f aca="false">D1641*F1641+J1641</f>
        <v>2131</v>
      </c>
      <c r="M1641" s="1" t="n">
        <f aca="false">IF(AND(E1641="Пицца Труслейка",I1641="г. Москва",K1641="Выполнено",G1641&gt;=DATE(2020,7,1),G1641&lt;DATE(2020,8,1)),L1641,0)</f>
        <v>0</v>
      </c>
    </row>
    <row r="1642" customFormat="false" ht="15" hidden="false" customHeight="true" outlineLevel="0" collapsed="false">
      <c r="A1642" s="1" t="n">
        <v>100556</v>
      </c>
      <c r="B1642" s="1" t="n">
        <v>50836</v>
      </c>
      <c r="C1642" s="1" t="n">
        <v>10</v>
      </c>
      <c r="D1642" s="1" t="n">
        <v>6</v>
      </c>
      <c r="E1642" s="1" t="str">
        <f aca="false">VLOOKUP(C1642,Меню!$A$2:$C$24,2,FALSE())</f>
        <v>Пицца Пепперони фреш</v>
      </c>
      <c r="F1642" s="1" t="n">
        <f aca="false">VLOOKUP(C1642,Меню!$A$2:$C$24,3,FALSE())</f>
        <v>565</v>
      </c>
      <c r="G1642" s="5" t="n">
        <f aca="false">VLOOKUP(B1642,Заказы!$A$2:$E$2995,2,FALSE())</f>
        <v>44003</v>
      </c>
      <c r="H1642" s="1" t="n">
        <f aca="false">VLOOKUP(B1642,Заказы!$A$2:$E$2995,3,FALSE())</f>
        <v>676</v>
      </c>
      <c r="I1642" s="1" t="str">
        <f aca="false">VLOOKUP(H1642,Клиенты!$A$2:$E$1995,5,FALSE())</f>
        <v>г. Петрозаводск</v>
      </c>
      <c r="J1642" s="1" t="n">
        <f aca="false">VLOOKUP(B1642,Заказы!$A$2:$E$2995,4,FALSE())</f>
        <v>436</v>
      </c>
      <c r="K1642" s="1" t="str">
        <f aca="false">VLOOKUP(B1642,Заказы!$A$2:$E$2995,5,FALSE())</f>
        <v>Выполнено</v>
      </c>
      <c r="L1642" s="1" t="n">
        <f aca="false">D1642*F1642+J1642</f>
        <v>3826</v>
      </c>
      <c r="M1642" s="1" t="n">
        <f aca="false">IF(AND(E1642="Пицца Труслейка",I1642="г. Москва",K1642="Выполнено",G1642&gt;=DATE(2020,7,1),G1642&lt;DATE(2020,8,1)),L1642,0)</f>
        <v>0</v>
      </c>
    </row>
    <row r="1643" customFormat="false" ht="15" hidden="false" customHeight="true" outlineLevel="0" collapsed="false">
      <c r="A1643" s="1" t="n">
        <v>101304</v>
      </c>
      <c r="B1643" s="1" t="n">
        <v>50878</v>
      </c>
      <c r="C1643" s="1" t="n">
        <v>6</v>
      </c>
      <c r="D1643" s="1" t="n">
        <v>6</v>
      </c>
      <c r="E1643" s="1" t="str">
        <f aca="false">VLOOKUP(C1643,Меню!$A$2:$C$24,2,FALSE())</f>
        <v>Пицца Капричиоза</v>
      </c>
      <c r="F1643" s="1" t="n">
        <f aca="false">VLOOKUP(C1643,Меню!$A$2:$C$24,3,FALSE())</f>
        <v>570</v>
      </c>
      <c r="G1643" s="5" t="n">
        <f aca="false">VLOOKUP(B1643,Заказы!$A$2:$E$2995,2,FALSE())</f>
        <v>43997</v>
      </c>
      <c r="H1643" s="1" t="n">
        <f aca="false">VLOOKUP(B1643,Заказы!$A$2:$E$2995,3,FALSE())</f>
        <v>319</v>
      </c>
      <c r="I1643" s="1" t="str">
        <f aca="false">VLOOKUP(H1643,Клиенты!$A$2:$E$1995,5,FALSE())</f>
        <v>г. Воскресенск</v>
      </c>
      <c r="J1643" s="1" t="n">
        <f aca="false">VLOOKUP(B1643,Заказы!$A$2:$E$2995,4,FALSE())</f>
        <v>751</v>
      </c>
      <c r="K1643" s="1" t="str">
        <f aca="false">VLOOKUP(B1643,Заказы!$A$2:$E$2995,5,FALSE())</f>
        <v>Выполнено</v>
      </c>
      <c r="L1643" s="1" t="n">
        <f aca="false">D1643*F1643+J1643</f>
        <v>4171</v>
      </c>
      <c r="M1643" s="1" t="n">
        <f aca="false">IF(AND(E1643="Пицца Труслейка",I1643="г. Москва",K1643="Выполнено",G1643&gt;=DATE(2020,7,1),G1643&lt;DATE(2020,8,1)),L1643,0)</f>
        <v>0</v>
      </c>
    </row>
    <row r="1644" customFormat="false" ht="15" hidden="false" customHeight="true" outlineLevel="0" collapsed="false">
      <c r="A1644" s="1" t="n">
        <v>101807</v>
      </c>
      <c r="B1644" s="1" t="n">
        <v>50760</v>
      </c>
      <c r="C1644" s="1" t="n">
        <v>4</v>
      </c>
      <c r="D1644" s="1" t="n">
        <v>9</v>
      </c>
      <c r="E1644" s="1" t="str">
        <f aca="false">VLOOKUP(C1644,Меню!$A$2:$C$24,2,FALSE())</f>
        <v>Пицца Труслейка</v>
      </c>
      <c r="F1644" s="1" t="n">
        <f aca="false">VLOOKUP(C1644,Меню!$A$2:$C$24,3,FALSE())</f>
        <v>610</v>
      </c>
      <c r="G1644" s="5" t="n">
        <f aca="false">VLOOKUP(B1644,Заказы!$A$2:$E$2995,2,FALSE())</f>
        <v>44039</v>
      </c>
      <c r="H1644" s="1" t="n">
        <f aca="false">VLOOKUP(B1644,Заказы!$A$2:$E$2995,3,FALSE())</f>
        <v>1197</v>
      </c>
      <c r="I1644" s="1" t="str">
        <f aca="false">VLOOKUP(H1644,Клиенты!$A$2:$E$1995,5,FALSE())</f>
        <v>г. Шумиха</v>
      </c>
      <c r="J1644" s="1" t="n">
        <f aca="false">VLOOKUP(B1644,Заказы!$A$2:$E$2995,4,FALSE())</f>
        <v>0</v>
      </c>
      <c r="K1644" s="1" t="str">
        <f aca="false">VLOOKUP(B1644,Заказы!$A$2:$E$2995,5,FALSE())</f>
        <v>Не выполнено</v>
      </c>
      <c r="L1644" s="1" t="n">
        <f aca="false">D1644*F1644+J1644</f>
        <v>5490</v>
      </c>
      <c r="M1644" s="1" t="n">
        <f aca="false">IF(AND(E1644="Пицца Труслейка",I1644="г. Москва",K1644="Выполнено",G1644&gt;=DATE(2020,7,1),G1644&lt;DATE(2020,8,1)),L1644,0)</f>
        <v>0</v>
      </c>
    </row>
    <row r="1645" customFormat="false" ht="15" hidden="false" customHeight="true" outlineLevel="0" collapsed="false">
      <c r="A1645" s="1" t="n">
        <v>101471</v>
      </c>
      <c r="B1645" s="1" t="n">
        <v>50027</v>
      </c>
      <c r="C1645" s="1" t="n">
        <v>14</v>
      </c>
      <c r="D1645" s="1" t="n">
        <v>7</v>
      </c>
      <c r="E1645" s="1" t="str">
        <f aca="false">VLOOKUP(C1645,Меню!$A$2:$C$24,2,FALSE())</f>
        <v>Пицца Сырный цыпленок</v>
      </c>
      <c r="F1645" s="1" t="n">
        <f aca="false">VLOOKUP(C1645,Меню!$A$2:$C$24,3,FALSE())</f>
        <v>555</v>
      </c>
      <c r="G1645" s="5" t="n">
        <f aca="false">VLOOKUP(B1645,Заказы!$A$2:$E$2995,2,FALSE())</f>
        <v>44050</v>
      </c>
      <c r="H1645" s="1" t="n">
        <f aca="false">VLOOKUP(B1645,Заказы!$A$2:$E$2995,3,FALSE())</f>
        <v>1159</v>
      </c>
      <c r="I1645" s="1" t="str">
        <f aca="false">VLOOKUP(H1645,Клиенты!$A$2:$E$1995,5,FALSE())</f>
        <v>г. Сухиничи</v>
      </c>
      <c r="J1645" s="1" t="n">
        <f aca="false">VLOOKUP(B1645,Заказы!$A$2:$E$2995,4,FALSE())</f>
        <v>548</v>
      </c>
      <c r="K1645" s="1" t="str">
        <f aca="false">VLOOKUP(B1645,Заказы!$A$2:$E$2995,5,FALSE())</f>
        <v>Выполнено</v>
      </c>
      <c r="L1645" s="1" t="n">
        <f aca="false">D1645*F1645+J1645</f>
        <v>4433</v>
      </c>
      <c r="M1645" s="1" t="n">
        <f aca="false">IF(AND(E1645="Пицца Труслейка",I1645="г. Москва",K1645="Выполнено",G1645&gt;=DATE(2020,7,1),G1645&lt;DATE(2020,8,1)),L1645,0)</f>
        <v>0</v>
      </c>
    </row>
    <row r="1646" customFormat="false" ht="15" hidden="false" customHeight="true" outlineLevel="0" collapsed="false">
      <c r="A1646" s="1" t="n">
        <v>100015</v>
      </c>
      <c r="B1646" s="1" t="n">
        <v>51196</v>
      </c>
      <c r="C1646" s="1" t="n">
        <v>22</v>
      </c>
      <c r="D1646" s="1" t="n">
        <v>9</v>
      </c>
      <c r="E1646" s="1" t="str">
        <f aca="false">VLOOKUP(C1646,Меню!$A$2:$C$24,2,FALSE())</f>
        <v>Пицца с поркеттой и фриарелли</v>
      </c>
      <c r="F1646" s="1" t="n">
        <f aca="false">VLOOKUP(C1646,Меню!$A$2:$C$24,3,FALSE())</f>
        <v>550</v>
      </c>
      <c r="G1646" s="5" t="n">
        <f aca="false">VLOOKUP(B1646,Заказы!$A$2:$E$2995,2,FALSE())</f>
        <v>44025</v>
      </c>
      <c r="H1646" s="1" t="n">
        <f aca="false">VLOOKUP(B1646,Заказы!$A$2:$E$2995,3,FALSE())</f>
        <v>1039</v>
      </c>
      <c r="I1646" s="1" t="str">
        <f aca="false">VLOOKUP(H1646,Клиенты!$A$2:$E$1995,5,FALSE())</f>
        <v>г. Малоярославец</v>
      </c>
      <c r="J1646" s="1" t="n">
        <f aca="false">VLOOKUP(B1646,Заказы!$A$2:$E$2995,4,FALSE())</f>
        <v>212</v>
      </c>
      <c r="K1646" s="1" t="str">
        <f aca="false">VLOOKUP(B1646,Заказы!$A$2:$E$2995,5,FALSE())</f>
        <v>Выполнено</v>
      </c>
      <c r="L1646" s="1" t="n">
        <f aca="false">D1646*F1646+J1646</f>
        <v>5162</v>
      </c>
      <c r="M1646" s="1" t="n">
        <f aca="false">IF(AND(E1646="Пицца Труслейка",I1646="г. Москва",K1646="Выполнено",G1646&gt;=DATE(2020,7,1),G1646&lt;DATE(2020,8,1)),L1646,0)</f>
        <v>0</v>
      </c>
    </row>
    <row r="1647" customFormat="false" ht="15" hidden="false" customHeight="true" outlineLevel="0" collapsed="false">
      <c r="A1647" s="1" t="n">
        <v>101156</v>
      </c>
      <c r="B1647" s="1" t="n">
        <v>50348</v>
      </c>
      <c r="C1647" s="1" t="n">
        <v>8</v>
      </c>
      <c r="D1647" s="1" t="n">
        <v>2</v>
      </c>
      <c r="E1647" s="1" t="str">
        <f aca="false">VLOOKUP(C1647,Меню!$A$2:$C$24,2,FALSE())</f>
        <v>Пицца Мясная</v>
      </c>
      <c r="F1647" s="1" t="n">
        <f aca="false">VLOOKUP(C1647,Меню!$A$2:$C$24,3,FALSE())</f>
        <v>615</v>
      </c>
      <c r="G1647" s="5" t="n">
        <f aca="false">VLOOKUP(B1647,Заказы!$A$2:$E$2995,2,FALSE())</f>
        <v>44005</v>
      </c>
      <c r="H1647" s="1" t="n">
        <f aca="false">VLOOKUP(B1647,Заказы!$A$2:$E$2995,3,FALSE())</f>
        <v>1801</v>
      </c>
      <c r="I1647" s="1" t="str">
        <f aca="false">VLOOKUP(H1647,Клиенты!$A$2:$E$1995,5,FALSE())</f>
        <v>г. Кировск</v>
      </c>
      <c r="J1647" s="1" t="n">
        <f aca="false">VLOOKUP(B1647,Заказы!$A$2:$E$2995,4,FALSE())</f>
        <v>0</v>
      </c>
      <c r="K1647" s="1" t="str">
        <f aca="false">VLOOKUP(B1647,Заказы!$A$2:$E$2995,5,FALSE())</f>
        <v>Не выполнено</v>
      </c>
      <c r="L1647" s="1" t="n">
        <f aca="false">D1647*F1647+J1647</f>
        <v>1230</v>
      </c>
      <c r="M1647" s="1" t="n">
        <f aca="false">IF(AND(E1647="Пицца Труслейка",I1647="г. Москва",K1647="Выполнено",G1647&gt;=DATE(2020,7,1),G1647&lt;DATE(2020,8,1)),L1647,0)</f>
        <v>0</v>
      </c>
    </row>
    <row r="1648" customFormat="false" ht="15" hidden="false" customHeight="true" outlineLevel="0" collapsed="false">
      <c r="A1648" s="1" t="n">
        <v>100354</v>
      </c>
      <c r="B1648" s="1" t="n">
        <v>50605</v>
      </c>
      <c r="C1648" s="1" t="n">
        <v>2</v>
      </c>
      <c r="D1648" s="1" t="n">
        <v>7</v>
      </c>
      <c r="E1648" s="1" t="str">
        <f aca="false">VLOOKUP(C1648,Меню!$A$2:$C$24,2,FALSE())</f>
        <v>Пицца Двойная пепперони</v>
      </c>
      <c r="F1648" s="1" t="n">
        <f aca="false">VLOOKUP(C1648,Меню!$A$2:$C$24,3,FALSE())</f>
        <v>575</v>
      </c>
      <c r="G1648" s="5" t="n">
        <f aca="false">VLOOKUP(B1648,Заказы!$A$2:$E$2995,2,FALSE())</f>
        <v>43985</v>
      </c>
      <c r="H1648" s="1" t="n">
        <f aca="false">VLOOKUP(B1648,Заказы!$A$2:$E$2995,3,FALSE())</f>
        <v>691</v>
      </c>
      <c r="I1648" s="1" t="str">
        <f aca="false">VLOOKUP(H1648,Клиенты!$A$2:$E$1995,5,FALSE())</f>
        <v>г. Одинцово</v>
      </c>
      <c r="J1648" s="1" t="n">
        <f aca="false">VLOOKUP(B1648,Заказы!$A$2:$E$2995,4,FALSE())</f>
        <v>170</v>
      </c>
      <c r="K1648" s="1" t="str">
        <f aca="false">VLOOKUP(B1648,Заказы!$A$2:$E$2995,5,FALSE())</f>
        <v>Выполнено</v>
      </c>
      <c r="L1648" s="1" t="n">
        <f aca="false">D1648*F1648+J1648</f>
        <v>4195</v>
      </c>
      <c r="M1648" s="1" t="n">
        <f aca="false">IF(AND(E1648="Пицца Труслейка",I1648="г. Москва",K1648="Выполнено",G1648&gt;=DATE(2020,7,1),G1648&lt;DATE(2020,8,1)),L1648,0)</f>
        <v>0</v>
      </c>
    </row>
    <row r="1649" customFormat="false" ht="15" hidden="false" customHeight="true" outlineLevel="0" collapsed="false">
      <c r="A1649" s="1" t="n">
        <v>101087</v>
      </c>
      <c r="B1649" s="1" t="n">
        <v>51209</v>
      </c>
      <c r="C1649" s="1" t="n">
        <v>14</v>
      </c>
      <c r="D1649" s="1" t="n">
        <v>10</v>
      </c>
      <c r="E1649" s="1" t="str">
        <f aca="false">VLOOKUP(C1649,Меню!$A$2:$C$24,2,FALSE())</f>
        <v>Пицца Сырный цыпленок</v>
      </c>
      <c r="F1649" s="1" t="n">
        <f aca="false">VLOOKUP(C1649,Меню!$A$2:$C$24,3,FALSE())</f>
        <v>555</v>
      </c>
      <c r="G1649" s="5" t="n">
        <f aca="false">VLOOKUP(B1649,Заказы!$A$2:$E$2995,2,FALSE())</f>
        <v>43993</v>
      </c>
      <c r="H1649" s="1" t="n">
        <f aca="false">VLOOKUP(B1649,Заказы!$A$2:$E$2995,3,FALSE())</f>
        <v>1109</v>
      </c>
      <c r="I1649" s="1" t="str">
        <f aca="false">VLOOKUP(H1649,Клиенты!$A$2:$E$1995,5,FALSE())</f>
        <v>г. Шагонар</v>
      </c>
      <c r="J1649" s="1" t="n">
        <f aca="false">VLOOKUP(B1649,Заказы!$A$2:$E$2995,4,FALSE())</f>
        <v>795</v>
      </c>
      <c r="K1649" s="1" t="str">
        <f aca="false">VLOOKUP(B1649,Заказы!$A$2:$E$2995,5,FALSE())</f>
        <v>Выполнено</v>
      </c>
      <c r="L1649" s="1" t="n">
        <f aca="false">D1649*F1649+J1649</f>
        <v>6345</v>
      </c>
      <c r="M1649" s="1" t="n">
        <f aca="false">IF(AND(E1649="Пицца Труслейка",I1649="г. Москва",K1649="Выполнено",G1649&gt;=DATE(2020,7,1),G1649&lt;DATE(2020,8,1)),L1649,0)</f>
        <v>0</v>
      </c>
    </row>
    <row r="1650" customFormat="false" ht="15" hidden="false" customHeight="true" outlineLevel="0" collapsed="false">
      <c r="A1650" s="1" t="n">
        <v>101357</v>
      </c>
      <c r="B1650" s="1" t="n">
        <v>51655</v>
      </c>
      <c r="C1650" s="1" t="n">
        <v>18</v>
      </c>
      <c r="D1650" s="1" t="n">
        <v>8</v>
      </c>
      <c r="E1650" s="1" t="str">
        <f aca="false">VLOOKUP(C1650,Меню!$A$2:$C$24,2,FALSE())</f>
        <v>Пицца Царская</v>
      </c>
      <c r="F1650" s="1" t="n">
        <f aca="false">VLOOKUP(C1650,Меню!$A$2:$C$24,3,FALSE())</f>
        <v>620</v>
      </c>
      <c r="G1650" s="5" t="n">
        <f aca="false">VLOOKUP(B1650,Заказы!$A$2:$E$2995,2,FALSE())</f>
        <v>44024</v>
      </c>
      <c r="H1650" s="1" t="n">
        <f aca="false">VLOOKUP(B1650,Заказы!$A$2:$E$2995,3,FALSE())</f>
        <v>334</v>
      </c>
      <c r="I1650" s="1" t="str">
        <f aca="false">VLOOKUP(H1650,Клиенты!$A$2:$E$1995,5,FALSE())</f>
        <v>г. Йошкар-Ола</v>
      </c>
      <c r="J1650" s="1" t="n">
        <f aca="false">VLOOKUP(B1650,Заказы!$A$2:$E$2995,4,FALSE())</f>
        <v>137</v>
      </c>
      <c r="K1650" s="1" t="str">
        <f aca="false">VLOOKUP(B1650,Заказы!$A$2:$E$2995,5,FALSE())</f>
        <v>Выполнено</v>
      </c>
      <c r="L1650" s="1" t="n">
        <f aca="false">D1650*F1650+J1650</f>
        <v>5097</v>
      </c>
      <c r="M1650" s="1" t="n">
        <f aca="false">IF(AND(E1650="Пицца Труслейка",I1650="г. Москва",K1650="Выполнено",G1650&gt;=DATE(2020,7,1),G1650&lt;DATE(2020,8,1)),L1650,0)</f>
        <v>0</v>
      </c>
    </row>
    <row r="1651" customFormat="false" ht="15" hidden="false" customHeight="true" outlineLevel="0" collapsed="false">
      <c r="A1651" s="1" t="n">
        <v>101508</v>
      </c>
      <c r="B1651" s="1" t="n">
        <v>50399</v>
      </c>
      <c r="C1651" s="1" t="n">
        <v>4</v>
      </c>
      <c r="D1651" s="1" t="n">
        <v>6</v>
      </c>
      <c r="E1651" s="1" t="str">
        <f aca="false">VLOOKUP(C1651,Меню!$A$2:$C$24,2,FALSE())</f>
        <v>Пицца Труслейка</v>
      </c>
      <c r="F1651" s="1" t="n">
        <f aca="false">VLOOKUP(C1651,Меню!$A$2:$C$24,3,FALSE())</f>
        <v>610</v>
      </c>
      <c r="G1651" s="5" t="n">
        <f aca="false">VLOOKUP(B1651,Заказы!$A$2:$E$2995,2,FALSE())</f>
        <v>44010</v>
      </c>
      <c r="H1651" s="1" t="n">
        <f aca="false">VLOOKUP(B1651,Заказы!$A$2:$E$2995,3,FALSE())</f>
        <v>1577</v>
      </c>
      <c r="I1651" s="1" t="str">
        <f aca="false">VLOOKUP(H1651,Клиенты!$A$2:$E$1995,5,FALSE())</f>
        <v>г. Сольвычегодск</v>
      </c>
      <c r="J1651" s="1" t="n">
        <f aca="false">VLOOKUP(B1651,Заказы!$A$2:$E$2995,4,FALSE())</f>
        <v>657</v>
      </c>
      <c r="K1651" s="1" t="str">
        <f aca="false">VLOOKUP(B1651,Заказы!$A$2:$E$2995,5,FALSE())</f>
        <v>Выполнено</v>
      </c>
      <c r="L1651" s="1" t="n">
        <f aca="false">D1651*F1651+J1651</f>
        <v>4317</v>
      </c>
      <c r="M1651" s="1" t="n">
        <f aca="false">IF(AND(E1651="Пицца Труслейка",I1651="г. Москва",K1651="Выполнено",G1651&gt;=DATE(2020,7,1),G1651&lt;DATE(2020,8,1)),L1651,0)</f>
        <v>0</v>
      </c>
    </row>
    <row r="1652" customFormat="false" ht="15" hidden="false" customHeight="true" outlineLevel="0" collapsed="false">
      <c r="A1652" s="1" t="n">
        <v>100281</v>
      </c>
      <c r="B1652" s="1" t="n">
        <v>50030</v>
      </c>
      <c r="C1652" s="1" t="n">
        <v>20</v>
      </c>
      <c r="D1652" s="1" t="n">
        <v>6</v>
      </c>
      <c r="E1652" s="1" t="str">
        <f aca="false">VLOOKUP(C1652,Меню!$A$2:$C$24,2,FALSE())</f>
        <v>Пицца пиканте</v>
      </c>
      <c r="F1652" s="1" t="n">
        <f aca="false">VLOOKUP(C1652,Меню!$A$2:$C$24,3,FALSE())</f>
        <v>585</v>
      </c>
      <c r="G1652" s="5" t="n">
        <f aca="false">VLOOKUP(B1652,Заказы!$A$2:$E$2995,2,FALSE())</f>
        <v>44046</v>
      </c>
      <c r="H1652" s="1" t="n">
        <f aca="false">VLOOKUP(B1652,Заказы!$A$2:$E$2995,3,FALSE())</f>
        <v>1302</v>
      </c>
      <c r="I1652" s="1" t="str">
        <f aca="false">VLOOKUP(H1652,Клиенты!$A$2:$E$1995,5,FALSE())</f>
        <v>г. Жирновск</v>
      </c>
      <c r="J1652" s="1" t="n">
        <f aca="false">VLOOKUP(B1652,Заказы!$A$2:$E$2995,4,FALSE())</f>
        <v>199</v>
      </c>
      <c r="K1652" s="1" t="str">
        <f aca="false">VLOOKUP(B1652,Заказы!$A$2:$E$2995,5,FALSE())</f>
        <v>Выполнено</v>
      </c>
      <c r="L1652" s="1" t="n">
        <f aca="false">D1652*F1652+J1652</f>
        <v>3709</v>
      </c>
      <c r="M1652" s="1" t="n">
        <f aca="false">IF(AND(E1652="Пицца Труслейка",I1652="г. Москва",K1652="Выполнено",G1652&gt;=DATE(2020,7,1),G1652&lt;DATE(2020,8,1)),L1652,0)</f>
        <v>0</v>
      </c>
    </row>
    <row r="1653" customFormat="false" ht="15" hidden="false" customHeight="true" outlineLevel="0" collapsed="false">
      <c r="A1653" s="1" t="n">
        <v>101467</v>
      </c>
      <c r="B1653" s="1" t="n">
        <v>50031</v>
      </c>
      <c r="C1653" s="1" t="n">
        <v>21</v>
      </c>
      <c r="D1653" s="1" t="n">
        <v>3</v>
      </c>
      <c r="E1653" s="1" t="str">
        <f aca="false">VLOOKUP(C1653,Меню!$A$2:$C$24,2,FALSE())</f>
        <v>Пицца с креветками и цукини</v>
      </c>
      <c r="F1653" s="1" t="n">
        <f aca="false">VLOOKUP(C1653,Меню!$A$2:$C$24,3,FALSE())</f>
        <v>600</v>
      </c>
      <c r="G1653" s="5" t="n">
        <f aca="false">VLOOKUP(B1653,Заказы!$A$2:$E$2995,2,FALSE())</f>
        <v>44022</v>
      </c>
      <c r="H1653" s="1" t="n">
        <f aca="false">VLOOKUP(B1653,Заказы!$A$2:$E$2995,3,FALSE())</f>
        <v>540</v>
      </c>
      <c r="I1653" s="1" t="str">
        <f aca="false">VLOOKUP(H1653,Клиенты!$A$2:$E$1995,5,FALSE())</f>
        <v>г. Москва</v>
      </c>
      <c r="J1653" s="1" t="n">
        <f aca="false">VLOOKUP(B1653,Заказы!$A$2:$E$2995,4,FALSE())</f>
        <v>0</v>
      </c>
      <c r="K1653" s="1" t="str">
        <f aca="false">VLOOKUP(B1653,Заказы!$A$2:$E$2995,5,FALSE())</f>
        <v>Не выполнено</v>
      </c>
      <c r="L1653" s="1" t="n">
        <f aca="false">D1653*F1653+J1653</f>
        <v>1800</v>
      </c>
      <c r="M1653" s="1" t="n">
        <f aca="false">IF(AND(E1653="Пицца Труслейка",I1653="г. Москва",K1653="Выполнено",G1653&gt;=DATE(2020,7,1),G1653&lt;DATE(2020,8,1)),L1653,0)</f>
        <v>0</v>
      </c>
    </row>
    <row r="1654" customFormat="false" ht="15" hidden="false" customHeight="true" outlineLevel="0" collapsed="false">
      <c r="A1654" s="1" t="n">
        <v>100977</v>
      </c>
      <c r="B1654" s="1" t="n">
        <v>51102</v>
      </c>
      <c r="C1654" s="1" t="n">
        <v>20</v>
      </c>
      <c r="D1654" s="1" t="n">
        <v>8</v>
      </c>
      <c r="E1654" s="1" t="str">
        <f aca="false">VLOOKUP(C1654,Меню!$A$2:$C$24,2,FALSE())</f>
        <v>Пицца пиканте</v>
      </c>
      <c r="F1654" s="1" t="n">
        <f aca="false">VLOOKUP(C1654,Меню!$A$2:$C$24,3,FALSE())</f>
        <v>585</v>
      </c>
      <c r="G1654" s="5" t="n">
        <f aca="false">VLOOKUP(B1654,Заказы!$A$2:$E$2995,2,FALSE())</f>
        <v>44003</v>
      </c>
      <c r="H1654" s="1" t="n">
        <f aca="false">VLOOKUP(B1654,Заказы!$A$2:$E$2995,3,FALSE())</f>
        <v>1006</v>
      </c>
      <c r="I1654" s="1" t="str">
        <f aca="false">VLOOKUP(H1654,Клиенты!$A$2:$E$1995,5,FALSE())</f>
        <v>г. Гаврилов-Ям</v>
      </c>
      <c r="J1654" s="1" t="n">
        <f aca="false">VLOOKUP(B1654,Заказы!$A$2:$E$2995,4,FALSE())</f>
        <v>688</v>
      </c>
      <c r="K1654" s="1" t="str">
        <f aca="false">VLOOKUP(B1654,Заказы!$A$2:$E$2995,5,FALSE())</f>
        <v>Выполнено</v>
      </c>
      <c r="L1654" s="1" t="n">
        <f aca="false">D1654*F1654+J1654</f>
        <v>5368</v>
      </c>
      <c r="M1654" s="1" t="n">
        <f aca="false">IF(AND(E1654="Пицца Труслейка",I1654="г. Москва",K1654="Выполнено",G1654&gt;=DATE(2020,7,1),G1654&lt;DATE(2020,8,1)),L1654,0)</f>
        <v>0</v>
      </c>
    </row>
    <row r="1655" customFormat="false" ht="15" hidden="false" customHeight="true" outlineLevel="0" collapsed="false">
      <c r="A1655" s="1" t="n">
        <v>101017</v>
      </c>
      <c r="B1655" s="1" t="n">
        <v>51516</v>
      </c>
      <c r="C1655" s="1" t="n">
        <v>12</v>
      </c>
      <c r="D1655" s="1" t="n">
        <v>1</v>
      </c>
      <c r="E1655" s="1" t="str">
        <f aca="false">VLOOKUP(C1655,Меню!$A$2:$C$24,2,FALSE())</f>
        <v>Пицца Салями с трюфелем</v>
      </c>
      <c r="F1655" s="1" t="n">
        <f aca="false">VLOOKUP(C1655,Меню!$A$2:$C$24,3,FALSE())</f>
        <v>525</v>
      </c>
      <c r="G1655" s="5" t="n">
        <f aca="false">VLOOKUP(B1655,Заказы!$A$2:$E$2995,2,FALSE())</f>
        <v>44057</v>
      </c>
      <c r="H1655" s="1" t="n">
        <f aca="false">VLOOKUP(B1655,Заказы!$A$2:$E$2995,3,FALSE())</f>
        <v>548</v>
      </c>
      <c r="I1655" s="1" t="str">
        <f aca="false">VLOOKUP(H1655,Клиенты!$A$2:$E$1995,5,FALSE())</f>
        <v>г. Балаково</v>
      </c>
      <c r="J1655" s="1" t="n">
        <f aca="false">VLOOKUP(B1655,Заказы!$A$2:$E$2995,4,FALSE())</f>
        <v>0</v>
      </c>
      <c r="K1655" s="1" t="str">
        <f aca="false">VLOOKUP(B1655,Заказы!$A$2:$E$2995,5,FALSE())</f>
        <v>Не выполнено</v>
      </c>
      <c r="L1655" s="1" t="n">
        <f aca="false">D1655*F1655+J1655</f>
        <v>525</v>
      </c>
      <c r="M1655" s="1" t="n">
        <f aca="false">IF(AND(E1655="Пицца Труслейка",I1655="г. Москва",K1655="Выполнено",G1655&gt;=DATE(2020,7,1),G1655&lt;DATE(2020,8,1)),L1655,0)</f>
        <v>0</v>
      </c>
    </row>
    <row r="1656" customFormat="false" ht="15" hidden="false" customHeight="true" outlineLevel="0" collapsed="false">
      <c r="A1656" s="1" t="n">
        <v>100495</v>
      </c>
      <c r="B1656" s="1" t="n">
        <v>50017</v>
      </c>
      <c r="C1656" s="1" t="n">
        <v>18</v>
      </c>
      <c r="D1656" s="1" t="n">
        <v>3</v>
      </c>
      <c r="E1656" s="1" t="str">
        <f aca="false">VLOOKUP(C1656,Меню!$A$2:$C$24,2,FALSE())</f>
        <v>Пицца Царская</v>
      </c>
      <c r="F1656" s="1" t="n">
        <f aca="false">VLOOKUP(C1656,Меню!$A$2:$C$24,3,FALSE())</f>
        <v>620</v>
      </c>
      <c r="G1656" s="5" t="n">
        <f aca="false">VLOOKUP(B1656,Заказы!$A$2:$E$2995,2,FALSE())</f>
        <v>44049</v>
      </c>
      <c r="H1656" s="1" t="n">
        <f aca="false">VLOOKUP(B1656,Заказы!$A$2:$E$2995,3,FALSE())</f>
        <v>1155</v>
      </c>
      <c r="I1656" s="1" t="str">
        <f aca="false">VLOOKUP(H1656,Клиенты!$A$2:$E$1995,5,FALSE())</f>
        <v>г. Коряжма</v>
      </c>
      <c r="J1656" s="1" t="n">
        <f aca="false">VLOOKUP(B1656,Заказы!$A$2:$E$2995,4,FALSE())</f>
        <v>674</v>
      </c>
      <c r="K1656" s="1" t="str">
        <f aca="false">VLOOKUP(B1656,Заказы!$A$2:$E$2995,5,FALSE())</f>
        <v>Выполнено</v>
      </c>
      <c r="L1656" s="1" t="n">
        <f aca="false">D1656*F1656+J1656</f>
        <v>2534</v>
      </c>
      <c r="M1656" s="1" t="n">
        <f aca="false">IF(AND(E1656="Пицца Труслейка",I1656="г. Москва",K1656="Выполнено",G1656&gt;=DATE(2020,7,1),G1656&lt;DATE(2020,8,1)),L1656,0)</f>
        <v>0</v>
      </c>
    </row>
    <row r="1657" customFormat="false" ht="15" hidden="false" customHeight="true" outlineLevel="0" collapsed="false">
      <c r="A1657" s="1" t="n">
        <v>100366</v>
      </c>
      <c r="B1657" s="1" t="n">
        <v>50667</v>
      </c>
      <c r="C1657" s="1" t="n">
        <v>4</v>
      </c>
      <c r="D1657" s="1" t="n">
        <v>2</v>
      </c>
      <c r="E1657" s="1" t="str">
        <f aca="false">VLOOKUP(C1657,Меню!$A$2:$C$24,2,FALSE())</f>
        <v>Пицца Труслейка</v>
      </c>
      <c r="F1657" s="1" t="n">
        <f aca="false">VLOOKUP(C1657,Меню!$A$2:$C$24,3,FALSE())</f>
        <v>610</v>
      </c>
      <c r="G1657" s="5" t="n">
        <f aca="false">VLOOKUP(B1657,Заказы!$A$2:$E$2995,2,FALSE())</f>
        <v>44014</v>
      </c>
      <c r="H1657" s="1" t="n">
        <f aca="false">VLOOKUP(B1657,Заказы!$A$2:$E$2995,3,FALSE())</f>
        <v>330</v>
      </c>
      <c r="I1657" s="1" t="str">
        <f aca="false">VLOOKUP(H1657,Клиенты!$A$2:$E$1995,5,FALSE())</f>
        <v>г. Москва</v>
      </c>
      <c r="J1657" s="1" t="n">
        <f aca="false">VLOOKUP(B1657,Заказы!$A$2:$E$2995,4,FALSE())</f>
        <v>0</v>
      </c>
      <c r="K1657" s="1" t="str">
        <f aca="false">VLOOKUP(B1657,Заказы!$A$2:$E$2995,5,FALSE())</f>
        <v>Не выполнено</v>
      </c>
      <c r="L1657" s="1" t="n">
        <f aca="false">D1657*F1657+J1657</f>
        <v>1220</v>
      </c>
      <c r="M1657" s="1" t="n">
        <f aca="false">IF(AND(E1657="Пицца Труслейка",I1657="г. Москва",K1657="Выполнено",G1657&gt;=DATE(2020,7,1),G1657&lt;DATE(2020,8,1)),L1657,0)</f>
        <v>0</v>
      </c>
    </row>
    <row r="1658" customFormat="false" ht="15" hidden="false" customHeight="true" outlineLevel="0" collapsed="false">
      <c r="A1658" s="1" t="n">
        <v>100439</v>
      </c>
      <c r="B1658" s="1" t="n">
        <v>51319</v>
      </c>
      <c r="C1658" s="1" t="n">
        <v>19</v>
      </c>
      <c r="D1658" s="1" t="n">
        <v>7</v>
      </c>
      <c r="E1658" s="1" t="str">
        <f aca="false">VLOOKUP(C1658,Меню!$A$2:$C$24,2,FALSE())</f>
        <v>Пицца Цезарь</v>
      </c>
      <c r="F1658" s="1" t="n">
        <f aca="false">VLOOKUP(C1658,Меню!$A$2:$C$24,3,FALSE())</f>
        <v>630</v>
      </c>
      <c r="G1658" s="5" t="n">
        <f aca="false">VLOOKUP(B1658,Заказы!$A$2:$E$2995,2,FALSE())</f>
        <v>44000</v>
      </c>
      <c r="H1658" s="1" t="n">
        <f aca="false">VLOOKUP(B1658,Заказы!$A$2:$E$2995,3,FALSE())</f>
        <v>856</v>
      </c>
      <c r="I1658" s="1" t="str">
        <f aca="false">VLOOKUP(H1658,Клиенты!$A$2:$E$1995,5,FALSE())</f>
        <v>г. Шилка</v>
      </c>
      <c r="J1658" s="1" t="n">
        <f aca="false">VLOOKUP(B1658,Заказы!$A$2:$E$2995,4,FALSE())</f>
        <v>0</v>
      </c>
      <c r="K1658" s="1" t="str">
        <f aca="false">VLOOKUP(B1658,Заказы!$A$2:$E$2995,5,FALSE())</f>
        <v>Не выполнено</v>
      </c>
      <c r="L1658" s="1" t="n">
        <f aca="false">D1658*F1658+J1658</f>
        <v>4410</v>
      </c>
      <c r="M1658" s="1" t="n">
        <f aca="false">IF(AND(E1658="Пицца Труслейка",I1658="г. Москва",K1658="Выполнено",G1658&gt;=DATE(2020,7,1),G1658&lt;DATE(2020,8,1)),L1658,0)</f>
        <v>0</v>
      </c>
    </row>
    <row r="1659" customFormat="false" ht="15" hidden="false" customHeight="true" outlineLevel="0" collapsed="false">
      <c r="A1659" s="1" t="n">
        <v>100463</v>
      </c>
      <c r="B1659" s="1" t="n">
        <v>50485</v>
      </c>
      <c r="C1659" s="1" t="n">
        <v>14</v>
      </c>
      <c r="D1659" s="1" t="n">
        <v>6</v>
      </c>
      <c r="E1659" s="1" t="str">
        <f aca="false">VLOOKUP(C1659,Меню!$A$2:$C$24,2,FALSE())</f>
        <v>Пицца Сырный цыпленок</v>
      </c>
      <c r="F1659" s="1" t="n">
        <f aca="false">VLOOKUP(C1659,Меню!$A$2:$C$24,3,FALSE())</f>
        <v>555</v>
      </c>
      <c r="G1659" s="5" t="n">
        <f aca="false">VLOOKUP(B1659,Заказы!$A$2:$E$2995,2,FALSE())</f>
        <v>44016</v>
      </c>
      <c r="H1659" s="1" t="n">
        <f aca="false">VLOOKUP(B1659,Заказы!$A$2:$E$2995,3,FALSE())</f>
        <v>450</v>
      </c>
      <c r="I1659" s="1" t="str">
        <f aca="false">VLOOKUP(H1659,Клиенты!$A$2:$E$1995,5,FALSE())</f>
        <v>г. Москва</v>
      </c>
      <c r="J1659" s="1" t="n">
        <f aca="false">VLOOKUP(B1659,Заказы!$A$2:$E$2995,4,FALSE())</f>
        <v>0</v>
      </c>
      <c r="K1659" s="1" t="str">
        <f aca="false">VLOOKUP(B1659,Заказы!$A$2:$E$2995,5,FALSE())</f>
        <v>Не выполнено</v>
      </c>
      <c r="L1659" s="1" t="n">
        <f aca="false">D1659*F1659+J1659</f>
        <v>3330</v>
      </c>
      <c r="M1659" s="1" t="n">
        <f aca="false">IF(AND(E1659="Пицца Труслейка",I1659="г. Москва",K1659="Выполнено",G1659&gt;=DATE(2020,7,1),G1659&lt;DATE(2020,8,1)),L1659,0)</f>
        <v>0</v>
      </c>
    </row>
    <row r="1660" customFormat="false" ht="15" hidden="false" customHeight="true" outlineLevel="0" collapsed="false">
      <c r="A1660" s="1" t="n">
        <v>100705</v>
      </c>
      <c r="B1660" s="1" t="n">
        <v>51524</v>
      </c>
      <c r="C1660" s="1" t="n">
        <v>8</v>
      </c>
      <c r="D1660" s="1" t="n">
        <v>1</v>
      </c>
      <c r="E1660" s="1" t="str">
        <f aca="false">VLOOKUP(C1660,Меню!$A$2:$C$24,2,FALSE())</f>
        <v>Пицца Мясная</v>
      </c>
      <c r="F1660" s="1" t="n">
        <f aca="false">VLOOKUP(C1660,Меню!$A$2:$C$24,3,FALSE())</f>
        <v>615</v>
      </c>
      <c r="G1660" s="5" t="n">
        <f aca="false">VLOOKUP(B1660,Заказы!$A$2:$E$2995,2,FALSE())</f>
        <v>44013</v>
      </c>
      <c r="H1660" s="1" t="n">
        <f aca="false">VLOOKUP(B1660,Заказы!$A$2:$E$2995,3,FALSE())</f>
        <v>1390</v>
      </c>
      <c r="I1660" s="1" t="str">
        <f aca="false">VLOOKUP(H1660,Клиенты!$A$2:$E$1995,5,FALSE())</f>
        <v>г. Москва</v>
      </c>
      <c r="J1660" s="1" t="n">
        <f aca="false">VLOOKUP(B1660,Заказы!$A$2:$E$2995,4,FALSE())</f>
        <v>814</v>
      </c>
      <c r="K1660" s="1" t="str">
        <f aca="false">VLOOKUP(B1660,Заказы!$A$2:$E$2995,5,FALSE())</f>
        <v>Выполнено</v>
      </c>
      <c r="L1660" s="1" t="n">
        <f aca="false">D1660*F1660+J1660</f>
        <v>1429</v>
      </c>
      <c r="M1660" s="1" t="n">
        <f aca="false">IF(AND(E1660="Пицца Труслейка",I1660="г. Москва",K1660="Выполнено",G1660&gt;=DATE(2020,7,1),G1660&lt;DATE(2020,8,1)),L1660,0)</f>
        <v>0</v>
      </c>
    </row>
    <row r="1661" customFormat="false" ht="15" hidden="false" customHeight="true" outlineLevel="0" collapsed="false">
      <c r="A1661" s="1" t="n">
        <v>100817</v>
      </c>
      <c r="B1661" s="1" t="n">
        <v>50527</v>
      </c>
      <c r="C1661" s="1" t="n">
        <v>4</v>
      </c>
      <c r="D1661" s="1" t="n">
        <v>5</v>
      </c>
      <c r="E1661" s="1" t="str">
        <f aca="false">VLOOKUP(C1661,Меню!$A$2:$C$24,2,FALSE())</f>
        <v>Пицца Труслейка</v>
      </c>
      <c r="F1661" s="1" t="n">
        <f aca="false">VLOOKUP(C1661,Меню!$A$2:$C$24,3,FALSE())</f>
        <v>610</v>
      </c>
      <c r="G1661" s="5" t="n">
        <f aca="false">VLOOKUP(B1661,Заказы!$A$2:$E$2995,2,FALSE())</f>
        <v>44051</v>
      </c>
      <c r="H1661" s="1" t="n">
        <f aca="false">VLOOKUP(B1661,Заказы!$A$2:$E$2995,3,FALSE())</f>
        <v>535</v>
      </c>
      <c r="I1661" s="1" t="str">
        <f aca="false">VLOOKUP(H1661,Клиенты!$A$2:$E$1995,5,FALSE())</f>
        <v>г. Купино</v>
      </c>
      <c r="J1661" s="1" t="n">
        <f aca="false">VLOOKUP(B1661,Заказы!$A$2:$E$2995,4,FALSE())</f>
        <v>0</v>
      </c>
      <c r="K1661" s="1" t="str">
        <f aca="false">VLOOKUP(B1661,Заказы!$A$2:$E$2995,5,FALSE())</f>
        <v>Не выполнено</v>
      </c>
      <c r="L1661" s="1" t="n">
        <f aca="false">D1661*F1661+J1661</f>
        <v>3050</v>
      </c>
      <c r="M1661" s="1" t="n">
        <f aca="false">IF(AND(E1661="Пицца Труслейка",I1661="г. Москва",K1661="Выполнено",G1661&gt;=DATE(2020,7,1),G1661&lt;DATE(2020,8,1)),L1661,0)</f>
        <v>0</v>
      </c>
    </row>
    <row r="1662" customFormat="false" ht="15" hidden="false" customHeight="true" outlineLevel="0" collapsed="false">
      <c r="A1662" s="1" t="n">
        <v>101335</v>
      </c>
      <c r="B1662" s="1" t="n">
        <v>50393</v>
      </c>
      <c r="C1662" s="1" t="n">
        <v>7</v>
      </c>
      <c r="D1662" s="1" t="n">
        <v>5</v>
      </c>
      <c r="E1662" s="1" t="str">
        <f aca="false">VLOOKUP(C1662,Меню!$A$2:$C$24,2,FALSE())</f>
        <v>Пицца Карбонара</v>
      </c>
      <c r="F1662" s="1" t="n">
        <f aca="false">VLOOKUP(C1662,Меню!$A$2:$C$24,3,FALSE())</f>
        <v>625</v>
      </c>
      <c r="G1662" s="5" t="n">
        <f aca="false">VLOOKUP(B1662,Заказы!$A$2:$E$2995,2,FALSE())</f>
        <v>43997</v>
      </c>
      <c r="H1662" s="1" t="n">
        <f aca="false">VLOOKUP(B1662,Заказы!$A$2:$E$2995,3,FALSE())</f>
        <v>739</v>
      </c>
      <c r="I1662" s="1" t="str">
        <f aca="false">VLOOKUP(H1662,Клиенты!$A$2:$E$1995,5,FALSE())</f>
        <v>г. Рыбинск</v>
      </c>
      <c r="J1662" s="1" t="n">
        <f aca="false">VLOOKUP(B1662,Заказы!$A$2:$E$2995,4,FALSE())</f>
        <v>472</v>
      </c>
      <c r="K1662" s="1" t="str">
        <f aca="false">VLOOKUP(B1662,Заказы!$A$2:$E$2995,5,FALSE())</f>
        <v>Выполнено</v>
      </c>
      <c r="L1662" s="1" t="n">
        <f aca="false">D1662*F1662+J1662</f>
        <v>3597</v>
      </c>
      <c r="M1662" s="1" t="n">
        <f aca="false">IF(AND(E1662="Пицца Труслейка",I1662="г. Москва",K1662="Выполнено",G1662&gt;=DATE(2020,7,1),G1662&lt;DATE(2020,8,1)),L1662,0)</f>
        <v>0</v>
      </c>
    </row>
    <row r="1663" customFormat="false" ht="15" hidden="false" customHeight="true" outlineLevel="0" collapsed="false">
      <c r="A1663" s="1" t="n">
        <v>101372</v>
      </c>
      <c r="B1663" s="1" t="n">
        <v>50737</v>
      </c>
      <c r="C1663" s="1" t="n">
        <v>17</v>
      </c>
      <c r="D1663" s="1" t="n">
        <v>2</v>
      </c>
      <c r="E1663" s="1" t="str">
        <f aca="false">VLOOKUP(C1663,Меню!$A$2:$C$24,2,FALSE())</f>
        <v>Пицца Френч Фрайз</v>
      </c>
      <c r="F1663" s="1" t="n">
        <f aca="false">VLOOKUP(C1663,Меню!$A$2:$C$24,3,FALSE())</f>
        <v>515</v>
      </c>
      <c r="G1663" s="5" t="n">
        <f aca="false">VLOOKUP(B1663,Заказы!$A$2:$E$2995,2,FALSE())</f>
        <v>44014</v>
      </c>
      <c r="H1663" s="1" t="n">
        <f aca="false">VLOOKUP(B1663,Заказы!$A$2:$E$2995,3,FALSE())</f>
        <v>1813</v>
      </c>
      <c r="I1663" s="1" t="str">
        <f aca="false">VLOOKUP(H1663,Клиенты!$A$2:$E$1995,5,FALSE())</f>
        <v>г. Юхнов</v>
      </c>
      <c r="J1663" s="1" t="n">
        <f aca="false">VLOOKUP(B1663,Заказы!$A$2:$E$2995,4,FALSE())</f>
        <v>0</v>
      </c>
      <c r="K1663" s="1" t="str">
        <f aca="false">VLOOKUP(B1663,Заказы!$A$2:$E$2995,5,FALSE())</f>
        <v>Не выполнено</v>
      </c>
      <c r="L1663" s="1" t="n">
        <f aca="false">D1663*F1663+J1663</f>
        <v>1030</v>
      </c>
      <c r="M1663" s="1" t="n">
        <f aca="false">IF(AND(E1663="Пицца Труслейка",I1663="г. Москва",K1663="Выполнено",G1663&gt;=DATE(2020,7,1),G1663&lt;DATE(2020,8,1)),L1663,0)</f>
        <v>0</v>
      </c>
    </row>
    <row r="1664" customFormat="false" ht="15" hidden="false" customHeight="true" outlineLevel="0" collapsed="false">
      <c r="A1664" s="1" t="n">
        <v>100939</v>
      </c>
      <c r="B1664" s="1" t="n">
        <v>51142</v>
      </c>
      <c r="C1664" s="1" t="n">
        <v>7</v>
      </c>
      <c r="D1664" s="1" t="n">
        <v>1</v>
      </c>
      <c r="E1664" s="1" t="str">
        <f aca="false">VLOOKUP(C1664,Меню!$A$2:$C$24,2,FALSE())</f>
        <v>Пицца Карбонара</v>
      </c>
      <c r="F1664" s="1" t="n">
        <f aca="false">VLOOKUP(C1664,Меню!$A$2:$C$24,3,FALSE())</f>
        <v>625</v>
      </c>
      <c r="G1664" s="5" t="n">
        <f aca="false">VLOOKUP(B1664,Заказы!$A$2:$E$2995,2,FALSE())</f>
        <v>44034</v>
      </c>
      <c r="H1664" s="1" t="n">
        <f aca="false">VLOOKUP(B1664,Заказы!$A$2:$E$2995,3,FALSE())</f>
        <v>543</v>
      </c>
      <c r="I1664" s="1" t="str">
        <f aca="false">VLOOKUP(H1664,Клиенты!$A$2:$E$1995,5,FALSE())</f>
        <v>г. Кодинск</v>
      </c>
      <c r="J1664" s="1" t="n">
        <f aca="false">VLOOKUP(B1664,Заказы!$A$2:$E$2995,4,FALSE())</f>
        <v>0</v>
      </c>
      <c r="K1664" s="1" t="str">
        <f aca="false">VLOOKUP(B1664,Заказы!$A$2:$E$2995,5,FALSE())</f>
        <v>Не выполнено</v>
      </c>
      <c r="L1664" s="1" t="n">
        <f aca="false">D1664*F1664+J1664</f>
        <v>625</v>
      </c>
      <c r="M1664" s="1" t="n">
        <f aca="false">IF(AND(E1664="Пицца Труслейка",I1664="г. Москва",K1664="Выполнено",G1664&gt;=DATE(2020,7,1),G1664&lt;DATE(2020,8,1)),L1664,0)</f>
        <v>0</v>
      </c>
    </row>
    <row r="1665" customFormat="false" ht="15" hidden="false" customHeight="true" outlineLevel="0" collapsed="false">
      <c r="A1665" s="1" t="n">
        <v>101925</v>
      </c>
      <c r="B1665" s="1" t="n">
        <v>50584</v>
      </c>
      <c r="C1665" s="1" t="n">
        <v>7</v>
      </c>
      <c r="D1665" s="1" t="n">
        <v>1</v>
      </c>
      <c r="E1665" s="1" t="str">
        <f aca="false">VLOOKUP(C1665,Меню!$A$2:$C$24,2,FALSE())</f>
        <v>Пицца Карбонара</v>
      </c>
      <c r="F1665" s="1" t="n">
        <f aca="false">VLOOKUP(C1665,Меню!$A$2:$C$24,3,FALSE())</f>
        <v>625</v>
      </c>
      <c r="G1665" s="5" t="n">
        <f aca="false">VLOOKUP(B1665,Заказы!$A$2:$E$2995,2,FALSE())</f>
        <v>43996</v>
      </c>
      <c r="H1665" s="1" t="n">
        <f aca="false">VLOOKUP(B1665,Заказы!$A$2:$E$2995,3,FALSE())</f>
        <v>1158</v>
      </c>
      <c r="I1665" s="1" t="str">
        <f aca="false">VLOOKUP(H1665,Клиенты!$A$2:$E$1995,5,FALSE())</f>
        <v>г. Палласовка</v>
      </c>
      <c r="J1665" s="1" t="n">
        <f aca="false">VLOOKUP(B1665,Заказы!$A$2:$E$2995,4,FALSE())</f>
        <v>105</v>
      </c>
      <c r="K1665" s="1" t="str">
        <f aca="false">VLOOKUP(B1665,Заказы!$A$2:$E$2995,5,FALSE())</f>
        <v>Выполнено</v>
      </c>
      <c r="L1665" s="1" t="n">
        <f aca="false">D1665*F1665+J1665</f>
        <v>730</v>
      </c>
      <c r="M1665" s="1" t="n">
        <f aca="false">IF(AND(E1665="Пицца Труслейка",I1665="г. Москва",K1665="Выполнено",G1665&gt;=DATE(2020,7,1),G1665&lt;DATE(2020,8,1)),L1665,0)</f>
        <v>0</v>
      </c>
    </row>
    <row r="1666" customFormat="false" ht="15" hidden="false" customHeight="true" outlineLevel="0" collapsed="false">
      <c r="A1666" s="1" t="n">
        <v>100471</v>
      </c>
      <c r="B1666" s="1" t="n">
        <v>50314</v>
      </c>
      <c r="C1666" s="1" t="n">
        <v>1</v>
      </c>
      <c r="D1666" s="1" t="n">
        <v>4</v>
      </c>
      <c r="E1666" s="1" t="str">
        <f aca="false">VLOOKUP(C1666,Меню!$A$2:$C$24,2,FALSE())</f>
        <v>Пицца Гавайская</v>
      </c>
      <c r="F1666" s="1" t="n">
        <f aca="false">VLOOKUP(C1666,Меню!$A$2:$C$24,3,FALSE())</f>
        <v>545</v>
      </c>
      <c r="G1666" s="5" t="n">
        <f aca="false">VLOOKUP(B1666,Заказы!$A$2:$E$2995,2,FALSE())</f>
        <v>44064</v>
      </c>
      <c r="H1666" s="1" t="n">
        <f aca="false">VLOOKUP(B1666,Заказы!$A$2:$E$2995,3,FALSE())</f>
        <v>1416</v>
      </c>
      <c r="I1666" s="1" t="str">
        <f aca="false">VLOOKUP(H1666,Клиенты!$A$2:$E$1995,5,FALSE())</f>
        <v>г. Мыски</v>
      </c>
      <c r="J1666" s="1" t="n">
        <f aca="false">VLOOKUP(B1666,Заказы!$A$2:$E$2995,4,FALSE())</f>
        <v>246</v>
      </c>
      <c r="K1666" s="1" t="str">
        <f aca="false">VLOOKUP(B1666,Заказы!$A$2:$E$2995,5,FALSE())</f>
        <v>Выполнено</v>
      </c>
      <c r="L1666" s="1" t="n">
        <f aca="false">D1666*F1666+J1666</f>
        <v>2426</v>
      </c>
      <c r="M1666" s="1" t="n">
        <f aca="false">IF(AND(E1666="Пицца Труслейка",I1666="г. Москва",K1666="Выполнено",G1666&gt;=DATE(2020,7,1),G1666&lt;DATE(2020,8,1)),L1666,0)</f>
        <v>0</v>
      </c>
    </row>
    <row r="1667" customFormat="false" ht="15" hidden="false" customHeight="true" outlineLevel="0" collapsed="false">
      <c r="A1667" s="1" t="n">
        <v>101237</v>
      </c>
      <c r="B1667" s="1" t="n">
        <v>51145</v>
      </c>
      <c r="C1667" s="1" t="n">
        <v>6</v>
      </c>
      <c r="D1667" s="1" t="n">
        <v>5</v>
      </c>
      <c r="E1667" s="1" t="str">
        <f aca="false">VLOOKUP(C1667,Меню!$A$2:$C$24,2,FALSE())</f>
        <v>Пицца Капричиоза</v>
      </c>
      <c r="F1667" s="1" t="n">
        <f aca="false">VLOOKUP(C1667,Меню!$A$2:$C$24,3,FALSE())</f>
        <v>570</v>
      </c>
      <c r="G1667" s="5" t="n">
        <f aca="false">VLOOKUP(B1667,Заказы!$A$2:$E$2995,2,FALSE())</f>
        <v>43999</v>
      </c>
      <c r="H1667" s="1" t="n">
        <f aca="false">VLOOKUP(B1667,Заказы!$A$2:$E$2995,3,FALSE())</f>
        <v>180</v>
      </c>
      <c r="I1667" s="1" t="str">
        <f aca="false">VLOOKUP(H1667,Клиенты!$A$2:$E$1995,5,FALSE())</f>
        <v>г. Москва</v>
      </c>
      <c r="J1667" s="1" t="n">
        <f aca="false">VLOOKUP(B1667,Заказы!$A$2:$E$2995,4,FALSE())</f>
        <v>0</v>
      </c>
      <c r="K1667" s="1" t="str">
        <f aca="false">VLOOKUP(B1667,Заказы!$A$2:$E$2995,5,FALSE())</f>
        <v>Не выполнено</v>
      </c>
      <c r="L1667" s="1" t="n">
        <f aca="false">D1667*F1667+J1667</f>
        <v>2850</v>
      </c>
      <c r="M1667" s="1" t="n">
        <f aca="false">IF(AND(E1667="Пицца Труслейка",I1667="г. Москва",K1667="Выполнено",G1667&gt;=DATE(2020,7,1),G1667&lt;DATE(2020,8,1)),L1667,0)</f>
        <v>0</v>
      </c>
    </row>
    <row r="1668" customFormat="false" ht="15" hidden="false" customHeight="true" outlineLevel="0" collapsed="false">
      <c r="A1668" s="1" t="n">
        <v>100144</v>
      </c>
      <c r="B1668" s="1" t="n">
        <v>50321</v>
      </c>
      <c r="C1668" s="1" t="n">
        <v>1</v>
      </c>
      <c r="D1668" s="1" t="n">
        <v>1</v>
      </c>
      <c r="E1668" s="1" t="str">
        <f aca="false">VLOOKUP(C1668,Меню!$A$2:$C$24,2,FALSE())</f>
        <v>Пицца Гавайская</v>
      </c>
      <c r="F1668" s="1" t="n">
        <f aca="false">VLOOKUP(C1668,Меню!$A$2:$C$24,3,FALSE())</f>
        <v>545</v>
      </c>
      <c r="G1668" s="5" t="n">
        <f aca="false">VLOOKUP(B1668,Заказы!$A$2:$E$2995,2,FALSE())</f>
        <v>44063</v>
      </c>
      <c r="H1668" s="1" t="n">
        <f aca="false">VLOOKUP(B1668,Заказы!$A$2:$E$2995,3,FALSE())</f>
        <v>1962</v>
      </c>
      <c r="I1668" s="1" t="str">
        <f aca="false">VLOOKUP(H1668,Клиенты!$A$2:$E$1995,5,FALSE())</f>
        <v>г. Сретенск</v>
      </c>
      <c r="J1668" s="1" t="n">
        <f aca="false">VLOOKUP(B1668,Заказы!$A$2:$E$2995,4,FALSE())</f>
        <v>0</v>
      </c>
      <c r="K1668" s="1" t="str">
        <f aca="false">VLOOKUP(B1668,Заказы!$A$2:$E$2995,5,FALSE())</f>
        <v>Не выполнено</v>
      </c>
      <c r="L1668" s="1" t="n">
        <f aca="false">D1668*F1668+J1668</f>
        <v>545</v>
      </c>
      <c r="M1668" s="1" t="n">
        <f aca="false">IF(AND(E1668="Пицца Труслейка",I1668="г. Москва",K1668="Выполнено",G1668&gt;=DATE(2020,7,1),G1668&lt;DATE(2020,8,1)),L1668,0)</f>
        <v>0</v>
      </c>
    </row>
    <row r="1669" customFormat="false" ht="15" hidden="false" customHeight="true" outlineLevel="0" collapsed="false">
      <c r="A1669" s="1" t="n">
        <v>101363</v>
      </c>
      <c r="B1669" s="1" t="n">
        <v>51139</v>
      </c>
      <c r="C1669" s="1" t="n">
        <v>7</v>
      </c>
      <c r="D1669" s="1" t="n">
        <v>2</v>
      </c>
      <c r="E1669" s="1" t="str">
        <f aca="false">VLOOKUP(C1669,Меню!$A$2:$C$24,2,FALSE())</f>
        <v>Пицца Карбонара</v>
      </c>
      <c r="F1669" s="1" t="n">
        <f aca="false">VLOOKUP(C1669,Меню!$A$2:$C$24,3,FALSE())</f>
        <v>625</v>
      </c>
      <c r="G1669" s="5" t="n">
        <f aca="false">VLOOKUP(B1669,Заказы!$A$2:$E$2995,2,FALSE())</f>
        <v>43999</v>
      </c>
      <c r="H1669" s="1" t="n">
        <f aca="false">VLOOKUP(B1669,Заказы!$A$2:$E$2995,3,FALSE())</f>
        <v>1434</v>
      </c>
      <c r="I1669" s="1" t="str">
        <f aca="false">VLOOKUP(H1669,Клиенты!$A$2:$E$1995,5,FALSE())</f>
        <v>г. Аша</v>
      </c>
      <c r="J1669" s="1" t="n">
        <f aca="false">VLOOKUP(B1669,Заказы!$A$2:$E$2995,4,FALSE())</f>
        <v>119</v>
      </c>
      <c r="K1669" s="1" t="str">
        <f aca="false">VLOOKUP(B1669,Заказы!$A$2:$E$2995,5,FALSE())</f>
        <v>Выполнено</v>
      </c>
      <c r="L1669" s="1" t="n">
        <f aca="false">D1669*F1669+J1669</f>
        <v>1369</v>
      </c>
      <c r="M1669" s="1" t="n">
        <f aca="false">IF(AND(E1669="Пицца Труслейка",I1669="г. Москва",K1669="Выполнено",G1669&gt;=DATE(2020,7,1),G1669&lt;DATE(2020,8,1)),L1669,0)</f>
        <v>0</v>
      </c>
    </row>
    <row r="1670" customFormat="false" ht="15" hidden="false" customHeight="true" outlineLevel="0" collapsed="false">
      <c r="A1670" s="1" t="n">
        <v>101723</v>
      </c>
      <c r="B1670" s="1" t="n">
        <v>50955</v>
      </c>
      <c r="C1670" s="1" t="n">
        <v>18</v>
      </c>
      <c r="D1670" s="1" t="n">
        <v>6</v>
      </c>
      <c r="E1670" s="1" t="str">
        <f aca="false">VLOOKUP(C1670,Меню!$A$2:$C$24,2,FALSE())</f>
        <v>Пицца Царская</v>
      </c>
      <c r="F1670" s="1" t="n">
        <f aca="false">VLOOKUP(C1670,Меню!$A$2:$C$24,3,FALSE())</f>
        <v>620</v>
      </c>
      <c r="G1670" s="5" t="n">
        <f aca="false">VLOOKUP(B1670,Заказы!$A$2:$E$2995,2,FALSE())</f>
        <v>44018</v>
      </c>
      <c r="H1670" s="1" t="n">
        <f aca="false">VLOOKUP(B1670,Заказы!$A$2:$E$2995,3,FALSE())</f>
        <v>908</v>
      </c>
      <c r="I1670" s="1" t="str">
        <f aca="false">VLOOKUP(H1670,Клиенты!$A$2:$E$1995,5,FALSE())</f>
        <v>г. Бердск</v>
      </c>
      <c r="J1670" s="1" t="n">
        <f aca="false">VLOOKUP(B1670,Заказы!$A$2:$E$2995,4,FALSE())</f>
        <v>485</v>
      </c>
      <c r="K1670" s="1" t="str">
        <f aca="false">VLOOKUP(B1670,Заказы!$A$2:$E$2995,5,FALSE())</f>
        <v>Выполнено</v>
      </c>
      <c r="L1670" s="1" t="n">
        <f aca="false">D1670*F1670+J1670</f>
        <v>4205</v>
      </c>
      <c r="M1670" s="1" t="n">
        <f aca="false">IF(AND(E1670="Пицца Труслейка",I1670="г. Москва",K1670="Выполнено",G1670&gt;=DATE(2020,7,1),G1670&lt;DATE(2020,8,1)),L1670,0)</f>
        <v>0</v>
      </c>
    </row>
    <row r="1671" customFormat="false" ht="15" hidden="false" customHeight="true" outlineLevel="0" collapsed="false">
      <c r="A1671" s="1" t="n">
        <v>100218</v>
      </c>
      <c r="B1671" s="1" t="n">
        <v>50834</v>
      </c>
      <c r="C1671" s="1" t="n">
        <v>4</v>
      </c>
      <c r="D1671" s="1" t="n">
        <v>10</v>
      </c>
      <c r="E1671" s="1" t="str">
        <f aca="false">VLOOKUP(C1671,Меню!$A$2:$C$24,2,FALSE())</f>
        <v>Пицца Труслейка</v>
      </c>
      <c r="F1671" s="1" t="n">
        <f aca="false">VLOOKUP(C1671,Меню!$A$2:$C$24,3,FALSE())</f>
        <v>610</v>
      </c>
      <c r="G1671" s="5" t="n">
        <f aca="false">VLOOKUP(B1671,Заказы!$A$2:$E$2995,2,FALSE())</f>
        <v>43988</v>
      </c>
      <c r="H1671" s="1" t="n">
        <f aca="false">VLOOKUP(B1671,Заказы!$A$2:$E$2995,3,FALSE())</f>
        <v>402</v>
      </c>
      <c r="I1671" s="1" t="str">
        <f aca="false">VLOOKUP(H1671,Клиенты!$A$2:$E$1995,5,FALSE())</f>
        <v>г. Нерчинск</v>
      </c>
      <c r="J1671" s="1" t="n">
        <f aca="false">VLOOKUP(B1671,Заказы!$A$2:$E$2995,4,FALSE())</f>
        <v>0</v>
      </c>
      <c r="K1671" s="1" t="str">
        <f aca="false">VLOOKUP(B1671,Заказы!$A$2:$E$2995,5,FALSE())</f>
        <v>Не выполнено</v>
      </c>
      <c r="L1671" s="1" t="n">
        <f aca="false">D1671*F1671+J1671</f>
        <v>6100</v>
      </c>
      <c r="M1671" s="1" t="n">
        <f aca="false">IF(AND(E1671="Пицца Труслейка",I1671="г. Москва",K1671="Выполнено",G1671&gt;=DATE(2020,7,1),G1671&lt;DATE(2020,8,1)),L1671,0)</f>
        <v>0</v>
      </c>
    </row>
    <row r="1672" customFormat="false" ht="15" hidden="false" customHeight="true" outlineLevel="0" collapsed="false">
      <c r="A1672" s="1" t="n">
        <v>100031</v>
      </c>
      <c r="B1672" s="1" t="n">
        <v>50753</v>
      </c>
      <c r="C1672" s="1" t="n">
        <v>18</v>
      </c>
      <c r="D1672" s="1" t="n">
        <v>6</v>
      </c>
      <c r="E1672" s="1" t="str">
        <f aca="false">VLOOKUP(C1672,Меню!$A$2:$C$24,2,FALSE())</f>
        <v>Пицца Царская</v>
      </c>
      <c r="F1672" s="1" t="n">
        <f aca="false">VLOOKUP(C1672,Меню!$A$2:$C$24,3,FALSE())</f>
        <v>620</v>
      </c>
      <c r="G1672" s="5" t="n">
        <f aca="false">VLOOKUP(B1672,Заказы!$A$2:$E$2995,2,FALSE())</f>
        <v>44065</v>
      </c>
      <c r="H1672" s="1" t="n">
        <f aca="false">VLOOKUP(B1672,Заказы!$A$2:$E$2995,3,FALSE())</f>
        <v>993</v>
      </c>
      <c r="I1672" s="1" t="str">
        <f aca="false">VLOOKUP(H1672,Клиенты!$A$2:$E$1995,5,FALSE())</f>
        <v>г. Аша</v>
      </c>
      <c r="J1672" s="1" t="n">
        <f aca="false">VLOOKUP(B1672,Заказы!$A$2:$E$2995,4,FALSE())</f>
        <v>0</v>
      </c>
      <c r="K1672" s="1" t="str">
        <f aca="false">VLOOKUP(B1672,Заказы!$A$2:$E$2995,5,FALSE())</f>
        <v>Не выполнено</v>
      </c>
      <c r="L1672" s="1" t="n">
        <f aca="false">D1672*F1672+J1672</f>
        <v>3720</v>
      </c>
      <c r="M1672" s="1" t="n">
        <f aca="false">IF(AND(E1672="Пицца Труслейка",I1672="г. Москва",K1672="Выполнено",G1672&gt;=DATE(2020,7,1),G1672&lt;DATE(2020,8,1)),L1672,0)</f>
        <v>0</v>
      </c>
    </row>
    <row r="1673" customFormat="false" ht="15" hidden="false" customHeight="true" outlineLevel="0" collapsed="false">
      <c r="A1673" s="1" t="n">
        <v>100699</v>
      </c>
      <c r="B1673" s="1" t="n">
        <v>51713</v>
      </c>
      <c r="C1673" s="1" t="n">
        <v>22</v>
      </c>
      <c r="D1673" s="1" t="n">
        <v>3</v>
      </c>
      <c r="E1673" s="1" t="str">
        <f aca="false">VLOOKUP(C1673,Меню!$A$2:$C$24,2,FALSE())</f>
        <v>Пицца с поркеттой и фриарелли</v>
      </c>
      <c r="F1673" s="1" t="n">
        <f aca="false">VLOOKUP(C1673,Меню!$A$2:$C$24,3,FALSE())</f>
        <v>550</v>
      </c>
      <c r="G1673" s="5" t="n">
        <f aca="false">VLOOKUP(B1673,Заказы!$A$2:$E$2995,2,FALSE())</f>
        <v>44003</v>
      </c>
      <c r="H1673" s="1" t="n">
        <f aca="false">VLOOKUP(B1673,Заказы!$A$2:$E$2995,3,FALSE())</f>
        <v>890</v>
      </c>
      <c r="I1673" s="1" t="str">
        <f aca="false">VLOOKUP(H1673,Клиенты!$A$2:$E$1995,5,FALSE())</f>
        <v>г. Москва</v>
      </c>
      <c r="J1673" s="1" t="n">
        <f aca="false">VLOOKUP(B1673,Заказы!$A$2:$E$2995,4,FALSE())</f>
        <v>0</v>
      </c>
      <c r="K1673" s="1" t="str">
        <f aca="false">VLOOKUP(B1673,Заказы!$A$2:$E$2995,5,FALSE())</f>
        <v>Не выполнено</v>
      </c>
      <c r="L1673" s="1" t="n">
        <f aca="false">D1673*F1673+J1673</f>
        <v>1650</v>
      </c>
      <c r="M1673" s="1" t="n">
        <f aca="false">IF(AND(E1673="Пицца Труслейка",I1673="г. Москва",K1673="Выполнено",G1673&gt;=DATE(2020,7,1),G1673&lt;DATE(2020,8,1)),L1673,0)</f>
        <v>0</v>
      </c>
    </row>
    <row r="1674" customFormat="false" ht="15" hidden="false" customHeight="true" outlineLevel="0" collapsed="false">
      <c r="A1674" s="1" t="n">
        <v>100462</v>
      </c>
      <c r="B1674" s="1" t="n">
        <v>50380</v>
      </c>
      <c r="C1674" s="1" t="n">
        <v>7</v>
      </c>
      <c r="D1674" s="1" t="n">
        <v>7</v>
      </c>
      <c r="E1674" s="1" t="str">
        <f aca="false">VLOOKUP(C1674,Меню!$A$2:$C$24,2,FALSE())</f>
        <v>Пицца Карбонара</v>
      </c>
      <c r="F1674" s="1" t="n">
        <f aca="false">VLOOKUP(C1674,Меню!$A$2:$C$24,3,FALSE())</f>
        <v>625</v>
      </c>
      <c r="G1674" s="5" t="n">
        <f aca="false">VLOOKUP(B1674,Заказы!$A$2:$E$2995,2,FALSE())</f>
        <v>44056</v>
      </c>
      <c r="H1674" s="1" t="n">
        <f aca="false">VLOOKUP(B1674,Заказы!$A$2:$E$2995,3,FALSE())</f>
        <v>1784</v>
      </c>
      <c r="I1674" s="1" t="str">
        <f aca="false">VLOOKUP(H1674,Клиенты!$A$2:$E$1995,5,FALSE())</f>
        <v>г. Нововоронеж</v>
      </c>
      <c r="J1674" s="1" t="n">
        <f aca="false">VLOOKUP(B1674,Заказы!$A$2:$E$2995,4,FALSE())</f>
        <v>193</v>
      </c>
      <c r="K1674" s="1" t="str">
        <f aca="false">VLOOKUP(B1674,Заказы!$A$2:$E$2995,5,FALSE())</f>
        <v>Выполнено</v>
      </c>
      <c r="L1674" s="1" t="n">
        <f aca="false">D1674*F1674+J1674</f>
        <v>4568</v>
      </c>
      <c r="M1674" s="1" t="n">
        <f aca="false">IF(AND(E1674="Пицца Труслейка",I1674="г. Москва",K1674="Выполнено",G1674&gt;=DATE(2020,7,1),G1674&lt;DATE(2020,8,1)),L1674,0)</f>
        <v>0</v>
      </c>
    </row>
    <row r="1675" customFormat="false" ht="15" hidden="false" customHeight="true" outlineLevel="0" collapsed="false">
      <c r="A1675" s="1" t="n">
        <v>100328</v>
      </c>
      <c r="B1675" s="1" t="n">
        <v>50282</v>
      </c>
      <c r="C1675" s="1" t="n">
        <v>18</v>
      </c>
      <c r="D1675" s="1" t="n">
        <v>8</v>
      </c>
      <c r="E1675" s="1" t="str">
        <f aca="false">VLOOKUP(C1675,Меню!$A$2:$C$24,2,FALSE())</f>
        <v>Пицца Царская</v>
      </c>
      <c r="F1675" s="1" t="n">
        <f aca="false">VLOOKUP(C1675,Меню!$A$2:$C$24,3,FALSE())</f>
        <v>620</v>
      </c>
      <c r="G1675" s="5" t="n">
        <f aca="false">VLOOKUP(B1675,Заказы!$A$2:$E$2995,2,FALSE())</f>
        <v>44047</v>
      </c>
      <c r="H1675" s="1" t="n">
        <f aca="false">VLOOKUP(B1675,Заказы!$A$2:$E$2995,3,FALSE())</f>
        <v>1336</v>
      </c>
      <c r="I1675" s="1" t="str">
        <f aca="false">VLOOKUP(H1675,Клиенты!$A$2:$E$1995,5,FALSE())</f>
        <v>г. Калининск</v>
      </c>
      <c r="J1675" s="1" t="n">
        <f aca="false">VLOOKUP(B1675,Заказы!$A$2:$E$2995,4,FALSE())</f>
        <v>871</v>
      </c>
      <c r="K1675" s="1" t="str">
        <f aca="false">VLOOKUP(B1675,Заказы!$A$2:$E$2995,5,FALSE())</f>
        <v>Выполнено</v>
      </c>
      <c r="L1675" s="1" t="n">
        <f aca="false">D1675*F1675+J1675</f>
        <v>5831</v>
      </c>
      <c r="M1675" s="1" t="n">
        <f aca="false">IF(AND(E1675="Пицца Труслейка",I1675="г. Москва",K1675="Выполнено",G1675&gt;=DATE(2020,7,1),G1675&lt;DATE(2020,8,1)),L1675,0)</f>
        <v>0</v>
      </c>
    </row>
    <row r="1676" customFormat="false" ht="15" hidden="false" customHeight="true" outlineLevel="0" collapsed="false">
      <c r="A1676" s="1" t="n">
        <v>100569</v>
      </c>
      <c r="B1676" s="1" t="n">
        <v>50417</v>
      </c>
      <c r="C1676" s="1" t="n">
        <v>13</v>
      </c>
      <c r="D1676" s="1" t="n">
        <v>3</v>
      </c>
      <c r="E1676" s="1" t="str">
        <f aca="false">VLOOKUP(C1676,Меню!$A$2:$C$24,2,FALSE())</f>
        <v>Пицца Сырная</v>
      </c>
      <c r="F1676" s="1" t="n">
        <f aca="false">VLOOKUP(C1676,Меню!$A$2:$C$24,3,FALSE())</f>
        <v>635</v>
      </c>
      <c r="G1676" s="5" t="n">
        <f aca="false">VLOOKUP(B1676,Заказы!$A$2:$E$2995,2,FALSE())</f>
        <v>44048</v>
      </c>
      <c r="H1676" s="1" t="n">
        <f aca="false">VLOOKUP(B1676,Заказы!$A$2:$E$2995,3,FALSE())</f>
        <v>175</v>
      </c>
      <c r="I1676" s="1" t="str">
        <f aca="false">VLOOKUP(H1676,Клиенты!$A$2:$E$1995,5,FALSE())</f>
        <v>г. Пестово</v>
      </c>
      <c r="J1676" s="1" t="n">
        <f aca="false">VLOOKUP(B1676,Заказы!$A$2:$E$2995,4,FALSE())</f>
        <v>0</v>
      </c>
      <c r="K1676" s="1" t="str">
        <f aca="false">VLOOKUP(B1676,Заказы!$A$2:$E$2995,5,FALSE())</f>
        <v>Не выполнено</v>
      </c>
      <c r="L1676" s="1" t="n">
        <f aca="false">D1676*F1676+J1676</f>
        <v>1905</v>
      </c>
      <c r="M1676" s="1" t="n">
        <f aca="false">IF(AND(E1676="Пицца Труслейка",I1676="г. Москва",K1676="Выполнено",G1676&gt;=DATE(2020,7,1),G1676&lt;DATE(2020,8,1)),L1676,0)</f>
        <v>0</v>
      </c>
    </row>
    <row r="1677" customFormat="false" ht="15" hidden="false" customHeight="true" outlineLevel="0" collapsed="false">
      <c r="A1677" s="1" t="n">
        <v>100303</v>
      </c>
      <c r="B1677" s="1" t="n">
        <v>50199</v>
      </c>
      <c r="C1677" s="1" t="n">
        <v>21</v>
      </c>
      <c r="D1677" s="1" t="n">
        <v>3</v>
      </c>
      <c r="E1677" s="1" t="str">
        <f aca="false">VLOOKUP(C1677,Меню!$A$2:$C$24,2,FALSE())</f>
        <v>Пицца с креветками и цукини</v>
      </c>
      <c r="F1677" s="1" t="n">
        <f aca="false">VLOOKUP(C1677,Меню!$A$2:$C$24,3,FALSE())</f>
        <v>600</v>
      </c>
      <c r="G1677" s="5" t="n">
        <f aca="false">VLOOKUP(B1677,Заказы!$A$2:$E$2995,2,FALSE())</f>
        <v>43990</v>
      </c>
      <c r="H1677" s="1" t="n">
        <f aca="false">VLOOKUP(B1677,Заказы!$A$2:$E$2995,3,FALSE())</f>
        <v>1008</v>
      </c>
      <c r="I1677" s="1" t="str">
        <f aca="false">VLOOKUP(H1677,Клиенты!$A$2:$E$1995,5,FALSE())</f>
        <v>г. Пласт</v>
      </c>
      <c r="J1677" s="1" t="n">
        <f aca="false">VLOOKUP(B1677,Заказы!$A$2:$E$2995,4,FALSE())</f>
        <v>0</v>
      </c>
      <c r="K1677" s="1" t="str">
        <f aca="false">VLOOKUP(B1677,Заказы!$A$2:$E$2995,5,FALSE())</f>
        <v>Не выполнено</v>
      </c>
      <c r="L1677" s="1" t="n">
        <f aca="false">D1677*F1677+J1677</f>
        <v>1800</v>
      </c>
      <c r="M1677" s="1" t="n">
        <f aca="false">IF(AND(E1677="Пицца Труслейка",I1677="г. Москва",K1677="Выполнено",G1677&gt;=DATE(2020,7,1),G1677&lt;DATE(2020,8,1)),L1677,0)</f>
        <v>0</v>
      </c>
    </row>
    <row r="1678" customFormat="false" ht="15" hidden="false" customHeight="true" outlineLevel="0" collapsed="false">
      <c r="A1678" s="1" t="n">
        <v>100696</v>
      </c>
      <c r="B1678" s="1" t="n">
        <v>51962</v>
      </c>
      <c r="C1678" s="1" t="n">
        <v>14</v>
      </c>
      <c r="D1678" s="1" t="n">
        <v>3</v>
      </c>
      <c r="E1678" s="1" t="str">
        <f aca="false">VLOOKUP(C1678,Меню!$A$2:$C$24,2,FALSE())</f>
        <v>Пицца Сырный цыпленок</v>
      </c>
      <c r="F1678" s="1" t="n">
        <f aca="false">VLOOKUP(C1678,Меню!$A$2:$C$24,3,FALSE())</f>
        <v>555</v>
      </c>
      <c r="G1678" s="5" t="n">
        <f aca="false">VLOOKUP(B1678,Заказы!$A$2:$E$2995,2,FALSE())</f>
        <v>43997</v>
      </c>
      <c r="H1678" s="1" t="n">
        <f aca="false">VLOOKUP(B1678,Заказы!$A$2:$E$2995,3,FALSE())</f>
        <v>550</v>
      </c>
      <c r="I1678" s="1" t="str">
        <f aca="false">VLOOKUP(H1678,Клиенты!$A$2:$E$1995,5,FALSE())</f>
        <v>г. Москва</v>
      </c>
      <c r="J1678" s="1" t="n">
        <f aca="false">VLOOKUP(B1678,Заказы!$A$2:$E$2995,4,FALSE())</f>
        <v>0</v>
      </c>
      <c r="K1678" s="1" t="str">
        <f aca="false">VLOOKUP(B1678,Заказы!$A$2:$E$2995,5,FALSE())</f>
        <v>Не выполнено</v>
      </c>
      <c r="L1678" s="1" t="n">
        <f aca="false">D1678*F1678+J1678</f>
        <v>1665</v>
      </c>
      <c r="M1678" s="1" t="n">
        <f aca="false">IF(AND(E1678="Пицца Труслейка",I1678="г. Москва",K1678="Выполнено",G1678&gt;=DATE(2020,7,1),G1678&lt;DATE(2020,8,1)),L1678,0)</f>
        <v>0</v>
      </c>
    </row>
    <row r="1679" customFormat="false" ht="15" hidden="false" customHeight="true" outlineLevel="0" collapsed="false">
      <c r="A1679" s="1" t="n">
        <v>100110</v>
      </c>
      <c r="B1679" s="1" t="n">
        <v>51587</v>
      </c>
      <c r="C1679" s="1" t="n">
        <v>16</v>
      </c>
      <c r="D1679" s="1" t="n">
        <v>9</v>
      </c>
      <c r="E1679" s="1" t="str">
        <f aca="false">VLOOKUP(C1679,Меню!$A$2:$C$24,2,FALSE())</f>
        <v>Пицца Флорида</v>
      </c>
      <c r="F1679" s="1" t="n">
        <f aca="false">VLOOKUP(C1679,Меню!$A$2:$C$24,3,FALSE())</f>
        <v>535</v>
      </c>
      <c r="G1679" s="5" t="n">
        <f aca="false">VLOOKUP(B1679,Заказы!$A$2:$E$2995,2,FALSE())</f>
        <v>43986</v>
      </c>
      <c r="H1679" s="1" t="n">
        <f aca="false">VLOOKUP(B1679,Заказы!$A$2:$E$2995,3,FALSE())</f>
        <v>1534</v>
      </c>
      <c r="I1679" s="1" t="str">
        <f aca="false">VLOOKUP(H1679,Клиенты!$A$2:$E$1995,5,FALSE())</f>
        <v>г. Новохопёрск</v>
      </c>
      <c r="J1679" s="1" t="n">
        <f aca="false">VLOOKUP(B1679,Заказы!$A$2:$E$2995,4,FALSE())</f>
        <v>0</v>
      </c>
      <c r="K1679" s="1" t="str">
        <f aca="false">VLOOKUP(B1679,Заказы!$A$2:$E$2995,5,FALSE())</f>
        <v>Не выполнено</v>
      </c>
      <c r="L1679" s="1" t="n">
        <f aca="false">D1679*F1679+J1679</f>
        <v>4815</v>
      </c>
      <c r="M1679" s="1" t="n">
        <f aca="false">IF(AND(E1679="Пицца Труслейка",I1679="г. Москва",K1679="Выполнено",G1679&gt;=DATE(2020,7,1),G1679&lt;DATE(2020,8,1)),L1679,0)</f>
        <v>0</v>
      </c>
    </row>
    <row r="1680" customFormat="false" ht="15" hidden="false" customHeight="true" outlineLevel="0" collapsed="false">
      <c r="A1680" s="1" t="n">
        <v>101453</v>
      </c>
      <c r="B1680" s="1" t="n">
        <v>50643</v>
      </c>
      <c r="C1680" s="1" t="n">
        <v>4</v>
      </c>
      <c r="D1680" s="1" t="n">
        <v>3</v>
      </c>
      <c r="E1680" s="1" t="str">
        <f aca="false">VLOOKUP(C1680,Меню!$A$2:$C$24,2,FALSE())</f>
        <v>Пицца Труслейка</v>
      </c>
      <c r="F1680" s="1" t="n">
        <f aca="false">VLOOKUP(C1680,Меню!$A$2:$C$24,3,FALSE())</f>
        <v>610</v>
      </c>
      <c r="G1680" s="5" t="n">
        <f aca="false">VLOOKUP(B1680,Заказы!$A$2:$E$2995,2,FALSE())</f>
        <v>43990</v>
      </c>
      <c r="H1680" s="1" t="n">
        <f aca="false">VLOOKUP(B1680,Заказы!$A$2:$E$2995,3,FALSE())</f>
        <v>64</v>
      </c>
      <c r="I1680" s="1" t="str">
        <f aca="false">VLOOKUP(H1680,Клиенты!$A$2:$E$1995,5,FALSE())</f>
        <v>г. Демидов</v>
      </c>
      <c r="J1680" s="1" t="n">
        <f aca="false">VLOOKUP(B1680,Заказы!$A$2:$E$2995,4,FALSE())</f>
        <v>727</v>
      </c>
      <c r="K1680" s="1" t="str">
        <f aca="false">VLOOKUP(B1680,Заказы!$A$2:$E$2995,5,FALSE())</f>
        <v>Выполнено</v>
      </c>
      <c r="L1680" s="1" t="n">
        <f aca="false">D1680*F1680+J1680</f>
        <v>2557</v>
      </c>
      <c r="M1680" s="1" t="n">
        <f aca="false">IF(AND(E1680="Пицца Труслейка",I1680="г. Москва",K1680="Выполнено",G1680&gt;=DATE(2020,7,1),G1680&lt;DATE(2020,8,1)),L1680,0)</f>
        <v>0</v>
      </c>
    </row>
    <row r="1681" customFormat="false" ht="15" hidden="false" customHeight="true" outlineLevel="0" collapsed="false">
      <c r="A1681" s="1" t="n">
        <v>101908</v>
      </c>
      <c r="B1681" s="1" t="n">
        <v>51081</v>
      </c>
      <c r="C1681" s="1" t="n">
        <v>4</v>
      </c>
      <c r="D1681" s="1" t="n">
        <v>2</v>
      </c>
      <c r="E1681" s="1" t="str">
        <f aca="false">VLOOKUP(C1681,Меню!$A$2:$C$24,2,FALSE())</f>
        <v>Пицца Труслейка</v>
      </c>
      <c r="F1681" s="1" t="n">
        <f aca="false">VLOOKUP(C1681,Меню!$A$2:$C$24,3,FALSE())</f>
        <v>610</v>
      </c>
      <c r="G1681" s="5" t="n">
        <f aca="false">VLOOKUP(B1681,Заказы!$A$2:$E$2995,2,FALSE())</f>
        <v>43983</v>
      </c>
      <c r="H1681" s="1" t="n">
        <f aca="false">VLOOKUP(B1681,Заказы!$A$2:$E$2995,3,FALSE())</f>
        <v>866</v>
      </c>
      <c r="I1681" s="1" t="str">
        <f aca="false">VLOOKUP(H1681,Клиенты!$A$2:$E$1995,5,FALSE())</f>
        <v>г. Буйнакск</v>
      </c>
      <c r="J1681" s="1" t="n">
        <f aca="false">VLOOKUP(B1681,Заказы!$A$2:$E$2995,4,FALSE())</f>
        <v>104</v>
      </c>
      <c r="K1681" s="1" t="str">
        <f aca="false">VLOOKUP(B1681,Заказы!$A$2:$E$2995,5,FALSE())</f>
        <v>Выполнено</v>
      </c>
      <c r="L1681" s="1" t="n">
        <f aca="false">D1681*F1681+J1681</f>
        <v>1324</v>
      </c>
      <c r="M1681" s="1" t="n">
        <f aca="false">IF(AND(E1681="Пицца Труслейка",I1681="г. Москва",K1681="Выполнено",G1681&gt;=DATE(2020,7,1),G1681&lt;DATE(2020,8,1)),L1681,0)</f>
        <v>0</v>
      </c>
    </row>
    <row r="1682" customFormat="false" ht="15" hidden="false" customHeight="true" outlineLevel="0" collapsed="false">
      <c r="A1682" s="1" t="n">
        <v>101920</v>
      </c>
      <c r="B1682" s="1" t="n">
        <v>51770</v>
      </c>
      <c r="C1682" s="1" t="n">
        <v>16</v>
      </c>
      <c r="D1682" s="1" t="n">
        <v>4</v>
      </c>
      <c r="E1682" s="1" t="str">
        <f aca="false">VLOOKUP(C1682,Меню!$A$2:$C$24,2,FALSE())</f>
        <v>Пицца Флорида</v>
      </c>
      <c r="F1682" s="1" t="n">
        <f aca="false">VLOOKUP(C1682,Меню!$A$2:$C$24,3,FALSE())</f>
        <v>535</v>
      </c>
      <c r="G1682" s="5" t="n">
        <f aca="false">VLOOKUP(B1682,Заказы!$A$2:$E$2995,2,FALSE())</f>
        <v>44002</v>
      </c>
      <c r="H1682" s="1" t="n">
        <f aca="false">VLOOKUP(B1682,Заказы!$A$2:$E$2995,3,FALSE())</f>
        <v>1347</v>
      </c>
      <c r="I1682" s="1" t="str">
        <f aca="false">VLOOKUP(H1682,Клиенты!$A$2:$E$1995,5,FALSE())</f>
        <v>г. Верхоянск</v>
      </c>
      <c r="J1682" s="1" t="n">
        <f aca="false">VLOOKUP(B1682,Заказы!$A$2:$E$2995,4,FALSE())</f>
        <v>0</v>
      </c>
      <c r="K1682" s="1" t="str">
        <f aca="false">VLOOKUP(B1682,Заказы!$A$2:$E$2995,5,FALSE())</f>
        <v>Не выполнено</v>
      </c>
      <c r="L1682" s="1" t="n">
        <f aca="false">D1682*F1682+J1682</f>
        <v>2140</v>
      </c>
      <c r="M1682" s="1" t="n">
        <f aca="false">IF(AND(E1682="Пицца Труслейка",I1682="г. Москва",K1682="Выполнено",G1682&gt;=DATE(2020,7,1),G1682&lt;DATE(2020,8,1)),L1682,0)</f>
        <v>0</v>
      </c>
    </row>
    <row r="1683" customFormat="false" ht="15" hidden="false" customHeight="true" outlineLevel="0" collapsed="false">
      <c r="A1683" s="1" t="n">
        <v>101221</v>
      </c>
      <c r="B1683" s="1" t="n">
        <v>51603</v>
      </c>
      <c r="C1683" s="1" t="n">
        <v>19</v>
      </c>
      <c r="D1683" s="1" t="n">
        <v>8</v>
      </c>
      <c r="E1683" s="1" t="str">
        <f aca="false">VLOOKUP(C1683,Меню!$A$2:$C$24,2,FALSE())</f>
        <v>Пицца Цезарь</v>
      </c>
      <c r="F1683" s="1" t="n">
        <f aca="false">VLOOKUP(C1683,Меню!$A$2:$C$24,3,FALSE())</f>
        <v>630</v>
      </c>
      <c r="G1683" s="5" t="n">
        <f aca="false">VLOOKUP(B1683,Заказы!$A$2:$E$2995,2,FALSE())</f>
        <v>44009</v>
      </c>
      <c r="H1683" s="1" t="n">
        <f aca="false">VLOOKUP(B1683,Заказы!$A$2:$E$2995,3,FALSE())</f>
        <v>498</v>
      </c>
      <c r="I1683" s="1" t="str">
        <f aca="false">VLOOKUP(H1683,Клиенты!$A$2:$E$1995,5,FALSE())</f>
        <v>г. Нефтегорск</v>
      </c>
      <c r="J1683" s="1" t="n">
        <f aca="false">VLOOKUP(B1683,Заказы!$A$2:$E$2995,4,FALSE())</f>
        <v>507</v>
      </c>
      <c r="K1683" s="1" t="str">
        <f aca="false">VLOOKUP(B1683,Заказы!$A$2:$E$2995,5,FALSE())</f>
        <v>Выполнено</v>
      </c>
      <c r="L1683" s="1" t="n">
        <f aca="false">D1683*F1683+J1683</f>
        <v>5547</v>
      </c>
      <c r="M1683" s="1" t="n">
        <f aca="false">IF(AND(E1683="Пицца Труслейка",I1683="г. Москва",K1683="Выполнено",G1683&gt;=DATE(2020,7,1),G1683&lt;DATE(2020,8,1)),L1683,0)</f>
        <v>0</v>
      </c>
    </row>
    <row r="1684" customFormat="false" ht="15" hidden="false" customHeight="true" outlineLevel="0" collapsed="false">
      <c r="A1684" s="1" t="n">
        <v>100676</v>
      </c>
      <c r="B1684" s="1" t="n">
        <v>50660</v>
      </c>
      <c r="C1684" s="1" t="n">
        <v>11</v>
      </c>
      <c r="D1684" s="1" t="n">
        <v>4</v>
      </c>
      <c r="E1684" s="1" t="str">
        <f aca="false">VLOOKUP(C1684,Меню!$A$2:$C$24,2,FALSE())</f>
        <v>Пицца Песто</v>
      </c>
      <c r="F1684" s="1" t="n">
        <f aca="false">VLOOKUP(C1684,Меню!$A$2:$C$24,3,FALSE())</f>
        <v>530</v>
      </c>
      <c r="G1684" s="5" t="n">
        <f aca="false">VLOOKUP(B1684,Заказы!$A$2:$E$2995,2,FALSE())</f>
        <v>44046</v>
      </c>
      <c r="H1684" s="1" t="n">
        <f aca="false">VLOOKUP(B1684,Заказы!$A$2:$E$2995,3,FALSE())</f>
        <v>698</v>
      </c>
      <c r="I1684" s="1" t="str">
        <f aca="false">VLOOKUP(H1684,Клиенты!$A$2:$E$1995,5,FALSE())</f>
        <v>г. Салават</v>
      </c>
      <c r="J1684" s="1" t="n">
        <f aca="false">VLOOKUP(B1684,Заказы!$A$2:$E$2995,4,FALSE())</f>
        <v>0</v>
      </c>
      <c r="K1684" s="1" t="str">
        <f aca="false">VLOOKUP(B1684,Заказы!$A$2:$E$2995,5,FALSE())</f>
        <v>Не выполнено</v>
      </c>
      <c r="L1684" s="1" t="n">
        <f aca="false">D1684*F1684+J1684</f>
        <v>2120</v>
      </c>
      <c r="M1684" s="1" t="n">
        <f aca="false">IF(AND(E1684="Пицца Труслейка",I1684="г. Москва",K1684="Выполнено",G1684&gt;=DATE(2020,7,1),G1684&lt;DATE(2020,8,1)),L1684,0)</f>
        <v>0</v>
      </c>
    </row>
    <row r="1685" customFormat="false" ht="15" hidden="false" customHeight="true" outlineLevel="0" collapsed="false">
      <c r="A1685" s="1" t="n">
        <v>101186</v>
      </c>
      <c r="B1685" s="1" t="n">
        <v>51667</v>
      </c>
      <c r="C1685" s="1" t="n">
        <v>1</v>
      </c>
      <c r="D1685" s="1" t="n">
        <v>9</v>
      </c>
      <c r="E1685" s="1" t="str">
        <f aca="false">VLOOKUP(C1685,Меню!$A$2:$C$24,2,FALSE())</f>
        <v>Пицца Гавайская</v>
      </c>
      <c r="F1685" s="1" t="n">
        <f aca="false">VLOOKUP(C1685,Меню!$A$2:$C$24,3,FALSE())</f>
        <v>545</v>
      </c>
      <c r="G1685" s="5" t="n">
        <f aca="false">VLOOKUP(B1685,Заказы!$A$2:$E$2995,2,FALSE())</f>
        <v>44004</v>
      </c>
      <c r="H1685" s="1" t="n">
        <f aca="false">VLOOKUP(B1685,Заказы!$A$2:$E$2995,3,FALSE())</f>
        <v>255</v>
      </c>
      <c r="I1685" s="1" t="str">
        <f aca="false">VLOOKUP(H1685,Клиенты!$A$2:$E$1995,5,FALSE())</f>
        <v>г. Артём</v>
      </c>
      <c r="J1685" s="1" t="n">
        <f aca="false">VLOOKUP(B1685,Заказы!$A$2:$E$2995,4,FALSE())</f>
        <v>329</v>
      </c>
      <c r="K1685" s="1" t="str">
        <f aca="false">VLOOKUP(B1685,Заказы!$A$2:$E$2995,5,FALSE())</f>
        <v>Выполнено</v>
      </c>
      <c r="L1685" s="1" t="n">
        <f aca="false">D1685*F1685+J1685</f>
        <v>5234</v>
      </c>
      <c r="M1685" s="1" t="n">
        <f aca="false">IF(AND(E1685="Пицца Труслейка",I1685="г. Москва",K1685="Выполнено",G1685&gt;=DATE(2020,7,1),G1685&lt;DATE(2020,8,1)),L1685,0)</f>
        <v>0</v>
      </c>
    </row>
    <row r="1686" customFormat="false" ht="15" hidden="false" customHeight="true" outlineLevel="0" collapsed="false">
      <c r="A1686" s="1" t="n">
        <v>100732</v>
      </c>
      <c r="B1686" s="1" t="n">
        <v>50862</v>
      </c>
      <c r="C1686" s="1" t="n">
        <v>1</v>
      </c>
      <c r="D1686" s="1" t="n">
        <v>4</v>
      </c>
      <c r="E1686" s="1" t="str">
        <f aca="false">VLOOKUP(C1686,Меню!$A$2:$C$24,2,FALSE())</f>
        <v>Пицца Гавайская</v>
      </c>
      <c r="F1686" s="1" t="n">
        <f aca="false">VLOOKUP(C1686,Меню!$A$2:$C$24,3,FALSE())</f>
        <v>545</v>
      </c>
      <c r="G1686" s="5" t="n">
        <f aca="false">VLOOKUP(B1686,Заказы!$A$2:$E$2995,2,FALSE())</f>
        <v>44038</v>
      </c>
      <c r="H1686" s="1" t="n">
        <f aca="false">VLOOKUP(B1686,Заказы!$A$2:$E$2995,3,FALSE())</f>
        <v>896</v>
      </c>
      <c r="I1686" s="1" t="str">
        <f aca="false">VLOOKUP(H1686,Клиенты!$A$2:$E$1995,5,FALSE())</f>
        <v>г. Верещагино</v>
      </c>
      <c r="J1686" s="1" t="n">
        <f aca="false">VLOOKUP(B1686,Заказы!$A$2:$E$2995,4,FALSE())</f>
        <v>0</v>
      </c>
      <c r="K1686" s="1" t="str">
        <f aca="false">VLOOKUP(B1686,Заказы!$A$2:$E$2995,5,FALSE())</f>
        <v>Не выполнено</v>
      </c>
      <c r="L1686" s="1" t="n">
        <f aca="false">D1686*F1686+J1686</f>
        <v>2180</v>
      </c>
      <c r="M1686" s="1" t="n">
        <f aca="false">IF(AND(E1686="Пицца Труслейка",I1686="г. Москва",K1686="Выполнено",G1686&gt;=DATE(2020,7,1),G1686&lt;DATE(2020,8,1)),L1686,0)</f>
        <v>0</v>
      </c>
    </row>
    <row r="1687" customFormat="false" ht="15" hidden="false" customHeight="true" outlineLevel="0" collapsed="false">
      <c r="A1687" s="1" t="n">
        <v>100573</v>
      </c>
      <c r="B1687" s="1" t="n">
        <v>50040</v>
      </c>
      <c r="C1687" s="1" t="n">
        <v>3</v>
      </c>
      <c r="D1687" s="1" t="n">
        <v>9</v>
      </c>
      <c r="E1687" s="1" t="str">
        <f aca="false">VLOOKUP(C1687,Меню!$A$2:$C$24,2,FALSE())</f>
        <v>Пицца Диабло</v>
      </c>
      <c r="F1687" s="1" t="n">
        <f aca="false">VLOOKUP(C1687,Меню!$A$2:$C$24,3,FALSE())</f>
        <v>590</v>
      </c>
      <c r="G1687" s="5" t="n">
        <f aca="false">VLOOKUP(B1687,Заказы!$A$2:$E$2995,2,FALSE())</f>
        <v>44009</v>
      </c>
      <c r="H1687" s="1" t="n">
        <f aca="false">VLOOKUP(B1687,Заказы!$A$2:$E$2995,3,FALSE())</f>
        <v>1587</v>
      </c>
      <c r="I1687" s="1" t="str">
        <f aca="false">VLOOKUP(H1687,Клиенты!$A$2:$E$1995,5,FALSE())</f>
        <v>г. Таганрог</v>
      </c>
      <c r="J1687" s="1" t="n">
        <f aca="false">VLOOKUP(B1687,Заказы!$A$2:$E$2995,4,FALSE())</f>
        <v>285</v>
      </c>
      <c r="K1687" s="1" t="str">
        <f aca="false">VLOOKUP(B1687,Заказы!$A$2:$E$2995,5,FALSE())</f>
        <v>Выполнено</v>
      </c>
      <c r="L1687" s="1" t="n">
        <f aca="false">D1687*F1687+J1687</f>
        <v>5595</v>
      </c>
      <c r="M1687" s="1" t="n">
        <f aca="false">IF(AND(E1687="Пицца Труслейка",I1687="г. Москва",K1687="Выполнено",G1687&gt;=DATE(2020,7,1),G1687&lt;DATE(2020,8,1)),L1687,0)</f>
        <v>0</v>
      </c>
    </row>
    <row r="1688" customFormat="false" ht="15" hidden="false" customHeight="true" outlineLevel="0" collapsed="false">
      <c r="A1688" s="1" t="n">
        <v>101106</v>
      </c>
      <c r="B1688" s="1" t="n">
        <v>50421</v>
      </c>
      <c r="C1688" s="1" t="n">
        <v>13</v>
      </c>
      <c r="D1688" s="1" t="n">
        <v>2</v>
      </c>
      <c r="E1688" s="1" t="str">
        <f aca="false">VLOOKUP(C1688,Меню!$A$2:$C$24,2,FALSE())</f>
        <v>Пицца Сырная</v>
      </c>
      <c r="F1688" s="1" t="n">
        <f aca="false">VLOOKUP(C1688,Меню!$A$2:$C$24,3,FALSE())</f>
        <v>635</v>
      </c>
      <c r="G1688" s="5" t="n">
        <f aca="false">VLOOKUP(B1688,Заказы!$A$2:$E$2995,2,FALSE())</f>
        <v>44051</v>
      </c>
      <c r="H1688" s="1" t="n">
        <f aca="false">VLOOKUP(B1688,Заказы!$A$2:$E$2995,3,FALSE())</f>
        <v>1136</v>
      </c>
      <c r="I1688" s="1" t="str">
        <f aca="false">VLOOKUP(H1688,Клиенты!$A$2:$E$1995,5,FALSE())</f>
        <v>г. Раменское</v>
      </c>
      <c r="J1688" s="1" t="n">
        <f aca="false">VLOOKUP(B1688,Заказы!$A$2:$E$2995,4,FALSE())</f>
        <v>495</v>
      </c>
      <c r="K1688" s="1" t="str">
        <f aca="false">VLOOKUP(B1688,Заказы!$A$2:$E$2995,5,FALSE())</f>
        <v>Выполнено</v>
      </c>
      <c r="L1688" s="1" t="n">
        <f aca="false">D1688*F1688+J1688</f>
        <v>1765</v>
      </c>
      <c r="M1688" s="1" t="n">
        <f aca="false">IF(AND(E1688="Пицца Труслейка",I1688="г. Москва",K1688="Выполнено",G1688&gt;=DATE(2020,7,1),G1688&lt;DATE(2020,8,1)),L1688,0)</f>
        <v>0</v>
      </c>
    </row>
    <row r="1689" customFormat="false" ht="15" hidden="false" customHeight="true" outlineLevel="0" collapsed="false">
      <c r="A1689" s="1" t="n">
        <v>101189</v>
      </c>
      <c r="B1689" s="1" t="n">
        <v>51561</v>
      </c>
      <c r="C1689" s="1" t="n">
        <v>5</v>
      </c>
      <c r="D1689" s="1" t="n">
        <v>1</v>
      </c>
      <c r="E1689" s="1" t="str">
        <f aca="false">VLOOKUP(C1689,Меню!$A$2:$C$24,2,FALSE())</f>
        <v>Пицца Жюльен</v>
      </c>
      <c r="F1689" s="1" t="n">
        <f aca="false">VLOOKUP(C1689,Меню!$A$2:$C$24,3,FALSE())</f>
        <v>580</v>
      </c>
      <c r="G1689" s="5" t="n">
        <f aca="false">VLOOKUP(B1689,Заказы!$A$2:$E$2995,2,FALSE())</f>
        <v>43998</v>
      </c>
      <c r="H1689" s="1" t="n">
        <f aca="false">VLOOKUP(B1689,Заказы!$A$2:$E$2995,3,FALSE())</f>
        <v>1971</v>
      </c>
      <c r="I1689" s="1" t="str">
        <f aca="false">VLOOKUP(H1689,Клиенты!$A$2:$E$1995,5,FALSE())</f>
        <v>г. Димитровград</v>
      </c>
      <c r="J1689" s="1" t="n">
        <f aca="false">VLOOKUP(B1689,Заказы!$A$2:$E$2995,4,FALSE())</f>
        <v>0</v>
      </c>
      <c r="K1689" s="1" t="str">
        <f aca="false">VLOOKUP(B1689,Заказы!$A$2:$E$2995,5,FALSE())</f>
        <v>Не выполнено</v>
      </c>
      <c r="L1689" s="1" t="n">
        <f aca="false">D1689*F1689+J1689</f>
        <v>580</v>
      </c>
      <c r="M1689" s="1" t="n">
        <f aca="false">IF(AND(E1689="Пицца Труслейка",I1689="г. Москва",K1689="Выполнено",G1689&gt;=DATE(2020,7,1),G1689&lt;DATE(2020,8,1)),L1689,0)</f>
        <v>0</v>
      </c>
    </row>
    <row r="1690" customFormat="false" ht="15" hidden="false" customHeight="true" outlineLevel="0" collapsed="false">
      <c r="A1690" s="1" t="n">
        <v>101026</v>
      </c>
      <c r="B1690" s="1" t="n">
        <v>51510</v>
      </c>
      <c r="C1690" s="1" t="n">
        <v>10</v>
      </c>
      <c r="D1690" s="1" t="n">
        <v>9</v>
      </c>
      <c r="E1690" s="1" t="str">
        <f aca="false">VLOOKUP(C1690,Меню!$A$2:$C$24,2,FALSE())</f>
        <v>Пицца Пепперони фреш</v>
      </c>
      <c r="F1690" s="1" t="n">
        <f aca="false">VLOOKUP(C1690,Меню!$A$2:$C$24,3,FALSE())</f>
        <v>565</v>
      </c>
      <c r="G1690" s="5" t="n">
        <f aca="false">VLOOKUP(B1690,Заказы!$A$2:$E$2995,2,FALSE())</f>
        <v>44005</v>
      </c>
      <c r="H1690" s="1" t="n">
        <f aca="false">VLOOKUP(B1690,Заказы!$A$2:$E$2995,3,FALSE())</f>
        <v>870</v>
      </c>
      <c r="I1690" s="1" t="str">
        <f aca="false">VLOOKUP(H1690,Клиенты!$A$2:$E$1995,5,FALSE())</f>
        <v>г. Москва</v>
      </c>
      <c r="J1690" s="1" t="n">
        <f aca="false">VLOOKUP(B1690,Заказы!$A$2:$E$2995,4,FALSE())</f>
        <v>385</v>
      </c>
      <c r="K1690" s="1" t="str">
        <f aca="false">VLOOKUP(B1690,Заказы!$A$2:$E$2995,5,FALSE())</f>
        <v>Выполнено</v>
      </c>
      <c r="L1690" s="1" t="n">
        <f aca="false">D1690*F1690+J1690</f>
        <v>5470</v>
      </c>
      <c r="M1690" s="1" t="n">
        <f aca="false">IF(AND(E1690="Пицца Труслейка",I1690="г. Москва",K1690="Выполнено",G1690&gt;=DATE(2020,7,1),G1690&lt;DATE(2020,8,1)),L1690,0)</f>
        <v>0</v>
      </c>
    </row>
    <row r="1691" customFormat="false" ht="15" hidden="false" customHeight="true" outlineLevel="0" collapsed="false">
      <c r="A1691" s="1" t="n">
        <v>100024</v>
      </c>
      <c r="B1691" s="1" t="n">
        <v>50522</v>
      </c>
      <c r="C1691" s="1" t="n">
        <v>4</v>
      </c>
      <c r="D1691" s="1" t="n">
        <v>1</v>
      </c>
      <c r="E1691" s="1" t="str">
        <f aca="false">VLOOKUP(C1691,Меню!$A$2:$C$24,2,FALSE())</f>
        <v>Пицца Труслейка</v>
      </c>
      <c r="F1691" s="1" t="n">
        <f aca="false">VLOOKUP(C1691,Меню!$A$2:$C$24,3,FALSE())</f>
        <v>610</v>
      </c>
      <c r="G1691" s="5" t="n">
        <f aca="false">VLOOKUP(B1691,Заказы!$A$2:$E$2995,2,FALSE())</f>
        <v>44028</v>
      </c>
      <c r="H1691" s="1" t="n">
        <f aca="false">VLOOKUP(B1691,Заказы!$A$2:$E$2995,3,FALSE())</f>
        <v>381</v>
      </c>
      <c r="I1691" s="1" t="str">
        <f aca="false">VLOOKUP(H1691,Клиенты!$A$2:$E$1995,5,FALSE())</f>
        <v>г. Оса</v>
      </c>
      <c r="J1691" s="1" t="n">
        <f aca="false">VLOOKUP(B1691,Заказы!$A$2:$E$2995,4,FALSE())</f>
        <v>756</v>
      </c>
      <c r="K1691" s="1" t="str">
        <f aca="false">VLOOKUP(B1691,Заказы!$A$2:$E$2995,5,FALSE())</f>
        <v>Выполнено</v>
      </c>
      <c r="L1691" s="1" t="n">
        <f aca="false">D1691*F1691+J1691</f>
        <v>1366</v>
      </c>
      <c r="M1691" s="1" t="n">
        <f aca="false">IF(AND(E1691="Пицца Труслейка",I1691="г. Москва",K1691="Выполнено",G1691&gt;=DATE(2020,7,1),G1691&lt;DATE(2020,8,1)),L1691,0)</f>
        <v>0</v>
      </c>
    </row>
    <row r="1692" customFormat="false" ht="15" hidden="false" customHeight="true" outlineLevel="0" collapsed="false">
      <c r="A1692" s="1" t="n">
        <v>100666</v>
      </c>
      <c r="B1692" s="1" t="n">
        <v>51796</v>
      </c>
      <c r="C1692" s="1" t="n">
        <v>10</v>
      </c>
      <c r="D1692" s="1" t="n">
        <v>3</v>
      </c>
      <c r="E1692" s="1" t="str">
        <f aca="false">VLOOKUP(C1692,Меню!$A$2:$C$24,2,FALSE())</f>
        <v>Пицца Пепперони фреш</v>
      </c>
      <c r="F1692" s="1" t="n">
        <f aca="false">VLOOKUP(C1692,Меню!$A$2:$C$24,3,FALSE())</f>
        <v>565</v>
      </c>
      <c r="G1692" s="5" t="n">
        <f aca="false">VLOOKUP(B1692,Заказы!$A$2:$E$2995,2,FALSE())</f>
        <v>44061</v>
      </c>
      <c r="H1692" s="1" t="n">
        <f aca="false">VLOOKUP(B1692,Заказы!$A$2:$E$2995,3,FALSE())</f>
        <v>320</v>
      </c>
      <c r="I1692" s="1" t="str">
        <f aca="false">VLOOKUP(H1692,Клиенты!$A$2:$E$1995,5,FALSE())</f>
        <v>г. Москва</v>
      </c>
      <c r="J1692" s="1" t="n">
        <f aca="false">VLOOKUP(B1692,Заказы!$A$2:$E$2995,4,FALSE())</f>
        <v>0</v>
      </c>
      <c r="K1692" s="1" t="str">
        <f aca="false">VLOOKUP(B1692,Заказы!$A$2:$E$2995,5,FALSE())</f>
        <v>Не выполнено</v>
      </c>
      <c r="L1692" s="1" t="n">
        <f aca="false">D1692*F1692+J1692</f>
        <v>1695</v>
      </c>
      <c r="M1692" s="1" t="n">
        <f aca="false">IF(AND(E1692="Пицца Труслейка",I1692="г. Москва",K1692="Выполнено",G1692&gt;=DATE(2020,7,1),G1692&lt;DATE(2020,8,1)),L1692,0)</f>
        <v>0</v>
      </c>
    </row>
    <row r="1693" customFormat="false" ht="15" hidden="false" customHeight="true" outlineLevel="0" collapsed="false">
      <c r="A1693" s="1" t="n">
        <v>100425</v>
      </c>
      <c r="B1693" s="1" t="n">
        <v>50756</v>
      </c>
      <c r="C1693" s="1" t="n">
        <v>8</v>
      </c>
      <c r="D1693" s="1" t="n">
        <v>6</v>
      </c>
      <c r="E1693" s="1" t="str">
        <f aca="false">VLOOKUP(C1693,Меню!$A$2:$C$24,2,FALSE())</f>
        <v>Пицца Мясная</v>
      </c>
      <c r="F1693" s="1" t="n">
        <f aca="false">VLOOKUP(C1693,Меню!$A$2:$C$24,3,FALSE())</f>
        <v>615</v>
      </c>
      <c r="G1693" s="5" t="n">
        <f aca="false">VLOOKUP(B1693,Заказы!$A$2:$E$2995,2,FALSE())</f>
        <v>44001</v>
      </c>
      <c r="H1693" s="1" t="n">
        <f aca="false">VLOOKUP(B1693,Заказы!$A$2:$E$2995,3,FALSE())</f>
        <v>1203</v>
      </c>
      <c r="I1693" s="1" t="str">
        <f aca="false">VLOOKUP(H1693,Клиенты!$A$2:$E$1995,5,FALSE())</f>
        <v>г. Рыбинск</v>
      </c>
      <c r="J1693" s="1" t="n">
        <f aca="false">VLOOKUP(B1693,Заказы!$A$2:$E$2995,4,FALSE())</f>
        <v>896</v>
      </c>
      <c r="K1693" s="1" t="str">
        <f aca="false">VLOOKUP(B1693,Заказы!$A$2:$E$2995,5,FALSE())</f>
        <v>Выполнено</v>
      </c>
      <c r="L1693" s="1" t="n">
        <f aca="false">D1693*F1693+J1693</f>
        <v>4586</v>
      </c>
      <c r="M1693" s="1" t="n">
        <f aca="false">IF(AND(E1693="Пицца Труслейка",I1693="г. Москва",K1693="Выполнено",G1693&gt;=DATE(2020,7,1),G1693&lt;DATE(2020,8,1)),L1693,0)</f>
        <v>0</v>
      </c>
    </row>
    <row r="1694" customFormat="false" ht="15" hidden="false" customHeight="true" outlineLevel="0" collapsed="false">
      <c r="A1694" s="1" t="n">
        <v>100065</v>
      </c>
      <c r="B1694" s="1" t="n">
        <v>50657</v>
      </c>
      <c r="C1694" s="1" t="n">
        <v>3</v>
      </c>
      <c r="D1694" s="1" t="n">
        <v>2</v>
      </c>
      <c r="E1694" s="1" t="str">
        <f aca="false">VLOOKUP(C1694,Меню!$A$2:$C$24,2,FALSE())</f>
        <v>Пицца Диабло</v>
      </c>
      <c r="F1694" s="1" t="n">
        <f aca="false">VLOOKUP(C1694,Меню!$A$2:$C$24,3,FALSE())</f>
        <v>590</v>
      </c>
      <c r="G1694" s="5" t="n">
        <f aca="false">VLOOKUP(B1694,Заказы!$A$2:$E$2995,2,FALSE())</f>
        <v>44002</v>
      </c>
      <c r="H1694" s="1" t="n">
        <f aca="false">VLOOKUP(B1694,Заказы!$A$2:$E$2995,3,FALSE())</f>
        <v>86</v>
      </c>
      <c r="I1694" s="1" t="str">
        <f aca="false">VLOOKUP(H1694,Клиенты!$A$2:$E$1995,5,FALSE())</f>
        <v>г. Чухлома</v>
      </c>
      <c r="J1694" s="1" t="n">
        <f aca="false">VLOOKUP(B1694,Заказы!$A$2:$E$2995,4,FALSE())</f>
        <v>116</v>
      </c>
      <c r="K1694" s="1" t="str">
        <f aca="false">VLOOKUP(B1694,Заказы!$A$2:$E$2995,5,FALSE())</f>
        <v>Выполнено</v>
      </c>
      <c r="L1694" s="1" t="n">
        <f aca="false">D1694*F1694+J1694</f>
        <v>1296</v>
      </c>
      <c r="M1694" s="1" t="n">
        <f aca="false">IF(AND(E1694="Пицца Труслейка",I1694="г. Москва",K1694="Выполнено",G1694&gt;=DATE(2020,7,1),G1694&lt;DATE(2020,8,1)),L1694,0)</f>
        <v>0</v>
      </c>
    </row>
    <row r="1695" customFormat="false" ht="15" hidden="false" customHeight="true" outlineLevel="0" collapsed="false">
      <c r="A1695" s="1" t="n">
        <v>100938</v>
      </c>
      <c r="B1695" s="1" t="n">
        <v>50782</v>
      </c>
      <c r="C1695" s="1" t="n">
        <v>22</v>
      </c>
      <c r="D1695" s="1" t="n">
        <v>6</v>
      </c>
      <c r="E1695" s="1" t="str">
        <f aca="false">VLOOKUP(C1695,Меню!$A$2:$C$24,2,FALSE())</f>
        <v>Пицца с поркеттой и фриарелли</v>
      </c>
      <c r="F1695" s="1" t="n">
        <f aca="false">VLOOKUP(C1695,Меню!$A$2:$C$24,3,FALSE())</f>
        <v>550</v>
      </c>
      <c r="G1695" s="5" t="n">
        <f aca="false">VLOOKUP(B1695,Заказы!$A$2:$E$2995,2,FALSE())</f>
        <v>43994</v>
      </c>
      <c r="H1695" s="1" t="n">
        <f aca="false">VLOOKUP(B1695,Заказы!$A$2:$E$2995,3,FALSE())</f>
        <v>273</v>
      </c>
      <c r="I1695" s="1" t="str">
        <f aca="false">VLOOKUP(H1695,Клиенты!$A$2:$E$1995,5,FALSE())</f>
        <v>г. Камешково</v>
      </c>
      <c r="J1695" s="1" t="n">
        <f aca="false">VLOOKUP(B1695,Заказы!$A$2:$E$2995,4,FALSE())</f>
        <v>0</v>
      </c>
      <c r="K1695" s="1" t="str">
        <f aca="false">VLOOKUP(B1695,Заказы!$A$2:$E$2995,5,FALSE())</f>
        <v>Не выполнено</v>
      </c>
      <c r="L1695" s="1" t="n">
        <f aca="false">D1695*F1695+J1695</f>
        <v>3300</v>
      </c>
      <c r="M1695" s="1" t="n">
        <f aca="false">IF(AND(E1695="Пицца Труслейка",I1695="г. Москва",K1695="Выполнено",G1695&gt;=DATE(2020,7,1),G1695&lt;DATE(2020,8,1)),L1695,0)</f>
        <v>0</v>
      </c>
    </row>
    <row r="1696" customFormat="false" ht="15" hidden="false" customHeight="true" outlineLevel="0" collapsed="false">
      <c r="A1696" s="1" t="n">
        <v>100013</v>
      </c>
      <c r="B1696" s="1" t="n">
        <v>50389</v>
      </c>
      <c r="C1696" s="1" t="n">
        <v>16</v>
      </c>
      <c r="D1696" s="1" t="n">
        <v>5</v>
      </c>
      <c r="E1696" s="1" t="str">
        <f aca="false">VLOOKUP(C1696,Меню!$A$2:$C$24,2,FALSE())</f>
        <v>Пицца Флорида</v>
      </c>
      <c r="F1696" s="1" t="n">
        <f aca="false">VLOOKUP(C1696,Меню!$A$2:$C$24,3,FALSE())</f>
        <v>535</v>
      </c>
      <c r="G1696" s="5" t="n">
        <f aca="false">VLOOKUP(B1696,Заказы!$A$2:$E$2995,2,FALSE())</f>
        <v>43994</v>
      </c>
      <c r="H1696" s="1" t="n">
        <f aca="false">VLOOKUP(B1696,Заказы!$A$2:$E$2995,3,FALSE())</f>
        <v>527</v>
      </c>
      <c r="I1696" s="1" t="str">
        <f aca="false">VLOOKUP(H1696,Клиенты!$A$2:$E$1995,5,FALSE())</f>
        <v>г. Новокуйбышевск</v>
      </c>
      <c r="J1696" s="1" t="n">
        <f aca="false">VLOOKUP(B1696,Заказы!$A$2:$E$2995,4,FALSE())</f>
        <v>706</v>
      </c>
      <c r="K1696" s="1" t="str">
        <f aca="false">VLOOKUP(B1696,Заказы!$A$2:$E$2995,5,FALSE())</f>
        <v>Выполнено</v>
      </c>
      <c r="L1696" s="1" t="n">
        <f aca="false">D1696*F1696+J1696</f>
        <v>3381</v>
      </c>
      <c r="M1696" s="1" t="n">
        <f aca="false">IF(AND(E1696="Пицца Труслейка",I1696="г. Москва",K1696="Выполнено",G1696&gt;=DATE(2020,7,1),G1696&lt;DATE(2020,8,1)),L1696,0)</f>
        <v>0</v>
      </c>
    </row>
    <row r="1697" customFormat="false" ht="15" hidden="false" customHeight="true" outlineLevel="0" collapsed="false">
      <c r="A1697" s="1" t="n">
        <v>100617</v>
      </c>
      <c r="B1697" s="1" t="n">
        <v>51080</v>
      </c>
      <c r="C1697" s="1" t="n">
        <v>22</v>
      </c>
      <c r="D1697" s="1" t="n">
        <v>4</v>
      </c>
      <c r="E1697" s="1" t="str">
        <f aca="false">VLOOKUP(C1697,Меню!$A$2:$C$24,2,FALSE())</f>
        <v>Пицца с поркеттой и фриарелли</v>
      </c>
      <c r="F1697" s="1" t="n">
        <f aca="false">VLOOKUP(C1697,Меню!$A$2:$C$24,3,FALSE())</f>
        <v>550</v>
      </c>
      <c r="G1697" s="5" t="n">
        <f aca="false">VLOOKUP(B1697,Заказы!$A$2:$E$2995,2,FALSE())</f>
        <v>44037</v>
      </c>
      <c r="H1697" s="1" t="n">
        <f aca="false">VLOOKUP(B1697,Заказы!$A$2:$E$2995,3,FALSE())</f>
        <v>1854</v>
      </c>
      <c r="I1697" s="1" t="str">
        <f aca="false">VLOOKUP(H1697,Клиенты!$A$2:$E$1995,5,FALSE())</f>
        <v>г. Зерноград</v>
      </c>
      <c r="J1697" s="1" t="n">
        <f aca="false">VLOOKUP(B1697,Заказы!$A$2:$E$2995,4,FALSE())</f>
        <v>105</v>
      </c>
      <c r="K1697" s="1" t="str">
        <f aca="false">VLOOKUP(B1697,Заказы!$A$2:$E$2995,5,FALSE())</f>
        <v>Выполнено</v>
      </c>
      <c r="L1697" s="1" t="n">
        <f aca="false">D1697*F1697+J1697</f>
        <v>2305</v>
      </c>
      <c r="M1697" s="1" t="n">
        <f aca="false">IF(AND(E1697="Пицца Труслейка",I1697="г. Москва",K1697="Выполнено",G1697&gt;=DATE(2020,7,1),G1697&lt;DATE(2020,8,1)),L1697,0)</f>
        <v>0</v>
      </c>
    </row>
    <row r="1698" customFormat="false" ht="15" hidden="false" customHeight="true" outlineLevel="0" collapsed="false">
      <c r="A1698" s="1" t="n">
        <v>100528</v>
      </c>
      <c r="B1698" s="1" t="n">
        <v>51147</v>
      </c>
      <c r="C1698" s="1" t="n">
        <v>21</v>
      </c>
      <c r="D1698" s="1" t="n">
        <v>3</v>
      </c>
      <c r="E1698" s="1" t="str">
        <f aca="false">VLOOKUP(C1698,Меню!$A$2:$C$24,2,FALSE())</f>
        <v>Пицца с креветками и цукини</v>
      </c>
      <c r="F1698" s="1" t="n">
        <f aca="false">VLOOKUP(C1698,Меню!$A$2:$C$24,3,FALSE())</f>
        <v>600</v>
      </c>
      <c r="G1698" s="5" t="n">
        <f aca="false">VLOOKUP(B1698,Заказы!$A$2:$E$2995,2,FALSE())</f>
        <v>43982</v>
      </c>
      <c r="H1698" s="1" t="n">
        <f aca="false">VLOOKUP(B1698,Заказы!$A$2:$E$2995,3,FALSE())</f>
        <v>571</v>
      </c>
      <c r="I1698" s="1" t="str">
        <f aca="false">VLOOKUP(H1698,Клиенты!$A$2:$E$1995,5,FALSE())</f>
        <v>г. Киров</v>
      </c>
      <c r="J1698" s="1" t="n">
        <f aca="false">VLOOKUP(B1698,Заказы!$A$2:$E$2995,4,FALSE())</f>
        <v>468</v>
      </c>
      <c r="K1698" s="1" t="str">
        <f aca="false">VLOOKUP(B1698,Заказы!$A$2:$E$2995,5,FALSE())</f>
        <v>Выполнено</v>
      </c>
      <c r="L1698" s="1" t="n">
        <f aca="false">D1698*F1698+J1698</f>
        <v>2268</v>
      </c>
      <c r="M1698" s="1" t="n">
        <f aca="false">IF(AND(E1698="Пицца Труслейка",I1698="г. Москва",K1698="Выполнено",G1698&gt;=DATE(2020,7,1),G1698&lt;DATE(2020,8,1)),L1698,0)</f>
        <v>0</v>
      </c>
    </row>
    <row r="1699" customFormat="false" ht="15" hidden="false" customHeight="true" outlineLevel="0" collapsed="false">
      <c r="A1699" s="1" t="n">
        <v>100256</v>
      </c>
      <c r="B1699" s="1" t="n">
        <v>51831</v>
      </c>
      <c r="C1699" s="1" t="n">
        <v>15</v>
      </c>
      <c r="D1699" s="1" t="n">
        <v>6</v>
      </c>
      <c r="E1699" s="1" t="str">
        <f aca="false">VLOOKUP(C1699,Меню!$A$2:$C$24,2,FALSE())</f>
        <v>Пицца Тропиканка</v>
      </c>
      <c r="F1699" s="1" t="n">
        <f aca="false">VLOOKUP(C1699,Меню!$A$2:$C$24,3,FALSE())</f>
        <v>605</v>
      </c>
      <c r="G1699" s="5" t="n">
        <f aca="false">VLOOKUP(B1699,Заказы!$A$2:$E$2995,2,FALSE())</f>
        <v>44014</v>
      </c>
      <c r="H1699" s="1" t="n">
        <f aca="false">VLOOKUP(B1699,Заказы!$A$2:$E$2995,3,FALSE())</f>
        <v>1714</v>
      </c>
      <c r="I1699" s="1" t="str">
        <f aca="false">VLOOKUP(H1699,Клиенты!$A$2:$E$1995,5,FALSE())</f>
        <v>г. Невельск</v>
      </c>
      <c r="J1699" s="1" t="n">
        <f aca="false">VLOOKUP(B1699,Заказы!$A$2:$E$2995,4,FALSE())</f>
        <v>0</v>
      </c>
      <c r="K1699" s="1" t="str">
        <f aca="false">VLOOKUP(B1699,Заказы!$A$2:$E$2995,5,FALSE())</f>
        <v>Не выполнено</v>
      </c>
      <c r="L1699" s="1" t="n">
        <f aca="false">D1699*F1699+J1699</f>
        <v>3630</v>
      </c>
      <c r="M1699" s="1" t="n">
        <f aca="false">IF(AND(E1699="Пицца Труслейка",I1699="г. Москва",K1699="Выполнено",G1699&gt;=DATE(2020,7,1),G1699&lt;DATE(2020,8,1)),L1699,0)</f>
        <v>0</v>
      </c>
    </row>
    <row r="1700" customFormat="false" ht="15" hidden="false" customHeight="true" outlineLevel="0" collapsed="false">
      <c r="A1700" s="1" t="n">
        <v>101638</v>
      </c>
      <c r="B1700" s="1" t="n">
        <v>50381</v>
      </c>
      <c r="C1700" s="1" t="n">
        <v>13</v>
      </c>
      <c r="D1700" s="1" t="n">
        <v>1</v>
      </c>
      <c r="E1700" s="1" t="str">
        <f aca="false">VLOOKUP(C1700,Меню!$A$2:$C$24,2,FALSE())</f>
        <v>Пицца Сырная</v>
      </c>
      <c r="F1700" s="1" t="n">
        <f aca="false">VLOOKUP(C1700,Меню!$A$2:$C$24,3,FALSE())</f>
        <v>635</v>
      </c>
      <c r="G1700" s="5" t="n">
        <f aca="false">VLOOKUP(B1700,Заказы!$A$2:$E$2995,2,FALSE())</f>
        <v>44042</v>
      </c>
      <c r="H1700" s="1" t="n">
        <f aca="false">VLOOKUP(B1700,Заказы!$A$2:$E$2995,3,FALSE())</f>
        <v>51</v>
      </c>
      <c r="I1700" s="1" t="str">
        <f aca="false">VLOOKUP(H1700,Клиенты!$A$2:$E$1995,5,FALSE())</f>
        <v>г. Навашино</v>
      </c>
      <c r="J1700" s="1" t="n">
        <f aca="false">VLOOKUP(B1700,Заказы!$A$2:$E$2995,4,FALSE())</f>
        <v>0</v>
      </c>
      <c r="K1700" s="1" t="str">
        <f aca="false">VLOOKUP(B1700,Заказы!$A$2:$E$2995,5,FALSE())</f>
        <v>Не выполнено</v>
      </c>
      <c r="L1700" s="1" t="n">
        <f aca="false">D1700*F1700+J1700</f>
        <v>635</v>
      </c>
      <c r="M1700" s="1" t="n">
        <f aca="false">IF(AND(E1700="Пицца Труслейка",I1700="г. Москва",K1700="Выполнено",G1700&gt;=DATE(2020,7,1),G1700&lt;DATE(2020,8,1)),L1700,0)</f>
        <v>0</v>
      </c>
    </row>
    <row r="1701" customFormat="false" ht="15" hidden="false" customHeight="true" outlineLevel="0" collapsed="false">
      <c r="A1701" s="1" t="n">
        <v>100600</v>
      </c>
      <c r="B1701" s="1" t="n">
        <v>50109</v>
      </c>
      <c r="C1701" s="1" t="n">
        <v>4</v>
      </c>
      <c r="D1701" s="1" t="n">
        <v>1</v>
      </c>
      <c r="E1701" s="1" t="str">
        <f aca="false">VLOOKUP(C1701,Меню!$A$2:$C$24,2,FALSE())</f>
        <v>Пицца Труслейка</v>
      </c>
      <c r="F1701" s="1" t="n">
        <f aca="false">VLOOKUP(C1701,Меню!$A$2:$C$24,3,FALSE())</f>
        <v>610</v>
      </c>
      <c r="G1701" s="5" t="n">
        <f aca="false">VLOOKUP(B1701,Заказы!$A$2:$E$2995,2,FALSE())</f>
        <v>44025</v>
      </c>
      <c r="H1701" s="1" t="n">
        <f aca="false">VLOOKUP(B1701,Заказы!$A$2:$E$2995,3,FALSE())</f>
        <v>977</v>
      </c>
      <c r="I1701" s="1" t="str">
        <f aca="false">VLOOKUP(H1701,Клиенты!$A$2:$E$1995,5,FALSE())</f>
        <v>г. Карабулак</v>
      </c>
      <c r="J1701" s="1" t="n">
        <f aca="false">VLOOKUP(B1701,Заказы!$A$2:$E$2995,4,FALSE())</f>
        <v>522</v>
      </c>
      <c r="K1701" s="1" t="str">
        <f aca="false">VLOOKUP(B1701,Заказы!$A$2:$E$2995,5,FALSE())</f>
        <v>Выполнено</v>
      </c>
      <c r="L1701" s="1" t="n">
        <f aca="false">D1701*F1701+J1701</f>
        <v>1132</v>
      </c>
      <c r="M1701" s="1" t="n">
        <f aca="false">IF(AND(E1701="Пицца Труслейка",I1701="г. Москва",K1701="Выполнено",G1701&gt;=DATE(2020,7,1),G1701&lt;DATE(2020,8,1)),L1701,0)</f>
        <v>0</v>
      </c>
    </row>
    <row r="1702" customFormat="false" ht="15" hidden="false" customHeight="true" outlineLevel="0" collapsed="false">
      <c r="A1702" s="1" t="n">
        <v>100346</v>
      </c>
      <c r="B1702" s="1" t="n">
        <v>51339</v>
      </c>
      <c r="C1702" s="1" t="n">
        <v>19</v>
      </c>
      <c r="D1702" s="1" t="n">
        <v>3</v>
      </c>
      <c r="E1702" s="1" t="str">
        <f aca="false">VLOOKUP(C1702,Меню!$A$2:$C$24,2,FALSE())</f>
        <v>Пицца Цезарь</v>
      </c>
      <c r="F1702" s="1" t="n">
        <f aca="false">VLOOKUP(C1702,Меню!$A$2:$C$24,3,FALSE())</f>
        <v>630</v>
      </c>
      <c r="G1702" s="5" t="n">
        <f aca="false">VLOOKUP(B1702,Заказы!$A$2:$E$2995,2,FALSE())</f>
        <v>44027</v>
      </c>
      <c r="H1702" s="1" t="n">
        <f aca="false">VLOOKUP(B1702,Заказы!$A$2:$E$2995,3,FALSE())</f>
        <v>885</v>
      </c>
      <c r="I1702" s="1" t="str">
        <f aca="false">VLOOKUP(H1702,Клиенты!$A$2:$E$1995,5,FALSE())</f>
        <v>г. Кремёнки</v>
      </c>
      <c r="J1702" s="1" t="n">
        <f aca="false">VLOOKUP(B1702,Заказы!$A$2:$E$2995,4,FALSE())</f>
        <v>826</v>
      </c>
      <c r="K1702" s="1" t="str">
        <f aca="false">VLOOKUP(B1702,Заказы!$A$2:$E$2995,5,FALSE())</f>
        <v>Выполнено</v>
      </c>
      <c r="L1702" s="1" t="n">
        <f aca="false">D1702*F1702+J1702</f>
        <v>2716</v>
      </c>
      <c r="M1702" s="1" t="n">
        <f aca="false">IF(AND(E1702="Пицца Труслейка",I1702="г. Москва",K1702="Выполнено",G1702&gt;=DATE(2020,7,1),G1702&lt;DATE(2020,8,1)),L1702,0)</f>
        <v>0</v>
      </c>
    </row>
    <row r="1703" customFormat="false" ht="15" hidden="false" customHeight="true" outlineLevel="0" collapsed="false">
      <c r="A1703" s="1" t="n">
        <v>100972</v>
      </c>
      <c r="B1703" s="1" t="n">
        <v>50420</v>
      </c>
      <c r="C1703" s="1" t="n">
        <v>7</v>
      </c>
      <c r="D1703" s="1" t="n">
        <v>4</v>
      </c>
      <c r="E1703" s="1" t="str">
        <f aca="false">VLOOKUP(C1703,Меню!$A$2:$C$24,2,FALSE())</f>
        <v>Пицца Карбонара</v>
      </c>
      <c r="F1703" s="1" t="n">
        <f aca="false">VLOOKUP(C1703,Меню!$A$2:$C$24,3,FALSE())</f>
        <v>625</v>
      </c>
      <c r="G1703" s="5" t="n">
        <f aca="false">VLOOKUP(B1703,Заказы!$A$2:$E$2995,2,FALSE())</f>
        <v>44054</v>
      </c>
      <c r="H1703" s="1" t="n">
        <f aca="false">VLOOKUP(B1703,Заказы!$A$2:$E$2995,3,FALSE())</f>
        <v>142</v>
      </c>
      <c r="I1703" s="1" t="str">
        <f aca="false">VLOOKUP(H1703,Клиенты!$A$2:$E$1995,5,FALSE())</f>
        <v>г. Черноголовка</v>
      </c>
      <c r="J1703" s="1" t="n">
        <f aca="false">VLOOKUP(B1703,Заказы!$A$2:$E$2995,4,FALSE())</f>
        <v>0</v>
      </c>
      <c r="K1703" s="1" t="str">
        <f aca="false">VLOOKUP(B1703,Заказы!$A$2:$E$2995,5,FALSE())</f>
        <v>Не выполнено</v>
      </c>
      <c r="L1703" s="1" t="n">
        <f aca="false">D1703*F1703+J1703</f>
        <v>2500</v>
      </c>
      <c r="M1703" s="1" t="n">
        <f aca="false">IF(AND(E1703="Пицца Труслейка",I1703="г. Москва",K1703="Выполнено",G1703&gt;=DATE(2020,7,1),G1703&lt;DATE(2020,8,1)),L1703,0)</f>
        <v>0</v>
      </c>
    </row>
    <row r="1704" customFormat="false" ht="15" hidden="false" customHeight="true" outlineLevel="0" collapsed="false">
      <c r="A1704" s="1" t="n">
        <v>101482</v>
      </c>
      <c r="B1704" s="1" t="n">
        <v>51708</v>
      </c>
      <c r="C1704" s="1" t="n">
        <v>6</v>
      </c>
      <c r="D1704" s="1" t="n">
        <v>5</v>
      </c>
      <c r="E1704" s="1" t="str">
        <f aca="false">VLOOKUP(C1704,Меню!$A$2:$C$24,2,FALSE())</f>
        <v>Пицца Капричиоза</v>
      </c>
      <c r="F1704" s="1" t="n">
        <f aca="false">VLOOKUP(C1704,Меню!$A$2:$C$24,3,FALSE())</f>
        <v>570</v>
      </c>
      <c r="G1704" s="5" t="n">
        <f aca="false">VLOOKUP(B1704,Заказы!$A$2:$E$2995,2,FALSE())</f>
        <v>44036</v>
      </c>
      <c r="H1704" s="1" t="n">
        <f aca="false">VLOOKUP(B1704,Заказы!$A$2:$E$2995,3,FALSE())</f>
        <v>1023</v>
      </c>
      <c r="I1704" s="1" t="str">
        <f aca="false">VLOOKUP(H1704,Клиенты!$A$2:$E$1995,5,FALSE())</f>
        <v>г. Баксан</v>
      </c>
      <c r="J1704" s="1" t="n">
        <f aca="false">VLOOKUP(B1704,Заказы!$A$2:$E$2995,4,FALSE())</f>
        <v>0</v>
      </c>
      <c r="K1704" s="1" t="str">
        <f aca="false">VLOOKUP(B1704,Заказы!$A$2:$E$2995,5,FALSE())</f>
        <v>Не выполнено</v>
      </c>
      <c r="L1704" s="1" t="n">
        <f aca="false">D1704*F1704+J1704</f>
        <v>2850</v>
      </c>
      <c r="M1704" s="1" t="n">
        <f aca="false">IF(AND(E1704="Пицца Труслейка",I1704="г. Москва",K1704="Выполнено",G1704&gt;=DATE(2020,7,1),G1704&lt;DATE(2020,8,1)),L1704,0)</f>
        <v>0</v>
      </c>
    </row>
    <row r="1705" customFormat="false" ht="15" hidden="false" customHeight="true" outlineLevel="0" collapsed="false">
      <c r="A1705" s="1" t="n">
        <v>100271</v>
      </c>
      <c r="B1705" s="1" t="n">
        <v>50378</v>
      </c>
      <c r="C1705" s="1" t="n">
        <v>5</v>
      </c>
      <c r="D1705" s="1" t="n">
        <v>6</v>
      </c>
      <c r="E1705" s="1" t="str">
        <f aca="false">VLOOKUP(C1705,Меню!$A$2:$C$24,2,FALSE())</f>
        <v>Пицца Жюльен</v>
      </c>
      <c r="F1705" s="1" t="n">
        <f aca="false">VLOOKUP(C1705,Меню!$A$2:$C$24,3,FALSE())</f>
        <v>580</v>
      </c>
      <c r="G1705" s="5" t="n">
        <f aca="false">VLOOKUP(B1705,Заказы!$A$2:$E$2995,2,FALSE())</f>
        <v>44001</v>
      </c>
      <c r="H1705" s="1" t="n">
        <f aca="false">VLOOKUP(B1705,Заказы!$A$2:$E$2995,3,FALSE())</f>
        <v>728</v>
      </c>
      <c r="I1705" s="1" t="str">
        <f aca="false">VLOOKUP(H1705,Клиенты!$A$2:$E$1995,5,FALSE())</f>
        <v>г. Нововоронеж</v>
      </c>
      <c r="J1705" s="1" t="n">
        <f aca="false">VLOOKUP(B1705,Заказы!$A$2:$E$2995,4,FALSE())</f>
        <v>0</v>
      </c>
      <c r="K1705" s="1" t="str">
        <f aca="false">VLOOKUP(B1705,Заказы!$A$2:$E$2995,5,FALSE())</f>
        <v>Не выполнено</v>
      </c>
      <c r="L1705" s="1" t="n">
        <f aca="false">D1705*F1705+J1705</f>
        <v>3480</v>
      </c>
      <c r="M1705" s="1" t="n">
        <f aca="false">IF(AND(E1705="Пицца Труслейка",I1705="г. Москва",K1705="Выполнено",G1705&gt;=DATE(2020,7,1),G1705&lt;DATE(2020,8,1)),L1705,0)</f>
        <v>0</v>
      </c>
    </row>
    <row r="1706" customFormat="false" ht="15" hidden="false" customHeight="true" outlineLevel="0" collapsed="false">
      <c r="A1706" s="1" t="n">
        <v>100802</v>
      </c>
      <c r="B1706" s="1" t="n">
        <v>50347</v>
      </c>
      <c r="C1706" s="1" t="n">
        <v>18</v>
      </c>
      <c r="D1706" s="1" t="n">
        <v>7</v>
      </c>
      <c r="E1706" s="1" t="str">
        <f aca="false">VLOOKUP(C1706,Меню!$A$2:$C$24,2,FALSE())</f>
        <v>Пицца Царская</v>
      </c>
      <c r="F1706" s="1" t="n">
        <f aca="false">VLOOKUP(C1706,Меню!$A$2:$C$24,3,FALSE())</f>
        <v>620</v>
      </c>
      <c r="G1706" s="5" t="n">
        <f aca="false">VLOOKUP(B1706,Заказы!$A$2:$E$2995,2,FALSE())</f>
        <v>43998</v>
      </c>
      <c r="H1706" s="1" t="n">
        <f aca="false">VLOOKUP(B1706,Заказы!$A$2:$E$2995,3,FALSE())</f>
        <v>1830</v>
      </c>
      <c r="I1706" s="1" t="str">
        <f aca="false">VLOOKUP(H1706,Клиенты!$A$2:$E$1995,5,FALSE())</f>
        <v>г. Москва</v>
      </c>
      <c r="J1706" s="1" t="n">
        <f aca="false">VLOOKUP(B1706,Заказы!$A$2:$E$2995,4,FALSE())</f>
        <v>0</v>
      </c>
      <c r="K1706" s="1" t="str">
        <f aca="false">VLOOKUP(B1706,Заказы!$A$2:$E$2995,5,FALSE())</f>
        <v>Не выполнено</v>
      </c>
      <c r="L1706" s="1" t="n">
        <f aca="false">D1706*F1706+J1706</f>
        <v>4340</v>
      </c>
      <c r="M1706" s="1" t="n">
        <f aca="false">IF(AND(E1706="Пицца Труслейка",I1706="г. Москва",K1706="Выполнено",G1706&gt;=DATE(2020,7,1),G1706&lt;DATE(2020,8,1)),L1706,0)</f>
        <v>0</v>
      </c>
    </row>
    <row r="1707" customFormat="false" ht="15" hidden="false" customHeight="true" outlineLevel="0" collapsed="false">
      <c r="A1707" s="1" t="n">
        <v>100837</v>
      </c>
      <c r="B1707" s="1" t="n">
        <v>51261</v>
      </c>
      <c r="C1707" s="1" t="n">
        <v>10</v>
      </c>
      <c r="D1707" s="1" t="n">
        <v>6</v>
      </c>
      <c r="E1707" s="1" t="str">
        <f aca="false">VLOOKUP(C1707,Меню!$A$2:$C$24,2,FALSE())</f>
        <v>Пицца Пепперони фреш</v>
      </c>
      <c r="F1707" s="1" t="n">
        <f aca="false">VLOOKUP(C1707,Меню!$A$2:$C$24,3,FALSE())</f>
        <v>565</v>
      </c>
      <c r="G1707" s="5" t="n">
        <f aca="false">VLOOKUP(B1707,Заказы!$A$2:$E$2995,2,FALSE())</f>
        <v>44067</v>
      </c>
      <c r="H1707" s="1" t="n">
        <f aca="false">VLOOKUP(B1707,Заказы!$A$2:$E$2995,3,FALSE())</f>
        <v>1094</v>
      </c>
      <c r="I1707" s="1" t="str">
        <f aca="false">VLOOKUP(H1707,Клиенты!$A$2:$E$1995,5,FALSE())</f>
        <v>г. Кондопога</v>
      </c>
      <c r="J1707" s="1" t="n">
        <f aca="false">VLOOKUP(B1707,Заказы!$A$2:$E$2995,4,FALSE())</f>
        <v>0</v>
      </c>
      <c r="K1707" s="1" t="str">
        <f aca="false">VLOOKUP(B1707,Заказы!$A$2:$E$2995,5,FALSE())</f>
        <v>Не выполнено</v>
      </c>
      <c r="L1707" s="1" t="n">
        <f aca="false">D1707*F1707+J1707</f>
        <v>3390</v>
      </c>
      <c r="M1707" s="1" t="n">
        <f aca="false">IF(AND(E1707="Пицца Труслейка",I1707="г. Москва",K1707="Выполнено",G1707&gt;=DATE(2020,7,1),G1707&lt;DATE(2020,8,1)),L1707,0)</f>
        <v>0</v>
      </c>
    </row>
    <row r="1708" customFormat="false" ht="15" hidden="false" customHeight="true" outlineLevel="0" collapsed="false">
      <c r="A1708" s="1" t="n">
        <v>100589</v>
      </c>
      <c r="B1708" s="1" t="n">
        <v>50501</v>
      </c>
      <c r="C1708" s="1" t="n">
        <v>5</v>
      </c>
      <c r="D1708" s="1" t="n">
        <v>9</v>
      </c>
      <c r="E1708" s="1" t="str">
        <f aca="false">VLOOKUP(C1708,Меню!$A$2:$C$24,2,FALSE())</f>
        <v>Пицца Жюльен</v>
      </c>
      <c r="F1708" s="1" t="n">
        <f aca="false">VLOOKUP(C1708,Меню!$A$2:$C$24,3,FALSE())</f>
        <v>580</v>
      </c>
      <c r="G1708" s="5" t="n">
        <f aca="false">VLOOKUP(B1708,Заказы!$A$2:$E$2995,2,FALSE())</f>
        <v>44030</v>
      </c>
      <c r="H1708" s="1" t="n">
        <f aca="false">VLOOKUP(B1708,Заказы!$A$2:$E$2995,3,FALSE())</f>
        <v>1775</v>
      </c>
      <c r="I1708" s="1" t="str">
        <f aca="false">VLOOKUP(H1708,Клиенты!$A$2:$E$1995,5,FALSE())</f>
        <v>г. Шали</v>
      </c>
      <c r="J1708" s="1" t="n">
        <f aca="false">VLOOKUP(B1708,Заказы!$A$2:$E$2995,4,FALSE())</f>
        <v>0</v>
      </c>
      <c r="K1708" s="1" t="str">
        <f aca="false">VLOOKUP(B1708,Заказы!$A$2:$E$2995,5,FALSE())</f>
        <v>Не выполнено</v>
      </c>
      <c r="L1708" s="1" t="n">
        <f aca="false">D1708*F1708+J1708</f>
        <v>5220</v>
      </c>
      <c r="M1708" s="1" t="n">
        <f aca="false">IF(AND(E1708="Пицца Труслейка",I1708="г. Москва",K1708="Выполнено",G1708&gt;=DATE(2020,7,1),G1708&lt;DATE(2020,8,1)),L1708,0)</f>
        <v>0</v>
      </c>
    </row>
    <row r="1709" customFormat="false" ht="15" hidden="false" customHeight="true" outlineLevel="0" collapsed="false">
      <c r="A1709" s="1" t="n">
        <v>100198</v>
      </c>
      <c r="B1709" s="1" t="n">
        <v>51940</v>
      </c>
      <c r="C1709" s="1" t="n">
        <v>18</v>
      </c>
      <c r="D1709" s="1" t="n">
        <v>7</v>
      </c>
      <c r="E1709" s="1" t="str">
        <f aca="false">VLOOKUP(C1709,Меню!$A$2:$C$24,2,FALSE())</f>
        <v>Пицца Царская</v>
      </c>
      <c r="F1709" s="1" t="n">
        <f aca="false">VLOOKUP(C1709,Меню!$A$2:$C$24,3,FALSE())</f>
        <v>620</v>
      </c>
      <c r="G1709" s="5" t="n">
        <f aca="false">VLOOKUP(B1709,Заказы!$A$2:$E$2995,2,FALSE())</f>
        <v>44008</v>
      </c>
      <c r="H1709" s="1" t="n">
        <f aca="false">VLOOKUP(B1709,Заказы!$A$2:$E$2995,3,FALSE())</f>
        <v>1488</v>
      </c>
      <c r="I1709" s="1" t="str">
        <f aca="false">VLOOKUP(H1709,Клиенты!$A$2:$E$1995,5,FALSE())</f>
        <v>г. Венёв</v>
      </c>
      <c r="J1709" s="1" t="n">
        <f aca="false">VLOOKUP(B1709,Заказы!$A$2:$E$2995,4,FALSE())</f>
        <v>0</v>
      </c>
      <c r="K1709" s="1" t="str">
        <f aca="false">VLOOKUP(B1709,Заказы!$A$2:$E$2995,5,FALSE())</f>
        <v>Не выполнено</v>
      </c>
      <c r="L1709" s="1" t="n">
        <f aca="false">D1709*F1709+J1709</f>
        <v>4340</v>
      </c>
      <c r="M1709" s="1" t="n">
        <f aca="false">IF(AND(E1709="Пицца Труслейка",I1709="г. Москва",K1709="Выполнено",G1709&gt;=DATE(2020,7,1),G1709&lt;DATE(2020,8,1)),L1709,0)</f>
        <v>0</v>
      </c>
    </row>
    <row r="1710" customFormat="false" ht="15" hidden="false" customHeight="true" outlineLevel="0" collapsed="false">
      <c r="A1710" s="1" t="n">
        <v>100501</v>
      </c>
      <c r="B1710" s="1" t="n">
        <v>50316</v>
      </c>
      <c r="C1710" s="1" t="n">
        <v>14</v>
      </c>
      <c r="D1710" s="1" t="n">
        <v>8</v>
      </c>
      <c r="E1710" s="1" t="str">
        <f aca="false">VLOOKUP(C1710,Меню!$A$2:$C$24,2,FALSE())</f>
        <v>Пицца Сырный цыпленок</v>
      </c>
      <c r="F1710" s="1" t="n">
        <f aca="false">VLOOKUP(C1710,Меню!$A$2:$C$24,3,FALSE())</f>
        <v>555</v>
      </c>
      <c r="G1710" s="5" t="n">
        <f aca="false">VLOOKUP(B1710,Заказы!$A$2:$E$2995,2,FALSE())</f>
        <v>44063</v>
      </c>
      <c r="H1710" s="1" t="n">
        <f aca="false">VLOOKUP(B1710,Заказы!$A$2:$E$2995,3,FALSE())</f>
        <v>624</v>
      </c>
      <c r="I1710" s="1" t="str">
        <f aca="false">VLOOKUP(H1710,Клиенты!$A$2:$E$1995,5,FALSE())</f>
        <v>г. Калуга</v>
      </c>
      <c r="J1710" s="1" t="n">
        <f aca="false">VLOOKUP(B1710,Заказы!$A$2:$E$2995,4,FALSE())</f>
        <v>0</v>
      </c>
      <c r="K1710" s="1" t="str">
        <f aca="false">VLOOKUP(B1710,Заказы!$A$2:$E$2995,5,FALSE())</f>
        <v>Не выполнено</v>
      </c>
      <c r="L1710" s="1" t="n">
        <f aca="false">D1710*F1710+J1710</f>
        <v>4440</v>
      </c>
      <c r="M1710" s="1" t="n">
        <f aca="false">IF(AND(E1710="Пицца Труслейка",I1710="г. Москва",K1710="Выполнено",G1710&gt;=DATE(2020,7,1),G1710&lt;DATE(2020,8,1)),L1710,0)</f>
        <v>0</v>
      </c>
    </row>
    <row r="1711" customFormat="false" ht="15" hidden="false" customHeight="true" outlineLevel="0" collapsed="false">
      <c r="A1711" s="1" t="n">
        <v>100118</v>
      </c>
      <c r="B1711" s="1" t="n">
        <v>51748</v>
      </c>
      <c r="C1711" s="1" t="n">
        <v>4</v>
      </c>
      <c r="D1711" s="1" t="n">
        <v>1</v>
      </c>
      <c r="E1711" s="1" t="str">
        <f aca="false">VLOOKUP(C1711,Меню!$A$2:$C$24,2,FALSE())</f>
        <v>Пицца Труслейка</v>
      </c>
      <c r="F1711" s="1" t="n">
        <f aca="false">VLOOKUP(C1711,Меню!$A$2:$C$24,3,FALSE())</f>
        <v>610</v>
      </c>
      <c r="G1711" s="5" t="n">
        <f aca="false">VLOOKUP(B1711,Заказы!$A$2:$E$2995,2,FALSE())</f>
        <v>44044</v>
      </c>
      <c r="H1711" s="1" t="n">
        <f aca="false">VLOOKUP(B1711,Заказы!$A$2:$E$2995,3,FALSE())</f>
        <v>1864</v>
      </c>
      <c r="I1711" s="1" t="str">
        <f aca="false">VLOOKUP(H1711,Клиенты!$A$2:$E$1995,5,FALSE())</f>
        <v>г. Ярославль</v>
      </c>
      <c r="J1711" s="1" t="n">
        <f aca="false">VLOOKUP(B1711,Заказы!$A$2:$E$2995,4,FALSE())</f>
        <v>0</v>
      </c>
      <c r="K1711" s="1" t="str">
        <f aca="false">VLOOKUP(B1711,Заказы!$A$2:$E$2995,5,FALSE())</f>
        <v>Не выполнено</v>
      </c>
      <c r="L1711" s="1" t="n">
        <f aca="false">D1711*F1711+J1711</f>
        <v>610</v>
      </c>
      <c r="M1711" s="1" t="n">
        <f aca="false">IF(AND(E1711="Пицца Труслейка",I1711="г. Москва",K1711="Выполнено",G1711&gt;=DATE(2020,7,1),G1711&lt;DATE(2020,8,1)),L1711,0)</f>
        <v>0</v>
      </c>
    </row>
    <row r="1712" customFormat="false" ht="15" hidden="false" customHeight="true" outlineLevel="0" collapsed="false">
      <c r="A1712" s="1" t="n">
        <v>100576</v>
      </c>
      <c r="B1712" s="1" t="n">
        <v>51865</v>
      </c>
      <c r="C1712" s="1" t="n">
        <v>1</v>
      </c>
      <c r="D1712" s="1" t="n">
        <v>5</v>
      </c>
      <c r="E1712" s="1" t="str">
        <f aca="false">VLOOKUP(C1712,Меню!$A$2:$C$24,2,FALSE())</f>
        <v>Пицца Гавайская</v>
      </c>
      <c r="F1712" s="1" t="n">
        <f aca="false">VLOOKUP(C1712,Меню!$A$2:$C$24,3,FALSE())</f>
        <v>545</v>
      </c>
      <c r="G1712" s="5" t="n">
        <f aca="false">VLOOKUP(B1712,Заказы!$A$2:$E$2995,2,FALSE())</f>
        <v>44009</v>
      </c>
      <c r="H1712" s="1" t="n">
        <f aca="false">VLOOKUP(B1712,Заказы!$A$2:$E$2995,3,FALSE())</f>
        <v>346</v>
      </c>
      <c r="I1712" s="1" t="str">
        <f aca="false">VLOOKUP(H1712,Клиенты!$A$2:$E$1995,5,FALSE())</f>
        <v>г. Чудово</v>
      </c>
      <c r="J1712" s="1" t="n">
        <f aca="false">VLOOKUP(B1712,Заказы!$A$2:$E$2995,4,FALSE())</f>
        <v>0</v>
      </c>
      <c r="K1712" s="1" t="str">
        <f aca="false">VLOOKUP(B1712,Заказы!$A$2:$E$2995,5,FALSE())</f>
        <v>Не выполнено</v>
      </c>
      <c r="L1712" s="1" t="n">
        <f aca="false">D1712*F1712+J1712</f>
        <v>2725</v>
      </c>
      <c r="M1712" s="1" t="n">
        <f aca="false">IF(AND(E1712="Пицца Труслейка",I1712="г. Москва",K1712="Выполнено",G1712&gt;=DATE(2020,7,1),G1712&lt;DATE(2020,8,1)),L1712,0)</f>
        <v>0</v>
      </c>
    </row>
    <row r="1713" customFormat="false" ht="15" hidden="false" customHeight="true" outlineLevel="0" collapsed="false">
      <c r="A1713" s="1" t="n">
        <v>100551</v>
      </c>
      <c r="B1713" s="1" t="n">
        <v>50885</v>
      </c>
      <c r="C1713" s="1" t="n">
        <v>10</v>
      </c>
      <c r="D1713" s="1" t="n">
        <v>6</v>
      </c>
      <c r="E1713" s="1" t="str">
        <f aca="false">VLOOKUP(C1713,Меню!$A$2:$C$24,2,FALSE())</f>
        <v>Пицца Пепперони фреш</v>
      </c>
      <c r="F1713" s="1" t="n">
        <f aca="false">VLOOKUP(C1713,Меню!$A$2:$C$24,3,FALSE())</f>
        <v>565</v>
      </c>
      <c r="G1713" s="5" t="n">
        <f aca="false">VLOOKUP(B1713,Заказы!$A$2:$E$2995,2,FALSE())</f>
        <v>43984</v>
      </c>
      <c r="H1713" s="1" t="n">
        <f aca="false">VLOOKUP(B1713,Заказы!$A$2:$E$2995,3,FALSE())</f>
        <v>729</v>
      </c>
      <c r="I1713" s="1" t="str">
        <f aca="false">VLOOKUP(H1713,Клиенты!$A$2:$E$1995,5,FALSE())</f>
        <v>г. Россошь</v>
      </c>
      <c r="J1713" s="1" t="n">
        <f aca="false">VLOOKUP(B1713,Заказы!$A$2:$E$2995,4,FALSE())</f>
        <v>797</v>
      </c>
      <c r="K1713" s="1" t="str">
        <f aca="false">VLOOKUP(B1713,Заказы!$A$2:$E$2995,5,FALSE())</f>
        <v>Выполнено</v>
      </c>
      <c r="L1713" s="1" t="n">
        <f aca="false">D1713*F1713+J1713</f>
        <v>4187</v>
      </c>
      <c r="M1713" s="1" t="n">
        <f aca="false">IF(AND(E1713="Пицца Труслейка",I1713="г. Москва",K1713="Выполнено",G1713&gt;=DATE(2020,7,1),G1713&lt;DATE(2020,8,1)),L1713,0)</f>
        <v>0</v>
      </c>
    </row>
    <row r="1714" customFormat="false" ht="15" hidden="false" customHeight="true" outlineLevel="0" collapsed="false">
      <c r="A1714" s="1" t="n">
        <v>101876</v>
      </c>
      <c r="B1714" s="1" t="n">
        <v>51496</v>
      </c>
      <c r="C1714" s="1" t="n">
        <v>4</v>
      </c>
      <c r="D1714" s="1" t="n">
        <v>8</v>
      </c>
      <c r="E1714" s="1" t="str">
        <f aca="false">VLOOKUP(C1714,Меню!$A$2:$C$24,2,FALSE())</f>
        <v>Пицца Труслейка</v>
      </c>
      <c r="F1714" s="1" t="n">
        <f aca="false">VLOOKUP(C1714,Меню!$A$2:$C$24,3,FALSE())</f>
        <v>610</v>
      </c>
      <c r="G1714" s="5" t="n">
        <f aca="false">VLOOKUP(B1714,Заказы!$A$2:$E$2995,2,FALSE())</f>
        <v>44037</v>
      </c>
      <c r="H1714" s="1" t="n">
        <f aca="false">VLOOKUP(B1714,Заказы!$A$2:$E$2995,3,FALSE())</f>
        <v>915</v>
      </c>
      <c r="I1714" s="1" t="str">
        <f aca="false">VLOOKUP(H1714,Клиенты!$A$2:$E$1995,5,FALSE())</f>
        <v>г. Кушва</v>
      </c>
      <c r="J1714" s="1" t="n">
        <f aca="false">VLOOKUP(B1714,Заказы!$A$2:$E$2995,4,FALSE())</f>
        <v>850</v>
      </c>
      <c r="K1714" s="1" t="str">
        <f aca="false">VLOOKUP(B1714,Заказы!$A$2:$E$2995,5,FALSE())</f>
        <v>Выполнено</v>
      </c>
      <c r="L1714" s="1" t="n">
        <f aca="false">D1714*F1714+J1714</f>
        <v>5730</v>
      </c>
      <c r="M1714" s="1" t="n">
        <f aca="false">IF(AND(E1714="Пицца Труслейка",I1714="г. Москва",K1714="Выполнено",G1714&gt;=DATE(2020,7,1),G1714&lt;DATE(2020,8,1)),L1714,0)</f>
        <v>0</v>
      </c>
    </row>
    <row r="1715" customFormat="false" ht="15" hidden="false" customHeight="true" outlineLevel="0" collapsed="false">
      <c r="A1715" s="1" t="n">
        <v>100400</v>
      </c>
      <c r="B1715" s="1" t="n">
        <v>50872</v>
      </c>
      <c r="C1715" s="1" t="n">
        <v>7</v>
      </c>
      <c r="D1715" s="1" t="n">
        <v>10</v>
      </c>
      <c r="E1715" s="1" t="str">
        <f aca="false">VLOOKUP(C1715,Меню!$A$2:$C$24,2,FALSE())</f>
        <v>Пицца Карбонара</v>
      </c>
      <c r="F1715" s="1" t="n">
        <f aca="false">VLOOKUP(C1715,Меню!$A$2:$C$24,3,FALSE())</f>
        <v>625</v>
      </c>
      <c r="G1715" s="5" t="n">
        <f aca="false">VLOOKUP(B1715,Заказы!$A$2:$E$2995,2,FALSE())</f>
        <v>44014</v>
      </c>
      <c r="H1715" s="1" t="n">
        <f aca="false">VLOOKUP(B1715,Заказы!$A$2:$E$2995,3,FALSE())</f>
        <v>1565</v>
      </c>
      <c r="I1715" s="1" t="str">
        <f aca="false">VLOOKUP(H1715,Клиенты!$A$2:$E$1995,5,FALSE())</f>
        <v>г. Лянтор</v>
      </c>
      <c r="J1715" s="1" t="n">
        <f aca="false">VLOOKUP(B1715,Заказы!$A$2:$E$2995,4,FALSE())</f>
        <v>610</v>
      </c>
      <c r="K1715" s="1" t="str">
        <f aca="false">VLOOKUP(B1715,Заказы!$A$2:$E$2995,5,FALSE())</f>
        <v>Выполнено</v>
      </c>
      <c r="L1715" s="1" t="n">
        <f aca="false">D1715*F1715+J1715</f>
        <v>6860</v>
      </c>
      <c r="M1715" s="1" t="n">
        <f aca="false">IF(AND(E1715="Пицца Труслейка",I1715="г. Москва",K1715="Выполнено",G1715&gt;=DATE(2020,7,1),G1715&lt;DATE(2020,8,1)),L1715,0)</f>
        <v>0</v>
      </c>
    </row>
    <row r="1716" customFormat="false" ht="15" hidden="false" customHeight="true" outlineLevel="0" collapsed="false">
      <c r="A1716" s="1" t="n">
        <v>100654</v>
      </c>
      <c r="B1716" s="1" t="n">
        <v>50615</v>
      </c>
      <c r="C1716" s="1" t="n">
        <v>23</v>
      </c>
      <c r="D1716" s="1" t="n">
        <v>3</v>
      </c>
      <c r="E1716" s="1" t="str">
        <f aca="false">VLOOKUP(C1716,Меню!$A$2:$C$24,2,FALSE())</f>
        <v>Пицца с тунцом</v>
      </c>
      <c r="F1716" s="1" t="n">
        <f aca="false">VLOOKUP(C1716,Меню!$A$2:$C$24,3,FALSE())</f>
        <v>520</v>
      </c>
      <c r="G1716" s="5" t="n">
        <f aca="false">VLOOKUP(B1716,Заказы!$A$2:$E$2995,2,FALSE())</f>
        <v>44018</v>
      </c>
      <c r="H1716" s="1" t="n">
        <f aca="false">VLOOKUP(B1716,Заказы!$A$2:$E$2995,3,FALSE())</f>
        <v>117</v>
      </c>
      <c r="I1716" s="1" t="str">
        <f aca="false">VLOOKUP(H1716,Клиенты!$A$2:$E$1995,5,FALSE())</f>
        <v>г. Берёзовский</v>
      </c>
      <c r="J1716" s="1" t="n">
        <f aca="false">VLOOKUP(B1716,Заказы!$A$2:$E$2995,4,FALSE())</f>
        <v>669</v>
      </c>
      <c r="K1716" s="1" t="str">
        <f aca="false">VLOOKUP(B1716,Заказы!$A$2:$E$2995,5,FALSE())</f>
        <v>Выполнено</v>
      </c>
      <c r="L1716" s="1" t="n">
        <f aca="false">D1716*F1716+J1716</f>
        <v>2229</v>
      </c>
      <c r="M1716" s="1" t="n">
        <f aca="false">IF(AND(E1716="Пицца Труслейка",I1716="г. Москва",K1716="Выполнено",G1716&gt;=DATE(2020,7,1),G1716&lt;DATE(2020,8,1)),L1716,0)</f>
        <v>0</v>
      </c>
    </row>
    <row r="1717" customFormat="false" ht="15" hidden="false" customHeight="true" outlineLevel="0" collapsed="false">
      <c r="A1717" s="1" t="n">
        <v>101368</v>
      </c>
      <c r="B1717" s="1" t="n">
        <v>51480</v>
      </c>
      <c r="C1717" s="1" t="n">
        <v>3</v>
      </c>
      <c r="D1717" s="1" t="n">
        <v>6</v>
      </c>
      <c r="E1717" s="1" t="str">
        <f aca="false">VLOOKUP(C1717,Меню!$A$2:$C$24,2,FALSE())</f>
        <v>Пицца Диабло</v>
      </c>
      <c r="F1717" s="1" t="n">
        <f aca="false">VLOOKUP(C1717,Меню!$A$2:$C$24,3,FALSE())</f>
        <v>590</v>
      </c>
      <c r="G1717" s="5" t="n">
        <f aca="false">VLOOKUP(B1717,Заказы!$A$2:$E$2995,2,FALSE())</f>
        <v>43987</v>
      </c>
      <c r="H1717" s="1" t="n">
        <f aca="false">VLOOKUP(B1717,Заказы!$A$2:$E$2995,3,FALSE())</f>
        <v>1490</v>
      </c>
      <c r="I1717" s="1" t="str">
        <f aca="false">VLOOKUP(H1717,Клиенты!$A$2:$E$1995,5,FALSE())</f>
        <v>г. Москва</v>
      </c>
      <c r="J1717" s="1" t="n">
        <f aca="false">VLOOKUP(B1717,Заказы!$A$2:$E$2995,4,FALSE())</f>
        <v>430</v>
      </c>
      <c r="K1717" s="1" t="str">
        <f aca="false">VLOOKUP(B1717,Заказы!$A$2:$E$2995,5,FALSE())</f>
        <v>Выполнено</v>
      </c>
      <c r="L1717" s="1" t="n">
        <f aca="false">D1717*F1717+J1717</f>
        <v>3970</v>
      </c>
      <c r="M1717" s="1" t="n">
        <f aca="false">IF(AND(E1717="Пицца Труслейка",I1717="г. Москва",K1717="Выполнено",G1717&gt;=DATE(2020,7,1),G1717&lt;DATE(2020,8,1)),L1717,0)</f>
        <v>0</v>
      </c>
    </row>
    <row r="1718" customFormat="false" ht="15" hidden="false" customHeight="true" outlineLevel="0" collapsed="false">
      <c r="A1718" s="1" t="n">
        <v>100310</v>
      </c>
      <c r="B1718" s="1" t="n">
        <v>50198</v>
      </c>
      <c r="C1718" s="1" t="n">
        <v>3</v>
      </c>
      <c r="D1718" s="1" t="n">
        <v>8</v>
      </c>
      <c r="E1718" s="1" t="str">
        <f aca="false">VLOOKUP(C1718,Меню!$A$2:$C$24,2,FALSE())</f>
        <v>Пицца Диабло</v>
      </c>
      <c r="F1718" s="1" t="n">
        <f aca="false">VLOOKUP(C1718,Меню!$A$2:$C$24,3,FALSE())</f>
        <v>590</v>
      </c>
      <c r="G1718" s="5" t="n">
        <f aca="false">VLOOKUP(B1718,Заказы!$A$2:$E$2995,2,FALSE())</f>
        <v>44008</v>
      </c>
      <c r="H1718" s="1" t="n">
        <f aca="false">VLOOKUP(B1718,Заказы!$A$2:$E$2995,3,FALSE())</f>
        <v>1297</v>
      </c>
      <c r="I1718" s="1" t="str">
        <f aca="false">VLOOKUP(H1718,Клиенты!$A$2:$E$1995,5,FALSE())</f>
        <v>г. Новозыбков</v>
      </c>
      <c r="J1718" s="1" t="n">
        <f aca="false">VLOOKUP(B1718,Заказы!$A$2:$E$2995,4,FALSE())</f>
        <v>0</v>
      </c>
      <c r="K1718" s="1" t="str">
        <f aca="false">VLOOKUP(B1718,Заказы!$A$2:$E$2995,5,FALSE())</f>
        <v>Не выполнено</v>
      </c>
      <c r="L1718" s="1" t="n">
        <f aca="false">D1718*F1718+J1718</f>
        <v>4720</v>
      </c>
      <c r="M1718" s="1" t="n">
        <f aca="false">IF(AND(E1718="Пицца Труслейка",I1718="г. Москва",K1718="Выполнено",G1718&gt;=DATE(2020,7,1),G1718&lt;DATE(2020,8,1)),L1718,0)</f>
        <v>0</v>
      </c>
    </row>
    <row r="1719" customFormat="false" ht="15" hidden="false" customHeight="true" outlineLevel="0" collapsed="false">
      <c r="A1719" s="1" t="n">
        <v>100722</v>
      </c>
      <c r="B1719" s="1" t="n">
        <v>50456</v>
      </c>
      <c r="C1719" s="1" t="n">
        <v>4</v>
      </c>
      <c r="D1719" s="1" t="n">
        <v>8</v>
      </c>
      <c r="E1719" s="1" t="str">
        <f aca="false">VLOOKUP(C1719,Меню!$A$2:$C$24,2,FALSE())</f>
        <v>Пицца Труслейка</v>
      </c>
      <c r="F1719" s="1" t="n">
        <f aca="false">VLOOKUP(C1719,Меню!$A$2:$C$24,3,FALSE())</f>
        <v>610</v>
      </c>
      <c r="G1719" s="5" t="n">
        <f aca="false">VLOOKUP(B1719,Заказы!$A$2:$E$2995,2,FALSE())</f>
        <v>44068</v>
      </c>
      <c r="H1719" s="1" t="n">
        <f aca="false">VLOOKUP(B1719,Заказы!$A$2:$E$2995,3,FALSE())</f>
        <v>1532</v>
      </c>
      <c r="I1719" s="1" t="str">
        <f aca="false">VLOOKUP(H1719,Клиенты!$A$2:$E$1995,5,FALSE())</f>
        <v>г. Томмот</v>
      </c>
      <c r="J1719" s="1" t="n">
        <f aca="false">VLOOKUP(B1719,Заказы!$A$2:$E$2995,4,FALSE())</f>
        <v>648</v>
      </c>
      <c r="K1719" s="1" t="str">
        <f aca="false">VLOOKUP(B1719,Заказы!$A$2:$E$2995,5,FALSE())</f>
        <v>Выполнено</v>
      </c>
      <c r="L1719" s="1" t="n">
        <f aca="false">D1719*F1719+J1719</f>
        <v>5528</v>
      </c>
      <c r="M1719" s="1" t="n">
        <f aca="false">IF(AND(E1719="Пицца Труслейка",I1719="г. Москва",K1719="Выполнено",G1719&gt;=DATE(2020,7,1),G1719&lt;DATE(2020,8,1)),L1719,0)</f>
        <v>0</v>
      </c>
    </row>
    <row r="1720" customFormat="false" ht="15" hidden="false" customHeight="true" outlineLevel="0" collapsed="false">
      <c r="A1720" s="1" t="n">
        <v>101828</v>
      </c>
      <c r="B1720" s="1" t="n">
        <v>51189</v>
      </c>
      <c r="C1720" s="1" t="n">
        <v>22</v>
      </c>
      <c r="D1720" s="1" t="n">
        <v>4</v>
      </c>
      <c r="E1720" s="1" t="str">
        <f aca="false">VLOOKUP(C1720,Меню!$A$2:$C$24,2,FALSE())</f>
        <v>Пицца с поркеттой и фриарелли</v>
      </c>
      <c r="F1720" s="1" t="n">
        <f aca="false">VLOOKUP(C1720,Меню!$A$2:$C$24,3,FALSE())</f>
        <v>550</v>
      </c>
      <c r="G1720" s="5" t="n">
        <f aca="false">VLOOKUP(B1720,Заказы!$A$2:$E$2995,2,FALSE())</f>
        <v>44019</v>
      </c>
      <c r="H1720" s="1" t="n">
        <f aca="false">VLOOKUP(B1720,Заказы!$A$2:$E$2995,3,FALSE())</f>
        <v>335</v>
      </c>
      <c r="I1720" s="1" t="str">
        <f aca="false">VLOOKUP(H1720,Клиенты!$A$2:$E$1995,5,FALSE())</f>
        <v>г. Усть-Катав</v>
      </c>
      <c r="J1720" s="1" t="n">
        <f aca="false">VLOOKUP(B1720,Заказы!$A$2:$E$2995,4,FALSE())</f>
        <v>0</v>
      </c>
      <c r="K1720" s="1" t="str">
        <f aca="false">VLOOKUP(B1720,Заказы!$A$2:$E$2995,5,FALSE())</f>
        <v>Не выполнено</v>
      </c>
      <c r="L1720" s="1" t="n">
        <f aca="false">D1720*F1720+J1720</f>
        <v>2200</v>
      </c>
      <c r="M1720" s="1" t="n">
        <f aca="false">IF(AND(E1720="Пицца Труслейка",I1720="г. Москва",K1720="Выполнено",G1720&gt;=DATE(2020,7,1),G1720&lt;DATE(2020,8,1)),L1720,0)</f>
        <v>0</v>
      </c>
    </row>
    <row r="1721" customFormat="false" ht="15" hidden="false" customHeight="true" outlineLevel="0" collapsed="false">
      <c r="A1721" s="1" t="n">
        <v>100593</v>
      </c>
      <c r="B1721" s="1" t="n">
        <v>50000</v>
      </c>
      <c r="C1721" s="1" t="n">
        <v>4</v>
      </c>
      <c r="D1721" s="1" t="n">
        <v>9</v>
      </c>
      <c r="E1721" s="1" t="str">
        <f aca="false">VLOOKUP(C1721,Меню!$A$2:$C$24,2,FALSE())</f>
        <v>Пицца Труслейка</v>
      </c>
      <c r="F1721" s="1" t="n">
        <f aca="false">VLOOKUP(C1721,Меню!$A$2:$C$24,3,FALSE())</f>
        <v>610</v>
      </c>
      <c r="G1721" s="5" t="n">
        <f aca="false">VLOOKUP(B1721,Заказы!$A$2:$E$2995,2,FALSE())</f>
        <v>43989</v>
      </c>
      <c r="H1721" s="1" t="n">
        <f aca="false">VLOOKUP(B1721,Заказы!$A$2:$E$2995,3,FALSE())</f>
        <v>653</v>
      </c>
      <c r="I1721" s="1" t="str">
        <f aca="false">VLOOKUP(H1721,Клиенты!$A$2:$E$1995,5,FALSE())</f>
        <v>г. Конаково</v>
      </c>
      <c r="J1721" s="1" t="n">
        <f aca="false">VLOOKUP(B1721,Заказы!$A$2:$E$2995,4,FALSE())</f>
        <v>0</v>
      </c>
      <c r="K1721" s="1" t="str">
        <f aca="false">VLOOKUP(B1721,Заказы!$A$2:$E$2995,5,FALSE())</f>
        <v>Не выполнено</v>
      </c>
      <c r="L1721" s="1" t="n">
        <f aca="false">D1721*F1721+J1721</f>
        <v>5490</v>
      </c>
      <c r="M1721" s="1" t="n">
        <f aca="false">IF(AND(E1721="Пицца Труслейка",I1721="г. Москва",K1721="Выполнено",G1721&gt;=DATE(2020,7,1),G1721&lt;DATE(2020,8,1)),L1721,0)</f>
        <v>0</v>
      </c>
    </row>
    <row r="1722" customFormat="false" ht="15" hidden="false" customHeight="true" outlineLevel="0" collapsed="false">
      <c r="A1722" s="1" t="n">
        <v>101729</v>
      </c>
      <c r="B1722" s="1" t="n">
        <v>51979</v>
      </c>
      <c r="C1722" s="1" t="n">
        <v>5</v>
      </c>
      <c r="D1722" s="1" t="n">
        <v>9</v>
      </c>
      <c r="E1722" s="1" t="str">
        <f aca="false">VLOOKUP(C1722,Меню!$A$2:$C$24,2,FALSE())</f>
        <v>Пицца Жюльен</v>
      </c>
      <c r="F1722" s="1" t="n">
        <f aca="false">VLOOKUP(C1722,Меню!$A$2:$C$24,3,FALSE())</f>
        <v>580</v>
      </c>
      <c r="G1722" s="5" t="n">
        <f aca="false">VLOOKUP(B1722,Заказы!$A$2:$E$2995,2,FALSE())</f>
        <v>44004</v>
      </c>
      <c r="H1722" s="1" t="n">
        <f aca="false">VLOOKUP(B1722,Заказы!$A$2:$E$2995,3,FALSE())</f>
        <v>1929</v>
      </c>
      <c r="I1722" s="1" t="str">
        <f aca="false">VLOOKUP(H1722,Клиенты!$A$2:$E$1995,5,FALSE())</f>
        <v>г. Тосно</v>
      </c>
      <c r="J1722" s="1" t="n">
        <f aca="false">VLOOKUP(B1722,Заказы!$A$2:$E$2995,4,FALSE())</f>
        <v>0</v>
      </c>
      <c r="K1722" s="1" t="str">
        <f aca="false">VLOOKUP(B1722,Заказы!$A$2:$E$2995,5,FALSE())</f>
        <v>Не выполнено</v>
      </c>
      <c r="L1722" s="1" t="n">
        <f aca="false">D1722*F1722+J1722</f>
        <v>5220</v>
      </c>
      <c r="M1722" s="1" t="n">
        <f aca="false">IF(AND(E1722="Пицца Труслейка",I1722="г. Москва",K1722="Выполнено",G1722&gt;=DATE(2020,7,1),G1722&lt;DATE(2020,8,1)),L1722,0)</f>
        <v>0</v>
      </c>
    </row>
    <row r="1723" customFormat="false" ht="15" hidden="false" customHeight="true" outlineLevel="0" collapsed="false">
      <c r="A1723" s="1" t="n">
        <v>100858</v>
      </c>
      <c r="B1723" s="1" t="n">
        <v>50064</v>
      </c>
      <c r="C1723" s="1" t="n">
        <v>15</v>
      </c>
      <c r="D1723" s="1" t="n">
        <v>4</v>
      </c>
      <c r="E1723" s="1" t="str">
        <f aca="false">VLOOKUP(C1723,Меню!$A$2:$C$24,2,FALSE())</f>
        <v>Пицца Тропиканка</v>
      </c>
      <c r="F1723" s="1" t="n">
        <f aca="false">VLOOKUP(C1723,Меню!$A$2:$C$24,3,FALSE())</f>
        <v>605</v>
      </c>
      <c r="G1723" s="5" t="n">
        <f aca="false">VLOOKUP(B1723,Заказы!$A$2:$E$2995,2,FALSE())</f>
        <v>44047</v>
      </c>
      <c r="H1723" s="1" t="n">
        <f aca="false">VLOOKUP(B1723,Заказы!$A$2:$E$2995,3,FALSE())</f>
        <v>1539</v>
      </c>
      <c r="I1723" s="1" t="str">
        <f aca="false">VLOOKUP(H1723,Клиенты!$A$2:$E$1995,5,FALSE())</f>
        <v>г. Краснокамск</v>
      </c>
      <c r="J1723" s="1" t="n">
        <f aca="false">VLOOKUP(B1723,Заказы!$A$2:$E$2995,4,FALSE())</f>
        <v>0</v>
      </c>
      <c r="K1723" s="1" t="str">
        <f aca="false">VLOOKUP(B1723,Заказы!$A$2:$E$2995,5,FALSE())</f>
        <v>Не выполнено</v>
      </c>
      <c r="L1723" s="1" t="n">
        <f aca="false">D1723*F1723+J1723</f>
        <v>2420</v>
      </c>
      <c r="M1723" s="1" t="n">
        <f aca="false">IF(AND(E1723="Пицца Труслейка",I1723="г. Москва",K1723="Выполнено",G1723&gt;=DATE(2020,7,1),G1723&lt;DATE(2020,8,1)),L1723,0)</f>
        <v>0</v>
      </c>
    </row>
    <row r="1724" customFormat="false" ht="15" hidden="false" customHeight="true" outlineLevel="0" collapsed="false">
      <c r="A1724" s="1" t="n">
        <v>101067</v>
      </c>
      <c r="B1724" s="1" t="n">
        <v>50898</v>
      </c>
      <c r="C1724" s="1" t="n">
        <v>23</v>
      </c>
      <c r="D1724" s="1" t="n">
        <v>10</v>
      </c>
      <c r="E1724" s="1" t="str">
        <f aca="false">VLOOKUP(C1724,Меню!$A$2:$C$24,2,FALSE())</f>
        <v>Пицца с тунцом</v>
      </c>
      <c r="F1724" s="1" t="n">
        <f aca="false">VLOOKUP(C1724,Меню!$A$2:$C$24,3,FALSE())</f>
        <v>520</v>
      </c>
      <c r="G1724" s="5" t="n">
        <f aca="false">VLOOKUP(B1724,Заказы!$A$2:$E$2995,2,FALSE())</f>
        <v>44061</v>
      </c>
      <c r="H1724" s="1" t="n">
        <f aca="false">VLOOKUP(B1724,Заказы!$A$2:$E$2995,3,FALSE())</f>
        <v>712</v>
      </c>
      <c r="I1724" s="1" t="str">
        <f aca="false">VLOOKUP(H1724,Клиенты!$A$2:$E$1995,5,FALSE())</f>
        <v>г. Сосновка</v>
      </c>
      <c r="J1724" s="1" t="n">
        <f aca="false">VLOOKUP(B1724,Заказы!$A$2:$E$2995,4,FALSE())</f>
        <v>673</v>
      </c>
      <c r="K1724" s="1" t="str">
        <f aca="false">VLOOKUP(B1724,Заказы!$A$2:$E$2995,5,FALSE())</f>
        <v>Выполнено</v>
      </c>
      <c r="L1724" s="1" t="n">
        <f aca="false">D1724*F1724+J1724</f>
        <v>5873</v>
      </c>
      <c r="M1724" s="1" t="n">
        <f aca="false">IF(AND(E1724="Пицца Труслейка",I1724="г. Москва",K1724="Выполнено",G1724&gt;=DATE(2020,7,1),G1724&lt;DATE(2020,8,1)),L1724,0)</f>
        <v>0</v>
      </c>
    </row>
    <row r="1725" customFormat="false" ht="15" hidden="false" customHeight="true" outlineLevel="0" collapsed="false">
      <c r="A1725" s="1" t="n">
        <v>100311</v>
      </c>
      <c r="B1725" s="1" t="n">
        <v>50939</v>
      </c>
      <c r="C1725" s="1" t="n">
        <v>20</v>
      </c>
      <c r="D1725" s="1" t="n">
        <v>9</v>
      </c>
      <c r="E1725" s="1" t="str">
        <f aca="false">VLOOKUP(C1725,Меню!$A$2:$C$24,2,FALSE())</f>
        <v>Пицца пиканте</v>
      </c>
      <c r="F1725" s="1" t="n">
        <f aca="false">VLOOKUP(C1725,Меню!$A$2:$C$24,3,FALSE())</f>
        <v>585</v>
      </c>
      <c r="G1725" s="5" t="n">
        <f aca="false">VLOOKUP(B1725,Заказы!$A$2:$E$2995,2,FALSE())</f>
        <v>44002</v>
      </c>
      <c r="H1725" s="1" t="n">
        <f aca="false">VLOOKUP(B1725,Заказы!$A$2:$E$2995,3,FALSE())</f>
        <v>392</v>
      </c>
      <c r="I1725" s="1" t="str">
        <f aca="false">VLOOKUP(H1725,Клиенты!$A$2:$E$1995,5,FALSE())</f>
        <v>г. Луга</v>
      </c>
      <c r="J1725" s="1" t="n">
        <f aca="false">VLOOKUP(B1725,Заказы!$A$2:$E$2995,4,FALSE())</f>
        <v>0</v>
      </c>
      <c r="K1725" s="1" t="str">
        <f aca="false">VLOOKUP(B1725,Заказы!$A$2:$E$2995,5,FALSE())</f>
        <v>Не выполнено</v>
      </c>
      <c r="L1725" s="1" t="n">
        <f aca="false">D1725*F1725+J1725</f>
        <v>5265</v>
      </c>
      <c r="M1725" s="1" t="n">
        <f aca="false">IF(AND(E1725="Пицца Труслейка",I1725="г. Москва",K1725="Выполнено",G1725&gt;=DATE(2020,7,1),G1725&lt;DATE(2020,8,1)),L1725,0)</f>
        <v>0</v>
      </c>
    </row>
    <row r="1726" customFormat="false" ht="15" hidden="false" customHeight="true" outlineLevel="0" collapsed="false">
      <c r="A1726" s="1" t="n">
        <v>101216</v>
      </c>
      <c r="B1726" s="1" t="n">
        <v>51839</v>
      </c>
      <c r="C1726" s="1" t="n">
        <v>3</v>
      </c>
      <c r="D1726" s="1" t="n">
        <v>9</v>
      </c>
      <c r="E1726" s="1" t="str">
        <f aca="false">VLOOKUP(C1726,Меню!$A$2:$C$24,2,FALSE())</f>
        <v>Пицца Диабло</v>
      </c>
      <c r="F1726" s="1" t="n">
        <f aca="false">VLOOKUP(C1726,Меню!$A$2:$C$24,3,FALSE())</f>
        <v>590</v>
      </c>
      <c r="G1726" s="5" t="n">
        <f aca="false">VLOOKUP(B1726,Заказы!$A$2:$E$2995,2,FALSE())</f>
        <v>44037</v>
      </c>
      <c r="H1726" s="1" t="n">
        <f aca="false">VLOOKUP(B1726,Заказы!$A$2:$E$2995,3,FALSE())</f>
        <v>1673</v>
      </c>
      <c r="I1726" s="1" t="str">
        <f aca="false">VLOOKUP(H1726,Клиенты!$A$2:$E$1995,5,FALSE())</f>
        <v>г. Мензелинск</v>
      </c>
      <c r="J1726" s="1" t="n">
        <f aca="false">VLOOKUP(B1726,Заказы!$A$2:$E$2995,4,FALSE())</f>
        <v>0</v>
      </c>
      <c r="K1726" s="1" t="str">
        <f aca="false">VLOOKUP(B1726,Заказы!$A$2:$E$2995,5,FALSE())</f>
        <v>Не выполнено</v>
      </c>
      <c r="L1726" s="1" t="n">
        <f aca="false">D1726*F1726+J1726</f>
        <v>5310</v>
      </c>
      <c r="M1726" s="1" t="n">
        <f aca="false">IF(AND(E1726="Пицца Труслейка",I1726="г. Москва",K1726="Выполнено",G1726&gt;=DATE(2020,7,1),G1726&lt;DATE(2020,8,1)),L1726,0)</f>
        <v>0</v>
      </c>
    </row>
    <row r="1727" customFormat="false" ht="15" hidden="false" customHeight="true" outlineLevel="0" collapsed="false">
      <c r="A1727" s="1" t="n">
        <v>100563</v>
      </c>
      <c r="B1727" s="1" t="n">
        <v>51938</v>
      </c>
      <c r="C1727" s="1" t="n">
        <v>2</v>
      </c>
      <c r="D1727" s="1" t="n">
        <v>1</v>
      </c>
      <c r="E1727" s="1" t="str">
        <f aca="false">VLOOKUP(C1727,Меню!$A$2:$C$24,2,FALSE())</f>
        <v>Пицца Двойная пепперони</v>
      </c>
      <c r="F1727" s="1" t="n">
        <f aca="false">VLOOKUP(C1727,Меню!$A$2:$C$24,3,FALSE())</f>
        <v>575</v>
      </c>
      <c r="G1727" s="5" t="n">
        <f aca="false">VLOOKUP(B1727,Заказы!$A$2:$E$2995,2,FALSE())</f>
        <v>43994</v>
      </c>
      <c r="H1727" s="1" t="n">
        <f aca="false">VLOOKUP(B1727,Заказы!$A$2:$E$2995,3,FALSE())</f>
        <v>457</v>
      </c>
      <c r="I1727" s="1" t="str">
        <f aca="false">VLOOKUP(H1727,Клиенты!$A$2:$E$1995,5,FALSE())</f>
        <v>г. Ижевск</v>
      </c>
      <c r="J1727" s="1" t="n">
        <f aca="false">VLOOKUP(B1727,Заказы!$A$2:$E$2995,4,FALSE())</f>
        <v>278</v>
      </c>
      <c r="K1727" s="1" t="str">
        <f aca="false">VLOOKUP(B1727,Заказы!$A$2:$E$2995,5,FALSE())</f>
        <v>Выполнено</v>
      </c>
      <c r="L1727" s="1" t="n">
        <f aca="false">D1727*F1727+J1727</f>
        <v>853</v>
      </c>
      <c r="M1727" s="1" t="n">
        <f aca="false">IF(AND(E1727="Пицца Труслейка",I1727="г. Москва",K1727="Выполнено",G1727&gt;=DATE(2020,7,1),G1727&lt;DATE(2020,8,1)),L1727,0)</f>
        <v>0</v>
      </c>
    </row>
    <row r="1728" customFormat="false" ht="15" hidden="false" customHeight="true" outlineLevel="0" collapsed="false">
      <c r="A1728" s="1" t="n">
        <v>101191</v>
      </c>
      <c r="B1728" s="1" t="n">
        <v>50568</v>
      </c>
      <c r="C1728" s="1" t="n">
        <v>9</v>
      </c>
      <c r="D1728" s="1" t="n">
        <v>3</v>
      </c>
      <c r="E1728" s="1" t="str">
        <f aca="false">VLOOKUP(C1728,Меню!$A$2:$C$24,2,FALSE())</f>
        <v>Пицца Острая с беконом</v>
      </c>
      <c r="F1728" s="1" t="n">
        <f aca="false">VLOOKUP(C1728,Меню!$A$2:$C$24,3,FALSE())</f>
        <v>540</v>
      </c>
      <c r="G1728" s="5" t="n">
        <f aca="false">VLOOKUP(B1728,Заказы!$A$2:$E$2995,2,FALSE())</f>
        <v>44007</v>
      </c>
      <c r="H1728" s="1" t="n">
        <f aca="false">VLOOKUP(B1728,Заказы!$A$2:$E$2995,3,FALSE())</f>
        <v>1803</v>
      </c>
      <c r="I1728" s="1" t="str">
        <f aca="false">VLOOKUP(H1728,Клиенты!$A$2:$E$1995,5,FALSE())</f>
        <v>г. Грязовец</v>
      </c>
      <c r="J1728" s="1" t="n">
        <f aca="false">VLOOKUP(B1728,Заказы!$A$2:$E$2995,4,FALSE())</f>
        <v>0</v>
      </c>
      <c r="K1728" s="1" t="str">
        <f aca="false">VLOOKUP(B1728,Заказы!$A$2:$E$2995,5,FALSE())</f>
        <v>Не выполнено</v>
      </c>
      <c r="L1728" s="1" t="n">
        <f aca="false">D1728*F1728+J1728</f>
        <v>1620</v>
      </c>
      <c r="M1728" s="1" t="n">
        <f aca="false">IF(AND(E1728="Пицца Труслейка",I1728="г. Москва",K1728="Выполнено",G1728&gt;=DATE(2020,7,1),G1728&lt;DATE(2020,8,1)),L1728,0)</f>
        <v>0</v>
      </c>
    </row>
    <row r="1729" customFormat="false" ht="15" hidden="false" customHeight="true" outlineLevel="0" collapsed="false">
      <c r="A1729" s="1" t="n">
        <v>100516</v>
      </c>
      <c r="B1729" s="1" t="n">
        <v>51172</v>
      </c>
      <c r="C1729" s="1" t="n">
        <v>10</v>
      </c>
      <c r="D1729" s="1" t="n">
        <v>9</v>
      </c>
      <c r="E1729" s="1" t="str">
        <f aca="false">VLOOKUP(C1729,Меню!$A$2:$C$24,2,FALSE())</f>
        <v>Пицца Пепперони фреш</v>
      </c>
      <c r="F1729" s="1" t="n">
        <f aca="false">VLOOKUP(C1729,Меню!$A$2:$C$24,3,FALSE())</f>
        <v>565</v>
      </c>
      <c r="G1729" s="5" t="n">
        <f aca="false">VLOOKUP(B1729,Заказы!$A$2:$E$2995,2,FALSE())</f>
        <v>44025</v>
      </c>
      <c r="H1729" s="1" t="n">
        <f aca="false">VLOOKUP(B1729,Заказы!$A$2:$E$2995,3,FALSE())</f>
        <v>1749</v>
      </c>
      <c r="I1729" s="1" t="str">
        <f aca="false">VLOOKUP(H1729,Клиенты!$A$2:$E$1995,5,FALSE())</f>
        <v>г. Богородицк</v>
      </c>
      <c r="J1729" s="1" t="n">
        <f aca="false">VLOOKUP(B1729,Заказы!$A$2:$E$2995,4,FALSE())</f>
        <v>218</v>
      </c>
      <c r="K1729" s="1" t="str">
        <f aca="false">VLOOKUP(B1729,Заказы!$A$2:$E$2995,5,FALSE())</f>
        <v>Выполнено</v>
      </c>
      <c r="L1729" s="1" t="n">
        <f aca="false">D1729*F1729+J1729</f>
        <v>5303</v>
      </c>
      <c r="M1729" s="1" t="n">
        <f aca="false">IF(AND(E1729="Пицца Труслейка",I1729="г. Москва",K1729="Выполнено",G1729&gt;=DATE(2020,7,1),G1729&lt;DATE(2020,8,1)),L1729,0)</f>
        <v>0</v>
      </c>
    </row>
    <row r="1730" customFormat="false" ht="15" hidden="false" customHeight="true" outlineLevel="0" collapsed="false">
      <c r="A1730" s="1" t="n">
        <v>100222</v>
      </c>
      <c r="B1730" s="1" t="n">
        <v>50084</v>
      </c>
      <c r="C1730" s="1" t="n">
        <v>7</v>
      </c>
      <c r="D1730" s="1" t="n">
        <v>1</v>
      </c>
      <c r="E1730" s="1" t="str">
        <f aca="false">VLOOKUP(C1730,Меню!$A$2:$C$24,2,FALSE())</f>
        <v>Пицца Карбонара</v>
      </c>
      <c r="F1730" s="1" t="n">
        <f aca="false">VLOOKUP(C1730,Меню!$A$2:$C$24,3,FALSE())</f>
        <v>625</v>
      </c>
      <c r="G1730" s="5" t="n">
        <f aca="false">VLOOKUP(B1730,Заказы!$A$2:$E$2995,2,FALSE())</f>
        <v>44053</v>
      </c>
      <c r="H1730" s="1" t="n">
        <f aca="false">VLOOKUP(B1730,Заказы!$A$2:$E$2995,3,FALSE())</f>
        <v>592</v>
      </c>
      <c r="I1730" s="1" t="str">
        <f aca="false">VLOOKUP(H1730,Клиенты!$A$2:$E$1995,5,FALSE())</f>
        <v>г. Тутаев</v>
      </c>
      <c r="J1730" s="1" t="n">
        <f aca="false">VLOOKUP(B1730,Заказы!$A$2:$E$2995,4,FALSE())</f>
        <v>0</v>
      </c>
      <c r="K1730" s="1" t="str">
        <f aca="false">VLOOKUP(B1730,Заказы!$A$2:$E$2995,5,FALSE())</f>
        <v>Не выполнено</v>
      </c>
      <c r="L1730" s="1" t="n">
        <f aca="false">D1730*F1730+J1730</f>
        <v>625</v>
      </c>
      <c r="M1730" s="1" t="n">
        <f aca="false">IF(AND(E1730="Пицца Труслейка",I1730="г. Москва",K1730="Выполнено",G1730&gt;=DATE(2020,7,1),G1730&lt;DATE(2020,8,1)),L1730,0)</f>
        <v>0</v>
      </c>
    </row>
    <row r="1731" customFormat="false" ht="15" hidden="false" customHeight="true" outlineLevel="0" collapsed="false">
      <c r="A1731" s="1" t="n">
        <v>101074</v>
      </c>
      <c r="B1731" s="1" t="n">
        <v>51360</v>
      </c>
      <c r="C1731" s="1" t="n">
        <v>4</v>
      </c>
      <c r="D1731" s="1" t="n">
        <v>3</v>
      </c>
      <c r="E1731" s="1" t="str">
        <f aca="false">VLOOKUP(C1731,Меню!$A$2:$C$24,2,FALSE())</f>
        <v>Пицца Труслейка</v>
      </c>
      <c r="F1731" s="1" t="n">
        <f aca="false">VLOOKUP(C1731,Меню!$A$2:$C$24,3,FALSE())</f>
        <v>610</v>
      </c>
      <c r="G1731" s="5" t="n">
        <f aca="false">VLOOKUP(B1731,Заказы!$A$2:$E$2995,2,FALSE())</f>
        <v>44059</v>
      </c>
      <c r="H1731" s="1" t="n">
        <f aca="false">VLOOKUP(B1731,Заказы!$A$2:$E$2995,3,FALSE())</f>
        <v>833</v>
      </c>
      <c r="I1731" s="1" t="str">
        <f aca="false">VLOOKUP(H1731,Клиенты!$A$2:$E$1995,5,FALSE())</f>
        <v>г. Салават</v>
      </c>
      <c r="J1731" s="1" t="n">
        <f aca="false">VLOOKUP(B1731,Заказы!$A$2:$E$2995,4,FALSE())</f>
        <v>0</v>
      </c>
      <c r="K1731" s="1" t="str">
        <f aca="false">VLOOKUP(B1731,Заказы!$A$2:$E$2995,5,FALSE())</f>
        <v>Не выполнено</v>
      </c>
      <c r="L1731" s="1" t="n">
        <f aca="false">D1731*F1731+J1731</f>
        <v>1830</v>
      </c>
      <c r="M1731" s="1" t="n">
        <f aca="false">IF(AND(E1731="Пицца Труслейка",I1731="г. Москва",K1731="Выполнено",G1731&gt;=DATE(2020,7,1),G1731&lt;DATE(2020,8,1)),L1731,0)</f>
        <v>0</v>
      </c>
    </row>
    <row r="1732" customFormat="false" ht="15" hidden="false" customHeight="true" outlineLevel="0" collapsed="false">
      <c r="A1732" s="1" t="n">
        <v>100832</v>
      </c>
      <c r="B1732" s="1" t="n">
        <v>50882</v>
      </c>
      <c r="C1732" s="1" t="n">
        <v>17</v>
      </c>
      <c r="D1732" s="1" t="n">
        <v>8</v>
      </c>
      <c r="E1732" s="1" t="str">
        <f aca="false">VLOOKUP(C1732,Меню!$A$2:$C$24,2,FALSE())</f>
        <v>Пицца Френч Фрайз</v>
      </c>
      <c r="F1732" s="1" t="n">
        <f aca="false">VLOOKUP(C1732,Меню!$A$2:$C$24,3,FALSE())</f>
        <v>515</v>
      </c>
      <c r="G1732" s="5" t="n">
        <f aca="false">VLOOKUP(B1732,Заказы!$A$2:$E$2995,2,FALSE())</f>
        <v>44004</v>
      </c>
      <c r="H1732" s="1" t="n">
        <f aca="false">VLOOKUP(B1732,Заказы!$A$2:$E$2995,3,FALSE())</f>
        <v>501</v>
      </c>
      <c r="I1732" s="1" t="str">
        <f aca="false">VLOOKUP(H1732,Клиенты!$A$2:$E$1995,5,FALSE())</f>
        <v>г. Аксай</v>
      </c>
      <c r="J1732" s="1" t="n">
        <f aca="false">VLOOKUP(B1732,Заказы!$A$2:$E$2995,4,FALSE())</f>
        <v>213</v>
      </c>
      <c r="K1732" s="1" t="str">
        <f aca="false">VLOOKUP(B1732,Заказы!$A$2:$E$2995,5,FALSE())</f>
        <v>Выполнено</v>
      </c>
      <c r="L1732" s="1" t="n">
        <f aca="false">D1732*F1732+J1732</f>
        <v>4333</v>
      </c>
      <c r="M1732" s="1" t="n">
        <f aca="false">IF(AND(E1732="Пицца Труслейка",I1732="г. Москва",K1732="Выполнено",G1732&gt;=DATE(2020,7,1),G1732&lt;DATE(2020,8,1)),L1732,0)</f>
        <v>0</v>
      </c>
    </row>
    <row r="1733" customFormat="false" ht="15" hidden="false" customHeight="true" outlineLevel="0" collapsed="false">
      <c r="A1733" s="1" t="n">
        <v>101856</v>
      </c>
      <c r="B1733" s="1" t="n">
        <v>51226</v>
      </c>
      <c r="C1733" s="1" t="n">
        <v>18</v>
      </c>
      <c r="D1733" s="1" t="n">
        <v>3</v>
      </c>
      <c r="E1733" s="1" t="str">
        <f aca="false">VLOOKUP(C1733,Меню!$A$2:$C$24,2,FALSE())</f>
        <v>Пицца Царская</v>
      </c>
      <c r="F1733" s="1" t="n">
        <f aca="false">VLOOKUP(C1733,Меню!$A$2:$C$24,3,FALSE())</f>
        <v>620</v>
      </c>
      <c r="G1733" s="5" t="n">
        <f aca="false">VLOOKUP(B1733,Заказы!$A$2:$E$2995,2,FALSE())</f>
        <v>44060</v>
      </c>
      <c r="H1733" s="1" t="n">
        <f aca="false">VLOOKUP(B1733,Заказы!$A$2:$E$2995,3,FALSE())</f>
        <v>1644</v>
      </c>
      <c r="I1733" s="1" t="str">
        <f aca="false">VLOOKUP(H1733,Клиенты!$A$2:$E$1995,5,FALSE())</f>
        <v>г. Оханск</v>
      </c>
      <c r="J1733" s="1" t="n">
        <f aca="false">VLOOKUP(B1733,Заказы!$A$2:$E$2995,4,FALSE())</f>
        <v>0</v>
      </c>
      <c r="K1733" s="1" t="str">
        <f aca="false">VLOOKUP(B1733,Заказы!$A$2:$E$2995,5,FALSE())</f>
        <v>Не выполнено</v>
      </c>
      <c r="L1733" s="1" t="n">
        <f aca="false">D1733*F1733+J1733</f>
        <v>1860</v>
      </c>
      <c r="M1733" s="1" t="n">
        <f aca="false">IF(AND(E1733="Пицца Труслейка",I1733="г. Москва",K1733="Выполнено",G1733&gt;=DATE(2020,7,1),G1733&lt;DATE(2020,8,1)),L1733,0)</f>
        <v>0</v>
      </c>
    </row>
    <row r="1734" customFormat="false" ht="15" hidden="false" customHeight="true" outlineLevel="0" collapsed="false">
      <c r="A1734" s="1" t="n">
        <v>100188</v>
      </c>
      <c r="B1734" s="1" t="n">
        <v>50668</v>
      </c>
      <c r="C1734" s="1" t="n">
        <v>11</v>
      </c>
      <c r="D1734" s="1" t="n">
        <v>5</v>
      </c>
      <c r="E1734" s="1" t="str">
        <f aca="false">VLOOKUP(C1734,Меню!$A$2:$C$24,2,FALSE())</f>
        <v>Пицца Песто</v>
      </c>
      <c r="F1734" s="1" t="n">
        <f aca="false">VLOOKUP(C1734,Меню!$A$2:$C$24,3,FALSE())</f>
        <v>530</v>
      </c>
      <c r="G1734" s="5" t="n">
        <f aca="false">VLOOKUP(B1734,Заказы!$A$2:$E$2995,2,FALSE())</f>
        <v>44060</v>
      </c>
      <c r="H1734" s="1" t="n">
        <f aca="false">VLOOKUP(B1734,Заказы!$A$2:$E$2995,3,FALSE())</f>
        <v>290</v>
      </c>
      <c r="I1734" s="1" t="str">
        <f aca="false">VLOOKUP(H1734,Клиенты!$A$2:$E$1995,5,FALSE())</f>
        <v>г. Москва</v>
      </c>
      <c r="J1734" s="1" t="n">
        <f aca="false">VLOOKUP(B1734,Заказы!$A$2:$E$2995,4,FALSE())</f>
        <v>0</v>
      </c>
      <c r="K1734" s="1" t="str">
        <f aca="false">VLOOKUP(B1734,Заказы!$A$2:$E$2995,5,FALSE())</f>
        <v>Не выполнено</v>
      </c>
      <c r="L1734" s="1" t="n">
        <f aca="false">D1734*F1734+J1734</f>
        <v>2650</v>
      </c>
      <c r="M1734" s="1" t="n">
        <f aca="false">IF(AND(E1734="Пицца Труслейка",I1734="г. Москва",K1734="Выполнено",G1734&gt;=DATE(2020,7,1),G1734&lt;DATE(2020,8,1)),L1734,0)</f>
        <v>0</v>
      </c>
    </row>
    <row r="1735" customFormat="false" ht="15" hidden="false" customHeight="true" outlineLevel="0" collapsed="false">
      <c r="A1735" s="1" t="n">
        <v>100648</v>
      </c>
      <c r="B1735" s="1" t="n">
        <v>50081</v>
      </c>
      <c r="C1735" s="1" t="n">
        <v>5</v>
      </c>
      <c r="D1735" s="1" t="n">
        <v>7</v>
      </c>
      <c r="E1735" s="1" t="str">
        <f aca="false">VLOOKUP(C1735,Меню!$A$2:$C$24,2,FALSE())</f>
        <v>Пицца Жюльен</v>
      </c>
      <c r="F1735" s="1" t="n">
        <f aca="false">VLOOKUP(C1735,Меню!$A$2:$C$24,3,FALSE())</f>
        <v>580</v>
      </c>
      <c r="G1735" s="5" t="n">
        <f aca="false">VLOOKUP(B1735,Заказы!$A$2:$E$2995,2,FALSE())</f>
        <v>44024</v>
      </c>
      <c r="H1735" s="1" t="n">
        <f aca="false">VLOOKUP(B1735,Заказы!$A$2:$E$2995,3,FALSE())</f>
        <v>514</v>
      </c>
      <c r="I1735" s="1" t="str">
        <f aca="false">VLOOKUP(H1735,Клиенты!$A$2:$E$1995,5,FALSE())</f>
        <v>г. Адыгейск</v>
      </c>
      <c r="J1735" s="1" t="n">
        <f aca="false">VLOOKUP(B1735,Заказы!$A$2:$E$2995,4,FALSE())</f>
        <v>0</v>
      </c>
      <c r="K1735" s="1" t="str">
        <f aca="false">VLOOKUP(B1735,Заказы!$A$2:$E$2995,5,FALSE())</f>
        <v>Не выполнено</v>
      </c>
      <c r="L1735" s="1" t="n">
        <f aca="false">D1735*F1735+J1735</f>
        <v>4060</v>
      </c>
      <c r="M1735" s="1" t="n">
        <f aca="false">IF(AND(E1735="Пицца Труслейка",I1735="г. Москва",K1735="Выполнено",G1735&gt;=DATE(2020,7,1),G1735&lt;DATE(2020,8,1)),L1735,0)</f>
        <v>0</v>
      </c>
    </row>
    <row r="1736" customFormat="false" ht="15" hidden="false" customHeight="true" outlineLevel="0" collapsed="false">
      <c r="A1736" s="1" t="n">
        <v>101205</v>
      </c>
      <c r="B1736" s="1" t="n">
        <v>50747</v>
      </c>
      <c r="C1736" s="1" t="n">
        <v>23</v>
      </c>
      <c r="D1736" s="1" t="n">
        <v>9</v>
      </c>
      <c r="E1736" s="1" t="str">
        <f aca="false">VLOOKUP(C1736,Меню!$A$2:$C$24,2,FALSE())</f>
        <v>Пицца с тунцом</v>
      </c>
      <c r="F1736" s="1" t="n">
        <f aca="false">VLOOKUP(C1736,Меню!$A$2:$C$24,3,FALSE())</f>
        <v>520</v>
      </c>
      <c r="G1736" s="5" t="n">
        <f aca="false">VLOOKUP(B1736,Заказы!$A$2:$E$2995,2,FALSE())</f>
        <v>44025</v>
      </c>
      <c r="H1736" s="1" t="n">
        <f aca="false">VLOOKUP(B1736,Заказы!$A$2:$E$2995,3,FALSE())</f>
        <v>668</v>
      </c>
      <c r="I1736" s="1" t="str">
        <f aca="false">VLOOKUP(H1736,Клиенты!$A$2:$E$1995,5,FALSE())</f>
        <v>г. Мичуринск</v>
      </c>
      <c r="J1736" s="1" t="n">
        <f aca="false">VLOOKUP(B1736,Заказы!$A$2:$E$2995,4,FALSE())</f>
        <v>157</v>
      </c>
      <c r="K1736" s="1" t="str">
        <f aca="false">VLOOKUP(B1736,Заказы!$A$2:$E$2995,5,FALSE())</f>
        <v>Выполнено</v>
      </c>
      <c r="L1736" s="1" t="n">
        <f aca="false">D1736*F1736+J1736</f>
        <v>4837</v>
      </c>
      <c r="M1736" s="1" t="n">
        <f aca="false">IF(AND(E1736="Пицца Труслейка",I1736="г. Москва",K1736="Выполнено",G1736&gt;=DATE(2020,7,1),G1736&lt;DATE(2020,8,1)),L1736,0)</f>
        <v>0</v>
      </c>
    </row>
    <row r="1737" customFormat="false" ht="15" hidden="false" customHeight="true" outlineLevel="0" collapsed="false">
      <c r="A1737" s="1" t="n">
        <v>101687</v>
      </c>
      <c r="B1737" s="1" t="n">
        <v>50187</v>
      </c>
      <c r="C1737" s="1" t="n">
        <v>4</v>
      </c>
      <c r="D1737" s="1" t="n">
        <v>6</v>
      </c>
      <c r="E1737" s="1" t="str">
        <f aca="false">VLOOKUP(C1737,Меню!$A$2:$C$24,2,FALSE())</f>
        <v>Пицца Труслейка</v>
      </c>
      <c r="F1737" s="1" t="n">
        <f aca="false">VLOOKUP(C1737,Меню!$A$2:$C$24,3,FALSE())</f>
        <v>610</v>
      </c>
      <c r="G1737" s="5" t="n">
        <f aca="false">VLOOKUP(B1737,Заказы!$A$2:$E$2995,2,FALSE())</f>
        <v>44017</v>
      </c>
      <c r="H1737" s="1" t="n">
        <f aca="false">VLOOKUP(B1737,Заказы!$A$2:$E$2995,3,FALSE())</f>
        <v>215</v>
      </c>
      <c r="I1737" s="1" t="str">
        <f aca="false">VLOOKUP(H1737,Клиенты!$A$2:$E$1995,5,FALSE())</f>
        <v>г. Тобольск</v>
      </c>
      <c r="J1737" s="1" t="n">
        <f aca="false">VLOOKUP(B1737,Заказы!$A$2:$E$2995,4,FALSE())</f>
        <v>289</v>
      </c>
      <c r="K1737" s="1" t="str">
        <f aca="false">VLOOKUP(B1737,Заказы!$A$2:$E$2995,5,FALSE())</f>
        <v>Выполнено</v>
      </c>
      <c r="L1737" s="1" t="n">
        <f aca="false">D1737*F1737+J1737</f>
        <v>3949</v>
      </c>
      <c r="M1737" s="1" t="n">
        <f aca="false">IF(AND(E1737="Пицца Труслейка",I1737="г. Москва",K1737="Выполнено",G1737&gt;=DATE(2020,7,1),G1737&lt;DATE(2020,8,1)),L1737,0)</f>
        <v>0</v>
      </c>
    </row>
    <row r="1738" customFormat="false" ht="15" hidden="false" customHeight="true" outlineLevel="0" collapsed="false">
      <c r="A1738" s="1" t="n">
        <v>100738</v>
      </c>
      <c r="B1738" s="1" t="n">
        <v>50705</v>
      </c>
      <c r="C1738" s="1" t="n">
        <v>1</v>
      </c>
      <c r="D1738" s="1" t="n">
        <v>3</v>
      </c>
      <c r="E1738" s="1" t="str">
        <f aca="false">VLOOKUP(C1738,Меню!$A$2:$C$24,2,FALSE())</f>
        <v>Пицца Гавайская</v>
      </c>
      <c r="F1738" s="1" t="n">
        <f aca="false">VLOOKUP(C1738,Меню!$A$2:$C$24,3,FALSE())</f>
        <v>545</v>
      </c>
      <c r="G1738" s="5" t="n">
        <f aca="false">VLOOKUP(B1738,Заказы!$A$2:$E$2995,2,FALSE())</f>
        <v>44028</v>
      </c>
      <c r="H1738" s="1" t="n">
        <f aca="false">VLOOKUP(B1738,Заказы!$A$2:$E$2995,3,FALSE())</f>
        <v>1975</v>
      </c>
      <c r="I1738" s="1" t="str">
        <f aca="false">VLOOKUP(H1738,Клиенты!$A$2:$E$1995,5,FALSE())</f>
        <v>г. Пустошка</v>
      </c>
      <c r="J1738" s="1" t="n">
        <f aca="false">VLOOKUP(B1738,Заказы!$A$2:$E$2995,4,FALSE())</f>
        <v>462</v>
      </c>
      <c r="K1738" s="1" t="str">
        <f aca="false">VLOOKUP(B1738,Заказы!$A$2:$E$2995,5,FALSE())</f>
        <v>Выполнено</v>
      </c>
      <c r="L1738" s="1" t="n">
        <f aca="false">D1738*F1738+J1738</f>
        <v>2097</v>
      </c>
      <c r="M1738" s="1" t="n">
        <f aca="false">IF(AND(E1738="Пицца Труслейка",I1738="г. Москва",K1738="Выполнено",G1738&gt;=DATE(2020,7,1),G1738&lt;DATE(2020,8,1)),L1738,0)</f>
        <v>0</v>
      </c>
    </row>
    <row r="1739" customFormat="false" ht="15" hidden="false" customHeight="true" outlineLevel="0" collapsed="false">
      <c r="A1739" s="1" t="n">
        <v>100306</v>
      </c>
      <c r="B1739" s="1" t="n">
        <v>50976</v>
      </c>
      <c r="C1739" s="1" t="n">
        <v>3</v>
      </c>
      <c r="D1739" s="1" t="n">
        <v>5</v>
      </c>
      <c r="E1739" s="1" t="str">
        <f aca="false">VLOOKUP(C1739,Меню!$A$2:$C$24,2,FALSE())</f>
        <v>Пицца Диабло</v>
      </c>
      <c r="F1739" s="1" t="n">
        <f aca="false">VLOOKUP(C1739,Меню!$A$2:$C$24,3,FALSE())</f>
        <v>590</v>
      </c>
      <c r="G1739" s="5" t="n">
        <f aca="false">VLOOKUP(B1739,Заказы!$A$2:$E$2995,2,FALSE())</f>
        <v>43983</v>
      </c>
      <c r="H1739" s="1" t="n">
        <f aca="false">VLOOKUP(B1739,Заказы!$A$2:$E$2995,3,FALSE())</f>
        <v>1585</v>
      </c>
      <c r="I1739" s="1" t="str">
        <f aca="false">VLOOKUP(H1739,Клиенты!$A$2:$E$1995,5,FALSE())</f>
        <v>г. Дигора</v>
      </c>
      <c r="J1739" s="1" t="n">
        <f aca="false">VLOOKUP(B1739,Заказы!$A$2:$E$2995,4,FALSE())</f>
        <v>0</v>
      </c>
      <c r="K1739" s="1" t="str">
        <f aca="false">VLOOKUP(B1739,Заказы!$A$2:$E$2995,5,FALSE())</f>
        <v>Не выполнено</v>
      </c>
      <c r="L1739" s="1" t="n">
        <f aca="false">D1739*F1739+J1739</f>
        <v>2950</v>
      </c>
      <c r="M1739" s="1" t="n">
        <f aca="false">IF(AND(E1739="Пицца Труслейка",I1739="г. Москва",K1739="Выполнено",G1739&gt;=DATE(2020,7,1),G1739&lt;DATE(2020,8,1)),L1739,0)</f>
        <v>0</v>
      </c>
    </row>
    <row r="1740" customFormat="false" ht="15" hidden="false" customHeight="true" outlineLevel="0" collapsed="false">
      <c r="A1740" s="1" t="n">
        <v>101587</v>
      </c>
      <c r="B1740" s="1" t="n">
        <v>50965</v>
      </c>
      <c r="C1740" s="1" t="n">
        <v>15</v>
      </c>
      <c r="D1740" s="1" t="n">
        <v>5</v>
      </c>
      <c r="E1740" s="1" t="str">
        <f aca="false">VLOOKUP(C1740,Меню!$A$2:$C$24,2,FALSE())</f>
        <v>Пицца Тропиканка</v>
      </c>
      <c r="F1740" s="1" t="n">
        <f aca="false">VLOOKUP(C1740,Меню!$A$2:$C$24,3,FALSE())</f>
        <v>605</v>
      </c>
      <c r="G1740" s="5" t="n">
        <f aca="false">VLOOKUP(B1740,Заказы!$A$2:$E$2995,2,FALSE())</f>
        <v>44002</v>
      </c>
      <c r="H1740" s="1" t="n">
        <f aca="false">VLOOKUP(B1740,Заказы!$A$2:$E$2995,3,FALSE())</f>
        <v>1949</v>
      </c>
      <c r="I1740" s="1" t="str">
        <f aca="false">VLOOKUP(H1740,Клиенты!$A$2:$E$1995,5,FALSE())</f>
        <v>г. Зарайск</v>
      </c>
      <c r="J1740" s="1" t="n">
        <f aca="false">VLOOKUP(B1740,Заказы!$A$2:$E$2995,4,FALSE())</f>
        <v>0</v>
      </c>
      <c r="K1740" s="1" t="str">
        <f aca="false">VLOOKUP(B1740,Заказы!$A$2:$E$2995,5,FALSE())</f>
        <v>Не выполнено</v>
      </c>
      <c r="L1740" s="1" t="n">
        <f aca="false">D1740*F1740+J1740</f>
        <v>3025</v>
      </c>
      <c r="M1740" s="1" t="n">
        <f aca="false">IF(AND(E1740="Пицца Труслейка",I1740="г. Москва",K1740="Выполнено",G1740&gt;=DATE(2020,7,1),G1740&lt;DATE(2020,8,1)),L1740,0)</f>
        <v>0</v>
      </c>
    </row>
    <row r="1741" customFormat="false" ht="15" hidden="false" customHeight="true" outlineLevel="0" collapsed="false">
      <c r="A1741" s="1" t="n">
        <v>101737</v>
      </c>
      <c r="B1741" s="1" t="n">
        <v>50041</v>
      </c>
      <c r="C1741" s="1" t="n">
        <v>4</v>
      </c>
      <c r="D1741" s="1" t="n">
        <v>7</v>
      </c>
      <c r="E1741" s="1" t="str">
        <f aca="false">VLOOKUP(C1741,Меню!$A$2:$C$24,2,FALSE())</f>
        <v>Пицца Труслейка</v>
      </c>
      <c r="F1741" s="1" t="n">
        <f aca="false">VLOOKUP(C1741,Меню!$A$2:$C$24,3,FALSE())</f>
        <v>610</v>
      </c>
      <c r="G1741" s="5" t="n">
        <f aca="false">VLOOKUP(B1741,Заказы!$A$2:$E$2995,2,FALSE())</f>
        <v>43999</v>
      </c>
      <c r="H1741" s="1" t="n">
        <f aca="false">VLOOKUP(B1741,Заказы!$A$2:$E$2995,3,FALSE())</f>
        <v>667</v>
      </c>
      <c r="I1741" s="1" t="str">
        <f aca="false">VLOOKUP(H1741,Клиенты!$A$2:$E$1995,5,FALSE())</f>
        <v>г. Козьмодемьянск</v>
      </c>
      <c r="J1741" s="1" t="n">
        <f aca="false">VLOOKUP(B1741,Заказы!$A$2:$E$2995,4,FALSE())</f>
        <v>231</v>
      </c>
      <c r="K1741" s="1" t="str">
        <f aca="false">VLOOKUP(B1741,Заказы!$A$2:$E$2995,5,FALSE())</f>
        <v>Выполнено</v>
      </c>
      <c r="L1741" s="1" t="n">
        <f aca="false">D1741*F1741+J1741</f>
        <v>4501</v>
      </c>
      <c r="M1741" s="1" t="n">
        <f aca="false">IF(AND(E1741="Пицца Труслейка",I1741="г. Москва",K1741="Выполнено",G1741&gt;=DATE(2020,7,1),G1741&lt;DATE(2020,8,1)),L1741,0)</f>
        <v>0</v>
      </c>
    </row>
    <row r="1742" customFormat="false" ht="15" hidden="false" customHeight="true" outlineLevel="0" collapsed="false">
      <c r="A1742" s="1" t="n">
        <v>100467</v>
      </c>
      <c r="B1742" s="1" t="n">
        <v>51747</v>
      </c>
      <c r="C1742" s="1" t="n">
        <v>18</v>
      </c>
      <c r="D1742" s="1" t="n">
        <v>6</v>
      </c>
      <c r="E1742" s="1" t="str">
        <f aca="false">VLOOKUP(C1742,Меню!$A$2:$C$24,2,FALSE())</f>
        <v>Пицца Царская</v>
      </c>
      <c r="F1742" s="1" t="n">
        <f aca="false">VLOOKUP(C1742,Меню!$A$2:$C$24,3,FALSE())</f>
        <v>620</v>
      </c>
      <c r="G1742" s="5" t="n">
        <f aca="false">VLOOKUP(B1742,Заказы!$A$2:$E$2995,2,FALSE())</f>
        <v>44061</v>
      </c>
      <c r="H1742" s="1" t="n">
        <f aca="false">VLOOKUP(B1742,Заказы!$A$2:$E$2995,3,FALSE())</f>
        <v>688</v>
      </c>
      <c r="I1742" s="1" t="str">
        <f aca="false">VLOOKUP(H1742,Клиенты!$A$2:$E$1995,5,FALSE())</f>
        <v>г. Усть-Лабинск</v>
      </c>
      <c r="J1742" s="1" t="n">
        <f aca="false">VLOOKUP(B1742,Заказы!$A$2:$E$2995,4,FALSE())</f>
        <v>0</v>
      </c>
      <c r="K1742" s="1" t="str">
        <f aca="false">VLOOKUP(B1742,Заказы!$A$2:$E$2995,5,FALSE())</f>
        <v>Не выполнено</v>
      </c>
      <c r="L1742" s="1" t="n">
        <f aca="false">D1742*F1742+J1742</f>
        <v>3720</v>
      </c>
      <c r="M1742" s="1" t="n">
        <f aca="false">IF(AND(E1742="Пицца Труслейка",I1742="г. Москва",K1742="Выполнено",G1742&gt;=DATE(2020,7,1),G1742&lt;DATE(2020,8,1)),L1742,0)</f>
        <v>0</v>
      </c>
    </row>
    <row r="1743" customFormat="false" ht="15" hidden="false" customHeight="true" outlineLevel="0" collapsed="false">
      <c r="A1743" s="1" t="n">
        <v>101816</v>
      </c>
      <c r="B1743" s="1" t="n">
        <v>50401</v>
      </c>
      <c r="C1743" s="1" t="n">
        <v>22</v>
      </c>
      <c r="D1743" s="1" t="n">
        <v>8</v>
      </c>
      <c r="E1743" s="1" t="str">
        <f aca="false">VLOOKUP(C1743,Меню!$A$2:$C$24,2,FALSE())</f>
        <v>Пицца с поркеттой и фриарелли</v>
      </c>
      <c r="F1743" s="1" t="n">
        <f aca="false">VLOOKUP(C1743,Меню!$A$2:$C$24,3,FALSE())</f>
        <v>550</v>
      </c>
      <c r="G1743" s="5" t="n">
        <f aca="false">VLOOKUP(B1743,Заказы!$A$2:$E$2995,2,FALSE())</f>
        <v>44001</v>
      </c>
      <c r="H1743" s="1" t="n">
        <f aca="false">VLOOKUP(B1743,Заказы!$A$2:$E$2995,3,FALSE())</f>
        <v>57</v>
      </c>
      <c r="I1743" s="1" t="str">
        <f aca="false">VLOOKUP(H1743,Клиенты!$A$2:$E$1995,5,FALSE())</f>
        <v>г. Южно-Сахалинск</v>
      </c>
      <c r="J1743" s="1" t="n">
        <f aca="false">VLOOKUP(B1743,Заказы!$A$2:$E$2995,4,FALSE())</f>
        <v>0</v>
      </c>
      <c r="K1743" s="1" t="str">
        <f aca="false">VLOOKUP(B1743,Заказы!$A$2:$E$2995,5,FALSE())</f>
        <v>Не выполнено</v>
      </c>
      <c r="L1743" s="1" t="n">
        <f aca="false">D1743*F1743+J1743</f>
        <v>4400</v>
      </c>
      <c r="M1743" s="1" t="n">
        <f aca="false">IF(AND(E1743="Пицца Труслейка",I1743="г. Москва",K1743="Выполнено",G1743&gt;=DATE(2020,7,1),G1743&lt;DATE(2020,8,1)),L1743,0)</f>
        <v>0</v>
      </c>
    </row>
    <row r="1744" customFormat="false" ht="15" hidden="false" customHeight="true" outlineLevel="0" collapsed="false">
      <c r="A1744" s="1" t="n">
        <v>100726</v>
      </c>
      <c r="B1744" s="1" t="n">
        <v>50539</v>
      </c>
      <c r="C1744" s="1" t="n">
        <v>18</v>
      </c>
      <c r="D1744" s="1" t="n">
        <v>5</v>
      </c>
      <c r="E1744" s="1" t="str">
        <f aca="false">VLOOKUP(C1744,Меню!$A$2:$C$24,2,FALSE())</f>
        <v>Пицца Царская</v>
      </c>
      <c r="F1744" s="1" t="n">
        <f aca="false">VLOOKUP(C1744,Меню!$A$2:$C$24,3,FALSE())</f>
        <v>620</v>
      </c>
      <c r="G1744" s="5" t="n">
        <f aca="false">VLOOKUP(B1744,Заказы!$A$2:$E$2995,2,FALSE())</f>
        <v>43990</v>
      </c>
      <c r="H1744" s="1" t="n">
        <f aca="false">VLOOKUP(B1744,Заказы!$A$2:$E$2995,3,FALSE())</f>
        <v>596</v>
      </c>
      <c r="I1744" s="1" t="str">
        <f aca="false">VLOOKUP(H1744,Клиенты!$A$2:$E$1995,5,FALSE())</f>
        <v>г. Новоузенск</v>
      </c>
      <c r="J1744" s="1" t="n">
        <f aca="false">VLOOKUP(B1744,Заказы!$A$2:$E$2995,4,FALSE())</f>
        <v>0</v>
      </c>
      <c r="K1744" s="1" t="str">
        <f aca="false">VLOOKUP(B1744,Заказы!$A$2:$E$2995,5,FALSE())</f>
        <v>Не выполнено</v>
      </c>
      <c r="L1744" s="1" t="n">
        <f aca="false">D1744*F1744+J1744</f>
        <v>3100</v>
      </c>
      <c r="M1744" s="1" t="n">
        <f aca="false">IF(AND(E1744="Пицца Труслейка",I1744="г. Москва",K1744="Выполнено",G1744&gt;=DATE(2020,7,1),G1744&lt;DATE(2020,8,1)),L1744,0)</f>
        <v>0</v>
      </c>
    </row>
    <row r="1745" customFormat="false" ht="15" hidden="false" customHeight="true" outlineLevel="0" collapsed="false">
      <c r="A1745" s="1" t="n">
        <v>100254</v>
      </c>
      <c r="B1745" s="1" t="n">
        <v>51008</v>
      </c>
      <c r="C1745" s="1" t="n">
        <v>11</v>
      </c>
      <c r="D1745" s="1" t="n">
        <v>5</v>
      </c>
      <c r="E1745" s="1" t="str">
        <f aca="false">VLOOKUP(C1745,Меню!$A$2:$C$24,2,FALSE())</f>
        <v>Пицца Песто</v>
      </c>
      <c r="F1745" s="1" t="n">
        <f aca="false">VLOOKUP(C1745,Меню!$A$2:$C$24,3,FALSE())</f>
        <v>530</v>
      </c>
      <c r="G1745" s="5" t="n">
        <f aca="false">VLOOKUP(B1745,Заказы!$A$2:$E$2995,2,FALSE())</f>
        <v>44062</v>
      </c>
      <c r="H1745" s="1" t="n">
        <f aca="false">VLOOKUP(B1745,Заказы!$A$2:$E$2995,3,FALSE())</f>
        <v>1404</v>
      </c>
      <c r="I1745" s="1" t="str">
        <f aca="false">VLOOKUP(H1745,Клиенты!$A$2:$E$1995,5,FALSE())</f>
        <v>г. Тетюши</v>
      </c>
      <c r="J1745" s="1" t="n">
        <f aca="false">VLOOKUP(B1745,Заказы!$A$2:$E$2995,4,FALSE())</f>
        <v>0</v>
      </c>
      <c r="K1745" s="1" t="str">
        <f aca="false">VLOOKUP(B1745,Заказы!$A$2:$E$2995,5,FALSE())</f>
        <v>Не выполнено</v>
      </c>
      <c r="L1745" s="1" t="n">
        <f aca="false">D1745*F1745+J1745</f>
        <v>2650</v>
      </c>
      <c r="M1745" s="1" t="n">
        <f aca="false">IF(AND(E1745="Пицца Труслейка",I1745="г. Москва",K1745="Выполнено",G1745&gt;=DATE(2020,7,1),G1745&lt;DATE(2020,8,1)),L1745,0)</f>
        <v>0</v>
      </c>
    </row>
    <row r="1746" customFormat="false" ht="15" hidden="false" customHeight="true" outlineLevel="0" collapsed="false">
      <c r="A1746" s="1" t="n">
        <v>100725</v>
      </c>
      <c r="B1746" s="1" t="n">
        <v>51568</v>
      </c>
      <c r="C1746" s="1" t="n">
        <v>6</v>
      </c>
      <c r="D1746" s="1" t="n">
        <v>6</v>
      </c>
      <c r="E1746" s="1" t="str">
        <f aca="false">VLOOKUP(C1746,Меню!$A$2:$C$24,2,FALSE())</f>
        <v>Пицца Капричиоза</v>
      </c>
      <c r="F1746" s="1" t="n">
        <f aca="false">VLOOKUP(C1746,Меню!$A$2:$C$24,3,FALSE())</f>
        <v>570</v>
      </c>
      <c r="G1746" s="5" t="n">
        <f aca="false">VLOOKUP(B1746,Заказы!$A$2:$E$2995,2,FALSE())</f>
        <v>44005</v>
      </c>
      <c r="H1746" s="1" t="n">
        <f aca="false">VLOOKUP(B1746,Заказы!$A$2:$E$2995,3,FALSE())</f>
        <v>1746</v>
      </c>
      <c r="I1746" s="1" t="str">
        <f aca="false">VLOOKUP(H1746,Клиенты!$A$2:$E$1995,5,FALSE())</f>
        <v>г. Терек</v>
      </c>
      <c r="J1746" s="1" t="n">
        <f aca="false">VLOOKUP(B1746,Заказы!$A$2:$E$2995,4,FALSE())</f>
        <v>522</v>
      </c>
      <c r="K1746" s="1" t="str">
        <f aca="false">VLOOKUP(B1746,Заказы!$A$2:$E$2995,5,FALSE())</f>
        <v>Выполнено</v>
      </c>
      <c r="L1746" s="1" t="n">
        <f aca="false">D1746*F1746+J1746</f>
        <v>3942</v>
      </c>
      <c r="M1746" s="1" t="n">
        <f aca="false">IF(AND(E1746="Пицца Труслейка",I1746="г. Москва",K1746="Выполнено",G1746&gt;=DATE(2020,7,1),G1746&lt;DATE(2020,8,1)),L1746,0)</f>
        <v>0</v>
      </c>
    </row>
    <row r="1747" customFormat="false" ht="15" hidden="false" customHeight="true" outlineLevel="0" collapsed="false">
      <c r="A1747" s="1" t="n">
        <v>101355</v>
      </c>
      <c r="B1747" s="1" t="n">
        <v>50132</v>
      </c>
      <c r="C1747" s="1" t="n">
        <v>18</v>
      </c>
      <c r="D1747" s="1" t="n">
        <v>1</v>
      </c>
      <c r="E1747" s="1" t="str">
        <f aca="false">VLOOKUP(C1747,Меню!$A$2:$C$24,2,FALSE())</f>
        <v>Пицца Царская</v>
      </c>
      <c r="F1747" s="1" t="n">
        <f aca="false">VLOOKUP(C1747,Меню!$A$2:$C$24,3,FALSE())</f>
        <v>620</v>
      </c>
      <c r="G1747" s="5" t="n">
        <f aca="false">VLOOKUP(B1747,Заказы!$A$2:$E$2995,2,FALSE())</f>
        <v>44036</v>
      </c>
      <c r="H1747" s="1" t="n">
        <f aca="false">VLOOKUP(B1747,Заказы!$A$2:$E$2995,3,FALSE())</f>
        <v>331</v>
      </c>
      <c r="I1747" s="1" t="str">
        <f aca="false">VLOOKUP(H1747,Клиенты!$A$2:$E$1995,5,FALSE())</f>
        <v>г. Ковров</v>
      </c>
      <c r="J1747" s="1" t="n">
        <f aca="false">VLOOKUP(B1747,Заказы!$A$2:$E$2995,4,FALSE())</f>
        <v>0</v>
      </c>
      <c r="K1747" s="1" t="str">
        <f aca="false">VLOOKUP(B1747,Заказы!$A$2:$E$2995,5,FALSE())</f>
        <v>Не выполнено</v>
      </c>
      <c r="L1747" s="1" t="n">
        <f aca="false">D1747*F1747+J1747</f>
        <v>620</v>
      </c>
      <c r="M1747" s="1" t="n">
        <f aca="false">IF(AND(E1747="Пицца Труслейка",I1747="г. Москва",K1747="Выполнено",G1747&gt;=DATE(2020,7,1),G1747&lt;DATE(2020,8,1)),L1747,0)</f>
        <v>0</v>
      </c>
    </row>
    <row r="1748" customFormat="false" ht="15" hidden="false" customHeight="true" outlineLevel="0" collapsed="false">
      <c r="A1748" s="1" t="n">
        <v>100057</v>
      </c>
      <c r="B1748" s="1" t="n">
        <v>51625</v>
      </c>
      <c r="C1748" s="1" t="n">
        <v>17</v>
      </c>
      <c r="D1748" s="1" t="n">
        <v>7</v>
      </c>
      <c r="E1748" s="1" t="str">
        <f aca="false">VLOOKUP(C1748,Меню!$A$2:$C$24,2,FALSE())</f>
        <v>Пицца Френч Фрайз</v>
      </c>
      <c r="F1748" s="1" t="n">
        <f aca="false">VLOOKUP(C1748,Меню!$A$2:$C$24,3,FALSE())</f>
        <v>515</v>
      </c>
      <c r="G1748" s="5" t="n">
        <f aca="false">VLOOKUP(B1748,Заказы!$A$2:$E$2995,2,FALSE())</f>
        <v>44071</v>
      </c>
      <c r="H1748" s="1" t="n">
        <f aca="false">VLOOKUP(B1748,Заказы!$A$2:$E$2995,3,FALSE())</f>
        <v>204</v>
      </c>
      <c r="I1748" s="1" t="str">
        <f aca="false">VLOOKUP(H1748,Клиенты!$A$2:$E$1995,5,FALSE())</f>
        <v>г. Иваново</v>
      </c>
      <c r="J1748" s="1" t="n">
        <f aca="false">VLOOKUP(B1748,Заказы!$A$2:$E$2995,4,FALSE())</f>
        <v>545</v>
      </c>
      <c r="K1748" s="1" t="str">
        <f aca="false">VLOOKUP(B1748,Заказы!$A$2:$E$2995,5,FALSE())</f>
        <v>Выполнено</v>
      </c>
      <c r="L1748" s="1" t="n">
        <f aca="false">D1748*F1748+J1748</f>
        <v>4150</v>
      </c>
      <c r="M1748" s="1" t="n">
        <f aca="false">IF(AND(E1748="Пицца Труслейка",I1748="г. Москва",K1748="Выполнено",G1748&gt;=DATE(2020,7,1),G1748&lt;DATE(2020,8,1)),L1748,0)</f>
        <v>0</v>
      </c>
    </row>
    <row r="1749" customFormat="false" ht="15" hidden="false" customHeight="true" outlineLevel="0" collapsed="false">
      <c r="A1749" s="1" t="n">
        <v>100511</v>
      </c>
      <c r="B1749" s="1" t="n">
        <v>51364</v>
      </c>
      <c r="C1749" s="1" t="n">
        <v>18</v>
      </c>
      <c r="D1749" s="1" t="n">
        <v>8</v>
      </c>
      <c r="E1749" s="1" t="str">
        <f aca="false">VLOOKUP(C1749,Меню!$A$2:$C$24,2,FALSE())</f>
        <v>Пицца Царская</v>
      </c>
      <c r="F1749" s="1" t="n">
        <f aca="false">VLOOKUP(C1749,Меню!$A$2:$C$24,3,FALSE())</f>
        <v>620</v>
      </c>
      <c r="G1749" s="5" t="n">
        <f aca="false">VLOOKUP(B1749,Заказы!$A$2:$E$2995,2,FALSE())</f>
        <v>44013</v>
      </c>
      <c r="H1749" s="1" t="n">
        <f aca="false">VLOOKUP(B1749,Заказы!$A$2:$E$2995,3,FALSE())</f>
        <v>261</v>
      </c>
      <c r="I1749" s="1" t="str">
        <f aca="false">VLOOKUP(H1749,Клиенты!$A$2:$E$1995,5,FALSE())</f>
        <v>г. Кемерово</v>
      </c>
      <c r="J1749" s="1" t="n">
        <f aca="false">VLOOKUP(B1749,Заказы!$A$2:$E$2995,4,FALSE())</f>
        <v>0</v>
      </c>
      <c r="K1749" s="1" t="str">
        <f aca="false">VLOOKUP(B1749,Заказы!$A$2:$E$2995,5,FALSE())</f>
        <v>Не выполнено</v>
      </c>
      <c r="L1749" s="1" t="n">
        <f aca="false">D1749*F1749+J1749</f>
        <v>4960</v>
      </c>
      <c r="M1749" s="1" t="n">
        <f aca="false">IF(AND(E1749="Пицца Труслейка",I1749="г. Москва",K1749="Выполнено",G1749&gt;=DATE(2020,7,1),G1749&lt;DATE(2020,8,1)),L1749,0)</f>
        <v>0</v>
      </c>
    </row>
    <row r="1750" customFormat="false" ht="15" hidden="false" customHeight="true" outlineLevel="0" collapsed="false">
      <c r="A1750" s="1" t="n">
        <v>100337</v>
      </c>
      <c r="B1750" s="1" t="n">
        <v>50143</v>
      </c>
      <c r="C1750" s="1" t="n">
        <v>21</v>
      </c>
      <c r="D1750" s="1" t="n">
        <v>5</v>
      </c>
      <c r="E1750" s="1" t="str">
        <f aca="false">VLOOKUP(C1750,Меню!$A$2:$C$24,2,FALSE())</f>
        <v>Пицца с креветками и цукини</v>
      </c>
      <c r="F1750" s="1" t="n">
        <f aca="false">VLOOKUP(C1750,Меню!$A$2:$C$24,3,FALSE())</f>
        <v>600</v>
      </c>
      <c r="G1750" s="5" t="n">
        <f aca="false">VLOOKUP(B1750,Заказы!$A$2:$E$2995,2,FALSE())</f>
        <v>43986</v>
      </c>
      <c r="H1750" s="1" t="n">
        <f aca="false">VLOOKUP(B1750,Заказы!$A$2:$E$2995,3,FALSE())</f>
        <v>508</v>
      </c>
      <c r="I1750" s="1" t="str">
        <f aca="false">VLOOKUP(H1750,Клиенты!$A$2:$E$1995,5,FALSE())</f>
        <v>г. Приозерск</v>
      </c>
      <c r="J1750" s="1" t="n">
        <f aca="false">VLOOKUP(B1750,Заказы!$A$2:$E$2995,4,FALSE())</f>
        <v>0</v>
      </c>
      <c r="K1750" s="1" t="str">
        <f aca="false">VLOOKUP(B1750,Заказы!$A$2:$E$2995,5,FALSE())</f>
        <v>Не выполнено</v>
      </c>
      <c r="L1750" s="1" t="n">
        <f aca="false">D1750*F1750+J1750</f>
        <v>3000</v>
      </c>
      <c r="M1750" s="1" t="n">
        <f aca="false">IF(AND(E1750="Пицца Труслейка",I1750="г. Москва",K1750="Выполнено",G1750&gt;=DATE(2020,7,1),G1750&lt;DATE(2020,8,1)),L1750,0)</f>
        <v>0</v>
      </c>
    </row>
    <row r="1751" customFormat="false" ht="15" hidden="false" customHeight="true" outlineLevel="0" collapsed="false">
      <c r="A1751" s="1" t="n">
        <v>100356</v>
      </c>
      <c r="B1751" s="1" t="n">
        <v>51325</v>
      </c>
      <c r="C1751" s="1" t="n">
        <v>4</v>
      </c>
      <c r="D1751" s="1" t="n">
        <v>2</v>
      </c>
      <c r="E1751" s="1" t="str">
        <f aca="false">VLOOKUP(C1751,Меню!$A$2:$C$24,2,FALSE())</f>
        <v>Пицца Труслейка</v>
      </c>
      <c r="F1751" s="1" t="n">
        <f aca="false">VLOOKUP(C1751,Меню!$A$2:$C$24,3,FALSE())</f>
        <v>610</v>
      </c>
      <c r="G1751" s="5" t="n">
        <f aca="false">VLOOKUP(B1751,Заказы!$A$2:$E$2995,2,FALSE())</f>
        <v>44008</v>
      </c>
      <c r="H1751" s="1" t="n">
        <f aca="false">VLOOKUP(B1751,Заказы!$A$2:$E$2995,3,FALSE())</f>
        <v>1493</v>
      </c>
      <c r="I1751" s="1" t="str">
        <f aca="false">VLOOKUP(H1751,Клиенты!$A$2:$E$1995,5,FALSE())</f>
        <v>г. Новопавловск</v>
      </c>
      <c r="J1751" s="1" t="n">
        <f aca="false">VLOOKUP(B1751,Заказы!$A$2:$E$2995,4,FALSE())</f>
        <v>579</v>
      </c>
      <c r="K1751" s="1" t="str">
        <f aca="false">VLOOKUP(B1751,Заказы!$A$2:$E$2995,5,FALSE())</f>
        <v>Выполнено</v>
      </c>
      <c r="L1751" s="1" t="n">
        <f aca="false">D1751*F1751+J1751</f>
        <v>1799</v>
      </c>
      <c r="M1751" s="1" t="n">
        <f aca="false">IF(AND(E1751="Пицца Труслейка",I1751="г. Москва",K1751="Выполнено",G1751&gt;=DATE(2020,7,1),G1751&lt;DATE(2020,8,1)),L1751,0)</f>
        <v>0</v>
      </c>
    </row>
    <row r="1752" customFormat="false" ht="15" hidden="false" customHeight="true" outlineLevel="0" collapsed="false">
      <c r="A1752" s="1" t="n">
        <v>101441</v>
      </c>
      <c r="B1752" s="1" t="n">
        <v>51930</v>
      </c>
      <c r="C1752" s="1" t="n">
        <v>4</v>
      </c>
      <c r="D1752" s="1" t="n">
        <v>6</v>
      </c>
      <c r="E1752" s="1" t="str">
        <f aca="false">VLOOKUP(C1752,Меню!$A$2:$C$24,2,FALSE())</f>
        <v>Пицца Труслейка</v>
      </c>
      <c r="F1752" s="1" t="n">
        <f aca="false">VLOOKUP(C1752,Меню!$A$2:$C$24,3,FALSE())</f>
        <v>610</v>
      </c>
      <c r="G1752" s="5" t="n">
        <f aca="false">VLOOKUP(B1752,Заказы!$A$2:$E$2995,2,FALSE())</f>
        <v>44004</v>
      </c>
      <c r="H1752" s="1" t="n">
        <f aca="false">VLOOKUP(B1752,Заказы!$A$2:$E$2995,3,FALSE())</f>
        <v>927</v>
      </c>
      <c r="I1752" s="1" t="str">
        <f aca="false">VLOOKUP(H1752,Клиенты!$A$2:$E$1995,5,FALSE())</f>
        <v>г. Котово</v>
      </c>
      <c r="J1752" s="1" t="n">
        <f aca="false">VLOOKUP(B1752,Заказы!$A$2:$E$2995,4,FALSE())</f>
        <v>720</v>
      </c>
      <c r="K1752" s="1" t="str">
        <f aca="false">VLOOKUP(B1752,Заказы!$A$2:$E$2995,5,FALSE())</f>
        <v>Выполнено</v>
      </c>
      <c r="L1752" s="1" t="n">
        <f aca="false">D1752*F1752+J1752</f>
        <v>4380</v>
      </c>
      <c r="M1752" s="1" t="n">
        <f aca="false">IF(AND(E1752="Пицца Труслейка",I1752="г. Москва",K1752="Выполнено",G1752&gt;=DATE(2020,7,1),G1752&lt;DATE(2020,8,1)),L1752,0)</f>
        <v>0</v>
      </c>
    </row>
    <row r="1753" customFormat="false" ht="15" hidden="false" customHeight="true" outlineLevel="0" collapsed="false">
      <c r="A1753" s="1" t="n">
        <v>100043</v>
      </c>
      <c r="B1753" s="1" t="n">
        <v>50076</v>
      </c>
      <c r="C1753" s="1" t="n">
        <v>6</v>
      </c>
      <c r="D1753" s="1" t="n">
        <v>8</v>
      </c>
      <c r="E1753" s="1" t="str">
        <f aca="false">VLOOKUP(C1753,Меню!$A$2:$C$24,2,FALSE())</f>
        <v>Пицца Капричиоза</v>
      </c>
      <c r="F1753" s="1" t="n">
        <f aca="false">VLOOKUP(C1753,Меню!$A$2:$C$24,3,FALSE())</f>
        <v>570</v>
      </c>
      <c r="G1753" s="5" t="n">
        <f aca="false">VLOOKUP(B1753,Заказы!$A$2:$E$2995,2,FALSE())</f>
        <v>44023</v>
      </c>
      <c r="H1753" s="1" t="n">
        <f aca="false">VLOOKUP(B1753,Заказы!$A$2:$E$2995,3,FALSE())</f>
        <v>358</v>
      </c>
      <c r="I1753" s="1" t="str">
        <f aca="false">VLOOKUP(H1753,Клиенты!$A$2:$E$1995,5,FALSE())</f>
        <v>г. Хасавюрт</v>
      </c>
      <c r="J1753" s="1" t="n">
        <f aca="false">VLOOKUP(B1753,Заказы!$A$2:$E$2995,4,FALSE())</f>
        <v>0</v>
      </c>
      <c r="K1753" s="1" t="str">
        <f aca="false">VLOOKUP(B1753,Заказы!$A$2:$E$2995,5,FALSE())</f>
        <v>Не выполнено</v>
      </c>
      <c r="L1753" s="1" t="n">
        <f aca="false">D1753*F1753+J1753</f>
        <v>4560</v>
      </c>
      <c r="M1753" s="1" t="n">
        <f aca="false">IF(AND(E1753="Пицца Труслейка",I1753="г. Москва",K1753="Выполнено",G1753&gt;=DATE(2020,7,1),G1753&lt;DATE(2020,8,1)),L1753,0)</f>
        <v>0</v>
      </c>
    </row>
    <row r="1754" customFormat="false" ht="15" hidden="false" customHeight="true" outlineLevel="0" collapsed="false">
      <c r="A1754" s="1" t="n">
        <v>101289</v>
      </c>
      <c r="B1754" s="1" t="n">
        <v>50379</v>
      </c>
      <c r="C1754" s="1" t="n">
        <v>4</v>
      </c>
      <c r="D1754" s="1" t="n">
        <v>1</v>
      </c>
      <c r="E1754" s="1" t="str">
        <f aca="false">VLOOKUP(C1754,Меню!$A$2:$C$24,2,FALSE())</f>
        <v>Пицца Труслейка</v>
      </c>
      <c r="F1754" s="1" t="n">
        <f aca="false">VLOOKUP(C1754,Меню!$A$2:$C$24,3,FALSE())</f>
        <v>610</v>
      </c>
      <c r="G1754" s="5" t="n">
        <f aca="false">VLOOKUP(B1754,Заказы!$A$2:$E$2995,2,FALSE())</f>
        <v>43993</v>
      </c>
      <c r="H1754" s="1" t="n">
        <f aca="false">VLOOKUP(B1754,Заказы!$A$2:$E$2995,3,FALSE())</f>
        <v>1273</v>
      </c>
      <c r="I1754" s="1" t="str">
        <f aca="false">VLOOKUP(H1754,Клиенты!$A$2:$E$1995,5,FALSE())</f>
        <v>г. Катав-Ивановск</v>
      </c>
      <c r="J1754" s="1" t="n">
        <f aca="false">VLOOKUP(B1754,Заказы!$A$2:$E$2995,4,FALSE())</f>
        <v>105</v>
      </c>
      <c r="K1754" s="1" t="str">
        <f aca="false">VLOOKUP(B1754,Заказы!$A$2:$E$2995,5,FALSE())</f>
        <v>Выполнено</v>
      </c>
      <c r="L1754" s="1" t="n">
        <f aca="false">D1754*F1754+J1754</f>
        <v>715</v>
      </c>
      <c r="M1754" s="1" t="n">
        <f aca="false">IF(AND(E1754="Пицца Труслейка",I1754="г. Москва",K1754="Выполнено",G1754&gt;=DATE(2020,7,1),G1754&lt;DATE(2020,8,1)),L1754,0)</f>
        <v>0</v>
      </c>
    </row>
    <row r="1755" customFormat="false" ht="15" hidden="false" customHeight="true" outlineLevel="0" collapsed="false">
      <c r="A1755" s="1" t="n">
        <v>101958</v>
      </c>
      <c r="B1755" s="1" t="n">
        <v>50731</v>
      </c>
      <c r="C1755" s="1" t="n">
        <v>4</v>
      </c>
      <c r="D1755" s="1" t="n">
        <v>8</v>
      </c>
      <c r="E1755" s="1" t="str">
        <f aca="false">VLOOKUP(C1755,Меню!$A$2:$C$24,2,FALSE())</f>
        <v>Пицца Труслейка</v>
      </c>
      <c r="F1755" s="1" t="n">
        <f aca="false">VLOOKUP(C1755,Меню!$A$2:$C$24,3,FALSE())</f>
        <v>610</v>
      </c>
      <c r="G1755" s="5" t="n">
        <f aca="false">VLOOKUP(B1755,Заказы!$A$2:$E$2995,2,FALSE())</f>
        <v>44030</v>
      </c>
      <c r="H1755" s="1" t="n">
        <f aca="false">VLOOKUP(B1755,Заказы!$A$2:$E$2995,3,FALSE())</f>
        <v>752</v>
      </c>
      <c r="I1755" s="1" t="str">
        <f aca="false">VLOOKUP(H1755,Клиенты!$A$2:$E$1995,5,FALSE())</f>
        <v>г. Ладушкин</v>
      </c>
      <c r="J1755" s="1" t="n">
        <f aca="false">VLOOKUP(B1755,Заказы!$A$2:$E$2995,4,FALSE())</f>
        <v>288</v>
      </c>
      <c r="K1755" s="1" t="str">
        <f aca="false">VLOOKUP(B1755,Заказы!$A$2:$E$2995,5,FALSE())</f>
        <v>Выполнено</v>
      </c>
      <c r="L1755" s="1" t="n">
        <f aca="false">D1755*F1755+J1755</f>
        <v>5168</v>
      </c>
      <c r="M1755" s="1" t="n">
        <f aca="false">IF(AND(E1755="Пицца Труслейка",I1755="г. Москва",K1755="Выполнено",G1755&gt;=DATE(2020,7,1),G1755&lt;DATE(2020,8,1)),L1755,0)</f>
        <v>0</v>
      </c>
    </row>
    <row r="1756" customFormat="false" ht="15" hidden="false" customHeight="true" outlineLevel="0" collapsed="false">
      <c r="A1756" s="1" t="n">
        <v>101286</v>
      </c>
      <c r="B1756" s="1" t="n">
        <v>51585</v>
      </c>
      <c r="C1756" s="1" t="n">
        <v>17</v>
      </c>
      <c r="D1756" s="1" t="n">
        <v>2</v>
      </c>
      <c r="E1756" s="1" t="str">
        <f aca="false">VLOOKUP(C1756,Меню!$A$2:$C$24,2,FALSE())</f>
        <v>Пицца Френч Фрайз</v>
      </c>
      <c r="F1756" s="1" t="n">
        <f aca="false">VLOOKUP(C1756,Меню!$A$2:$C$24,3,FALSE())</f>
        <v>515</v>
      </c>
      <c r="G1756" s="5" t="n">
        <f aca="false">VLOOKUP(B1756,Заказы!$A$2:$E$2995,2,FALSE())</f>
        <v>44069</v>
      </c>
      <c r="H1756" s="1" t="n">
        <f aca="false">VLOOKUP(B1756,Заказы!$A$2:$E$2995,3,FALSE())</f>
        <v>1947</v>
      </c>
      <c r="I1756" s="1" t="str">
        <f aca="false">VLOOKUP(H1756,Клиенты!$A$2:$E$1995,5,FALSE())</f>
        <v>г. Бородино</v>
      </c>
      <c r="J1756" s="1" t="n">
        <f aca="false">VLOOKUP(B1756,Заказы!$A$2:$E$2995,4,FALSE())</f>
        <v>637</v>
      </c>
      <c r="K1756" s="1" t="str">
        <f aca="false">VLOOKUP(B1756,Заказы!$A$2:$E$2995,5,FALSE())</f>
        <v>Выполнено</v>
      </c>
      <c r="L1756" s="1" t="n">
        <f aca="false">D1756*F1756+J1756</f>
        <v>1667</v>
      </c>
      <c r="M1756" s="1" t="n">
        <f aca="false">IF(AND(E1756="Пицца Труслейка",I1756="г. Москва",K1756="Выполнено",G1756&gt;=DATE(2020,7,1),G1756&lt;DATE(2020,8,1)),L1756,0)</f>
        <v>0</v>
      </c>
    </row>
    <row r="1757" customFormat="false" ht="15" hidden="false" customHeight="true" outlineLevel="0" collapsed="false">
      <c r="A1757" s="1" t="n">
        <v>101873</v>
      </c>
      <c r="B1757" s="1" t="n">
        <v>51660</v>
      </c>
      <c r="C1757" s="1" t="n">
        <v>16</v>
      </c>
      <c r="D1757" s="1" t="n">
        <v>7</v>
      </c>
      <c r="E1757" s="1" t="str">
        <f aca="false">VLOOKUP(C1757,Меню!$A$2:$C$24,2,FALSE())</f>
        <v>Пицца Флорида</v>
      </c>
      <c r="F1757" s="1" t="n">
        <f aca="false">VLOOKUP(C1757,Меню!$A$2:$C$24,3,FALSE())</f>
        <v>535</v>
      </c>
      <c r="G1757" s="5" t="n">
        <f aca="false">VLOOKUP(B1757,Заказы!$A$2:$E$2995,2,FALSE())</f>
        <v>43982</v>
      </c>
      <c r="H1757" s="1" t="n">
        <f aca="false">VLOOKUP(B1757,Заказы!$A$2:$E$2995,3,FALSE())</f>
        <v>238</v>
      </c>
      <c r="I1757" s="1" t="str">
        <f aca="false">VLOOKUP(H1757,Клиенты!$A$2:$E$1995,5,FALSE())</f>
        <v>г. Курганинск</v>
      </c>
      <c r="J1757" s="1" t="n">
        <f aca="false">VLOOKUP(B1757,Заказы!$A$2:$E$2995,4,FALSE())</f>
        <v>0</v>
      </c>
      <c r="K1757" s="1" t="str">
        <f aca="false">VLOOKUP(B1757,Заказы!$A$2:$E$2995,5,FALSE())</f>
        <v>Не выполнено</v>
      </c>
      <c r="L1757" s="1" t="n">
        <f aca="false">D1757*F1757+J1757</f>
        <v>3745</v>
      </c>
      <c r="M1757" s="1" t="n">
        <f aca="false">IF(AND(E1757="Пицца Труслейка",I1757="г. Москва",K1757="Выполнено",G1757&gt;=DATE(2020,7,1),G1757&lt;DATE(2020,8,1)),L1757,0)</f>
        <v>0</v>
      </c>
    </row>
    <row r="1758" customFormat="false" ht="15" hidden="false" customHeight="true" outlineLevel="0" collapsed="false">
      <c r="A1758" s="1" t="n">
        <v>100021</v>
      </c>
      <c r="B1758" s="1" t="n">
        <v>50619</v>
      </c>
      <c r="C1758" s="1" t="n">
        <v>4</v>
      </c>
      <c r="D1758" s="1" t="n">
        <v>9</v>
      </c>
      <c r="E1758" s="1" t="str">
        <f aca="false">VLOOKUP(C1758,Меню!$A$2:$C$24,2,FALSE())</f>
        <v>Пицца Труслейка</v>
      </c>
      <c r="F1758" s="1" t="n">
        <f aca="false">VLOOKUP(C1758,Меню!$A$2:$C$24,3,FALSE())</f>
        <v>610</v>
      </c>
      <c r="G1758" s="5" t="n">
        <f aca="false">VLOOKUP(B1758,Заказы!$A$2:$E$2995,2,FALSE())</f>
        <v>44006</v>
      </c>
      <c r="H1758" s="1" t="n">
        <f aca="false">VLOOKUP(B1758,Заказы!$A$2:$E$2995,3,FALSE())</f>
        <v>178</v>
      </c>
      <c r="I1758" s="1" t="str">
        <f aca="false">VLOOKUP(H1758,Клиенты!$A$2:$E$1995,5,FALSE())</f>
        <v>г. Оленегорск</v>
      </c>
      <c r="J1758" s="1" t="n">
        <f aca="false">VLOOKUP(B1758,Заказы!$A$2:$E$2995,4,FALSE())</f>
        <v>0</v>
      </c>
      <c r="K1758" s="1" t="str">
        <f aca="false">VLOOKUP(B1758,Заказы!$A$2:$E$2995,5,FALSE())</f>
        <v>Не выполнено</v>
      </c>
      <c r="L1758" s="1" t="n">
        <f aca="false">D1758*F1758+J1758</f>
        <v>5490</v>
      </c>
      <c r="M1758" s="1" t="n">
        <f aca="false">IF(AND(E1758="Пицца Труслейка",I1758="г. Москва",K1758="Выполнено",G1758&gt;=DATE(2020,7,1),G1758&lt;DATE(2020,8,1)),L1758,0)</f>
        <v>0</v>
      </c>
    </row>
    <row r="1759" customFormat="false" ht="15" hidden="false" customHeight="true" outlineLevel="0" collapsed="false">
      <c r="A1759" s="1" t="n">
        <v>101383</v>
      </c>
      <c r="B1759" s="1" t="n">
        <v>50024</v>
      </c>
      <c r="C1759" s="1" t="n">
        <v>5</v>
      </c>
      <c r="D1759" s="1" t="n">
        <v>10</v>
      </c>
      <c r="E1759" s="1" t="str">
        <f aca="false">VLOOKUP(C1759,Меню!$A$2:$C$24,2,FALSE())</f>
        <v>Пицца Жюльен</v>
      </c>
      <c r="F1759" s="1" t="n">
        <f aca="false">VLOOKUP(C1759,Меню!$A$2:$C$24,3,FALSE())</f>
        <v>580</v>
      </c>
      <c r="G1759" s="5" t="n">
        <f aca="false">VLOOKUP(B1759,Заказы!$A$2:$E$2995,2,FALSE())</f>
        <v>44013</v>
      </c>
      <c r="H1759" s="1" t="n">
        <f aca="false">VLOOKUP(B1759,Заказы!$A$2:$E$2995,3,FALSE())</f>
        <v>955</v>
      </c>
      <c r="I1759" s="1" t="str">
        <f aca="false">VLOOKUP(H1759,Клиенты!$A$2:$E$1995,5,FALSE())</f>
        <v>г. Мурино</v>
      </c>
      <c r="J1759" s="1" t="n">
        <f aca="false">VLOOKUP(B1759,Заказы!$A$2:$E$2995,4,FALSE())</f>
        <v>0</v>
      </c>
      <c r="K1759" s="1" t="str">
        <f aca="false">VLOOKUP(B1759,Заказы!$A$2:$E$2995,5,FALSE())</f>
        <v>Не выполнено</v>
      </c>
      <c r="L1759" s="1" t="n">
        <f aca="false">D1759*F1759+J1759</f>
        <v>5800</v>
      </c>
      <c r="M1759" s="1" t="n">
        <f aca="false">IF(AND(E1759="Пицца Труслейка",I1759="г. Москва",K1759="Выполнено",G1759&gt;=DATE(2020,7,1),G1759&lt;DATE(2020,8,1)),L1759,0)</f>
        <v>0</v>
      </c>
    </row>
    <row r="1760" customFormat="false" ht="15" hidden="false" customHeight="true" outlineLevel="0" collapsed="false">
      <c r="A1760" s="1" t="n">
        <v>100533</v>
      </c>
      <c r="B1760" s="1" t="n">
        <v>50983</v>
      </c>
      <c r="C1760" s="1" t="n">
        <v>3</v>
      </c>
      <c r="D1760" s="1" t="n">
        <v>6</v>
      </c>
      <c r="E1760" s="1" t="str">
        <f aca="false">VLOOKUP(C1760,Меню!$A$2:$C$24,2,FALSE())</f>
        <v>Пицца Диабло</v>
      </c>
      <c r="F1760" s="1" t="n">
        <f aca="false">VLOOKUP(C1760,Меню!$A$2:$C$24,3,FALSE())</f>
        <v>590</v>
      </c>
      <c r="G1760" s="5" t="n">
        <f aca="false">VLOOKUP(B1760,Заказы!$A$2:$E$2995,2,FALSE())</f>
        <v>44059</v>
      </c>
      <c r="H1760" s="1" t="n">
        <f aca="false">VLOOKUP(B1760,Заказы!$A$2:$E$2995,3,FALSE())</f>
        <v>212</v>
      </c>
      <c r="I1760" s="1" t="str">
        <f aca="false">VLOOKUP(H1760,Клиенты!$A$2:$E$1995,5,FALSE())</f>
        <v>г. Звенигово</v>
      </c>
      <c r="J1760" s="1" t="n">
        <f aca="false">VLOOKUP(B1760,Заказы!$A$2:$E$2995,4,FALSE())</f>
        <v>645</v>
      </c>
      <c r="K1760" s="1" t="str">
        <f aca="false">VLOOKUP(B1760,Заказы!$A$2:$E$2995,5,FALSE())</f>
        <v>Выполнено</v>
      </c>
      <c r="L1760" s="1" t="n">
        <f aca="false">D1760*F1760+J1760</f>
        <v>4185</v>
      </c>
      <c r="M1760" s="1" t="n">
        <f aca="false">IF(AND(E1760="Пицца Труслейка",I1760="г. Москва",K1760="Выполнено",G1760&gt;=DATE(2020,7,1),G1760&lt;DATE(2020,8,1)),L1760,0)</f>
        <v>0</v>
      </c>
    </row>
    <row r="1761" customFormat="false" ht="15" hidden="false" customHeight="true" outlineLevel="0" collapsed="false">
      <c r="A1761" s="1" t="n">
        <v>101679</v>
      </c>
      <c r="B1761" s="1" t="n">
        <v>51719</v>
      </c>
      <c r="C1761" s="1" t="n">
        <v>4</v>
      </c>
      <c r="D1761" s="1" t="n">
        <v>9</v>
      </c>
      <c r="E1761" s="1" t="str">
        <f aca="false">VLOOKUP(C1761,Меню!$A$2:$C$24,2,FALSE())</f>
        <v>Пицца Труслейка</v>
      </c>
      <c r="F1761" s="1" t="n">
        <f aca="false">VLOOKUP(C1761,Меню!$A$2:$C$24,3,FALSE())</f>
        <v>610</v>
      </c>
      <c r="G1761" s="5" t="n">
        <f aca="false">VLOOKUP(B1761,Заказы!$A$2:$E$2995,2,FALSE())</f>
        <v>44007</v>
      </c>
      <c r="H1761" s="1" t="n">
        <f aca="false">VLOOKUP(B1761,Заказы!$A$2:$E$2995,3,FALSE())</f>
        <v>115</v>
      </c>
      <c r="I1761" s="1" t="str">
        <f aca="false">VLOOKUP(H1761,Клиенты!$A$2:$E$1995,5,FALSE())</f>
        <v>г. Миньяр</v>
      </c>
      <c r="J1761" s="1" t="n">
        <f aca="false">VLOOKUP(B1761,Заказы!$A$2:$E$2995,4,FALSE())</f>
        <v>831</v>
      </c>
      <c r="K1761" s="1" t="str">
        <f aca="false">VLOOKUP(B1761,Заказы!$A$2:$E$2995,5,FALSE())</f>
        <v>Выполнено</v>
      </c>
      <c r="L1761" s="1" t="n">
        <f aca="false">D1761*F1761+J1761</f>
        <v>6321</v>
      </c>
      <c r="M1761" s="1" t="n">
        <f aca="false">IF(AND(E1761="Пицца Труслейка",I1761="г. Москва",K1761="Выполнено",G1761&gt;=DATE(2020,7,1),G1761&lt;DATE(2020,8,1)),L1761,0)</f>
        <v>0</v>
      </c>
    </row>
    <row r="1762" customFormat="false" ht="15" hidden="false" customHeight="true" outlineLevel="0" collapsed="false">
      <c r="A1762" s="1" t="n">
        <v>100423</v>
      </c>
      <c r="B1762" s="1" t="n">
        <v>50899</v>
      </c>
      <c r="C1762" s="1" t="n">
        <v>10</v>
      </c>
      <c r="D1762" s="1" t="n">
        <v>8</v>
      </c>
      <c r="E1762" s="1" t="str">
        <f aca="false">VLOOKUP(C1762,Меню!$A$2:$C$24,2,FALSE())</f>
        <v>Пицца Пепперони фреш</v>
      </c>
      <c r="F1762" s="1" t="n">
        <f aca="false">VLOOKUP(C1762,Меню!$A$2:$C$24,3,FALSE())</f>
        <v>565</v>
      </c>
      <c r="G1762" s="5" t="n">
        <f aca="false">VLOOKUP(B1762,Заказы!$A$2:$E$2995,2,FALSE())</f>
        <v>44021</v>
      </c>
      <c r="H1762" s="1" t="n">
        <f aca="false">VLOOKUP(B1762,Заказы!$A$2:$E$2995,3,FALSE())</f>
        <v>283</v>
      </c>
      <c r="I1762" s="1" t="str">
        <f aca="false">VLOOKUP(H1762,Клиенты!$A$2:$E$1995,5,FALSE())</f>
        <v>г. Гатчина</v>
      </c>
      <c r="J1762" s="1" t="n">
        <f aca="false">VLOOKUP(B1762,Заказы!$A$2:$E$2995,4,FALSE())</f>
        <v>718</v>
      </c>
      <c r="K1762" s="1" t="str">
        <f aca="false">VLOOKUP(B1762,Заказы!$A$2:$E$2995,5,FALSE())</f>
        <v>Выполнено</v>
      </c>
      <c r="L1762" s="1" t="n">
        <f aca="false">D1762*F1762+J1762</f>
        <v>5238</v>
      </c>
      <c r="M1762" s="1" t="n">
        <f aca="false">IF(AND(E1762="Пицца Труслейка",I1762="г. Москва",K1762="Выполнено",G1762&gt;=DATE(2020,7,1),G1762&lt;DATE(2020,8,1)),L1762,0)</f>
        <v>0</v>
      </c>
    </row>
    <row r="1763" customFormat="false" ht="15" hidden="false" customHeight="true" outlineLevel="0" collapsed="false">
      <c r="A1763" s="1" t="n">
        <v>100226</v>
      </c>
      <c r="B1763" s="1" t="n">
        <v>50062</v>
      </c>
      <c r="C1763" s="1" t="n">
        <v>22</v>
      </c>
      <c r="D1763" s="1" t="n">
        <v>1</v>
      </c>
      <c r="E1763" s="1" t="str">
        <f aca="false">VLOOKUP(C1763,Меню!$A$2:$C$24,2,FALSE())</f>
        <v>Пицца с поркеттой и фриарелли</v>
      </c>
      <c r="F1763" s="1" t="n">
        <f aca="false">VLOOKUP(C1763,Меню!$A$2:$C$24,3,FALSE())</f>
        <v>550</v>
      </c>
      <c r="G1763" s="5" t="n">
        <f aca="false">VLOOKUP(B1763,Заказы!$A$2:$E$2995,2,FALSE())</f>
        <v>44009</v>
      </c>
      <c r="H1763" s="1" t="n">
        <f aca="false">VLOOKUP(B1763,Заказы!$A$2:$E$2995,3,FALSE())</f>
        <v>978</v>
      </c>
      <c r="I1763" s="1" t="str">
        <f aca="false">VLOOKUP(H1763,Клиенты!$A$2:$E$1995,5,FALSE())</f>
        <v>г. Дубовка</v>
      </c>
      <c r="J1763" s="1" t="n">
        <f aca="false">VLOOKUP(B1763,Заказы!$A$2:$E$2995,4,FALSE())</f>
        <v>309</v>
      </c>
      <c r="K1763" s="1" t="str">
        <f aca="false">VLOOKUP(B1763,Заказы!$A$2:$E$2995,5,FALSE())</f>
        <v>Выполнено</v>
      </c>
      <c r="L1763" s="1" t="n">
        <f aca="false">D1763*F1763+J1763</f>
        <v>859</v>
      </c>
      <c r="M1763" s="1" t="n">
        <f aca="false">IF(AND(E1763="Пицца Труслейка",I1763="г. Москва",K1763="Выполнено",G1763&gt;=DATE(2020,7,1),G1763&lt;DATE(2020,8,1)),L1763,0)</f>
        <v>0</v>
      </c>
    </row>
    <row r="1764" customFormat="false" ht="15" hidden="false" customHeight="true" outlineLevel="0" collapsed="false">
      <c r="A1764" s="1" t="n">
        <v>100739</v>
      </c>
      <c r="B1764" s="1" t="n">
        <v>50114</v>
      </c>
      <c r="C1764" s="1" t="n">
        <v>1</v>
      </c>
      <c r="D1764" s="1" t="n">
        <v>4</v>
      </c>
      <c r="E1764" s="1" t="str">
        <f aca="false">VLOOKUP(C1764,Меню!$A$2:$C$24,2,FALSE())</f>
        <v>Пицца Гавайская</v>
      </c>
      <c r="F1764" s="1" t="n">
        <f aca="false">VLOOKUP(C1764,Меню!$A$2:$C$24,3,FALSE())</f>
        <v>545</v>
      </c>
      <c r="G1764" s="5" t="n">
        <f aca="false">VLOOKUP(B1764,Заказы!$A$2:$E$2995,2,FALSE())</f>
        <v>44005</v>
      </c>
      <c r="H1764" s="1" t="n">
        <f aca="false">VLOOKUP(B1764,Заказы!$A$2:$E$2995,3,FALSE())</f>
        <v>669</v>
      </c>
      <c r="I1764" s="1" t="str">
        <f aca="false">VLOOKUP(H1764,Клиенты!$A$2:$E$1995,5,FALSE())</f>
        <v>г. Алатырь</v>
      </c>
      <c r="J1764" s="1" t="n">
        <f aca="false">VLOOKUP(B1764,Заказы!$A$2:$E$2995,4,FALSE())</f>
        <v>216</v>
      </c>
      <c r="K1764" s="1" t="str">
        <f aca="false">VLOOKUP(B1764,Заказы!$A$2:$E$2995,5,FALSE())</f>
        <v>Выполнено</v>
      </c>
      <c r="L1764" s="1" t="n">
        <f aca="false">D1764*F1764+J1764</f>
        <v>2396</v>
      </c>
      <c r="M1764" s="1" t="n">
        <f aca="false">IF(AND(E1764="Пицца Труслейка",I1764="г. Москва",K1764="Выполнено",G1764&gt;=DATE(2020,7,1),G1764&lt;DATE(2020,8,1)),L1764,0)</f>
        <v>0</v>
      </c>
    </row>
    <row r="1765" customFormat="false" ht="15" hidden="false" customHeight="true" outlineLevel="0" collapsed="false">
      <c r="A1765" s="1" t="n">
        <v>100106</v>
      </c>
      <c r="B1765" s="1" t="n">
        <v>50111</v>
      </c>
      <c r="C1765" s="1" t="n">
        <v>7</v>
      </c>
      <c r="D1765" s="1" t="n">
        <v>3</v>
      </c>
      <c r="E1765" s="1" t="str">
        <f aca="false">VLOOKUP(C1765,Меню!$A$2:$C$24,2,FALSE())</f>
        <v>Пицца Карбонара</v>
      </c>
      <c r="F1765" s="1" t="n">
        <f aca="false">VLOOKUP(C1765,Меню!$A$2:$C$24,3,FALSE())</f>
        <v>625</v>
      </c>
      <c r="G1765" s="5" t="n">
        <f aca="false">VLOOKUP(B1765,Заказы!$A$2:$E$2995,2,FALSE())</f>
        <v>44049</v>
      </c>
      <c r="H1765" s="1" t="n">
        <f aca="false">VLOOKUP(B1765,Заказы!$A$2:$E$2995,3,FALSE())</f>
        <v>417</v>
      </c>
      <c r="I1765" s="1" t="str">
        <f aca="false">VLOOKUP(H1765,Клиенты!$A$2:$E$1995,5,FALSE())</f>
        <v>г. Семёнов</v>
      </c>
      <c r="J1765" s="1" t="n">
        <f aca="false">VLOOKUP(B1765,Заказы!$A$2:$E$2995,4,FALSE())</f>
        <v>406</v>
      </c>
      <c r="K1765" s="1" t="str">
        <f aca="false">VLOOKUP(B1765,Заказы!$A$2:$E$2995,5,FALSE())</f>
        <v>Выполнено</v>
      </c>
      <c r="L1765" s="1" t="n">
        <f aca="false">D1765*F1765+J1765</f>
        <v>2281</v>
      </c>
      <c r="M1765" s="1" t="n">
        <f aca="false">IF(AND(E1765="Пицца Труслейка",I1765="г. Москва",K1765="Выполнено",G1765&gt;=DATE(2020,7,1),G1765&lt;DATE(2020,8,1)),L1765,0)</f>
        <v>0</v>
      </c>
    </row>
    <row r="1766" customFormat="false" ht="15" hidden="false" customHeight="true" outlineLevel="0" collapsed="false">
      <c r="A1766" s="1" t="n">
        <v>101642</v>
      </c>
      <c r="B1766" s="1" t="n">
        <v>51411</v>
      </c>
      <c r="C1766" s="1" t="n">
        <v>16</v>
      </c>
      <c r="D1766" s="1" t="n">
        <v>8</v>
      </c>
      <c r="E1766" s="1" t="str">
        <f aca="false">VLOOKUP(C1766,Меню!$A$2:$C$24,2,FALSE())</f>
        <v>Пицца Флорида</v>
      </c>
      <c r="F1766" s="1" t="n">
        <f aca="false">VLOOKUP(C1766,Меню!$A$2:$C$24,3,FALSE())</f>
        <v>535</v>
      </c>
      <c r="G1766" s="5" t="n">
        <f aca="false">VLOOKUP(B1766,Заказы!$A$2:$E$2995,2,FALSE())</f>
        <v>44015</v>
      </c>
      <c r="H1766" s="1" t="n">
        <f aca="false">VLOOKUP(B1766,Заказы!$A$2:$E$2995,3,FALSE())</f>
        <v>1751</v>
      </c>
      <c r="I1766" s="1" t="str">
        <f aca="false">VLOOKUP(H1766,Клиенты!$A$2:$E$1995,5,FALSE())</f>
        <v>г. Советский</v>
      </c>
      <c r="J1766" s="1" t="n">
        <f aca="false">VLOOKUP(B1766,Заказы!$A$2:$E$2995,4,FALSE())</f>
        <v>0</v>
      </c>
      <c r="K1766" s="1" t="str">
        <f aca="false">VLOOKUP(B1766,Заказы!$A$2:$E$2995,5,FALSE())</f>
        <v>Не выполнено</v>
      </c>
      <c r="L1766" s="1" t="n">
        <f aca="false">D1766*F1766+J1766</f>
        <v>4280</v>
      </c>
      <c r="M1766" s="1" t="n">
        <f aca="false">IF(AND(E1766="Пицца Труслейка",I1766="г. Москва",K1766="Выполнено",G1766&gt;=DATE(2020,7,1),G1766&lt;DATE(2020,8,1)),L1766,0)</f>
        <v>0</v>
      </c>
    </row>
    <row r="1767" customFormat="false" ht="15" hidden="false" customHeight="true" outlineLevel="0" collapsed="false">
      <c r="A1767" s="1" t="n">
        <v>100883</v>
      </c>
      <c r="B1767" s="1" t="n">
        <v>50860</v>
      </c>
      <c r="C1767" s="1" t="n">
        <v>22</v>
      </c>
      <c r="D1767" s="1" t="n">
        <v>7</v>
      </c>
      <c r="E1767" s="1" t="str">
        <f aca="false">VLOOKUP(C1767,Меню!$A$2:$C$24,2,FALSE())</f>
        <v>Пицца с поркеттой и фриарелли</v>
      </c>
      <c r="F1767" s="1" t="n">
        <f aca="false">VLOOKUP(C1767,Меню!$A$2:$C$24,3,FALSE())</f>
        <v>550</v>
      </c>
      <c r="G1767" s="5" t="n">
        <f aca="false">VLOOKUP(B1767,Заказы!$A$2:$E$2995,2,FALSE())</f>
        <v>44068</v>
      </c>
      <c r="H1767" s="1" t="n">
        <f aca="false">VLOOKUP(B1767,Заказы!$A$2:$E$2995,3,FALSE())</f>
        <v>362</v>
      </c>
      <c r="I1767" s="1" t="str">
        <f aca="false">VLOOKUP(H1767,Клиенты!$A$2:$E$1995,5,FALSE())</f>
        <v>г. Певек</v>
      </c>
      <c r="J1767" s="1" t="n">
        <f aca="false">VLOOKUP(B1767,Заказы!$A$2:$E$2995,4,FALSE())</f>
        <v>0</v>
      </c>
      <c r="K1767" s="1" t="str">
        <f aca="false">VLOOKUP(B1767,Заказы!$A$2:$E$2995,5,FALSE())</f>
        <v>Не выполнено</v>
      </c>
      <c r="L1767" s="1" t="n">
        <f aca="false">D1767*F1767+J1767</f>
        <v>3850</v>
      </c>
      <c r="M1767" s="1" t="n">
        <f aca="false">IF(AND(E1767="Пицца Труслейка",I1767="г. Москва",K1767="Выполнено",G1767&gt;=DATE(2020,7,1),G1767&lt;DATE(2020,8,1)),L1767,0)</f>
        <v>0</v>
      </c>
    </row>
    <row r="1768" customFormat="false" ht="15" hidden="false" customHeight="true" outlineLevel="0" collapsed="false">
      <c r="A1768" s="1" t="n">
        <v>101532</v>
      </c>
      <c r="B1768" s="1" t="n">
        <v>51417</v>
      </c>
      <c r="C1768" s="1" t="n">
        <v>11</v>
      </c>
      <c r="D1768" s="1" t="n">
        <v>7</v>
      </c>
      <c r="E1768" s="1" t="str">
        <f aca="false">VLOOKUP(C1768,Меню!$A$2:$C$24,2,FALSE())</f>
        <v>Пицца Песто</v>
      </c>
      <c r="F1768" s="1" t="n">
        <f aca="false">VLOOKUP(C1768,Меню!$A$2:$C$24,3,FALSE())</f>
        <v>530</v>
      </c>
      <c r="G1768" s="5" t="n">
        <f aca="false">VLOOKUP(B1768,Заказы!$A$2:$E$2995,2,FALSE())</f>
        <v>43986</v>
      </c>
      <c r="H1768" s="1" t="n">
        <f aca="false">VLOOKUP(B1768,Заказы!$A$2:$E$2995,3,FALSE())</f>
        <v>1789</v>
      </c>
      <c r="I1768" s="1" t="str">
        <f aca="false">VLOOKUP(H1768,Клиенты!$A$2:$E$1995,5,FALSE())</f>
        <v>г. Сосновка</v>
      </c>
      <c r="J1768" s="1" t="n">
        <f aca="false">VLOOKUP(B1768,Заказы!$A$2:$E$2995,4,FALSE())</f>
        <v>0</v>
      </c>
      <c r="K1768" s="1" t="str">
        <f aca="false">VLOOKUP(B1768,Заказы!$A$2:$E$2995,5,FALSE())</f>
        <v>Не выполнено</v>
      </c>
      <c r="L1768" s="1" t="n">
        <f aca="false">D1768*F1768+J1768</f>
        <v>3710</v>
      </c>
      <c r="M1768" s="1" t="n">
        <f aca="false">IF(AND(E1768="Пицца Труслейка",I1768="г. Москва",K1768="Выполнено",G1768&gt;=DATE(2020,7,1),G1768&lt;DATE(2020,8,1)),L1768,0)</f>
        <v>0</v>
      </c>
    </row>
    <row r="1769" customFormat="false" ht="15" hidden="false" customHeight="true" outlineLevel="0" collapsed="false">
      <c r="A1769" s="1" t="n">
        <v>100076</v>
      </c>
      <c r="B1769" s="1" t="n">
        <v>51258</v>
      </c>
      <c r="C1769" s="1" t="n">
        <v>19</v>
      </c>
      <c r="D1769" s="1" t="n">
        <v>10</v>
      </c>
      <c r="E1769" s="1" t="str">
        <f aca="false">VLOOKUP(C1769,Меню!$A$2:$C$24,2,FALSE())</f>
        <v>Пицца Цезарь</v>
      </c>
      <c r="F1769" s="1" t="n">
        <f aca="false">VLOOKUP(C1769,Меню!$A$2:$C$24,3,FALSE())</f>
        <v>630</v>
      </c>
      <c r="G1769" s="5" t="n">
        <f aca="false">VLOOKUP(B1769,Заказы!$A$2:$E$2995,2,FALSE())</f>
        <v>44018</v>
      </c>
      <c r="H1769" s="1" t="n">
        <f aca="false">VLOOKUP(B1769,Заказы!$A$2:$E$2995,3,FALSE())</f>
        <v>894</v>
      </c>
      <c r="I1769" s="1" t="str">
        <f aca="false">VLOOKUP(H1769,Клиенты!$A$2:$E$1995,5,FALSE())</f>
        <v>г. Чухлома</v>
      </c>
      <c r="J1769" s="1" t="n">
        <f aca="false">VLOOKUP(B1769,Заказы!$A$2:$E$2995,4,FALSE())</f>
        <v>486</v>
      </c>
      <c r="K1769" s="1" t="str">
        <f aca="false">VLOOKUP(B1769,Заказы!$A$2:$E$2995,5,FALSE())</f>
        <v>Выполнено</v>
      </c>
      <c r="L1769" s="1" t="n">
        <f aca="false">D1769*F1769+J1769</f>
        <v>6786</v>
      </c>
      <c r="M1769" s="1" t="n">
        <f aca="false">IF(AND(E1769="Пицца Труслейка",I1769="г. Москва",K1769="Выполнено",G1769&gt;=DATE(2020,7,1),G1769&lt;DATE(2020,8,1)),L1769,0)</f>
        <v>0</v>
      </c>
    </row>
    <row r="1770" customFormat="false" ht="15" hidden="false" customHeight="true" outlineLevel="0" collapsed="false">
      <c r="A1770" s="1" t="n">
        <v>101931</v>
      </c>
      <c r="B1770" s="1" t="n">
        <v>51032</v>
      </c>
      <c r="C1770" s="1" t="n">
        <v>7</v>
      </c>
      <c r="D1770" s="1" t="n">
        <v>5</v>
      </c>
      <c r="E1770" s="1" t="str">
        <f aca="false">VLOOKUP(C1770,Меню!$A$2:$C$24,2,FALSE())</f>
        <v>Пицца Карбонара</v>
      </c>
      <c r="F1770" s="1" t="n">
        <f aca="false">VLOOKUP(C1770,Меню!$A$2:$C$24,3,FALSE())</f>
        <v>625</v>
      </c>
      <c r="G1770" s="5" t="n">
        <f aca="false">VLOOKUP(B1770,Заказы!$A$2:$E$2995,2,FALSE())</f>
        <v>44061</v>
      </c>
      <c r="H1770" s="1" t="n">
        <f aca="false">VLOOKUP(B1770,Заказы!$A$2:$E$2995,3,FALSE())</f>
        <v>886</v>
      </c>
      <c r="I1770" s="1" t="str">
        <f aca="false">VLOOKUP(H1770,Клиенты!$A$2:$E$1995,5,FALSE())</f>
        <v>г. Абаза</v>
      </c>
      <c r="J1770" s="1" t="n">
        <f aca="false">VLOOKUP(B1770,Заказы!$A$2:$E$2995,4,FALSE())</f>
        <v>0</v>
      </c>
      <c r="K1770" s="1" t="str">
        <f aca="false">VLOOKUP(B1770,Заказы!$A$2:$E$2995,5,FALSE())</f>
        <v>Не выполнено</v>
      </c>
      <c r="L1770" s="1" t="n">
        <f aca="false">D1770*F1770+J1770</f>
        <v>3125</v>
      </c>
      <c r="M1770" s="1" t="n">
        <f aca="false">IF(AND(E1770="Пицца Труслейка",I1770="г. Москва",K1770="Выполнено",G1770&gt;=DATE(2020,7,1),G1770&lt;DATE(2020,8,1)),L1770,0)</f>
        <v>0</v>
      </c>
    </row>
    <row r="1771" customFormat="false" ht="15" hidden="false" customHeight="true" outlineLevel="0" collapsed="false">
      <c r="A1771" s="1" t="n">
        <v>101756</v>
      </c>
      <c r="B1771" s="1" t="n">
        <v>51253</v>
      </c>
      <c r="C1771" s="1" t="n">
        <v>4</v>
      </c>
      <c r="D1771" s="1" t="n">
        <v>10</v>
      </c>
      <c r="E1771" s="1" t="str">
        <f aca="false">VLOOKUP(C1771,Меню!$A$2:$C$24,2,FALSE())</f>
        <v>Пицца Труслейка</v>
      </c>
      <c r="F1771" s="1" t="n">
        <f aca="false">VLOOKUP(C1771,Меню!$A$2:$C$24,3,FALSE())</f>
        <v>610</v>
      </c>
      <c r="G1771" s="5" t="n">
        <f aca="false">VLOOKUP(B1771,Заказы!$A$2:$E$2995,2,FALSE())</f>
        <v>44042</v>
      </c>
      <c r="H1771" s="1" t="n">
        <f aca="false">VLOOKUP(B1771,Заказы!$A$2:$E$2995,3,FALSE())</f>
        <v>1590</v>
      </c>
      <c r="I1771" s="1" t="str">
        <f aca="false">VLOOKUP(H1771,Клиенты!$A$2:$E$1995,5,FALSE())</f>
        <v>г. Москва</v>
      </c>
      <c r="J1771" s="1" t="n">
        <f aca="false">VLOOKUP(B1771,Заказы!$A$2:$E$2995,4,FALSE())</f>
        <v>861</v>
      </c>
      <c r="K1771" s="1" t="str">
        <f aca="false">VLOOKUP(B1771,Заказы!$A$2:$E$2995,5,FALSE())</f>
        <v>Выполнено</v>
      </c>
      <c r="L1771" s="1" t="n">
        <f aca="false">D1771*F1771+J1771</f>
        <v>6961</v>
      </c>
      <c r="M1771" s="1" t="n">
        <f aca="false">IF(AND(E1771="Пицца Труслейка",I1771="г. Москва",K1771="Выполнено",G1771&gt;=DATE(2020,7,1),G1771&lt;DATE(2020,8,1)),L1771,0)</f>
        <v>6961</v>
      </c>
    </row>
    <row r="1772" customFormat="false" ht="15" hidden="false" customHeight="true" outlineLevel="0" collapsed="false">
      <c r="A1772" s="1" t="n">
        <v>101714</v>
      </c>
      <c r="B1772" s="1" t="n">
        <v>50304</v>
      </c>
      <c r="C1772" s="1" t="n">
        <v>17</v>
      </c>
      <c r="D1772" s="1" t="n">
        <v>3</v>
      </c>
      <c r="E1772" s="1" t="str">
        <f aca="false">VLOOKUP(C1772,Меню!$A$2:$C$24,2,FALSE())</f>
        <v>Пицца Френч Фрайз</v>
      </c>
      <c r="F1772" s="1" t="n">
        <f aca="false">VLOOKUP(C1772,Меню!$A$2:$C$24,3,FALSE())</f>
        <v>515</v>
      </c>
      <c r="G1772" s="5" t="n">
        <f aca="false">VLOOKUP(B1772,Заказы!$A$2:$E$2995,2,FALSE())</f>
        <v>44072</v>
      </c>
      <c r="H1772" s="1" t="n">
        <f aca="false">VLOOKUP(B1772,Заказы!$A$2:$E$2995,3,FALSE())</f>
        <v>1140</v>
      </c>
      <c r="I1772" s="1" t="str">
        <f aca="false">VLOOKUP(H1772,Клиенты!$A$2:$E$1995,5,FALSE())</f>
        <v>г. Москва</v>
      </c>
      <c r="J1772" s="1" t="n">
        <f aca="false">VLOOKUP(B1772,Заказы!$A$2:$E$2995,4,FALSE())</f>
        <v>0</v>
      </c>
      <c r="K1772" s="1" t="str">
        <f aca="false">VLOOKUP(B1772,Заказы!$A$2:$E$2995,5,FALSE())</f>
        <v>Не выполнено</v>
      </c>
      <c r="L1772" s="1" t="n">
        <f aca="false">D1772*F1772+J1772</f>
        <v>1545</v>
      </c>
      <c r="M1772" s="1" t="n">
        <f aca="false">IF(AND(E1772="Пицца Труслейка",I1772="г. Москва",K1772="Выполнено",G1772&gt;=DATE(2020,7,1),G1772&lt;DATE(2020,8,1)),L1772,0)</f>
        <v>0</v>
      </c>
    </row>
    <row r="1773" customFormat="false" ht="15" hidden="false" customHeight="true" outlineLevel="0" collapsed="false">
      <c r="A1773" s="1" t="n">
        <v>101480</v>
      </c>
      <c r="B1773" s="1" t="n">
        <v>50043</v>
      </c>
      <c r="C1773" s="1" t="n">
        <v>11</v>
      </c>
      <c r="D1773" s="1" t="n">
        <v>1</v>
      </c>
      <c r="E1773" s="1" t="str">
        <f aca="false">VLOOKUP(C1773,Меню!$A$2:$C$24,2,FALSE())</f>
        <v>Пицца Песто</v>
      </c>
      <c r="F1773" s="1" t="n">
        <f aca="false">VLOOKUP(C1773,Меню!$A$2:$C$24,3,FALSE())</f>
        <v>530</v>
      </c>
      <c r="G1773" s="5" t="n">
        <f aca="false">VLOOKUP(B1773,Заказы!$A$2:$E$2995,2,FALSE())</f>
        <v>44000</v>
      </c>
      <c r="H1773" s="1" t="n">
        <f aca="false">VLOOKUP(B1773,Заказы!$A$2:$E$2995,3,FALSE())</f>
        <v>950</v>
      </c>
      <c r="I1773" s="1" t="str">
        <f aca="false">VLOOKUP(H1773,Клиенты!$A$2:$E$1995,5,FALSE())</f>
        <v>г. Москва</v>
      </c>
      <c r="J1773" s="1" t="n">
        <f aca="false">VLOOKUP(B1773,Заказы!$A$2:$E$2995,4,FALSE())</f>
        <v>587</v>
      </c>
      <c r="K1773" s="1" t="str">
        <f aca="false">VLOOKUP(B1773,Заказы!$A$2:$E$2995,5,FALSE())</f>
        <v>Выполнено</v>
      </c>
      <c r="L1773" s="1" t="n">
        <f aca="false">D1773*F1773+J1773</f>
        <v>1117</v>
      </c>
      <c r="M1773" s="1" t="n">
        <f aca="false">IF(AND(E1773="Пицца Труслейка",I1773="г. Москва",K1773="Выполнено",G1773&gt;=DATE(2020,7,1),G1773&lt;DATE(2020,8,1)),L1773,0)</f>
        <v>0</v>
      </c>
    </row>
    <row r="1774" customFormat="false" ht="15" hidden="false" customHeight="true" outlineLevel="0" collapsed="false">
      <c r="A1774" s="1" t="n">
        <v>101390</v>
      </c>
      <c r="B1774" s="1" t="n">
        <v>51894</v>
      </c>
      <c r="C1774" s="1" t="n">
        <v>13</v>
      </c>
      <c r="D1774" s="1" t="n">
        <v>9</v>
      </c>
      <c r="E1774" s="1" t="str">
        <f aca="false">VLOOKUP(C1774,Меню!$A$2:$C$24,2,FALSE())</f>
        <v>Пицца Сырная</v>
      </c>
      <c r="F1774" s="1" t="n">
        <f aca="false">VLOOKUP(C1774,Меню!$A$2:$C$24,3,FALSE())</f>
        <v>635</v>
      </c>
      <c r="G1774" s="5" t="n">
        <f aca="false">VLOOKUP(B1774,Заказы!$A$2:$E$2995,2,FALSE())</f>
        <v>44032</v>
      </c>
      <c r="H1774" s="1" t="n">
        <f aca="false">VLOOKUP(B1774,Заказы!$A$2:$E$2995,3,FALSE())</f>
        <v>1506</v>
      </c>
      <c r="I1774" s="1" t="str">
        <f aca="false">VLOOKUP(H1774,Клиенты!$A$2:$E$1995,5,FALSE())</f>
        <v>г. Одинцово</v>
      </c>
      <c r="J1774" s="1" t="n">
        <f aca="false">VLOOKUP(B1774,Заказы!$A$2:$E$2995,4,FALSE())</f>
        <v>877</v>
      </c>
      <c r="K1774" s="1" t="str">
        <f aca="false">VLOOKUP(B1774,Заказы!$A$2:$E$2995,5,FALSE())</f>
        <v>Выполнено</v>
      </c>
      <c r="L1774" s="1" t="n">
        <f aca="false">D1774*F1774+J1774</f>
        <v>6592</v>
      </c>
      <c r="M1774" s="1" t="n">
        <f aca="false">IF(AND(E1774="Пицца Труслейка",I1774="г. Москва",K1774="Выполнено",G1774&gt;=DATE(2020,7,1),G1774&lt;DATE(2020,8,1)),L1774,0)</f>
        <v>0</v>
      </c>
    </row>
    <row r="1775" customFormat="false" ht="15" hidden="false" customHeight="true" outlineLevel="0" collapsed="false">
      <c r="A1775" s="1" t="n">
        <v>100637</v>
      </c>
      <c r="B1775" s="1" t="n">
        <v>51108</v>
      </c>
      <c r="C1775" s="1" t="n">
        <v>15</v>
      </c>
      <c r="D1775" s="1" t="n">
        <v>3</v>
      </c>
      <c r="E1775" s="1" t="str">
        <f aca="false">VLOOKUP(C1775,Меню!$A$2:$C$24,2,FALSE())</f>
        <v>Пицца Тропиканка</v>
      </c>
      <c r="F1775" s="1" t="n">
        <f aca="false">VLOOKUP(C1775,Меню!$A$2:$C$24,3,FALSE())</f>
        <v>605</v>
      </c>
      <c r="G1775" s="5" t="n">
        <f aca="false">VLOOKUP(B1775,Заказы!$A$2:$E$2995,2,FALSE())</f>
        <v>43985</v>
      </c>
      <c r="H1775" s="1" t="n">
        <f aca="false">VLOOKUP(B1775,Заказы!$A$2:$E$2995,3,FALSE())</f>
        <v>1238</v>
      </c>
      <c r="I1775" s="1" t="str">
        <f aca="false">VLOOKUP(H1775,Клиенты!$A$2:$E$1995,5,FALSE())</f>
        <v>г. Мирный</v>
      </c>
      <c r="J1775" s="1" t="n">
        <f aca="false">VLOOKUP(B1775,Заказы!$A$2:$E$2995,4,FALSE())</f>
        <v>155</v>
      </c>
      <c r="K1775" s="1" t="str">
        <f aca="false">VLOOKUP(B1775,Заказы!$A$2:$E$2995,5,FALSE())</f>
        <v>Выполнено</v>
      </c>
      <c r="L1775" s="1" t="n">
        <f aca="false">D1775*F1775+J1775</f>
        <v>1970</v>
      </c>
      <c r="M1775" s="1" t="n">
        <f aca="false">IF(AND(E1775="Пицца Труслейка",I1775="г. Москва",K1775="Выполнено",G1775&gt;=DATE(2020,7,1),G1775&lt;DATE(2020,8,1)),L1775,0)</f>
        <v>0</v>
      </c>
    </row>
    <row r="1776" customFormat="false" ht="15" hidden="false" customHeight="true" outlineLevel="0" collapsed="false">
      <c r="A1776" s="1" t="n">
        <v>101797</v>
      </c>
      <c r="B1776" s="1" t="n">
        <v>51193</v>
      </c>
      <c r="C1776" s="1" t="n">
        <v>11</v>
      </c>
      <c r="D1776" s="1" t="n">
        <v>3</v>
      </c>
      <c r="E1776" s="1" t="str">
        <f aca="false">VLOOKUP(C1776,Меню!$A$2:$C$24,2,FALSE())</f>
        <v>Пицца Песто</v>
      </c>
      <c r="F1776" s="1" t="n">
        <f aca="false">VLOOKUP(C1776,Меню!$A$2:$C$24,3,FALSE())</f>
        <v>530</v>
      </c>
      <c r="G1776" s="5" t="n">
        <f aca="false">VLOOKUP(B1776,Заказы!$A$2:$E$2995,2,FALSE())</f>
        <v>44048</v>
      </c>
      <c r="H1776" s="1" t="n">
        <f aca="false">VLOOKUP(B1776,Заказы!$A$2:$E$2995,3,FALSE())</f>
        <v>718</v>
      </c>
      <c r="I1776" s="1" t="str">
        <f aca="false">VLOOKUP(H1776,Клиенты!$A$2:$E$1995,5,FALSE())</f>
        <v>г. Киров</v>
      </c>
      <c r="J1776" s="1" t="n">
        <f aca="false">VLOOKUP(B1776,Заказы!$A$2:$E$2995,4,FALSE())</f>
        <v>280</v>
      </c>
      <c r="K1776" s="1" t="str">
        <f aca="false">VLOOKUP(B1776,Заказы!$A$2:$E$2995,5,FALSE())</f>
        <v>Выполнено</v>
      </c>
      <c r="L1776" s="1" t="n">
        <f aca="false">D1776*F1776+J1776</f>
        <v>1870</v>
      </c>
      <c r="M1776" s="1" t="n">
        <f aca="false">IF(AND(E1776="Пицца Труслейка",I1776="г. Москва",K1776="Выполнено",G1776&gt;=DATE(2020,7,1),G1776&lt;DATE(2020,8,1)),L1776,0)</f>
        <v>0</v>
      </c>
    </row>
    <row r="1777" customFormat="false" ht="15" hidden="false" customHeight="true" outlineLevel="0" collapsed="false">
      <c r="A1777" s="1" t="n">
        <v>100095</v>
      </c>
      <c r="B1777" s="1" t="n">
        <v>51836</v>
      </c>
      <c r="C1777" s="1" t="n">
        <v>13</v>
      </c>
      <c r="D1777" s="1" t="n">
        <v>9</v>
      </c>
      <c r="E1777" s="1" t="str">
        <f aca="false">VLOOKUP(C1777,Меню!$A$2:$C$24,2,FALSE())</f>
        <v>Пицца Сырная</v>
      </c>
      <c r="F1777" s="1" t="n">
        <f aca="false">VLOOKUP(C1777,Меню!$A$2:$C$24,3,FALSE())</f>
        <v>635</v>
      </c>
      <c r="G1777" s="5" t="n">
        <f aca="false">VLOOKUP(B1777,Заказы!$A$2:$E$2995,2,FALSE())</f>
        <v>43998</v>
      </c>
      <c r="H1777" s="1" t="n">
        <f aca="false">VLOOKUP(B1777,Заказы!$A$2:$E$2995,3,FALSE())</f>
        <v>1086</v>
      </c>
      <c r="I1777" s="1" t="str">
        <f aca="false">VLOOKUP(H1777,Клиенты!$A$2:$E$1995,5,FALSE())</f>
        <v>г. Видное</v>
      </c>
      <c r="J1777" s="1" t="n">
        <f aca="false">VLOOKUP(B1777,Заказы!$A$2:$E$2995,4,FALSE())</f>
        <v>781</v>
      </c>
      <c r="K1777" s="1" t="str">
        <f aca="false">VLOOKUP(B1777,Заказы!$A$2:$E$2995,5,FALSE())</f>
        <v>Выполнено</v>
      </c>
      <c r="L1777" s="1" t="n">
        <f aca="false">D1777*F1777+J1777</f>
        <v>6496</v>
      </c>
      <c r="M1777" s="1" t="n">
        <f aca="false">IF(AND(E1777="Пицца Труслейка",I1777="г. Москва",K1777="Выполнено",G1777&gt;=DATE(2020,7,1),G1777&lt;DATE(2020,8,1)),L1777,0)</f>
        <v>0</v>
      </c>
    </row>
    <row r="1778" customFormat="false" ht="15" hidden="false" customHeight="true" outlineLevel="0" collapsed="false">
      <c r="A1778" s="1" t="n">
        <v>101351</v>
      </c>
      <c r="B1778" s="1" t="n">
        <v>50821</v>
      </c>
      <c r="C1778" s="1" t="n">
        <v>4</v>
      </c>
      <c r="D1778" s="1" t="n">
        <v>7</v>
      </c>
      <c r="E1778" s="1" t="str">
        <f aca="false">VLOOKUP(C1778,Меню!$A$2:$C$24,2,FALSE())</f>
        <v>Пицца Труслейка</v>
      </c>
      <c r="F1778" s="1" t="n">
        <f aca="false">VLOOKUP(C1778,Меню!$A$2:$C$24,3,FALSE())</f>
        <v>610</v>
      </c>
      <c r="G1778" s="5" t="n">
        <f aca="false">VLOOKUP(B1778,Заказы!$A$2:$E$2995,2,FALSE())</f>
        <v>44033</v>
      </c>
      <c r="H1778" s="1" t="n">
        <f aca="false">VLOOKUP(B1778,Заказы!$A$2:$E$2995,3,FALSE())</f>
        <v>1623</v>
      </c>
      <c r="I1778" s="1" t="str">
        <f aca="false">VLOOKUP(H1778,Клиенты!$A$2:$E$1995,5,FALSE())</f>
        <v>г. Мирный</v>
      </c>
      <c r="J1778" s="1" t="n">
        <f aca="false">VLOOKUP(B1778,Заказы!$A$2:$E$2995,4,FALSE())</f>
        <v>0</v>
      </c>
      <c r="K1778" s="1" t="str">
        <f aca="false">VLOOKUP(B1778,Заказы!$A$2:$E$2995,5,FALSE())</f>
        <v>Не выполнено</v>
      </c>
      <c r="L1778" s="1" t="n">
        <f aca="false">D1778*F1778+J1778</f>
        <v>4270</v>
      </c>
      <c r="M1778" s="1" t="n">
        <f aca="false">IF(AND(E1778="Пицца Труслейка",I1778="г. Москва",K1778="Выполнено",G1778&gt;=DATE(2020,7,1),G1778&lt;DATE(2020,8,1)),L1778,0)</f>
        <v>0</v>
      </c>
    </row>
    <row r="1779" customFormat="false" ht="15" hidden="false" customHeight="true" outlineLevel="0" collapsed="false">
      <c r="A1779" s="1" t="n">
        <v>101664</v>
      </c>
      <c r="B1779" s="1" t="n">
        <v>50366</v>
      </c>
      <c r="C1779" s="1" t="n">
        <v>17</v>
      </c>
      <c r="D1779" s="1" t="n">
        <v>5</v>
      </c>
      <c r="E1779" s="1" t="str">
        <f aca="false">VLOOKUP(C1779,Меню!$A$2:$C$24,2,FALSE())</f>
        <v>Пицца Френч Фрайз</v>
      </c>
      <c r="F1779" s="1" t="n">
        <f aca="false">VLOOKUP(C1779,Меню!$A$2:$C$24,3,FALSE())</f>
        <v>515</v>
      </c>
      <c r="G1779" s="5" t="n">
        <f aca="false">VLOOKUP(B1779,Заказы!$A$2:$E$2995,2,FALSE())</f>
        <v>44061</v>
      </c>
      <c r="H1779" s="1" t="n">
        <f aca="false">VLOOKUP(B1779,Заказы!$A$2:$E$2995,3,FALSE())</f>
        <v>1711</v>
      </c>
      <c r="I1779" s="1" t="str">
        <f aca="false">VLOOKUP(H1779,Клиенты!$A$2:$E$1995,5,FALSE())</f>
        <v>г. Лебедянь</v>
      </c>
      <c r="J1779" s="1" t="n">
        <f aca="false">VLOOKUP(B1779,Заказы!$A$2:$E$2995,4,FALSE())</f>
        <v>199</v>
      </c>
      <c r="K1779" s="1" t="str">
        <f aca="false">VLOOKUP(B1779,Заказы!$A$2:$E$2995,5,FALSE())</f>
        <v>Выполнено</v>
      </c>
      <c r="L1779" s="1" t="n">
        <f aca="false">D1779*F1779+J1779</f>
        <v>2774</v>
      </c>
      <c r="M1779" s="1" t="n">
        <f aca="false">IF(AND(E1779="Пицца Труслейка",I1779="г. Москва",K1779="Выполнено",G1779&gt;=DATE(2020,7,1),G1779&lt;DATE(2020,8,1)),L1779,0)</f>
        <v>0</v>
      </c>
    </row>
    <row r="1780" customFormat="false" ht="15" hidden="false" customHeight="true" outlineLevel="0" collapsed="false">
      <c r="A1780" s="1" t="n">
        <v>100448</v>
      </c>
      <c r="B1780" s="1" t="n">
        <v>51072</v>
      </c>
      <c r="C1780" s="1" t="n">
        <v>16</v>
      </c>
      <c r="D1780" s="1" t="n">
        <v>6</v>
      </c>
      <c r="E1780" s="1" t="str">
        <f aca="false">VLOOKUP(C1780,Меню!$A$2:$C$24,2,FALSE())</f>
        <v>Пицца Флорида</v>
      </c>
      <c r="F1780" s="1" t="n">
        <f aca="false">VLOOKUP(C1780,Меню!$A$2:$C$24,3,FALSE())</f>
        <v>535</v>
      </c>
      <c r="G1780" s="5" t="n">
        <f aca="false">VLOOKUP(B1780,Заказы!$A$2:$E$2995,2,FALSE())</f>
        <v>44002</v>
      </c>
      <c r="H1780" s="1" t="n">
        <f aca="false">VLOOKUP(B1780,Заказы!$A$2:$E$2995,3,FALSE())</f>
        <v>397</v>
      </c>
      <c r="I1780" s="1" t="str">
        <f aca="false">VLOOKUP(H1780,Клиенты!$A$2:$E$1995,5,FALSE())</f>
        <v>г. Краснослободск</v>
      </c>
      <c r="J1780" s="1" t="n">
        <f aca="false">VLOOKUP(B1780,Заказы!$A$2:$E$2995,4,FALSE())</f>
        <v>0</v>
      </c>
      <c r="K1780" s="1" t="str">
        <f aca="false">VLOOKUP(B1780,Заказы!$A$2:$E$2995,5,FALSE())</f>
        <v>Не выполнено</v>
      </c>
      <c r="L1780" s="1" t="n">
        <f aca="false">D1780*F1780+J1780</f>
        <v>3210</v>
      </c>
      <c r="M1780" s="1" t="n">
        <f aca="false">IF(AND(E1780="Пицца Труслейка",I1780="г. Москва",K1780="Выполнено",G1780&gt;=DATE(2020,7,1),G1780&lt;DATE(2020,8,1)),L1780,0)</f>
        <v>0</v>
      </c>
    </row>
    <row r="1781" customFormat="false" ht="15" hidden="false" customHeight="true" outlineLevel="0" collapsed="false">
      <c r="A1781" s="1" t="n">
        <v>100447</v>
      </c>
      <c r="B1781" s="1" t="n">
        <v>51993</v>
      </c>
      <c r="C1781" s="1" t="n">
        <v>4</v>
      </c>
      <c r="D1781" s="1" t="n">
        <v>8</v>
      </c>
      <c r="E1781" s="1" t="str">
        <f aca="false">VLOOKUP(C1781,Меню!$A$2:$C$24,2,FALSE())</f>
        <v>Пицца Труслейка</v>
      </c>
      <c r="F1781" s="1" t="n">
        <f aca="false">VLOOKUP(C1781,Меню!$A$2:$C$24,3,FALSE())</f>
        <v>610</v>
      </c>
      <c r="G1781" s="5" t="n">
        <f aca="false">VLOOKUP(B1781,Заказы!$A$2:$E$2995,2,FALSE())</f>
        <v>44011</v>
      </c>
      <c r="H1781" s="1" t="n">
        <f aca="false">VLOOKUP(B1781,Заказы!$A$2:$E$2995,3,FALSE())</f>
        <v>70</v>
      </c>
      <c r="I1781" s="1" t="str">
        <f aca="false">VLOOKUP(H1781,Клиенты!$A$2:$E$1995,5,FALSE())</f>
        <v>г. Москва</v>
      </c>
      <c r="J1781" s="1" t="n">
        <f aca="false">VLOOKUP(B1781,Заказы!$A$2:$E$2995,4,FALSE())</f>
        <v>0</v>
      </c>
      <c r="K1781" s="1" t="str">
        <f aca="false">VLOOKUP(B1781,Заказы!$A$2:$E$2995,5,FALSE())</f>
        <v>Не выполнено</v>
      </c>
      <c r="L1781" s="1" t="n">
        <f aca="false">D1781*F1781+J1781</f>
        <v>4880</v>
      </c>
      <c r="M1781" s="1" t="n">
        <f aca="false">IF(AND(E1781="Пицца Труслейка",I1781="г. Москва",K1781="Выполнено",G1781&gt;=DATE(2020,7,1),G1781&lt;DATE(2020,8,1)),L1781,0)</f>
        <v>0</v>
      </c>
    </row>
    <row r="1782" customFormat="false" ht="15" hidden="false" customHeight="true" outlineLevel="0" collapsed="false">
      <c r="A1782" s="1" t="n">
        <v>100669</v>
      </c>
      <c r="B1782" s="1" t="n">
        <v>51854</v>
      </c>
      <c r="C1782" s="1" t="n">
        <v>10</v>
      </c>
      <c r="D1782" s="1" t="n">
        <v>1</v>
      </c>
      <c r="E1782" s="1" t="str">
        <f aca="false">VLOOKUP(C1782,Меню!$A$2:$C$24,2,FALSE())</f>
        <v>Пицца Пепперони фреш</v>
      </c>
      <c r="F1782" s="1" t="n">
        <f aca="false">VLOOKUP(C1782,Меню!$A$2:$C$24,3,FALSE())</f>
        <v>565</v>
      </c>
      <c r="G1782" s="5" t="n">
        <f aca="false">VLOOKUP(B1782,Заказы!$A$2:$E$2995,2,FALSE())</f>
        <v>44067</v>
      </c>
      <c r="H1782" s="1" t="n">
        <f aca="false">VLOOKUP(B1782,Заказы!$A$2:$E$2995,3,FALSE())</f>
        <v>110</v>
      </c>
      <c r="I1782" s="1" t="str">
        <f aca="false">VLOOKUP(H1782,Клиенты!$A$2:$E$1995,5,FALSE())</f>
        <v>г. Москва</v>
      </c>
      <c r="J1782" s="1" t="n">
        <f aca="false">VLOOKUP(B1782,Заказы!$A$2:$E$2995,4,FALSE())</f>
        <v>640</v>
      </c>
      <c r="K1782" s="1" t="str">
        <f aca="false">VLOOKUP(B1782,Заказы!$A$2:$E$2995,5,FALSE())</f>
        <v>Выполнено</v>
      </c>
      <c r="L1782" s="1" t="n">
        <f aca="false">D1782*F1782+J1782</f>
        <v>1205</v>
      </c>
      <c r="M1782" s="1" t="n">
        <f aca="false">IF(AND(E1782="Пицца Труслейка",I1782="г. Москва",K1782="Выполнено",G1782&gt;=DATE(2020,7,1),G1782&lt;DATE(2020,8,1)),L1782,0)</f>
        <v>0</v>
      </c>
    </row>
    <row r="1783" customFormat="false" ht="15" hidden="false" customHeight="true" outlineLevel="0" collapsed="false">
      <c r="A1783" s="1" t="n">
        <v>100073</v>
      </c>
      <c r="B1783" s="1" t="n">
        <v>51969</v>
      </c>
      <c r="C1783" s="1" t="n">
        <v>7</v>
      </c>
      <c r="D1783" s="1" t="n">
        <v>10</v>
      </c>
      <c r="E1783" s="1" t="str">
        <f aca="false">VLOOKUP(C1783,Меню!$A$2:$C$24,2,FALSE())</f>
        <v>Пицца Карбонара</v>
      </c>
      <c r="F1783" s="1" t="n">
        <f aca="false">VLOOKUP(C1783,Меню!$A$2:$C$24,3,FALSE())</f>
        <v>625</v>
      </c>
      <c r="G1783" s="5" t="n">
        <f aca="false">VLOOKUP(B1783,Заказы!$A$2:$E$2995,2,FALSE())</f>
        <v>44067</v>
      </c>
      <c r="H1783" s="1" t="n">
        <f aca="false">VLOOKUP(B1783,Заказы!$A$2:$E$2995,3,FALSE())</f>
        <v>1056</v>
      </c>
      <c r="I1783" s="1" t="str">
        <f aca="false">VLOOKUP(H1783,Клиенты!$A$2:$E$1995,5,FALSE())</f>
        <v>г. Белокуриха</v>
      </c>
      <c r="J1783" s="1" t="n">
        <f aca="false">VLOOKUP(B1783,Заказы!$A$2:$E$2995,4,FALSE())</f>
        <v>336</v>
      </c>
      <c r="K1783" s="1" t="str">
        <f aca="false">VLOOKUP(B1783,Заказы!$A$2:$E$2995,5,FALSE())</f>
        <v>Выполнено</v>
      </c>
      <c r="L1783" s="1" t="n">
        <f aca="false">D1783*F1783+J1783</f>
        <v>6586</v>
      </c>
      <c r="M1783" s="1" t="n">
        <f aca="false">IF(AND(E1783="Пицца Труслейка",I1783="г. Москва",K1783="Выполнено",G1783&gt;=DATE(2020,7,1),G1783&lt;DATE(2020,8,1)),L1783,0)</f>
        <v>0</v>
      </c>
    </row>
    <row r="1784" customFormat="false" ht="15" hidden="false" customHeight="true" outlineLevel="0" collapsed="false">
      <c r="A1784" s="1" t="n">
        <v>101367</v>
      </c>
      <c r="B1784" s="1" t="n">
        <v>50243</v>
      </c>
      <c r="C1784" s="1" t="n">
        <v>14</v>
      </c>
      <c r="D1784" s="1" t="n">
        <v>8</v>
      </c>
      <c r="E1784" s="1" t="str">
        <f aca="false">VLOOKUP(C1784,Меню!$A$2:$C$24,2,FALSE())</f>
        <v>Пицца Сырный цыпленок</v>
      </c>
      <c r="F1784" s="1" t="n">
        <f aca="false">VLOOKUP(C1784,Меню!$A$2:$C$24,3,FALSE())</f>
        <v>555</v>
      </c>
      <c r="G1784" s="5" t="n">
        <f aca="false">VLOOKUP(B1784,Заказы!$A$2:$E$2995,2,FALSE())</f>
        <v>44036</v>
      </c>
      <c r="H1784" s="1" t="n">
        <f aca="false">VLOOKUP(B1784,Заказы!$A$2:$E$2995,3,FALSE())</f>
        <v>1153</v>
      </c>
      <c r="I1784" s="1" t="str">
        <f aca="false">VLOOKUP(H1784,Клиенты!$A$2:$E$1995,5,FALSE())</f>
        <v>г. Усть-Лабинск</v>
      </c>
      <c r="J1784" s="1" t="n">
        <f aca="false">VLOOKUP(B1784,Заказы!$A$2:$E$2995,4,FALSE())</f>
        <v>494</v>
      </c>
      <c r="K1784" s="1" t="str">
        <f aca="false">VLOOKUP(B1784,Заказы!$A$2:$E$2995,5,FALSE())</f>
        <v>Выполнено</v>
      </c>
      <c r="L1784" s="1" t="n">
        <f aca="false">D1784*F1784+J1784</f>
        <v>4934</v>
      </c>
      <c r="M1784" s="1" t="n">
        <f aca="false">IF(AND(E1784="Пицца Труслейка",I1784="г. Москва",K1784="Выполнено",G1784&gt;=DATE(2020,7,1),G1784&lt;DATE(2020,8,1)),L1784,0)</f>
        <v>0</v>
      </c>
    </row>
    <row r="1785" customFormat="false" ht="15" hidden="false" customHeight="true" outlineLevel="0" collapsed="false">
      <c r="A1785" s="1" t="n">
        <v>101599</v>
      </c>
      <c r="B1785" s="1" t="n">
        <v>51409</v>
      </c>
      <c r="C1785" s="1" t="n">
        <v>17</v>
      </c>
      <c r="D1785" s="1" t="n">
        <v>4</v>
      </c>
      <c r="E1785" s="1" t="str">
        <f aca="false">VLOOKUP(C1785,Меню!$A$2:$C$24,2,FALSE())</f>
        <v>Пицца Френч Фрайз</v>
      </c>
      <c r="F1785" s="1" t="n">
        <f aca="false">VLOOKUP(C1785,Меню!$A$2:$C$24,3,FALSE())</f>
        <v>515</v>
      </c>
      <c r="G1785" s="5" t="n">
        <f aca="false">VLOOKUP(B1785,Заказы!$A$2:$E$2995,2,FALSE())</f>
        <v>44051</v>
      </c>
      <c r="H1785" s="1" t="n">
        <f aca="false">VLOOKUP(B1785,Заказы!$A$2:$E$2995,3,FALSE())</f>
        <v>843</v>
      </c>
      <c r="I1785" s="1" t="str">
        <f aca="false">VLOOKUP(H1785,Клиенты!$A$2:$E$1995,5,FALSE())</f>
        <v>г. Хасавюрт</v>
      </c>
      <c r="J1785" s="1" t="n">
        <f aca="false">VLOOKUP(B1785,Заказы!$A$2:$E$2995,4,FALSE())</f>
        <v>729</v>
      </c>
      <c r="K1785" s="1" t="str">
        <f aca="false">VLOOKUP(B1785,Заказы!$A$2:$E$2995,5,FALSE())</f>
        <v>Выполнено</v>
      </c>
      <c r="L1785" s="1" t="n">
        <f aca="false">D1785*F1785+J1785</f>
        <v>2789</v>
      </c>
      <c r="M1785" s="1" t="n">
        <f aca="false">IF(AND(E1785="Пицца Труслейка",I1785="г. Москва",K1785="Выполнено",G1785&gt;=DATE(2020,7,1),G1785&lt;DATE(2020,8,1)),L1785,0)</f>
        <v>0</v>
      </c>
    </row>
    <row r="1786" customFormat="false" ht="15" hidden="false" customHeight="true" outlineLevel="0" collapsed="false">
      <c r="A1786" s="1" t="n">
        <v>101434</v>
      </c>
      <c r="B1786" s="1" t="n">
        <v>51323</v>
      </c>
      <c r="C1786" s="1" t="n">
        <v>7</v>
      </c>
      <c r="D1786" s="1" t="n">
        <v>8</v>
      </c>
      <c r="E1786" s="1" t="str">
        <f aca="false">VLOOKUP(C1786,Меню!$A$2:$C$24,2,FALSE())</f>
        <v>Пицца Карбонара</v>
      </c>
      <c r="F1786" s="1" t="n">
        <f aca="false">VLOOKUP(C1786,Меню!$A$2:$C$24,3,FALSE())</f>
        <v>625</v>
      </c>
      <c r="G1786" s="5" t="n">
        <f aca="false">VLOOKUP(B1786,Заказы!$A$2:$E$2995,2,FALSE())</f>
        <v>43989</v>
      </c>
      <c r="H1786" s="1" t="n">
        <f aca="false">VLOOKUP(B1786,Заказы!$A$2:$E$2995,3,FALSE())</f>
        <v>803</v>
      </c>
      <c r="I1786" s="1" t="str">
        <f aca="false">VLOOKUP(H1786,Клиенты!$A$2:$E$1995,5,FALSE())</f>
        <v>г. Льгов</v>
      </c>
      <c r="J1786" s="1" t="n">
        <f aca="false">VLOOKUP(B1786,Заказы!$A$2:$E$2995,4,FALSE())</f>
        <v>423</v>
      </c>
      <c r="K1786" s="1" t="str">
        <f aca="false">VLOOKUP(B1786,Заказы!$A$2:$E$2995,5,FALSE())</f>
        <v>Выполнено</v>
      </c>
      <c r="L1786" s="1" t="n">
        <f aca="false">D1786*F1786+J1786</f>
        <v>5423</v>
      </c>
      <c r="M1786" s="1" t="n">
        <f aca="false">IF(AND(E1786="Пицца Труслейка",I1786="г. Москва",K1786="Выполнено",G1786&gt;=DATE(2020,7,1),G1786&lt;DATE(2020,8,1)),L1786,0)</f>
        <v>0</v>
      </c>
    </row>
    <row r="1787" customFormat="false" ht="15" hidden="false" customHeight="true" outlineLevel="0" collapsed="false">
      <c r="A1787" s="1" t="n">
        <v>100618</v>
      </c>
      <c r="B1787" s="1" t="n">
        <v>51726</v>
      </c>
      <c r="C1787" s="1" t="n">
        <v>1</v>
      </c>
      <c r="D1787" s="1" t="n">
        <v>10</v>
      </c>
      <c r="E1787" s="1" t="str">
        <f aca="false">VLOOKUP(C1787,Меню!$A$2:$C$24,2,FALSE())</f>
        <v>Пицца Гавайская</v>
      </c>
      <c r="F1787" s="1" t="n">
        <f aca="false">VLOOKUP(C1787,Меню!$A$2:$C$24,3,FALSE())</f>
        <v>545</v>
      </c>
      <c r="G1787" s="5" t="n">
        <f aca="false">VLOOKUP(B1787,Заказы!$A$2:$E$2995,2,FALSE())</f>
        <v>44058</v>
      </c>
      <c r="H1787" s="1" t="n">
        <f aca="false">VLOOKUP(B1787,Заказы!$A$2:$E$2995,3,FALSE())</f>
        <v>1606</v>
      </c>
      <c r="I1787" s="1" t="str">
        <f aca="false">VLOOKUP(H1787,Клиенты!$A$2:$E$1995,5,FALSE())</f>
        <v>г. Курчатов</v>
      </c>
      <c r="J1787" s="1" t="n">
        <f aca="false">VLOOKUP(B1787,Заказы!$A$2:$E$2995,4,FALSE())</f>
        <v>0</v>
      </c>
      <c r="K1787" s="1" t="str">
        <f aca="false">VLOOKUP(B1787,Заказы!$A$2:$E$2995,5,FALSE())</f>
        <v>Не выполнено</v>
      </c>
      <c r="L1787" s="1" t="n">
        <f aca="false">D1787*F1787+J1787</f>
        <v>5450</v>
      </c>
      <c r="M1787" s="1" t="n">
        <f aca="false">IF(AND(E1787="Пицца Труслейка",I1787="г. Москва",K1787="Выполнено",G1787&gt;=DATE(2020,7,1),G1787&lt;DATE(2020,8,1)),L1787,0)</f>
        <v>0</v>
      </c>
    </row>
    <row r="1788" customFormat="false" ht="15" hidden="false" customHeight="true" outlineLevel="0" collapsed="false">
      <c r="A1788" s="1" t="n">
        <v>100987</v>
      </c>
      <c r="B1788" s="1" t="n">
        <v>51596</v>
      </c>
      <c r="C1788" s="1" t="n">
        <v>3</v>
      </c>
      <c r="D1788" s="1" t="n">
        <v>5</v>
      </c>
      <c r="E1788" s="1" t="str">
        <f aca="false">VLOOKUP(C1788,Меню!$A$2:$C$24,2,FALSE())</f>
        <v>Пицца Диабло</v>
      </c>
      <c r="F1788" s="1" t="n">
        <f aca="false">VLOOKUP(C1788,Меню!$A$2:$C$24,3,FALSE())</f>
        <v>590</v>
      </c>
      <c r="G1788" s="5" t="n">
        <f aca="false">VLOOKUP(B1788,Заказы!$A$2:$E$2995,2,FALSE())</f>
        <v>44019</v>
      </c>
      <c r="H1788" s="1" t="n">
        <f aca="false">VLOOKUP(B1788,Заказы!$A$2:$E$2995,3,FALSE())</f>
        <v>995</v>
      </c>
      <c r="I1788" s="1" t="str">
        <f aca="false">VLOOKUP(H1788,Клиенты!$A$2:$E$1995,5,FALSE())</f>
        <v>г. Йошкар-Ола</v>
      </c>
      <c r="J1788" s="1" t="n">
        <f aca="false">VLOOKUP(B1788,Заказы!$A$2:$E$2995,4,FALSE())</f>
        <v>192</v>
      </c>
      <c r="K1788" s="1" t="str">
        <f aca="false">VLOOKUP(B1788,Заказы!$A$2:$E$2995,5,FALSE())</f>
        <v>Выполнено</v>
      </c>
      <c r="L1788" s="1" t="n">
        <f aca="false">D1788*F1788+J1788</f>
        <v>3142</v>
      </c>
      <c r="M1788" s="1" t="n">
        <f aca="false">IF(AND(E1788="Пицца Труслейка",I1788="г. Москва",K1788="Выполнено",G1788&gt;=DATE(2020,7,1),G1788&lt;DATE(2020,8,1)),L1788,0)</f>
        <v>0</v>
      </c>
    </row>
    <row r="1789" customFormat="false" ht="15" hidden="false" customHeight="true" outlineLevel="0" collapsed="false">
      <c r="A1789" s="1" t="n">
        <v>100329</v>
      </c>
      <c r="B1789" s="1" t="n">
        <v>50425</v>
      </c>
      <c r="C1789" s="1" t="n">
        <v>6</v>
      </c>
      <c r="D1789" s="1" t="n">
        <v>10</v>
      </c>
      <c r="E1789" s="1" t="str">
        <f aca="false">VLOOKUP(C1789,Меню!$A$2:$C$24,2,FALSE())</f>
        <v>Пицца Капричиоза</v>
      </c>
      <c r="F1789" s="1" t="n">
        <f aca="false">VLOOKUP(C1789,Меню!$A$2:$C$24,3,FALSE())</f>
        <v>570</v>
      </c>
      <c r="G1789" s="5" t="n">
        <f aca="false">VLOOKUP(B1789,Заказы!$A$2:$E$2995,2,FALSE())</f>
        <v>44003</v>
      </c>
      <c r="H1789" s="1" t="n">
        <f aca="false">VLOOKUP(B1789,Заказы!$A$2:$E$2995,3,FALSE())</f>
        <v>1264</v>
      </c>
      <c r="I1789" s="1" t="str">
        <f aca="false">VLOOKUP(H1789,Клиенты!$A$2:$E$1995,5,FALSE())</f>
        <v>г. Балей</v>
      </c>
      <c r="J1789" s="1" t="n">
        <f aca="false">VLOOKUP(B1789,Заказы!$A$2:$E$2995,4,FALSE())</f>
        <v>0</v>
      </c>
      <c r="K1789" s="1" t="str">
        <f aca="false">VLOOKUP(B1789,Заказы!$A$2:$E$2995,5,FALSE())</f>
        <v>Не выполнено</v>
      </c>
      <c r="L1789" s="1" t="n">
        <f aca="false">D1789*F1789+J1789</f>
        <v>5700</v>
      </c>
      <c r="M1789" s="1" t="n">
        <f aca="false">IF(AND(E1789="Пицца Труслейка",I1789="г. Москва",K1789="Выполнено",G1789&gt;=DATE(2020,7,1),G1789&lt;DATE(2020,8,1)),L1789,0)</f>
        <v>0</v>
      </c>
    </row>
    <row r="1790" customFormat="false" ht="15" hidden="false" customHeight="true" outlineLevel="0" collapsed="false">
      <c r="A1790" s="1" t="n">
        <v>101068</v>
      </c>
      <c r="B1790" s="1" t="n">
        <v>51048</v>
      </c>
      <c r="C1790" s="1" t="n">
        <v>18</v>
      </c>
      <c r="D1790" s="1" t="n">
        <v>7</v>
      </c>
      <c r="E1790" s="1" t="str">
        <f aca="false">VLOOKUP(C1790,Меню!$A$2:$C$24,2,FALSE())</f>
        <v>Пицца Царская</v>
      </c>
      <c r="F1790" s="1" t="n">
        <f aca="false">VLOOKUP(C1790,Меню!$A$2:$C$24,3,FALSE())</f>
        <v>620</v>
      </c>
      <c r="G1790" s="5" t="n">
        <f aca="false">VLOOKUP(B1790,Заказы!$A$2:$E$2995,2,FALSE())</f>
        <v>44007</v>
      </c>
      <c r="H1790" s="1" t="n">
        <f aca="false">VLOOKUP(B1790,Заказы!$A$2:$E$2995,3,FALSE())</f>
        <v>54</v>
      </c>
      <c r="I1790" s="1" t="str">
        <f aca="false">VLOOKUP(H1790,Клиенты!$A$2:$E$1995,5,FALSE())</f>
        <v>г. Балашиха</v>
      </c>
      <c r="J1790" s="1" t="n">
        <f aca="false">VLOOKUP(B1790,Заказы!$A$2:$E$2995,4,FALSE())</f>
        <v>102</v>
      </c>
      <c r="K1790" s="1" t="str">
        <f aca="false">VLOOKUP(B1790,Заказы!$A$2:$E$2995,5,FALSE())</f>
        <v>Выполнено</v>
      </c>
      <c r="L1790" s="1" t="n">
        <f aca="false">D1790*F1790+J1790</f>
        <v>4442</v>
      </c>
      <c r="M1790" s="1" t="n">
        <f aca="false">IF(AND(E1790="Пицца Труслейка",I1790="г. Москва",K1790="Выполнено",G1790&gt;=DATE(2020,7,1),G1790&lt;DATE(2020,8,1)),L1790,0)</f>
        <v>0</v>
      </c>
    </row>
    <row r="1791" customFormat="false" ht="15" hidden="false" customHeight="true" outlineLevel="0" collapsed="false">
      <c r="A1791" s="1" t="n">
        <v>101407</v>
      </c>
      <c r="B1791" s="1" t="n">
        <v>50784</v>
      </c>
      <c r="C1791" s="1" t="n">
        <v>4</v>
      </c>
      <c r="D1791" s="1" t="n">
        <v>2</v>
      </c>
      <c r="E1791" s="1" t="str">
        <f aca="false">VLOOKUP(C1791,Меню!$A$2:$C$24,2,FALSE())</f>
        <v>Пицца Труслейка</v>
      </c>
      <c r="F1791" s="1" t="n">
        <f aca="false">VLOOKUP(C1791,Меню!$A$2:$C$24,3,FALSE())</f>
        <v>610</v>
      </c>
      <c r="G1791" s="5" t="n">
        <f aca="false">VLOOKUP(B1791,Заказы!$A$2:$E$2995,2,FALSE())</f>
        <v>44036</v>
      </c>
      <c r="H1791" s="1" t="n">
        <f aca="false">VLOOKUP(B1791,Заказы!$A$2:$E$2995,3,FALSE())</f>
        <v>366</v>
      </c>
      <c r="I1791" s="1" t="str">
        <f aca="false">VLOOKUP(H1791,Клиенты!$A$2:$E$1995,5,FALSE())</f>
        <v>г. Рудня</v>
      </c>
      <c r="J1791" s="1" t="n">
        <f aca="false">VLOOKUP(B1791,Заказы!$A$2:$E$2995,4,FALSE())</f>
        <v>0</v>
      </c>
      <c r="K1791" s="1" t="str">
        <f aca="false">VLOOKUP(B1791,Заказы!$A$2:$E$2995,5,FALSE())</f>
        <v>Не выполнено</v>
      </c>
      <c r="L1791" s="1" t="n">
        <f aca="false">D1791*F1791+J1791</f>
        <v>1220</v>
      </c>
      <c r="M1791" s="1" t="n">
        <f aca="false">IF(AND(E1791="Пицца Труслейка",I1791="г. Москва",K1791="Выполнено",G1791&gt;=DATE(2020,7,1),G1791&lt;DATE(2020,8,1)),L1791,0)</f>
        <v>0</v>
      </c>
    </row>
    <row r="1792" customFormat="false" ht="15" hidden="false" customHeight="true" outlineLevel="0" collapsed="false">
      <c r="A1792" s="1" t="n">
        <v>100114</v>
      </c>
      <c r="B1792" s="1" t="n">
        <v>51467</v>
      </c>
      <c r="C1792" s="1" t="n">
        <v>1</v>
      </c>
      <c r="D1792" s="1" t="n">
        <v>8</v>
      </c>
      <c r="E1792" s="1" t="str">
        <f aca="false">VLOOKUP(C1792,Меню!$A$2:$C$24,2,FALSE())</f>
        <v>Пицца Гавайская</v>
      </c>
      <c r="F1792" s="1" t="n">
        <f aca="false">VLOOKUP(C1792,Меню!$A$2:$C$24,3,FALSE())</f>
        <v>545</v>
      </c>
      <c r="G1792" s="5" t="n">
        <f aca="false">VLOOKUP(B1792,Заказы!$A$2:$E$2995,2,FALSE())</f>
        <v>44058</v>
      </c>
      <c r="H1792" s="1" t="n">
        <f aca="false">VLOOKUP(B1792,Заказы!$A$2:$E$2995,3,FALSE())</f>
        <v>1171</v>
      </c>
      <c r="I1792" s="1" t="str">
        <f aca="false">VLOOKUP(H1792,Клиенты!$A$2:$E$1995,5,FALSE())</f>
        <v>г. Кировград</v>
      </c>
      <c r="J1792" s="1" t="n">
        <f aca="false">VLOOKUP(B1792,Заказы!$A$2:$E$2995,4,FALSE())</f>
        <v>823</v>
      </c>
      <c r="K1792" s="1" t="str">
        <f aca="false">VLOOKUP(B1792,Заказы!$A$2:$E$2995,5,FALSE())</f>
        <v>Выполнено</v>
      </c>
      <c r="L1792" s="1" t="n">
        <f aca="false">D1792*F1792+J1792</f>
        <v>5183</v>
      </c>
      <c r="M1792" s="1" t="n">
        <f aca="false">IF(AND(E1792="Пицца Труслейка",I1792="г. Москва",K1792="Выполнено",G1792&gt;=DATE(2020,7,1),G1792&lt;DATE(2020,8,1)),L1792,0)</f>
        <v>0</v>
      </c>
    </row>
    <row r="1793" customFormat="false" ht="15" hidden="false" customHeight="true" outlineLevel="0" collapsed="false">
      <c r="A1793" s="1" t="n">
        <v>100971</v>
      </c>
      <c r="B1793" s="1" t="n">
        <v>51199</v>
      </c>
      <c r="C1793" s="1" t="n">
        <v>1</v>
      </c>
      <c r="D1793" s="1" t="n">
        <v>9</v>
      </c>
      <c r="E1793" s="1" t="str">
        <f aca="false">VLOOKUP(C1793,Меню!$A$2:$C$24,2,FALSE())</f>
        <v>Пицца Гавайская</v>
      </c>
      <c r="F1793" s="1" t="n">
        <f aca="false">VLOOKUP(C1793,Меню!$A$2:$C$24,3,FALSE())</f>
        <v>545</v>
      </c>
      <c r="G1793" s="5" t="n">
        <f aca="false">VLOOKUP(B1793,Заказы!$A$2:$E$2995,2,FALSE())</f>
        <v>43991</v>
      </c>
      <c r="H1793" s="1" t="n">
        <f aca="false">VLOOKUP(B1793,Заказы!$A$2:$E$2995,3,FALSE())</f>
        <v>1279</v>
      </c>
      <c r="I1793" s="1" t="str">
        <f aca="false">VLOOKUP(H1793,Клиенты!$A$2:$E$1995,5,FALSE())</f>
        <v>г. Куса</v>
      </c>
      <c r="J1793" s="1" t="n">
        <f aca="false">VLOOKUP(B1793,Заказы!$A$2:$E$2995,4,FALSE())</f>
        <v>0</v>
      </c>
      <c r="K1793" s="1" t="str">
        <f aca="false">VLOOKUP(B1793,Заказы!$A$2:$E$2995,5,FALSE())</f>
        <v>Не выполнено</v>
      </c>
      <c r="L1793" s="1" t="n">
        <f aca="false">D1793*F1793+J1793</f>
        <v>4905</v>
      </c>
      <c r="M1793" s="1" t="n">
        <f aca="false">IF(AND(E1793="Пицца Труслейка",I1793="г. Москва",K1793="Выполнено",G1793&gt;=DATE(2020,7,1),G1793&lt;DATE(2020,8,1)),L1793,0)</f>
        <v>0</v>
      </c>
    </row>
    <row r="1794" customFormat="false" ht="15" hidden="false" customHeight="true" outlineLevel="0" collapsed="false">
      <c r="A1794" s="1" t="n">
        <v>101617</v>
      </c>
      <c r="B1794" s="1" t="n">
        <v>50259</v>
      </c>
      <c r="C1794" s="1" t="n">
        <v>3</v>
      </c>
      <c r="D1794" s="1" t="n">
        <v>1</v>
      </c>
      <c r="E1794" s="1" t="str">
        <f aca="false">VLOOKUP(C1794,Меню!$A$2:$C$24,2,FALSE())</f>
        <v>Пицца Диабло</v>
      </c>
      <c r="F1794" s="1" t="n">
        <f aca="false">VLOOKUP(C1794,Меню!$A$2:$C$24,3,FALSE())</f>
        <v>590</v>
      </c>
      <c r="G1794" s="5" t="n">
        <f aca="false">VLOOKUP(B1794,Заказы!$A$2:$E$2995,2,FALSE())</f>
        <v>44015</v>
      </c>
      <c r="H1794" s="1" t="n">
        <f aca="false">VLOOKUP(B1794,Заказы!$A$2:$E$2995,3,FALSE())</f>
        <v>1693</v>
      </c>
      <c r="I1794" s="1" t="str">
        <f aca="false">VLOOKUP(H1794,Клиенты!$A$2:$E$1995,5,FALSE())</f>
        <v>г. Алдан</v>
      </c>
      <c r="J1794" s="1" t="n">
        <f aca="false">VLOOKUP(B1794,Заказы!$A$2:$E$2995,4,FALSE())</f>
        <v>567</v>
      </c>
      <c r="K1794" s="1" t="str">
        <f aca="false">VLOOKUP(B1794,Заказы!$A$2:$E$2995,5,FALSE())</f>
        <v>Выполнено</v>
      </c>
      <c r="L1794" s="1" t="n">
        <f aca="false">D1794*F1794+J1794</f>
        <v>1157</v>
      </c>
      <c r="M1794" s="1" t="n">
        <f aca="false">IF(AND(E1794="Пицца Труслейка",I1794="г. Москва",K1794="Выполнено",G1794&gt;=DATE(2020,7,1),G1794&lt;DATE(2020,8,1)),L1794,0)</f>
        <v>0</v>
      </c>
    </row>
    <row r="1795" customFormat="false" ht="15" hidden="false" customHeight="true" outlineLevel="0" collapsed="false">
      <c r="A1795" s="1" t="n">
        <v>100790</v>
      </c>
      <c r="B1795" s="1" t="n">
        <v>51050</v>
      </c>
      <c r="C1795" s="1" t="n">
        <v>4</v>
      </c>
      <c r="D1795" s="1" t="n">
        <v>7</v>
      </c>
      <c r="E1795" s="1" t="str">
        <f aca="false">VLOOKUP(C1795,Меню!$A$2:$C$24,2,FALSE())</f>
        <v>Пицца Труслейка</v>
      </c>
      <c r="F1795" s="1" t="n">
        <f aca="false">VLOOKUP(C1795,Меню!$A$2:$C$24,3,FALSE())</f>
        <v>610</v>
      </c>
      <c r="G1795" s="5" t="n">
        <f aca="false">VLOOKUP(B1795,Заказы!$A$2:$E$2995,2,FALSE())</f>
        <v>44061</v>
      </c>
      <c r="H1795" s="1" t="n">
        <f aca="false">VLOOKUP(B1795,Заказы!$A$2:$E$2995,3,FALSE())</f>
        <v>1306</v>
      </c>
      <c r="I1795" s="1" t="str">
        <f aca="false">VLOOKUP(H1795,Клиенты!$A$2:$E$1995,5,FALSE())</f>
        <v>г. Котельнич</v>
      </c>
      <c r="J1795" s="1" t="n">
        <f aca="false">VLOOKUP(B1795,Заказы!$A$2:$E$2995,4,FALSE())</f>
        <v>204</v>
      </c>
      <c r="K1795" s="1" t="str">
        <f aca="false">VLOOKUP(B1795,Заказы!$A$2:$E$2995,5,FALSE())</f>
        <v>Выполнено</v>
      </c>
      <c r="L1795" s="1" t="n">
        <f aca="false">D1795*F1795+J1795</f>
        <v>4474</v>
      </c>
      <c r="M1795" s="1" t="n">
        <f aca="false">IF(AND(E1795="Пицца Труслейка",I1795="г. Москва",K1795="Выполнено",G1795&gt;=DATE(2020,7,1),G1795&lt;DATE(2020,8,1)),L1795,0)</f>
        <v>0</v>
      </c>
    </row>
    <row r="1796" customFormat="false" ht="15" hidden="false" customHeight="true" outlineLevel="0" collapsed="false">
      <c r="A1796" s="1" t="n">
        <v>101047</v>
      </c>
      <c r="B1796" s="1" t="n">
        <v>50727</v>
      </c>
      <c r="C1796" s="1" t="n">
        <v>11</v>
      </c>
      <c r="D1796" s="1" t="n">
        <v>2</v>
      </c>
      <c r="E1796" s="1" t="str">
        <f aca="false">VLOOKUP(C1796,Меню!$A$2:$C$24,2,FALSE())</f>
        <v>Пицца Песто</v>
      </c>
      <c r="F1796" s="1" t="n">
        <f aca="false">VLOOKUP(C1796,Меню!$A$2:$C$24,3,FALSE())</f>
        <v>530</v>
      </c>
      <c r="G1796" s="5" t="n">
        <f aca="false">VLOOKUP(B1796,Заказы!$A$2:$E$2995,2,FALSE())</f>
        <v>44024</v>
      </c>
      <c r="H1796" s="1" t="n">
        <f aca="false">VLOOKUP(B1796,Заказы!$A$2:$E$2995,3,FALSE())</f>
        <v>1080</v>
      </c>
      <c r="I1796" s="1" t="str">
        <f aca="false">VLOOKUP(H1796,Клиенты!$A$2:$E$1995,5,FALSE())</f>
        <v>г. Москва</v>
      </c>
      <c r="J1796" s="1" t="n">
        <f aca="false">VLOOKUP(B1796,Заказы!$A$2:$E$2995,4,FALSE())</f>
        <v>571</v>
      </c>
      <c r="K1796" s="1" t="str">
        <f aca="false">VLOOKUP(B1796,Заказы!$A$2:$E$2995,5,FALSE())</f>
        <v>Выполнено</v>
      </c>
      <c r="L1796" s="1" t="n">
        <f aca="false">D1796*F1796+J1796</f>
        <v>1631</v>
      </c>
      <c r="M1796" s="1" t="n">
        <f aca="false">IF(AND(E1796="Пицца Труслейка",I1796="г. Москва",K1796="Выполнено",G1796&gt;=DATE(2020,7,1),G1796&lt;DATE(2020,8,1)),L1796,0)</f>
        <v>0</v>
      </c>
    </row>
    <row r="1797" customFormat="false" ht="15" hidden="false" customHeight="true" outlineLevel="0" collapsed="false">
      <c r="A1797" s="1" t="n">
        <v>100620</v>
      </c>
      <c r="B1797" s="1" t="n">
        <v>51551</v>
      </c>
      <c r="C1797" s="1" t="n">
        <v>5</v>
      </c>
      <c r="D1797" s="1" t="n">
        <v>3</v>
      </c>
      <c r="E1797" s="1" t="str">
        <f aca="false">VLOOKUP(C1797,Меню!$A$2:$C$24,2,FALSE())</f>
        <v>Пицца Жюльен</v>
      </c>
      <c r="F1797" s="1" t="n">
        <f aca="false">VLOOKUP(C1797,Меню!$A$2:$C$24,3,FALSE())</f>
        <v>580</v>
      </c>
      <c r="G1797" s="5" t="n">
        <f aca="false">VLOOKUP(B1797,Заказы!$A$2:$E$2995,2,FALSE())</f>
        <v>44048</v>
      </c>
      <c r="H1797" s="1" t="n">
        <f aca="false">VLOOKUP(B1797,Заказы!$A$2:$E$2995,3,FALSE())</f>
        <v>304</v>
      </c>
      <c r="I1797" s="1" t="str">
        <f aca="false">VLOOKUP(H1797,Клиенты!$A$2:$E$1995,5,FALSE())</f>
        <v>г. Чистополь</v>
      </c>
      <c r="J1797" s="1" t="n">
        <f aca="false">VLOOKUP(B1797,Заказы!$A$2:$E$2995,4,FALSE())</f>
        <v>345</v>
      </c>
      <c r="K1797" s="1" t="str">
        <f aca="false">VLOOKUP(B1797,Заказы!$A$2:$E$2995,5,FALSE())</f>
        <v>Выполнено</v>
      </c>
      <c r="L1797" s="1" t="n">
        <f aca="false">D1797*F1797+J1797</f>
        <v>2085</v>
      </c>
      <c r="M1797" s="1" t="n">
        <f aca="false">IF(AND(E1797="Пицца Труслейка",I1797="г. Москва",K1797="Выполнено",G1797&gt;=DATE(2020,7,1),G1797&lt;DATE(2020,8,1)),L1797,0)</f>
        <v>0</v>
      </c>
    </row>
    <row r="1798" customFormat="false" ht="15" hidden="false" customHeight="true" outlineLevel="0" collapsed="false">
      <c r="A1798" s="1" t="n">
        <v>100656</v>
      </c>
      <c r="B1798" s="1" t="n">
        <v>51192</v>
      </c>
      <c r="C1798" s="1" t="n">
        <v>21</v>
      </c>
      <c r="D1798" s="1" t="n">
        <v>6</v>
      </c>
      <c r="E1798" s="1" t="str">
        <f aca="false">VLOOKUP(C1798,Меню!$A$2:$C$24,2,FALSE())</f>
        <v>Пицца с креветками и цукини</v>
      </c>
      <c r="F1798" s="1" t="n">
        <f aca="false">VLOOKUP(C1798,Меню!$A$2:$C$24,3,FALSE())</f>
        <v>600</v>
      </c>
      <c r="G1798" s="5" t="n">
        <f aca="false">VLOOKUP(B1798,Заказы!$A$2:$E$2995,2,FALSE())</f>
        <v>43995</v>
      </c>
      <c r="H1798" s="1" t="n">
        <f aca="false">VLOOKUP(B1798,Заказы!$A$2:$E$2995,3,FALSE())</f>
        <v>1234</v>
      </c>
      <c r="I1798" s="1" t="str">
        <f aca="false">VLOOKUP(H1798,Клиенты!$A$2:$E$1995,5,FALSE())</f>
        <v>г. Шенкурск</v>
      </c>
      <c r="J1798" s="1" t="n">
        <f aca="false">VLOOKUP(B1798,Заказы!$A$2:$E$2995,4,FALSE())</f>
        <v>0</v>
      </c>
      <c r="K1798" s="1" t="str">
        <f aca="false">VLOOKUP(B1798,Заказы!$A$2:$E$2995,5,FALSE())</f>
        <v>Не выполнено</v>
      </c>
      <c r="L1798" s="1" t="n">
        <f aca="false">D1798*F1798+J1798</f>
        <v>3600</v>
      </c>
      <c r="M1798" s="1" t="n">
        <f aca="false">IF(AND(E1798="Пицца Труслейка",I1798="г. Москва",K1798="Выполнено",G1798&gt;=DATE(2020,7,1),G1798&lt;DATE(2020,8,1)),L1798,0)</f>
        <v>0</v>
      </c>
    </row>
    <row r="1799" customFormat="false" ht="15" hidden="false" customHeight="true" outlineLevel="0" collapsed="false">
      <c r="A1799" s="1" t="n">
        <v>100966</v>
      </c>
      <c r="B1799" s="1" t="n">
        <v>51700</v>
      </c>
      <c r="C1799" s="1" t="n">
        <v>11</v>
      </c>
      <c r="D1799" s="1" t="n">
        <v>4</v>
      </c>
      <c r="E1799" s="1" t="str">
        <f aca="false">VLOOKUP(C1799,Меню!$A$2:$C$24,2,FALSE())</f>
        <v>Пицца Песто</v>
      </c>
      <c r="F1799" s="1" t="n">
        <f aca="false">VLOOKUP(C1799,Меню!$A$2:$C$24,3,FALSE())</f>
        <v>530</v>
      </c>
      <c r="G1799" s="5" t="n">
        <f aca="false">VLOOKUP(B1799,Заказы!$A$2:$E$2995,2,FALSE())</f>
        <v>44007</v>
      </c>
      <c r="H1799" s="1" t="n">
        <f aca="false">VLOOKUP(B1799,Заказы!$A$2:$E$2995,3,FALSE())</f>
        <v>1417</v>
      </c>
      <c r="I1799" s="1" t="str">
        <f aca="false">VLOOKUP(H1799,Клиенты!$A$2:$E$1995,5,FALSE())</f>
        <v>г. Кисловодск</v>
      </c>
      <c r="J1799" s="1" t="n">
        <f aca="false">VLOOKUP(B1799,Заказы!$A$2:$E$2995,4,FALSE())</f>
        <v>0</v>
      </c>
      <c r="K1799" s="1" t="str">
        <f aca="false">VLOOKUP(B1799,Заказы!$A$2:$E$2995,5,FALSE())</f>
        <v>Не выполнено</v>
      </c>
      <c r="L1799" s="1" t="n">
        <f aca="false">D1799*F1799+J1799</f>
        <v>2120</v>
      </c>
      <c r="M1799" s="1" t="n">
        <f aca="false">IF(AND(E1799="Пицца Труслейка",I1799="г. Москва",K1799="Выполнено",G1799&gt;=DATE(2020,7,1),G1799&lt;DATE(2020,8,1)),L1799,0)</f>
        <v>0</v>
      </c>
    </row>
    <row r="1800" customFormat="false" ht="15" hidden="false" customHeight="true" outlineLevel="0" collapsed="false">
      <c r="A1800" s="1" t="n">
        <v>101598</v>
      </c>
      <c r="B1800" s="1" t="n">
        <v>51909</v>
      </c>
      <c r="C1800" s="1" t="n">
        <v>13</v>
      </c>
      <c r="D1800" s="1" t="n">
        <v>6</v>
      </c>
      <c r="E1800" s="1" t="str">
        <f aca="false">VLOOKUP(C1800,Меню!$A$2:$C$24,2,FALSE())</f>
        <v>Пицца Сырная</v>
      </c>
      <c r="F1800" s="1" t="n">
        <f aca="false">VLOOKUP(C1800,Меню!$A$2:$C$24,3,FALSE())</f>
        <v>635</v>
      </c>
      <c r="G1800" s="5" t="n">
        <f aca="false">VLOOKUP(B1800,Заказы!$A$2:$E$2995,2,FALSE())</f>
        <v>44028</v>
      </c>
      <c r="H1800" s="1" t="n">
        <f aca="false">VLOOKUP(B1800,Заказы!$A$2:$E$2995,3,FALSE())</f>
        <v>271</v>
      </c>
      <c r="I1800" s="1" t="str">
        <f aca="false">VLOOKUP(H1800,Клиенты!$A$2:$E$1995,5,FALSE())</f>
        <v>г. Оса</v>
      </c>
      <c r="J1800" s="1" t="n">
        <f aca="false">VLOOKUP(B1800,Заказы!$A$2:$E$2995,4,FALSE())</f>
        <v>411</v>
      </c>
      <c r="K1800" s="1" t="str">
        <f aca="false">VLOOKUP(B1800,Заказы!$A$2:$E$2995,5,FALSE())</f>
        <v>Выполнено</v>
      </c>
      <c r="L1800" s="1" t="n">
        <f aca="false">D1800*F1800+J1800</f>
        <v>4221</v>
      </c>
      <c r="M1800" s="1" t="n">
        <f aca="false">IF(AND(E1800="Пицца Труслейка",I1800="г. Москва",K1800="Выполнено",G1800&gt;=DATE(2020,7,1),G1800&lt;DATE(2020,8,1)),L1800,0)</f>
        <v>0</v>
      </c>
    </row>
    <row r="1801" customFormat="false" ht="15" hidden="false" customHeight="true" outlineLevel="0" collapsed="false">
      <c r="A1801" s="1" t="n">
        <v>101157</v>
      </c>
      <c r="B1801" s="1" t="n">
        <v>51052</v>
      </c>
      <c r="C1801" s="1" t="n">
        <v>4</v>
      </c>
      <c r="D1801" s="1" t="n">
        <v>2</v>
      </c>
      <c r="E1801" s="1" t="str">
        <f aca="false">VLOOKUP(C1801,Меню!$A$2:$C$24,2,FALSE())</f>
        <v>Пицца Труслейка</v>
      </c>
      <c r="F1801" s="1" t="n">
        <f aca="false">VLOOKUP(C1801,Меню!$A$2:$C$24,3,FALSE())</f>
        <v>610</v>
      </c>
      <c r="G1801" s="5" t="n">
        <f aca="false">VLOOKUP(B1801,Заказы!$A$2:$E$2995,2,FALSE())</f>
        <v>44035</v>
      </c>
      <c r="H1801" s="1" t="n">
        <f aca="false">VLOOKUP(B1801,Заказы!$A$2:$E$2995,3,FALSE())</f>
        <v>1604</v>
      </c>
      <c r="I1801" s="1" t="str">
        <f aca="false">VLOOKUP(H1801,Клиенты!$A$2:$E$1995,5,FALSE())</f>
        <v>г. Тайга</v>
      </c>
      <c r="J1801" s="1" t="n">
        <f aca="false">VLOOKUP(B1801,Заказы!$A$2:$E$2995,4,FALSE())</f>
        <v>0</v>
      </c>
      <c r="K1801" s="1" t="str">
        <f aca="false">VLOOKUP(B1801,Заказы!$A$2:$E$2995,5,FALSE())</f>
        <v>Не выполнено</v>
      </c>
      <c r="L1801" s="1" t="n">
        <f aca="false">D1801*F1801+J1801</f>
        <v>1220</v>
      </c>
      <c r="M1801" s="1" t="n">
        <f aca="false">IF(AND(E1801="Пицца Труслейка",I1801="г. Москва",K1801="Выполнено",G1801&gt;=DATE(2020,7,1),G1801&lt;DATE(2020,8,1)),L1801,0)</f>
        <v>0</v>
      </c>
    </row>
    <row r="1802" customFormat="false" ht="15" hidden="false" customHeight="true" outlineLevel="0" collapsed="false">
      <c r="A1802" s="1" t="n">
        <v>101825</v>
      </c>
      <c r="B1802" s="1" t="n">
        <v>50167</v>
      </c>
      <c r="C1802" s="1" t="n">
        <v>15</v>
      </c>
      <c r="D1802" s="1" t="n">
        <v>6</v>
      </c>
      <c r="E1802" s="1" t="str">
        <f aca="false">VLOOKUP(C1802,Меню!$A$2:$C$24,2,FALSE())</f>
        <v>Пицца Тропиканка</v>
      </c>
      <c r="F1802" s="1" t="n">
        <f aca="false">VLOOKUP(C1802,Меню!$A$2:$C$24,3,FALSE())</f>
        <v>605</v>
      </c>
      <c r="G1802" s="5" t="n">
        <f aca="false">VLOOKUP(B1802,Заказы!$A$2:$E$2995,2,FALSE())</f>
        <v>44036</v>
      </c>
      <c r="H1802" s="1" t="n">
        <f aca="false">VLOOKUP(B1802,Заказы!$A$2:$E$2995,3,FALSE())</f>
        <v>1131</v>
      </c>
      <c r="I1802" s="1" t="str">
        <f aca="false">VLOOKUP(H1802,Клиенты!$A$2:$E$1995,5,FALSE())</f>
        <v>г. Мариинск</v>
      </c>
      <c r="J1802" s="1" t="n">
        <f aca="false">VLOOKUP(B1802,Заказы!$A$2:$E$2995,4,FALSE())</f>
        <v>426</v>
      </c>
      <c r="K1802" s="1" t="str">
        <f aca="false">VLOOKUP(B1802,Заказы!$A$2:$E$2995,5,FALSE())</f>
        <v>Выполнено</v>
      </c>
      <c r="L1802" s="1" t="n">
        <f aca="false">D1802*F1802+J1802</f>
        <v>4056</v>
      </c>
      <c r="M1802" s="1" t="n">
        <f aca="false">IF(AND(E1802="Пицца Труслейка",I1802="г. Москва",K1802="Выполнено",G1802&gt;=DATE(2020,7,1),G1802&lt;DATE(2020,8,1)),L1802,0)</f>
        <v>0</v>
      </c>
    </row>
    <row r="1803" customFormat="false" ht="15" hidden="false" customHeight="true" outlineLevel="0" collapsed="false">
      <c r="A1803" s="1" t="n">
        <v>101318</v>
      </c>
      <c r="B1803" s="1" t="n">
        <v>50309</v>
      </c>
      <c r="C1803" s="1" t="n">
        <v>12</v>
      </c>
      <c r="D1803" s="1" t="n">
        <v>6</v>
      </c>
      <c r="E1803" s="1" t="str">
        <f aca="false">VLOOKUP(C1803,Меню!$A$2:$C$24,2,FALSE())</f>
        <v>Пицца Салями с трюфелем</v>
      </c>
      <c r="F1803" s="1" t="n">
        <f aca="false">VLOOKUP(C1803,Меню!$A$2:$C$24,3,FALSE())</f>
        <v>525</v>
      </c>
      <c r="G1803" s="5" t="n">
        <f aca="false">VLOOKUP(B1803,Заказы!$A$2:$E$2995,2,FALSE())</f>
        <v>44003</v>
      </c>
      <c r="H1803" s="1" t="n">
        <f aca="false">VLOOKUP(B1803,Заказы!$A$2:$E$2995,3,FALSE())</f>
        <v>241</v>
      </c>
      <c r="I1803" s="1" t="str">
        <f aca="false">VLOOKUP(H1803,Клиенты!$A$2:$E$1995,5,FALSE())</f>
        <v>г. Кушва</v>
      </c>
      <c r="J1803" s="1" t="n">
        <f aca="false">VLOOKUP(B1803,Заказы!$A$2:$E$2995,4,FALSE())</f>
        <v>179</v>
      </c>
      <c r="K1803" s="1" t="str">
        <f aca="false">VLOOKUP(B1803,Заказы!$A$2:$E$2995,5,FALSE())</f>
        <v>Выполнено</v>
      </c>
      <c r="L1803" s="1" t="n">
        <f aca="false">D1803*F1803+J1803</f>
        <v>3329</v>
      </c>
      <c r="M1803" s="1" t="n">
        <f aca="false">IF(AND(E1803="Пицца Труслейка",I1803="г. Москва",K1803="Выполнено",G1803&gt;=DATE(2020,7,1),G1803&lt;DATE(2020,8,1)),L1803,0)</f>
        <v>0</v>
      </c>
    </row>
    <row r="1804" customFormat="false" ht="15" hidden="false" customHeight="true" outlineLevel="0" collapsed="false">
      <c r="A1804" s="1" t="n">
        <v>101550</v>
      </c>
      <c r="B1804" s="1" t="n">
        <v>51438</v>
      </c>
      <c r="C1804" s="1" t="n">
        <v>6</v>
      </c>
      <c r="D1804" s="1" t="n">
        <v>6</v>
      </c>
      <c r="E1804" s="1" t="str">
        <f aca="false">VLOOKUP(C1804,Меню!$A$2:$C$24,2,FALSE())</f>
        <v>Пицца Капричиоза</v>
      </c>
      <c r="F1804" s="1" t="n">
        <f aca="false">VLOOKUP(C1804,Меню!$A$2:$C$24,3,FALSE())</f>
        <v>570</v>
      </c>
      <c r="G1804" s="5" t="n">
        <f aca="false">VLOOKUP(B1804,Заказы!$A$2:$E$2995,2,FALSE())</f>
        <v>44025</v>
      </c>
      <c r="H1804" s="1" t="n">
        <f aca="false">VLOOKUP(B1804,Заказы!$A$2:$E$2995,3,FALSE())</f>
        <v>1060</v>
      </c>
      <c r="I1804" s="1" t="str">
        <f aca="false">VLOOKUP(H1804,Клиенты!$A$2:$E$1995,5,FALSE())</f>
        <v>г. Москва</v>
      </c>
      <c r="J1804" s="1" t="n">
        <f aca="false">VLOOKUP(B1804,Заказы!$A$2:$E$2995,4,FALSE())</f>
        <v>407</v>
      </c>
      <c r="K1804" s="1" t="str">
        <f aca="false">VLOOKUP(B1804,Заказы!$A$2:$E$2995,5,FALSE())</f>
        <v>Выполнено</v>
      </c>
      <c r="L1804" s="1" t="n">
        <f aca="false">D1804*F1804+J1804</f>
        <v>3827</v>
      </c>
      <c r="M1804" s="1" t="n">
        <f aca="false">IF(AND(E1804="Пицца Труслейка",I1804="г. Москва",K1804="Выполнено",G1804&gt;=DATE(2020,7,1),G1804&lt;DATE(2020,8,1)),L1804,0)</f>
        <v>0</v>
      </c>
    </row>
    <row r="1805" customFormat="false" ht="15" hidden="false" customHeight="true" outlineLevel="0" collapsed="false">
      <c r="A1805" s="1" t="n">
        <v>100582</v>
      </c>
      <c r="B1805" s="1" t="n">
        <v>50669</v>
      </c>
      <c r="C1805" s="1" t="n">
        <v>17</v>
      </c>
      <c r="D1805" s="1" t="n">
        <v>3</v>
      </c>
      <c r="E1805" s="1" t="str">
        <f aca="false">VLOOKUP(C1805,Меню!$A$2:$C$24,2,FALSE())</f>
        <v>Пицца Френч Фрайз</v>
      </c>
      <c r="F1805" s="1" t="n">
        <f aca="false">VLOOKUP(C1805,Меню!$A$2:$C$24,3,FALSE())</f>
        <v>515</v>
      </c>
      <c r="G1805" s="5" t="n">
        <f aca="false">VLOOKUP(B1805,Заказы!$A$2:$E$2995,2,FALSE())</f>
        <v>44043</v>
      </c>
      <c r="H1805" s="1" t="n">
        <f aca="false">VLOOKUP(B1805,Заказы!$A$2:$E$2995,3,FALSE())</f>
        <v>206</v>
      </c>
      <c r="I1805" s="1" t="str">
        <f aca="false">VLOOKUP(H1805,Клиенты!$A$2:$E$1995,5,FALSE())</f>
        <v>г. Сарапул</v>
      </c>
      <c r="J1805" s="1" t="n">
        <f aca="false">VLOOKUP(B1805,Заказы!$A$2:$E$2995,4,FALSE())</f>
        <v>597</v>
      </c>
      <c r="K1805" s="1" t="str">
        <f aca="false">VLOOKUP(B1805,Заказы!$A$2:$E$2995,5,FALSE())</f>
        <v>Выполнено</v>
      </c>
      <c r="L1805" s="1" t="n">
        <f aca="false">D1805*F1805+J1805</f>
        <v>2142</v>
      </c>
      <c r="M1805" s="1" t="n">
        <f aca="false">IF(AND(E1805="Пицца Труслейка",I1805="г. Москва",K1805="Выполнено",G1805&gt;=DATE(2020,7,1),G1805&lt;DATE(2020,8,1)),L1805,0)</f>
        <v>0</v>
      </c>
    </row>
    <row r="1806" customFormat="false" ht="15" hidden="false" customHeight="true" outlineLevel="0" collapsed="false">
      <c r="A1806" s="1" t="n">
        <v>100479</v>
      </c>
      <c r="B1806" s="1" t="n">
        <v>51950</v>
      </c>
      <c r="C1806" s="1" t="n">
        <v>20</v>
      </c>
      <c r="D1806" s="1" t="n">
        <v>9</v>
      </c>
      <c r="E1806" s="1" t="str">
        <f aca="false">VLOOKUP(C1806,Меню!$A$2:$C$24,2,FALSE())</f>
        <v>Пицца пиканте</v>
      </c>
      <c r="F1806" s="1" t="n">
        <f aca="false">VLOOKUP(C1806,Меню!$A$2:$C$24,3,FALSE())</f>
        <v>585</v>
      </c>
      <c r="G1806" s="5" t="n">
        <f aca="false">VLOOKUP(B1806,Заказы!$A$2:$E$2995,2,FALSE())</f>
        <v>44060</v>
      </c>
      <c r="H1806" s="1" t="n">
        <f aca="false">VLOOKUP(B1806,Заказы!$A$2:$E$2995,3,FALSE())</f>
        <v>1295</v>
      </c>
      <c r="I1806" s="1" t="str">
        <f aca="false">VLOOKUP(H1806,Клиенты!$A$2:$E$1995,5,FALSE())</f>
        <v>г. Славгород</v>
      </c>
      <c r="J1806" s="1" t="n">
        <f aca="false">VLOOKUP(B1806,Заказы!$A$2:$E$2995,4,FALSE())</f>
        <v>0</v>
      </c>
      <c r="K1806" s="1" t="str">
        <f aca="false">VLOOKUP(B1806,Заказы!$A$2:$E$2995,5,FALSE())</f>
        <v>Не выполнено</v>
      </c>
      <c r="L1806" s="1" t="n">
        <f aca="false">D1806*F1806+J1806</f>
        <v>5265</v>
      </c>
      <c r="M1806" s="1" t="n">
        <f aca="false">IF(AND(E1806="Пицца Труслейка",I1806="г. Москва",K1806="Выполнено",G1806&gt;=DATE(2020,7,1),G1806&lt;DATE(2020,8,1)),L1806,0)</f>
        <v>0</v>
      </c>
    </row>
    <row r="1807" customFormat="false" ht="15" hidden="false" customHeight="true" outlineLevel="0" collapsed="false">
      <c r="A1807" s="1" t="n">
        <v>101259</v>
      </c>
      <c r="B1807" s="1" t="n">
        <v>51557</v>
      </c>
      <c r="C1807" s="1" t="n">
        <v>13</v>
      </c>
      <c r="D1807" s="1" t="n">
        <v>1</v>
      </c>
      <c r="E1807" s="1" t="str">
        <f aca="false">VLOOKUP(C1807,Меню!$A$2:$C$24,2,FALSE())</f>
        <v>Пицца Сырная</v>
      </c>
      <c r="F1807" s="1" t="n">
        <f aca="false">VLOOKUP(C1807,Меню!$A$2:$C$24,3,FALSE())</f>
        <v>635</v>
      </c>
      <c r="G1807" s="5" t="n">
        <f aca="false">VLOOKUP(B1807,Заказы!$A$2:$E$2995,2,FALSE())</f>
        <v>44051</v>
      </c>
      <c r="H1807" s="1" t="n">
        <f aca="false">VLOOKUP(B1807,Заказы!$A$2:$E$2995,3,FALSE())</f>
        <v>1730</v>
      </c>
      <c r="I1807" s="1" t="str">
        <f aca="false">VLOOKUP(H1807,Клиенты!$A$2:$E$1995,5,FALSE())</f>
        <v>г. Москва</v>
      </c>
      <c r="J1807" s="1" t="n">
        <f aca="false">VLOOKUP(B1807,Заказы!$A$2:$E$2995,4,FALSE())</f>
        <v>186</v>
      </c>
      <c r="K1807" s="1" t="str">
        <f aca="false">VLOOKUP(B1807,Заказы!$A$2:$E$2995,5,FALSE())</f>
        <v>Выполнено</v>
      </c>
      <c r="L1807" s="1" t="n">
        <f aca="false">D1807*F1807+J1807</f>
        <v>821</v>
      </c>
      <c r="M1807" s="1" t="n">
        <f aca="false">IF(AND(E1807="Пицца Труслейка",I1807="г. Москва",K1807="Выполнено",G1807&gt;=DATE(2020,7,1),G1807&lt;DATE(2020,8,1)),L1807,0)</f>
        <v>0</v>
      </c>
    </row>
    <row r="1808" customFormat="false" ht="15" hidden="false" customHeight="true" outlineLevel="0" collapsed="false">
      <c r="A1808" s="1" t="n">
        <v>100195</v>
      </c>
      <c r="B1808" s="1" t="n">
        <v>50294</v>
      </c>
      <c r="C1808" s="1" t="n">
        <v>6</v>
      </c>
      <c r="D1808" s="1" t="n">
        <v>5</v>
      </c>
      <c r="E1808" s="1" t="str">
        <f aca="false">VLOOKUP(C1808,Меню!$A$2:$C$24,2,FALSE())</f>
        <v>Пицца Капричиоза</v>
      </c>
      <c r="F1808" s="1" t="n">
        <f aca="false">VLOOKUP(C1808,Меню!$A$2:$C$24,3,FALSE())</f>
        <v>570</v>
      </c>
      <c r="G1808" s="5" t="n">
        <f aca="false">VLOOKUP(B1808,Заказы!$A$2:$E$2995,2,FALSE())</f>
        <v>44047</v>
      </c>
      <c r="H1808" s="1" t="n">
        <f aca="false">VLOOKUP(B1808,Заказы!$A$2:$E$2995,3,FALSE())</f>
        <v>1600</v>
      </c>
      <c r="I1808" s="1" t="str">
        <f aca="false">VLOOKUP(H1808,Клиенты!$A$2:$E$1995,5,FALSE())</f>
        <v>г. Москва</v>
      </c>
      <c r="J1808" s="1" t="n">
        <f aca="false">VLOOKUP(B1808,Заказы!$A$2:$E$2995,4,FALSE())</f>
        <v>888</v>
      </c>
      <c r="K1808" s="1" t="str">
        <f aca="false">VLOOKUP(B1808,Заказы!$A$2:$E$2995,5,FALSE())</f>
        <v>Выполнено</v>
      </c>
      <c r="L1808" s="1" t="n">
        <f aca="false">D1808*F1808+J1808</f>
        <v>3738</v>
      </c>
      <c r="M1808" s="1" t="n">
        <f aca="false">IF(AND(E1808="Пицца Труслейка",I1808="г. Москва",K1808="Выполнено",G1808&gt;=DATE(2020,7,1),G1808&lt;DATE(2020,8,1)),L1808,0)</f>
        <v>0</v>
      </c>
    </row>
    <row r="1809" customFormat="false" ht="15" hidden="false" customHeight="true" outlineLevel="0" collapsed="false">
      <c r="A1809" s="1" t="n">
        <v>101113</v>
      </c>
      <c r="B1809" s="1" t="n">
        <v>51035</v>
      </c>
      <c r="C1809" s="1" t="n">
        <v>5</v>
      </c>
      <c r="D1809" s="1" t="n">
        <v>3</v>
      </c>
      <c r="E1809" s="1" t="str">
        <f aca="false">VLOOKUP(C1809,Меню!$A$2:$C$24,2,FALSE())</f>
        <v>Пицца Жюльен</v>
      </c>
      <c r="F1809" s="1" t="n">
        <f aca="false">VLOOKUP(C1809,Меню!$A$2:$C$24,3,FALSE())</f>
        <v>580</v>
      </c>
      <c r="G1809" s="5" t="n">
        <f aca="false">VLOOKUP(B1809,Заказы!$A$2:$E$2995,2,FALSE())</f>
        <v>44058</v>
      </c>
      <c r="H1809" s="1" t="n">
        <f aca="false">VLOOKUP(B1809,Заказы!$A$2:$E$2995,3,FALSE())</f>
        <v>165</v>
      </c>
      <c r="I1809" s="1" t="str">
        <f aca="false">VLOOKUP(H1809,Клиенты!$A$2:$E$1995,5,FALSE())</f>
        <v>г. Чегем</v>
      </c>
      <c r="J1809" s="1" t="n">
        <f aca="false">VLOOKUP(B1809,Заказы!$A$2:$E$2995,4,FALSE())</f>
        <v>0</v>
      </c>
      <c r="K1809" s="1" t="str">
        <f aca="false">VLOOKUP(B1809,Заказы!$A$2:$E$2995,5,FALSE())</f>
        <v>Не выполнено</v>
      </c>
      <c r="L1809" s="1" t="n">
        <f aca="false">D1809*F1809+J1809</f>
        <v>1740</v>
      </c>
      <c r="M1809" s="1" t="n">
        <f aca="false">IF(AND(E1809="Пицца Труслейка",I1809="г. Москва",K1809="Выполнено",G1809&gt;=DATE(2020,7,1),G1809&lt;DATE(2020,8,1)),L1809,0)</f>
        <v>0</v>
      </c>
    </row>
    <row r="1810" customFormat="false" ht="15" hidden="false" customHeight="true" outlineLevel="0" collapsed="false">
      <c r="A1810" s="1" t="n">
        <v>100216</v>
      </c>
      <c r="B1810" s="1" t="n">
        <v>50028</v>
      </c>
      <c r="C1810" s="1" t="n">
        <v>3</v>
      </c>
      <c r="D1810" s="1" t="n">
        <v>8</v>
      </c>
      <c r="E1810" s="1" t="str">
        <f aca="false">VLOOKUP(C1810,Меню!$A$2:$C$24,2,FALSE())</f>
        <v>Пицца Диабло</v>
      </c>
      <c r="F1810" s="1" t="n">
        <f aca="false">VLOOKUP(C1810,Меню!$A$2:$C$24,3,FALSE())</f>
        <v>590</v>
      </c>
      <c r="G1810" s="5" t="n">
        <f aca="false">VLOOKUP(B1810,Заказы!$A$2:$E$2995,2,FALSE())</f>
        <v>44062</v>
      </c>
      <c r="H1810" s="1" t="n">
        <f aca="false">VLOOKUP(B1810,Заказы!$A$2:$E$2995,3,FALSE())</f>
        <v>1239</v>
      </c>
      <c r="I1810" s="1" t="str">
        <f aca="false">VLOOKUP(H1810,Клиенты!$A$2:$E$1995,5,FALSE())</f>
        <v>г. Краснотурьинск</v>
      </c>
      <c r="J1810" s="1" t="n">
        <f aca="false">VLOOKUP(B1810,Заказы!$A$2:$E$2995,4,FALSE())</f>
        <v>0</v>
      </c>
      <c r="K1810" s="1" t="str">
        <f aca="false">VLOOKUP(B1810,Заказы!$A$2:$E$2995,5,FALSE())</f>
        <v>Не выполнено</v>
      </c>
      <c r="L1810" s="1" t="n">
        <f aca="false">D1810*F1810+J1810</f>
        <v>4720</v>
      </c>
      <c r="M1810" s="1" t="n">
        <f aca="false">IF(AND(E1810="Пицца Труслейка",I1810="г. Москва",K1810="Выполнено",G1810&gt;=DATE(2020,7,1),G1810&lt;DATE(2020,8,1)),L1810,0)</f>
        <v>0</v>
      </c>
    </row>
    <row r="1811" customFormat="false" ht="15" hidden="false" customHeight="true" outlineLevel="0" collapsed="false">
      <c r="A1811" s="1" t="n">
        <v>101491</v>
      </c>
      <c r="B1811" s="1" t="n">
        <v>51277</v>
      </c>
      <c r="C1811" s="1" t="n">
        <v>4</v>
      </c>
      <c r="D1811" s="1" t="n">
        <v>2</v>
      </c>
      <c r="E1811" s="1" t="str">
        <f aca="false">VLOOKUP(C1811,Меню!$A$2:$C$24,2,FALSE())</f>
        <v>Пицца Труслейка</v>
      </c>
      <c r="F1811" s="1" t="n">
        <f aca="false">VLOOKUP(C1811,Меню!$A$2:$C$24,3,FALSE())</f>
        <v>610</v>
      </c>
      <c r="G1811" s="5" t="n">
        <f aca="false">VLOOKUP(B1811,Заказы!$A$2:$E$2995,2,FALSE())</f>
        <v>44024</v>
      </c>
      <c r="H1811" s="1" t="n">
        <f aca="false">VLOOKUP(B1811,Заказы!$A$2:$E$2995,3,FALSE())</f>
        <v>1680</v>
      </c>
      <c r="I1811" s="1" t="str">
        <f aca="false">VLOOKUP(H1811,Клиенты!$A$2:$E$1995,5,FALSE())</f>
        <v>г. Москва</v>
      </c>
      <c r="J1811" s="1" t="n">
        <f aca="false">VLOOKUP(B1811,Заказы!$A$2:$E$2995,4,FALSE())</f>
        <v>383</v>
      </c>
      <c r="K1811" s="1" t="str">
        <f aca="false">VLOOKUP(B1811,Заказы!$A$2:$E$2995,5,FALSE())</f>
        <v>Выполнено</v>
      </c>
      <c r="L1811" s="1" t="n">
        <f aca="false">D1811*F1811+J1811</f>
        <v>1603</v>
      </c>
      <c r="M1811" s="1" t="n">
        <f aca="false">IF(AND(E1811="Пицца Труслейка",I1811="г. Москва",K1811="Выполнено",G1811&gt;=DATE(2020,7,1),G1811&lt;DATE(2020,8,1)),L1811,0)</f>
        <v>1603</v>
      </c>
    </row>
    <row r="1812" customFormat="false" ht="15" hidden="false" customHeight="true" outlineLevel="0" collapsed="false">
      <c r="A1812" s="1" t="n">
        <v>101012</v>
      </c>
      <c r="B1812" s="1" t="n">
        <v>50296</v>
      </c>
      <c r="C1812" s="1" t="n">
        <v>23</v>
      </c>
      <c r="D1812" s="1" t="n">
        <v>4</v>
      </c>
      <c r="E1812" s="1" t="str">
        <f aca="false">VLOOKUP(C1812,Меню!$A$2:$C$24,2,FALSE())</f>
        <v>Пицца с тунцом</v>
      </c>
      <c r="F1812" s="1" t="n">
        <f aca="false">VLOOKUP(C1812,Меню!$A$2:$C$24,3,FALSE())</f>
        <v>520</v>
      </c>
      <c r="G1812" s="5" t="n">
        <f aca="false">VLOOKUP(B1812,Заказы!$A$2:$E$2995,2,FALSE())</f>
        <v>44050</v>
      </c>
      <c r="H1812" s="1" t="n">
        <f aca="false">VLOOKUP(B1812,Заказы!$A$2:$E$2995,3,FALSE())</f>
        <v>636</v>
      </c>
      <c r="I1812" s="1" t="str">
        <f aca="false">VLOOKUP(H1812,Клиенты!$A$2:$E$1995,5,FALSE())</f>
        <v>г. Суворов</v>
      </c>
      <c r="J1812" s="1" t="n">
        <f aca="false">VLOOKUP(B1812,Заказы!$A$2:$E$2995,4,FALSE())</f>
        <v>359</v>
      </c>
      <c r="K1812" s="1" t="str">
        <f aca="false">VLOOKUP(B1812,Заказы!$A$2:$E$2995,5,FALSE())</f>
        <v>Выполнено</v>
      </c>
      <c r="L1812" s="1" t="n">
        <f aca="false">D1812*F1812+J1812</f>
        <v>2439</v>
      </c>
      <c r="M1812" s="1" t="n">
        <f aca="false">IF(AND(E1812="Пицца Труслейка",I1812="г. Москва",K1812="Выполнено",G1812&gt;=DATE(2020,7,1),G1812&lt;DATE(2020,8,1)),L1812,0)</f>
        <v>0</v>
      </c>
    </row>
    <row r="1813" customFormat="false" ht="15" hidden="false" customHeight="true" outlineLevel="0" collapsed="false">
      <c r="A1813" s="1" t="n">
        <v>101459</v>
      </c>
      <c r="B1813" s="1" t="n">
        <v>50896</v>
      </c>
      <c r="C1813" s="1" t="n">
        <v>20</v>
      </c>
      <c r="D1813" s="1" t="n">
        <v>4</v>
      </c>
      <c r="E1813" s="1" t="str">
        <f aca="false">VLOOKUP(C1813,Меню!$A$2:$C$24,2,FALSE())</f>
        <v>Пицца пиканте</v>
      </c>
      <c r="F1813" s="1" t="n">
        <f aca="false">VLOOKUP(C1813,Меню!$A$2:$C$24,3,FALSE())</f>
        <v>585</v>
      </c>
      <c r="G1813" s="5" t="n">
        <f aca="false">VLOOKUP(B1813,Заказы!$A$2:$E$2995,2,FALSE())</f>
        <v>44063</v>
      </c>
      <c r="H1813" s="1" t="n">
        <f aca="false">VLOOKUP(B1813,Заказы!$A$2:$E$2995,3,FALSE())</f>
        <v>970</v>
      </c>
      <c r="I1813" s="1" t="str">
        <f aca="false">VLOOKUP(H1813,Клиенты!$A$2:$E$1995,5,FALSE())</f>
        <v>г. Москва</v>
      </c>
      <c r="J1813" s="1" t="n">
        <f aca="false">VLOOKUP(B1813,Заказы!$A$2:$E$2995,4,FALSE())</f>
        <v>233</v>
      </c>
      <c r="K1813" s="1" t="str">
        <f aca="false">VLOOKUP(B1813,Заказы!$A$2:$E$2995,5,FALSE())</f>
        <v>Выполнено</v>
      </c>
      <c r="L1813" s="1" t="n">
        <f aca="false">D1813*F1813+J1813</f>
        <v>2573</v>
      </c>
      <c r="M1813" s="1" t="n">
        <f aca="false">IF(AND(E1813="Пицца Труслейка",I1813="г. Москва",K1813="Выполнено",G1813&gt;=DATE(2020,7,1),G1813&lt;DATE(2020,8,1)),L1813,0)</f>
        <v>0</v>
      </c>
    </row>
    <row r="1814" customFormat="false" ht="15" hidden="false" customHeight="true" outlineLevel="0" collapsed="false">
      <c r="A1814" s="1" t="n">
        <v>101116</v>
      </c>
      <c r="B1814" s="1" t="n">
        <v>50506</v>
      </c>
      <c r="C1814" s="1" t="n">
        <v>9</v>
      </c>
      <c r="D1814" s="1" t="n">
        <v>4</v>
      </c>
      <c r="E1814" s="1" t="str">
        <f aca="false">VLOOKUP(C1814,Меню!$A$2:$C$24,2,FALSE())</f>
        <v>Пицца Острая с беконом</v>
      </c>
      <c r="F1814" s="1" t="n">
        <f aca="false">VLOOKUP(C1814,Меню!$A$2:$C$24,3,FALSE())</f>
        <v>540</v>
      </c>
      <c r="G1814" s="5" t="n">
        <f aca="false">VLOOKUP(B1814,Заказы!$A$2:$E$2995,2,FALSE())</f>
        <v>44056</v>
      </c>
      <c r="H1814" s="1" t="n">
        <f aca="false">VLOOKUP(B1814,Заказы!$A$2:$E$2995,3,FALSE())</f>
        <v>848</v>
      </c>
      <c r="I1814" s="1" t="str">
        <f aca="false">VLOOKUP(H1814,Клиенты!$A$2:$E$1995,5,FALSE())</f>
        <v>г. Райчихинск</v>
      </c>
      <c r="J1814" s="1" t="n">
        <f aca="false">VLOOKUP(B1814,Заказы!$A$2:$E$2995,4,FALSE())</f>
        <v>834</v>
      </c>
      <c r="K1814" s="1" t="str">
        <f aca="false">VLOOKUP(B1814,Заказы!$A$2:$E$2995,5,FALSE())</f>
        <v>Выполнено</v>
      </c>
      <c r="L1814" s="1" t="n">
        <f aca="false">D1814*F1814+J1814</f>
        <v>2994</v>
      </c>
      <c r="M1814" s="1" t="n">
        <f aca="false">IF(AND(E1814="Пицца Труслейка",I1814="г. Москва",K1814="Выполнено",G1814&gt;=DATE(2020,7,1),G1814&lt;DATE(2020,8,1)),L1814,0)</f>
        <v>0</v>
      </c>
    </row>
    <row r="1815" customFormat="false" ht="15" hidden="false" customHeight="true" outlineLevel="0" collapsed="false">
      <c r="A1815" s="1" t="n">
        <v>101654</v>
      </c>
      <c r="B1815" s="1" t="n">
        <v>51816</v>
      </c>
      <c r="C1815" s="1" t="n">
        <v>22</v>
      </c>
      <c r="D1815" s="1" t="n">
        <v>9</v>
      </c>
      <c r="E1815" s="1" t="str">
        <f aca="false">VLOOKUP(C1815,Меню!$A$2:$C$24,2,FALSE())</f>
        <v>Пицца с поркеттой и фриарелли</v>
      </c>
      <c r="F1815" s="1" t="n">
        <f aca="false">VLOOKUP(C1815,Меню!$A$2:$C$24,3,FALSE())</f>
        <v>550</v>
      </c>
      <c r="G1815" s="5" t="n">
        <f aca="false">VLOOKUP(B1815,Заказы!$A$2:$E$2995,2,FALSE())</f>
        <v>43988</v>
      </c>
      <c r="H1815" s="1" t="n">
        <f aca="false">VLOOKUP(B1815,Заказы!$A$2:$E$2995,3,FALSE())</f>
        <v>542</v>
      </c>
      <c r="I1815" s="1" t="str">
        <f aca="false">VLOOKUP(H1815,Клиенты!$A$2:$E$1995,5,FALSE())</f>
        <v>г. Слободской</v>
      </c>
      <c r="J1815" s="1" t="n">
        <f aca="false">VLOOKUP(B1815,Заказы!$A$2:$E$2995,4,FALSE())</f>
        <v>617</v>
      </c>
      <c r="K1815" s="1" t="str">
        <f aca="false">VLOOKUP(B1815,Заказы!$A$2:$E$2995,5,FALSE())</f>
        <v>Выполнено</v>
      </c>
      <c r="L1815" s="1" t="n">
        <f aca="false">D1815*F1815+J1815</f>
        <v>5567</v>
      </c>
      <c r="M1815" s="1" t="n">
        <f aca="false">IF(AND(E1815="Пицца Труслейка",I1815="г. Москва",K1815="Выполнено",G1815&gt;=DATE(2020,7,1),G1815&lt;DATE(2020,8,1)),L1815,0)</f>
        <v>0</v>
      </c>
    </row>
    <row r="1816" customFormat="false" ht="15" hidden="false" customHeight="true" outlineLevel="0" collapsed="false">
      <c r="A1816" s="1" t="n">
        <v>100244</v>
      </c>
      <c r="B1816" s="1" t="n">
        <v>51744</v>
      </c>
      <c r="C1816" s="1" t="n">
        <v>13</v>
      </c>
      <c r="D1816" s="1" t="n">
        <v>6</v>
      </c>
      <c r="E1816" s="1" t="str">
        <f aca="false">VLOOKUP(C1816,Меню!$A$2:$C$24,2,FALSE())</f>
        <v>Пицца Сырная</v>
      </c>
      <c r="F1816" s="1" t="n">
        <f aca="false">VLOOKUP(C1816,Меню!$A$2:$C$24,3,FALSE())</f>
        <v>635</v>
      </c>
      <c r="G1816" s="5" t="n">
        <f aca="false">VLOOKUP(B1816,Заказы!$A$2:$E$2995,2,FALSE())</f>
        <v>44059</v>
      </c>
      <c r="H1816" s="1" t="n">
        <f aca="false">VLOOKUP(B1816,Заказы!$A$2:$E$2995,3,FALSE())</f>
        <v>1960</v>
      </c>
      <c r="I1816" s="1" t="str">
        <f aca="false">VLOOKUP(H1816,Клиенты!$A$2:$E$1995,5,FALSE())</f>
        <v>г. Москва</v>
      </c>
      <c r="J1816" s="1" t="n">
        <f aca="false">VLOOKUP(B1816,Заказы!$A$2:$E$2995,4,FALSE())</f>
        <v>381</v>
      </c>
      <c r="K1816" s="1" t="str">
        <f aca="false">VLOOKUP(B1816,Заказы!$A$2:$E$2995,5,FALSE())</f>
        <v>Выполнено</v>
      </c>
      <c r="L1816" s="1" t="n">
        <f aca="false">D1816*F1816+J1816</f>
        <v>4191</v>
      </c>
      <c r="M1816" s="1" t="n">
        <f aca="false">IF(AND(E1816="Пицца Труслейка",I1816="г. Москва",K1816="Выполнено",G1816&gt;=DATE(2020,7,1),G1816&lt;DATE(2020,8,1)),L1816,0)</f>
        <v>0</v>
      </c>
    </row>
    <row r="1817" customFormat="false" ht="15" hidden="false" customHeight="true" outlineLevel="0" collapsed="false">
      <c r="A1817" s="1" t="n">
        <v>101042</v>
      </c>
      <c r="B1817" s="1" t="n">
        <v>51609</v>
      </c>
      <c r="C1817" s="1" t="n">
        <v>12</v>
      </c>
      <c r="D1817" s="1" t="n">
        <v>10</v>
      </c>
      <c r="E1817" s="1" t="str">
        <f aca="false">VLOOKUP(C1817,Меню!$A$2:$C$24,2,FALSE())</f>
        <v>Пицца Салями с трюфелем</v>
      </c>
      <c r="F1817" s="1" t="n">
        <f aca="false">VLOOKUP(C1817,Меню!$A$2:$C$24,3,FALSE())</f>
        <v>525</v>
      </c>
      <c r="G1817" s="5" t="n">
        <f aca="false">VLOOKUP(B1817,Заказы!$A$2:$E$2995,2,FALSE())</f>
        <v>44047</v>
      </c>
      <c r="H1817" s="1" t="n">
        <f aca="false">VLOOKUP(B1817,Заказы!$A$2:$E$2995,3,FALSE())</f>
        <v>1626</v>
      </c>
      <c r="I1817" s="1" t="str">
        <f aca="false">VLOOKUP(H1817,Клиенты!$A$2:$E$1995,5,FALSE())</f>
        <v>г. Барыш</v>
      </c>
      <c r="J1817" s="1" t="n">
        <f aca="false">VLOOKUP(B1817,Заказы!$A$2:$E$2995,4,FALSE())</f>
        <v>656</v>
      </c>
      <c r="K1817" s="1" t="str">
        <f aca="false">VLOOKUP(B1817,Заказы!$A$2:$E$2995,5,FALSE())</f>
        <v>Выполнено</v>
      </c>
      <c r="L1817" s="1" t="n">
        <f aca="false">D1817*F1817+J1817</f>
        <v>5906</v>
      </c>
      <c r="M1817" s="1" t="n">
        <f aca="false">IF(AND(E1817="Пицца Труслейка",I1817="г. Москва",K1817="Выполнено",G1817&gt;=DATE(2020,7,1),G1817&lt;DATE(2020,8,1)),L1817,0)</f>
        <v>0</v>
      </c>
    </row>
    <row r="1818" customFormat="false" ht="15" hidden="false" customHeight="true" outlineLevel="0" collapsed="false">
      <c r="A1818" s="1" t="n">
        <v>101488</v>
      </c>
      <c r="B1818" s="1" t="n">
        <v>51903</v>
      </c>
      <c r="C1818" s="1" t="n">
        <v>1</v>
      </c>
      <c r="D1818" s="1" t="n">
        <v>1</v>
      </c>
      <c r="E1818" s="1" t="str">
        <f aca="false">VLOOKUP(C1818,Меню!$A$2:$C$24,2,FALSE())</f>
        <v>Пицца Гавайская</v>
      </c>
      <c r="F1818" s="1" t="n">
        <f aca="false">VLOOKUP(C1818,Меню!$A$2:$C$24,3,FALSE())</f>
        <v>545</v>
      </c>
      <c r="G1818" s="5" t="n">
        <f aca="false">VLOOKUP(B1818,Заказы!$A$2:$E$2995,2,FALSE())</f>
        <v>44009</v>
      </c>
      <c r="H1818" s="1" t="n">
        <f aca="false">VLOOKUP(B1818,Заказы!$A$2:$E$2995,3,FALSE())</f>
        <v>1177</v>
      </c>
      <c r="I1818" s="1" t="str">
        <f aca="false">VLOOKUP(H1818,Клиенты!$A$2:$E$1995,5,FALSE())</f>
        <v>г. Пудож</v>
      </c>
      <c r="J1818" s="1" t="n">
        <f aca="false">VLOOKUP(B1818,Заказы!$A$2:$E$2995,4,FALSE())</f>
        <v>0</v>
      </c>
      <c r="K1818" s="1" t="str">
        <f aca="false">VLOOKUP(B1818,Заказы!$A$2:$E$2995,5,FALSE())</f>
        <v>Не выполнено</v>
      </c>
      <c r="L1818" s="1" t="n">
        <f aca="false">D1818*F1818+J1818</f>
        <v>545</v>
      </c>
      <c r="M1818" s="1" t="n">
        <f aca="false">IF(AND(E1818="Пицца Труслейка",I1818="г. Москва",K1818="Выполнено",G1818&gt;=DATE(2020,7,1),G1818&lt;DATE(2020,8,1)),L1818,0)</f>
        <v>0</v>
      </c>
    </row>
    <row r="1819" customFormat="false" ht="15" hidden="false" customHeight="true" outlineLevel="0" collapsed="false">
      <c r="A1819" s="1" t="n">
        <v>100950</v>
      </c>
      <c r="B1819" s="1" t="n">
        <v>50095</v>
      </c>
      <c r="C1819" s="1" t="n">
        <v>13</v>
      </c>
      <c r="D1819" s="1" t="n">
        <v>1</v>
      </c>
      <c r="E1819" s="1" t="str">
        <f aca="false">VLOOKUP(C1819,Меню!$A$2:$C$24,2,FALSE())</f>
        <v>Пицца Сырная</v>
      </c>
      <c r="F1819" s="1" t="n">
        <f aca="false">VLOOKUP(C1819,Меню!$A$2:$C$24,3,FALSE())</f>
        <v>635</v>
      </c>
      <c r="G1819" s="5" t="n">
        <f aca="false">VLOOKUP(B1819,Заказы!$A$2:$E$2995,2,FALSE())</f>
        <v>43993</v>
      </c>
      <c r="H1819" s="1" t="n">
        <f aca="false">VLOOKUP(B1819,Заказы!$A$2:$E$2995,3,FALSE())</f>
        <v>1845</v>
      </c>
      <c r="I1819" s="1" t="str">
        <f aca="false">VLOOKUP(H1819,Клиенты!$A$2:$E$1995,5,FALSE())</f>
        <v>г. Щигры</v>
      </c>
      <c r="J1819" s="1" t="n">
        <f aca="false">VLOOKUP(B1819,Заказы!$A$2:$E$2995,4,FALSE())</f>
        <v>0</v>
      </c>
      <c r="K1819" s="1" t="str">
        <f aca="false">VLOOKUP(B1819,Заказы!$A$2:$E$2995,5,FALSE())</f>
        <v>Не выполнено</v>
      </c>
      <c r="L1819" s="1" t="n">
        <f aca="false">D1819*F1819+J1819</f>
        <v>635</v>
      </c>
      <c r="M1819" s="1" t="n">
        <f aca="false">IF(AND(E1819="Пицца Труслейка",I1819="г. Москва",K1819="Выполнено",G1819&gt;=DATE(2020,7,1),G1819&lt;DATE(2020,8,1)),L1819,0)</f>
        <v>0</v>
      </c>
    </row>
    <row r="1820" customFormat="false" ht="15" hidden="false" customHeight="true" outlineLevel="0" collapsed="false">
      <c r="A1820" s="1" t="n">
        <v>100339</v>
      </c>
      <c r="B1820" s="1" t="n">
        <v>51333</v>
      </c>
      <c r="C1820" s="1" t="n">
        <v>17</v>
      </c>
      <c r="D1820" s="1" t="n">
        <v>8</v>
      </c>
      <c r="E1820" s="1" t="str">
        <f aca="false">VLOOKUP(C1820,Меню!$A$2:$C$24,2,FALSE())</f>
        <v>Пицца Френч Фрайз</v>
      </c>
      <c r="F1820" s="1" t="n">
        <f aca="false">VLOOKUP(C1820,Меню!$A$2:$C$24,3,FALSE())</f>
        <v>515</v>
      </c>
      <c r="G1820" s="5" t="n">
        <f aca="false">VLOOKUP(B1820,Заказы!$A$2:$E$2995,2,FALSE())</f>
        <v>44029</v>
      </c>
      <c r="H1820" s="1" t="n">
        <f aca="false">VLOOKUP(B1820,Заказы!$A$2:$E$2995,3,FALSE())</f>
        <v>1725</v>
      </c>
      <c r="I1820" s="1" t="str">
        <f aca="false">VLOOKUP(H1820,Клиенты!$A$2:$E$1995,5,FALSE())</f>
        <v>г. Северобайкальск</v>
      </c>
      <c r="J1820" s="1" t="n">
        <f aca="false">VLOOKUP(B1820,Заказы!$A$2:$E$2995,4,FALSE())</f>
        <v>0</v>
      </c>
      <c r="K1820" s="1" t="str">
        <f aca="false">VLOOKUP(B1820,Заказы!$A$2:$E$2995,5,FALSE())</f>
        <v>Не выполнено</v>
      </c>
      <c r="L1820" s="1" t="n">
        <f aca="false">D1820*F1820+J1820</f>
        <v>4120</v>
      </c>
      <c r="M1820" s="1" t="n">
        <f aca="false">IF(AND(E1820="Пицца Труслейка",I1820="г. Москва",K1820="Выполнено",G1820&gt;=DATE(2020,7,1),G1820&lt;DATE(2020,8,1)),L1820,0)</f>
        <v>0</v>
      </c>
    </row>
    <row r="1821" customFormat="false" ht="15" hidden="false" customHeight="true" outlineLevel="0" collapsed="false">
      <c r="A1821" s="1" t="n">
        <v>100316</v>
      </c>
      <c r="B1821" s="1" t="n">
        <v>51213</v>
      </c>
      <c r="C1821" s="1" t="n">
        <v>4</v>
      </c>
      <c r="D1821" s="1" t="n">
        <v>5</v>
      </c>
      <c r="E1821" s="1" t="str">
        <f aca="false">VLOOKUP(C1821,Меню!$A$2:$C$24,2,FALSE())</f>
        <v>Пицца Труслейка</v>
      </c>
      <c r="F1821" s="1" t="n">
        <f aca="false">VLOOKUP(C1821,Меню!$A$2:$C$24,3,FALSE())</f>
        <v>610</v>
      </c>
      <c r="G1821" s="5" t="n">
        <f aca="false">VLOOKUP(B1821,Заказы!$A$2:$E$2995,2,FALSE())</f>
        <v>44064</v>
      </c>
      <c r="H1821" s="1" t="n">
        <f aca="false">VLOOKUP(B1821,Заказы!$A$2:$E$2995,3,FALSE())</f>
        <v>1280</v>
      </c>
      <c r="I1821" s="1" t="str">
        <f aca="false">VLOOKUP(H1821,Клиенты!$A$2:$E$1995,5,FALSE())</f>
        <v>г. Москва</v>
      </c>
      <c r="J1821" s="1" t="n">
        <f aca="false">VLOOKUP(B1821,Заказы!$A$2:$E$2995,4,FALSE())</f>
        <v>333</v>
      </c>
      <c r="K1821" s="1" t="str">
        <f aca="false">VLOOKUP(B1821,Заказы!$A$2:$E$2995,5,FALSE())</f>
        <v>Выполнено</v>
      </c>
      <c r="L1821" s="1" t="n">
        <f aca="false">D1821*F1821+J1821</f>
        <v>3383</v>
      </c>
      <c r="M1821" s="1" t="n">
        <f aca="false">IF(AND(E1821="Пицца Труслейка",I1821="г. Москва",K1821="Выполнено",G1821&gt;=DATE(2020,7,1),G1821&lt;DATE(2020,8,1)),L1821,0)</f>
        <v>0</v>
      </c>
    </row>
    <row r="1822" customFormat="false" ht="15" hidden="false" customHeight="true" outlineLevel="0" collapsed="false">
      <c r="A1822" s="1" t="n">
        <v>101728</v>
      </c>
      <c r="B1822" s="1" t="n">
        <v>50486</v>
      </c>
      <c r="C1822" s="1" t="n">
        <v>9</v>
      </c>
      <c r="D1822" s="1" t="n">
        <v>8</v>
      </c>
      <c r="E1822" s="1" t="str">
        <f aca="false">VLOOKUP(C1822,Меню!$A$2:$C$24,2,FALSE())</f>
        <v>Пицца Острая с беконом</v>
      </c>
      <c r="F1822" s="1" t="n">
        <f aca="false">VLOOKUP(C1822,Меню!$A$2:$C$24,3,FALSE())</f>
        <v>540</v>
      </c>
      <c r="G1822" s="5" t="n">
        <f aca="false">VLOOKUP(B1822,Заказы!$A$2:$E$2995,2,FALSE())</f>
        <v>44062</v>
      </c>
      <c r="H1822" s="1" t="n">
        <f aca="false">VLOOKUP(B1822,Заказы!$A$2:$E$2995,3,FALSE())</f>
        <v>791</v>
      </c>
      <c r="I1822" s="1" t="str">
        <f aca="false">VLOOKUP(H1822,Клиенты!$A$2:$E$1995,5,FALSE())</f>
        <v>г. Сольвычегодск</v>
      </c>
      <c r="J1822" s="1" t="n">
        <f aca="false">VLOOKUP(B1822,Заказы!$A$2:$E$2995,4,FALSE())</f>
        <v>0</v>
      </c>
      <c r="K1822" s="1" t="str">
        <f aca="false">VLOOKUP(B1822,Заказы!$A$2:$E$2995,5,FALSE())</f>
        <v>Не выполнено</v>
      </c>
      <c r="L1822" s="1" t="n">
        <f aca="false">D1822*F1822+J1822</f>
        <v>4320</v>
      </c>
      <c r="M1822" s="1" t="n">
        <f aca="false">IF(AND(E1822="Пицца Труслейка",I1822="г. Москва",K1822="Выполнено",G1822&gt;=DATE(2020,7,1),G1822&lt;DATE(2020,8,1)),L1822,0)</f>
        <v>0</v>
      </c>
    </row>
    <row r="1823" customFormat="false" ht="15" hidden="false" customHeight="true" outlineLevel="0" collapsed="false">
      <c r="A1823" s="1" t="n">
        <v>101011</v>
      </c>
      <c r="B1823" s="1" t="n">
        <v>51216</v>
      </c>
      <c r="C1823" s="1" t="n">
        <v>16</v>
      </c>
      <c r="D1823" s="1" t="n">
        <v>8</v>
      </c>
      <c r="E1823" s="1" t="str">
        <f aca="false">VLOOKUP(C1823,Меню!$A$2:$C$24,2,FALSE())</f>
        <v>Пицца Флорида</v>
      </c>
      <c r="F1823" s="1" t="n">
        <f aca="false">VLOOKUP(C1823,Меню!$A$2:$C$24,3,FALSE())</f>
        <v>535</v>
      </c>
      <c r="G1823" s="5" t="n">
        <f aca="false">VLOOKUP(B1823,Заказы!$A$2:$E$2995,2,FALSE())</f>
        <v>44016</v>
      </c>
      <c r="H1823" s="1" t="n">
        <f aca="false">VLOOKUP(B1823,Заказы!$A$2:$E$2995,3,FALSE())</f>
        <v>1194</v>
      </c>
      <c r="I1823" s="1" t="str">
        <f aca="false">VLOOKUP(H1823,Клиенты!$A$2:$E$1995,5,FALSE())</f>
        <v>г. Гдов</v>
      </c>
      <c r="J1823" s="1" t="n">
        <f aca="false">VLOOKUP(B1823,Заказы!$A$2:$E$2995,4,FALSE())</f>
        <v>274</v>
      </c>
      <c r="K1823" s="1" t="str">
        <f aca="false">VLOOKUP(B1823,Заказы!$A$2:$E$2995,5,FALSE())</f>
        <v>Выполнено</v>
      </c>
      <c r="L1823" s="1" t="n">
        <f aca="false">D1823*F1823+J1823</f>
        <v>4554</v>
      </c>
      <c r="M1823" s="1" t="n">
        <f aca="false">IF(AND(E1823="Пицца Труслейка",I1823="г. Москва",K1823="Выполнено",G1823&gt;=DATE(2020,7,1),G1823&lt;DATE(2020,8,1)),L1823,0)</f>
        <v>0</v>
      </c>
    </row>
    <row r="1824" customFormat="false" ht="15" hidden="false" customHeight="true" outlineLevel="0" collapsed="false">
      <c r="A1824" s="1" t="n">
        <v>101437</v>
      </c>
      <c r="B1824" s="1" t="n">
        <v>50318</v>
      </c>
      <c r="C1824" s="1" t="n">
        <v>3</v>
      </c>
      <c r="D1824" s="1" t="n">
        <v>3</v>
      </c>
      <c r="E1824" s="1" t="str">
        <f aca="false">VLOOKUP(C1824,Меню!$A$2:$C$24,2,FALSE())</f>
        <v>Пицца Диабло</v>
      </c>
      <c r="F1824" s="1" t="n">
        <f aca="false">VLOOKUP(C1824,Меню!$A$2:$C$24,3,FALSE())</f>
        <v>590</v>
      </c>
      <c r="G1824" s="5" t="n">
        <f aca="false">VLOOKUP(B1824,Заказы!$A$2:$E$2995,2,FALSE())</f>
        <v>44010</v>
      </c>
      <c r="H1824" s="1" t="n">
        <f aca="false">VLOOKUP(B1824,Заказы!$A$2:$E$2995,3,FALSE())</f>
        <v>384</v>
      </c>
      <c r="I1824" s="1" t="str">
        <f aca="false">VLOOKUP(H1824,Клиенты!$A$2:$E$1995,5,FALSE())</f>
        <v>г. Салехард</v>
      </c>
      <c r="J1824" s="1" t="n">
        <f aca="false">VLOOKUP(B1824,Заказы!$A$2:$E$2995,4,FALSE())</f>
        <v>0</v>
      </c>
      <c r="K1824" s="1" t="str">
        <f aca="false">VLOOKUP(B1824,Заказы!$A$2:$E$2995,5,FALSE())</f>
        <v>Не выполнено</v>
      </c>
      <c r="L1824" s="1" t="n">
        <f aca="false">D1824*F1824+J1824</f>
        <v>1770</v>
      </c>
      <c r="M1824" s="1" t="n">
        <f aca="false">IF(AND(E1824="Пицца Труслейка",I1824="г. Москва",K1824="Выполнено",G1824&gt;=DATE(2020,7,1),G1824&lt;DATE(2020,8,1)),L1824,0)</f>
        <v>0</v>
      </c>
    </row>
    <row r="1825" customFormat="false" ht="15" hidden="false" customHeight="true" outlineLevel="0" collapsed="false">
      <c r="A1825" s="1" t="n">
        <v>100171</v>
      </c>
      <c r="B1825" s="1" t="n">
        <v>51026</v>
      </c>
      <c r="C1825" s="1" t="n">
        <v>4</v>
      </c>
      <c r="D1825" s="1" t="n">
        <v>3</v>
      </c>
      <c r="E1825" s="1" t="str">
        <f aca="false">VLOOKUP(C1825,Меню!$A$2:$C$24,2,FALSE())</f>
        <v>Пицца Труслейка</v>
      </c>
      <c r="F1825" s="1" t="n">
        <f aca="false">VLOOKUP(C1825,Меню!$A$2:$C$24,3,FALSE())</f>
        <v>610</v>
      </c>
      <c r="G1825" s="5" t="n">
        <f aca="false">VLOOKUP(B1825,Заказы!$A$2:$E$2995,2,FALSE())</f>
        <v>43999</v>
      </c>
      <c r="H1825" s="1" t="n">
        <f aca="false">VLOOKUP(B1825,Заказы!$A$2:$E$2995,3,FALSE())</f>
        <v>1445</v>
      </c>
      <c r="I1825" s="1" t="str">
        <f aca="false">VLOOKUP(H1825,Клиенты!$A$2:$E$1995,5,FALSE())</f>
        <v>г. Ржев</v>
      </c>
      <c r="J1825" s="1" t="n">
        <f aca="false">VLOOKUP(B1825,Заказы!$A$2:$E$2995,4,FALSE())</f>
        <v>835</v>
      </c>
      <c r="K1825" s="1" t="str">
        <f aca="false">VLOOKUP(B1825,Заказы!$A$2:$E$2995,5,FALSE())</f>
        <v>Выполнено</v>
      </c>
      <c r="L1825" s="1" t="n">
        <f aca="false">D1825*F1825+J1825</f>
        <v>2665</v>
      </c>
      <c r="M1825" s="1" t="n">
        <f aca="false">IF(AND(E1825="Пицца Труслейка",I1825="г. Москва",K1825="Выполнено",G1825&gt;=DATE(2020,7,1),G1825&lt;DATE(2020,8,1)),L1825,0)</f>
        <v>0</v>
      </c>
    </row>
    <row r="1826" customFormat="false" ht="15" hidden="false" customHeight="true" outlineLevel="0" collapsed="false">
      <c r="A1826" s="1" t="n">
        <v>100409</v>
      </c>
      <c r="B1826" s="1" t="n">
        <v>51484</v>
      </c>
      <c r="C1826" s="1" t="n">
        <v>16</v>
      </c>
      <c r="D1826" s="1" t="n">
        <v>7</v>
      </c>
      <c r="E1826" s="1" t="str">
        <f aca="false">VLOOKUP(C1826,Меню!$A$2:$C$24,2,FALSE())</f>
        <v>Пицца Флорида</v>
      </c>
      <c r="F1826" s="1" t="n">
        <f aca="false">VLOOKUP(C1826,Меню!$A$2:$C$24,3,FALSE())</f>
        <v>535</v>
      </c>
      <c r="G1826" s="5" t="n">
        <f aca="false">VLOOKUP(B1826,Заказы!$A$2:$E$2995,2,FALSE())</f>
        <v>44021</v>
      </c>
      <c r="H1826" s="1" t="n">
        <f aca="false">VLOOKUP(B1826,Заказы!$A$2:$E$2995,3,FALSE())</f>
        <v>1689</v>
      </c>
      <c r="I1826" s="1" t="str">
        <f aca="false">VLOOKUP(H1826,Клиенты!$A$2:$E$1995,5,FALSE())</f>
        <v>г. Троицк</v>
      </c>
      <c r="J1826" s="1" t="n">
        <f aca="false">VLOOKUP(B1826,Заказы!$A$2:$E$2995,4,FALSE())</f>
        <v>728</v>
      </c>
      <c r="K1826" s="1" t="str">
        <f aca="false">VLOOKUP(B1826,Заказы!$A$2:$E$2995,5,FALSE())</f>
        <v>Выполнено</v>
      </c>
      <c r="L1826" s="1" t="n">
        <f aca="false">D1826*F1826+J1826</f>
        <v>4473</v>
      </c>
      <c r="M1826" s="1" t="n">
        <f aca="false">IF(AND(E1826="Пицца Труслейка",I1826="г. Москва",K1826="Выполнено",G1826&gt;=DATE(2020,7,1),G1826&lt;DATE(2020,8,1)),L1826,0)</f>
        <v>0</v>
      </c>
    </row>
    <row r="1827" customFormat="false" ht="15" hidden="false" customHeight="true" outlineLevel="0" collapsed="false">
      <c r="A1827" s="1" t="n">
        <v>101044</v>
      </c>
      <c r="B1827" s="1" t="n">
        <v>50344</v>
      </c>
      <c r="C1827" s="1" t="n">
        <v>7</v>
      </c>
      <c r="D1827" s="1" t="n">
        <v>8</v>
      </c>
      <c r="E1827" s="1" t="str">
        <f aca="false">VLOOKUP(C1827,Меню!$A$2:$C$24,2,FALSE())</f>
        <v>Пицца Карбонара</v>
      </c>
      <c r="F1827" s="1" t="n">
        <f aca="false">VLOOKUP(C1827,Меню!$A$2:$C$24,3,FALSE())</f>
        <v>625</v>
      </c>
      <c r="G1827" s="5" t="n">
        <f aca="false">VLOOKUP(B1827,Заказы!$A$2:$E$2995,2,FALSE())</f>
        <v>44061</v>
      </c>
      <c r="H1827" s="1" t="n">
        <f aca="false">VLOOKUP(B1827,Заказы!$A$2:$E$2995,3,FALSE())</f>
        <v>345</v>
      </c>
      <c r="I1827" s="1" t="str">
        <f aca="false">VLOOKUP(H1827,Клиенты!$A$2:$E$1995,5,FALSE())</f>
        <v>г. Аша</v>
      </c>
      <c r="J1827" s="1" t="n">
        <f aca="false">VLOOKUP(B1827,Заказы!$A$2:$E$2995,4,FALSE())</f>
        <v>573</v>
      </c>
      <c r="K1827" s="1" t="str">
        <f aca="false">VLOOKUP(B1827,Заказы!$A$2:$E$2995,5,FALSE())</f>
        <v>Выполнено</v>
      </c>
      <c r="L1827" s="1" t="n">
        <f aca="false">D1827*F1827+J1827</f>
        <v>5573</v>
      </c>
      <c r="M1827" s="1" t="n">
        <f aca="false">IF(AND(E1827="Пицца Труслейка",I1827="г. Москва",K1827="Выполнено",G1827&gt;=DATE(2020,7,1),G1827&lt;DATE(2020,8,1)),L1827,0)</f>
        <v>0</v>
      </c>
    </row>
    <row r="1828" customFormat="false" ht="15" hidden="false" customHeight="true" outlineLevel="0" collapsed="false">
      <c r="A1828" s="1" t="n">
        <v>101740</v>
      </c>
      <c r="B1828" s="1" t="n">
        <v>51538</v>
      </c>
      <c r="C1828" s="1" t="n">
        <v>23</v>
      </c>
      <c r="D1828" s="1" t="n">
        <v>9</v>
      </c>
      <c r="E1828" s="1" t="str">
        <f aca="false">VLOOKUP(C1828,Меню!$A$2:$C$24,2,FALSE())</f>
        <v>Пицца с тунцом</v>
      </c>
      <c r="F1828" s="1" t="n">
        <f aca="false">VLOOKUP(C1828,Меню!$A$2:$C$24,3,FALSE())</f>
        <v>520</v>
      </c>
      <c r="G1828" s="5" t="n">
        <f aca="false">VLOOKUP(B1828,Заказы!$A$2:$E$2995,2,FALSE())</f>
        <v>43999</v>
      </c>
      <c r="H1828" s="1" t="n">
        <f aca="false">VLOOKUP(B1828,Заказы!$A$2:$E$2995,3,FALSE())</f>
        <v>369</v>
      </c>
      <c r="I1828" s="1" t="str">
        <f aca="false">VLOOKUP(H1828,Клиенты!$A$2:$E$1995,5,FALSE())</f>
        <v>г. Зима</v>
      </c>
      <c r="J1828" s="1" t="n">
        <f aca="false">VLOOKUP(B1828,Заказы!$A$2:$E$2995,4,FALSE())</f>
        <v>747</v>
      </c>
      <c r="K1828" s="1" t="str">
        <f aca="false">VLOOKUP(B1828,Заказы!$A$2:$E$2995,5,FALSE())</f>
        <v>Выполнено</v>
      </c>
      <c r="L1828" s="1" t="n">
        <f aca="false">D1828*F1828+J1828</f>
        <v>5427</v>
      </c>
      <c r="M1828" s="1" t="n">
        <f aca="false">IF(AND(E1828="Пицца Труслейка",I1828="г. Москва",K1828="Выполнено",G1828&gt;=DATE(2020,7,1),G1828&lt;DATE(2020,8,1)),L1828,0)</f>
        <v>0</v>
      </c>
    </row>
    <row r="1829" customFormat="false" ht="15" hidden="false" customHeight="true" outlineLevel="0" collapsed="false">
      <c r="A1829" s="1" t="n">
        <v>101650</v>
      </c>
      <c r="B1829" s="1" t="n">
        <v>50778</v>
      </c>
      <c r="C1829" s="1" t="n">
        <v>12</v>
      </c>
      <c r="D1829" s="1" t="n">
        <v>6</v>
      </c>
      <c r="E1829" s="1" t="str">
        <f aca="false">VLOOKUP(C1829,Меню!$A$2:$C$24,2,FALSE())</f>
        <v>Пицца Салями с трюфелем</v>
      </c>
      <c r="F1829" s="1" t="n">
        <f aca="false">VLOOKUP(C1829,Меню!$A$2:$C$24,3,FALSE())</f>
        <v>525</v>
      </c>
      <c r="G1829" s="5" t="n">
        <f aca="false">VLOOKUP(B1829,Заказы!$A$2:$E$2995,2,FALSE())</f>
        <v>44043</v>
      </c>
      <c r="H1829" s="1" t="n">
        <f aca="false">VLOOKUP(B1829,Заказы!$A$2:$E$2995,3,FALSE())</f>
        <v>35</v>
      </c>
      <c r="I1829" s="1" t="str">
        <f aca="false">VLOOKUP(H1829,Клиенты!$A$2:$E$1995,5,FALSE())</f>
        <v>г. Михайловск</v>
      </c>
      <c r="J1829" s="1" t="n">
        <f aca="false">VLOOKUP(B1829,Заказы!$A$2:$E$2995,4,FALSE())</f>
        <v>0</v>
      </c>
      <c r="K1829" s="1" t="str">
        <f aca="false">VLOOKUP(B1829,Заказы!$A$2:$E$2995,5,FALSE())</f>
        <v>Не выполнено</v>
      </c>
      <c r="L1829" s="1" t="n">
        <f aca="false">D1829*F1829+J1829</f>
        <v>3150</v>
      </c>
      <c r="M1829" s="1" t="n">
        <f aca="false">IF(AND(E1829="Пицца Труслейка",I1829="г. Москва",K1829="Выполнено",G1829&gt;=DATE(2020,7,1),G1829&lt;DATE(2020,8,1)),L1829,0)</f>
        <v>0</v>
      </c>
    </row>
    <row r="1830" customFormat="false" ht="15" hidden="false" customHeight="true" outlineLevel="0" collapsed="false">
      <c r="A1830" s="1" t="n">
        <v>100221</v>
      </c>
      <c r="B1830" s="1" t="n">
        <v>51121</v>
      </c>
      <c r="C1830" s="1" t="n">
        <v>14</v>
      </c>
      <c r="D1830" s="1" t="n">
        <v>9</v>
      </c>
      <c r="E1830" s="1" t="str">
        <f aca="false">VLOOKUP(C1830,Меню!$A$2:$C$24,2,FALSE())</f>
        <v>Пицца Сырный цыпленок</v>
      </c>
      <c r="F1830" s="1" t="n">
        <f aca="false">VLOOKUP(C1830,Меню!$A$2:$C$24,3,FALSE())</f>
        <v>555</v>
      </c>
      <c r="G1830" s="5" t="n">
        <f aca="false">VLOOKUP(B1830,Заказы!$A$2:$E$2995,2,FALSE())</f>
        <v>43990</v>
      </c>
      <c r="H1830" s="1" t="n">
        <f aca="false">VLOOKUP(B1830,Заказы!$A$2:$E$2995,3,FALSE())</f>
        <v>1457</v>
      </c>
      <c r="I1830" s="1" t="str">
        <f aca="false">VLOOKUP(H1830,Клиенты!$A$2:$E$1995,5,FALSE())</f>
        <v>г. Ишим</v>
      </c>
      <c r="J1830" s="1" t="n">
        <f aca="false">VLOOKUP(B1830,Заказы!$A$2:$E$2995,4,FALSE())</f>
        <v>552</v>
      </c>
      <c r="K1830" s="1" t="str">
        <f aca="false">VLOOKUP(B1830,Заказы!$A$2:$E$2995,5,FALSE())</f>
        <v>Выполнено</v>
      </c>
      <c r="L1830" s="1" t="n">
        <f aca="false">D1830*F1830+J1830</f>
        <v>5547</v>
      </c>
      <c r="M1830" s="1" t="n">
        <f aca="false">IF(AND(E1830="Пицца Труслейка",I1830="г. Москва",K1830="Выполнено",G1830&gt;=DATE(2020,7,1),G1830&lt;DATE(2020,8,1)),L1830,0)</f>
        <v>0</v>
      </c>
    </row>
    <row r="1831" customFormat="false" ht="15" hidden="false" customHeight="true" outlineLevel="0" collapsed="false">
      <c r="A1831" s="1" t="n">
        <v>100845</v>
      </c>
      <c r="B1831" s="1" t="n">
        <v>50163</v>
      </c>
      <c r="C1831" s="1" t="n">
        <v>4</v>
      </c>
      <c r="D1831" s="1" t="n">
        <v>5</v>
      </c>
      <c r="E1831" s="1" t="str">
        <f aca="false">VLOOKUP(C1831,Меню!$A$2:$C$24,2,FALSE())</f>
        <v>Пицца Труслейка</v>
      </c>
      <c r="F1831" s="1" t="n">
        <f aca="false">VLOOKUP(C1831,Меню!$A$2:$C$24,3,FALSE())</f>
        <v>610</v>
      </c>
      <c r="G1831" s="5" t="n">
        <f aca="false">VLOOKUP(B1831,Заказы!$A$2:$E$2995,2,FALSE())</f>
        <v>44024</v>
      </c>
      <c r="H1831" s="1" t="n">
        <f aca="false">VLOOKUP(B1831,Заказы!$A$2:$E$2995,3,FALSE())</f>
        <v>126</v>
      </c>
      <c r="I1831" s="1" t="str">
        <f aca="false">VLOOKUP(H1831,Клиенты!$A$2:$E$1995,5,FALSE())</f>
        <v>г. Хилок</v>
      </c>
      <c r="J1831" s="1" t="n">
        <f aca="false">VLOOKUP(B1831,Заказы!$A$2:$E$2995,4,FALSE())</f>
        <v>0</v>
      </c>
      <c r="K1831" s="1" t="str">
        <f aca="false">VLOOKUP(B1831,Заказы!$A$2:$E$2995,5,FALSE())</f>
        <v>Не выполнено</v>
      </c>
      <c r="L1831" s="1" t="n">
        <f aca="false">D1831*F1831+J1831</f>
        <v>3050</v>
      </c>
      <c r="M1831" s="1" t="n">
        <f aca="false">IF(AND(E1831="Пицца Труслейка",I1831="г. Москва",K1831="Выполнено",G1831&gt;=DATE(2020,7,1),G1831&lt;DATE(2020,8,1)),L1831,0)</f>
        <v>0</v>
      </c>
    </row>
    <row r="1832" customFormat="false" ht="15" hidden="false" customHeight="true" outlineLevel="0" collapsed="false">
      <c r="A1832" s="1" t="n">
        <v>100369</v>
      </c>
      <c r="B1832" s="1" t="n">
        <v>51422</v>
      </c>
      <c r="C1832" s="1" t="n">
        <v>11</v>
      </c>
      <c r="D1832" s="1" t="n">
        <v>3</v>
      </c>
      <c r="E1832" s="1" t="str">
        <f aca="false">VLOOKUP(C1832,Меню!$A$2:$C$24,2,FALSE())</f>
        <v>Пицца Песто</v>
      </c>
      <c r="F1832" s="1" t="n">
        <f aca="false">VLOOKUP(C1832,Меню!$A$2:$C$24,3,FALSE())</f>
        <v>530</v>
      </c>
      <c r="G1832" s="5" t="n">
        <f aca="false">VLOOKUP(B1832,Заказы!$A$2:$E$2995,2,FALSE())</f>
        <v>43986</v>
      </c>
      <c r="H1832" s="1" t="n">
        <f aca="false">VLOOKUP(B1832,Заказы!$A$2:$E$2995,3,FALSE())</f>
        <v>586</v>
      </c>
      <c r="I1832" s="1" t="str">
        <f aca="false">VLOOKUP(H1832,Клиенты!$A$2:$E$1995,5,FALSE())</f>
        <v>г. Терек</v>
      </c>
      <c r="J1832" s="1" t="n">
        <f aca="false">VLOOKUP(B1832,Заказы!$A$2:$E$2995,4,FALSE())</f>
        <v>548</v>
      </c>
      <c r="K1832" s="1" t="str">
        <f aca="false">VLOOKUP(B1832,Заказы!$A$2:$E$2995,5,FALSE())</f>
        <v>Выполнено</v>
      </c>
      <c r="L1832" s="1" t="n">
        <f aca="false">D1832*F1832+J1832</f>
        <v>2138</v>
      </c>
      <c r="M1832" s="1" t="n">
        <f aca="false">IF(AND(E1832="Пицца Труслейка",I1832="г. Москва",K1832="Выполнено",G1832&gt;=DATE(2020,7,1),G1832&lt;DATE(2020,8,1)),L1832,0)</f>
        <v>0</v>
      </c>
    </row>
    <row r="1833" customFormat="false" ht="15" hidden="false" customHeight="true" outlineLevel="0" collapsed="false">
      <c r="A1833" s="1" t="n">
        <v>101041</v>
      </c>
      <c r="B1833" s="1" t="n">
        <v>51338</v>
      </c>
      <c r="C1833" s="1" t="n">
        <v>22</v>
      </c>
      <c r="D1833" s="1" t="n">
        <v>4</v>
      </c>
      <c r="E1833" s="1" t="str">
        <f aca="false">VLOOKUP(C1833,Меню!$A$2:$C$24,2,FALSE())</f>
        <v>Пицца с поркеттой и фриарелли</v>
      </c>
      <c r="F1833" s="1" t="n">
        <f aca="false">VLOOKUP(C1833,Меню!$A$2:$C$24,3,FALSE())</f>
        <v>550</v>
      </c>
      <c r="G1833" s="5" t="n">
        <f aca="false">VLOOKUP(B1833,Заказы!$A$2:$E$2995,2,FALSE())</f>
        <v>43999</v>
      </c>
      <c r="H1833" s="1" t="n">
        <f aca="false">VLOOKUP(B1833,Заказы!$A$2:$E$2995,3,FALSE())</f>
        <v>19</v>
      </c>
      <c r="I1833" s="1" t="str">
        <f aca="false">VLOOKUP(H1833,Клиенты!$A$2:$E$1995,5,FALSE())</f>
        <v>г. Тогучин</v>
      </c>
      <c r="J1833" s="1" t="n">
        <f aca="false">VLOOKUP(B1833,Заказы!$A$2:$E$2995,4,FALSE())</f>
        <v>257</v>
      </c>
      <c r="K1833" s="1" t="str">
        <f aca="false">VLOOKUP(B1833,Заказы!$A$2:$E$2995,5,FALSE())</f>
        <v>Выполнено</v>
      </c>
      <c r="L1833" s="1" t="n">
        <f aca="false">D1833*F1833+J1833</f>
        <v>2457</v>
      </c>
      <c r="M1833" s="1" t="n">
        <f aca="false">IF(AND(E1833="Пицца Труслейка",I1833="г. Москва",K1833="Выполнено",G1833&gt;=DATE(2020,7,1),G1833&lt;DATE(2020,8,1)),L1833,0)</f>
        <v>0</v>
      </c>
    </row>
    <row r="1834" customFormat="false" ht="15" hidden="false" customHeight="true" outlineLevel="0" collapsed="false">
      <c r="A1834" s="1" t="n">
        <v>101836</v>
      </c>
      <c r="B1834" s="1" t="n">
        <v>51632</v>
      </c>
      <c r="C1834" s="1" t="n">
        <v>13</v>
      </c>
      <c r="D1834" s="1" t="n">
        <v>7</v>
      </c>
      <c r="E1834" s="1" t="str">
        <f aca="false">VLOOKUP(C1834,Меню!$A$2:$C$24,2,FALSE())</f>
        <v>Пицца Сырная</v>
      </c>
      <c r="F1834" s="1" t="n">
        <f aca="false">VLOOKUP(C1834,Меню!$A$2:$C$24,3,FALSE())</f>
        <v>635</v>
      </c>
      <c r="G1834" s="5" t="n">
        <f aca="false">VLOOKUP(B1834,Заказы!$A$2:$E$2995,2,FALSE())</f>
        <v>44029</v>
      </c>
      <c r="H1834" s="1" t="n">
        <f aca="false">VLOOKUP(B1834,Заказы!$A$2:$E$2995,3,FALSE())</f>
        <v>629</v>
      </c>
      <c r="I1834" s="1" t="str">
        <f aca="false">VLOOKUP(H1834,Клиенты!$A$2:$E$1995,5,FALSE())</f>
        <v>г. Энгельс</v>
      </c>
      <c r="J1834" s="1" t="n">
        <f aca="false">VLOOKUP(B1834,Заказы!$A$2:$E$2995,4,FALSE())</f>
        <v>863</v>
      </c>
      <c r="K1834" s="1" t="str">
        <f aca="false">VLOOKUP(B1834,Заказы!$A$2:$E$2995,5,FALSE())</f>
        <v>Выполнено</v>
      </c>
      <c r="L1834" s="1" t="n">
        <f aca="false">D1834*F1834+J1834</f>
        <v>5308</v>
      </c>
      <c r="M1834" s="1" t="n">
        <f aca="false">IF(AND(E1834="Пицца Труслейка",I1834="г. Москва",K1834="Выполнено",G1834&gt;=DATE(2020,7,1),G1834&lt;DATE(2020,8,1)),L1834,0)</f>
        <v>0</v>
      </c>
    </row>
    <row r="1835" customFormat="false" ht="15" hidden="false" customHeight="true" outlineLevel="0" collapsed="false">
      <c r="A1835" s="1" t="n">
        <v>100683</v>
      </c>
      <c r="B1835" s="1" t="n">
        <v>51709</v>
      </c>
      <c r="C1835" s="1" t="n">
        <v>3</v>
      </c>
      <c r="D1835" s="1" t="n">
        <v>3</v>
      </c>
      <c r="E1835" s="1" t="str">
        <f aca="false">VLOOKUP(C1835,Меню!$A$2:$C$24,2,FALSE())</f>
        <v>Пицца Диабло</v>
      </c>
      <c r="F1835" s="1" t="n">
        <f aca="false">VLOOKUP(C1835,Меню!$A$2:$C$24,3,FALSE())</f>
        <v>590</v>
      </c>
      <c r="G1835" s="5" t="n">
        <f aca="false">VLOOKUP(B1835,Заказы!$A$2:$E$2995,2,FALSE())</f>
        <v>44066</v>
      </c>
      <c r="H1835" s="1" t="n">
        <f aca="false">VLOOKUP(B1835,Заказы!$A$2:$E$2995,3,FALSE())</f>
        <v>1690</v>
      </c>
      <c r="I1835" s="1" t="str">
        <f aca="false">VLOOKUP(H1835,Клиенты!$A$2:$E$1995,5,FALSE())</f>
        <v>г. Москва</v>
      </c>
      <c r="J1835" s="1" t="n">
        <f aca="false">VLOOKUP(B1835,Заказы!$A$2:$E$2995,4,FALSE())</f>
        <v>756</v>
      </c>
      <c r="K1835" s="1" t="str">
        <f aca="false">VLOOKUP(B1835,Заказы!$A$2:$E$2995,5,FALSE())</f>
        <v>Выполнено</v>
      </c>
      <c r="L1835" s="1" t="n">
        <f aca="false">D1835*F1835+J1835</f>
        <v>2526</v>
      </c>
      <c r="M1835" s="1" t="n">
        <f aca="false">IF(AND(E1835="Пицца Труслейка",I1835="г. Москва",K1835="Выполнено",G1835&gt;=DATE(2020,7,1),G1835&lt;DATE(2020,8,1)),L1835,0)</f>
        <v>0</v>
      </c>
    </row>
    <row r="1836" customFormat="false" ht="15" hidden="false" customHeight="true" outlineLevel="0" collapsed="false">
      <c r="A1836" s="1" t="n">
        <v>100553</v>
      </c>
      <c r="B1836" s="1" t="n">
        <v>51877</v>
      </c>
      <c r="C1836" s="1" t="n">
        <v>16</v>
      </c>
      <c r="D1836" s="1" t="n">
        <v>7</v>
      </c>
      <c r="E1836" s="1" t="str">
        <f aca="false">VLOOKUP(C1836,Меню!$A$2:$C$24,2,FALSE())</f>
        <v>Пицца Флорида</v>
      </c>
      <c r="F1836" s="1" t="n">
        <f aca="false">VLOOKUP(C1836,Меню!$A$2:$C$24,3,FALSE())</f>
        <v>535</v>
      </c>
      <c r="G1836" s="5" t="n">
        <f aca="false">VLOOKUP(B1836,Заказы!$A$2:$E$2995,2,FALSE())</f>
        <v>43993</v>
      </c>
      <c r="H1836" s="1" t="n">
        <f aca="false">VLOOKUP(B1836,Заказы!$A$2:$E$2995,3,FALSE())</f>
        <v>1946</v>
      </c>
      <c r="I1836" s="1" t="str">
        <f aca="false">VLOOKUP(H1836,Клиенты!$A$2:$E$1995,5,FALSE())</f>
        <v>г. Октябрьск</v>
      </c>
      <c r="J1836" s="1" t="n">
        <f aca="false">VLOOKUP(B1836,Заказы!$A$2:$E$2995,4,FALSE())</f>
        <v>0</v>
      </c>
      <c r="K1836" s="1" t="str">
        <f aca="false">VLOOKUP(B1836,Заказы!$A$2:$E$2995,5,FALSE())</f>
        <v>Не выполнено</v>
      </c>
      <c r="L1836" s="1" t="n">
        <f aca="false">D1836*F1836+J1836</f>
        <v>3745</v>
      </c>
      <c r="M1836" s="1" t="n">
        <f aca="false">IF(AND(E1836="Пицца Труслейка",I1836="г. Москва",K1836="Выполнено",G1836&gt;=DATE(2020,7,1),G1836&lt;DATE(2020,8,1)),L1836,0)</f>
        <v>0</v>
      </c>
    </row>
    <row r="1837" customFormat="false" ht="15" hidden="false" customHeight="true" outlineLevel="0" collapsed="false">
      <c r="A1837" s="1" t="n">
        <v>101528</v>
      </c>
      <c r="B1837" s="1" t="n">
        <v>51358</v>
      </c>
      <c r="C1837" s="1" t="n">
        <v>20</v>
      </c>
      <c r="D1837" s="1" t="n">
        <v>10</v>
      </c>
      <c r="E1837" s="1" t="str">
        <f aca="false">VLOOKUP(C1837,Меню!$A$2:$C$24,2,FALSE())</f>
        <v>Пицца пиканте</v>
      </c>
      <c r="F1837" s="1" t="n">
        <f aca="false">VLOOKUP(C1837,Меню!$A$2:$C$24,3,FALSE())</f>
        <v>585</v>
      </c>
      <c r="G1837" s="5" t="n">
        <f aca="false">VLOOKUP(B1837,Заказы!$A$2:$E$2995,2,FALSE())</f>
        <v>44005</v>
      </c>
      <c r="H1837" s="1" t="n">
        <f aca="false">VLOOKUP(B1837,Заказы!$A$2:$E$2995,3,FALSE())</f>
        <v>1179</v>
      </c>
      <c r="I1837" s="1" t="str">
        <f aca="false">VLOOKUP(H1837,Клиенты!$A$2:$E$1995,5,FALSE())</f>
        <v>г. Сурск</v>
      </c>
      <c r="J1837" s="1" t="n">
        <f aca="false">VLOOKUP(B1837,Заказы!$A$2:$E$2995,4,FALSE())</f>
        <v>660</v>
      </c>
      <c r="K1837" s="1" t="str">
        <f aca="false">VLOOKUP(B1837,Заказы!$A$2:$E$2995,5,FALSE())</f>
        <v>Выполнено</v>
      </c>
      <c r="L1837" s="1" t="n">
        <f aca="false">D1837*F1837+J1837</f>
        <v>6510</v>
      </c>
      <c r="M1837" s="1" t="n">
        <f aca="false">IF(AND(E1837="Пицца Труслейка",I1837="г. Москва",K1837="Выполнено",G1837&gt;=DATE(2020,7,1),G1837&lt;DATE(2020,8,1)),L1837,0)</f>
        <v>0</v>
      </c>
    </row>
    <row r="1838" customFormat="false" ht="15" hidden="false" customHeight="true" outlineLevel="0" collapsed="false">
      <c r="A1838" s="1" t="n">
        <v>101537</v>
      </c>
      <c r="B1838" s="1" t="n">
        <v>51504</v>
      </c>
      <c r="C1838" s="1" t="n">
        <v>16</v>
      </c>
      <c r="D1838" s="1" t="n">
        <v>2</v>
      </c>
      <c r="E1838" s="1" t="str">
        <f aca="false">VLOOKUP(C1838,Меню!$A$2:$C$24,2,FALSE())</f>
        <v>Пицца Флорида</v>
      </c>
      <c r="F1838" s="1" t="n">
        <f aca="false">VLOOKUP(C1838,Меню!$A$2:$C$24,3,FALSE())</f>
        <v>535</v>
      </c>
      <c r="G1838" s="5" t="n">
        <f aca="false">VLOOKUP(B1838,Заказы!$A$2:$E$2995,2,FALSE())</f>
        <v>44020</v>
      </c>
      <c r="H1838" s="1" t="n">
        <f aca="false">VLOOKUP(B1838,Заказы!$A$2:$E$2995,3,FALSE())</f>
        <v>1400</v>
      </c>
      <c r="I1838" s="1" t="str">
        <f aca="false">VLOOKUP(H1838,Клиенты!$A$2:$E$1995,5,FALSE())</f>
        <v>г. Москва</v>
      </c>
      <c r="J1838" s="1" t="n">
        <f aca="false">VLOOKUP(B1838,Заказы!$A$2:$E$2995,4,FALSE())</f>
        <v>697</v>
      </c>
      <c r="K1838" s="1" t="str">
        <f aca="false">VLOOKUP(B1838,Заказы!$A$2:$E$2995,5,FALSE())</f>
        <v>Выполнено</v>
      </c>
      <c r="L1838" s="1" t="n">
        <f aca="false">D1838*F1838+J1838</f>
        <v>1767</v>
      </c>
      <c r="M1838" s="1" t="n">
        <f aca="false">IF(AND(E1838="Пицца Труслейка",I1838="г. Москва",K1838="Выполнено",G1838&gt;=DATE(2020,7,1),G1838&lt;DATE(2020,8,1)),L1838,0)</f>
        <v>0</v>
      </c>
    </row>
    <row r="1839" customFormat="false" ht="15" hidden="false" customHeight="true" outlineLevel="0" collapsed="false">
      <c r="A1839" s="1" t="n">
        <v>101180</v>
      </c>
      <c r="B1839" s="1" t="n">
        <v>50542</v>
      </c>
      <c r="C1839" s="1" t="n">
        <v>12</v>
      </c>
      <c r="D1839" s="1" t="n">
        <v>5</v>
      </c>
      <c r="E1839" s="1" t="str">
        <f aca="false">VLOOKUP(C1839,Меню!$A$2:$C$24,2,FALSE())</f>
        <v>Пицца Салями с трюфелем</v>
      </c>
      <c r="F1839" s="1" t="n">
        <f aca="false">VLOOKUP(C1839,Меню!$A$2:$C$24,3,FALSE())</f>
        <v>525</v>
      </c>
      <c r="G1839" s="5" t="n">
        <f aca="false">VLOOKUP(B1839,Заказы!$A$2:$E$2995,2,FALSE())</f>
        <v>44000</v>
      </c>
      <c r="H1839" s="1" t="n">
        <f aca="false">VLOOKUP(B1839,Заказы!$A$2:$E$2995,3,FALSE())</f>
        <v>947</v>
      </c>
      <c r="I1839" s="1" t="str">
        <f aca="false">VLOOKUP(H1839,Клиенты!$A$2:$E$1995,5,FALSE())</f>
        <v>г. Агидель</v>
      </c>
      <c r="J1839" s="1" t="n">
        <f aca="false">VLOOKUP(B1839,Заказы!$A$2:$E$2995,4,FALSE())</f>
        <v>0</v>
      </c>
      <c r="K1839" s="1" t="str">
        <f aca="false">VLOOKUP(B1839,Заказы!$A$2:$E$2995,5,FALSE())</f>
        <v>Не выполнено</v>
      </c>
      <c r="L1839" s="1" t="n">
        <f aca="false">D1839*F1839+J1839</f>
        <v>2625</v>
      </c>
      <c r="M1839" s="1" t="n">
        <f aca="false">IF(AND(E1839="Пицца Труслейка",I1839="г. Москва",K1839="Выполнено",G1839&gt;=DATE(2020,7,1),G1839&lt;DATE(2020,8,1)),L1839,0)</f>
        <v>0</v>
      </c>
    </row>
    <row r="1840" customFormat="false" ht="15" hidden="false" customHeight="true" outlineLevel="0" collapsed="false">
      <c r="A1840" s="1" t="n">
        <v>100853</v>
      </c>
      <c r="B1840" s="1" t="n">
        <v>51087</v>
      </c>
      <c r="C1840" s="1" t="n">
        <v>11</v>
      </c>
      <c r="D1840" s="1" t="n">
        <v>4</v>
      </c>
      <c r="E1840" s="1" t="str">
        <f aca="false">VLOOKUP(C1840,Меню!$A$2:$C$24,2,FALSE())</f>
        <v>Пицца Песто</v>
      </c>
      <c r="F1840" s="1" t="n">
        <f aca="false">VLOOKUP(C1840,Меню!$A$2:$C$24,3,FALSE())</f>
        <v>530</v>
      </c>
      <c r="G1840" s="5" t="n">
        <f aca="false">VLOOKUP(B1840,Заказы!$A$2:$E$2995,2,FALSE())</f>
        <v>44030</v>
      </c>
      <c r="H1840" s="1" t="n">
        <f aca="false">VLOOKUP(B1840,Заказы!$A$2:$E$2995,3,FALSE())</f>
        <v>893</v>
      </c>
      <c r="I1840" s="1" t="str">
        <f aca="false">VLOOKUP(H1840,Клиенты!$A$2:$E$1995,5,FALSE())</f>
        <v>г. Псков</v>
      </c>
      <c r="J1840" s="1" t="n">
        <f aca="false">VLOOKUP(B1840,Заказы!$A$2:$E$2995,4,FALSE())</f>
        <v>409</v>
      </c>
      <c r="K1840" s="1" t="str">
        <f aca="false">VLOOKUP(B1840,Заказы!$A$2:$E$2995,5,FALSE())</f>
        <v>Выполнено</v>
      </c>
      <c r="L1840" s="1" t="n">
        <f aca="false">D1840*F1840+J1840</f>
        <v>2529</v>
      </c>
      <c r="M1840" s="1" t="n">
        <f aca="false">IF(AND(E1840="Пицца Труслейка",I1840="г. Москва",K1840="Выполнено",G1840&gt;=DATE(2020,7,1),G1840&lt;DATE(2020,8,1)),L1840,0)</f>
        <v>0</v>
      </c>
    </row>
    <row r="1841" customFormat="false" ht="15" hidden="false" customHeight="true" outlineLevel="0" collapsed="false">
      <c r="A1841" s="1" t="n">
        <v>100155</v>
      </c>
      <c r="B1841" s="1" t="n">
        <v>50649</v>
      </c>
      <c r="C1841" s="1" t="n">
        <v>4</v>
      </c>
      <c r="D1841" s="1" t="n">
        <v>4</v>
      </c>
      <c r="E1841" s="1" t="str">
        <f aca="false">VLOOKUP(C1841,Меню!$A$2:$C$24,2,FALSE())</f>
        <v>Пицца Труслейка</v>
      </c>
      <c r="F1841" s="1" t="n">
        <f aca="false">VLOOKUP(C1841,Меню!$A$2:$C$24,3,FALSE())</f>
        <v>610</v>
      </c>
      <c r="G1841" s="5" t="n">
        <f aca="false">VLOOKUP(B1841,Заказы!$A$2:$E$2995,2,FALSE())</f>
        <v>44015</v>
      </c>
      <c r="H1841" s="1" t="n">
        <f aca="false">VLOOKUP(B1841,Заказы!$A$2:$E$2995,3,FALSE())</f>
        <v>768</v>
      </c>
      <c r="I1841" s="1" t="str">
        <f aca="false">VLOOKUP(H1841,Клиенты!$A$2:$E$1995,5,FALSE())</f>
        <v>г. Маркс</v>
      </c>
      <c r="J1841" s="1" t="n">
        <f aca="false">VLOOKUP(B1841,Заказы!$A$2:$E$2995,4,FALSE())</f>
        <v>596</v>
      </c>
      <c r="K1841" s="1" t="str">
        <f aca="false">VLOOKUP(B1841,Заказы!$A$2:$E$2995,5,FALSE())</f>
        <v>Выполнено</v>
      </c>
      <c r="L1841" s="1" t="n">
        <f aca="false">D1841*F1841+J1841</f>
        <v>3036</v>
      </c>
      <c r="M1841" s="1" t="n">
        <f aca="false">IF(AND(E1841="Пицца Труслейка",I1841="г. Москва",K1841="Выполнено",G1841&gt;=DATE(2020,7,1),G1841&lt;DATE(2020,8,1)),L1841,0)</f>
        <v>0</v>
      </c>
    </row>
    <row r="1842" customFormat="false" ht="15" hidden="false" customHeight="true" outlineLevel="0" collapsed="false">
      <c r="A1842" s="1" t="n">
        <v>100500</v>
      </c>
      <c r="B1842" s="1" t="n">
        <v>50046</v>
      </c>
      <c r="C1842" s="1" t="n">
        <v>3</v>
      </c>
      <c r="D1842" s="1" t="n">
        <v>10</v>
      </c>
      <c r="E1842" s="1" t="str">
        <f aca="false">VLOOKUP(C1842,Меню!$A$2:$C$24,2,FALSE())</f>
        <v>Пицца Диабло</v>
      </c>
      <c r="F1842" s="1" t="n">
        <f aca="false">VLOOKUP(C1842,Меню!$A$2:$C$24,3,FALSE())</f>
        <v>590</v>
      </c>
      <c r="G1842" s="5" t="n">
        <f aca="false">VLOOKUP(B1842,Заказы!$A$2:$E$2995,2,FALSE())</f>
        <v>44014</v>
      </c>
      <c r="H1842" s="1" t="n">
        <f aca="false">VLOOKUP(B1842,Заказы!$A$2:$E$2995,3,FALSE())</f>
        <v>1496</v>
      </c>
      <c r="I1842" s="1" t="str">
        <f aca="false">VLOOKUP(H1842,Клиенты!$A$2:$E$1995,5,FALSE())</f>
        <v>г. Зверево</v>
      </c>
      <c r="J1842" s="1" t="n">
        <f aca="false">VLOOKUP(B1842,Заказы!$A$2:$E$2995,4,FALSE())</f>
        <v>0</v>
      </c>
      <c r="K1842" s="1" t="str">
        <f aca="false">VLOOKUP(B1842,Заказы!$A$2:$E$2995,5,FALSE())</f>
        <v>Не выполнено</v>
      </c>
      <c r="L1842" s="1" t="n">
        <f aca="false">D1842*F1842+J1842</f>
        <v>5900</v>
      </c>
      <c r="M1842" s="1" t="n">
        <f aca="false">IF(AND(E1842="Пицца Труслейка",I1842="г. Москва",K1842="Выполнено",G1842&gt;=DATE(2020,7,1),G1842&lt;DATE(2020,8,1)),L1842,0)</f>
        <v>0</v>
      </c>
    </row>
    <row r="1843" customFormat="false" ht="15" hidden="false" customHeight="true" outlineLevel="0" collapsed="false">
      <c r="A1843" s="1" t="n">
        <v>101627</v>
      </c>
      <c r="B1843" s="1" t="n">
        <v>50429</v>
      </c>
      <c r="C1843" s="1" t="n">
        <v>9</v>
      </c>
      <c r="D1843" s="1" t="n">
        <v>4</v>
      </c>
      <c r="E1843" s="1" t="str">
        <f aca="false">VLOOKUP(C1843,Меню!$A$2:$C$24,2,FALSE())</f>
        <v>Пицца Острая с беконом</v>
      </c>
      <c r="F1843" s="1" t="n">
        <f aca="false">VLOOKUP(C1843,Меню!$A$2:$C$24,3,FALSE())</f>
        <v>540</v>
      </c>
      <c r="G1843" s="5" t="n">
        <f aca="false">VLOOKUP(B1843,Заказы!$A$2:$E$2995,2,FALSE())</f>
        <v>44006</v>
      </c>
      <c r="H1843" s="1" t="n">
        <f aca="false">VLOOKUP(B1843,Заказы!$A$2:$E$2995,3,FALSE())</f>
        <v>558</v>
      </c>
      <c r="I1843" s="1" t="str">
        <f aca="false">VLOOKUP(H1843,Клиенты!$A$2:$E$1995,5,FALSE())</f>
        <v>г. Вуктыл</v>
      </c>
      <c r="J1843" s="1" t="n">
        <f aca="false">VLOOKUP(B1843,Заказы!$A$2:$E$2995,4,FALSE())</f>
        <v>0</v>
      </c>
      <c r="K1843" s="1" t="str">
        <f aca="false">VLOOKUP(B1843,Заказы!$A$2:$E$2995,5,FALSE())</f>
        <v>Не выполнено</v>
      </c>
      <c r="L1843" s="1" t="n">
        <f aca="false">D1843*F1843+J1843</f>
        <v>2160</v>
      </c>
      <c r="M1843" s="1" t="n">
        <f aca="false">IF(AND(E1843="Пицца Труслейка",I1843="г. Москва",K1843="Выполнено",G1843&gt;=DATE(2020,7,1),G1843&lt;DATE(2020,8,1)),L1843,0)</f>
        <v>0</v>
      </c>
    </row>
    <row r="1844" customFormat="false" ht="15" hidden="false" customHeight="true" outlineLevel="0" collapsed="false">
      <c r="A1844" s="1" t="n">
        <v>100661</v>
      </c>
      <c r="B1844" s="1" t="n">
        <v>50258</v>
      </c>
      <c r="C1844" s="1" t="n">
        <v>9</v>
      </c>
      <c r="D1844" s="1" t="n">
        <v>10</v>
      </c>
      <c r="E1844" s="1" t="str">
        <f aca="false">VLOOKUP(C1844,Меню!$A$2:$C$24,2,FALSE())</f>
        <v>Пицца Острая с беконом</v>
      </c>
      <c r="F1844" s="1" t="n">
        <f aca="false">VLOOKUP(C1844,Меню!$A$2:$C$24,3,FALSE())</f>
        <v>540</v>
      </c>
      <c r="G1844" s="5" t="n">
        <f aca="false">VLOOKUP(B1844,Заказы!$A$2:$E$2995,2,FALSE())</f>
        <v>44034</v>
      </c>
      <c r="H1844" s="1" t="n">
        <f aca="false">VLOOKUP(B1844,Заказы!$A$2:$E$2995,3,FALSE())</f>
        <v>1938</v>
      </c>
      <c r="I1844" s="1" t="str">
        <f aca="false">VLOOKUP(H1844,Клиенты!$A$2:$E$1995,5,FALSE())</f>
        <v>г. Сочи</v>
      </c>
      <c r="J1844" s="1" t="n">
        <f aca="false">VLOOKUP(B1844,Заказы!$A$2:$E$2995,4,FALSE())</f>
        <v>589</v>
      </c>
      <c r="K1844" s="1" t="str">
        <f aca="false">VLOOKUP(B1844,Заказы!$A$2:$E$2995,5,FALSE())</f>
        <v>Выполнено</v>
      </c>
      <c r="L1844" s="1" t="n">
        <f aca="false">D1844*F1844+J1844</f>
        <v>5989</v>
      </c>
      <c r="M1844" s="1" t="n">
        <f aca="false">IF(AND(E1844="Пицца Труслейка",I1844="г. Москва",K1844="Выполнено",G1844&gt;=DATE(2020,7,1),G1844&lt;DATE(2020,8,1)),L1844,0)</f>
        <v>0</v>
      </c>
    </row>
    <row r="1845" customFormat="false" ht="15" hidden="false" customHeight="true" outlineLevel="0" collapsed="false">
      <c r="A1845" s="1" t="n">
        <v>100644</v>
      </c>
      <c r="B1845" s="1" t="n">
        <v>51482</v>
      </c>
      <c r="C1845" s="1" t="n">
        <v>13</v>
      </c>
      <c r="D1845" s="1" t="n">
        <v>10</v>
      </c>
      <c r="E1845" s="1" t="str">
        <f aca="false">VLOOKUP(C1845,Меню!$A$2:$C$24,2,FALSE())</f>
        <v>Пицца Сырная</v>
      </c>
      <c r="F1845" s="1" t="n">
        <f aca="false">VLOOKUP(C1845,Меню!$A$2:$C$24,3,FALSE())</f>
        <v>635</v>
      </c>
      <c r="G1845" s="5" t="n">
        <f aca="false">VLOOKUP(B1845,Заказы!$A$2:$E$2995,2,FALSE())</f>
        <v>43990</v>
      </c>
      <c r="H1845" s="1" t="n">
        <f aca="false">VLOOKUP(B1845,Заказы!$A$2:$E$2995,3,FALSE())</f>
        <v>736</v>
      </c>
      <c r="I1845" s="1" t="str">
        <f aca="false">VLOOKUP(H1845,Клиенты!$A$2:$E$1995,5,FALSE())</f>
        <v>г. Красногорск</v>
      </c>
      <c r="J1845" s="1" t="n">
        <f aca="false">VLOOKUP(B1845,Заказы!$A$2:$E$2995,4,FALSE())</f>
        <v>0</v>
      </c>
      <c r="K1845" s="1" t="str">
        <f aca="false">VLOOKUP(B1845,Заказы!$A$2:$E$2995,5,FALSE())</f>
        <v>Не выполнено</v>
      </c>
      <c r="L1845" s="1" t="n">
        <f aca="false">D1845*F1845+J1845</f>
        <v>6350</v>
      </c>
      <c r="M1845" s="1" t="n">
        <f aca="false">IF(AND(E1845="Пицца Труслейка",I1845="г. Москва",K1845="Выполнено",G1845&gt;=DATE(2020,7,1),G1845&lt;DATE(2020,8,1)),L1845,0)</f>
        <v>0</v>
      </c>
    </row>
    <row r="1846" customFormat="false" ht="15" hidden="false" customHeight="true" outlineLevel="0" collapsed="false">
      <c r="A1846" s="1" t="n">
        <v>101220</v>
      </c>
      <c r="B1846" s="1" t="n">
        <v>50607</v>
      </c>
      <c r="C1846" s="1" t="n">
        <v>9</v>
      </c>
      <c r="D1846" s="1" t="n">
        <v>1</v>
      </c>
      <c r="E1846" s="1" t="str">
        <f aca="false">VLOOKUP(C1846,Меню!$A$2:$C$24,2,FALSE())</f>
        <v>Пицца Острая с беконом</v>
      </c>
      <c r="F1846" s="1" t="n">
        <f aca="false">VLOOKUP(C1846,Меню!$A$2:$C$24,3,FALSE())</f>
        <v>540</v>
      </c>
      <c r="G1846" s="5" t="n">
        <f aca="false">VLOOKUP(B1846,Заказы!$A$2:$E$2995,2,FALSE())</f>
        <v>44024</v>
      </c>
      <c r="H1846" s="1" t="n">
        <f aca="false">VLOOKUP(B1846,Заказы!$A$2:$E$2995,3,FALSE())</f>
        <v>1667</v>
      </c>
      <c r="I1846" s="1" t="str">
        <f aca="false">VLOOKUP(H1846,Клиенты!$A$2:$E$1995,5,FALSE())</f>
        <v>г. Вольск</v>
      </c>
      <c r="J1846" s="1" t="n">
        <f aca="false">VLOOKUP(B1846,Заказы!$A$2:$E$2995,4,FALSE())</f>
        <v>294</v>
      </c>
      <c r="K1846" s="1" t="str">
        <f aca="false">VLOOKUP(B1846,Заказы!$A$2:$E$2995,5,FALSE())</f>
        <v>Выполнено</v>
      </c>
      <c r="L1846" s="1" t="n">
        <f aca="false">D1846*F1846+J1846</f>
        <v>834</v>
      </c>
      <c r="M1846" s="1" t="n">
        <f aca="false">IF(AND(E1846="Пицца Труслейка",I1846="г. Москва",K1846="Выполнено",G1846&gt;=DATE(2020,7,1),G1846&lt;DATE(2020,8,1)),L1846,0)</f>
        <v>0</v>
      </c>
    </row>
    <row r="1847" customFormat="false" ht="15" hidden="false" customHeight="true" outlineLevel="0" collapsed="false">
      <c r="A1847" s="1" t="n">
        <v>101095</v>
      </c>
      <c r="B1847" s="1" t="n">
        <v>50260</v>
      </c>
      <c r="C1847" s="1" t="n">
        <v>19</v>
      </c>
      <c r="D1847" s="1" t="n">
        <v>1</v>
      </c>
      <c r="E1847" s="1" t="str">
        <f aca="false">VLOOKUP(C1847,Меню!$A$2:$C$24,2,FALSE())</f>
        <v>Пицца Цезарь</v>
      </c>
      <c r="F1847" s="1" t="n">
        <f aca="false">VLOOKUP(C1847,Меню!$A$2:$C$24,3,FALSE())</f>
        <v>630</v>
      </c>
      <c r="G1847" s="5" t="n">
        <f aca="false">VLOOKUP(B1847,Заказы!$A$2:$E$2995,2,FALSE())</f>
        <v>44033</v>
      </c>
      <c r="H1847" s="1" t="n">
        <f aca="false">VLOOKUP(B1847,Заказы!$A$2:$E$2995,3,FALSE())</f>
        <v>124</v>
      </c>
      <c r="I1847" s="1" t="str">
        <f aca="false">VLOOKUP(H1847,Клиенты!$A$2:$E$1995,5,FALSE())</f>
        <v>г. Ермолино</v>
      </c>
      <c r="J1847" s="1" t="n">
        <f aca="false">VLOOKUP(B1847,Заказы!$A$2:$E$2995,4,FALSE())</f>
        <v>0</v>
      </c>
      <c r="K1847" s="1" t="str">
        <f aca="false">VLOOKUP(B1847,Заказы!$A$2:$E$2995,5,FALSE())</f>
        <v>Не выполнено</v>
      </c>
      <c r="L1847" s="1" t="n">
        <f aca="false">D1847*F1847+J1847</f>
        <v>630</v>
      </c>
      <c r="M1847" s="1" t="n">
        <f aca="false">IF(AND(E1847="Пицца Труслейка",I1847="г. Москва",K1847="Выполнено",G1847&gt;=DATE(2020,7,1),G1847&lt;DATE(2020,8,1)),L1847,0)</f>
        <v>0</v>
      </c>
    </row>
    <row r="1848" customFormat="false" ht="15" hidden="false" customHeight="true" outlineLevel="0" collapsed="false">
      <c r="A1848" s="1" t="n">
        <v>100924</v>
      </c>
      <c r="B1848" s="1" t="n">
        <v>50274</v>
      </c>
      <c r="C1848" s="1" t="n">
        <v>19</v>
      </c>
      <c r="D1848" s="1" t="n">
        <v>6</v>
      </c>
      <c r="E1848" s="1" t="str">
        <f aca="false">VLOOKUP(C1848,Меню!$A$2:$C$24,2,FALSE())</f>
        <v>Пицца Цезарь</v>
      </c>
      <c r="F1848" s="1" t="n">
        <f aca="false">VLOOKUP(C1848,Меню!$A$2:$C$24,3,FALSE())</f>
        <v>630</v>
      </c>
      <c r="G1848" s="5" t="n">
        <f aca="false">VLOOKUP(B1848,Заказы!$A$2:$E$2995,2,FALSE())</f>
        <v>44056</v>
      </c>
      <c r="H1848" s="1" t="n">
        <f aca="false">VLOOKUP(B1848,Заказы!$A$2:$E$2995,3,FALSE())</f>
        <v>1564</v>
      </c>
      <c r="I1848" s="1" t="str">
        <f aca="false">VLOOKUP(H1848,Клиенты!$A$2:$E$1995,5,FALSE())</f>
        <v>г. Ярцево</v>
      </c>
      <c r="J1848" s="1" t="n">
        <f aca="false">VLOOKUP(B1848,Заказы!$A$2:$E$2995,4,FALSE())</f>
        <v>0</v>
      </c>
      <c r="K1848" s="1" t="str">
        <f aca="false">VLOOKUP(B1848,Заказы!$A$2:$E$2995,5,FALSE())</f>
        <v>Не выполнено</v>
      </c>
      <c r="L1848" s="1" t="n">
        <f aca="false">D1848*F1848+J1848</f>
        <v>3780</v>
      </c>
      <c r="M1848" s="1" t="n">
        <f aca="false">IF(AND(E1848="Пицца Труслейка",I1848="г. Москва",K1848="Выполнено",G1848&gt;=DATE(2020,7,1),G1848&lt;DATE(2020,8,1)),L1848,0)</f>
        <v>0</v>
      </c>
    </row>
    <row r="1849" customFormat="false" ht="15" hidden="false" customHeight="true" outlineLevel="0" collapsed="false">
      <c r="A1849" s="1" t="n">
        <v>101108</v>
      </c>
      <c r="B1849" s="1" t="n">
        <v>51220</v>
      </c>
      <c r="C1849" s="1" t="n">
        <v>21</v>
      </c>
      <c r="D1849" s="1" t="n">
        <v>9</v>
      </c>
      <c r="E1849" s="1" t="str">
        <f aca="false">VLOOKUP(C1849,Меню!$A$2:$C$24,2,FALSE())</f>
        <v>Пицца с креветками и цукини</v>
      </c>
      <c r="F1849" s="1" t="n">
        <f aca="false">VLOOKUP(C1849,Меню!$A$2:$C$24,3,FALSE())</f>
        <v>600</v>
      </c>
      <c r="G1849" s="5" t="n">
        <f aca="false">VLOOKUP(B1849,Заказы!$A$2:$E$2995,2,FALSE())</f>
        <v>44036</v>
      </c>
      <c r="H1849" s="1" t="n">
        <f aca="false">VLOOKUP(B1849,Заказы!$A$2:$E$2995,3,FALSE())</f>
        <v>1231</v>
      </c>
      <c r="I1849" s="1" t="str">
        <f aca="false">VLOOKUP(H1849,Клиенты!$A$2:$E$1995,5,FALSE())</f>
        <v>г. Новоаннинский</v>
      </c>
      <c r="J1849" s="1" t="n">
        <f aca="false">VLOOKUP(B1849,Заказы!$A$2:$E$2995,4,FALSE())</f>
        <v>706</v>
      </c>
      <c r="K1849" s="1" t="str">
        <f aca="false">VLOOKUP(B1849,Заказы!$A$2:$E$2995,5,FALSE())</f>
        <v>Выполнено</v>
      </c>
      <c r="L1849" s="1" t="n">
        <f aca="false">D1849*F1849+J1849</f>
        <v>6106</v>
      </c>
      <c r="M1849" s="1" t="n">
        <f aca="false">IF(AND(E1849="Пицца Труслейка",I1849="г. Москва",K1849="Выполнено",G1849&gt;=DATE(2020,7,1),G1849&lt;DATE(2020,8,1)),L1849,0)</f>
        <v>0</v>
      </c>
    </row>
    <row r="1850" customFormat="false" ht="15" hidden="false" customHeight="true" outlineLevel="0" collapsed="false">
      <c r="A1850" s="1" t="n">
        <v>100248</v>
      </c>
      <c r="B1850" s="1" t="n">
        <v>50864</v>
      </c>
      <c r="C1850" s="1" t="n">
        <v>4</v>
      </c>
      <c r="D1850" s="1" t="n">
        <v>10</v>
      </c>
      <c r="E1850" s="1" t="str">
        <f aca="false">VLOOKUP(C1850,Меню!$A$2:$C$24,2,FALSE())</f>
        <v>Пицца Труслейка</v>
      </c>
      <c r="F1850" s="1" t="n">
        <f aca="false">VLOOKUP(C1850,Меню!$A$2:$C$24,3,FALSE())</f>
        <v>610</v>
      </c>
      <c r="G1850" s="5" t="n">
        <f aca="false">VLOOKUP(B1850,Заказы!$A$2:$E$2995,2,FALSE())</f>
        <v>44002</v>
      </c>
      <c r="H1850" s="1" t="n">
        <f aca="false">VLOOKUP(B1850,Заказы!$A$2:$E$2995,3,FALSE())</f>
        <v>155</v>
      </c>
      <c r="I1850" s="1" t="str">
        <f aca="false">VLOOKUP(H1850,Клиенты!$A$2:$E$1995,5,FALSE())</f>
        <v>г. Кинель</v>
      </c>
      <c r="J1850" s="1" t="n">
        <f aca="false">VLOOKUP(B1850,Заказы!$A$2:$E$2995,4,FALSE())</f>
        <v>0</v>
      </c>
      <c r="K1850" s="1" t="str">
        <f aca="false">VLOOKUP(B1850,Заказы!$A$2:$E$2995,5,FALSE())</f>
        <v>Не выполнено</v>
      </c>
      <c r="L1850" s="1" t="n">
        <f aca="false">D1850*F1850+J1850</f>
        <v>6100</v>
      </c>
      <c r="M1850" s="1" t="n">
        <f aca="false">IF(AND(E1850="Пицца Труслейка",I1850="г. Москва",K1850="Выполнено",G1850&gt;=DATE(2020,7,1),G1850&lt;DATE(2020,8,1)),L1850,0)</f>
        <v>0</v>
      </c>
    </row>
    <row r="1851" customFormat="false" ht="15" hidden="false" customHeight="true" outlineLevel="0" collapsed="false">
      <c r="A1851" s="1" t="n">
        <v>101456</v>
      </c>
      <c r="B1851" s="1" t="n">
        <v>50932</v>
      </c>
      <c r="C1851" s="1" t="n">
        <v>4</v>
      </c>
      <c r="D1851" s="1" t="n">
        <v>3</v>
      </c>
      <c r="E1851" s="1" t="str">
        <f aca="false">VLOOKUP(C1851,Меню!$A$2:$C$24,2,FALSE())</f>
        <v>Пицца Труслейка</v>
      </c>
      <c r="F1851" s="1" t="n">
        <f aca="false">VLOOKUP(C1851,Меню!$A$2:$C$24,3,FALSE())</f>
        <v>610</v>
      </c>
      <c r="G1851" s="5" t="n">
        <f aca="false">VLOOKUP(B1851,Заказы!$A$2:$E$2995,2,FALSE())</f>
        <v>43982</v>
      </c>
      <c r="H1851" s="1" t="n">
        <f aca="false">VLOOKUP(B1851,Заказы!$A$2:$E$2995,3,FALSE())</f>
        <v>1851</v>
      </c>
      <c r="I1851" s="1" t="str">
        <f aca="false">VLOOKUP(H1851,Клиенты!$A$2:$E$1995,5,FALSE())</f>
        <v>г. Велиж</v>
      </c>
      <c r="J1851" s="1" t="n">
        <f aca="false">VLOOKUP(B1851,Заказы!$A$2:$E$2995,4,FALSE())</f>
        <v>0</v>
      </c>
      <c r="K1851" s="1" t="str">
        <f aca="false">VLOOKUP(B1851,Заказы!$A$2:$E$2995,5,FALSE())</f>
        <v>Не выполнено</v>
      </c>
      <c r="L1851" s="1" t="n">
        <f aca="false">D1851*F1851+J1851</f>
        <v>1830</v>
      </c>
      <c r="M1851" s="1" t="n">
        <f aca="false">IF(AND(E1851="Пицца Труслейка",I1851="г. Москва",K1851="Выполнено",G1851&gt;=DATE(2020,7,1),G1851&lt;DATE(2020,8,1)),L1851,0)</f>
        <v>0</v>
      </c>
    </row>
    <row r="1852" customFormat="false" ht="15" hidden="false" customHeight="true" outlineLevel="0" collapsed="false">
      <c r="A1852" s="1" t="n">
        <v>100564</v>
      </c>
      <c r="B1852" s="1" t="n">
        <v>51291</v>
      </c>
      <c r="C1852" s="1" t="n">
        <v>1</v>
      </c>
      <c r="D1852" s="1" t="n">
        <v>1</v>
      </c>
      <c r="E1852" s="1" t="str">
        <f aca="false">VLOOKUP(C1852,Меню!$A$2:$C$24,2,FALSE())</f>
        <v>Пицца Гавайская</v>
      </c>
      <c r="F1852" s="1" t="n">
        <f aca="false">VLOOKUP(C1852,Меню!$A$2:$C$24,3,FALSE())</f>
        <v>545</v>
      </c>
      <c r="G1852" s="5" t="n">
        <f aca="false">VLOOKUP(B1852,Заказы!$A$2:$E$2995,2,FALSE())</f>
        <v>44051</v>
      </c>
      <c r="H1852" s="1" t="n">
        <f aca="false">VLOOKUP(B1852,Заказы!$A$2:$E$2995,3,FALSE())</f>
        <v>1771</v>
      </c>
      <c r="I1852" s="1" t="str">
        <f aca="false">VLOOKUP(H1852,Клиенты!$A$2:$E$1995,5,FALSE())</f>
        <v>г. Заволжск</v>
      </c>
      <c r="J1852" s="1" t="n">
        <f aca="false">VLOOKUP(B1852,Заказы!$A$2:$E$2995,4,FALSE())</f>
        <v>0</v>
      </c>
      <c r="K1852" s="1" t="str">
        <f aca="false">VLOOKUP(B1852,Заказы!$A$2:$E$2995,5,FALSE())</f>
        <v>Не выполнено</v>
      </c>
      <c r="L1852" s="1" t="n">
        <f aca="false">D1852*F1852+J1852</f>
        <v>545</v>
      </c>
      <c r="M1852" s="1" t="n">
        <f aca="false">IF(AND(E1852="Пицца Труслейка",I1852="г. Москва",K1852="Выполнено",G1852&gt;=DATE(2020,7,1),G1852&lt;DATE(2020,8,1)),L1852,0)</f>
        <v>0</v>
      </c>
    </row>
    <row r="1853" customFormat="false" ht="15" hidden="false" customHeight="true" outlineLevel="0" collapsed="false">
      <c r="A1853" s="1" t="n">
        <v>101249</v>
      </c>
      <c r="B1853" s="1" t="n">
        <v>50335</v>
      </c>
      <c r="C1853" s="1" t="n">
        <v>17</v>
      </c>
      <c r="D1853" s="1" t="n">
        <v>7</v>
      </c>
      <c r="E1853" s="1" t="str">
        <f aca="false">VLOOKUP(C1853,Меню!$A$2:$C$24,2,FALSE())</f>
        <v>Пицца Френч Фрайз</v>
      </c>
      <c r="F1853" s="1" t="n">
        <f aca="false">VLOOKUP(C1853,Меню!$A$2:$C$24,3,FALSE())</f>
        <v>515</v>
      </c>
      <c r="G1853" s="5" t="n">
        <f aca="false">VLOOKUP(B1853,Заказы!$A$2:$E$2995,2,FALSE())</f>
        <v>44041</v>
      </c>
      <c r="H1853" s="1" t="n">
        <f aca="false">VLOOKUP(B1853,Заказы!$A$2:$E$2995,3,FALSE())</f>
        <v>780</v>
      </c>
      <c r="I1853" s="1" t="str">
        <f aca="false">VLOOKUP(H1853,Клиенты!$A$2:$E$1995,5,FALSE())</f>
        <v>г. Москва</v>
      </c>
      <c r="J1853" s="1" t="n">
        <f aca="false">VLOOKUP(B1853,Заказы!$A$2:$E$2995,4,FALSE())</f>
        <v>0</v>
      </c>
      <c r="K1853" s="1" t="str">
        <f aca="false">VLOOKUP(B1853,Заказы!$A$2:$E$2995,5,FALSE())</f>
        <v>Не выполнено</v>
      </c>
      <c r="L1853" s="1" t="n">
        <f aca="false">D1853*F1853+J1853</f>
        <v>3605</v>
      </c>
      <c r="M1853" s="1" t="n">
        <f aca="false">IF(AND(E1853="Пицца Труслейка",I1853="г. Москва",K1853="Выполнено",G1853&gt;=DATE(2020,7,1),G1853&lt;DATE(2020,8,1)),L1853,0)</f>
        <v>0</v>
      </c>
    </row>
    <row r="1854" customFormat="false" ht="15" hidden="false" customHeight="true" outlineLevel="0" collapsed="false">
      <c r="A1854" s="1" t="n">
        <v>100723</v>
      </c>
      <c r="B1854" s="1" t="n">
        <v>51250</v>
      </c>
      <c r="C1854" s="1" t="n">
        <v>17</v>
      </c>
      <c r="D1854" s="1" t="n">
        <v>1</v>
      </c>
      <c r="E1854" s="1" t="str">
        <f aca="false">VLOOKUP(C1854,Меню!$A$2:$C$24,2,FALSE())</f>
        <v>Пицца Френч Фрайз</v>
      </c>
      <c r="F1854" s="1" t="n">
        <f aca="false">VLOOKUP(C1854,Меню!$A$2:$C$24,3,FALSE())</f>
        <v>515</v>
      </c>
      <c r="G1854" s="5" t="n">
        <f aca="false">VLOOKUP(B1854,Заказы!$A$2:$E$2995,2,FALSE())</f>
        <v>43998</v>
      </c>
      <c r="H1854" s="1" t="n">
        <f aca="false">VLOOKUP(B1854,Заказы!$A$2:$E$2995,3,FALSE())</f>
        <v>1835</v>
      </c>
      <c r="I1854" s="1" t="str">
        <f aca="false">VLOOKUP(H1854,Клиенты!$A$2:$E$1995,5,FALSE())</f>
        <v>г. Ядрин</v>
      </c>
      <c r="J1854" s="1" t="n">
        <f aca="false">VLOOKUP(B1854,Заказы!$A$2:$E$2995,4,FALSE())</f>
        <v>615</v>
      </c>
      <c r="K1854" s="1" t="str">
        <f aca="false">VLOOKUP(B1854,Заказы!$A$2:$E$2995,5,FALSE())</f>
        <v>Выполнено</v>
      </c>
      <c r="L1854" s="1" t="n">
        <f aca="false">D1854*F1854+J1854</f>
        <v>1130</v>
      </c>
      <c r="M1854" s="1" t="n">
        <f aca="false">IF(AND(E1854="Пицца Труслейка",I1854="г. Москва",K1854="Выполнено",G1854&gt;=DATE(2020,7,1),G1854&lt;DATE(2020,8,1)),L1854,0)</f>
        <v>0</v>
      </c>
    </row>
    <row r="1855" customFormat="false" ht="15" hidden="false" customHeight="true" outlineLevel="0" collapsed="false">
      <c r="A1855" s="1" t="n">
        <v>100704</v>
      </c>
      <c r="B1855" s="1" t="n">
        <v>51766</v>
      </c>
      <c r="C1855" s="1" t="n">
        <v>10</v>
      </c>
      <c r="D1855" s="1" t="n">
        <v>4</v>
      </c>
      <c r="E1855" s="1" t="str">
        <f aca="false">VLOOKUP(C1855,Меню!$A$2:$C$24,2,FALSE())</f>
        <v>Пицца Пепперони фреш</v>
      </c>
      <c r="F1855" s="1" t="n">
        <f aca="false">VLOOKUP(C1855,Меню!$A$2:$C$24,3,FALSE())</f>
        <v>565</v>
      </c>
      <c r="G1855" s="5" t="n">
        <f aca="false">VLOOKUP(B1855,Заказы!$A$2:$E$2995,2,FALSE())</f>
        <v>44029</v>
      </c>
      <c r="H1855" s="1" t="n">
        <f aca="false">VLOOKUP(B1855,Заказы!$A$2:$E$2995,3,FALSE())</f>
        <v>1071</v>
      </c>
      <c r="I1855" s="1" t="str">
        <f aca="false">VLOOKUP(H1855,Клиенты!$A$2:$E$1995,5,FALSE())</f>
        <v>г. Нея</v>
      </c>
      <c r="J1855" s="1" t="n">
        <f aca="false">VLOOKUP(B1855,Заказы!$A$2:$E$2995,4,FALSE())</f>
        <v>0</v>
      </c>
      <c r="K1855" s="1" t="str">
        <f aca="false">VLOOKUP(B1855,Заказы!$A$2:$E$2995,5,FALSE())</f>
        <v>Не выполнено</v>
      </c>
      <c r="L1855" s="1" t="n">
        <f aca="false">D1855*F1855+J1855</f>
        <v>2260</v>
      </c>
      <c r="M1855" s="1" t="n">
        <f aca="false">IF(AND(E1855="Пицца Труслейка",I1855="г. Москва",K1855="Выполнено",G1855&gt;=DATE(2020,7,1),G1855&lt;DATE(2020,8,1)),L1855,0)</f>
        <v>0</v>
      </c>
    </row>
    <row r="1856" customFormat="false" ht="15" hidden="false" customHeight="true" outlineLevel="0" collapsed="false">
      <c r="A1856" s="1" t="n">
        <v>100728</v>
      </c>
      <c r="B1856" s="1" t="n">
        <v>50694</v>
      </c>
      <c r="C1856" s="1" t="n">
        <v>8</v>
      </c>
      <c r="D1856" s="1" t="n">
        <v>10</v>
      </c>
      <c r="E1856" s="1" t="str">
        <f aca="false">VLOOKUP(C1856,Меню!$A$2:$C$24,2,FALSE())</f>
        <v>Пицца Мясная</v>
      </c>
      <c r="F1856" s="1" t="n">
        <f aca="false">VLOOKUP(C1856,Меню!$A$2:$C$24,3,FALSE())</f>
        <v>615</v>
      </c>
      <c r="G1856" s="5" t="n">
        <f aca="false">VLOOKUP(B1856,Заказы!$A$2:$E$2995,2,FALSE())</f>
        <v>44000</v>
      </c>
      <c r="H1856" s="1" t="n">
        <f aca="false">VLOOKUP(B1856,Заказы!$A$2:$E$2995,3,FALSE())</f>
        <v>135</v>
      </c>
      <c r="I1856" s="1" t="str">
        <f aca="false">VLOOKUP(H1856,Клиенты!$A$2:$E$1995,5,FALSE())</f>
        <v>г. Черкесск</v>
      </c>
      <c r="J1856" s="1" t="n">
        <f aca="false">VLOOKUP(B1856,Заказы!$A$2:$E$2995,4,FALSE())</f>
        <v>146</v>
      </c>
      <c r="K1856" s="1" t="str">
        <f aca="false">VLOOKUP(B1856,Заказы!$A$2:$E$2995,5,FALSE())</f>
        <v>Выполнено</v>
      </c>
      <c r="L1856" s="1" t="n">
        <f aca="false">D1856*F1856+J1856</f>
        <v>6296</v>
      </c>
      <c r="M1856" s="1" t="n">
        <f aca="false">IF(AND(E1856="Пицца Труслейка",I1856="г. Москва",K1856="Выполнено",G1856&gt;=DATE(2020,7,1),G1856&lt;DATE(2020,8,1)),L1856,0)</f>
        <v>0</v>
      </c>
    </row>
    <row r="1857" customFormat="false" ht="15" hidden="false" customHeight="true" outlineLevel="0" collapsed="false">
      <c r="A1857" s="1" t="n">
        <v>100121</v>
      </c>
      <c r="B1857" s="1" t="n">
        <v>50072</v>
      </c>
      <c r="C1857" s="1" t="n">
        <v>12</v>
      </c>
      <c r="D1857" s="1" t="n">
        <v>5</v>
      </c>
      <c r="E1857" s="1" t="str">
        <f aca="false">VLOOKUP(C1857,Меню!$A$2:$C$24,2,FALSE())</f>
        <v>Пицца Салями с трюфелем</v>
      </c>
      <c r="F1857" s="1" t="n">
        <f aca="false">VLOOKUP(C1857,Меню!$A$2:$C$24,3,FALSE())</f>
        <v>525</v>
      </c>
      <c r="G1857" s="5" t="n">
        <f aca="false">VLOOKUP(B1857,Заказы!$A$2:$E$2995,2,FALSE())</f>
        <v>44030</v>
      </c>
      <c r="H1857" s="1" t="n">
        <f aca="false">VLOOKUP(B1857,Заказы!$A$2:$E$2995,3,FALSE())</f>
        <v>1563</v>
      </c>
      <c r="I1857" s="1" t="str">
        <f aca="false">VLOOKUP(H1857,Клиенты!$A$2:$E$1995,5,FALSE())</f>
        <v>г. Гурьевск</v>
      </c>
      <c r="J1857" s="1" t="n">
        <f aca="false">VLOOKUP(B1857,Заказы!$A$2:$E$2995,4,FALSE())</f>
        <v>225</v>
      </c>
      <c r="K1857" s="1" t="str">
        <f aca="false">VLOOKUP(B1857,Заказы!$A$2:$E$2995,5,FALSE())</f>
        <v>Выполнено</v>
      </c>
      <c r="L1857" s="1" t="n">
        <f aca="false">D1857*F1857+J1857</f>
        <v>2850</v>
      </c>
      <c r="M1857" s="1" t="n">
        <f aca="false">IF(AND(E1857="Пицца Труслейка",I1857="г. Москва",K1857="Выполнено",G1857&gt;=DATE(2020,7,1),G1857&lt;DATE(2020,8,1)),L1857,0)</f>
        <v>0</v>
      </c>
    </row>
    <row r="1858" customFormat="false" ht="15" hidden="false" customHeight="true" outlineLevel="0" collapsed="false">
      <c r="A1858" s="1" t="n">
        <v>101075</v>
      </c>
      <c r="B1858" s="1" t="n">
        <v>51556</v>
      </c>
      <c r="C1858" s="1" t="n">
        <v>7</v>
      </c>
      <c r="D1858" s="1" t="n">
        <v>9</v>
      </c>
      <c r="E1858" s="1" t="str">
        <f aca="false">VLOOKUP(C1858,Меню!$A$2:$C$24,2,FALSE())</f>
        <v>Пицца Карбонара</v>
      </c>
      <c r="F1858" s="1" t="n">
        <f aca="false">VLOOKUP(C1858,Меню!$A$2:$C$24,3,FALSE())</f>
        <v>625</v>
      </c>
      <c r="G1858" s="5" t="n">
        <f aca="false">VLOOKUP(B1858,Заказы!$A$2:$E$2995,2,FALSE())</f>
        <v>44047</v>
      </c>
      <c r="H1858" s="1" t="n">
        <f aca="false">VLOOKUP(B1858,Заказы!$A$2:$E$2995,3,FALSE())</f>
        <v>462</v>
      </c>
      <c r="I1858" s="1" t="str">
        <f aca="false">VLOOKUP(H1858,Клиенты!$A$2:$E$1995,5,FALSE())</f>
        <v>г. Онега</v>
      </c>
      <c r="J1858" s="1" t="n">
        <f aca="false">VLOOKUP(B1858,Заказы!$A$2:$E$2995,4,FALSE())</f>
        <v>630</v>
      </c>
      <c r="K1858" s="1" t="str">
        <f aca="false">VLOOKUP(B1858,Заказы!$A$2:$E$2995,5,FALSE())</f>
        <v>Выполнено</v>
      </c>
      <c r="L1858" s="1" t="n">
        <f aca="false">D1858*F1858+J1858</f>
        <v>6255</v>
      </c>
      <c r="M1858" s="1" t="n">
        <f aca="false">IF(AND(E1858="Пицца Труслейка",I1858="г. Москва",K1858="Выполнено",G1858&gt;=DATE(2020,7,1),G1858&lt;DATE(2020,8,1)),L1858,0)</f>
        <v>0</v>
      </c>
    </row>
    <row r="1859" customFormat="false" ht="15" hidden="false" customHeight="true" outlineLevel="0" collapsed="false">
      <c r="A1859" s="1" t="n">
        <v>101950</v>
      </c>
      <c r="B1859" s="1" t="n">
        <v>51659</v>
      </c>
      <c r="C1859" s="1" t="n">
        <v>10</v>
      </c>
      <c r="D1859" s="1" t="n">
        <v>9</v>
      </c>
      <c r="E1859" s="1" t="str">
        <f aca="false">VLOOKUP(C1859,Меню!$A$2:$C$24,2,FALSE())</f>
        <v>Пицца Пепперони фреш</v>
      </c>
      <c r="F1859" s="1" t="n">
        <f aca="false">VLOOKUP(C1859,Меню!$A$2:$C$24,3,FALSE())</f>
        <v>565</v>
      </c>
      <c r="G1859" s="5" t="n">
        <f aca="false">VLOOKUP(B1859,Заказы!$A$2:$E$2995,2,FALSE())</f>
        <v>44047</v>
      </c>
      <c r="H1859" s="1" t="n">
        <f aca="false">VLOOKUP(B1859,Заказы!$A$2:$E$2995,3,FALSE())</f>
        <v>1911</v>
      </c>
      <c r="I1859" s="1" t="str">
        <f aca="false">VLOOKUP(H1859,Клиенты!$A$2:$E$1995,5,FALSE())</f>
        <v>г. Белореченск</v>
      </c>
      <c r="J1859" s="1" t="n">
        <f aca="false">VLOOKUP(B1859,Заказы!$A$2:$E$2995,4,FALSE())</f>
        <v>179</v>
      </c>
      <c r="K1859" s="1" t="str">
        <f aca="false">VLOOKUP(B1859,Заказы!$A$2:$E$2995,5,FALSE())</f>
        <v>Выполнено</v>
      </c>
      <c r="L1859" s="1" t="n">
        <f aca="false">D1859*F1859+J1859</f>
        <v>5264</v>
      </c>
      <c r="M1859" s="1" t="n">
        <f aca="false">IF(AND(E1859="Пицца Труслейка",I1859="г. Москва",K1859="Выполнено",G1859&gt;=DATE(2020,7,1),G1859&lt;DATE(2020,8,1)),L1859,0)</f>
        <v>0</v>
      </c>
    </row>
    <row r="1860" customFormat="false" ht="15" hidden="false" customHeight="true" outlineLevel="0" collapsed="false">
      <c r="A1860" s="1" t="n">
        <v>101378</v>
      </c>
      <c r="B1860" s="1" t="n">
        <v>51580</v>
      </c>
      <c r="C1860" s="1" t="n">
        <v>1</v>
      </c>
      <c r="D1860" s="1" t="n">
        <v>2</v>
      </c>
      <c r="E1860" s="1" t="str">
        <f aca="false">VLOOKUP(C1860,Меню!$A$2:$C$24,2,FALSE())</f>
        <v>Пицца Гавайская</v>
      </c>
      <c r="F1860" s="1" t="n">
        <f aca="false">VLOOKUP(C1860,Меню!$A$2:$C$24,3,FALSE())</f>
        <v>545</v>
      </c>
      <c r="G1860" s="5" t="n">
        <f aca="false">VLOOKUP(B1860,Заказы!$A$2:$E$2995,2,FALSE())</f>
        <v>44009</v>
      </c>
      <c r="H1860" s="1" t="n">
        <f aca="false">VLOOKUP(B1860,Заказы!$A$2:$E$2995,3,FALSE())</f>
        <v>1733</v>
      </c>
      <c r="I1860" s="1" t="str">
        <f aca="false">VLOOKUP(H1860,Клиенты!$A$2:$E$1995,5,FALSE())</f>
        <v>г. Тихорецк</v>
      </c>
      <c r="J1860" s="1" t="n">
        <f aca="false">VLOOKUP(B1860,Заказы!$A$2:$E$2995,4,FALSE())</f>
        <v>0</v>
      </c>
      <c r="K1860" s="1" t="str">
        <f aca="false">VLOOKUP(B1860,Заказы!$A$2:$E$2995,5,FALSE())</f>
        <v>Не выполнено</v>
      </c>
      <c r="L1860" s="1" t="n">
        <f aca="false">D1860*F1860+J1860</f>
        <v>1090</v>
      </c>
      <c r="M1860" s="1" t="n">
        <f aca="false">IF(AND(E1860="Пицца Труслейка",I1860="г. Москва",K1860="Выполнено",G1860&gt;=DATE(2020,7,1),G1860&lt;DATE(2020,8,1)),L1860,0)</f>
        <v>0</v>
      </c>
    </row>
    <row r="1861" customFormat="false" ht="15" hidden="false" customHeight="true" outlineLevel="0" collapsed="false">
      <c r="A1861" s="1" t="n">
        <v>100285</v>
      </c>
      <c r="B1861" s="1" t="n">
        <v>50382</v>
      </c>
      <c r="C1861" s="1" t="n">
        <v>4</v>
      </c>
      <c r="D1861" s="1" t="n">
        <v>8</v>
      </c>
      <c r="E1861" s="1" t="str">
        <f aca="false">VLOOKUP(C1861,Меню!$A$2:$C$24,2,FALSE())</f>
        <v>Пицца Труслейка</v>
      </c>
      <c r="F1861" s="1" t="n">
        <f aca="false">VLOOKUP(C1861,Меню!$A$2:$C$24,3,FALSE())</f>
        <v>610</v>
      </c>
      <c r="G1861" s="5" t="n">
        <f aca="false">VLOOKUP(B1861,Заказы!$A$2:$E$2995,2,FALSE())</f>
        <v>44051</v>
      </c>
      <c r="H1861" s="1" t="n">
        <f aca="false">VLOOKUP(B1861,Заказы!$A$2:$E$2995,3,FALSE())</f>
        <v>1517</v>
      </c>
      <c r="I1861" s="1" t="str">
        <f aca="false">VLOOKUP(H1861,Клиенты!$A$2:$E$1995,5,FALSE())</f>
        <v>г. Озёрск</v>
      </c>
      <c r="J1861" s="1" t="n">
        <f aca="false">VLOOKUP(B1861,Заказы!$A$2:$E$2995,4,FALSE())</f>
        <v>0</v>
      </c>
      <c r="K1861" s="1" t="str">
        <f aca="false">VLOOKUP(B1861,Заказы!$A$2:$E$2995,5,FALSE())</f>
        <v>Не выполнено</v>
      </c>
      <c r="L1861" s="1" t="n">
        <f aca="false">D1861*F1861+J1861</f>
        <v>4880</v>
      </c>
      <c r="M1861" s="1" t="n">
        <f aca="false">IF(AND(E1861="Пицца Труслейка",I1861="г. Москва",K1861="Выполнено",G1861&gt;=DATE(2020,7,1),G1861&lt;DATE(2020,8,1)),L1861,0)</f>
        <v>0</v>
      </c>
    </row>
    <row r="1862" customFormat="false" ht="15" hidden="false" customHeight="true" outlineLevel="0" collapsed="false">
      <c r="A1862" s="1" t="n">
        <v>100930</v>
      </c>
      <c r="B1862" s="1" t="n">
        <v>50755</v>
      </c>
      <c r="C1862" s="1" t="n">
        <v>22</v>
      </c>
      <c r="D1862" s="1" t="n">
        <v>1</v>
      </c>
      <c r="E1862" s="1" t="str">
        <f aca="false">VLOOKUP(C1862,Меню!$A$2:$C$24,2,FALSE())</f>
        <v>Пицца с поркеттой и фриарелли</v>
      </c>
      <c r="F1862" s="1" t="n">
        <f aca="false">VLOOKUP(C1862,Меню!$A$2:$C$24,3,FALSE())</f>
        <v>550</v>
      </c>
      <c r="G1862" s="5" t="n">
        <f aca="false">VLOOKUP(B1862,Заказы!$A$2:$E$2995,2,FALSE())</f>
        <v>44049</v>
      </c>
      <c r="H1862" s="1" t="n">
        <f aca="false">VLOOKUP(B1862,Заказы!$A$2:$E$2995,3,FALSE())</f>
        <v>484</v>
      </c>
      <c r="I1862" s="1" t="str">
        <f aca="false">VLOOKUP(H1862,Клиенты!$A$2:$E$1995,5,FALSE())</f>
        <v>г. Комсомольск</v>
      </c>
      <c r="J1862" s="1" t="n">
        <f aca="false">VLOOKUP(B1862,Заказы!$A$2:$E$2995,4,FALSE())</f>
        <v>0</v>
      </c>
      <c r="K1862" s="1" t="str">
        <f aca="false">VLOOKUP(B1862,Заказы!$A$2:$E$2995,5,FALSE())</f>
        <v>Не выполнено</v>
      </c>
      <c r="L1862" s="1" t="n">
        <f aca="false">D1862*F1862+J1862</f>
        <v>550</v>
      </c>
      <c r="M1862" s="1" t="n">
        <f aca="false">IF(AND(E1862="Пицца Труслейка",I1862="г. Москва",K1862="Выполнено",G1862&gt;=DATE(2020,7,1),G1862&lt;DATE(2020,8,1)),L1862,0)</f>
        <v>0</v>
      </c>
    </row>
    <row r="1863" customFormat="false" ht="15" hidden="false" customHeight="true" outlineLevel="0" collapsed="false">
      <c r="A1863" s="1" t="n">
        <v>100382</v>
      </c>
      <c r="B1863" s="1" t="n">
        <v>50999</v>
      </c>
      <c r="C1863" s="1" t="n">
        <v>3</v>
      </c>
      <c r="D1863" s="1" t="n">
        <v>8</v>
      </c>
      <c r="E1863" s="1" t="str">
        <f aca="false">VLOOKUP(C1863,Меню!$A$2:$C$24,2,FALSE())</f>
        <v>Пицца Диабло</v>
      </c>
      <c r="F1863" s="1" t="n">
        <f aca="false">VLOOKUP(C1863,Меню!$A$2:$C$24,3,FALSE())</f>
        <v>590</v>
      </c>
      <c r="G1863" s="5" t="n">
        <f aca="false">VLOOKUP(B1863,Заказы!$A$2:$E$2995,2,FALSE())</f>
        <v>44000</v>
      </c>
      <c r="H1863" s="1" t="n">
        <f aca="false">VLOOKUP(B1863,Заказы!$A$2:$E$2995,3,FALSE())</f>
        <v>1145</v>
      </c>
      <c r="I1863" s="1" t="str">
        <f aca="false">VLOOKUP(H1863,Клиенты!$A$2:$E$1995,5,FALSE())</f>
        <v>г. Боровичи</v>
      </c>
      <c r="J1863" s="1" t="n">
        <f aca="false">VLOOKUP(B1863,Заказы!$A$2:$E$2995,4,FALSE())</f>
        <v>0</v>
      </c>
      <c r="K1863" s="1" t="str">
        <f aca="false">VLOOKUP(B1863,Заказы!$A$2:$E$2995,5,FALSE())</f>
        <v>Не выполнено</v>
      </c>
      <c r="L1863" s="1" t="n">
        <f aca="false">D1863*F1863+J1863</f>
        <v>4720</v>
      </c>
      <c r="M1863" s="1" t="n">
        <f aca="false">IF(AND(E1863="Пицца Труслейка",I1863="г. Москва",K1863="Выполнено",G1863&gt;=DATE(2020,7,1),G1863&lt;DATE(2020,8,1)),L1863,0)</f>
        <v>0</v>
      </c>
    </row>
    <row r="1864" customFormat="false" ht="15" hidden="false" customHeight="true" outlineLevel="0" collapsed="false">
      <c r="A1864" s="1" t="n">
        <v>101211</v>
      </c>
      <c r="B1864" s="1" t="n">
        <v>51513</v>
      </c>
      <c r="C1864" s="1" t="n">
        <v>3</v>
      </c>
      <c r="D1864" s="1" t="n">
        <v>3</v>
      </c>
      <c r="E1864" s="1" t="str">
        <f aca="false">VLOOKUP(C1864,Меню!$A$2:$C$24,2,FALSE())</f>
        <v>Пицца Диабло</v>
      </c>
      <c r="F1864" s="1" t="n">
        <f aca="false">VLOOKUP(C1864,Меню!$A$2:$C$24,3,FALSE())</f>
        <v>590</v>
      </c>
      <c r="G1864" s="5" t="n">
        <f aca="false">VLOOKUP(B1864,Заказы!$A$2:$E$2995,2,FALSE())</f>
        <v>44035</v>
      </c>
      <c r="H1864" s="1" t="n">
        <f aca="false">VLOOKUP(B1864,Заказы!$A$2:$E$2995,3,FALSE())</f>
        <v>1097</v>
      </c>
      <c r="I1864" s="1" t="str">
        <f aca="false">VLOOKUP(H1864,Клиенты!$A$2:$E$1995,5,FALSE())</f>
        <v>г. Плёс</v>
      </c>
      <c r="J1864" s="1" t="n">
        <f aca="false">VLOOKUP(B1864,Заказы!$A$2:$E$2995,4,FALSE())</f>
        <v>770</v>
      </c>
      <c r="K1864" s="1" t="str">
        <f aca="false">VLOOKUP(B1864,Заказы!$A$2:$E$2995,5,FALSE())</f>
        <v>Выполнено</v>
      </c>
      <c r="L1864" s="1" t="n">
        <f aca="false">D1864*F1864+J1864</f>
        <v>2540</v>
      </c>
      <c r="M1864" s="1" t="n">
        <f aca="false">IF(AND(E1864="Пицца Труслейка",I1864="г. Москва",K1864="Выполнено",G1864&gt;=DATE(2020,7,1),G1864&lt;DATE(2020,8,1)),L1864,0)</f>
        <v>0</v>
      </c>
    </row>
    <row r="1865" customFormat="false" ht="15" hidden="false" customHeight="true" outlineLevel="0" collapsed="false">
      <c r="A1865" s="1" t="n">
        <v>100250</v>
      </c>
      <c r="B1865" s="1" t="n">
        <v>50164</v>
      </c>
      <c r="C1865" s="1" t="n">
        <v>20</v>
      </c>
      <c r="D1865" s="1" t="n">
        <v>3</v>
      </c>
      <c r="E1865" s="1" t="str">
        <f aca="false">VLOOKUP(C1865,Меню!$A$2:$C$24,2,FALSE())</f>
        <v>Пицца пиканте</v>
      </c>
      <c r="F1865" s="1" t="n">
        <f aca="false">VLOOKUP(C1865,Меню!$A$2:$C$24,3,FALSE())</f>
        <v>585</v>
      </c>
      <c r="G1865" s="5" t="n">
        <f aca="false">VLOOKUP(B1865,Заказы!$A$2:$E$2995,2,FALSE())</f>
        <v>44036</v>
      </c>
      <c r="H1865" s="1" t="n">
        <f aca="false">VLOOKUP(B1865,Заказы!$A$2:$E$2995,3,FALSE())</f>
        <v>1025</v>
      </c>
      <c r="I1865" s="1" t="str">
        <f aca="false">VLOOKUP(H1865,Клиенты!$A$2:$E$1995,5,FALSE())</f>
        <v>г. Егорьевск</v>
      </c>
      <c r="J1865" s="1" t="n">
        <f aca="false">VLOOKUP(B1865,Заказы!$A$2:$E$2995,4,FALSE())</f>
        <v>0</v>
      </c>
      <c r="K1865" s="1" t="str">
        <f aca="false">VLOOKUP(B1865,Заказы!$A$2:$E$2995,5,FALSE())</f>
        <v>Не выполнено</v>
      </c>
      <c r="L1865" s="1" t="n">
        <f aca="false">D1865*F1865+J1865</f>
        <v>1755</v>
      </c>
      <c r="M1865" s="1" t="n">
        <f aca="false">IF(AND(E1865="Пицца Труслейка",I1865="г. Москва",K1865="Выполнено",G1865&gt;=DATE(2020,7,1),G1865&lt;DATE(2020,8,1)),L1865,0)</f>
        <v>0</v>
      </c>
    </row>
    <row r="1866" customFormat="false" ht="15" hidden="false" customHeight="true" outlineLevel="0" collapsed="false">
      <c r="A1866" s="1" t="n">
        <v>101668</v>
      </c>
      <c r="B1866" s="1" t="n">
        <v>50661</v>
      </c>
      <c r="C1866" s="1" t="n">
        <v>18</v>
      </c>
      <c r="D1866" s="1" t="n">
        <v>4</v>
      </c>
      <c r="E1866" s="1" t="str">
        <f aca="false">VLOOKUP(C1866,Меню!$A$2:$C$24,2,FALSE())</f>
        <v>Пицца Царская</v>
      </c>
      <c r="F1866" s="1" t="n">
        <f aca="false">VLOOKUP(C1866,Меню!$A$2:$C$24,3,FALSE())</f>
        <v>620</v>
      </c>
      <c r="G1866" s="5" t="n">
        <f aca="false">VLOOKUP(B1866,Заказы!$A$2:$E$2995,2,FALSE())</f>
        <v>44016</v>
      </c>
      <c r="H1866" s="1" t="n">
        <f aca="false">VLOOKUP(B1866,Заказы!$A$2:$E$2995,3,FALSE())</f>
        <v>1180</v>
      </c>
      <c r="I1866" s="1" t="str">
        <f aca="false">VLOOKUP(H1866,Клиенты!$A$2:$E$1995,5,FALSE())</f>
        <v>г. Москва</v>
      </c>
      <c r="J1866" s="1" t="n">
        <f aca="false">VLOOKUP(B1866,Заказы!$A$2:$E$2995,4,FALSE())</f>
        <v>840</v>
      </c>
      <c r="K1866" s="1" t="str">
        <f aca="false">VLOOKUP(B1866,Заказы!$A$2:$E$2995,5,FALSE())</f>
        <v>Выполнено</v>
      </c>
      <c r="L1866" s="1" t="n">
        <f aca="false">D1866*F1866+J1866</f>
        <v>3320</v>
      </c>
      <c r="M1866" s="1" t="n">
        <f aca="false">IF(AND(E1866="Пицца Труслейка",I1866="г. Москва",K1866="Выполнено",G1866&gt;=DATE(2020,7,1),G1866&lt;DATE(2020,8,1)),L1866,0)</f>
        <v>0</v>
      </c>
    </row>
    <row r="1867" customFormat="false" ht="15" hidden="false" customHeight="true" outlineLevel="0" collapsed="false">
      <c r="A1867" s="1" t="n">
        <v>101373</v>
      </c>
      <c r="B1867" s="1" t="n">
        <v>50169</v>
      </c>
      <c r="C1867" s="1" t="n">
        <v>12</v>
      </c>
      <c r="D1867" s="1" t="n">
        <v>5</v>
      </c>
      <c r="E1867" s="1" t="str">
        <f aca="false">VLOOKUP(C1867,Меню!$A$2:$C$24,2,FALSE())</f>
        <v>Пицца Салями с трюфелем</v>
      </c>
      <c r="F1867" s="1" t="n">
        <f aca="false">VLOOKUP(C1867,Меню!$A$2:$C$24,3,FALSE())</f>
        <v>525</v>
      </c>
      <c r="G1867" s="5" t="n">
        <f aca="false">VLOOKUP(B1867,Заказы!$A$2:$E$2995,2,FALSE())</f>
        <v>43999</v>
      </c>
      <c r="H1867" s="1" t="n">
        <f aca="false">VLOOKUP(B1867,Заказы!$A$2:$E$2995,3,FALSE())</f>
        <v>297</v>
      </c>
      <c r="I1867" s="1" t="str">
        <f aca="false">VLOOKUP(H1867,Клиенты!$A$2:$E$1995,5,FALSE())</f>
        <v>г. Кувшиново</v>
      </c>
      <c r="J1867" s="1" t="n">
        <f aca="false">VLOOKUP(B1867,Заказы!$A$2:$E$2995,4,FALSE())</f>
        <v>0</v>
      </c>
      <c r="K1867" s="1" t="str">
        <f aca="false">VLOOKUP(B1867,Заказы!$A$2:$E$2995,5,FALSE())</f>
        <v>Не выполнено</v>
      </c>
      <c r="L1867" s="1" t="n">
        <f aca="false">D1867*F1867+J1867</f>
        <v>2625</v>
      </c>
      <c r="M1867" s="1" t="n">
        <f aca="false">IF(AND(E1867="Пицца Труслейка",I1867="г. Москва",K1867="Выполнено",G1867&gt;=DATE(2020,7,1),G1867&lt;DATE(2020,8,1)),L1867,0)</f>
        <v>0</v>
      </c>
    </row>
    <row r="1868" customFormat="false" ht="15" hidden="false" customHeight="true" outlineLevel="0" collapsed="false">
      <c r="A1868" s="1" t="n">
        <v>100175</v>
      </c>
      <c r="B1868" s="1" t="n">
        <v>50171</v>
      </c>
      <c r="C1868" s="1" t="n">
        <v>12</v>
      </c>
      <c r="D1868" s="1" t="n">
        <v>10</v>
      </c>
      <c r="E1868" s="1" t="str">
        <f aca="false">VLOOKUP(C1868,Меню!$A$2:$C$24,2,FALSE())</f>
        <v>Пицца Салями с трюфелем</v>
      </c>
      <c r="F1868" s="1" t="n">
        <f aca="false">VLOOKUP(C1868,Меню!$A$2:$C$24,3,FALSE())</f>
        <v>525</v>
      </c>
      <c r="G1868" s="5" t="n">
        <f aca="false">VLOOKUP(B1868,Заказы!$A$2:$E$2995,2,FALSE())</f>
        <v>44021</v>
      </c>
      <c r="H1868" s="1" t="n">
        <f aca="false">VLOOKUP(B1868,Заказы!$A$2:$E$2995,3,FALSE())</f>
        <v>808</v>
      </c>
      <c r="I1868" s="1" t="str">
        <f aca="false">VLOOKUP(H1868,Клиенты!$A$2:$E$1995,5,FALSE())</f>
        <v>г. Слободской</v>
      </c>
      <c r="J1868" s="1" t="n">
        <f aca="false">VLOOKUP(B1868,Заказы!$A$2:$E$2995,4,FALSE())</f>
        <v>208</v>
      </c>
      <c r="K1868" s="1" t="str">
        <f aca="false">VLOOKUP(B1868,Заказы!$A$2:$E$2995,5,FALSE())</f>
        <v>Выполнено</v>
      </c>
      <c r="L1868" s="1" t="n">
        <f aca="false">D1868*F1868+J1868</f>
        <v>5458</v>
      </c>
      <c r="M1868" s="1" t="n">
        <f aca="false">IF(AND(E1868="Пицца Труслейка",I1868="г. Москва",K1868="Выполнено",G1868&gt;=DATE(2020,7,1),G1868&lt;DATE(2020,8,1)),L1868,0)</f>
        <v>0</v>
      </c>
    </row>
    <row r="1869" customFormat="false" ht="15" hidden="false" customHeight="true" outlineLevel="0" collapsed="false">
      <c r="A1869" s="1" t="n">
        <v>100083</v>
      </c>
      <c r="B1869" s="1" t="n">
        <v>51753</v>
      </c>
      <c r="C1869" s="1" t="n">
        <v>14</v>
      </c>
      <c r="D1869" s="1" t="n">
        <v>3</v>
      </c>
      <c r="E1869" s="1" t="str">
        <f aca="false">VLOOKUP(C1869,Меню!$A$2:$C$24,2,FALSE())</f>
        <v>Пицца Сырный цыпленок</v>
      </c>
      <c r="F1869" s="1" t="n">
        <f aca="false">VLOOKUP(C1869,Меню!$A$2:$C$24,3,FALSE())</f>
        <v>555</v>
      </c>
      <c r="G1869" s="5" t="n">
        <f aca="false">VLOOKUP(B1869,Заказы!$A$2:$E$2995,2,FALSE())</f>
        <v>44022</v>
      </c>
      <c r="H1869" s="1" t="n">
        <f aca="false">VLOOKUP(B1869,Заказы!$A$2:$E$2995,3,FALSE())</f>
        <v>40</v>
      </c>
      <c r="I1869" s="1" t="str">
        <f aca="false">VLOOKUP(H1869,Клиенты!$A$2:$E$1995,5,FALSE())</f>
        <v>г. Москва</v>
      </c>
      <c r="J1869" s="1" t="n">
        <f aca="false">VLOOKUP(B1869,Заказы!$A$2:$E$2995,4,FALSE())</f>
        <v>634</v>
      </c>
      <c r="K1869" s="1" t="str">
        <f aca="false">VLOOKUP(B1869,Заказы!$A$2:$E$2995,5,FALSE())</f>
        <v>Выполнено</v>
      </c>
      <c r="L1869" s="1" t="n">
        <f aca="false">D1869*F1869+J1869</f>
        <v>2299</v>
      </c>
      <c r="M1869" s="1" t="n">
        <f aca="false">IF(AND(E1869="Пицца Труслейка",I1869="г. Москва",K1869="Выполнено",G1869&gt;=DATE(2020,7,1),G1869&lt;DATE(2020,8,1)),L1869,0)</f>
        <v>0</v>
      </c>
    </row>
    <row r="1870" customFormat="false" ht="15" hidden="false" customHeight="true" outlineLevel="0" collapsed="false">
      <c r="A1870" s="1" t="n">
        <v>101173</v>
      </c>
      <c r="B1870" s="1" t="n">
        <v>50857</v>
      </c>
      <c r="C1870" s="1" t="n">
        <v>1</v>
      </c>
      <c r="D1870" s="1" t="n">
        <v>4</v>
      </c>
      <c r="E1870" s="1" t="str">
        <f aca="false">VLOOKUP(C1870,Меню!$A$2:$C$24,2,FALSE())</f>
        <v>Пицца Гавайская</v>
      </c>
      <c r="F1870" s="1" t="n">
        <f aca="false">VLOOKUP(C1870,Меню!$A$2:$C$24,3,FALSE())</f>
        <v>545</v>
      </c>
      <c r="G1870" s="5" t="n">
        <f aca="false">VLOOKUP(B1870,Заказы!$A$2:$E$2995,2,FALSE())</f>
        <v>43992</v>
      </c>
      <c r="H1870" s="1" t="n">
        <f aca="false">VLOOKUP(B1870,Заказы!$A$2:$E$2995,3,FALSE())</f>
        <v>1456</v>
      </c>
      <c r="I1870" s="1" t="str">
        <f aca="false">VLOOKUP(H1870,Клиенты!$A$2:$E$1995,5,FALSE())</f>
        <v>г. Электроугли</v>
      </c>
      <c r="J1870" s="1" t="n">
        <f aca="false">VLOOKUP(B1870,Заказы!$A$2:$E$2995,4,FALSE())</f>
        <v>0</v>
      </c>
      <c r="K1870" s="1" t="str">
        <f aca="false">VLOOKUP(B1870,Заказы!$A$2:$E$2995,5,FALSE())</f>
        <v>Не выполнено</v>
      </c>
      <c r="L1870" s="1" t="n">
        <f aca="false">D1870*F1870+J1870</f>
        <v>2180</v>
      </c>
      <c r="M1870" s="1" t="n">
        <f aca="false">IF(AND(E1870="Пицца Труслейка",I1870="г. Москва",K1870="Выполнено",G1870&gt;=DATE(2020,7,1),G1870&lt;DATE(2020,8,1)),L1870,0)</f>
        <v>0</v>
      </c>
    </row>
    <row r="1871" customFormat="false" ht="15" hidden="false" customHeight="true" outlineLevel="0" collapsed="false">
      <c r="A1871" s="1" t="n">
        <v>100022</v>
      </c>
      <c r="B1871" s="1" t="n">
        <v>51517</v>
      </c>
      <c r="C1871" s="1" t="n">
        <v>4</v>
      </c>
      <c r="D1871" s="1" t="n">
        <v>4</v>
      </c>
      <c r="E1871" s="1" t="str">
        <f aca="false">VLOOKUP(C1871,Меню!$A$2:$C$24,2,FALSE())</f>
        <v>Пицца Труслейка</v>
      </c>
      <c r="F1871" s="1" t="n">
        <f aca="false">VLOOKUP(C1871,Меню!$A$2:$C$24,3,FALSE())</f>
        <v>610</v>
      </c>
      <c r="G1871" s="5" t="n">
        <f aca="false">VLOOKUP(B1871,Заказы!$A$2:$E$2995,2,FALSE())</f>
        <v>44039</v>
      </c>
      <c r="H1871" s="1" t="n">
        <f aca="false">VLOOKUP(B1871,Заказы!$A$2:$E$2995,3,FALSE())</f>
        <v>923</v>
      </c>
      <c r="I1871" s="1" t="str">
        <f aca="false">VLOOKUP(H1871,Клиенты!$A$2:$E$1995,5,FALSE())</f>
        <v>г. Малоархангельск</v>
      </c>
      <c r="J1871" s="1" t="n">
        <f aca="false">VLOOKUP(B1871,Заказы!$A$2:$E$2995,4,FALSE())</f>
        <v>0</v>
      </c>
      <c r="K1871" s="1" t="str">
        <f aca="false">VLOOKUP(B1871,Заказы!$A$2:$E$2995,5,FALSE())</f>
        <v>Не выполнено</v>
      </c>
      <c r="L1871" s="1" t="n">
        <f aca="false">D1871*F1871+J1871</f>
        <v>2440</v>
      </c>
      <c r="M1871" s="1" t="n">
        <f aca="false">IF(AND(E1871="Пицца Труслейка",I1871="г. Москва",K1871="Выполнено",G1871&gt;=DATE(2020,7,1),G1871&lt;DATE(2020,8,1)),L1871,0)</f>
        <v>0</v>
      </c>
    </row>
    <row r="1872" customFormat="false" ht="15" hidden="false" customHeight="true" outlineLevel="0" collapsed="false">
      <c r="A1872" s="1" t="n">
        <v>100686</v>
      </c>
      <c r="B1872" s="1" t="n">
        <v>51448</v>
      </c>
      <c r="C1872" s="1" t="n">
        <v>8</v>
      </c>
      <c r="D1872" s="1" t="n">
        <v>4</v>
      </c>
      <c r="E1872" s="1" t="str">
        <f aca="false">VLOOKUP(C1872,Меню!$A$2:$C$24,2,FALSE())</f>
        <v>Пицца Мясная</v>
      </c>
      <c r="F1872" s="1" t="n">
        <f aca="false">VLOOKUP(C1872,Меню!$A$2:$C$24,3,FALSE())</f>
        <v>615</v>
      </c>
      <c r="G1872" s="5" t="n">
        <f aca="false">VLOOKUP(B1872,Заказы!$A$2:$E$2995,2,FALSE())</f>
        <v>44015</v>
      </c>
      <c r="H1872" s="1" t="n">
        <f aca="false">VLOOKUP(B1872,Заказы!$A$2:$E$2995,3,FALSE())</f>
        <v>599</v>
      </c>
      <c r="I1872" s="1" t="str">
        <f aca="false">VLOOKUP(H1872,Клиенты!$A$2:$E$1995,5,FALSE())</f>
        <v>г. Белоусово</v>
      </c>
      <c r="J1872" s="1" t="n">
        <f aca="false">VLOOKUP(B1872,Заказы!$A$2:$E$2995,4,FALSE())</f>
        <v>0</v>
      </c>
      <c r="K1872" s="1" t="str">
        <f aca="false">VLOOKUP(B1872,Заказы!$A$2:$E$2995,5,FALSE())</f>
        <v>Не выполнено</v>
      </c>
      <c r="L1872" s="1" t="n">
        <f aca="false">D1872*F1872+J1872</f>
        <v>2460</v>
      </c>
      <c r="M1872" s="1" t="n">
        <f aca="false">IF(AND(E1872="Пицца Труслейка",I1872="г. Москва",K1872="Выполнено",G1872&gt;=DATE(2020,7,1),G1872&lt;DATE(2020,8,1)),L1872,0)</f>
        <v>0</v>
      </c>
    </row>
    <row r="1873" customFormat="false" ht="15" hidden="false" customHeight="true" outlineLevel="0" collapsed="false">
      <c r="A1873" s="1" t="n">
        <v>101994</v>
      </c>
      <c r="B1873" s="1" t="n">
        <v>51477</v>
      </c>
      <c r="C1873" s="1" t="n">
        <v>16</v>
      </c>
      <c r="D1873" s="1" t="n">
        <v>6</v>
      </c>
      <c r="E1873" s="1" t="str">
        <f aca="false">VLOOKUP(C1873,Меню!$A$2:$C$24,2,FALSE())</f>
        <v>Пицца Флорида</v>
      </c>
      <c r="F1873" s="1" t="n">
        <f aca="false">VLOOKUP(C1873,Меню!$A$2:$C$24,3,FALSE())</f>
        <v>535</v>
      </c>
      <c r="G1873" s="5" t="n">
        <f aca="false">VLOOKUP(B1873,Заказы!$A$2:$E$2995,2,FALSE())</f>
        <v>44069</v>
      </c>
      <c r="H1873" s="1" t="n">
        <f aca="false">VLOOKUP(B1873,Заказы!$A$2:$E$2995,3,FALSE())</f>
        <v>1676</v>
      </c>
      <c r="I1873" s="1" t="str">
        <f aca="false">VLOOKUP(H1873,Клиенты!$A$2:$E$1995,5,FALSE())</f>
        <v>г. Светогорск</v>
      </c>
      <c r="J1873" s="1" t="n">
        <f aca="false">VLOOKUP(B1873,Заказы!$A$2:$E$2995,4,FALSE())</f>
        <v>136</v>
      </c>
      <c r="K1873" s="1" t="str">
        <f aca="false">VLOOKUP(B1873,Заказы!$A$2:$E$2995,5,FALSE())</f>
        <v>Выполнено</v>
      </c>
      <c r="L1873" s="1" t="n">
        <f aca="false">D1873*F1873+J1873</f>
        <v>3346</v>
      </c>
      <c r="M1873" s="1" t="n">
        <f aca="false">IF(AND(E1873="Пицца Труслейка",I1873="г. Москва",K1873="Выполнено",G1873&gt;=DATE(2020,7,1),G1873&lt;DATE(2020,8,1)),L1873,0)</f>
        <v>0</v>
      </c>
    </row>
    <row r="1874" customFormat="false" ht="15" hidden="false" customHeight="true" outlineLevel="0" collapsed="false">
      <c r="A1874" s="1" t="n">
        <v>101215</v>
      </c>
      <c r="B1874" s="1" t="n">
        <v>50127</v>
      </c>
      <c r="C1874" s="1" t="n">
        <v>8</v>
      </c>
      <c r="D1874" s="1" t="n">
        <v>1</v>
      </c>
      <c r="E1874" s="1" t="str">
        <f aca="false">VLOOKUP(C1874,Меню!$A$2:$C$24,2,FALSE())</f>
        <v>Пицца Мясная</v>
      </c>
      <c r="F1874" s="1" t="n">
        <f aca="false">VLOOKUP(C1874,Меню!$A$2:$C$24,3,FALSE())</f>
        <v>615</v>
      </c>
      <c r="G1874" s="5" t="n">
        <f aca="false">VLOOKUP(B1874,Заказы!$A$2:$E$2995,2,FALSE())</f>
        <v>44010</v>
      </c>
      <c r="H1874" s="1" t="n">
        <f aca="false">VLOOKUP(B1874,Заказы!$A$2:$E$2995,3,FALSE())</f>
        <v>723</v>
      </c>
      <c r="I1874" s="1" t="str">
        <f aca="false">VLOOKUP(H1874,Клиенты!$A$2:$E$1995,5,FALSE())</f>
        <v>г. Дюртюли</v>
      </c>
      <c r="J1874" s="1" t="n">
        <f aca="false">VLOOKUP(B1874,Заказы!$A$2:$E$2995,4,FALSE())</f>
        <v>225</v>
      </c>
      <c r="K1874" s="1" t="str">
        <f aca="false">VLOOKUP(B1874,Заказы!$A$2:$E$2995,5,FALSE())</f>
        <v>Выполнено</v>
      </c>
      <c r="L1874" s="1" t="n">
        <f aca="false">D1874*F1874+J1874</f>
        <v>840</v>
      </c>
      <c r="M1874" s="1" t="n">
        <f aca="false">IF(AND(E1874="Пицца Труслейка",I1874="г. Москва",K1874="Выполнено",G1874&gt;=DATE(2020,7,1),G1874&lt;DATE(2020,8,1)),L1874,0)</f>
        <v>0</v>
      </c>
    </row>
    <row r="1875" customFormat="false" ht="15" hidden="false" customHeight="true" outlineLevel="0" collapsed="false">
      <c r="A1875" s="1" t="n">
        <v>101603</v>
      </c>
      <c r="B1875" s="1" t="n">
        <v>51617</v>
      </c>
      <c r="C1875" s="1" t="n">
        <v>6</v>
      </c>
      <c r="D1875" s="1" t="n">
        <v>4</v>
      </c>
      <c r="E1875" s="1" t="str">
        <f aca="false">VLOOKUP(C1875,Меню!$A$2:$C$24,2,FALSE())</f>
        <v>Пицца Капричиоза</v>
      </c>
      <c r="F1875" s="1" t="n">
        <f aca="false">VLOOKUP(C1875,Меню!$A$2:$C$24,3,FALSE())</f>
        <v>570</v>
      </c>
      <c r="G1875" s="5" t="n">
        <f aca="false">VLOOKUP(B1875,Заказы!$A$2:$E$2995,2,FALSE())</f>
        <v>44014</v>
      </c>
      <c r="H1875" s="1" t="n">
        <f aca="false">VLOOKUP(B1875,Заказы!$A$2:$E$2995,3,FALSE())</f>
        <v>553</v>
      </c>
      <c r="I1875" s="1" t="str">
        <f aca="false">VLOOKUP(H1875,Клиенты!$A$2:$E$1995,5,FALSE())</f>
        <v>г. Чапаевск</v>
      </c>
      <c r="J1875" s="1" t="n">
        <f aca="false">VLOOKUP(B1875,Заказы!$A$2:$E$2995,4,FALSE())</f>
        <v>0</v>
      </c>
      <c r="K1875" s="1" t="str">
        <f aca="false">VLOOKUP(B1875,Заказы!$A$2:$E$2995,5,FALSE())</f>
        <v>Не выполнено</v>
      </c>
      <c r="L1875" s="1" t="n">
        <f aca="false">D1875*F1875+J1875</f>
        <v>2280</v>
      </c>
      <c r="M1875" s="1" t="n">
        <f aca="false">IF(AND(E1875="Пицца Труслейка",I1875="г. Москва",K1875="Выполнено",G1875&gt;=DATE(2020,7,1),G1875&lt;DATE(2020,8,1)),L1875,0)</f>
        <v>0</v>
      </c>
    </row>
    <row r="1876" customFormat="false" ht="15" hidden="false" customHeight="true" outlineLevel="0" collapsed="false">
      <c r="A1876" s="1" t="n">
        <v>101243</v>
      </c>
      <c r="B1876" s="1" t="n">
        <v>50699</v>
      </c>
      <c r="C1876" s="1" t="n">
        <v>7</v>
      </c>
      <c r="D1876" s="1" t="n">
        <v>9</v>
      </c>
      <c r="E1876" s="1" t="str">
        <f aca="false">VLOOKUP(C1876,Меню!$A$2:$C$24,2,FALSE())</f>
        <v>Пицца Карбонара</v>
      </c>
      <c r="F1876" s="1" t="n">
        <f aca="false">VLOOKUP(C1876,Меню!$A$2:$C$24,3,FALSE())</f>
        <v>625</v>
      </c>
      <c r="G1876" s="5" t="n">
        <f aca="false">VLOOKUP(B1876,Заказы!$A$2:$E$2995,2,FALSE())</f>
        <v>44017</v>
      </c>
      <c r="H1876" s="1" t="n">
        <f aca="false">VLOOKUP(B1876,Заказы!$A$2:$E$2995,3,FALSE())</f>
        <v>1143</v>
      </c>
      <c r="I1876" s="1" t="str">
        <f aca="false">VLOOKUP(H1876,Клиенты!$A$2:$E$1995,5,FALSE())</f>
        <v>г. Урюпинск</v>
      </c>
      <c r="J1876" s="1" t="n">
        <f aca="false">VLOOKUP(B1876,Заказы!$A$2:$E$2995,4,FALSE())</f>
        <v>0</v>
      </c>
      <c r="K1876" s="1" t="str">
        <f aca="false">VLOOKUP(B1876,Заказы!$A$2:$E$2995,5,FALSE())</f>
        <v>Не выполнено</v>
      </c>
      <c r="L1876" s="1" t="n">
        <f aca="false">D1876*F1876+J1876</f>
        <v>5625</v>
      </c>
      <c r="M1876" s="1" t="n">
        <f aca="false">IF(AND(E1876="Пицца Труслейка",I1876="г. Москва",K1876="Выполнено",G1876&gt;=DATE(2020,7,1),G1876&lt;DATE(2020,8,1)),L1876,0)</f>
        <v>0</v>
      </c>
    </row>
    <row r="1877" customFormat="false" ht="15" hidden="false" customHeight="true" outlineLevel="0" collapsed="false">
      <c r="A1877" s="1" t="n">
        <v>101088</v>
      </c>
      <c r="B1877" s="1" t="n">
        <v>50013</v>
      </c>
      <c r="C1877" s="1" t="n">
        <v>13</v>
      </c>
      <c r="D1877" s="1" t="n">
        <v>6</v>
      </c>
      <c r="E1877" s="1" t="str">
        <f aca="false">VLOOKUP(C1877,Меню!$A$2:$C$24,2,FALSE())</f>
        <v>Пицца Сырная</v>
      </c>
      <c r="F1877" s="1" t="n">
        <f aca="false">VLOOKUP(C1877,Меню!$A$2:$C$24,3,FALSE())</f>
        <v>635</v>
      </c>
      <c r="G1877" s="5" t="n">
        <f aca="false">VLOOKUP(B1877,Заказы!$A$2:$E$2995,2,FALSE())</f>
        <v>44005</v>
      </c>
      <c r="H1877" s="1" t="n">
        <f aca="false">VLOOKUP(B1877,Заказы!$A$2:$E$2995,3,FALSE())</f>
        <v>1185</v>
      </c>
      <c r="I1877" s="1" t="str">
        <f aca="false">VLOOKUP(H1877,Клиенты!$A$2:$E$1995,5,FALSE())</f>
        <v>г. Кондрово</v>
      </c>
      <c r="J1877" s="1" t="n">
        <f aca="false">VLOOKUP(B1877,Заказы!$A$2:$E$2995,4,FALSE())</f>
        <v>494</v>
      </c>
      <c r="K1877" s="1" t="str">
        <f aca="false">VLOOKUP(B1877,Заказы!$A$2:$E$2995,5,FALSE())</f>
        <v>Выполнено</v>
      </c>
      <c r="L1877" s="1" t="n">
        <f aca="false">D1877*F1877+J1877</f>
        <v>4304</v>
      </c>
      <c r="M1877" s="1" t="n">
        <f aca="false">IF(AND(E1877="Пицца Труслейка",I1877="г. Москва",K1877="Выполнено",G1877&gt;=DATE(2020,7,1),G1877&lt;DATE(2020,8,1)),L1877,0)</f>
        <v>0</v>
      </c>
    </row>
    <row r="1878" customFormat="false" ht="15" hidden="false" customHeight="true" outlineLevel="0" collapsed="false">
      <c r="A1878" s="1" t="n">
        <v>100599</v>
      </c>
      <c r="B1878" s="1" t="n">
        <v>50597</v>
      </c>
      <c r="C1878" s="1" t="n">
        <v>22</v>
      </c>
      <c r="D1878" s="1" t="n">
        <v>1</v>
      </c>
      <c r="E1878" s="1" t="str">
        <f aca="false">VLOOKUP(C1878,Меню!$A$2:$C$24,2,FALSE())</f>
        <v>Пицца с поркеттой и фриарелли</v>
      </c>
      <c r="F1878" s="1" t="n">
        <f aca="false">VLOOKUP(C1878,Меню!$A$2:$C$24,3,FALSE())</f>
        <v>550</v>
      </c>
      <c r="G1878" s="5" t="n">
        <f aca="false">VLOOKUP(B1878,Заказы!$A$2:$E$2995,2,FALSE())</f>
        <v>44040</v>
      </c>
      <c r="H1878" s="1" t="n">
        <f aca="false">VLOOKUP(B1878,Заказы!$A$2:$E$2995,3,FALSE())</f>
        <v>1833</v>
      </c>
      <c r="I1878" s="1" t="str">
        <f aca="false">VLOOKUP(H1878,Клиенты!$A$2:$E$1995,5,FALSE())</f>
        <v>г. Конаково</v>
      </c>
      <c r="J1878" s="1" t="n">
        <f aca="false">VLOOKUP(B1878,Заказы!$A$2:$E$2995,4,FALSE())</f>
        <v>570</v>
      </c>
      <c r="K1878" s="1" t="str">
        <f aca="false">VLOOKUP(B1878,Заказы!$A$2:$E$2995,5,FALSE())</f>
        <v>Выполнено</v>
      </c>
      <c r="L1878" s="1" t="n">
        <f aca="false">D1878*F1878+J1878</f>
        <v>1120</v>
      </c>
      <c r="M1878" s="1" t="n">
        <f aca="false">IF(AND(E1878="Пицца Труслейка",I1878="г. Москва",K1878="Выполнено",G1878&gt;=DATE(2020,7,1),G1878&lt;DATE(2020,8,1)),L1878,0)</f>
        <v>0</v>
      </c>
    </row>
    <row r="1879" customFormat="false" ht="15" hidden="false" customHeight="true" outlineLevel="0" collapsed="false">
      <c r="A1879" s="1" t="n">
        <v>100821</v>
      </c>
      <c r="B1879" s="1" t="n">
        <v>50810</v>
      </c>
      <c r="C1879" s="1" t="n">
        <v>10</v>
      </c>
      <c r="D1879" s="1" t="n">
        <v>3</v>
      </c>
      <c r="E1879" s="1" t="str">
        <f aca="false">VLOOKUP(C1879,Меню!$A$2:$C$24,2,FALSE())</f>
        <v>Пицца Пепперони фреш</v>
      </c>
      <c r="F1879" s="1" t="n">
        <f aca="false">VLOOKUP(C1879,Меню!$A$2:$C$24,3,FALSE())</f>
        <v>565</v>
      </c>
      <c r="G1879" s="5" t="n">
        <f aca="false">VLOOKUP(B1879,Заказы!$A$2:$E$2995,2,FALSE())</f>
        <v>43992</v>
      </c>
      <c r="H1879" s="1" t="n">
        <f aca="false">VLOOKUP(B1879,Заказы!$A$2:$E$2995,3,FALSE())</f>
        <v>782</v>
      </c>
      <c r="I1879" s="1" t="str">
        <f aca="false">VLOOKUP(H1879,Клиенты!$A$2:$E$1995,5,FALSE())</f>
        <v>г. Сычёвка</v>
      </c>
      <c r="J1879" s="1" t="n">
        <f aca="false">VLOOKUP(B1879,Заказы!$A$2:$E$2995,4,FALSE())</f>
        <v>353</v>
      </c>
      <c r="K1879" s="1" t="str">
        <f aca="false">VLOOKUP(B1879,Заказы!$A$2:$E$2995,5,FALSE())</f>
        <v>Выполнено</v>
      </c>
      <c r="L1879" s="1" t="n">
        <f aca="false">D1879*F1879+J1879</f>
        <v>2048</v>
      </c>
      <c r="M1879" s="1" t="n">
        <f aca="false">IF(AND(E1879="Пицца Труслейка",I1879="г. Москва",K1879="Выполнено",G1879&gt;=DATE(2020,7,1),G1879&lt;DATE(2020,8,1)),L1879,0)</f>
        <v>0</v>
      </c>
    </row>
    <row r="1880" customFormat="false" ht="15" hidden="false" customHeight="true" outlineLevel="0" collapsed="false">
      <c r="A1880" s="1" t="n">
        <v>101293</v>
      </c>
      <c r="B1880" s="1" t="n">
        <v>50175</v>
      </c>
      <c r="C1880" s="1" t="n">
        <v>6</v>
      </c>
      <c r="D1880" s="1" t="n">
        <v>7</v>
      </c>
      <c r="E1880" s="1" t="str">
        <f aca="false">VLOOKUP(C1880,Меню!$A$2:$C$24,2,FALSE())</f>
        <v>Пицца Капричиоза</v>
      </c>
      <c r="F1880" s="1" t="n">
        <f aca="false">VLOOKUP(C1880,Меню!$A$2:$C$24,3,FALSE())</f>
        <v>570</v>
      </c>
      <c r="G1880" s="5" t="n">
        <f aca="false">VLOOKUP(B1880,Заказы!$A$2:$E$2995,2,FALSE())</f>
        <v>44053</v>
      </c>
      <c r="H1880" s="1" t="n">
        <f aca="false">VLOOKUP(B1880,Заказы!$A$2:$E$2995,3,FALSE())</f>
        <v>1281</v>
      </c>
      <c r="I1880" s="1" t="str">
        <f aca="false">VLOOKUP(H1880,Клиенты!$A$2:$E$1995,5,FALSE())</f>
        <v>г. Кушва</v>
      </c>
      <c r="J1880" s="1" t="n">
        <f aca="false">VLOOKUP(B1880,Заказы!$A$2:$E$2995,4,FALSE())</f>
        <v>775</v>
      </c>
      <c r="K1880" s="1" t="str">
        <f aca="false">VLOOKUP(B1880,Заказы!$A$2:$E$2995,5,FALSE())</f>
        <v>Выполнено</v>
      </c>
      <c r="L1880" s="1" t="n">
        <f aca="false">D1880*F1880+J1880</f>
        <v>4765</v>
      </c>
      <c r="M1880" s="1" t="n">
        <f aca="false">IF(AND(E1880="Пицца Труслейка",I1880="г. Москва",K1880="Выполнено",G1880&gt;=DATE(2020,7,1),G1880&lt;DATE(2020,8,1)),L1880,0)</f>
        <v>0</v>
      </c>
    </row>
    <row r="1881" customFormat="false" ht="15" hidden="false" customHeight="true" outlineLevel="0" collapsed="false">
      <c r="A1881" s="1" t="n">
        <v>101242</v>
      </c>
      <c r="B1881" s="1" t="n">
        <v>50108</v>
      </c>
      <c r="C1881" s="1" t="n">
        <v>4</v>
      </c>
      <c r="D1881" s="1" t="n">
        <v>7</v>
      </c>
      <c r="E1881" s="1" t="str">
        <f aca="false">VLOOKUP(C1881,Меню!$A$2:$C$24,2,FALSE())</f>
        <v>Пицца Труслейка</v>
      </c>
      <c r="F1881" s="1" t="n">
        <f aca="false">VLOOKUP(C1881,Меню!$A$2:$C$24,3,FALSE())</f>
        <v>610</v>
      </c>
      <c r="G1881" s="5" t="n">
        <f aca="false">VLOOKUP(B1881,Заказы!$A$2:$E$2995,2,FALSE())</f>
        <v>43984</v>
      </c>
      <c r="H1881" s="1" t="n">
        <f aca="false">VLOOKUP(B1881,Заказы!$A$2:$E$2995,3,FALSE())</f>
        <v>1031</v>
      </c>
      <c r="I1881" s="1" t="str">
        <f aca="false">VLOOKUP(H1881,Клиенты!$A$2:$E$1995,5,FALSE())</f>
        <v>г. Абдулино</v>
      </c>
      <c r="J1881" s="1" t="n">
        <f aca="false">VLOOKUP(B1881,Заказы!$A$2:$E$2995,4,FALSE())</f>
        <v>0</v>
      </c>
      <c r="K1881" s="1" t="str">
        <f aca="false">VLOOKUP(B1881,Заказы!$A$2:$E$2995,5,FALSE())</f>
        <v>Не выполнено</v>
      </c>
      <c r="L1881" s="1" t="n">
        <f aca="false">D1881*F1881+J1881</f>
        <v>4270</v>
      </c>
      <c r="M1881" s="1" t="n">
        <f aca="false">IF(AND(E1881="Пицца Труслейка",I1881="г. Москва",K1881="Выполнено",G1881&gt;=DATE(2020,7,1),G1881&lt;DATE(2020,8,1)),L1881,0)</f>
        <v>0</v>
      </c>
    </row>
    <row r="1882" customFormat="false" ht="15" hidden="false" customHeight="true" outlineLevel="0" collapsed="false">
      <c r="A1882" s="1" t="n">
        <v>100703</v>
      </c>
      <c r="B1882" s="1" t="n">
        <v>50889</v>
      </c>
      <c r="C1882" s="1" t="n">
        <v>4</v>
      </c>
      <c r="D1882" s="1" t="n">
        <v>6</v>
      </c>
      <c r="E1882" s="1" t="str">
        <f aca="false">VLOOKUP(C1882,Меню!$A$2:$C$24,2,FALSE())</f>
        <v>Пицца Труслейка</v>
      </c>
      <c r="F1882" s="1" t="n">
        <f aca="false">VLOOKUP(C1882,Меню!$A$2:$C$24,3,FALSE())</f>
        <v>610</v>
      </c>
      <c r="G1882" s="5" t="n">
        <f aca="false">VLOOKUP(B1882,Заказы!$A$2:$E$2995,2,FALSE())</f>
        <v>44001</v>
      </c>
      <c r="H1882" s="1" t="n">
        <f aca="false">VLOOKUP(B1882,Заказы!$A$2:$E$2995,3,FALSE())</f>
        <v>716</v>
      </c>
      <c r="I1882" s="1" t="str">
        <f aca="false">VLOOKUP(H1882,Клиенты!$A$2:$E$1995,5,FALSE())</f>
        <v>г. Щёкино</v>
      </c>
      <c r="J1882" s="1" t="n">
        <f aca="false">VLOOKUP(B1882,Заказы!$A$2:$E$2995,4,FALSE())</f>
        <v>735</v>
      </c>
      <c r="K1882" s="1" t="str">
        <f aca="false">VLOOKUP(B1882,Заказы!$A$2:$E$2995,5,FALSE())</f>
        <v>Выполнено</v>
      </c>
      <c r="L1882" s="1" t="n">
        <f aca="false">D1882*F1882+J1882</f>
        <v>4395</v>
      </c>
      <c r="M1882" s="1" t="n">
        <f aca="false">IF(AND(E1882="Пицца Труслейка",I1882="г. Москва",K1882="Выполнено",G1882&gt;=DATE(2020,7,1),G1882&lt;DATE(2020,8,1)),L1882,0)</f>
        <v>0</v>
      </c>
    </row>
    <row r="1883" customFormat="false" ht="15" hidden="false" customHeight="true" outlineLevel="0" collapsed="false">
      <c r="A1883" s="1" t="n">
        <v>101412</v>
      </c>
      <c r="B1883" s="1" t="n">
        <v>50789</v>
      </c>
      <c r="C1883" s="1" t="n">
        <v>7</v>
      </c>
      <c r="D1883" s="1" t="n">
        <v>10</v>
      </c>
      <c r="E1883" s="1" t="str">
        <f aca="false">VLOOKUP(C1883,Меню!$A$2:$C$24,2,FALSE())</f>
        <v>Пицца Карбонара</v>
      </c>
      <c r="F1883" s="1" t="n">
        <f aca="false">VLOOKUP(C1883,Меню!$A$2:$C$24,3,FALSE())</f>
        <v>625</v>
      </c>
      <c r="G1883" s="5" t="n">
        <f aca="false">VLOOKUP(B1883,Заказы!$A$2:$E$2995,2,FALSE())</f>
        <v>44039</v>
      </c>
      <c r="H1883" s="1" t="n">
        <f aca="false">VLOOKUP(B1883,Заказы!$A$2:$E$2995,3,FALSE())</f>
        <v>1000</v>
      </c>
      <c r="I1883" s="1" t="str">
        <f aca="false">VLOOKUP(H1883,Клиенты!$A$2:$E$1995,5,FALSE())</f>
        <v>г. Москва</v>
      </c>
      <c r="J1883" s="1" t="n">
        <f aca="false">VLOOKUP(B1883,Заказы!$A$2:$E$2995,4,FALSE())</f>
        <v>785</v>
      </c>
      <c r="K1883" s="1" t="str">
        <f aca="false">VLOOKUP(B1883,Заказы!$A$2:$E$2995,5,FALSE())</f>
        <v>Выполнено</v>
      </c>
      <c r="L1883" s="1" t="n">
        <f aca="false">D1883*F1883+J1883</f>
        <v>7035</v>
      </c>
      <c r="M1883" s="1" t="n">
        <f aca="false">IF(AND(E1883="Пицца Труслейка",I1883="г. Москва",K1883="Выполнено",G1883&gt;=DATE(2020,7,1),G1883&lt;DATE(2020,8,1)),L1883,0)</f>
        <v>0</v>
      </c>
    </row>
    <row r="1884" customFormat="false" ht="15" hidden="false" customHeight="true" outlineLevel="0" collapsed="false">
      <c r="A1884" s="1" t="n">
        <v>100619</v>
      </c>
      <c r="B1884" s="1" t="n">
        <v>51281</v>
      </c>
      <c r="C1884" s="1" t="n">
        <v>16</v>
      </c>
      <c r="D1884" s="1" t="n">
        <v>9</v>
      </c>
      <c r="E1884" s="1" t="str">
        <f aca="false">VLOOKUP(C1884,Меню!$A$2:$C$24,2,FALSE())</f>
        <v>Пицца Флорида</v>
      </c>
      <c r="F1884" s="1" t="n">
        <f aca="false">VLOOKUP(C1884,Меню!$A$2:$C$24,3,FALSE())</f>
        <v>535</v>
      </c>
      <c r="G1884" s="5" t="n">
        <f aca="false">VLOOKUP(B1884,Заказы!$A$2:$E$2995,2,FALSE())</f>
        <v>43991</v>
      </c>
      <c r="H1884" s="1" t="n">
        <f aca="false">VLOOKUP(B1884,Заказы!$A$2:$E$2995,3,FALSE())</f>
        <v>1719</v>
      </c>
      <c r="I1884" s="1" t="str">
        <f aca="false">VLOOKUP(H1884,Клиенты!$A$2:$E$1995,5,FALSE())</f>
        <v>г. Пыть-Ях</v>
      </c>
      <c r="J1884" s="1" t="n">
        <f aca="false">VLOOKUP(B1884,Заказы!$A$2:$E$2995,4,FALSE())</f>
        <v>646</v>
      </c>
      <c r="K1884" s="1" t="str">
        <f aca="false">VLOOKUP(B1884,Заказы!$A$2:$E$2995,5,FALSE())</f>
        <v>Выполнено</v>
      </c>
      <c r="L1884" s="1" t="n">
        <f aca="false">D1884*F1884+J1884</f>
        <v>5461</v>
      </c>
      <c r="M1884" s="1" t="n">
        <f aca="false">IF(AND(E1884="Пицца Труслейка",I1884="г. Москва",K1884="Выполнено",G1884&gt;=DATE(2020,7,1),G1884&lt;DATE(2020,8,1)),L1884,0)</f>
        <v>0</v>
      </c>
    </row>
    <row r="1885" customFormat="false" ht="15" hidden="false" customHeight="true" outlineLevel="0" collapsed="false">
      <c r="A1885" s="1" t="n">
        <v>100557</v>
      </c>
      <c r="B1885" s="1" t="n">
        <v>50992</v>
      </c>
      <c r="C1885" s="1" t="n">
        <v>19</v>
      </c>
      <c r="D1885" s="1" t="n">
        <v>8</v>
      </c>
      <c r="E1885" s="1" t="str">
        <f aca="false">VLOOKUP(C1885,Меню!$A$2:$C$24,2,FALSE())</f>
        <v>Пицца Цезарь</v>
      </c>
      <c r="F1885" s="1" t="n">
        <f aca="false">VLOOKUP(C1885,Меню!$A$2:$C$24,3,FALSE())</f>
        <v>630</v>
      </c>
      <c r="G1885" s="5" t="n">
        <f aca="false">VLOOKUP(B1885,Заказы!$A$2:$E$2995,2,FALSE())</f>
        <v>44034</v>
      </c>
      <c r="H1885" s="1" t="n">
        <f aca="false">VLOOKUP(B1885,Заказы!$A$2:$E$2995,3,FALSE())</f>
        <v>975</v>
      </c>
      <c r="I1885" s="1" t="str">
        <f aca="false">VLOOKUP(H1885,Клиенты!$A$2:$E$1995,5,FALSE())</f>
        <v>г. Нестеров</v>
      </c>
      <c r="J1885" s="1" t="n">
        <f aca="false">VLOOKUP(B1885,Заказы!$A$2:$E$2995,4,FALSE())</f>
        <v>250</v>
      </c>
      <c r="K1885" s="1" t="str">
        <f aca="false">VLOOKUP(B1885,Заказы!$A$2:$E$2995,5,FALSE())</f>
        <v>Выполнено</v>
      </c>
      <c r="L1885" s="1" t="n">
        <f aca="false">D1885*F1885+J1885</f>
        <v>5290</v>
      </c>
      <c r="M1885" s="1" t="n">
        <f aca="false">IF(AND(E1885="Пицца Труслейка",I1885="г. Москва",K1885="Выполнено",G1885&gt;=DATE(2020,7,1),G1885&lt;DATE(2020,8,1)),L1885,0)</f>
        <v>0</v>
      </c>
    </row>
    <row r="1886" customFormat="false" ht="15" hidden="false" customHeight="true" outlineLevel="0" collapsed="false">
      <c r="A1886" s="1" t="n">
        <v>100974</v>
      </c>
      <c r="B1886" s="1" t="n">
        <v>50507</v>
      </c>
      <c r="C1886" s="1" t="n">
        <v>2</v>
      </c>
      <c r="D1886" s="1" t="n">
        <v>6</v>
      </c>
      <c r="E1886" s="1" t="str">
        <f aca="false">VLOOKUP(C1886,Меню!$A$2:$C$24,2,FALSE())</f>
        <v>Пицца Двойная пепперони</v>
      </c>
      <c r="F1886" s="1" t="n">
        <f aca="false">VLOOKUP(C1886,Меню!$A$2:$C$24,3,FALSE())</f>
        <v>575</v>
      </c>
      <c r="G1886" s="5" t="n">
        <f aca="false">VLOOKUP(B1886,Заказы!$A$2:$E$2995,2,FALSE())</f>
        <v>44071</v>
      </c>
      <c r="H1886" s="1" t="n">
        <f aca="false">VLOOKUP(B1886,Заказы!$A$2:$E$2995,3,FALSE())</f>
        <v>570</v>
      </c>
      <c r="I1886" s="1" t="str">
        <f aca="false">VLOOKUP(H1886,Клиенты!$A$2:$E$1995,5,FALSE())</f>
        <v>г. Москва</v>
      </c>
      <c r="J1886" s="1" t="n">
        <f aca="false">VLOOKUP(B1886,Заказы!$A$2:$E$2995,4,FALSE())</f>
        <v>388</v>
      </c>
      <c r="K1886" s="1" t="str">
        <f aca="false">VLOOKUP(B1886,Заказы!$A$2:$E$2995,5,FALSE())</f>
        <v>Выполнено</v>
      </c>
      <c r="L1886" s="1" t="n">
        <f aca="false">D1886*F1886+J1886</f>
        <v>3838</v>
      </c>
      <c r="M1886" s="1" t="n">
        <f aca="false">IF(AND(E1886="Пицца Труслейка",I1886="г. Москва",K1886="Выполнено",G1886&gt;=DATE(2020,7,1),G1886&lt;DATE(2020,8,1)),L1886,0)</f>
        <v>0</v>
      </c>
    </row>
    <row r="1887" customFormat="false" ht="15" hidden="false" customHeight="true" outlineLevel="0" collapsed="false">
      <c r="A1887" s="1" t="n">
        <v>100296</v>
      </c>
      <c r="B1887" s="1" t="n">
        <v>51140</v>
      </c>
      <c r="C1887" s="1" t="n">
        <v>14</v>
      </c>
      <c r="D1887" s="1" t="n">
        <v>4</v>
      </c>
      <c r="E1887" s="1" t="str">
        <f aca="false">VLOOKUP(C1887,Меню!$A$2:$C$24,2,FALSE())</f>
        <v>Пицца Сырный цыпленок</v>
      </c>
      <c r="F1887" s="1" t="n">
        <f aca="false">VLOOKUP(C1887,Меню!$A$2:$C$24,3,FALSE())</f>
        <v>555</v>
      </c>
      <c r="G1887" s="5" t="n">
        <f aca="false">VLOOKUP(B1887,Заказы!$A$2:$E$2995,2,FALSE())</f>
        <v>43984</v>
      </c>
      <c r="H1887" s="1" t="n">
        <f aca="false">VLOOKUP(B1887,Заказы!$A$2:$E$2995,3,FALSE())</f>
        <v>1914</v>
      </c>
      <c r="I1887" s="1" t="str">
        <f aca="false">VLOOKUP(H1887,Клиенты!$A$2:$E$1995,5,FALSE())</f>
        <v>г. Солигалич</v>
      </c>
      <c r="J1887" s="1" t="n">
        <f aca="false">VLOOKUP(B1887,Заказы!$A$2:$E$2995,4,FALSE())</f>
        <v>0</v>
      </c>
      <c r="K1887" s="1" t="str">
        <f aca="false">VLOOKUP(B1887,Заказы!$A$2:$E$2995,5,FALSE())</f>
        <v>Не выполнено</v>
      </c>
      <c r="L1887" s="1" t="n">
        <f aca="false">D1887*F1887+J1887</f>
        <v>2220</v>
      </c>
      <c r="M1887" s="1" t="n">
        <f aca="false">IF(AND(E1887="Пицца Труслейка",I1887="г. Москва",K1887="Выполнено",G1887&gt;=DATE(2020,7,1),G1887&lt;DATE(2020,8,1)),L1887,0)</f>
        <v>0</v>
      </c>
    </row>
    <row r="1888" customFormat="false" ht="15" hidden="false" customHeight="true" outlineLevel="0" collapsed="false">
      <c r="A1888" s="1" t="n">
        <v>101763</v>
      </c>
      <c r="B1888" s="1" t="n">
        <v>50523</v>
      </c>
      <c r="C1888" s="1" t="n">
        <v>6</v>
      </c>
      <c r="D1888" s="1" t="n">
        <v>6</v>
      </c>
      <c r="E1888" s="1" t="str">
        <f aca="false">VLOOKUP(C1888,Меню!$A$2:$C$24,2,FALSE())</f>
        <v>Пицца Капричиоза</v>
      </c>
      <c r="F1888" s="1" t="n">
        <f aca="false">VLOOKUP(C1888,Меню!$A$2:$C$24,3,FALSE())</f>
        <v>570</v>
      </c>
      <c r="G1888" s="5" t="n">
        <f aca="false">VLOOKUP(B1888,Заказы!$A$2:$E$2995,2,FALSE())</f>
        <v>44005</v>
      </c>
      <c r="H1888" s="1" t="n">
        <f aca="false">VLOOKUP(B1888,Заказы!$A$2:$E$2995,3,FALSE())</f>
        <v>1330</v>
      </c>
      <c r="I1888" s="1" t="str">
        <f aca="false">VLOOKUP(H1888,Клиенты!$A$2:$E$1995,5,FALSE())</f>
        <v>г. Москва</v>
      </c>
      <c r="J1888" s="1" t="n">
        <f aca="false">VLOOKUP(B1888,Заказы!$A$2:$E$2995,4,FALSE())</f>
        <v>0</v>
      </c>
      <c r="K1888" s="1" t="str">
        <f aca="false">VLOOKUP(B1888,Заказы!$A$2:$E$2995,5,FALSE())</f>
        <v>Не выполнено</v>
      </c>
      <c r="L1888" s="1" t="n">
        <f aca="false">D1888*F1888+J1888</f>
        <v>3420</v>
      </c>
      <c r="M1888" s="1" t="n">
        <f aca="false">IF(AND(E1888="Пицца Труслейка",I1888="г. Москва",K1888="Выполнено",G1888&gt;=DATE(2020,7,1),G1888&lt;DATE(2020,8,1)),L1888,0)</f>
        <v>0</v>
      </c>
    </row>
    <row r="1889" customFormat="false" ht="15" hidden="false" customHeight="true" outlineLevel="0" collapsed="false">
      <c r="A1889" s="1" t="n">
        <v>100969</v>
      </c>
      <c r="B1889" s="1" t="n">
        <v>50541</v>
      </c>
      <c r="C1889" s="1" t="n">
        <v>21</v>
      </c>
      <c r="D1889" s="1" t="n">
        <v>9</v>
      </c>
      <c r="E1889" s="1" t="str">
        <f aca="false">VLOOKUP(C1889,Меню!$A$2:$C$24,2,FALSE())</f>
        <v>Пицца с креветками и цукини</v>
      </c>
      <c r="F1889" s="1" t="n">
        <f aca="false">VLOOKUP(C1889,Меню!$A$2:$C$24,3,FALSE())</f>
        <v>600</v>
      </c>
      <c r="G1889" s="5" t="n">
        <f aca="false">VLOOKUP(B1889,Заказы!$A$2:$E$2995,2,FALSE())</f>
        <v>44065</v>
      </c>
      <c r="H1889" s="1" t="n">
        <f aca="false">VLOOKUP(B1889,Заказы!$A$2:$E$2995,3,FALSE())</f>
        <v>986</v>
      </c>
      <c r="I1889" s="1" t="str">
        <f aca="false">VLOOKUP(H1889,Клиенты!$A$2:$E$1995,5,FALSE())</f>
        <v>г. Короча</v>
      </c>
      <c r="J1889" s="1" t="n">
        <f aca="false">VLOOKUP(B1889,Заказы!$A$2:$E$2995,4,FALSE())</f>
        <v>163</v>
      </c>
      <c r="K1889" s="1" t="str">
        <f aca="false">VLOOKUP(B1889,Заказы!$A$2:$E$2995,5,FALSE())</f>
        <v>Выполнено</v>
      </c>
      <c r="L1889" s="1" t="n">
        <f aca="false">D1889*F1889+J1889</f>
        <v>5563</v>
      </c>
      <c r="M1889" s="1" t="n">
        <f aca="false">IF(AND(E1889="Пицца Труслейка",I1889="г. Москва",K1889="Выполнено",G1889&gt;=DATE(2020,7,1),G1889&lt;DATE(2020,8,1)),L1889,0)</f>
        <v>0</v>
      </c>
    </row>
    <row r="1890" customFormat="false" ht="15" hidden="false" customHeight="true" outlineLevel="0" collapsed="false">
      <c r="A1890" s="1" t="n">
        <v>100543</v>
      </c>
      <c r="B1890" s="1" t="n">
        <v>51735</v>
      </c>
      <c r="C1890" s="1" t="n">
        <v>7</v>
      </c>
      <c r="D1890" s="1" t="n">
        <v>6</v>
      </c>
      <c r="E1890" s="1" t="str">
        <f aca="false">VLOOKUP(C1890,Меню!$A$2:$C$24,2,FALSE())</f>
        <v>Пицца Карбонара</v>
      </c>
      <c r="F1890" s="1" t="n">
        <f aca="false">VLOOKUP(C1890,Меню!$A$2:$C$24,3,FALSE())</f>
        <v>625</v>
      </c>
      <c r="G1890" s="5" t="n">
        <f aca="false">VLOOKUP(B1890,Заказы!$A$2:$E$2995,2,FALSE())</f>
        <v>44006</v>
      </c>
      <c r="H1890" s="1" t="n">
        <f aca="false">VLOOKUP(B1890,Заказы!$A$2:$E$2995,3,FALSE())</f>
        <v>1535</v>
      </c>
      <c r="I1890" s="1" t="str">
        <f aca="false">VLOOKUP(H1890,Клиенты!$A$2:$E$1995,5,FALSE())</f>
        <v>г. Щигры</v>
      </c>
      <c r="J1890" s="1" t="n">
        <f aca="false">VLOOKUP(B1890,Заказы!$A$2:$E$2995,4,FALSE())</f>
        <v>0</v>
      </c>
      <c r="K1890" s="1" t="str">
        <f aca="false">VLOOKUP(B1890,Заказы!$A$2:$E$2995,5,FALSE())</f>
        <v>Не выполнено</v>
      </c>
      <c r="L1890" s="1" t="n">
        <f aca="false">D1890*F1890+J1890</f>
        <v>3750</v>
      </c>
      <c r="M1890" s="1" t="n">
        <f aca="false">IF(AND(E1890="Пицца Труслейка",I1890="г. Москва",K1890="Выполнено",G1890&gt;=DATE(2020,7,1),G1890&lt;DATE(2020,8,1)),L1890,0)</f>
        <v>0</v>
      </c>
    </row>
    <row r="1891" customFormat="false" ht="15" hidden="false" customHeight="true" outlineLevel="0" collapsed="false">
      <c r="A1891" s="1" t="n">
        <v>101947</v>
      </c>
      <c r="B1891" s="1" t="n">
        <v>51419</v>
      </c>
      <c r="C1891" s="1" t="n">
        <v>4</v>
      </c>
      <c r="D1891" s="1" t="n">
        <v>3</v>
      </c>
      <c r="E1891" s="1" t="str">
        <f aca="false">VLOOKUP(C1891,Меню!$A$2:$C$24,2,FALSE())</f>
        <v>Пицца Труслейка</v>
      </c>
      <c r="F1891" s="1" t="n">
        <f aca="false">VLOOKUP(C1891,Меню!$A$2:$C$24,3,FALSE())</f>
        <v>610</v>
      </c>
      <c r="G1891" s="5" t="n">
        <f aca="false">VLOOKUP(B1891,Заказы!$A$2:$E$2995,2,FALSE())</f>
        <v>44039</v>
      </c>
      <c r="H1891" s="1" t="n">
        <f aca="false">VLOOKUP(B1891,Заказы!$A$2:$E$2995,3,FALSE())</f>
        <v>566</v>
      </c>
      <c r="I1891" s="1" t="str">
        <f aca="false">VLOOKUP(H1891,Клиенты!$A$2:$E$1995,5,FALSE())</f>
        <v>г. Фатеж</v>
      </c>
      <c r="J1891" s="1" t="n">
        <f aca="false">VLOOKUP(B1891,Заказы!$A$2:$E$2995,4,FALSE())</f>
        <v>0</v>
      </c>
      <c r="K1891" s="1" t="str">
        <f aca="false">VLOOKUP(B1891,Заказы!$A$2:$E$2995,5,FALSE())</f>
        <v>Не выполнено</v>
      </c>
      <c r="L1891" s="1" t="n">
        <f aca="false">D1891*F1891+J1891</f>
        <v>1830</v>
      </c>
      <c r="M1891" s="1" t="n">
        <f aca="false">IF(AND(E1891="Пицца Труслейка",I1891="г. Москва",K1891="Выполнено",G1891&gt;=DATE(2020,7,1),G1891&lt;DATE(2020,8,1)),L1891,0)</f>
        <v>0</v>
      </c>
    </row>
    <row r="1892" customFormat="false" ht="15" hidden="false" customHeight="true" outlineLevel="0" collapsed="false">
      <c r="A1892" s="1" t="n">
        <v>101450</v>
      </c>
      <c r="B1892" s="1" t="n">
        <v>50702</v>
      </c>
      <c r="C1892" s="1" t="n">
        <v>9</v>
      </c>
      <c r="D1892" s="1" t="n">
        <v>5</v>
      </c>
      <c r="E1892" s="1" t="str">
        <f aca="false">VLOOKUP(C1892,Меню!$A$2:$C$24,2,FALSE())</f>
        <v>Пицца Острая с беконом</v>
      </c>
      <c r="F1892" s="1" t="n">
        <f aca="false">VLOOKUP(C1892,Меню!$A$2:$C$24,3,FALSE())</f>
        <v>540</v>
      </c>
      <c r="G1892" s="5" t="n">
        <f aca="false">VLOOKUP(B1892,Заказы!$A$2:$E$2995,2,FALSE())</f>
        <v>44066</v>
      </c>
      <c r="H1892" s="1" t="n">
        <f aca="false">VLOOKUP(B1892,Заказы!$A$2:$E$2995,3,FALSE())</f>
        <v>414</v>
      </c>
      <c r="I1892" s="1" t="str">
        <f aca="false">VLOOKUP(H1892,Клиенты!$A$2:$E$1995,5,FALSE())</f>
        <v>г. Кондопога</v>
      </c>
      <c r="J1892" s="1" t="n">
        <f aca="false">VLOOKUP(B1892,Заказы!$A$2:$E$2995,4,FALSE())</f>
        <v>0</v>
      </c>
      <c r="K1892" s="1" t="str">
        <f aca="false">VLOOKUP(B1892,Заказы!$A$2:$E$2995,5,FALSE())</f>
        <v>Не выполнено</v>
      </c>
      <c r="L1892" s="1" t="n">
        <f aca="false">D1892*F1892+J1892</f>
        <v>2700</v>
      </c>
      <c r="M1892" s="1" t="n">
        <f aca="false">IF(AND(E1892="Пицца Труслейка",I1892="г. Москва",K1892="Выполнено",G1892&gt;=DATE(2020,7,1),G1892&lt;DATE(2020,8,1)),L1892,0)</f>
        <v>0</v>
      </c>
    </row>
    <row r="1893" customFormat="false" ht="15" hidden="false" customHeight="true" outlineLevel="0" collapsed="false">
      <c r="A1893" s="1" t="n">
        <v>100988</v>
      </c>
      <c r="B1893" s="1" t="n">
        <v>50528</v>
      </c>
      <c r="C1893" s="1" t="n">
        <v>9</v>
      </c>
      <c r="D1893" s="1" t="n">
        <v>8</v>
      </c>
      <c r="E1893" s="1" t="str">
        <f aca="false">VLOOKUP(C1893,Меню!$A$2:$C$24,2,FALSE())</f>
        <v>Пицца Острая с беконом</v>
      </c>
      <c r="F1893" s="1" t="n">
        <f aca="false">VLOOKUP(C1893,Меню!$A$2:$C$24,3,FALSE())</f>
        <v>540</v>
      </c>
      <c r="G1893" s="5" t="n">
        <f aca="false">VLOOKUP(B1893,Заказы!$A$2:$E$2995,2,FALSE())</f>
        <v>44072</v>
      </c>
      <c r="H1893" s="1" t="n">
        <f aca="false">VLOOKUP(B1893,Заказы!$A$2:$E$2995,3,FALSE())</f>
        <v>990</v>
      </c>
      <c r="I1893" s="1" t="str">
        <f aca="false">VLOOKUP(H1893,Клиенты!$A$2:$E$1995,5,FALSE())</f>
        <v>г. Москва</v>
      </c>
      <c r="J1893" s="1" t="n">
        <f aca="false">VLOOKUP(B1893,Заказы!$A$2:$E$2995,4,FALSE())</f>
        <v>798</v>
      </c>
      <c r="K1893" s="1" t="str">
        <f aca="false">VLOOKUP(B1893,Заказы!$A$2:$E$2995,5,FALSE())</f>
        <v>Выполнено</v>
      </c>
      <c r="L1893" s="1" t="n">
        <f aca="false">D1893*F1893+J1893</f>
        <v>5118</v>
      </c>
      <c r="M1893" s="1" t="n">
        <f aca="false">IF(AND(E1893="Пицца Труслейка",I1893="г. Москва",K1893="Выполнено",G1893&gt;=DATE(2020,7,1),G1893&lt;DATE(2020,8,1)),L1893,0)</f>
        <v>0</v>
      </c>
    </row>
    <row r="1894" customFormat="false" ht="15" hidden="false" customHeight="true" outlineLevel="0" collapsed="false">
      <c r="A1894" s="1" t="n">
        <v>100682</v>
      </c>
      <c r="B1894" s="1" t="n">
        <v>51018</v>
      </c>
      <c r="C1894" s="1" t="n">
        <v>12</v>
      </c>
      <c r="D1894" s="1" t="n">
        <v>8</v>
      </c>
      <c r="E1894" s="1" t="str">
        <f aca="false">VLOOKUP(C1894,Меню!$A$2:$C$24,2,FALSE())</f>
        <v>Пицца Салями с трюфелем</v>
      </c>
      <c r="F1894" s="1" t="n">
        <f aca="false">VLOOKUP(C1894,Меню!$A$2:$C$24,3,FALSE())</f>
        <v>525</v>
      </c>
      <c r="G1894" s="5" t="n">
        <f aca="false">VLOOKUP(B1894,Заказы!$A$2:$E$2995,2,FALSE())</f>
        <v>43988</v>
      </c>
      <c r="H1894" s="1" t="n">
        <f aca="false">VLOOKUP(B1894,Заказы!$A$2:$E$2995,3,FALSE())</f>
        <v>1619</v>
      </c>
      <c r="I1894" s="1" t="str">
        <f aca="false">VLOOKUP(H1894,Клиенты!$A$2:$E$1995,5,FALSE())</f>
        <v>г. Талдом</v>
      </c>
      <c r="J1894" s="1" t="n">
        <f aca="false">VLOOKUP(B1894,Заказы!$A$2:$E$2995,4,FALSE())</f>
        <v>352</v>
      </c>
      <c r="K1894" s="1" t="str">
        <f aca="false">VLOOKUP(B1894,Заказы!$A$2:$E$2995,5,FALSE())</f>
        <v>Выполнено</v>
      </c>
      <c r="L1894" s="1" t="n">
        <f aca="false">D1894*F1894+J1894</f>
        <v>4552</v>
      </c>
      <c r="M1894" s="1" t="n">
        <f aca="false">IF(AND(E1894="Пицца Труслейка",I1894="г. Москва",K1894="Выполнено",G1894&gt;=DATE(2020,7,1),G1894&lt;DATE(2020,8,1)),L1894,0)</f>
        <v>0</v>
      </c>
    </row>
    <row r="1895" customFormat="false" ht="15" hidden="false" customHeight="true" outlineLevel="0" collapsed="false">
      <c r="A1895" s="1" t="n">
        <v>100727</v>
      </c>
      <c r="B1895" s="1" t="n">
        <v>50738</v>
      </c>
      <c r="C1895" s="1" t="n">
        <v>17</v>
      </c>
      <c r="D1895" s="1" t="n">
        <v>7</v>
      </c>
      <c r="E1895" s="1" t="str">
        <f aca="false">VLOOKUP(C1895,Меню!$A$2:$C$24,2,FALSE())</f>
        <v>Пицца Френч Фрайз</v>
      </c>
      <c r="F1895" s="1" t="n">
        <f aca="false">VLOOKUP(C1895,Меню!$A$2:$C$24,3,FALSE())</f>
        <v>515</v>
      </c>
      <c r="G1895" s="5" t="n">
        <f aca="false">VLOOKUP(B1895,Заказы!$A$2:$E$2995,2,FALSE())</f>
        <v>43994</v>
      </c>
      <c r="H1895" s="1" t="n">
        <f aca="false">VLOOKUP(B1895,Заказы!$A$2:$E$2995,3,FALSE())</f>
        <v>109</v>
      </c>
      <c r="I1895" s="1" t="str">
        <f aca="false">VLOOKUP(H1895,Клиенты!$A$2:$E$1995,5,FALSE())</f>
        <v>г. Мензелинск</v>
      </c>
      <c r="J1895" s="1" t="n">
        <f aca="false">VLOOKUP(B1895,Заказы!$A$2:$E$2995,4,FALSE())</f>
        <v>0</v>
      </c>
      <c r="K1895" s="1" t="str">
        <f aca="false">VLOOKUP(B1895,Заказы!$A$2:$E$2995,5,FALSE())</f>
        <v>Не выполнено</v>
      </c>
      <c r="L1895" s="1" t="n">
        <f aca="false">D1895*F1895+J1895</f>
        <v>3605</v>
      </c>
      <c r="M1895" s="1" t="n">
        <f aca="false">IF(AND(E1895="Пицца Труслейка",I1895="г. Москва",K1895="Выполнено",G1895&gt;=DATE(2020,7,1),G1895&lt;DATE(2020,8,1)),L1895,0)</f>
        <v>0</v>
      </c>
    </row>
    <row r="1896" customFormat="false" ht="15" hidden="false" customHeight="true" outlineLevel="0" collapsed="false">
      <c r="A1896" s="1" t="n">
        <v>101071</v>
      </c>
      <c r="B1896" s="1" t="n">
        <v>51256</v>
      </c>
      <c r="C1896" s="1" t="n">
        <v>14</v>
      </c>
      <c r="D1896" s="1" t="n">
        <v>2</v>
      </c>
      <c r="E1896" s="1" t="str">
        <f aca="false">VLOOKUP(C1896,Меню!$A$2:$C$24,2,FALSE())</f>
        <v>Пицца Сырный цыпленок</v>
      </c>
      <c r="F1896" s="1" t="n">
        <f aca="false">VLOOKUP(C1896,Меню!$A$2:$C$24,3,FALSE())</f>
        <v>555</v>
      </c>
      <c r="G1896" s="5" t="n">
        <f aca="false">VLOOKUP(B1896,Заказы!$A$2:$E$2995,2,FALSE())</f>
        <v>44062</v>
      </c>
      <c r="H1896" s="1" t="n">
        <f aca="false">VLOOKUP(B1896,Заказы!$A$2:$E$2995,3,FALSE())</f>
        <v>365</v>
      </c>
      <c r="I1896" s="1" t="str">
        <f aca="false">VLOOKUP(H1896,Клиенты!$A$2:$E$1995,5,FALSE())</f>
        <v>г. Шенкурск</v>
      </c>
      <c r="J1896" s="1" t="n">
        <f aca="false">VLOOKUP(B1896,Заказы!$A$2:$E$2995,4,FALSE())</f>
        <v>0</v>
      </c>
      <c r="K1896" s="1" t="str">
        <f aca="false">VLOOKUP(B1896,Заказы!$A$2:$E$2995,5,FALSE())</f>
        <v>Не выполнено</v>
      </c>
      <c r="L1896" s="1" t="n">
        <f aca="false">D1896*F1896+J1896</f>
        <v>1110</v>
      </c>
      <c r="M1896" s="1" t="n">
        <f aca="false">IF(AND(E1896="Пицца Труслейка",I1896="г. Москва",K1896="Выполнено",G1896&gt;=DATE(2020,7,1),G1896&lt;DATE(2020,8,1)),L1896,0)</f>
        <v>0</v>
      </c>
    </row>
    <row r="1897" customFormat="false" ht="15" hidden="false" customHeight="true" outlineLevel="0" collapsed="false">
      <c r="A1897" s="1" t="n">
        <v>101721</v>
      </c>
      <c r="B1897" s="1" t="n">
        <v>50297</v>
      </c>
      <c r="C1897" s="1" t="n">
        <v>1</v>
      </c>
      <c r="D1897" s="1" t="n">
        <v>4</v>
      </c>
      <c r="E1897" s="1" t="str">
        <f aca="false">VLOOKUP(C1897,Меню!$A$2:$C$24,2,FALSE())</f>
        <v>Пицца Гавайская</v>
      </c>
      <c r="F1897" s="1" t="n">
        <f aca="false">VLOOKUP(C1897,Меню!$A$2:$C$24,3,FALSE())</f>
        <v>545</v>
      </c>
      <c r="G1897" s="5" t="n">
        <f aca="false">VLOOKUP(B1897,Заказы!$A$2:$E$2995,2,FALSE())</f>
        <v>44028</v>
      </c>
      <c r="H1897" s="1" t="n">
        <f aca="false">VLOOKUP(B1897,Заказы!$A$2:$E$2995,3,FALSE())</f>
        <v>526</v>
      </c>
      <c r="I1897" s="1" t="str">
        <f aca="false">VLOOKUP(H1897,Клиенты!$A$2:$E$1995,5,FALSE())</f>
        <v>г. Макарьев</v>
      </c>
      <c r="J1897" s="1" t="n">
        <f aca="false">VLOOKUP(B1897,Заказы!$A$2:$E$2995,4,FALSE())</f>
        <v>0</v>
      </c>
      <c r="K1897" s="1" t="str">
        <f aca="false">VLOOKUP(B1897,Заказы!$A$2:$E$2995,5,FALSE())</f>
        <v>Не выполнено</v>
      </c>
      <c r="L1897" s="1" t="n">
        <f aca="false">D1897*F1897+J1897</f>
        <v>2180</v>
      </c>
      <c r="M1897" s="1" t="n">
        <f aca="false">IF(AND(E1897="Пицца Труслейка",I1897="г. Москва",K1897="Выполнено",G1897&gt;=DATE(2020,7,1),G1897&lt;DATE(2020,8,1)),L1897,0)</f>
        <v>0</v>
      </c>
    </row>
    <row r="1898" customFormat="false" ht="15" hidden="false" customHeight="true" outlineLevel="0" collapsed="false">
      <c r="A1898" s="1" t="n">
        <v>100261</v>
      </c>
      <c r="B1898" s="1" t="n">
        <v>51217</v>
      </c>
      <c r="C1898" s="1" t="n">
        <v>8</v>
      </c>
      <c r="D1898" s="1" t="n">
        <v>5</v>
      </c>
      <c r="E1898" s="1" t="str">
        <f aca="false">VLOOKUP(C1898,Меню!$A$2:$C$24,2,FALSE())</f>
        <v>Пицца Мясная</v>
      </c>
      <c r="F1898" s="1" t="n">
        <f aca="false">VLOOKUP(C1898,Меню!$A$2:$C$24,3,FALSE())</f>
        <v>615</v>
      </c>
      <c r="G1898" s="5" t="n">
        <f aca="false">VLOOKUP(B1898,Заказы!$A$2:$E$2995,2,FALSE())</f>
        <v>44066</v>
      </c>
      <c r="H1898" s="1" t="n">
        <f aca="false">VLOOKUP(B1898,Заказы!$A$2:$E$2995,3,FALSE())</f>
        <v>272</v>
      </c>
      <c r="I1898" s="1" t="str">
        <f aca="false">VLOOKUP(H1898,Клиенты!$A$2:$E$1995,5,FALSE())</f>
        <v>г. Богданович</v>
      </c>
      <c r="J1898" s="1" t="n">
        <f aca="false">VLOOKUP(B1898,Заказы!$A$2:$E$2995,4,FALSE())</f>
        <v>0</v>
      </c>
      <c r="K1898" s="1" t="str">
        <f aca="false">VLOOKUP(B1898,Заказы!$A$2:$E$2995,5,FALSE())</f>
        <v>Не выполнено</v>
      </c>
      <c r="L1898" s="1" t="n">
        <f aca="false">D1898*F1898+J1898</f>
        <v>3075</v>
      </c>
      <c r="M1898" s="1" t="n">
        <f aca="false">IF(AND(E1898="Пицца Труслейка",I1898="г. Москва",K1898="Выполнено",G1898&gt;=DATE(2020,7,1),G1898&lt;DATE(2020,8,1)),L1898,0)</f>
        <v>0</v>
      </c>
    </row>
    <row r="1899" customFormat="false" ht="15" hidden="false" customHeight="true" outlineLevel="0" collapsed="false">
      <c r="A1899" s="1" t="n">
        <v>101501</v>
      </c>
      <c r="B1899" s="1" t="n">
        <v>51153</v>
      </c>
      <c r="C1899" s="1" t="n">
        <v>4</v>
      </c>
      <c r="D1899" s="1" t="n">
        <v>9</v>
      </c>
      <c r="E1899" s="1" t="str">
        <f aca="false">VLOOKUP(C1899,Меню!$A$2:$C$24,2,FALSE())</f>
        <v>Пицца Труслейка</v>
      </c>
      <c r="F1899" s="1" t="n">
        <f aca="false">VLOOKUP(C1899,Меню!$A$2:$C$24,3,FALSE())</f>
        <v>610</v>
      </c>
      <c r="G1899" s="5" t="n">
        <f aca="false">VLOOKUP(B1899,Заказы!$A$2:$E$2995,2,FALSE())</f>
        <v>43984</v>
      </c>
      <c r="H1899" s="1" t="n">
        <f aca="false">VLOOKUP(B1899,Заказы!$A$2:$E$2995,3,FALSE())</f>
        <v>129</v>
      </c>
      <c r="I1899" s="1" t="str">
        <f aca="false">VLOOKUP(H1899,Клиенты!$A$2:$E$1995,5,FALSE())</f>
        <v>г. Среднеколымск</v>
      </c>
      <c r="J1899" s="1" t="n">
        <f aca="false">VLOOKUP(B1899,Заказы!$A$2:$E$2995,4,FALSE())</f>
        <v>852</v>
      </c>
      <c r="K1899" s="1" t="str">
        <f aca="false">VLOOKUP(B1899,Заказы!$A$2:$E$2995,5,FALSE())</f>
        <v>Выполнено</v>
      </c>
      <c r="L1899" s="1" t="n">
        <f aca="false">D1899*F1899+J1899</f>
        <v>6342</v>
      </c>
      <c r="M1899" s="1" t="n">
        <f aca="false">IF(AND(E1899="Пицца Труслейка",I1899="г. Москва",K1899="Выполнено",G1899&gt;=DATE(2020,7,1),G1899&lt;DATE(2020,8,1)),L1899,0)</f>
        <v>0</v>
      </c>
    </row>
    <row r="1900" customFormat="false" ht="15" hidden="false" customHeight="true" outlineLevel="0" collapsed="false">
      <c r="A1900" s="1" t="n">
        <v>100340</v>
      </c>
      <c r="B1900" s="1" t="n">
        <v>50641</v>
      </c>
      <c r="C1900" s="1" t="n">
        <v>21</v>
      </c>
      <c r="D1900" s="1" t="n">
        <v>10</v>
      </c>
      <c r="E1900" s="1" t="str">
        <f aca="false">VLOOKUP(C1900,Меню!$A$2:$C$24,2,FALSE())</f>
        <v>Пицца с креветками и цукини</v>
      </c>
      <c r="F1900" s="1" t="n">
        <f aca="false">VLOOKUP(C1900,Меню!$A$2:$C$24,3,FALSE())</f>
        <v>600</v>
      </c>
      <c r="G1900" s="5" t="n">
        <f aca="false">VLOOKUP(B1900,Заказы!$A$2:$E$2995,2,FALSE())</f>
        <v>44012</v>
      </c>
      <c r="H1900" s="1" t="n">
        <f aca="false">VLOOKUP(B1900,Заказы!$A$2:$E$2995,3,FALSE())</f>
        <v>789</v>
      </c>
      <c r="I1900" s="1" t="str">
        <f aca="false">VLOOKUP(H1900,Клиенты!$A$2:$E$1995,5,FALSE())</f>
        <v>г. Лакинск</v>
      </c>
      <c r="J1900" s="1" t="n">
        <f aca="false">VLOOKUP(B1900,Заказы!$A$2:$E$2995,4,FALSE())</f>
        <v>178</v>
      </c>
      <c r="K1900" s="1" t="str">
        <f aca="false">VLOOKUP(B1900,Заказы!$A$2:$E$2995,5,FALSE())</f>
        <v>Выполнено</v>
      </c>
      <c r="L1900" s="1" t="n">
        <f aca="false">D1900*F1900+J1900</f>
        <v>6178</v>
      </c>
      <c r="M1900" s="1" t="n">
        <f aca="false">IF(AND(E1900="Пицца Труслейка",I1900="г. Москва",K1900="Выполнено",G1900&gt;=DATE(2020,7,1),G1900&lt;DATE(2020,8,1)),L1900,0)</f>
        <v>0</v>
      </c>
    </row>
    <row r="1901" customFormat="false" ht="15" hidden="false" customHeight="true" outlineLevel="0" collapsed="false">
      <c r="A1901" s="1" t="n">
        <v>100435</v>
      </c>
      <c r="B1901" s="1" t="n">
        <v>51686</v>
      </c>
      <c r="C1901" s="1" t="n">
        <v>4</v>
      </c>
      <c r="D1901" s="1" t="n">
        <v>3</v>
      </c>
      <c r="E1901" s="1" t="str">
        <f aca="false">VLOOKUP(C1901,Меню!$A$2:$C$24,2,FALSE())</f>
        <v>Пицца Труслейка</v>
      </c>
      <c r="F1901" s="1" t="n">
        <f aca="false">VLOOKUP(C1901,Меню!$A$2:$C$24,3,FALSE())</f>
        <v>610</v>
      </c>
      <c r="G1901" s="5" t="n">
        <f aca="false">VLOOKUP(B1901,Заказы!$A$2:$E$2995,2,FALSE())</f>
        <v>44002</v>
      </c>
      <c r="H1901" s="1" t="n">
        <f aca="false">VLOOKUP(B1901,Заказы!$A$2:$E$2995,3,FALSE())</f>
        <v>1084</v>
      </c>
      <c r="I1901" s="1" t="str">
        <f aca="false">VLOOKUP(H1901,Клиенты!$A$2:$E$1995,5,FALSE())</f>
        <v>г. Чулым</v>
      </c>
      <c r="J1901" s="1" t="n">
        <f aca="false">VLOOKUP(B1901,Заказы!$A$2:$E$2995,4,FALSE())</f>
        <v>530</v>
      </c>
      <c r="K1901" s="1" t="str">
        <f aca="false">VLOOKUP(B1901,Заказы!$A$2:$E$2995,5,FALSE())</f>
        <v>Выполнено</v>
      </c>
      <c r="L1901" s="1" t="n">
        <f aca="false">D1901*F1901+J1901</f>
        <v>2360</v>
      </c>
      <c r="M1901" s="1" t="n">
        <f aca="false">IF(AND(E1901="Пицца Труслейка",I1901="г. Москва",K1901="Выполнено",G1901&gt;=DATE(2020,7,1),G1901&lt;DATE(2020,8,1)),L1901,0)</f>
        <v>0</v>
      </c>
    </row>
    <row r="1902" customFormat="false" ht="15" hidden="false" customHeight="true" outlineLevel="0" collapsed="false">
      <c r="A1902" s="1" t="n">
        <v>101447</v>
      </c>
      <c r="B1902" s="1" t="n">
        <v>51290</v>
      </c>
      <c r="C1902" s="1" t="n">
        <v>16</v>
      </c>
      <c r="D1902" s="1" t="n">
        <v>2</v>
      </c>
      <c r="E1902" s="1" t="str">
        <f aca="false">VLOOKUP(C1902,Меню!$A$2:$C$24,2,FALSE())</f>
        <v>Пицца Флорида</v>
      </c>
      <c r="F1902" s="1" t="n">
        <f aca="false">VLOOKUP(C1902,Меню!$A$2:$C$24,3,FALSE())</f>
        <v>535</v>
      </c>
      <c r="G1902" s="5" t="n">
        <f aca="false">VLOOKUP(B1902,Заказы!$A$2:$E$2995,2,FALSE())</f>
        <v>43983</v>
      </c>
      <c r="H1902" s="1" t="n">
        <f aca="false">VLOOKUP(B1902,Заказы!$A$2:$E$2995,3,FALSE())</f>
        <v>375</v>
      </c>
      <c r="I1902" s="1" t="str">
        <f aca="false">VLOOKUP(H1902,Клиенты!$A$2:$E$1995,5,FALSE())</f>
        <v>г. Красноармейск</v>
      </c>
      <c r="J1902" s="1" t="n">
        <f aca="false">VLOOKUP(B1902,Заказы!$A$2:$E$2995,4,FALSE())</f>
        <v>655</v>
      </c>
      <c r="K1902" s="1" t="str">
        <f aca="false">VLOOKUP(B1902,Заказы!$A$2:$E$2995,5,FALSE())</f>
        <v>Выполнено</v>
      </c>
      <c r="L1902" s="1" t="n">
        <f aca="false">D1902*F1902+J1902</f>
        <v>1725</v>
      </c>
      <c r="M1902" s="1" t="n">
        <f aca="false">IF(AND(E1902="Пицца Труслейка",I1902="г. Москва",K1902="Выполнено",G1902&gt;=DATE(2020,7,1),G1902&lt;DATE(2020,8,1)),L1902,0)</f>
        <v>0</v>
      </c>
    </row>
    <row r="1903" customFormat="false" ht="15" hidden="false" customHeight="true" outlineLevel="0" collapsed="false">
      <c r="A1903" s="1" t="n">
        <v>101682</v>
      </c>
      <c r="B1903" s="1" t="n">
        <v>50193</v>
      </c>
      <c r="C1903" s="1" t="n">
        <v>14</v>
      </c>
      <c r="D1903" s="1" t="n">
        <v>3</v>
      </c>
      <c r="E1903" s="1" t="str">
        <f aca="false">VLOOKUP(C1903,Меню!$A$2:$C$24,2,FALSE())</f>
        <v>Пицца Сырный цыпленок</v>
      </c>
      <c r="F1903" s="1" t="n">
        <f aca="false">VLOOKUP(C1903,Меню!$A$2:$C$24,3,FALSE())</f>
        <v>555</v>
      </c>
      <c r="G1903" s="5" t="n">
        <f aca="false">VLOOKUP(B1903,Заказы!$A$2:$E$2995,2,FALSE())</f>
        <v>44003</v>
      </c>
      <c r="H1903" s="1" t="n">
        <f aca="false">VLOOKUP(B1903,Заказы!$A$2:$E$2995,3,FALSE())</f>
        <v>767</v>
      </c>
      <c r="I1903" s="1" t="str">
        <f aca="false">VLOOKUP(H1903,Клиенты!$A$2:$E$1995,5,FALSE())</f>
        <v>г. Михайлов</v>
      </c>
      <c r="J1903" s="1" t="n">
        <f aca="false">VLOOKUP(B1903,Заказы!$A$2:$E$2995,4,FALSE())</f>
        <v>228</v>
      </c>
      <c r="K1903" s="1" t="str">
        <f aca="false">VLOOKUP(B1903,Заказы!$A$2:$E$2995,5,FALSE())</f>
        <v>Выполнено</v>
      </c>
      <c r="L1903" s="1" t="n">
        <f aca="false">D1903*F1903+J1903</f>
        <v>1893</v>
      </c>
      <c r="M1903" s="1" t="n">
        <f aca="false">IF(AND(E1903="Пицца Труслейка",I1903="г. Москва",K1903="Выполнено",G1903&gt;=DATE(2020,7,1),G1903&lt;DATE(2020,8,1)),L1903,0)</f>
        <v>0</v>
      </c>
    </row>
    <row r="1904" customFormat="false" ht="15" hidden="false" customHeight="true" outlineLevel="0" collapsed="false">
      <c r="A1904" s="1" t="n">
        <v>100130</v>
      </c>
      <c r="B1904" s="1" t="n">
        <v>50088</v>
      </c>
      <c r="C1904" s="1" t="n">
        <v>8</v>
      </c>
      <c r="D1904" s="1" t="n">
        <v>10</v>
      </c>
      <c r="E1904" s="1" t="str">
        <f aca="false">VLOOKUP(C1904,Меню!$A$2:$C$24,2,FALSE())</f>
        <v>Пицца Мясная</v>
      </c>
      <c r="F1904" s="1" t="n">
        <f aca="false">VLOOKUP(C1904,Меню!$A$2:$C$24,3,FALSE())</f>
        <v>615</v>
      </c>
      <c r="G1904" s="5" t="n">
        <f aca="false">VLOOKUP(B1904,Заказы!$A$2:$E$2995,2,FALSE())</f>
        <v>44001</v>
      </c>
      <c r="H1904" s="1" t="n">
        <f aca="false">VLOOKUP(B1904,Заказы!$A$2:$E$2995,3,FALSE())</f>
        <v>1395</v>
      </c>
      <c r="I1904" s="1" t="str">
        <f aca="false">VLOOKUP(H1904,Клиенты!$A$2:$E$1995,5,FALSE())</f>
        <v>г. Соликамск</v>
      </c>
      <c r="J1904" s="1" t="n">
        <f aca="false">VLOOKUP(B1904,Заказы!$A$2:$E$2995,4,FALSE())</f>
        <v>0</v>
      </c>
      <c r="K1904" s="1" t="str">
        <f aca="false">VLOOKUP(B1904,Заказы!$A$2:$E$2995,5,FALSE())</f>
        <v>Не выполнено</v>
      </c>
      <c r="L1904" s="1" t="n">
        <f aca="false">D1904*F1904+J1904</f>
        <v>6150</v>
      </c>
      <c r="M1904" s="1" t="n">
        <f aca="false">IF(AND(E1904="Пицца Труслейка",I1904="г. Москва",K1904="Выполнено",G1904&gt;=DATE(2020,7,1),G1904&lt;DATE(2020,8,1)),L1904,0)</f>
        <v>0</v>
      </c>
    </row>
    <row r="1905" customFormat="false" ht="15" hidden="false" customHeight="true" outlineLevel="0" collapsed="false">
      <c r="A1905" s="1" t="n">
        <v>101995</v>
      </c>
      <c r="B1905" s="1" t="n">
        <v>51572</v>
      </c>
      <c r="C1905" s="1" t="n">
        <v>4</v>
      </c>
      <c r="D1905" s="1" t="n">
        <v>6</v>
      </c>
      <c r="E1905" s="1" t="str">
        <f aca="false">VLOOKUP(C1905,Меню!$A$2:$C$24,2,FALSE())</f>
        <v>Пицца Труслейка</v>
      </c>
      <c r="F1905" s="1" t="n">
        <f aca="false">VLOOKUP(C1905,Меню!$A$2:$C$24,3,FALSE())</f>
        <v>610</v>
      </c>
      <c r="G1905" s="5" t="n">
        <f aca="false">VLOOKUP(B1905,Заказы!$A$2:$E$2995,2,FALSE())</f>
        <v>44046</v>
      </c>
      <c r="H1905" s="1" t="n">
        <f aca="false">VLOOKUP(B1905,Заказы!$A$2:$E$2995,3,FALSE())</f>
        <v>1218</v>
      </c>
      <c r="I1905" s="1" t="str">
        <f aca="false">VLOOKUP(H1905,Клиенты!$A$2:$E$1995,5,FALSE())</f>
        <v>г. Архангельск</v>
      </c>
      <c r="J1905" s="1" t="n">
        <f aca="false">VLOOKUP(B1905,Заказы!$A$2:$E$2995,4,FALSE())</f>
        <v>378</v>
      </c>
      <c r="K1905" s="1" t="str">
        <f aca="false">VLOOKUP(B1905,Заказы!$A$2:$E$2995,5,FALSE())</f>
        <v>Выполнено</v>
      </c>
      <c r="L1905" s="1" t="n">
        <f aca="false">D1905*F1905+J1905</f>
        <v>4038</v>
      </c>
      <c r="M1905" s="1" t="n">
        <f aca="false">IF(AND(E1905="Пицца Труслейка",I1905="г. Москва",K1905="Выполнено",G1905&gt;=DATE(2020,7,1),G1905&lt;DATE(2020,8,1)),L1905,0)</f>
        <v>0</v>
      </c>
    </row>
    <row r="1906" customFormat="false" ht="15" hidden="false" customHeight="true" outlineLevel="0" collapsed="false">
      <c r="A1906" s="1" t="n">
        <v>101891</v>
      </c>
      <c r="B1906" s="1" t="n">
        <v>50237</v>
      </c>
      <c r="C1906" s="1" t="n">
        <v>9</v>
      </c>
      <c r="D1906" s="1" t="n">
        <v>6</v>
      </c>
      <c r="E1906" s="1" t="str">
        <f aca="false">VLOOKUP(C1906,Меню!$A$2:$C$24,2,FALSE())</f>
        <v>Пицца Острая с беконом</v>
      </c>
      <c r="F1906" s="1" t="n">
        <f aca="false">VLOOKUP(C1906,Меню!$A$2:$C$24,3,FALSE())</f>
        <v>540</v>
      </c>
      <c r="G1906" s="5" t="n">
        <f aca="false">VLOOKUP(B1906,Заказы!$A$2:$E$2995,2,FALSE())</f>
        <v>44070</v>
      </c>
      <c r="H1906" s="1" t="n">
        <f aca="false">VLOOKUP(B1906,Заказы!$A$2:$E$2995,3,FALSE())</f>
        <v>1040</v>
      </c>
      <c r="I1906" s="1" t="str">
        <f aca="false">VLOOKUP(H1906,Клиенты!$A$2:$E$1995,5,FALSE())</f>
        <v>г. Москва</v>
      </c>
      <c r="J1906" s="1" t="n">
        <f aca="false">VLOOKUP(B1906,Заказы!$A$2:$E$2995,4,FALSE())</f>
        <v>263</v>
      </c>
      <c r="K1906" s="1" t="str">
        <f aca="false">VLOOKUP(B1906,Заказы!$A$2:$E$2995,5,FALSE())</f>
        <v>Выполнено</v>
      </c>
      <c r="L1906" s="1" t="n">
        <f aca="false">D1906*F1906+J1906</f>
        <v>3503</v>
      </c>
      <c r="M1906" s="1" t="n">
        <f aca="false">IF(AND(E1906="Пицца Труслейка",I1906="г. Москва",K1906="Выполнено",G1906&gt;=DATE(2020,7,1),G1906&lt;DATE(2020,8,1)),L1906,0)</f>
        <v>0</v>
      </c>
    </row>
    <row r="1907" customFormat="false" ht="15" hidden="false" customHeight="true" outlineLevel="0" collapsed="false">
      <c r="A1907" s="1" t="n">
        <v>101489</v>
      </c>
      <c r="B1907" s="1" t="n">
        <v>51351</v>
      </c>
      <c r="C1907" s="1" t="n">
        <v>2</v>
      </c>
      <c r="D1907" s="1" t="n">
        <v>8</v>
      </c>
      <c r="E1907" s="1" t="str">
        <f aca="false">VLOOKUP(C1907,Меню!$A$2:$C$24,2,FALSE())</f>
        <v>Пицца Двойная пепперони</v>
      </c>
      <c r="F1907" s="1" t="n">
        <f aca="false">VLOOKUP(C1907,Меню!$A$2:$C$24,3,FALSE())</f>
        <v>575</v>
      </c>
      <c r="G1907" s="5" t="n">
        <f aca="false">VLOOKUP(B1907,Заказы!$A$2:$E$2995,2,FALSE())</f>
        <v>44065</v>
      </c>
      <c r="H1907" s="1" t="n">
        <f aca="false">VLOOKUP(B1907,Заказы!$A$2:$E$2995,3,FALSE())</f>
        <v>1431</v>
      </c>
      <c r="I1907" s="1" t="str">
        <f aca="false">VLOOKUP(H1907,Клиенты!$A$2:$E$1995,5,FALSE())</f>
        <v>г. Приволжск</v>
      </c>
      <c r="J1907" s="1" t="n">
        <f aca="false">VLOOKUP(B1907,Заказы!$A$2:$E$2995,4,FALSE())</f>
        <v>0</v>
      </c>
      <c r="K1907" s="1" t="str">
        <f aca="false">VLOOKUP(B1907,Заказы!$A$2:$E$2995,5,FALSE())</f>
        <v>Не выполнено</v>
      </c>
      <c r="L1907" s="1" t="n">
        <f aca="false">D1907*F1907+J1907</f>
        <v>4600</v>
      </c>
      <c r="M1907" s="1" t="n">
        <f aca="false">IF(AND(E1907="Пицца Труслейка",I1907="г. Москва",K1907="Выполнено",G1907&gt;=DATE(2020,7,1),G1907&lt;DATE(2020,8,1)),L1907,0)</f>
        <v>0</v>
      </c>
    </row>
    <row r="1908" customFormat="false" ht="15" hidden="false" customHeight="true" outlineLevel="0" collapsed="false">
      <c r="A1908" s="1" t="n">
        <v>100000</v>
      </c>
      <c r="B1908" s="1" t="n">
        <v>51187</v>
      </c>
      <c r="C1908" s="1" t="n">
        <v>21</v>
      </c>
      <c r="D1908" s="1" t="n">
        <v>8</v>
      </c>
      <c r="E1908" s="1" t="str">
        <f aca="false">VLOOKUP(C1908,Меню!$A$2:$C$24,2,FALSE())</f>
        <v>Пицца с креветками и цукини</v>
      </c>
      <c r="F1908" s="1" t="n">
        <f aca="false">VLOOKUP(C1908,Меню!$A$2:$C$24,3,FALSE())</f>
        <v>600</v>
      </c>
      <c r="G1908" s="5" t="n">
        <f aca="false">VLOOKUP(B1908,Заказы!$A$2:$E$2995,2,FALSE())</f>
        <v>43996</v>
      </c>
      <c r="H1908" s="1" t="n">
        <f aca="false">VLOOKUP(B1908,Заказы!$A$2:$E$2995,3,FALSE())</f>
        <v>862</v>
      </c>
      <c r="I1908" s="1" t="str">
        <f aca="false">VLOOKUP(H1908,Клиенты!$A$2:$E$1995,5,FALSE())</f>
        <v>г. Озёрск</v>
      </c>
      <c r="J1908" s="1" t="n">
        <f aca="false">VLOOKUP(B1908,Заказы!$A$2:$E$2995,4,FALSE())</f>
        <v>0</v>
      </c>
      <c r="K1908" s="1" t="str">
        <f aca="false">VLOOKUP(B1908,Заказы!$A$2:$E$2995,5,FALSE())</f>
        <v>Не выполнено</v>
      </c>
      <c r="L1908" s="1" t="n">
        <f aca="false">D1908*F1908+J1908</f>
        <v>4800</v>
      </c>
      <c r="M1908" s="1" t="n">
        <f aca="false">IF(AND(E1908="Пицца Труслейка",I1908="г. Москва",K1908="Выполнено",G1908&gt;=DATE(2020,7,1),G1908&lt;DATE(2020,8,1)),L1908,0)</f>
        <v>0</v>
      </c>
    </row>
    <row r="1909" customFormat="false" ht="15" hidden="false" customHeight="true" outlineLevel="0" collapsed="false">
      <c r="A1909" s="1" t="n">
        <v>101517</v>
      </c>
      <c r="B1909" s="1" t="n">
        <v>50497</v>
      </c>
      <c r="C1909" s="1" t="n">
        <v>12</v>
      </c>
      <c r="D1909" s="1" t="n">
        <v>8</v>
      </c>
      <c r="E1909" s="1" t="str">
        <f aca="false">VLOOKUP(C1909,Меню!$A$2:$C$24,2,FALSE())</f>
        <v>Пицца Салями с трюфелем</v>
      </c>
      <c r="F1909" s="1" t="n">
        <f aca="false">VLOOKUP(C1909,Меню!$A$2:$C$24,3,FALSE())</f>
        <v>525</v>
      </c>
      <c r="G1909" s="5" t="n">
        <f aca="false">VLOOKUP(B1909,Заказы!$A$2:$E$2995,2,FALSE())</f>
        <v>44043</v>
      </c>
      <c r="H1909" s="1" t="n">
        <f aca="false">VLOOKUP(B1909,Заказы!$A$2:$E$2995,3,FALSE())</f>
        <v>1348</v>
      </c>
      <c r="I1909" s="1" t="str">
        <f aca="false">VLOOKUP(H1909,Клиенты!$A$2:$E$1995,5,FALSE())</f>
        <v>г. Касимов</v>
      </c>
      <c r="J1909" s="1" t="n">
        <f aca="false">VLOOKUP(B1909,Заказы!$A$2:$E$2995,4,FALSE())</f>
        <v>841</v>
      </c>
      <c r="K1909" s="1" t="str">
        <f aca="false">VLOOKUP(B1909,Заказы!$A$2:$E$2995,5,FALSE())</f>
        <v>Выполнено</v>
      </c>
      <c r="L1909" s="1" t="n">
        <f aca="false">D1909*F1909+J1909</f>
        <v>5041</v>
      </c>
      <c r="M1909" s="1" t="n">
        <f aca="false">IF(AND(E1909="Пицца Труслейка",I1909="г. Москва",K1909="Выполнено",G1909&gt;=DATE(2020,7,1),G1909&lt;DATE(2020,8,1)),L1909,0)</f>
        <v>0</v>
      </c>
    </row>
    <row r="1910" customFormat="false" ht="15" hidden="false" customHeight="true" outlineLevel="0" collapsed="false">
      <c r="A1910" s="1" t="n">
        <v>100214</v>
      </c>
      <c r="B1910" s="1" t="n">
        <v>51393</v>
      </c>
      <c r="C1910" s="1" t="n">
        <v>16</v>
      </c>
      <c r="D1910" s="1" t="n">
        <v>8</v>
      </c>
      <c r="E1910" s="1" t="str">
        <f aca="false">VLOOKUP(C1910,Меню!$A$2:$C$24,2,FALSE())</f>
        <v>Пицца Флорида</v>
      </c>
      <c r="F1910" s="1" t="n">
        <f aca="false">VLOOKUP(C1910,Меню!$A$2:$C$24,3,FALSE())</f>
        <v>535</v>
      </c>
      <c r="G1910" s="5" t="n">
        <f aca="false">VLOOKUP(B1910,Заказы!$A$2:$E$2995,2,FALSE())</f>
        <v>44062</v>
      </c>
      <c r="H1910" s="1" t="n">
        <f aca="false">VLOOKUP(B1910,Заказы!$A$2:$E$2995,3,FALSE())</f>
        <v>1486</v>
      </c>
      <c r="I1910" s="1" t="str">
        <f aca="false">VLOOKUP(H1910,Клиенты!$A$2:$E$1995,5,FALSE())</f>
        <v>г. Кстово</v>
      </c>
      <c r="J1910" s="1" t="n">
        <f aca="false">VLOOKUP(B1910,Заказы!$A$2:$E$2995,4,FALSE())</f>
        <v>0</v>
      </c>
      <c r="K1910" s="1" t="str">
        <f aca="false">VLOOKUP(B1910,Заказы!$A$2:$E$2995,5,FALSE())</f>
        <v>Не выполнено</v>
      </c>
      <c r="L1910" s="1" t="n">
        <f aca="false">D1910*F1910+J1910</f>
        <v>4280</v>
      </c>
      <c r="M1910" s="1" t="n">
        <f aca="false">IF(AND(E1910="Пицца Труслейка",I1910="г. Москва",K1910="Выполнено",G1910&gt;=DATE(2020,7,1),G1910&lt;DATE(2020,8,1)),L1910,0)</f>
        <v>0</v>
      </c>
    </row>
    <row r="1911" customFormat="false" ht="15" hidden="false" customHeight="true" outlineLevel="0" collapsed="false">
      <c r="A1911" s="1" t="n">
        <v>100530</v>
      </c>
      <c r="B1911" s="1" t="n">
        <v>50500</v>
      </c>
      <c r="C1911" s="1" t="n">
        <v>4</v>
      </c>
      <c r="D1911" s="1" t="n">
        <v>7</v>
      </c>
      <c r="E1911" s="1" t="str">
        <f aca="false">VLOOKUP(C1911,Меню!$A$2:$C$24,2,FALSE())</f>
        <v>Пицца Труслейка</v>
      </c>
      <c r="F1911" s="1" t="n">
        <f aca="false">VLOOKUP(C1911,Меню!$A$2:$C$24,3,FALSE())</f>
        <v>610</v>
      </c>
      <c r="G1911" s="5" t="n">
        <f aca="false">VLOOKUP(B1911,Заказы!$A$2:$E$2995,2,FALSE())</f>
        <v>44030</v>
      </c>
      <c r="H1911" s="1" t="n">
        <f aca="false">VLOOKUP(B1911,Заказы!$A$2:$E$2995,3,FALSE())</f>
        <v>327</v>
      </c>
      <c r="I1911" s="1" t="str">
        <f aca="false">VLOOKUP(H1911,Клиенты!$A$2:$E$1995,5,FALSE())</f>
        <v>г. Полесск</v>
      </c>
      <c r="J1911" s="1" t="n">
        <f aca="false">VLOOKUP(B1911,Заказы!$A$2:$E$2995,4,FALSE())</f>
        <v>0</v>
      </c>
      <c r="K1911" s="1" t="str">
        <f aca="false">VLOOKUP(B1911,Заказы!$A$2:$E$2995,5,FALSE())</f>
        <v>Не выполнено</v>
      </c>
      <c r="L1911" s="1" t="n">
        <f aca="false">D1911*F1911+J1911</f>
        <v>4270</v>
      </c>
      <c r="M1911" s="1" t="n">
        <f aca="false">IF(AND(E1911="Пицца Труслейка",I1911="г. Москва",K1911="Выполнено",G1911&gt;=DATE(2020,7,1),G1911&lt;DATE(2020,8,1)),L1911,0)</f>
        <v>0</v>
      </c>
    </row>
    <row r="1912" customFormat="false" ht="15" hidden="false" customHeight="true" outlineLevel="0" collapsed="false">
      <c r="A1912" s="1" t="n">
        <v>100460</v>
      </c>
      <c r="B1912" s="1" t="n">
        <v>50044</v>
      </c>
      <c r="C1912" s="1" t="n">
        <v>4</v>
      </c>
      <c r="D1912" s="1" t="n">
        <v>5</v>
      </c>
      <c r="E1912" s="1" t="str">
        <f aca="false">VLOOKUP(C1912,Меню!$A$2:$C$24,2,FALSE())</f>
        <v>Пицца Труслейка</v>
      </c>
      <c r="F1912" s="1" t="n">
        <f aca="false">VLOOKUP(C1912,Меню!$A$2:$C$24,3,FALSE())</f>
        <v>610</v>
      </c>
      <c r="G1912" s="5" t="n">
        <f aca="false">VLOOKUP(B1912,Заказы!$A$2:$E$2995,2,FALSE())</f>
        <v>44049</v>
      </c>
      <c r="H1912" s="1" t="n">
        <f aca="false">VLOOKUP(B1912,Заказы!$A$2:$E$2995,3,FALSE())</f>
        <v>1715</v>
      </c>
      <c r="I1912" s="1" t="str">
        <f aca="false">VLOOKUP(H1912,Клиенты!$A$2:$E$1995,5,FALSE())</f>
        <v>г. Сорочинск</v>
      </c>
      <c r="J1912" s="1" t="n">
        <f aca="false">VLOOKUP(B1912,Заказы!$A$2:$E$2995,4,FALSE())</f>
        <v>0</v>
      </c>
      <c r="K1912" s="1" t="str">
        <f aca="false">VLOOKUP(B1912,Заказы!$A$2:$E$2995,5,FALSE())</f>
        <v>Не выполнено</v>
      </c>
      <c r="L1912" s="1" t="n">
        <f aca="false">D1912*F1912+J1912</f>
        <v>3050</v>
      </c>
      <c r="M1912" s="1" t="n">
        <f aca="false">IF(AND(E1912="Пицца Труслейка",I1912="г. Москва",K1912="Выполнено",G1912&gt;=DATE(2020,7,1),G1912&lt;DATE(2020,8,1)),L1912,0)</f>
        <v>0</v>
      </c>
    </row>
    <row r="1913" customFormat="false" ht="15" hidden="false" customHeight="true" outlineLevel="0" collapsed="false">
      <c r="A1913" s="1" t="n">
        <v>101692</v>
      </c>
      <c r="B1913" s="1" t="n">
        <v>50455</v>
      </c>
      <c r="C1913" s="1" t="n">
        <v>21</v>
      </c>
      <c r="D1913" s="1" t="n">
        <v>6</v>
      </c>
      <c r="E1913" s="1" t="str">
        <f aca="false">VLOOKUP(C1913,Меню!$A$2:$C$24,2,FALSE())</f>
        <v>Пицца с креветками и цукини</v>
      </c>
      <c r="F1913" s="1" t="n">
        <f aca="false">VLOOKUP(C1913,Меню!$A$2:$C$24,3,FALSE())</f>
        <v>600</v>
      </c>
      <c r="G1913" s="5" t="n">
        <f aca="false">VLOOKUP(B1913,Заказы!$A$2:$E$2995,2,FALSE())</f>
        <v>44048</v>
      </c>
      <c r="H1913" s="1" t="n">
        <f aca="false">VLOOKUP(B1913,Заказы!$A$2:$E$2995,3,FALSE())</f>
        <v>965</v>
      </c>
      <c r="I1913" s="1" t="str">
        <f aca="false">VLOOKUP(H1913,Клиенты!$A$2:$E$1995,5,FALSE())</f>
        <v>г. Медногорск</v>
      </c>
      <c r="J1913" s="1" t="n">
        <f aca="false">VLOOKUP(B1913,Заказы!$A$2:$E$2995,4,FALSE())</f>
        <v>746</v>
      </c>
      <c r="K1913" s="1" t="str">
        <f aca="false">VLOOKUP(B1913,Заказы!$A$2:$E$2995,5,FALSE())</f>
        <v>Выполнено</v>
      </c>
      <c r="L1913" s="1" t="n">
        <f aca="false">D1913*F1913+J1913</f>
        <v>4346</v>
      </c>
      <c r="M1913" s="1" t="n">
        <f aca="false">IF(AND(E1913="Пицца Труслейка",I1913="г. Москва",K1913="Выполнено",G1913&gt;=DATE(2020,7,1),G1913&lt;DATE(2020,8,1)),L1913,0)</f>
        <v>0</v>
      </c>
    </row>
    <row r="1914" customFormat="false" ht="15" hidden="false" customHeight="true" outlineLevel="0" collapsed="false">
      <c r="A1914" s="1" t="n">
        <v>101058</v>
      </c>
      <c r="B1914" s="1" t="n">
        <v>50159</v>
      </c>
      <c r="C1914" s="1" t="n">
        <v>14</v>
      </c>
      <c r="D1914" s="1" t="n">
        <v>5</v>
      </c>
      <c r="E1914" s="1" t="str">
        <f aca="false">VLOOKUP(C1914,Меню!$A$2:$C$24,2,FALSE())</f>
        <v>Пицца Сырный цыпленок</v>
      </c>
      <c r="F1914" s="1" t="n">
        <f aca="false">VLOOKUP(C1914,Меню!$A$2:$C$24,3,FALSE())</f>
        <v>555</v>
      </c>
      <c r="G1914" s="5" t="n">
        <f aca="false">VLOOKUP(B1914,Заказы!$A$2:$E$2995,2,FALSE())</f>
        <v>44025</v>
      </c>
      <c r="H1914" s="1" t="n">
        <f aca="false">VLOOKUP(B1914,Заказы!$A$2:$E$2995,3,FALSE())</f>
        <v>530</v>
      </c>
      <c r="I1914" s="1" t="str">
        <f aca="false">VLOOKUP(H1914,Клиенты!$A$2:$E$1995,5,FALSE())</f>
        <v>г. Москва</v>
      </c>
      <c r="J1914" s="1" t="n">
        <f aca="false">VLOOKUP(B1914,Заказы!$A$2:$E$2995,4,FALSE())</f>
        <v>340</v>
      </c>
      <c r="K1914" s="1" t="str">
        <f aca="false">VLOOKUP(B1914,Заказы!$A$2:$E$2995,5,FALSE())</f>
        <v>Выполнено</v>
      </c>
      <c r="L1914" s="1" t="n">
        <f aca="false">D1914*F1914+J1914</f>
        <v>3115</v>
      </c>
      <c r="M1914" s="1" t="n">
        <f aca="false">IF(AND(E1914="Пицца Труслейка",I1914="г. Москва",K1914="Выполнено",G1914&gt;=DATE(2020,7,1),G1914&lt;DATE(2020,8,1)),L1914,0)</f>
        <v>0</v>
      </c>
    </row>
    <row r="1915" customFormat="false" ht="15" hidden="false" customHeight="true" outlineLevel="0" collapsed="false">
      <c r="A1915" s="1" t="n">
        <v>100300</v>
      </c>
      <c r="B1915" s="1" t="n">
        <v>51462</v>
      </c>
      <c r="C1915" s="1" t="n">
        <v>7</v>
      </c>
      <c r="D1915" s="1" t="n">
        <v>7</v>
      </c>
      <c r="E1915" s="1" t="str">
        <f aca="false">VLOOKUP(C1915,Меню!$A$2:$C$24,2,FALSE())</f>
        <v>Пицца Карбонара</v>
      </c>
      <c r="F1915" s="1" t="n">
        <f aca="false">VLOOKUP(C1915,Меню!$A$2:$C$24,3,FALSE())</f>
        <v>625</v>
      </c>
      <c r="G1915" s="5" t="n">
        <f aca="false">VLOOKUP(B1915,Заказы!$A$2:$E$2995,2,FALSE())</f>
        <v>44032</v>
      </c>
      <c r="H1915" s="1" t="n">
        <f aca="false">VLOOKUP(B1915,Заказы!$A$2:$E$2995,3,FALSE())</f>
        <v>465</v>
      </c>
      <c r="I1915" s="1" t="str">
        <f aca="false">VLOOKUP(H1915,Клиенты!$A$2:$E$1995,5,FALSE())</f>
        <v>г. Петровск-Забайкальский</v>
      </c>
      <c r="J1915" s="1" t="n">
        <f aca="false">VLOOKUP(B1915,Заказы!$A$2:$E$2995,4,FALSE())</f>
        <v>410</v>
      </c>
      <c r="K1915" s="1" t="str">
        <f aca="false">VLOOKUP(B1915,Заказы!$A$2:$E$2995,5,FALSE())</f>
        <v>Выполнено</v>
      </c>
      <c r="L1915" s="1" t="n">
        <f aca="false">D1915*F1915+J1915</f>
        <v>4785</v>
      </c>
      <c r="M1915" s="1" t="n">
        <f aca="false">IF(AND(E1915="Пицца Труслейка",I1915="г. Москва",K1915="Выполнено",G1915&gt;=DATE(2020,7,1),G1915&lt;DATE(2020,8,1)),L1915,0)</f>
        <v>0</v>
      </c>
    </row>
    <row r="1916" customFormat="false" ht="15" hidden="false" customHeight="true" outlineLevel="0" collapsed="false">
      <c r="A1916" s="1" t="n">
        <v>100324</v>
      </c>
      <c r="B1916" s="1" t="n">
        <v>51764</v>
      </c>
      <c r="C1916" s="1" t="n">
        <v>11</v>
      </c>
      <c r="D1916" s="1" t="n">
        <v>2</v>
      </c>
      <c r="E1916" s="1" t="str">
        <f aca="false">VLOOKUP(C1916,Меню!$A$2:$C$24,2,FALSE())</f>
        <v>Пицца Песто</v>
      </c>
      <c r="F1916" s="1" t="n">
        <f aca="false">VLOOKUP(C1916,Меню!$A$2:$C$24,3,FALSE())</f>
        <v>530</v>
      </c>
      <c r="G1916" s="5" t="n">
        <f aca="false">VLOOKUP(B1916,Заказы!$A$2:$E$2995,2,FALSE())</f>
        <v>44048</v>
      </c>
      <c r="H1916" s="1" t="n">
        <f aca="false">VLOOKUP(B1916,Заказы!$A$2:$E$2995,3,FALSE())</f>
        <v>28</v>
      </c>
      <c r="I1916" s="1" t="str">
        <f aca="false">VLOOKUP(H1916,Клиенты!$A$2:$E$1995,5,FALSE())</f>
        <v>г. Омск</v>
      </c>
      <c r="J1916" s="1" t="n">
        <f aca="false">VLOOKUP(B1916,Заказы!$A$2:$E$2995,4,FALSE())</f>
        <v>114</v>
      </c>
      <c r="K1916" s="1" t="str">
        <f aca="false">VLOOKUP(B1916,Заказы!$A$2:$E$2995,5,FALSE())</f>
        <v>Выполнено</v>
      </c>
      <c r="L1916" s="1" t="n">
        <f aca="false">D1916*F1916+J1916</f>
        <v>1174</v>
      </c>
      <c r="M1916" s="1" t="n">
        <f aca="false">IF(AND(E1916="Пицца Труслейка",I1916="г. Москва",K1916="Выполнено",G1916&gt;=DATE(2020,7,1),G1916&lt;DATE(2020,8,1)),L1916,0)</f>
        <v>0</v>
      </c>
    </row>
    <row r="1917" customFormat="false" ht="15" hidden="false" customHeight="true" outlineLevel="0" collapsed="false">
      <c r="A1917" s="1" t="n">
        <v>100461</v>
      </c>
      <c r="B1917" s="1" t="n">
        <v>50051</v>
      </c>
      <c r="C1917" s="1" t="n">
        <v>14</v>
      </c>
      <c r="D1917" s="1" t="n">
        <v>9</v>
      </c>
      <c r="E1917" s="1" t="str">
        <f aca="false">VLOOKUP(C1917,Меню!$A$2:$C$24,2,FALSE())</f>
        <v>Пицца Сырный цыпленок</v>
      </c>
      <c r="F1917" s="1" t="n">
        <f aca="false">VLOOKUP(C1917,Меню!$A$2:$C$24,3,FALSE())</f>
        <v>555</v>
      </c>
      <c r="G1917" s="5" t="n">
        <f aca="false">VLOOKUP(B1917,Заказы!$A$2:$E$2995,2,FALSE())</f>
        <v>44072</v>
      </c>
      <c r="H1917" s="1" t="n">
        <f aca="false">VLOOKUP(B1917,Заказы!$A$2:$E$2995,3,FALSE())</f>
        <v>1963</v>
      </c>
      <c r="I1917" s="1" t="str">
        <f aca="false">VLOOKUP(H1917,Клиенты!$A$2:$E$1995,5,FALSE())</f>
        <v>г. Заречный</v>
      </c>
      <c r="J1917" s="1" t="n">
        <f aca="false">VLOOKUP(B1917,Заказы!$A$2:$E$2995,4,FALSE())</f>
        <v>0</v>
      </c>
      <c r="K1917" s="1" t="str">
        <f aca="false">VLOOKUP(B1917,Заказы!$A$2:$E$2995,5,FALSE())</f>
        <v>Не выполнено</v>
      </c>
      <c r="L1917" s="1" t="n">
        <f aca="false">D1917*F1917+J1917</f>
        <v>4995</v>
      </c>
      <c r="M1917" s="1" t="n">
        <f aca="false">IF(AND(E1917="Пицца Труслейка",I1917="г. Москва",K1917="Выполнено",G1917&gt;=DATE(2020,7,1),G1917&lt;DATE(2020,8,1)),L1917,0)</f>
        <v>0</v>
      </c>
    </row>
    <row r="1918" customFormat="false" ht="15" hidden="false" customHeight="true" outlineLevel="0" collapsed="false">
      <c r="A1918" s="1" t="n">
        <v>101853</v>
      </c>
      <c r="B1918" s="1" t="n">
        <v>50650</v>
      </c>
      <c r="C1918" s="1" t="n">
        <v>4</v>
      </c>
      <c r="D1918" s="1" t="n">
        <v>2</v>
      </c>
      <c r="E1918" s="1" t="str">
        <f aca="false">VLOOKUP(C1918,Меню!$A$2:$C$24,2,FALSE())</f>
        <v>Пицца Труслейка</v>
      </c>
      <c r="F1918" s="1" t="n">
        <f aca="false">VLOOKUP(C1918,Меню!$A$2:$C$24,3,FALSE())</f>
        <v>610</v>
      </c>
      <c r="G1918" s="5" t="n">
        <f aca="false">VLOOKUP(B1918,Заказы!$A$2:$E$2995,2,FALSE())</f>
        <v>43989</v>
      </c>
      <c r="H1918" s="1" t="n">
        <f aca="false">VLOOKUP(B1918,Заказы!$A$2:$E$2995,3,FALSE())</f>
        <v>892</v>
      </c>
      <c r="I1918" s="1" t="str">
        <f aca="false">VLOOKUP(H1918,Клиенты!$A$2:$E$1995,5,FALSE())</f>
        <v>г. Апрелевка</v>
      </c>
      <c r="J1918" s="1" t="n">
        <f aca="false">VLOOKUP(B1918,Заказы!$A$2:$E$2995,4,FALSE())</f>
        <v>472</v>
      </c>
      <c r="K1918" s="1" t="str">
        <f aca="false">VLOOKUP(B1918,Заказы!$A$2:$E$2995,5,FALSE())</f>
        <v>Выполнено</v>
      </c>
      <c r="L1918" s="1" t="n">
        <f aca="false">D1918*F1918+J1918</f>
        <v>1692</v>
      </c>
      <c r="M1918" s="1" t="n">
        <f aca="false">IF(AND(E1918="Пицца Труслейка",I1918="г. Москва",K1918="Выполнено",G1918&gt;=DATE(2020,7,1),G1918&lt;DATE(2020,8,1)),L1918,0)</f>
        <v>0</v>
      </c>
    </row>
    <row r="1919" customFormat="false" ht="15" hidden="false" customHeight="true" outlineLevel="0" collapsed="false">
      <c r="A1919" s="1" t="n">
        <v>100812</v>
      </c>
      <c r="B1919" s="1" t="n">
        <v>50691</v>
      </c>
      <c r="C1919" s="1" t="n">
        <v>6</v>
      </c>
      <c r="D1919" s="1" t="n">
        <v>3</v>
      </c>
      <c r="E1919" s="1" t="str">
        <f aca="false">VLOOKUP(C1919,Меню!$A$2:$C$24,2,FALSE())</f>
        <v>Пицца Капричиоза</v>
      </c>
      <c r="F1919" s="1" t="n">
        <f aca="false">VLOOKUP(C1919,Меню!$A$2:$C$24,3,FALSE())</f>
        <v>570</v>
      </c>
      <c r="G1919" s="5" t="n">
        <f aca="false">VLOOKUP(B1919,Заказы!$A$2:$E$2995,2,FALSE())</f>
        <v>44022</v>
      </c>
      <c r="H1919" s="1" t="n">
        <f aca="false">VLOOKUP(B1919,Заказы!$A$2:$E$2995,3,FALSE())</f>
        <v>1761</v>
      </c>
      <c r="I1919" s="1" t="str">
        <f aca="false">VLOOKUP(H1919,Клиенты!$A$2:$E$1995,5,FALSE())</f>
        <v>г. Долгопрудный</v>
      </c>
      <c r="J1919" s="1" t="n">
        <f aca="false">VLOOKUP(B1919,Заказы!$A$2:$E$2995,4,FALSE())</f>
        <v>0</v>
      </c>
      <c r="K1919" s="1" t="str">
        <f aca="false">VLOOKUP(B1919,Заказы!$A$2:$E$2995,5,FALSE())</f>
        <v>Не выполнено</v>
      </c>
      <c r="L1919" s="1" t="n">
        <f aca="false">D1919*F1919+J1919</f>
        <v>1710</v>
      </c>
      <c r="M1919" s="1" t="n">
        <f aca="false">IF(AND(E1919="Пицца Труслейка",I1919="г. Москва",K1919="Выполнено",G1919&gt;=DATE(2020,7,1),G1919&lt;DATE(2020,8,1)),L1919,0)</f>
        <v>0</v>
      </c>
    </row>
    <row r="1920" customFormat="false" ht="15" hidden="false" customHeight="true" outlineLevel="0" collapsed="false">
      <c r="A1920" s="1" t="n">
        <v>101796</v>
      </c>
      <c r="B1920" s="1" t="n">
        <v>51452</v>
      </c>
      <c r="C1920" s="1" t="n">
        <v>11</v>
      </c>
      <c r="D1920" s="1" t="n">
        <v>4</v>
      </c>
      <c r="E1920" s="1" t="str">
        <f aca="false">VLOOKUP(C1920,Меню!$A$2:$C$24,2,FALSE())</f>
        <v>Пицца Песто</v>
      </c>
      <c r="F1920" s="1" t="n">
        <f aca="false">VLOOKUP(C1920,Меню!$A$2:$C$24,3,FALSE())</f>
        <v>530</v>
      </c>
      <c r="G1920" s="5" t="n">
        <f aca="false">VLOOKUP(B1920,Заказы!$A$2:$E$2995,2,FALSE())</f>
        <v>44016</v>
      </c>
      <c r="H1920" s="1" t="n">
        <f aca="false">VLOOKUP(B1920,Заказы!$A$2:$E$2995,3,FALSE())</f>
        <v>1455</v>
      </c>
      <c r="I1920" s="1" t="str">
        <f aca="false">VLOOKUP(H1920,Клиенты!$A$2:$E$1995,5,FALSE())</f>
        <v>г. Харабали</v>
      </c>
      <c r="J1920" s="1" t="n">
        <f aca="false">VLOOKUP(B1920,Заказы!$A$2:$E$2995,4,FALSE())</f>
        <v>676</v>
      </c>
      <c r="K1920" s="1" t="str">
        <f aca="false">VLOOKUP(B1920,Заказы!$A$2:$E$2995,5,FALSE())</f>
        <v>Выполнено</v>
      </c>
      <c r="L1920" s="1" t="n">
        <f aca="false">D1920*F1920+J1920</f>
        <v>2796</v>
      </c>
      <c r="M1920" s="1" t="n">
        <f aca="false">IF(AND(E1920="Пицца Труслейка",I1920="г. Москва",K1920="Выполнено",G1920&gt;=DATE(2020,7,1),G1920&lt;DATE(2020,8,1)),L1920,0)</f>
        <v>0</v>
      </c>
    </row>
    <row r="1921" customFormat="false" ht="15" hidden="false" customHeight="true" outlineLevel="0" collapsed="false">
      <c r="A1921" s="1" t="n">
        <v>101414</v>
      </c>
      <c r="B1921" s="1" t="n">
        <v>51857</v>
      </c>
      <c r="C1921" s="1" t="n">
        <v>4</v>
      </c>
      <c r="D1921" s="1" t="n">
        <v>2</v>
      </c>
      <c r="E1921" s="1" t="str">
        <f aca="false">VLOOKUP(C1921,Меню!$A$2:$C$24,2,FALSE())</f>
        <v>Пицца Труслейка</v>
      </c>
      <c r="F1921" s="1" t="n">
        <f aca="false">VLOOKUP(C1921,Меню!$A$2:$C$24,3,FALSE())</f>
        <v>610</v>
      </c>
      <c r="G1921" s="5" t="n">
        <f aca="false">VLOOKUP(B1921,Заказы!$A$2:$E$2995,2,FALSE())</f>
        <v>44055</v>
      </c>
      <c r="H1921" s="1" t="n">
        <f aca="false">VLOOKUP(B1921,Заказы!$A$2:$E$2995,3,FALSE())</f>
        <v>1483</v>
      </c>
      <c r="I1921" s="1" t="str">
        <f aca="false">VLOOKUP(H1921,Клиенты!$A$2:$E$1995,5,FALSE())</f>
        <v>г. Первоуральск</v>
      </c>
      <c r="J1921" s="1" t="n">
        <f aca="false">VLOOKUP(B1921,Заказы!$A$2:$E$2995,4,FALSE())</f>
        <v>0</v>
      </c>
      <c r="K1921" s="1" t="str">
        <f aca="false">VLOOKUP(B1921,Заказы!$A$2:$E$2995,5,FALSE())</f>
        <v>Не выполнено</v>
      </c>
      <c r="L1921" s="1" t="n">
        <f aca="false">D1921*F1921+J1921</f>
        <v>1220</v>
      </c>
      <c r="M1921" s="1" t="n">
        <f aca="false">IF(AND(E1921="Пицца Труслейка",I1921="г. Москва",K1921="Выполнено",G1921&gt;=DATE(2020,7,1),G1921&lt;DATE(2020,8,1)),L1921,0)</f>
        <v>0</v>
      </c>
    </row>
    <row r="1922" customFormat="false" ht="15" hidden="false" customHeight="true" outlineLevel="0" collapsed="false">
      <c r="A1922" s="1" t="n">
        <v>100825</v>
      </c>
      <c r="B1922" s="1" t="n">
        <v>51014</v>
      </c>
      <c r="C1922" s="1" t="n">
        <v>8</v>
      </c>
      <c r="D1922" s="1" t="n">
        <v>7</v>
      </c>
      <c r="E1922" s="1" t="str">
        <f aca="false">VLOOKUP(C1922,Меню!$A$2:$C$24,2,FALSE())</f>
        <v>Пицца Мясная</v>
      </c>
      <c r="F1922" s="1" t="n">
        <f aca="false">VLOOKUP(C1922,Меню!$A$2:$C$24,3,FALSE())</f>
        <v>615</v>
      </c>
      <c r="G1922" s="5" t="n">
        <f aca="false">VLOOKUP(B1922,Заказы!$A$2:$E$2995,2,FALSE())</f>
        <v>44019</v>
      </c>
      <c r="H1922" s="1" t="n">
        <f aca="false">VLOOKUP(B1922,Заказы!$A$2:$E$2995,3,FALSE())</f>
        <v>112</v>
      </c>
      <c r="I1922" s="1" t="str">
        <f aca="false">VLOOKUP(H1922,Клиенты!$A$2:$E$1995,5,FALSE())</f>
        <v>г. Гурьевск</v>
      </c>
      <c r="J1922" s="1" t="n">
        <f aca="false">VLOOKUP(B1922,Заказы!$A$2:$E$2995,4,FALSE())</f>
        <v>780</v>
      </c>
      <c r="K1922" s="1" t="str">
        <f aca="false">VLOOKUP(B1922,Заказы!$A$2:$E$2995,5,FALSE())</f>
        <v>Выполнено</v>
      </c>
      <c r="L1922" s="1" t="n">
        <f aca="false">D1922*F1922+J1922</f>
        <v>5085</v>
      </c>
      <c r="M1922" s="1" t="n">
        <f aca="false">IF(AND(E1922="Пицца Труслейка",I1922="г. Москва",K1922="Выполнено",G1922&gt;=DATE(2020,7,1),G1922&lt;DATE(2020,8,1)),L1922,0)</f>
        <v>0</v>
      </c>
    </row>
    <row r="1923" customFormat="false" ht="15" hidden="false" customHeight="true" outlineLevel="0" collapsed="false">
      <c r="A1923" s="1" t="n">
        <v>100476</v>
      </c>
      <c r="B1923" s="1" t="n">
        <v>50779</v>
      </c>
      <c r="C1923" s="1" t="n">
        <v>15</v>
      </c>
      <c r="D1923" s="1" t="n">
        <v>2</v>
      </c>
      <c r="E1923" s="1" t="str">
        <f aca="false">VLOOKUP(C1923,Меню!$A$2:$C$24,2,FALSE())</f>
        <v>Пицца Тропиканка</v>
      </c>
      <c r="F1923" s="1" t="n">
        <f aca="false">VLOOKUP(C1923,Меню!$A$2:$C$24,3,FALSE())</f>
        <v>605</v>
      </c>
      <c r="G1923" s="5" t="n">
        <f aca="false">VLOOKUP(B1923,Заказы!$A$2:$E$2995,2,FALSE())</f>
        <v>44024</v>
      </c>
      <c r="H1923" s="1" t="n">
        <f aca="false">VLOOKUP(B1923,Заказы!$A$2:$E$2995,3,FALSE())</f>
        <v>744</v>
      </c>
      <c r="I1923" s="1" t="str">
        <f aca="false">VLOOKUP(H1923,Клиенты!$A$2:$E$1995,5,FALSE())</f>
        <v>г. Муравленко</v>
      </c>
      <c r="J1923" s="1" t="n">
        <f aca="false">VLOOKUP(B1923,Заказы!$A$2:$E$2995,4,FALSE())</f>
        <v>0</v>
      </c>
      <c r="K1923" s="1" t="str">
        <f aca="false">VLOOKUP(B1923,Заказы!$A$2:$E$2995,5,FALSE())</f>
        <v>Не выполнено</v>
      </c>
      <c r="L1923" s="1" t="n">
        <f aca="false">D1923*F1923+J1923</f>
        <v>1210</v>
      </c>
      <c r="M1923" s="1" t="n">
        <f aca="false">IF(AND(E1923="Пицца Труслейка",I1923="г. Москва",K1923="Выполнено",G1923&gt;=DATE(2020,7,1),G1923&lt;DATE(2020,8,1)),L1923,0)</f>
        <v>0</v>
      </c>
    </row>
    <row r="1924" customFormat="false" ht="15" hidden="false" customHeight="true" outlineLevel="0" collapsed="false">
      <c r="A1924" s="1" t="n">
        <v>100581</v>
      </c>
      <c r="B1924" s="1" t="n">
        <v>51292</v>
      </c>
      <c r="C1924" s="1" t="n">
        <v>9</v>
      </c>
      <c r="D1924" s="1" t="n">
        <v>6</v>
      </c>
      <c r="E1924" s="1" t="str">
        <f aca="false">VLOOKUP(C1924,Меню!$A$2:$C$24,2,FALSE())</f>
        <v>Пицца Острая с беконом</v>
      </c>
      <c r="F1924" s="1" t="n">
        <f aca="false">VLOOKUP(C1924,Меню!$A$2:$C$24,3,FALSE())</f>
        <v>540</v>
      </c>
      <c r="G1924" s="5" t="n">
        <f aca="false">VLOOKUP(B1924,Заказы!$A$2:$E$2995,2,FALSE())</f>
        <v>43990</v>
      </c>
      <c r="H1924" s="1" t="n">
        <f aca="false">VLOOKUP(B1924,Заказы!$A$2:$E$2995,3,FALSE())</f>
        <v>560</v>
      </c>
      <c r="I1924" s="1" t="str">
        <f aca="false">VLOOKUP(H1924,Клиенты!$A$2:$E$1995,5,FALSE())</f>
        <v>г. Москва</v>
      </c>
      <c r="J1924" s="1" t="n">
        <f aca="false">VLOOKUP(B1924,Заказы!$A$2:$E$2995,4,FALSE())</f>
        <v>643</v>
      </c>
      <c r="K1924" s="1" t="str">
        <f aca="false">VLOOKUP(B1924,Заказы!$A$2:$E$2995,5,FALSE())</f>
        <v>Выполнено</v>
      </c>
      <c r="L1924" s="1" t="n">
        <f aca="false">D1924*F1924+J1924</f>
        <v>3883</v>
      </c>
      <c r="M1924" s="1" t="n">
        <f aca="false">IF(AND(E1924="Пицца Труслейка",I1924="г. Москва",K1924="Выполнено",G1924&gt;=DATE(2020,7,1),G1924&lt;DATE(2020,8,1)),L1924,0)</f>
        <v>0</v>
      </c>
    </row>
    <row r="1925" customFormat="false" ht="15" hidden="false" customHeight="true" outlineLevel="0" collapsed="false">
      <c r="A1925" s="1" t="n">
        <v>101024</v>
      </c>
      <c r="B1925" s="1" t="n">
        <v>51638</v>
      </c>
      <c r="C1925" s="1" t="n">
        <v>13</v>
      </c>
      <c r="D1925" s="1" t="n">
        <v>1</v>
      </c>
      <c r="E1925" s="1" t="str">
        <f aca="false">VLOOKUP(C1925,Меню!$A$2:$C$24,2,FALSE())</f>
        <v>Пицца Сырная</v>
      </c>
      <c r="F1925" s="1" t="n">
        <f aca="false">VLOOKUP(C1925,Меню!$A$2:$C$24,3,FALSE())</f>
        <v>635</v>
      </c>
      <c r="G1925" s="5" t="n">
        <f aca="false">VLOOKUP(B1925,Заказы!$A$2:$E$2995,2,FALSE())</f>
        <v>44006</v>
      </c>
      <c r="H1925" s="1" t="n">
        <f aca="false">VLOOKUP(B1925,Заказы!$A$2:$E$2995,3,FALSE())</f>
        <v>243</v>
      </c>
      <c r="I1925" s="1" t="str">
        <f aca="false">VLOOKUP(H1925,Клиенты!$A$2:$E$1995,5,FALSE())</f>
        <v>г. Камышлов</v>
      </c>
      <c r="J1925" s="1" t="n">
        <f aca="false">VLOOKUP(B1925,Заказы!$A$2:$E$2995,4,FALSE())</f>
        <v>645</v>
      </c>
      <c r="K1925" s="1" t="str">
        <f aca="false">VLOOKUP(B1925,Заказы!$A$2:$E$2995,5,FALSE())</f>
        <v>Выполнено</v>
      </c>
      <c r="L1925" s="1" t="n">
        <f aca="false">D1925*F1925+J1925</f>
        <v>1280</v>
      </c>
      <c r="M1925" s="1" t="n">
        <f aca="false">IF(AND(E1925="Пицца Труслейка",I1925="г. Москва",K1925="Выполнено",G1925&gt;=DATE(2020,7,1),G1925&lt;DATE(2020,8,1)),L1925,0)</f>
        <v>0</v>
      </c>
    </row>
    <row r="1926" customFormat="false" ht="15" hidden="false" customHeight="true" outlineLevel="0" collapsed="false">
      <c r="A1926" s="1" t="n">
        <v>100693</v>
      </c>
      <c r="B1926" s="1" t="n">
        <v>51532</v>
      </c>
      <c r="C1926" s="1" t="n">
        <v>20</v>
      </c>
      <c r="D1926" s="1" t="n">
        <v>4</v>
      </c>
      <c r="E1926" s="1" t="str">
        <f aca="false">VLOOKUP(C1926,Меню!$A$2:$C$24,2,FALSE())</f>
        <v>Пицца пиканте</v>
      </c>
      <c r="F1926" s="1" t="n">
        <f aca="false">VLOOKUP(C1926,Меню!$A$2:$C$24,3,FALSE())</f>
        <v>585</v>
      </c>
      <c r="G1926" s="5" t="n">
        <f aca="false">VLOOKUP(B1926,Заказы!$A$2:$E$2995,2,FALSE())</f>
        <v>44004</v>
      </c>
      <c r="H1926" s="1" t="n">
        <f aca="false">VLOOKUP(B1926,Заказы!$A$2:$E$2995,3,FALSE())</f>
        <v>1612</v>
      </c>
      <c r="I1926" s="1" t="str">
        <f aca="false">VLOOKUP(H1926,Клиенты!$A$2:$E$1995,5,FALSE())</f>
        <v>г. Кунгур</v>
      </c>
      <c r="J1926" s="1" t="n">
        <f aca="false">VLOOKUP(B1926,Заказы!$A$2:$E$2995,4,FALSE())</f>
        <v>468</v>
      </c>
      <c r="K1926" s="1" t="str">
        <f aca="false">VLOOKUP(B1926,Заказы!$A$2:$E$2995,5,FALSE())</f>
        <v>Выполнено</v>
      </c>
      <c r="L1926" s="1" t="n">
        <f aca="false">D1926*F1926+J1926</f>
        <v>2808</v>
      </c>
      <c r="M1926" s="1" t="n">
        <f aca="false">IF(AND(E1926="Пицца Труслейка",I1926="г. Москва",K1926="Выполнено",G1926&gt;=DATE(2020,7,1),G1926&lt;DATE(2020,8,1)),L1926,0)</f>
        <v>0</v>
      </c>
    </row>
    <row r="1927" customFormat="false" ht="15" hidden="false" customHeight="true" outlineLevel="0" collapsed="false">
      <c r="A1927" s="1" t="n">
        <v>101561</v>
      </c>
      <c r="B1927" s="1" t="n">
        <v>51079</v>
      </c>
      <c r="C1927" s="1" t="n">
        <v>13</v>
      </c>
      <c r="D1927" s="1" t="n">
        <v>2</v>
      </c>
      <c r="E1927" s="1" t="str">
        <f aca="false">VLOOKUP(C1927,Меню!$A$2:$C$24,2,FALSE())</f>
        <v>Пицца Сырная</v>
      </c>
      <c r="F1927" s="1" t="n">
        <f aca="false">VLOOKUP(C1927,Меню!$A$2:$C$24,3,FALSE())</f>
        <v>635</v>
      </c>
      <c r="G1927" s="5" t="n">
        <f aca="false">VLOOKUP(B1927,Заказы!$A$2:$E$2995,2,FALSE())</f>
        <v>44000</v>
      </c>
      <c r="H1927" s="1" t="n">
        <f aca="false">VLOOKUP(B1927,Заказы!$A$2:$E$2995,3,FALSE())</f>
        <v>1924</v>
      </c>
      <c r="I1927" s="1" t="str">
        <f aca="false">VLOOKUP(H1927,Клиенты!$A$2:$E$1995,5,FALSE())</f>
        <v>г. Лобня</v>
      </c>
      <c r="J1927" s="1" t="n">
        <f aca="false">VLOOKUP(B1927,Заказы!$A$2:$E$2995,4,FALSE())</f>
        <v>562</v>
      </c>
      <c r="K1927" s="1" t="str">
        <f aca="false">VLOOKUP(B1927,Заказы!$A$2:$E$2995,5,FALSE())</f>
        <v>Выполнено</v>
      </c>
      <c r="L1927" s="1" t="n">
        <f aca="false">D1927*F1927+J1927</f>
        <v>1832</v>
      </c>
      <c r="M1927" s="1" t="n">
        <f aca="false">IF(AND(E1927="Пицца Труслейка",I1927="г. Москва",K1927="Выполнено",G1927&gt;=DATE(2020,7,1),G1927&lt;DATE(2020,8,1)),L1927,0)</f>
        <v>0</v>
      </c>
    </row>
    <row r="1928" customFormat="false" ht="15" hidden="false" customHeight="true" outlineLevel="0" collapsed="false">
      <c r="A1928" s="1" t="n">
        <v>101751</v>
      </c>
      <c r="B1928" s="1" t="n">
        <v>50982</v>
      </c>
      <c r="C1928" s="1" t="n">
        <v>3</v>
      </c>
      <c r="D1928" s="1" t="n">
        <v>3</v>
      </c>
      <c r="E1928" s="1" t="str">
        <f aca="false">VLOOKUP(C1928,Меню!$A$2:$C$24,2,FALSE())</f>
        <v>Пицца Диабло</v>
      </c>
      <c r="F1928" s="1" t="n">
        <f aca="false">VLOOKUP(C1928,Меню!$A$2:$C$24,3,FALSE())</f>
        <v>590</v>
      </c>
      <c r="G1928" s="5" t="n">
        <f aca="false">VLOOKUP(B1928,Заказы!$A$2:$E$2995,2,FALSE())</f>
        <v>44066</v>
      </c>
      <c r="H1928" s="1" t="n">
        <f aca="false">VLOOKUP(B1928,Заказы!$A$2:$E$2995,3,FALSE())</f>
        <v>771</v>
      </c>
      <c r="I1928" s="1" t="str">
        <f aca="false">VLOOKUP(H1928,Клиенты!$A$2:$E$1995,5,FALSE())</f>
        <v>г. Воркута</v>
      </c>
      <c r="J1928" s="1" t="n">
        <f aca="false">VLOOKUP(B1928,Заказы!$A$2:$E$2995,4,FALSE())</f>
        <v>0</v>
      </c>
      <c r="K1928" s="1" t="str">
        <f aca="false">VLOOKUP(B1928,Заказы!$A$2:$E$2995,5,FALSE())</f>
        <v>Не выполнено</v>
      </c>
      <c r="L1928" s="1" t="n">
        <f aca="false">D1928*F1928+J1928</f>
        <v>1770</v>
      </c>
      <c r="M1928" s="1" t="n">
        <f aca="false">IF(AND(E1928="Пицца Труслейка",I1928="г. Москва",K1928="Выполнено",G1928&gt;=DATE(2020,7,1),G1928&lt;DATE(2020,8,1)),L1928,0)</f>
        <v>0</v>
      </c>
    </row>
    <row r="1929" customFormat="false" ht="15" hidden="false" customHeight="true" outlineLevel="0" collapsed="false">
      <c r="A1929" s="1" t="n">
        <v>100828</v>
      </c>
      <c r="B1929" s="1" t="n">
        <v>51619</v>
      </c>
      <c r="C1929" s="1" t="n">
        <v>23</v>
      </c>
      <c r="D1929" s="1" t="n">
        <v>3</v>
      </c>
      <c r="E1929" s="1" t="str">
        <f aca="false">VLOOKUP(C1929,Меню!$A$2:$C$24,2,FALSE())</f>
        <v>Пицца с тунцом</v>
      </c>
      <c r="F1929" s="1" t="n">
        <f aca="false">VLOOKUP(C1929,Меню!$A$2:$C$24,3,FALSE())</f>
        <v>520</v>
      </c>
      <c r="G1929" s="5" t="n">
        <f aca="false">VLOOKUP(B1929,Заказы!$A$2:$E$2995,2,FALSE())</f>
        <v>43992</v>
      </c>
      <c r="H1929" s="1" t="n">
        <f aca="false">VLOOKUP(B1929,Заказы!$A$2:$E$2995,3,FALSE())</f>
        <v>1861</v>
      </c>
      <c r="I1929" s="1" t="str">
        <f aca="false">VLOOKUP(H1929,Клиенты!$A$2:$E$1995,5,FALSE())</f>
        <v>г. Кодинск</v>
      </c>
      <c r="J1929" s="1" t="n">
        <f aca="false">VLOOKUP(B1929,Заказы!$A$2:$E$2995,4,FALSE())</f>
        <v>0</v>
      </c>
      <c r="K1929" s="1" t="str">
        <f aca="false">VLOOKUP(B1929,Заказы!$A$2:$E$2995,5,FALSE())</f>
        <v>Не выполнено</v>
      </c>
      <c r="L1929" s="1" t="n">
        <f aca="false">D1929*F1929+J1929</f>
        <v>1560</v>
      </c>
      <c r="M1929" s="1" t="n">
        <f aca="false">IF(AND(E1929="Пицца Труслейка",I1929="г. Москва",K1929="Выполнено",G1929&gt;=DATE(2020,7,1),G1929&lt;DATE(2020,8,1)),L1929,0)</f>
        <v>0</v>
      </c>
    </row>
    <row r="1930" customFormat="false" ht="15" hidden="false" customHeight="true" outlineLevel="0" collapsed="false">
      <c r="A1930" s="1" t="n">
        <v>100405</v>
      </c>
      <c r="B1930" s="1" t="n">
        <v>51960</v>
      </c>
      <c r="C1930" s="1" t="n">
        <v>9</v>
      </c>
      <c r="D1930" s="1" t="n">
        <v>3</v>
      </c>
      <c r="E1930" s="1" t="str">
        <f aca="false">VLOOKUP(C1930,Меню!$A$2:$C$24,2,FALSE())</f>
        <v>Пицца Острая с беконом</v>
      </c>
      <c r="F1930" s="1" t="n">
        <f aca="false">VLOOKUP(C1930,Меню!$A$2:$C$24,3,FALSE())</f>
        <v>540</v>
      </c>
      <c r="G1930" s="5" t="n">
        <f aca="false">VLOOKUP(B1930,Заказы!$A$2:$E$2995,2,FALSE())</f>
        <v>44026</v>
      </c>
      <c r="H1930" s="1" t="n">
        <f aca="false">VLOOKUP(B1930,Заказы!$A$2:$E$2995,3,FALSE())</f>
        <v>1255</v>
      </c>
      <c r="I1930" s="1" t="str">
        <f aca="false">VLOOKUP(H1930,Клиенты!$A$2:$E$1995,5,FALSE())</f>
        <v>г. Ржев</v>
      </c>
      <c r="J1930" s="1" t="n">
        <f aca="false">VLOOKUP(B1930,Заказы!$A$2:$E$2995,4,FALSE())</f>
        <v>646</v>
      </c>
      <c r="K1930" s="1" t="str">
        <f aca="false">VLOOKUP(B1930,Заказы!$A$2:$E$2995,5,FALSE())</f>
        <v>Выполнено</v>
      </c>
      <c r="L1930" s="1" t="n">
        <f aca="false">D1930*F1930+J1930</f>
        <v>2266</v>
      </c>
      <c r="M1930" s="1" t="n">
        <f aca="false">IF(AND(E1930="Пицца Труслейка",I1930="г. Москва",K1930="Выполнено",G1930&gt;=DATE(2020,7,1),G1930&lt;DATE(2020,8,1)),L1930,0)</f>
        <v>0</v>
      </c>
    </row>
    <row r="1931" customFormat="false" ht="15" hidden="false" customHeight="true" outlineLevel="0" collapsed="false">
      <c r="A1931" s="1" t="n">
        <v>101560</v>
      </c>
      <c r="B1931" s="1" t="n">
        <v>51100</v>
      </c>
      <c r="C1931" s="1" t="n">
        <v>4</v>
      </c>
      <c r="D1931" s="1" t="n">
        <v>10</v>
      </c>
      <c r="E1931" s="1" t="str">
        <f aca="false">VLOOKUP(C1931,Меню!$A$2:$C$24,2,FALSE())</f>
        <v>Пицца Труслейка</v>
      </c>
      <c r="F1931" s="1" t="n">
        <f aca="false">VLOOKUP(C1931,Меню!$A$2:$C$24,3,FALSE())</f>
        <v>610</v>
      </c>
      <c r="G1931" s="5" t="n">
        <f aca="false">VLOOKUP(B1931,Заказы!$A$2:$E$2995,2,FALSE())</f>
        <v>43998</v>
      </c>
      <c r="H1931" s="1" t="n">
        <f aca="false">VLOOKUP(B1931,Заказы!$A$2:$E$2995,3,FALSE())</f>
        <v>34</v>
      </c>
      <c r="I1931" s="1" t="str">
        <f aca="false">VLOOKUP(H1931,Клиенты!$A$2:$E$1995,5,FALSE())</f>
        <v>г. Сургут</v>
      </c>
      <c r="J1931" s="1" t="n">
        <f aca="false">VLOOKUP(B1931,Заказы!$A$2:$E$2995,4,FALSE())</f>
        <v>0</v>
      </c>
      <c r="K1931" s="1" t="str">
        <f aca="false">VLOOKUP(B1931,Заказы!$A$2:$E$2995,5,FALSE())</f>
        <v>Не выполнено</v>
      </c>
      <c r="L1931" s="1" t="n">
        <f aca="false">D1931*F1931+J1931</f>
        <v>6100</v>
      </c>
      <c r="M1931" s="1" t="n">
        <f aca="false">IF(AND(E1931="Пицца Труслейка",I1931="г. Москва",K1931="Выполнено",G1931&gt;=DATE(2020,7,1),G1931&lt;DATE(2020,8,1)),L1931,0)</f>
        <v>0</v>
      </c>
    </row>
    <row r="1932" customFormat="false" ht="15" hidden="false" customHeight="true" outlineLevel="0" collapsed="false">
      <c r="A1932" s="1" t="n">
        <v>101254</v>
      </c>
      <c r="B1932" s="1" t="n">
        <v>50458</v>
      </c>
      <c r="C1932" s="1" t="n">
        <v>16</v>
      </c>
      <c r="D1932" s="1" t="n">
        <v>3</v>
      </c>
      <c r="E1932" s="1" t="str">
        <f aca="false">VLOOKUP(C1932,Меню!$A$2:$C$24,2,FALSE())</f>
        <v>Пицца Флорида</v>
      </c>
      <c r="F1932" s="1" t="n">
        <f aca="false">VLOOKUP(C1932,Меню!$A$2:$C$24,3,FALSE())</f>
        <v>535</v>
      </c>
      <c r="G1932" s="5" t="n">
        <f aca="false">VLOOKUP(B1932,Заказы!$A$2:$E$2995,2,FALSE())</f>
        <v>44068</v>
      </c>
      <c r="H1932" s="1" t="n">
        <f aca="false">VLOOKUP(B1932,Заказы!$A$2:$E$2995,3,FALSE())</f>
        <v>982</v>
      </c>
      <c r="I1932" s="1" t="str">
        <f aca="false">VLOOKUP(H1932,Клиенты!$A$2:$E$1995,5,FALSE())</f>
        <v>г. Казань</v>
      </c>
      <c r="J1932" s="1" t="n">
        <f aca="false">VLOOKUP(B1932,Заказы!$A$2:$E$2995,4,FALSE())</f>
        <v>311</v>
      </c>
      <c r="K1932" s="1" t="str">
        <f aca="false">VLOOKUP(B1932,Заказы!$A$2:$E$2995,5,FALSE())</f>
        <v>Выполнено</v>
      </c>
      <c r="L1932" s="1" t="n">
        <f aca="false">D1932*F1932+J1932</f>
        <v>1916</v>
      </c>
      <c r="M1932" s="1" t="n">
        <f aca="false">IF(AND(E1932="Пицца Труслейка",I1932="г. Москва",K1932="Выполнено",G1932&gt;=DATE(2020,7,1),G1932&lt;DATE(2020,8,1)),L1932,0)</f>
        <v>0</v>
      </c>
    </row>
    <row r="1933" customFormat="false" ht="15" hidden="false" customHeight="true" outlineLevel="0" collapsed="false">
      <c r="A1933" s="1" t="n">
        <v>101708</v>
      </c>
      <c r="B1933" s="1" t="n">
        <v>50772</v>
      </c>
      <c r="C1933" s="1" t="n">
        <v>7</v>
      </c>
      <c r="D1933" s="1" t="n">
        <v>1</v>
      </c>
      <c r="E1933" s="1" t="str">
        <f aca="false">VLOOKUP(C1933,Меню!$A$2:$C$24,2,FALSE())</f>
        <v>Пицца Карбонара</v>
      </c>
      <c r="F1933" s="1" t="n">
        <f aca="false">VLOOKUP(C1933,Меню!$A$2:$C$24,3,FALSE())</f>
        <v>625</v>
      </c>
      <c r="G1933" s="5" t="n">
        <f aca="false">VLOOKUP(B1933,Заказы!$A$2:$E$2995,2,FALSE())</f>
        <v>43992</v>
      </c>
      <c r="H1933" s="1" t="n">
        <f aca="false">VLOOKUP(B1933,Заказы!$A$2:$E$2995,3,FALSE())</f>
        <v>874</v>
      </c>
      <c r="I1933" s="1" t="str">
        <f aca="false">VLOOKUP(H1933,Клиенты!$A$2:$E$1995,5,FALSE())</f>
        <v>г. Исилькуль</v>
      </c>
      <c r="J1933" s="1" t="n">
        <f aca="false">VLOOKUP(B1933,Заказы!$A$2:$E$2995,4,FALSE())</f>
        <v>0</v>
      </c>
      <c r="K1933" s="1" t="str">
        <f aca="false">VLOOKUP(B1933,Заказы!$A$2:$E$2995,5,FALSE())</f>
        <v>Не выполнено</v>
      </c>
      <c r="L1933" s="1" t="n">
        <f aca="false">D1933*F1933+J1933</f>
        <v>625</v>
      </c>
      <c r="M1933" s="1" t="n">
        <f aca="false">IF(AND(E1933="Пицца Труслейка",I1933="г. Москва",K1933="Выполнено",G1933&gt;=DATE(2020,7,1),G1933&lt;DATE(2020,8,1)),L1933,0)</f>
        <v>0</v>
      </c>
    </row>
    <row r="1934" customFormat="false" ht="15" hidden="false" customHeight="true" outlineLevel="0" collapsed="false">
      <c r="A1934" s="1" t="n">
        <v>100940</v>
      </c>
      <c r="B1934" s="1" t="n">
        <v>51823</v>
      </c>
      <c r="C1934" s="1" t="n">
        <v>6</v>
      </c>
      <c r="D1934" s="1" t="n">
        <v>6</v>
      </c>
      <c r="E1934" s="1" t="str">
        <f aca="false">VLOOKUP(C1934,Меню!$A$2:$C$24,2,FALSE())</f>
        <v>Пицца Капричиоза</v>
      </c>
      <c r="F1934" s="1" t="n">
        <f aca="false">VLOOKUP(C1934,Меню!$A$2:$C$24,3,FALSE())</f>
        <v>570</v>
      </c>
      <c r="G1934" s="5" t="n">
        <f aca="false">VLOOKUP(B1934,Заказы!$A$2:$E$2995,2,FALSE())</f>
        <v>44021</v>
      </c>
      <c r="H1934" s="1" t="n">
        <f aca="false">VLOOKUP(B1934,Заказы!$A$2:$E$2995,3,FALSE())</f>
        <v>960</v>
      </c>
      <c r="I1934" s="1" t="str">
        <f aca="false">VLOOKUP(H1934,Клиенты!$A$2:$E$1995,5,FALSE())</f>
        <v>г. Москва</v>
      </c>
      <c r="J1934" s="1" t="n">
        <f aca="false">VLOOKUP(B1934,Заказы!$A$2:$E$2995,4,FALSE())</f>
        <v>0</v>
      </c>
      <c r="K1934" s="1" t="str">
        <f aca="false">VLOOKUP(B1934,Заказы!$A$2:$E$2995,5,FALSE())</f>
        <v>Не выполнено</v>
      </c>
      <c r="L1934" s="1" t="n">
        <f aca="false">D1934*F1934+J1934</f>
        <v>3420</v>
      </c>
      <c r="M1934" s="1" t="n">
        <f aca="false">IF(AND(E1934="Пицца Труслейка",I1934="г. Москва",K1934="Выполнено",G1934&gt;=DATE(2020,7,1),G1934&lt;DATE(2020,8,1)),L1934,0)</f>
        <v>0</v>
      </c>
    </row>
    <row r="1935" customFormat="false" ht="15" hidden="false" customHeight="true" outlineLevel="0" collapsed="false">
      <c r="A1935" s="1" t="n">
        <v>101410</v>
      </c>
      <c r="B1935" s="1" t="n">
        <v>51630</v>
      </c>
      <c r="C1935" s="1" t="n">
        <v>6</v>
      </c>
      <c r="D1935" s="1" t="n">
        <v>1</v>
      </c>
      <c r="E1935" s="1" t="str">
        <f aca="false">VLOOKUP(C1935,Меню!$A$2:$C$24,2,FALSE())</f>
        <v>Пицца Капричиоза</v>
      </c>
      <c r="F1935" s="1" t="n">
        <f aca="false">VLOOKUP(C1935,Меню!$A$2:$C$24,3,FALSE())</f>
        <v>570</v>
      </c>
      <c r="G1935" s="5" t="n">
        <f aca="false">VLOOKUP(B1935,Заказы!$A$2:$E$2995,2,FALSE())</f>
        <v>44070</v>
      </c>
      <c r="H1935" s="1" t="n">
        <f aca="false">VLOOKUP(B1935,Заказы!$A$2:$E$2995,3,FALSE())</f>
        <v>1632</v>
      </c>
      <c r="I1935" s="1" t="str">
        <f aca="false">VLOOKUP(H1935,Клиенты!$A$2:$E$1995,5,FALSE())</f>
        <v>г. Светлоград</v>
      </c>
      <c r="J1935" s="1" t="n">
        <f aca="false">VLOOKUP(B1935,Заказы!$A$2:$E$2995,4,FALSE())</f>
        <v>0</v>
      </c>
      <c r="K1935" s="1" t="str">
        <f aca="false">VLOOKUP(B1935,Заказы!$A$2:$E$2995,5,FALSE())</f>
        <v>Не выполнено</v>
      </c>
      <c r="L1935" s="1" t="n">
        <f aca="false">D1935*F1935+J1935</f>
        <v>570</v>
      </c>
      <c r="M1935" s="1" t="n">
        <f aca="false">IF(AND(E1935="Пицца Труслейка",I1935="г. Москва",K1935="Выполнено",G1935&gt;=DATE(2020,7,1),G1935&lt;DATE(2020,8,1)),L1935,0)</f>
        <v>0</v>
      </c>
    </row>
    <row r="1936" customFormat="false" ht="15" hidden="false" customHeight="true" outlineLevel="0" collapsed="false">
      <c r="A1936" s="1" t="n">
        <v>101228</v>
      </c>
      <c r="B1936" s="1" t="n">
        <v>50288</v>
      </c>
      <c r="C1936" s="1" t="n">
        <v>5</v>
      </c>
      <c r="D1936" s="1" t="n">
        <v>9</v>
      </c>
      <c r="E1936" s="1" t="str">
        <f aca="false">VLOOKUP(C1936,Меню!$A$2:$C$24,2,FALSE())</f>
        <v>Пицца Жюльен</v>
      </c>
      <c r="F1936" s="1" t="n">
        <f aca="false">VLOOKUP(C1936,Меню!$A$2:$C$24,3,FALSE())</f>
        <v>580</v>
      </c>
      <c r="G1936" s="5" t="n">
        <f aca="false">VLOOKUP(B1936,Заказы!$A$2:$E$2995,2,FALSE())</f>
        <v>44026</v>
      </c>
      <c r="H1936" s="1" t="n">
        <f aca="false">VLOOKUP(B1936,Заказы!$A$2:$E$2995,3,FALSE())</f>
        <v>1734</v>
      </c>
      <c r="I1936" s="1" t="str">
        <f aca="false">VLOOKUP(H1936,Клиенты!$A$2:$E$1995,5,FALSE())</f>
        <v>г. Зеленодольск</v>
      </c>
      <c r="J1936" s="1" t="n">
        <f aca="false">VLOOKUP(B1936,Заказы!$A$2:$E$2995,4,FALSE())</f>
        <v>0</v>
      </c>
      <c r="K1936" s="1" t="str">
        <f aca="false">VLOOKUP(B1936,Заказы!$A$2:$E$2995,5,FALSE())</f>
        <v>Не выполнено</v>
      </c>
      <c r="L1936" s="1" t="n">
        <f aca="false">D1936*F1936+J1936</f>
        <v>5220</v>
      </c>
      <c r="M1936" s="1" t="n">
        <f aca="false">IF(AND(E1936="Пицца Труслейка",I1936="г. Москва",K1936="Выполнено",G1936&gt;=DATE(2020,7,1),G1936&lt;DATE(2020,8,1)),L1936,0)</f>
        <v>0</v>
      </c>
    </row>
    <row r="1937" customFormat="false" ht="15" hidden="false" customHeight="true" outlineLevel="0" collapsed="false">
      <c r="A1937" s="1" t="n">
        <v>100295</v>
      </c>
      <c r="B1937" s="1" t="n">
        <v>50466</v>
      </c>
      <c r="C1937" s="1" t="n">
        <v>23</v>
      </c>
      <c r="D1937" s="1" t="n">
        <v>7</v>
      </c>
      <c r="E1937" s="1" t="str">
        <f aca="false">VLOOKUP(C1937,Меню!$A$2:$C$24,2,FALSE())</f>
        <v>Пицца с тунцом</v>
      </c>
      <c r="F1937" s="1" t="n">
        <f aca="false">VLOOKUP(C1937,Меню!$A$2:$C$24,3,FALSE())</f>
        <v>520</v>
      </c>
      <c r="G1937" s="5" t="n">
        <f aca="false">VLOOKUP(B1937,Заказы!$A$2:$E$2995,2,FALSE())</f>
        <v>44028</v>
      </c>
      <c r="H1937" s="1" t="n">
        <f aca="false">VLOOKUP(B1937,Заказы!$A$2:$E$2995,3,FALSE())</f>
        <v>1148</v>
      </c>
      <c r="I1937" s="1" t="str">
        <f aca="false">VLOOKUP(H1937,Клиенты!$A$2:$E$1995,5,FALSE())</f>
        <v>г. Грязи</v>
      </c>
      <c r="J1937" s="1" t="n">
        <f aca="false">VLOOKUP(B1937,Заказы!$A$2:$E$2995,4,FALSE())</f>
        <v>0</v>
      </c>
      <c r="K1937" s="1" t="str">
        <f aca="false">VLOOKUP(B1937,Заказы!$A$2:$E$2995,5,FALSE())</f>
        <v>Не выполнено</v>
      </c>
      <c r="L1937" s="1" t="n">
        <f aca="false">D1937*F1937+J1937</f>
        <v>3640</v>
      </c>
      <c r="M1937" s="1" t="n">
        <f aca="false">IF(AND(E1937="Пицца Труслейка",I1937="г. Москва",K1937="Выполнено",G1937&gt;=DATE(2020,7,1),G1937&lt;DATE(2020,8,1)),L1937,0)</f>
        <v>0</v>
      </c>
    </row>
    <row r="1938" customFormat="false" ht="15" hidden="false" customHeight="true" outlineLevel="0" collapsed="false">
      <c r="A1938" s="1" t="n">
        <v>100257</v>
      </c>
      <c r="B1938" s="1" t="n">
        <v>50301</v>
      </c>
      <c r="C1938" s="1" t="n">
        <v>8</v>
      </c>
      <c r="D1938" s="1" t="n">
        <v>1</v>
      </c>
      <c r="E1938" s="1" t="str">
        <f aca="false">VLOOKUP(C1938,Меню!$A$2:$C$24,2,FALSE())</f>
        <v>Пицца Мясная</v>
      </c>
      <c r="F1938" s="1" t="n">
        <f aca="false">VLOOKUP(C1938,Меню!$A$2:$C$24,3,FALSE())</f>
        <v>615</v>
      </c>
      <c r="G1938" s="5" t="n">
        <f aca="false">VLOOKUP(B1938,Заказы!$A$2:$E$2995,2,FALSE())</f>
        <v>43982</v>
      </c>
      <c r="H1938" s="1" t="n">
        <f aca="false">VLOOKUP(B1938,Заказы!$A$2:$E$2995,3,FALSE())</f>
        <v>1973</v>
      </c>
      <c r="I1938" s="1" t="str">
        <f aca="false">VLOOKUP(H1938,Клиенты!$A$2:$E$1995,5,FALSE())</f>
        <v>г. Коммунар</v>
      </c>
      <c r="J1938" s="1" t="n">
        <f aca="false">VLOOKUP(B1938,Заказы!$A$2:$E$2995,4,FALSE())</f>
        <v>752</v>
      </c>
      <c r="K1938" s="1" t="str">
        <f aca="false">VLOOKUP(B1938,Заказы!$A$2:$E$2995,5,FALSE())</f>
        <v>Выполнено</v>
      </c>
      <c r="L1938" s="1" t="n">
        <f aca="false">D1938*F1938+J1938</f>
        <v>1367</v>
      </c>
      <c r="M1938" s="1" t="n">
        <f aca="false">IF(AND(E1938="Пицца Труслейка",I1938="г. Москва",K1938="Выполнено",G1938&gt;=DATE(2020,7,1),G1938&lt;DATE(2020,8,1)),L1938,0)</f>
        <v>0</v>
      </c>
    </row>
    <row r="1939" customFormat="false" ht="15" hidden="false" customHeight="true" outlineLevel="0" collapsed="false">
      <c r="A1939" s="1" t="n">
        <v>100097</v>
      </c>
      <c r="B1939" s="1" t="n">
        <v>51444</v>
      </c>
      <c r="C1939" s="1" t="n">
        <v>20</v>
      </c>
      <c r="D1939" s="1" t="n">
        <v>6</v>
      </c>
      <c r="E1939" s="1" t="str">
        <f aca="false">VLOOKUP(C1939,Меню!$A$2:$C$24,2,FALSE())</f>
        <v>Пицца пиканте</v>
      </c>
      <c r="F1939" s="1" t="n">
        <f aca="false">VLOOKUP(C1939,Меню!$A$2:$C$24,3,FALSE())</f>
        <v>585</v>
      </c>
      <c r="G1939" s="5" t="n">
        <f aca="false">VLOOKUP(B1939,Заказы!$A$2:$E$2995,2,FALSE())</f>
        <v>44033</v>
      </c>
      <c r="H1939" s="1" t="n">
        <f aca="false">VLOOKUP(B1939,Заказы!$A$2:$E$2995,3,FALSE())</f>
        <v>267</v>
      </c>
      <c r="I1939" s="1" t="str">
        <f aca="false">VLOOKUP(H1939,Клиенты!$A$2:$E$1995,5,FALSE())</f>
        <v>г. Ардон</v>
      </c>
      <c r="J1939" s="1" t="n">
        <f aca="false">VLOOKUP(B1939,Заказы!$A$2:$E$2995,4,FALSE())</f>
        <v>436</v>
      </c>
      <c r="K1939" s="1" t="str">
        <f aca="false">VLOOKUP(B1939,Заказы!$A$2:$E$2995,5,FALSE())</f>
        <v>Выполнено</v>
      </c>
      <c r="L1939" s="1" t="n">
        <f aca="false">D1939*F1939+J1939</f>
        <v>3946</v>
      </c>
      <c r="M1939" s="1" t="n">
        <f aca="false">IF(AND(E1939="Пицца Труслейка",I1939="г. Москва",K1939="Выполнено",G1939&gt;=DATE(2020,7,1),G1939&lt;DATE(2020,8,1)),L1939,0)</f>
        <v>0</v>
      </c>
    </row>
    <row r="1940" customFormat="false" ht="15" hidden="false" customHeight="true" outlineLevel="0" collapsed="false">
      <c r="A1940" s="1" t="n">
        <v>101404</v>
      </c>
      <c r="B1940" s="1" t="n">
        <v>50714</v>
      </c>
      <c r="C1940" s="1" t="n">
        <v>14</v>
      </c>
      <c r="D1940" s="1" t="n">
        <v>7</v>
      </c>
      <c r="E1940" s="1" t="str">
        <f aca="false">VLOOKUP(C1940,Меню!$A$2:$C$24,2,FALSE())</f>
        <v>Пицца Сырный цыпленок</v>
      </c>
      <c r="F1940" s="1" t="n">
        <f aca="false">VLOOKUP(C1940,Меню!$A$2:$C$24,3,FALSE())</f>
        <v>555</v>
      </c>
      <c r="G1940" s="5" t="n">
        <f aca="false">VLOOKUP(B1940,Заказы!$A$2:$E$2995,2,FALSE())</f>
        <v>44032</v>
      </c>
      <c r="H1940" s="1" t="n">
        <f aca="false">VLOOKUP(B1940,Заказы!$A$2:$E$2995,3,FALSE())</f>
        <v>1549</v>
      </c>
      <c r="I1940" s="1" t="str">
        <f aca="false">VLOOKUP(H1940,Клиенты!$A$2:$E$1995,5,FALSE())</f>
        <v>г. Прохладный</v>
      </c>
      <c r="J1940" s="1" t="n">
        <f aca="false">VLOOKUP(B1940,Заказы!$A$2:$E$2995,4,FALSE())</f>
        <v>0</v>
      </c>
      <c r="K1940" s="1" t="str">
        <f aca="false">VLOOKUP(B1940,Заказы!$A$2:$E$2995,5,FALSE())</f>
        <v>Не выполнено</v>
      </c>
      <c r="L1940" s="1" t="n">
        <f aca="false">D1940*F1940+J1940</f>
        <v>3885</v>
      </c>
      <c r="M1940" s="1" t="n">
        <f aca="false">IF(AND(E1940="Пицца Труслейка",I1940="г. Москва",K1940="Выполнено",G1940&gt;=DATE(2020,7,1),G1940&lt;DATE(2020,8,1)),L1940,0)</f>
        <v>0</v>
      </c>
    </row>
    <row r="1941" customFormat="false" ht="15" hidden="false" customHeight="true" outlineLevel="0" collapsed="false">
      <c r="A1941" s="1" t="n">
        <v>100466</v>
      </c>
      <c r="B1941" s="1" t="n">
        <v>50368</v>
      </c>
      <c r="C1941" s="1" t="n">
        <v>4</v>
      </c>
      <c r="D1941" s="1" t="n">
        <v>5</v>
      </c>
      <c r="E1941" s="1" t="str">
        <f aca="false">VLOOKUP(C1941,Меню!$A$2:$C$24,2,FALSE())</f>
        <v>Пицца Труслейка</v>
      </c>
      <c r="F1941" s="1" t="n">
        <f aca="false">VLOOKUP(C1941,Меню!$A$2:$C$24,3,FALSE())</f>
        <v>610</v>
      </c>
      <c r="G1941" s="5" t="n">
        <f aca="false">VLOOKUP(B1941,Заказы!$A$2:$E$2995,2,FALSE())</f>
        <v>43982</v>
      </c>
      <c r="H1941" s="1" t="n">
        <f aca="false">VLOOKUP(B1941,Заказы!$A$2:$E$2995,3,FALSE())</f>
        <v>73</v>
      </c>
      <c r="I1941" s="1" t="str">
        <f aca="false">VLOOKUP(H1941,Клиенты!$A$2:$E$1995,5,FALSE())</f>
        <v>г. Екатеринбург</v>
      </c>
      <c r="J1941" s="1" t="n">
        <f aca="false">VLOOKUP(B1941,Заказы!$A$2:$E$2995,4,FALSE())</f>
        <v>0</v>
      </c>
      <c r="K1941" s="1" t="str">
        <f aca="false">VLOOKUP(B1941,Заказы!$A$2:$E$2995,5,FALSE())</f>
        <v>Не выполнено</v>
      </c>
      <c r="L1941" s="1" t="n">
        <f aca="false">D1941*F1941+J1941</f>
        <v>3050</v>
      </c>
      <c r="M1941" s="1" t="n">
        <f aca="false">IF(AND(E1941="Пицца Труслейка",I1941="г. Москва",K1941="Выполнено",G1941&gt;=DATE(2020,7,1),G1941&lt;DATE(2020,8,1)),L1941,0)</f>
        <v>0</v>
      </c>
    </row>
    <row r="1942" customFormat="false" ht="15" hidden="false" customHeight="true" outlineLevel="0" collapsed="false">
      <c r="A1942" s="1" t="n">
        <v>101725</v>
      </c>
      <c r="B1942" s="1" t="n">
        <v>50006</v>
      </c>
      <c r="C1942" s="1" t="n">
        <v>5</v>
      </c>
      <c r="D1942" s="1" t="n">
        <v>6</v>
      </c>
      <c r="E1942" s="1" t="str">
        <f aca="false">VLOOKUP(C1942,Меню!$A$2:$C$24,2,FALSE())</f>
        <v>Пицца Жюльен</v>
      </c>
      <c r="F1942" s="1" t="n">
        <f aca="false">VLOOKUP(C1942,Меню!$A$2:$C$24,3,FALSE())</f>
        <v>580</v>
      </c>
      <c r="G1942" s="5" t="n">
        <f aca="false">VLOOKUP(B1942,Заказы!$A$2:$E$2995,2,FALSE())</f>
        <v>44061</v>
      </c>
      <c r="H1942" s="1" t="n">
        <f aca="false">VLOOKUP(B1942,Заказы!$A$2:$E$2995,3,FALSE())</f>
        <v>1498</v>
      </c>
      <c r="I1942" s="1" t="str">
        <f aca="false">VLOOKUP(H1942,Клиенты!$A$2:$E$1995,5,FALSE())</f>
        <v>г. Сысерть</v>
      </c>
      <c r="J1942" s="1" t="n">
        <f aca="false">VLOOKUP(B1942,Заказы!$A$2:$E$2995,4,FALSE())</f>
        <v>0</v>
      </c>
      <c r="K1942" s="1" t="str">
        <f aca="false">VLOOKUP(B1942,Заказы!$A$2:$E$2995,5,FALSE())</f>
        <v>Не выполнено</v>
      </c>
      <c r="L1942" s="1" t="n">
        <f aca="false">D1942*F1942+J1942</f>
        <v>3480</v>
      </c>
      <c r="M1942" s="1" t="n">
        <f aca="false">IF(AND(E1942="Пицца Труслейка",I1942="г. Москва",K1942="Выполнено",G1942&gt;=DATE(2020,7,1),G1942&lt;DATE(2020,8,1)),L1942,0)</f>
        <v>0</v>
      </c>
    </row>
    <row r="1943" customFormat="false" ht="15" hidden="false" customHeight="true" outlineLevel="0" collapsed="false">
      <c r="A1943" s="1" t="n">
        <v>101386</v>
      </c>
      <c r="B1943" s="1" t="n">
        <v>51788</v>
      </c>
      <c r="C1943" s="1" t="n">
        <v>13</v>
      </c>
      <c r="D1943" s="1" t="n">
        <v>3</v>
      </c>
      <c r="E1943" s="1" t="str">
        <f aca="false">VLOOKUP(C1943,Меню!$A$2:$C$24,2,FALSE())</f>
        <v>Пицца Сырная</v>
      </c>
      <c r="F1943" s="1" t="n">
        <f aca="false">VLOOKUP(C1943,Меню!$A$2:$C$24,3,FALSE())</f>
        <v>635</v>
      </c>
      <c r="G1943" s="5" t="n">
        <f aca="false">VLOOKUP(B1943,Заказы!$A$2:$E$2995,2,FALSE())</f>
        <v>43986</v>
      </c>
      <c r="H1943" s="1" t="n">
        <f aca="false">VLOOKUP(B1943,Заказы!$A$2:$E$2995,3,FALSE())</f>
        <v>50</v>
      </c>
      <c r="I1943" s="1" t="str">
        <f aca="false">VLOOKUP(H1943,Клиенты!$A$2:$E$1995,5,FALSE())</f>
        <v>г. Москва</v>
      </c>
      <c r="J1943" s="1" t="n">
        <f aca="false">VLOOKUP(B1943,Заказы!$A$2:$E$2995,4,FALSE())</f>
        <v>0</v>
      </c>
      <c r="K1943" s="1" t="str">
        <f aca="false">VLOOKUP(B1943,Заказы!$A$2:$E$2995,5,FALSE())</f>
        <v>Не выполнено</v>
      </c>
      <c r="L1943" s="1" t="n">
        <f aca="false">D1943*F1943+J1943</f>
        <v>1905</v>
      </c>
      <c r="M1943" s="1" t="n">
        <f aca="false">IF(AND(E1943="Пицца Труслейка",I1943="г. Москва",K1943="Выполнено",G1943&gt;=DATE(2020,7,1),G1943&lt;DATE(2020,8,1)),L1943,0)</f>
        <v>0</v>
      </c>
    </row>
    <row r="1944" customFormat="false" ht="15" hidden="false" customHeight="true" outlineLevel="0" collapsed="false">
      <c r="A1944" s="1" t="n">
        <v>100651</v>
      </c>
      <c r="B1944" s="1" t="n">
        <v>50758</v>
      </c>
      <c r="C1944" s="1" t="n">
        <v>15</v>
      </c>
      <c r="D1944" s="1" t="n">
        <v>7</v>
      </c>
      <c r="E1944" s="1" t="str">
        <f aca="false">VLOOKUP(C1944,Меню!$A$2:$C$24,2,FALSE())</f>
        <v>Пицца Тропиканка</v>
      </c>
      <c r="F1944" s="1" t="n">
        <f aca="false">VLOOKUP(C1944,Меню!$A$2:$C$24,3,FALSE())</f>
        <v>605</v>
      </c>
      <c r="G1944" s="5" t="n">
        <f aca="false">VLOOKUP(B1944,Заказы!$A$2:$E$2995,2,FALSE())</f>
        <v>44049</v>
      </c>
      <c r="H1944" s="1" t="n">
        <f aca="false">VLOOKUP(B1944,Заказы!$A$2:$E$2995,3,FALSE())</f>
        <v>1748</v>
      </c>
      <c r="I1944" s="1" t="str">
        <f aca="false">VLOOKUP(H1944,Клиенты!$A$2:$E$1995,5,FALSE())</f>
        <v>г. Красноуральск</v>
      </c>
      <c r="J1944" s="1" t="n">
        <f aca="false">VLOOKUP(B1944,Заказы!$A$2:$E$2995,4,FALSE())</f>
        <v>0</v>
      </c>
      <c r="K1944" s="1" t="str">
        <f aca="false">VLOOKUP(B1944,Заказы!$A$2:$E$2995,5,FALSE())</f>
        <v>Не выполнено</v>
      </c>
      <c r="L1944" s="1" t="n">
        <f aca="false">D1944*F1944+J1944</f>
        <v>4235</v>
      </c>
      <c r="M1944" s="1" t="n">
        <f aca="false">IF(AND(E1944="Пицца Труслейка",I1944="г. Москва",K1944="Выполнено",G1944&gt;=DATE(2020,7,1),G1944&lt;DATE(2020,8,1)),L1944,0)</f>
        <v>0</v>
      </c>
    </row>
    <row r="1945" customFormat="false" ht="15" hidden="false" customHeight="true" outlineLevel="0" collapsed="false">
      <c r="A1945" s="1" t="n">
        <v>100180</v>
      </c>
      <c r="B1945" s="1" t="n">
        <v>51598</v>
      </c>
      <c r="C1945" s="1" t="n">
        <v>7</v>
      </c>
      <c r="D1945" s="1" t="n">
        <v>5</v>
      </c>
      <c r="E1945" s="1" t="str">
        <f aca="false">VLOOKUP(C1945,Меню!$A$2:$C$24,2,FALSE())</f>
        <v>Пицца Карбонара</v>
      </c>
      <c r="F1945" s="1" t="n">
        <f aca="false">VLOOKUP(C1945,Меню!$A$2:$C$24,3,FALSE())</f>
        <v>625</v>
      </c>
      <c r="G1945" s="5" t="n">
        <f aca="false">VLOOKUP(B1945,Заказы!$A$2:$E$2995,2,FALSE())</f>
        <v>44002</v>
      </c>
      <c r="H1945" s="1" t="n">
        <f aca="false">VLOOKUP(B1945,Заказы!$A$2:$E$2995,3,FALSE())</f>
        <v>429</v>
      </c>
      <c r="I1945" s="1" t="str">
        <f aca="false">VLOOKUP(H1945,Клиенты!$A$2:$E$1995,5,FALSE())</f>
        <v>г. Верхоянск</v>
      </c>
      <c r="J1945" s="1" t="n">
        <f aca="false">VLOOKUP(B1945,Заказы!$A$2:$E$2995,4,FALSE())</f>
        <v>514</v>
      </c>
      <c r="K1945" s="1" t="str">
        <f aca="false">VLOOKUP(B1945,Заказы!$A$2:$E$2995,5,FALSE())</f>
        <v>Выполнено</v>
      </c>
      <c r="L1945" s="1" t="n">
        <f aca="false">D1945*F1945+J1945</f>
        <v>3639</v>
      </c>
      <c r="M1945" s="1" t="n">
        <f aca="false">IF(AND(E1945="Пицца Труслейка",I1945="г. Москва",K1945="Выполнено",G1945&gt;=DATE(2020,7,1),G1945&lt;DATE(2020,8,1)),L1945,0)</f>
        <v>0</v>
      </c>
    </row>
    <row r="1946" customFormat="false" ht="15" hidden="false" customHeight="true" outlineLevel="0" collapsed="false">
      <c r="A1946" s="1" t="n">
        <v>100904</v>
      </c>
      <c r="B1946" s="1" t="n">
        <v>50877</v>
      </c>
      <c r="C1946" s="1" t="n">
        <v>22</v>
      </c>
      <c r="D1946" s="1" t="n">
        <v>5</v>
      </c>
      <c r="E1946" s="1" t="str">
        <f aca="false">VLOOKUP(C1946,Меню!$A$2:$C$24,2,FALSE())</f>
        <v>Пицца с поркеттой и фриарелли</v>
      </c>
      <c r="F1946" s="1" t="n">
        <f aca="false">VLOOKUP(C1946,Меню!$A$2:$C$24,3,FALSE())</f>
        <v>550</v>
      </c>
      <c r="G1946" s="5" t="n">
        <f aca="false">VLOOKUP(B1946,Заказы!$A$2:$E$2995,2,FALSE())</f>
        <v>44049</v>
      </c>
      <c r="H1946" s="1" t="n">
        <f aca="false">VLOOKUP(B1946,Заказы!$A$2:$E$2995,3,FALSE())</f>
        <v>1920</v>
      </c>
      <c r="I1946" s="1" t="str">
        <f aca="false">VLOOKUP(H1946,Клиенты!$A$2:$E$1995,5,FALSE())</f>
        <v>г. Москва</v>
      </c>
      <c r="J1946" s="1" t="n">
        <f aca="false">VLOOKUP(B1946,Заказы!$A$2:$E$2995,4,FALSE())</f>
        <v>0</v>
      </c>
      <c r="K1946" s="1" t="str">
        <f aca="false">VLOOKUP(B1946,Заказы!$A$2:$E$2995,5,FALSE())</f>
        <v>Не выполнено</v>
      </c>
      <c r="L1946" s="1" t="n">
        <f aca="false">D1946*F1946+J1946</f>
        <v>2750</v>
      </c>
      <c r="M1946" s="1" t="n">
        <f aca="false">IF(AND(E1946="Пицца Труслейка",I1946="г. Москва",K1946="Выполнено",G1946&gt;=DATE(2020,7,1),G1946&lt;DATE(2020,8,1)),L1946,0)</f>
        <v>0</v>
      </c>
    </row>
    <row r="1947" customFormat="false" ht="15" hidden="false" customHeight="true" outlineLevel="0" collapsed="false">
      <c r="A1947" s="1" t="n">
        <v>100235</v>
      </c>
      <c r="B1947" s="1" t="n">
        <v>51635</v>
      </c>
      <c r="C1947" s="1" t="n">
        <v>13</v>
      </c>
      <c r="D1947" s="1" t="n">
        <v>3</v>
      </c>
      <c r="E1947" s="1" t="str">
        <f aca="false">VLOOKUP(C1947,Меню!$A$2:$C$24,2,FALSE())</f>
        <v>Пицца Сырная</v>
      </c>
      <c r="F1947" s="1" t="n">
        <f aca="false">VLOOKUP(C1947,Меню!$A$2:$C$24,3,FALSE())</f>
        <v>635</v>
      </c>
      <c r="G1947" s="5" t="n">
        <f aca="false">VLOOKUP(B1947,Заказы!$A$2:$E$2995,2,FALSE())</f>
        <v>44038</v>
      </c>
      <c r="H1947" s="1" t="n">
        <f aca="false">VLOOKUP(B1947,Заказы!$A$2:$E$2995,3,FALSE())</f>
        <v>52</v>
      </c>
      <c r="I1947" s="1" t="str">
        <f aca="false">VLOOKUP(H1947,Клиенты!$A$2:$E$1995,5,FALSE())</f>
        <v>г. Первомайск</v>
      </c>
      <c r="J1947" s="1" t="n">
        <f aca="false">VLOOKUP(B1947,Заказы!$A$2:$E$2995,4,FALSE())</f>
        <v>590</v>
      </c>
      <c r="K1947" s="1" t="str">
        <f aca="false">VLOOKUP(B1947,Заказы!$A$2:$E$2995,5,FALSE())</f>
        <v>Выполнено</v>
      </c>
      <c r="L1947" s="1" t="n">
        <f aca="false">D1947*F1947+J1947</f>
        <v>2495</v>
      </c>
      <c r="M1947" s="1" t="n">
        <f aca="false">IF(AND(E1947="Пицца Труслейка",I1947="г. Москва",K1947="Выполнено",G1947&gt;=DATE(2020,7,1),G1947&lt;DATE(2020,8,1)),L1947,0)</f>
        <v>0</v>
      </c>
    </row>
    <row r="1948" customFormat="false" ht="15" hidden="false" customHeight="true" outlineLevel="0" collapsed="false">
      <c r="A1948" s="1" t="n">
        <v>100688</v>
      </c>
      <c r="B1948" s="1" t="n">
        <v>50723</v>
      </c>
      <c r="C1948" s="1" t="n">
        <v>18</v>
      </c>
      <c r="D1948" s="1" t="n">
        <v>5</v>
      </c>
      <c r="E1948" s="1" t="str">
        <f aca="false">VLOOKUP(C1948,Меню!$A$2:$C$24,2,FALSE())</f>
        <v>Пицца Царская</v>
      </c>
      <c r="F1948" s="1" t="n">
        <f aca="false">VLOOKUP(C1948,Меню!$A$2:$C$24,3,FALSE())</f>
        <v>620</v>
      </c>
      <c r="G1948" s="5" t="n">
        <f aca="false">VLOOKUP(B1948,Заказы!$A$2:$E$2995,2,FALSE())</f>
        <v>44061</v>
      </c>
      <c r="H1948" s="1" t="n">
        <f aca="false">VLOOKUP(B1948,Заказы!$A$2:$E$2995,3,FALSE())</f>
        <v>434</v>
      </c>
      <c r="I1948" s="1" t="str">
        <f aca="false">VLOOKUP(H1948,Клиенты!$A$2:$E$1995,5,FALSE())</f>
        <v>г. Куртамыш</v>
      </c>
      <c r="J1948" s="1" t="n">
        <f aca="false">VLOOKUP(B1948,Заказы!$A$2:$E$2995,4,FALSE())</f>
        <v>126</v>
      </c>
      <c r="K1948" s="1" t="str">
        <f aca="false">VLOOKUP(B1948,Заказы!$A$2:$E$2995,5,FALSE())</f>
        <v>Выполнено</v>
      </c>
      <c r="L1948" s="1" t="n">
        <f aca="false">D1948*F1948+J1948</f>
        <v>3226</v>
      </c>
      <c r="M1948" s="1" t="n">
        <f aca="false">IF(AND(E1948="Пицца Труслейка",I1948="г. Москва",K1948="Выполнено",G1948&gt;=DATE(2020,7,1),G1948&lt;DATE(2020,8,1)),L1948,0)</f>
        <v>0</v>
      </c>
    </row>
    <row r="1949" customFormat="false" ht="15" hidden="false" customHeight="true" outlineLevel="0" collapsed="false">
      <c r="A1949" s="1" t="n">
        <v>100695</v>
      </c>
      <c r="B1949" s="1" t="n">
        <v>51970</v>
      </c>
      <c r="C1949" s="1" t="n">
        <v>10</v>
      </c>
      <c r="D1949" s="1" t="n">
        <v>1</v>
      </c>
      <c r="E1949" s="1" t="str">
        <f aca="false">VLOOKUP(C1949,Меню!$A$2:$C$24,2,FALSE())</f>
        <v>Пицца Пепперони фреш</v>
      </c>
      <c r="F1949" s="1" t="n">
        <f aca="false">VLOOKUP(C1949,Меню!$A$2:$C$24,3,FALSE())</f>
        <v>565</v>
      </c>
      <c r="G1949" s="5" t="n">
        <f aca="false">VLOOKUP(B1949,Заказы!$A$2:$E$2995,2,FALSE())</f>
        <v>44067</v>
      </c>
      <c r="H1949" s="1" t="n">
        <f aca="false">VLOOKUP(B1949,Заказы!$A$2:$E$2995,3,FALSE())</f>
        <v>1763</v>
      </c>
      <c r="I1949" s="1" t="str">
        <f aca="false">VLOOKUP(H1949,Клиенты!$A$2:$E$1995,5,FALSE())</f>
        <v>г. Кулебаки</v>
      </c>
      <c r="J1949" s="1" t="n">
        <f aca="false">VLOOKUP(B1949,Заказы!$A$2:$E$2995,4,FALSE())</f>
        <v>0</v>
      </c>
      <c r="K1949" s="1" t="str">
        <f aca="false">VLOOKUP(B1949,Заказы!$A$2:$E$2995,5,FALSE())</f>
        <v>Не выполнено</v>
      </c>
      <c r="L1949" s="1" t="n">
        <f aca="false">D1949*F1949+J1949</f>
        <v>565</v>
      </c>
      <c r="M1949" s="1" t="n">
        <f aca="false">IF(AND(E1949="Пицца Труслейка",I1949="г. Москва",K1949="Выполнено",G1949&gt;=DATE(2020,7,1),G1949&lt;DATE(2020,8,1)),L1949,0)</f>
        <v>0</v>
      </c>
    </row>
    <row r="1950" customFormat="false" ht="15" hidden="false" customHeight="true" outlineLevel="0" collapsed="false">
      <c r="A1950" s="1" t="n">
        <v>101907</v>
      </c>
      <c r="B1950" s="1" t="n">
        <v>51310</v>
      </c>
      <c r="C1950" s="1" t="n">
        <v>8</v>
      </c>
      <c r="D1950" s="1" t="n">
        <v>3</v>
      </c>
      <c r="E1950" s="1" t="str">
        <f aca="false">VLOOKUP(C1950,Меню!$A$2:$C$24,2,FALSE())</f>
        <v>Пицца Мясная</v>
      </c>
      <c r="F1950" s="1" t="n">
        <f aca="false">VLOOKUP(C1950,Меню!$A$2:$C$24,3,FALSE())</f>
        <v>615</v>
      </c>
      <c r="G1950" s="5" t="n">
        <f aca="false">VLOOKUP(B1950,Заказы!$A$2:$E$2995,2,FALSE())</f>
        <v>44067</v>
      </c>
      <c r="H1950" s="1" t="n">
        <f aca="false">VLOOKUP(B1950,Заказы!$A$2:$E$2995,3,FALSE())</f>
        <v>7</v>
      </c>
      <c r="I1950" s="1" t="str">
        <f aca="false">VLOOKUP(H1950,Клиенты!$A$2:$E$1995,5,FALSE())</f>
        <v>г. Сергач</v>
      </c>
      <c r="J1950" s="1" t="n">
        <f aca="false">VLOOKUP(B1950,Заказы!$A$2:$E$2995,4,FALSE())</f>
        <v>0</v>
      </c>
      <c r="K1950" s="1" t="str">
        <f aca="false">VLOOKUP(B1950,Заказы!$A$2:$E$2995,5,FALSE())</f>
        <v>Не выполнено</v>
      </c>
      <c r="L1950" s="1" t="n">
        <f aca="false">D1950*F1950+J1950</f>
        <v>1845</v>
      </c>
      <c r="M1950" s="1" t="n">
        <f aca="false">IF(AND(E1950="Пицца Труслейка",I1950="г. Москва",K1950="Выполнено",G1950&gt;=DATE(2020,7,1),G1950&lt;DATE(2020,8,1)),L1950,0)</f>
        <v>0</v>
      </c>
    </row>
    <row r="1951" customFormat="false" ht="15" hidden="false" customHeight="true" outlineLevel="0" collapsed="false">
      <c r="A1951" s="1" t="n">
        <v>101788</v>
      </c>
      <c r="B1951" s="1" t="n">
        <v>51889</v>
      </c>
      <c r="C1951" s="1" t="n">
        <v>4</v>
      </c>
      <c r="D1951" s="1" t="n">
        <v>8</v>
      </c>
      <c r="E1951" s="1" t="str">
        <f aca="false">VLOOKUP(C1951,Меню!$A$2:$C$24,2,FALSE())</f>
        <v>Пицца Труслейка</v>
      </c>
      <c r="F1951" s="1" t="n">
        <f aca="false">VLOOKUP(C1951,Меню!$A$2:$C$24,3,FALSE())</f>
        <v>610</v>
      </c>
      <c r="G1951" s="5" t="n">
        <f aca="false">VLOOKUP(B1951,Заказы!$A$2:$E$2995,2,FALSE())</f>
        <v>43996</v>
      </c>
      <c r="H1951" s="1" t="n">
        <f aca="false">VLOOKUP(B1951,Заказы!$A$2:$E$2995,3,FALSE())</f>
        <v>1596</v>
      </c>
      <c r="I1951" s="1" t="str">
        <f aca="false">VLOOKUP(H1951,Клиенты!$A$2:$E$1995,5,FALSE())</f>
        <v>г. Кумертау</v>
      </c>
      <c r="J1951" s="1" t="n">
        <f aca="false">VLOOKUP(B1951,Заказы!$A$2:$E$2995,4,FALSE())</f>
        <v>863</v>
      </c>
      <c r="K1951" s="1" t="str">
        <f aca="false">VLOOKUP(B1951,Заказы!$A$2:$E$2995,5,FALSE())</f>
        <v>Выполнено</v>
      </c>
      <c r="L1951" s="1" t="n">
        <f aca="false">D1951*F1951+J1951</f>
        <v>5743</v>
      </c>
      <c r="M1951" s="1" t="n">
        <f aca="false">IF(AND(E1951="Пицца Труслейка",I1951="г. Москва",K1951="Выполнено",G1951&gt;=DATE(2020,7,1),G1951&lt;DATE(2020,8,1)),L1951,0)</f>
        <v>0</v>
      </c>
    </row>
    <row r="1952" customFormat="false" ht="15" hidden="false" customHeight="true" outlineLevel="0" collapsed="false">
      <c r="A1952" s="1" t="n">
        <v>100928</v>
      </c>
      <c r="B1952" s="1" t="n">
        <v>51922</v>
      </c>
      <c r="C1952" s="1" t="n">
        <v>19</v>
      </c>
      <c r="D1952" s="1" t="n">
        <v>8</v>
      </c>
      <c r="E1952" s="1" t="str">
        <f aca="false">VLOOKUP(C1952,Меню!$A$2:$C$24,2,FALSE())</f>
        <v>Пицца Цезарь</v>
      </c>
      <c r="F1952" s="1" t="n">
        <f aca="false">VLOOKUP(C1952,Меню!$A$2:$C$24,3,FALSE())</f>
        <v>630</v>
      </c>
      <c r="G1952" s="5" t="n">
        <f aca="false">VLOOKUP(B1952,Заказы!$A$2:$E$2995,2,FALSE())</f>
        <v>44044</v>
      </c>
      <c r="H1952" s="1" t="n">
        <f aca="false">VLOOKUP(B1952,Заказы!$A$2:$E$2995,3,FALSE())</f>
        <v>577</v>
      </c>
      <c r="I1952" s="1" t="str">
        <f aca="false">VLOOKUP(H1952,Клиенты!$A$2:$E$1995,5,FALSE())</f>
        <v>г. Всеволожск</v>
      </c>
      <c r="J1952" s="1" t="n">
        <f aca="false">VLOOKUP(B1952,Заказы!$A$2:$E$2995,4,FALSE())</f>
        <v>0</v>
      </c>
      <c r="K1952" s="1" t="str">
        <f aca="false">VLOOKUP(B1952,Заказы!$A$2:$E$2995,5,FALSE())</f>
        <v>Не выполнено</v>
      </c>
      <c r="L1952" s="1" t="n">
        <f aca="false">D1952*F1952+J1952</f>
        <v>5040</v>
      </c>
      <c r="M1952" s="1" t="n">
        <f aca="false">IF(AND(E1952="Пицца Труслейка",I1952="г. Москва",K1952="Выполнено",G1952&gt;=DATE(2020,7,1),G1952&lt;DATE(2020,8,1)),L1952,0)</f>
        <v>0</v>
      </c>
    </row>
    <row r="1953" customFormat="false" ht="15" hidden="false" customHeight="true" outlineLevel="0" collapsed="false">
      <c r="A1953" s="1" t="n">
        <v>100868</v>
      </c>
      <c r="B1953" s="1" t="n">
        <v>50256</v>
      </c>
      <c r="C1953" s="1" t="n">
        <v>9</v>
      </c>
      <c r="D1953" s="1" t="n">
        <v>5</v>
      </c>
      <c r="E1953" s="1" t="str">
        <f aca="false">VLOOKUP(C1953,Меню!$A$2:$C$24,2,FALSE())</f>
        <v>Пицца Острая с беконом</v>
      </c>
      <c r="F1953" s="1" t="n">
        <f aca="false">VLOOKUP(C1953,Меню!$A$2:$C$24,3,FALSE())</f>
        <v>540</v>
      </c>
      <c r="G1953" s="5" t="n">
        <f aca="false">VLOOKUP(B1953,Заказы!$A$2:$E$2995,2,FALSE())</f>
        <v>44016</v>
      </c>
      <c r="H1953" s="1" t="n">
        <f aca="false">VLOOKUP(B1953,Заказы!$A$2:$E$2995,3,FALSE())</f>
        <v>286</v>
      </c>
      <c r="I1953" s="1" t="str">
        <f aca="false">VLOOKUP(H1953,Клиенты!$A$2:$E$1995,5,FALSE())</f>
        <v>г. Кириши</v>
      </c>
      <c r="J1953" s="1" t="n">
        <f aca="false">VLOOKUP(B1953,Заказы!$A$2:$E$2995,4,FALSE())</f>
        <v>0</v>
      </c>
      <c r="K1953" s="1" t="str">
        <f aca="false">VLOOKUP(B1953,Заказы!$A$2:$E$2995,5,FALSE())</f>
        <v>Не выполнено</v>
      </c>
      <c r="L1953" s="1" t="n">
        <f aca="false">D1953*F1953+J1953</f>
        <v>2700</v>
      </c>
      <c r="M1953" s="1" t="n">
        <f aca="false">IF(AND(E1953="Пицца Труслейка",I1953="г. Москва",K1953="Выполнено",G1953&gt;=DATE(2020,7,1),G1953&lt;DATE(2020,8,1)),L1953,0)</f>
        <v>0</v>
      </c>
    </row>
    <row r="1954" customFormat="false" ht="15" hidden="false" customHeight="true" outlineLevel="0" collapsed="false">
      <c r="A1954" s="1" t="n">
        <v>100167</v>
      </c>
      <c r="B1954" s="1" t="n">
        <v>51497</v>
      </c>
      <c r="C1954" s="1" t="n">
        <v>8</v>
      </c>
      <c r="D1954" s="1" t="n">
        <v>5</v>
      </c>
      <c r="E1954" s="1" t="str">
        <f aca="false">VLOOKUP(C1954,Меню!$A$2:$C$24,2,FALSE())</f>
        <v>Пицца Мясная</v>
      </c>
      <c r="F1954" s="1" t="n">
        <f aca="false">VLOOKUP(C1954,Меню!$A$2:$C$24,3,FALSE())</f>
        <v>615</v>
      </c>
      <c r="G1954" s="5" t="n">
        <f aca="false">VLOOKUP(B1954,Заказы!$A$2:$E$2995,2,FALSE())</f>
        <v>44058</v>
      </c>
      <c r="H1954" s="1" t="n">
        <f aca="false">VLOOKUP(B1954,Заказы!$A$2:$E$2995,3,FALSE())</f>
        <v>173</v>
      </c>
      <c r="I1954" s="1" t="str">
        <f aca="false">VLOOKUP(H1954,Клиенты!$A$2:$E$1995,5,FALSE())</f>
        <v>г. Иннополис</v>
      </c>
      <c r="J1954" s="1" t="n">
        <f aca="false">VLOOKUP(B1954,Заказы!$A$2:$E$2995,4,FALSE())</f>
        <v>607</v>
      </c>
      <c r="K1954" s="1" t="str">
        <f aca="false">VLOOKUP(B1954,Заказы!$A$2:$E$2995,5,FALSE())</f>
        <v>Выполнено</v>
      </c>
      <c r="L1954" s="1" t="n">
        <f aca="false">D1954*F1954+J1954</f>
        <v>3682</v>
      </c>
      <c r="M1954" s="1" t="n">
        <f aca="false">IF(AND(E1954="Пицца Труслейка",I1954="г. Москва",K1954="Выполнено",G1954&gt;=DATE(2020,7,1),G1954&lt;DATE(2020,8,1)),L1954,0)</f>
        <v>0</v>
      </c>
    </row>
    <row r="1955" customFormat="false" ht="15" hidden="false" customHeight="true" outlineLevel="0" collapsed="false">
      <c r="A1955" s="1" t="n">
        <v>100421</v>
      </c>
      <c r="B1955" s="1" t="n">
        <v>50157</v>
      </c>
      <c r="C1955" s="1" t="n">
        <v>5</v>
      </c>
      <c r="D1955" s="1" t="n">
        <v>9</v>
      </c>
      <c r="E1955" s="1" t="str">
        <f aca="false">VLOOKUP(C1955,Меню!$A$2:$C$24,2,FALSE())</f>
        <v>Пицца Жюльен</v>
      </c>
      <c r="F1955" s="1" t="n">
        <f aca="false">VLOOKUP(C1955,Меню!$A$2:$C$24,3,FALSE())</f>
        <v>580</v>
      </c>
      <c r="G1955" s="5" t="n">
        <f aca="false">VLOOKUP(B1955,Заказы!$A$2:$E$2995,2,FALSE())</f>
        <v>44032</v>
      </c>
      <c r="H1955" s="1" t="n">
        <f aca="false">VLOOKUP(B1955,Заказы!$A$2:$E$2995,3,FALSE())</f>
        <v>659</v>
      </c>
      <c r="I1955" s="1" t="str">
        <f aca="false">VLOOKUP(H1955,Клиенты!$A$2:$E$1995,5,FALSE())</f>
        <v>г. Харовск</v>
      </c>
      <c r="J1955" s="1" t="n">
        <f aca="false">VLOOKUP(B1955,Заказы!$A$2:$E$2995,4,FALSE())</f>
        <v>778</v>
      </c>
      <c r="K1955" s="1" t="str">
        <f aca="false">VLOOKUP(B1955,Заказы!$A$2:$E$2995,5,FALSE())</f>
        <v>Выполнено</v>
      </c>
      <c r="L1955" s="1" t="n">
        <f aca="false">D1955*F1955+J1955</f>
        <v>5998</v>
      </c>
      <c r="M1955" s="1" t="n">
        <f aca="false">IF(AND(E1955="Пицца Труслейка",I1955="г. Москва",K1955="Выполнено",G1955&gt;=DATE(2020,7,1),G1955&lt;DATE(2020,8,1)),L1955,0)</f>
        <v>0</v>
      </c>
    </row>
    <row r="1956" customFormat="false" ht="15" hidden="false" customHeight="true" outlineLevel="0" collapsed="false">
      <c r="A1956" s="1" t="n">
        <v>101640</v>
      </c>
      <c r="B1956" s="1" t="n">
        <v>51181</v>
      </c>
      <c r="C1956" s="1" t="n">
        <v>13</v>
      </c>
      <c r="D1956" s="1" t="n">
        <v>9</v>
      </c>
      <c r="E1956" s="1" t="str">
        <f aca="false">VLOOKUP(C1956,Меню!$A$2:$C$24,2,FALSE())</f>
        <v>Пицца Сырная</v>
      </c>
      <c r="F1956" s="1" t="n">
        <f aca="false">VLOOKUP(C1956,Меню!$A$2:$C$24,3,FALSE())</f>
        <v>635</v>
      </c>
      <c r="G1956" s="5" t="n">
        <f aca="false">VLOOKUP(B1956,Заказы!$A$2:$E$2995,2,FALSE())</f>
        <v>44008</v>
      </c>
      <c r="H1956" s="1" t="n">
        <f aca="false">VLOOKUP(B1956,Заказы!$A$2:$E$2995,3,FALSE())</f>
        <v>1837</v>
      </c>
      <c r="I1956" s="1" t="str">
        <f aca="false">VLOOKUP(H1956,Клиенты!$A$2:$E$1995,5,FALSE())</f>
        <v>г. Киренск</v>
      </c>
      <c r="J1956" s="1" t="n">
        <f aca="false">VLOOKUP(B1956,Заказы!$A$2:$E$2995,4,FALSE())</f>
        <v>0</v>
      </c>
      <c r="K1956" s="1" t="str">
        <f aca="false">VLOOKUP(B1956,Заказы!$A$2:$E$2995,5,FALSE())</f>
        <v>Не выполнено</v>
      </c>
      <c r="L1956" s="1" t="n">
        <f aca="false">D1956*F1956+J1956</f>
        <v>5715</v>
      </c>
      <c r="M1956" s="1" t="n">
        <f aca="false">IF(AND(E1956="Пицца Труслейка",I1956="г. Москва",K1956="Выполнено",G1956&gt;=DATE(2020,7,1),G1956&lt;DATE(2020,8,1)),L1956,0)</f>
        <v>0</v>
      </c>
    </row>
    <row r="1957" customFormat="false" ht="15" hidden="false" customHeight="true" outlineLevel="0" collapsed="false">
      <c r="A1957" s="1" t="n">
        <v>100126</v>
      </c>
      <c r="B1957" s="1" t="n">
        <v>51362</v>
      </c>
      <c r="C1957" s="1" t="n">
        <v>9</v>
      </c>
      <c r="D1957" s="1" t="n">
        <v>5</v>
      </c>
      <c r="E1957" s="1" t="str">
        <f aca="false">VLOOKUP(C1957,Меню!$A$2:$C$24,2,FALSE())</f>
        <v>Пицца Острая с беконом</v>
      </c>
      <c r="F1957" s="1" t="n">
        <f aca="false">VLOOKUP(C1957,Меню!$A$2:$C$24,3,FALSE())</f>
        <v>540</v>
      </c>
      <c r="G1957" s="5" t="n">
        <f aca="false">VLOOKUP(B1957,Заказы!$A$2:$E$2995,2,FALSE())</f>
        <v>43997</v>
      </c>
      <c r="H1957" s="1" t="n">
        <f aca="false">VLOOKUP(B1957,Заказы!$A$2:$E$2995,3,FALSE())</f>
        <v>1111</v>
      </c>
      <c r="I1957" s="1" t="str">
        <f aca="false">VLOOKUP(H1957,Клиенты!$A$2:$E$1995,5,FALSE())</f>
        <v>г. Сосенский</v>
      </c>
      <c r="J1957" s="1" t="n">
        <f aca="false">VLOOKUP(B1957,Заказы!$A$2:$E$2995,4,FALSE())</f>
        <v>0</v>
      </c>
      <c r="K1957" s="1" t="str">
        <f aca="false">VLOOKUP(B1957,Заказы!$A$2:$E$2995,5,FALSE())</f>
        <v>Не выполнено</v>
      </c>
      <c r="L1957" s="1" t="n">
        <f aca="false">D1957*F1957+J1957</f>
        <v>2700</v>
      </c>
      <c r="M1957" s="1" t="n">
        <f aca="false">IF(AND(E1957="Пицца Труслейка",I1957="г. Москва",K1957="Выполнено",G1957&gt;=DATE(2020,7,1),G1957&lt;DATE(2020,8,1)),L1957,0)</f>
        <v>0</v>
      </c>
    </row>
    <row r="1958" customFormat="false" ht="15" hidden="false" customHeight="true" outlineLevel="0" collapsed="false">
      <c r="A1958" s="1" t="n">
        <v>100760</v>
      </c>
      <c r="B1958" s="1" t="n">
        <v>51381</v>
      </c>
      <c r="C1958" s="1" t="n">
        <v>3</v>
      </c>
      <c r="D1958" s="1" t="n">
        <v>10</v>
      </c>
      <c r="E1958" s="1" t="str">
        <f aca="false">VLOOKUP(C1958,Меню!$A$2:$C$24,2,FALSE())</f>
        <v>Пицца Диабло</v>
      </c>
      <c r="F1958" s="1" t="n">
        <f aca="false">VLOOKUP(C1958,Меню!$A$2:$C$24,3,FALSE())</f>
        <v>590</v>
      </c>
      <c r="G1958" s="5" t="n">
        <f aca="false">VLOOKUP(B1958,Заказы!$A$2:$E$2995,2,FALSE())</f>
        <v>44043</v>
      </c>
      <c r="H1958" s="1" t="n">
        <f aca="false">VLOOKUP(B1958,Заказы!$A$2:$E$2995,3,FALSE())</f>
        <v>773</v>
      </c>
      <c r="I1958" s="1" t="str">
        <f aca="false">VLOOKUP(H1958,Клиенты!$A$2:$E$1995,5,FALSE())</f>
        <v>г. Советск</v>
      </c>
      <c r="J1958" s="1" t="n">
        <f aca="false">VLOOKUP(B1958,Заказы!$A$2:$E$2995,4,FALSE())</f>
        <v>560</v>
      </c>
      <c r="K1958" s="1" t="str">
        <f aca="false">VLOOKUP(B1958,Заказы!$A$2:$E$2995,5,FALSE())</f>
        <v>Выполнено</v>
      </c>
      <c r="L1958" s="1" t="n">
        <f aca="false">D1958*F1958+J1958</f>
        <v>6460</v>
      </c>
      <c r="M1958" s="1" t="n">
        <f aca="false">IF(AND(E1958="Пицца Труслейка",I1958="г. Москва",K1958="Выполнено",G1958&gt;=DATE(2020,7,1),G1958&lt;DATE(2020,8,1)),L1958,0)</f>
        <v>0</v>
      </c>
    </row>
    <row r="1959" customFormat="false" ht="15" hidden="false" customHeight="true" outlineLevel="0" collapsed="false">
      <c r="A1959" s="1" t="n">
        <v>101614</v>
      </c>
      <c r="B1959" s="1" t="n">
        <v>50218</v>
      </c>
      <c r="C1959" s="1" t="n">
        <v>8</v>
      </c>
      <c r="D1959" s="1" t="n">
        <v>8</v>
      </c>
      <c r="E1959" s="1" t="str">
        <f aca="false">VLOOKUP(C1959,Меню!$A$2:$C$24,2,FALSE())</f>
        <v>Пицца Мясная</v>
      </c>
      <c r="F1959" s="1" t="n">
        <f aca="false">VLOOKUP(C1959,Меню!$A$2:$C$24,3,FALSE())</f>
        <v>615</v>
      </c>
      <c r="G1959" s="5" t="n">
        <f aca="false">VLOOKUP(B1959,Заказы!$A$2:$E$2995,2,FALSE())</f>
        <v>44023</v>
      </c>
      <c r="H1959" s="1" t="n">
        <f aca="false">VLOOKUP(B1959,Заказы!$A$2:$E$2995,3,FALSE())</f>
        <v>703</v>
      </c>
      <c r="I1959" s="1" t="str">
        <f aca="false">VLOOKUP(H1959,Клиенты!$A$2:$E$1995,5,FALSE())</f>
        <v>г. Нязепетровск</v>
      </c>
      <c r="J1959" s="1" t="n">
        <f aca="false">VLOOKUP(B1959,Заказы!$A$2:$E$2995,4,FALSE())</f>
        <v>0</v>
      </c>
      <c r="K1959" s="1" t="str">
        <f aca="false">VLOOKUP(B1959,Заказы!$A$2:$E$2995,5,FALSE())</f>
        <v>Не выполнено</v>
      </c>
      <c r="L1959" s="1" t="n">
        <f aca="false">D1959*F1959+J1959</f>
        <v>4920</v>
      </c>
      <c r="M1959" s="1" t="n">
        <f aca="false">IF(AND(E1959="Пицца Труслейка",I1959="г. Москва",K1959="Выполнено",G1959&gt;=DATE(2020,7,1),G1959&lt;DATE(2020,8,1)),L1959,0)</f>
        <v>0</v>
      </c>
    </row>
    <row r="1960" customFormat="false" ht="15" hidden="false" customHeight="true" outlineLevel="0" collapsed="false">
      <c r="A1960" s="1" t="n">
        <v>100323</v>
      </c>
      <c r="B1960" s="1" t="n">
        <v>51537</v>
      </c>
      <c r="C1960" s="1" t="n">
        <v>17</v>
      </c>
      <c r="D1960" s="1" t="n">
        <v>3</v>
      </c>
      <c r="E1960" s="1" t="str">
        <f aca="false">VLOOKUP(C1960,Меню!$A$2:$C$24,2,FALSE())</f>
        <v>Пицца Френч Фрайз</v>
      </c>
      <c r="F1960" s="1" t="n">
        <f aca="false">VLOOKUP(C1960,Меню!$A$2:$C$24,3,FALSE())</f>
        <v>515</v>
      </c>
      <c r="G1960" s="5" t="n">
        <f aca="false">VLOOKUP(B1960,Заказы!$A$2:$E$2995,2,FALSE())</f>
        <v>44004</v>
      </c>
      <c r="H1960" s="1" t="n">
        <f aca="false">VLOOKUP(B1960,Заказы!$A$2:$E$2995,3,FALSE())</f>
        <v>692</v>
      </c>
      <c r="I1960" s="1" t="str">
        <f aca="false">VLOOKUP(H1960,Клиенты!$A$2:$E$1995,5,FALSE())</f>
        <v>г. Артём</v>
      </c>
      <c r="J1960" s="1" t="n">
        <f aca="false">VLOOKUP(B1960,Заказы!$A$2:$E$2995,4,FALSE())</f>
        <v>561</v>
      </c>
      <c r="K1960" s="1" t="str">
        <f aca="false">VLOOKUP(B1960,Заказы!$A$2:$E$2995,5,FALSE())</f>
        <v>Выполнено</v>
      </c>
      <c r="L1960" s="1" t="n">
        <f aca="false">D1960*F1960+J1960</f>
        <v>2106</v>
      </c>
      <c r="M1960" s="1" t="n">
        <f aca="false">IF(AND(E1960="Пицца Труслейка",I1960="г. Москва",K1960="Выполнено",G1960&gt;=DATE(2020,7,1),G1960&lt;DATE(2020,8,1)),L1960,0)</f>
        <v>0</v>
      </c>
    </row>
    <row r="1961" customFormat="false" ht="15" hidden="false" customHeight="true" outlineLevel="0" collapsed="false">
      <c r="A1961" s="1" t="n">
        <v>100420</v>
      </c>
      <c r="B1961" s="1" t="n">
        <v>51019</v>
      </c>
      <c r="C1961" s="1" t="n">
        <v>4</v>
      </c>
      <c r="D1961" s="1" t="n">
        <v>3</v>
      </c>
      <c r="E1961" s="1" t="str">
        <f aca="false">VLOOKUP(C1961,Меню!$A$2:$C$24,2,FALSE())</f>
        <v>Пицца Труслейка</v>
      </c>
      <c r="F1961" s="1" t="n">
        <f aca="false">VLOOKUP(C1961,Меню!$A$2:$C$24,3,FALSE())</f>
        <v>610</v>
      </c>
      <c r="G1961" s="5" t="n">
        <f aca="false">VLOOKUP(B1961,Заказы!$A$2:$E$2995,2,FALSE())</f>
        <v>44044</v>
      </c>
      <c r="H1961" s="1" t="n">
        <f aca="false">VLOOKUP(B1961,Заказы!$A$2:$E$2995,3,FALSE())</f>
        <v>921</v>
      </c>
      <c r="I1961" s="1" t="str">
        <f aca="false">VLOOKUP(H1961,Клиенты!$A$2:$E$1995,5,FALSE())</f>
        <v>г. Мышкин</v>
      </c>
      <c r="J1961" s="1" t="n">
        <f aca="false">VLOOKUP(B1961,Заказы!$A$2:$E$2995,4,FALSE())</f>
        <v>0</v>
      </c>
      <c r="K1961" s="1" t="str">
        <f aca="false">VLOOKUP(B1961,Заказы!$A$2:$E$2995,5,FALSE())</f>
        <v>Не выполнено</v>
      </c>
      <c r="L1961" s="1" t="n">
        <f aca="false">D1961*F1961+J1961</f>
        <v>1830</v>
      </c>
      <c r="M1961" s="1" t="n">
        <f aca="false">IF(AND(E1961="Пицца Труслейка",I1961="г. Москва",K1961="Выполнено",G1961&gt;=DATE(2020,7,1),G1961&lt;DATE(2020,8,1)),L1961,0)</f>
        <v>0</v>
      </c>
    </row>
    <row r="1962" customFormat="false" ht="15" hidden="false" customHeight="true" outlineLevel="0" collapsed="false">
      <c r="A1962" s="1" t="n">
        <v>100814</v>
      </c>
      <c r="B1962" s="1" t="n">
        <v>50499</v>
      </c>
      <c r="C1962" s="1" t="n">
        <v>11</v>
      </c>
      <c r="D1962" s="1" t="n">
        <v>5</v>
      </c>
      <c r="E1962" s="1" t="str">
        <f aca="false">VLOOKUP(C1962,Меню!$A$2:$C$24,2,FALSE())</f>
        <v>Пицца Песто</v>
      </c>
      <c r="F1962" s="1" t="n">
        <f aca="false">VLOOKUP(C1962,Меню!$A$2:$C$24,3,FALSE())</f>
        <v>530</v>
      </c>
      <c r="G1962" s="5" t="n">
        <f aca="false">VLOOKUP(B1962,Заказы!$A$2:$E$2995,2,FALSE())</f>
        <v>44030</v>
      </c>
      <c r="H1962" s="1" t="n">
        <f aca="false">VLOOKUP(B1962,Заказы!$A$2:$E$2995,3,FALSE())</f>
        <v>103</v>
      </c>
      <c r="I1962" s="1" t="str">
        <f aca="false">VLOOKUP(H1962,Клиенты!$A$2:$E$1995,5,FALSE())</f>
        <v>г. Электроугли</v>
      </c>
      <c r="J1962" s="1" t="n">
        <f aca="false">VLOOKUP(B1962,Заказы!$A$2:$E$2995,4,FALSE())</f>
        <v>382</v>
      </c>
      <c r="K1962" s="1" t="str">
        <f aca="false">VLOOKUP(B1962,Заказы!$A$2:$E$2995,5,FALSE())</f>
        <v>Выполнено</v>
      </c>
      <c r="L1962" s="1" t="n">
        <f aca="false">D1962*F1962+J1962</f>
        <v>3032</v>
      </c>
      <c r="M1962" s="1" t="n">
        <f aca="false">IF(AND(E1962="Пицца Труслейка",I1962="г. Москва",K1962="Выполнено",G1962&gt;=DATE(2020,7,1),G1962&lt;DATE(2020,8,1)),L1962,0)</f>
        <v>0</v>
      </c>
    </row>
    <row r="1963" customFormat="false" ht="15" hidden="false" customHeight="true" outlineLevel="0" collapsed="false">
      <c r="A1963" s="1" t="n">
        <v>100900</v>
      </c>
      <c r="B1963" s="1" t="n">
        <v>50701</v>
      </c>
      <c r="C1963" s="1" t="n">
        <v>14</v>
      </c>
      <c r="D1963" s="1" t="n">
        <v>7</v>
      </c>
      <c r="E1963" s="1" t="str">
        <f aca="false">VLOOKUP(C1963,Меню!$A$2:$C$24,2,FALSE())</f>
        <v>Пицца Сырный цыпленок</v>
      </c>
      <c r="F1963" s="1" t="n">
        <f aca="false">VLOOKUP(C1963,Меню!$A$2:$C$24,3,FALSE())</f>
        <v>555</v>
      </c>
      <c r="G1963" s="5" t="n">
        <f aca="false">VLOOKUP(B1963,Заказы!$A$2:$E$2995,2,FALSE())</f>
        <v>44034</v>
      </c>
      <c r="H1963" s="1" t="n">
        <f aca="false">VLOOKUP(B1963,Заказы!$A$2:$E$2995,3,FALSE())</f>
        <v>614</v>
      </c>
      <c r="I1963" s="1" t="str">
        <f aca="false">VLOOKUP(H1963,Клиенты!$A$2:$E$1995,5,FALSE())</f>
        <v>г. Камызяк</v>
      </c>
      <c r="J1963" s="1" t="n">
        <f aca="false">VLOOKUP(B1963,Заказы!$A$2:$E$2995,4,FALSE())</f>
        <v>221</v>
      </c>
      <c r="K1963" s="1" t="str">
        <f aca="false">VLOOKUP(B1963,Заказы!$A$2:$E$2995,5,FALSE())</f>
        <v>Выполнено</v>
      </c>
      <c r="L1963" s="1" t="n">
        <f aca="false">D1963*F1963+J1963</f>
        <v>4106</v>
      </c>
      <c r="M1963" s="1" t="n">
        <f aca="false">IF(AND(E1963="Пицца Труслейка",I1963="г. Москва",K1963="Выполнено",G1963&gt;=DATE(2020,7,1),G1963&lt;DATE(2020,8,1)),L1963,0)</f>
        <v>0</v>
      </c>
    </row>
    <row r="1964" customFormat="false" ht="15" hidden="false" customHeight="true" outlineLevel="0" collapsed="false">
      <c r="A1964" s="1" t="n">
        <v>101620</v>
      </c>
      <c r="B1964" s="1" t="n">
        <v>50679</v>
      </c>
      <c r="C1964" s="1" t="n">
        <v>16</v>
      </c>
      <c r="D1964" s="1" t="n">
        <v>9</v>
      </c>
      <c r="E1964" s="1" t="str">
        <f aca="false">VLOOKUP(C1964,Меню!$A$2:$C$24,2,FALSE())</f>
        <v>Пицца Флорида</v>
      </c>
      <c r="F1964" s="1" t="n">
        <f aca="false">VLOOKUP(C1964,Меню!$A$2:$C$24,3,FALSE())</f>
        <v>535</v>
      </c>
      <c r="G1964" s="5" t="n">
        <f aca="false">VLOOKUP(B1964,Заказы!$A$2:$E$2995,2,FALSE())</f>
        <v>43994</v>
      </c>
      <c r="H1964" s="1" t="n">
        <f aca="false">VLOOKUP(B1964,Заказы!$A$2:$E$2995,3,FALSE())</f>
        <v>324</v>
      </c>
      <c r="I1964" s="1" t="str">
        <f aca="false">VLOOKUP(H1964,Клиенты!$A$2:$E$1995,5,FALSE())</f>
        <v>г. Ворсма</v>
      </c>
      <c r="J1964" s="1" t="n">
        <f aca="false">VLOOKUP(B1964,Заказы!$A$2:$E$2995,4,FALSE())</f>
        <v>267</v>
      </c>
      <c r="K1964" s="1" t="str">
        <f aca="false">VLOOKUP(B1964,Заказы!$A$2:$E$2995,5,FALSE())</f>
        <v>Выполнено</v>
      </c>
      <c r="L1964" s="1" t="n">
        <f aca="false">D1964*F1964+J1964</f>
        <v>5082</v>
      </c>
      <c r="M1964" s="1" t="n">
        <f aca="false">IF(AND(E1964="Пицца Труслейка",I1964="г. Москва",K1964="Выполнено",G1964&gt;=DATE(2020,7,1),G1964&lt;DATE(2020,8,1)),L1964,0)</f>
        <v>0</v>
      </c>
    </row>
    <row r="1965" customFormat="false" ht="15" hidden="false" customHeight="true" outlineLevel="0" collapsed="false">
      <c r="A1965" s="1" t="n">
        <v>100192</v>
      </c>
      <c r="B1965" s="1" t="n">
        <v>51852</v>
      </c>
      <c r="C1965" s="1" t="n">
        <v>4</v>
      </c>
      <c r="D1965" s="1" t="n">
        <v>7</v>
      </c>
      <c r="E1965" s="1" t="str">
        <f aca="false">VLOOKUP(C1965,Меню!$A$2:$C$24,2,FALSE())</f>
        <v>Пицца Труслейка</v>
      </c>
      <c r="F1965" s="1" t="n">
        <f aca="false">VLOOKUP(C1965,Меню!$A$2:$C$24,3,FALSE())</f>
        <v>610</v>
      </c>
      <c r="G1965" s="5" t="n">
        <f aca="false">VLOOKUP(B1965,Заказы!$A$2:$E$2995,2,FALSE())</f>
        <v>43998</v>
      </c>
      <c r="H1965" s="1" t="n">
        <f aca="false">VLOOKUP(B1965,Заказы!$A$2:$E$2995,3,FALSE())</f>
        <v>321</v>
      </c>
      <c r="I1965" s="1" t="str">
        <f aca="false">VLOOKUP(H1965,Клиенты!$A$2:$E$1995,5,FALSE())</f>
        <v>г. Алапаевск</v>
      </c>
      <c r="J1965" s="1" t="n">
        <f aca="false">VLOOKUP(B1965,Заказы!$A$2:$E$2995,4,FALSE())</f>
        <v>899</v>
      </c>
      <c r="K1965" s="1" t="str">
        <f aca="false">VLOOKUP(B1965,Заказы!$A$2:$E$2995,5,FALSE())</f>
        <v>Выполнено</v>
      </c>
      <c r="L1965" s="1" t="n">
        <f aca="false">D1965*F1965+J1965</f>
        <v>5169</v>
      </c>
      <c r="M1965" s="1" t="n">
        <f aca="false">IF(AND(E1965="Пицца Труслейка",I1965="г. Москва",K1965="Выполнено",G1965&gt;=DATE(2020,7,1),G1965&lt;DATE(2020,8,1)),L1965,0)</f>
        <v>0</v>
      </c>
    </row>
    <row r="1966" customFormat="false" ht="15" hidden="false" customHeight="true" outlineLevel="0" collapsed="false">
      <c r="A1966" s="1" t="n">
        <v>101291</v>
      </c>
      <c r="B1966" s="1" t="n">
        <v>50086</v>
      </c>
      <c r="C1966" s="1" t="n">
        <v>1</v>
      </c>
      <c r="D1966" s="1" t="n">
        <v>9</v>
      </c>
      <c r="E1966" s="1" t="str">
        <f aca="false">VLOOKUP(C1966,Меню!$A$2:$C$24,2,FALSE())</f>
        <v>Пицца Гавайская</v>
      </c>
      <c r="F1966" s="1" t="n">
        <f aca="false">VLOOKUP(C1966,Меню!$A$2:$C$24,3,FALSE())</f>
        <v>545</v>
      </c>
      <c r="G1966" s="5" t="n">
        <f aca="false">VLOOKUP(B1966,Заказы!$A$2:$E$2995,2,FALSE())</f>
        <v>44057</v>
      </c>
      <c r="H1966" s="1" t="n">
        <f aca="false">VLOOKUP(B1966,Заказы!$A$2:$E$2995,3,FALSE())</f>
        <v>1523</v>
      </c>
      <c r="I1966" s="1" t="str">
        <f aca="false">VLOOKUP(H1966,Клиенты!$A$2:$E$1995,5,FALSE())</f>
        <v>г. Борзя</v>
      </c>
      <c r="J1966" s="1" t="n">
        <f aca="false">VLOOKUP(B1966,Заказы!$A$2:$E$2995,4,FALSE())</f>
        <v>786</v>
      </c>
      <c r="K1966" s="1" t="str">
        <f aca="false">VLOOKUP(B1966,Заказы!$A$2:$E$2995,5,FALSE())</f>
        <v>Выполнено</v>
      </c>
      <c r="L1966" s="1" t="n">
        <f aca="false">D1966*F1966+J1966</f>
        <v>5691</v>
      </c>
      <c r="M1966" s="1" t="n">
        <f aca="false">IF(AND(E1966="Пицца Труслейка",I1966="г. Москва",K1966="Выполнено",G1966&gt;=DATE(2020,7,1),G1966&lt;DATE(2020,8,1)),L1966,0)</f>
        <v>0</v>
      </c>
    </row>
    <row r="1967" customFormat="false" ht="15" hidden="false" customHeight="true" outlineLevel="0" collapsed="false">
      <c r="A1967" s="1" t="n">
        <v>100752</v>
      </c>
      <c r="B1967" s="1" t="n">
        <v>51372</v>
      </c>
      <c r="C1967" s="1" t="n">
        <v>14</v>
      </c>
      <c r="D1967" s="1" t="n">
        <v>10</v>
      </c>
      <c r="E1967" s="1" t="str">
        <f aca="false">VLOOKUP(C1967,Меню!$A$2:$C$24,2,FALSE())</f>
        <v>Пицца Сырный цыпленок</v>
      </c>
      <c r="F1967" s="1" t="n">
        <f aca="false">VLOOKUP(C1967,Меню!$A$2:$C$24,3,FALSE())</f>
        <v>555</v>
      </c>
      <c r="G1967" s="5" t="n">
        <f aca="false">VLOOKUP(B1967,Заказы!$A$2:$E$2995,2,FALSE())</f>
        <v>44027</v>
      </c>
      <c r="H1967" s="1" t="n">
        <f aca="false">VLOOKUP(B1967,Заказы!$A$2:$E$2995,3,FALSE())</f>
        <v>492</v>
      </c>
      <c r="I1967" s="1" t="str">
        <f aca="false">VLOOKUP(H1967,Клиенты!$A$2:$E$1995,5,FALSE())</f>
        <v>г. Чегем</v>
      </c>
      <c r="J1967" s="1" t="n">
        <f aca="false">VLOOKUP(B1967,Заказы!$A$2:$E$2995,4,FALSE())</f>
        <v>630</v>
      </c>
      <c r="K1967" s="1" t="str">
        <f aca="false">VLOOKUP(B1967,Заказы!$A$2:$E$2995,5,FALSE())</f>
        <v>Выполнено</v>
      </c>
      <c r="L1967" s="1" t="n">
        <f aca="false">D1967*F1967+J1967</f>
        <v>6180</v>
      </c>
      <c r="M1967" s="1" t="n">
        <f aca="false">IF(AND(E1967="Пицца Труслейка",I1967="г. Москва",K1967="Выполнено",G1967&gt;=DATE(2020,7,1),G1967&lt;DATE(2020,8,1)),L1967,0)</f>
        <v>0</v>
      </c>
    </row>
    <row r="1968" customFormat="false" ht="15" hidden="false" customHeight="true" outlineLevel="0" collapsed="false">
      <c r="A1968" s="1" t="n">
        <v>100895</v>
      </c>
      <c r="B1968" s="1" t="n">
        <v>50921</v>
      </c>
      <c r="C1968" s="1" t="n">
        <v>5</v>
      </c>
      <c r="D1968" s="1" t="n">
        <v>9</v>
      </c>
      <c r="E1968" s="1" t="str">
        <f aca="false">VLOOKUP(C1968,Меню!$A$2:$C$24,2,FALSE())</f>
        <v>Пицца Жюльен</v>
      </c>
      <c r="F1968" s="1" t="n">
        <f aca="false">VLOOKUP(C1968,Меню!$A$2:$C$24,3,FALSE())</f>
        <v>580</v>
      </c>
      <c r="G1968" s="5" t="n">
        <f aca="false">VLOOKUP(B1968,Заказы!$A$2:$E$2995,2,FALSE())</f>
        <v>44069</v>
      </c>
      <c r="H1968" s="1" t="n">
        <f aca="false">VLOOKUP(B1968,Заказы!$A$2:$E$2995,3,FALSE())</f>
        <v>1852</v>
      </c>
      <c r="I1968" s="1" t="str">
        <f aca="false">VLOOKUP(H1968,Клиенты!$A$2:$E$1995,5,FALSE())</f>
        <v>г. Яранск</v>
      </c>
      <c r="J1968" s="1" t="n">
        <f aca="false">VLOOKUP(B1968,Заказы!$A$2:$E$2995,4,FALSE())</f>
        <v>250</v>
      </c>
      <c r="K1968" s="1" t="str">
        <f aca="false">VLOOKUP(B1968,Заказы!$A$2:$E$2995,5,FALSE())</f>
        <v>Выполнено</v>
      </c>
      <c r="L1968" s="1" t="n">
        <f aca="false">D1968*F1968+J1968</f>
        <v>5470</v>
      </c>
      <c r="M1968" s="1" t="n">
        <f aca="false">IF(AND(E1968="Пицца Труслейка",I1968="г. Москва",K1968="Выполнено",G1968&gt;=DATE(2020,7,1),G1968&lt;DATE(2020,8,1)),L1968,0)</f>
        <v>0</v>
      </c>
    </row>
    <row r="1969" customFormat="false" ht="15" hidden="false" customHeight="true" outlineLevel="0" collapsed="false">
      <c r="A1969" s="1" t="n">
        <v>101769</v>
      </c>
      <c r="B1969" s="1" t="n">
        <v>51847</v>
      </c>
      <c r="C1969" s="1" t="n">
        <v>19</v>
      </c>
      <c r="D1969" s="1" t="n">
        <v>5</v>
      </c>
      <c r="E1969" s="1" t="str">
        <f aca="false">VLOOKUP(C1969,Меню!$A$2:$C$24,2,FALSE())</f>
        <v>Пицца Цезарь</v>
      </c>
      <c r="F1969" s="1" t="n">
        <f aca="false">VLOOKUP(C1969,Меню!$A$2:$C$24,3,FALSE())</f>
        <v>630</v>
      </c>
      <c r="G1969" s="5" t="n">
        <f aca="false">VLOOKUP(B1969,Заказы!$A$2:$E$2995,2,FALSE())</f>
        <v>44003</v>
      </c>
      <c r="H1969" s="1" t="n">
        <f aca="false">VLOOKUP(B1969,Заказы!$A$2:$E$2995,3,FALSE())</f>
        <v>1892</v>
      </c>
      <c r="I1969" s="1" t="str">
        <f aca="false">VLOOKUP(H1969,Клиенты!$A$2:$E$1995,5,FALSE())</f>
        <v>г. Анапа</v>
      </c>
      <c r="J1969" s="1" t="n">
        <f aca="false">VLOOKUP(B1969,Заказы!$A$2:$E$2995,4,FALSE())</f>
        <v>835</v>
      </c>
      <c r="K1969" s="1" t="str">
        <f aca="false">VLOOKUP(B1969,Заказы!$A$2:$E$2995,5,FALSE())</f>
        <v>Выполнено</v>
      </c>
      <c r="L1969" s="1" t="n">
        <f aca="false">D1969*F1969+J1969</f>
        <v>3985</v>
      </c>
      <c r="M1969" s="1" t="n">
        <f aca="false">IF(AND(E1969="Пицца Труслейка",I1969="г. Москва",K1969="Выполнено",G1969&gt;=DATE(2020,7,1),G1969&lt;DATE(2020,8,1)),L1969,0)</f>
        <v>0</v>
      </c>
    </row>
    <row r="1970" customFormat="false" ht="15" hidden="false" customHeight="true" outlineLevel="0" collapsed="false">
      <c r="A1970" s="1" t="n">
        <v>101055</v>
      </c>
      <c r="B1970" s="1" t="n">
        <v>50397</v>
      </c>
      <c r="C1970" s="1" t="n">
        <v>17</v>
      </c>
      <c r="D1970" s="1" t="n">
        <v>10</v>
      </c>
      <c r="E1970" s="1" t="str">
        <f aca="false">VLOOKUP(C1970,Меню!$A$2:$C$24,2,FALSE())</f>
        <v>Пицца Френч Фрайз</v>
      </c>
      <c r="F1970" s="1" t="n">
        <f aca="false">VLOOKUP(C1970,Меню!$A$2:$C$24,3,FALSE())</f>
        <v>515</v>
      </c>
      <c r="G1970" s="5" t="n">
        <f aca="false">VLOOKUP(B1970,Заказы!$A$2:$E$2995,2,FALSE())</f>
        <v>44069</v>
      </c>
      <c r="H1970" s="1" t="n">
        <f aca="false">VLOOKUP(B1970,Заказы!$A$2:$E$2995,3,FALSE())</f>
        <v>284</v>
      </c>
      <c r="I1970" s="1" t="str">
        <f aca="false">VLOOKUP(H1970,Клиенты!$A$2:$E$1995,5,FALSE())</f>
        <v>г. Шумиха</v>
      </c>
      <c r="J1970" s="1" t="n">
        <f aca="false">VLOOKUP(B1970,Заказы!$A$2:$E$2995,4,FALSE())</f>
        <v>720</v>
      </c>
      <c r="K1970" s="1" t="str">
        <f aca="false">VLOOKUP(B1970,Заказы!$A$2:$E$2995,5,FALSE())</f>
        <v>Выполнено</v>
      </c>
      <c r="L1970" s="1" t="n">
        <f aca="false">D1970*F1970+J1970</f>
        <v>5870</v>
      </c>
      <c r="M1970" s="1" t="n">
        <f aca="false">IF(AND(E1970="Пицца Труслейка",I1970="г. Москва",K1970="Выполнено",G1970&gt;=DATE(2020,7,1),G1970&lt;DATE(2020,8,1)),L1970,0)</f>
        <v>0</v>
      </c>
    </row>
    <row r="1971" customFormat="false" ht="15" hidden="false" customHeight="true" outlineLevel="0" collapsed="false">
      <c r="A1971" s="1" t="n">
        <v>100506</v>
      </c>
      <c r="B1971" s="1" t="n">
        <v>50285</v>
      </c>
      <c r="C1971" s="1" t="n">
        <v>4</v>
      </c>
      <c r="D1971" s="1" t="n">
        <v>8</v>
      </c>
      <c r="E1971" s="1" t="str">
        <f aca="false">VLOOKUP(C1971,Меню!$A$2:$C$24,2,FALSE())</f>
        <v>Пицца Труслейка</v>
      </c>
      <c r="F1971" s="1" t="n">
        <f aca="false">VLOOKUP(C1971,Меню!$A$2:$C$24,3,FALSE())</f>
        <v>610</v>
      </c>
      <c r="G1971" s="5" t="n">
        <f aca="false">VLOOKUP(B1971,Заказы!$A$2:$E$2995,2,FALSE())</f>
        <v>44065</v>
      </c>
      <c r="H1971" s="1" t="n">
        <f aca="false">VLOOKUP(B1971,Заказы!$A$2:$E$2995,3,FALSE())</f>
        <v>1967</v>
      </c>
      <c r="I1971" s="1" t="str">
        <f aca="false">VLOOKUP(H1971,Клиенты!$A$2:$E$1995,5,FALSE())</f>
        <v>г. Ужур</v>
      </c>
      <c r="J1971" s="1" t="n">
        <f aca="false">VLOOKUP(B1971,Заказы!$A$2:$E$2995,4,FALSE())</f>
        <v>508</v>
      </c>
      <c r="K1971" s="1" t="str">
        <f aca="false">VLOOKUP(B1971,Заказы!$A$2:$E$2995,5,FALSE())</f>
        <v>Выполнено</v>
      </c>
      <c r="L1971" s="1" t="n">
        <f aca="false">D1971*F1971+J1971</f>
        <v>5388</v>
      </c>
      <c r="M1971" s="1" t="n">
        <f aca="false">IF(AND(E1971="Пицца Труслейка",I1971="г. Москва",K1971="Выполнено",G1971&gt;=DATE(2020,7,1),G1971&lt;DATE(2020,8,1)),L1971,0)</f>
        <v>0</v>
      </c>
    </row>
    <row r="1972" customFormat="false" ht="15" hidden="false" customHeight="true" outlineLevel="0" collapsed="false">
      <c r="A1972" s="1" t="n">
        <v>101402</v>
      </c>
      <c r="B1972" s="1" t="n">
        <v>51337</v>
      </c>
      <c r="C1972" s="1" t="n">
        <v>20</v>
      </c>
      <c r="D1972" s="1" t="n">
        <v>4</v>
      </c>
      <c r="E1972" s="1" t="str">
        <f aca="false">VLOOKUP(C1972,Меню!$A$2:$C$24,2,FALSE())</f>
        <v>Пицца пиканте</v>
      </c>
      <c r="F1972" s="1" t="n">
        <f aca="false">VLOOKUP(C1972,Меню!$A$2:$C$24,3,FALSE())</f>
        <v>585</v>
      </c>
      <c r="G1972" s="5" t="n">
        <f aca="false">VLOOKUP(B1972,Заказы!$A$2:$E$2995,2,FALSE())</f>
        <v>44022</v>
      </c>
      <c r="H1972" s="1" t="n">
        <f aca="false">VLOOKUP(B1972,Заказы!$A$2:$E$2995,3,FALSE())</f>
        <v>256</v>
      </c>
      <c r="I1972" s="1" t="str">
        <f aca="false">VLOOKUP(H1972,Клиенты!$A$2:$E$1995,5,FALSE())</f>
        <v>г. Жиздра</v>
      </c>
      <c r="J1972" s="1" t="n">
        <f aca="false">VLOOKUP(B1972,Заказы!$A$2:$E$2995,4,FALSE())</f>
        <v>0</v>
      </c>
      <c r="K1972" s="1" t="str">
        <f aca="false">VLOOKUP(B1972,Заказы!$A$2:$E$2995,5,FALSE())</f>
        <v>Не выполнено</v>
      </c>
      <c r="L1972" s="1" t="n">
        <f aca="false">D1972*F1972+J1972</f>
        <v>2340</v>
      </c>
      <c r="M1972" s="1" t="n">
        <f aca="false">IF(AND(E1972="Пицца Труслейка",I1972="г. Москва",K1972="Выполнено",G1972&gt;=DATE(2020,7,1),G1972&lt;DATE(2020,8,1)),L1972,0)</f>
        <v>0</v>
      </c>
    </row>
    <row r="1973" customFormat="false" ht="15" hidden="false" customHeight="true" outlineLevel="0" collapsed="false">
      <c r="A1973" s="1" t="n">
        <v>100946</v>
      </c>
      <c r="B1973" s="1" t="n">
        <v>51056</v>
      </c>
      <c r="C1973" s="1" t="n">
        <v>12</v>
      </c>
      <c r="D1973" s="1" t="n">
        <v>4</v>
      </c>
      <c r="E1973" s="1" t="str">
        <f aca="false">VLOOKUP(C1973,Меню!$A$2:$C$24,2,FALSE())</f>
        <v>Пицца Салями с трюфелем</v>
      </c>
      <c r="F1973" s="1" t="n">
        <f aca="false">VLOOKUP(C1973,Меню!$A$2:$C$24,3,FALSE())</f>
        <v>525</v>
      </c>
      <c r="G1973" s="5" t="n">
        <f aca="false">VLOOKUP(B1973,Заказы!$A$2:$E$2995,2,FALSE())</f>
        <v>44070</v>
      </c>
      <c r="H1973" s="1" t="n">
        <f aca="false">VLOOKUP(B1973,Заказы!$A$2:$E$2995,3,FALSE())</f>
        <v>1258</v>
      </c>
      <c r="I1973" s="1" t="str">
        <f aca="false">VLOOKUP(H1973,Клиенты!$A$2:$E$1995,5,FALSE())</f>
        <v>г. Тетюши</v>
      </c>
      <c r="J1973" s="1" t="n">
        <f aca="false">VLOOKUP(B1973,Заказы!$A$2:$E$2995,4,FALSE())</f>
        <v>762</v>
      </c>
      <c r="K1973" s="1" t="str">
        <f aca="false">VLOOKUP(B1973,Заказы!$A$2:$E$2995,5,FALSE())</f>
        <v>Выполнено</v>
      </c>
      <c r="L1973" s="1" t="n">
        <f aca="false">D1973*F1973+J1973</f>
        <v>2862</v>
      </c>
      <c r="M1973" s="1" t="n">
        <f aca="false">IF(AND(E1973="Пицца Труслейка",I1973="г. Москва",K1973="Выполнено",G1973&gt;=DATE(2020,7,1),G1973&lt;DATE(2020,8,1)),L1973,0)</f>
        <v>0</v>
      </c>
    </row>
    <row r="1974" customFormat="false" ht="15" hidden="false" customHeight="true" outlineLevel="0" collapsed="false">
      <c r="A1974" s="1" t="n">
        <v>101859</v>
      </c>
      <c r="B1974" s="1" t="n">
        <v>50960</v>
      </c>
      <c r="C1974" s="1" t="n">
        <v>5</v>
      </c>
      <c r="D1974" s="1" t="n">
        <v>1</v>
      </c>
      <c r="E1974" s="1" t="str">
        <f aca="false">VLOOKUP(C1974,Меню!$A$2:$C$24,2,FALSE())</f>
        <v>Пицца Жюльен</v>
      </c>
      <c r="F1974" s="1" t="n">
        <f aca="false">VLOOKUP(C1974,Меню!$A$2:$C$24,3,FALSE())</f>
        <v>580</v>
      </c>
      <c r="G1974" s="5" t="n">
        <f aca="false">VLOOKUP(B1974,Заказы!$A$2:$E$2995,2,FALSE())</f>
        <v>44049</v>
      </c>
      <c r="H1974" s="1" t="n">
        <f aca="false">VLOOKUP(B1974,Заказы!$A$2:$E$2995,3,FALSE())</f>
        <v>1474</v>
      </c>
      <c r="I1974" s="1" t="str">
        <f aca="false">VLOOKUP(H1974,Клиенты!$A$2:$E$1995,5,FALSE())</f>
        <v>г. Кировск</v>
      </c>
      <c r="J1974" s="1" t="n">
        <f aca="false">VLOOKUP(B1974,Заказы!$A$2:$E$2995,4,FALSE())</f>
        <v>653</v>
      </c>
      <c r="K1974" s="1" t="str">
        <f aca="false">VLOOKUP(B1974,Заказы!$A$2:$E$2995,5,FALSE())</f>
        <v>Выполнено</v>
      </c>
      <c r="L1974" s="1" t="n">
        <f aca="false">D1974*F1974+J1974</f>
        <v>1233</v>
      </c>
      <c r="M1974" s="1" t="n">
        <f aca="false">IF(AND(E1974="Пицца Труслейка",I1974="г. Москва",K1974="Выполнено",G1974&gt;=DATE(2020,7,1),G1974&lt;DATE(2020,8,1)),L1974,0)</f>
        <v>0</v>
      </c>
    </row>
    <row r="1975" customFormat="false" ht="15" hidden="false" customHeight="true" outlineLevel="0" collapsed="false">
      <c r="A1975" s="1" t="n">
        <v>100229</v>
      </c>
      <c r="B1975" s="1" t="n">
        <v>51645</v>
      </c>
      <c r="C1975" s="1" t="n">
        <v>16</v>
      </c>
      <c r="D1975" s="1" t="n">
        <v>8</v>
      </c>
      <c r="E1975" s="1" t="str">
        <f aca="false">VLOOKUP(C1975,Меню!$A$2:$C$24,2,FALSE())</f>
        <v>Пицца Флорида</v>
      </c>
      <c r="F1975" s="1" t="n">
        <f aca="false">VLOOKUP(C1975,Меню!$A$2:$C$24,3,FALSE())</f>
        <v>535</v>
      </c>
      <c r="G1975" s="5" t="n">
        <f aca="false">VLOOKUP(B1975,Заказы!$A$2:$E$2995,2,FALSE())</f>
        <v>44019</v>
      </c>
      <c r="H1975" s="1" t="n">
        <f aca="false">VLOOKUP(B1975,Заказы!$A$2:$E$2995,3,FALSE())</f>
        <v>1584</v>
      </c>
      <c r="I1975" s="1" t="str">
        <f aca="false">VLOOKUP(H1975,Клиенты!$A$2:$E$1995,5,FALSE())</f>
        <v>г. Камышлов</v>
      </c>
      <c r="J1975" s="1" t="n">
        <f aca="false">VLOOKUP(B1975,Заказы!$A$2:$E$2995,4,FALSE())</f>
        <v>662</v>
      </c>
      <c r="K1975" s="1" t="str">
        <f aca="false">VLOOKUP(B1975,Заказы!$A$2:$E$2995,5,FALSE())</f>
        <v>Выполнено</v>
      </c>
      <c r="L1975" s="1" t="n">
        <f aca="false">D1975*F1975+J1975</f>
        <v>4942</v>
      </c>
      <c r="M1975" s="1" t="n">
        <f aca="false">IF(AND(E1975="Пицца Труслейка",I1975="г. Москва",K1975="Выполнено",G1975&gt;=DATE(2020,7,1),G1975&lt;DATE(2020,8,1)),L1975,0)</f>
        <v>0</v>
      </c>
    </row>
    <row r="1976" customFormat="false" ht="15" hidden="false" customHeight="true" outlineLevel="0" collapsed="false">
      <c r="A1976" s="1" t="n">
        <v>101430</v>
      </c>
      <c r="B1976" s="1" t="n">
        <v>50905</v>
      </c>
      <c r="C1976" s="1" t="n">
        <v>8</v>
      </c>
      <c r="D1976" s="1" t="n">
        <v>10</v>
      </c>
      <c r="E1976" s="1" t="str">
        <f aca="false">VLOOKUP(C1976,Меню!$A$2:$C$24,2,FALSE())</f>
        <v>Пицца Мясная</v>
      </c>
      <c r="F1976" s="1" t="n">
        <f aca="false">VLOOKUP(C1976,Меню!$A$2:$C$24,3,FALSE())</f>
        <v>615</v>
      </c>
      <c r="G1976" s="5" t="n">
        <f aca="false">VLOOKUP(B1976,Заказы!$A$2:$E$2995,2,FALSE())</f>
        <v>44003</v>
      </c>
      <c r="H1976" s="1" t="n">
        <f aca="false">VLOOKUP(B1976,Заказы!$A$2:$E$2995,3,FALSE())</f>
        <v>1298</v>
      </c>
      <c r="I1976" s="1" t="str">
        <f aca="false">VLOOKUP(H1976,Клиенты!$A$2:$E$1995,5,FALSE())</f>
        <v>г. Заозёрный</v>
      </c>
      <c r="J1976" s="1" t="n">
        <f aca="false">VLOOKUP(B1976,Заказы!$A$2:$E$2995,4,FALSE())</f>
        <v>599</v>
      </c>
      <c r="K1976" s="1" t="str">
        <f aca="false">VLOOKUP(B1976,Заказы!$A$2:$E$2995,5,FALSE())</f>
        <v>Выполнено</v>
      </c>
      <c r="L1976" s="1" t="n">
        <f aca="false">D1976*F1976+J1976</f>
        <v>6749</v>
      </c>
      <c r="M1976" s="1" t="n">
        <f aca="false">IF(AND(E1976="Пицца Труслейка",I1976="г. Москва",K1976="Выполнено",G1976&gt;=DATE(2020,7,1),G1976&lt;DATE(2020,8,1)),L1976,0)</f>
        <v>0</v>
      </c>
    </row>
    <row r="1977" customFormat="false" ht="15" hidden="false" customHeight="true" outlineLevel="0" collapsed="false">
      <c r="A1977" s="1" t="n">
        <v>101247</v>
      </c>
      <c r="B1977" s="1" t="n">
        <v>50945</v>
      </c>
      <c r="C1977" s="1" t="n">
        <v>23</v>
      </c>
      <c r="D1977" s="1" t="n">
        <v>3</v>
      </c>
      <c r="E1977" s="1" t="str">
        <f aca="false">VLOOKUP(C1977,Меню!$A$2:$C$24,2,FALSE())</f>
        <v>Пицца с тунцом</v>
      </c>
      <c r="F1977" s="1" t="n">
        <f aca="false">VLOOKUP(C1977,Меню!$A$2:$C$24,3,FALSE())</f>
        <v>520</v>
      </c>
      <c r="G1977" s="5" t="n">
        <f aca="false">VLOOKUP(B1977,Заказы!$A$2:$E$2995,2,FALSE())</f>
        <v>44015</v>
      </c>
      <c r="H1977" s="1" t="n">
        <f aca="false">VLOOKUP(B1977,Заказы!$A$2:$E$2995,3,FALSE())</f>
        <v>1899</v>
      </c>
      <c r="I1977" s="1" t="str">
        <f aca="false">VLOOKUP(H1977,Клиенты!$A$2:$E$1995,5,FALSE())</f>
        <v>г. Кондрово</v>
      </c>
      <c r="J1977" s="1" t="n">
        <f aca="false">VLOOKUP(B1977,Заказы!$A$2:$E$2995,4,FALSE())</f>
        <v>0</v>
      </c>
      <c r="K1977" s="1" t="str">
        <f aca="false">VLOOKUP(B1977,Заказы!$A$2:$E$2995,5,FALSE())</f>
        <v>Не выполнено</v>
      </c>
      <c r="L1977" s="1" t="n">
        <f aca="false">D1977*F1977+J1977</f>
        <v>1560</v>
      </c>
      <c r="M1977" s="1" t="n">
        <f aca="false">IF(AND(E1977="Пицца Труслейка",I1977="г. Москва",K1977="Выполнено",G1977&gt;=DATE(2020,7,1),G1977&lt;DATE(2020,8,1)),L1977,0)</f>
        <v>0</v>
      </c>
    </row>
    <row r="1978" customFormat="false" ht="15" hidden="false" customHeight="true" outlineLevel="0" collapsed="false">
      <c r="A1978" s="1" t="n">
        <v>100967</v>
      </c>
      <c r="B1978" s="1" t="n">
        <v>51595</v>
      </c>
      <c r="C1978" s="1" t="n">
        <v>13</v>
      </c>
      <c r="D1978" s="1" t="n">
        <v>6</v>
      </c>
      <c r="E1978" s="1" t="str">
        <f aca="false">VLOOKUP(C1978,Меню!$A$2:$C$24,2,FALSE())</f>
        <v>Пицца Сырная</v>
      </c>
      <c r="F1978" s="1" t="n">
        <f aca="false">VLOOKUP(C1978,Меню!$A$2:$C$24,3,FALSE())</f>
        <v>635</v>
      </c>
      <c r="G1978" s="5" t="n">
        <f aca="false">VLOOKUP(B1978,Заказы!$A$2:$E$2995,2,FALSE())</f>
        <v>44039</v>
      </c>
      <c r="H1978" s="1" t="n">
        <f aca="false">VLOOKUP(B1978,Заказы!$A$2:$E$2995,3,FALSE())</f>
        <v>980</v>
      </c>
      <c r="I1978" s="1" t="str">
        <f aca="false">VLOOKUP(H1978,Клиенты!$A$2:$E$1995,5,FALSE())</f>
        <v>г. Москва</v>
      </c>
      <c r="J1978" s="1" t="n">
        <f aca="false">VLOOKUP(B1978,Заказы!$A$2:$E$2995,4,FALSE())</f>
        <v>400</v>
      </c>
      <c r="K1978" s="1" t="str">
        <f aca="false">VLOOKUP(B1978,Заказы!$A$2:$E$2995,5,FALSE())</f>
        <v>Выполнено</v>
      </c>
      <c r="L1978" s="1" t="n">
        <f aca="false">D1978*F1978+J1978</f>
        <v>4210</v>
      </c>
      <c r="M1978" s="1" t="n">
        <f aca="false">IF(AND(E1978="Пицца Труслейка",I1978="г. Москва",K1978="Выполнено",G1978&gt;=DATE(2020,7,1),G1978&lt;DATE(2020,8,1)),L1978,0)</f>
        <v>0</v>
      </c>
    </row>
    <row r="1979" customFormat="false" ht="15" hidden="false" customHeight="true" outlineLevel="0" collapsed="false">
      <c r="A1979" s="1" t="n">
        <v>100321</v>
      </c>
      <c r="B1979" s="1" t="n">
        <v>50471</v>
      </c>
      <c r="C1979" s="1" t="n">
        <v>22</v>
      </c>
      <c r="D1979" s="1" t="n">
        <v>5</v>
      </c>
      <c r="E1979" s="1" t="str">
        <f aca="false">VLOOKUP(C1979,Меню!$A$2:$C$24,2,FALSE())</f>
        <v>Пицца с поркеттой и фриарелли</v>
      </c>
      <c r="F1979" s="1" t="n">
        <f aca="false">VLOOKUP(C1979,Меню!$A$2:$C$24,3,FALSE())</f>
        <v>550</v>
      </c>
      <c r="G1979" s="5" t="n">
        <f aca="false">VLOOKUP(B1979,Заказы!$A$2:$E$2995,2,FALSE())</f>
        <v>44065</v>
      </c>
      <c r="H1979" s="1" t="n">
        <f aca="false">VLOOKUP(B1979,Заказы!$A$2:$E$2995,3,FALSE())</f>
        <v>1044</v>
      </c>
      <c r="I1979" s="1" t="str">
        <f aca="false">VLOOKUP(H1979,Клиенты!$A$2:$E$1995,5,FALSE())</f>
        <v>г. Давлеканово</v>
      </c>
      <c r="J1979" s="1" t="n">
        <f aca="false">VLOOKUP(B1979,Заказы!$A$2:$E$2995,4,FALSE())</f>
        <v>0</v>
      </c>
      <c r="K1979" s="1" t="str">
        <f aca="false">VLOOKUP(B1979,Заказы!$A$2:$E$2995,5,FALSE())</f>
        <v>Не выполнено</v>
      </c>
      <c r="L1979" s="1" t="n">
        <f aca="false">D1979*F1979+J1979</f>
        <v>2750</v>
      </c>
      <c r="M1979" s="1" t="n">
        <f aca="false">IF(AND(E1979="Пицца Труслейка",I1979="г. Москва",K1979="Выполнено",G1979&gt;=DATE(2020,7,1),G1979&lt;DATE(2020,8,1)),L1979,0)</f>
        <v>0</v>
      </c>
    </row>
    <row r="1980" customFormat="false" ht="15" hidden="false" customHeight="true" outlineLevel="0" collapsed="false">
      <c r="A1980" s="1" t="n">
        <v>100172</v>
      </c>
      <c r="B1980" s="1" t="n">
        <v>50851</v>
      </c>
      <c r="C1980" s="1" t="n">
        <v>22</v>
      </c>
      <c r="D1980" s="1" t="n">
        <v>5</v>
      </c>
      <c r="E1980" s="1" t="str">
        <f aca="false">VLOOKUP(C1980,Меню!$A$2:$C$24,2,FALSE())</f>
        <v>Пицца с поркеттой и фриарелли</v>
      </c>
      <c r="F1980" s="1" t="n">
        <f aca="false">VLOOKUP(C1980,Меню!$A$2:$C$24,3,FALSE())</f>
        <v>550</v>
      </c>
      <c r="G1980" s="5" t="n">
        <f aca="false">VLOOKUP(B1980,Заказы!$A$2:$E$2995,2,FALSE())</f>
        <v>44028</v>
      </c>
      <c r="H1980" s="1" t="n">
        <f aca="false">VLOOKUP(B1980,Заказы!$A$2:$E$2995,3,FALSE())</f>
        <v>1106</v>
      </c>
      <c r="I1980" s="1" t="str">
        <f aca="false">VLOOKUP(H1980,Клиенты!$A$2:$E$1995,5,FALSE())</f>
        <v>г. Нефтекумск</v>
      </c>
      <c r="J1980" s="1" t="n">
        <f aca="false">VLOOKUP(B1980,Заказы!$A$2:$E$2995,4,FALSE())</f>
        <v>0</v>
      </c>
      <c r="K1980" s="1" t="str">
        <f aca="false">VLOOKUP(B1980,Заказы!$A$2:$E$2995,5,FALSE())</f>
        <v>Не выполнено</v>
      </c>
      <c r="L1980" s="1" t="n">
        <f aca="false">D1980*F1980+J1980</f>
        <v>2750</v>
      </c>
      <c r="M1980" s="1" t="n">
        <f aca="false">IF(AND(E1980="Пицца Труслейка",I1980="г. Москва",K1980="Выполнено",G1980&gt;=DATE(2020,7,1),G1980&lt;DATE(2020,8,1)),L1980,0)</f>
        <v>0</v>
      </c>
    </row>
    <row r="1981" customFormat="false" ht="15" hidden="false" customHeight="true" outlineLevel="0" collapsed="false">
      <c r="A1981" s="1" t="n">
        <v>101669</v>
      </c>
      <c r="B1981" s="1" t="n">
        <v>50224</v>
      </c>
      <c r="C1981" s="1" t="n">
        <v>4</v>
      </c>
      <c r="D1981" s="1" t="n">
        <v>5</v>
      </c>
      <c r="E1981" s="1" t="str">
        <f aca="false">VLOOKUP(C1981,Меню!$A$2:$C$24,2,FALSE())</f>
        <v>Пицца Труслейка</v>
      </c>
      <c r="F1981" s="1" t="n">
        <f aca="false">VLOOKUP(C1981,Меню!$A$2:$C$24,3,FALSE())</f>
        <v>610</v>
      </c>
      <c r="G1981" s="5" t="n">
        <f aca="false">VLOOKUP(B1981,Заказы!$A$2:$E$2995,2,FALSE())</f>
        <v>44053</v>
      </c>
      <c r="H1981" s="1" t="n">
        <f aca="false">VLOOKUP(B1981,Заказы!$A$2:$E$2995,3,FALSE())</f>
        <v>933</v>
      </c>
      <c r="I1981" s="1" t="str">
        <f aca="false">VLOOKUP(H1981,Клиенты!$A$2:$E$1995,5,FALSE())</f>
        <v>г. Себеж</v>
      </c>
      <c r="J1981" s="1" t="n">
        <f aca="false">VLOOKUP(B1981,Заказы!$A$2:$E$2995,4,FALSE())</f>
        <v>672</v>
      </c>
      <c r="K1981" s="1" t="str">
        <f aca="false">VLOOKUP(B1981,Заказы!$A$2:$E$2995,5,FALSE())</f>
        <v>Выполнено</v>
      </c>
      <c r="L1981" s="1" t="n">
        <f aca="false">D1981*F1981+J1981</f>
        <v>3722</v>
      </c>
      <c r="M1981" s="1" t="n">
        <f aca="false">IF(AND(E1981="Пицца Труслейка",I1981="г. Москва",K1981="Выполнено",G1981&gt;=DATE(2020,7,1),G1981&lt;DATE(2020,8,1)),L1981,0)</f>
        <v>0</v>
      </c>
    </row>
    <row r="1982" customFormat="false" ht="15" hidden="false" customHeight="true" outlineLevel="0" collapsed="false">
      <c r="A1982" s="1" t="n">
        <v>100451</v>
      </c>
      <c r="B1982" s="1" t="n">
        <v>51614</v>
      </c>
      <c r="C1982" s="1" t="n">
        <v>2</v>
      </c>
      <c r="D1982" s="1" t="n">
        <v>8</v>
      </c>
      <c r="E1982" s="1" t="str">
        <f aca="false">VLOOKUP(C1982,Меню!$A$2:$C$24,2,FALSE())</f>
        <v>Пицца Двойная пепперони</v>
      </c>
      <c r="F1982" s="1" t="n">
        <f aca="false">VLOOKUP(C1982,Меню!$A$2:$C$24,3,FALSE())</f>
        <v>575</v>
      </c>
      <c r="G1982" s="5" t="n">
        <f aca="false">VLOOKUP(B1982,Заказы!$A$2:$E$2995,2,FALSE())</f>
        <v>44051</v>
      </c>
      <c r="H1982" s="1" t="n">
        <f aca="false">VLOOKUP(B1982,Заказы!$A$2:$E$2995,3,FALSE())</f>
        <v>1754</v>
      </c>
      <c r="I1982" s="1" t="str">
        <f aca="false">VLOOKUP(H1982,Клиенты!$A$2:$E$1995,5,FALSE())</f>
        <v>г. Усть-Катав</v>
      </c>
      <c r="J1982" s="1" t="n">
        <f aca="false">VLOOKUP(B1982,Заказы!$A$2:$E$2995,4,FALSE())</f>
        <v>878</v>
      </c>
      <c r="K1982" s="1" t="str">
        <f aca="false">VLOOKUP(B1982,Заказы!$A$2:$E$2995,5,FALSE())</f>
        <v>Выполнено</v>
      </c>
      <c r="L1982" s="1" t="n">
        <f aca="false">D1982*F1982+J1982</f>
        <v>5478</v>
      </c>
      <c r="M1982" s="1" t="n">
        <f aca="false">IF(AND(E1982="Пицца Труслейка",I1982="г. Москва",K1982="Выполнено",G1982&gt;=DATE(2020,7,1),G1982&lt;DATE(2020,8,1)),L1982,0)</f>
        <v>0</v>
      </c>
    </row>
    <row r="1983" customFormat="false" ht="15" hidden="false" customHeight="true" outlineLevel="0" collapsed="false">
      <c r="A1983" s="1" t="n">
        <v>100689</v>
      </c>
      <c r="B1983" s="1" t="n">
        <v>50971</v>
      </c>
      <c r="C1983" s="1" t="n">
        <v>19</v>
      </c>
      <c r="D1983" s="1" t="n">
        <v>2</v>
      </c>
      <c r="E1983" s="1" t="str">
        <f aca="false">VLOOKUP(C1983,Меню!$A$2:$C$24,2,FALSE())</f>
        <v>Пицца Цезарь</v>
      </c>
      <c r="F1983" s="1" t="n">
        <f aca="false">VLOOKUP(C1983,Меню!$A$2:$C$24,3,FALSE())</f>
        <v>630</v>
      </c>
      <c r="G1983" s="5" t="n">
        <f aca="false">VLOOKUP(B1983,Заказы!$A$2:$E$2995,2,FALSE())</f>
        <v>44052</v>
      </c>
      <c r="H1983" s="1" t="n">
        <f aca="false">VLOOKUP(B1983,Заказы!$A$2:$E$2995,3,FALSE())</f>
        <v>168</v>
      </c>
      <c r="I1983" s="1" t="str">
        <f aca="false">VLOOKUP(H1983,Клиенты!$A$2:$E$1995,5,FALSE())</f>
        <v>г. Донецк</v>
      </c>
      <c r="J1983" s="1" t="n">
        <f aca="false">VLOOKUP(B1983,Заказы!$A$2:$E$2995,4,FALSE())</f>
        <v>518</v>
      </c>
      <c r="K1983" s="1" t="str">
        <f aca="false">VLOOKUP(B1983,Заказы!$A$2:$E$2995,5,FALSE())</f>
        <v>Выполнено</v>
      </c>
      <c r="L1983" s="1" t="n">
        <f aca="false">D1983*F1983+J1983</f>
        <v>1778</v>
      </c>
      <c r="M1983" s="1" t="n">
        <f aca="false">IF(AND(E1983="Пицца Труслейка",I1983="г. Москва",K1983="Выполнено",G1983&gt;=DATE(2020,7,1),G1983&lt;DATE(2020,8,1)),L1983,0)</f>
        <v>0</v>
      </c>
    </row>
    <row r="1984" customFormat="false" ht="15" hidden="false" customHeight="true" outlineLevel="0" collapsed="false">
      <c r="A1984" s="1" t="n">
        <v>101606</v>
      </c>
      <c r="B1984" s="1" t="n">
        <v>51539</v>
      </c>
      <c r="C1984" s="1" t="n">
        <v>23</v>
      </c>
      <c r="D1984" s="1" t="n">
        <v>10</v>
      </c>
      <c r="E1984" s="1" t="str">
        <f aca="false">VLOOKUP(C1984,Меню!$A$2:$C$24,2,FALSE())</f>
        <v>Пицца с тунцом</v>
      </c>
      <c r="F1984" s="1" t="n">
        <f aca="false">VLOOKUP(C1984,Меню!$A$2:$C$24,3,FALSE())</f>
        <v>520</v>
      </c>
      <c r="G1984" s="5" t="n">
        <f aca="false">VLOOKUP(B1984,Заказы!$A$2:$E$2995,2,FALSE())</f>
        <v>44071</v>
      </c>
      <c r="H1984" s="1" t="n">
        <f aca="false">VLOOKUP(B1984,Заказы!$A$2:$E$2995,3,FALSE())</f>
        <v>607</v>
      </c>
      <c r="I1984" s="1" t="str">
        <f aca="false">VLOOKUP(H1984,Клиенты!$A$2:$E$1995,5,FALSE())</f>
        <v>г. Копейск</v>
      </c>
      <c r="J1984" s="1" t="n">
        <f aca="false">VLOOKUP(B1984,Заказы!$A$2:$E$2995,4,FALSE())</f>
        <v>522</v>
      </c>
      <c r="K1984" s="1" t="str">
        <f aca="false">VLOOKUP(B1984,Заказы!$A$2:$E$2995,5,FALSE())</f>
        <v>Выполнено</v>
      </c>
      <c r="L1984" s="1" t="n">
        <f aca="false">D1984*F1984+J1984</f>
        <v>5722</v>
      </c>
      <c r="M1984" s="1" t="n">
        <f aca="false">IF(AND(E1984="Пицца Труслейка",I1984="г. Москва",K1984="Выполнено",G1984&gt;=DATE(2020,7,1),G1984&lt;DATE(2020,8,1)),L1984,0)</f>
        <v>0</v>
      </c>
    </row>
    <row r="1985" customFormat="false" ht="15" hidden="false" customHeight="true" outlineLevel="0" collapsed="false">
      <c r="A1985" s="1" t="n">
        <v>100487</v>
      </c>
      <c r="B1985" s="1" t="n">
        <v>50662</v>
      </c>
      <c r="C1985" s="1" t="n">
        <v>17</v>
      </c>
      <c r="D1985" s="1" t="n">
        <v>5</v>
      </c>
      <c r="E1985" s="1" t="str">
        <f aca="false">VLOOKUP(C1985,Меню!$A$2:$C$24,2,FALSE())</f>
        <v>Пицца Френч Фрайз</v>
      </c>
      <c r="F1985" s="1" t="n">
        <f aca="false">VLOOKUP(C1985,Меню!$A$2:$C$24,3,FALSE())</f>
        <v>515</v>
      </c>
      <c r="G1985" s="5" t="n">
        <f aca="false">VLOOKUP(B1985,Заказы!$A$2:$E$2995,2,FALSE())</f>
        <v>44067</v>
      </c>
      <c r="H1985" s="1" t="n">
        <f aca="false">VLOOKUP(B1985,Заказы!$A$2:$E$2995,3,FALSE())</f>
        <v>1939</v>
      </c>
      <c r="I1985" s="1" t="str">
        <f aca="false">VLOOKUP(H1985,Клиенты!$A$2:$E$1995,5,FALSE())</f>
        <v>г. Домодедово</v>
      </c>
      <c r="J1985" s="1" t="n">
        <f aca="false">VLOOKUP(B1985,Заказы!$A$2:$E$2995,4,FALSE())</f>
        <v>325</v>
      </c>
      <c r="K1985" s="1" t="str">
        <f aca="false">VLOOKUP(B1985,Заказы!$A$2:$E$2995,5,FALSE())</f>
        <v>Выполнено</v>
      </c>
      <c r="L1985" s="1" t="n">
        <f aca="false">D1985*F1985+J1985</f>
        <v>2900</v>
      </c>
      <c r="M1985" s="1" t="n">
        <f aca="false">IF(AND(E1985="Пицца Труслейка",I1985="г. Москва",K1985="Выполнено",G1985&gt;=DATE(2020,7,1),G1985&lt;DATE(2020,8,1)),L1985,0)</f>
        <v>0</v>
      </c>
    </row>
    <row r="1986" customFormat="false" ht="15" hidden="false" customHeight="true" outlineLevel="0" collapsed="false">
      <c r="A1986" s="1" t="n">
        <v>101764</v>
      </c>
      <c r="B1986" s="1" t="n">
        <v>50993</v>
      </c>
      <c r="C1986" s="1" t="n">
        <v>14</v>
      </c>
      <c r="D1986" s="1" t="n">
        <v>6</v>
      </c>
      <c r="E1986" s="1" t="str">
        <f aca="false">VLOOKUP(C1986,Меню!$A$2:$C$24,2,FALSE())</f>
        <v>Пицца Сырный цыпленок</v>
      </c>
      <c r="F1986" s="1" t="n">
        <f aca="false">VLOOKUP(C1986,Меню!$A$2:$C$24,3,FALSE())</f>
        <v>555</v>
      </c>
      <c r="G1986" s="5" t="n">
        <f aca="false">VLOOKUP(B1986,Заказы!$A$2:$E$2995,2,FALSE())</f>
        <v>43992</v>
      </c>
      <c r="H1986" s="1" t="n">
        <f aca="false">VLOOKUP(B1986,Заказы!$A$2:$E$2995,3,FALSE())</f>
        <v>1383</v>
      </c>
      <c r="I1986" s="1" t="str">
        <f aca="false">VLOOKUP(H1986,Клиенты!$A$2:$E$1995,5,FALSE())</f>
        <v>г. Ершов</v>
      </c>
      <c r="J1986" s="1" t="n">
        <f aca="false">VLOOKUP(B1986,Заказы!$A$2:$E$2995,4,FALSE())</f>
        <v>170</v>
      </c>
      <c r="K1986" s="1" t="str">
        <f aca="false">VLOOKUP(B1986,Заказы!$A$2:$E$2995,5,FALSE())</f>
        <v>Выполнено</v>
      </c>
      <c r="L1986" s="1" t="n">
        <f aca="false">D1986*F1986+J1986</f>
        <v>3500</v>
      </c>
      <c r="M1986" s="1" t="n">
        <f aca="false">IF(AND(E1986="Пицца Труслейка",I1986="г. Москва",K1986="Выполнено",G1986&gt;=DATE(2020,7,1),G1986&lt;DATE(2020,8,1)),L1986,0)</f>
        <v>0</v>
      </c>
    </row>
    <row r="1987" customFormat="false" ht="15" hidden="false" customHeight="true" outlineLevel="0" collapsed="false">
      <c r="A1987" s="1" t="n">
        <v>101840</v>
      </c>
      <c r="B1987" s="1" t="n">
        <v>51498</v>
      </c>
      <c r="C1987" s="1" t="n">
        <v>12</v>
      </c>
      <c r="D1987" s="1" t="n">
        <v>3</v>
      </c>
      <c r="E1987" s="1" t="str">
        <f aca="false">VLOOKUP(C1987,Меню!$A$2:$C$24,2,FALSE())</f>
        <v>Пицца Салями с трюфелем</v>
      </c>
      <c r="F1987" s="1" t="n">
        <f aca="false">VLOOKUP(C1987,Меню!$A$2:$C$24,3,FALSE())</f>
        <v>525</v>
      </c>
      <c r="G1987" s="5" t="n">
        <f aca="false">VLOOKUP(B1987,Заказы!$A$2:$E$2995,2,FALSE())</f>
        <v>43988</v>
      </c>
      <c r="H1987" s="1" t="n">
        <f aca="false">VLOOKUP(B1987,Заказы!$A$2:$E$2995,3,FALSE())</f>
        <v>665</v>
      </c>
      <c r="I1987" s="1" t="str">
        <f aca="false">VLOOKUP(H1987,Клиенты!$A$2:$E$1995,5,FALSE())</f>
        <v>г. Терек</v>
      </c>
      <c r="J1987" s="1" t="n">
        <f aca="false">VLOOKUP(B1987,Заказы!$A$2:$E$2995,4,FALSE())</f>
        <v>0</v>
      </c>
      <c r="K1987" s="1" t="str">
        <f aca="false">VLOOKUP(B1987,Заказы!$A$2:$E$2995,5,FALSE())</f>
        <v>Не выполнено</v>
      </c>
      <c r="L1987" s="1" t="n">
        <f aca="false">D1987*F1987+J1987</f>
        <v>1575</v>
      </c>
      <c r="M1987" s="1" t="n">
        <f aca="false">IF(AND(E1987="Пицца Труслейка",I1987="г. Москва",K1987="Выполнено",G1987&gt;=DATE(2020,7,1),G1987&lt;DATE(2020,8,1)),L1987,0)</f>
        <v>0</v>
      </c>
    </row>
    <row r="1988" customFormat="false" ht="15" hidden="false" customHeight="true" outlineLevel="0" collapsed="false">
      <c r="A1988" s="1" t="n">
        <v>100961</v>
      </c>
      <c r="B1988" s="1" t="n">
        <v>51574</v>
      </c>
      <c r="C1988" s="1" t="n">
        <v>18</v>
      </c>
      <c r="D1988" s="1" t="n">
        <v>8</v>
      </c>
      <c r="E1988" s="1" t="str">
        <f aca="false">VLOOKUP(C1988,Меню!$A$2:$C$24,2,FALSE())</f>
        <v>Пицца Царская</v>
      </c>
      <c r="F1988" s="1" t="n">
        <f aca="false">VLOOKUP(C1988,Меню!$A$2:$C$24,3,FALSE())</f>
        <v>620</v>
      </c>
      <c r="G1988" s="5" t="n">
        <f aca="false">VLOOKUP(B1988,Заказы!$A$2:$E$2995,2,FALSE())</f>
        <v>44002</v>
      </c>
      <c r="H1988" s="1" t="n">
        <f aca="false">VLOOKUP(B1988,Заказы!$A$2:$E$2995,3,FALSE())</f>
        <v>1717</v>
      </c>
      <c r="I1988" s="1" t="str">
        <f aca="false">VLOOKUP(H1988,Клиенты!$A$2:$E$1995,5,FALSE())</f>
        <v>г. Хотьково</v>
      </c>
      <c r="J1988" s="1" t="n">
        <f aca="false">VLOOKUP(B1988,Заказы!$A$2:$E$2995,4,FALSE())</f>
        <v>441</v>
      </c>
      <c r="K1988" s="1" t="str">
        <f aca="false">VLOOKUP(B1988,Заказы!$A$2:$E$2995,5,FALSE())</f>
        <v>Выполнено</v>
      </c>
      <c r="L1988" s="1" t="n">
        <f aca="false">D1988*F1988+J1988</f>
        <v>5401</v>
      </c>
      <c r="M1988" s="1" t="n">
        <f aca="false">IF(AND(E1988="Пицца Труслейка",I1988="г. Москва",K1988="Выполнено",G1988&gt;=DATE(2020,7,1),G1988&lt;DATE(2020,8,1)),L1988,0)</f>
        <v>0</v>
      </c>
    </row>
    <row r="1989" customFormat="false" ht="15" hidden="false" customHeight="true" outlineLevel="0" collapsed="false">
      <c r="A1989" s="1" t="n">
        <v>100615</v>
      </c>
      <c r="B1989" s="1" t="n">
        <v>51990</v>
      </c>
      <c r="C1989" s="1" t="n">
        <v>10</v>
      </c>
      <c r="D1989" s="1" t="n">
        <v>2</v>
      </c>
      <c r="E1989" s="1" t="str">
        <f aca="false">VLOOKUP(C1989,Меню!$A$2:$C$24,2,FALSE())</f>
        <v>Пицца Пепперони фреш</v>
      </c>
      <c r="F1989" s="1" t="n">
        <f aca="false">VLOOKUP(C1989,Меню!$A$2:$C$24,3,FALSE())</f>
        <v>565</v>
      </c>
      <c r="G1989" s="5" t="n">
        <f aca="false">VLOOKUP(B1989,Заказы!$A$2:$E$2995,2,FALSE())</f>
        <v>44005</v>
      </c>
      <c r="H1989" s="1" t="n">
        <f aca="false">VLOOKUP(B1989,Заказы!$A$2:$E$2995,3,FALSE())</f>
        <v>820</v>
      </c>
      <c r="I1989" s="1" t="str">
        <f aca="false">VLOOKUP(H1989,Клиенты!$A$2:$E$1995,5,FALSE())</f>
        <v>г. Москва</v>
      </c>
      <c r="J1989" s="1" t="n">
        <f aca="false">VLOOKUP(B1989,Заказы!$A$2:$E$2995,4,FALSE())</f>
        <v>0</v>
      </c>
      <c r="K1989" s="1" t="str">
        <f aca="false">VLOOKUP(B1989,Заказы!$A$2:$E$2995,5,FALSE())</f>
        <v>Не выполнено</v>
      </c>
      <c r="L1989" s="1" t="n">
        <f aca="false">D1989*F1989+J1989</f>
        <v>1130</v>
      </c>
      <c r="M1989" s="1" t="n">
        <f aca="false">IF(AND(E1989="Пицца Труслейка",I1989="г. Москва",K1989="Выполнено",G1989&gt;=DATE(2020,7,1),G1989&lt;DATE(2020,8,1)),L1989,0)</f>
        <v>0</v>
      </c>
    </row>
    <row r="1990" customFormat="false" ht="15" hidden="false" customHeight="true" outlineLevel="0" collapsed="false">
      <c r="A1990" s="1" t="n">
        <v>101735</v>
      </c>
      <c r="B1990" s="1" t="n">
        <v>51824</v>
      </c>
      <c r="C1990" s="1" t="n">
        <v>3</v>
      </c>
      <c r="D1990" s="1" t="n">
        <v>4</v>
      </c>
      <c r="E1990" s="1" t="str">
        <f aca="false">VLOOKUP(C1990,Меню!$A$2:$C$24,2,FALSE())</f>
        <v>Пицца Диабло</v>
      </c>
      <c r="F1990" s="1" t="n">
        <f aca="false">VLOOKUP(C1990,Меню!$A$2:$C$24,3,FALSE())</f>
        <v>590</v>
      </c>
      <c r="G1990" s="5" t="n">
        <f aca="false">VLOOKUP(B1990,Заказы!$A$2:$E$2995,2,FALSE())</f>
        <v>44006</v>
      </c>
      <c r="H1990" s="1" t="n">
        <f aca="false">VLOOKUP(B1990,Заказы!$A$2:$E$2995,3,FALSE())</f>
        <v>999</v>
      </c>
      <c r="I1990" s="1" t="str">
        <f aca="false">VLOOKUP(H1990,Клиенты!$A$2:$E$1995,5,FALSE())</f>
        <v>г. Биробиджан</v>
      </c>
      <c r="J1990" s="1" t="n">
        <f aca="false">VLOOKUP(B1990,Заказы!$A$2:$E$2995,4,FALSE())</f>
        <v>749</v>
      </c>
      <c r="K1990" s="1" t="str">
        <f aca="false">VLOOKUP(B1990,Заказы!$A$2:$E$2995,5,FALSE())</f>
        <v>Выполнено</v>
      </c>
      <c r="L1990" s="1" t="n">
        <f aca="false">D1990*F1990+J1990</f>
        <v>3109</v>
      </c>
      <c r="M1990" s="1" t="n">
        <f aca="false">IF(AND(E1990="Пицца Труслейка",I1990="г. Москва",K1990="Выполнено",G1990&gt;=DATE(2020,7,1),G1990&lt;DATE(2020,8,1)),L1990,0)</f>
        <v>0</v>
      </c>
    </row>
    <row r="1991" customFormat="false" ht="15" hidden="false" customHeight="true" outlineLevel="0" collapsed="false">
      <c r="A1991" s="1" t="n">
        <v>100975</v>
      </c>
      <c r="B1991" s="1" t="n">
        <v>51442</v>
      </c>
      <c r="C1991" s="1" t="n">
        <v>4</v>
      </c>
      <c r="D1991" s="1" t="n">
        <v>10</v>
      </c>
      <c r="E1991" s="1" t="str">
        <f aca="false">VLOOKUP(C1991,Меню!$A$2:$C$24,2,FALSE())</f>
        <v>Пицца Труслейка</v>
      </c>
      <c r="F1991" s="1" t="n">
        <f aca="false">VLOOKUP(C1991,Меню!$A$2:$C$24,3,FALSE())</f>
        <v>610</v>
      </c>
      <c r="G1991" s="5" t="n">
        <f aca="false">VLOOKUP(B1991,Заказы!$A$2:$E$2995,2,FALSE())</f>
        <v>44035</v>
      </c>
      <c r="H1991" s="1" t="n">
        <f aca="false">VLOOKUP(B1991,Заказы!$A$2:$E$2995,3,FALSE())</f>
        <v>244</v>
      </c>
      <c r="I1991" s="1" t="str">
        <f aca="false">VLOOKUP(H1991,Клиенты!$A$2:$E$1995,5,FALSE())</f>
        <v>г. Котовск</v>
      </c>
      <c r="J1991" s="1" t="n">
        <f aca="false">VLOOKUP(B1991,Заказы!$A$2:$E$2995,4,FALSE())</f>
        <v>541</v>
      </c>
      <c r="K1991" s="1" t="str">
        <f aca="false">VLOOKUP(B1991,Заказы!$A$2:$E$2995,5,FALSE())</f>
        <v>Выполнено</v>
      </c>
      <c r="L1991" s="1" t="n">
        <f aca="false">D1991*F1991+J1991</f>
        <v>6641</v>
      </c>
      <c r="M1991" s="1" t="n">
        <f aca="false">IF(AND(E1991="Пицца Труслейка",I1991="г. Москва",K1991="Выполнено",G1991&gt;=DATE(2020,7,1),G1991&lt;DATE(2020,8,1)),L1991,0)</f>
        <v>0</v>
      </c>
    </row>
    <row r="1992" customFormat="false" ht="15" hidden="false" customHeight="true" outlineLevel="0" collapsed="false">
      <c r="A1992" s="1" t="n">
        <v>101460</v>
      </c>
      <c r="B1992" s="1" t="n">
        <v>50532</v>
      </c>
      <c r="C1992" s="1" t="n">
        <v>2</v>
      </c>
      <c r="D1992" s="1" t="n">
        <v>10</v>
      </c>
      <c r="E1992" s="1" t="str">
        <f aca="false">VLOOKUP(C1992,Меню!$A$2:$C$24,2,FALSE())</f>
        <v>Пицца Двойная пепперони</v>
      </c>
      <c r="F1992" s="1" t="n">
        <f aca="false">VLOOKUP(C1992,Меню!$A$2:$C$24,3,FALSE())</f>
        <v>575</v>
      </c>
      <c r="G1992" s="5" t="n">
        <f aca="false">VLOOKUP(B1992,Заказы!$A$2:$E$2995,2,FALSE())</f>
        <v>44053</v>
      </c>
      <c r="H1992" s="1" t="n">
        <f aca="false">VLOOKUP(B1992,Заказы!$A$2:$E$2995,3,FALSE())</f>
        <v>143</v>
      </c>
      <c r="I1992" s="1" t="str">
        <f aca="false">VLOOKUP(H1992,Клиенты!$A$2:$E$1995,5,FALSE())</f>
        <v>г. Новокузнецк</v>
      </c>
      <c r="J1992" s="1" t="n">
        <f aca="false">VLOOKUP(B1992,Заказы!$A$2:$E$2995,4,FALSE())</f>
        <v>405</v>
      </c>
      <c r="K1992" s="1" t="str">
        <f aca="false">VLOOKUP(B1992,Заказы!$A$2:$E$2995,5,FALSE())</f>
        <v>Выполнено</v>
      </c>
      <c r="L1992" s="1" t="n">
        <f aca="false">D1992*F1992+J1992</f>
        <v>6155</v>
      </c>
      <c r="M1992" s="1" t="n">
        <f aca="false">IF(AND(E1992="Пицца Труслейка",I1992="г. Москва",K1992="Выполнено",G1992&gt;=DATE(2020,7,1),G1992&lt;DATE(2020,8,1)),L1992,0)</f>
        <v>0</v>
      </c>
    </row>
    <row r="1993" customFormat="false" ht="15" hidden="false" customHeight="true" outlineLevel="0" collapsed="false">
      <c r="A1993" s="1" t="n">
        <v>100184</v>
      </c>
      <c r="B1993" s="1" t="n">
        <v>50476</v>
      </c>
      <c r="C1993" s="1" t="n">
        <v>22</v>
      </c>
      <c r="D1993" s="1" t="n">
        <v>2</v>
      </c>
      <c r="E1993" s="1" t="str">
        <f aca="false">VLOOKUP(C1993,Меню!$A$2:$C$24,2,FALSE())</f>
        <v>Пицца с поркеттой и фриарелли</v>
      </c>
      <c r="F1993" s="1" t="n">
        <f aca="false">VLOOKUP(C1993,Меню!$A$2:$C$24,3,FALSE())</f>
        <v>550</v>
      </c>
      <c r="G1993" s="5" t="n">
        <f aca="false">VLOOKUP(B1993,Заказы!$A$2:$E$2995,2,FALSE())</f>
        <v>44010</v>
      </c>
      <c r="H1993" s="1" t="n">
        <f aca="false">VLOOKUP(B1993,Заказы!$A$2:$E$2995,3,FALSE())</f>
        <v>248</v>
      </c>
      <c r="I1993" s="1" t="str">
        <f aca="false">VLOOKUP(H1993,Клиенты!$A$2:$E$1995,5,FALSE())</f>
        <v>г. Сибай</v>
      </c>
      <c r="J1993" s="1" t="n">
        <f aca="false">VLOOKUP(B1993,Заказы!$A$2:$E$2995,4,FALSE())</f>
        <v>118</v>
      </c>
      <c r="K1993" s="1" t="str">
        <f aca="false">VLOOKUP(B1993,Заказы!$A$2:$E$2995,5,FALSE())</f>
        <v>Выполнено</v>
      </c>
      <c r="L1993" s="1" t="n">
        <f aca="false">D1993*F1993+J1993</f>
        <v>1218</v>
      </c>
      <c r="M1993" s="1" t="n">
        <f aca="false">IF(AND(E1993="Пицца Труслейка",I1993="г. Москва",K1993="Выполнено",G1993&gt;=DATE(2020,7,1),G1993&lt;DATE(2020,8,1)),L1993,0)</f>
        <v>0</v>
      </c>
    </row>
    <row r="1994" customFormat="false" ht="15" hidden="false" customHeight="true" outlineLevel="0" collapsed="false">
      <c r="A1994" s="1" t="n">
        <v>100028</v>
      </c>
      <c r="B1994" s="1" t="n">
        <v>50766</v>
      </c>
      <c r="C1994" s="1" t="n">
        <v>18</v>
      </c>
      <c r="D1994" s="1" t="n">
        <v>3</v>
      </c>
      <c r="E1994" s="1" t="str">
        <f aca="false">VLOOKUP(C1994,Меню!$A$2:$C$24,2,FALSE())</f>
        <v>Пицца Царская</v>
      </c>
      <c r="F1994" s="1" t="n">
        <f aca="false">VLOOKUP(C1994,Меню!$A$2:$C$24,3,FALSE())</f>
        <v>620</v>
      </c>
      <c r="G1994" s="5" t="n">
        <f aca="false">VLOOKUP(B1994,Заказы!$A$2:$E$2995,2,FALSE())</f>
        <v>44017</v>
      </c>
      <c r="H1994" s="1" t="n">
        <f aca="false">VLOOKUP(B1994,Заказы!$A$2:$E$2995,3,FALSE())</f>
        <v>1095</v>
      </c>
      <c r="I1994" s="1" t="str">
        <f aca="false">VLOOKUP(H1994,Клиенты!$A$2:$E$1995,5,FALSE())</f>
        <v>г. Кинешма</v>
      </c>
      <c r="J1994" s="1" t="n">
        <f aca="false">VLOOKUP(B1994,Заказы!$A$2:$E$2995,4,FALSE())</f>
        <v>0</v>
      </c>
      <c r="K1994" s="1" t="str">
        <f aca="false">VLOOKUP(B1994,Заказы!$A$2:$E$2995,5,FALSE())</f>
        <v>Не выполнено</v>
      </c>
      <c r="L1994" s="1" t="n">
        <f aca="false">D1994*F1994+J1994</f>
        <v>1860</v>
      </c>
      <c r="M1994" s="1" t="n">
        <f aca="false">IF(AND(E1994="Пицца Труслейка",I1994="г. Москва",K1994="Выполнено",G1994&gt;=DATE(2020,7,1),G1994&lt;DATE(2020,8,1)),L1994,0)</f>
        <v>0</v>
      </c>
    </row>
    <row r="1995" customFormat="false" ht="15" hidden="false" customHeight="true" outlineLevel="0" collapsed="false">
      <c r="A1995" s="1" t="n">
        <v>100827</v>
      </c>
      <c r="B1995" s="1" t="n">
        <v>51928</v>
      </c>
      <c r="C1995" s="1" t="n">
        <v>11</v>
      </c>
      <c r="D1995" s="1" t="n">
        <v>7</v>
      </c>
      <c r="E1995" s="1" t="str">
        <f aca="false">VLOOKUP(C1995,Меню!$A$2:$C$24,2,FALSE())</f>
        <v>Пицца Песто</v>
      </c>
      <c r="F1995" s="1" t="n">
        <f aca="false">VLOOKUP(C1995,Меню!$A$2:$C$24,3,FALSE())</f>
        <v>530</v>
      </c>
      <c r="G1995" s="5" t="n">
        <f aca="false">VLOOKUP(B1995,Заказы!$A$2:$E$2995,2,FALSE())</f>
        <v>44012</v>
      </c>
      <c r="H1995" s="1" t="n">
        <f aca="false">VLOOKUP(B1995,Заказы!$A$2:$E$2995,3,FALSE())</f>
        <v>1716</v>
      </c>
      <c r="I1995" s="1" t="str">
        <f aca="false">VLOOKUP(H1995,Клиенты!$A$2:$E$1995,5,FALSE())</f>
        <v>г. Салехард</v>
      </c>
      <c r="J1995" s="1" t="n">
        <f aca="false">VLOOKUP(B1995,Заказы!$A$2:$E$2995,4,FALSE())</f>
        <v>0</v>
      </c>
      <c r="K1995" s="1" t="str">
        <f aca="false">VLOOKUP(B1995,Заказы!$A$2:$E$2995,5,FALSE())</f>
        <v>Не выполнено</v>
      </c>
      <c r="L1995" s="1" t="n">
        <f aca="false">D1995*F1995+J1995</f>
        <v>3710</v>
      </c>
      <c r="M1995" s="1" t="n">
        <f aca="false">IF(AND(E1995="Пицца Труслейка",I1995="г. Москва",K1995="Выполнено",G1995&gt;=DATE(2020,7,1),G1995&lt;DATE(2020,8,1)),L1995,0)</f>
        <v>0</v>
      </c>
    </row>
    <row r="1996" customFormat="false" ht="15" hidden="false" customHeight="false" outlineLevel="0" collapsed="false">
      <c r="L1996" s="2" t="s">
        <v>1959</v>
      </c>
      <c r="M1996" s="2" t="n">
        <f aca="false">SUM(M2:M1995)</f>
        <v>32513</v>
      </c>
    </row>
  </sheetData>
  <autoFilter ref="A1:M1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33.41"/>
    <col collapsed="false" customWidth="true" hidden="false" outlineLevel="0" max="3" min="3" style="1" width="11.28"/>
  </cols>
  <sheetData>
    <row r="1" customFormat="false" ht="15" hidden="false" customHeight="true" outlineLevel="0" collapsed="false">
      <c r="A1" s="2" t="s">
        <v>1952</v>
      </c>
      <c r="B1" s="2" t="s">
        <v>1960</v>
      </c>
      <c r="C1" s="2" t="s">
        <v>1955</v>
      </c>
    </row>
    <row r="2" customFormat="false" ht="15" hidden="false" customHeight="true" outlineLevel="0" collapsed="false">
      <c r="A2" s="1" t="n">
        <v>1</v>
      </c>
      <c r="B2" s="1" t="s">
        <v>1961</v>
      </c>
      <c r="C2" s="4" t="n">
        <v>545</v>
      </c>
    </row>
    <row r="3" customFormat="false" ht="15" hidden="false" customHeight="true" outlineLevel="0" collapsed="false">
      <c r="A3" s="1" t="n">
        <v>2</v>
      </c>
      <c r="B3" s="1" t="s">
        <v>1962</v>
      </c>
      <c r="C3" s="4" t="n">
        <v>575</v>
      </c>
    </row>
    <row r="4" customFormat="false" ht="15" hidden="false" customHeight="true" outlineLevel="0" collapsed="false">
      <c r="A4" s="1" t="n">
        <v>3</v>
      </c>
      <c r="B4" s="1" t="s">
        <v>1963</v>
      </c>
      <c r="C4" s="4" t="n">
        <v>590</v>
      </c>
    </row>
    <row r="5" customFormat="false" ht="15" hidden="false" customHeight="true" outlineLevel="0" collapsed="false">
      <c r="A5" s="1" t="n">
        <v>4</v>
      </c>
      <c r="B5" s="1" t="s">
        <v>1964</v>
      </c>
      <c r="C5" s="4" t="n">
        <v>610</v>
      </c>
    </row>
    <row r="6" customFormat="false" ht="15" hidden="false" customHeight="true" outlineLevel="0" collapsed="false">
      <c r="A6" s="1" t="n">
        <v>5</v>
      </c>
      <c r="B6" s="1" t="s">
        <v>1965</v>
      </c>
      <c r="C6" s="4" t="n">
        <v>580</v>
      </c>
    </row>
    <row r="7" customFormat="false" ht="15" hidden="false" customHeight="true" outlineLevel="0" collapsed="false">
      <c r="A7" s="1" t="n">
        <v>6</v>
      </c>
      <c r="B7" s="1" t="s">
        <v>1966</v>
      </c>
      <c r="C7" s="4" t="n">
        <v>570</v>
      </c>
    </row>
    <row r="8" customFormat="false" ht="15" hidden="false" customHeight="true" outlineLevel="0" collapsed="false">
      <c r="A8" s="1" t="n">
        <v>7</v>
      </c>
      <c r="B8" s="1" t="s">
        <v>1967</v>
      </c>
      <c r="C8" s="4" t="n">
        <v>625</v>
      </c>
    </row>
    <row r="9" customFormat="false" ht="15" hidden="false" customHeight="true" outlineLevel="0" collapsed="false">
      <c r="A9" s="1" t="n">
        <v>8</v>
      </c>
      <c r="B9" s="1" t="s">
        <v>1968</v>
      </c>
      <c r="C9" s="4" t="n">
        <v>615</v>
      </c>
    </row>
    <row r="10" customFormat="false" ht="15" hidden="false" customHeight="true" outlineLevel="0" collapsed="false">
      <c r="A10" s="1" t="n">
        <v>9</v>
      </c>
      <c r="B10" s="1" t="s">
        <v>1969</v>
      </c>
      <c r="C10" s="4" t="n">
        <v>540</v>
      </c>
    </row>
    <row r="11" customFormat="false" ht="15" hidden="false" customHeight="true" outlineLevel="0" collapsed="false">
      <c r="A11" s="1" t="n">
        <v>10</v>
      </c>
      <c r="B11" s="1" t="s">
        <v>1970</v>
      </c>
      <c r="C11" s="4" t="n">
        <v>565</v>
      </c>
    </row>
    <row r="12" customFormat="false" ht="15" hidden="false" customHeight="true" outlineLevel="0" collapsed="false">
      <c r="A12" s="1" t="n">
        <v>11</v>
      </c>
      <c r="B12" s="1" t="s">
        <v>1971</v>
      </c>
      <c r="C12" s="4" t="n">
        <v>530</v>
      </c>
    </row>
    <row r="13" customFormat="false" ht="15" hidden="false" customHeight="true" outlineLevel="0" collapsed="false">
      <c r="A13" s="1" t="n">
        <v>12</v>
      </c>
      <c r="B13" s="1" t="s">
        <v>1972</v>
      </c>
      <c r="C13" s="4" t="n">
        <v>525</v>
      </c>
    </row>
    <row r="14" customFormat="false" ht="15" hidden="false" customHeight="true" outlineLevel="0" collapsed="false">
      <c r="A14" s="1" t="n">
        <v>13</v>
      </c>
      <c r="B14" s="1" t="s">
        <v>1973</v>
      </c>
      <c r="C14" s="4" t="n">
        <v>635</v>
      </c>
    </row>
    <row r="15" customFormat="false" ht="15" hidden="false" customHeight="true" outlineLevel="0" collapsed="false">
      <c r="A15" s="1" t="n">
        <v>14</v>
      </c>
      <c r="B15" s="1" t="s">
        <v>1974</v>
      </c>
      <c r="C15" s="4" t="n">
        <v>555</v>
      </c>
    </row>
    <row r="16" customFormat="false" ht="15" hidden="false" customHeight="true" outlineLevel="0" collapsed="false">
      <c r="A16" s="1" t="n">
        <v>15</v>
      </c>
      <c r="B16" s="1" t="s">
        <v>1975</v>
      </c>
      <c r="C16" s="4" t="n">
        <v>605</v>
      </c>
    </row>
    <row r="17" customFormat="false" ht="15" hidden="false" customHeight="true" outlineLevel="0" collapsed="false">
      <c r="A17" s="1" t="n">
        <v>16</v>
      </c>
      <c r="B17" s="1" t="s">
        <v>1976</v>
      </c>
      <c r="C17" s="4" t="n">
        <v>535</v>
      </c>
    </row>
    <row r="18" customFormat="false" ht="15" hidden="false" customHeight="true" outlineLevel="0" collapsed="false">
      <c r="A18" s="1" t="n">
        <v>17</v>
      </c>
      <c r="B18" s="1" t="s">
        <v>1977</v>
      </c>
      <c r="C18" s="4" t="n">
        <v>515</v>
      </c>
    </row>
    <row r="19" customFormat="false" ht="15" hidden="false" customHeight="true" outlineLevel="0" collapsed="false">
      <c r="A19" s="1" t="n">
        <v>18</v>
      </c>
      <c r="B19" s="1" t="s">
        <v>1978</v>
      </c>
      <c r="C19" s="4" t="n">
        <v>620</v>
      </c>
    </row>
    <row r="20" customFormat="false" ht="15" hidden="false" customHeight="true" outlineLevel="0" collapsed="false">
      <c r="A20" s="1" t="n">
        <v>19</v>
      </c>
      <c r="B20" s="1" t="s">
        <v>1979</v>
      </c>
      <c r="C20" s="4" t="n">
        <v>630</v>
      </c>
    </row>
    <row r="21" customFormat="false" ht="15" hidden="false" customHeight="true" outlineLevel="0" collapsed="false">
      <c r="A21" s="1" t="n">
        <v>20</v>
      </c>
      <c r="B21" s="1" t="s">
        <v>1980</v>
      </c>
      <c r="C21" s="4" t="n">
        <v>585</v>
      </c>
    </row>
    <row r="22" customFormat="false" ht="15" hidden="false" customHeight="true" outlineLevel="0" collapsed="false">
      <c r="A22" s="1" t="n">
        <v>21</v>
      </c>
      <c r="B22" s="1" t="s">
        <v>1981</v>
      </c>
      <c r="C22" s="4" t="n">
        <v>600</v>
      </c>
    </row>
    <row r="23" customFormat="false" ht="15" hidden="false" customHeight="true" outlineLevel="0" collapsed="false">
      <c r="A23" s="1" t="n">
        <v>22</v>
      </c>
      <c r="B23" s="1" t="s">
        <v>1982</v>
      </c>
      <c r="C23" s="4" t="n">
        <v>550</v>
      </c>
    </row>
    <row r="24" customFormat="false" ht="15" hidden="false" customHeight="true" outlineLevel="0" collapsed="false">
      <c r="A24" s="1" t="n">
        <v>23</v>
      </c>
      <c r="B24" s="1" t="s">
        <v>1983</v>
      </c>
      <c r="C24" s="4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2022-05-11T17:41:30Z</dcterms:created>
  <dc:creator>openpyxl</dc:creator>
  <dc:description/>
  <dc:language>en-US</dc:language>
  <cp:lastModifiedBy>Alexey Kabanov</cp:lastModifiedBy>
  <dcterms:modified xsi:type="dcterms:W3CDTF">2026-09-21T09:05:49Z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