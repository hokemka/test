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615" windowHeight="7230" tabRatio="600" firstSheet="0" activeTab="1" autoFilterDateGrouping="1"/>
  </bookViews>
  <sheets>
    <sheet xmlns:r="http://schemas.openxmlformats.org/officeDocument/2006/relationships" name="Движение товаров" sheetId="1" state="visible" r:id="rId1"/>
    <sheet xmlns:r="http://schemas.openxmlformats.org/officeDocument/2006/relationships" name="Товар" sheetId="2" state="visible" r:id="rId2"/>
    <sheet xmlns:r="http://schemas.openxmlformats.org/officeDocument/2006/relationships" name="Магазин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21"/>
  <sheetViews>
    <sheetView zoomScale="98" zoomScaleNormal="98" workbookViewId="0">
      <selection activeCell="H1529" sqref="H1529"/>
    </sheetView>
  </sheetViews>
  <sheetFormatPr baseColWidth="8" defaultColWidth="8.85546875" defaultRowHeight="15"/>
  <cols>
    <col width="11.140625" customWidth="1" style="4" min="1" max="1"/>
    <col width="12.140625" customWidth="1" style="4" min="2" max="2"/>
    <col width="9.7109375" customWidth="1" style="5" min="3" max="3"/>
    <col width="9.42578125" customWidth="1" style="5" min="4" max="4"/>
    <col width="14.28515625" customWidth="1" style="5" min="5" max="5"/>
    <col width="15.42578125" customWidth="1" style="4" min="6" max="6"/>
    <col width="13.42578125" customWidth="1" style="4" min="7" max="7"/>
  </cols>
  <sheetData>
    <row r="1" ht="31.5" customHeight="1" s="4">
      <c r="A1" s="2" t="inlineStr">
        <is>
          <t>ID операции</t>
        </is>
      </c>
      <c r="B1" s="2" t="inlineStr">
        <is>
          <t>Дата</t>
        </is>
      </c>
      <c r="C1" s="2" t="inlineStr">
        <is>
          <t>ID магазина</t>
        </is>
      </c>
      <c r="D1" s="2" t="inlineStr">
        <is>
          <t>Артикул</t>
        </is>
      </c>
      <c r="E1" s="2" t="inlineStr">
        <is>
          <t>Количество упаковок, шт.</t>
        </is>
      </c>
      <c r="F1" s="2" t="inlineStr">
        <is>
          <t>Тип операции</t>
        </is>
      </c>
      <c r="G1" s="2" t="n"/>
    </row>
    <row r="2">
      <c r="A2" t="n">
        <v>1</v>
      </c>
      <c r="B2" s="1" t="n">
        <v>45078</v>
      </c>
      <c r="C2" s="5" t="inlineStr">
        <is>
          <t>M1</t>
        </is>
      </c>
      <c r="D2" s="5" t="n">
        <v>1</v>
      </c>
      <c r="E2" s="5" t="n">
        <v>200</v>
      </c>
      <c r="F2" t="inlineStr">
        <is>
          <t>Поступление</t>
        </is>
      </c>
      <c r="H2">
        <f>VLOOKUP(C2,Магазин!$A$2:$C$1000,2,0)</f>
        <v/>
      </c>
      <c r="I2">
        <f>VLOOKUP(D2,Товар!$A$2:$F$1000,3,0)</f>
        <v/>
      </c>
      <c r="J2">
        <f>VLOOKUP(D2,Товар!$A$2:$F$1000,5,0)</f>
        <v/>
      </c>
      <c r="K2">
        <f>IF(AND(H2="Промышленный",LEFT(I2,18)="Порошок стиральный",F2="Продажа",B2=DATE(2023,6,7)),E2*J2/1000,0)</f>
        <v/>
      </c>
      <c r="M2">
        <f>SUM(K2:K4321)</f>
        <v/>
      </c>
    </row>
    <row r="3">
      <c r="A3" t="n">
        <v>2</v>
      </c>
      <c r="B3" s="1" t="n">
        <v>45078</v>
      </c>
      <c r="C3" s="5" t="inlineStr">
        <is>
          <t>M1</t>
        </is>
      </c>
      <c r="D3" s="5" t="n">
        <v>2</v>
      </c>
      <c r="E3" s="5" t="n">
        <v>200</v>
      </c>
      <c r="F3" t="inlineStr">
        <is>
          <t>Поступление</t>
        </is>
      </c>
      <c r="H3">
        <f>VLOOKUP(C3,Магазин!$A$2:$C$1000,2,0)</f>
        <v/>
      </c>
      <c r="I3">
        <f>VLOOKUP(D3,Товар!$A$2:$F$1000,3,0)</f>
        <v/>
      </c>
      <c r="J3">
        <f>VLOOKUP(D3,Товар!$A$2:$F$1000,5,0)</f>
        <v/>
      </c>
      <c r="K3">
        <f>IF(AND(H3="Промышленный",LEFT(I3,18)="Порошок стиральный",F3="Продажа",B3=DATE(2023,6,7)),E3*J3/1000,0)</f>
        <v/>
      </c>
    </row>
    <row r="4">
      <c r="A4" t="n">
        <v>3</v>
      </c>
      <c r="B4" s="1" t="n">
        <v>45078</v>
      </c>
      <c r="C4" s="5" t="inlineStr">
        <is>
          <t>M1</t>
        </is>
      </c>
      <c r="D4" s="5" t="n">
        <v>3</v>
      </c>
      <c r="E4" s="5" t="n">
        <v>200</v>
      </c>
      <c r="F4" t="inlineStr">
        <is>
          <t>Поступление</t>
        </is>
      </c>
      <c r="H4">
        <f>VLOOKUP(C4,Магазин!$A$2:$C$1000,2,0)</f>
        <v/>
      </c>
      <c r="I4">
        <f>VLOOKUP(D4,Товар!$A$2:$F$1000,3,0)</f>
        <v/>
      </c>
      <c r="J4">
        <f>VLOOKUP(D4,Товар!$A$2:$F$1000,5,0)</f>
        <v/>
      </c>
      <c r="K4">
        <f>IF(AND(H4="Промышленный",LEFT(I4,18)="Порошок стиральный",F4="Продажа",B4=DATE(2023,6,7)),E4*J4/1000,0)</f>
        <v/>
      </c>
    </row>
    <row r="5">
      <c r="A5" t="n">
        <v>4</v>
      </c>
      <c r="B5" s="1" t="n">
        <v>45078</v>
      </c>
      <c r="C5" s="5" t="inlineStr">
        <is>
          <t>M1</t>
        </is>
      </c>
      <c r="D5" s="5" t="n">
        <v>4</v>
      </c>
      <c r="E5" s="5" t="n">
        <v>200</v>
      </c>
      <c r="F5" t="inlineStr">
        <is>
          <t>Поступление</t>
        </is>
      </c>
      <c r="H5">
        <f>VLOOKUP(C5,Магазин!$A$2:$C$1000,2,0)</f>
        <v/>
      </c>
      <c r="I5">
        <f>VLOOKUP(D5,Товар!$A$2:$F$1000,3,0)</f>
        <v/>
      </c>
      <c r="J5">
        <f>VLOOKUP(D5,Товар!$A$2:$F$1000,5,0)</f>
        <v/>
      </c>
      <c r="K5">
        <f>IF(AND(H5="Промышленный",LEFT(I5,18)="Порошок стиральный",F5="Продажа",B5=DATE(2023,6,7)),E5*J5/1000,0)</f>
        <v/>
      </c>
    </row>
    <row r="6">
      <c r="A6" t="n">
        <v>5</v>
      </c>
      <c r="B6" s="1" t="n">
        <v>45078</v>
      </c>
      <c r="C6" s="5" t="inlineStr">
        <is>
          <t>M1</t>
        </is>
      </c>
      <c r="D6" s="5" t="n">
        <v>5</v>
      </c>
      <c r="E6" s="5" t="n">
        <v>200</v>
      </c>
      <c r="F6" t="inlineStr">
        <is>
          <t>Поступление</t>
        </is>
      </c>
      <c r="H6">
        <f>VLOOKUP(C6,Магазин!$A$2:$C$1000,2,0)</f>
        <v/>
      </c>
      <c r="I6">
        <f>VLOOKUP(D6,Товар!$A$2:$F$1000,3,0)</f>
        <v/>
      </c>
      <c r="J6">
        <f>VLOOKUP(D6,Товар!$A$2:$F$1000,5,0)</f>
        <v/>
      </c>
      <c r="K6">
        <f>IF(AND(H6="Промышленный",LEFT(I6,18)="Порошок стиральный",F6="Продажа",B6=DATE(2023,6,7)),E6*J6/1000,0)</f>
        <v/>
      </c>
    </row>
    <row r="7">
      <c r="A7" t="n">
        <v>6</v>
      </c>
      <c r="B7" s="1" t="n">
        <v>45078</v>
      </c>
      <c r="C7" s="5" t="inlineStr">
        <is>
          <t>M1</t>
        </is>
      </c>
      <c r="D7" s="5" t="n">
        <v>6</v>
      </c>
      <c r="E7" s="5" t="n">
        <v>200</v>
      </c>
      <c r="F7" t="inlineStr">
        <is>
          <t>Поступление</t>
        </is>
      </c>
      <c r="H7">
        <f>VLOOKUP(C7,Магазин!$A$2:$C$1000,2,0)</f>
        <v/>
      </c>
      <c r="I7">
        <f>VLOOKUP(D7,Товар!$A$2:$F$1000,3,0)</f>
        <v/>
      </c>
      <c r="J7">
        <f>VLOOKUP(D7,Товар!$A$2:$F$1000,5,0)</f>
        <v/>
      </c>
      <c r="K7">
        <f>IF(AND(H7="Промышленный",LEFT(I7,18)="Порошок стиральный",F7="Продажа",B7=DATE(2023,6,7)),E7*J7/1000,0)</f>
        <v/>
      </c>
    </row>
    <row r="8">
      <c r="A8" t="n">
        <v>7</v>
      </c>
      <c r="B8" s="1" t="n">
        <v>45078</v>
      </c>
      <c r="C8" s="5" t="inlineStr">
        <is>
          <t>M1</t>
        </is>
      </c>
      <c r="D8" s="5" t="n">
        <v>7</v>
      </c>
      <c r="E8" s="5" t="n">
        <v>200</v>
      </c>
      <c r="F8" t="inlineStr">
        <is>
          <t>Поступление</t>
        </is>
      </c>
      <c r="H8">
        <f>VLOOKUP(C8,Магазин!$A$2:$C$1000,2,0)</f>
        <v/>
      </c>
      <c r="I8">
        <f>VLOOKUP(D8,Товар!$A$2:$F$1000,3,0)</f>
        <v/>
      </c>
      <c r="J8">
        <f>VLOOKUP(D8,Товар!$A$2:$F$1000,5,0)</f>
        <v/>
      </c>
      <c r="K8">
        <f>IF(AND(H8="Промышленный",LEFT(I8,18)="Порошок стиральный",F8="Продажа",B8=DATE(2023,6,7)),E8*J8/1000,0)</f>
        <v/>
      </c>
    </row>
    <row r="9">
      <c r="A9" t="n">
        <v>8</v>
      </c>
      <c r="B9" s="1" t="n">
        <v>45078</v>
      </c>
      <c r="C9" s="5" t="inlineStr">
        <is>
          <t>M1</t>
        </is>
      </c>
      <c r="D9" s="5" t="n">
        <v>8</v>
      </c>
      <c r="E9" s="5" t="n">
        <v>200</v>
      </c>
      <c r="F9" t="inlineStr">
        <is>
          <t>Поступление</t>
        </is>
      </c>
      <c r="H9">
        <f>VLOOKUP(C9,Магазин!$A$2:$C$1000,2,0)</f>
        <v/>
      </c>
      <c r="I9">
        <f>VLOOKUP(D9,Товар!$A$2:$F$1000,3,0)</f>
        <v/>
      </c>
      <c r="J9">
        <f>VLOOKUP(D9,Товар!$A$2:$F$1000,5,0)</f>
        <v/>
      </c>
      <c r="K9">
        <f>IF(AND(H9="Промышленный",LEFT(I9,18)="Порошок стиральный",F9="Продажа",B9=DATE(2023,6,7)),E9*J9/1000,0)</f>
        <v/>
      </c>
    </row>
    <row r="10">
      <c r="A10" t="n">
        <v>9</v>
      </c>
      <c r="B10" s="1" t="n">
        <v>45078</v>
      </c>
      <c r="C10" s="5" t="inlineStr">
        <is>
          <t>M1</t>
        </is>
      </c>
      <c r="D10" s="5" t="n">
        <v>9</v>
      </c>
      <c r="E10" s="5" t="n">
        <v>200</v>
      </c>
      <c r="F10" t="inlineStr">
        <is>
          <t>Поступление</t>
        </is>
      </c>
      <c r="H10">
        <f>VLOOKUP(C10,Магазин!$A$2:$C$1000,2,0)</f>
        <v/>
      </c>
      <c r="I10">
        <f>VLOOKUP(D10,Товар!$A$2:$F$1000,3,0)</f>
        <v/>
      </c>
      <c r="J10">
        <f>VLOOKUP(D10,Товар!$A$2:$F$1000,5,0)</f>
        <v/>
      </c>
      <c r="K10">
        <f>IF(AND(H10="Промышленный",LEFT(I10,18)="Порошок стиральный",F10="Продажа",B10=DATE(2023,6,7)),E10*J10/1000,0)</f>
        <v/>
      </c>
    </row>
    <row r="11">
      <c r="A11" t="n">
        <v>10</v>
      </c>
      <c r="B11" s="1" t="n">
        <v>45078</v>
      </c>
      <c r="C11" s="5" t="inlineStr">
        <is>
          <t>M1</t>
        </is>
      </c>
      <c r="D11" s="5" t="n">
        <v>10</v>
      </c>
      <c r="E11" s="5" t="n">
        <v>200</v>
      </c>
      <c r="F11" t="inlineStr">
        <is>
          <t>Поступление</t>
        </is>
      </c>
      <c r="H11">
        <f>VLOOKUP(C11,Магазин!$A$2:$C$1000,2,0)</f>
        <v/>
      </c>
      <c r="I11">
        <f>VLOOKUP(D11,Товар!$A$2:$F$1000,3,0)</f>
        <v/>
      </c>
      <c r="J11">
        <f>VLOOKUP(D11,Товар!$A$2:$F$1000,5,0)</f>
        <v/>
      </c>
      <c r="K11">
        <f>IF(AND(H11="Промышленный",LEFT(I11,18)="Порошок стиральный",F11="Продажа",B11=DATE(2023,6,7)),E11*J11/1000,0)</f>
        <v/>
      </c>
    </row>
    <row r="12">
      <c r="A12" t="n">
        <v>11</v>
      </c>
      <c r="B12" s="1" t="n">
        <v>45078</v>
      </c>
      <c r="C12" s="5" t="inlineStr">
        <is>
          <t>M1</t>
        </is>
      </c>
      <c r="D12" s="5" t="n">
        <v>11</v>
      </c>
      <c r="E12" s="5" t="n">
        <v>200</v>
      </c>
      <c r="F12" t="inlineStr">
        <is>
          <t>Поступление</t>
        </is>
      </c>
      <c r="H12">
        <f>VLOOKUP(C12,Магазин!$A$2:$C$1000,2,0)</f>
        <v/>
      </c>
      <c r="I12">
        <f>VLOOKUP(D12,Товар!$A$2:$F$1000,3,0)</f>
        <v/>
      </c>
      <c r="J12">
        <f>VLOOKUP(D12,Товар!$A$2:$F$1000,5,0)</f>
        <v/>
      </c>
      <c r="K12">
        <f>IF(AND(H12="Промышленный",LEFT(I12,18)="Порошок стиральный",F12="Продажа",B12=DATE(2023,6,7)),E12*J12/1000,0)</f>
        <v/>
      </c>
    </row>
    <row r="13">
      <c r="A13" t="n">
        <v>12</v>
      </c>
      <c r="B13" s="1" t="n">
        <v>45078</v>
      </c>
      <c r="C13" s="5" t="inlineStr">
        <is>
          <t>M1</t>
        </is>
      </c>
      <c r="D13" s="5" t="n">
        <v>12</v>
      </c>
      <c r="E13" s="5" t="n">
        <v>200</v>
      </c>
      <c r="F13" t="inlineStr">
        <is>
          <t>Поступление</t>
        </is>
      </c>
      <c r="H13">
        <f>VLOOKUP(C13,Магазин!$A$2:$C$1000,2,0)</f>
        <v/>
      </c>
      <c r="I13">
        <f>VLOOKUP(D13,Товар!$A$2:$F$1000,3,0)</f>
        <v/>
      </c>
      <c r="J13">
        <f>VLOOKUP(D13,Товар!$A$2:$F$1000,5,0)</f>
        <v/>
      </c>
      <c r="K13">
        <f>IF(AND(H13="Промышленный",LEFT(I13,18)="Порошок стиральный",F13="Продажа",B13=DATE(2023,6,7)),E13*J13/1000,0)</f>
        <v/>
      </c>
    </row>
    <row r="14">
      <c r="A14" t="n">
        <v>13</v>
      </c>
      <c r="B14" s="1" t="n">
        <v>45078</v>
      </c>
      <c r="C14" s="5" t="inlineStr">
        <is>
          <t>M1</t>
        </is>
      </c>
      <c r="D14" s="5" t="n">
        <v>13</v>
      </c>
      <c r="E14" s="5" t="n">
        <v>200</v>
      </c>
      <c r="F14" t="inlineStr">
        <is>
          <t>Поступление</t>
        </is>
      </c>
      <c r="H14">
        <f>VLOOKUP(C14,Магазин!$A$2:$C$1000,2,0)</f>
        <v/>
      </c>
      <c r="I14">
        <f>VLOOKUP(D14,Товар!$A$2:$F$1000,3,0)</f>
        <v/>
      </c>
      <c r="J14">
        <f>VLOOKUP(D14,Товар!$A$2:$F$1000,5,0)</f>
        <v/>
      </c>
      <c r="K14">
        <f>IF(AND(H14="Промышленный",LEFT(I14,18)="Порошок стиральный",F14="Продажа",B14=DATE(2023,6,7)),E14*J14/1000,0)</f>
        <v/>
      </c>
    </row>
    <row r="15">
      <c r="A15" t="n">
        <v>14</v>
      </c>
      <c r="B15" s="1" t="n">
        <v>45078</v>
      </c>
      <c r="C15" s="5" t="inlineStr">
        <is>
          <t>M1</t>
        </is>
      </c>
      <c r="D15" s="5" t="n">
        <v>14</v>
      </c>
      <c r="E15" s="5" t="n">
        <v>200</v>
      </c>
      <c r="F15" t="inlineStr">
        <is>
          <t>Поступление</t>
        </is>
      </c>
      <c r="H15">
        <f>VLOOKUP(C15,Магазин!$A$2:$C$1000,2,0)</f>
        <v/>
      </c>
      <c r="I15">
        <f>VLOOKUP(D15,Товар!$A$2:$F$1000,3,0)</f>
        <v/>
      </c>
      <c r="J15">
        <f>VLOOKUP(D15,Товар!$A$2:$F$1000,5,0)</f>
        <v/>
      </c>
      <c r="K15">
        <f>IF(AND(H15="Промышленный",LEFT(I15,18)="Порошок стиральный",F15="Продажа",B15=DATE(2023,6,7)),E15*J15/1000,0)</f>
        <v/>
      </c>
    </row>
    <row r="16">
      <c r="A16" t="n">
        <v>15</v>
      </c>
      <c r="B16" s="1" t="n">
        <v>45078</v>
      </c>
      <c r="C16" s="5" t="inlineStr">
        <is>
          <t>M1</t>
        </is>
      </c>
      <c r="D16" s="5" t="n">
        <v>15</v>
      </c>
      <c r="E16" s="5" t="n">
        <v>200</v>
      </c>
      <c r="F16" t="inlineStr">
        <is>
          <t>Поступление</t>
        </is>
      </c>
      <c r="H16">
        <f>VLOOKUP(C16,Магазин!$A$2:$C$1000,2,0)</f>
        <v/>
      </c>
      <c r="I16">
        <f>VLOOKUP(D16,Товар!$A$2:$F$1000,3,0)</f>
        <v/>
      </c>
      <c r="J16">
        <f>VLOOKUP(D16,Товар!$A$2:$F$1000,5,0)</f>
        <v/>
      </c>
      <c r="K16">
        <f>IF(AND(H16="Промышленный",LEFT(I16,18)="Порошок стиральный",F16="Продажа",B16=DATE(2023,6,7)),E16*J16/1000,0)</f>
        <v/>
      </c>
    </row>
    <row r="17">
      <c r="A17" t="n">
        <v>16</v>
      </c>
      <c r="B17" s="1" t="n">
        <v>45078</v>
      </c>
      <c r="C17" s="5" t="inlineStr">
        <is>
          <t>M1</t>
        </is>
      </c>
      <c r="D17" s="5" t="n">
        <v>16</v>
      </c>
      <c r="E17" s="5" t="n">
        <v>200</v>
      </c>
      <c r="F17" t="inlineStr">
        <is>
          <t>Поступление</t>
        </is>
      </c>
      <c r="H17">
        <f>VLOOKUP(C17,Магазин!$A$2:$C$1000,2,0)</f>
        <v/>
      </c>
      <c r="I17">
        <f>VLOOKUP(D17,Товар!$A$2:$F$1000,3,0)</f>
        <v/>
      </c>
      <c r="J17">
        <f>VLOOKUP(D17,Товар!$A$2:$F$1000,5,0)</f>
        <v/>
      </c>
      <c r="K17">
        <f>IF(AND(H17="Промышленный",LEFT(I17,18)="Порошок стиральный",F17="Продажа",B17=DATE(2023,6,7)),E17*J17/1000,0)</f>
        <v/>
      </c>
    </row>
    <row r="18">
      <c r="A18" t="n">
        <v>17</v>
      </c>
      <c r="B18" s="1" t="n">
        <v>45078</v>
      </c>
      <c r="C18" s="5" t="inlineStr">
        <is>
          <t>M1</t>
        </is>
      </c>
      <c r="D18" s="5" t="n">
        <v>17</v>
      </c>
      <c r="E18" s="5" t="n">
        <v>200</v>
      </c>
      <c r="F18" t="inlineStr">
        <is>
          <t>Поступление</t>
        </is>
      </c>
      <c r="H18">
        <f>VLOOKUP(C18,Магазин!$A$2:$C$1000,2,0)</f>
        <v/>
      </c>
      <c r="I18">
        <f>VLOOKUP(D18,Товар!$A$2:$F$1000,3,0)</f>
        <v/>
      </c>
      <c r="J18">
        <f>VLOOKUP(D18,Товар!$A$2:$F$1000,5,0)</f>
        <v/>
      </c>
      <c r="K18">
        <f>IF(AND(H18="Промышленный",LEFT(I18,18)="Порошок стиральный",F18="Продажа",B18=DATE(2023,6,7)),E18*J18/1000,0)</f>
        <v/>
      </c>
    </row>
    <row r="19">
      <c r="A19" t="n">
        <v>18</v>
      </c>
      <c r="B19" s="1" t="n">
        <v>45078</v>
      </c>
      <c r="C19" s="5" t="inlineStr">
        <is>
          <t>M1</t>
        </is>
      </c>
      <c r="D19" s="5" t="n">
        <v>18</v>
      </c>
      <c r="E19" s="5" t="n">
        <v>200</v>
      </c>
      <c r="F19" t="inlineStr">
        <is>
          <t>Поступление</t>
        </is>
      </c>
      <c r="H19">
        <f>VLOOKUP(C19,Магазин!$A$2:$C$1000,2,0)</f>
        <v/>
      </c>
      <c r="I19">
        <f>VLOOKUP(D19,Товар!$A$2:$F$1000,3,0)</f>
        <v/>
      </c>
      <c r="J19">
        <f>VLOOKUP(D19,Товар!$A$2:$F$1000,5,0)</f>
        <v/>
      </c>
      <c r="K19">
        <f>IF(AND(H19="Промышленный",LEFT(I19,18)="Порошок стиральный",F19="Продажа",B19=DATE(2023,6,7)),E19*J19/1000,0)</f>
        <v/>
      </c>
    </row>
    <row r="20">
      <c r="A20" t="n">
        <v>19</v>
      </c>
      <c r="B20" s="1" t="n">
        <v>45078</v>
      </c>
      <c r="C20" s="5" t="inlineStr">
        <is>
          <t>M1</t>
        </is>
      </c>
      <c r="D20" s="5" t="n">
        <v>19</v>
      </c>
      <c r="E20" s="5" t="n">
        <v>200</v>
      </c>
      <c r="F20" t="inlineStr">
        <is>
          <t>Поступление</t>
        </is>
      </c>
      <c r="H20">
        <f>VLOOKUP(C20,Магазин!$A$2:$C$1000,2,0)</f>
        <v/>
      </c>
      <c r="I20">
        <f>VLOOKUP(D20,Товар!$A$2:$F$1000,3,0)</f>
        <v/>
      </c>
      <c r="J20">
        <f>VLOOKUP(D20,Товар!$A$2:$F$1000,5,0)</f>
        <v/>
      </c>
      <c r="K20">
        <f>IF(AND(H20="Промышленный",LEFT(I20,18)="Порошок стиральный",F20="Продажа",B20=DATE(2023,6,7)),E20*J20/1000,0)</f>
        <v/>
      </c>
    </row>
    <row r="21">
      <c r="A21" t="n">
        <v>20</v>
      </c>
      <c r="B21" s="1" t="n">
        <v>45078</v>
      </c>
      <c r="C21" s="5" t="inlineStr">
        <is>
          <t>M1</t>
        </is>
      </c>
      <c r="D21" s="5" t="n">
        <v>20</v>
      </c>
      <c r="E21" s="5" t="n">
        <v>200</v>
      </c>
      <c r="F21" t="inlineStr">
        <is>
          <t>Поступление</t>
        </is>
      </c>
      <c r="H21">
        <f>VLOOKUP(C21,Магазин!$A$2:$C$1000,2,0)</f>
        <v/>
      </c>
      <c r="I21">
        <f>VLOOKUP(D21,Товар!$A$2:$F$1000,3,0)</f>
        <v/>
      </c>
      <c r="J21">
        <f>VLOOKUP(D21,Товар!$A$2:$F$1000,5,0)</f>
        <v/>
      </c>
      <c r="K21">
        <f>IF(AND(H21="Промышленный",LEFT(I21,18)="Порошок стиральный",F21="Продажа",B21=DATE(2023,6,7)),E21*J21/1000,0)</f>
        <v/>
      </c>
    </row>
    <row r="22">
      <c r="A22" t="n">
        <v>21</v>
      </c>
      <c r="B22" s="1" t="n">
        <v>45078</v>
      </c>
      <c r="C22" s="5" t="inlineStr">
        <is>
          <t>M1</t>
        </is>
      </c>
      <c r="D22" s="5" t="n">
        <v>21</v>
      </c>
      <c r="E22" s="5" t="n">
        <v>200</v>
      </c>
      <c r="F22" t="inlineStr">
        <is>
          <t>Поступление</t>
        </is>
      </c>
      <c r="H22">
        <f>VLOOKUP(C22,Магазин!$A$2:$C$1000,2,0)</f>
        <v/>
      </c>
      <c r="I22">
        <f>VLOOKUP(D22,Товар!$A$2:$F$1000,3,0)</f>
        <v/>
      </c>
      <c r="J22">
        <f>VLOOKUP(D22,Товар!$A$2:$F$1000,5,0)</f>
        <v/>
      </c>
      <c r="K22">
        <f>IF(AND(H22="Промышленный",LEFT(I22,18)="Порошок стиральный",F22="Продажа",B22=DATE(2023,6,7)),E22*J22/1000,0)</f>
        <v/>
      </c>
    </row>
    <row r="23">
      <c r="A23" t="n">
        <v>22</v>
      </c>
      <c r="B23" s="1" t="n">
        <v>45078</v>
      </c>
      <c r="C23" s="5" t="inlineStr">
        <is>
          <t>M1</t>
        </is>
      </c>
      <c r="D23" s="5" t="n">
        <v>22</v>
      </c>
      <c r="E23" s="5" t="n">
        <v>200</v>
      </c>
      <c r="F23" t="inlineStr">
        <is>
          <t>Поступление</t>
        </is>
      </c>
      <c r="H23">
        <f>VLOOKUP(C23,Магазин!$A$2:$C$1000,2,0)</f>
        <v/>
      </c>
      <c r="I23">
        <f>VLOOKUP(D23,Товар!$A$2:$F$1000,3,0)</f>
        <v/>
      </c>
      <c r="J23">
        <f>VLOOKUP(D23,Товар!$A$2:$F$1000,5,0)</f>
        <v/>
      </c>
      <c r="K23">
        <f>IF(AND(H23="Промышленный",LEFT(I23,18)="Порошок стиральный",F23="Продажа",B23=DATE(2023,6,7)),E23*J23/1000,0)</f>
        <v/>
      </c>
    </row>
    <row r="24">
      <c r="A24" t="n">
        <v>23</v>
      </c>
      <c r="B24" s="1" t="n">
        <v>45078</v>
      </c>
      <c r="C24" s="5" t="inlineStr">
        <is>
          <t>M1</t>
        </is>
      </c>
      <c r="D24" s="5" t="n">
        <v>23</v>
      </c>
      <c r="E24" s="5" t="n">
        <v>200</v>
      </c>
      <c r="F24" t="inlineStr">
        <is>
          <t>Поступление</t>
        </is>
      </c>
      <c r="H24">
        <f>VLOOKUP(C24,Магазин!$A$2:$C$1000,2,0)</f>
        <v/>
      </c>
      <c r="I24">
        <f>VLOOKUP(D24,Товар!$A$2:$F$1000,3,0)</f>
        <v/>
      </c>
      <c r="J24">
        <f>VLOOKUP(D24,Товар!$A$2:$F$1000,5,0)</f>
        <v/>
      </c>
      <c r="K24">
        <f>IF(AND(H24="Промышленный",LEFT(I24,18)="Порошок стиральный",F24="Продажа",B24=DATE(2023,6,7)),E24*J24/1000,0)</f>
        <v/>
      </c>
    </row>
    <row r="25">
      <c r="A25" t="n">
        <v>24</v>
      </c>
      <c r="B25" s="1" t="n">
        <v>45078</v>
      </c>
      <c r="C25" s="5" t="inlineStr">
        <is>
          <t>M1</t>
        </is>
      </c>
      <c r="D25" s="5" t="n">
        <v>24</v>
      </c>
      <c r="E25" s="5" t="n">
        <v>200</v>
      </c>
      <c r="F25" t="inlineStr">
        <is>
          <t>Поступление</t>
        </is>
      </c>
      <c r="H25">
        <f>VLOOKUP(C25,Магазин!$A$2:$C$1000,2,0)</f>
        <v/>
      </c>
      <c r="I25">
        <f>VLOOKUP(D25,Товар!$A$2:$F$1000,3,0)</f>
        <v/>
      </c>
      <c r="J25">
        <f>VLOOKUP(D25,Товар!$A$2:$F$1000,5,0)</f>
        <v/>
      </c>
      <c r="K25">
        <f>IF(AND(H25="Промышленный",LEFT(I25,18)="Порошок стиральный",F25="Продажа",B25=DATE(2023,6,7)),E25*J25/1000,0)</f>
        <v/>
      </c>
    </row>
    <row r="26">
      <c r="A26" t="n">
        <v>25</v>
      </c>
      <c r="B26" s="1" t="n">
        <v>45079</v>
      </c>
      <c r="C26" s="5" t="inlineStr">
        <is>
          <t>M1</t>
        </is>
      </c>
      <c r="D26" s="5" t="n">
        <v>25</v>
      </c>
      <c r="E26" s="5" t="n">
        <v>200</v>
      </c>
      <c r="F26" t="inlineStr">
        <is>
          <t>Поступление</t>
        </is>
      </c>
      <c r="H26">
        <f>VLOOKUP(C26,Магазин!$A$2:$C$1000,2,0)</f>
        <v/>
      </c>
      <c r="I26">
        <f>VLOOKUP(D26,Товар!$A$2:$F$1000,3,0)</f>
        <v/>
      </c>
      <c r="J26">
        <f>VLOOKUP(D26,Товар!$A$2:$F$1000,5,0)</f>
        <v/>
      </c>
      <c r="K26">
        <f>IF(AND(H26="Промышленный",LEFT(I26,18)="Порошок стиральный",F26="Продажа",B26=DATE(2023,6,7)),E26*J26/1000,0)</f>
        <v/>
      </c>
    </row>
    <row r="27">
      <c r="A27" t="n">
        <v>26</v>
      </c>
      <c r="B27" s="1" t="n">
        <v>45079</v>
      </c>
      <c r="C27" s="5" t="inlineStr">
        <is>
          <t>M1</t>
        </is>
      </c>
      <c r="D27" s="5" t="n">
        <v>26</v>
      </c>
      <c r="E27" s="5" t="n">
        <v>200</v>
      </c>
      <c r="F27" t="inlineStr">
        <is>
          <t>Поступление</t>
        </is>
      </c>
      <c r="H27">
        <f>VLOOKUP(C27,Магазин!$A$2:$C$1000,2,0)</f>
        <v/>
      </c>
      <c r="I27">
        <f>VLOOKUP(D27,Товар!$A$2:$F$1000,3,0)</f>
        <v/>
      </c>
      <c r="J27">
        <f>VLOOKUP(D27,Товар!$A$2:$F$1000,5,0)</f>
        <v/>
      </c>
      <c r="K27">
        <f>IF(AND(H27="Промышленный",LEFT(I27,18)="Порошок стиральный",F27="Продажа",B27=DATE(2023,6,7)),E27*J27/1000,0)</f>
        <v/>
      </c>
    </row>
    <row r="28">
      <c r="A28" t="n">
        <v>27</v>
      </c>
      <c r="B28" s="1" t="n">
        <v>45079</v>
      </c>
      <c r="C28" s="5" t="inlineStr">
        <is>
          <t>M1</t>
        </is>
      </c>
      <c r="D28" s="5" t="n">
        <v>27</v>
      </c>
      <c r="E28" s="5" t="n">
        <v>200</v>
      </c>
      <c r="F28" t="inlineStr">
        <is>
          <t>Поступление</t>
        </is>
      </c>
      <c r="H28">
        <f>VLOOKUP(C28,Магазин!$A$2:$C$1000,2,0)</f>
        <v/>
      </c>
      <c r="I28">
        <f>VLOOKUP(D28,Товар!$A$2:$F$1000,3,0)</f>
        <v/>
      </c>
      <c r="J28">
        <f>VLOOKUP(D28,Товар!$A$2:$F$1000,5,0)</f>
        <v/>
      </c>
      <c r="K28">
        <f>IF(AND(H28="Промышленный",LEFT(I28,18)="Порошок стиральный",F28="Продажа",B28=DATE(2023,6,7)),E28*J28/1000,0)</f>
        <v/>
      </c>
    </row>
    <row r="29">
      <c r="A29" t="n">
        <v>28</v>
      </c>
      <c r="B29" s="1" t="n">
        <v>45079</v>
      </c>
      <c r="C29" s="5" t="inlineStr">
        <is>
          <t>M1</t>
        </is>
      </c>
      <c r="D29" s="5" t="n">
        <v>28</v>
      </c>
      <c r="E29" s="5" t="n">
        <v>200</v>
      </c>
      <c r="F29" t="inlineStr">
        <is>
          <t>Поступление</t>
        </is>
      </c>
      <c r="H29">
        <f>VLOOKUP(C29,Магазин!$A$2:$C$1000,2,0)</f>
        <v/>
      </c>
      <c r="I29">
        <f>VLOOKUP(D29,Товар!$A$2:$F$1000,3,0)</f>
        <v/>
      </c>
      <c r="J29">
        <f>VLOOKUP(D29,Товар!$A$2:$F$1000,5,0)</f>
        <v/>
      </c>
      <c r="K29">
        <f>IF(AND(H29="Промышленный",LEFT(I29,18)="Порошок стиральный",F29="Продажа",B29=DATE(2023,6,7)),E29*J29/1000,0)</f>
        <v/>
      </c>
    </row>
    <row r="30">
      <c r="A30" t="n">
        <v>29</v>
      </c>
      <c r="B30" s="1" t="n">
        <v>45079</v>
      </c>
      <c r="C30" s="5" t="inlineStr">
        <is>
          <t>M1</t>
        </is>
      </c>
      <c r="D30" s="5" t="n">
        <v>29</v>
      </c>
      <c r="E30" s="5" t="n">
        <v>200</v>
      </c>
      <c r="F30" t="inlineStr">
        <is>
          <t>Поступление</t>
        </is>
      </c>
      <c r="H30">
        <f>VLOOKUP(C30,Магазин!$A$2:$C$1000,2,0)</f>
        <v/>
      </c>
      <c r="I30">
        <f>VLOOKUP(D30,Товар!$A$2:$F$1000,3,0)</f>
        <v/>
      </c>
      <c r="J30">
        <f>VLOOKUP(D30,Товар!$A$2:$F$1000,5,0)</f>
        <v/>
      </c>
      <c r="K30">
        <f>IF(AND(H30="Промышленный",LEFT(I30,18)="Порошок стиральный",F30="Продажа",B30=DATE(2023,6,7)),E30*J30/1000,0)</f>
        <v/>
      </c>
    </row>
    <row r="31">
      <c r="A31" t="n">
        <v>30</v>
      </c>
      <c r="B31" s="1" t="n">
        <v>45079</v>
      </c>
      <c r="C31" s="5" t="inlineStr">
        <is>
          <t>M1</t>
        </is>
      </c>
      <c r="D31" s="5" t="n">
        <v>30</v>
      </c>
      <c r="E31" s="5" t="n">
        <v>200</v>
      </c>
      <c r="F31" t="inlineStr">
        <is>
          <t>Поступление</t>
        </is>
      </c>
      <c r="H31">
        <f>VLOOKUP(C31,Магазин!$A$2:$C$1000,2,0)</f>
        <v/>
      </c>
      <c r="I31">
        <f>VLOOKUP(D31,Товар!$A$2:$F$1000,3,0)</f>
        <v/>
      </c>
      <c r="J31">
        <f>VLOOKUP(D31,Товар!$A$2:$F$1000,5,0)</f>
        <v/>
      </c>
      <c r="K31">
        <f>IF(AND(H31="Промышленный",LEFT(I31,18)="Порошок стиральный",F31="Продажа",B31=DATE(2023,6,7)),E31*J31/1000,0)</f>
        <v/>
      </c>
    </row>
    <row r="32">
      <c r="A32" t="n">
        <v>31</v>
      </c>
      <c r="B32" s="1" t="n">
        <v>45079</v>
      </c>
      <c r="C32" s="5" t="inlineStr">
        <is>
          <t>M1</t>
        </is>
      </c>
      <c r="D32" s="5" t="n">
        <v>31</v>
      </c>
      <c r="E32" s="5" t="n">
        <v>200</v>
      </c>
      <c r="F32" t="inlineStr">
        <is>
          <t>Поступление</t>
        </is>
      </c>
      <c r="H32">
        <f>VLOOKUP(C32,Магазин!$A$2:$C$1000,2,0)</f>
        <v/>
      </c>
      <c r="I32">
        <f>VLOOKUP(D32,Товар!$A$2:$F$1000,3,0)</f>
        <v/>
      </c>
      <c r="J32">
        <f>VLOOKUP(D32,Товар!$A$2:$F$1000,5,0)</f>
        <v/>
      </c>
      <c r="K32">
        <f>IF(AND(H32="Промышленный",LEFT(I32,18)="Порошок стиральный",F32="Продажа",B32=DATE(2023,6,7)),E32*J32/1000,0)</f>
        <v/>
      </c>
    </row>
    <row r="33">
      <c r="A33" t="n">
        <v>32</v>
      </c>
      <c r="B33" s="1" t="n">
        <v>45079</v>
      </c>
      <c r="C33" s="5" t="inlineStr">
        <is>
          <t>M1</t>
        </is>
      </c>
      <c r="D33" s="5" t="n">
        <v>32</v>
      </c>
      <c r="E33" s="5" t="n">
        <v>200</v>
      </c>
      <c r="F33" t="inlineStr">
        <is>
          <t>Поступление</t>
        </is>
      </c>
      <c r="H33">
        <f>VLOOKUP(C33,Магазин!$A$2:$C$1000,2,0)</f>
        <v/>
      </c>
      <c r="I33">
        <f>VLOOKUP(D33,Товар!$A$2:$F$1000,3,0)</f>
        <v/>
      </c>
      <c r="J33">
        <f>VLOOKUP(D33,Товар!$A$2:$F$1000,5,0)</f>
        <v/>
      </c>
      <c r="K33">
        <f>IF(AND(H33="Промышленный",LEFT(I33,18)="Порошок стиральный",F33="Продажа",B33=DATE(2023,6,7)),E33*J33/1000,0)</f>
        <v/>
      </c>
    </row>
    <row r="34">
      <c r="A34" t="n">
        <v>33</v>
      </c>
      <c r="B34" s="1" t="n">
        <v>45079</v>
      </c>
      <c r="C34" s="5" t="inlineStr">
        <is>
          <t>M1</t>
        </is>
      </c>
      <c r="D34" s="5" t="n">
        <v>33</v>
      </c>
      <c r="E34" s="5" t="n">
        <v>200</v>
      </c>
      <c r="F34" t="inlineStr">
        <is>
          <t>Поступление</t>
        </is>
      </c>
      <c r="H34">
        <f>VLOOKUP(C34,Магазин!$A$2:$C$1000,2,0)</f>
        <v/>
      </c>
      <c r="I34">
        <f>VLOOKUP(D34,Товар!$A$2:$F$1000,3,0)</f>
        <v/>
      </c>
      <c r="J34">
        <f>VLOOKUP(D34,Товар!$A$2:$F$1000,5,0)</f>
        <v/>
      </c>
      <c r="K34">
        <f>IF(AND(H34="Промышленный",LEFT(I34,18)="Порошок стиральный",F34="Продажа",B34=DATE(2023,6,7)),E34*J34/1000,0)</f>
        <v/>
      </c>
    </row>
    <row r="35">
      <c r="A35" t="n">
        <v>34</v>
      </c>
      <c r="B35" s="1" t="n">
        <v>45079</v>
      </c>
      <c r="C35" s="5" t="inlineStr">
        <is>
          <t>M1</t>
        </is>
      </c>
      <c r="D35" s="5" t="n">
        <v>34</v>
      </c>
      <c r="E35" s="5" t="n">
        <v>200</v>
      </c>
      <c r="F35" t="inlineStr">
        <is>
          <t>Поступление</t>
        </is>
      </c>
      <c r="H35">
        <f>VLOOKUP(C35,Магазин!$A$2:$C$1000,2,0)</f>
        <v/>
      </c>
      <c r="I35">
        <f>VLOOKUP(D35,Товар!$A$2:$F$1000,3,0)</f>
        <v/>
      </c>
      <c r="J35">
        <f>VLOOKUP(D35,Товар!$A$2:$F$1000,5,0)</f>
        <v/>
      </c>
      <c r="K35">
        <f>IF(AND(H35="Промышленный",LEFT(I35,18)="Порошок стиральный",F35="Продажа",B35=DATE(2023,6,7)),E35*J35/1000,0)</f>
        <v/>
      </c>
    </row>
    <row r="36">
      <c r="A36" t="n">
        <v>35</v>
      </c>
      <c r="B36" s="1" t="n">
        <v>45079</v>
      </c>
      <c r="C36" s="5" t="inlineStr">
        <is>
          <t>M1</t>
        </is>
      </c>
      <c r="D36" s="5" t="n">
        <v>35</v>
      </c>
      <c r="E36" s="5" t="n">
        <v>200</v>
      </c>
      <c r="F36" t="inlineStr">
        <is>
          <t>Поступление</t>
        </is>
      </c>
      <c r="H36">
        <f>VLOOKUP(C36,Магазин!$A$2:$C$1000,2,0)</f>
        <v/>
      </c>
      <c r="I36">
        <f>VLOOKUP(D36,Товар!$A$2:$F$1000,3,0)</f>
        <v/>
      </c>
      <c r="J36">
        <f>VLOOKUP(D36,Товар!$A$2:$F$1000,5,0)</f>
        <v/>
      </c>
      <c r="K36">
        <f>IF(AND(H36="Промышленный",LEFT(I36,18)="Порошок стиральный",F36="Продажа",B36=DATE(2023,6,7)),E36*J36/1000,0)</f>
        <v/>
      </c>
    </row>
    <row r="37">
      <c r="A37" t="n">
        <v>36</v>
      </c>
      <c r="B37" s="1" t="n">
        <v>45079</v>
      </c>
      <c r="C37" s="5" t="inlineStr">
        <is>
          <t>M1</t>
        </is>
      </c>
      <c r="D37" s="5" t="n">
        <v>36</v>
      </c>
      <c r="E37" s="5" t="n">
        <v>200</v>
      </c>
      <c r="F37" t="inlineStr">
        <is>
          <t>Поступление</t>
        </is>
      </c>
      <c r="H37">
        <f>VLOOKUP(C37,Магазин!$A$2:$C$1000,2,0)</f>
        <v/>
      </c>
      <c r="I37">
        <f>VLOOKUP(D37,Товар!$A$2:$F$1000,3,0)</f>
        <v/>
      </c>
      <c r="J37">
        <f>VLOOKUP(D37,Товар!$A$2:$F$1000,5,0)</f>
        <v/>
      </c>
      <c r="K37">
        <f>IF(AND(H37="Промышленный",LEFT(I37,18)="Порошок стиральный",F37="Продажа",B37=DATE(2023,6,7)),E37*J37/1000,0)</f>
        <v/>
      </c>
    </row>
    <row r="38">
      <c r="A38" t="n">
        <v>37</v>
      </c>
      <c r="B38" s="1" t="n">
        <v>45079</v>
      </c>
      <c r="C38" s="5" t="inlineStr">
        <is>
          <t>M1</t>
        </is>
      </c>
      <c r="D38" s="5" t="n">
        <v>37</v>
      </c>
      <c r="E38" s="5" t="n">
        <v>300</v>
      </c>
      <c r="F38" t="inlineStr">
        <is>
          <t>Поступление</t>
        </is>
      </c>
      <c r="H38">
        <f>VLOOKUP(C38,Магазин!$A$2:$C$1000,2,0)</f>
        <v/>
      </c>
      <c r="I38">
        <f>VLOOKUP(D38,Товар!$A$2:$F$1000,3,0)</f>
        <v/>
      </c>
      <c r="J38">
        <f>VLOOKUP(D38,Товар!$A$2:$F$1000,5,0)</f>
        <v/>
      </c>
      <c r="K38">
        <f>IF(AND(H38="Промышленный",LEFT(I38,18)="Порошок стиральный",F38="Продажа",B38=DATE(2023,6,7)),E38*J38/1000,0)</f>
        <v/>
      </c>
    </row>
    <row r="39">
      <c r="A39" t="n">
        <v>38</v>
      </c>
      <c r="B39" s="1" t="n">
        <v>45079</v>
      </c>
      <c r="C39" s="5" t="inlineStr">
        <is>
          <t>M1</t>
        </is>
      </c>
      <c r="D39" s="5" t="n">
        <v>38</v>
      </c>
      <c r="E39" s="5" t="n">
        <v>300</v>
      </c>
      <c r="F39" t="inlineStr">
        <is>
          <t>Поступление</t>
        </is>
      </c>
      <c r="H39">
        <f>VLOOKUP(C39,Магазин!$A$2:$C$1000,2,0)</f>
        <v/>
      </c>
      <c r="I39">
        <f>VLOOKUP(D39,Товар!$A$2:$F$1000,3,0)</f>
        <v/>
      </c>
      <c r="J39">
        <f>VLOOKUP(D39,Товар!$A$2:$F$1000,5,0)</f>
        <v/>
      </c>
      <c r="K39">
        <f>IF(AND(H39="Промышленный",LEFT(I39,18)="Порошок стиральный",F39="Продажа",B39=DATE(2023,6,7)),E39*J39/1000,0)</f>
        <v/>
      </c>
    </row>
    <row r="40">
      <c r="A40" t="n">
        <v>39</v>
      </c>
      <c r="B40" s="1" t="n">
        <v>45079</v>
      </c>
      <c r="C40" s="5" t="inlineStr">
        <is>
          <t>M1</t>
        </is>
      </c>
      <c r="D40" s="5" t="n">
        <v>39</v>
      </c>
      <c r="E40" s="5" t="n">
        <v>300</v>
      </c>
      <c r="F40" t="inlineStr">
        <is>
          <t>Поступление</t>
        </is>
      </c>
      <c r="H40">
        <f>VLOOKUP(C40,Магазин!$A$2:$C$1000,2,0)</f>
        <v/>
      </c>
      <c r="I40">
        <f>VLOOKUP(D40,Товар!$A$2:$F$1000,3,0)</f>
        <v/>
      </c>
      <c r="J40">
        <f>VLOOKUP(D40,Товар!$A$2:$F$1000,5,0)</f>
        <v/>
      </c>
      <c r="K40">
        <f>IF(AND(H40="Промышленный",LEFT(I40,18)="Порошок стиральный",F40="Продажа",B40=DATE(2023,6,7)),E40*J40/1000,0)</f>
        <v/>
      </c>
    </row>
    <row r="41">
      <c r="A41" t="n">
        <v>40</v>
      </c>
      <c r="B41" s="1" t="n">
        <v>45079</v>
      </c>
      <c r="C41" s="5" t="inlineStr">
        <is>
          <t>M1</t>
        </is>
      </c>
      <c r="D41" s="5" t="n">
        <v>40</v>
      </c>
      <c r="E41" s="5" t="n">
        <v>300</v>
      </c>
      <c r="F41" t="inlineStr">
        <is>
          <t>Поступление</t>
        </is>
      </c>
      <c r="H41">
        <f>VLOOKUP(C41,Магазин!$A$2:$C$1000,2,0)</f>
        <v/>
      </c>
      <c r="I41">
        <f>VLOOKUP(D41,Товар!$A$2:$F$1000,3,0)</f>
        <v/>
      </c>
      <c r="J41">
        <f>VLOOKUP(D41,Товар!$A$2:$F$1000,5,0)</f>
        <v/>
      </c>
      <c r="K41">
        <f>IF(AND(H41="Промышленный",LEFT(I41,18)="Порошок стиральный",F41="Продажа",B41=DATE(2023,6,7)),E41*J41/1000,0)</f>
        <v/>
      </c>
    </row>
    <row r="42">
      <c r="A42" t="n">
        <v>41</v>
      </c>
      <c r="B42" s="1" t="n">
        <v>45079</v>
      </c>
      <c r="C42" s="5" t="inlineStr">
        <is>
          <t>M1</t>
        </is>
      </c>
      <c r="D42" s="5" t="n">
        <v>41</v>
      </c>
      <c r="E42" s="5" t="n">
        <v>300</v>
      </c>
      <c r="F42" t="inlineStr">
        <is>
          <t>Поступление</t>
        </is>
      </c>
      <c r="H42">
        <f>VLOOKUP(C42,Магазин!$A$2:$C$1000,2,0)</f>
        <v/>
      </c>
      <c r="I42">
        <f>VLOOKUP(D42,Товар!$A$2:$F$1000,3,0)</f>
        <v/>
      </c>
      <c r="J42">
        <f>VLOOKUP(D42,Товар!$A$2:$F$1000,5,0)</f>
        <v/>
      </c>
      <c r="K42">
        <f>IF(AND(H42="Промышленный",LEFT(I42,18)="Порошок стиральный",F42="Продажа",B42=DATE(2023,6,7)),E42*J42/1000,0)</f>
        <v/>
      </c>
    </row>
    <row r="43">
      <c r="A43" t="n">
        <v>42</v>
      </c>
      <c r="B43" s="1" t="n">
        <v>45079</v>
      </c>
      <c r="C43" s="5" t="inlineStr">
        <is>
          <t>M1</t>
        </is>
      </c>
      <c r="D43" s="5" t="n">
        <v>42</v>
      </c>
      <c r="E43" s="5" t="n">
        <v>300</v>
      </c>
      <c r="F43" t="inlineStr">
        <is>
          <t>Поступление</t>
        </is>
      </c>
      <c r="H43">
        <f>VLOOKUP(C43,Магазин!$A$2:$C$1000,2,0)</f>
        <v/>
      </c>
      <c r="I43">
        <f>VLOOKUP(D43,Товар!$A$2:$F$1000,3,0)</f>
        <v/>
      </c>
      <c r="J43">
        <f>VLOOKUP(D43,Товар!$A$2:$F$1000,5,0)</f>
        <v/>
      </c>
      <c r="K43">
        <f>IF(AND(H43="Промышленный",LEFT(I43,18)="Порошок стиральный",F43="Продажа",B43=DATE(2023,6,7)),E43*J43/1000,0)</f>
        <v/>
      </c>
    </row>
    <row r="44">
      <c r="A44" t="n">
        <v>43</v>
      </c>
      <c r="B44" s="1" t="n">
        <v>45079</v>
      </c>
      <c r="C44" s="5" t="inlineStr">
        <is>
          <t>M1</t>
        </is>
      </c>
      <c r="D44" s="5" t="n">
        <v>43</v>
      </c>
      <c r="E44" s="5" t="n">
        <v>300</v>
      </c>
      <c r="F44" t="inlineStr">
        <is>
          <t>Поступление</t>
        </is>
      </c>
      <c r="H44">
        <f>VLOOKUP(C44,Магазин!$A$2:$C$1000,2,0)</f>
        <v/>
      </c>
      <c r="I44">
        <f>VLOOKUP(D44,Товар!$A$2:$F$1000,3,0)</f>
        <v/>
      </c>
      <c r="J44">
        <f>VLOOKUP(D44,Товар!$A$2:$F$1000,5,0)</f>
        <v/>
      </c>
      <c r="K44">
        <f>IF(AND(H44="Промышленный",LEFT(I44,18)="Порошок стиральный",F44="Продажа",B44=DATE(2023,6,7)),E44*J44/1000,0)</f>
        <v/>
      </c>
    </row>
    <row r="45">
      <c r="A45" t="n">
        <v>44</v>
      </c>
      <c r="B45" s="1" t="n">
        <v>45079</v>
      </c>
      <c r="C45" s="5" t="inlineStr">
        <is>
          <t>M1</t>
        </is>
      </c>
      <c r="D45" s="5" t="n">
        <v>44</v>
      </c>
      <c r="E45" s="5" t="n">
        <v>300</v>
      </c>
      <c r="F45" t="inlineStr">
        <is>
          <t>Поступление</t>
        </is>
      </c>
      <c r="H45">
        <f>VLOOKUP(C45,Магазин!$A$2:$C$1000,2,0)</f>
        <v/>
      </c>
      <c r="I45">
        <f>VLOOKUP(D45,Товар!$A$2:$F$1000,3,0)</f>
        <v/>
      </c>
      <c r="J45">
        <f>VLOOKUP(D45,Товар!$A$2:$F$1000,5,0)</f>
        <v/>
      </c>
      <c r="K45">
        <f>IF(AND(H45="Промышленный",LEFT(I45,18)="Порошок стиральный",F45="Продажа",B45=DATE(2023,6,7)),E45*J45/1000,0)</f>
        <v/>
      </c>
    </row>
    <row r="46">
      <c r="A46" t="n">
        <v>45</v>
      </c>
      <c r="B46" s="1" t="n">
        <v>45079</v>
      </c>
      <c r="C46" s="5" t="inlineStr">
        <is>
          <t>M1</t>
        </is>
      </c>
      <c r="D46" s="5" t="n">
        <v>45</v>
      </c>
      <c r="E46" s="5" t="n">
        <v>300</v>
      </c>
      <c r="F46" t="inlineStr">
        <is>
          <t>Поступление</t>
        </is>
      </c>
      <c r="H46">
        <f>VLOOKUP(C46,Магазин!$A$2:$C$1000,2,0)</f>
        <v/>
      </c>
      <c r="I46">
        <f>VLOOKUP(D46,Товар!$A$2:$F$1000,3,0)</f>
        <v/>
      </c>
      <c r="J46">
        <f>VLOOKUP(D46,Товар!$A$2:$F$1000,5,0)</f>
        <v/>
      </c>
      <c r="K46">
        <f>IF(AND(H46="Промышленный",LEFT(I46,18)="Порошок стиральный",F46="Продажа",B46=DATE(2023,6,7)),E46*J46/1000,0)</f>
        <v/>
      </c>
    </row>
    <row r="47">
      <c r="A47" t="n">
        <v>46</v>
      </c>
      <c r="B47" s="1" t="n">
        <v>45079</v>
      </c>
      <c r="C47" s="5" t="inlineStr">
        <is>
          <t>M1</t>
        </is>
      </c>
      <c r="D47" s="5" t="n">
        <v>46</v>
      </c>
      <c r="E47" s="5" t="n">
        <v>300</v>
      </c>
      <c r="F47" t="inlineStr">
        <is>
          <t>Поступление</t>
        </is>
      </c>
      <c r="H47">
        <f>VLOOKUP(C47,Магазин!$A$2:$C$1000,2,0)</f>
        <v/>
      </c>
      <c r="I47">
        <f>VLOOKUP(D47,Товар!$A$2:$F$1000,3,0)</f>
        <v/>
      </c>
      <c r="J47">
        <f>VLOOKUP(D47,Товар!$A$2:$F$1000,5,0)</f>
        <v/>
      </c>
      <c r="K47">
        <f>IF(AND(H47="Промышленный",LEFT(I47,18)="Порошок стиральный",F47="Продажа",B47=DATE(2023,6,7)),E47*J47/1000,0)</f>
        <v/>
      </c>
    </row>
    <row r="48">
      <c r="A48" t="n">
        <v>47</v>
      </c>
      <c r="B48" s="1" t="n">
        <v>45079</v>
      </c>
      <c r="C48" s="5" t="inlineStr">
        <is>
          <t>M1</t>
        </is>
      </c>
      <c r="D48" s="5" t="n">
        <v>47</v>
      </c>
      <c r="E48" s="5" t="n">
        <v>300</v>
      </c>
      <c r="F48" t="inlineStr">
        <is>
          <t>Поступление</t>
        </is>
      </c>
      <c r="H48">
        <f>VLOOKUP(C48,Магазин!$A$2:$C$1000,2,0)</f>
        <v/>
      </c>
      <c r="I48">
        <f>VLOOKUP(D48,Товар!$A$2:$F$1000,3,0)</f>
        <v/>
      </c>
      <c r="J48">
        <f>VLOOKUP(D48,Товар!$A$2:$F$1000,5,0)</f>
        <v/>
      </c>
      <c r="K48">
        <f>IF(AND(H48="Промышленный",LEFT(I48,18)="Порошок стиральный",F48="Продажа",B48=DATE(2023,6,7)),E48*J48/1000,0)</f>
        <v/>
      </c>
    </row>
    <row r="49">
      <c r="A49" t="n">
        <v>48</v>
      </c>
      <c r="B49" s="1" t="n">
        <v>45079</v>
      </c>
      <c r="C49" s="5" t="inlineStr">
        <is>
          <t>M1</t>
        </is>
      </c>
      <c r="D49" s="5" t="n">
        <v>48</v>
      </c>
      <c r="E49" s="5" t="n">
        <v>300</v>
      </c>
      <c r="F49" t="inlineStr">
        <is>
          <t>Поступление</t>
        </is>
      </c>
      <c r="H49">
        <f>VLOOKUP(C49,Магазин!$A$2:$C$1000,2,0)</f>
        <v/>
      </c>
      <c r="I49">
        <f>VLOOKUP(D49,Товар!$A$2:$F$1000,3,0)</f>
        <v/>
      </c>
      <c r="J49">
        <f>VLOOKUP(D49,Товар!$A$2:$F$1000,5,0)</f>
        <v/>
      </c>
      <c r="K49">
        <f>IF(AND(H49="Промышленный",LEFT(I49,18)="Порошок стиральный",F49="Продажа",B49=DATE(2023,6,7)),E49*J49/1000,0)</f>
        <v/>
      </c>
    </row>
    <row r="50">
      <c r="A50" t="n">
        <v>49</v>
      </c>
      <c r="B50" s="1" t="n">
        <v>45079</v>
      </c>
      <c r="C50" s="5" t="inlineStr">
        <is>
          <t>M1</t>
        </is>
      </c>
      <c r="D50" s="5" t="n">
        <v>49</v>
      </c>
      <c r="E50" s="5" t="n">
        <v>300</v>
      </c>
      <c r="F50" t="inlineStr">
        <is>
          <t>Поступление</t>
        </is>
      </c>
      <c r="H50">
        <f>VLOOKUP(C50,Магазин!$A$2:$C$1000,2,0)</f>
        <v/>
      </c>
      <c r="I50">
        <f>VLOOKUP(D50,Товар!$A$2:$F$1000,3,0)</f>
        <v/>
      </c>
      <c r="J50">
        <f>VLOOKUP(D50,Товар!$A$2:$F$1000,5,0)</f>
        <v/>
      </c>
      <c r="K50">
        <f>IF(AND(H50="Промышленный",LEFT(I50,18)="Порошок стиральный",F50="Продажа",B50=DATE(2023,6,7)),E50*J50/1000,0)</f>
        <v/>
      </c>
    </row>
    <row r="51">
      <c r="A51" t="n">
        <v>50</v>
      </c>
      <c r="B51" s="1" t="n">
        <v>45079</v>
      </c>
      <c r="C51" s="5" t="inlineStr">
        <is>
          <t>M1</t>
        </is>
      </c>
      <c r="D51" s="5" t="n">
        <v>50</v>
      </c>
      <c r="E51" s="5" t="n">
        <v>300</v>
      </c>
      <c r="F51" t="inlineStr">
        <is>
          <t>Поступление</t>
        </is>
      </c>
      <c r="H51">
        <f>VLOOKUP(C51,Магазин!$A$2:$C$1000,2,0)</f>
        <v/>
      </c>
      <c r="I51">
        <f>VLOOKUP(D51,Товар!$A$2:$F$1000,3,0)</f>
        <v/>
      </c>
      <c r="J51">
        <f>VLOOKUP(D51,Товар!$A$2:$F$1000,5,0)</f>
        <v/>
      </c>
      <c r="K51">
        <f>IF(AND(H51="Промышленный",LEFT(I51,18)="Порошок стиральный",F51="Продажа",B51=DATE(2023,6,7)),E51*J51/1000,0)</f>
        <v/>
      </c>
    </row>
    <row r="52">
      <c r="A52" t="n">
        <v>51</v>
      </c>
      <c r="B52" s="1" t="n">
        <v>45079</v>
      </c>
      <c r="C52" s="5" t="inlineStr">
        <is>
          <t>M1</t>
        </is>
      </c>
      <c r="D52" s="5" t="n">
        <v>51</v>
      </c>
      <c r="E52" s="5" t="n">
        <v>300</v>
      </c>
      <c r="F52" t="inlineStr">
        <is>
          <t>Поступление</t>
        </is>
      </c>
      <c r="H52">
        <f>VLOOKUP(C52,Магазин!$A$2:$C$1000,2,0)</f>
        <v/>
      </c>
      <c r="I52">
        <f>VLOOKUP(D52,Товар!$A$2:$F$1000,3,0)</f>
        <v/>
      </c>
      <c r="J52">
        <f>VLOOKUP(D52,Товар!$A$2:$F$1000,5,0)</f>
        <v/>
      </c>
      <c r="K52">
        <f>IF(AND(H52="Промышленный",LEFT(I52,18)="Порошок стиральный",F52="Продажа",B52=DATE(2023,6,7)),E52*J52/1000,0)</f>
        <v/>
      </c>
    </row>
    <row r="53">
      <c r="A53" t="n">
        <v>52</v>
      </c>
      <c r="B53" s="1" t="n">
        <v>45079</v>
      </c>
      <c r="C53" s="5" t="inlineStr">
        <is>
          <t>M1</t>
        </is>
      </c>
      <c r="D53" s="5" t="n">
        <v>52</v>
      </c>
      <c r="E53" s="5" t="n">
        <v>300</v>
      </c>
      <c r="F53" t="inlineStr">
        <is>
          <t>Поступление</t>
        </is>
      </c>
      <c r="H53">
        <f>VLOOKUP(C53,Магазин!$A$2:$C$1000,2,0)</f>
        <v/>
      </c>
      <c r="I53">
        <f>VLOOKUP(D53,Товар!$A$2:$F$1000,3,0)</f>
        <v/>
      </c>
      <c r="J53">
        <f>VLOOKUP(D53,Товар!$A$2:$F$1000,5,0)</f>
        <v/>
      </c>
      <c r="K53">
        <f>IF(AND(H53="Промышленный",LEFT(I53,18)="Порошок стиральный",F53="Продажа",B53=DATE(2023,6,7)),E53*J53/1000,0)</f>
        <v/>
      </c>
    </row>
    <row r="54">
      <c r="A54" t="n">
        <v>53</v>
      </c>
      <c r="B54" s="1" t="n">
        <v>45079</v>
      </c>
      <c r="C54" s="5" t="inlineStr">
        <is>
          <t>M1</t>
        </is>
      </c>
      <c r="D54" s="5" t="n">
        <v>53</v>
      </c>
      <c r="E54" s="5" t="n">
        <v>300</v>
      </c>
      <c r="F54" t="inlineStr">
        <is>
          <t>Поступление</t>
        </is>
      </c>
      <c r="H54">
        <f>VLOOKUP(C54,Магазин!$A$2:$C$1000,2,0)</f>
        <v/>
      </c>
      <c r="I54">
        <f>VLOOKUP(D54,Товар!$A$2:$F$1000,3,0)</f>
        <v/>
      </c>
      <c r="J54">
        <f>VLOOKUP(D54,Товар!$A$2:$F$1000,5,0)</f>
        <v/>
      </c>
      <c r="K54">
        <f>IF(AND(H54="Промышленный",LEFT(I54,18)="Порошок стиральный",F54="Продажа",B54=DATE(2023,6,7)),E54*J54/1000,0)</f>
        <v/>
      </c>
    </row>
    <row r="55">
      <c r="A55" t="n">
        <v>54</v>
      </c>
      <c r="B55" s="1" t="n">
        <v>45079</v>
      </c>
      <c r="C55" s="5" t="inlineStr">
        <is>
          <t>M1</t>
        </is>
      </c>
      <c r="D55" s="5" t="n">
        <v>54</v>
      </c>
      <c r="E55" s="5" t="n">
        <v>300</v>
      </c>
      <c r="F55" t="inlineStr">
        <is>
          <t>Поступление</t>
        </is>
      </c>
      <c r="H55">
        <f>VLOOKUP(C55,Магазин!$A$2:$C$1000,2,0)</f>
        <v/>
      </c>
      <c r="I55">
        <f>VLOOKUP(D55,Товар!$A$2:$F$1000,3,0)</f>
        <v/>
      </c>
      <c r="J55">
        <f>VLOOKUP(D55,Товар!$A$2:$F$1000,5,0)</f>
        <v/>
      </c>
      <c r="K55">
        <f>IF(AND(H55="Промышленный",LEFT(I55,18)="Порошок стиральный",F55="Продажа",B55=DATE(2023,6,7)),E55*J55/1000,0)</f>
        <v/>
      </c>
    </row>
    <row r="56">
      <c r="A56" t="n">
        <v>55</v>
      </c>
      <c r="B56" s="1" t="n">
        <v>45079</v>
      </c>
      <c r="C56" s="5" t="inlineStr">
        <is>
          <t>M1</t>
        </is>
      </c>
      <c r="D56" s="5" t="n">
        <v>55</v>
      </c>
      <c r="E56" s="5" t="n">
        <v>300</v>
      </c>
      <c r="F56" t="inlineStr">
        <is>
          <t>Поступление</t>
        </is>
      </c>
      <c r="H56">
        <f>VLOOKUP(C56,Магазин!$A$2:$C$1000,2,0)</f>
        <v/>
      </c>
      <c r="I56">
        <f>VLOOKUP(D56,Товар!$A$2:$F$1000,3,0)</f>
        <v/>
      </c>
      <c r="J56">
        <f>VLOOKUP(D56,Товар!$A$2:$F$1000,5,0)</f>
        <v/>
      </c>
      <c r="K56">
        <f>IF(AND(H56="Промышленный",LEFT(I56,18)="Порошок стиральный",F56="Продажа",B56=DATE(2023,6,7)),E56*J56/1000,0)</f>
        <v/>
      </c>
    </row>
    <row r="57">
      <c r="A57" t="n">
        <v>56</v>
      </c>
      <c r="B57" s="1" t="n">
        <v>45079</v>
      </c>
      <c r="C57" s="5" t="inlineStr">
        <is>
          <t>M1</t>
        </is>
      </c>
      <c r="D57" s="5" t="n">
        <v>56</v>
      </c>
      <c r="E57" s="5" t="n">
        <v>300</v>
      </c>
      <c r="F57" t="inlineStr">
        <is>
          <t>Поступление</t>
        </is>
      </c>
      <c r="H57">
        <f>VLOOKUP(C57,Магазин!$A$2:$C$1000,2,0)</f>
        <v/>
      </c>
      <c r="I57">
        <f>VLOOKUP(D57,Товар!$A$2:$F$1000,3,0)</f>
        <v/>
      </c>
      <c r="J57">
        <f>VLOOKUP(D57,Товар!$A$2:$F$1000,5,0)</f>
        <v/>
      </c>
      <c r="K57">
        <f>IF(AND(H57="Промышленный",LEFT(I57,18)="Порошок стиральный",F57="Продажа",B57=DATE(2023,6,7)),E57*J57/1000,0)</f>
        <v/>
      </c>
    </row>
    <row r="58">
      <c r="A58" t="n">
        <v>57</v>
      </c>
      <c r="B58" s="1" t="n">
        <v>45079</v>
      </c>
      <c r="C58" s="5" t="inlineStr">
        <is>
          <t>M1</t>
        </is>
      </c>
      <c r="D58" s="5" t="n">
        <v>57</v>
      </c>
      <c r="E58" s="5" t="n">
        <v>300</v>
      </c>
      <c r="F58" t="inlineStr">
        <is>
          <t>Поступление</t>
        </is>
      </c>
      <c r="H58">
        <f>VLOOKUP(C58,Магазин!$A$2:$C$1000,2,0)</f>
        <v/>
      </c>
      <c r="I58">
        <f>VLOOKUP(D58,Товар!$A$2:$F$1000,3,0)</f>
        <v/>
      </c>
      <c r="J58">
        <f>VLOOKUP(D58,Товар!$A$2:$F$1000,5,0)</f>
        <v/>
      </c>
      <c r="K58">
        <f>IF(AND(H58="Промышленный",LEFT(I58,18)="Порошок стиральный",F58="Продажа",B58=DATE(2023,6,7)),E58*J58/1000,0)</f>
        <v/>
      </c>
    </row>
    <row r="59">
      <c r="A59" t="n">
        <v>58</v>
      </c>
      <c r="B59" s="1" t="n">
        <v>45079</v>
      </c>
      <c r="C59" s="5" t="inlineStr">
        <is>
          <t>M1</t>
        </is>
      </c>
      <c r="D59" s="5" t="n">
        <v>58</v>
      </c>
      <c r="E59" s="5" t="n">
        <v>300</v>
      </c>
      <c r="F59" t="inlineStr">
        <is>
          <t>Поступление</t>
        </is>
      </c>
      <c r="H59">
        <f>VLOOKUP(C59,Магазин!$A$2:$C$1000,2,0)</f>
        <v/>
      </c>
      <c r="I59">
        <f>VLOOKUP(D59,Товар!$A$2:$F$1000,3,0)</f>
        <v/>
      </c>
      <c r="J59">
        <f>VLOOKUP(D59,Товар!$A$2:$F$1000,5,0)</f>
        <v/>
      </c>
      <c r="K59">
        <f>IF(AND(H59="Промышленный",LEFT(I59,18)="Порошок стиральный",F59="Продажа",B59=DATE(2023,6,7)),E59*J59/1000,0)</f>
        <v/>
      </c>
    </row>
    <row r="60">
      <c r="A60" t="n">
        <v>59</v>
      </c>
      <c r="B60" s="1" t="n">
        <v>45079</v>
      </c>
      <c r="C60" s="5" t="inlineStr">
        <is>
          <t>M1</t>
        </is>
      </c>
      <c r="D60" s="5" t="n">
        <v>59</v>
      </c>
      <c r="E60" s="5" t="n">
        <v>300</v>
      </c>
      <c r="F60" t="inlineStr">
        <is>
          <t>Поступление</t>
        </is>
      </c>
      <c r="H60">
        <f>VLOOKUP(C60,Магазин!$A$2:$C$1000,2,0)</f>
        <v/>
      </c>
      <c r="I60">
        <f>VLOOKUP(D60,Товар!$A$2:$F$1000,3,0)</f>
        <v/>
      </c>
      <c r="J60">
        <f>VLOOKUP(D60,Товар!$A$2:$F$1000,5,0)</f>
        <v/>
      </c>
      <c r="K60">
        <f>IF(AND(H60="Промышленный",LEFT(I60,18)="Порошок стиральный",F60="Продажа",B60=DATE(2023,6,7)),E60*J60/1000,0)</f>
        <v/>
      </c>
    </row>
    <row r="61">
      <c r="A61" t="n">
        <v>60</v>
      </c>
      <c r="B61" s="1" t="n">
        <v>45079</v>
      </c>
      <c r="C61" s="5" t="inlineStr">
        <is>
          <t>M1</t>
        </is>
      </c>
      <c r="D61" s="5" t="n">
        <v>60</v>
      </c>
      <c r="E61" s="5" t="n">
        <v>300</v>
      </c>
      <c r="F61" t="inlineStr">
        <is>
          <t>Поступление</t>
        </is>
      </c>
      <c r="H61">
        <f>VLOOKUP(C61,Магазин!$A$2:$C$1000,2,0)</f>
        <v/>
      </c>
      <c r="I61">
        <f>VLOOKUP(D61,Товар!$A$2:$F$1000,3,0)</f>
        <v/>
      </c>
      <c r="J61">
        <f>VLOOKUP(D61,Товар!$A$2:$F$1000,5,0)</f>
        <v/>
      </c>
      <c r="K61">
        <f>IF(AND(H61="Промышленный",LEFT(I61,18)="Порошок стиральный",F61="Продажа",B61=DATE(2023,6,7)),E61*J61/1000,0)</f>
        <v/>
      </c>
    </row>
    <row r="62">
      <c r="A62" t="n">
        <v>61</v>
      </c>
      <c r="B62" s="1" t="n">
        <v>45079</v>
      </c>
      <c r="C62" s="5" t="inlineStr">
        <is>
          <t>M10</t>
        </is>
      </c>
      <c r="D62" s="5" t="n">
        <v>1</v>
      </c>
      <c r="E62" s="5" t="n">
        <v>200</v>
      </c>
      <c r="F62" t="inlineStr">
        <is>
          <t>Поступление</t>
        </is>
      </c>
      <c r="H62">
        <f>VLOOKUP(C62,Магазин!$A$2:$C$1000,2,0)</f>
        <v/>
      </c>
      <c r="I62">
        <f>VLOOKUP(D62,Товар!$A$2:$F$1000,3,0)</f>
        <v/>
      </c>
      <c r="J62">
        <f>VLOOKUP(D62,Товар!$A$2:$F$1000,5,0)</f>
        <v/>
      </c>
      <c r="K62">
        <f>IF(AND(H62="Промышленный",LEFT(I62,18)="Порошок стиральный",F62="Продажа",B62=DATE(2023,6,7)),E62*J62/1000,0)</f>
        <v/>
      </c>
    </row>
    <row r="63">
      <c r="A63" t="n">
        <v>62</v>
      </c>
      <c r="B63" s="1" t="n">
        <v>45079</v>
      </c>
      <c r="C63" s="5" t="inlineStr">
        <is>
          <t>M10</t>
        </is>
      </c>
      <c r="D63" s="5" t="n">
        <v>2</v>
      </c>
      <c r="E63" s="5" t="n">
        <v>200</v>
      </c>
      <c r="F63" t="inlineStr">
        <is>
          <t>Поступление</t>
        </is>
      </c>
      <c r="H63">
        <f>VLOOKUP(C63,Магазин!$A$2:$C$1000,2,0)</f>
        <v/>
      </c>
      <c r="I63">
        <f>VLOOKUP(D63,Товар!$A$2:$F$1000,3,0)</f>
        <v/>
      </c>
      <c r="J63">
        <f>VLOOKUP(D63,Товар!$A$2:$F$1000,5,0)</f>
        <v/>
      </c>
      <c r="K63">
        <f>IF(AND(H63="Промышленный",LEFT(I63,18)="Порошок стиральный",F63="Продажа",B63=DATE(2023,6,7)),E63*J63/1000,0)</f>
        <v/>
      </c>
    </row>
    <row r="64">
      <c r="A64" t="n">
        <v>63</v>
      </c>
      <c r="B64" s="1" t="n">
        <v>45079</v>
      </c>
      <c r="C64" s="5" t="inlineStr">
        <is>
          <t>M10</t>
        </is>
      </c>
      <c r="D64" s="5" t="n">
        <v>3</v>
      </c>
      <c r="E64" s="5" t="n">
        <v>200</v>
      </c>
      <c r="F64" t="inlineStr">
        <is>
          <t>Поступление</t>
        </is>
      </c>
      <c r="H64">
        <f>VLOOKUP(C64,Магазин!$A$2:$C$1000,2,0)</f>
        <v/>
      </c>
      <c r="I64">
        <f>VLOOKUP(D64,Товар!$A$2:$F$1000,3,0)</f>
        <v/>
      </c>
      <c r="J64">
        <f>VLOOKUP(D64,Товар!$A$2:$F$1000,5,0)</f>
        <v/>
      </c>
      <c r="K64">
        <f>IF(AND(H64="Промышленный",LEFT(I64,18)="Порошок стиральный",F64="Продажа",B64=DATE(2023,6,7)),E64*J64/1000,0)</f>
        <v/>
      </c>
    </row>
    <row r="65">
      <c r="A65" t="n">
        <v>64</v>
      </c>
      <c r="B65" s="1" t="n">
        <v>45079</v>
      </c>
      <c r="C65" s="5" t="inlineStr">
        <is>
          <t>M10</t>
        </is>
      </c>
      <c r="D65" s="5" t="n">
        <v>4</v>
      </c>
      <c r="E65" s="5" t="n">
        <v>200</v>
      </c>
      <c r="F65" t="inlineStr">
        <is>
          <t>Поступление</t>
        </is>
      </c>
      <c r="H65">
        <f>VLOOKUP(C65,Магазин!$A$2:$C$1000,2,0)</f>
        <v/>
      </c>
      <c r="I65">
        <f>VLOOKUP(D65,Товар!$A$2:$F$1000,3,0)</f>
        <v/>
      </c>
      <c r="J65">
        <f>VLOOKUP(D65,Товар!$A$2:$F$1000,5,0)</f>
        <v/>
      </c>
      <c r="K65">
        <f>IF(AND(H65="Промышленный",LEFT(I65,18)="Порошок стиральный",F65="Продажа",B65=DATE(2023,6,7)),E65*J65/1000,0)</f>
        <v/>
      </c>
    </row>
    <row r="66">
      <c r="A66" t="n">
        <v>65</v>
      </c>
      <c r="B66" s="1" t="n">
        <v>45079</v>
      </c>
      <c r="C66" s="5" t="inlineStr">
        <is>
          <t>M10</t>
        </is>
      </c>
      <c r="D66" s="5" t="n">
        <v>5</v>
      </c>
      <c r="E66" s="5" t="n">
        <v>200</v>
      </c>
      <c r="F66" t="inlineStr">
        <is>
          <t>Поступление</t>
        </is>
      </c>
      <c r="H66">
        <f>VLOOKUP(C66,Магазин!$A$2:$C$1000,2,0)</f>
        <v/>
      </c>
      <c r="I66">
        <f>VLOOKUP(D66,Товар!$A$2:$F$1000,3,0)</f>
        <v/>
      </c>
      <c r="J66">
        <f>VLOOKUP(D66,Товар!$A$2:$F$1000,5,0)</f>
        <v/>
      </c>
      <c r="K66">
        <f>IF(AND(H66="Промышленный",LEFT(I66,18)="Порошок стиральный",F66="Продажа",B66=DATE(2023,6,7)),E66*J66/1000,0)</f>
        <v/>
      </c>
    </row>
    <row r="67">
      <c r="A67" t="n">
        <v>66</v>
      </c>
      <c r="B67" s="1" t="n">
        <v>45079</v>
      </c>
      <c r="C67" s="5" t="inlineStr">
        <is>
          <t>M10</t>
        </is>
      </c>
      <c r="D67" s="5" t="n">
        <v>6</v>
      </c>
      <c r="E67" s="5" t="n">
        <v>200</v>
      </c>
      <c r="F67" t="inlineStr">
        <is>
          <t>Поступление</t>
        </is>
      </c>
      <c r="H67">
        <f>VLOOKUP(C67,Магазин!$A$2:$C$1000,2,0)</f>
        <v/>
      </c>
      <c r="I67">
        <f>VLOOKUP(D67,Товар!$A$2:$F$1000,3,0)</f>
        <v/>
      </c>
      <c r="J67">
        <f>VLOOKUP(D67,Товар!$A$2:$F$1000,5,0)</f>
        <v/>
      </c>
      <c r="K67">
        <f>IF(AND(H67="Промышленный",LEFT(I67,18)="Порошок стиральный",F67="Продажа",B67=DATE(2023,6,7)),E67*J67/1000,0)</f>
        <v/>
      </c>
    </row>
    <row r="68">
      <c r="A68" t="n">
        <v>67</v>
      </c>
      <c r="B68" s="1" t="n">
        <v>45079</v>
      </c>
      <c r="C68" s="5" t="inlineStr">
        <is>
          <t>M10</t>
        </is>
      </c>
      <c r="D68" s="5" t="n">
        <v>7</v>
      </c>
      <c r="E68" s="5" t="n">
        <v>200</v>
      </c>
      <c r="F68" t="inlineStr">
        <is>
          <t>Поступление</t>
        </is>
      </c>
      <c r="H68">
        <f>VLOOKUP(C68,Магазин!$A$2:$C$1000,2,0)</f>
        <v/>
      </c>
      <c r="I68">
        <f>VLOOKUP(D68,Товар!$A$2:$F$1000,3,0)</f>
        <v/>
      </c>
      <c r="J68">
        <f>VLOOKUP(D68,Товар!$A$2:$F$1000,5,0)</f>
        <v/>
      </c>
      <c r="K68">
        <f>IF(AND(H68="Промышленный",LEFT(I68,18)="Порошок стиральный",F68="Продажа",B68=DATE(2023,6,7)),E68*J68/1000,0)</f>
        <v/>
      </c>
    </row>
    <row r="69">
      <c r="A69" t="n">
        <v>68</v>
      </c>
      <c r="B69" s="1" t="n">
        <v>45079</v>
      </c>
      <c r="C69" s="5" t="inlineStr">
        <is>
          <t>M10</t>
        </is>
      </c>
      <c r="D69" s="5" t="n">
        <v>8</v>
      </c>
      <c r="E69" s="5" t="n">
        <v>200</v>
      </c>
      <c r="F69" t="inlineStr">
        <is>
          <t>Поступление</t>
        </is>
      </c>
      <c r="H69">
        <f>VLOOKUP(C69,Магазин!$A$2:$C$1000,2,0)</f>
        <v/>
      </c>
      <c r="I69">
        <f>VLOOKUP(D69,Товар!$A$2:$F$1000,3,0)</f>
        <v/>
      </c>
      <c r="J69">
        <f>VLOOKUP(D69,Товар!$A$2:$F$1000,5,0)</f>
        <v/>
      </c>
      <c r="K69">
        <f>IF(AND(H69="Промышленный",LEFT(I69,18)="Порошок стиральный",F69="Продажа",B69=DATE(2023,6,7)),E69*J69/1000,0)</f>
        <v/>
      </c>
    </row>
    <row r="70">
      <c r="A70" t="n">
        <v>69</v>
      </c>
      <c r="B70" s="1" t="n">
        <v>45079</v>
      </c>
      <c r="C70" s="5" t="inlineStr">
        <is>
          <t>M10</t>
        </is>
      </c>
      <c r="D70" s="5" t="n">
        <v>9</v>
      </c>
      <c r="E70" s="5" t="n">
        <v>200</v>
      </c>
      <c r="F70" t="inlineStr">
        <is>
          <t>Поступление</t>
        </is>
      </c>
      <c r="H70">
        <f>VLOOKUP(C70,Магазин!$A$2:$C$1000,2,0)</f>
        <v/>
      </c>
      <c r="I70">
        <f>VLOOKUP(D70,Товар!$A$2:$F$1000,3,0)</f>
        <v/>
      </c>
      <c r="J70">
        <f>VLOOKUP(D70,Товар!$A$2:$F$1000,5,0)</f>
        <v/>
      </c>
      <c r="K70">
        <f>IF(AND(H70="Промышленный",LEFT(I70,18)="Порошок стиральный",F70="Продажа",B70=DATE(2023,6,7)),E70*J70/1000,0)</f>
        <v/>
      </c>
    </row>
    <row r="71">
      <c r="A71" t="n">
        <v>70</v>
      </c>
      <c r="B71" s="1" t="n">
        <v>45079</v>
      </c>
      <c r="C71" s="5" t="inlineStr">
        <is>
          <t>M10</t>
        </is>
      </c>
      <c r="D71" s="5" t="n">
        <v>10</v>
      </c>
      <c r="E71" s="5" t="n">
        <v>200</v>
      </c>
      <c r="F71" t="inlineStr">
        <is>
          <t>Поступление</t>
        </is>
      </c>
      <c r="H71">
        <f>VLOOKUP(C71,Магазин!$A$2:$C$1000,2,0)</f>
        <v/>
      </c>
      <c r="I71">
        <f>VLOOKUP(D71,Товар!$A$2:$F$1000,3,0)</f>
        <v/>
      </c>
      <c r="J71">
        <f>VLOOKUP(D71,Товар!$A$2:$F$1000,5,0)</f>
        <v/>
      </c>
      <c r="K71">
        <f>IF(AND(H71="Промышленный",LEFT(I71,18)="Порошок стиральный",F71="Продажа",B71=DATE(2023,6,7)),E71*J71/1000,0)</f>
        <v/>
      </c>
    </row>
    <row r="72">
      <c r="A72" t="n">
        <v>71</v>
      </c>
      <c r="B72" s="1" t="n">
        <v>45079</v>
      </c>
      <c r="C72" s="5" t="inlineStr">
        <is>
          <t>M10</t>
        </is>
      </c>
      <c r="D72" s="5" t="n">
        <v>11</v>
      </c>
      <c r="E72" s="5" t="n">
        <v>200</v>
      </c>
      <c r="F72" t="inlineStr">
        <is>
          <t>Поступление</t>
        </is>
      </c>
      <c r="H72">
        <f>VLOOKUP(C72,Магазин!$A$2:$C$1000,2,0)</f>
        <v/>
      </c>
      <c r="I72">
        <f>VLOOKUP(D72,Товар!$A$2:$F$1000,3,0)</f>
        <v/>
      </c>
      <c r="J72">
        <f>VLOOKUP(D72,Товар!$A$2:$F$1000,5,0)</f>
        <v/>
      </c>
      <c r="K72">
        <f>IF(AND(H72="Промышленный",LEFT(I72,18)="Порошок стиральный",F72="Продажа",B72=DATE(2023,6,7)),E72*J72/1000,0)</f>
        <v/>
      </c>
    </row>
    <row r="73">
      <c r="A73" t="n">
        <v>72</v>
      </c>
      <c r="B73" s="1" t="n">
        <v>45079</v>
      </c>
      <c r="C73" s="5" t="inlineStr">
        <is>
          <t>M10</t>
        </is>
      </c>
      <c r="D73" s="5" t="n">
        <v>12</v>
      </c>
      <c r="E73" s="5" t="n">
        <v>200</v>
      </c>
      <c r="F73" t="inlineStr">
        <is>
          <t>Поступление</t>
        </is>
      </c>
      <c r="H73">
        <f>VLOOKUP(C73,Магазин!$A$2:$C$1000,2,0)</f>
        <v/>
      </c>
      <c r="I73">
        <f>VLOOKUP(D73,Товар!$A$2:$F$1000,3,0)</f>
        <v/>
      </c>
      <c r="J73">
        <f>VLOOKUP(D73,Товар!$A$2:$F$1000,5,0)</f>
        <v/>
      </c>
      <c r="K73">
        <f>IF(AND(H73="Промышленный",LEFT(I73,18)="Порошок стиральный",F73="Продажа",B73=DATE(2023,6,7)),E73*J73/1000,0)</f>
        <v/>
      </c>
    </row>
    <row r="74">
      <c r="A74" t="n">
        <v>73</v>
      </c>
      <c r="B74" s="1" t="n">
        <v>45079</v>
      </c>
      <c r="C74" s="5" t="inlineStr">
        <is>
          <t>M10</t>
        </is>
      </c>
      <c r="D74" s="5" t="n">
        <v>13</v>
      </c>
      <c r="E74" s="5" t="n">
        <v>200</v>
      </c>
      <c r="F74" t="inlineStr">
        <is>
          <t>Поступление</t>
        </is>
      </c>
      <c r="H74">
        <f>VLOOKUP(C74,Магазин!$A$2:$C$1000,2,0)</f>
        <v/>
      </c>
      <c r="I74">
        <f>VLOOKUP(D74,Товар!$A$2:$F$1000,3,0)</f>
        <v/>
      </c>
      <c r="J74">
        <f>VLOOKUP(D74,Товар!$A$2:$F$1000,5,0)</f>
        <v/>
      </c>
      <c r="K74">
        <f>IF(AND(H74="Промышленный",LEFT(I74,18)="Порошок стиральный",F74="Продажа",B74=DATE(2023,6,7)),E74*J74/1000,0)</f>
        <v/>
      </c>
    </row>
    <row r="75">
      <c r="A75" t="n">
        <v>74</v>
      </c>
      <c r="B75" s="1" t="n">
        <v>45079</v>
      </c>
      <c r="C75" s="5" t="inlineStr">
        <is>
          <t>M10</t>
        </is>
      </c>
      <c r="D75" s="5" t="n">
        <v>14</v>
      </c>
      <c r="E75" s="5" t="n">
        <v>200</v>
      </c>
      <c r="F75" t="inlineStr">
        <is>
          <t>Поступление</t>
        </is>
      </c>
      <c r="H75">
        <f>VLOOKUP(C75,Магазин!$A$2:$C$1000,2,0)</f>
        <v/>
      </c>
      <c r="I75">
        <f>VLOOKUP(D75,Товар!$A$2:$F$1000,3,0)</f>
        <v/>
      </c>
      <c r="J75">
        <f>VLOOKUP(D75,Товар!$A$2:$F$1000,5,0)</f>
        <v/>
      </c>
      <c r="K75">
        <f>IF(AND(H75="Промышленный",LEFT(I75,18)="Порошок стиральный",F75="Продажа",B75=DATE(2023,6,7)),E75*J75/1000,0)</f>
        <v/>
      </c>
    </row>
    <row r="76">
      <c r="A76" t="n">
        <v>75</v>
      </c>
      <c r="B76" s="1" t="n">
        <v>45079</v>
      </c>
      <c r="C76" s="5" t="inlineStr">
        <is>
          <t>M10</t>
        </is>
      </c>
      <c r="D76" s="5" t="n">
        <v>15</v>
      </c>
      <c r="E76" s="5" t="n">
        <v>200</v>
      </c>
      <c r="F76" t="inlineStr">
        <is>
          <t>Поступление</t>
        </is>
      </c>
      <c r="H76">
        <f>VLOOKUP(C76,Магазин!$A$2:$C$1000,2,0)</f>
        <v/>
      </c>
      <c r="I76">
        <f>VLOOKUP(D76,Товар!$A$2:$F$1000,3,0)</f>
        <v/>
      </c>
      <c r="J76">
        <f>VLOOKUP(D76,Товар!$A$2:$F$1000,5,0)</f>
        <v/>
      </c>
      <c r="K76">
        <f>IF(AND(H76="Промышленный",LEFT(I76,18)="Порошок стиральный",F76="Продажа",B76=DATE(2023,6,7)),E76*J76/1000,0)</f>
        <v/>
      </c>
    </row>
    <row r="77">
      <c r="A77" t="n">
        <v>76</v>
      </c>
      <c r="B77" s="1" t="n">
        <v>45079</v>
      </c>
      <c r="C77" s="5" t="inlineStr">
        <is>
          <t>M10</t>
        </is>
      </c>
      <c r="D77" s="5" t="n">
        <v>16</v>
      </c>
      <c r="E77" s="5" t="n">
        <v>200</v>
      </c>
      <c r="F77" t="inlineStr">
        <is>
          <t>Поступление</t>
        </is>
      </c>
      <c r="H77">
        <f>VLOOKUP(C77,Магазин!$A$2:$C$1000,2,0)</f>
        <v/>
      </c>
      <c r="I77">
        <f>VLOOKUP(D77,Товар!$A$2:$F$1000,3,0)</f>
        <v/>
      </c>
      <c r="J77">
        <f>VLOOKUP(D77,Товар!$A$2:$F$1000,5,0)</f>
        <v/>
      </c>
      <c r="K77">
        <f>IF(AND(H77="Промышленный",LEFT(I77,18)="Порошок стиральный",F77="Продажа",B77=DATE(2023,6,7)),E77*J77/1000,0)</f>
        <v/>
      </c>
    </row>
    <row r="78">
      <c r="A78" t="n">
        <v>77</v>
      </c>
      <c r="B78" s="1" t="n">
        <v>45079</v>
      </c>
      <c r="C78" s="5" t="inlineStr">
        <is>
          <t>M10</t>
        </is>
      </c>
      <c r="D78" s="5" t="n">
        <v>17</v>
      </c>
      <c r="E78" s="5" t="n">
        <v>200</v>
      </c>
      <c r="F78" t="inlineStr">
        <is>
          <t>Поступление</t>
        </is>
      </c>
      <c r="H78">
        <f>VLOOKUP(C78,Магазин!$A$2:$C$1000,2,0)</f>
        <v/>
      </c>
      <c r="I78">
        <f>VLOOKUP(D78,Товар!$A$2:$F$1000,3,0)</f>
        <v/>
      </c>
      <c r="J78">
        <f>VLOOKUP(D78,Товар!$A$2:$F$1000,5,0)</f>
        <v/>
      </c>
      <c r="K78">
        <f>IF(AND(H78="Промышленный",LEFT(I78,18)="Порошок стиральный",F78="Продажа",B78=DATE(2023,6,7)),E78*J78/1000,0)</f>
        <v/>
      </c>
    </row>
    <row r="79">
      <c r="A79" t="n">
        <v>78</v>
      </c>
      <c r="B79" s="1" t="n">
        <v>45079</v>
      </c>
      <c r="C79" s="5" t="inlineStr">
        <is>
          <t>M10</t>
        </is>
      </c>
      <c r="D79" s="5" t="n">
        <v>18</v>
      </c>
      <c r="E79" s="5" t="n">
        <v>200</v>
      </c>
      <c r="F79" t="inlineStr">
        <is>
          <t>Поступление</t>
        </is>
      </c>
      <c r="H79">
        <f>VLOOKUP(C79,Магазин!$A$2:$C$1000,2,0)</f>
        <v/>
      </c>
      <c r="I79">
        <f>VLOOKUP(D79,Товар!$A$2:$F$1000,3,0)</f>
        <v/>
      </c>
      <c r="J79">
        <f>VLOOKUP(D79,Товар!$A$2:$F$1000,5,0)</f>
        <v/>
      </c>
      <c r="K79">
        <f>IF(AND(H79="Промышленный",LEFT(I79,18)="Порошок стиральный",F79="Продажа",B79=DATE(2023,6,7)),E79*J79/1000,0)</f>
        <v/>
      </c>
    </row>
    <row r="80">
      <c r="A80" t="n">
        <v>79</v>
      </c>
      <c r="B80" s="1" t="n">
        <v>45079</v>
      </c>
      <c r="C80" s="5" t="inlineStr">
        <is>
          <t>M10</t>
        </is>
      </c>
      <c r="D80" s="5" t="n">
        <v>19</v>
      </c>
      <c r="E80" s="5" t="n">
        <v>200</v>
      </c>
      <c r="F80" t="inlineStr">
        <is>
          <t>Поступление</t>
        </is>
      </c>
      <c r="H80">
        <f>VLOOKUP(C80,Магазин!$A$2:$C$1000,2,0)</f>
        <v/>
      </c>
      <c r="I80">
        <f>VLOOKUP(D80,Товар!$A$2:$F$1000,3,0)</f>
        <v/>
      </c>
      <c r="J80">
        <f>VLOOKUP(D80,Товар!$A$2:$F$1000,5,0)</f>
        <v/>
      </c>
      <c r="K80">
        <f>IF(AND(H80="Промышленный",LEFT(I80,18)="Порошок стиральный",F80="Продажа",B80=DATE(2023,6,7)),E80*J80/1000,0)</f>
        <v/>
      </c>
    </row>
    <row r="81">
      <c r="A81" t="n">
        <v>80</v>
      </c>
      <c r="B81" s="1" t="n">
        <v>45079</v>
      </c>
      <c r="C81" s="5" t="inlineStr">
        <is>
          <t>M10</t>
        </is>
      </c>
      <c r="D81" s="5" t="n">
        <v>20</v>
      </c>
      <c r="E81" s="5" t="n">
        <v>200</v>
      </c>
      <c r="F81" t="inlineStr">
        <is>
          <t>Поступление</t>
        </is>
      </c>
      <c r="H81">
        <f>VLOOKUP(C81,Магазин!$A$2:$C$1000,2,0)</f>
        <v/>
      </c>
      <c r="I81">
        <f>VLOOKUP(D81,Товар!$A$2:$F$1000,3,0)</f>
        <v/>
      </c>
      <c r="J81">
        <f>VLOOKUP(D81,Товар!$A$2:$F$1000,5,0)</f>
        <v/>
      </c>
      <c r="K81">
        <f>IF(AND(H81="Промышленный",LEFT(I81,18)="Порошок стиральный",F81="Продажа",B81=DATE(2023,6,7)),E81*J81/1000,0)</f>
        <v/>
      </c>
    </row>
    <row r="82">
      <c r="A82" t="n">
        <v>81</v>
      </c>
      <c r="B82" s="1" t="n">
        <v>45079</v>
      </c>
      <c r="C82" s="5" t="inlineStr">
        <is>
          <t>M10</t>
        </is>
      </c>
      <c r="D82" s="5" t="n">
        <v>21</v>
      </c>
      <c r="E82" s="5" t="n">
        <v>200</v>
      </c>
      <c r="F82" t="inlineStr">
        <is>
          <t>Поступление</t>
        </is>
      </c>
      <c r="H82">
        <f>VLOOKUP(C82,Магазин!$A$2:$C$1000,2,0)</f>
        <v/>
      </c>
      <c r="I82">
        <f>VLOOKUP(D82,Товар!$A$2:$F$1000,3,0)</f>
        <v/>
      </c>
      <c r="J82">
        <f>VLOOKUP(D82,Товар!$A$2:$F$1000,5,0)</f>
        <v/>
      </c>
      <c r="K82">
        <f>IF(AND(H82="Промышленный",LEFT(I82,18)="Порошок стиральный",F82="Продажа",B82=DATE(2023,6,7)),E82*J82/1000,0)</f>
        <v/>
      </c>
    </row>
    <row r="83">
      <c r="A83" t="n">
        <v>82</v>
      </c>
      <c r="B83" s="1" t="n">
        <v>45079</v>
      </c>
      <c r="C83" s="5" t="inlineStr">
        <is>
          <t>M10</t>
        </is>
      </c>
      <c r="D83" s="5" t="n">
        <v>22</v>
      </c>
      <c r="E83" s="5" t="n">
        <v>200</v>
      </c>
      <c r="F83" t="inlineStr">
        <is>
          <t>Поступление</t>
        </is>
      </c>
      <c r="H83">
        <f>VLOOKUP(C83,Магазин!$A$2:$C$1000,2,0)</f>
        <v/>
      </c>
      <c r="I83">
        <f>VLOOKUP(D83,Товар!$A$2:$F$1000,3,0)</f>
        <v/>
      </c>
      <c r="J83">
        <f>VLOOKUP(D83,Товар!$A$2:$F$1000,5,0)</f>
        <v/>
      </c>
      <c r="K83">
        <f>IF(AND(H83="Промышленный",LEFT(I83,18)="Порошок стиральный",F83="Продажа",B83=DATE(2023,6,7)),E83*J83/1000,0)</f>
        <v/>
      </c>
    </row>
    <row r="84">
      <c r="A84" t="n">
        <v>83</v>
      </c>
      <c r="B84" s="1" t="n">
        <v>45079</v>
      </c>
      <c r="C84" s="5" t="inlineStr">
        <is>
          <t>M10</t>
        </is>
      </c>
      <c r="D84" s="5" t="n">
        <v>23</v>
      </c>
      <c r="E84" s="5" t="n">
        <v>200</v>
      </c>
      <c r="F84" t="inlineStr">
        <is>
          <t>Поступление</t>
        </is>
      </c>
      <c r="H84">
        <f>VLOOKUP(C84,Магазин!$A$2:$C$1000,2,0)</f>
        <v/>
      </c>
      <c r="I84">
        <f>VLOOKUP(D84,Товар!$A$2:$F$1000,3,0)</f>
        <v/>
      </c>
      <c r="J84">
        <f>VLOOKUP(D84,Товар!$A$2:$F$1000,5,0)</f>
        <v/>
      </c>
      <c r="K84">
        <f>IF(AND(H84="Промышленный",LEFT(I84,18)="Порошок стиральный",F84="Продажа",B84=DATE(2023,6,7)),E84*J84/1000,0)</f>
        <v/>
      </c>
    </row>
    <row r="85">
      <c r="A85" t="n">
        <v>84</v>
      </c>
      <c r="B85" s="1" t="n">
        <v>45079</v>
      </c>
      <c r="C85" s="5" t="inlineStr">
        <is>
          <t>M10</t>
        </is>
      </c>
      <c r="D85" s="5" t="n">
        <v>24</v>
      </c>
      <c r="E85" s="5" t="n">
        <v>200</v>
      </c>
      <c r="F85" t="inlineStr">
        <is>
          <t>Поступление</t>
        </is>
      </c>
      <c r="H85">
        <f>VLOOKUP(C85,Магазин!$A$2:$C$1000,2,0)</f>
        <v/>
      </c>
      <c r="I85">
        <f>VLOOKUP(D85,Товар!$A$2:$F$1000,3,0)</f>
        <v/>
      </c>
      <c r="J85">
        <f>VLOOKUP(D85,Товар!$A$2:$F$1000,5,0)</f>
        <v/>
      </c>
      <c r="K85">
        <f>IF(AND(H85="Промышленный",LEFT(I85,18)="Порошок стиральный",F85="Продажа",B85=DATE(2023,6,7)),E85*J85/1000,0)</f>
        <v/>
      </c>
    </row>
    <row r="86">
      <c r="A86" t="n">
        <v>85</v>
      </c>
      <c r="B86" s="1" t="n">
        <v>45079</v>
      </c>
      <c r="C86" s="5" t="inlineStr">
        <is>
          <t>M10</t>
        </is>
      </c>
      <c r="D86" s="5" t="n">
        <v>25</v>
      </c>
      <c r="E86" s="5" t="n">
        <v>200</v>
      </c>
      <c r="F86" t="inlineStr">
        <is>
          <t>Поступление</t>
        </is>
      </c>
      <c r="H86">
        <f>VLOOKUP(C86,Магазин!$A$2:$C$1000,2,0)</f>
        <v/>
      </c>
      <c r="I86">
        <f>VLOOKUP(D86,Товар!$A$2:$F$1000,3,0)</f>
        <v/>
      </c>
      <c r="J86">
        <f>VLOOKUP(D86,Товар!$A$2:$F$1000,5,0)</f>
        <v/>
      </c>
      <c r="K86">
        <f>IF(AND(H86="Промышленный",LEFT(I86,18)="Порошок стиральный",F86="Продажа",B86=DATE(2023,6,7)),E86*J86/1000,0)</f>
        <v/>
      </c>
    </row>
    <row r="87">
      <c r="A87" t="n">
        <v>86</v>
      </c>
      <c r="B87" s="1" t="n">
        <v>45079</v>
      </c>
      <c r="C87" s="5" t="inlineStr">
        <is>
          <t>M10</t>
        </is>
      </c>
      <c r="D87" s="5" t="n">
        <v>26</v>
      </c>
      <c r="E87" s="5" t="n">
        <v>200</v>
      </c>
      <c r="F87" t="inlineStr">
        <is>
          <t>Поступление</t>
        </is>
      </c>
      <c r="H87">
        <f>VLOOKUP(C87,Магазин!$A$2:$C$1000,2,0)</f>
        <v/>
      </c>
      <c r="I87">
        <f>VLOOKUP(D87,Товар!$A$2:$F$1000,3,0)</f>
        <v/>
      </c>
      <c r="J87">
        <f>VLOOKUP(D87,Товар!$A$2:$F$1000,5,0)</f>
        <v/>
      </c>
      <c r="K87">
        <f>IF(AND(H87="Промышленный",LEFT(I87,18)="Порошок стиральный",F87="Продажа",B87=DATE(2023,6,7)),E87*J87/1000,0)</f>
        <v/>
      </c>
    </row>
    <row r="88">
      <c r="A88" t="n">
        <v>87</v>
      </c>
      <c r="B88" s="1" t="n">
        <v>45079</v>
      </c>
      <c r="C88" s="5" t="inlineStr">
        <is>
          <t>M10</t>
        </is>
      </c>
      <c r="D88" s="5" t="n">
        <v>27</v>
      </c>
      <c r="E88" s="5" t="n">
        <v>200</v>
      </c>
      <c r="F88" t="inlineStr">
        <is>
          <t>Поступление</t>
        </is>
      </c>
      <c r="H88">
        <f>VLOOKUP(C88,Магазин!$A$2:$C$1000,2,0)</f>
        <v/>
      </c>
      <c r="I88">
        <f>VLOOKUP(D88,Товар!$A$2:$F$1000,3,0)</f>
        <v/>
      </c>
      <c r="J88">
        <f>VLOOKUP(D88,Товар!$A$2:$F$1000,5,0)</f>
        <v/>
      </c>
      <c r="K88">
        <f>IF(AND(H88="Промышленный",LEFT(I88,18)="Порошок стиральный",F88="Продажа",B88=DATE(2023,6,7)),E88*J88/1000,0)</f>
        <v/>
      </c>
    </row>
    <row r="89">
      <c r="A89" t="n">
        <v>88</v>
      </c>
      <c r="B89" s="1" t="n">
        <v>45079</v>
      </c>
      <c r="C89" s="5" t="inlineStr">
        <is>
          <t>M10</t>
        </is>
      </c>
      <c r="D89" s="5" t="n">
        <v>28</v>
      </c>
      <c r="E89" s="5" t="n">
        <v>200</v>
      </c>
      <c r="F89" t="inlineStr">
        <is>
          <t>Поступление</t>
        </is>
      </c>
      <c r="H89">
        <f>VLOOKUP(C89,Магазин!$A$2:$C$1000,2,0)</f>
        <v/>
      </c>
      <c r="I89">
        <f>VLOOKUP(D89,Товар!$A$2:$F$1000,3,0)</f>
        <v/>
      </c>
      <c r="J89">
        <f>VLOOKUP(D89,Товар!$A$2:$F$1000,5,0)</f>
        <v/>
      </c>
      <c r="K89">
        <f>IF(AND(H89="Промышленный",LEFT(I89,18)="Порошок стиральный",F89="Продажа",B89=DATE(2023,6,7)),E89*J89/1000,0)</f>
        <v/>
      </c>
    </row>
    <row r="90">
      <c r="A90" t="n">
        <v>89</v>
      </c>
      <c r="B90" s="1" t="n">
        <v>45079</v>
      </c>
      <c r="C90" s="5" t="inlineStr">
        <is>
          <t>M10</t>
        </is>
      </c>
      <c r="D90" s="5" t="n">
        <v>29</v>
      </c>
      <c r="E90" s="5" t="n">
        <v>200</v>
      </c>
      <c r="F90" t="inlineStr">
        <is>
          <t>Поступление</t>
        </is>
      </c>
      <c r="H90">
        <f>VLOOKUP(C90,Магазин!$A$2:$C$1000,2,0)</f>
        <v/>
      </c>
      <c r="I90">
        <f>VLOOKUP(D90,Товар!$A$2:$F$1000,3,0)</f>
        <v/>
      </c>
      <c r="J90">
        <f>VLOOKUP(D90,Товар!$A$2:$F$1000,5,0)</f>
        <v/>
      </c>
      <c r="K90">
        <f>IF(AND(H90="Промышленный",LEFT(I90,18)="Порошок стиральный",F90="Продажа",B90=DATE(2023,6,7)),E90*J90/1000,0)</f>
        <v/>
      </c>
    </row>
    <row r="91">
      <c r="A91" t="n">
        <v>90</v>
      </c>
      <c r="B91" s="1" t="n">
        <v>45079</v>
      </c>
      <c r="C91" s="5" t="inlineStr">
        <is>
          <t>M10</t>
        </is>
      </c>
      <c r="D91" s="5" t="n">
        <v>30</v>
      </c>
      <c r="E91" s="5" t="n">
        <v>200</v>
      </c>
      <c r="F91" t="inlineStr">
        <is>
          <t>Поступление</t>
        </is>
      </c>
      <c r="H91">
        <f>VLOOKUP(C91,Магазин!$A$2:$C$1000,2,0)</f>
        <v/>
      </c>
      <c r="I91">
        <f>VLOOKUP(D91,Товар!$A$2:$F$1000,3,0)</f>
        <v/>
      </c>
      <c r="J91">
        <f>VLOOKUP(D91,Товар!$A$2:$F$1000,5,0)</f>
        <v/>
      </c>
      <c r="K91">
        <f>IF(AND(H91="Промышленный",LEFT(I91,18)="Порошок стиральный",F91="Продажа",B91=DATE(2023,6,7)),E91*J91/1000,0)</f>
        <v/>
      </c>
    </row>
    <row r="92">
      <c r="A92" t="n">
        <v>91</v>
      </c>
      <c r="B92" s="1" t="n">
        <v>45079</v>
      </c>
      <c r="C92" s="5" t="inlineStr">
        <is>
          <t>M10</t>
        </is>
      </c>
      <c r="D92" s="5" t="n">
        <v>31</v>
      </c>
      <c r="E92" s="5" t="n">
        <v>200</v>
      </c>
      <c r="F92" t="inlineStr">
        <is>
          <t>Поступление</t>
        </is>
      </c>
      <c r="H92">
        <f>VLOOKUP(C92,Магазин!$A$2:$C$1000,2,0)</f>
        <v/>
      </c>
      <c r="I92">
        <f>VLOOKUP(D92,Товар!$A$2:$F$1000,3,0)</f>
        <v/>
      </c>
      <c r="J92">
        <f>VLOOKUP(D92,Товар!$A$2:$F$1000,5,0)</f>
        <v/>
      </c>
      <c r="K92">
        <f>IF(AND(H92="Промышленный",LEFT(I92,18)="Порошок стиральный",F92="Продажа",B92=DATE(2023,6,7)),E92*J92/1000,0)</f>
        <v/>
      </c>
    </row>
    <row r="93">
      <c r="A93" t="n">
        <v>92</v>
      </c>
      <c r="B93" s="1" t="n">
        <v>45079</v>
      </c>
      <c r="C93" s="5" t="inlineStr">
        <is>
          <t>M10</t>
        </is>
      </c>
      <c r="D93" s="5" t="n">
        <v>32</v>
      </c>
      <c r="E93" s="5" t="n">
        <v>200</v>
      </c>
      <c r="F93" t="inlineStr">
        <is>
          <t>Поступление</t>
        </is>
      </c>
      <c r="H93">
        <f>VLOOKUP(C93,Магазин!$A$2:$C$1000,2,0)</f>
        <v/>
      </c>
      <c r="I93">
        <f>VLOOKUP(D93,Товар!$A$2:$F$1000,3,0)</f>
        <v/>
      </c>
      <c r="J93">
        <f>VLOOKUP(D93,Товар!$A$2:$F$1000,5,0)</f>
        <v/>
      </c>
      <c r="K93">
        <f>IF(AND(H93="Промышленный",LEFT(I93,18)="Порошок стиральный",F93="Продажа",B93=DATE(2023,6,7)),E93*J93/1000,0)</f>
        <v/>
      </c>
    </row>
    <row r="94">
      <c r="A94" t="n">
        <v>93</v>
      </c>
      <c r="B94" s="1" t="n">
        <v>45079</v>
      </c>
      <c r="C94" s="5" t="inlineStr">
        <is>
          <t>M10</t>
        </is>
      </c>
      <c r="D94" s="5" t="n">
        <v>33</v>
      </c>
      <c r="E94" s="5" t="n">
        <v>200</v>
      </c>
      <c r="F94" t="inlineStr">
        <is>
          <t>Поступление</t>
        </is>
      </c>
      <c r="H94">
        <f>VLOOKUP(C94,Магазин!$A$2:$C$1000,2,0)</f>
        <v/>
      </c>
      <c r="I94">
        <f>VLOOKUP(D94,Товар!$A$2:$F$1000,3,0)</f>
        <v/>
      </c>
      <c r="J94">
        <f>VLOOKUP(D94,Товар!$A$2:$F$1000,5,0)</f>
        <v/>
      </c>
      <c r="K94">
        <f>IF(AND(H94="Промышленный",LEFT(I94,18)="Порошок стиральный",F94="Продажа",B94=DATE(2023,6,7)),E94*J94/1000,0)</f>
        <v/>
      </c>
    </row>
    <row r="95">
      <c r="A95" t="n">
        <v>94</v>
      </c>
      <c r="B95" s="1" t="n">
        <v>45079</v>
      </c>
      <c r="C95" s="5" t="inlineStr">
        <is>
          <t>M10</t>
        </is>
      </c>
      <c r="D95" s="5" t="n">
        <v>34</v>
      </c>
      <c r="E95" s="5" t="n">
        <v>200</v>
      </c>
      <c r="F95" t="inlineStr">
        <is>
          <t>Поступление</t>
        </is>
      </c>
      <c r="H95">
        <f>VLOOKUP(C95,Магазин!$A$2:$C$1000,2,0)</f>
        <v/>
      </c>
      <c r="I95">
        <f>VLOOKUP(D95,Товар!$A$2:$F$1000,3,0)</f>
        <v/>
      </c>
      <c r="J95">
        <f>VLOOKUP(D95,Товар!$A$2:$F$1000,5,0)</f>
        <v/>
      </c>
      <c r="K95">
        <f>IF(AND(H95="Промышленный",LEFT(I95,18)="Порошок стиральный",F95="Продажа",B95=DATE(2023,6,7)),E95*J95/1000,0)</f>
        <v/>
      </c>
    </row>
    <row r="96">
      <c r="A96" t="n">
        <v>95</v>
      </c>
      <c r="B96" s="1" t="n">
        <v>45079</v>
      </c>
      <c r="C96" s="5" t="inlineStr">
        <is>
          <t>M10</t>
        </is>
      </c>
      <c r="D96" s="5" t="n">
        <v>35</v>
      </c>
      <c r="E96" s="5" t="n">
        <v>200</v>
      </c>
      <c r="F96" t="inlineStr">
        <is>
          <t>Поступление</t>
        </is>
      </c>
      <c r="H96">
        <f>VLOOKUP(C96,Магазин!$A$2:$C$1000,2,0)</f>
        <v/>
      </c>
      <c r="I96">
        <f>VLOOKUP(D96,Товар!$A$2:$F$1000,3,0)</f>
        <v/>
      </c>
      <c r="J96">
        <f>VLOOKUP(D96,Товар!$A$2:$F$1000,5,0)</f>
        <v/>
      </c>
      <c r="K96">
        <f>IF(AND(H96="Промышленный",LEFT(I96,18)="Порошок стиральный",F96="Продажа",B96=DATE(2023,6,7)),E96*J96/1000,0)</f>
        <v/>
      </c>
    </row>
    <row r="97">
      <c r="A97" t="n">
        <v>96</v>
      </c>
      <c r="B97" s="1" t="n">
        <v>45079</v>
      </c>
      <c r="C97" s="5" t="inlineStr">
        <is>
          <t>M10</t>
        </is>
      </c>
      <c r="D97" s="5" t="n">
        <v>36</v>
      </c>
      <c r="E97" s="5" t="n">
        <v>200</v>
      </c>
      <c r="F97" t="inlineStr">
        <is>
          <t>Поступление</t>
        </is>
      </c>
      <c r="H97">
        <f>VLOOKUP(C97,Магазин!$A$2:$C$1000,2,0)</f>
        <v/>
      </c>
      <c r="I97">
        <f>VLOOKUP(D97,Товар!$A$2:$F$1000,3,0)</f>
        <v/>
      </c>
      <c r="J97">
        <f>VLOOKUP(D97,Товар!$A$2:$F$1000,5,0)</f>
        <v/>
      </c>
      <c r="K97">
        <f>IF(AND(H97="Промышленный",LEFT(I97,18)="Порошок стиральный",F97="Продажа",B97=DATE(2023,6,7)),E97*J97/1000,0)</f>
        <v/>
      </c>
    </row>
    <row r="98">
      <c r="A98" t="n">
        <v>97</v>
      </c>
      <c r="B98" s="1" t="n">
        <v>45079</v>
      </c>
      <c r="C98" s="5" t="inlineStr">
        <is>
          <t>M10</t>
        </is>
      </c>
      <c r="D98" s="5" t="n">
        <v>37</v>
      </c>
      <c r="E98" s="5" t="n">
        <v>300</v>
      </c>
      <c r="F98" t="inlineStr">
        <is>
          <t>Поступление</t>
        </is>
      </c>
      <c r="H98">
        <f>VLOOKUP(C98,Магазин!$A$2:$C$1000,2,0)</f>
        <v/>
      </c>
      <c r="I98">
        <f>VLOOKUP(D98,Товар!$A$2:$F$1000,3,0)</f>
        <v/>
      </c>
      <c r="J98">
        <f>VLOOKUP(D98,Товар!$A$2:$F$1000,5,0)</f>
        <v/>
      </c>
      <c r="K98">
        <f>IF(AND(H98="Промышленный",LEFT(I98,18)="Порошок стиральный",F98="Продажа",B98=DATE(2023,6,7)),E98*J98/1000,0)</f>
        <v/>
      </c>
    </row>
    <row r="99">
      <c r="A99" t="n">
        <v>98</v>
      </c>
      <c r="B99" s="1" t="n">
        <v>45079</v>
      </c>
      <c r="C99" s="5" t="inlineStr">
        <is>
          <t>M10</t>
        </is>
      </c>
      <c r="D99" s="5" t="n">
        <v>38</v>
      </c>
      <c r="E99" s="5" t="n">
        <v>300</v>
      </c>
      <c r="F99" t="inlineStr">
        <is>
          <t>Поступление</t>
        </is>
      </c>
      <c r="H99">
        <f>VLOOKUP(C99,Магазин!$A$2:$C$1000,2,0)</f>
        <v/>
      </c>
      <c r="I99">
        <f>VLOOKUP(D99,Товар!$A$2:$F$1000,3,0)</f>
        <v/>
      </c>
      <c r="J99">
        <f>VLOOKUP(D99,Товар!$A$2:$F$1000,5,0)</f>
        <v/>
      </c>
      <c r="K99">
        <f>IF(AND(H99="Промышленный",LEFT(I99,18)="Порошок стиральный",F99="Продажа",B99=DATE(2023,6,7)),E99*J99/1000,0)</f>
        <v/>
      </c>
    </row>
    <row r="100">
      <c r="A100" t="n">
        <v>99</v>
      </c>
      <c r="B100" s="1" t="n">
        <v>45079</v>
      </c>
      <c r="C100" s="5" t="inlineStr">
        <is>
          <t>M10</t>
        </is>
      </c>
      <c r="D100" s="5" t="n">
        <v>39</v>
      </c>
      <c r="E100" s="5" t="n">
        <v>300</v>
      </c>
      <c r="F100" t="inlineStr">
        <is>
          <t>Поступление</t>
        </is>
      </c>
      <c r="H100">
        <f>VLOOKUP(C100,Магазин!$A$2:$C$1000,2,0)</f>
        <v/>
      </c>
      <c r="I100">
        <f>VLOOKUP(D100,Товар!$A$2:$F$1000,3,0)</f>
        <v/>
      </c>
      <c r="J100">
        <f>VLOOKUP(D100,Товар!$A$2:$F$1000,5,0)</f>
        <v/>
      </c>
      <c r="K100">
        <f>IF(AND(H100="Промышленный",LEFT(I100,18)="Порошок стиральный",F100="Продажа",B100=DATE(2023,6,7)),E100*J100/1000,0)</f>
        <v/>
      </c>
    </row>
    <row r="101">
      <c r="A101" t="n">
        <v>100</v>
      </c>
      <c r="B101" s="1" t="n">
        <v>45079</v>
      </c>
      <c r="C101" s="5" t="inlineStr">
        <is>
          <t>M10</t>
        </is>
      </c>
      <c r="D101" s="5" t="n">
        <v>40</v>
      </c>
      <c r="E101" s="5" t="n">
        <v>300</v>
      </c>
      <c r="F101" t="inlineStr">
        <is>
          <t>Поступление</t>
        </is>
      </c>
      <c r="H101">
        <f>VLOOKUP(C101,Магазин!$A$2:$C$1000,2,0)</f>
        <v/>
      </c>
      <c r="I101">
        <f>VLOOKUP(D101,Товар!$A$2:$F$1000,3,0)</f>
        <v/>
      </c>
      <c r="J101">
        <f>VLOOKUP(D101,Товар!$A$2:$F$1000,5,0)</f>
        <v/>
      </c>
      <c r="K101">
        <f>IF(AND(H101="Промышленный",LEFT(I101,18)="Порошок стиральный",F101="Продажа",B101=DATE(2023,6,7)),E101*J101/1000,0)</f>
        <v/>
      </c>
    </row>
    <row r="102">
      <c r="A102" t="n">
        <v>101</v>
      </c>
      <c r="B102" s="1" t="n">
        <v>45079</v>
      </c>
      <c r="C102" s="5" t="inlineStr">
        <is>
          <t>M10</t>
        </is>
      </c>
      <c r="D102" s="5" t="n">
        <v>41</v>
      </c>
      <c r="E102" s="5" t="n">
        <v>300</v>
      </c>
      <c r="F102" t="inlineStr">
        <is>
          <t>Поступление</t>
        </is>
      </c>
      <c r="H102">
        <f>VLOOKUP(C102,Магазин!$A$2:$C$1000,2,0)</f>
        <v/>
      </c>
      <c r="I102">
        <f>VLOOKUP(D102,Товар!$A$2:$F$1000,3,0)</f>
        <v/>
      </c>
      <c r="J102">
        <f>VLOOKUP(D102,Товар!$A$2:$F$1000,5,0)</f>
        <v/>
      </c>
      <c r="K102">
        <f>IF(AND(H102="Промышленный",LEFT(I102,18)="Порошок стиральный",F102="Продажа",B102=DATE(2023,6,7)),E102*J102/1000,0)</f>
        <v/>
      </c>
    </row>
    <row r="103">
      <c r="A103" t="n">
        <v>102</v>
      </c>
      <c r="B103" s="1" t="n">
        <v>45079</v>
      </c>
      <c r="C103" s="5" t="inlineStr">
        <is>
          <t>M10</t>
        </is>
      </c>
      <c r="D103" s="5" t="n">
        <v>42</v>
      </c>
      <c r="E103" s="5" t="n">
        <v>300</v>
      </c>
      <c r="F103" t="inlineStr">
        <is>
          <t>Поступление</t>
        </is>
      </c>
      <c r="H103">
        <f>VLOOKUP(C103,Магазин!$A$2:$C$1000,2,0)</f>
        <v/>
      </c>
      <c r="I103">
        <f>VLOOKUP(D103,Товар!$A$2:$F$1000,3,0)</f>
        <v/>
      </c>
      <c r="J103">
        <f>VLOOKUP(D103,Товар!$A$2:$F$1000,5,0)</f>
        <v/>
      </c>
      <c r="K103">
        <f>IF(AND(H103="Промышленный",LEFT(I103,18)="Порошок стиральный",F103="Продажа",B103=DATE(2023,6,7)),E103*J103/1000,0)</f>
        <v/>
      </c>
    </row>
    <row r="104">
      <c r="A104" t="n">
        <v>103</v>
      </c>
      <c r="B104" s="1" t="n">
        <v>45079</v>
      </c>
      <c r="C104" s="5" t="inlineStr">
        <is>
          <t>M10</t>
        </is>
      </c>
      <c r="D104" s="5" t="n">
        <v>43</v>
      </c>
      <c r="E104" s="5" t="n">
        <v>300</v>
      </c>
      <c r="F104" t="inlineStr">
        <is>
          <t>Поступление</t>
        </is>
      </c>
      <c r="H104">
        <f>VLOOKUP(C104,Магазин!$A$2:$C$1000,2,0)</f>
        <v/>
      </c>
      <c r="I104">
        <f>VLOOKUP(D104,Товар!$A$2:$F$1000,3,0)</f>
        <v/>
      </c>
      <c r="J104">
        <f>VLOOKUP(D104,Товар!$A$2:$F$1000,5,0)</f>
        <v/>
      </c>
      <c r="K104">
        <f>IF(AND(H104="Промышленный",LEFT(I104,18)="Порошок стиральный",F104="Продажа",B104=DATE(2023,6,7)),E104*J104/1000,0)</f>
        <v/>
      </c>
    </row>
    <row r="105">
      <c r="A105" t="n">
        <v>104</v>
      </c>
      <c r="B105" s="1" t="n">
        <v>45079</v>
      </c>
      <c r="C105" s="5" t="inlineStr">
        <is>
          <t>M10</t>
        </is>
      </c>
      <c r="D105" s="5" t="n">
        <v>44</v>
      </c>
      <c r="E105" s="5" t="n">
        <v>300</v>
      </c>
      <c r="F105" t="inlineStr">
        <is>
          <t>Поступление</t>
        </is>
      </c>
      <c r="H105">
        <f>VLOOKUP(C105,Магазин!$A$2:$C$1000,2,0)</f>
        <v/>
      </c>
      <c r="I105">
        <f>VLOOKUP(D105,Товар!$A$2:$F$1000,3,0)</f>
        <v/>
      </c>
      <c r="J105">
        <f>VLOOKUP(D105,Товар!$A$2:$F$1000,5,0)</f>
        <v/>
      </c>
      <c r="K105">
        <f>IF(AND(H105="Промышленный",LEFT(I105,18)="Порошок стиральный",F105="Продажа",B105=DATE(2023,6,7)),E105*J105/1000,0)</f>
        <v/>
      </c>
    </row>
    <row r="106">
      <c r="A106" t="n">
        <v>105</v>
      </c>
      <c r="B106" s="1" t="n">
        <v>45079</v>
      </c>
      <c r="C106" s="5" t="inlineStr">
        <is>
          <t>M10</t>
        </is>
      </c>
      <c r="D106" s="5" t="n">
        <v>45</v>
      </c>
      <c r="E106" s="5" t="n">
        <v>300</v>
      </c>
      <c r="F106" t="inlineStr">
        <is>
          <t>Поступление</t>
        </is>
      </c>
      <c r="H106">
        <f>VLOOKUP(C106,Магазин!$A$2:$C$1000,2,0)</f>
        <v/>
      </c>
      <c r="I106">
        <f>VLOOKUP(D106,Товар!$A$2:$F$1000,3,0)</f>
        <v/>
      </c>
      <c r="J106">
        <f>VLOOKUP(D106,Товар!$A$2:$F$1000,5,0)</f>
        <v/>
      </c>
      <c r="K106">
        <f>IF(AND(H106="Промышленный",LEFT(I106,18)="Порошок стиральный",F106="Продажа",B106=DATE(2023,6,7)),E106*J106/1000,0)</f>
        <v/>
      </c>
    </row>
    <row r="107">
      <c r="A107" t="n">
        <v>106</v>
      </c>
      <c r="B107" s="1" t="n">
        <v>45079</v>
      </c>
      <c r="C107" s="5" t="inlineStr">
        <is>
          <t>M10</t>
        </is>
      </c>
      <c r="D107" s="5" t="n">
        <v>46</v>
      </c>
      <c r="E107" s="5" t="n">
        <v>300</v>
      </c>
      <c r="F107" t="inlineStr">
        <is>
          <t>Поступление</t>
        </is>
      </c>
      <c r="H107">
        <f>VLOOKUP(C107,Магазин!$A$2:$C$1000,2,0)</f>
        <v/>
      </c>
      <c r="I107">
        <f>VLOOKUP(D107,Товар!$A$2:$F$1000,3,0)</f>
        <v/>
      </c>
      <c r="J107">
        <f>VLOOKUP(D107,Товар!$A$2:$F$1000,5,0)</f>
        <v/>
      </c>
      <c r="K107">
        <f>IF(AND(H107="Промышленный",LEFT(I107,18)="Порошок стиральный",F107="Продажа",B107=DATE(2023,6,7)),E107*J107/1000,0)</f>
        <v/>
      </c>
    </row>
    <row r="108">
      <c r="A108" t="n">
        <v>107</v>
      </c>
      <c r="B108" s="1" t="n">
        <v>45079</v>
      </c>
      <c r="C108" s="5" t="inlineStr">
        <is>
          <t>M10</t>
        </is>
      </c>
      <c r="D108" s="5" t="n">
        <v>47</v>
      </c>
      <c r="E108" s="5" t="n">
        <v>300</v>
      </c>
      <c r="F108" t="inlineStr">
        <is>
          <t>Поступление</t>
        </is>
      </c>
      <c r="H108">
        <f>VLOOKUP(C108,Магазин!$A$2:$C$1000,2,0)</f>
        <v/>
      </c>
      <c r="I108">
        <f>VLOOKUP(D108,Товар!$A$2:$F$1000,3,0)</f>
        <v/>
      </c>
      <c r="J108">
        <f>VLOOKUP(D108,Товар!$A$2:$F$1000,5,0)</f>
        <v/>
      </c>
      <c r="K108">
        <f>IF(AND(H108="Промышленный",LEFT(I108,18)="Порошок стиральный",F108="Продажа",B108=DATE(2023,6,7)),E108*J108/1000,0)</f>
        <v/>
      </c>
    </row>
    <row r="109">
      <c r="A109" t="n">
        <v>108</v>
      </c>
      <c r="B109" s="1" t="n">
        <v>45079</v>
      </c>
      <c r="C109" s="5" t="inlineStr">
        <is>
          <t>M10</t>
        </is>
      </c>
      <c r="D109" s="5" t="n">
        <v>48</v>
      </c>
      <c r="E109" s="5" t="n">
        <v>300</v>
      </c>
      <c r="F109" t="inlineStr">
        <is>
          <t>Поступление</t>
        </is>
      </c>
      <c r="H109">
        <f>VLOOKUP(C109,Магазин!$A$2:$C$1000,2,0)</f>
        <v/>
      </c>
      <c r="I109">
        <f>VLOOKUP(D109,Товар!$A$2:$F$1000,3,0)</f>
        <v/>
      </c>
      <c r="J109">
        <f>VLOOKUP(D109,Товар!$A$2:$F$1000,5,0)</f>
        <v/>
      </c>
      <c r="K109">
        <f>IF(AND(H109="Промышленный",LEFT(I109,18)="Порошок стиральный",F109="Продажа",B109=DATE(2023,6,7)),E109*J109/1000,0)</f>
        <v/>
      </c>
    </row>
    <row r="110">
      <c r="A110" t="n">
        <v>109</v>
      </c>
      <c r="B110" s="1" t="n">
        <v>45079</v>
      </c>
      <c r="C110" s="5" t="inlineStr">
        <is>
          <t>M10</t>
        </is>
      </c>
      <c r="D110" s="5" t="n">
        <v>49</v>
      </c>
      <c r="E110" s="5" t="n">
        <v>300</v>
      </c>
      <c r="F110" t="inlineStr">
        <is>
          <t>Поступление</t>
        </is>
      </c>
      <c r="H110">
        <f>VLOOKUP(C110,Магазин!$A$2:$C$1000,2,0)</f>
        <v/>
      </c>
      <c r="I110">
        <f>VLOOKUP(D110,Товар!$A$2:$F$1000,3,0)</f>
        <v/>
      </c>
      <c r="J110">
        <f>VLOOKUP(D110,Товар!$A$2:$F$1000,5,0)</f>
        <v/>
      </c>
      <c r="K110">
        <f>IF(AND(H110="Промышленный",LEFT(I110,18)="Порошок стиральный",F110="Продажа",B110=DATE(2023,6,7)),E110*J110/1000,0)</f>
        <v/>
      </c>
    </row>
    <row r="111">
      <c r="A111" t="n">
        <v>110</v>
      </c>
      <c r="B111" s="1" t="n">
        <v>45079</v>
      </c>
      <c r="C111" s="5" t="inlineStr">
        <is>
          <t>M10</t>
        </is>
      </c>
      <c r="D111" s="5" t="n">
        <v>50</v>
      </c>
      <c r="E111" s="5" t="n">
        <v>300</v>
      </c>
      <c r="F111" t="inlineStr">
        <is>
          <t>Поступление</t>
        </is>
      </c>
      <c r="H111">
        <f>VLOOKUP(C111,Магазин!$A$2:$C$1000,2,0)</f>
        <v/>
      </c>
      <c r="I111">
        <f>VLOOKUP(D111,Товар!$A$2:$F$1000,3,0)</f>
        <v/>
      </c>
      <c r="J111">
        <f>VLOOKUP(D111,Товар!$A$2:$F$1000,5,0)</f>
        <v/>
      </c>
      <c r="K111">
        <f>IF(AND(H111="Промышленный",LEFT(I111,18)="Порошок стиральный",F111="Продажа",B111=DATE(2023,6,7)),E111*J111/1000,0)</f>
        <v/>
      </c>
    </row>
    <row r="112">
      <c r="A112" t="n">
        <v>111</v>
      </c>
      <c r="B112" s="1" t="n">
        <v>45079</v>
      </c>
      <c r="C112" s="5" t="inlineStr">
        <is>
          <t>M10</t>
        </is>
      </c>
      <c r="D112" s="5" t="n">
        <v>51</v>
      </c>
      <c r="E112" s="5" t="n">
        <v>300</v>
      </c>
      <c r="F112" t="inlineStr">
        <is>
          <t>Поступление</t>
        </is>
      </c>
      <c r="H112">
        <f>VLOOKUP(C112,Магазин!$A$2:$C$1000,2,0)</f>
        <v/>
      </c>
      <c r="I112">
        <f>VLOOKUP(D112,Товар!$A$2:$F$1000,3,0)</f>
        <v/>
      </c>
      <c r="J112">
        <f>VLOOKUP(D112,Товар!$A$2:$F$1000,5,0)</f>
        <v/>
      </c>
      <c r="K112">
        <f>IF(AND(H112="Промышленный",LEFT(I112,18)="Порошок стиральный",F112="Продажа",B112=DATE(2023,6,7)),E112*J112/1000,0)</f>
        <v/>
      </c>
    </row>
    <row r="113">
      <c r="A113" t="n">
        <v>112</v>
      </c>
      <c r="B113" s="1" t="n">
        <v>45079</v>
      </c>
      <c r="C113" s="5" t="inlineStr">
        <is>
          <t>M10</t>
        </is>
      </c>
      <c r="D113" s="5" t="n">
        <v>52</v>
      </c>
      <c r="E113" s="5" t="n">
        <v>300</v>
      </c>
      <c r="F113" t="inlineStr">
        <is>
          <t>Поступление</t>
        </is>
      </c>
      <c r="H113">
        <f>VLOOKUP(C113,Магазин!$A$2:$C$1000,2,0)</f>
        <v/>
      </c>
      <c r="I113">
        <f>VLOOKUP(D113,Товар!$A$2:$F$1000,3,0)</f>
        <v/>
      </c>
      <c r="J113">
        <f>VLOOKUP(D113,Товар!$A$2:$F$1000,5,0)</f>
        <v/>
      </c>
      <c r="K113">
        <f>IF(AND(H113="Промышленный",LEFT(I113,18)="Порошок стиральный",F113="Продажа",B113=DATE(2023,6,7)),E113*J113/1000,0)</f>
        <v/>
      </c>
    </row>
    <row r="114">
      <c r="A114" t="n">
        <v>113</v>
      </c>
      <c r="B114" s="1" t="n">
        <v>45079</v>
      </c>
      <c r="C114" s="5" t="inlineStr">
        <is>
          <t>M10</t>
        </is>
      </c>
      <c r="D114" s="5" t="n">
        <v>53</v>
      </c>
      <c r="E114" s="5" t="n">
        <v>300</v>
      </c>
      <c r="F114" t="inlineStr">
        <is>
          <t>Поступление</t>
        </is>
      </c>
      <c r="H114">
        <f>VLOOKUP(C114,Магазин!$A$2:$C$1000,2,0)</f>
        <v/>
      </c>
      <c r="I114">
        <f>VLOOKUP(D114,Товар!$A$2:$F$1000,3,0)</f>
        <v/>
      </c>
      <c r="J114">
        <f>VLOOKUP(D114,Товар!$A$2:$F$1000,5,0)</f>
        <v/>
      </c>
      <c r="K114">
        <f>IF(AND(H114="Промышленный",LEFT(I114,18)="Порошок стиральный",F114="Продажа",B114=DATE(2023,6,7)),E114*J114/1000,0)</f>
        <v/>
      </c>
    </row>
    <row r="115">
      <c r="A115" t="n">
        <v>114</v>
      </c>
      <c r="B115" s="1" t="n">
        <v>45079</v>
      </c>
      <c r="C115" s="5" t="inlineStr">
        <is>
          <t>M10</t>
        </is>
      </c>
      <c r="D115" s="5" t="n">
        <v>54</v>
      </c>
      <c r="E115" s="5" t="n">
        <v>300</v>
      </c>
      <c r="F115" t="inlineStr">
        <is>
          <t>Поступление</t>
        </is>
      </c>
      <c r="H115">
        <f>VLOOKUP(C115,Магазин!$A$2:$C$1000,2,0)</f>
        <v/>
      </c>
      <c r="I115">
        <f>VLOOKUP(D115,Товар!$A$2:$F$1000,3,0)</f>
        <v/>
      </c>
      <c r="J115">
        <f>VLOOKUP(D115,Товар!$A$2:$F$1000,5,0)</f>
        <v/>
      </c>
      <c r="K115">
        <f>IF(AND(H115="Промышленный",LEFT(I115,18)="Порошок стиральный",F115="Продажа",B115=DATE(2023,6,7)),E115*J115/1000,0)</f>
        <v/>
      </c>
    </row>
    <row r="116">
      <c r="A116" t="n">
        <v>115</v>
      </c>
      <c r="B116" s="1" t="n">
        <v>45079</v>
      </c>
      <c r="C116" s="5" t="inlineStr">
        <is>
          <t>M10</t>
        </is>
      </c>
      <c r="D116" s="5" t="n">
        <v>55</v>
      </c>
      <c r="E116" s="5" t="n">
        <v>300</v>
      </c>
      <c r="F116" t="inlineStr">
        <is>
          <t>Поступление</t>
        </is>
      </c>
      <c r="H116">
        <f>VLOOKUP(C116,Магазин!$A$2:$C$1000,2,0)</f>
        <v/>
      </c>
      <c r="I116">
        <f>VLOOKUP(D116,Товар!$A$2:$F$1000,3,0)</f>
        <v/>
      </c>
      <c r="J116">
        <f>VLOOKUP(D116,Товар!$A$2:$F$1000,5,0)</f>
        <v/>
      </c>
      <c r="K116">
        <f>IF(AND(H116="Промышленный",LEFT(I116,18)="Порошок стиральный",F116="Продажа",B116=DATE(2023,6,7)),E116*J116/1000,0)</f>
        <v/>
      </c>
    </row>
    <row r="117">
      <c r="A117" t="n">
        <v>116</v>
      </c>
      <c r="B117" s="1" t="n">
        <v>45079</v>
      </c>
      <c r="C117" s="5" t="inlineStr">
        <is>
          <t>M10</t>
        </is>
      </c>
      <c r="D117" s="5" t="n">
        <v>56</v>
      </c>
      <c r="E117" s="5" t="n">
        <v>300</v>
      </c>
      <c r="F117" t="inlineStr">
        <is>
          <t>Поступление</t>
        </is>
      </c>
      <c r="H117">
        <f>VLOOKUP(C117,Магазин!$A$2:$C$1000,2,0)</f>
        <v/>
      </c>
      <c r="I117">
        <f>VLOOKUP(D117,Товар!$A$2:$F$1000,3,0)</f>
        <v/>
      </c>
      <c r="J117">
        <f>VLOOKUP(D117,Товар!$A$2:$F$1000,5,0)</f>
        <v/>
      </c>
      <c r="K117">
        <f>IF(AND(H117="Промышленный",LEFT(I117,18)="Порошок стиральный",F117="Продажа",B117=DATE(2023,6,7)),E117*J117/1000,0)</f>
        <v/>
      </c>
    </row>
    <row r="118">
      <c r="A118" t="n">
        <v>117</v>
      </c>
      <c r="B118" s="1" t="n">
        <v>45079</v>
      </c>
      <c r="C118" s="5" t="inlineStr">
        <is>
          <t>M10</t>
        </is>
      </c>
      <c r="D118" s="5" t="n">
        <v>57</v>
      </c>
      <c r="E118" s="5" t="n">
        <v>300</v>
      </c>
      <c r="F118" t="inlineStr">
        <is>
          <t>Поступление</t>
        </is>
      </c>
      <c r="H118">
        <f>VLOOKUP(C118,Магазин!$A$2:$C$1000,2,0)</f>
        <v/>
      </c>
      <c r="I118">
        <f>VLOOKUP(D118,Товар!$A$2:$F$1000,3,0)</f>
        <v/>
      </c>
      <c r="J118">
        <f>VLOOKUP(D118,Товар!$A$2:$F$1000,5,0)</f>
        <v/>
      </c>
      <c r="K118">
        <f>IF(AND(H118="Промышленный",LEFT(I118,18)="Порошок стиральный",F118="Продажа",B118=DATE(2023,6,7)),E118*J118/1000,0)</f>
        <v/>
      </c>
    </row>
    <row r="119">
      <c r="A119" t="n">
        <v>118</v>
      </c>
      <c r="B119" s="1" t="n">
        <v>45079</v>
      </c>
      <c r="C119" s="5" t="inlineStr">
        <is>
          <t>M10</t>
        </is>
      </c>
      <c r="D119" s="5" t="n">
        <v>58</v>
      </c>
      <c r="E119" s="5" t="n">
        <v>300</v>
      </c>
      <c r="F119" t="inlineStr">
        <is>
          <t>Поступление</t>
        </is>
      </c>
      <c r="H119">
        <f>VLOOKUP(C119,Магазин!$A$2:$C$1000,2,0)</f>
        <v/>
      </c>
      <c r="I119">
        <f>VLOOKUP(D119,Товар!$A$2:$F$1000,3,0)</f>
        <v/>
      </c>
      <c r="J119">
        <f>VLOOKUP(D119,Товар!$A$2:$F$1000,5,0)</f>
        <v/>
      </c>
      <c r="K119">
        <f>IF(AND(H119="Промышленный",LEFT(I119,18)="Порошок стиральный",F119="Продажа",B119=DATE(2023,6,7)),E119*J119/1000,0)</f>
        <v/>
      </c>
    </row>
    <row r="120">
      <c r="A120" t="n">
        <v>119</v>
      </c>
      <c r="B120" s="1" t="n">
        <v>45079</v>
      </c>
      <c r="C120" s="5" t="inlineStr">
        <is>
          <t>M10</t>
        </is>
      </c>
      <c r="D120" s="5" t="n">
        <v>59</v>
      </c>
      <c r="E120" s="5" t="n">
        <v>300</v>
      </c>
      <c r="F120" t="inlineStr">
        <is>
          <t>Поступление</t>
        </is>
      </c>
      <c r="H120">
        <f>VLOOKUP(C120,Магазин!$A$2:$C$1000,2,0)</f>
        <v/>
      </c>
      <c r="I120">
        <f>VLOOKUP(D120,Товар!$A$2:$F$1000,3,0)</f>
        <v/>
      </c>
      <c r="J120">
        <f>VLOOKUP(D120,Товар!$A$2:$F$1000,5,0)</f>
        <v/>
      </c>
      <c r="K120">
        <f>IF(AND(H120="Промышленный",LEFT(I120,18)="Порошок стиральный",F120="Продажа",B120=DATE(2023,6,7)),E120*J120/1000,0)</f>
        <v/>
      </c>
    </row>
    <row r="121">
      <c r="A121" t="n">
        <v>120</v>
      </c>
      <c r="B121" s="1" t="n">
        <v>45079</v>
      </c>
      <c r="C121" s="5" t="inlineStr">
        <is>
          <t>M10</t>
        </is>
      </c>
      <c r="D121" s="5" t="n">
        <v>60</v>
      </c>
      <c r="E121" s="5" t="n">
        <v>300</v>
      </c>
      <c r="F121" t="inlineStr">
        <is>
          <t>Поступление</t>
        </is>
      </c>
      <c r="H121">
        <f>VLOOKUP(C121,Магазин!$A$2:$C$1000,2,0)</f>
        <v/>
      </c>
      <c r="I121">
        <f>VLOOKUP(D121,Товар!$A$2:$F$1000,3,0)</f>
        <v/>
      </c>
      <c r="J121">
        <f>VLOOKUP(D121,Товар!$A$2:$F$1000,5,0)</f>
        <v/>
      </c>
      <c r="K121">
        <f>IF(AND(H121="Промышленный",LEFT(I121,18)="Порошок стиральный",F121="Продажа",B121=DATE(2023,6,7)),E121*J121/1000,0)</f>
        <v/>
      </c>
    </row>
    <row r="122">
      <c r="A122" t="n">
        <v>121</v>
      </c>
      <c r="B122" s="1" t="n">
        <v>45079</v>
      </c>
      <c r="C122" s="5" t="inlineStr">
        <is>
          <t>M11</t>
        </is>
      </c>
      <c r="D122" s="5" t="n">
        <v>1</v>
      </c>
      <c r="E122" s="5" t="n">
        <v>100</v>
      </c>
      <c r="F122" t="inlineStr">
        <is>
          <t>Поступление</t>
        </is>
      </c>
      <c r="H122">
        <f>VLOOKUP(C122,Магазин!$A$2:$C$1000,2,0)</f>
        <v/>
      </c>
      <c r="I122">
        <f>VLOOKUP(D122,Товар!$A$2:$F$1000,3,0)</f>
        <v/>
      </c>
      <c r="J122">
        <f>VLOOKUP(D122,Товар!$A$2:$F$1000,5,0)</f>
        <v/>
      </c>
      <c r="K122">
        <f>IF(AND(H122="Промышленный",LEFT(I122,18)="Порошок стиральный",F122="Продажа",B122=DATE(2023,6,7)),E122*J122/1000,0)</f>
        <v/>
      </c>
    </row>
    <row r="123">
      <c r="A123" t="n">
        <v>122</v>
      </c>
      <c r="B123" s="1" t="n">
        <v>45079</v>
      </c>
      <c r="C123" s="5" t="inlineStr">
        <is>
          <t>M11</t>
        </is>
      </c>
      <c r="D123" s="5" t="n">
        <v>2</v>
      </c>
      <c r="E123" s="5" t="n">
        <v>100</v>
      </c>
      <c r="F123" t="inlineStr">
        <is>
          <t>Поступление</t>
        </is>
      </c>
      <c r="H123">
        <f>VLOOKUP(C123,Магазин!$A$2:$C$1000,2,0)</f>
        <v/>
      </c>
      <c r="I123">
        <f>VLOOKUP(D123,Товар!$A$2:$F$1000,3,0)</f>
        <v/>
      </c>
      <c r="J123">
        <f>VLOOKUP(D123,Товар!$A$2:$F$1000,5,0)</f>
        <v/>
      </c>
      <c r="K123">
        <f>IF(AND(H123="Промышленный",LEFT(I123,18)="Порошок стиральный",F123="Продажа",B123=DATE(2023,6,7)),E123*J123/1000,0)</f>
        <v/>
      </c>
    </row>
    <row r="124">
      <c r="A124" t="n">
        <v>123</v>
      </c>
      <c r="B124" s="1" t="n">
        <v>45079</v>
      </c>
      <c r="C124" s="5" t="inlineStr">
        <is>
          <t>M11</t>
        </is>
      </c>
      <c r="D124" s="5" t="n">
        <v>3</v>
      </c>
      <c r="E124" s="5" t="n">
        <v>100</v>
      </c>
      <c r="F124" t="inlineStr">
        <is>
          <t>Поступление</t>
        </is>
      </c>
      <c r="H124">
        <f>VLOOKUP(C124,Магазин!$A$2:$C$1000,2,0)</f>
        <v/>
      </c>
      <c r="I124">
        <f>VLOOKUP(D124,Товар!$A$2:$F$1000,3,0)</f>
        <v/>
      </c>
      <c r="J124">
        <f>VLOOKUP(D124,Товар!$A$2:$F$1000,5,0)</f>
        <v/>
      </c>
      <c r="K124">
        <f>IF(AND(H124="Промышленный",LEFT(I124,18)="Порошок стиральный",F124="Продажа",B124=DATE(2023,6,7)),E124*J124/1000,0)</f>
        <v/>
      </c>
    </row>
    <row r="125">
      <c r="A125" t="n">
        <v>124</v>
      </c>
      <c r="B125" s="1" t="n">
        <v>45079</v>
      </c>
      <c r="C125" s="5" t="inlineStr">
        <is>
          <t>M11</t>
        </is>
      </c>
      <c r="D125" s="5" t="n">
        <v>4</v>
      </c>
      <c r="E125" s="5" t="n">
        <v>100</v>
      </c>
      <c r="F125" t="inlineStr">
        <is>
          <t>Поступление</t>
        </is>
      </c>
      <c r="H125">
        <f>VLOOKUP(C125,Магазин!$A$2:$C$1000,2,0)</f>
        <v/>
      </c>
      <c r="I125">
        <f>VLOOKUP(D125,Товар!$A$2:$F$1000,3,0)</f>
        <v/>
      </c>
      <c r="J125">
        <f>VLOOKUP(D125,Товар!$A$2:$F$1000,5,0)</f>
        <v/>
      </c>
      <c r="K125">
        <f>IF(AND(H125="Промышленный",LEFT(I125,18)="Порошок стиральный",F125="Продажа",B125=DATE(2023,6,7)),E125*J125/1000,0)</f>
        <v/>
      </c>
    </row>
    <row r="126">
      <c r="A126" t="n">
        <v>125</v>
      </c>
      <c r="B126" s="1" t="n">
        <v>45079</v>
      </c>
      <c r="C126" s="5" t="inlineStr">
        <is>
          <t>M11</t>
        </is>
      </c>
      <c r="D126" s="5" t="n">
        <v>5</v>
      </c>
      <c r="E126" s="5" t="n">
        <v>100</v>
      </c>
      <c r="F126" t="inlineStr">
        <is>
          <t>Поступление</t>
        </is>
      </c>
      <c r="H126">
        <f>VLOOKUP(C126,Магазин!$A$2:$C$1000,2,0)</f>
        <v/>
      </c>
      <c r="I126">
        <f>VLOOKUP(D126,Товар!$A$2:$F$1000,3,0)</f>
        <v/>
      </c>
      <c r="J126">
        <f>VLOOKUP(D126,Товар!$A$2:$F$1000,5,0)</f>
        <v/>
      </c>
      <c r="K126">
        <f>IF(AND(H126="Промышленный",LEFT(I126,18)="Порошок стиральный",F126="Продажа",B126=DATE(2023,6,7)),E126*J126/1000,0)</f>
        <v/>
      </c>
    </row>
    <row r="127">
      <c r="A127" t="n">
        <v>126</v>
      </c>
      <c r="B127" s="1" t="n">
        <v>45079</v>
      </c>
      <c r="C127" s="5" t="inlineStr">
        <is>
          <t>M11</t>
        </is>
      </c>
      <c r="D127" s="5" t="n">
        <v>6</v>
      </c>
      <c r="E127" s="5" t="n">
        <v>100</v>
      </c>
      <c r="F127" t="inlineStr">
        <is>
          <t>Поступление</t>
        </is>
      </c>
      <c r="H127">
        <f>VLOOKUP(C127,Магазин!$A$2:$C$1000,2,0)</f>
        <v/>
      </c>
      <c r="I127">
        <f>VLOOKUP(D127,Товар!$A$2:$F$1000,3,0)</f>
        <v/>
      </c>
      <c r="J127">
        <f>VLOOKUP(D127,Товар!$A$2:$F$1000,5,0)</f>
        <v/>
      </c>
      <c r="K127">
        <f>IF(AND(H127="Промышленный",LEFT(I127,18)="Порошок стиральный",F127="Продажа",B127=DATE(2023,6,7)),E127*J127/1000,0)</f>
        <v/>
      </c>
    </row>
    <row r="128">
      <c r="A128" t="n">
        <v>127</v>
      </c>
      <c r="B128" s="1" t="n">
        <v>45079</v>
      </c>
      <c r="C128" s="5" t="inlineStr">
        <is>
          <t>M11</t>
        </is>
      </c>
      <c r="D128" s="5" t="n">
        <v>7</v>
      </c>
      <c r="E128" s="5" t="n">
        <v>100</v>
      </c>
      <c r="F128" t="inlineStr">
        <is>
          <t>Поступление</t>
        </is>
      </c>
      <c r="H128">
        <f>VLOOKUP(C128,Магазин!$A$2:$C$1000,2,0)</f>
        <v/>
      </c>
      <c r="I128">
        <f>VLOOKUP(D128,Товар!$A$2:$F$1000,3,0)</f>
        <v/>
      </c>
      <c r="J128">
        <f>VLOOKUP(D128,Товар!$A$2:$F$1000,5,0)</f>
        <v/>
      </c>
      <c r="K128">
        <f>IF(AND(H128="Промышленный",LEFT(I128,18)="Порошок стиральный",F128="Продажа",B128=DATE(2023,6,7)),E128*J128/1000,0)</f>
        <v/>
      </c>
    </row>
    <row r="129">
      <c r="A129" t="n">
        <v>128</v>
      </c>
      <c r="B129" s="1" t="n">
        <v>45079</v>
      </c>
      <c r="C129" s="5" t="inlineStr">
        <is>
          <t>M11</t>
        </is>
      </c>
      <c r="D129" s="5" t="n">
        <v>8</v>
      </c>
      <c r="E129" s="5" t="n">
        <v>100</v>
      </c>
      <c r="F129" t="inlineStr">
        <is>
          <t>Поступление</t>
        </is>
      </c>
      <c r="H129">
        <f>VLOOKUP(C129,Магазин!$A$2:$C$1000,2,0)</f>
        <v/>
      </c>
      <c r="I129">
        <f>VLOOKUP(D129,Товар!$A$2:$F$1000,3,0)</f>
        <v/>
      </c>
      <c r="J129">
        <f>VLOOKUP(D129,Товар!$A$2:$F$1000,5,0)</f>
        <v/>
      </c>
      <c r="K129">
        <f>IF(AND(H129="Промышленный",LEFT(I129,18)="Порошок стиральный",F129="Продажа",B129=DATE(2023,6,7)),E129*J129/1000,0)</f>
        <v/>
      </c>
    </row>
    <row r="130">
      <c r="A130" t="n">
        <v>129</v>
      </c>
      <c r="B130" s="1" t="n">
        <v>45079</v>
      </c>
      <c r="C130" s="5" t="inlineStr">
        <is>
          <t>M11</t>
        </is>
      </c>
      <c r="D130" s="5" t="n">
        <v>9</v>
      </c>
      <c r="E130" s="5" t="n">
        <v>100</v>
      </c>
      <c r="F130" t="inlineStr">
        <is>
          <t>Поступление</t>
        </is>
      </c>
      <c r="H130">
        <f>VLOOKUP(C130,Магазин!$A$2:$C$1000,2,0)</f>
        <v/>
      </c>
      <c r="I130">
        <f>VLOOKUP(D130,Товар!$A$2:$F$1000,3,0)</f>
        <v/>
      </c>
      <c r="J130">
        <f>VLOOKUP(D130,Товар!$A$2:$F$1000,5,0)</f>
        <v/>
      </c>
      <c r="K130">
        <f>IF(AND(H130="Промышленный",LEFT(I130,18)="Порошок стиральный",F130="Продажа",B130=DATE(2023,6,7)),E130*J130/1000,0)</f>
        <v/>
      </c>
    </row>
    <row r="131">
      <c r="A131" t="n">
        <v>130</v>
      </c>
      <c r="B131" s="1" t="n">
        <v>45079</v>
      </c>
      <c r="C131" s="5" t="inlineStr">
        <is>
          <t>M11</t>
        </is>
      </c>
      <c r="D131" s="5" t="n">
        <v>10</v>
      </c>
      <c r="E131" s="5" t="n">
        <v>100</v>
      </c>
      <c r="F131" t="inlineStr">
        <is>
          <t>Поступление</t>
        </is>
      </c>
      <c r="H131">
        <f>VLOOKUP(C131,Магазин!$A$2:$C$1000,2,0)</f>
        <v/>
      </c>
      <c r="I131">
        <f>VLOOKUP(D131,Товар!$A$2:$F$1000,3,0)</f>
        <v/>
      </c>
      <c r="J131">
        <f>VLOOKUP(D131,Товар!$A$2:$F$1000,5,0)</f>
        <v/>
      </c>
      <c r="K131">
        <f>IF(AND(H131="Промышленный",LEFT(I131,18)="Порошок стиральный",F131="Продажа",B131=DATE(2023,6,7)),E131*J131/1000,0)</f>
        <v/>
      </c>
    </row>
    <row r="132">
      <c r="A132" t="n">
        <v>131</v>
      </c>
      <c r="B132" s="1" t="n">
        <v>45079</v>
      </c>
      <c r="C132" s="5" t="inlineStr">
        <is>
          <t>M11</t>
        </is>
      </c>
      <c r="D132" s="5" t="n">
        <v>11</v>
      </c>
      <c r="E132" s="5" t="n">
        <v>100</v>
      </c>
      <c r="F132" t="inlineStr">
        <is>
          <t>Поступление</t>
        </is>
      </c>
      <c r="H132">
        <f>VLOOKUP(C132,Магазин!$A$2:$C$1000,2,0)</f>
        <v/>
      </c>
      <c r="I132">
        <f>VLOOKUP(D132,Товар!$A$2:$F$1000,3,0)</f>
        <v/>
      </c>
      <c r="J132">
        <f>VLOOKUP(D132,Товар!$A$2:$F$1000,5,0)</f>
        <v/>
      </c>
      <c r="K132">
        <f>IF(AND(H132="Промышленный",LEFT(I132,18)="Порошок стиральный",F132="Продажа",B132=DATE(2023,6,7)),E132*J132/1000,0)</f>
        <v/>
      </c>
    </row>
    <row r="133">
      <c r="A133" t="n">
        <v>132</v>
      </c>
      <c r="B133" s="1" t="n">
        <v>45079</v>
      </c>
      <c r="C133" s="5" t="inlineStr">
        <is>
          <t>M11</t>
        </is>
      </c>
      <c r="D133" s="5" t="n">
        <v>12</v>
      </c>
      <c r="E133" s="5" t="n">
        <v>100</v>
      </c>
      <c r="F133" t="inlineStr">
        <is>
          <t>Поступление</t>
        </is>
      </c>
      <c r="H133">
        <f>VLOOKUP(C133,Магазин!$A$2:$C$1000,2,0)</f>
        <v/>
      </c>
      <c r="I133">
        <f>VLOOKUP(D133,Товар!$A$2:$F$1000,3,0)</f>
        <v/>
      </c>
      <c r="J133">
        <f>VLOOKUP(D133,Товар!$A$2:$F$1000,5,0)</f>
        <v/>
      </c>
      <c r="K133">
        <f>IF(AND(H133="Промышленный",LEFT(I133,18)="Порошок стиральный",F133="Продажа",B133=DATE(2023,6,7)),E133*J133/1000,0)</f>
        <v/>
      </c>
    </row>
    <row r="134">
      <c r="A134" t="n">
        <v>133</v>
      </c>
      <c r="B134" s="1" t="n">
        <v>45079</v>
      </c>
      <c r="C134" s="5" t="inlineStr">
        <is>
          <t>M11</t>
        </is>
      </c>
      <c r="D134" s="5" t="n">
        <v>13</v>
      </c>
      <c r="E134" s="5" t="n">
        <v>100</v>
      </c>
      <c r="F134" t="inlineStr">
        <is>
          <t>Поступление</t>
        </is>
      </c>
      <c r="H134">
        <f>VLOOKUP(C134,Магазин!$A$2:$C$1000,2,0)</f>
        <v/>
      </c>
      <c r="I134">
        <f>VLOOKUP(D134,Товар!$A$2:$F$1000,3,0)</f>
        <v/>
      </c>
      <c r="J134">
        <f>VLOOKUP(D134,Товар!$A$2:$F$1000,5,0)</f>
        <v/>
      </c>
      <c r="K134">
        <f>IF(AND(H134="Промышленный",LEFT(I134,18)="Порошок стиральный",F134="Продажа",B134=DATE(2023,6,7)),E134*J134/1000,0)</f>
        <v/>
      </c>
    </row>
    <row r="135">
      <c r="A135" t="n">
        <v>134</v>
      </c>
      <c r="B135" s="1" t="n">
        <v>45079</v>
      </c>
      <c r="C135" s="5" t="inlineStr">
        <is>
          <t>M11</t>
        </is>
      </c>
      <c r="D135" s="5" t="n">
        <v>14</v>
      </c>
      <c r="E135" s="5" t="n">
        <v>100</v>
      </c>
      <c r="F135" t="inlineStr">
        <is>
          <t>Поступление</t>
        </is>
      </c>
      <c r="H135">
        <f>VLOOKUP(C135,Магазин!$A$2:$C$1000,2,0)</f>
        <v/>
      </c>
      <c r="I135">
        <f>VLOOKUP(D135,Товар!$A$2:$F$1000,3,0)</f>
        <v/>
      </c>
      <c r="J135">
        <f>VLOOKUP(D135,Товар!$A$2:$F$1000,5,0)</f>
        <v/>
      </c>
      <c r="K135">
        <f>IF(AND(H135="Промышленный",LEFT(I135,18)="Порошок стиральный",F135="Продажа",B135=DATE(2023,6,7)),E135*J135/1000,0)</f>
        <v/>
      </c>
    </row>
    <row r="136">
      <c r="A136" t="n">
        <v>135</v>
      </c>
      <c r="B136" s="1" t="n">
        <v>45079</v>
      </c>
      <c r="C136" s="5" t="inlineStr">
        <is>
          <t>M11</t>
        </is>
      </c>
      <c r="D136" s="5" t="n">
        <v>15</v>
      </c>
      <c r="E136" s="5" t="n">
        <v>100</v>
      </c>
      <c r="F136" t="inlineStr">
        <is>
          <t>Поступление</t>
        </is>
      </c>
      <c r="H136">
        <f>VLOOKUP(C136,Магазин!$A$2:$C$1000,2,0)</f>
        <v/>
      </c>
      <c r="I136">
        <f>VLOOKUP(D136,Товар!$A$2:$F$1000,3,0)</f>
        <v/>
      </c>
      <c r="J136">
        <f>VLOOKUP(D136,Товар!$A$2:$F$1000,5,0)</f>
        <v/>
      </c>
      <c r="K136">
        <f>IF(AND(H136="Промышленный",LEFT(I136,18)="Порошок стиральный",F136="Продажа",B136=DATE(2023,6,7)),E136*J136/1000,0)</f>
        <v/>
      </c>
    </row>
    <row r="137">
      <c r="A137" t="n">
        <v>136</v>
      </c>
      <c r="B137" s="1" t="n">
        <v>45079</v>
      </c>
      <c r="C137" s="5" t="inlineStr">
        <is>
          <t>M11</t>
        </is>
      </c>
      <c r="D137" s="5" t="n">
        <v>16</v>
      </c>
      <c r="E137" s="5" t="n">
        <v>100</v>
      </c>
      <c r="F137" t="inlineStr">
        <is>
          <t>Поступление</t>
        </is>
      </c>
      <c r="H137">
        <f>VLOOKUP(C137,Магазин!$A$2:$C$1000,2,0)</f>
        <v/>
      </c>
      <c r="I137">
        <f>VLOOKUP(D137,Товар!$A$2:$F$1000,3,0)</f>
        <v/>
      </c>
      <c r="J137">
        <f>VLOOKUP(D137,Товар!$A$2:$F$1000,5,0)</f>
        <v/>
      </c>
      <c r="K137">
        <f>IF(AND(H137="Промышленный",LEFT(I137,18)="Порошок стиральный",F137="Продажа",B137=DATE(2023,6,7)),E137*J137/1000,0)</f>
        <v/>
      </c>
    </row>
    <row r="138">
      <c r="A138" t="n">
        <v>137</v>
      </c>
      <c r="B138" s="1" t="n">
        <v>45079</v>
      </c>
      <c r="C138" s="5" t="inlineStr">
        <is>
          <t>M11</t>
        </is>
      </c>
      <c r="D138" s="5" t="n">
        <v>17</v>
      </c>
      <c r="E138" s="5" t="n">
        <v>100</v>
      </c>
      <c r="F138" t="inlineStr">
        <is>
          <t>Поступление</t>
        </is>
      </c>
      <c r="H138">
        <f>VLOOKUP(C138,Магазин!$A$2:$C$1000,2,0)</f>
        <v/>
      </c>
      <c r="I138">
        <f>VLOOKUP(D138,Товар!$A$2:$F$1000,3,0)</f>
        <v/>
      </c>
      <c r="J138">
        <f>VLOOKUP(D138,Товар!$A$2:$F$1000,5,0)</f>
        <v/>
      </c>
      <c r="K138">
        <f>IF(AND(H138="Промышленный",LEFT(I138,18)="Порошок стиральный",F138="Продажа",B138=DATE(2023,6,7)),E138*J138/1000,0)</f>
        <v/>
      </c>
    </row>
    <row r="139">
      <c r="A139" t="n">
        <v>138</v>
      </c>
      <c r="B139" s="1" t="n">
        <v>45079</v>
      </c>
      <c r="C139" s="5" t="inlineStr">
        <is>
          <t>M11</t>
        </is>
      </c>
      <c r="D139" s="5" t="n">
        <v>18</v>
      </c>
      <c r="E139" s="5" t="n">
        <v>100</v>
      </c>
      <c r="F139" t="inlineStr">
        <is>
          <t>Поступление</t>
        </is>
      </c>
      <c r="H139">
        <f>VLOOKUP(C139,Магазин!$A$2:$C$1000,2,0)</f>
        <v/>
      </c>
      <c r="I139">
        <f>VLOOKUP(D139,Товар!$A$2:$F$1000,3,0)</f>
        <v/>
      </c>
      <c r="J139">
        <f>VLOOKUP(D139,Товар!$A$2:$F$1000,5,0)</f>
        <v/>
      </c>
      <c r="K139">
        <f>IF(AND(H139="Промышленный",LEFT(I139,18)="Порошок стиральный",F139="Продажа",B139=DATE(2023,6,7)),E139*J139/1000,0)</f>
        <v/>
      </c>
    </row>
    <row r="140">
      <c r="A140" t="n">
        <v>139</v>
      </c>
      <c r="B140" s="1" t="n">
        <v>45079</v>
      </c>
      <c r="C140" s="5" t="inlineStr">
        <is>
          <t>M11</t>
        </is>
      </c>
      <c r="D140" s="5" t="n">
        <v>19</v>
      </c>
      <c r="E140" s="5" t="n">
        <v>100</v>
      </c>
      <c r="F140" t="inlineStr">
        <is>
          <t>Поступление</t>
        </is>
      </c>
      <c r="H140">
        <f>VLOOKUP(C140,Магазин!$A$2:$C$1000,2,0)</f>
        <v/>
      </c>
      <c r="I140">
        <f>VLOOKUP(D140,Товар!$A$2:$F$1000,3,0)</f>
        <v/>
      </c>
      <c r="J140">
        <f>VLOOKUP(D140,Товар!$A$2:$F$1000,5,0)</f>
        <v/>
      </c>
      <c r="K140">
        <f>IF(AND(H140="Промышленный",LEFT(I140,18)="Порошок стиральный",F140="Продажа",B140=DATE(2023,6,7)),E140*J140/1000,0)</f>
        <v/>
      </c>
    </row>
    <row r="141">
      <c r="A141" t="n">
        <v>140</v>
      </c>
      <c r="B141" s="1" t="n">
        <v>45079</v>
      </c>
      <c r="C141" s="5" t="inlineStr">
        <is>
          <t>M11</t>
        </is>
      </c>
      <c r="D141" s="5" t="n">
        <v>20</v>
      </c>
      <c r="E141" s="5" t="n">
        <v>100</v>
      </c>
      <c r="F141" t="inlineStr">
        <is>
          <t>Поступление</t>
        </is>
      </c>
      <c r="H141">
        <f>VLOOKUP(C141,Магазин!$A$2:$C$1000,2,0)</f>
        <v/>
      </c>
      <c r="I141">
        <f>VLOOKUP(D141,Товар!$A$2:$F$1000,3,0)</f>
        <v/>
      </c>
      <c r="J141">
        <f>VLOOKUP(D141,Товар!$A$2:$F$1000,5,0)</f>
        <v/>
      </c>
      <c r="K141">
        <f>IF(AND(H141="Промышленный",LEFT(I141,18)="Порошок стиральный",F141="Продажа",B141=DATE(2023,6,7)),E141*J141/1000,0)</f>
        <v/>
      </c>
    </row>
    <row r="142">
      <c r="A142" t="n">
        <v>141</v>
      </c>
      <c r="B142" s="1" t="n">
        <v>45079</v>
      </c>
      <c r="C142" s="5" t="inlineStr">
        <is>
          <t>M11</t>
        </is>
      </c>
      <c r="D142" s="5" t="n">
        <v>21</v>
      </c>
      <c r="E142" s="5" t="n">
        <v>100</v>
      </c>
      <c r="F142" t="inlineStr">
        <is>
          <t>Поступление</t>
        </is>
      </c>
      <c r="H142">
        <f>VLOOKUP(C142,Магазин!$A$2:$C$1000,2,0)</f>
        <v/>
      </c>
      <c r="I142">
        <f>VLOOKUP(D142,Товар!$A$2:$F$1000,3,0)</f>
        <v/>
      </c>
      <c r="J142">
        <f>VLOOKUP(D142,Товар!$A$2:$F$1000,5,0)</f>
        <v/>
      </c>
      <c r="K142">
        <f>IF(AND(H142="Промышленный",LEFT(I142,18)="Порошок стиральный",F142="Продажа",B142=DATE(2023,6,7)),E142*J142/1000,0)</f>
        <v/>
      </c>
    </row>
    <row r="143">
      <c r="A143" t="n">
        <v>142</v>
      </c>
      <c r="B143" s="1" t="n">
        <v>45079</v>
      </c>
      <c r="C143" s="5" t="inlineStr">
        <is>
          <t>M11</t>
        </is>
      </c>
      <c r="D143" s="5" t="n">
        <v>22</v>
      </c>
      <c r="E143" s="5" t="n">
        <v>100</v>
      </c>
      <c r="F143" t="inlineStr">
        <is>
          <t>Поступление</t>
        </is>
      </c>
      <c r="H143">
        <f>VLOOKUP(C143,Магазин!$A$2:$C$1000,2,0)</f>
        <v/>
      </c>
      <c r="I143">
        <f>VLOOKUP(D143,Товар!$A$2:$F$1000,3,0)</f>
        <v/>
      </c>
      <c r="J143">
        <f>VLOOKUP(D143,Товар!$A$2:$F$1000,5,0)</f>
        <v/>
      </c>
      <c r="K143">
        <f>IF(AND(H143="Промышленный",LEFT(I143,18)="Порошок стиральный",F143="Продажа",B143=DATE(2023,6,7)),E143*J143/1000,0)</f>
        <v/>
      </c>
    </row>
    <row r="144">
      <c r="A144" t="n">
        <v>143</v>
      </c>
      <c r="B144" s="1" t="n">
        <v>45079</v>
      </c>
      <c r="C144" s="5" t="inlineStr">
        <is>
          <t>M11</t>
        </is>
      </c>
      <c r="D144" s="5" t="n">
        <v>23</v>
      </c>
      <c r="E144" s="5" t="n">
        <v>100</v>
      </c>
      <c r="F144" t="inlineStr">
        <is>
          <t>Поступление</t>
        </is>
      </c>
      <c r="H144">
        <f>VLOOKUP(C144,Магазин!$A$2:$C$1000,2,0)</f>
        <v/>
      </c>
      <c r="I144">
        <f>VLOOKUP(D144,Товар!$A$2:$F$1000,3,0)</f>
        <v/>
      </c>
      <c r="J144">
        <f>VLOOKUP(D144,Товар!$A$2:$F$1000,5,0)</f>
        <v/>
      </c>
      <c r="K144">
        <f>IF(AND(H144="Промышленный",LEFT(I144,18)="Порошок стиральный",F144="Продажа",B144=DATE(2023,6,7)),E144*J144/1000,0)</f>
        <v/>
      </c>
    </row>
    <row r="145">
      <c r="A145" t="n">
        <v>144</v>
      </c>
      <c r="B145" s="1" t="n">
        <v>45079</v>
      </c>
      <c r="C145" s="5" t="inlineStr">
        <is>
          <t>M11</t>
        </is>
      </c>
      <c r="D145" s="5" t="n">
        <v>24</v>
      </c>
      <c r="E145" s="5" t="n">
        <v>100</v>
      </c>
      <c r="F145" t="inlineStr">
        <is>
          <t>Поступление</t>
        </is>
      </c>
      <c r="H145">
        <f>VLOOKUP(C145,Магазин!$A$2:$C$1000,2,0)</f>
        <v/>
      </c>
      <c r="I145">
        <f>VLOOKUP(D145,Товар!$A$2:$F$1000,3,0)</f>
        <v/>
      </c>
      <c r="J145">
        <f>VLOOKUP(D145,Товар!$A$2:$F$1000,5,0)</f>
        <v/>
      </c>
      <c r="K145">
        <f>IF(AND(H145="Промышленный",LEFT(I145,18)="Порошок стиральный",F145="Продажа",B145=DATE(2023,6,7)),E145*J145/1000,0)</f>
        <v/>
      </c>
    </row>
    <row r="146">
      <c r="A146" t="n">
        <v>145</v>
      </c>
      <c r="B146" s="1" t="n">
        <v>45079</v>
      </c>
      <c r="C146" s="5" t="inlineStr">
        <is>
          <t>M11</t>
        </is>
      </c>
      <c r="D146" s="5" t="n">
        <v>25</v>
      </c>
      <c r="E146" s="5" t="n">
        <v>100</v>
      </c>
      <c r="F146" t="inlineStr">
        <is>
          <t>Поступление</t>
        </is>
      </c>
      <c r="H146">
        <f>VLOOKUP(C146,Магазин!$A$2:$C$1000,2,0)</f>
        <v/>
      </c>
      <c r="I146">
        <f>VLOOKUP(D146,Товар!$A$2:$F$1000,3,0)</f>
        <v/>
      </c>
      <c r="J146">
        <f>VLOOKUP(D146,Товар!$A$2:$F$1000,5,0)</f>
        <v/>
      </c>
      <c r="K146">
        <f>IF(AND(H146="Промышленный",LEFT(I146,18)="Порошок стиральный",F146="Продажа",B146=DATE(2023,6,7)),E146*J146/1000,0)</f>
        <v/>
      </c>
    </row>
    <row r="147">
      <c r="A147" t="n">
        <v>146</v>
      </c>
      <c r="B147" s="1" t="n">
        <v>45079</v>
      </c>
      <c r="C147" s="5" t="inlineStr">
        <is>
          <t>M11</t>
        </is>
      </c>
      <c r="D147" s="5" t="n">
        <v>26</v>
      </c>
      <c r="E147" s="5" t="n">
        <v>100</v>
      </c>
      <c r="F147" t="inlineStr">
        <is>
          <t>Поступление</t>
        </is>
      </c>
      <c r="H147">
        <f>VLOOKUP(C147,Магазин!$A$2:$C$1000,2,0)</f>
        <v/>
      </c>
      <c r="I147">
        <f>VLOOKUP(D147,Товар!$A$2:$F$1000,3,0)</f>
        <v/>
      </c>
      <c r="J147">
        <f>VLOOKUP(D147,Товар!$A$2:$F$1000,5,0)</f>
        <v/>
      </c>
      <c r="K147">
        <f>IF(AND(H147="Промышленный",LEFT(I147,18)="Порошок стиральный",F147="Продажа",B147=DATE(2023,6,7)),E147*J147/1000,0)</f>
        <v/>
      </c>
    </row>
    <row r="148">
      <c r="A148" t="n">
        <v>147</v>
      </c>
      <c r="B148" s="1" t="n">
        <v>45079</v>
      </c>
      <c r="C148" s="5" t="inlineStr">
        <is>
          <t>M11</t>
        </is>
      </c>
      <c r="D148" s="5" t="n">
        <v>27</v>
      </c>
      <c r="E148" s="5" t="n">
        <v>100</v>
      </c>
      <c r="F148" t="inlineStr">
        <is>
          <t>Поступление</t>
        </is>
      </c>
      <c r="H148">
        <f>VLOOKUP(C148,Магазин!$A$2:$C$1000,2,0)</f>
        <v/>
      </c>
      <c r="I148">
        <f>VLOOKUP(D148,Товар!$A$2:$F$1000,3,0)</f>
        <v/>
      </c>
      <c r="J148">
        <f>VLOOKUP(D148,Товар!$A$2:$F$1000,5,0)</f>
        <v/>
      </c>
      <c r="K148">
        <f>IF(AND(H148="Промышленный",LEFT(I148,18)="Порошок стиральный",F148="Продажа",B148=DATE(2023,6,7)),E148*J148/1000,0)</f>
        <v/>
      </c>
    </row>
    <row r="149">
      <c r="A149" t="n">
        <v>148</v>
      </c>
      <c r="B149" s="1" t="n">
        <v>45079</v>
      </c>
      <c r="C149" s="5" t="inlineStr">
        <is>
          <t>M11</t>
        </is>
      </c>
      <c r="D149" s="5" t="n">
        <v>28</v>
      </c>
      <c r="E149" s="5" t="n">
        <v>100</v>
      </c>
      <c r="F149" t="inlineStr">
        <is>
          <t>Поступление</t>
        </is>
      </c>
      <c r="H149">
        <f>VLOOKUP(C149,Магазин!$A$2:$C$1000,2,0)</f>
        <v/>
      </c>
      <c r="I149">
        <f>VLOOKUP(D149,Товар!$A$2:$F$1000,3,0)</f>
        <v/>
      </c>
      <c r="J149">
        <f>VLOOKUP(D149,Товар!$A$2:$F$1000,5,0)</f>
        <v/>
      </c>
      <c r="K149">
        <f>IF(AND(H149="Промышленный",LEFT(I149,18)="Порошок стиральный",F149="Продажа",B149=DATE(2023,6,7)),E149*J149/1000,0)</f>
        <v/>
      </c>
    </row>
    <row r="150">
      <c r="A150" t="n">
        <v>149</v>
      </c>
      <c r="B150" s="1" t="n">
        <v>45079</v>
      </c>
      <c r="C150" s="5" t="inlineStr">
        <is>
          <t>M11</t>
        </is>
      </c>
      <c r="D150" s="5" t="n">
        <v>29</v>
      </c>
      <c r="E150" s="5" t="n">
        <v>100</v>
      </c>
      <c r="F150" t="inlineStr">
        <is>
          <t>Поступление</t>
        </is>
      </c>
      <c r="H150">
        <f>VLOOKUP(C150,Магазин!$A$2:$C$1000,2,0)</f>
        <v/>
      </c>
      <c r="I150">
        <f>VLOOKUP(D150,Товар!$A$2:$F$1000,3,0)</f>
        <v/>
      </c>
      <c r="J150">
        <f>VLOOKUP(D150,Товар!$A$2:$F$1000,5,0)</f>
        <v/>
      </c>
      <c r="K150">
        <f>IF(AND(H150="Промышленный",LEFT(I150,18)="Порошок стиральный",F150="Продажа",B150=DATE(2023,6,7)),E150*J150/1000,0)</f>
        <v/>
      </c>
    </row>
    <row r="151">
      <c r="A151" t="n">
        <v>150</v>
      </c>
      <c r="B151" s="1" t="n">
        <v>45079</v>
      </c>
      <c r="C151" s="5" t="inlineStr">
        <is>
          <t>M11</t>
        </is>
      </c>
      <c r="D151" s="5" t="n">
        <v>30</v>
      </c>
      <c r="E151" s="5" t="n">
        <v>100</v>
      </c>
      <c r="F151" t="inlineStr">
        <is>
          <t>Поступление</t>
        </is>
      </c>
      <c r="H151">
        <f>VLOOKUP(C151,Магазин!$A$2:$C$1000,2,0)</f>
        <v/>
      </c>
      <c r="I151">
        <f>VLOOKUP(D151,Товар!$A$2:$F$1000,3,0)</f>
        <v/>
      </c>
      <c r="J151">
        <f>VLOOKUP(D151,Товар!$A$2:$F$1000,5,0)</f>
        <v/>
      </c>
      <c r="K151">
        <f>IF(AND(H151="Промышленный",LEFT(I151,18)="Порошок стиральный",F151="Продажа",B151=DATE(2023,6,7)),E151*J151/1000,0)</f>
        <v/>
      </c>
    </row>
    <row r="152">
      <c r="A152" t="n">
        <v>151</v>
      </c>
      <c r="B152" s="1" t="n">
        <v>45079</v>
      </c>
      <c r="C152" s="5" t="inlineStr">
        <is>
          <t>M11</t>
        </is>
      </c>
      <c r="D152" s="5" t="n">
        <v>31</v>
      </c>
      <c r="E152" s="5" t="n">
        <v>100</v>
      </c>
      <c r="F152" t="inlineStr">
        <is>
          <t>Поступление</t>
        </is>
      </c>
      <c r="H152">
        <f>VLOOKUP(C152,Магазин!$A$2:$C$1000,2,0)</f>
        <v/>
      </c>
      <c r="I152">
        <f>VLOOKUP(D152,Товар!$A$2:$F$1000,3,0)</f>
        <v/>
      </c>
      <c r="J152">
        <f>VLOOKUP(D152,Товар!$A$2:$F$1000,5,0)</f>
        <v/>
      </c>
      <c r="K152">
        <f>IF(AND(H152="Промышленный",LEFT(I152,18)="Порошок стиральный",F152="Продажа",B152=DATE(2023,6,7)),E152*J152/1000,0)</f>
        <v/>
      </c>
    </row>
    <row r="153">
      <c r="A153" t="n">
        <v>152</v>
      </c>
      <c r="B153" s="1" t="n">
        <v>45079</v>
      </c>
      <c r="C153" s="5" t="inlineStr">
        <is>
          <t>M11</t>
        </is>
      </c>
      <c r="D153" s="5" t="n">
        <v>32</v>
      </c>
      <c r="E153" s="5" t="n">
        <v>100</v>
      </c>
      <c r="F153" t="inlineStr">
        <is>
          <t>Поступление</t>
        </is>
      </c>
      <c r="H153">
        <f>VLOOKUP(C153,Магазин!$A$2:$C$1000,2,0)</f>
        <v/>
      </c>
      <c r="I153">
        <f>VLOOKUP(D153,Товар!$A$2:$F$1000,3,0)</f>
        <v/>
      </c>
      <c r="J153">
        <f>VLOOKUP(D153,Товар!$A$2:$F$1000,5,0)</f>
        <v/>
      </c>
      <c r="K153">
        <f>IF(AND(H153="Промышленный",LEFT(I153,18)="Порошок стиральный",F153="Продажа",B153=DATE(2023,6,7)),E153*J153/1000,0)</f>
        <v/>
      </c>
    </row>
    <row r="154">
      <c r="A154" t="n">
        <v>153</v>
      </c>
      <c r="B154" s="1" t="n">
        <v>45079</v>
      </c>
      <c r="C154" s="5" t="inlineStr">
        <is>
          <t>M11</t>
        </is>
      </c>
      <c r="D154" s="5" t="n">
        <v>33</v>
      </c>
      <c r="E154" s="5" t="n">
        <v>100</v>
      </c>
      <c r="F154" t="inlineStr">
        <is>
          <t>Поступление</t>
        </is>
      </c>
      <c r="H154">
        <f>VLOOKUP(C154,Магазин!$A$2:$C$1000,2,0)</f>
        <v/>
      </c>
      <c r="I154">
        <f>VLOOKUP(D154,Товар!$A$2:$F$1000,3,0)</f>
        <v/>
      </c>
      <c r="J154">
        <f>VLOOKUP(D154,Товар!$A$2:$F$1000,5,0)</f>
        <v/>
      </c>
      <c r="K154">
        <f>IF(AND(H154="Промышленный",LEFT(I154,18)="Порошок стиральный",F154="Продажа",B154=DATE(2023,6,7)),E154*J154/1000,0)</f>
        <v/>
      </c>
    </row>
    <row r="155">
      <c r="A155" t="n">
        <v>154</v>
      </c>
      <c r="B155" s="1" t="n">
        <v>45079</v>
      </c>
      <c r="C155" s="5" t="inlineStr">
        <is>
          <t>M11</t>
        </is>
      </c>
      <c r="D155" s="5" t="n">
        <v>34</v>
      </c>
      <c r="E155" s="5" t="n">
        <v>100</v>
      </c>
      <c r="F155" t="inlineStr">
        <is>
          <t>Поступление</t>
        </is>
      </c>
      <c r="H155">
        <f>VLOOKUP(C155,Магазин!$A$2:$C$1000,2,0)</f>
        <v/>
      </c>
      <c r="I155">
        <f>VLOOKUP(D155,Товар!$A$2:$F$1000,3,0)</f>
        <v/>
      </c>
      <c r="J155">
        <f>VLOOKUP(D155,Товар!$A$2:$F$1000,5,0)</f>
        <v/>
      </c>
      <c r="K155">
        <f>IF(AND(H155="Промышленный",LEFT(I155,18)="Порошок стиральный",F155="Продажа",B155=DATE(2023,6,7)),E155*J155/1000,0)</f>
        <v/>
      </c>
    </row>
    <row r="156">
      <c r="A156" t="n">
        <v>155</v>
      </c>
      <c r="B156" s="1" t="n">
        <v>45079</v>
      </c>
      <c r="C156" s="5" t="inlineStr">
        <is>
          <t>M11</t>
        </is>
      </c>
      <c r="D156" s="5" t="n">
        <v>35</v>
      </c>
      <c r="E156" s="5" t="n">
        <v>100</v>
      </c>
      <c r="F156" t="inlineStr">
        <is>
          <t>Поступление</t>
        </is>
      </c>
      <c r="H156">
        <f>VLOOKUP(C156,Магазин!$A$2:$C$1000,2,0)</f>
        <v/>
      </c>
      <c r="I156">
        <f>VLOOKUP(D156,Товар!$A$2:$F$1000,3,0)</f>
        <v/>
      </c>
      <c r="J156">
        <f>VLOOKUP(D156,Товар!$A$2:$F$1000,5,0)</f>
        <v/>
      </c>
      <c r="K156">
        <f>IF(AND(H156="Промышленный",LEFT(I156,18)="Порошок стиральный",F156="Продажа",B156=DATE(2023,6,7)),E156*J156/1000,0)</f>
        <v/>
      </c>
    </row>
    <row r="157">
      <c r="A157" t="n">
        <v>156</v>
      </c>
      <c r="B157" s="1" t="n">
        <v>45079</v>
      </c>
      <c r="C157" s="5" t="inlineStr">
        <is>
          <t>M11</t>
        </is>
      </c>
      <c r="D157" s="5" t="n">
        <v>36</v>
      </c>
      <c r="E157" s="5" t="n">
        <v>100</v>
      </c>
      <c r="F157" t="inlineStr">
        <is>
          <t>Поступление</t>
        </is>
      </c>
      <c r="H157">
        <f>VLOOKUP(C157,Магазин!$A$2:$C$1000,2,0)</f>
        <v/>
      </c>
      <c r="I157">
        <f>VLOOKUP(D157,Товар!$A$2:$F$1000,3,0)</f>
        <v/>
      </c>
      <c r="J157">
        <f>VLOOKUP(D157,Товар!$A$2:$F$1000,5,0)</f>
        <v/>
      </c>
      <c r="K157">
        <f>IF(AND(H157="Промышленный",LEFT(I157,18)="Порошок стиральный",F157="Продажа",B157=DATE(2023,6,7)),E157*J157/1000,0)</f>
        <v/>
      </c>
    </row>
    <row r="158">
      <c r="A158" t="n">
        <v>157</v>
      </c>
      <c r="B158" s="1" t="n">
        <v>45079</v>
      </c>
      <c r="C158" s="5" t="inlineStr">
        <is>
          <t>M11</t>
        </is>
      </c>
      <c r="D158" s="5" t="n">
        <v>37</v>
      </c>
      <c r="E158" s="5" t="n">
        <v>200</v>
      </c>
      <c r="F158" t="inlineStr">
        <is>
          <t>Поступление</t>
        </is>
      </c>
      <c r="H158">
        <f>VLOOKUP(C158,Магазин!$A$2:$C$1000,2,0)</f>
        <v/>
      </c>
      <c r="I158">
        <f>VLOOKUP(D158,Товар!$A$2:$F$1000,3,0)</f>
        <v/>
      </c>
      <c r="J158">
        <f>VLOOKUP(D158,Товар!$A$2:$F$1000,5,0)</f>
        <v/>
      </c>
      <c r="K158">
        <f>IF(AND(H158="Промышленный",LEFT(I158,18)="Порошок стиральный",F158="Продажа",B158=DATE(2023,6,7)),E158*J158/1000,0)</f>
        <v/>
      </c>
    </row>
    <row r="159">
      <c r="A159" t="n">
        <v>158</v>
      </c>
      <c r="B159" s="1" t="n">
        <v>45079</v>
      </c>
      <c r="C159" s="5" t="inlineStr">
        <is>
          <t>M11</t>
        </is>
      </c>
      <c r="D159" s="5" t="n">
        <v>38</v>
      </c>
      <c r="E159" s="5" t="n">
        <v>200</v>
      </c>
      <c r="F159" t="inlineStr">
        <is>
          <t>Поступление</t>
        </is>
      </c>
      <c r="H159">
        <f>VLOOKUP(C159,Магазин!$A$2:$C$1000,2,0)</f>
        <v/>
      </c>
      <c r="I159">
        <f>VLOOKUP(D159,Товар!$A$2:$F$1000,3,0)</f>
        <v/>
      </c>
      <c r="J159">
        <f>VLOOKUP(D159,Товар!$A$2:$F$1000,5,0)</f>
        <v/>
      </c>
      <c r="K159">
        <f>IF(AND(H159="Промышленный",LEFT(I159,18)="Порошок стиральный",F159="Продажа",B159=DATE(2023,6,7)),E159*J159/1000,0)</f>
        <v/>
      </c>
    </row>
    <row r="160">
      <c r="A160" t="n">
        <v>159</v>
      </c>
      <c r="B160" s="1" t="n">
        <v>45079</v>
      </c>
      <c r="C160" s="5" t="inlineStr">
        <is>
          <t>M11</t>
        </is>
      </c>
      <c r="D160" s="5" t="n">
        <v>39</v>
      </c>
      <c r="E160" s="5" t="n">
        <v>200</v>
      </c>
      <c r="F160" t="inlineStr">
        <is>
          <t>Поступление</t>
        </is>
      </c>
      <c r="H160">
        <f>VLOOKUP(C160,Магазин!$A$2:$C$1000,2,0)</f>
        <v/>
      </c>
      <c r="I160">
        <f>VLOOKUP(D160,Товар!$A$2:$F$1000,3,0)</f>
        <v/>
      </c>
      <c r="J160">
        <f>VLOOKUP(D160,Товар!$A$2:$F$1000,5,0)</f>
        <v/>
      </c>
      <c r="K160">
        <f>IF(AND(H160="Промышленный",LEFT(I160,18)="Порошок стиральный",F160="Продажа",B160=DATE(2023,6,7)),E160*J160/1000,0)</f>
        <v/>
      </c>
    </row>
    <row r="161">
      <c r="A161" t="n">
        <v>160</v>
      </c>
      <c r="B161" s="1" t="n">
        <v>45079</v>
      </c>
      <c r="C161" s="5" t="inlineStr">
        <is>
          <t>M11</t>
        </is>
      </c>
      <c r="D161" s="5" t="n">
        <v>40</v>
      </c>
      <c r="E161" s="5" t="n">
        <v>200</v>
      </c>
      <c r="F161" t="inlineStr">
        <is>
          <t>Поступление</t>
        </is>
      </c>
      <c r="H161">
        <f>VLOOKUP(C161,Магазин!$A$2:$C$1000,2,0)</f>
        <v/>
      </c>
      <c r="I161">
        <f>VLOOKUP(D161,Товар!$A$2:$F$1000,3,0)</f>
        <v/>
      </c>
      <c r="J161">
        <f>VLOOKUP(D161,Товар!$A$2:$F$1000,5,0)</f>
        <v/>
      </c>
      <c r="K161">
        <f>IF(AND(H161="Промышленный",LEFT(I161,18)="Порошок стиральный",F161="Продажа",B161=DATE(2023,6,7)),E161*J161/1000,0)</f>
        <v/>
      </c>
    </row>
    <row r="162">
      <c r="A162" t="n">
        <v>161</v>
      </c>
      <c r="B162" s="1" t="n">
        <v>45079</v>
      </c>
      <c r="C162" s="5" t="inlineStr">
        <is>
          <t>M11</t>
        </is>
      </c>
      <c r="D162" s="5" t="n">
        <v>41</v>
      </c>
      <c r="E162" s="5" t="n">
        <v>200</v>
      </c>
      <c r="F162" t="inlineStr">
        <is>
          <t>Поступление</t>
        </is>
      </c>
      <c r="H162">
        <f>VLOOKUP(C162,Магазин!$A$2:$C$1000,2,0)</f>
        <v/>
      </c>
      <c r="I162">
        <f>VLOOKUP(D162,Товар!$A$2:$F$1000,3,0)</f>
        <v/>
      </c>
      <c r="J162">
        <f>VLOOKUP(D162,Товар!$A$2:$F$1000,5,0)</f>
        <v/>
      </c>
      <c r="K162">
        <f>IF(AND(H162="Промышленный",LEFT(I162,18)="Порошок стиральный",F162="Продажа",B162=DATE(2023,6,7)),E162*J162/1000,0)</f>
        <v/>
      </c>
    </row>
    <row r="163">
      <c r="A163" t="n">
        <v>162</v>
      </c>
      <c r="B163" s="1" t="n">
        <v>45079</v>
      </c>
      <c r="C163" s="5" t="inlineStr">
        <is>
          <t>M11</t>
        </is>
      </c>
      <c r="D163" s="5" t="n">
        <v>42</v>
      </c>
      <c r="E163" s="5" t="n">
        <v>200</v>
      </c>
      <c r="F163" t="inlineStr">
        <is>
          <t>Поступление</t>
        </is>
      </c>
      <c r="H163">
        <f>VLOOKUP(C163,Магазин!$A$2:$C$1000,2,0)</f>
        <v/>
      </c>
      <c r="I163">
        <f>VLOOKUP(D163,Товар!$A$2:$F$1000,3,0)</f>
        <v/>
      </c>
      <c r="J163">
        <f>VLOOKUP(D163,Товар!$A$2:$F$1000,5,0)</f>
        <v/>
      </c>
      <c r="K163">
        <f>IF(AND(H163="Промышленный",LEFT(I163,18)="Порошок стиральный",F163="Продажа",B163=DATE(2023,6,7)),E163*J163/1000,0)</f>
        <v/>
      </c>
    </row>
    <row r="164">
      <c r="A164" t="n">
        <v>163</v>
      </c>
      <c r="B164" s="1" t="n">
        <v>45079</v>
      </c>
      <c r="C164" s="5" t="inlineStr">
        <is>
          <t>M11</t>
        </is>
      </c>
      <c r="D164" s="5" t="n">
        <v>43</v>
      </c>
      <c r="E164" s="5" t="n">
        <v>200</v>
      </c>
      <c r="F164" t="inlineStr">
        <is>
          <t>Поступление</t>
        </is>
      </c>
      <c r="H164">
        <f>VLOOKUP(C164,Магазин!$A$2:$C$1000,2,0)</f>
        <v/>
      </c>
      <c r="I164">
        <f>VLOOKUP(D164,Товар!$A$2:$F$1000,3,0)</f>
        <v/>
      </c>
      <c r="J164">
        <f>VLOOKUP(D164,Товар!$A$2:$F$1000,5,0)</f>
        <v/>
      </c>
      <c r="K164">
        <f>IF(AND(H164="Промышленный",LEFT(I164,18)="Порошок стиральный",F164="Продажа",B164=DATE(2023,6,7)),E164*J164/1000,0)</f>
        <v/>
      </c>
    </row>
    <row r="165">
      <c r="A165" t="n">
        <v>164</v>
      </c>
      <c r="B165" s="1" t="n">
        <v>45079</v>
      </c>
      <c r="C165" s="5" t="inlineStr">
        <is>
          <t>M11</t>
        </is>
      </c>
      <c r="D165" s="5" t="n">
        <v>44</v>
      </c>
      <c r="E165" s="5" t="n">
        <v>200</v>
      </c>
      <c r="F165" t="inlineStr">
        <is>
          <t>Поступление</t>
        </is>
      </c>
      <c r="H165">
        <f>VLOOKUP(C165,Магазин!$A$2:$C$1000,2,0)</f>
        <v/>
      </c>
      <c r="I165">
        <f>VLOOKUP(D165,Товар!$A$2:$F$1000,3,0)</f>
        <v/>
      </c>
      <c r="J165">
        <f>VLOOKUP(D165,Товар!$A$2:$F$1000,5,0)</f>
        <v/>
      </c>
      <c r="K165">
        <f>IF(AND(H165="Промышленный",LEFT(I165,18)="Порошок стиральный",F165="Продажа",B165=DATE(2023,6,7)),E165*J165/1000,0)</f>
        <v/>
      </c>
    </row>
    <row r="166">
      <c r="A166" t="n">
        <v>165</v>
      </c>
      <c r="B166" s="1" t="n">
        <v>45079</v>
      </c>
      <c r="C166" s="5" t="inlineStr">
        <is>
          <t>M11</t>
        </is>
      </c>
      <c r="D166" s="5" t="n">
        <v>45</v>
      </c>
      <c r="E166" s="5" t="n">
        <v>200</v>
      </c>
      <c r="F166" t="inlineStr">
        <is>
          <t>Поступление</t>
        </is>
      </c>
      <c r="H166">
        <f>VLOOKUP(C166,Магазин!$A$2:$C$1000,2,0)</f>
        <v/>
      </c>
      <c r="I166">
        <f>VLOOKUP(D166,Товар!$A$2:$F$1000,3,0)</f>
        <v/>
      </c>
      <c r="J166">
        <f>VLOOKUP(D166,Товар!$A$2:$F$1000,5,0)</f>
        <v/>
      </c>
      <c r="K166">
        <f>IF(AND(H166="Промышленный",LEFT(I166,18)="Порошок стиральный",F166="Продажа",B166=DATE(2023,6,7)),E166*J166/1000,0)</f>
        <v/>
      </c>
    </row>
    <row r="167">
      <c r="A167" t="n">
        <v>166</v>
      </c>
      <c r="B167" s="1" t="n">
        <v>45079</v>
      </c>
      <c r="C167" s="5" t="inlineStr">
        <is>
          <t>M11</t>
        </is>
      </c>
      <c r="D167" s="5" t="n">
        <v>46</v>
      </c>
      <c r="E167" s="5" t="n">
        <v>200</v>
      </c>
      <c r="F167" t="inlineStr">
        <is>
          <t>Поступление</t>
        </is>
      </c>
      <c r="H167">
        <f>VLOOKUP(C167,Магазин!$A$2:$C$1000,2,0)</f>
        <v/>
      </c>
      <c r="I167">
        <f>VLOOKUP(D167,Товар!$A$2:$F$1000,3,0)</f>
        <v/>
      </c>
      <c r="J167">
        <f>VLOOKUP(D167,Товар!$A$2:$F$1000,5,0)</f>
        <v/>
      </c>
      <c r="K167">
        <f>IF(AND(H167="Промышленный",LEFT(I167,18)="Порошок стиральный",F167="Продажа",B167=DATE(2023,6,7)),E167*J167/1000,0)</f>
        <v/>
      </c>
    </row>
    <row r="168">
      <c r="A168" t="n">
        <v>167</v>
      </c>
      <c r="B168" s="1" t="n">
        <v>45079</v>
      </c>
      <c r="C168" s="5" t="inlineStr">
        <is>
          <t>M11</t>
        </is>
      </c>
      <c r="D168" s="5" t="n">
        <v>47</v>
      </c>
      <c r="E168" s="5" t="n">
        <v>200</v>
      </c>
      <c r="F168" t="inlineStr">
        <is>
          <t>Поступление</t>
        </is>
      </c>
      <c r="H168">
        <f>VLOOKUP(C168,Магазин!$A$2:$C$1000,2,0)</f>
        <v/>
      </c>
      <c r="I168">
        <f>VLOOKUP(D168,Товар!$A$2:$F$1000,3,0)</f>
        <v/>
      </c>
      <c r="J168">
        <f>VLOOKUP(D168,Товар!$A$2:$F$1000,5,0)</f>
        <v/>
      </c>
      <c r="K168">
        <f>IF(AND(H168="Промышленный",LEFT(I168,18)="Порошок стиральный",F168="Продажа",B168=DATE(2023,6,7)),E168*J168/1000,0)</f>
        <v/>
      </c>
    </row>
    <row r="169">
      <c r="A169" t="n">
        <v>168</v>
      </c>
      <c r="B169" s="1" t="n">
        <v>45079</v>
      </c>
      <c r="C169" s="5" t="inlineStr">
        <is>
          <t>M11</t>
        </is>
      </c>
      <c r="D169" s="5" t="n">
        <v>48</v>
      </c>
      <c r="E169" s="5" t="n">
        <v>200</v>
      </c>
      <c r="F169" t="inlineStr">
        <is>
          <t>Поступление</t>
        </is>
      </c>
      <c r="H169">
        <f>VLOOKUP(C169,Магазин!$A$2:$C$1000,2,0)</f>
        <v/>
      </c>
      <c r="I169">
        <f>VLOOKUP(D169,Товар!$A$2:$F$1000,3,0)</f>
        <v/>
      </c>
      <c r="J169">
        <f>VLOOKUP(D169,Товар!$A$2:$F$1000,5,0)</f>
        <v/>
      </c>
      <c r="K169">
        <f>IF(AND(H169="Промышленный",LEFT(I169,18)="Порошок стиральный",F169="Продажа",B169=DATE(2023,6,7)),E169*J169/1000,0)</f>
        <v/>
      </c>
    </row>
    <row r="170">
      <c r="A170" t="n">
        <v>169</v>
      </c>
      <c r="B170" s="1" t="n">
        <v>45079</v>
      </c>
      <c r="C170" s="5" t="inlineStr">
        <is>
          <t>M11</t>
        </is>
      </c>
      <c r="D170" s="5" t="n">
        <v>49</v>
      </c>
      <c r="E170" s="5" t="n">
        <v>200</v>
      </c>
      <c r="F170" t="inlineStr">
        <is>
          <t>Поступление</t>
        </is>
      </c>
      <c r="H170">
        <f>VLOOKUP(C170,Магазин!$A$2:$C$1000,2,0)</f>
        <v/>
      </c>
      <c r="I170">
        <f>VLOOKUP(D170,Товар!$A$2:$F$1000,3,0)</f>
        <v/>
      </c>
      <c r="J170">
        <f>VLOOKUP(D170,Товар!$A$2:$F$1000,5,0)</f>
        <v/>
      </c>
      <c r="K170">
        <f>IF(AND(H170="Промышленный",LEFT(I170,18)="Порошок стиральный",F170="Продажа",B170=DATE(2023,6,7)),E170*J170/1000,0)</f>
        <v/>
      </c>
    </row>
    <row r="171">
      <c r="A171" t="n">
        <v>170</v>
      </c>
      <c r="B171" s="1" t="n">
        <v>45079</v>
      </c>
      <c r="C171" s="5" t="inlineStr">
        <is>
          <t>M11</t>
        </is>
      </c>
      <c r="D171" s="5" t="n">
        <v>50</v>
      </c>
      <c r="E171" s="5" t="n">
        <v>200</v>
      </c>
      <c r="F171" t="inlineStr">
        <is>
          <t>Поступление</t>
        </is>
      </c>
      <c r="H171">
        <f>VLOOKUP(C171,Магазин!$A$2:$C$1000,2,0)</f>
        <v/>
      </c>
      <c r="I171">
        <f>VLOOKUP(D171,Товар!$A$2:$F$1000,3,0)</f>
        <v/>
      </c>
      <c r="J171">
        <f>VLOOKUP(D171,Товар!$A$2:$F$1000,5,0)</f>
        <v/>
      </c>
      <c r="K171">
        <f>IF(AND(H171="Промышленный",LEFT(I171,18)="Порошок стиральный",F171="Продажа",B171=DATE(2023,6,7)),E171*J171/1000,0)</f>
        <v/>
      </c>
    </row>
    <row r="172">
      <c r="A172" t="n">
        <v>171</v>
      </c>
      <c r="B172" s="1" t="n">
        <v>45079</v>
      </c>
      <c r="C172" s="5" t="inlineStr">
        <is>
          <t>M11</t>
        </is>
      </c>
      <c r="D172" s="5" t="n">
        <v>51</v>
      </c>
      <c r="E172" s="5" t="n">
        <v>200</v>
      </c>
      <c r="F172" t="inlineStr">
        <is>
          <t>Поступление</t>
        </is>
      </c>
      <c r="H172">
        <f>VLOOKUP(C172,Магазин!$A$2:$C$1000,2,0)</f>
        <v/>
      </c>
      <c r="I172">
        <f>VLOOKUP(D172,Товар!$A$2:$F$1000,3,0)</f>
        <v/>
      </c>
      <c r="J172">
        <f>VLOOKUP(D172,Товар!$A$2:$F$1000,5,0)</f>
        <v/>
      </c>
      <c r="K172">
        <f>IF(AND(H172="Промышленный",LEFT(I172,18)="Порошок стиральный",F172="Продажа",B172=DATE(2023,6,7)),E172*J172/1000,0)</f>
        <v/>
      </c>
    </row>
    <row r="173">
      <c r="A173" t="n">
        <v>172</v>
      </c>
      <c r="B173" s="1" t="n">
        <v>45079</v>
      </c>
      <c r="C173" s="5" t="inlineStr">
        <is>
          <t>M11</t>
        </is>
      </c>
      <c r="D173" s="5" t="n">
        <v>52</v>
      </c>
      <c r="E173" s="5" t="n">
        <v>200</v>
      </c>
      <c r="F173" t="inlineStr">
        <is>
          <t>Поступление</t>
        </is>
      </c>
      <c r="H173">
        <f>VLOOKUP(C173,Магазин!$A$2:$C$1000,2,0)</f>
        <v/>
      </c>
      <c r="I173">
        <f>VLOOKUP(D173,Товар!$A$2:$F$1000,3,0)</f>
        <v/>
      </c>
      <c r="J173">
        <f>VLOOKUP(D173,Товар!$A$2:$F$1000,5,0)</f>
        <v/>
      </c>
      <c r="K173">
        <f>IF(AND(H173="Промышленный",LEFT(I173,18)="Порошок стиральный",F173="Продажа",B173=DATE(2023,6,7)),E173*J173/1000,0)</f>
        <v/>
      </c>
    </row>
    <row r="174">
      <c r="A174" t="n">
        <v>173</v>
      </c>
      <c r="B174" s="1" t="n">
        <v>45079</v>
      </c>
      <c r="C174" s="5" t="inlineStr">
        <is>
          <t>M11</t>
        </is>
      </c>
      <c r="D174" s="5" t="n">
        <v>53</v>
      </c>
      <c r="E174" s="5" t="n">
        <v>200</v>
      </c>
      <c r="F174" t="inlineStr">
        <is>
          <t>Поступление</t>
        </is>
      </c>
      <c r="H174">
        <f>VLOOKUP(C174,Магазин!$A$2:$C$1000,2,0)</f>
        <v/>
      </c>
      <c r="I174">
        <f>VLOOKUP(D174,Товар!$A$2:$F$1000,3,0)</f>
        <v/>
      </c>
      <c r="J174">
        <f>VLOOKUP(D174,Товар!$A$2:$F$1000,5,0)</f>
        <v/>
      </c>
      <c r="K174">
        <f>IF(AND(H174="Промышленный",LEFT(I174,18)="Порошок стиральный",F174="Продажа",B174=DATE(2023,6,7)),E174*J174/1000,0)</f>
        <v/>
      </c>
    </row>
    <row r="175">
      <c r="A175" t="n">
        <v>174</v>
      </c>
      <c r="B175" s="1" t="n">
        <v>45079</v>
      </c>
      <c r="C175" s="5" t="inlineStr">
        <is>
          <t>M11</t>
        </is>
      </c>
      <c r="D175" s="5" t="n">
        <v>54</v>
      </c>
      <c r="E175" s="5" t="n">
        <v>200</v>
      </c>
      <c r="F175" t="inlineStr">
        <is>
          <t>Поступление</t>
        </is>
      </c>
      <c r="H175">
        <f>VLOOKUP(C175,Магазин!$A$2:$C$1000,2,0)</f>
        <v/>
      </c>
      <c r="I175">
        <f>VLOOKUP(D175,Товар!$A$2:$F$1000,3,0)</f>
        <v/>
      </c>
      <c r="J175">
        <f>VLOOKUP(D175,Товар!$A$2:$F$1000,5,0)</f>
        <v/>
      </c>
      <c r="K175">
        <f>IF(AND(H175="Промышленный",LEFT(I175,18)="Порошок стиральный",F175="Продажа",B175=DATE(2023,6,7)),E175*J175/1000,0)</f>
        <v/>
      </c>
    </row>
    <row r="176">
      <c r="A176" t="n">
        <v>175</v>
      </c>
      <c r="B176" s="1" t="n">
        <v>45079</v>
      </c>
      <c r="C176" s="5" t="inlineStr">
        <is>
          <t>M11</t>
        </is>
      </c>
      <c r="D176" s="5" t="n">
        <v>55</v>
      </c>
      <c r="E176" s="5" t="n">
        <v>200</v>
      </c>
      <c r="F176" t="inlineStr">
        <is>
          <t>Поступление</t>
        </is>
      </c>
      <c r="H176">
        <f>VLOOKUP(C176,Магазин!$A$2:$C$1000,2,0)</f>
        <v/>
      </c>
      <c r="I176">
        <f>VLOOKUP(D176,Товар!$A$2:$F$1000,3,0)</f>
        <v/>
      </c>
      <c r="J176">
        <f>VLOOKUP(D176,Товар!$A$2:$F$1000,5,0)</f>
        <v/>
      </c>
      <c r="K176">
        <f>IF(AND(H176="Промышленный",LEFT(I176,18)="Порошок стиральный",F176="Продажа",B176=DATE(2023,6,7)),E176*J176/1000,0)</f>
        <v/>
      </c>
    </row>
    <row r="177">
      <c r="A177" t="n">
        <v>176</v>
      </c>
      <c r="B177" s="1" t="n">
        <v>45079</v>
      </c>
      <c r="C177" s="5" t="inlineStr">
        <is>
          <t>M11</t>
        </is>
      </c>
      <c r="D177" s="5" t="n">
        <v>56</v>
      </c>
      <c r="E177" s="5" t="n">
        <v>200</v>
      </c>
      <c r="F177" t="inlineStr">
        <is>
          <t>Поступление</t>
        </is>
      </c>
      <c r="H177">
        <f>VLOOKUP(C177,Магазин!$A$2:$C$1000,2,0)</f>
        <v/>
      </c>
      <c r="I177">
        <f>VLOOKUP(D177,Товар!$A$2:$F$1000,3,0)</f>
        <v/>
      </c>
      <c r="J177">
        <f>VLOOKUP(D177,Товар!$A$2:$F$1000,5,0)</f>
        <v/>
      </c>
      <c r="K177">
        <f>IF(AND(H177="Промышленный",LEFT(I177,18)="Порошок стиральный",F177="Продажа",B177=DATE(2023,6,7)),E177*J177/1000,0)</f>
        <v/>
      </c>
    </row>
    <row r="178">
      <c r="A178" t="n">
        <v>177</v>
      </c>
      <c r="B178" s="1" t="n">
        <v>45079</v>
      </c>
      <c r="C178" s="5" t="inlineStr">
        <is>
          <t>M11</t>
        </is>
      </c>
      <c r="D178" s="5" t="n">
        <v>57</v>
      </c>
      <c r="E178" s="5" t="n">
        <v>200</v>
      </c>
      <c r="F178" t="inlineStr">
        <is>
          <t>Поступление</t>
        </is>
      </c>
      <c r="H178">
        <f>VLOOKUP(C178,Магазин!$A$2:$C$1000,2,0)</f>
        <v/>
      </c>
      <c r="I178">
        <f>VLOOKUP(D178,Товар!$A$2:$F$1000,3,0)</f>
        <v/>
      </c>
      <c r="J178">
        <f>VLOOKUP(D178,Товар!$A$2:$F$1000,5,0)</f>
        <v/>
      </c>
      <c r="K178">
        <f>IF(AND(H178="Промышленный",LEFT(I178,18)="Порошок стиральный",F178="Продажа",B178=DATE(2023,6,7)),E178*J178/1000,0)</f>
        <v/>
      </c>
    </row>
    <row r="179">
      <c r="A179" t="n">
        <v>178</v>
      </c>
      <c r="B179" s="1" t="n">
        <v>45079</v>
      </c>
      <c r="C179" s="5" t="inlineStr">
        <is>
          <t>M11</t>
        </is>
      </c>
      <c r="D179" s="5" t="n">
        <v>58</v>
      </c>
      <c r="E179" s="5" t="n">
        <v>200</v>
      </c>
      <c r="F179" t="inlineStr">
        <is>
          <t>Поступление</t>
        </is>
      </c>
      <c r="H179">
        <f>VLOOKUP(C179,Магазин!$A$2:$C$1000,2,0)</f>
        <v/>
      </c>
      <c r="I179">
        <f>VLOOKUP(D179,Товар!$A$2:$F$1000,3,0)</f>
        <v/>
      </c>
      <c r="J179">
        <f>VLOOKUP(D179,Товар!$A$2:$F$1000,5,0)</f>
        <v/>
      </c>
      <c r="K179">
        <f>IF(AND(H179="Промышленный",LEFT(I179,18)="Порошок стиральный",F179="Продажа",B179=DATE(2023,6,7)),E179*J179/1000,0)</f>
        <v/>
      </c>
    </row>
    <row r="180">
      <c r="A180" t="n">
        <v>179</v>
      </c>
      <c r="B180" s="1" t="n">
        <v>45079</v>
      </c>
      <c r="C180" s="5" t="inlineStr">
        <is>
          <t>M11</t>
        </is>
      </c>
      <c r="D180" s="5" t="n">
        <v>59</v>
      </c>
      <c r="E180" s="5" t="n">
        <v>200</v>
      </c>
      <c r="F180" t="inlineStr">
        <is>
          <t>Поступление</t>
        </is>
      </c>
      <c r="H180">
        <f>VLOOKUP(C180,Магазин!$A$2:$C$1000,2,0)</f>
        <v/>
      </c>
      <c r="I180">
        <f>VLOOKUP(D180,Товар!$A$2:$F$1000,3,0)</f>
        <v/>
      </c>
      <c r="J180">
        <f>VLOOKUP(D180,Товар!$A$2:$F$1000,5,0)</f>
        <v/>
      </c>
      <c r="K180">
        <f>IF(AND(H180="Промышленный",LEFT(I180,18)="Порошок стиральный",F180="Продажа",B180=DATE(2023,6,7)),E180*J180/1000,0)</f>
        <v/>
      </c>
    </row>
    <row r="181">
      <c r="A181" t="n">
        <v>180</v>
      </c>
      <c r="B181" s="1" t="n">
        <v>45079</v>
      </c>
      <c r="C181" s="5" t="inlineStr">
        <is>
          <t>M11</t>
        </is>
      </c>
      <c r="D181" s="5" t="n">
        <v>60</v>
      </c>
      <c r="E181" s="5" t="n">
        <v>200</v>
      </c>
      <c r="F181" t="inlineStr">
        <is>
          <t>Поступление</t>
        </is>
      </c>
      <c r="H181">
        <f>VLOOKUP(C181,Магазин!$A$2:$C$1000,2,0)</f>
        <v/>
      </c>
      <c r="I181">
        <f>VLOOKUP(D181,Товар!$A$2:$F$1000,3,0)</f>
        <v/>
      </c>
      <c r="J181">
        <f>VLOOKUP(D181,Товар!$A$2:$F$1000,5,0)</f>
        <v/>
      </c>
      <c r="K181">
        <f>IF(AND(H181="Промышленный",LEFT(I181,18)="Порошок стиральный",F181="Продажа",B181=DATE(2023,6,7)),E181*J181/1000,0)</f>
        <v/>
      </c>
    </row>
    <row r="182">
      <c r="A182" t="n">
        <v>181</v>
      </c>
      <c r="B182" s="1" t="n">
        <v>45079</v>
      </c>
      <c r="C182" s="5" t="inlineStr">
        <is>
          <t>M12</t>
        </is>
      </c>
      <c r="D182" s="5" t="n">
        <v>1</v>
      </c>
      <c r="E182" s="5" t="n">
        <v>300</v>
      </c>
      <c r="F182" t="inlineStr">
        <is>
          <t>Поступление</t>
        </is>
      </c>
      <c r="H182">
        <f>VLOOKUP(C182,Магазин!$A$2:$C$1000,2,0)</f>
        <v/>
      </c>
      <c r="I182">
        <f>VLOOKUP(D182,Товар!$A$2:$F$1000,3,0)</f>
        <v/>
      </c>
      <c r="J182">
        <f>VLOOKUP(D182,Товар!$A$2:$F$1000,5,0)</f>
        <v/>
      </c>
      <c r="K182">
        <f>IF(AND(H182="Промышленный",LEFT(I182,18)="Порошок стиральный",F182="Продажа",B182=DATE(2023,6,7)),E182*J182/1000,0)</f>
        <v/>
      </c>
    </row>
    <row r="183">
      <c r="A183" t="n">
        <v>182</v>
      </c>
      <c r="B183" s="1" t="n">
        <v>45079</v>
      </c>
      <c r="C183" s="5" t="inlineStr">
        <is>
          <t>M12</t>
        </is>
      </c>
      <c r="D183" s="5" t="n">
        <v>2</v>
      </c>
      <c r="E183" s="5" t="n">
        <v>300</v>
      </c>
      <c r="F183" t="inlineStr">
        <is>
          <t>Поступление</t>
        </is>
      </c>
      <c r="H183">
        <f>VLOOKUP(C183,Магазин!$A$2:$C$1000,2,0)</f>
        <v/>
      </c>
      <c r="I183">
        <f>VLOOKUP(D183,Товар!$A$2:$F$1000,3,0)</f>
        <v/>
      </c>
      <c r="J183">
        <f>VLOOKUP(D183,Товар!$A$2:$F$1000,5,0)</f>
        <v/>
      </c>
      <c r="K183">
        <f>IF(AND(H183="Промышленный",LEFT(I183,18)="Порошок стиральный",F183="Продажа",B183=DATE(2023,6,7)),E183*J183/1000,0)</f>
        <v/>
      </c>
    </row>
    <row r="184">
      <c r="A184" t="n">
        <v>183</v>
      </c>
      <c r="B184" s="1" t="n">
        <v>45079</v>
      </c>
      <c r="C184" s="5" t="inlineStr">
        <is>
          <t>M12</t>
        </is>
      </c>
      <c r="D184" s="5" t="n">
        <v>3</v>
      </c>
      <c r="E184" s="5" t="n">
        <v>300</v>
      </c>
      <c r="F184" t="inlineStr">
        <is>
          <t>Поступление</t>
        </is>
      </c>
      <c r="H184">
        <f>VLOOKUP(C184,Магазин!$A$2:$C$1000,2,0)</f>
        <v/>
      </c>
      <c r="I184">
        <f>VLOOKUP(D184,Товар!$A$2:$F$1000,3,0)</f>
        <v/>
      </c>
      <c r="J184">
        <f>VLOOKUP(D184,Товар!$A$2:$F$1000,5,0)</f>
        <v/>
      </c>
      <c r="K184">
        <f>IF(AND(H184="Промышленный",LEFT(I184,18)="Порошок стиральный",F184="Продажа",B184=DATE(2023,6,7)),E184*J184/1000,0)</f>
        <v/>
      </c>
    </row>
    <row r="185">
      <c r="A185" t="n">
        <v>184</v>
      </c>
      <c r="B185" s="1" t="n">
        <v>45079</v>
      </c>
      <c r="C185" s="5" t="inlineStr">
        <is>
          <t>M12</t>
        </is>
      </c>
      <c r="D185" s="5" t="n">
        <v>4</v>
      </c>
      <c r="E185" s="5" t="n">
        <v>300</v>
      </c>
      <c r="F185" t="inlineStr">
        <is>
          <t>Поступление</t>
        </is>
      </c>
      <c r="H185">
        <f>VLOOKUP(C185,Магазин!$A$2:$C$1000,2,0)</f>
        <v/>
      </c>
      <c r="I185">
        <f>VLOOKUP(D185,Товар!$A$2:$F$1000,3,0)</f>
        <v/>
      </c>
      <c r="J185">
        <f>VLOOKUP(D185,Товар!$A$2:$F$1000,5,0)</f>
        <v/>
      </c>
      <c r="K185">
        <f>IF(AND(H185="Промышленный",LEFT(I185,18)="Порошок стиральный",F185="Продажа",B185=DATE(2023,6,7)),E185*J185/1000,0)</f>
        <v/>
      </c>
    </row>
    <row r="186">
      <c r="A186" t="n">
        <v>185</v>
      </c>
      <c r="B186" s="1" t="n">
        <v>45079</v>
      </c>
      <c r="C186" s="5" t="inlineStr">
        <is>
          <t>M12</t>
        </is>
      </c>
      <c r="D186" s="5" t="n">
        <v>5</v>
      </c>
      <c r="E186" s="5" t="n">
        <v>300</v>
      </c>
      <c r="F186" t="inlineStr">
        <is>
          <t>Поступление</t>
        </is>
      </c>
      <c r="H186">
        <f>VLOOKUP(C186,Магазин!$A$2:$C$1000,2,0)</f>
        <v/>
      </c>
      <c r="I186">
        <f>VLOOKUP(D186,Товар!$A$2:$F$1000,3,0)</f>
        <v/>
      </c>
      <c r="J186">
        <f>VLOOKUP(D186,Товар!$A$2:$F$1000,5,0)</f>
        <v/>
      </c>
      <c r="K186">
        <f>IF(AND(H186="Промышленный",LEFT(I186,18)="Порошок стиральный",F186="Продажа",B186=DATE(2023,6,7)),E186*J186/1000,0)</f>
        <v/>
      </c>
    </row>
    <row r="187">
      <c r="A187" t="n">
        <v>186</v>
      </c>
      <c r="B187" s="1" t="n">
        <v>45079</v>
      </c>
      <c r="C187" s="5" t="inlineStr">
        <is>
          <t>M12</t>
        </is>
      </c>
      <c r="D187" s="5" t="n">
        <v>6</v>
      </c>
      <c r="E187" s="5" t="n">
        <v>300</v>
      </c>
      <c r="F187" t="inlineStr">
        <is>
          <t>Поступление</t>
        </is>
      </c>
      <c r="H187">
        <f>VLOOKUP(C187,Магазин!$A$2:$C$1000,2,0)</f>
        <v/>
      </c>
      <c r="I187">
        <f>VLOOKUP(D187,Товар!$A$2:$F$1000,3,0)</f>
        <v/>
      </c>
      <c r="J187">
        <f>VLOOKUP(D187,Товар!$A$2:$F$1000,5,0)</f>
        <v/>
      </c>
      <c r="K187">
        <f>IF(AND(H187="Промышленный",LEFT(I187,18)="Порошок стиральный",F187="Продажа",B187=DATE(2023,6,7)),E187*J187/1000,0)</f>
        <v/>
      </c>
    </row>
    <row r="188">
      <c r="A188" t="n">
        <v>187</v>
      </c>
      <c r="B188" s="1" t="n">
        <v>45079</v>
      </c>
      <c r="C188" s="5" t="inlineStr">
        <is>
          <t>M12</t>
        </is>
      </c>
      <c r="D188" s="5" t="n">
        <v>7</v>
      </c>
      <c r="E188" s="5" t="n">
        <v>300</v>
      </c>
      <c r="F188" t="inlineStr">
        <is>
          <t>Поступление</t>
        </is>
      </c>
      <c r="H188">
        <f>VLOOKUP(C188,Магазин!$A$2:$C$1000,2,0)</f>
        <v/>
      </c>
      <c r="I188">
        <f>VLOOKUP(D188,Товар!$A$2:$F$1000,3,0)</f>
        <v/>
      </c>
      <c r="J188">
        <f>VLOOKUP(D188,Товар!$A$2:$F$1000,5,0)</f>
        <v/>
      </c>
      <c r="K188">
        <f>IF(AND(H188="Промышленный",LEFT(I188,18)="Порошок стиральный",F188="Продажа",B188=DATE(2023,6,7)),E188*J188/1000,0)</f>
        <v/>
      </c>
    </row>
    <row r="189">
      <c r="A189" t="n">
        <v>188</v>
      </c>
      <c r="B189" s="1" t="n">
        <v>45079</v>
      </c>
      <c r="C189" s="5" t="inlineStr">
        <is>
          <t>M12</t>
        </is>
      </c>
      <c r="D189" s="5" t="n">
        <v>8</v>
      </c>
      <c r="E189" s="5" t="n">
        <v>300</v>
      </c>
      <c r="F189" t="inlineStr">
        <is>
          <t>Поступление</t>
        </is>
      </c>
      <c r="H189">
        <f>VLOOKUP(C189,Магазин!$A$2:$C$1000,2,0)</f>
        <v/>
      </c>
      <c r="I189">
        <f>VLOOKUP(D189,Товар!$A$2:$F$1000,3,0)</f>
        <v/>
      </c>
      <c r="J189">
        <f>VLOOKUP(D189,Товар!$A$2:$F$1000,5,0)</f>
        <v/>
      </c>
      <c r="K189">
        <f>IF(AND(H189="Промышленный",LEFT(I189,18)="Порошок стиральный",F189="Продажа",B189=DATE(2023,6,7)),E189*J189/1000,0)</f>
        <v/>
      </c>
    </row>
    <row r="190">
      <c r="A190" t="n">
        <v>189</v>
      </c>
      <c r="B190" s="1" t="n">
        <v>45079</v>
      </c>
      <c r="C190" s="5" t="inlineStr">
        <is>
          <t>M12</t>
        </is>
      </c>
      <c r="D190" s="5" t="n">
        <v>9</v>
      </c>
      <c r="E190" s="5" t="n">
        <v>300</v>
      </c>
      <c r="F190" t="inlineStr">
        <is>
          <t>Поступление</t>
        </is>
      </c>
      <c r="H190">
        <f>VLOOKUP(C190,Магазин!$A$2:$C$1000,2,0)</f>
        <v/>
      </c>
      <c r="I190">
        <f>VLOOKUP(D190,Товар!$A$2:$F$1000,3,0)</f>
        <v/>
      </c>
      <c r="J190">
        <f>VLOOKUP(D190,Товар!$A$2:$F$1000,5,0)</f>
        <v/>
      </c>
      <c r="K190">
        <f>IF(AND(H190="Промышленный",LEFT(I190,18)="Порошок стиральный",F190="Продажа",B190=DATE(2023,6,7)),E190*J190/1000,0)</f>
        <v/>
      </c>
    </row>
    <row r="191">
      <c r="A191" t="n">
        <v>190</v>
      </c>
      <c r="B191" s="1" t="n">
        <v>45079</v>
      </c>
      <c r="C191" s="5" t="inlineStr">
        <is>
          <t>M12</t>
        </is>
      </c>
      <c r="D191" s="5" t="n">
        <v>10</v>
      </c>
      <c r="E191" s="5" t="n">
        <v>300</v>
      </c>
      <c r="F191" t="inlineStr">
        <is>
          <t>Поступление</t>
        </is>
      </c>
      <c r="H191">
        <f>VLOOKUP(C191,Магазин!$A$2:$C$1000,2,0)</f>
        <v/>
      </c>
      <c r="I191">
        <f>VLOOKUP(D191,Товар!$A$2:$F$1000,3,0)</f>
        <v/>
      </c>
      <c r="J191">
        <f>VLOOKUP(D191,Товар!$A$2:$F$1000,5,0)</f>
        <v/>
      </c>
      <c r="K191">
        <f>IF(AND(H191="Промышленный",LEFT(I191,18)="Порошок стиральный",F191="Продажа",B191=DATE(2023,6,7)),E191*J191/1000,0)</f>
        <v/>
      </c>
    </row>
    <row r="192">
      <c r="A192" t="n">
        <v>191</v>
      </c>
      <c r="B192" s="1" t="n">
        <v>45079</v>
      </c>
      <c r="C192" s="5" t="inlineStr">
        <is>
          <t>M12</t>
        </is>
      </c>
      <c r="D192" s="5" t="n">
        <v>11</v>
      </c>
      <c r="E192" s="5" t="n">
        <v>300</v>
      </c>
      <c r="F192" t="inlineStr">
        <is>
          <t>Поступление</t>
        </is>
      </c>
      <c r="H192">
        <f>VLOOKUP(C192,Магазин!$A$2:$C$1000,2,0)</f>
        <v/>
      </c>
      <c r="I192">
        <f>VLOOKUP(D192,Товар!$A$2:$F$1000,3,0)</f>
        <v/>
      </c>
      <c r="J192">
        <f>VLOOKUP(D192,Товар!$A$2:$F$1000,5,0)</f>
        <v/>
      </c>
      <c r="K192">
        <f>IF(AND(H192="Промышленный",LEFT(I192,18)="Порошок стиральный",F192="Продажа",B192=DATE(2023,6,7)),E192*J192/1000,0)</f>
        <v/>
      </c>
    </row>
    <row r="193">
      <c r="A193" t="n">
        <v>192</v>
      </c>
      <c r="B193" s="1" t="n">
        <v>45079</v>
      </c>
      <c r="C193" s="5" t="inlineStr">
        <is>
          <t>M12</t>
        </is>
      </c>
      <c r="D193" s="5" t="n">
        <v>12</v>
      </c>
      <c r="E193" s="5" t="n">
        <v>300</v>
      </c>
      <c r="F193" t="inlineStr">
        <is>
          <t>Поступление</t>
        </is>
      </c>
      <c r="H193">
        <f>VLOOKUP(C193,Магазин!$A$2:$C$1000,2,0)</f>
        <v/>
      </c>
      <c r="I193">
        <f>VLOOKUP(D193,Товар!$A$2:$F$1000,3,0)</f>
        <v/>
      </c>
      <c r="J193">
        <f>VLOOKUP(D193,Товар!$A$2:$F$1000,5,0)</f>
        <v/>
      </c>
      <c r="K193">
        <f>IF(AND(H193="Промышленный",LEFT(I193,18)="Порошок стиральный",F193="Продажа",B193=DATE(2023,6,7)),E193*J193/1000,0)</f>
        <v/>
      </c>
    </row>
    <row r="194">
      <c r="A194" t="n">
        <v>193</v>
      </c>
      <c r="B194" s="1" t="n">
        <v>45079</v>
      </c>
      <c r="C194" s="5" t="inlineStr">
        <is>
          <t>M12</t>
        </is>
      </c>
      <c r="D194" s="5" t="n">
        <v>13</v>
      </c>
      <c r="E194" s="5" t="n">
        <v>300</v>
      </c>
      <c r="F194" t="inlineStr">
        <is>
          <t>Поступление</t>
        </is>
      </c>
      <c r="H194">
        <f>VLOOKUP(C194,Магазин!$A$2:$C$1000,2,0)</f>
        <v/>
      </c>
      <c r="I194">
        <f>VLOOKUP(D194,Товар!$A$2:$F$1000,3,0)</f>
        <v/>
      </c>
      <c r="J194">
        <f>VLOOKUP(D194,Товар!$A$2:$F$1000,5,0)</f>
        <v/>
      </c>
      <c r="K194">
        <f>IF(AND(H194="Промышленный",LEFT(I194,18)="Порошок стиральный",F194="Продажа",B194=DATE(2023,6,7)),E194*J194/1000,0)</f>
        <v/>
      </c>
    </row>
    <row r="195">
      <c r="A195" t="n">
        <v>194</v>
      </c>
      <c r="B195" s="1" t="n">
        <v>45079</v>
      </c>
      <c r="C195" s="5" t="inlineStr">
        <is>
          <t>M12</t>
        </is>
      </c>
      <c r="D195" s="5" t="n">
        <v>14</v>
      </c>
      <c r="E195" s="5" t="n">
        <v>300</v>
      </c>
      <c r="F195" t="inlineStr">
        <is>
          <t>Поступление</t>
        </is>
      </c>
      <c r="H195">
        <f>VLOOKUP(C195,Магазин!$A$2:$C$1000,2,0)</f>
        <v/>
      </c>
      <c r="I195">
        <f>VLOOKUP(D195,Товар!$A$2:$F$1000,3,0)</f>
        <v/>
      </c>
      <c r="J195">
        <f>VLOOKUP(D195,Товар!$A$2:$F$1000,5,0)</f>
        <v/>
      </c>
      <c r="K195">
        <f>IF(AND(H195="Промышленный",LEFT(I195,18)="Порошок стиральный",F195="Продажа",B195=DATE(2023,6,7)),E195*J195/1000,0)</f>
        <v/>
      </c>
    </row>
    <row r="196">
      <c r="A196" t="n">
        <v>195</v>
      </c>
      <c r="B196" s="1" t="n">
        <v>45079</v>
      </c>
      <c r="C196" s="5" t="inlineStr">
        <is>
          <t>M12</t>
        </is>
      </c>
      <c r="D196" s="5" t="n">
        <v>15</v>
      </c>
      <c r="E196" s="5" t="n">
        <v>300</v>
      </c>
      <c r="F196" t="inlineStr">
        <is>
          <t>Поступление</t>
        </is>
      </c>
      <c r="H196">
        <f>VLOOKUP(C196,Магазин!$A$2:$C$1000,2,0)</f>
        <v/>
      </c>
      <c r="I196">
        <f>VLOOKUP(D196,Товар!$A$2:$F$1000,3,0)</f>
        <v/>
      </c>
      <c r="J196">
        <f>VLOOKUP(D196,Товар!$A$2:$F$1000,5,0)</f>
        <v/>
      </c>
      <c r="K196">
        <f>IF(AND(H196="Промышленный",LEFT(I196,18)="Порошок стиральный",F196="Продажа",B196=DATE(2023,6,7)),E196*J196/1000,0)</f>
        <v/>
      </c>
    </row>
    <row r="197">
      <c r="A197" t="n">
        <v>196</v>
      </c>
      <c r="B197" s="1" t="n">
        <v>45079</v>
      </c>
      <c r="C197" s="5" t="inlineStr">
        <is>
          <t>M12</t>
        </is>
      </c>
      <c r="D197" s="5" t="n">
        <v>16</v>
      </c>
      <c r="E197" s="5" t="n">
        <v>300</v>
      </c>
      <c r="F197" t="inlineStr">
        <is>
          <t>Поступление</t>
        </is>
      </c>
      <c r="H197">
        <f>VLOOKUP(C197,Магазин!$A$2:$C$1000,2,0)</f>
        <v/>
      </c>
      <c r="I197">
        <f>VLOOKUP(D197,Товар!$A$2:$F$1000,3,0)</f>
        <v/>
      </c>
      <c r="J197">
        <f>VLOOKUP(D197,Товар!$A$2:$F$1000,5,0)</f>
        <v/>
      </c>
      <c r="K197">
        <f>IF(AND(H197="Промышленный",LEFT(I197,18)="Порошок стиральный",F197="Продажа",B197=DATE(2023,6,7)),E197*J197/1000,0)</f>
        <v/>
      </c>
    </row>
    <row r="198">
      <c r="A198" t="n">
        <v>197</v>
      </c>
      <c r="B198" s="1" t="n">
        <v>45079</v>
      </c>
      <c r="C198" s="5" t="inlineStr">
        <is>
          <t>M12</t>
        </is>
      </c>
      <c r="D198" s="5" t="n">
        <v>17</v>
      </c>
      <c r="E198" s="5" t="n">
        <v>300</v>
      </c>
      <c r="F198" t="inlineStr">
        <is>
          <t>Поступление</t>
        </is>
      </c>
      <c r="H198">
        <f>VLOOKUP(C198,Магазин!$A$2:$C$1000,2,0)</f>
        <v/>
      </c>
      <c r="I198">
        <f>VLOOKUP(D198,Товар!$A$2:$F$1000,3,0)</f>
        <v/>
      </c>
      <c r="J198">
        <f>VLOOKUP(D198,Товар!$A$2:$F$1000,5,0)</f>
        <v/>
      </c>
      <c r="K198">
        <f>IF(AND(H198="Промышленный",LEFT(I198,18)="Порошок стиральный",F198="Продажа",B198=DATE(2023,6,7)),E198*J198/1000,0)</f>
        <v/>
      </c>
    </row>
    <row r="199">
      <c r="A199" t="n">
        <v>198</v>
      </c>
      <c r="B199" s="1" t="n">
        <v>45079</v>
      </c>
      <c r="C199" s="5" t="inlineStr">
        <is>
          <t>M12</t>
        </is>
      </c>
      <c r="D199" s="5" t="n">
        <v>18</v>
      </c>
      <c r="E199" s="5" t="n">
        <v>300</v>
      </c>
      <c r="F199" t="inlineStr">
        <is>
          <t>Поступление</t>
        </is>
      </c>
      <c r="H199">
        <f>VLOOKUP(C199,Магазин!$A$2:$C$1000,2,0)</f>
        <v/>
      </c>
      <c r="I199">
        <f>VLOOKUP(D199,Товар!$A$2:$F$1000,3,0)</f>
        <v/>
      </c>
      <c r="J199">
        <f>VLOOKUP(D199,Товар!$A$2:$F$1000,5,0)</f>
        <v/>
      </c>
      <c r="K199">
        <f>IF(AND(H199="Промышленный",LEFT(I199,18)="Порошок стиральный",F199="Продажа",B199=DATE(2023,6,7)),E199*J199/1000,0)</f>
        <v/>
      </c>
    </row>
    <row r="200">
      <c r="A200" t="n">
        <v>199</v>
      </c>
      <c r="B200" s="1" t="n">
        <v>45079</v>
      </c>
      <c r="C200" s="5" t="inlineStr">
        <is>
          <t>M12</t>
        </is>
      </c>
      <c r="D200" s="5" t="n">
        <v>19</v>
      </c>
      <c r="E200" s="5" t="n">
        <v>300</v>
      </c>
      <c r="F200" t="inlineStr">
        <is>
          <t>Поступление</t>
        </is>
      </c>
      <c r="H200">
        <f>VLOOKUP(C200,Магазин!$A$2:$C$1000,2,0)</f>
        <v/>
      </c>
      <c r="I200">
        <f>VLOOKUP(D200,Товар!$A$2:$F$1000,3,0)</f>
        <v/>
      </c>
      <c r="J200">
        <f>VLOOKUP(D200,Товар!$A$2:$F$1000,5,0)</f>
        <v/>
      </c>
      <c r="K200">
        <f>IF(AND(H200="Промышленный",LEFT(I200,18)="Порошок стиральный",F200="Продажа",B200=DATE(2023,6,7)),E200*J200/1000,0)</f>
        <v/>
      </c>
    </row>
    <row r="201">
      <c r="A201" t="n">
        <v>200</v>
      </c>
      <c r="B201" s="1" t="n">
        <v>45079</v>
      </c>
      <c r="C201" s="5" t="inlineStr">
        <is>
          <t>M12</t>
        </is>
      </c>
      <c r="D201" s="5" t="n">
        <v>20</v>
      </c>
      <c r="E201" s="5" t="n">
        <v>300</v>
      </c>
      <c r="F201" t="inlineStr">
        <is>
          <t>Поступление</t>
        </is>
      </c>
      <c r="H201">
        <f>VLOOKUP(C201,Магазин!$A$2:$C$1000,2,0)</f>
        <v/>
      </c>
      <c r="I201">
        <f>VLOOKUP(D201,Товар!$A$2:$F$1000,3,0)</f>
        <v/>
      </c>
      <c r="J201">
        <f>VLOOKUP(D201,Товар!$A$2:$F$1000,5,0)</f>
        <v/>
      </c>
      <c r="K201">
        <f>IF(AND(H201="Промышленный",LEFT(I201,18)="Порошок стиральный",F201="Продажа",B201=DATE(2023,6,7)),E201*J201/1000,0)</f>
        <v/>
      </c>
    </row>
    <row r="202">
      <c r="A202" t="n">
        <v>201</v>
      </c>
      <c r="B202" s="1" t="n">
        <v>45079</v>
      </c>
      <c r="C202" s="5" t="inlineStr">
        <is>
          <t>M12</t>
        </is>
      </c>
      <c r="D202" s="5" t="n">
        <v>21</v>
      </c>
      <c r="E202" s="5" t="n">
        <v>300</v>
      </c>
      <c r="F202" t="inlineStr">
        <is>
          <t>Поступление</t>
        </is>
      </c>
      <c r="H202">
        <f>VLOOKUP(C202,Магазин!$A$2:$C$1000,2,0)</f>
        <v/>
      </c>
      <c r="I202">
        <f>VLOOKUP(D202,Товар!$A$2:$F$1000,3,0)</f>
        <v/>
      </c>
      <c r="J202">
        <f>VLOOKUP(D202,Товар!$A$2:$F$1000,5,0)</f>
        <v/>
      </c>
      <c r="K202">
        <f>IF(AND(H202="Промышленный",LEFT(I202,18)="Порошок стиральный",F202="Продажа",B202=DATE(2023,6,7)),E202*J202/1000,0)</f>
        <v/>
      </c>
    </row>
    <row r="203">
      <c r="A203" t="n">
        <v>202</v>
      </c>
      <c r="B203" s="1" t="n">
        <v>45079</v>
      </c>
      <c r="C203" s="5" t="inlineStr">
        <is>
          <t>M12</t>
        </is>
      </c>
      <c r="D203" s="5" t="n">
        <v>22</v>
      </c>
      <c r="E203" s="5" t="n">
        <v>300</v>
      </c>
      <c r="F203" t="inlineStr">
        <is>
          <t>Поступление</t>
        </is>
      </c>
      <c r="H203">
        <f>VLOOKUP(C203,Магазин!$A$2:$C$1000,2,0)</f>
        <v/>
      </c>
      <c r="I203">
        <f>VLOOKUP(D203,Товар!$A$2:$F$1000,3,0)</f>
        <v/>
      </c>
      <c r="J203">
        <f>VLOOKUP(D203,Товар!$A$2:$F$1000,5,0)</f>
        <v/>
      </c>
      <c r="K203">
        <f>IF(AND(H203="Промышленный",LEFT(I203,18)="Порошок стиральный",F203="Продажа",B203=DATE(2023,6,7)),E203*J203/1000,0)</f>
        <v/>
      </c>
    </row>
    <row r="204">
      <c r="A204" t="n">
        <v>203</v>
      </c>
      <c r="B204" s="1" t="n">
        <v>45079</v>
      </c>
      <c r="C204" s="5" t="inlineStr">
        <is>
          <t>M12</t>
        </is>
      </c>
      <c r="D204" s="5" t="n">
        <v>23</v>
      </c>
      <c r="E204" s="5" t="n">
        <v>300</v>
      </c>
      <c r="F204" t="inlineStr">
        <is>
          <t>Поступление</t>
        </is>
      </c>
      <c r="H204">
        <f>VLOOKUP(C204,Магазин!$A$2:$C$1000,2,0)</f>
        <v/>
      </c>
      <c r="I204">
        <f>VLOOKUP(D204,Товар!$A$2:$F$1000,3,0)</f>
        <v/>
      </c>
      <c r="J204">
        <f>VLOOKUP(D204,Товар!$A$2:$F$1000,5,0)</f>
        <v/>
      </c>
      <c r="K204">
        <f>IF(AND(H204="Промышленный",LEFT(I204,18)="Порошок стиральный",F204="Продажа",B204=DATE(2023,6,7)),E204*J204/1000,0)</f>
        <v/>
      </c>
    </row>
    <row r="205">
      <c r="A205" t="n">
        <v>204</v>
      </c>
      <c r="B205" s="1" t="n">
        <v>45079</v>
      </c>
      <c r="C205" s="5" t="inlineStr">
        <is>
          <t>M12</t>
        </is>
      </c>
      <c r="D205" s="5" t="n">
        <v>24</v>
      </c>
      <c r="E205" s="5" t="n">
        <v>300</v>
      </c>
      <c r="F205" t="inlineStr">
        <is>
          <t>Поступление</t>
        </is>
      </c>
      <c r="H205">
        <f>VLOOKUP(C205,Магазин!$A$2:$C$1000,2,0)</f>
        <v/>
      </c>
      <c r="I205">
        <f>VLOOKUP(D205,Товар!$A$2:$F$1000,3,0)</f>
        <v/>
      </c>
      <c r="J205">
        <f>VLOOKUP(D205,Товар!$A$2:$F$1000,5,0)</f>
        <v/>
      </c>
      <c r="K205">
        <f>IF(AND(H205="Промышленный",LEFT(I205,18)="Порошок стиральный",F205="Продажа",B205=DATE(2023,6,7)),E205*J205/1000,0)</f>
        <v/>
      </c>
    </row>
    <row r="206">
      <c r="A206" t="n">
        <v>205</v>
      </c>
      <c r="B206" s="1" t="n">
        <v>45079</v>
      </c>
      <c r="C206" s="5" t="inlineStr">
        <is>
          <t>M12</t>
        </is>
      </c>
      <c r="D206" s="5" t="n">
        <v>25</v>
      </c>
      <c r="E206" s="5" t="n">
        <v>300</v>
      </c>
      <c r="F206" t="inlineStr">
        <is>
          <t>Поступление</t>
        </is>
      </c>
      <c r="H206">
        <f>VLOOKUP(C206,Магазин!$A$2:$C$1000,2,0)</f>
        <v/>
      </c>
      <c r="I206">
        <f>VLOOKUP(D206,Товар!$A$2:$F$1000,3,0)</f>
        <v/>
      </c>
      <c r="J206">
        <f>VLOOKUP(D206,Товар!$A$2:$F$1000,5,0)</f>
        <v/>
      </c>
      <c r="K206">
        <f>IF(AND(H206="Промышленный",LEFT(I206,18)="Порошок стиральный",F206="Продажа",B206=DATE(2023,6,7)),E206*J206/1000,0)</f>
        <v/>
      </c>
    </row>
    <row r="207">
      <c r="A207" t="n">
        <v>206</v>
      </c>
      <c r="B207" s="1" t="n">
        <v>45079</v>
      </c>
      <c r="C207" s="5" t="inlineStr">
        <is>
          <t>M12</t>
        </is>
      </c>
      <c r="D207" s="5" t="n">
        <v>26</v>
      </c>
      <c r="E207" s="5" t="n">
        <v>300</v>
      </c>
      <c r="F207" t="inlineStr">
        <is>
          <t>Поступление</t>
        </is>
      </c>
      <c r="H207">
        <f>VLOOKUP(C207,Магазин!$A$2:$C$1000,2,0)</f>
        <v/>
      </c>
      <c r="I207">
        <f>VLOOKUP(D207,Товар!$A$2:$F$1000,3,0)</f>
        <v/>
      </c>
      <c r="J207">
        <f>VLOOKUP(D207,Товар!$A$2:$F$1000,5,0)</f>
        <v/>
      </c>
      <c r="K207">
        <f>IF(AND(H207="Промышленный",LEFT(I207,18)="Порошок стиральный",F207="Продажа",B207=DATE(2023,6,7)),E207*J207/1000,0)</f>
        <v/>
      </c>
    </row>
    <row r="208">
      <c r="A208" t="n">
        <v>207</v>
      </c>
      <c r="B208" s="1" t="n">
        <v>45079</v>
      </c>
      <c r="C208" s="5" t="inlineStr">
        <is>
          <t>M12</t>
        </is>
      </c>
      <c r="D208" s="5" t="n">
        <v>27</v>
      </c>
      <c r="E208" s="5" t="n">
        <v>300</v>
      </c>
      <c r="F208" t="inlineStr">
        <is>
          <t>Поступление</t>
        </is>
      </c>
      <c r="H208">
        <f>VLOOKUP(C208,Магазин!$A$2:$C$1000,2,0)</f>
        <v/>
      </c>
      <c r="I208">
        <f>VLOOKUP(D208,Товар!$A$2:$F$1000,3,0)</f>
        <v/>
      </c>
      <c r="J208">
        <f>VLOOKUP(D208,Товар!$A$2:$F$1000,5,0)</f>
        <v/>
      </c>
      <c r="K208">
        <f>IF(AND(H208="Промышленный",LEFT(I208,18)="Порошок стиральный",F208="Продажа",B208=DATE(2023,6,7)),E208*J208/1000,0)</f>
        <v/>
      </c>
    </row>
    <row r="209">
      <c r="A209" t="n">
        <v>208</v>
      </c>
      <c r="B209" s="1" t="n">
        <v>45079</v>
      </c>
      <c r="C209" s="5" t="inlineStr">
        <is>
          <t>M12</t>
        </is>
      </c>
      <c r="D209" s="5" t="n">
        <v>28</v>
      </c>
      <c r="E209" s="5" t="n">
        <v>300</v>
      </c>
      <c r="F209" t="inlineStr">
        <is>
          <t>Поступление</t>
        </is>
      </c>
      <c r="H209">
        <f>VLOOKUP(C209,Магазин!$A$2:$C$1000,2,0)</f>
        <v/>
      </c>
      <c r="I209">
        <f>VLOOKUP(D209,Товар!$A$2:$F$1000,3,0)</f>
        <v/>
      </c>
      <c r="J209">
        <f>VLOOKUP(D209,Товар!$A$2:$F$1000,5,0)</f>
        <v/>
      </c>
      <c r="K209">
        <f>IF(AND(H209="Промышленный",LEFT(I209,18)="Порошок стиральный",F209="Продажа",B209=DATE(2023,6,7)),E209*J209/1000,0)</f>
        <v/>
      </c>
    </row>
    <row r="210">
      <c r="A210" t="n">
        <v>209</v>
      </c>
      <c r="B210" s="1" t="n">
        <v>45079</v>
      </c>
      <c r="C210" s="5" t="inlineStr">
        <is>
          <t>M12</t>
        </is>
      </c>
      <c r="D210" s="5" t="n">
        <v>29</v>
      </c>
      <c r="E210" s="5" t="n">
        <v>300</v>
      </c>
      <c r="F210" t="inlineStr">
        <is>
          <t>Поступление</t>
        </is>
      </c>
      <c r="H210">
        <f>VLOOKUP(C210,Магазин!$A$2:$C$1000,2,0)</f>
        <v/>
      </c>
      <c r="I210">
        <f>VLOOKUP(D210,Товар!$A$2:$F$1000,3,0)</f>
        <v/>
      </c>
      <c r="J210">
        <f>VLOOKUP(D210,Товар!$A$2:$F$1000,5,0)</f>
        <v/>
      </c>
      <c r="K210">
        <f>IF(AND(H210="Промышленный",LEFT(I210,18)="Порошок стиральный",F210="Продажа",B210=DATE(2023,6,7)),E210*J210/1000,0)</f>
        <v/>
      </c>
    </row>
    <row r="211">
      <c r="A211" t="n">
        <v>210</v>
      </c>
      <c r="B211" s="1" t="n">
        <v>45079</v>
      </c>
      <c r="C211" s="5" t="inlineStr">
        <is>
          <t>M12</t>
        </is>
      </c>
      <c r="D211" s="5" t="n">
        <v>30</v>
      </c>
      <c r="E211" s="5" t="n">
        <v>300</v>
      </c>
      <c r="F211" t="inlineStr">
        <is>
          <t>Поступление</t>
        </is>
      </c>
      <c r="H211">
        <f>VLOOKUP(C211,Магазин!$A$2:$C$1000,2,0)</f>
        <v/>
      </c>
      <c r="I211">
        <f>VLOOKUP(D211,Товар!$A$2:$F$1000,3,0)</f>
        <v/>
      </c>
      <c r="J211">
        <f>VLOOKUP(D211,Товар!$A$2:$F$1000,5,0)</f>
        <v/>
      </c>
      <c r="K211">
        <f>IF(AND(H211="Промышленный",LEFT(I211,18)="Порошок стиральный",F211="Продажа",B211=DATE(2023,6,7)),E211*J211/1000,0)</f>
        <v/>
      </c>
    </row>
    <row r="212">
      <c r="A212" t="n">
        <v>211</v>
      </c>
      <c r="B212" s="1" t="n">
        <v>45079</v>
      </c>
      <c r="C212" s="5" t="inlineStr">
        <is>
          <t>M12</t>
        </is>
      </c>
      <c r="D212" s="5" t="n">
        <v>31</v>
      </c>
      <c r="E212" s="5" t="n">
        <v>300</v>
      </c>
      <c r="F212" t="inlineStr">
        <is>
          <t>Поступление</t>
        </is>
      </c>
      <c r="H212">
        <f>VLOOKUP(C212,Магазин!$A$2:$C$1000,2,0)</f>
        <v/>
      </c>
      <c r="I212">
        <f>VLOOKUP(D212,Товар!$A$2:$F$1000,3,0)</f>
        <v/>
      </c>
      <c r="J212">
        <f>VLOOKUP(D212,Товар!$A$2:$F$1000,5,0)</f>
        <v/>
      </c>
      <c r="K212">
        <f>IF(AND(H212="Промышленный",LEFT(I212,18)="Порошок стиральный",F212="Продажа",B212=DATE(2023,6,7)),E212*J212/1000,0)</f>
        <v/>
      </c>
    </row>
    <row r="213">
      <c r="A213" t="n">
        <v>212</v>
      </c>
      <c r="B213" s="1" t="n">
        <v>45079</v>
      </c>
      <c r="C213" s="5" t="inlineStr">
        <is>
          <t>M12</t>
        </is>
      </c>
      <c r="D213" s="5" t="n">
        <v>32</v>
      </c>
      <c r="E213" s="5" t="n">
        <v>300</v>
      </c>
      <c r="F213" t="inlineStr">
        <is>
          <t>Поступление</t>
        </is>
      </c>
      <c r="H213">
        <f>VLOOKUP(C213,Магазин!$A$2:$C$1000,2,0)</f>
        <v/>
      </c>
      <c r="I213">
        <f>VLOOKUP(D213,Товар!$A$2:$F$1000,3,0)</f>
        <v/>
      </c>
      <c r="J213">
        <f>VLOOKUP(D213,Товар!$A$2:$F$1000,5,0)</f>
        <v/>
      </c>
      <c r="K213">
        <f>IF(AND(H213="Промышленный",LEFT(I213,18)="Порошок стиральный",F213="Продажа",B213=DATE(2023,6,7)),E213*J213/1000,0)</f>
        <v/>
      </c>
    </row>
    <row r="214">
      <c r="A214" t="n">
        <v>213</v>
      </c>
      <c r="B214" s="1" t="n">
        <v>45079</v>
      </c>
      <c r="C214" s="5" t="inlineStr">
        <is>
          <t>M12</t>
        </is>
      </c>
      <c r="D214" s="5" t="n">
        <v>33</v>
      </c>
      <c r="E214" s="5" t="n">
        <v>300</v>
      </c>
      <c r="F214" t="inlineStr">
        <is>
          <t>Поступление</t>
        </is>
      </c>
      <c r="H214">
        <f>VLOOKUP(C214,Магазин!$A$2:$C$1000,2,0)</f>
        <v/>
      </c>
      <c r="I214">
        <f>VLOOKUP(D214,Товар!$A$2:$F$1000,3,0)</f>
        <v/>
      </c>
      <c r="J214">
        <f>VLOOKUP(D214,Товар!$A$2:$F$1000,5,0)</f>
        <v/>
      </c>
      <c r="K214">
        <f>IF(AND(H214="Промышленный",LEFT(I214,18)="Порошок стиральный",F214="Продажа",B214=DATE(2023,6,7)),E214*J214/1000,0)</f>
        <v/>
      </c>
    </row>
    <row r="215">
      <c r="A215" t="n">
        <v>214</v>
      </c>
      <c r="B215" s="1" t="n">
        <v>45079</v>
      </c>
      <c r="C215" s="5" t="inlineStr">
        <is>
          <t>M12</t>
        </is>
      </c>
      <c r="D215" s="5" t="n">
        <v>34</v>
      </c>
      <c r="E215" s="5" t="n">
        <v>300</v>
      </c>
      <c r="F215" t="inlineStr">
        <is>
          <t>Поступление</t>
        </is>
      </c>
      <c r="H215">
        <f>VLOOKUP(C215,Магазин!$A$2:$C$1000,2,0)</f>
        <v/>
      </c>
      <c r="I215">
        <f>VLOOKUP(D215,Товар!$A$2:$F$1000,3,0)</f>
        <v/>
      </c>
      <c r="J215">
        <f>VLOOKUP(D215,Товар!$A$2:$F$1000,5,0)</f>
        <v/>
      </c>
      <c r="K215">
        <f>IF(AND(H215="Промышленный",LEFT(I215,18)="Порошок стиральный",F215="Продажа",B215=DATE(2023,6,7)),E215*J215/1000,0)</f>
        <v/>
      </c>
    </row>
    <row r="216">
      <c r="A216" t="n">
        <v>215</v>
      </c>
      <c r="B216" s="1" t="n">
        <v>45079</v>
      </c>
      <c r="C216" s="5" t="inlineStr">
        <is>
          <t>M12</t>
        </is>
      </c>
      <c r="D216" s="5" t="n">
        <v>35</v>
      </c>
      <c r="E216" s="5" t="n">
        <v>300</v>
      </c>
      <c r="F216" t="inlineStr">
        <is>
          <t>Поступление</t>
        </is>
      </c>
      <c r="H216">
        <f>VLOOKUP(C216,Магазин!$A$2:$C$1000,2,0)</f>
        <v/>
      </c>
      <c r="I216">
        <f>VLOOKUP(D216,Товар!$A$2:$F$1000,3,0)</f>
        <v/>
      </c>
      <c r="J216">
        <f>VLOOKUP(D216,Товар!$A$2:$F$1000,5,0)</f>
        <v/>
      </c>
      <c r="K216">
        <f>IF(AND(H216="Промышленный",LEFT(I216,18)="Порошок стиральный",F216="Продажа",B216=DATE(2023,6,7)),E216*J216/1000,0)</f>
        <v/>
      </c>
    </row>
    <row r="217">
      <c r="A217" t="n">
        <v>216</v>
      </c>
      <c r="B217" s="1" t="n">
        <v>45079</v>
      </c>
      <c r="C217" s="5" t="inlineStr">
        <is>
          <t>M12</t>
        </is>
      </c>
      <c r="D217" s="5" t="n">
        <v>36</v>
      </c>
      <c r="E217" s="5" t="n">
        <v>300</v>
      </c>
      <c r="F217" t="inlineStr">
        <is>
          <t>Поступление</t>
        </is>
      </c>
      <c r="H217">
        <f>VLOOKUP(C217,Магазин!$A$2:$C$1000,2,0)</f>
        <v/>
      </c>
      <c r="I217">
        <f>VLOOKUP(D217,Товар!$A$2:$F$1000,3,0)</f>
        <v/>
      </c>
      <c r="J217">
        <f>VLOOKUP(D217,Товар!$A$2:$F$1000,5,0)</f>
        <v/>
      </c>
      <c r="K217">
        <f>IF(AND(H217="Промышленный",LEFT(I217,18)="Порошок стиральный",F217="Продажа",B217=DATE(2023,6,7)),E217*J217/1000,0)</f>
        <v/>
      </c>
    </row>
    <row r="218">
      <c r="A218" t="n">
        <v>217</v>
      </c>
      <c r="B218" s="1" t="n">
        <v>45079</v>
      </c>
      <c r="C218" s="5" t="inlineStr">
        <is>
          <t>M12</t>
        </is>
      </c>
      <c r="D218" s="5" t="n">
        <v>37</v>
      </c>
      <c r="E218" s="5" t="n">
        <v>400</v>
      </c>
      <c r="F218" t="inlineStr">
        <is>
          <t>Поступление</t>
        </is>
      </c>
      <c r="H218">
        <f>VLOOKUP(C218,Магазин!$A$2:$C$1000,2,0)</f>
        <v/>
      </c>
      <c r="I218">
        <f>VLOOKUP(D218,Товар!$A$2:$F$1000,3,0)</f>
        <v/>
      </c>
      <c r="J218">
        <f>VLOOKUP(D218,Товар!$A$2:$F$1000,5,0)</f>
        <v/>
      </c>
      <c r="K218">
        <f>IF(AND(H218="Промышленный",LEFT(I218,18)="Порошок стиральный",F218="Продажа",B218=DATE(2023,6,7)),E218*J218/1000,0)</f>
        <v/>
      </c>
    </row>
    <row r="219">
      <c r="A219" t="n">
        <v>218</v>
      </c>
      <c r="B219" s="1" t="n">
        <v>45079</v>
      </c>
      <c r="C219" s="5" t="inlineStr">
        <is>
          <t>M12</t>
        </is>
      </c>
      <c r="D219" s="5" t="n">
        <v>38</v>
      </c>
      <c r="E219" s="5" t="n">
        <v>400</v>
      </c>
      <c r="F219" t="inlineStr">
        <is>
          <t>Поступление</t>
        </is>
      </c>
      <c r="H219">
        <f>VLOOKUP(C219,Магазин!$A$2:$C$1000,2,0)</f>
        <v/>
      </c>
      <c r="I219">
        <f>VLOOKUP(D219,Товар!$A$2:$F$1000,3,0)</f>
        <v/>
      </c>
      <c r="J219">
        <f>VLOOKUP(D219,Товар!$A$2:$F$1000,5,0)</f>
        <v/>
      </c>
      <c r="K219">
        <f>IF(AND(H219="Промышленный",LEFT(I219,18)="Порошок стиральный",F219="Продажа",B219=DATE(2023,6,7)),E219*J219/1000,0)</f>
        <v/>
      </c>
    </row>
    <row r="220">
      <c r="A220" t="n">
        <v>219</v>
      </c>
      <c r="B220" s="1" t="n">
        <v>45079</v>
      </c>
      <c r="C220" s="5" t="inlineStr">
        <is>
          <t>M12</t>
        </is>
      </c>
      <c r="D220" s="5" t="n">
        <v>39</v>
      </c>
      <c r="E220" s="5" t="n">
        <v>400</v>
      </c>
      <c r="F220" t="inlineStr">
        <is>
          <t>Поступление</t>
        </is>
      </c>
      <c r="H220">
        <f>VLOOKUP(C220,Магазин!$A$2:$C$1000,2,0)</f>
        <v/>
      </c>
      <c r="I220">
        <f>VLOOKUP(D220,Товар!$A$2:$F$1000,3,0)</f>
        <v/>
      </c>
      <c r="J220">
        <f>VLOOKUP(D220,Товар!$A$2:$F$1000,5,0)</f>
        <v/>
      </c>
      <c r="K220">
        <f>IF(AND(H220="Промышленный",LEFT(I220,18)="Порошок стиральный",F220="Продажа",B220=DATE(2023,6,7)),E220*J220/1000,0)</f>
        <v/>
      </c>
    </row>
    <row r="221">
      <c r="A221" t="n">
        <v>220</v>
      </c>
      <c r="B221" s="1" t="n">
        <v>45079</v>
      </c>
      <c r="C221" s="5" t="inlineStr">
        <is>
          <t>M12</t>
        </is>
      </c>
      <c r="D221" s="5" t="n">
        <v>40</v>
      </c>
      <c r="E221" s="5" t="n">
        <v>400</v>
      </c>
      <c r="F221" t="inlineStr">
        <is>
          <t>Поступление</t>
        </is>
      </c>
      <c r="H221">
        <f>VLOOKUP(C221,Магазин!$A$2:$C$1000,2,0)</f>
        <v/>
      </c>
      <c r="I221">
        <f>VLOOKUP(D221,Товар!$A$2:$F$1000,3,0)</f>
        <v/>
      </c>
      <c r="J221">
        <f>VLOOKUP(D221,Товар!$A$2:$F$1000,5,0)</f>
        <v/>
      </c>
      <c r="K221">
        <f>IF(AND(H221="Промышленный",LEFT(I221,18)="Порошок стиральный",F221="Продажа",B221=DATE(2023,6,7)),E221*J221/1000,0)</f>
        <v/>
      </c>
    </row>
    <row r="222">
      <c r="A222" t="n">
        <v>221</v>
      </c>
      <c r="B222" s="1" t="n">
        <v>45079</v>
      </c>
      <c r="C222" s="5" t="inlineStr">
        <is>
          <t>M12</t>
        </is>
      </c>
      <c r="D222" s="5" t="n">
        <v>41</v>
      </c>
      <c r="E222" s="5" t="n">
        <v>400</v>
      </c>
      <c r="F222" t="inlineStr">
        <is>
          <t>Поступление</t>
        </is>
      </c>
      <c r="H222">
        <f>VLOOKUP(C222,Магазин!$A$2:$C$1000,2,0)</f>
        <v/>
      </c>
      <c r="I222">
        <f>VLOOKUP(D222,Товар!$A$2:$F$1000,3,0)</f>
        <v/>
      </c>
      <c r="J222">
        <f>VLOOKUP(D222,Товар!$A$2:$F$1000,5,0)</f>
        <v/>
      </c>
      <c r="K222">
        <f>IF(AND(H222="Промышленный",LEFT(I222,18)="Порошок стиральный",F222="Продажа",B222=DATE(2023,6,7)),E222*J222/1000,0)</f>
        <v/>
      </c>
    </row>
    <row r="223">
      <c r="A223" t="n">
        <v>222</v>
      </c>
      <c r="B223" s="1" t="n">
        <v>45079</v>
      </c>
      <c r="C223" s="5" t="inlineStr">
        <is>
          <t>M12</t>
        </is>
      </c>
      <c r="D223" s="5" t="n">
        <v>42</v>
      </c>
      <c r="E223" s="5" t="n">
        <v>400</v>
      </c>
      <c r="F223" t="inlineStr">
        <is>
          <t>Поступление</t>
        </is>
      </c>
      <c r="H223">
        <f>VLOOKUP(C223,Магазин!$A$2:$C$1000,2,0)</f>
        <v/>
      </c>
      <c r="I223">
        <f>VLOOKUP(D223,Товар!$A$2:$F$1000,3,0)</f>
        <v/>
      </c>
      <c r="J223">
        <f>VLOOKUP(D223,Товар!$A$2:$F$1000,5,0)</f>
        <v/>
      </c>
      <c r="K223">
        <f>IF(AND(H223="Промышленный",LEFT(I223,18)="Порошок стиральный",F223="Продажа",B223=DATE(2023,6,7)),E223*J223/1000,0)</f>
        <v/>
      </c>
    </row>
    <row r="224">
      <c r="A224" t="n">
        <v>223</v>
      </c>
      <c r="B224" s="1" t="n">
        <v>45079</v>
      </c>
      <c r="C224" s="5" t="inlineStr">
        <is>
          <t>M12</t>
        </is>
      </c>
      <c r="D224" s="5" t="n">
        <v>43</v>
      </c>
      <c r="E224" s="5" t="n">
        <v>400</v>
      </c>
      <c r="F224" t="inlineStr">
        <is>
          <t>Поступление</t>
        </is>
      </c>
      <c r="H224">
        <f>VLOOKUP(C224,Магазин!$A$2:$C$1000,2,0)</f>
        <v/>
      </c>
      <c r="I224">
        <f>VLOOKUP(D224,Товар!$A$2:$F$1000,3,0)</f>
        <v/>
      </c>
      <c r="J224">
        <f>VLOOKUP(D224,Товар!$A$2:$F$1000,5,0)</f>
        <v/>
      </c>
      <c r="K224">
        <f>IF(AND(H224="Промышленный",LEFT(I224,18)="Порошок стиральный",F224="Продажа",B224=DATE(2023,6,7)),E224*J224/1000,0)</f>
        <v/>
      </c>
    </row>
    <row r="225">
      <c r="A225" t="n">
        <v>224</v>
      </c>
      <c r="B225" s="1" t="n">
        <v>45079</v>
      </c>
      <c r="C225" s="5" t="inlineStr">
        <is>
          <t>M12</t>
        </is>
      </c>
      <c r="D225" s="5" t="n">
        <v>44</v>
      </c>
      <c r="E225" s="5" t="n">
        <v>400</v>
      </c>
      <c r="F225" t="inlineStr">
        <is>
          <t>Поступление</t>
        </is>
      </c>
      <c r="H225">
        <f>VLOOKUP(C225,Магазин!$A$2:$C$1000,2,0)</f>
        <v/>
      </c>
      <c r="I225">
        <f>VLOOKUP(D225,Товар!$A$2:$F$1000,3,0)</f>
        <v/>
      </c>
      <c r="J225">
        <f>VLOOKUP(D225,Товар!$A$2:$F$1000,5,0)</f>
        <v/>
      </c>
      <c r="K225">
        <f>IF(AND(H225="Промышленный",LEFT(I225,18)="Порошок стиральный",F225="Продажа",B225=DATE(2023,6,7)),E225*J225/1000,0)</f>
        <v/>
      </c>
    </row>
    <row r="226">
      <c r="A226" t="n">
        <v>225</v>
      </c>
      <c r="B226" s="1" t="n">
        <v>45079</v>
      </c>
      <c r="C226" s="5" t="inlineStr">
        <is>
          <t>M12</t>
        </is>
      </c>
      <c r="D226" s="5" t="n">
        <v>45</v>
      </c>
      <c r="E226" s="5" t="n">
        <v>400</v>
      </c>
      <c r="F226" t="inlineStr">
        <is>
          <t>Поступление</t>
        </is>
      </c>
      <c r="H226">
        <f>VLOOKUP(C226,Магазин!$A$2:$C$1000,2,0)</f>
        <v/>
      </c>
      <c r="I226">
        <f>VLOOKUP(D226,Товар!$A$2:$F$1000,3,0)</f>
        <v/>
      </c>
      <c r="J226">
        <f>VLOOKUP(D226,Товар!$A$2:$F$1000,5,0)</f>
        <v/>
      </c>
      <c r="K226">
        <f>IF(AND(H226="Промышленный",LEFT(I226,18)="Порошок стиральный",F226="Продажа",B226=DATE(2023,6,7)),E226*J226/1000,0)</f>
        <v/>
      </c>
    </row>
    <row r="227">
      <c r="A227" t="n">
        <v>226</v>
      </c>
      <c r="B227" s="1" t="n">
        <v>45079</v>
      </c>
      <c r="C227" s="5" t="inlineStr">
        <is>
          <t>M12</t>
        </is>
      </c>
      <c r="D227" s="5" t="n">
        <v>46</v>
      </c>
      <c r="E227" s="5" t="n">
        <v>400</v>
      </c>
      <c r="F227" t="inlineStr">
        <is>
          <t>Поступление</t>
        </is>
      </c>
      <c r="H227">
        <f>VLOOKUP(C227,Магазин!$A$2:$C$1000,2,0)</f>
        <v/>
      </c>
      <c r="I227">
        <f>VLOOKUP(D227,Товар!$A$2:$F$1000,3,0)</f>
        <v/>
      </c>
      <c r="J227">
        <f>VLOOKUP(D227,Товар!$A$2:$F$1000,5,0)</f>
        <v/>
      </c>
      <c r="K227">
        <f>IF(AND(H227="Промышленный",LEFT(I227,18)="Порошок стиральный",F227="Продажа",B227=DATE(2023,6,7)),E227*J227/1000,0)</f>
        <v/>
      </c>
    </row>
    <row r="228">
      <c r="A228" t="n">
        <v>227</v>
      </c>
      <c r="B228" s="1" t="n">
        <v>45079</v>
      </c>
      <c r="C228" s="5" t="inlineStr">
        <is>
          <t>M12</t>
        </is>
      </c>
      <c r="D228" s="5" t="n">
        <v>47</v>
      </c>
      <c r="E228" s="5" t="n">
        <v>400</v>
      </c>
      <c r="F228" t="inlineStr">
        <is>
          <t>Поступление</t>
        </is>
      </c>
      <c r="H228">
        <f>VLOOKUP(C228,Магазин!$A$2:$C$1000,2,0)</f>
        <v/>
      </c>
      <c r="I228">
        <f>VLOOKUP(D228,Товар!$A$2:$F$1000,3,0)</f>
        <v/>
      </c>
      <c r="J228">
        <f>VLOOKUP(D228,Товар!$A$2:$F$1000,5,0)</f>
        <v/>
      </c>
      <c r="K228">
        <f>IF(AND(H228="Промышленный",LEFT(I228,18)="Порошок стиральный",F228="Продажа",B228=DATE(2023,6,7)),E228*J228/1000,0)</f>
        <v/>
      </c>
    </row>
    <row r="229">
      <c r="A229" t="n">
        <v>228</v>
      </c>
      <c r="B229" s="1" t="n">
        <v>45079</v>
      </c>
      <c r="C229" s="5" t="inlineStr">
        <is>
          <t>M12</t>
        </is>
      </c>
      <c r="D229" s="5" t="n">
        <v>48</v>
      </c>
      <c r="E229" s="5" t="n">
        <v>400</v>
      </c>
      <c r="F229" t="inlineStr">
        <is>
          <t>Поступление</t>
        </is>
      </c>
      <c r="H229">
        <f>VLOOKUP(C229,Магазин!$A$2:$C$1000,2,0)</f>
        <v/>
      </c>
      <c r="I229">
        <f>VLOOKUP(D229,Товар!$A$2:$F$1000,3,0)</f>
        <v/>
      </c>
      <c r="J229">
        <f>VLOOKUP(D229,Товар!$A$2:$F$1000,5,0)</f>
        <v/>
      </c>
      <c r="K229">
        <f>IF(AND(H229="Промышленный",LEFT(I229,18)="Порошок стиральный",F229="Продажа",B229=DATE(2023,6,7)),E229*J229/1000,0)</f>
        <v/>
      </c>
    </row>
    <row r="230">
      <c r="A230" t="n">
        <v>229</v>
      </c>
      <c r="B230" s="1" t="n">
        <v>45079</v>
      </c>
      <c r="C230" s="5" t="inlineStr">
        <is>
          <t>M12</t>
        </is>
      </c>
      <c r="D230" s="5" t="n">
        <v>49</v>
      </c>
      <c r="E230" s="5" t="n">
        <v>400</v>
      </c>
      <c r="F230" t="inlineStr">
        <is>
          <t>Поступление</t>
        </is>
      </c>
      <c r="H230">
        <f>VLOOKUP(C230,Магазин!$A$2:$C$1000,2,0)</f>
        <v/>
      </c>
      <c r="I230">
        <f>VLOOKUP(D230,Товар!$A$2:$F$1000,3,0)</f>
        <v/>
      </c>
      <c r="J230">
        <f>VLOOKUP(D230,Товар!$A$2:$F$1000,5,0)</f>
        <v/>
      </c>
      <c r="K230">
        <f>IF(AND(H230="Промышленный",LEFT(I230,18)="Порошок стиральный",F230="Продажа",B230=DATE(2023,6,7)),E230*J230/1000,0)</f>
        <v/>
      </c>
    </row>
    <row r="231">
      <c r="A231" t="n">
        <v>230</v>
      </c>
      <c r="B231" s="1" t="n">
        <v>45079</v>
      </c>
      <c r="C231" s="5" t="inlineStr">
        <is>
          <t>M12</t>
        </is>
      </c>
      <c r="D231" s="5" t="n">
        <v>50</v>
      </c>
      <c r="E231" s="5" t="n">
        <v>400</v>
      </c>
      <c r="F231" t="inlineStr">
        <is>
          <t>Поступление</t>
        </is>
      </c>
      <c r="H231">
        <f>VLOOKUP(C231,Магазин!$A$2:$C$1000,2,0)</f>
        <v/>
      </c>
      <c r="I231">
        <f>VLOOKUP(D231,Товар!$A$2:$F$1000,3,0)</f>
        <v/>
      </c>
      <c r="J231">
        <f>VLOOKUP(D231,Товар!$A$2:$F$1000,5,0)</f>
        <v/>
      </c>
      <c r="K231">
        <f>IF(AND(H231="Промышленный",LEFT(I231,18)="Порошок стиральный",F231="Продажа",B231=DATE(2023,6,7)),E231*J231/1000,0)</f>
        <v/>
      </c>
    </row>
    <row r="232">
      <c r="A232" t="n">
        <v>231</v>
      </c>
      <c r="B232" s="1" t="n">
        <v>45079</v>
      </c>
      <c r="C232" s="5" t="inlineStr">
        <is>
          <t>M12</t>
        </is>
      </c>
      <c r="D232" s="5" t="n">
        <v>51</v>
      </c>
      <c r="E232" s="5" t="n">
        <v>400</v>
      </c>
      <c r="F232" t="inlineStr">
        <is>
          <t>Поступление</t>
        </is>
      </c>
      <c r="H232">
        <f>VLOOKUP(C232,Магазин!$A$2:$C$1000,2,0)</f>
        <v/>
      </c>
      <c r="I232">
        <f>VLOOKUP(D232,Товар!$A$2:$F$1000,3,0)</f>
        <v/>
      </c>
      <c r="J232">
        <f>VLOOKUP(D232,Товар!$A$2:$F$1000,5,0)</f>
        <v/>
      </c>
      <c r="K232">
        <f>IF(AND(H232="Промышленный",LEFT(I232,18)="Порошок стиральный",F232="Продажа",B232=DATE(2023,6,7)),E232*J232/1000,0)</f>
        <v/>
      </c>
    </row>
    <row r="233">
      <c r="A233" t="n">
        <v>232</v>
      </c>
      <c r="B233" s="1" t="n">
        <v>45079</v>
      </c>
      <c r="C233" s="5" t="inlineStr">
        <is>
          <t>M12</t>
        </is>
      </c>
      <c r="D233" s="5" t="n">
        <v>52</v>
      </c>
      <c r="E233" s="5" t="n">
        <v>400</v>
      </c>
      <c r="F233" t="inlineStr">
        <is>
          <t>Поступление</t>
        </is>
      </c>
      <c r="H233">
        <f>VLOOKUP(C233,Магазин!$A$2:$C$1000,2,0)</f>
        <v/>
      </c>
      <c r="I233">
        <f>VLOOKUP(D233,Товар!$A$2:$F$1000,3,0)</f>
        <v/>
      </c>
      <c r="J233">
        <f>VLOOKUP(D233,Товар!$A$2:$F$1000,5,0)</f>
        <v/>
      </c>
      <c r="K233">
        <f>IF(AND(H233="Промышленный",LEFT(I233,18)="Порошок стиральный",F233="Продажа",B233=DATE(2023,6,7)),E233*J233/1000,0)</f>
        <v/>
      </c>
    </row>
    <row r="234">
      <c r="A234" t="n">
        <v>233</v>
      </c>
      <c r="B234" s="1" t="n">
        <v>45079</v>
      </c>
      <c r="C234" s="5" t="inlineStr">
        <is>
          <t>M12</t>
        </is>
      </c>
      <c r="D234" s="5" t="n">
        <v>53</v>
      </c>
      <c r="E234" s="5" t="n">
        <v>400</v>
      </c>
      <c r="F234" t="inlineStr">
        <is>
          <t>Поступление</t>
        </is>
      </c>
      <c r="H234">
        <f>VLOOKUP(C234,Магазин!$A$2:$C$1000,2,0)</f>
        <v/>
      </c>
      <c r="I234">
        <f>VLOOKUP(D234,Товар!$A$2:$F$1000,3,0)</f>
        <v/>
      </c>
      <c r="J234">
        <f>VLOOKUP(D234,Товар!$A$2:$F$1000,5,0)</f>
        <v/>
      </c>
      <c r="K234">
        <f>IF(AND(H234="Промышленный",LEFT(I234,18)="Порошок стиральный",F234="Продажа",B234=DATE(2023,6,7)),E234*J234/1000,0)</f>
        <v/>
      </c>
    </row>
    <row r="235">
      <c r="A235" t="n">
        <v>234</v>
      </c>
      <c r="B235" s="1" t="n">
        <v>45079</v>
      </c>
      <c r="C235" s="5" t="inlineStr">
        <is>
          <t>M12</t>
        </is>
      </c>
      <c r="D235" s="5" t="n">
        <v>54</v>
      </c>
      <c r="E235" s="5" t="n">
        <v>400</v>
      </c>
      <c r="F235" t="inlineStr">
        <is>
          <t>Поступление</t>
        </is>
      </c>
      <c r="H235">
        <f>VLOOKUP(C235,Магазин!$A$2:$C$1000,2,0)</f>
        <v/>
      </c>
      <c r="I235">
        <f>VLOOKUP(D235,Товар!$A$2:$F$1000,3,0)</f>
        <v/>
      </c>
      <c r="J235">
        <f>VLOOKUP(D235,Товар!$A$2:$F$1000,5,0)</f>
        <v/>
      </c>
      <c r="K235">
        <f>IF(AND(H235="Промышленный",LEFT(I235,18)="Порошок стиральный",F235="Продажа",B235=DATE(2023,6,7)),E235*J235/1000,0)</f>
        <v/>
      </c>
    </row>
    <row r="236">
      <c r="A236" t="n">
        <v>235</v>
      </c>
      <c r="B236" s="1" t="n">
        <v>45079</v>
      </c>
      <c r="C236" s="5" t="inlineStr">
        <is>
          <t>M12</t>
        </is>
      </c>
      <c r="D236" s="5" t="n">
        <v>55</v>
      </c>
      <c r="E236" s="5" t="n">
        <v>400</v>
      </c>
      <c r="F236" t="inlineStr">
        <is>
          <t>Поступление</t>
        </is>
      </c>
      <c r="H236">
        <f>VLOOKUP(C236,Магазин!$A$2:$C$1000,2,0)</f>
        <v/>
      </c>
      <c r="I236">
        <f>VLOOKUP(D236,Товар!$A$2:$F$1000,3,0)</f>
        <v/>
      </c>
      <c r="J236">
        <f>VLOOKUP(D236,Товар!$A$2:$F$1000,5,0)</f>
        <v/>
      </c>
      <c r="K236">
        <f>IF(AND(H236="Промышленный",LEFT(I236,18)="Порошок стиральный",F236="Продажа",B236=DATE(2023,6,7)),E236*J236/1000,0)</f>
        <v/>
      </c>
    </row>
    <row r="237">
      <c r="A237" t="n">
        <v>236</v>
      </c>
      <c r="B237" s="1" t="n">
        <v>45079</v>
      </c>
      <c r="C237" s="5" t="inlineStr">
        <is>
          <t>M12</t>
        </is>
      </c>
      <c r="D237" s="5" t="n">
        <v>56</v>
      </c>
      <c r="E237" s="5" t="n">
        <v>400</v>
      </c>
      <c r="F237" t="inlineStr">
        <is>
          <t>Поступление</t>
        </is>
      </c>
      <c r="H237">
        <f>VLOOKUP(C237,Магазин!$A$2:$C$1000,2,0)</f>
        <v/>
      </c>
      <c r="I237">
        <f>VLOOKUP(D237,Товар!$A$2:$F$1000,3,0)</f>
        <v/>
      </c>
      <c r="J237">
        <f>VLOOKUP(D237,Товар!$A$2:$F$1000,5,0)</f>
        <v/>
      </c>
      <c r="K237">
        <f>IF(AND(H237="Промышленный",LEFT(I237,18)="Порошок стиральный",F237="Продажа",B237=DATE(2023,6,7)),E237*J237/1000,0)</f>
        <v/>
      </c>
    </row>
    <row r="238">
      <c r="A238" t="n">
        <v>237</v>
      </c>
      <c r="B238" s="1" t="n">
        <v>45079</v>
      </c>
      <c r="C238" s="5" t="inlineStr">
        <is>
          <t>M12</t>
        </is>
      </c>
      <c r="D238" s="5" t="n">
        <v>57</v>
      </c>
      <c r="E238" s="5" t="n">
        <v>400</v>
      </c>
      <c r="F238" t="inlineStr">
        <is>
          <t>Поступление</t>
        </is>
      </c>
      <c r="H238">
        <f>VLOOKUP(C238,Магазин!$A$2:$C$1000,2,0)</f>
        <v/>
      </c>
      <c r="I238">
        <f>VLOOKUP(D238,Товар!$A$2:$F$1000,3,0)</f>
        <v/>
      </c>
      <c r="J238">
        <f>VLOOKUP(D238,Товар!$A$2:$F$1000,5,0)</f>
        <v/>
      </c>
      <c r="K238">
        <f>IF(AND(H238="Промышленный",LEFT(I238,18)="Порошок стиральный",F238="Продажа",B238=DATE(2023,6,7)),E238*J238/1000,0)</f>
        <v/>
      </c>
    </row>
    <row r="239">
      <c r="A239" t="n">
        <v>238</v>
      </c>
      <c r="B239" s="1" t="n">
        <v>45079</v>
      </c>
      <c r="C239" s="5" t="inlineStr">
        <is>
          <t>M12</t>
        </is>
      </c>
      <c r="D239" s="5" t="n">
        <v>58</v>
      </c>
      <c r="E239" s="5" t="n">
        <v>400</v>
      </c>
      <c r="F239" t="inlineStr">
        <is>
          <t>Поступление</t>
        </is>
      </c>
      <c r="H239">
        <f>VLOOKUP(C239,Магазин!$A$2:$C$1000,2,0)</f>
        <v/>
      </c>
      <c r="I239">
        <f>VLOOKUP(D239,Товар!$A$2:$F$1000,3,0)</f>
        <v/>
      </c>
      <c r="J239">
        <f>VLOOKUP(D239,Товар!$A$2:$F$1000,5,0)</f>
        <v/>
      </c>
      <c r="K239">
        <f>IF(AND(H239="Промышленный",LEFT(I239,18)="Порошок стиральный",F239="Продажа",B239=DATE(2023,6,7)),E239*J239/1000,0)</f>
        <v/>
      </c>
    </row>
    <row r="240">
      <c r="A240" t="n">
        <v>239</v>
      </c>
      <c r="B240" s="1" t="n">
        <v>45079</v>
      </c>
      <c r="C240" s="5" t="inlineStr">
        <is>
          <t>M12</t>
        </is>
      </c>
      <c r="D240" s="5" t="n">
        <v>59</v>
      </c>
      <c r="E240" s="5" t="n">
        <v>400</v>
      </c>
      <c r="F240" t="inlineStr">
        <is>
          <t>Поступление</t>
        </is>
      </c>
      <c r="H240">
        <f>VLOOKUP(C240,Магазин!$A$2:$C$1000,2,0)</f>
        <v/>
      </c>
      <c r="I240">
        <f>VLOOKUP(D240,Товар!$A$2:$F$1000,3,0)</f>
        <v/>
      </c>
      <c r="J240">
        <f>VLOOKUP(D240,Товар!$A$2:$F$1000,5,0)</f>
        <v/>
      </c>
      <c r="K240">
        <f>IF(AND(H240="Промышленный",LEFT(I240,18)="Порошок стиральный",F240="Продажа",B240=DATE(2023,6,7)),E240*J240/1000,0)</f>
        <v/>
      </c>
    </row>
    <row r="241">
      <c r="A241" t="n">
        <v>240</v>
      </c>
      <c r="B241" s="1" t="n">
        <v>45079</v>
      </c>
      <c r="C241" s="5" t="inlineStr">
        <is>
          <t>M12</t>
        </is>
      </c>
      <c r="D241" s="5" t="n">
        <v>60</v>
      </c>
      <c r="E241" s="5" t="n">
        <v>400</v>
      </c>
      <c r="F241" t="inlineStr">
        <is>
          <t>Поступление</t>
        </is>
      </c>
      <c r="H241">
        <f>VLOOKUP(C241,Магазин!$A$2:$C$1000,2,0)</f>
        <v/>
      </c>
      <c r="I241">
        <f>VLOOKUP(D241,Товар!$A$2:$F$1000,3,0)</f>
        <v/>
      </c>
      <c r="J241">
        <f>VLOOKUP(D241,Товар!$A$2:$F$1000,5,0)</f>
        <v/>
      </c>
      <c r="K241">
        <f>IF(AND(H241="Промышленный",LEFT(I241,18)="Порошок стиральный",F241="Продажа",B241=DATE(2023,6,7)),E241*J241/1000,0)</f>
        <v/>
      </c>
    </row>
    <row r="242">
      <c r="A242" t="n">
        <v>241</v>
      </c>
      <c r="B242" s="1" t="n">
        <v>45079</v>
      </c>
      <c r="C242" s="5" t="inlineStr">
        <is>
          <t>M13</t>
        </is>
      </c>
      <c r="D242" s="5" t="n">
        <v>1</v>
      </c>
      <c r="E242" s="5" t="n">
        <v>300</v>
      </c>
      <c r="F242" t="inlineStr">
        <is>
          <t>Поступление</t>
        </is>
      </c>
      <c r="H242">
        <f>VLOOKUP(C242,Магазин!$A$2:$C$1000,2,0)</f>
        <v/>
      </c>
      <c r="I242">
        <f>VLOOKUP(D242,Товар!$A$2:$F$1000,3,0)</f>
        <v/>
      </c>
      <c r="J242">
        <f>VLOOKUP(D242,Товар!$A$2:$F$1000,5,0)</f>
        <v/>
      </c>
      <c r="K242">
        <f>IF(AND(H242="Промышленный",LEFT(I242,18)="Порошок стиральный",F242="Продажа",B242=DATE(2023,6,7)),E242*J242/1000,0)</f>
        <v/>
      </c>
    </row>
    <row r="243">
      <c r="A243" t="n">
        <v>242</v>
      </c>
      <c r="B243" s="1" t="n">
        <v>45079</v>
      </c>
      <c r="C243" s="5" t="inlineStr">
        <is>
          <t>M13</t>
        </is>
      </c>
      <c r="D243" s="5" t="n">
        <v>2</v>
      </c>
      <c r="E243" s="5" t="n">
        <v>300</v>
      </c>
      <c r="F243" t="inlineStr">
        <is>
          <t>Поступление</t>
        </is>
      </c>
      <c r="H243">
        <f>VLOOKUP(C243,Магазин!$A$2:$C$1000,2,0)</f>
        <v/>
      </c>
      <c r="I243">
        <f>VLOOKUP(D243,Товар!$A$2:$F$1000,3,0)</f>
        <v/>
      </c>
      <c r="J243">
        <f>VLOOKUP(D243,Товар!$A$2:$F$1000,5,0)</f>
        <v/>
      </c>
      <c r="K243">
        <f>IF(AND(H243="Промышленный",LEFT(I243,18)="Порошок стиральный",F243="Продажа",B243=DATE(2023,6,7)),E243*J243/1000,0)</f>
        <v/>
      </c>
    </row>
    <row r="244">
      <c r="A244" t="n">
        <v>243</v>
      </c>
      <c r="B244" s="1" t="n">
        <v>45079</v>
      </c>
      <c r="C244" s="5" t="inlineStr">
        <is>
          <t>M13</t>
        </is>
      </c>
      <c r="D244" s="5" t="n">
        <v>3</v>
      </c>
      <c r="E244" s="5" t="n">
        <v>300</v>
      </c>
      <c r="F244" t="inlineStr">
        <is>
          <t>Поступление</t>
        </is>
      </c>
      <c r="H244">
        <f>VLOOKUP(C244,Магазин!$A$2:$C$1000,2,0)</f>
        <v/>
      </c>
      <c r="I244">
        <f>VLOOKUP(D244,Товар!$A$2:$F$1000,3,0)</f>
        <v/>
      </c>
      <c r="J244">
        <f>VLOOKUP(D244,Товар!$A$2:$F$1000,5,0)</f>
        <v/>
      </c>
      <c r="K244">
        <f>IF(AND(H244="Промышленный",LEFT(I244,18)="Порошок стиральный",F244="Продажа",B244=DATE(2023,6,7)),E244*J244/1000,0)</f>
        <v/>
      </c>
    </row>
    <row r="245">
      <c r="A245" t="n">
        <v>244</v>
      </c>
      <c r="B245" s="1" t="n">
        <v>45079</v>
      </c>
      <c r="C245" s="5" t="inlineStr">
        <is>
          <t>M13</t>
        </is>
      </c>
      <c r="D245" s="5" t="n">
        <v>4</v>
      </c>
      <c r="E245" s="5" t="n">
        <v>300</v>
      </c>
      <c r="F245" t="inlineStr">
        <is>
          <t>Поступление</t>
        </is>
      </c>
      <c r="H245">
        <f>VLOOKUP(C245,Магазин!$A$2:$C$1000,2,0)</f>
        <v/>
      </c>
      <c r="I245">
        <f>VLOOKUP(D245,Товар!$A$2:$F$1000,3,0)</f>
        <v/>
      </c>
      <c r="J245">
        <f>VLOOKUP(D245,Товар!$A$2:$F$1000,5,0)</f>
        <v/>
      </c>
      <c r="K245">
        <f>IF(AND(H245="Промышленный",LEFT(I245,18)="Порошок стиральный",F245="Продажа",B245=DATE(2023,6,7)),E245*J245/1000,0)</f>
        <v/>
      </c>
    </row>
    <row r="246">
      <c r="A246" t="n">
        <v>245</v>
      </c>
      <c r="B246" s="1" t="n">
        <v>45079</v>
      </c>
      <c r="C246" s="5" t="inlineStr">
        <is>
          <t>M13</t>
        </is>
      </c>
      <c r="D246" s="5" t="n">
        <v>5</v>
      </c>
      <c r="E246" s="5" t="n">
        <v>300</v>
      </c>
      <c r="F246" t="inlineStr">
        <is>
          <t>Поступление</t>
        </is>
      </c>
      <c r="H246">
        <f>VLOOKUP(C246,Магазин!$A$2:$C$1000,2,0)</f>
        <v/>
      </c>
      <c r="I246">
        <f>VLOOKUP(D246,Товар!$A$2:$F$1000,3,0)</f>
        <v/>
      </c>
      <c r="J246">
        <f>VLOOKUP(D246,Товар!$A$2:$F$1000,5,0)</f>
        <v/>
      </c>
      <c r="K246">
        <f>IF(AND(H246="Промышленный",LEFT(I246,18)="Порошок стиральный",F246="Продажа",B246=DATE(2023,6,7)),E246*J246/1000,0)</f>
        <v/>
      </c>
    </row>
    <row r="247">
      <c r="A247" t="n">
        <v>246</v>
      </c>
      <c r="B247" s="1" t="n">
        <v>45079</v>
      </c>
      <c r="C247" s="5" t="inlineStr">
        <is>
          <t>M13</t>
        </is>
      </c>
      <c r="D247" s="5" t="n">
        <v>6</v>
      </c>
      <c r="E247" s="5" t="n">
        <v>300</v>
      </c>
      <c r="F247" t="inlineStr">
        <is>
          <t>Поступление</t>
        </is>
      </c>
      <c r="H247">
        <f>VLOOKUP(C247,Магазин!$A$2:$C$1000,2,0)</f>
        <v/>
      </c>
      <c r="I247">
        <f>VLOOKUP(D247,Товар!$A$2:$F$1000,3,0)</f>
        <v/>
      </c>
      <c r="J247">
        <f>VLOOKUP(D247,Товар!$A$2:$F$1000,5,0)</f>
        <v/>
      </c>
      <c r="K247">
        <f>IF(AND(H247="Промышленный",LEFT(I247,18)="Порошок стиральный",F247="Продажа",B247=DATE(2023,6,7)),E247*J247/1000,0)</f>
        <v/>
      </c>
    </row>
    <row r="248">
      <c r="A248" t="n">
        <v>247</v>
      </c>
      <c r="B248" s="1" t="n">
        <v>45079</v>
      </c>
      <c r="C248" s="5" t="inlineStr">
        <is>
          <t>M13</t>
        </is>
      </c>
      <c r="D248" s="5" t="n">
        <v>7</v>
      </c>
      <c r="E248" s="5" t="n">
        <v>300</v>
      </c>
      <c r="F248" t="inlineStr">
        <is>
          <t>Поступление</t>
        </is>
      </c>
      <c r="H248">
        <f>VLOOKUP(C248,Магазин!$A$2:$C$1000,2,0)</f>
        <v/>
      </c>
      <c r="I248">
        <f>VLOOKUP(D248,Товар!$A$2:$F$1000,3,0)</f>
        <v/>
      </c>
      <c r="J248">
        <f>VLOOKUP(D248,Товар!$A$2:$F$1000,5,0)</f>
        <v/>
      </c>
      <c r="K248">
        <f>IF(AND(H248="Промышленный",LEFT(I248,18)="Порошок стиральный",F248="Продажа",B248=DATE(2023,6,7)),E248*J248/1000,0)</f>
        <v/>
      </c>
    </row>
    <row r="249">
      <c r="A249" t="n">
        <v>248</v>
      </c>
      <c r="B249" s="1" t="n">
        <v>45079</v>
      </c>
      <c r="C249" s="5" t="inlineStr">
        <is>
          <t>M13</t>
        </is>
      </c>
      <c r="D249" s="5" t="n">
        <v>8</v>
      </c>
      <c r="E249" s="5" t="n">
        <v>300</v>
      </c>
      <c r="F249" t="inlineStr">
        <is>
          <t>Поступление</t>
        </is>
      </c>
      <c r="H249">
        <f>VLOOKUP(C249,Магазин!$A$2:$C$1000,2,0)</f>
        <v/>
      </c>
      <c r="I249">
        <f>VLOOKUP(D249,Товар!$A$2:$F$1000,3,0)</f>
        <v/>
      </c>
      <c r="J249">
        <f>VLOOKUP(D249,Товар!$A$2:$F$1000,5,0)</f>
        <v/>
      </c>
      <c r="K249">
        <f>IF(AND(H249="Промышленный",LEFT(I249,18)="Порошок стиральный",F249="Продажа",B249=DATE(2023,6,7)),E249*J249/1000,0)</f>
        <v/>
      </c>
    </row>
    <row r="250">
      <c r="A250" t="n">
        <v>249</v>
      </c>
      <c r="B250" s="1" t="n">
        <v>45079</v>
      </c>
      <c r="C250" s="5" t="inlineStr">
        <is>
          <t>M13</t>
        </is>
      </c>
      <c r="D250" s="5" t="n">
        <v>9</v>
      </c>
      <c r="E250" s="5" t="n">
        <v>300</v>
      </c>
      <c r="F250" t="inlineStr">
        <is>
          <t>Поступление</t>
        </is>
      </c>
      <c r="H250">
        <f>VLOOKUP(C250,Магазин!$A$2:$C$1000,2,0)</f>
        <v/>
      </c>
      <c r="I250">
        <f>VLOOKUP(D250,Товар!$A$2:$F$1000,3,0)</f>
        <v/>
      </c>
      <c r="J250">
        <f>VLOOKUP(D250,Товар!$A$2:$F$1000,5,0)</f>
        <v/>
      </c>
      <c r="K250">
        <f>IF(AND(H250="Промышленный",LEFT(I250,18)="Порошок стиральный",F250="Продажа",B250=DATE(2023,6,7)),E250*J250/1000,0)</f>
        <v/>
      </c>
    </row>
    <row r="251">
      <c r="A251" t="n">
        <v>250</v>
      </c>
      <c r="B251" s="1" t="n">
        <v>45079</v>
      </c>
      <c r="C251" s="5" t="inlineStr">
        <is>
          <t>M13</t>
        </is>
      </c>
      <c r="D251" s="5" t="n">
        <v>10</v>
      </c>
      <c r="E251" s="5" t="n">
        <v>300</v>
      </c>
      <c r="F251" t="inlineStr">
        <is>
          <t>Поступление</t>
        </is>
      </c>
      <c r="H251">
        <f>VLOOKUP(C251,Магазин!$A$2:$C$1000,2,0)</f>
        <v/>
      </c>
      <c r="I251">
        <f>VLOOKUP(D251,Товар!$A$2:$F$1000,3,0)</f>
        <v/>
      </c>
      <c r="J251">
        <f>VLOOKUP(D251,Товар!$A$2:$F$1000,5,0)</f>
        <v/>
      </c>
      <c r="K251">
        <f>IF(AND(H251="Промышленный",LEFT(I251,18)="Порошок стиральный",F251="Продажа",B251=DATE(2023,6,7)),E251*J251/1000,0)</f>
        <v/>
      </c>
    </row>
    <row r="252">
      <c r="A252" t="n">
        <v>251</v>
      </c>
      <c r="B252" s="1" t="n">
        <v>45079</v>
      </c>
      <c r="C252" s="5" t="inlineStr">
        <is>
          <t>M13</t>
        </is>
      </c>
      <c r="D252" s="5" t="n">
        <v>11</v>
      </c>
      <c r="E252" s="5" t="n">
        <v>300</v>
      </c>
      <c r="F252" t="inlineStr">
        <is>
          <t>Поступление</t>
        </is>
      </c>
      <c r="H252">
        <f>VLOOKUP(C252,Магазин!$A$2:$C$1000,2,0)</f>
        <v/>
      </c>
      <c r="I252">
        <f>VLOOKUP(D252,Товар!$A$2:$F$1000,3,0)</f>
        <v/>
      </c>
      <c r="J252">
        <f>VLOOKUP(D252,Товар!$A$2:$F$1000,5,0)</f>
        <v/>
      </c>
      <c r="K252">
        <f>IF(AND(H252="Промышленный",LEFT(I252,18)="Порошок стиральный",F252="Продажа",B252=DATE(2023,6,7)),E252*J252/1000,0)</f>
        <v/>
      </c>
    </row>
    <row r="253">
      <c r="A253" t="n">
        <v>252</v>
      </c>
      <c r="B253" s="1" t="n">
        <v>45079</v>
      </c>
      <c r="C253" s="5" t="inlineStr">
        <is>
          <t>M13</t>
        </is>
      </c>
      <c r="D253" s="5" t="n">
        <v>12</v>
      </c>
      <c r="E253" s="5" t="n">
        <v>300</v>
      </c>
      <c r="F253" t="inlineStr">
        <is>
          <t>Поступление</t>
        </is>
      </c>
      <c r="H253">
        <f>VLOOKUP(C253,Магазин!$A$2:$C$1000,2,0)</f>
        <v/>
      </c>
      <c r="I253">
        <f>VLOOKUP(D253,Товар!$A$2:$F$1000,3,0)</f>
        <v/>
      </c>
      <c r="J253">
        <f>VLOOKUP(D253,Товар!$A$2:$F$1000,5,0)</f>
        <v/>
      </c>
      <c r="K253">
        <f>IF(AND(H253="Промышленный",LEFT(I253,18)="Порошок стиральный",F253="Продажа",B253=DATE(2023,6,7)),E253*J253/1000,0)</f>
        <v/>
      </c>
    </row>
    <row r="254">
      <c r="A254" t="n">
        <v>253</v>
      </c>
      <c r="B254" s="1" t="n">
        <v>45079</v>
      </c>
      <c r="C254" s="5" t="inlineStr">
        <is>
          <t>M13</t>
        </is>
      </c>
      <c r="D254" s="5" t="n">
        <v>13</v>
      </c>
      <c r="E254" s="5" t="n">
        <v>300</v>
      </c>
      <c r="F254" t="inlineStr">
        <is>
          <t>Поступление</t>
        </is>
      </c>
      <c r="H254">
        <f>VLOOKUP(C254,Магазин!$A$2:$C$1000,2,0)</f>
        <v/>
      </c>
      <c r="I254">
        <f>VLOOKUP(D254,Товар!$A$2:$F$1000,3,0)</f>
        <v/>
      </c>
      <c r="J254">
        <f>VLOOKUP(D254,Товар!$A$2:$F$1000,5,0)</f>
        <v/>
      </c>
      <c r="K254">
        <f>IF(AND(H254="Промышленный",LEFT(I254,18)="Порошок стиральный",F254="Продажа",B254=DATE(2023,6,7)),E254*J254/1000,0)</f>
        <v/>
      </c>
    </row>
    <row r="255">
      <c r="A255" t="n">
        <v>254</v>
      </c>
      <c r="B255" s="1" t="n">
        <v>45079</v>
      </c>
      <c r="C255" s="5" t="inlineStr">
        <is>
          <t>M13</t>
        </is>
      </c>
      <c r="D255" s="5" t="n">
        <v>14</v>
      </c>
      <c r="E255" s="5" t="n">
        <v>300</v>
      </c>
      <c r="F255" t="inlineStr">
        <is>
          <t>Поступление</t>
        </is>
      </c>
      <c r="H255">
        <f>VLOOKUP(C255,Магазин!$A$2:$C$1000,2,0)</f>
        <v/>
      </c>
      <c r="I255">
        <f>VLOOKUP(D255,Товар!$A$2:$F$1000,3,0)</f>
        <v/>
      </c>
      <c r="J255">
        <f>VLOOKUP(D255,Товар!$A$2:$F$1000,5,0)</f>
        <v/>
      </c>
      <c r="K255">
        <f>IF(AND(H255="Промышленный",LEFT(I255,18)="Порошок стиральный",F255="Продажа",B255=DATE(2023,6,7)),E255*J255/1000,0)</f>
        <v/>
      </c>
    </row>
    <row r="256">
      <c r="A256" t="n">
        <v>255</v>
      </c>
      <c r="B256" s="1" t="n">
        <v>45079</v>
      </c>
      <c r="C256" s="5" t="inlineStr">
        <is>
          <t>M13</t>
        </is>
      </c>
      <c r="D256" s="5" t="n">
        <v>15</v>
      </c>
      <c r="E256" s="5" t="n">
        <v>300</v>
      </c>
      <c r="F256" t="inlineStr">
        <is>
          <t>Поступление</t>
        </is>
      </c>
      <c r="H256">
        <f>VLOOKUP(C256,Магазин!$A$2:$C$1000,2,0)</f>
        <v/>
      </c>
      <c r="I256">
        <f>VLOOKUP(D256,Товар!$A$2:$F$1000,3,0)</f>
        <v/>
      </c>
      <c r="J256">
        <f>VLOOKUP(D256,Товар!$A$2:$F$1000,5,0)</f>
        <v/>
      </c>
      <c r="K256">
        <f>IF(AND(H256="Промышленный",LEFT(I256,18)="Порошок стиральный",F256="Продажа",B256=DATE(2023,6,7)),E256*J256/1000,0)</f>
        <v/>
      </c>
    </row>
    <row r="257">
      <c r="A257" t="n">
        <v>256</v>
      </c>
      <c r="B257" s="1" t="n">
        <v>45079</v>
      </c>
      <c r="C257" s="5" t="inlineStr">
        <is>
          <t>M13</t>
        </is>
      </c>
      <c r="D257" s="5" t="n">
        <v>16</v>
      </c>
      <c r="E257" s="5" t="n">
        <v>300</v>
      </c>
      <c r="F257" t="inlineStr">
        <is>
          <t>Поступление</t>
        </is>
      </c>
      <c r="H257">
        <f>VLOOKUP(C257,Магазин!$A$2:$C$1000,2,0)</f>
        <v/>
      </c>
      <c r="I257">
        <f>VLOOKUP(D257,Товар!$A$2:$F$1000,3,0)</f>
        <v/>
      </c>
      <c r="J257">
        <f>VLOOKUP(D257,Товар!$A$2:$F$1000,5,0)</f>
        <v/>
      </c>
      <c r="K257">
        <f>IF(AND(H257="Промышленный",LEFT(I257,18)="Порошок стиральный",F257="Продажа",B257=DATE(2023,6,7)),E257*J257/1000,0)</f>
        <v/>
      </c>
    </row>
    <row r="258">
      <c r="A258" t="n">
        <v>257</v>
      </c>
      <c r="B258" s="1" t="n">
        <v>45079</v>
      </c>
      <c r="C258" s="5" t="inlineStr">
        <is>
          <t>M13</t>
        </is>
      </c>
      <c r="D258" s="5" t="n">
        <v>17</v>
      </c>
      <c r="E258" s="5" t="n">
        <v>300</v>
      </c>
      <c r="F258" t="inlineStr">
        <is>
          <t>Поступление</t>
        </is>
      </c>
      <c r="H258">
        <f>VLOOKUP(C258,Магазин!$A$2:$C$1000,2,0)</f>
        <v/>
      </c>
      <c r="I258">
        <f>VLOOKUP(D258,Товар!$A$2:$F$1000,3,0)</f>
        <v/>
      </c>
      <c r="J258">
        <f>VLOOKUP(D258,Товар!$A$2:$F$1000,5,0)</f>
        <v/>
      </c>
      <c r="K258">
        <f>IF(AND(H258="Промышленный",LEFT(I258,18)="Порошок стиральный",F258="Продажа",B258=DATE(2023,6,7)),E258*J258/1000,0)</f>
        <v/>
      </c>
    </row>
    <row r="259">
      <c r="A259" t="n">
        <v>258</v>
      </c>
      <c r="B259" s="1" t="n">
        <v>45079</v>
      </c>
      <c r="C259" s="5" t="inlineStr">
        <is>
          <t>M13</t>
        </is>
      </c>
      <c r="D259" s="5" t="n">
        <v>18</v>
      </c>
      <c r="E259" s="5" t="n">
        <v>300</v>
      </c>
      <c r="F259" t="inlineStr">
        <is>
          <t>Поступление</t>
        </is>
      </c>
      <c r="H259">
        <f>VLOOKUP(C259,Магазин!$A$2:$C$1000,2,0)</f>
        <v/>
      </c>
      <c r="I259">
        <f>VLOOKUP(D259,Товар!$A$2:$F$1000,3,0)</f>
        <v/>
      </c>
      <c r="J259">
        <f>VLOOKUP(D259,Товар!$A$2:$F$1000,5,0)</f>
        <v/>
      </c>
      <c r="K259">
        <f>IF(AND(H259="Промышленный",LEFT(I259,18)="Порошок стиральный",F259="Продажа",B259=DATE(2023,6,7)),E259*J259/1000,0)</f>
        <v/>
      </c>
    </row>
    <row r="260">
      <c r="A260" t="n">
        <v>259</v>
      </c>
      <c r="B260" s="1" t="n">
        <v>45079</v>
      </c>
      <c r="C260" s="5" t="inlineStr">
        <is>
          <t>M13</t>
        </is>
      </c>
      <c r="D260" s="5" t="n">
        <v>19</v>
      </c>
      <c r="E260" s="5" t="n">
        <v>300</v>
      </c>
      <c r="F260" t="inlineStr">
        <is>
          <t>Поступление</t>
        </is>
      </c>
      <c r="H260">
        <f>VLOOKUP(C260,Магазин!$A$2:$C$1000,2,0)</f>
        <v/>
      </c>
      <c r="I260">
        <f>VLOOKUP(D260,Товар!$A$2:$F$1000,3,0)</f>
        <v/>
      </c>
      <c r="J260">
        <f>VLOOKUP(D260,Товар!$A$2:$F$1000,5,0)</f>
        <v/>
      </c>
      <c r="K260">
        <f>IF(AND(H260="Промышленный",LEFT(I260,18)="Порошок стиральный",F260="Продажа",B260=DATE(2023,6,7)),E260*J260/1000,0)</f>
        <v/>
      </c>
    </row>
    <row r="261">
      <c r="A261" t="n">
        <v>260</v>
      </c>
      <c r="B261" s="1" t="n">
        <v>45079</v>
      </c>
      <c r="C261" s="5" t="inlineStr">
        <is>
          <t>M13</t>
        </is>
      </c>
      <c r="D261" s="5" t="n">
        <v>20</v>
      </c>
      <c r="E261" s="5" t="n">
        <v>300</v>
      </c>
      <c r="F261" t="inlineStr">
        <is>
          <t>Поступление</t>
        </is>
      </c>
      <c r="H261">
        <f>VLOOKUP(C261,Магазин!$A$2:$C$1000,2,0)</f>
        <v/>
      </c>
      <c r="I261">
        <f>VLOOKUP(D261,Товар!$A$2:$F$1000,3,0)</f>
        <v/>
      </c>
      <c r="J261">
        <f>VLOOKUP(D261,Товар!$A$2:$F$1000,5,0)</f>
        <v/>
      </c>
      <c r="K261">
        <f>IF(AND(H261="Промышленный",LEFT(I261,18)="Порошок стиральный",F261="Продажа",B261=DATE(2023,6,7)),E261*J261/1000,0)</f>
        <v/>
      </c>
    </row>
    <row r="262">
      <c r="A262" t="n">
        <v>261</v>
      </c>
      <c r="B262" s="1" t="n">
        <v>45079</v>
      </c>
      <c r="C262" s="5" t="inlineStr">
        <is>
          <t>M13</t>
        </is>
      </c>
      <c r="D262" s="5" t="n">
        <v>21</v>
      </c>
      <c r="E262" s="5" t="n">
        <v>300</v>
      </c>
      <c r="F262" t="inlineStr">
        <is>
          <t>Поступление</t>
        </is>
      </c>
      <c r="H262">
        <f>VLOOKUP(C262,Магазин!$A$2:$C$1000,2,0)</f>
        <v/>
      </c>
      <c r="I262">
        <f>VLOOKUP(D262,Товар!$A$2:$F$1000,3,0)</f>
        <v/>
      </c>
      <c r="J262">
        <f>VLOOKUP(D262,Товар!$A$2:$F$1000,5,0)</f>
        <v/>
      </c>
      <c r="K262">
        <f>IF(AND(H262="Промышленный",LEFT(I262,18)="Порошок стиральный",F262="Продажа",B262=DATE(2023,6,7)),E262*J262/1000,0)</f>
        <v/>
      </c>
    </row>
    <row r="263">
      <c r="A263" t="n">
        <v>262</v>
      </c>
      <c r="B263" s="1" t="n">
        <v>45079</v>
      </c>
      <c r="C263" s="5" t="inlineStr">
        <is>
          <t>M13</t>
        </is>
      </c>
      <c r="D263" s="5" t="n">
        <v>22</v>
      </c>
      <c r="E263" s="5" t="n">
        <v>300</v>
      </c>
      <c r="F263" t="inlineStr">
        <is>
          <t>Поступление</t>
        </is>
      </c>
      <c r="H263">
        <f>VLOOKUP(C263,Магазин!$A$2:$C$1000,2,0)</f>
        <v/>
      </c>
      <c r="I263">
        <f>VLOOKUP(D263,Товар!$A$2:$F$1000,3,0)</f>
        <v/>
      </c>
      <c r="J263">
        <f>VLOOKUP(D263,Товар!$A$2:$F$1000,5,0)</f>
        <v/>
      </c>
      <c r="K263">
        <f>IF(AND(H263="Промышленный",LEFT(I263,18)="Порошок стиральный",F263="Продажа",B263=DATE(2023,6,7)),E263*J263/1000,0)</f>
        <v/>
      </c>
    </row>
    <row r="264">
      <c r="A264" t="n">
        <v>263</v>
      </c>
      <c r="B264" s="1" t="n">
        <v>45079</v>
      </c>
      <c r="C264" s="5" t="inlineStr">
        <is>
          <t>M13</t>
        </is>
      </c>
      <c r="D264" s="5" t="n">
        <v>23</v>
      </c>
      <c r="E264" s="5" t="n">
        <v>300</v>
      </c>
      <c r="F264" t="inlineStr">
        <is>
          <t>Поступление</t>
        </is>
      </c>
      <c r="H264">
        <f>VLOOKUP(C264,Магазин!$A$2:$C$1000,2,0)</f>
        <v/>
      </c>
      <c r="I264">
        <f>VLOOKUP(D264,Товар!$A$2:$F$1000,3,0)</f>
        <v/>
      </c>
      <c r="J264">
        <f>VLOOKUP(D264,Товар!$A$2:$F$1000,5,0)</f>
        <v/>
      </c>
      <c r="K264">
        <f>IF(AND(H264="Промышленный",LEFT(I264,18)="Порошок стиральный",F264="Продажа",B264=DATE(2023,6,7)),E264*J264/1000,0)</f>
        <v/>
      </c>
    </row>
    <row r="265">
      <c r="A265" t="n">
        <v>264</v>
      </c>
      <c r="B265" s="1" t="n">
        <v>45079</v>
      </c>
      <c r="C265" s="5" t="inlineStr">
        <is>
          <t>M13</t>
        </is>
      </c>
      <c r="D265" s="5" t="n">
        <v>24</v>
      </c>
      <c r="E265" s="5" t="n">
        <v>300</v>
      </c>
      <c r="F265" t="inlineStr">
        <is>
          <t>Поступление</t>
        </is>
      </c>
      <c r="H265">
        <f>VLOOKUP(C265,Магазин!$A$2:$C$1000,2,0)</f>
        <v/>
      </c>
      <c r="I265">
        <f>VLOOKUP(D265,Товар!$A$2:$F$1000,3,0)</f>
        <v/>
      </c>
      <c r="J265">
        <f>VLOOKUP(D265,Товар!$A$2:$F$1000,5,0)</f>
        <v/>
      </c>
      <c r="K265">
        <f>IF(AND(H265="Промышленный",LEFT(I265,18)="Порошок стиральный",F265="Продажа",B265=DATE(2023,6,7)),E265*J265/1000,0)</f>
        <v/>
      </c>
    </row>
    <row r="266">
      <c r="A266" t="n">
        <v>265</v>
      </c>
      <c r="B266" s="1" t="n">
        <v>45079</v>
      </c>
      <c r="C266" s="5" t="inlineStr">
        <is>
          <t>M13</t>
        </is>
      </c>
      <c r="D266" s="5" t="n">
        <v>25</v>
      </c>
      <c r="E266" s="5" t="n">
        <v>300</v>
      </c>
      <c r="F266" t="inlineStr">
        <is>
          <t>Поступление</t>
        </is>
      </c>
      <c r="H266">
        <f>VLOOKUP(C266,Магазин!$A$2:$C$1000,2,0)</f>
        <v/>
      </c>
      <c r="I266">
        <f>VLOOKUP(D266,Товар!$A$2:$F$1000,3,0)</f>
        <v/>
      </c>
      <c r="J266">
        <f>VLOOKUP(D266,Товар!$A$2:$F$1000,5,0)</f>
        <v/>
      </c>
      <c r="K266">
        <f>IF(AND(H266="Промышленный",LEFT(I266,18)="Порошок стиральный",F266="Продажа",B266=DATE(2023,6,7)),E266*J266/1000,0)</f>
        <v/>
      </c>
    </row>
    <row r="267">
      <c r="A267" t="n">
        <v>266</v>
      </c>
      <c r="B267" s="1" t="n">
        <v>45079</v>
      </c>
      <c r="C267" s="5" t="inlineStr">
        <is>
          <t>M13</t>
        </is>
      </c>
      <c r="D267" s="5" t="n">
        <v>26</v>
      </c>
      <c r="E267" s="5" t="n">
        <v>300</v>
      </c>
      <c r="F267" t="inlineStr">
        <is>
          <t>Поступление</t>
        </is>
      </c>
      <c r="H267">
        <f>VLOOKUP(C267,Магазин!$A$2:$C$1000,2,0)</f>
        <v/>
      </c>
      <c r="I267">
        <f>VLOOKUP(D267,Товар!$A$2:$F$1000,3,0)</f>
        <v/>
      </c>
      <c r="J267">
        <f>VLOOKUP(D267,Товар!$A$2:$F$1000,5,0)</f>
        <v/>
      </c>
      <c r="K267">
        <f>IF(AND(H267="Промышленный",LEFT(I267,18)="Порошок стиральный",F267="Продажа",B267=DATE(2023,6,7)),E267*J267/1000,0)</f>
        <v/>
      </c>
    </row>
    <row r="268">
      <c r="A268" t="n">
        <v>267</v>
      </c>
      <c r="B268" s="1" t="n">
        <v>45079</v>
      </c>
      <c r="C268" s="5" t="inlineStr">
        <is>
          <t>M13</t>
        </is>
      </c>
      <c r="D268" s="5" t="n">
        <v>27</v>
      </c>
      <c r="E268" s="5" t="n">
        <v>300</v>
      </c>
      <c r="F268" t="inlineStr">
        <is>
          <t>Поступление</t>
        </is>
      </c>
      <c r="H268">
        <f>VLOOKUP(C268,Магазин!$A$2:$C$1000,2,0)</f>
        <v/>
      </c>
      <c r="I268">
        <f>VLOOKUP(D268,Товар!$A$2:$F$1000,3,0)</f>
        <v/>
      </c>
      <c r="J268">
        <f>VLOOKUP(D268,Товар!$A$2:$F$1000,5,0)</f>
        <v/>
      </c>
      <c r="K268">
        <f>IF(AND(H268="Промышленный",LEFT(I268,18)="Порошок стиральный",F268="Продажа",B268=DATE(2023,6,7)),E268*J268/1000,0)</f>
        <v/>
      </c>
    </row>
    <row r="269">
      <c r="A269" t="n">
        <v>268</v>
      </c>
      <c r="B269" s="1" t="n">
        <v>45079</v>
      </c>
      <c r="C269" s="5" t="inlineStr">
        <is>
          <t>M13</t>
        </is>
      </c>
      <c r="D269" s="5" t="n">
        <v>28</v>
      </c>
      <c r="E269" s="5" t="n">
        <v>300</v>
      </c>
      <c r="F269" t="inlineStr">
        <is>
          <t>Поступление</t>
        </is>
      </c>
      <c r="H269">
        <f>VLOOKUP(C269,Магазин!$A$2:$C$1000,2,0)</f>
        <v/>
      </c>
      <c r="I269">
        <f>VLOOKUP(D269,Товар!$A$2:$F$1000,3,0)</f>
        <v/>
      </c>
      <c r="J269">
        <f>VLOOKUP(D269,Товар!$A$2:$F$1000,5,0)</f>
        <v/>
      </c>
      <c r="K269">
        <f>IF(AND(H269="Промышленный",LEFT(I269,18)="Порошок стиральный",F269="Продажа",B269=DATE(2023,6,7)),E269*J269/1000,0)</f>
        <v/>
      </c>
    </row>
    <row r="270">
      <c r="A270" t="n">
        <v>269</v>
      </c>
      <c r="B270" s="1" t="n">
        <v>45079</v>
      </c>
      <c r="C270" s="5" t="inlineStr">
        <is>
          <t>M13</t>
        </is>
      </c>
      <c r="D270" s="5" t="n">
        <v>29</v>
      </c>
      <c r="E270" s="5" t="n">
        <v>300</v>
      </c>
      <c r="F270" t="inlineStr">
        <is>
          <t>Поступление</t>
        </is>
      </c>
      <c r="H270">
        <f>VLOOKUP(C270,Магазин!$A$2:$C$1000,2,0)</f>
        <v/>
      </c>
      <c r="I270">
        <f>VLOOKUP(D270,Товар!$A$2:$F$1000,3,0)</f>
        <v/>
      </c>
      <c r="J270">
        <f>VLOOKUP(D270,Товар!$A$2:$F$1000,5,0)</f>
        <v/>
      </c>
      <c r="K270">
        <f>IF(AND(H270="Промышленный",LEFT(I270,18)="Порошок стиральный",F270="Продажа",B270=DATE(2023,6,7)),E270*J270/1000,0)</f>
        <v/>
      </c>
    </row>
    <row r="271">
      <c r="A271" t="n">
        <v>270</v>
      </c>
      <c r="B271" s="1" t="n">
        <v>45079</v>
      </c>
      <c r="C271" s="5" t="inlineStr">
        <is>
          <t>M13</t>
        </is>
      </c>
      <c r="D271" s="5" t="n">
        <v>30</v>
      </c>
      <c r="E271" s="5" t="n">
        <v>300</v>
      </c>
      <c r="F271" t="inlineStr">
        <is>
          <t>Поступление</t>
        </is>
      </c>
      <c r="H271">
        <f>VLOOKUP(C271,Магазин!$A$2:$C$1000,2,0)</f>
        <v/>
      </c>
      <c r="I271">
        <f>VLOOKUP(D271,Товар!$A$2:$F$1000,3,0)</f>
        <v/>
      </c>
      <c r="J271">
        <f>VLOOKUP(D271,Товар!$A$2:$F$1000,5,0)</f>
        <v/>
      </c>
      <c r="K271">
        <f>IF(AND(H271="Промышленный",LEFT(I271,18)="Порошок стиральный",F271="Продажа",B271=DATE(2023,6,7)),E271*J271/1000,0)</f>
        <v/>
      </c>
    </row>
    <row r="272">
      <c r="A272" t="n">
        <v>271</v>
      </c>
      <c r="B272" s="1" t="n">
        <v>45079</v>
      </c>
      <c r="C272" s="5" t="inlineStr">
        <is>
          <t>M13</t>
        </is>
      </c>
      <c r="D272" s="5" t="n">
        <v>31</v>
      </c>
      <c r="E272" s="5" t="n">
        <v>300</v>
      </c>
      <c r="F272" t="inlineStr">
        <is>
          <t>Поступление</t>
        </is>
      </c>
      <c r="H272">
        <f>VLOOKUP(C272,Магазин!$A$2:$C$1000,2,0)</f>
        <v/>
      </c>
      <c r="I272">
        <f>VLOOKUP(D272,Товар!$A$2:$F$1000,3,0)</f>
        <v/>
      </c>
      <c r="J272">
        <f>VLOOKUP(D272,Товар!$A$2:$F$1000,5,0)</f>
        <v/>
      </c>
      <c r="K272">
        <f>IF(AND(H272="Промышленный",LEFT(I272,18)="Порошок стиральный",F272="Продажа",B272=DATE(2023,6,7)),E272*J272/1000,0)</f>
        <v/>
      </c>
    </row>
    <row r="273">
      <c r="A273" t="n">
        <v>272</v>
      </c>
      <c r="B273" s="1" t="n">
        <v>45079</v>
      </c>
      <c r="C273" s="5" t="inlineStr">
        <is>
          <t>M13</t>
        </is>
      </c>
      <c r="D273" s="5" t="n">
        <v>32</v>
      </c>
      <c r="E273" s="5" t="n">
        <v>300</v>
      </c>
      <c r="F273" t="inlineStr">
        <is>
          <t>Поступление</t>
        </is>
      </c>
      <c r="H273">
        <f>VLOOKUP(C273,Магазин!$A$2:$C$1000,2,0)</f>
        <v/>
      </c>
      <c r="I273">
        <f>VLOOKUP(D273,Товар!$A$2:$F$1000,3,0)</f>
        <v/>
      </c>
      <c r="J273">
        <f>VLOOKUP(D273,Товар!$A$2:$F$1000,5,0)</f>
        <v/>
      </c>
      <c r="K273">
        <f>IF(AND(H273="Промышленный",LEFT(I273,18)="Порошок стиральный",F273="Продажа",B273=DATE(2023,6,7)),E273*J273/1000,0)</f>
        <v/>
      </c>
    </row>
    <row r="274">
      <c r="A274" t="n">
        <v>273</v>
      </c>
      <c r="B274" s="1" t="n">
        <v>45079</v>
      </c>
      <c r="C274" s="5" t="inlineStr">
        <is>
          <t>M13</t>
        </is>
      </c>
      <c r="D274" s="5" t="n">
        <v>33</v>
      </c>
      <c r="E274" s="5" t="n">
        <v>300</v>
      </c>
      <c r="F274" t="inlineStr">
        <is>
          <t>Поступление</t>
        </is>
      </c>
      <c r="H274">
        <f>VLOOKUP(C274,Магазин!$A$2:$C$1000,2,0)</f>
        <v/>
      </c>
      <c r="I274">
        <f>VLOOKUP(D274,Товар!$A$2:$F$1000,3,0)</f>
        <v/>
      </c>
      <c r="J274">
        <f>VLOOKUP(D274,Товар!$A$2:$F$1000,5,0)</f>
        <v/>
      </c>
      <c r="K274">
        <f>IF(AND(H274="Промышленный",LEFT(I274,18)="Порошок стиральный",F274="Продажа",B274=DATE(2023,6,7)),E274*J274/1000,0)</f>
        <v/>
      </c>
    </row>
    <row r="275">
      <c r="A275" t="n">
        <v>274</v>
      </c>
      <c r="B275" s="1" t="n">
        <v>45079</v>
      </c>
      <c r="C275" s="5" t="inlineStr">
        <is>
          <t>M13</t>
        </is>
      </c>
      <c r="D275" s="5" t="n">
        <v>34</v>
      </c>
      <c r="E275" s="5" t="n">
        <v>300</v>
      </c>
      <c r="F275" t="inlineStr">
        <is>
          <t>Поступление</t>
        </is>
      </c>
      <c r="H275">
        <f>VLOOKUP(C275,Магазин!$A$2:$C$1000,2,0)</f>
        <v/>
      </c>
      <c r="I275">
        <f>VLOOKUP(D275,Товар!$A$2:$F$1000,3,0)</f>
        <v/>
      </c>
      <c r="J275">
        <f>VLOOKUP(D275,Товар!$A$2:$F$1000,5,0)</f>
        <v/>
      </c>
      <c r="K275">
        <f>IF(AND(H275="Промышленный",LEFT(I275,18)="Порошок стиральный",F275="Продажа",B275=DATE(2023,6,7)),E275*J275/1000,0)</f>
        <v/>
      </c>
    </row>
    <row r="276">
      <c r="A276" t="n">
        <v>275</v>
      </c>
      <c r="B276" s="1" t="n">
        <v>45079</v>
      </c>
      <c r="C276" s="5" t="inlineStr">
        <is>
          <t>M13</t>
        </is>
      </c>
      <c r="D276" s="5" t="n">
        <v>35</v>
      </c>
      <c r="E276" s="5" t="n">
        <v>300</v>
      </c>
      <c r="F276" t="inlineStr">
        <is>
          <t>Поступление</t>
        </is>
      </c>
      <c r="H276">
        <f>VLOOKUP(C276,Магазин!$A$2:$C$1000,2,0)</f>
        <v/>
      </c>
      <c r="I276">
        <f>VLOOKUP(D276,Товар!$A$2:$F$1000,3,0)</f>
        <v/>
      </c>
      <c r="J276">
        <f>VLOOKUP(D276,Товар!$A$2:$F$1000,5,0)</f>
        <v/>
      </c>
      <c r="K276">
        <f>IF(AND(H276="Промышленный",LEFT(I276,18)="Порошок стиральный",F276="Продажа",B276=DATE(2023,6,7)),E276*J276/1000,0)</f>
        <v/>
      </c>
    </row>
    <row r="277">
      <c r="A277" t="n">
        <v>276</v>
      </c>
      <c r="B277" s="1" t="n">
        <v>45079</v>
      </c>
      <c r="C277" s="5" t="inlineStr">
        <is>
          <t>M13</t>
        </is>
      </c>
      <c r="D277" s="5" t="n">
        <v>36</v>
      </c>
      <c r="E277" s="5" t="n">
        <v>300</v>
      </c>
      <c r="F277" t="inlineStr">
        <is>
          <t>Поступление</t>
        </is>
      </c>
      <c r="H277">
        <f>VLOOKUP(C277,Магазин!$A$2:$C$1000,2,0)</f>
        <v/>
      </c>
      <c r="I277">
        <f>VLOOKUP(D277,Товар!$A$2:$F$1000,3,0)</f>
        <v/>
      </c>
      <c r="J277">
        <f>VLOOKUP(D277,Товар!$A$2:$F$1000,5,0)</f>
        <v/>
      </c>
      <c r="K277">
        <f>IF(AND(H277="Промышленный",LEFT(I277,18)="Порошок стиральный",F277="Продажа",B277=DATE(2023,6,7)),E277*J277/1000,0)</f>
        <v/>
      </c>
    </row>
    <row r="278">
      <c r="A278" t="n">
        <v>277</v>
      </c>
      <c r="B278" s="1" t="n">
        <v>45079</v>
      </c>
      <c r="C278" s="5" t="inlineStr">
        <is>
          <t>M13</t>
        </is>
      </c>
      <c r="D278" s="5" t="n">
        <v>37</v>
      </c>
      <c r="E278" s="5" t="n">
        <v>400</v>
      </c>
      <c r="F278" t="inlineStr">
        <is>
          <t>Поступление</t>
        </is>
      </c>
      <c r="H278">
        <f>VLOOKUP(C278,Магазин!$A$2:$C$1000,2,0)</f>
        <v/>
      </c>
      <c r="I278">
        <f>VLOOKUP(D278,Товар!$A$2:$F$1000,3,0)</f>
        <v/>
      </c>
      <c r="J278">
        <f>VLOOKUP(D278,Товар!$A$2:$F$1000,5,0)</f>
        <v/>
      </c>
      <c r="K278">
        <f>IF(AND(H278="Промышленный",LEFT(I278,18)="Порошок стиральный",F278="Продажа",B278=DATE(2023,6,7)),E278*J278/1000,0)</f>
        <v/>
      </c>
    </row>
    <row r="279">
      <c r="A279" t="n">
        <v>278</v>
      </c>
      <c r="B279" s="1" t="n">
        <v>45079</v>
      </c>
      <c r="C279" s="5" t="inlineStr">
        <is>
          <t>M13</t>
        </is>
      </c>
      <c r="D279" s="5" t="n">
        <v>38</v>
      </c>
      <c r="E279" s="5" t="n">
        <v>400</v>
      </c>
      <c r="F279" t="inlineStr">
        <is>
          <t>Поступление</t>
        </is>
      </c>
      <c r="H279">
        <f>VLOOKUP(C279,Магазин!$A$2:$C$1000,2,0)</f>
        <v/>
      </c>
      <c r="I279">
        <f>VLOOKUP(D279,Товар!$A$2:$F$1000,3,0)</f>
        <v/>
      </c>
      <c r="J279">
        <f>VLOOKUP(D279,Товар!$A$2:$F$1000,5,0)</f>
        <v/>
      </c>
      <c r="K279">
        <f>IF(AND(H279="Промышленный",LEFT(I279,18)="Порошок стиральный",F279="Продажа",B279=DATE(2023,6,7)),E279*J279/1000,0)</f>
        <v/>
      </c>
    </row>
    <row r="280">
      <c r="A280" t="n">
        <v>279</v>
      </c>
      <c r="B280" s="1" t="n">
        <v>45079</v>
      </c>
      <c r="C280" s="5" t="inlineStr">
        <is>
          <t>M13</t>
        </is>
      </c>
      <c r="D280" s="5" t="n">
        <v>39</v>
      </c>
      <c r="E280" s="5" t="n">
        <v>400</v>
      </c>
      <c r="F280" t="inlineStr">
        <is>
          <t>Поступление</t>
        </is>
      </c>
      <c r="H280">
        <f>VLOOKUP(C280,Магазин!$A$2:$C$1000,2,0)</f>
        <v/>
      </c>
      <c r="I280">
        <f>VLOOKUP(D280,Товар!$A$2:$F$1000,3,0)</f>
        <v/>
      </c>
      <c r="J280">
        <f>VLOOKUP(D280,Товар!$A$2:$F$1000,5,0)</f>
        <v/>
      </c>
      <c r="K280">
        <f>IF(AND(H280="Промышленный",LEFT(I280,18)="Порошок стиральный",F280="Продажа",B280=DATE(2023,6,7)),E280*J280/1000,0)</f>
        <v/>
      </c>
    </row>
    <row r="281">
      <c r="A281" t="n">
        <v>280</v>
      </c>
      <c r="B281" s="1" t="n">
        <v>45079</v>
      </c>
      <c r="C281" s="5" t="inlineStr">
        <is>
          <t>M13</t>
        </is>
      </c>
      <c r="D281" s="5" t="n">
        <v>40</v>
      </c>
      <c r="E281" s="5" t="n">
        <v>400</v>
      </c>
      <c r="F281" t="inlineStr">
        <is>
          <t>Поступление</t>
        </is>
      </c>
      <c r="H281">
        <f>VLOOKUP(C281,Магазин!$A$2:$C$1000,2,0)</f>
        <v/>
      </c>
      <c r="I281">
        <f>VLOOKUP(D281,Товар!$A$2:$F$1000,3,0)</f>
        <v/>
      </c>
      <c r="J281">
        <f>VLOOKUP(D281,Товар!$A$2:$F$1000,5,0)</f>
        <v/>
      </c>
      <c r="K281">
        <f>IF(AND(H281="Промышленный",LEFT(I281,18)="Порошок стиральный",F281="Продажа",B281=DATE(2023,6,7)),E281*J281/1000,0)</f>
        <v/>
      </c>
    </row>
    <row r="282">
      <c r="A282" t="n">
        <v>281</v>
      </c>
      <c r="B282" s="1" t="n">
        <v>45079</v>
      </c>
      <c r="C282" s="5" t="inlineStr">
        <is>
          <t>M13</t>
        </is>
      </c>
      <c r="D282" s="5" t="n">
        <v>41</v>
      </c>
      <c r="E282" s="5" t="n">
        <v>400</v>
      </c>
      <c r="F282" t="inlineStr">
        <is>
          <t>Поступление</t>
        </is>
      </c>
      <c r="H282">
        <f>VLOOKUP(C282,Магазин!$A$2:$C$1000,2,0)</f>
        <v/>
      </c>
      <c r="I282">
        <f>VLOOKUP(D282,Товар!$A$2:$F$1000,3,0)</f>
        <v/>
      </c>
      <c r="J282">
        <f>VLOOKUP(D282,Товар!$A$2:$F$1000,5,0)</f>
        <v/>
      </c>
      <c r="K282">
        <f>IF(AND(H282="Промышленный",LEFT(I282,18)="Порошок стиральный",F282="Продажа",B282=DATE(2023,6,7)),E282*J282/1000,0)</f>
        <v/>
      </c>
    </row>
    <row r="283">
      <c r="A283" t="n">
        <v>282</v>
      </c>
      <c r="B283" s="1" t="n">
        <v>45079</v>
      </c>
      <c r="C283" s="5" t="inlineStr">
        <is>
          <t>M13</t>
        </is>
      </c>
      <c r="D283" s="5" t="n">
        <v>42</v>
      </c>
      <c r="E283" s="5" t="n">
        <v>400</v>
      </c>
      <c r="F283" t="inlineStr">
        <is>
          <t>Поступление</t>
        </is>
      </c>
      <c r="H283">
        <f>VLOOKUP(C283,Магазин!$A$2:$C$1000,2,0)</f>
        <v/>
      </c>
      <c r="I283">
        <f>VLOOKUP(D283,Товар!$A$2:$F$1000,3,0)</f>
        <v/>
      </c>
      <c r="J283">
        <f>VLOOKUP(D283,Товар!$A$2:$F$1000,5,0)</f>
        <v/>
      </c>
      <c r="K283">
        <f>IF(AND(H283="Промышленный",LEFT(I283,18)="Порошок стиральный",F283="Продажа",B283=DATE(2023,6,7)),E283*J283/1000,0)</f>
        <v/>
      </c>
    </row>
    <row r="284">
      <c r="A284" t="n">
        <v>283</v>
      </c>
      <c r="B284" s="1" t="n">
        <v>45079</v>
      </c>
      <c r="C284" s="5" t="inlineStr">
        <is>
          <t>M13</t>
        </is>
      </c>
      <c r="D284" s="5" t="n">
        <v>43</v>
      </c>
      <c r="E284" s="5" t="n">
        <v>400</v>
      </c>
      <c r="F284" t="inlineStr">
        <is>
          <t>Поступление</t>
        </is>
      </c>
      <c r="H284">
        <f>VLOOKUP(C284,Магазин!$A$2:$C$1000,2,0)</f>
        <v/>
      </c>
      <c r="I284">
        <f>VLOOKUP(D284,Товар!$A$2:$F$1000,3,0)</f>
        <v/>
      </c>
      <c r="J284">
        <f>VLOOKUP(D284,Товар!$A$2:$F$1000,5,0)</f>
        <v/>
      </c>
      <c r="K284">
        <f>IF(AND(H284="Промышленный",LEFT(I284,18)="Порошок стиральный",F284="Продажа",B284=DATE(2023,6,7)),E284*J284/1000,0)</f>
        <v/>
      </c>
    </row>
    <row r="285">
      <c r="A285" t="n">
        <v>284</v>
      </c>
      <c r="B285" s="1" t="n">
        <v>45079</v>
      </c>
      <c r="C285" s="5" t="inlineStr">
        <is>
          <t>M13</t>
        </is>
      </c>
      <c r="D285" s="5" t="n">
        <v>44</v>
      </c>
      <c r="E285" s="5" t="n">
        <v>400</v>
      </c>
      <c r="F285" t="inlineStr">
        <is>
          <t>Поступление</t>
        </is>
      </c>
      <c r="H285">
        <f>VLOOKUP(C285,Магазин!$A$2:$C$1000,2,0)</f>
        <v/>
      </c>
      <c r="I285">
        <f>VLOOKUP(D285,Товар!$A$2:$F$1000,3,0)</f>
        <v/>
      </c>
      <c r="J285">
        <f>VLOOKUP(D285,Товар!$A$2:$F$1000,5,0)</f>
        <v/>
      </c>
      <c r="K285">
        <f>IF(AND(H285="Промышленный",LEFT(I285,18)="Порошок стиральный",F285="Продажа",B285=DATE(2023,6,7)),E285*J285/1000,0)</f>
        <v/>
      </c>
    </row>
    <row r="286">
      <c r="A286" t="n">
        <v>285</v>
      </c>
      <c r="B286" s="1" t="n">
        <v>45079</v>
      </c>
      <c r="C286" s="5" t="inlineStr">
        <is>
          <t>M13</t>
        </is>
      </c>
      <c r="D286" s="5" t="n">
        <v>45</v>
      </c>
      <c r="E286" s="5" t="n">
        <v>400</v>
      </c>
      <c r="F286" t="inlineStr">
        <is>
          <t>Поступление</t>
        </is>
      </c>
      <c r="H286">
        <f>VLOOKUP(C286,Магазин!$A$2:$C$1000,2,0)</f>
        <v/>
      </c>
      <c r="I286">
        <f>VLOOKUP(D286,Товар!$A$2:$F$1000,3,0)</f>
        <v/>
      </c>
      <c r="J286">
        <f>VLOOKUP(D286,Товар!$A$2:$F$1000,5,0)</f>
        <v/>
      </c>
      <c r="K286">
        <f>IF(AND(H286="Промышленный",LEFT(I286,18)="Порошок стиральный",F286="Продажа",B286=DATE(2023,6,7)),E286*J286/1000,0)</f>
        <v/>
      </c>
    </row>
    <row r="287">
      <c r="A287" t="n">
        <v>286</v>
      </c>
      <c r="B287" s="1" t="n">
        <v>45079</v>
      </c>
      <c r="C287" s="5" t="inlineStr">
        <is>
          <t>M13</t>
        </is>
      </c>
      <c r="D287" s="5" t="n">
        <v>46</v>
      </c>
      <c r="E287" s="5" t="n">
        <v>400</v>
      </c>
      <c r="F287" t="inlineStr">
        <is>
          <t>Поступление</t>
        </is>
      </c>
      <c r="H287">
        <f>VLOOKUP(C287,Магазин!$A$2:$C$1000,2,0)</f>
        <v/>
      </c>
      <c r="I287">
        <f>VLOOKUP(D287,Товар!$A$2:$F$1000,3,0)</f>
        <v/>
      </c>
      <c r="J287">
        <f>VLOOKUP(D287,Товар!$A$2:$F$1000,5,0)</f>
        <v/>
      </c>
      <c r="K287">
        <f>IF(AND(H287="Промышленный",LEFT(I287,18)="Порошок стиральный",F287="Продажа",B287=DATE(2023,6,7)),E287*J287/1000,0)</f>
        <v/>
      </c>
    </row>
    <row r="288">
      <c r="A288" t="n">
        <v>287</v>
      </c>
      <c r="B288" s="1" t="n">
        <v>45079</v>
      </c>
      <c r="C288" s="5" t="inlineStr">
        <is>
          <t>M13</t>
        </is>
      </c>
      <c r="D288" s="5" t="n">
        <v>47</v>
      </c>
      <c r="E288" s="5" t="n">
        <v>400</v>
      </c>
      <c r="F288" t="inlineStr">
        <is>
          <t>Поступление</t>
        </is>
      </c>
      <c r="H288">
        <f>VLOOKUP(C288,Магазин!$A$2:$C$1000,2,0)</f>
        <v/>
      </c>
      <c r="I288">
        <f>VLOOKUP(D288,Товар!$A$2:$F$1000,3,0)</f>
        <v/>
      </c>
      <c r="J288">
        <f>VLOOKUP(D288,Товар!$A$2:$F$1000,5,0)</f>
        <v/>
      </c>
      <c r="K288">
        <f>IF(AND(H288="Промышленный",LEFT(I288,18)="Порошок стиральный",F288="Продажа",B288=DATE(2023,6,7)),E288*J288/1000,0)</f>
        <v/>
      </c>
    </row>
    <row r="289">
      <c r="A289" t="n">
        <v>288</v>
      </c>
      <c r="B289" s="1" t="n">
        <v>45079</v>
      </c>
      <c r="C289" s="5" t="inlineStr">
        <is>
          <t>M13</t>
        </is>
      </c>
      <c r="D289" s="5" t="n">
        <v>48</v>
      </c>
      <c r="E289" s="5" t="n">
        <v>400</v>
      </c>
      <c r="F289" t="inlineStr">
        <is>
          <t>Поступление</t>
        </is>
      </c>
      <c r="H289">
        <f>VLOOKUP(C289,Магазин!$A$2:$C$1000,2,0)</f>
        <v/>
      </c>
      <c r="I289">
        <f>VLOOKUP(D289,Товар!$A$2:$F$1000,3,0)</f>
        <v/>
      </c>
      <c r="J289">
        <f>VLOOKUP(D289,Товар!$A$2:$F$1000,5,0)</f>
        <v/>
      </c>
      <c r="K289">
        <f>IF(AND(H289="Промышленный",LEFT(I289,18)="Порошок стиральный",F289="Продажа",B289=DATE(2023,6,7)),E289*J289/1000,0)</f>
        <v/>
      </c>
    </row>
    <row r="290">
      <c r="A290" t="n">
        <v>289</v>
      </c>
      <c r="B290" s="1" t="n">
        <v>45079</v>
      </c>
      <c r="C290" s="5" t="inlineStr">
        <is>
          <t>M13</t>
        </is>
      </c>
      <c r="D290" s="5" t="n">
        <v>49</v>
      </c>
      <c r="E290" s="5" t="n">
        <v>400</v>
      </c>
      <c r="F290" t="inlineStr">
        <is>
          <t>Поступление</t>
        </is>
      </c>
      <c r="H290">
        <f>VLOOKUP(C290,Магазин!$A$2:$C$1000,2,0)</f>
        <v/>
      </c>
      <c r="I290">
        <f>VLOOKUP(D290,Товар!$A$2:$F$1000,3,0)</f>
        <v/>
      </c>
      <c r="J290">
        <f>VLOOKUP(D290,Товар!$A$2:$F$1000,5,0)</f>
        <v/>
      </c>
      <c r="K290">
        <f>IF(AND(H290="Промышленный",LEFT(I290,18)="Порошок стиральный",F290="Продажа",B290=DATE(2023,6,7)),E290*J290/1000,0)</f>
        <v/>
      </c>
    </row>
    <row r="291">
      <c r="A291" t="n">
        <v>290</v>
      </c>
      <c r="B291" s="1" t="n">
        <v>45079</v>
      </c>
      <c r="C291" s="5" t="inlineStr">
        <is>
          <t>M13</t>
        </is>
      </c>
      <c r="D291" s="5" t="n">
        <v>50</v>
      </c>
      <c r="E291" s="5" t="n">
        <v>400</v>
      </c>
      <c r="F291" t="inlineStr">
        <is>
          <t>Поступление</t>
        </is>
      </c>
      <c r="H291">
        <f>VLOOKUP(C291,Магазин!$A$2:$C$1000,2,0)</f>
        <v/>
      </c>
      <c r="I291">
        <f>VLOOKUP(D291,Товар!$A$2:$F$1000,3,0)</f>
        <v/>
      </c>
      <c r="J291">
        <f>VLOOKUP(D291,Товар!$A$2:$F$1000,5,0)</f>
        <v/>
      </c>
      <c r="K291">
        <f>IF(AND(H291="Промышленный",LEFT(I291,18)="Порошок стиральный",F291="Продажа",B291=DATE(2023,6,7)),E291*J291/1000,0)</f>
        <v/>
      </c>
    </row>
    <row r="292">
      <c r="A292" t="n">
        <v>291</v>
      </c>
      <c r="B292" s="1" t="n">
        <v>45079</v>
      </c>
      <c r="C292" s="5" t="inlineStr">
        <is>
          <t>M13</t>
        </is>
      </c>
      <c r="D292" s="5" t="n">
        <v>51</v>
      </c>
      <c r="E292" s="5" t="n">
        <v>400</v>
      </c>
      <c r="F292" t="inlineStr">
        <is>
          <t>Поступление</t>
        </is>
      </c>
      <c r="H292">
        <f>VLOOKUP(C292,Магазин!$A$2:$C$1000,2,0)</f>
        <v/>
      </c>
      <c r="I292">
        <f>VLOOKUP(D292,Товар!$A$2:$F$1000,3,0)</f>
        <v/>
      </c>
      <c r="J292">
        <f>VLOOKUP(D292,Товар!$A$2:$F$1000,5,0)</f>
        <v/>
      </c>
      <c r="K292">
        <f>IF(AND(H292="Промышленный",LEFT(I292,18)="Порошок стиральный",F292="Продажа",B292=DATE(2023,6,7)),E292*J292/1000,0)</f>
        <v/>
      </c>
    </row>
    <row r="293">
      <c r="A293" t="n">
        <v>292</v>
      </c>
      <c r="B293" s="1" t="n">
        <v>45079</v>
      </c>
      <c r="C293" s="5" t="inlineStr">
        <is>
          <t>M13</t>
        </is>
      </c>
      <c r="D293" s="5" t="n">
        <v>52</v>
      </c>
      <c r="E293" s="5" t="n">
        <v>400</v>
      </c>
      <c r="F293" t="inlineStr">
        <is>
          <t>Поступление</t>
        </is>
      </c>
      <c r="H293">
        <f>VLOOKUP(C293,Магазин!$A$2:$C$1000,2,0)</f>
        <v/>
      </c>
      <c r="I293">
        <f>VLOOKUP(D293,Товар!$A$2:$F$1000,3,0)</f>
        <v/>
      </c>
      <c r="J293">
        <f>VLOOKUP(D293,Товар!$A$2:$F$1000,5,0)</f>
        <v/>
      </c>
      <c r="K293">
        <f>IF(AND(H293="Промышленный",LEFT(I293,18)="Порошок стиральный",F293="Продажа",B293=DATE(2023,6,7)),E293*J293/1000,0)</f>
        <v/>
      </c>
    </row>
    <row r="294">
      <c r="A294" t="n">
        <v>293</v>
      </c>
      <c r="B294" s="1" t="n">
        <v>45079</v>
      </c>
      <c r="C294" s="5" t="inlineStr">
        <is>
          <t>M13</t>
        </is>
      </c>
      <c r="D294" s="5" t="n">
        <v>53</v>
      </c>
      <c r="E294" s="5" t="n">
        <v>400</v>
      </c>
      <c r="F294" t="inlineStr">
        <is>
          <t>Поступление</t>
        </is>
      </c>
      <c r="H294">
        <f>VLOOKUP(C294,Магазин!$A$2:$C$1000,2,0)</f>
        <v/>
      </c>
      <c r="I294">
        <f>VLOOKUP(D294,Товар!$A$2:$F$1000,3,0)</f>
        <v/>
      </c>
      <c r="J294">
        <f>VLOOKUP(D294,Товар!$A$2:$F$1000,5,0)</f>
        <v/>
      </c>
      <c r="K294">
        <f>IF(AND(H294="Промышленный",LEFT(I294,18)="Порошок стиральный",F294="Продажа",B294=DATE(2023,6,7)),E294*J294/1000,0)</f>
        <v/>
      </c>
    </row>
    <row r="295">
      <c r="A295" t="n">
        <v>294</v>
      </c>
      <c r="B295" s="1" t="n">
        <v>45079</v>
      </c>
      <c r="C295" s="5" t="inlineStr">
        <is>
          <t>M13</t>
        </is>
      </c>
      <c r="D295" s="5" t="n">
        <v>54</v>
      </c>
      <c r="E295" s="5" t="n">
        <v>400</v>
      </c>
      <c r="F295" t="inlineStr">
        <is>
          <t>Поступление</t>
        </is>
      </c>
      <c r="H295">
        <f>VLOOKUP(C295,Магазин!$A$2:$C$1000,2,0)</f>
        <v/>
      </c>
      <c r="I295">
        <f>VLOOKUP(D295,Товар!$A$2:$F$1000,3,0)</f>
        <v/>
      </c>
      <c r="J295">
        <f>VLOOKUP(D295,Товар!$A$2:$F$1000,5,0)</f>
        <v/>
      </c>
      <c r="K295">
        <f>IF(AND(H295="Промышленный",LEFT(I295,18)="Порошок стиральный",F295="Продажа",B295=DATE(2023,6,7)),E295*J295/1000,0)</f>
        <v/>
      </c>
    </row>
    <row r="296">
      <c r="A296" t="n">
        <v>295</v>
      </c>
      <c r="B296" s="1" t="n">
        <v>45079</v>
      </c>
      <c r="C296" s="5" t="inlineStr">
        <is>
          <t>M13</t>
        </is>
      </c>
      <c r="D296" s="5" t="n">
        <v>55</v>
      </c>
      <c r="E296" s="5" t="n">
        <v>400</v>
      </c>
      <c r="F296" t="inlineStr">
        <is>
          <t>Поступление</t>
        </is>
      </c>
      <c r="H296">
        <f>VLOOKUP(C296,Магазин!$A$2:$C$1000,2,0)</f>
        <v/>
      </c>
      <c r="I296">
        <f>VLOOKUP(D296,Товар!$A$2:$F$1000,3,0)</f>
        <v/>
      </c>
      <c r="J296">
        <f>VLOOKUP(D296,Товар!$A$2:$F$1000,5,0)</f>
        <v/>
      </c>
      <c r="K296">
        <f>IF(AND(H296="Промышленный",LEFT(I296,18)="Порошок стиральный",F296="Продажа",B296=DATE(2023,6,7)),E296*J296/1000,0)</f>
        <v/>
      </c>
    </row>
    <row r="297">
      <c r="A297" t="n">
        <v>296</v>
      </c>
      <c r="B297" s="1" t="n">
        <v>45079</v>
      </c>
      <c r="C297" s="5" t="inlineStr">
        <is>
          <t>M13</t>
        </is>
      </c>
      <c r="D297" s="5" t="n">
        <v>56</v>
      </c>
      <c r="E297" s="5" t="n">
        <v>400</v>
      </c>
      <c r="F297" t="inlineStr">
        <is>
          <t>Поступление</t>
        </is>
      </c>
      <c r="H297">
        <f>VLOOKUP(C297,Магазин!$A$2:$C$1000,2,0)</f>
        <v/>
      </c>
      <c r="I297">
        <f>VLOOKUP(D297,Товар!$A$2:$F$1000,3,0)</f>
        <v/>
      </c>
      <c r="J297">
        <f>VLOOKUP(D297,Товар!$A$2:$F$1000,5,0)</f>
        <v/>
      </c>
      <c r="K297">
        <f>IF(AND(H297="Промышленный",LEFT(I297,18)="Порошок стиральный",F297="Продажа",B297=DATE(2023,6,7)),E297*J297/1000,0)</f>
        <v/>
      </c>
    </row>
    <row r="298">
      <c r="A298" t="n">
        <v>297</v>
      </c>
      <c r="B298" s="1" t="n">
        <v>45079</v>
      </c>
      <c r="C298" s="5" t="inlineStr">
        <is>
          <t>M13</t>
        </is>
      </c>
      <c r="D298" s="5" t="n">
        <v>57</v>
      </c>
      <c r="E298" s="5" t="n">
        <v>400</v>
      </c>
      <c r="F298" t="inlineStr">
        <is>
          <t>Поступление</t>
        </is>
      </c>
      <c r="H298">
        <f>VLOOKUP(C298,Магазин!$A$2:$C$1000,2,0)</f>
        <v/>
      </c>
      <c r="I298">
        <f>VLOOKUP(D298,Товар!$A$2:$F$1000,3,0)</f>
        <v/>
      </c>
      <c r="J298">
        <f>VLOOKUP(D298,Товар!$A$2:$F$1000,5,0)</f>
        <v/>
      </c>
      <c r="K298">
        <f>IF(AND(H298="Промышленный",LEFT(I298,18)="Порошок стиральный",F298="Продажа",B298=DATE(2023,6,7)),E298*J298/1000,0)</f>
        <v/>
      </c>
    </row>
    <row r="299">
      <c r="A299" t="n">
        <v>298</v>
      </c>
      <c r="B299" s="1" t="n">
        <v>45079</v>
      </c>
      <c r="C299" s="5" t="inlineStr">
        <is>
          <t>M13</t>
        </is>
      </c>
      <c r="D299" s="5" t="n">
        <v>58</v>
      </c>
      <c r="E299" s="5" t="n">
        <v>400</v>
      </c>
      <c r="F299" t="inlineStr">
        <is>
          <t>Поступление</t>
        </is>
      </c>
      <c r="H299">
        <f>VLOOKUP(C299,Магазин!$A$2:$C$1000,2,0)</f>
        <v/>
      </c>
      <c r="I299">
        <f>VLOOKUP(D299,Товар!$A$2:$F$1000,3,0)</f>
        <v/>
      </c>
      <c r="J299">
        <f>VLOOKUP(D299,Товар!$A$2:$F$1000,5,0)</f>
        <v/>
      </c>
      <c r="K299">
        <f>IF(AND(H299="Промышленный",LEFT(I299,18)="Порошок стиральный",F299="Продажа",B299=DATE(2023,6,7)),E299*J299/1000,0)</f>
        <v/>
      </c>
    </row>
    <row r="300">
      <c r="A300" t="n">
        <v>299</v>
      </c>
      <c r="B300" s="1" t="n">
        <v>45079</v>
      </c>
      <c r="C300" s="5" t="inlineStr">
        <is>
          <t>M13</t>
        </is>
      </c>
      <c r="D300" s="5" t="n">
        <v>59</v>
      </c>
      <c r="E300" s="5" t="n">
        <v>400</v>
      </c>
      <c r="F300" t="inlineStr">
        <is>
          <t>Поступление</t>
        </is>
      </c>
      <c r="H300">
        <f>VLOOKUP(C300,Магазин!$A$2:$C$1000,2,0)</f>
        <v/>
      </c>
      <c r="I300">
        <f>VLOOKUP(D300,Товар!$A$2:$F$1000,3,0)</f>
        <v/>
      </c>
      <c r="J300">
        <f>VLOOKUP(D300,Товар!$A$2:$F$1000,5,0)</f>
        <v/>
      </c>
      <c r="K300">
        <f>IF(AND(H300="Промышленный",LEFT(I300,18)="Порошок стиральный",F300="Продажа",B300=DATE(2023,6,7)),E300*J300/1000,0)</f>
        <v/>
      </c>
    </row>
    <row r="301">
      <c r="A301" t="n">
        <v>300</v>
      </c>
      <c r="B301" s="1" t="n">
        <v>45079</v>
      </c>
      <c r="C301" s="5" t="inlineStr">
        <is>
          <t>M13</t>
        </is>
      </c>
      <c r="D301" s="5" t="n">
        <v>60</v>
      </c>
      <c r="E301" s="5" t="n">
        <v>400</v>
      </c>
      <c r="F301" t="inlineStr">
        <is>
          <t>Поступление</t>
        </is>
      </c>
      <c r="H301">
        <f>VLOOKUP(C301,Магазин!$A$2:$C$1000,2,0)</f>
        <v/>
      </c>
      <c r="I301">
        <f>VLOOKUP(D301,Товар!$A$2:$F$1000,3,0)</f>
        <v/>
      </c>
      <c r="J301">
        <f>VLOOKUP(D301,Товар!$A$2:$F$1000,5,0)</f>
        <v/>
      </c>
      <c r="K301">
        <f>IF(AND(H301="Промышленный",LEFT(I301,18)="Порошок стиральный",F301="Продажа",B301=DATE(2023,6,7)),E301*J301/1000,0)</f>
        <v/>
      </c>
    </row>
    <row r="302">
      <c r="A302" t="n">
        <v>301</v>
      </c>
      <c r="B302" s="1" t="n">
        <v>45079</v>
      </c>
      <c r="C302" s="5" t="inlineStr">
        <is>
          <t>M14</t>
        </is>
      </c>
      <c r="D302" s="5" t="n">
        <v>1</v>
      </c>
      <c r="E302" s="5" t="n">
        <v>100</v>
      </c>
      <c r="F302" t="inlineStr">
        <is>
          <t>Поступление</t>
        </is>
      </c>
      <c r="H302">
        <f>VLOOKUP(C302,Магазин!$A$2:$C$1000,2,0)</f>
        <v/>
      </c>
      <c r="I302">
        <f>VLOOKUP(D302,Товар!$A$2:$F$1000,3,0)</f>
        <v/>
      </c>
      <c r="J302">
        <f>VLOOKUP(D302,Товар!$A$2:$F$1000,5,0)</f>
        <v/>
      </c>
      <c r="K302">
        <f>IF(AND(H302="Промышленный",LEFT(I302,18)="Порошок стиральный",F302="Продажа",B302=DATE(2023,6,7)),E302*J302/1000,0)</f>
        <v/>
      </c>
    </row>
    <row r="303" ht="14.1" customHeight="1" s="4">
      <c r="A303" t="n">
        <v>302</v>
      </c>
      <c r="B303" s="1" t="n">
        <v>45079</v>
      </c>
      <c r="C303" s="5" t="inlineStr">
        <is>
          <t>M14</t>
        </is>
      </c>
      <c r="D303" s="5" t="n">
        <v>2</v>
      </c>
      <c r="E303" s="5" t="n">
        <v>100</v>
      </c>
      <c r="F303" t="inlineStr">
        <is>
          <t>Поступление</t>
        </is>
      </c>
      <c r="H303">
        <f>VLOOKUP(C303,Магазин!$A$2:$C$1000,2,0)</f>
        <v/>
      </c>
      <c r="I303">
        <f>VLOOKUP(D303,Товар!$A$2:$F$1000,3,0)</f>
        <v/>
      </c>
      <c r="J303">
        <f>VLOOKUP(D303,Товар!$A$2:$F$1000,5,0)</f>
        <v/>
      </c>
      <c r="K303">
        <f>IF(AND(H303="Промышленный",LEFT(I303,18)="Порошок стиральный",F303="Продажа",B303=DATE(2023,6,7)),E303*J303/1000,0)</f>
        <v/>
      </c>
    </row>
    <row r="304" ht="14.1" customHeight="1" s="4">
      <c r="A304" t="n">
        <v>303</v>
      </c>
      <c r="B304" s="1" t="n">
        <v>45079</v>
      </c>
      <c r="C304" s="5" t="inlineStr">
        <is>
          <t>M14</t>
        </is>
      </c>
      <c r="D304" s="5" t="n">
        <v>3</v>
      </c>
      <c r="E304" s="5" t="n">
        <v>100</v>
      </c>
      <c r="F304" t="inlineStr">
        <is>
          <t>Поступление</t>
        </is>
      </c>
      <c r="H304">
        <f>VLOOKUP(C304,Магазин!$A$2:$C$1000,2,0)</f>
        <v/>
      </c>
      <c r="I304">
        <f>VLOOKUP(D304,Товар!$A$2:$F$1000,3,0)</f>
        <v/>
      </c>
      <c r="J304">
        <f>VLOOKUP(D304,Товар!$A$2:$F$1000,5,0)</f>
        <v/>
      </c>
      <c r="K304">
        <f>IF(AND(H304="Промышленный",LEFT(I304,18)="Порошок стиральный",F304="Продажа",B304=DATE(2023,6,7)),E304*J304/1000,0)</f>
        <v/>
      </c>
    </row>
    <row r="305">
      <c r="A305" t="n">
        <v>304</v>
      </c>
      <c r="B305" s="1" t="n">
        <v>45079</v>
      </c>
      <c r="C305" s="5" t="inlineStr">
        <is>
          <t>M14</t>
        </is>
      </c>
      <c r="D305" s="5" t="n">
        <v>4</v>
      </c>
      <c r="E305" s="5" t="n">
        <v>100</v>
      </c>
      <c r="F305" t="inlineStr">
        <is>
          <t>Поступление</t>
        </is>
      </c>
      <c r="H305">
        <f>VLOOKUP(C305,Магазин!$A$2:$C$1000,2,0)</f>
        <v/>
      </c>
      <c r="I305">
        <f>VLOOKUP(D305,Товар!$A$2:$F$1000,3,0)</f>
        <v/>
      </c>
      <c r="J305">
        <f>VLOOKUP(D305,Товар!$A$2:$F$1000,5,0)</f>
        <v/>
      </c>
      <c r="K305">
        <f>IF(AND(H305="Промышленный",LEFT(I305,18)="Порошок стиральный",F305="Продажа",B305=DATE(2023,6,7)),E305*J305/1000,0)</f>
        <v/>
      </c>
    </row>
    <row r="306">
      <c r="A306" t="n">
        <v>305</v>
      </c>
      <c r="B306" s="1" t="n">
        <v>45079</v>
      </c>
      <c r="C306" s="5" t="inlineStr">
        <is>
          <t>M14</t>
        </is>
      </c>
      <c r="D306" s="5" t="n">
        <v>5</v>
      </c>
      <c r="E306" s="5" t="n">
        <v>100</v>
      </c>
      <c r="F306" t="inlineStr">
        <is>
          <t>Поступление</t>
        </is>
      </c>
      <c r="H306">
        <f>VLOOKUP(C306,Магазин!$A$2:$C$1000,2,0)</f>
        <v/>
      </c>
      <c r="I306">
        <f>VLOOKUP(D306,Товар!$A$2:$F$1000,3,0)</f>
        <v/>
      </c>
      <c r="J306">
        <f>VLOOKUP(D306,Товар!$A$2:$F$1000,5,0)</f>
        <v/>
      </c>
      <c r="K306">
        <f>IF(AND(H306="Промышленный",LEFT(I306,18)="Порошок стиральный",F306="Продажа",B306=DATE(2023,6,7)),E306*J306/1000,0)</f>
        <v/>
      </c>
    </row>
    <row r="307">
      <c r="A307" t="n">
        <v>306</v>
      </c>
      <c r="B307" s="1" t="n">
        <v>45079</v>
      </c>
      <c r="C307" s="5" t="inlineStr">
        <is>
          <t>M14</t>
        </is>
      </c>
      <c r="D307" s="5" t="n">
        <v>6</v>
      </c>
      <c r="E307" s="5" t="n">
        <v>100</v>
      </c>
      <c r="F307" t="inlineStr">
        <is>
          <t>Поступление</t>
        </is>
      </c>
      <c r="H307">
        <f>VLOOKUP(C307,Магазин!$A$2:$C$1000,2,0)</f>
        <v/>
      </c>
      <c r="I307">
        <f>VLOOKUP(D307,Товар!$A$2:$F$1000,3,0)</f>
        <v/>
      </c>
      <c r="J307">
        <f>VLOOKUP(D307,Товар!$A$2:$F$1000,5,0)</f>
        <v/>
      </c>
      <c r="K307">
        <f>IF(AND(H307="Промышленный",LEFT(I307,18)="Порошок стиральный",F307="Продажа",B307=DATE(2023,6,7)),E307*J307/1000,0)</f>
        <v/>
      </c>
    </row>
    <row r="308">
      <c r="A308" t="n">
        <v>307</v>
      </c>
      <c r="B308" s="1" t="n">
        <v>45079</v>
      </c>
      <c r="C308" s="5" t="inlineStr">
        <is>
          <t>M14</t>
        </is>
      </c>
      <c r="D308" s="5" t="n">
        <v>7</v>
      </c>
      <c r="E308" s="5" t="n">
        <v>100</v>
      </c>
      <c r="F308" t="inlineStr">
        <is>
          <t>Поступление</t>
        </is>
      </c>
      <c r="H308">
        <f>VLOOKUP(C308,Магазин!$A$2:$C$1000,2,0)</f>
        <v/>
      </c>
      <c r="I308">
        <f>VLOOKUP(D308,Товар!$A$2:$F$1000,3,0)</f>
        <v/>
      </c>
      <c r="J308">
        <f>VLOOKUP(D308,Товар!$A$2:$F$1000,5,0)</f>
        <v/>
      </c>
      <c r="K308">
        <f>IF(AND(H308="Промышленный",LEFT(I308,18)="Порошок стиральный",F308="Продажа",B308=DATE(2023,6,7)),E308*J308/1000,0)</f>
        <v/>
      </c>
    </row>
    <row r="309">
      <c r="A309" t="n">
        <v>308</v>
      </c>
      <c r="B309" s="1" t="n">
        <v>45079</v>
      </c>
      <c r="C309" s="5" t="inlineStr">
        <is>
          <t>M14</t>
        </is>
      </c>
      <c r="D309" s="5" t="n">
        <v>8</v>
      </c>
      <c r="E309" s="5" t="n">
        <v>100</v>
      </c>
      <c r="F309" t="inlineStr">
        <is>
          <t>Поступление</t>
        </is>
      </c>
      <c r="H309">
        <f>VLOOKUP(C309,Магазин!$A$2:$C$1000,2,0)</f>
        <v/>
      </c>
      <c r="I309">
        <f>VLOOKUP(D309,Товар!$A$2:$F$1000,3,0)</f>
        <v/>
      </c>
      <c r="J309">
        <f>VLOOKUP(D309,Товар!$A$2:$F$1000,5,0)</f>
        <v/>
      </c>
      <c r="K309">
        <f>IF(AND(H309="Промышленный",LEFT(I309,18)="Порошок стиральный",F309="Продажа",B309=DATE(2023,6,7)),E309*J309/1000,0)</f>
        <v/>
      </c>
    </row>
    <row r="310">
      <c r="A310" t="n">
        <v>309</v>
      </c>
      <c r="B310" s="1" t="n">
        <v>45079</v>
      </c>
      <c r="C310" s="5" t="inlineStr">
        <is>
          <t>M14</t>
        </is>
      </c>
      <c r="D310" s="5" t="n">
        <v>9</v>
      </c>
      <c r="E310" s="5" t="n">
        <v>100</v>
      </c>
      <c r="F310" t="inlineStr">
        <is>
          <t>Поступление</t>
        </is>
      </c>
      <c r="H310">
        <f>VLOOKUP(C310,Магазин!$A$2:$C$1000,2,0)</f>
        <v/>
      </c>
      <c r="I310">
        <f>VLOOKUP(D310,Товар!$A$2:$F$1000,3,0)</f>
        <v/>
      </c>
      <c r="J310">
        <f>VLOOKUP(D310,Товар!$A$2:$F$1000,5,0)</f>
        <v/>
      </c>
      <c r="K310">
        <f>IF(AND(H310="Промышленный",LEFT(I310,18)="Порошок стиральный",F310="Продажа",B310=DATE(2023,6,7)),E310*J310/1000,0)</f>
        <v/>
      </c>
    </row>
    <row r="311">
      <c r="A311" t="n">
        <v>310</v>
      </c>
      <c r="B311" s="1" t="n">
        <v>45079</v>
      </c>
      <c r="C311" s="5" t="inlineStr">
        <is>
          <t>M14</t>
        </is>
      </c>
      <c r="D311" s="5" t="n">
        <v>10</v>
      </c>
      <c r="E311" s="5" t="n">
        <v>100</v>
      </c>
      <c r="F311" t="inlineStr">
        <is>
          <t>Поступление</t>
        </is>
      </c>
      <c r="H311">
        <f>VLOOKUP(C311,Магазин!$A$2:$C$1000,2,0)</f>
        <v/>
      </c>
      <c r="I311">
        <f>VLOOKUP(D311,Товар!$A$2:$F$1000,3,0)</f>
        <v/>
      </c>
      <c r="J311">
        <f>VLOOKUP(D311,Товар!$A$2:$F$1000,5,0)</f>
        <v/>
      </c>
      <c r="K311">
        <f>IF(AND(H311="Промышленный",LEFT(I311,18)="Порошок стиральный",F311="Продажа",B311=DATE(2023,6,7)),E311*J311/1000,0)</f>
        <v/>
      </c>
    </row>
    <row r="312">
      <c r="A312" t="n">
        <v>311</v>
      </c>
      <c r="B312" s="1" t="n">
        <v>45079</v>
      </c>
      <c r="C312" s="5" t="inlineStr">
        <is>
          <t>M14</t>
        </is>
      </c>
      <c r="D312" s="5" t="n">
        <v>11</v>
      </c>
      <c r="E312" s="5" t="n">
        <v>100</v>
      </c>
      <c r="F312" t="inlineStr">
        <is>
          <t>Поступление</t>
        </is>
      </c>
      <c r="H312">
        <f>VLOOKUP(C312,Магазин!$A$2:$C$1000,2,0)</f>
        <v/>
      </c>
      <c r="I312">
        <f>VLOOKUP(D312,Товар!$A$2:$F$1000,3,0)</f>
        <v/>
      </c>
      <c r="J312">
        <f>VLOOKUP(D312,Товар!$A$2:$F$1000,5,0)</f>
        <v/>
      </c>
      <c r="K312">
        <f>IF(AND(H312="Промышленный",LEFT(I312,18)="Порошок стиральный",F312="Продажа",B312=DATE(2023,6,7)),E312*J312/1000,0)</f>
        <v/>
      </c>
    </row>
    <row r="313">
      <c r="A313" t="n">
        <v>312</v>
      </c>
      <c r="B313" s="1" t="n">
        <v>45079</v>
      </c>
      <c r="C313" s="5" t="inlineStr">
        <is>
          <t>M14</t>
        </is>
      </c>
      <c r="D313" s="5" t="n">
        <v>12</v>
      </c>
      <c r="E313" s="5" t="n">
        <v>100</v>
      </c>
      <c r="F313" t="inlineStr">
        <is>
          <t>Поступление</t>
        </is>
      </c>
      <c r="H313">
        <f>VLOOKUP(C313,Магазин!$A$2:$C$1000,2,0)</f>
        <v/>
      </c>
      <c r="I313">
        <f>VLOOKUP(D313,Товар!$A$2:$F$1000,3,0)</f>
        <v/>
      </c>
      <c r="J313">
        <f>VLOOKUP(D313,Товар!$A$2:$F$1000,5,0)</f>
        <v/>
      </c>
      <c r="K313">
        <f>IF(AND(H313="Промышленный",LEFT(I313,18)="Порошок стиральный",F313="Продажа",B313=DATE(2023,6,7)),E313*J313/1000,0)</f>
        <v/>
      </c>
    </row>
    <row r="314">
      <c r="A314" t="n">
        <v>313</v>
      </c>
      <c r="B314" s="1" t="n">
        <v>45079</v>
      </c>
      <c r="C314" s="5" t="inlineStr">
        <is>
          <t>M14</t>
        </is>
      </c>
      <c r="D314" s="5" t="n">
        <v>13</v>
      </c>
      <c r="E314" s="5" t="n">
        <v>100</v>
      </c>
      <c r="F314" t="inlineStr">
        <is>
          <t>Поступление</t>
        </is>
      </c>
      <c r="H314">
        <f>VLOOKUP(C314,Магазин!$A$2:$C$1000,2,0)</f>
        <v/>
      </c>
      <c r="I314">
        <f>VLOOKUP(D314,Товар!$A$2:$F$1000,3,0)</f>
        <v/>
      </c>
      <c r="J314">
        <f>VLOOKUP(D314,Товар!$A$2:$F$1000,5,0)</f>
        <v/>
      </c>
      <c r="K314">
        <f>IF(AND(H314="Промышленный",LEFT(I314,18)="Порошок стиральный",F314="Продажа",B314=DATE(2023,6,7)),E314*J314/1000,0)</f>
        <v/>
      </c>
    </row>
    <row r="315">
      <c r="A315" t="n">
        <v>314</v>
      </c>
      <c r="B315" s="1" t="n">
        <v>45079</v>
      </c>
      <c r="C315" s="5" t="inlineStr">
        <is>
          <t>M14</t>
        </is>
      </c>
      <c r="D315" s="5" t="n">
        <v>14</v>
      </c>
      <c r="E315" s="5" t="n">
        <v>100</v>
      </c>
      <c r="F315" t="inlineStr">
        <is>
          <t>Поступление</t>
        </is>
      </c>
      <c r="H315">
        <f>VLOOKUP(C315,Магазин!$A$2:$C$1000,2,0)</f>
        <v/>
      </c>
      <c r="I315">
        <f>VLOOKUP(D315,Товар!$A$2:$F$1000,3,0)</f>
        <v/>
      </c>
      <c r="J315">
        <f>VLOOKUP(D315,Товар!$A$2:$F$1000,5,0)</f>
        <v/>
      </c>
      <c r="K315">
        <f>IF(AND(H315="Промышленный",LEFT(I315,18)="Порошок стиральный",F315="Продажа",B315=DATE(2023,6,7)),E315*J315/1000,0)</f>
        <v/>
      </c>
    </row>
    <row r="316">
      <c r="A316" t="n">
        <v>315</v>
      </c>
      <c r="B316" s="1" t="n">
        <v>45079</v>
      </c>
      <c r="C316" s="5" t="inlineStr">
        <is>
          <t>M14</t>
        </is>
      </c>
      <c r="D316" s="5" t="n">
        <v>15</v>
      </c>
      <c r="E316" s="5" t="n">
        <v>100</v>
      </c>
      <c r="F316" t="inlineStr">
        <is>
          <t>Поступление</t>
        </is>
      </c>
      <c r="H316">
        <f>VLOOKUP(C316,Магазин!$A$2:$C$1000,2,0)</f>
        <v/>
      </c>
      <c r="I316">
        <f>VLOOKUP(D316,Товар!$A$2:$F$1000,3,0)</f>
        <v/>
      </c>
      <c r="J316">
        <f>VLOOKUP(D316,Товар!$A$2:$F$1000,5,0)</f>
        <v/>
      </c>
      <c r="K316">
        <f>IF(AND(H316="Промышленный",LEFT(I316,18)="Порошок стиральный",F316="Продажа",B316=DATE(2023,6,7)),E316*J316/1000,0)</f>
        <v/>
      </c>
    </row>
    <row r="317">
      <c r="A317" t="n">
        <v>316</v>
      </c>
      <c r="B317" s="1" t="n">
        <v>45079</v>
      </c>
      <c r="C317" s="5" t="inlineStr">
        <is>
          <t>M14</t>
        </is>
      </c>
      <c r="D317" s="5" t="n">
        <v>16</v>
      </c>
      <c r="E317" s="5" t="n">
        <v>100</v>
      </c>
      <c r="F317" t="inlineStr">
        <is>
          <t>Поступление</t>
        </is>
      </c>
      <c r="H317">
        <f>VLOOKUP(C317,Магазин!$A$2:$C$1000,2,0)</f>
        <v/>
      </c>
      <c r="I317">
        <f>VLOOKUP(D317,Товар!$A$2:$F$1000,3,0)</f>
        <v/>
      </c>
      <c r="J317">
        <f>VLOOKUP(D317,Товар!$A$2:$F$1000,5,0)</f>
        <v/>
      </c>
      <c r="K317">
        <f>IF(AND(H317="Промышленный",LEFT(I317,18)="Порошок стиральный",F317="Продажа",B317=DATE(2023,6,7)),E317*J317/1000,0)</f>
        <v/>
      </c>
    </row>
    <row r="318">
      <c r="A318" t="n">
        <v>317</v>
      </c>
      <c r="B318" s="1" t="n">
        <v>45079</v>
      </c>
      <c r="C318" s="5" t="inlineStr">
        <is>
          <t>M14</t>
        </is>
      </c>
      <c r="D318" s="5" t="n">
        <v>17</v>
      </c>
      <c r="E318" s="5" t="n">
        <v>100</v>
      </c>
      <c r="F318" t="inlineStr">
        <is>
          <t>Поступление</t>
        </is>
      </c>
      <c r="H318">
        <f>VLOOKUP(C318,Магазин!$A$2:$C$1000,2,0)</f>
        <v/>
      </c>
      <c r="I318">
        <f>VLOOKUP(D318,Товар!$A$2:$F$1000,3,0)</f>
        <v/>
      </c>
      <c r="J318">
        <f>VLOOKUP(D318,Товар!$A$2:$F$1000,5,0)</f>
        <v/>
      </c>
      <c r="K318">
        <f>IF(AND(H318="Промышленный",LEFT(I318,18)="Порошок стиральный",F318="Продажа",B318=DATE(2023,6,7)),E318*J318/1000,0)</f>
        <v/>
      </c>
    </row>
    <row r="319">
      <c r="A319" t="n">
        <v>318</v>
      </c>
      <c r="B319" s="1" t="n">
        <v>45079</v>
      </c>
      <c r="C319" s="5" t="inlineStr">
        <is>
          <t>M14</t>
        </is>
      </c>
      <c r="D319" s="5" t="n">
        <v>18</v>
      </c>
      <c r="E319" s="5" t="n">
        <v>100</v>
      </c>
      <c r="F319" t="inlineStr">
        <is>
          <t>Поступление</t>
        </is>
      </c>
      <c r="H319">
        <f>VLOOKUP(C319,Магазин!$A$2:$C$1000,2,0)</f>
        <v/>
      </c>
      <c r="I319">
        <f>VLOOKUP(D319,Товар!$A$2:$F$1000,3,0)</f>
        <v/>
      </c>
      <c r="J319">
        <f>VLOOKUP(D319,Товар!$A$2:$F$1000,5,0)</f>
        <v/>
      </c>
      <c r="K319">
        <f>IF(AND(H319="Промышленный",LEFT(I319,18)="Порошок стиральный",F319="Продажа",B319=DATE(2023,6,7)),E319*J319/1000,0)</f>
        <v/>
      </c>
    </row>
    <row r="320">
      <c r="A320" t="n">
        <v>319</v>
      </c>
      <c r="B320" s="1" t="n">
        <v>45079</v>
      </c>
      <c r="C320" s="5" t="inlineStr">
        <is>
          <t>M14</t>
        </is>
      </c>
      <c r="D320" s="5" t="n">
        <v>19</v>
      </c>
      <c r="E320" s="5" t="n">
        <v>100</v>
      </c>
      <c r="F320" t="inlineStr">
        <is>
          <t>Поступление</t>
        </is>
      </c>
      <c r="H320">
        <f>VLOOKUP(C320,Магазин!$A$2:$C$1000,2,0)</f>
        <v/>
      </c>
      <c r="I320">
        <f>VLOOKUP(D320,Товар!$A$2:$F$1000,3,0)</f>
        <v/>
      </c>
      <c r="J320">
        <f>VLOOKUP(D320,Товар!$A$2:$F$1000,5,0)</f>
        <v/>
      </c>
      <c r="K320">
        <f>IF(AND(H320="Промышленный",LEFT(I320,18)="Порошок стиральный",F320="Продажа",B320=DATE(2023,6,7)),E320*J320/1000,0)</f>
        <v/>
      </c>
    </row>
    <row r="321">
      <c r="A321" t="n">
        <v>320</v>
      </c>
      <c r="B321" s="1" t="n">
        <v>45079</v>
      </c>
      <c r="C321" s="5" t="inlineStr">
        <is>
          <t>M14</t>
        </is>
      </c>
      <c r="D321" s="5" t="n">
        <v>20</v>
      </c>
      <c r="E321" s="5" t="n">
        <v>100</v>
      </c>
      <c r="F321" t="inlineStr">
        <is>
          <t>Поступление</t>
        </is>
      </c>
      <c r="H321">
        <f>VLOOKUP(C321,Магазин!$A$2:$C$1000,2,0)</f>
        <v/>
      </c>
      <c r="I321">
        <f>VLOOKUP(D321,Товар!$A$2:$F$1000,3,0)</f>
        <v/>
      </c>
      <c r="J321">
        <f>VLOOKUP(D321,Товар!$A$2:$F$1000,5,0)</f>
        <v/>
      </c>
      <c r="K321">
        <f>IF(AND(H321="Промышленный",LEFT(I321,18)="Порошок стиральный",F321="Продажа",B321=DATE(2023,6,7)),E321*J321/1000,0)</f>
        <v/>
      </c>
    </row>
    <row r="322">
      <c r="A322" t="n">
        <v>321</v>
      </c>
      <c r="B322" s="1" t="n">
        <v>45079</v>
      </c>
      <c r="C322" s="5" t="inlineStr">
        <is>
          <t>M14</t>
        </is>
      </c>
      <c r="D322" s="5" t="n">
        <v>21</v>
      </c>
      <c r="E322" s="5" t="n">
        <v>100</v>
      </c>
      <c r="F322" t="inlineStr">
        <is>
          <t>Поступление</t>
        </is>
      </c>
      <c r="H322">
        <f>VLOOKUP(C322,Магазин!$A$2:$C$1000,2,0)</f>
        <v/>
      </c>
      <c r="I322">
        <f>VLOOKUP(D322,Товар!$A$2:$F$1000,3,0)</f>
        <v/>
      </c>
      <c r="J322">
        <f>VLOOKUP(D322,Товар!$A$2:$F$1000,5,0)</f>
        <v/>
      </c>
      <c r="K322">
        <f>IF(AND(H322="Промышленный",LEFT(I322,18)="Порошок стиральный",F322="Продажа",B322=DATE(2023,6,7)),E322*J322/1000,0)</f>
        <v/>
      </c>
    </row>
    <row r="323">
      <c r="A323" t="n">
        <v>322</v>
      </c>
      <c r="B323" s="1" t="n">
        <v>45079</v>
      </c>
      <c r="C323" s="5" t="inlineStr">
        <is>
          <t>M14</t>
        </is>
      </c>
      <c r="D323" s="5" t="n">
        <v>22</v>
      </c>
      <c r="E323" s="5" t="n">
        <v>100</v>
      </c>
      <c r="F323" t="inlineStr">
        <is>
          <t>Поступление</t>
        </is>
      </c>
      <c r="H323">
        <f>VLOOKUP(C323,Магазин!$A$2:$C$1000,2,0)</f>
        <v/>
      </c>
      <c r="I323">
        <f>VLOOKUP(D323,Товар!$A$2:$F$1000,3,0)</f>
        <v/>
      </c>
      <c r="J323">
        <f>VLOOKUP(D323,Товар!$A$2:$F$1000,5,0)</f>
        <v/>
      </c>
      <c r="K323">
        <f>IF(AND(H323="Промышленный",LEFT(I323,18)="Порошок стиральный",F323="Продажа",B323=DATE(2023,6,7)),E323*J323/1000,0)</f>
        <v/>
      </c>
    </row>
    <row r="324">
      <c r="A324" t="n">
        <v>323</v>
      </c>
      <c r="B324" s="1" t="n">
        <v>45079</v>
      </c>
      <c r="C324" s="5" t="inlineStr">
        <is>
          <t>M14</t>
        </is>
      </c>
      <c r="D324" s="5" t="n">
        <v>23</v>
      </c>
      <c r="E324" s="5" t="n">
        <v>100</v>
      </c>
      <c r="F324" t="inlineStr">
        <is>
          <t>Поступление</t>
        </is>
      </c>
      <c r="H324">
        <f>VLOOKUP(C324,Магазин!$A$2:$C$1000,2,0)</f>
        <v/>
      </c>
      <c r="I324">
        <f>VLOOKUP(D324,Товар!$A$2:$F$1000,3,0)</f>
        <v/>
      </c>
      <c r="J324">
        <f>VLOOKUP(D324,Товар!$A$2:$F$1000,5,0)</f>
        <v/>
      </c>
      <c r="K324">
        <f>IF(AND(H324="Промышленный",LEFT(I324,18)="Порошок стиральный",F324="Продажа",B324=DATE(2023,6,7)),E324*J324/1000,0)</f>
        <v/>
      </c>
    </row>
    <row r="325">
      <c r="A325" t="n">
        <v>324</v>
      </c>
      <c r="B325" s="1" t="n">
        <v>45079</v>
      </c>
      <c r="C325" s="5" t="inlineStr">
        <is>
          <t>M14</t>
        </is>
      </c>
      <c r="D325" s="5" t="n">
        <v>24</v>
      </c>
      <c r="E325" s="5" t="n">
        <v>100</v>
      </c>
      <c r="F325" t="inlineStr">
        <is>
          <t>Поступление</t>
        </is>
      </c>
      <c r="H325">
        <f>VLOOKUP(C325,Магазин!$A$2:$C$1000,2,0)</f>
        <v/>
      </c>
      <c r="I325">
        <f>VLOOKUP(D325,Товар!$A$2:$F$1000,3,0)</f>
        <v/>
      </c>
      <c r="J325">
        <f>VLOOKUP(D325,Товар!$A$2:$F$1000,5,0)</f>
        <v/>
      </c>
      <c r="K325">
        <f>IF(AND(H325="Промышленный",LEFT(I325,18)="Порошок стиральный",F325="Продажа",B325=DATE(2023,6,7)),E325*J325/1000,0)</f>
        <v/>
      </c>
    </row>
    <row r="326">
      <c r="A326" t="n">
        <v>325</v>
      </c>
      <c r="B326" s="1" t="n">
        <v>45079</v>
      </c>
      <c r="C326" s="5" t="inlineStr">
        <is>
          <t>M14</t>
        </is>
      </c>
      <c r="D326" s="5" t="n">
        <v>25</v>
      </c>
      <c r="E326" s="5" t="n">
        <v>100</v>
      </c>
      <c r="F326" t="inlineStr">
        <is>
          <t>Поступление</t>
        </is>
      </c>
      <c r="H326">
        <f>VLOOKUP(C326,Магазин!$A$2:$C$1000,2,0)</f>
        <v/>
      </c>
      <c r="I326">
        <f>VLOOKUP(D326,Товар!$A$2:$F$1000,3,0)</f>
        <v/>
      </c>
      <c r="J326">
        <f>VLOOKUP(D326,Товар!$A$2:$F$1000,5,0)</f>
        <v/>
      </c>
      <c r="K326">
        <f>IF(AND(H326="Промышленный",LEFT(I326,18)="Порошок стиральный",F326="Продажа",B326=DATE(2023,6,7)),E326*J326/1000,0)</f>
        <v/>
      </c>
    </row>
    <row r="327">
      <c r="A327" t="n">
        <v>326</v>
      </c>
      <c r="B327" s="1" t="n">
        <v>45079</v>
      </c>
      <c r="C327" s="5" t="inlineStr">
        <is>
          <t>M14</t>
        </is>
      </c>
      <c r="D327" s="5" t="n">
        <v>26</v>
      </c>
      <c r="E327" s="5" t="n">
        <v>100</v>
      </c>
      <c r="F327" t="inlineStr">
        <is>
          <t>Поступление</t>
        </is>
      </c>
      <c r="H327">
        <f>VLOOKUP(C327,Магазин!$A$2:$C$1000,2,0)</f>
        <v/>
      </c>
      <c r="I327">
        <f>VLOOKUP(D327,Товар!$A$2:$F$1000,3,0)</f>
        <v/>
      </c>
      <c r="J327">
        <f>VLOOKUP(D327,Товар!$A$2:$F$1000,5,0)</f>
        <v/>
      </c>
      <c r="K327">
        <f>IF(AND(H327="Промышленный",LEFT(I327,18)="Порошок стиральный",F327="Продажа",B327=DATE(2023,6,7)),E327*J327/1000,0)</f>
        <v/>
      </c>
    </row>
    <row r="328">
      <c r="A328" t="n">
        <v>327</v>
      </c>
      <c r="B328" s="1" t="n">
        <v>45079</v>
      </c>
      <c r="C328" s="5" t="inlineStr">
        <is>
          <t>M14</t>
        </is>
      </c>
      <c r="D328" s="5" t="n">
        <v>27</v>
      </c>
      <c r="E328" s="5" t="n">
        <v>100</v>
      </c>
      <c r="F328" t="inlineStr">
        <is>
          <t>Поступление</t>
        </is>
      </c>
      <c r="H328">
        <f>VLOOKUP(C328,Магазин!$A$2:$C$1000,2,0)</f>
        <v/>
      </c>
      <c r="I328">
        <f>VLOOKUP(D328,Товар!$A$2:$F$1000,3,0)</f>
        <v/>
      </c>
      <c r="J328">
        <f>VLOOKUP(D328,Товар!$A$2:$F$1000,5,0)</f>
        <v/>
      </c>
      <c r="K328">
        <f>IF(AND(H328="Промышленный",LEFT(I328,18)="Порошок стиральный",F328="Продажа",B328=DATE(2023,6,7)),E328*J328/1000,0)</f>
        <v/>
      </c>
    </row>
    <row r="329">
      <c r="A329" t="n">
        <v>328</v>
      </c>
      <c r="B329" s="1" t="n">
        <v>45079</v>
      </c>
      <c r="C329" s="5" t="inlineStr">
        <is>
          <t>M14</t>
        </is>
      </c>
      <c r="D329" s="5" t="n">
        <v>28</v>
      </c>
      <c r="E329" s="5" t="n">
        <v>100</v>
      </c>
      <c r="F329" t="inlineStr">
        <is>
          <t>Поступление</t>
        </is>
      </c>
      <c r="H329">
        <f>VLOOKUP(C329,Магазин!$A$2:$C$1000,2,0)</f>
        <v/>
      </c>
      <c r="I329">
        <f>VLOOKUP(D329,Товар!$A$2:$F$1000,3,0)</f>
        <v/>
      </c>
      <c r="J329">
        <f>VLOOKUP(D329,Товар!$A$2:$F$1000,5,0)</f>
        <v/>
      </c>
      <c r="K329">
        <f>IF(AND(H329="Промышленный",LEFT(I329,18)="Порошок стиральный",F329="Продажа",B329=DATE(2023,6,7)),E329*J329/1000,0)</f>
        <v/>
      </c>
    </row>
    <row r="330">
      <c r="A330" t="n">
        <v>329</v>
      </c>
      <c r="B330" s="1" t="n">
        <v>45079</v>
      </c>
      <c r="C330" s="5" t="inlineStr">
        <is>
          <t>M14</t>
        </is>
      </c>
      <c r="D330" s="5" t="n">
        <v>29</v>
      </c>
      <c r="E330" s="5" t="n">
        <v>100</v>
      </c>
      <c r="F330" t="inlineStr">
        <is>
          <t>Поступление</t>
        </is>
      </c>
      <c r="H330">
        <f>VLOOKUP(C330,Магазин!$A$2:$C$1000,2,0)</f>
        <v/>
      </c>
      <c r="I330">
        <f>VLOOKUP(D330,Товар!$A$2:$F$1000,3,0)</f>
        <v/>
      </c>
      <c r="J330">
        <f>VLOOKUP(D330,Товар!$A$2:$F$1000,5,0)</f>
        <v/>
      </c>
      <c r="K330">
        <f>IF(AND(H330="Промышленный",LEFT(I330,18)="Порошок стиральный",F330="Продажа",B330=DATE(2023,6,7)),E330*J330/1000,0)</f>
        <v/>
      </c>
    </row>
    <row r="331">
      <c r="A331" t="n">
        <v>330</v>
      </c>
      <c r="B331" s="1" t="n">
        <v>45079</v>
      </c>
      <c r="C331" s="5" t="inlineStr">
        <is>
          <t>M14</t>
        </is>
      </c>
      <c r="D331" s="5" t="n">
        <v>30</v>
      </c>
      <c r="E331" s="5" t="n">
        <v>100</v>
      </c>
      <c r="F331" t="inlineStr">
        <is>
          <t>Поступление</t>
        </is>
      </c>
      <c r="H331">
        <f>VLOOKUP(C331,Магазин!$A$2:$C$1000,2,0)</f>
        <v/>
      </c>
      <c r="I331">
        <f>VLOOKUP(D331,Товар!$A$2:$F$1000,3,0)</f>
        <v/>
      </c>
      <c r="J331">
        <f>VLOOKUP(D331,Товар!$A$2:$F$1000,5,0)</f>
        <v/>
      </c>
      <c r="K331">
        <f>IF(AND(H331="Промышленный",LEFT(I331,18)="Порошок стиральный",F331="Продажа",B331=DATE(2023,6,7)),E331*J331/1000,0)</f>
        <v/>
      </c>
    </row>
    <row r="332">
      <c r="A332" t="n">
        <v>331</v>
      </c>
      <c r="B332" s="1" t="n">
        <v>45079</v>
      </c>
      <c r="C332" s="5" t="inlineStr">
        <is>
          <t>M14</t>
        </is>
      </c>
      <c r="D332" s="5" t="n">
        <v>31</v>
      </c>
      <c r="E332" s="5" t="n">
        <v>100</v>
      </c>
      <c r="F332" t="inlineStr">
        <is>
          <t>Поступление</t>
        </is>
      </c>
      <c r="H332">
        <f>VLOOKUP(C332,Магазин!$A$2:$C$1000,2,0)</f>
        <v/>
      </c>
      <c r="I332">
        <f>VLOOKUP(D332,Товар!$A$2:$F$1000,3,0)</f>
        <v/>
      </c>
      <c r="J332">
        <f>VLOOKUP(D332,Товар!$A$2:$F$1000,5,0)</f>
        <v/>
      </c>
      <c r="K332">
        <f>IF(AND(H332="Промышленный",LEFT(I332,18)="Порошок стиральный",F332="Продажа",B332=DATE(2023,6,7)),E332*J332/1000,0)</f>
        <v/>
      </c>
    </row>
    <row r="333">
      <c r="A333" t="n">
        <v>332</v>
      </c>
      <c r="B333" s="1" t="n">
        <v>45079</v>
      </c>
      <c r="C333" s="5" t="inlineStr">
        <is>
          <t>M14</t>
        </is>
      </c>
      <c r="D333" s="5" t="n">
        <v>32</v>
      </c>
      <c r="E333" s="5" t="n">
        <v>100</v>
      </c>
      <c r="F333" t="inlineStr">
        <is>
          <t>Поступление</t>
        </is>
      </c>
      <c r="H333">
        <f>VLOOKUP(C333,Магазин!$A$2:$C$1000,2,0)</f>
        <v/>
      </c>
      <c r="I333">
        <f>VLOOKUP(D333,Товар!$A$2:$F$1000,3,0)</f>
        <v/>
      </c>
      <c r="J333">
        <f>VLOOKUP(D333,Товар!$A$2:$F$1000,5,0)</f>
        <v/>
      </c>
      <c r="K333">
        <f>IF(AND(H333="Промышленный",LEFT(I333,18)="Порошок стиральный",F333="Продажа",B333=DATE(2023,6,7)),E333*J333/1000,0)</f>
        <v/>
      </c>
    </row>
    <row r="334">
      <c r="A334" t="n">
        <v>333</v>
      </c>
      <c r="B334" s="1" t="n">
        <v>45079</v>
      </c>
      <c r="C334" s="5" t="inlineStr">
        <is>
          <t>M14</t>
        </is>
      </c>
      <c r="D334" s="5" t="n">
        <v>33</v>
      </c>
      <c r="E334" s="5" t="n">
        <v>100</v>
      </c>
      <c r="F334" t="inlineStr">
        <is>
          <t>Поступление</t>
        </is>
      </c>
      <c r="H334">
        <f>VLOOKUP(C334,Магазин!$A$2:$C$1000,2,0)</f>
        <v/>
      </c>
      <c r="I334">
        <f>VLOOKUP(D334,Товар!$A$2:$F$1000,3,0)</f>
        <v/>
      </c>
      <c r="J334">
        <f>VLOOKUP(D334,Товар!$A$2:$F$1000,5,0)</f>
        <v/>
      </c>
      <c r="K334">
        <f>IF(AND(H334="Промышленный",LEFT(I334,18)="Порошок стиральный",F334="Продажа",B334=DATE(2023,6,7)),E334*J334/1000,0)</f>
        <v/>
      </c>
    </row>
    <row r="335">
      <c r="A335" t="n">
        <v>334</v>
      </c>
      <c r="B335" s="1" t="n">
        <v>45079</v>
      </c>
      <c r="C335" s="5" t="inlineStr">
        <is>
          <t>M14</t>
        </is>
      </c>
      <c r="D335" s="5" t="n">
        <v>34</v>
      </c>
      <c r="E335" s="5" t="n">
        <v>100</v>
      </c>
      <c r="F335" t="inlineStr">
        <is>
          <t>Поступление</t>
        </is>
      </c>
      <c r="H335">
        <f>VLOOKUP(C335,Магазин!$A$2:$C$1000,2,0)</f>
        <v/>
      </c>
      <c r="I335">
        <f>VLOOKUP(D335,Товар!$A$2:$F$1000,3,0)</f>
        <v/>
      </c>
      <c r="J335">
        <f>VLOOKUP(D335,Товар!$A$2:$F$1000,5,0)</f>
        <v/>
      </c>
      <c r="K335">
        <f>IF(AND(H335="Промышленный",LEFT(I335,18)="Порошок стиральный",F335="Продажа",B335=DATE(2023,6,7)),E335*J335/1000,0)</f>
        <v/>
      </c>
    </row>
    <row r="336">
      <c r="A336" t="n">
        <v>335</v>
      </c>
      <c r="B336" s="1" t="n">
        <v>45079</v>
      </c>
      <c r="C336" s="5" t="inlineStr">
        <is>
          <t>M14</t>
        </is>
      </c>
      <c r="D336" s="5" t="n">
        <v>35</v>
      </c>
      <c r="E336" s="5" t="n">
        <v>100</v>
      </c>
      <c r="F336" t="inlineStr">
        <is>
          <t>Поступление</t>
        </is>
      </c>
      <c r="H336">
        <f>VLOOKUP(C336,Магазин!$A$2:$C$1000,2,0)</f>
        <v/>
      </c>
      <c r="I336">
        <f>VLOOKUP(D336,Товар!$A$2:$F$1000,3,0)</f>
        <v/>
      </c>
      <c r="J336">
        <f>VLOOKUP(D336,Товар!$A$2:$F$1000,5,0)</f>
        <v/>
      </c>
      <c r="K336">
        <f>IF(AND(H336="Промышленный",LEFT(I336,18)="Порошок стиральный",F336="Продажа",B336=DATE(2023,6,7)),E336*J336/1000,0)</f>
        <v/>
      </c>
    </row>
    <row r="337">
      <c r="A337" t="n">
        <v>336</v>
      </c>
      <c r="B337" s="1" t="n">
        <v>45079</v>
      </c>
      <c r="C337" s="5" t="inlineStr">
        <is>
          <t>M14</t>
        </is>
      </c>
      <c r="D337" s="5" t="n">
        <v>36</v>
      </c>
      <c r="E337" s="5" t="n">
        <v>100</v>
      </c>
      <c r="F337" t="inlineStr">
        <is>
          <t>Поступление</t>
        </is>
      </c>
      <c r="H337">
        <f>VLOOKUP(C337,Магазин!$A$2:$C$1000,2,0)</f>
        <v/>
      </c>
      <c r="I337">
        <f>VLOOKUP(D337,Товар!$A$2:$F$1000,3,0)</f>
        <v/>
      </c>
      <c r="J337">
        <f>VLOOKUP(D337,Товар!$A$2:$F$1000,5,0)</f>
        <v/>
      </c>
      <c r="K337">
        <f>IF(AND(H337="Промышленный",LEFT(I337,18)="Порошок стиральный",F337="Продажа",B337=DATE(2023,6,7)),E337*J337/1000,0)</f>
        <v/>
      </c>
    </row>
    <row r="338">
      <c r="A338" t="n">
        <v>337</v>
      </c>
      <c r="B338" s="1" t="n">
        <v>45079</v>
      </c>
      <c r="C338" s="5" t="inlineStr">
        <is>
          <t>M14</t>
        </is>
      </c>
      <c r="D338" s="5" t="n">
        <v>37</v>
      </c>
      <c r="E338" s="5" t="n">
        <v>200</v>
      </c>
      <c r="F338" t="inlineStr">
        <is>
          <t>Поступление</t>
        </is>
      </c>
      <c r="H338">
        <f>VLOOKUP(C338,Магазин!$A$2:$C$1000,2,0)</f>
        <v/>
      </c>
      <c r="I338">
        <f>VLOOKUP(D338,Товар!$A$2:$F$1000,3,0)</f>
        <v/>
      </c>
      <c r="J338">
        <f>VLOOKUP(D338,Товар!$A$2:$F$1000,5,0)</f>
        <v/>
      </c>
      <c r="K338">
        <f>IF(AND(H338="Промышленный",LEFT(I338,18)="Порошок стиральный",F338="Продажа",B338=DATE(2023,6,7)),E338*J338/1000,0)</f>
        <v/>
      </c>
    </row>
    <row r="339">
      <c r="A339" t="n">
        <v>338</v>
      </c>
      <c r="B339" s="1" t="n">
        <v>45079</v>
      </c>
      <c r="C339" s="5" t="inlineStr">
        <is>
          <t>M14</t>
        </is>
      </c>
      <c r="D339" s="5" t="n">
        <v>38</v>
      </c>
      <c r="E339" s="5" t="n">
        <v>200</v>
      </c>
      <c r="F339" t="inlineStr">
        <is>
          <t>Поступление</t>
        </is>
      </c>
      <c r="H339">
        <f>VLOOKUP(C339,Магазин!$A$2:$C$1000,2,0)</f>
        <v/>
      </c>
      <c r="I339">
        <f>VLOOKUP(D339,Товар!$A$2:$F$1000,3,0)</f>
        <v/>
      </c>
      <c r="J339">
        <f>VLOOKUP(D339,Товар!$A$2:$F$1000,5,0)</f>
        <v/>
      </c>
      <c r="K339">
        <f>IF(AND(H339="Промышленный",LEFT(I339,18)="Порошок стиральный",F339="Продажа",B339=DATE(2023,6,7)),E339*J339/1000,0)</f>
        <v/>
      </c>
    </row>
    <row r="340">
      <c r="A340" t="n">
        <v>339</v>
      </c>
      <c r="B340" s="1" t="n">
        <v>45079</v>
      </c>
      <c r="C340" s="5" t="inlineStr">
        <is>
          <t>M14</t>
        </is>
      </c>
      <c r="D340" s="5" t="n">
        <v>39</v>
      </c>
      <c r="E340" s="5" t="n">
        <v>200</v>
      </c>
      <c r="F340" t="inlineStr">
        <is>
          <t>Поступление</t>
        </is>
      </c>
      <c r="H340">
        <f>VLOOKUP(C340,Магазин!$A$2:$C$1000,2,0)</f>
        <v/>
      </c>
      <c r="I340">
        <f>VLOOKUP(D340,Товар!$A$2:$F$1000,3,0)</f>
        <v/>
      </c>
      <c r="J340">
        <f>VLOOKUP(D340,Товар!$A$2:$F$1000,5,0)</f>
        <v/>
      </c>
      <c r="K340">
        <f>IF(AND(H340="Промышленный",LEFT(I340,18)="Порошок стиральный",F340="Продажа",B340=DATE(2023,6,7)),E340*J340/1000,0)</f>
        <v/>
      </c>
    </row>
    <row r="341">
      <c r="A341" t="n">
        <v>340</v>
      </c>
      <c r="B341" s="1" t="n">
        <v>45079</v>
      </c>
      <c r="C341" s="5" t="inlineStr">
        <is>
          <t>M14</t>
        </is>
      </c>
      <c r="D341" s="5" t="n">
        <v>40</v>
      </c>
      <c r="E341" s="5" t="n">
        <v>200</v>
      </c>
      <c r="F341" t="inlineStr">
        <is>
          <t>Поступление</t>
        </is>
      </c>
      <c r="H341">
        <f>VLOOKUP(C341,Магазин!$A$2:$C$1000,2,0)</f>
        <v/>
      </c>
      <c r="I341">
        <f>VLOOKUP(D341,Товар!$A$2:$F$1000,3,0)</f>
        <v/>
      </c>
      <c r="J341">
        <f>VLOOKUP(D341,Товар!$A$2:$F$1000,5,0)</f>
        <v/>
      </c>
      <c r="K341">
        <f>IF(AND(H341="Промышленный",LEFT(I341,18)="Порошок стиральный",F341="Продажа",B341=DATE(2023,6,7)),E341*J341/1000,0)</f>
        <v/>
      </c>
    </row>
    <row r="342">
      <c r="A342" t="n">
        <v>341</v>
      </c>
      <c r="B342" s="1" t="n">
        <v>45079</v>
      </c>
      <c r="C342" s="5" t="inlineStr">
        <is>
          <t>M14</t>
        </is>
      </c>
      <c r="D342" s="5" t="n">
        <v>41</v>
      </c>
      <c r="E342" s="5" t="n">
        <v>200</v>
      </c>
      <c r="F342" t="inlineStr">
        <is>
          <t>Поступление</t>
        </is>
      </c>
      <c r="H342">
        <f>VLOOKUP(C342,Магазин!$A$2:$C$1000,2,0)</f>
        <v/>
      </c>
      <c r="I342">
        <f>VLOOKUP(D342,Товар!$A$2:$F$1000,3,0)</f>
        <v/>
      </c>
      <c r="J342">
        <f>VLOOKUP(D342,Товар!$A$2:$F$1000,5,0)</f>
        <v/>
      </c>
      <c r="K342">
        <f>IF(AND(H342="Промышленный",LEFT(I342,18)="Порошок стиральный",F342="Продажа",B342=DATE(2023,6,7)),E342*J342/1000,0)</f>
        <v/>
      </c>
    </row>
    <row r="343">
      <c r="A343" t="n">
        <v>342</v>
      </c>
      <c r="B343" s="1" t="n">
        <v>45079</v>
      </c>
      <c r="C343" s="5" t="inlineStr">
        <is>
          <t>M14</t>
        </is>
      </c>
      <c r="D343" s="5" t="n">
        <v>42</v>
      </c>
      <c r="E343" s="5" t="n">
        <v>200</v>
      </c>
      <c r="F343" t="inlineStr">
        <is>
          <t>Поступление</t>
        </is>
      </c>
      <c r="H343">
        <f>VLOOKUP(C343,Магазин!$A$2:$C$1000,2,0)</f>
        <v/>
      </c>
      <c r="I343">
        <f>VLOOKUP(D343,Товар!$A$2:$F$1000,3,0)</f>
        <v/>
      </c>
      <c r="J343">
        <f>VLOOKUP(D343,Товар!$A$2:$F$1000,5,0)</f>
        <v/>
      </c>
      <c r="K343">
        <f>IF(AND(H343="Промышленный",LEFT(I343,18)="Порошок стиральный",F343="Продажа",B343=DATE(2023,6,7)),E343*J343/1000,0)</f>
        <v/>
      </c>
    </row>
    <row r="344">
      <c r="A344" t="n">
        <v>343</v>
      </c>
      <c r="B344" s="1" t="n">
        <v>45079</v>
      </c>
      <c r="C344" s="5" t="inlineStr">
        <is>
          <t>M14</t>
        </is>
      </c>
      <c r="D344" s="5" t="n">
        <v>43</v>
      </c>
      <c r="E344" s="5" t="n">
        <v>200</v>
      </c>
      <c r="F344" t="inlineStr">
        <is>
          <t>Поступление</t>
        </is>
      </c>
      <c r="H344">
        <f>VLOOKUP(C344,Магазин!$A$2:$C$1000,2,0)</f>
        <v/>
      </c>
      <c r="I344">
        <f>VLOOKUP(D344,Товар!$A$2:$F$1000,3,0)</f>
        <v/>
      </c>
      <c r="J344">
        <f>VLOOKUP(D344,Товар!$A$2:$F$1000,5,0)</f>
        <v/>
      </c>
      <c r="K344">
        <f>IF(AND(H344="Промышленный",LEFT(I344,18)="Порошок стиральный",F344="Продажа",B344=DATE(2023,6,7)),E344*J344/1000,0)</f>
        <v/>
      </c>
    </row>
    <row r="345">
      <c r="A345" t="n">
        <v>344</v>
      </c>
      <c r="B345" s="1" t="n">
        <v>45079</v>
      </c>
      <c r="C345" s="5" t="inlineStr">
        <is>
          <t>M14</t>
        </is>
      </c>
      <c r="D345" s="5" t="n">
        <v>44</v>
      </c>
      <c r="E345" s="5" t="n">
        <v>200</v>
      </c>
      <c r="F345" t="inlineStr">
        <is>
          <t>Поступление</t>
        </is>
      </c>
      <c r="H345">
        <f>VLOOKUP(C345,Магазин!$A$2:$C$1000,2,0)</f>
        <v/>
      </c>
      <c r="I345">
        <f>VLOOKUP(D345,Товар!$A$2:$F$1000,3,0)</f>
        <v/>
      </c>
      <c r="J345">
        <f>VLOOKUP(D345,Товар!$A$2:$F$1000,5,0)</f>
        <v/>
      </c>
      <c r="K345">
        <f>IF(AND(H345="Промышленный",LEFT(I345,18)="Порошок стиральный",F345="Продажа",B345=DATE(2023,6,7)),E345*J345/1000,0)</f>
        <v/>
      </c>
    </row>
    <row r="346">
      <c r="A346" t="n">
        <v>345</v>
      </c>
      <c r="B346" s="1" t="n">
        <v>45079</v>
      </c>
      <c r="C346" s="5" t="inlineStr">
        <is>
          <t>M14</t>
        </is>
      </c>
      <c r="D346" s="5" t="n">
        <v>45</v>
      </c>
      <c r="E346" s="5" t="n">
        <v>200</v>
      </c>
      <c r="F346" t="inlineStr">
        <is>
          <t>Поступление</t>
        </is>
      </c>
      <c r="H346">
        <f>VLOOKUP(C346,Магазин!$A$2:$C$1000,2,0)</f>
        <v/>
      </c>
      <c r="I346">
        <f>VLOOKUP(D346,Товар!$A$2:$F$1000,3,0)</f>
        <v/>
      </c>
      <c r="J346">
        <f>VLOOKUP(D346,Товар!$A$2:$F$1000,5,0)</f>
        <v/>
      </c>
      <c r="K346">
        <f>IF(AND(H346="Промышленный",LEFT(I346,18)="Порошок стиральный",F346="Продажа",B346=DATE(2023,6,7)),E346*J346/1000,0)</f>
        <v/>
      </c>
    </row>
    <row r="347">
      <c r="A347" t="n">
        <v>346</v>
      </c>
      <c r="B347" s="1" t="n">
        <v>45079</v>
      </c>
      <c r="C347" s="5" t="inlineStr">
        <is>
          <t>M14</t>
        </is>
      </c>
      <c r="D347" s="5" t="n">
        <v>46</v>
      </c>
      <c r="E347" s="5" t="n">
        <v>200</v>
      </c>
      <c r="F347" t="inlineStr">
        <is>
          <t>Поступление</t>
        </is>
      </c>
      <c r="H347">
        <f>VLOOKUP(C347,Магазин!$A$2:$C$1000,2,0)</f>
        <v/>
      </c>
      <c r="I347">
        <f>VLOOKUP(D347,Товар!$A$2:$F$1000,3,0)</f>
        <v/>
      </c>
      <c r="J347">
        <f>VLOOKUP(D347,Товар!$A$2:$F$1000,5,0)</f>
        <v/>
      </c>
      <c r="K347">
        <f>IF(AND(H347="Промышленный",LEFT(I347,18)="Порошок стиральный",F347="Продажа",B347=DATE(2023,6,7)),E347*J347/1000,0)</f>
        <v/>
      </c>
    </row>
    <row r="348">
      <c r="A348" t="n">
        <v>347</v>
      </c>
      <c r="B348" s="1" t="n">
        <v>45079</v>
      </c>
      <c r="C348" s="5" t="inlineStr">
        <is>
          <t>M14</t>
        </is>
      </c>
      <c r="D348" s="5" t="n">
        <v>47</v>
      </c>
      <c r="E348" s="5" t="n">
        <v>200</v>
      </c>
      <c r="F348" t="inlineStr">
        <is>
          <t>Поступление</t>
        </is>
      </c>
      <c r="H348">
        <f>VLOOKUP(C348,Магазин!$A$2:$C$1000,2,0)</f>
        <v/>
      </c>
      <c r="I348">
        <f>VLOOKUP(D348,Товар!$A$2:$F$1000,3,0)</f>
        <v/>
      </c>
      <c r="J348">
        <f>VLOOKUP(D348,Товар!$A$2:$F$1000,5,0)</f>
        <v/>
      </c>
      <c r="K348">
        <f>IF(AND(H348="Промышленный",LEFT(I348,18)="Порошок стиральный",F348="Продажа",B348=DATE(2023,6,7)),E348*J348/1000,0)</f>
        <v/>
      </c>
    </row>
    <row r="349">
      <c r="A349" t="n">
        <v>348</v>
      </c>
      <c r="B349" s="1" t="n">
        <v>45079</v>
      </c>
      <c r="C349" s="5" t="inlineStr">
        <is>
          <t>M14</t>
        </is>
      </c>
      <c r="D349" s="5" t="n">
        <v>48</v>
      </c>
      <c r="E349" s="5" t="n">
        <v>200</v>
      </c>
      <c r="F349" t="inlineStr">
        <is>
          <t>Поступление</t>
        </is>
      </c>
      <c r="H349">
        <f>VLOOKUP(C349,Магазин!$A$2:$C$1000,2,0)</f>
        <v/>
      </c>
      <c r="I349">
        <f>VLOOKUP(D349,Товар!$A$2:$F$1000,3,0)</f>
        <v/>
      </c>
      <c r="J349">
        <f>VLOOKUP(D349,Товар!$A$2:$F$1000,5,0)</f>
        <v/>
      </c>
      <c r="K349">
        <f>IF(AND(H349="Промышленный",LEFT(I349,18)="Порошок стиральный",F349="Продажа",B349=DATE(2023,6,7)),E349*J349/1000,0)</f>
        <v/>
      </c>
    </row>
    <row r="350">
      <c r="A350" t="n">
        <v>349</v>
      </c>
      <c r="B350" s="1" t="n">
        <v>45079</v>
      </c>
      <c r="C350" s="5" t="inlineStr">
        <is>
          <t>M14</t>
        </is>
      </c>
      <c r="D350" s="5" t="n">
        <v>49</v>
      </c>
      <c r="E350" s="5" t="n">
        <v>200</v>
      </c>
      <c r="F350" t="inlineStr">
        <is>
          <t>Поступление</t>
        </is>
      </c>
      <c r="H350">
        <f>VLOOKUP(C350,Магазин!$A$2:$C$1000,2,0)</f>
        <v/>
      </c>
      <c r="I350">
        <f>VLOOKUP(D350,Товар!$A$2:$F$1000,3,0)</f>
        <v/>
      </c>
      <c r="J350">
        <f>VLOOKUP(D350,Товар!$A$2:$F$1000,5,0)</f>
        <v/>
      </c>
      <c r="K350">
        <f>IF(AND(H350="Промышленный",LEFT(I350,18)="Порошок стиральный",F350="Продажа",B350=DATE(2023,6,7)),E350*J350/1000,0)</f>
        <v/>
      </c>
    </row>
    <row r="351">
      <c r="A351" t="n">
        <v>350</v>
      </c>
      <c r="B351" s="1" t="n">
        <v>45079</v>
      </c>
      <c r="C351" s="5" t="inlineStr">
        <is>
          <t>M14</t>
        </is>
      </c>
      <c r="D351" s="5" t="n">
        <v>50</v>
      </c>
      <c r="E351" s="5" t="n">
        <v>200</v>
      </c>
      <c r="F351" t="inlineStr">
        <is>
          <t>Поступление</t>
        </is>
      </c>
      <c r="H351">
        <f>VLOOKUP(C351,Магазин!$A$2:$C$1000,2,0)</f>
        <v/>
      </c>
      <c r="I351">
        <f>VLOOKUP(D351,Товар!$A$2:$F$1000,3,0)</f>
        <v/>
      </c>
      <c r="J351">
        <f>VLOOKUP(D351,Товар!$A$2:$F$1000,5,0)</f>
        <v/>
      </c>
      <c r="K351">
        <f>IF(AND(H351="Промышленный",LEFT(I351,18)="Порошок стиральный",F351="Продажа",B351=DATE(2023,6,7)),E351*J351/1000,0)</f>
        <v/>
      </c>
    </row>
    <row r="352">
      <c r="A352" t="n">
        <v>351</v>
      </c>
      <c r="B352" s="1" t="n">
        <v>45079</v>
      </c>
      <c r="C352" s="5" t="inlineStr">
        <is>
          <t>M14</t>
        </is>
      </c>
      <c r="D352" s="5" t="n">
        <v>51</v>
      </c>
      <c r="E352" s="5" t="n">
        <v>200</v>
      </c>
      <c r="F352" t="inlineStr">
        <is>
          <t>Поступление</t>
        </is>
      </c>
      <c r="H352">
        <f>VLOOKUP(C352,Магазин!$A$2:$C$1000,2,0)</f>
        <v/>
      </c>
      <c r="I352">
        <f>VLOOKUP(D352,Товар!$A$2:$F$1000,3,0)</f>
        <v/>
      </c>
      <c r="J352">
        <f>VLOOKUP(D352,Товар!$A$2:$F$1000,5,0)</f>
        <v/>
      </c>
      <c r="K352">
        <f>IF(AND(H352="Промышленный",LEFT(I352,18)="Порошок стиральный",F352="Продажа",B352=DATE(2023,6,7)),E352*J352/1000,0)</f>
        <v/>
      </c>
    </row>
    <row r="353">
      <c r="A353" t="n">
        <v>352</v>
      </c>
      <c r="B353" s="1" t="n">
        <v>45079</v>
      </c>
      <c r="C353" s="5" t="inlineStr">
        <is>
          <t>M14</t>
        </is>
      </c>
      <c r="D353" s="5" t="n">
        <v>52</v>
      </c>
      <c r="E353" s="5" t="n">
        <v>200</v>
      </c>
      <c r="F353" t="inlineStr">
        <is>
          <t>Поступление</t>
        </is>
      </c>
      <c r="H353">
        <f>VLOOKUP(C353,Магазин!$A$2:$C$1000,2,0)</f>
        <v/>
      </c>
      <c r="I353">
        <f>VLOOKUP(D353,Товар!$A$2:$F$1000,3,0)</f>
        <v/>
      </c>
      <c r="J353">
        <f>VLOOKUP(D353,Товар!$A$2:$F$1000,5,0)</f>
        <v/>
      </c>
      <c r="K353">
        <f>IF(AND(H353="Промышленный",LEFT(I353,18)="Порошок стиральный",F353="Продажа",B353=DATE(2023,6,7)),E353*J353/1000,0)</f>
        <v/>
      </c>
    </row>
    <row r="354">
      <c r="A354" t="n">
        <v>353</v>
      </c>
      <c r="B354" s="1" t="n">
        <v>45079</v>
      </c>
      <c r="C354" s="5" t="inlineStr">
        <is>
          <t>M14</t>
        </is>
      </c>
      <c r="D354" s="5" t="n">
        <v>53</v>
      </c>
      <c r="E354" s="5" t="n">
        <v>200</v>
      </c>
      <c r="F354" t="inlineStr">
        <is>
          <t>Поступление</t>
        </is>
      </c>
      <c r="H354">
        <f>VLOOKUP(C354,Магазин!$A$2:$C$1000,2,0)</f>
        <v/>
      </c>
      <c r="I354">
        <f>VLOOKUP(D354,Товар!$A$2:$F$1000,3,0)</f>
        <v/>
      </c>
      <c r="J354">
        <f>VLOOKUP(D354,Товар!$A$2:$F$1000,5,0)</f>
        <v/>
      </c>
      <c r="K354">
        <f>IF(AND(H354="Промышленный",LEFT(I354,18)="Порошок стиральный",F354="Продажа",B354=DATE(2023,6,7)),E354*J354/1000,0)</f>
        <v/>
      </c>
    </row>
    <row r="355">
      <c r="A355" t="n">
        <v>354</v>
      </c>
      <c r="B355" s="1" t="n">
        <v>45079</v>
      </c>
      <c r="C355" s="5" t="inlineStr">
        <is>
          <t>M14</t>
        </is>
      </c>
      <c r="D355" s="5" t="n">
        <v>54</v>
      </c>
      <c r="E355" s="5" t="n">
        <v>200</v>
      </c>
      <c r="F355" t="inlineStr">
        <is>
          <t>Поступление</t>
        </is>
      </c>
      <c r="H355">
        <f>VLOOKUP(C355,Магазин!$A$2:$C$1000,2,0)</f>
        <v/>
      </c>
      <c r="I355">
        <f>VLOOKUP(D355,Товар!$A$2:$F$1000,3,0)</f>
        <v/>
      </c>
      <c r="J355">
        <f>VLOOKUP(D355,Товар!$A$2:$F$1000,5,0)</f>
        <v/>
      </c>
      <c r="K355">
        <f>IF(AND(H355="Промышленный",LEFT(I355,18)="Порошок стиральный",F355="Продажа",B355=DATE(2023,6,7)),E355*J355/1000,0)</f>
        <v/>
      </c>
    </row>
    <row r="356">
      <c r="A356" t="n">
        <v>355</v>
      </c>
      <c r="B356" s="1" t="n">
        <v>45079</v>
      </c>
      <c r="C356" s="5" t="inlineStr">
        <is>
          <t>M14</t>
        </is>
      </c>
      <c r="D356" s="5" t="n">
        <v>55</v>
      </c>
      <c r="E356" s="5" t="n">
        <v>200</v>
      </c>
      <c r="F356" t="inlineStr">
        <is>
          <t>Поступление</t>
        </is>
      </c>
      <c r="H356">
        <f>VLOOKUP(C356,Магазин!$A$2:$C$1000,2,0)</f>
        <v/>
      </c>
      <c r="I356">
        <f>VLOOKUP(D356,Товар!$A$2:$F$1000,3,0)</f>
        <v/>
      </c>
      <c r="J356">
        <f>VLOOKUP(D356,Товар!$A$2:$F$1000,5,0)</f>
        <v/>
      </c>
      <c r="K356">
        <f>IF(AND(H356="Промышленный",LEFT(I356,18)="Порошок стиральный",F356="Продажа",B356=DATE(2023,6,7)),E356*J356/1000,0)</f>
        <v/>
      </c>
    </row>
    <row r="357">
      <c r="A357" t="n">
        <v>356</v>
      </c>
      <c r="B357" s="1" t="n">
        <v>45079</v>
      </c>
      <c r="C357" s="5" t="inlineStr">
        <is>
          <t>M14</t>
        </is>
      </c>
      <c r="D357" s="5" t="n">
        <v>56</v>
      </c>
      <c r="E357" s="5" t="n">
        <v>200</v>
      </c>
      <c r="F357" t="inlineStr">
        <is>
          <t>Поступление</t>
        </is>
      </c>
      <c r="H357">
        <f>VLOOKUP(C357,Магазин!$A$2:$C$1000,2,0)</f>
        <v/>
      </c>
      <c r="I357">
        <f>VLOOKUP(D357,Товар!$A$2:$F$1000,3,0)</f>
        <v/>
      </c>
      <c r="J357">
        <f>VLOOKUP(D357,Товар!$A$2:$F$1000,5,0)</f>
        <v/>
      </c>
      <c r="K357">
        <f>IF(AND(H357="Промышленный",LEFT(I357,18)="Порошок стиральный",F357="Продажа",B357=DATE(2023,6,7)),E357*J357/1000,0)</f>
        <v/>
      </c>
    </row>
    <row r="358">
      <c r="A358" t="n">
        <v>357</v>
      </c>
      <c r="B358" s="1" t="n">
        <v>45079</v>
      </c>
      <c r="C358" s="5" t="inlineStr">
        <is>
          <t>M14</t>
        </is>
      </c>
      <c r="D358" s="5" t="n">
        <v>57</v>
      </c>
      <c r="E358" s="5" t="n">
        <v>200</v>
      </c>
      <c r="F358" t="inlineStr">
        <is>
          <t>Поступление</t>
        </is>
      </c>
      <c r="H358">
        <f>VLOOKUP(C358,Магазин!$A$2:$C$1000,2,0)</f>
        <v/>
      </c>
      <c r="I358">
        <f>VLOOKUP(D358,Товар!$A$2:$F$1000,3,0)</f>
        <v/>
      </c>
      <c r="J358">
        <f>VLOOKUP(D358,Товар!$A$2:$F$1000,5,0)</f>
        <v/>
      </c>
      <c r="K358">
        <f>IF(AND(H358="Промышленный",LEFT(I358,18)="Порошок стиральный",F358="Продажа",B358=DATE(2023,6,7)),E358*J358/1000,0)</f>
        <v/>
      </c>
    </row>
    <row r="359">
      <c r="A359" t="n">
        <v>358</v>
      </c>
      <c r="B359" s="1" t="n">
        <v>45079</v>
      </c>
      <c r="C359" s="5" t="inlineStr">
        <is>
          <t>M14</t>
        </is>
      </c>
      <c r="D359" s="5" t="n">
        <v>58</v>
      </c>
      <c r="E359" s="5" t="n">
        <v>200</v>
      </c>
      <c r="F359" t="inlineStr">
        <is>
          <t>Поступление</t>
        </is>
      </c>
      <c r="H359">
        <f>VLOOKUP(C359,Магазин!$A$2:$C$1000,2,0)</f>
        <v/>
      </c>
      <c r="I359">
        <f>VLOOKUP(D359,Товар!$A$2:$F$1000,3,0)</f>
        <v/>
      </c>
      <c r="J359">
        <f>VLOOKUP(D359,Товар!$A$2:$F$1000,5,0)</f>
        <v/>
      </c>
      <c r="K359">
        <f>IF(AND(H359="Промышленный",LEFT(I359,18)="Порошок стиральный",F359="Продажа",B359=DATE(2023,6,7)),E359*J359/1000,0)</f>
        <v/>
      </c>
    </row>
    <row r="360">
      <c r="A360" t="n">
        <v>359</v>
      </c>
      <c r="B360" s="1" t="n">
        <v>45079</v>
      </c>
      <c r="C360" s="5" t="inlineStr">
        <is>
          <t>M14</t>
        </is>
      </c>
      <c r="D360" s="5" t="n">
        <v>59</v>
      </c>
      <c r="E360" s="5" t="n">
        <v>200</v>
      </c>
      <c r="F360" t="inlineStr">
        <is>
          <t>Поступление</t>
        </is>
      </c>
      <c r="H360">
        <f>VLOOKUP(C360,Магазин!$A$2:$C$1000,2,0)</f>
        <v/>
      </c>
      <c r="I360">
        <f>VLOOKUP(D360,Товар!$A$2:$F$1000,3,0)</f>
        <v/>
      </c>
      <c r="J360">
        <f>VLOOKUP(D360,Товар!$A$2:$F$1000,5,0)</f>
        <v/>
      </c>
      <c r="K360">
        <f>IF(AND(H360="Промышленный",LEFT(I360,18)="Порошок стиральный",F360="Продажа",B360=DATE(2023,6,7)),E360*J360/1000,0)</f>
        <v/>
      </c>
    </row>
    <row r="361">
      <c r="A361" t="n">
        <v>360</v>
      </c>
      <c r="B361" s="1" t="n">
        <v>45079</v>
      </c>
      <c r="C361" s="5" t="inlineStr">
        <is>
          <t>M14</t>
        </is>
      </c>
      <c r="D361" s="5" t="n">
        <v>60</v>
      </c>
      <c r="E361" s="5" t="n">
        <v>200</v>
      </c>
      <c r="F361" t="inlineStr">
        <is>
          <t>Поступление</t>
        </is>
      </c>
      <c r="H361">
        <f>VLOOKUP(C361,Магазин!$A$2:$C$1000,2,0)</f>
        <v/>
      </c>
      <c r="I361">
        <f>VLOOKUP(D361,Товар!$A$2:$F$1000,3,0)</f>
        <v/>
      </c>
      <c r="J361">
        <f>VLOOKUP(D361,Товар!$A$2:$F$1000,5,0)</f>
        <v/>
      </c>
      <c r="K361">
        <f>IF(AND(H361="Промышленный",LEFT(I361,18)="Порошок стиральный",F361="Продажа",B361=DATE(2023,6,7)),E361*J361/1000,0)</f>
        <v/>
      </c>
    </row>
    <row r="362">
      <c r="A362" t="n">
        <v>361</v>
      </c>
      <c r="B362" s="1" t="n">
        <v>45079</v>
      </c>
      <c r="C362" s="5" t="inlineStr">
        <is>
          <t>M15</t>
        </is>
      </c>
      <c r="D362" s="5" t="n">
        <v>1</v>
      </c>
      <c r="E362" s="5" t="n">
        <v>200</v>
      </c>
      <c r="F362" t="inlineStr">
        <is>
          <t>Поступление</t>
        </is>
      </c>
      <c r="H362">
        <f>VLOOKUP(C362,Магазин!$A$2:$C$1000,2,0)</f>
        <v/>
      </c>
      <c r="I362">
        <f>VLOOKUP(D362,Товар!$A$2:$F$1000,3,0)</f>
        <v/>
      </c>
      <c r="J362">
        <f>VLOOKUP(D362,Товар!$A$2:$F$1000,5,0)</f>
        <v/>
      </c>
      <c r="K362">
        <f>IF(AND(H362="Промышленный",LEFT(I362,18)="Порошок стиральный",F362="Продажа",B362=DATE(2023,6,7)),E362*J362/1000,0)</f>
        <v/>
      </c>
    </row>
    <row r="363">
      <c r="A363" t="n">
        <v>362</v>
      </c>
      <c r="B363" s="1" t="n">
        <v>45079</v>
      </c>
      <c r="C363" s="5" t="inlineStr">
        <is>
          <t>M15</t>
        </is>
      </c>
      <c r="D363" s="5" t="n">
        <v>2</v>
      </c>
      <c r="E363" s="5" t="n">
        <v>200</v>
      </c>
      <c r="F363" t="inlineStr">
        <is>
          <t>Поступление</t>
        </is>
      </c>
      <c r="H363">
        <f>VLOOKUP(C363,Магазин!$A$2:$C$1000,2,0)</f>
        <v/>
      </c>
      <c r="I363">
        <f>VLOOKUP(D363,Товар!$A$2:$F$1000,3,0)</f>
        <v/>
      </c>
      <c r="J363">
        <f>VLOOKUP(D363,Товар!$A$2:$F$1000,5,0)</f>
        <v/>
      </c>
      <c r="K363">
        <f>IF(AND(H363="Промышленный",LEFT(I363,18)="Порошок стиральный",F363="Продажа",B363=DATE(2023,6,7)),E363*J363/1000,0)</f>
        <v/>
      </c>
    </row>
    <row r="364">
      <c r="A364" t="n">
        <v>363</v>
      </c>
      <c r="B364" s="1" t="n">
        <v>45079</v>
      </c>
      <c r="C364" s="5" t="inlineStr">
        <is>
          <t>M15</t>
        </is>
      </c>
      <c r="D364" s="5" t="n">
        <v>3</v>
      </c>
      <c r="E364" s="5" t="n">
        <v>200</v>
      </c>
      <c r="F364" t="inlineStr">
        <is>
          <t>Поступление</t>
        </is>
      </c>
      <c r="H364">
        <f>VLOOKUP(C364,Магазин!$A$2:$C$1000,2,0)</f>
        <v/>
      </c>
      <c r="I364">
        <f>VLOOKUP(D364,Товар!$A$2:$F$1000,3,0)</f>
        <v/>
      </c>
      <c r="J364">
        <f>VLOOKUP(D364,Товар!$A$2:$F$1000,5,0)</f>
        <v/>
      </c>
      <c r="K364">
        <f>IF(AND(H364="Промышленный",LEFT(I364,18)="Порошок стиральный",F364="Продажа",B364=DATE(2023,6,7)),E364*J364/1000,0)</f>
        <v/>
      </c>
    </row>
    <row r="365">
      <c r="A365" t="n">
        <v>364</v>
      </c>
      <c r="B365" s="1" t="n">
        <v>45079</v>
      </c>
      <c r="C365" s="5" t="inlineStr">
        <is>
          <t>M15</t>
        </is>
      </c>
      <c r="D365" s="5" t="n">
        <v>4</v>
      </c>
      <c r="E365" s="5" t="n">
        <v>200</v>
      </c>
      <c r="F365" t="inlineStr">
        <is>
          <t>Поступление</t>
        </is>
      </c>
      <c r="H365">
        <f>VLOOKUP(C365,Магазин!$A$2:$C$1000,2,0)</f>
        <v/>
      </c>
      <c r="I365">
        <f>VLOOKUP(D365,Товар!$A$2:$F$1000,3,0)</f>
        <v/>
      </c>
      <c r="J365">
        <f>VLOOKUP(D365,Товар!$A$2:$F$1000,5,0)</f>
        <v/>
      </c>
      <c r="K365">
        <f>IF(AND(H365="Промышленный",LEFT(I365,18)="Порошок стиральный",F365="Продажа",B365=DATE(2023,6,7)),E365*J365/1000,0)</f>
        <v/>
      </c>
    </row>
    <row r="366">
      <c r="A366" t="n">
        <v>365</v>
      </c>
      <c r="B366" s="1" t="n">
        <v>45079</v>
      </c>
      <c r="C366" s="5" t="inlineStr">
        <is>
          <t>M15</t>
        </is>
      </c>
      <c r="D366" s="5" t="n">
        <v>5</v>
      </c>
      <c r="E366" s="5" t="n">
        <v>200</v>
      </c>
      <c r="F366" t="inlineStr">
        <is>
          <t>Поступление</t>
        </is>
      </c>
      <c r="H366">
        <f>VLOOKUP(C366,Магазин!$A$2:$C$1000,2,0)</f>
        <v/>
      </c>
      <c r="I366">
        <f>VLOOKUP(D366,Товар!$A$2:$F$1000,3,0)</f>
        <v/>
      </c>
      <c r="J366">
        <f>VLOOKUP(D366,Товар!$A$2:$F$1000,5,0)</f>
        <v/>
      </c>
      <c r="K366">
        <f>IF(AND(H366="Промышленный",LEFT(I366,18)="Порошок стиральный",F366="Продажа",B366=DATE(2023,6,7)),E366*J366/1000,0)</f>
        <v/>
      </c>
    </row>
    <row r="367">
      <c r="A367" t="n">
        <v>366</v>
      </c>
      <c r="B367" s="1" t="n">
        <v>45079</v>
      </c>
      <c r="C367" s="5" t="inlineStr">
        <is>
          <t>M15</t>
        </is>
      </c>
      <c r="D367" s="5" t="n">
        <v>6</v>
      </c>
      <c r="E367" s="5" t="n">
        <v>200</v>
      </c>
      <c r="F367" t="inlineStr">
        <is>
          <t>Поступление</t>
        </is>
      </c>
      <c r="H367">
        <f>VLOOKUP(C367,Магазин!$A$2:$C$1000,2,0)</f>
        <v/>
      </c>
      <c r="I367">
        <f>VLOOKUP(D367,Товар!$A$2:$F$1000,3,0)</f>
        <v/>
      </c>
      <c r="J367">
        <f>VLOOKUP(D367,Товар!$A$2:$F$1000,5,0)</f>
        <v/>
      </c>
      <c r="K367">
        <f>IF(AND(H367="Промышленный",LEFT(I367,18)="Порошок стиральный",F367="Продажа",B367=DATE(2023,6,7)),E367*J367/1000,0)</f>
        <v/>
      </c>
    </row>
    <row r="368">
      <c r="A368" t="n">
        <v>367</v>
      </c>
      <c r="B368" s="1" t="n">
        <v>45079</v>
      </c>
      <c r="C368" s="5" t="inlineStr">
        <is>
          <t>M15</t>
        </is>
      </c>
      <c r="D368" s="5" t="n">
        <v>7</v>
      </c>
      <c r="E368" s="5" t="n">
        <v>200</v>
      </c>
      <c r="F368" t="inlineStr">
        <is>
          <t>Поступление</t>
        </is>
      </c>
      <c r="H368">
        <f>VLOOKUP(C368,Магазин!$A$2:$C$1000,2,0)</f>
        <v/>
      </c>
      <c r="I368">
        <f>VLOOKUP(D368,Товар!$A$2:$F$1000,3,0)</f>
        <v/>
      </c>
      <c r="J368">
        <f>VLOOKUP(D368,Товар!$A$2:$F$1000,5,0)</f>
        <v/>
      </c>
      <c r="K368">
        <f>IF(AND(H368="Промышленный",LEFT(I368,18)="Порошок стиральный",F368="Продажа",B368=DATE(2023,6,7)),E368*J368/1000,0)</f>
        <v/>
      </c>
    </row>
    <row r="369">
      <c r="A369" t="n">
        <v>368</v>
      </c>
      <c r="B369" s="1" t="n">
        <v>45079</v>
      </c>
      <c r="C369" s="5" t="inlineStr">
        <is>
          <t>M15</t>
        </is>
      </c>
      <c r="D369" s="5" t="n">
        <v>8</v>
      </c>
      <c r="E369" s="5" t="n">
        <v>200</v>
      </c>
      <c r="F369" t="inlineStr">
        <is>
          <t>Поступление</t>
        </is>
      </c>
      <c r="H369">
        <f>VLOOKUP(C369,Магазин!$A$2:$C$1000,2,0)</f>
        <v/>
      </c>
      <c r="I369">
        <f>VLOOKUP(D369,Товар!$A$2:$F$1000,3,0)</f>
        <v/>
      </c>
      <c r="J369">
        <f>VLOOKUP(D369,Товар!$A$2:$F$1000,5,0)</f>
        <v/>
      </c>
      <c r="K369">
        <f>IF(AND(H369="Промышленный",LEFT(I369,18)="Порошок стиральный",F369="Продажа",B369=DATE(2023,6,7)),E369*J369/1000,0)</f>
        <v/>
      </c>
    </row>
    <row r="370">
      <c r="A370" t="n">
        <v>369</v>
      </c>
      <c r="B370" s="1" t="n">
        <v>45079</v>
      </c>
      <c r="C370" s="5" t="inlineStr">
        <is>
          <t>M15</t>
        </is>
      </c>
      <c r="D370" s="5" t="n">
        <v>9</v>
      </c>
      <c r="E370" s="5" t="n">
        <v>200</v>
      </c>
      <c r="F370" t="inlineStr">
        <is>
          <t>Поступление</t>
        </is>
      </c>
      <c r="H370">
        <f>VLOOKUP(C370,Магазин!$A$2:$C$1000,2,0)</f>
        <v/>
      </c>
      <c r="I370">
        <f>VLOOKUP(D370,Товар!$A$2:$F$1000,3,0)</f>
        <v/>
      </c>
      <c r="J370">
        <f>VLOOKUP(D370,Товар!$A$2:$F$1000,5,0)</f>
        <v/>
      </c>
      <c r="K370">
        <f>IF(AND(H370="Промышленный",LEFT(I370,18)="Порошок стиральный",F370="Продажа",B370=DATE(2023,6,7)),E370*J370/1000,0)</f>
        <v/>
      </c>
    </row>
    <row r="371">
      <c r="A371" t="n">
        <v>370</v>
      </c>
      <c r="B371" s="1" t="n">
        <v>45079</v>
      </c>
      <c r="C371" s="5" t="inlineStr">
        <is>
          <t>M15</t>
        </is>
      </c>
      <c r="D371" s="5" t="n">
        <v>10</v>
      </c>
      <c r="E371" s="5" t="n">
        <v>200</v>
      </c>
      <c r="F371" t="inlineStr">
        <is>
          <t>Поступление</t>
        </is>
      </c>
      <c r="H371">
        <f>VLOOKUP(C371,Магазин!$A$2:$C$1000,2,0)</f>
        <v/>
      </c>
      <c r="I371">
        <f>VLOOKUP(D371,Товар!$A$2:$F$1000,3,0)</f>
        <v/>
      </c>
      <c r="J371">
        <f>VLOOKUP(D371,Товар!$A$2:$F$1000,5,0)</f>
        <v/>
      </c>
      <c r="K371">
        <f>IF(AND(H371="Промышленный",LEFT(I371,18)="Порошок стиральный",F371="Продажа",B371=DATE(2023,6,7)),E371*J371/1000,0)</f>
        <v/>
      </c>
    </row>
    <row r="372">
      <c r="A372" t="n">
        <v>371</v>
      </c>
      <c r="B372" s="1" t="n">
        <v>45079</v>
      </c>
      <c r="C372" s="5" t="inlineStr">
        <is>
          <t>M15</t>
        </is>
      </c>
      <c r="D372" s="5" t="n">
        <v>11</v>
      </c>
      <c r="E372" s="5" t="n">
        <v>200</v>
      </c>
      <c r="F372" t="inlineStr">
        <is>
          <t>Поступление</t>
        </is>
      </c>
      <c r="H372">
        <f>VLOOKUP(C372,Магазин!$A$2:$C$1000,2,0)</f>
        <v/>
      </c>
      <c r="I372">
        <f>VLOOKUP(D372,Товар!$A$2:$F$1000,3,0)</f>
        <v/>
      </c>
      <c r="J372">
        <f>VLOOKUP(D372,Товар!$A$2:$F$1000,5,0)</f>
        <v/>
      </c>
      <c r="K372">
        <f>IF(AND(H372="Промышленный",LEFT(I372,18)="Порошок стиральный",F372="Продажа",B372=DATE(2023,6,7)),E372*J372/1000,0)</f>
        <v/>
      </c>
    </row>
    <row r="373">
      <c r="A373" t="n">
        <v>372</v>
      </c>
      <c r="B373" s="1" t="n">
        <v>45079</v>
      </c>
      <c r="C373" s="5" t="inlineStr">
        <is>
          <t>M15</t>
        </is>
      </c>
      <c r="D373" s="5" t="n">
        <v>12</v>
      </c>
      <c r="E373" s="5" t="n">
        <v>200</v>
      </c>
      <c r="F373" t="inlineStr">
        <is>
          <t>Поступление</t>
        </is>
      </c>
      <c r="H373">
        <f>VLOOKUP(C373,Магазин!$A$2:$C$1000,2,0)</f>
        <v/>
      </c>
      <c r="I373">
        <f>VLOOKUP(D373,Товар!$A$2:$F$1000,3,0)</f>
        <v/>
      </c>
      <c r="J373">
        <f>VLOOKUP(D373,Товар!$A$2:$F$1000,5,0)</f>
        <v/>
      </c>
      <c r="K373">
        <f>IF(AND(H373="Промышленный",LEFT(I373,18)="Порошок стиральный",F373="Продажа",B373=DATE(2023,6,7)),E373*J373/1000,0)</f>
        <v/>
      </c>
    </row>
    <row r="374">
      <c r="A374" t="n">
        <v>373</v>
      </c>
      <c r="B374" s="1" t="n">
        <v>45079</v>
      </c>
      <c r="C374" s="5" t="inlineStr">
        <is>
          <t>M15</t>
        </is>
      </c>
      <c r="D374" s="5" t="n">
        <v>13</v>
      </c>
      <c r="E374" s="5" t="n">
        <v>200</v>
      </c>
      <c r="F374" t="inlineStr">
        <is>
          <t>Поступление</t>
        </is>
      </c>
      <c r="H374">
        <f>VLOOKUP(C374,Магазин!$A$2:$C$1000,2,0)</f>
        <v/>
      </c>
      <c r="I374">
        <f>VLOOKUP(D374,Товар!$A$2:$F$1000,3,0)</f>
        <v/>
      </c>
      <c r="J374">
        <f>VLOOKUP(D374,Товар!$A$2:$F$1000,5,0)</f>
        <v/>
      </c>
      <c r="K374">
        <f>IF(AND(H374="Промышленный",LEFT(I374,18)="Порошок стиральный",F374="Продажа",B374=DATE(2023,6,7)),E374*J374/1000,0)</f>
        <v/>
      </c>
    </row>
    <row r="375">
      <c r="A375" t="n">
        <v>374</v>
      </c>
      <c r="B375" s="1" t="n">
        <v>45079</v>
      </c>
      <c r="C375" s="5" t="inlineStr">
        <is>
          <t>M15</t>
        </is>
      </c>
      <c r="D375" s="5" t="n">
        <v>14</v>
      </c>
      <c r="E375" s="5" t="n">
        <v>200</v>
      </c>
      <c r="F375" t="inlineStr">
        <is>
          <t>Поступление</t>
        </is>
      </c>
      <c r="H375">
        <f>VLOOKUP(C375,Магазин!$A$2:$C$1000,2,0)</f>
        <v/>
      </c>
      <c r="I375">
        <f>VLOOKUP(D375,Товар!$A$2:$F$1000,3,0)</f>
        <v/>
      </c>
      <c r="J375">
        <f>VLOOKUP(D375,Товар!$A$2:$F$1000,5,0)</f>
        <v/>
      </c>
      <c r="K375">
        <f>IF(AND(H375="Промышленный",LEFT(I375,18)="Порошок стиральный",F375="Продажа",B375=DATE(2023,6,7)),E375*J375/1000,0)</f>
        <v/>
      </c>
    </row>
    <row r="376">
      <c r="A376" t="n">
        <v>375</v>
      </c>
      <c r="B376" s="1" t="n">
        <v>45079</v>
      </c>
      <c r="C376" s="5" t="inlineStr">
        <is>
          <t>M15</t>
        </is>
      </c>
      <c r="D376" s="5" t="n">
        <v>15</v>
      </c>
      <c r="E376" s="5" t="n">
        <v>200</v>
      </c>
      <c r="F376" t="inlineStr">
        <is>
          <t>Поступление</t>
        </is>
      </c>
      <c r="H376">
        <f>VLOOKUP(C376,Магазин!$A$2:$C$1000,2,0)</f>
        <v/>
      </c>
      <c r="I376">
        <f>VLOOKUP(D376,Товар!$A$2:$F$1000,3,0)</f>
        <v/>
      </c>
      <c r="J376">
        <f>VLOOKUP(D376,Товар!$A$2:$F$1000,5,0)</f>
        <v/>
      </c>
      <c r="K376">
        <f>IF(AND(H376="Промышленный",LEFT(I376,18)="Порошок стиральный",F376="Продажа",B376=DATE(2023,6,7)),E376*J376/1000,0)</f>
        <v/>
      </c>
    </row>
    <row r="377">
      <c r="A377" t="n">
        <v>376</v>
      </c>
      <c r="B377" s="1" t="n">
        <v>45079</v>
      </c>
      <c r="C377" s="5" t="inlineStr">
        <is>
          <t>M15</t>
        </is>
      </c>
      <c r="D377" s="5" t="n">
        <v>16</v>
      </c>
      <c r="E377" s="5" t="n">
        <v>200</v>
      </c>
      <c r="F377" t="inlineStr">
        <is>
          <t>Поступление</t>
        </is>
      </c>
      <c r="H377">
        <f>VLOOKUP(C377,Магазин!$A$2:$C$1000,2,0)</f>
        <v/>
      </c>
      <c r="I377">
        <f>VLOOKUP(D377,Товар!$A$2:$F$1000,3,0)</f>
        <v/>
      </c>
      <c r="J377">
        <f>VLOOKUP(D377,Товар!$A$2:$F$1000,5,0)</f>
        <v/>
      </c>
      <c r="K377">
        <f>IF(AND(H377="Промышленный",LEFT(I377,18)="Порошок стиральный",F377="Продажа",B377=DATE(2023,6,7)),E377*J377/1000,0)</f>
        <v/>
      </c>
    </row>
    <row r="378">
      <c r="A378" t="n">
        <v>377</v>
      </c>
      <c r="B378" s="1" t="n">
        <v>45079</v>
      </c>
      <c r="C378" s="5" t="inlineStr">
        <is>
          <t>M15</t>
        </is>
      </c>
      <c r="D378" s="5" t="n">
        <v>17</v>
      </c>
      <c r="E378" s="5" t="n">
        <v>200</v>
      </c>
      <c r="F378" t="inlineStr">
        <is>
          <t>Поступление</t>
        </is>
      </c>
      <c r="H378">
        <f>VLOOKUP(C378,Магазин!$A$2:$C$1000,2,0)</f>
        <v/>
      </c>
      <c r="I378">
        <f>VLOOKUP(D378,Товар!$A$2:$F$1000,3,0)</f>
        <v/>
      </c>
      <c r="J378">
        <f>VLOOKUP(D378,Товар!$A$2:$F$1000,5,0)</f>
        <v/>
      </c>
      <c r="K378">
        <f>IF(AND(H378="Промышленный",LEFT(I378,18)="Порошок стиральный",F378="Продажа",B378=DATE(2023,6,7)),E378*J378/1000,0)</f>
        <v/>
      </c>
    </row>
    <row r="379">
      <c r="A379" t="n">
        <v>378</v>
      </c>
      <c r="B379" s="1" t="n">
        <v>45079</v>
      </c>
      <c r="C379" s="5" t="inlineStr">
        <is>
          <t>M15</t>
        </is>
      </c>
      <c r="D379" s="5" t="n">
        <v>18</v>
      </c>
      <c r="E379" s="5" t="n">
        <v>200</v>
      </c>
      <c r="F379" t="inlineStr">
        <is>
          <t>Поступление</t>
        </is>
      </c>
      <c r="H379">
        <f>VLOOKUP(C379,Магазин!$A$2:$C$1000,2,0)</f>
        <v/>
      </c>
      <c r="I379">
        <f>VLOOKUP(D379,Товар!$A$2:$F$1000,3,0)</f>
        <v/>
      </c>
      <c r="J379">
        <f>VLOOKUP(D379,Товар!$A$2:$F$1000,5,0)</f>
        <v/>
      </c>
      <c r="K379">
        <f>IF(AND(H379="Промышленный",LEFT(I379,18)="Порошок стиральный",F379="Продажа",B379=DATE(2023,6,7)),E379*J379/1000,0)</f>
        <v/>
      </c>
    </row>
    <row r="380">
      <c r="A380" t="n">
        <v>379</v>
      </c>
      <c r="B380" s="1" t="n">
        <v>45079</v>
      </c>
      <c r="C380" s="5" t="inlineStr">
        <is>
          <t>M15</t>
        </is>
      </c>
      <c r="D380" s="5" t="n">
        <v>19</v>
      </c>
      <c r="E380" s="5" t="n">
        <v>200</v>
      </c>
      <c r="F380" t="inlineStr">
        <is>
          <t>Поступление</t>
        </is>
      </c>
      <c r="H380">
        <f>VLOOKUP(C380,Магазин!$A$2:$C$1000,2,0)</f>
        <v/>
      </c>
      <c r="I380">
        <f>VLOOKUP(D380,Товар!$A$2:$F$1000,3,0)</f>
        <v/>
      </c>
      <c r="J380">
        <f>VLOOKUP(D380,Товар!$A$2:$F$1000,5,0)</f>
        <v/>
      </c>
      <c r="K380">
        <f>IF(AND(H380="Промышленный",LEFT(I380,18)="Порошок стиральный",F380="Продажа",B380=DATE(2023,6,7)),E380*J380/1000,0)</f>
        <v/>
      </c>
    </row>
    <row r="381">
      <c r="A381" t="n">
        <v>380</v>
      </c>
      <c r="B381" s="1" t="n">
        <v>45079</v>
      </c>
      <c r="C381" s="5" t="inlineStr">
        <is>
          <t>M15</t>
        </is>
      </c>
      <c r="D381" s="5" t="n">
        <v>20</v>
      </c>
      <c r="E381" s="5" t="n">
        <v>200</v>
      </c>
      <c r="F381" t="inlineStr">
        <is>
          <t>Поступление</t>
        </is>
      </c>
      <c r="H381">
        <f>VLOOKUP(C381,Магазин!$A$2:$C$1000,2,0)</f>
        <v/>
      </c>
      <c r="I381">
        <f>VLOOKUP(D381,Товар!$A$2:$F$1000,3,0)</f>
        <v/>
      </c>
      <c r="J381">
        <f>VLOOKUP(D381,Товар!$A$2:$F$1000,5,0)</f>
        <v/>
      </c>
      <c r="K381">
        <f>IF(AND(H381="Промышленный",LEFT(I381,18)="Порошок стиральный",F381="Продажа",B381=DATE(2023,6,7)),E381*J381/1000,0)</f>
        <v/>
      </c>
    </row>
    <row r="382">
      <c r="A382" t="n">
        <v>381</v>
      </c>
      <c r="B382" s="1" t="n">
        <v>45079</v>
      </c>
      <c r="C382" s="5" t="inlineStr">
        <is>
          <t>M15</t>
        </is>
      </c>
      <c r="D382" s="5" t="n">
        <v>21</v>
      </c>
      <c r="E382" s="5" t="n">
        <v>200</v>
      </c>
      <c r="F382" t="inlineStr">
        <is>
          <t>Поступление</t>
        </is>
      </c>
      <c r="H382">
        <f>VLOOKUP(C382,Магазин!$A$2:$C$1000,2,0)</f>
        <v/>
      </c>
      <c r="I382">
        <f>VLOOKUP(D382,Товар!$A$2:$F$1000,3,0)</f>
        <v/>
      </c>
      <c r="J382">
        <f>VLOOKUP(D382,Товар!$A$2:$F$1000,5,0)</f>
        <v/>
      </c>
      <c r="K382">
        <f>IF(AND(H382="Промышленный",LEFT(I382,18)="Порошок стиральный",F382="Продажа",B382=DATE(2023,6,7)),E382*J382/1000,0)</f>
        <v/>
      </c>
    </row>
    <row r="383">
      <c r="A383" t="n">
        <v>382</v>
      </c>
      <c r="B383" s="1" t="n">
        <v>45079</v>
      </c>
      <c r="C383" s="5" t="inlineStr">
        <is>
          <t>M15</t>
        </is>
      </c>
      <c r="D383" s="5" t="n">
        <v>22</v>
      </c>
      <c r="E383" s="5" t="n">
        <v>200</v>
      </c>
      <c r="F383" t="inlineStr">
        <is>
          <t>Поступление</t>
        </is>
      </c>
      <c r="H383">
        <f>VLOOKUP(C383,Магазин!$A$2:$C$1000,2,0)</f>
        <v/>
      </c>
      <c r="I383">
        <f>VLOOKUP(D383,Товар!$A$2:$F$1000,3,0)</f>
        <v/>
      </c>
      <c r="J383">
        <f>VLOOKUP(D383,Товар!$A$2:$F$1000,5,0)</f>
        <v/>
      </c>
      <c r="K383">
        <f>IF(AND(H383="Промышленный",LEFT(I383,18)="Порошок стиральный",F383="Продажа",B383=DATE(2023,6,7)),E383*J383/1000,0)</f>
        <v/>
      </c>
    </row>
    <row r="384">
      <c r="A384" t="n">
        <v>383</v>
      </c>
      <c r="B384" s="1" t="n">
        <v>45079</v>
      </c>
      <c r="C384" s="5" t="inlineStr">
        <is>
          <t>M15</t>
        </is>
      </c>
      <c r="D384" s="5" t="n">
        <v>23</v>
      </c>
      <c r="E384" s="5" t="n">
        <v>200</v>
      </c>
      <c r="F384" t="inlineStr">
        <is>
          <t>Поступление</t>
        </is>
      </c>
      <c r="H384">
        <f>VLOOKUP(C384,Магазин!$A$2:$C$1000,2,0)</f>
        <v/>
      </c>
      <c r="I384">
        <f>VLOOKUP(D384,Товар!$A$2:$F$1000,3,0)</f>
        <v/>
      </c>
      <c r="J384">
        <f>VLOOKUP(D384,Товар!$A$2:$F$1000,5,0)</f>
        <v/>
      </c>
      <c r="K384">
        <f>IF(AND(H384="Промышленный",LEFT(I384,18)="Порошок стиральный",F384="Продажа",B384=DATE(2023,6,7)),E384*J384/1000,0)</f>
        <v/>
      </c>
    </row>
    <row r="385">
      <c r="A385" t="n">
        <v>384</v>
      </c>
      <c r="B385" s="1" t="n">
        <v>45079</v>
      </c>
      <c r="C385" s="5" t="inlineStr">
        <is>
          <t>M15</t>
        </is>
      </c>
      <c r="D385" s="5" t="n">
        <v>24</v>
      </c>
      <c r="E385" s="5" t="n">
        <v>200</v>
      </c>
      <c r="F385" t="inlineStr">
        <is>
          <t>Поступление</t>
        </is>
      </c>
      <c r="H385">
        <f>VLOOKUP(C385,Магазин!$A$2:$C$1000,2,0)</f>
        <v/>
      </c>
      <c r="I385">
        <f>VLOOKUP(D385,Товар!$A$2:$F$1000,3,0)</f>
        <v/>
      </c>
      <c r="J385">
        <f>VLOOKUP(D385,Товар!$A$2:$F$1000,5,0)</f>
        <v/>
      </c>
      <c r="K385">
        <f>IF(AND(H385="Промышленный",LEFT(I385,18)="Порошок стиральный",F385="Продажа",B385=DATE(2023,6,7)),E385*J385/1000,0)</f>
        <v/>
      </c>
    </row>
    <row r="386">
      <c r="A386" t="n">
        <v>385</v>
      </c>
      <c r="B386" s="1" t="n">
        <v>45079</v>
      </c>
      <c r="C386" s="5" t="inlineStr">
        <is>
          <t>M15</t>
        </is>
      </c>
      <c r="D386" s="5" t="n">
        <v>25</v>
      </c>
      <c r="E386" s="5" t="n">
        <v>200</v>
      </c>
      <c r="F386" t="inlineStr">
        <is>
          <t>Поступление</t>
        </is>
      </c>
      <c r="H386">
        <f>VLOOKUP(C386,Магазин!$A$2:$C$1000,2,0)</f>
        <v/>
      </c>
      <c r="I386">
        <f>VLOOKUP(D386,Товар!$A$2:$F$1000,3,0)</f>
        <v/>
      </c>
      <c r="J386">
        <f>VLOOKUP(D386,Товар!$A$2:$F$1000,5,0)</f>
        <v/>
      </c>
      <c r="K386">
        <f>IF(AND(H386="Промышленный",LEFT(I386,18)="Порошок стиральный",F386="Продажа",B386=DATE(2023,6,7)),E386*J386/1000,0)</f>
        <v/>
      </c>
    </row>
    <row r="387">
      <c r="A387" t="n">
        <v>386</v>
      </c>
      <c r="B387" s="1" t="n">
        <v>45079</v>
      </c>
      <c r="C387" s="5" t="inlineStr">
        <is>
          <t>M15</t>
        </is>
      </c>
      <c r="D387" s="5" t="n">
        <v>26</v>
      </c>
      <c r="E387" s="5" t="n">
        <v>200</v>
      </c>
      <c r="F387" t="inlineStr">
        <is>
          <t>Поступление</t>
        </is>
      </c>
      <c r="H387">
        <f>VLOOKUP(C387,Магазин!$A$2:$C$1000,2,0)</f>
        <v/>
      </c>
      <c r="I387">
        <f>VLOOKUP(D387,Товар!$A$2:$F$1000,3,0)</f>
        <v/>
      </c>
      <c r="J387">
        <f>VLOOKUP(D387,Товар!$A$2:$F$1000,5,0)</f>
        <v/>
      </c>
      <c r="K387">
        <f>IF(AND(H387="Промышленный",LEFT(I387,18)="Порошок стиральный",F387="Продажа",B387=DATE(2023,6,7)),E387*J387/1000,0)</f>
        <v/>
      </c>
    </row>
    <row r="388">
      <c r="A388" t="n">
        <v>387</v>
      </c>
      <c r="B388" s="1" t="n">
        <v>45079</v>
      </c>
      <c r="C388" s="5" t="inlineStr">
        <is>
          <t>M15</t>
        </is>
      </c>
      <c r="D388" s="5" t="n">
        <v>27</v>
      </c>
      <c r="E388" s="5" t="n">
        <v>200</v>
      </c>
      <c r="F388" t="inlineStr">
        <is>
          <t>Поступление</t>
        </is>
      </c>
      <c r="H388">
        <f>VLOOKUP(C388,Магазин!$A$2:$C$1000,2,0)</f>
        <v/>
      </c>
      <c r="I388">
        <f>VLOOKUP(D388,Товар!$A$2:$F$1000,3,0)</f>
        <v/>
      </c>
      <c r="J388">
        <f>VLOOKUP(D388,Товар!$A$2:$F$1000,5,0)</f>
        <v/>
      </c>
      <c r="K388">
        <f>IF(AND(H388="Промышленный",LEFT(I388,18)="Порошок стиральный",F388="Продажа",B388=DATE(2023,6,7)),E388*J388/1000,0)</f>
        <v/>
      </c>
    </row>
    <row r="389">
      <c r="A389" t="n">
        <v>388</v>
      </c>
      <c r="B389" s="1" t="n">
        <v>45079</v>
      </c>
      <c r="C389" s="5" t="inlineStr">
        <is>
          <t>M15</t>
        </is>
      </c>
      <c r="D389" s="5" t="n">
        <v>28</v>
      </c>
      <c r="E389" s="5" t="n">
        <v>200</v>
      </c>
      <c r="F389" t="inlineStr">
        <is>
          <t>Поступление</t>
        </is>
      </c>
      <c r="H389">
        <f>VLOOKUP(C389,Магазин!$A$2:$C$1000,2,0)</f>
        <v/>
      </c>
      <c r="I389">
        <f>VLOOKUP(D389,Товар!$A$2:$F$1000,3,0)</f>
        <v/>
      </c>
      <c r="J389">
        <f>VLOOKUP(D389,Товар!$A$2:$F$1000,5,0)</f>
        <v/>
      </c>
      <c r="K389">
        <f>IF(AND(H389="Промышленный",LEFT(I389,18)="Порошок стиральный",F389="Продажа",B389=DATE(2023,6,7)),E389*J389/1000,0)</f>
        <v/>
      </c>
    </row>
    <row r="390">
      <c r="A390" t="n">
        <v>389</v>
      </c>
      <c r="B390" s="1" t="n">
        <v>45079</v>
      </c>
      <c r="C390" s="5" t="inlineStr">
        <is>
          <t>M15</t>
        </is>
      </c>
      <c r="D390" s="5" t="n">
        <v>29</v>
      </c>
      <c r="E390" s="5" t="n">
        <v>200</v>
      </c>
      <c r="F390" t="inlineStr">
        <is>
          <t>Поступление</t>
        </is>
      </c>
      <c r="H390">
        <f>VLOOKUP(C390,Магазин!$A$2:$C$1000,2,0)</f>
        <v/>
      </c>
      <c r="I390">
        <f>VLOOKUP(D390,Товар!$A$2:$F$1000,3,0)</f>
        <v/>
      </c>
      <c r="J390">
        <f>VLOOKUP(D390,Товар!$A$2:$F$1000,5,0)</f>
        <v/>
      </c>
      <c r="K390">
        <f>IF(AND(H390="Промышленный",LEFT(I390,18)="Порошок стиральный",F390="Продажа",B390=DATE(2023,6,7)),E390*J390/1000,0)</f>
        <v/>
      </c>
    </row>
    <row r="391">
      <c r="A391" t="n">
        <v>390</v>
      </c>
      <c r="B391" s="1" t="n">
        <v>45079</v>
      </c>
      <c r="C391" s="5" t="inlineStr">
        <is>
          <t>M15</t>
        </is>
      </c>
      <c r="D391" s="5" t="n">
        <v>30</v>
      </c>
      <c r="E391" s="5" t="n">
        <v>200</v>
      </c>
      <c r="F391" t="inlineStr">
        <is>
          <t>Поступление</t>
        </is>
      </c>
      <c r="H391">
        <f>VLOOKUP(C391,Магазин!$A$2:$C$1000,2,0)</f>
        <v/>
      </c>
      <c r="I391">
        <f>VLOOKUP(D391,Товар!$A$2:$F$1000,3,0)</f>
        <v/>
      </c>
      <c r="J391">
        <f>VLOOKUP(D391,Товар!$A$2:$F$1000,5,0)</f>
        <v/>
      </c>
      <c r="K391">
        <f>IF(AND(H391="Промышленный",LEFT(I391,18)="Порошок стиральный",F391="Продажа",B391=DATE(2023,6,7)),E391*J391/1000,0)</f>
        <v/>
      </c>
    </row>
    <row r="392">
      <c r="A392" t="n">
        <v>391</v>
      </c>
      <c r="B392" s="1" t="n">
        <v>45079</v>
      </c>
      <c r="C392" s="5" t="inlineStr">
        <is>
          <t>M15</t>
        </is>
      </c>
      <c r="D392" s="5" t="n">
        <v>31</v>
      </c>
      <c r="E392" s="5" t="n">
        <v>200</v>
      </c>
      <c r="F392" t="inlineStr">
        <is>
          <t>Поступление</t>
        </is>
      </c>
      <c r="H392">
        <f>VLOOKUP(C392,Магазин!$A$2:$C$1000,2,0)</f>
        <v/>
      </c>
      <c r="I392">
        <f>VLOOKUP(D392,Товар!$A$2:$F$1000,3,0)</f>
        <v/>
      </c>
      <c r="J392">
        <f>VLOOKUP(D392,Товар!$A$2:$F$1000,5,0)</f>
        <v/>
      </c>
      <c r="K392">
        <f>IF(AND(H392="Промышленный",LEFT(I392,18)="Порошок стиральный",F392="Продажа",B392=DATE(2023,6,7)),E392*J392/1000,0)</f>
        <v/>
      </c>
    </row>
    <row r="393">
      <c r="A393" t="n">
        <v>392</v>
      </c>
      <c r="B393" s="1" t="n">
        <v>45079</v>
      </c>
      <c r="C393" s="5" t="inlineStr">
        <is>
          <t>M15</t>
        </is>
      </c>
      <c r="D393" s="5" t="n">
        <v>32</v>
      </c>
      <c r="E393" s="5" t="n">
        <v>200</v>
      </c>
      <c r="F393" t="inlineStr">
        <is>
          <t>Поступление</t>
        </is>
      </c>
      <c r="H393">
        <f>VLOOKUP(C393,Магазин!$A$2:$C$1000,2,0)</f>
        <v/>
      </c>
      <c r="I393">
        <f>VLOOKUP(D393,Товар!$A$2:$F$1000,3,0)</f>
        <v/>
      </c>
      <c r="J393">
        <f>VLOOKUP(D393,Товар!$A$2:$F$1000,5,0)</f>
        <v/>
      </c>
      <c r="K393">
        <f>IF(AND(H393="Промышленный",LEFT(I393,18)="Порошок стиральный",F393="Продажа",B393=DATE(2023,6,7)),E393*J393/1000,0)</f>
        <v/>
      </c>
    </row>
    <row r="394">
      <c r="A394" t="n">
        <v>393</v>
      </c>
      <c r="B394" s="1" t="n">
        <v>45079</v>
      </c>
      <c r="C394" s="5" t="inlineStr">
        <is>
          <t>M15</t>
        </is>
      </c>
      <c r="D394" s="5" t="n">
        <v>33</v>
      </c>
      <c r="E394" s="5" t="n">
        <v>200</v>
      </c>
      <c r="F394" t="inlineStr">
        <is>
          <t>Поступление</t>
        </is>
      </c>
      <c r="H394">
        <f>VLOOKUP(C394,Магазин!$A$2:$C$1000,2,0)</f>
        <v/>
      </c>
      <c r="I394">
        <f>VLOOKUP(D394,Товар!$A$2:$F$1000,3,0)</f>
        <v/>
      </c>
      <c r="J394">
        <f>VLOOKUP(D394,Товар!$A$2:$F$1000,5,0)</f>
        <v/>
      </c>
      <c r="K394">
        <f>IF(AND(H394="Промышленный",LEFT(I394,18)="Порошок стиральный",F394="Продажа",B394=DATE(2023,6,7)),E394*J394/1000,0)</f>
        <v/>
      </c>
    </row>
    <row r="395">
      <c r="A395" t="n">
        <v>394</v>
      </c>
      <c r="B395" s="1" t="n">
        <v>45079</v>
      </c>
      <c r="C395" s="5" t="inlineStr">
        <is>
          <t>M15</t>
        </is>
      </c>
      <c r="D395" s="5" t="n">
        <v>34</v>
      </c>
      <c r="E395" s="5" t="n">
        <v>200</v>
      </c>
      <c r="F395" t="inlineStr">
        <is>
          <t>Поступление</t>
        </is>
      </c>
      <c r="H395">
        <f>VLOOKUP(C395,Магазин!$A$2:$C$1000,2,0)</f>
        <v/>
      </c>
      <c r="I395">
        <f>VLOOKUP(D395,Товар!$A$2:$F$1000,3,0)</f>
        <v/>
      </c>
      <c r="J395">
        <f>VLOOKUP(D395,Товар!$A$2:$F$1000,5,0)</f>
        <v/>
      </c>
      <c r="K395">
        <f>IF(AND(H395="Промышленный",LEFT(I395,18)="Порошок стиральный",F395="Продажа",B395=DATE(2023,6,7)),E395*J395/1000,0)</f>
        <v/>
      </c>
    </row>
    <row r="396">
      <c r="A396" t="n">
        <v>395</v>
      </c>
      <c r="B396" s="1" t="n">
        <v>45079</v>
      </c>
      <c r="C396" s="5" t="inlineStr">
        <is>
          <t>M15</t>
        </is>
      </c>
      <c r="D396" s="5" t="n">
        <v>35</v>
      </c>
      <c r="E396" s="5" t="n">
        <v>200</v>
      </c>
      <c r="F396" t="inlineStr">
        <is>
          <t>Поступление</t>
        </is>
      </c>
      <c r="H396">
        <f>VLOOKUP(C396,Магазин!$A$2:$C$1000,2,0)</f>
        <v/>
      </c>
      <c r="I396">
        <f>VLOOKUP(D396,Товар!$A$2:$F$1000,3,0)</f>
        <v/>
      </c>
      <c r="J396">
        <f>VLOOKUP(D396,Товар!$A$2:$F$1000,5,0)</f>
        <v/>
      </c>
      <c r="K396">
        <f>IF(AND(H396="Промышленный",LEFT(I396,18)="Порошок стиральный",F396="Продажа",B396=DATE(2023,6,7)),E396*J396/1000,0)</f>
        <v/>
      </c>
    </row>
    <row r="397">
      <c r="A397" t="n">
        <v>396</v>
      </c>
      <c r="B397" s="1" t="n">
        <v>45079</v>
      </c>
      <c r="C397" s="5" t="inlineStr">
        <is>
          <t>M15</t>
        </is>
      </c>
      <c r="D397" s="5" t="n">
        <v>36</v>
      </c>
      <c r="E397" s="5" t="n">
        <v>200</v>
      </c>
      <c r="F397" t="inlineStr">
        <is>
          <t>Поступление</t>
        </is>
      </c>
      <c r="H397">
        <f>VLOOKUP(C397,Магазин!$A$2:$C$1000,2,0)</f>
        <v/>
      </c>
      <c r="I397">
        <f>VLOOKUP(D397,Товар!$A$2:$F$1000,3,0)</f>
        <v/>
      </c>
      <c r="J397">
        <f>VLOOKUP(D397,Товар!$A$2:$F$1000,5,0)</f>
        <v/>
      </c>
      <c r="K397">
        <f>IF(AND(H397="Промышленный",LEFT(I397,18)="Порошок стиральный",F397="Продажа",B397=DATE(2023,6,7)),E397*J397/1000,0)</f>
        <v/>
      </c>
    </row>
    <row r="398">
      <c r="A398" t="n">
        <v>397</v>
      </c>
      <c r="B398" s="1" t="n">
        <v>45079</v>
      </c>
      <c r="C398" s="5" t="inlineStr">
        <is>
          <t>M15</t>
        </is>
      </c>
      <c r="D398" s="5" t="n">
        <v>37</v>
      </c>
      <c r="E398" s="5" t="n">
        <v>300</v>
      </c>
      <c r="F398" t="inlineStr">
        <is>
          <t>Поступление</t>
        </is>
      </c>
      <c r="H398">
        <f>VLOOKUP(C398,Магазин!$A$2:$C$1000,2,0)</f>
        <v/>
      </c>
      <c r="I398">
        <f>VLOOKUP(D398,Товар!$A$2:$F$1000,3,0)</f>
        <v/>
      </c>
      <c r="J398">
        <f>VLOOKUP(D398,Товар!$A$2:$F$1000,5,0)</f>
        <v/>
      </c>
      <c r="K398">
        <f>IF(AND(H398="Промышленный",LEFT(I398,18)="Порошок стиральный",F398="Продажа",B398=DATE(2023,6,7)),E398*J398/1000,0)</f>
        <v/>
      </c>
    </row>
    <row r="399">
      <c r="A399" t="n">
        <v>398</v>
      </c>
      <c r="B399" s="1" t="n">
        <v>45079</v>
      </c>
      <c r="C399" s="5" t="inlineStr">
        <is>
          <t>M15</t>
        </is>
      </c>
      <c r="D399" s="5" t="n">
        <v>38</v>
      </c>
      <c r="E399" s="5" t="n">
        <v>300</v>
      </c>
      <c r="F399" t="inlineStr">
        <is>
          <t>Поступление</t>
        </is>
      </c>
      <c r="H399">
        <f>VLOOKUP(C399,Магазин!$A$2:$C$1000,2,0)</f>
        <v/>
      </c>
      <c r="I399">
        <f>VLOOKUP(D399,Товар!$A$2:$F$1000,3,0)</f>
        <v/>
      </c>
      <c r="J399">
        <f>VLOOKUP(D399,Товар!$A$2:$F$1000,5,0)</f>
        <v/>
      </c>
      <c r="K399">
        <f>IF(AND(H399="Промышленный",LEFT(I399,18)="Порошок стиральный",F399="Продажа",B399=DATE(2023,6,7)),E399*J399/1000,0)</f>
        <v/>
      </c>
    </row>
    <row r="400">
      <c r="A400" t="n">
        <v>399</v>
      </c>
      <c r="B400" s="1" t="n">
        <v>45079</v>
      </c>
      <c r="C400" s="5" t="inlineStr">
        <is>
          <t>M15</t>
        </is>
      </c>
      <c r="D400" s="5" t="n">
        <v>39</v>
      </c>
      <c r="E400" s="5" t="n">
        <v>300</v>
      </c>
      <c r="F400" t="inlineStr">
        <is>
          <t>Поступление</t>
        </is>
      </c>
      <c r="H400">
        <f>VLOOKUP(C400,Магазин!$A$2:$C$1000,2,0)</f>
        <v/>
      </c>
      <c r="I400">
        <f>VLOOKUP(D400,Товар!$A$2:$F$1000,3,0)</f>
        <v/>
      </c>
      <c r="J400">
        <f>VLOOKUP(D400,Товар!$A$2:$F$1000,5,0)</f>
        <v/>
      </c>
      <c r="K400">
        <f>IF(AND(H400="Промышленный",LEFT(I400,18)="Порошок стиральный",F400="Продажа",B400=DATE(2023,6,7)),E400*J400/1000,0)</f>
        <v/>
      </c>
    </row>
    <row r="401">
      <c r="A401" t="n">
        <v>400</v>
      </c>
      <c r="B401" s="1" t="n">
        <v>45079</v>
      </c>
      <c r="C401" s="5" t="inlineStr">
        <is>
          <t>M15</t>
        </is>
      </c>
      <c r="D401" s="5" t="n">
        <v>40</v>
      </c>
      <c r="E401" s="5" t="n">
        <v>300</v>
      </c>
      <c r="F401" t="inlineStr">
        <is>
          <t>Поступление</t>
        </is>
      </c>
      <c r="H401">
        <f>VLOOKUP(C401,Магазин!$A$2:$C$1000,2,0)</f>
        <v/>
      </c>
      <c r="I401">
        <f>VLOOKUP(D401,Товар!$A$2:$F$1000,3,0)</f>
        <v/>
      </c>
      <c r="J401">
        <f>VLOOKUP(D401,Товар!$A$2:$F$1000,5,0)</f>
        <v/>
      </c>
      <c r="K401">
        <f>IF(AND(H401="Промышленный",LEFT(I401,18)="Порошок стиральный",F401="Продажа",B401=DATE(2023,6,7)),E401*J401/1000,0)</f>
        <v/>
      </c>
    </row>
    <row r="402">
      <c r="A402" t="n">
        <v>401</v>
      </c>
      <c r="B402" s="1" t="n">
        <v>45079</v>
      </c>
      <c r="C402" s="5" t="inlineStr">
        <is>
          <t>M15</t>
        </is>
      </c>
      <c r="D402" s="5" t="n">
        <v>41</v>
      </c>
      <c r="E402" s="5" t="n">
        <v>300</v>
      </c>
      <c r="F402" t="inlineStr">
        <is>
          <t>Поступление</t>
        </is>
      </c>
      <c r="H402">
        <f>VLOOKUP(C402,Магазин!$A$2:$C$1000,2,0)</f>
        <v/>
      </c>
      <c r="I402">
        <f>VLOOKUP(D402,Товар!$A$2:$F$1000,3,0)</f>
        <v/>
      </c>
      <c r="J402">
        <f>VLOOKUP(D402,Товар!$A$2:$F$1000,5,0)</f>
        <v/>
      </c>
      <c r="K402">
        <f>IF(AND(H402="Промышленный",LEFT(I402,18)="Порошок стиральный",F402="Продажа",B402=DATE(2023,6,7)),E402*J402/1000,0)</f>
        <v/>
      </c>
    </row>
    <row r="403">
      <c r="A403" t="n">
        <v>402</v>
      </c>
      <c r="B403" s="1" t="n">
        <v>45079</v>
      </c>
      <c r="C403" s="5" t="inlineStr">
        <is>
          <t>M15</t>
        </is>
      </c>
      <c r="D403" s="5" t="n">
        <v>42</v>
      </c>
      <c r="E403" s="5" t="n">
        <v>300</v>
      </c>
      <c r="F403" t="inlineStr">
        <is>
          <t>Поступление</t>
        </is>
      </c>
      <c r="H403">
        <f>VLOOKUP(C403,Магазин!$A$2:$C$1000,2,0)</f>
        <v/>
      </c>
      <c r="I403">
        <f>VLOOKUP(D403,Товар!$A$2:$F$1000,3,0)</f>
        <v/>
      </c>
      <c r="J403">
        <f>VLOOKUP(D403,Товар!$A$2:$F$1000,5,0)</f>
        <v/>
      </c>
      <c r="K403">
        <f>IF(AND(H403="Промышленный",LEFT(I403,18)="Порошок стиральный",F403="Продажа",B403=DATE(2023,6,7)),E403*J403/1000,0)</f>
        <v/>
      </c>
    </row>
    <row r="404">
      <c r="A404" t="n">
        <v>403</v>
      </c>
      <c r="B404" s="1" t="n">
        <v>45079</v>
      </c>
      <c r="C404" s="5" t="inlineStr">
        <is>
          <t>M15</t>
        </is>
      </c>
      <c r="D404" s="5" t="n">
        <v>43</v>
      </c>
      <c r="E404" s="5" t="n">
        <v>300</v>
      </c>
      <c r="F404" t="inlineStr">
        <is>
          <t>Поступление</t>
        </is>
      </c>
      <c r="H404">
        <f>VLOOKUP(C404,Магазин!$A$2:$C$1000,2,0)</f>
        <v/>
      </c>
      <c r="I404">
        <f>VLOOKUP(D404,Товар!$A$2:$F$1000,3,0)</f>
        <v/>
      </c>
      <c r="J404">
        <f>VLOOKUP(D404,Товар!$A$2:$F$1000,5,0)</f>
        <v/>
      </c>
      <c r="K404">
        <f>IF(AND(H404="Промышленный",LEFT(I404,18)="Порошок стиральный",F404="Продажа",B404=DATE(2023,6,7)),E404*J404/1000,0)</f>
        <v/>
      </c>
    </row>
    <row r="405">
      <c r="A405" t="n">
        <v>404</v>
      </c>
      <c r="B405" s="1" t="n">
        <v>45079</v>
      </c>
      <c r="C405" s="5" t="inlineStr">
        <is>
          <t>M15</t>
        </is>
      </c>
      <c r="D405" s="5" t="n">
        <v>44</v>
      </c>
      <c r="E405" s="5" t="n">
        <v>300</v>
      </c>
      <c r="F405" t="inlineStr">
        <is>
          <t>Поступление</t>
        </is>
      </c>
      <c r="H405">
        <f>VLOOKUP(C405,Магазин!$A$2:$C$1000,2,0)</f>
        <v/>
      </c>
      <c r="I405">
        <f>VLOOKUP(D405,Товар!$A$2:$F$1000,3,0)</f>
        <v/>
      </c>
      <c r="J405">
        <f>VLOOKUP(D405,Товар!$A$2:$F$1000,5,0)</f>
        <v/>
      </c>
      <c r="K405">
        <f>IF(AND(H405="Промышленный",LEFT(I405,18)="Порошок стиральный",F405="Продажа",B405=DATE(2023,6,7)),E405*J405/1000,0)</f>
        <v/>
      </c>
    </row>
    <row r="406">
      <c r="A406" t="n">
        <v>405</v>
      </c>
      <c r="B406" s="1" t="n">
        <v>45079</v>
      </c>
      <c r="C406" s="5" t="inlineStr">
        <is>
          <t>M15</t>
        </is>
      </c>
      <c r="D406" s="5" t="n">
        <v>45</v>
      </c>
      <c r="E406" s="5" t="n">
        <v>300</v>
      </c>
      <c r="F406" t="inlineStr">
        <is>
          <t>Поступление</t>
        </is>
      </c>
      <c r="H406">
        <f>VLOOKUP(C406,Магазин!$A$2:$C$1000,2,0)</f>
        <v/>
      </c>
      <c r="I406">
        <f>VLOOKUP(D406,Товар!$A$2:$F$1000,3,0)</f>
        <v/>
      </c>
      <c r="J406">
        <f>VLOOKUP(D406,Товар!$A$2:$F$1000,5,0)</f>
        <v/>
      </c>
      <c r="K406">
        <f>IF(AND(H406="Промышленный",LEFT(I406,18)="Порошок стиральный",F406="Продажа",B406=DATE(2023,6,7)),E406*J406/1000,0)</f>
        <v/>
      </c>
    </row>
    <row r="407">
      <c r="A407" t="n">
        <v>406</v>
      </c>
      <c r="B407" s="1" t="n">
        <v>45079</v>
      </c>
      <c r="C407" s="5" t="inlineStr">
        <is>
          <t>M15</t>
        </is>
      </c>
      <c r="D407" s="5" t="n">
        <v>46</v>
      </c>
      <c r="E407" s="5" t="n">
        <v>300</v>
      </c>
      <c r="F407" t="inlineStr">
        <is>
          <t>Поступление</t>
        </is>
      </c>
      <c r="H407">
        <f>VLOOKUP(C407,Магазин!$A$2:$C$1000,2,0)</f>
        <v/>
      </c>
      <c r="I407">
        <f>VLOOKUP(D407,Товар!$A$2:$F$1000,3,0)</f>
        <v/>
      </c>
      <c r="J407">
        <f>VLOOKUP(D407,Товар!$A$2:$F$1000,5,0)</f>
        <v/>
      </c>
      <c r="K407">
        <f>IF(AND(H407="Промышленный",LEFT(I407,18)="Порошок стиральный",F407="Продажа",B407=DATE(2023,6,7)),E407*J407/1000,0)</f>
        <v/>
      </c>
    </row>
    <row r="408">
      <c r="A408" t="n">
        <v>407</v>
      </c>
      <c r="B408" s="1" t="n">
        <v>45079</v>
      </c>
      <c r="C408" s="5" t="inlineStr">
        <is>
          <t>M15</t>
        </is>
      </c>
      <c r="D408" s="5" t="n">
        <v>47</v>
      </c>
      <c r="E408" s="5" t="n">
        <v>300</v>
      </c>
      <c r="F408" t="inlineStr">
        <is>
          <t>Поступление</t>
        </is>
      </c>
      <c r="H408">
        <f>VLOOKUP(C408,Магазин!$A$2:$C$1000,2,0)</f>
        <v/>
      </c>
      <c r="I408">
        <f>VLOOKUP(D408,Товар!$A$2:$F$1000,3,0)</f>
        <v/>
      </c>
      <c r="J408">
        <f>VLOOKUP(D408,Товар!$A$2:$F$1000,5,0)</f>
        <v/>
      </c>
      <c r="K408">
        <f>IF(AND(H408="Промышленный",LEFT(I408,18)="Порошок стиральный",F408="Продажа",B408=DATE(2023,6,7)),E408*J408/1000,0)</f>
        <v/>
      </c>
    </row>
    <row r="409">
      <c r="A409" t="n">
        <v>408</v>
      </c>
      <c r="B409" s="1" t="n">
        <v>45079</v>
      </c>
      <c r="C409" s="5" t="inlineStr">
        <is>
          <t>M15</t>
        </is>
      </c>
      <c r="D409" s="5" t="n">
        <v>48</v>
      </c>
      <c r="E409" s="5" t="n">
        <v>300</v>
      </c>
      <c r="F409" t="inlineStr">
        <is>
          <t>Поступление</t>
        </is>
      </c>
      <c r="H409">
        <f>VLOOKUP(C409,Магазин!$A$2:$C$1000,2,0)</f>
        <v/>
      </c>
      <c r="I409">
        <f>VLOOKUP(D409,Товар!$A$2:$F$1000,3,0)</f>
        <v/>
      </c>
      <c r="J409">
        <f>VLOOKUP(D409,Товар!$A$2:$F$1000,5,0)</f>
        <v/>
      </c>
      <c r="K409">
        <f>IF(AND(H409="Промышленный",LEFT(I409,18)="Порошок стиральный",F409="Продажа",B409=DATE(2023,6,7)),E409*J409/1000,0)</f>
        <v/>
      </c>
    </row>
    <row r="410">
      <c r="A410" t="n">
        <v>409</v>
      </c>
      <c r="B410" s="1" t="n">
        <v>45079</v>
      </c>
      <c r="C410" s="5" t="inlineStr">
        <is>
          <t>M15</t>
        </is>
      </c>
      <c r="D410" s="5" t="n">
        <v>49</v>
      </c>
      <c r="E410" s="5" t="n">
        <v>300</v>
      </c>
      <c r="F410" t="inlineStr">
        <is>
          <t>Поступление</t>
        </is>
      </c>
      <c r="H410">
        <f>VLOOKUP(C410,Магазин!$A$2:$C$1000,2,0)</f>
        <v/>
      </c>
      <c r="I410">
        <f>VLOOKUP(D410,Товар!$A$2:$F$1000,3,0)</f>
        <v/>
      </c>
      <c r="J410">
        <f>VLOOKUP(D410,Товар!$A$2:$F$1000,5,0)</f>
        <v/>
      </c>
      <c r="K410">
        <f>IF(AND(H410="Промышленный",LEFT(I410,18)="Порошок стиральный",F410="Продажа",B410=DATE(2023,6,7)),E410*J410/1000,0)</f>
        <v/>
      </c>
    </row>
    <row r="411">
      <c r="A411" t="n">
        <v>410</v>
      </c>
      <c r="B411" s="1" t="n">
        <v>45079</v>
      </c>
      <c r="C411" s="5" t="inlineStr">
        <is>
          <t>M15</t>
        </is>
      </c>
      <c r="D411" s="5" t="n">
        <v>50</v>
      </c>
      <c r="E411" s="5" t="n">
        <v>300</v>
      </c>
      <c r="F411" t="inlineStr">
        <is>
          <t>Поступление</t>
        </is>
      </c>
      <c r="H411">
        <f>VLOOKUP(C411,Магазин!$A$2:$C$1000,2,0)</f>
        <v/>
      </c>
      <c r="I411">
        <f>VLOOKUP(D411,Товар!$A$2:$F$1000,3,0)</f>
        <v/>
      </c>
      <c r="J411">
        <f>VLOOKUP(D411,Товар!$A$2:$F$1000,5,0)</f>
        <v/>
      </c>
      <c r="K411">
        <f>IF(AND(H411="Промышленный",LEFT(I411,18)="Порошок стиральный",F411="Продажа",B411=DATE(2023,6,7)),E411*J411/1000,0)</f>
        <v/>
      </c>
    </row>
    <row r="412">
      <c r="A412" t="n">
        <v>411</v>
      </c>
      <c r="B412" s="1" t="n">
        <v>45079</v>
      </c>
      <c r="C412" s="5" t="inlineStr">
        <is>
          <t>M15</t>
        </is>
      </c>
      <c r="D412" s="5" t="n">
        <v>51</v>
      </c>
      <c r="E412" s="5" t="n">
        <v>300</v>
      </c>
      <c r="F412" t="inlineStr">
        <is>
          <t>Поступление</t>
        </is>
      </c>
      <c r="H412">
        <f>VLOOKUP(C412,Магазин!$A$2:$C$1000,2,0)</f>
        <v/>
      </c>
      <c r="I412">
        <f>VLOOKUP(D412,Товар!$A$2:$F$1000,3,0)</f>
        <v/>
      </c>
      <c r="J412">
        <f>VLOOKUP(D412,Товар!$A$2:$F$1000,5,0)</f>
        <v/>
      </c>
      <c r="K412">
        <f>IF(AND(H412="Промышленный",LEFT(I412,18)="Порошок стиральный",F412="Продажа",B412=DATE(2023,6,7)),E412*J412/1000,0)</f>
        <v/>
      </c>
    </row>
    <row r="413">
      <c r="A413" t="n">
        <v>412</v>
      </c>
      <c r="B413" s="1" t="n">
        <v>45079</v>
      </c>
      <c r="C413" s="5" t="inlineStr">
        <is>
          <t>M15</t>
        </is>
      </c>
      <c r="D413" s="5" t="n">
        <v>52</v>
      </c>
      <c r="E413" s="5" t="n">
        <v>300</v>
      </c>
      <c r="F413" t="inlineStr">
        <is>
          <t>Поступление</t>
        </is>
      </c>
      <c r="H413">
        <f>VLOOKUP(C413,Магазин!$A$2:$C$1000,2,0)</f>
        <v/>
      </c>
      <c r="I413">
        <f>VLOOKUP(D413,Товар!$A$2:$F$1000,3,0)</f>
        <v/>
      </c>
      <c r="J413">
        <f>VLOOKUP(D413,Товар!$A$2:$F$1000,5,0)</f>
        <v/>
      </c>
      <c r="K413">
        <f>IF(AND(H413="Промышленный",LEFT(I413,18)="Порошок стиральный",F413="Продажа",B413=DATE(2023,6,7)),E413*J413/1000,0)</f>
        <v/>
      </c>
    </row>
    <row r="414">
      <c r="A414" t="n">
        <v>413</v>
      </c>
      <c r="B414" s="1" t="n">
        <v>45079</v>
      </c>
      <c r="C414" s="5" t="inlineStr">
        <is>
          <t>M15</t>
        </is>
      </c>
      <c r="D414" s="5" t="n">
        <v>53</v>
      </c>
      <c r="E414" s="5" t="n">
        <v>300</v>
      </c>
      <c r="F414" t="inlineStr">
        <is>
          <t>Поступление</t>
        </is>
      </c>
      <c r="H414">
        <f>VLOOKUP(C414,Магазин!$A$2:$C$1000,2,0)</f>
        <v/>
      </c>
      <c r="I414">
        <f>VLOOKUP(D414,Товар!$A$2:$F$1000,3,0)</f>
        <v/>
      </c>
      <c r="J414">
        <f>VLOOKUP(D414,Товар!$A$2:$F$1000,5,0)</f>
        <v/>
      </c>
      <c r="K414">
        <f>IF(AND(H414="Промышленный",LEFT(I414,18)="Порошок стиральный",F414="Продажа",B414=DATE(2023,6,7)),E414*J414/1000,0)</f>
        <v/>
      </c>
    </row>
    <row r="415">
      <c r="A415" t="n">
        <v>414</v>
      </c>
      <c r="B415" s="1" t="n">
        <v>45079</v>
      </c>
      <c r="C415" s="5" t="inlineStr">
        <is>
          <t>M15</t>
        </is>
      </c>
      <c r="D415" s="5" t="n">
        <v>54</v>
      </c>
      <c r="E415" s="5" t="n">
        <v>300</v>
      </c>
      <c r="F415" t="inlineStr">
        <is>
          <t>Поступление</t>
        </is>
      </c>
      <c r="H415">
        <f>VLOOKUP(C415,Магазин!$A$2:$C$1000,2,0)</f>
        <v/>
      </c>
      <c r="I415">
        <f>VLOOKUP(D415,Товар!$A$2:$F$1000,3,0)</f>
        <v/>
      </c>
      <c r="J415">
        <f>VLOOKUP(D415,Товар!$A$2:$F$1000,5,0)</f>
        <v/>
      </c>
      <c r="K415">
        <f>IF(AND(H415="Промышленный",LEFT(I415,18)="Порошок стиральный",F415="Продажа",B415=DATE(2023,6,7)),E415*J415/1000,0)</f>
        <v/>
      </c>
    </row>
    <row r="416">
      <c r="A416" t="n">
        <v>415</v>
      </c>
      <c r="B416" s="1" t="n">
        <v>45079</v>
      </c>
      <c r="C416" s="5" t="inlineStr">
        <is>
          <t>M15</t>
        </is>
      </c>
      <c r="D416" s="5" t="n">
        <v>55</v>
      </c>
      <c r="E416" s="5" t="n">
        <v>300</v>
      </c>
      <c r="F416" t="inlineStr">
        <is>
          <t>Поступление</t>
        </is>
      </c>
      <c r="H416">
        <f>VLOOKUP(C416,Магазин!$A$2:$C$1000,2,0)</f>
        <v/>
      </c>
      <c r="I416">
        <f>VLOOKUP(D416,Товар!$A$2:$F$1000,3,0)</f>
        <v/>
      </c>
      <c r="J416">
        <f>VLOOKUP(D416,Товар!$A$2:$F$1000,5,0)</f>
        <v/>
      </c>
      <c r="K416">
        <f>IF(AND(H416="Промышленный",LEFT(I416,18)="Порошок стиральный",F416="Продажа",B416=DATE(2023,6,7)),E416*J416/1000,0)</f>
        <v/>
      </c>
    </row>
    <row r="417">
      <c r="A417" t="n">
        <v>416</v>
      </c>
      <c r="B417" s="1" t="n">
        <v>45079</v>
      </c>
      <c r="C417" s="5" t="inlineStr">
        <is>
          <t>M15</t>
        </is>
      </c>
      <c r="D417" s="5" t="n">
        <v>56</v>
      </c>
      <c r="E417" s="5" t="n">
        <v>300</v>
      </c>
      <c r="F417" t="inlineStr">
        <is>
          <t>Поступление</t>
        </is>
      </c>
      <c r="H417">
        <f>VLOOKUP(C417,Магазин!$A$2:$C$1000,2,0)</f>
        <v/>
      </c>
      <c r="I417">
        <f>VLOOKUP(D417,Товар!$A$2:$F$1000,3,0)</f>
        <v/>
      </c>
      <c r="J417">
        <f>VLOOKUP(D417,Товар!$A$2:$F$1000,5,0)</f>
        <v/>
      </c>
      <c r="K417">
        <f>IF(AND(H417="Промышленный",LEFT(I417,18)="Порошок стиральный",F417="Продажа",B417=DATE(2023,6,7)),E417*J417/1000,0)</f>
        <v/>
      </c>
    </row>
    <row r="418">
      <c r="A418" t="n">
        <v>417</v>
      </c>
      <c r="B418" s="1" t="n">
        <v>45079</v>
      </c>
      <c r="C418" s="5" t="inlineStr">
        <is>
          <t>M15</t>
        </is>
      </c>
      <c r="D418" s="5" t="n">
        <v>57</v>
      </c>
      <c r="E418" s="5" t="n">
        <v>300</v>
      </c>
      <c r="F418" t="inlineStr">
        <is>
          <t>Поступление</t>
        </is>
      </c>
      <c r="H418">
        <f>VLOOKUP(C418,Магазин!$A$2:$C$1000,2,0)</f>
        <v/>
      </c>
      <c r="I418">
        <f>VLOOKUP(D418,Товар!$A$2:$F$1000,3,0)</f>
        <v/>
      </c>
      <c r="J418">
        <f>VLOOKUP(D418,Товар!$A$2:$F$1000,5,0)</f>
        <v/>
      </c>
      <c r="K418">
        <f>IF(AND(H418="Промышленный",LEFT(I418,18)="Порошок стиральный",F418="Продажа",B418=DATE(2023,6,7)),E418*J418/1000,0)</f>
        <v/>
      </c>
    </row>
    <row r="419">
      <c r="A419" t="n">
        <v>418</v>
      </c>
      <c r="B419" s="1" t="n">
        <v>45079</v>
      </c>
      <c r="C419" s="5" t="inlineStr">
        <is>
          <t>M15</t>
        </is>
      </c>
      <c r="D419" s="5" t="n">
        <v>58</v>
      </c>
      <c r="E419" s="5" t="n">
        <v>300</v>
      </c>
      <c r="F419" t="inlineStr">
        <is>
          <t>Поступление</t>
        </is>
      </c>
      <c r="H419">
        <f>VLOOKUP(C419,Магазин!$A$2:$C$1000,2,0)</f>
        <v/>
      </c>
      <c r="I419">
        <f>VLOOKUP(D419,Товар!$A$2:$F$1000,3,0)</f>
        <v/>
      </c>
      <c r="J419">
        <f>VLOOKUP(D419,Товар!$A$2:$F$1000,5,0)</f>
        <v/>
      </c>
      <c r="K419">
        <f>IF(AND(H419="Промышленный",LEFT(I419,18)="Порошок стиральный",F419="Продажа",B419=DATE(2023,6,7)),E419*J419/1000,0)</f>
        <v/>
      </c>
    </row>
    <row r="420">
      <c r="A420" t="n">
        <v>419</v>
      </c>
      <c r="B420" s="1" t="n">
        <v>45079</v>
      </c>
      <c r="C420" s="5" t="inlineStr">
        <is>
          <t>M15</t>
        </is>
      </c>
      <c r="D420" s="5" t="n">
        <v>59</v>
      </c>
      <c r="E420" s="5" t="n">
        <v>300</v>
      </c>
      <c r="F420" t="inlineStr">
        <is>
          <t>Поступление</t>
        </is>
      </c>
      <c r="H420">
        <f>VLOOKUP(C420,Магазин!$A$2:$C$1000,2,0)</f>
        <v/>
      </c>
      <c r="I420">
        <f>VLOOKUP(D420,Товар!$A$2:$F$1000,3,0)</f>
        <v/>
      </c>
      <c r="J420">
        <f>VLOOKUP(D420,Товар!$A$2:$F$1000,5,0)</f>
        <v/>
      </c>
      <c r="K420">
        <f>IF(AND(H420="Промышленный",LEFT(I420,18)="Порошок стиральный",F420="Продажа",B420=DATE(2023,6,7)),E420*J420/1000,0)</f>
        <v/>
      </c>
    </row>
    <row r="421">
      <c r="A421" t="n">
        <v>420</v>
      </c>
      <c r="B421" s="1" t="n">
        <v>45079</v>
      </c>
      <c r="C421" s="5" t="inlineStr">
        <is>
          <t>M15</t>
        </is>
      </c>
      <c r="D421" s="5" t="n">
        <v>60</v>
      </c>
      <c r="E421" s="5" t="n">
        <v>300</v>
      </c>
      <c r="F421" t="inlineStr">
        <is>
          <t>Поступление</t>
        </is>
      </c>
      <c r="H421">
        <f>VLOOKUP(C421,Магазин!$A$2:$C$1000,2,0)</f>
        <v/>
      </c>
      <c r="I421">
        <f>VLOOKUP(D421,Товар!$A$2:$F$1000,3,0)</f>
        <v/>
      </c>
      <c r="J421">
        <f>VLOOKUP(D421,Товар!$A$2:$F$1000,5,0)</f>
        <v/>
      </c>
      <c r="K421">
        <f>IF(AND(H421="Промышленный",LEFT(I421,18)="Порошок стиральный",F421="Продажа",B421=DATE(2023,6,7)),E421*J421/1000,0)</f>
        <v/>
      </c>
    </row>
    <row r="422">
      <c r="A422" t="n">
        <v>421</v>
      </c>
      <c r="B422" s="1" t="n">
        <v>45079</v>
      </c>
      <c r="C422" s="5" t="inlineStr">
        <is>
          <t>M16</t>
        </is>
      </c>
      <c r="D422" s="5" t="n">
        <v>1</v>
      </c>
      <c r="E422" s="5" t="n">
        <v>300</v>
      </c>
      <c r="F422" t="inlineStr">
        <is>
          <t>Поступление</t>
        </is>
      </c>
      <c r="H422">
        <f>VLOOKUP(C422,Магазин!$A$2:$C$1000,2,0)</f>
        <v/>
      </c>
      <c r="I422">
        <f>VLOOKUP(D422,Товар!$A$2:$F$1000,3,0)</f>
        <v/>
      </c>
      <c r="J422">
        <f>VLOOKUP(D422,Товар!$A$2:$F$1000,5,0)</f>
        <v/>
      </c>
      <c r="K422">
        <f>IF(AND(H422="Промышленный",LEFT(I422,18)="Порошок стиральный",F422="Продажа",B422=DATE(2023,6,7)),E422*J422/1000,0)</f>
        <v/>
      </c>
    </row>
    <row r="423">
      <c r="A423" t="n">
        <v>422</v>
      </c>
      <c r="B423" s="1" t="n">
        <v>45079</v>
      </c>
      <c r="C423" s="5" t="inlineStr">
        <is>
          <t>M16</t>
        </is>
      </c>
      <c r="D423" s="5" t="n">
        <v>2</v>
      </c>
      <c r="E423" s="5" t="n">
        <v>300</v>
      </c>
      <c r="F423" t="inlineStr">
        <is>
          <t>Поступление</t>
        </is>
      </c>
      <c r="H423">
        <f>VLOOKUP(C423,Магазин!$A$2:$C$1000,2,0)</f>
        <v/>
      </c>
      <c r="I423">
        <f>VLOOKUP(D423,Товар!$A$2:$F$1000,3,0)</f>
        <v/>
      </c>
      <c r="J423">
        <f>VLOOKUP(D423,Товар!$A$2:$F$1000,5,0)</f>
        <v/>
      </c>
      <c r="K423">
        <f>IF(AND(H423="Промышленный",LEFT(I423,18)="Порошок стиральный",F423="Продажа",B423=DATE(2023,6,7)),E423*J423/1000,0)</f>
        <v/>
      </c>
    </row>
    <row r="424">
      <c r="A424" t="n">
        <v>423</v>
      </c>
      <c r="B424" s="1" t="n">
        <v>45079</v>
      </c>
      <c r="C424" s="5" t="inlineStr">
        <is>
          <t>M16</t>
        </is>
      </c>
      <c r="D424" s="5" t="n">
        <v>3</v>
      </c>
      <c r="E424" s="5" t="n">
        <v>300</v>
      </c>
      <c r="F424" t="inlineStr">
        <is>
          <t>Поступление</t>
        </is>
      </c>
      <c r="H424">
        <f>VLOOKUP(C424,Магазин!$A$2:$C$1000,2,0)</f>
        <v/>
      </c>
      <c r="I424">
        <f>VLOOKUP(D424,Товар!$A$2:$F$1000,3,0)</f>
        <v/>
      </c>
      <c r="J424">
        <f>VLOOKUP(D424,Товар!$A$2:$F$1000,5,0)</f>
        <v/>
      </c>
      <c r="K424">
        <f>IF(AND(H424="Промышленный",LEFT(I424,18)="Порошок стиральный",F424="Продажа",B424=DATE(2023,6,7)),E424*J424/1000,0)</f>
        <v/>
      </c>
    </row>
    <row r="425">
      <c r="A425" t="n">
        <v>424</v>
      </c>
      <c r="B425" s="1" t="n">
        <v>45079</v>
      </c>
      <c r="C425" s="5" t="inlineStr">
        <is>
          <t>M16</t>
        </is>
      </c>
      <c r="D425" s="5" t="n">
        <v>4</v>
      </c>
      <c r="E425" s="5" t="n">
        <v>300</v>
      </c>
      <c r="F425" t="inlineStr">
        <is>
          <t>Поступление</t>
        </is>
      </c>
      <c r="H425">
        <f>VLOOKUP(C425,Магазин!$A$2:$C$1000,2,0)</f>
        <v/>
      </c>
      <c r="I425">
        <f>VLOOKUP(D425,Товар!$A$2:$F$1000,3,0)</f>
        <v/>
      </c>
      <c r="J425">
        <f>VLOOKUP(D425,Товар!$A$2:$F$1000,5,0)</f>
        <v/>
      </c>
      <c r="K425">
        <f>IF(AND(H425="Промышленный",LEFT(I425,18)="Порошок стиральный",F425="Продажа",B425=DATE(2023,6,7)),E425*J425/1000,0)</f>
        <v/>
      </c>
    </row>
    <row r="426">
      <c r="A426" t="n">
        <v>425</v>
      </c>
      <c r="B426" s="1" t="n">
        <v>45079</v>
      </c>
      <c r="C426" s="5" t="inlineStr">
        <is>
          <t>M16</t>
        </is>
      </c>
      <c r="D426" s="5" t="n">
        <v>5</v>
      </c>
      <c r="E426" s="5" t="n">
        <v>300</v>
      </c>
      <c r="F426" t="inlineStr">
        <is>
          <t>Поступление</t>
        </is>
      </c>
      <c r="H426">
        <f>VLOOKUP(C426,Магазин!$A$2:$C$1000,2,0)</f>
        <v/>
      </c>
      <c r="I426">
        <f>VLOOKUP(D426,Товар!$A$2:$F$1000,3,0)</f>
        <v/>
      </c>
      <c r="J426">
        <f>VLOOKUP(D426,Товар!$A$2:$F$1000,5,0)</f>
        <v/>
      </c>
      <c r="K426">
        <f>IF(AND(H426="Промышленный",LEFT(I426,18)="Порошок стиральный",F426="Продажа",B426=DATE(2023,6,7)),E426*J426/1000,0)</f>
        <v/>
      </c>
    </row>
    <row r="427">
      <c r="A427" t="n">
        <v>426</v>
      </c>
      <c r="B427" s="1" t="n">
        <v>45079</v>
      </c>
      <c r="C427" s="5" t="inlineStr">
        <is>
          <t>M16</t>
        </is>
      </c>
      <c r="D427" s="5" t="n">
        <v>6</v>
      </c>
      <c r="E427" s="5" t="n">
        <v>300</v>
      </c>
      <c r="F427" t="inlineStr">
        <is>
          <t>Поступление</t>
        </is>
      </c>
      <c r="H427">
        <f>VLOOKUP(C427,Магазин!$A$2:$C$1000,2,0)</f>
        <v/>
      </c>
      <c r="I427">
        <f>VLOOKUP(D427,Товар!$A$2:$F$1000,3,0)</f>
        <v/>
      </c>
      <c r="J427">
        <f>VLOOKUP(D427,Товар!$A$2:$F$1000,5,0)</f>
        <v/>
      </c>
      <c r="K427">
        <f>IF(AND(H427="Промышленный",LEFT(I427,18)="Порошок стиральный",F427="Продажа",B427=DATE(2023,6,7)),E427*J427/1000,0)</f>
        <v/>
      </c>
    </row>
    <row r="428">
      <c r="A428" t="n">
        <v>427</v>
      </c>
      <c r="B428" s="1" t="n">
        <v>45079</v>
      </c>
      <c r="C428" s="5" t="inlineStr">
        <is>
          <t>M16</t>
        </is>
      </c>
      <c r="D428" s="5" t="n">
        <v>7</v>
      </c>
      <c r="E428" s="5" t="n">
        <v>300</v>
      </c>
      <c r="F428" t="inlineStr">
        <is>
          <t>Поступление</t>
        </is>
      </c>
      <c r="H428">
        <f>VLOOKUP(C428,Магазин!$A$2:$C$1000,2,0)</f>
        <v/>
      </c>
      <c r="I428">
        <f>VLOOKUP(D428,Товар!$A$2:$F$1000,3,0)</f>
        <v/>
      </c>
      <c r="J428">
        <f>VLOOKUP(D428,Товар!$A$2:$F$1000,5,0)</f>
        <v/>
      </c>
      <c r="K428">
        <f>IF(AND(H428="Промышленный",LEFT(I428,18)="Порошок стиральный",F428="Продажа",B428=DATE(2023,6,7)),E428*J428/1000,0)</f>
        <v/>
      </c>
    </row>
    <row r="429">
      <c r="A429" t="n">
        <v>428</v>
      </c>
      <c r="B429" s="1" t="n">
        <v>45079</v>
      </c>
      <c r="C429" s="5" t="inlineStr">
        <is>
          <t>M16</t>
        </is>
      </c>
      <c r="D429" s="5" t="n">
        <v>8</v>
      </c>
      <c r="E429" s="5" t="n">
        <v>300</v>
      </c>
      <c r="F429" t="inlineStr">
        <is>
          <t>Поступление</t>
        </is>
      </c>
      <c r="H429">
        <f>VLOOKUP(C429,Магазин!$A$2:$C$1000,2,0)</f>
        <v/>
      </c>
      <c r="I429">
        <f>VLOOKUP(D429,Товар!$A$2:$F$1000,3,0)</f>
        <v/>
      </c>
      <c r="J429">
        <f>VLOOKUP(D429,Товар!$A$2:$F$1000,5,0)</f>
        <v/>
      </c>
      <c r="K429">
        <f>IF(AND(H429="Промышленный",LEFT(I429,18)="Порошок стиральный",F429="Продажа",B429=DATE(2023,6,7)),E429*J429/1000,0)</f>
        <v/>
      </c>
    </row>
    <row r="430">
      <c r="A430" t="n">
        <v>429</v>
      </c>
      <c r="B430" s="1" t="n">
        <v>45079</v>
      </c>
      <c r="C430" s="5" t="inlineStr">
        <is>
          <t>M16</t>
        </is>
      </c>
      <c r="D430" s="5" t="n">
        <v>9</v>
      </c>
      <c r="E430" s="5" t="n">
        <v>300</v>
      </c>
      <c r="F430" t="inlineStr">
        <is>
          <t>Поступление</t>
        </is>
      </c>
      <c r="H430">
        <f>VLOOKUP(C430,Магазин!$A$2:$C$1000,2,0)</f>
        <v/>
      </c>
      <c r="I430">
        <f>VLOOKUP(D430,Товар!$A$2:$F$1000,3,0)</f>
        <v/>
      </c>
      <c r="J430">
        <f>VLOOKUP(D430,Товар!$A$2:$F$1000,5,0)</f>
        <v/>
      </c>
      <c r="K430">
        <f>IF(AND(H430="Промышленный",LEFT(I430,18)="Порошок стиральный",F430="Продажа",B430=DATE(2023,6,7)),E430*J430/1000,0)</f>
        <v/>
      </c>
    </row>
    <row r="431">
      <c r="A431" t="n">
        <v>430</v>
      </c>
      <c r="B431" s="1" t="n">
        <v>45079</v>
      </c>
      <c r="C431" s="5" t="inlineStr">
        <is>
          <t>M16</t>
        </is>
      </c>
      <c r="D431" s="5" t="n">
        <v>10</v>
      </c>
      <c r="E431" s="5" t="n">
        <v>300</v>
      </c>
      <c r="F431" t="inlineStr">
        <is>
          <t>Поступление</t>
        </is>
      </c>
      <c r="H431">
        <f>VLOOKUP(C431,Магазин!$A$2:$C$1000,2,0)</f>
        <v/>
      </c>
      <c r="I431">
        <f>VLOOKUP(D431,Товар!$A$2:$F$1000,3,0)</f>
        <v/>
      </c>
      <c r="J431">
        <f>VLOOKUP(D431,Товар!$A$2:$F$1000,5,0)</f>
        <v/>
      </c>
      <c r="K431">
        <f>IF(AND(H431="Промышленный",LEFT(I431,18)="Порошок стиральный",F431="Продажа",B431=DATE(2023,6,7)),E431*J431/1000,0)</f>
        <v/>
      </c>
    </row>
    <row r="432">
      <c r="A432" t="n">
        <v>431</v>
      </c>
      <c r="B432" s="1" t="n">
        <v>45079</v>
      </c>
      <c r="C432" s="5" t="inlineStr">
        <is>
          <t>M16</t>
        </is>
      </c>
      <c r="D432" s="5" t="n">
        <v>11</v>
      </c>
      <c r="E432" s="5" t="n">
        <v>300</v>
      </c>
      <c r="F432" t="inlineStr">
        <is>
          <t>Поступление</t>
        </is>
      </c>
      <c r="H432">
        <f>VLOOKUP(C432,Магазин!$A$2:$C$1000,2,0)</f>
        <v/>
      </c>
      <c r="I432">
        <f>VLOOKUP(D432,Товар!$A$2:$F$1000,3,0)</f>
        <v/>
      </c>
      <c r="J432">
        <f>VLOOKUP(D432,Товар!$A$2:$F$1000,5,0)</f>
        <v/>
      </c>
      <c r="K432">
        <f>IF(AND(H432="Промышленный",LEFT(I432,18)="Порошок стиральный",F432="Продажа",B432=DATE(2023,6,7)),E432*J432/1000,0)</f>
        <v/>
      </c>
    </row>
    <row r="433">
      <c r="A433" t="n">
        <v>432</v>
      </c>
      <c r="B433" s="1" t="n">
        <v>45079</v>
      </c>
      <c r="C433" s="5" t="inlineStr">
        <is>
          <t>M16</t>
        </is>
      </c>
      <c r="D433" s="5" t="n">
        <v>12</v>
      </c>
      <c r="E433" s="5" t="n">
        <v>300</v>
      </c>
      <c r="F433" t="inlineStr">
        <is>
          <t>Поступление</t>
        </is>
      </c>
      <c r="H433">
        <f>VLOOKUP(C433,Магазин!$A$2:$C$1000,2,0)</f>
        <v/>
      </c>
      <c r="I433">
        <f>VLOOKUP(D433,Товар!$A$2:$F$1000,3,0)</f>
        <v/>
      </c>
      <c r="J433">
        <f>VLOOKUP(D433,Товар!$A$2:$F$1000,5,0)</f>
        <v/>
      </c>
      <c r="K433">
        <f>IF(AND(H433="Промышленный",LEFT(I433,18)="Порошок стиральный",F433="Продажа",B433=DATE(2023,6,7)),E433*J433/1000,0)</f>
        <v/>
      </c>
    </row>
    <row r="434">
      <c r="A434" t="n">
        <v>433</v>
      </c>
      <c r="B434" s="1" t="n">
        <v>45079</v>
      </c>
      <c r="C434" s="5" t="inlineStr">
        <is>
          <t>M16</t>
        </is>
      </c>
      <c r="D434" s="5" t="n">
        <v>13</v>
      </c>
      <c r="E434" s="5" t="n">
        <v>300</v>
      </c>
      <c r="F434" t="inlineStr">
        <is>
          <t>Поступление</t>
        </is>
      </c>
      <c r="H434">
        <f>VLOOKUP(C434,Магазин!$A$2:$C$1000,2,0)</f>
        <v/>
      </c>
      <c r="I434">
        <f>VLOOKUP(D434,Товар!$A$2:$F$1000,3,0)</f>
        <v/>
      </c>
      <c r="J434">
        <f>VLOOKUP(D434,Товар!$A$2:$F$1000,5,0)</f>
        <v/>
      </c>
      <c r="K434">
        <f>IF(AND(H434="Промышленный",LEFT(I434,18)="Порошок стиральный",F434="Продажа",B434=DATE(2023,6,7)),E434*J434/1000,0)</f>
        <v/>
      </c>
    </row>
    <row r="435">
      <c r="A435" t="n">
        <v>434</v>
      </c>
      <c r="B435" s="1" t="n">
        <v>45079</v>
      </c>
      <c r="C435" s="5" t="inlineStr">
        <is>
          <t>M16</t>
        </is>
      </c>
      <c r="D435" s="5" t="n">
        <v>14</v>
      </c>
      <c r="E435" s="5" t="n">
        <v>300</v>
      </c>
      <c r="F435" t="inlineStr">
        <is>
          <t>Поступление</t>
        </is>
      </c>
      <c r="H435">
        <f>VLOOKUP(C435,Магазин!$A$2:$C$1000,2,0)</f>
        <v/>
      </c>
      <c r="I435">
        <f>VLOOKUP(D435,Товар!$A$2:$F$1000,3,0)</f>
        <v/>
      </c>
      <c r="J435">
        <f>VLOOKUP(D435,Товар!$A$2:$F$1000,5,0)</f>
        <v/>
      </c>
      <c r="K435">
        <f>IF(AND(H435="Промышленный",LEFT(I435,18)="Порошок стиральный",F435="Продажа",B435=DATE(2023,6,7)),E435*J435/1000,0)</f>
        <v/>
      </c>
    </row>
    <row r="436">
      <c r="A436" t="n">
        <v>435</v>
      </c>
      <c r="B436" s="1" t="n">
        <v>45079</v>
      </c>
      <c r="C436" s="5" t="inlineStr">
        <is>
          <t>M16</t>
        </is>
      </c>
      <c r="D436" s="5" t="n">
        <v>15</v>
      </c>
      <c r="E436" s="5" t="n">
        <v>300</v>
      </c>
      <c r="F436" t="inlineStr">
        <is>
          <t>Поступление</t>
        </is>
      </c>
      <c r="H436">
        <f>VLOOKUP(C436,Магазин!$A$2:$C$1000,2,0)</f>
        <v/>
      </c>
      <c r="I436">
        <f>VLOOKUP(D436,Товар!$A$2:$F$1000,3,0)</f>
        <v/>
      </c>
      <c r="J436">
        <f>VLOOKUP(D436,Товар!$A$2:$F$1000,5,0)</f>
        <v/>
      </c>
      <c r="K436">
        <f>IF(AND(H436="Промышленный",LEFT(I436,18)="Порошок стиральный",F436="Продажа",B436=DATE(2023,6,7)),E436*J436/1000,0)</f>
        <v/>
      </c>
    </row>
    <row r="437">
      <c r="A437" t="n">
        <v>436</v>
      </c>
      <c r="B437" s="1" t="n">
        <v>45079</v>
      </c>
      <c r="C437" s="5" t="inlineStr">
        <is>
          <t>M16</t>
        </is>
      </c>
      <c r="D437" s="5" t="n">
        <v>16</v>
      </c>
      <c r="E437" s="5" t="n">
        <v>300</v>
      </c>
      <c r="F437" t="inlineStr">
        <is>
          <t>Поступление</t>
        </is>
      </c>
      <c r="H437">
        <f>VLOOKUP(C437,Магазин!$A$2:$C$1000,2,0)</f>
        <v/>
      </c>
      <c r="I437">
        <f>VLOOKUP(D437,Товар!$A$2:$F$1000,3,0)</f>
        <v/>
      </c>
      <c r="J437">
        <f>VLOOKUP(D437,Товар!$A$2:$F$1000,5,0)</f>
        <v/>
      </c>
      <c r="K437">
        <f>IF(AND(H437="Промышленный",LEFT(I437,18)="Порошок стиральный",F437="Продажа",B437=DATE(2023,6,7)),E437*J437/1000,0)</f>
        <v/>
      </c>
    </row>
    <row r="438">
      <c r="A438" t="n">
        <v>437</v>
      </c>
      <c r="B438" s="1" t="n">
        <v>45079</v>
      </c>
      <c r="C438" s="5" t="inlineStr">
        <is>
          <t>M16</t>
        </is>
      </c>
      <c r="D438" s="5" t="n">
        <v>17</v>
      </c>
      <c r="E438" s="5" t="n">
        <v>300</v>
      </c>
      <c r="F438" t="inlineStr">
        <is>
          <t>Поступление</t>
        </is>
      </c>
      <c r="H438">
        <f>VLOOKUP(C438,Магазин!$A$2:$C$1000,2,0)</f>
        <v/>
      </c>
      <c r="I438">
        <f>VLOOKUP(D438,Товар!$A$2:$F$1000,3,0)</f>
        <v/>
      </c>
      <c r="J438">
        <f>VLOOKUP(D438,Товар!$A$2:$F$1000,5,0)</f>
        <v/>
      </c>
      <c r="K438">
        <f>IF(AND(H438="Промышленный",LEFT(I438,18)="Порошок стиральный",F438="Продажа",B438=DATE(2023,6,7)),E438*J438/1000,0)</f>
        <v/>
      </c>
    </row>
    <row r="439">
      <c r="A439" t="n">
        <v>438</v>
      </c>
      <c r="B439" s="1" t="n">
        <v>45079</v>
      </c>
      <c r="C439" s="5" t="inlineStr">
        <is>
          <t>M16</t>
        </is>
      </c>
      <c r="D439" s="5" t="n">
        <v>18</v>
      </c>
      <c r="E439" s="5" t="n">
        <v>300</v>
      </c>
      <c r="F439" t="inlineStr">
        <is>
          <t>Поступление</t>
        </is>
      </c>
      <c r="H439">
        <f>VLOOKUP(C439,Магазин!$A$2:$C$1000,2,0)</f>
        <v/>
      </c>
      <c r="I439">
        <f>VLOOKUP(D439,Товар!$A$2:$F$1000,3,0)</f>
        <v/>
      </c>
      <c r="J439">
        <f>VLOOKUP(D439,Товар!$A$2:$F$1000,5,0)</f>
        <v/>
      </c>
      <c r="K439">
        <f>IF(AND(H439="Промышленный",LEFT(I439,18)="Порошок стиральный",F439="Продажа",B439=DATE(2023,6,7)),E439*J439/1000,0)</f>
        <v/>
      </c>
    </row>
    <row r="440">
      <c r="A440" t="n">
        <v>439</v>
      </c>
      <c r="B440" s="1" t="n">
        <v>45079</v>
      </c>
      <c r="C440" s="5" t="inlineStr">
        <is>
          <t>M16</t>
        </is>
      </c>
      <c r="D440" s="5" t="n">
        <v>19</v>
      </c>
      <c r="E440" s="5" t="n">
        <v>300</v>
      </c>
      <c r="F440" t="inlineStr">
        <is>
          <t>Поступление</t>
        </is>
      </c>
      <c r="H440">
        <f>VLOOKUP(C440,Магазин!$A$2:$C$1000,2,0)</f>
        <v/>
      </c>
      <c r="I440">
        <f>VLOOKUP(D440,Товар!$A$2:$F$1000,3,0)</f>
        <v/>
      </c>
      <c r="J440">
        <f>VLOOKUP(D440,Товар!$A$2:$F$1000,5,0)</f>
        <v/>
      </c>
      <c r="K440">
        <f>IF(AND(H440="Промышленный",LEFT(I440,18)="Порошок стиральный",F440="Продажа",B440=DATE(2023,6,7)),E440*J440/1000,0)</f>
        <v/>
      </c>
    </row>
    <row r="441">
      <c r="A441" t="n">
        <v>440</v>
      </c>
      <c r="B441" s="1" t="n">
        <v>45079</v>
      </c>
      <c r="C441" s="5" t="inlineStr">
        <is>
          <t>M16</t>
        </is>
      </c>
      <c r="D441" s="5" t="n">
        <v>20</v>
      </c>
      <c r="E441" s="5" t="n">
        <v>300</v>
      </c>
      <c r="F441" t="inlineStr">
        <is>
          <t>Поступление</t>
        </is>
      </c>
      <c r="H441">
        <f>VLOOKUP(C441,Магазин!$A$2:$C$1000,2,0)</f>
        <v/>
      </c>
      <c r="I441">
        <f>VLOOKUP(D441,Товар!$A$2:$F$1000,3,0)</f>
        <v/>
      </c>
      <c r="J441">
        <f>VLOOKUP(D441,Товар!$A$2:$F$1000,5,0)</f>
        <v/>
      </c>
      <c r="K441">
        <f>IF(AND(H441="Промышленный",LEFT(I441,18)="Порошок стиральный",F441="Продажа",B441=DATE(2023,6,7)),E441*J441/1000,0)</f>
        <v/>
      </c>
    </row>
    <row r="442">
      <c r="A442" t="n">
        <v>441</v>
      </c>
      <c r="B442" s="1" t="n">
        <v>45079</v>
      </c>
      <c r="C442" s="5" t="inlineStr">
        <is>
          <t>M16</t>
        </is>
      </c>
      <c r="D442" s="5" t="n">
        <v>21</v>
      </c>
      <c r="E442" s="5" t="n">
        <v>300</v>
      </c>
      <c r="F442" t="inlineStr">
        <is>
          <t>Поступление</t>
        </is>
      </c>
      <c r="H442">
        <f>VLOOKUP(C442,Магазин!$A$2:$C$1000,2,0)</f>
        <v/>
      </c>
      <c r="I442">
        <f>VLOOKUP(D442,Товар!$A$2:$F$1000,3,0)</f>
        <v/>
      </c>
      <c r="J442">
        <f>VLOOKUP(D442,Товар!$A$2:$F$1000,5,0)</f>
        <v/>
      </c>
      <c r="K442">
        <f>IF(AND(H442="Промышленный",LEFT(I442,18)="Порошок стиральный",F442="Продажа",B442=DATE(2023,6,7)),E442*J442/1000,0)</f>
        <v/>
      </c>
    </row>
    <row r="443">
      <c r="A443" t="n">
        <v>442</v>
      </c>
      <c r="B443" s="1" t="n">
        <v>45079</v>
      </c>
      <c r="C443" s="5" t="inlineStr">
        <is>
          <t>M16</t>
        </is>
      </c>
      <c r="D443" s="5" t="n">
        <v>22</v>
      </c>
      <c r="E443" s="5" t="n">
        <v>300</v>
      </c>
      <c r="F443" t="inlineStr">
        <is>
          <t>Поступление</t>
        </is>
      </c>
      <c r="H443">
        <f>VLOOKUP(C443,Магазин!$A$2:$C$1000,2,0)</f>
        <v/>
      </c>
      <c r="I443">
        <f>VLOOKUP(D443,Товар!$A$2:$F$1000,3,0)</f>
        <v/>
      </c>
      <c r="J443">
        <f>VLOOKUP(D443,Товар!$A$2:$F$1000,5,0)</f>
        <v/>
      </c>
      <c r="K443">
        <f>IF(AND(H443="Промышленный",LEFT(I443,18)="Порошок стиральный",F443="Продажа",B443=DATE(2023,6,7)),E443*J443/1000,0)</f>
        <v/>
      </c>
    </row>
    <row r="444">
      <c r="A444" t="n">
        <v>443</v>
      </c>
      <c r="B444" s="1" t="n">
        <v>45079</v>
      </c>
      <c r="C444" s="5" t="inlineStr">
        <is>
          <t>M16</t>
        </is>
      </c>
      <c r="D444" s="5" t="n">
        <v>23</v>
      </c>
      <c r="E444" s="5" t="n">
        <v>300</v>
      </c>
      <c r="F444" t="inlineStr">
        <is>
          <t>Поступление</t>
        </is>
      </c>
      <c r="H444">
        <f>VLOOKUP(C444,Магазин!$A$2:$C$1000,2,0)</f>
        <v/>
      </c>
      <c r="I444">
        <f>VLOOKUP(D444,Товар!$A$2:$F$1000,3,0)</f>
        <v/>
      </c>
      <c r="J444">
        <f>VLOOKUP(D444,Товар!$A$2:$F$1000,5,0)</f>
        <v/>
      </c>
      <c r="K444">
        <f>IF(AND(H444="Промышленный",LEFT(I444,18)="Порошок стиральный",F444="Продажа",B444=DATE(2023,6,7)),E444*J444/1000,0)</f>
        <v/>
      </c>
    </row>
    <row r="445">
      <c r="A445" t="n">
        <v>444</v>
      </c>
      <c r="B445" s="1" t="n">
        <v>45079</v>
      </c>
      <c r="C445" s="5" t="inlineStr">
        <is>
          <t>M16</t>
        </is>
      </c>
      <c r="D445" s="5" t="n">
        <v>24</v>
      </c>
      <c r="E445" s="5" t="n">
        <v>300</v>
      </c>
      <c r="F445" t="inlineStr">
        <is>
          <t>Поступление</t>
        </is>
      </c>
      <c r="H445">
        <f>VLOOKUP(C445,Магазин!$A$2:$C$1000,2,0)</f>
        <v/>
      </c>
      <c r="I445">
        <f>VLOOKUP(D445,Товар!$A$2:$F$1000,3,0)</f>
        <v/>
      </c>
      <c r="J445">
        <f>VLOOKUP(D445,Товар!$A$2:$F$1000,5,0)</f>
        <v/>
      </c>
      <c r="K445">
        <f>IF(AND(H445="Промышленный",LEFT(I445,18)="Порошок стиральный",F445="Продажа",B445=DATE(2023,6,7)),E445*J445/1000,0)</f>
        <v/>
      </c>
    </row>
    <row r="446">
      <c r="A446" t="n">
        <v>445</v>
      </c>
      <c r="B446" s="1" t="n">
        <v>45079</v>
      </c>
      <c r="C446" s="5" t="inlineStr">
        <is>
          <t>M16</t>
        </is>
      </c>
      <c r="D446" s="5" t="n">
        <v>25</v>
      </c>
      <c r="E446" s="5" t="n">
        <v>300</v>
      </c>
      <c r="F446" t="inlineStr">
        <is>
          <t>Поступление</t>
        </is>
      </c>
      <c r="H446">
        <f>VLOOKUP(C446,Магазин!$A$2:$C$1000,2,0)</f>
        <v/>
      </c>
      <c r="I446">
        <f>VLOOKUP(D446,Товар!$A$2:$F$1000,3,0)</f>
        <v/>
      </c>
      <c r="J446">
        <f>VLOOKUP(D446,Товар!$A$2:$F$1000,5,0)</f>
        <v/>
      </c>
      <c r="K446">
        <f>IF(AND(H446="Промышленный",LEFT(I446,18)="Порошок стиральный",F446="Продажа",B446=DATE(2023,6,7)),E446*J446/1000,0)</f>
        <v/>
      </c>
    </row>
    <row r="447">
      <c r="A447" t="n">
        <v>446</v>
      </c>
      <c r="B447" s="1" t="n">
        <v>45079</v>
      </c>
      <c r="C447" s="5" t="inlineStr">
        <is>
          <t>M16</t>
        </is>
      </c>
      <c r="D447" s="5" t="n">
        <v>26</v>
      </c>
      <c r="E447" s="5" t="n">
        <v>300</v>
      </c>
      <c r="F447" t="inlineStr">
        <is>
          <t>Поступление</t>
        </is>
      </c>
      <c r="H447">
        <f>VLOOKUP(C447,Магазин!$A$2:$C$1000,2,0)</f>
        <v/>
      </c>
      <c r="I447">
        <f>VLOOKUP(D447,Товар!$A$2:$F$1000,3,0)</f>
        <v/>
      </c>
      <c r="J447">
        <f>VLOOKUP(D447,Товар!$A$2:$F$1000,5,0)</f>
        <v/>
      </c>
      <c r="K447">
        <f>IF(AND(H447="Промышленный",LEFT(I447,18)="Порошок стиральный",F447="Продажа",B447=DATE(2023,6,7)),E447*J447/1000,0)</f>
        <v/>
      </c>
    </row>
    <row r="448">
      <c r="A448" t="n">
        <v>447</v>
      </c>
      <c r="B448" s="1" t="n">
        <v>45079</v>
      </c>
      <c r="C448" s="5" t="inlineStr">
        <is>
          <t>M16</t>
        </is>
      </c>
      <c r="D448" s="5" t="n">
        <v>27</v>
      </c>
      <c r="E448" s="5" t="n">
        <v>300</v>
      </c>
      <c r="F448" t="inlineStr">
        <is>
          <t>Поступление</t>
        </is>
      </c>
      <c r="H448">
        <f>VLOOKUP(C448,Магазин!$A$2:$C$1000,2,0)</f>
        <v/>
      </c>
      <c r="I448">
        <f>VLOOKUP(D448,Товар!$A$2:$F$1000,3,0)</f>
        <v/>
      </c>
      <c r="J448">
        <f>VLOOKUP(D448,Товар!$A$2:$F$1000,5,0)</f>
        <v/>
      </c>
      <c r="K448">
        <f>IF(AND(H448="Промышленный",LEFT(I448,18)="Порошок стиральный",F448="Продажа",B448=DATE(2023,6,7)),E448*J448/1000,0)</f>
        <v/>
      </c>
    </row>
    <row r="449">
      <c r="A449" t="n">
        <v>448</v>
      </c>
      <c r="B449" s="1" t="n">
        <v>45079</v>
      </c>
      <c r="C449" s="5" t="inlineStr">
        <is>
          <t>M16</t>
        </is>
      </c>
      <c r="D449" s="5" t="n">
        <v>28</v>
      </c>
      <c r="E449" s="5" t="n">
        <v>300</v>
      </c>
      <c r="F449" t="inlineStr">
        <is>
          <t>Поступление</t>
        </is>
      </c>
      <c r="H449">
        <f>VLOOKUP(C449,Магазин!$A$2:$C$1000,2,0)</f>
        <v/>
      </c>
      <c r="I449">
        <f>VLOOKUP(D449,Товар!$A$2:$F$1000,3,0)</f>
        <v/>
      </c>
      <c r="J449">
        <f>VLOOKUP(D449,Товар!$A$2:$F$1000,5,0)</f>
        <v/>
      </c>
      <c r="K449">
        <f>IF(AND(H449="Промышленный",LEFT(I449,18)="Порошок стиральный",F449="Продажа",B449=DATE(2023,6,7)),E449*J449/1000,0)</f>
        <v/>
      </c>
    </row>
    <row r="450">
      <c r="A450" t="n">
        <v>449</v>
      </c>
      <c r="B450" s="1" t="n">
        <v>45079</v>
      </c>
      <c r="C450" s="5" t="inlineStr">
        <is>
          <t>M16</t>
        </is>
      </c>
      <c r="D450" s="5" t="n">
        <v>29</v>
      </c>
      <c r="E450" s="5" t="n">
        <v>300</v>
      </c>
      <c r="F450" t="inlineStr">
        <is>
          <t>Поступление</t>
        </is>
      </c>
      <c r="H450">
        <f>VLOOKUP(C450,Магазин!$A$2:$C$1000,2,0)</f>
        <v/>
      </c>
      <c r="I450">
        <f>VLOOKUP(D450,Товар!$A$2:$F$1000,3,0)</f>
        <v/>
      </c>
      <c r="J450">
        <f>VLOOKUP(D450,Товар!$A$2:$F$1000,5,0)</f>
        <v/>
      </c>
      <c r="K450">
        <f>IF(AND(H450="Промышленный",LEFT(I450,18)="Порошок стиральный",F450="Продажа",B450=DATE(2023,6,7)),E450*J450/1000,0)</f>
        <v/>
      </c>
    </row>
    <row r="451">
      <c r="A451" t="n">
        <v>450</v>
      </c>
      <c r="B451" s="1" t="n">
        <v>45079</v>
      </c>
      <c r="C451" s="5" t="inlineStr">
        <is>
          <t>M16</t>
        </is>
      </c>
      <c r="D451" s="5" t="n">
        <v>30</v>
      </c>
      <c r="E451" s="5" t="n">
        <v>300</v>
      </c>
      <c r="F451" t="inlineStr">
        <is>
          <t>Поступление</t>
        </is>
      </c>
      <c r="H451">
        <f>VLOOKUP(C451,Магазин!$A$2:$C$1000,2,0)</f>
        <v/>
      </c>
      <c r="I451">
        <f>VLOOKUP(D451,Товар!$A$2:$F$1000,3,0)</f>
        <v/>
      </c>
      <c r="J451">
        <f>VLOOKUP(D451,Товар!$A$2:$F$1000,5,0)</f>
        <v/>
      </c>
      <c r="K451">
        <f>IF(AND(H451="Промышленный",LEFT(I451,18)="Порошок стиральный",F451="Продажа",B451=DATE(2023,6,7)),E451*J451/1000,0)</f>
        <v/>
      </c>
    </row>
    <row r="452">
      <c r="A452" t="n">
        <v>451</v>
      </c>
      <c r="B452" s="1" t="n">
        <v>45079</v>
      </c>
      <c r="C452" s="5" t="inlineStr">
        <is>
          <t>M16</t>
        </is>
      </c>
      <c r="D452" s="5" t="n">
        <v>31</v>
      </c>
      <c r="E452" s="5" t="n">
        <v>300</v>
      </c>
      <c r="F452" t="inlineStr">
        <is>
          <t>Поступление</t>
        </is>
      </c>
      <c r="H452">
        <f>VLOOKUP(C452,Магазин!$A$2:$C$1000,2,0)</f>
        <v/>
      </c>
      <c r="I452">
        <f>VLOOKUP(D452,Товар!$A$2:$F$1000,3,0)</f>
        <v/>
      </c>
      <c r="J452">
        <f>VLOOKUP(D452,Товар!$A$2:$F$1000,5,0)</f>
        <v/>
      </c>
      <c r="K452">
        <f>IF(AND(H452="Промышленный",LEFT(I452,18)="Порошок стиральный",F452="Продажа",B452=DATE(2023,6,7)),E452*J452/1000,0)</f>
        <v/>
      </c>
    </row>
    <row r="453">
      <c r="A453" t="n">
        <v>452</v>
      </c>
      <c r="B453" s="1" t="n">
        <v>45079</v>
      </c>
      <c r="C453" s="5" t="inlineStr">
        <is>
          <t>M16</t>
        </is>
      </c>
      <c r="D453" s="5" t="n">
        <v>32</v>
      </c>
      <c r="E453" s="5" t="n">
        <v>300</v>
      </c>
      <c r="F453" t="inlineStr">
        <is>
          <t>Поступление</t>
        </is>
      </c>
      <c r="H453">
        <f>VLOOKUP(C453,Магазин!$A$2:$C$1000,2,0)</f>
        <v/>
      </c>
      <c r="I453">
        <f>VLOOKUP(D453,Товар!$A$2:$F$1000,3,0)</f>
        <v/>
      </c>
      <c r="J453">
        <f>VLOOKUP(D453,Товар!$A$2:$F$1000,5,0)</f>
        <v/>
      </c>
      <c r="K453">
        <f>IF(AND(H453="Промышленный",LEFT(I453,18)="Порошок стиральный",F453="Продажа",B453=DATE(2023,6,7)),E453*J453/1000,0)</f>
        <v/>
      </c>
    </row>
    <row r="454">
      <c r="A454" t="n">
        <v>453</v>
      </c>
      <c r="B454" s="1" t="n">
        <v>45079</v>
      </c>
      <c r="C454" s="5" t="inlineStr">
        <is>
          <t>M16</t>
        </is>
      </c>
      <c r="D454" s="5" t="n">
        <v>33</v>
      </c>
      <c r="E454" s="5" t="n">
        <v>300</v>
      </c>
      <c r="F454" t="inlineStr">
        <is>
          <t>Поступление</t>
        </is>
      </c>
      <c r="H454">
        <f>VLOOKUP(C454,Магазин!$A$2:$C$1000,2,0)</f>
        <v/>
      </c>
      <c r="I454">
        <f>VLOOKUP(D454,Товар!$A$2:$F$1000,3,0)</f>
        <v/>
      </c>
      <c r="J454">
        <f>VLOOKUP(D454,Товар!$A$2:$F$1000,5,0)</f>
        <v/>
      </c>
      <c r="K454">
        <f>IF(AND(H454="Промышленный",LEFT(I454,18)="Порошок стиральный",F454="Продажа",B454=DATE(2023,6,7)),E454*J454/1000,0)</f>
        <v/>
      </c>
    </row>
    <row r="455">
      <c r="A455" t="n">
        <v>454</v>
      </c>
      <c r="B455" s="1" t="n">
        <v>45079</v>
      </c>
      <c r="C455" s="5" t="inlineStr">
        <is>
          <t>M16</t>
        </is>
      </c>
      <c r="D455" s="5" t="n">
        <v>34</v>
      </c>
      <c r="E455" s="5" t="n">
        <v>300</v>
      </c>
      <c r="F455" t="inlineStr">
        <is>
          <t>Поступление</t>
        </is>
      </c>
      <c r="H455">
        <f>VLOOKUP(C455,Магазин!$A$2:$C$1000,2,0)</f>
        <v/>
      </c>
      <c r="I455">
        <f>VLOOKUP(D455,Товар!$A$2:$F$1000,3,0)</f>
        <v/>
      </c>
      <c r="J455">
        <f>VLOOKUP(D455,Товар!$A$2:$F$1000,5,0)</f>
        <v/>
      </c>
      <c r="K455">
        <f>IF(AND(H455="Промышленный",LEFT(I455,18)="Порошок стиральный",F455="Продажа",B455=DATE(2023,6,7)),E455*J455/1000,0)</f>
        <v/>
      </c>
    </row>
    <row r="456">
      <c r="A456" t="n">
        <v>455</v>
      </c>
      <c r="B456" s="1" t="n">
        <v>45079</v>
      </c>
      <c r="C456" s="5" t="inlineStr">
        <is>
          <t>M16</t>
        </is>
      </c>
      <c r="D456" s="5" t="n">
        <v>35</v>
      </c>
      <c r="E456" s="5" t="n">
        <v>300</v>
      </c>
      <c r="F456" t="inlineStr">
        <is>
          <t>Поступление</t>
        </is>
      </c>
      <c r="H456">
        <f>VLOOKUP(C456,Магазин!$A$2:$C$1000,2,0)</f>
        <v/>
      </c>
      <c r="I456">
        <f>VLOOKUP(D456,Товар!$A$2:$F$1000,3,0)</f>
        <v/>
      </c>
      <c r="J456">
        <f>VLOOKUP(D456,Товар!$A$2:$F$1000,5,0)</f>
        <v/>
      </c>
      <c r="K456">
        <f>IF(AND(H456="Промышленный",LEFT(I456,18)="Порошок стиральный",F456="Продажа",B456=DATE(2023,6,7)),E456*J456/1000,0)</f>
        <v/>
      </c>
    </row>
    <row r="457">
      <c r="A457" t="n">
        <v>456</v>
      </c>
      <c r="B457" s="1" t="n">
        <v>45079</v>
      </c>
      <c r="C457" s="5" t="inlineStr">
        <is>
          <t>M16</t>
        </is>
      </c>
      <c r="D457" s="5" t="n">
        <v>36</v>
      </c>
      <c r="E457" s="5" t="n">
        <v>300</v>
      </c>
      <c r="F457" t="inlineStr">
        <is>
          <t>Поступление</t>
        </is>
      </c>
      <c r="H457">
        <f>VLOOKUP(C457,Магазин!$A$2:$C$1000,2,0)</f>
        <v/>
      </c>
      <c r="I457">
        <f>VLOOKUP(D457,Товар!$A$2:$F$1000,3,0)</f>
        <v/>
      </c>
      <c r="J457">
        <f>VLOOKUP(D457,Товар!$A$2:$F$1000,5,0)</f>
        <v/>
      </c>
      <c r="K457">
        <f>IF(AND(H457="Промышленный",LEFT(I457,18)="Порошок стиральный",F457="Продажа",B457=DATE(2023,6,7)),E457*J457/1000,0)</f>
        <v/>
      </c>
    </row>
    <row r="458">
      <c r="A458" t="n">
        <v>457</v>
      </c>
      <c r="B458" s="1" t="n">
        <v>45079</v>
      </c>
      <c r="C458" s="5" t="inlineStr">
        <is>
          <t>M16</t>
        </is>
      </c>
      <c r="D458" s="5" t="n">
        <v>37</v>
      </c>
      <c r="E458" s="5" t="n">
        <v>400</v>
      </c>
      <c r="F458" t="inlineStr">
        <is>
          <t>Поступление</t>
        </is>
      </c>
      <c r="H458">
        <f>VLOOKUP(C458,Магазин!$A$2:$C$1000,2,0)</f>
        <v/>
      </c>
      <c r="I458">
        <f>VLOOKUP(D458,Товар!$A$2:$F$1000,3,0)</f>
        <v/>
      </c>
      <c r="J458">
        <f>VLOOKUP(D458,Товар!$A$2:$F$1000,5,0)</f>
        <v/>
      </c>
      <c r="K458">
        <f>IF(AND(H458="Промышленный",LEFT(I458,18)="Порошок стиральный",F458="Продажа",B458=DATE(2023,6,7)),E458*J458/1000,0)</f>
        <v/>
      </c>
    </row>
    <row r="459">
      <c r="A459" t="n">
        <v>458</v>
      </c>
      <c r="B459" s="1" t="n">
        <v>45079</v>
      </c>
      <c r="C459" s="5" t="inlineStr">
        <is>
          <t>M16</t>
        </is>
      </c>
      <c r="D459" s="5" t="n">
        <v>38</v>
      </c>
      <c r="E459" s="5" t="n">
        <v>400</v>
      </c>
      <c r="F459" t="inlineStr">
        <is>
          <t>Поступление</t>
        </is>
      </c>
      <c r="H459">
        <f>VLOOKUP(C459,Магазин!$A$2:$C$1000,2,0)</f>
        <v/>
      </c>
      <c r="I459">
        <f>VLOOKUP(D459,Товар!$A$2:$F$1000,3,0)</f>
        <v/>
      </c>
      <c r="J459">
        <f>VLOOKUP(D459,Товар!$A$2:$F$1000,5,0)</f>
        <v/>
      </c>
      <c r="K459">
        <f>IF(AND(H459="Промышленный",LEFT(I459,18)="Порошок стиральный",F459="Продажа",B459=DATE(2023,6,7)),E459*J459/1000,0)</f>
        <v/>
      </c>
    </row>
    <row r="460">
      <c r="A460" t="n">
        <v>459</v>
      </c>
      <c r="B460" s="1" t="n">
        <v>45079</v>
      </c>
      <c r="C460" s="5" t="inlineStr">
        <is>
          <t>M16</t>
        </is>
      </c>
      <c r="D460" s="5" t="n">
        <v>39</v>
      </c>
      <c r="E460" s="5" t="n">
        <v>400</v>
      </c>
      <c r="F460" t="inlineStr">
        <is>
          <t>Поступление</t>
        </is>
      </c>
      <c r="H460">
        <f>VLOOKUP(C460,Магазин!$A$2:$C$1000,2,0)</f>
        <v/>
      </c>
      <c r="I460">
        <f>VLOOKUP(D460,Товар!$A$2:$F$1000,3,0)</f>
        <v/>
      </c>
      <c r="J460">
        <f>VLOOKUP(D460,Товар!$A$2:$F$1000,5,0)</f>
        <v/>
      </c>
      <c r="K460">
        <f>IF(AND(H460="Промышленный",LEFT(I460,18)="Порошок стиральный",F460="Продажа",B460=DATE(2023,6,7)),E460*J460/1000,0)</f>
        <v/>
      </c>
    </row>
    <row r="461">
      <c r="A461" t="n">
        <v>460</v>
      </c>
      <c r="B461" s="1" t="n">
        <v>45079</v>
      </c>
      <c r="C461" s="5" t="inlineStr">
        <is>
          <t>M16</t>
        </is>
      </c>
      <c r="D461" s="5" t="n">
        <v>40</v>
      </c>
      <c r="E461" s="5" t="n">
        <v>400</v>
      </c>
      <c r="F461" t="inlineStr">
        <is>
          <t>Поступление</t>
        </is>
      </c>
      <c r="H461">
        <f>VLOOKUP(C461,Магазин!$A$2:$C$1000,2,0)</f>
        <v/>
      </c>
      <c r="I461">
        <f>VLOOKUP(D461,Товар!$A$2:$F$1000,3,0)</f>
        <v/>
      </c>
      <c r="J461">
        <f>VLOOKUP(D461,Товар!$A$2:$F$1000,5,0)</f>
        <v/>
      </c>
      <c r="K461">
        <f>IF(AND(H461="Промышленный",LEFT(I461,18)="Порошок стиральный",F461="Продажа",B461=DATE(2023,6,7)),E461*J461/1000,0)</f>
        <v/>
      </c>
    </row>
    <row r="462">
      <c r="A462" t="n">
        <v>461</v>
      </c>
      <c r="B462" s="1" t="n">
        <v>45079</v>
      </c>
      <c r="C462" s="5" t="inlineStr">
        <is>
          <t>M16</t>
        </is>
      </c>
      <c r="D462" s="5" t="n">
        <v>41</v>
      </c>
      <c r="E462" s="5" t="n">
        <v>400</v>
      </c>
      <c r="F462" t="inlineStr">
        <is>
          <t>Поступление</t>
        </is>
      </c>
      <c r="H462">
        <f>VLOOKUP(C462,Магазин!$A$2:$C$1000,2,0)</f>
        <v/>
      </c>
      <c r="I462">
        <f>VLOOKUP(D462,Товар!$A$2:$F$1000,3,0)</f>
        <v/>
      </c>
      <c r="J462">
        <f>VLOOKUP(D462,Товар!$A$2:$F$1000,5,0)</f>
        <v/>
      </c>
      <c r="K462">
        <f>IF(AND(H462="Промышленный",LEFT(I462,18)="Порошок стиральный",F462="Продажа",B462=DATE(2023,6,7)),E462*J462/1000,0)</f>
        <v/>
      </c>
    </row>
    <row r="463">
      <c r="A463" t="n">
        <v>462</v>
      </c>
      <c r="B463" s="1" t="n">
        <v>45079</v>
      </c>
      <c r="C463" s="5" t="inlineStr">
        <is>
          <t>M16</t>
        </is>
      </c>
      <c r="D463" s="5" t="n">
        <v>42</v>
      </c>
      <c r="E463" s="5" t="n">
        <v>400</v>
      </c>
      <c r="F463" t="inlineStr">
        <is>
          <t>Поступление</t>
        </is>
      </c>
      <c r="H463">
        <f>VLOOKUP(C463,Магазин!$A$2:$C$1000,2,0)</f>
        <v/>
      </c>
      <c r="I463">
        <f>VLOOKUP(D463,Товар!$A$2:$F$1000,3,0)</f>
        <v/>
      </c>
      <c r="J463">
        <f>VLOOKUP(D463,Товар!$A$2:$F$1000,5,0)</f>
        <v/>
      </c>
      <c r="K463">
        <f>IF(AND(H463="Промышленный",LEFT(I463,18)="Порошок стиральный",F463="Продажа",B463=DATE(2023,6,7)),E463*J463/1000,0)</f>
        <v/>
      </c>
    </row>
    <row r="464">
      <c r="A464" t="n">
        <v>463</v>
      </c>
      <c r="B464" s="1" t="n">
        <v>45079</v>
      </c>
      <c r="C464" s="5" t="inlineStr">
        <is>
          <t>M16</t>
        </is>
      </c>
      <c r="D464" s="5" t="n">
        <v>43</v>
      </c>
      <c r="E464" s="5" t="n">
        <v>400</v>
      </c>
      <c r="F464" t="inlineStr">
        <is>
          <t>Поступление</t>
        </is>
      </c>
      <c r="H464">
        <f>VLOOKUP(C464,Магазин!$A$2:$C$1000,2,0)</f>
        <v/>
      </c>
      <c r="I464">
        <f>VLOOKUP(D464,Товар!$A$2:$F$1000,3,0)</f>
        <v/>
      </c>
      <c r="J464">
        <f>VLOOKUP(D464,Товар!$A$2:$F$1000,5,0)</f>
        <v/>
      </c>
      <c r="K464">
        <f>IF(AND(H464="Промышленный",LEFT(I464,18)="Порошок стиральный",F464="Продажа",B464=DATE(2023,6,7)),E464*J464/1000,0)</f>
        <v/>
      </c>
    </row>
    <row r="465">
      <c r="A465" t="n">
        <v>464</v>
      </c>
      <c r="B465" s="1" t="n">
        <v>45079</v>
      </c>
      <c r="C465" s="5" t="inlineStr">
        <is>
          <t>M16</t>
        </is>
      </c>
      <c r="D465" s="5" t="n">
        <v>44</v>
      </c>
      <c r="E465" s="5" t="n">
        <v>400</v>
      </c>
      <c r="F465" t="inlineStr">
        <is>
          <t>Поступление</t>
        </is>
      </c>
      <c r="H465">
        <f>VLOOKUP(C465,Магазин!$A$2:$C$1000,2,0)</f>
        <v/>
      </c>
      <c r="I465">
        <f>VLOOKUP(D465,Товар!$A$2:$F$1000,3,0)</f>
        <v/>
      </c>
      <c r="J465">
        <f>VLOOKUP(D465,Товар!$A$2:$F$1000,5,0)</f>
        <v/>
      </c>
      <c r="K465">
        <f>IF(AND(H465="Промышленный",LEFT(I465,18)="Порошок стиральный",F465="Продажа",B465=DATE(2023,6,7)),E465*J465/1000,0)</f>
        <v/>
      </c>
    </row>
    <row r="466">
      <c r="A466" t="n">
        <v>465</v>
      </c>
      <c r="B466" s="1" t="n">
        <v>45079</v>
      </c>
      <c r="C466" s="5" t="inlineStr">
        <is>
          <t>M16</t>
        </is>
      </c>
      <c r="D466" s="5" t="n">
        <v>45</v>
      </c>
      <c r="E466" s="5" t="n">
        <v>400</v>
      </c>
      <c r="F466" t="inlineStr">
        <is>
          <t>Поступление</t>
        </is>
      </c>
      <c r="H466">
        <f>VLOOKUP(C466,Магазин!$A$2:$C$1000,2,0)</f>
        <v/>
      </c>
      <c r="I466">
        <f>VLOOKUP(D466,Товар!$A$2:$F$1000,3,0)</f>
        <v/>
      </c>
      <c r="J466">
        <f>VLOOKUP(D466,Товар!$A$2:$F$1000,5,0)</f>
        <v/>
      </c>
      <c r="K466">
        <f>IF(AND(H466="Промышленный",LEFT(I466,18)="Порошок стиральный",F466="Продажа",B466=DATE(2023,6,7)),E466*J466/1000,0)</f>
        <v/>
      </c>
    </row>
    <row r="467">
      <c r="A467" t="n">
        <v>466</v>
      </c>
      <c r="B467" s="1" t="n">
        <v>45079</v>
      </c>
      <c r="C467" s="5" t="inlineStr">
        <is>
          <t>M16</t>
        </is>
      </c>
      <c r="D467" s="5" t="n">
        <v>46</v>
      </c>
      <c r="E467" s="5" t="n">
        <v>400</v>
      </c>
      <c r="F467" t="inlineStr">
        <is>
          <t>Поступление</t>
        </is>
      </c>
      <c r="H467">
        <f>VLOOKUP(C467,Магазин!$A$2:$C$1000,2,0)</f>
        <v/>
      </c>
      <c r="I467">
        <f>VLOOKUP(D467,Товар!$A$2:$F$1000,3,0)</f>
        <v/>
      </c>
      <c r="J467">
        <f>VLOOKUP(D467,Товар!$A$2:$F$1000,5,0)</f>
        <v/>
      </c>
      <c r="K467">
        <f>IF(AND(H467="Промышленный",LEFT(I467,18)="Порошок стиральный",F467="Продажа",B467=DATE(2023,6,7)),E467*J467/1000,0)</f>
        <v/>
      </c>
    </row>
    <row r="468">
      <c r="A468" t="n">
        <v>467</v>
      </c>
      <c r="B468" s="1" t="n">
        <v>45079</v>
      </c>
      <c r="C468" s="5" t="inlineStr">
        <is>
          <t>M16</t>
        </is>
      </c>
      <c r="D468" s="5" t="n">
        <v>47</v>
      </c>
      <c r="E468" s="5" t="n">
        <v>400</v>
      </c>
      <c r="F468" t="inlineStr">
        <is>
          <t>Поступление</t>
        </is>
      </c>
      <c r="H468">
        <f>VLOOKUP(C468,Магазин!$A$2:$C$1000,2,0)</f>
        <v/>
      </c>
      <c r="I468">
        <f>VLOOKUP(D468,Товар!$A$2:$F$1000,3,0)</f>
        <v/>
      </c>
      <c r="J468">
        <f>VLOOKUP(D468,Товар!$A$2:$F$1000,5,0)</f>
        <v/>
      </c>
      <c r="K468">
        <f>IF(AND(H468="Промышленный",LEFT(I468,18)="Порошок стиральный",F468="Продажа",B468=DATE(2023,6,7)),E468*J468/1000,0)</f>
        <v/>
      </c>
    </row>
    <row r="469">
      <c r="A469" t="n">
        <v>468</v>
      </c>
      <c r="B469" s="1" t="n">
        <v>45079</v>
      </c>
      <c r="C469" s="5" t="inlineStr">
        <is>
          <t>M16</t>
        </is>
      </c>
      <c r="D469" s="5" t="n">
        <v>48</v>
      </c>
      <c r="E469" s="5" t="n">
        <v>400</v>
      </c>
      <c r="F469" t="inlineStr">
        <is>
          <t>Поступление</t>
        </is>
      </c>
      <c r="H469">
        <f>VLOOKUP(C469,Магазин!$A$2:$C$1000,2,0)</f>
        <v/>
      </c>
      <c r="I469">
        <f>VLOOKUP(D469,Товар!$A$2:$F$1000,3,0)</f>
        <v/>
      </c>
      <c r="J469">
        <f>VLOOKUP(D469,Товар!$A$2:$F$1000,5,0)</f>
        <v/>
      </c>
      <c r="K469">
        <f>IF(AND(H469="Промышленный",LEFT(I469,18)="Порошок стиральный",F469="Продажа",B469=DATE(2023,6,7)),E469*J469/1000,0)</f>
        <v/>
      </c>
    </row>
    <row r="470">
      <c r="A470" t="n">
        <v>469</v>
      </c>
      <c r="B470" s="1" t="n">
        <v>45079</v>
      </c>
      <c r="C470" s="5" t="inlineStr">
        <is>
          <t>M16</t>
        </is>
      </c>
      <c r="D470" s="5" t="n">
        <v>49</v>
      </c>
      <c r="E470" s="5" t="n">
        <v>400</v>
      </c>
      <c r="F470" t="inlineStr">
        <is>
          <t>Поступление</t>
        </is>
      </c>
      <c r="H470">
        <f>VLOOKUP(C470,Магазин!$A$2:$C$1000,2,0)</f>
        <v/>
      </c>
      <c r="I470">
        <f>VLOOKUP(D470,Товар!$A$2:$F$1000,3,0)</f>
        <v/>
      </c>
      <c r="J470">
        <f>VLOOKUP(D470,Товар!$A$2:$F$1000,5,0)</f>
        <v/>
      </c>
      <c r="K470">
        <f>IF(AND(H470="Промышленный",LEFT(I470,18)="Порошок стиральный",F470="Продажа",B470=DATE(2023,6,7)),E470*J470/1000,0)</f>
        <v/>
      </c>
    </row>
    <row r="471">
      <c r="A471" t="n">
        <v>470</v>
      </c>
      <c r="B471" s="1" t="n">
        <v>45079</v>
      </c>
      <c r="C471" s="5" t="inlineStr">
        <is>
          <t>M16</t>
        </is>
      </c>
      <c r="D471" s="5" t="n">
        <v>50</v>
      </c>
      <c r="E471" s="5" t="n">
        <v>400</v>
      </c>
      <c r="F471" t="inlineStr">
        <is>
          <t>Поступление</t>
        </is>
      </c>
      <c r="H471">
        <f>VLOOKUP(C471,Магазин!$A$2:$C$1000,2,0)</f>
        <v/>
      </c>
      <c r="I471">
        <f>VLOOKUP(D471,Товар!$A$2:$F$1000,3,0)</f>
        <v/>
      </c>
      <c r="J471">
        <f>VLOOKUP(D471,Товар!$A$2:$F$1000,5,0)</f>
        <v/>
      </c>
      <c r="K471">
        <f>IF(AND(H471="Промышленный",LEFT(I471,18)="Порошок стиральный",F471="Продажа",B471=DATE(2023,6,7)),E471*J471/1000,0)</f>
        <v/>
      </c>
    </row>
    <row r="472">
      <c r="A472" t="n">
        <v>471</v>
      </c>
      <c r="B472" s="1" t="n">
        <v>45079</v>
      </c>
      <c r="C472" s="5" t="inlineStr">
        <is>
          <t>M16</t>
        </is>
      </c>
      <c r="D472" s="5" t="n">
        <v>51</v>
      </c>
      <c r="E472" s="5" t="n">
        <v>400</v>
      </c>
      <c r="F472" t="inlineStr">
        <is>
          <t>Поступление</t>
        </is>
      </c>
      <c r="H472">
        <f>VLOOKUP(C472,Магазин!$A$2:$C$1000,2,0)</f>
        <v/>
      </c>
      <c r="I472">
        <f>VLOOKUP(D472,Товар!$A$2:$F$1000,3,0)</f>
        <v/>
      </c>
      <c r="J472">
        <f>VLOOKUP(D472,Товар!$A$2:$F$1000,5,0)</f>
        <v/>
      </c>
      <c r="K472">
        <f>IF(AND(H472="Промышленный",LEFT(I472,18)="Порошок стиральный",F472="Продажа",B472=DATE(2023,6,7)),E472*J472/1000,0)</f>
        <v/>
      </c>
    </row>
    <row r="473">
      <c r="A473" t="n">
        <v>472</v>
      </c>
      <c r="B473" s="1" t="n">
        <v>45079</v>
      </c>
      <c r="C473" s="5" t="inlineStr">
        <is>
          <t>M16</t>
        </is>
      </c>
      <c r="D473" s="5" t="n">
        <v>52</v>
      </c>
      <c r="E473" s="5" t="n">
        <v>400</v>
      </c>
      <c r="F473" t="inlineStr">
        <is>
          <t>Поступление</t>
        </is>
      </c>
      <c r="H473">
        <f>VLOOKUP(C473,Магазин!$A$2:$C$1000,2,0)</f>
        <v/>
      </c>
      <c r="I473">
        <f>VLOOKUP(D473,Товар!$A$2:$F$1000,3,0)</f>
        <v/>
      </c>
      <c r="J473">
        <f>VLOOKUP(D473,Товар!$A$2:$F$1000,5,0)</f>
        <v/>
      </c>
      <c r="K473">
        <f>IF(AND(H473="Промышленный",LEFT(I473,18)="Порошок стиральный",F473="Продажа",B473=DATE(2023,6,7)),E473*J473/1000,0)</f>
        <v/>
      </c>
    </row>
    <row r="474">
      <c r="A474" t="n">
        <v>473</v>
      </c>
      <c r="B474" s="1" t="n">
        <v>45079</v>
      </c>
      <c r="C474" s="5" t="inlineStr">
        <is>
          <t>M16</t>
        </is>
      </c>
      <c r="D474" s="5" t="n">
        <v>53</v>
      </c>
      <c r="E474" s="5" t="n">
        <v>400</v>
      </c>
      <c r="F474" t="inlineStr">
        <is>
          <t>Поступление</t>
        </is>
      </c>
      <c r="H474">
        <f>VLOOKUP(C474,Магазин!$A$2:$C$1000,2,0)</f>
        <v/>
      </c>
      <c r="I474">
        <f>VLOOKUP(D474,Товар!$A$2:$F$1000,3,0)</f>
        <v/>
      </c>
      <c r="J474">
        <f>VLOOKUP(D474,Товар!$A$2:$F$1000,5,0)</f>
        <v/>
      </c>
      <c r="K474">
        <f>IF(AND(H474="Промышленный",LEFT(I474,18)="Порошок стиральный",F474="Продажа",B474=DATE(2023,6,7)),E474*J474/1000,0)</f>
        <v/>
      </c>
    </row>
    <row r="475">
      <c r="A475" t="n">
        <v>474</v>
      </c>
      <c r="B475" s="1" t="n">
        <v>45079</v>
      </c>
      <c r="C475" s="5" t="inlineStr">
        <is>
          <t>M16</t>
        </is>
      </c>
      <c r="D475" s="5" t="n">
        <v>54</v>
      </c>
      <c r="E475" s="5" t="n">
        <v>400</v>
      </c>
      <c r="F475" t="inlineStr">
        <is>
          <t>Поступление</t>
        </is>
      </c>
      <c r="H475">
        <f>VLOOKUP(C475,Магазин!$A$2:$C$1000,2,0)</f>
        <v/>
      </c>
      <c r="I475">
        <f>VLOOKUP(D475,Товар!$A$2:$F$1000,3,0)</f>
        <v/>
      </c>
      <c r="J475">
        <f>VLOOKUP(D475,Товар!$A$2:$F$1000,5,0)</f>
        <v/>
      </c>
      <c r="K475">
        <f>IF(AND(H475="Промышленный",LEFT(I475,18)="Порошок стиральный",F475="Продажа",B475=DATE(2023,6,7)),E475*J475/1000,0)</f>
        <v/>
      </c>
    </row>
    <row r="476">
      <c r="A476" t="n">
        <v>475</v>
      </c>
      <c r="B476" s="1" t="n">
        <v>45079</v>
      </c>
      <c r="C476" s="5" t="inlineStr">
        <is>
          <t>M16</t>
        </is>
      </c>
      <c r="D476" s="5" t="n">
        <v>55</v>
      </c>
      <c r="E476" s="5" t="n">
        <v>400</v>
      </c>
      <c r="F476" t="inlineStr">
        <is>
          <t>Поступление</t>
        </is>
      </c>
      <c r="H476">
        <f>VLOOKUP(C476,Магазин!$A$2:$C$1000,2,0)</f>
        <v/>
      </c>
      <c r="I476">
        <f>VLOOKUP(D476,Товар!$A$2:$F$1000,3,0)</f>
        <v/>
      </c>
      <c r="J476">
        <f>VLOOKUP(D476,Товар!$A$2:$F$1000,5,0)</f>
        <v/>
      </c>
      <c r="K476">
        <f>IF(AND(H476="Промышленный",LEFT(I476,18)="Порошок стиральный",F476="Продажа",B476=DATE(2023,6,7)),E476*J476/1000,0)</f>
        <v/>
      </c>
    </row>
    <row r="477">
      <c r="A477" t="n">
        <v>476</v>
      </c>
      <c r="B477" s="1" t="n">
        <v>45079</v>
      </c>
      <c r="C477" s="5" t="inlineStr">
        <is>
          <t>M16</t>
        </is>
      </c>
      <c r="D477" s="5" t="n">
        <v>56</v>
      </c>
      <c r="E477" s="5" t="n">
        <v>400</v>
      </c>
      <c r="F477" t="inlineStr">
        <is>
          <t>Поступление</t>
        </is>
      </c>
      <c r="H477">
        <f>VLOOKUP(C477,Магазин!$A$2:$C$1000,2,0)</f>
        <v/>
      </c>
      <c r="I477">
        <f>VLOOKUP(D477,Товар!$A$2:$F$1000,3,0)</f>
        <v/>
      </c>
      <c r="J477">
        <f>VLOOKUP(D477,Товар!$A$2:$F$1000,5,0)</f>
        <v/>
      </c>
      <c r="K477">
        <f>IF(AND(H477="Промышленный",LEFT(I477,18)="Порошок стиральный",F477="Продажа",B477=DATE(2023,6,7)),E477*J477/1000,0)</f>
        <v/>
      </c>
    </row>
    <row r="478">
      <c r="A478" t="n">
        <v>477</v>
      </c>
      <c r="B478" s="1" t="n">
        <v>45079</v>
      </c>
      <c r="C478" s="5" t="inlineStr">
        <is>
          <t>M16</t>
        </is>
      </c>
      <c r="D478" s="5" t="n">
        <v>57</v>
      </c>
      <c r="E478" s="5" t="n">
        <v>400</v>
      </c>
      <c r="F478" t="inlineStr">
        <is>
          <t>Поступление</t>
        </is>
      </c>
      <c r="H478">
        <f>VLOOKUP(C478,Магазин!$A$2:$C$1000,2,0)</f>
        <v/>
      </c>
      <c r="I478">
        <f>VLOOKUP(D478,Товар!$A$2:$F$1000,3,0)</f>
        <v/>
      </c>
      <c r="J478">
        <f>VLOOKUP(D478,Товар!$A$2:$F$1000,5,0)</f>
        <v/>
      </c>
      <c r="K478">
        <f>IF(AND(H478="Промышленный",LEFT(I478,18)="Порошок стиральный",F478="Продажа",B478=DATE(2023,6,7)),E478*J478/1000,0)</f>
        <v/>
      </c>
    </row>
    <row r="479">
      <c r="A479" t="n">
        <v>478</v>
      </c>
      <c r="B479" s="1" t="n">
        <v>45079</v>
      </c>
      <c r="C479" s="5" t="inlineStr">
        <is>
          <t>M16</t>
        </is>
      </c>
      <c r="D479" s="5" t="n">
        <v>58</v>
      </c>
      <c r="E479" s="5" t="n">
        <v>400</v>
      </c>
      <c r="F479" t="inlineStr">
        <is>
          <t>Поступление</t>
        </is>
      </c>
      <c r="H479">
        <f>VLOOKUP(C479,Магазин!$A$2:$C$1000,2,0)</f>
        <v/>
      </c>
      <c r="I479">
        <f>VLOOKUP(D479,Товар!$A$2:$F$1000,3,0)</f>
        <v/>
      </c>
      <c r="J479">
        <f>VLOOKUP(D479,Товар!$A$2:$F$1000,5,0)</f>
        <v/>
      </c>
      <c r="K479">
        <f>IF(AND(H479="Промышленный",LEFT(I479,18)="Порошок стиральный",F479="Продажа",B479=DATE(2023,6,7)),E479*J479/1000,0)</f>
        <v/>
      </c>
    </row>
    <row r="480">
      <c r="A480" t="n">
        <v>479</v>
      </c>
      <c r="B480" s="1" t="n">
        <v>45079</v>
      </c>
      <c r="C480" s="5" t="inlineStr">
        <is>
          <t>M16</t>
        </is>
      </c>
      <c r="D480" s="5" t="n">
        <v>59</v>
      </c>
      <c r="E480" s="5" t="n">
        <v>400</v>
      </c>
      <c r="F480" t="inlineStr">
        <is>
          <t>Поступление</t>
        </is>
      </c>
      <c r="H480">
        <f>VLOOKUP(C480,Магазин!$A$2:$C$1000,2,0)</f>
        <v/>
      </c>
      <c r="I480">
        <f>VLOOKUP(D480,Товар!$A$2:$F$1000,3,0)</f>
        <v/>
      </c>
      <c r="J480">
        <f>VLOOKUP(D480,Товар!$A$2:$F$1000,5,0)</f>
        <v/>
      </c>
      <c r="K480">
        <f>IF(AND(H480="Промышленный",LEFT(I480,18)="Порошок стиральный",F480="Продажа",B480=DATE(2023,6,7)),E480*J480/1000,0)</f>
        <v/>
      </c>
    </row>
    <row r="481">
      <c r="A481" t="n">
        <v>480</v>
      </c>
      <c r="B481" s="1" t="n">
        <v>45079</v>
      </c>
      <c r="C481" s="5" t="inlineStr">
        <is>
          <t>M16</t>
        </is>
      </c>
      <c r="D481" s="5" t="n">
        <v>60</v>
      </c>
      <c r="E481" s="5" t="n">
        <v>400</v>
      </c>
      <c r="F481" t="inlineStr">
        <is>
          <t>Поступление</t>
        </is>
      </c>
      <c r="H481">
        <f>VLOOKUP(C481,Магазин!$A$2:$C$1000,2,0)</f>
        <v/>
      </c>
      <c r="I481">
        <f>VLOOKUP(D481,Товар!$A$2:$F$1000,3,0)</f>
        <v/>
      </c>
      <c r="J481">
        <f>VLOOKUP(D481,Товар!$A$2:$F$1000,5,0)</f>
        <v/>
      </c>
      <c r="K481">
        <f>IF(AND(H481="Промышленный",LEFT(I481,18)="Порошок стиральный",F481="Продажа",B481=DATE(2023,6,7)),E481*J481/1000,0)</f>
        <v/>
      </c>
    </row>
    <row r="482">
      <c r="A482" t="n">
        <v>481</v>
      </c>
      <c r="B482" s="1" t="n">
        <v>45079</v>
      </c>
      <c r="C482" s="5" t="inlineStr">
        <is>
          <t>M17</t>
        </is>
      </c>
      <c r="D482" s="5" t="n">
        <v>1</v>
      </c>
      <c r="E482" s="5" t="n">
        <v>100</v>
      </c>
      <c r="F482" t="inlineStr">
        <is>
          <t>Поступление</t>
        </is>
      </c>
      <c r="H482">
        <f>VLOOKUP(C482,Магазин!$A$2:$C$1000,2,0)</f>
        <v/>
      </c>
      <c r="I482">
        <f>VLOOKUP(D482,Товар!$A$2:$F$1000,3,0)</f>
        <v/>
      </c>
      <c r="J482">
        <f>VLOOKUP(D482,Товар!$A$2:$F$1000,5,0)</f>
        <v/>
      </c>
      <c r="K482">
        <f>IF(AND(H482="Промышленный",LEFT(I482,18)="Порошок стиральный",F482="Продажа",B482=DATE(2023,6,7)),E482*J482/1000,0)</f>
        <v/>
      </c>
    </row>
    <row r="483">
      <c r="A483" t="n">
        <v>482</v>
      </c>
      <c r="B483" s="1" t="n">
        <v>45079</v>
      </c>
      <c r="C483" s="5" t="inlineStr">
        <is>
          <t>M17</t>
        </is>
      </c>
      <c r="D483" s="5" t="n">
        <v>2</v>
      </c>
      <c r="E483" s="5" t="n">
        <v>100</v>
      </c>
      <c r="F483" t="inlineStr">
        <is>
          <t>Поступление</t>
        </is>
      </c>
      <c r="H483">
        <f>VLOOKUP(C483,Магазин!$A$2:$C$1000,2,0)</f>
        <v/>
      </c>
      <c r="I483">
        <f>VLOOKUP(D483,Товар!$A$2:$F$1000,3,0)</f>
        <v/>
      </c>
      <c r="J483">
        <f>VLOOKUP(D483,Товар!$A$2:$F$1000,5,0)</f>
        <v/>
      </c>
      <c r="K483">
        <f>IF(AND(H483="Промышленный",LEFT(I483,18)="Порошок стиральный",F483="Продажа",B483=DATE(2023,6,7)),E483*J483/1000,0)</f>
        <v/>
      </c>
    </row>
    <row r="484">
      <c r="A484" t="n">
        <v>483</v>
      </c>
      <c r="B484" s="1" t="n">
        <v>45079</v>
      </c>
      <c r="C484" s="5" t="inlineStr">
        <is>
          <t>M17</t>
        </is>
      </c>
      <c r="D484" s="5" t="n">
        <v>3</v>
      </c>
      <c r="E484" s="5" t="n">
        <v>100</v>
      </c>
      <c r="F484" t="inlineStr">
        <is>
          <t>Поступление</t>
        </is>
      </c>
      <c r="H484">
        <f>VLOOKUP(C484,Магазин!$A$2:$C$1000,2,0)</f>
        <v/>
      </c>
      <c r="I484">
        <f>VLOOKUP(D484,Товар!$A$2:$F$1000,3,0)</f>
        <v/>
      </c>
      <c r="J484">
        <f>VLOOKUP(D484,Товар!$A$2:$F$1000,5,0)</f>
        <v/>
      </c>
      <c r="K484">
        <f>IF(AND(H484="Промышленный",LEFT(I484,18)="Порошок стиральный",F484="Продажа",B484=DATE(2023,6,7)),E484*J484/1000,0)</f>
        <v/>
      </c>
    </row>
    <row r="485">
      <c r="A485" t="n">
        <v>484</v>
      </c>
      <c r="B485" s="1" t="n">
        <v>45079</v>
      </c>
      <c r="C485" s="5" t="inlineStr">
        <is>
          <t>M17</t>
        </is>
      </c>
      <c r="D485" s="5" t="n">
        <v>4</v>
      </c>
      <c r="E485" s="5" t="n">
        <v>100</v>
      </c>
      <c r="F485" t="inlineStr">
        <is>
          <t>Поступление</t>
        </is>
      </c>
      <c r="H485">
        <f>VLOOKUP(C485,Магазин!$A$2:$C$1000,2,0)</f>
        <v/>
      </c>
      <c r="I485">
        <f>VLOOKUP(D485,Товар!$A$2:$F$1000,3,0)</f>
        <v/>
      </c>
      <c r="J485">
        <f>VLOOKUP(D485,Товар!$A$2:$F$1000,5,0)</f>
        <v/>
      </c>
      <c r="K485">
        <f>IF(AND(H485="Промышленный",LEFT(I485,18)="Порошок стиральный",F485="Продажа",B485=DATE(2023,6,7)),E485*J485/1000,0)</f>
        <v/>
      </c>
    </row>
    <row r="486">
      <c r="A486" t="n">
        <v>485</v>
      </c>
      <c r="B486" s="1" t="n">
        <v>45079</v>
      </c>
      <c r="C486" s="5" t="inlineStr">
        <is>
          <t>M17</t>
        </is>
      </c>
      <c r="D486" s="5" t="n">
        <v>5</v>
      </c>
      <c r="E486" s="5" t="n">
        <v>100</v>
      </c>
      <c r="F486" t="inlineStr">
        <is>
          <t>Поступление</t>
        </is>
      </c>
      <c r="H486">
        <f>VLOOKUP(C486,Магазин!$A$2:$C$1000,2,0)</f>
        <v/>
      </c>
      <c r="I486">
        <f>VLOOKUP(D486,Товар!$A$2:$F$1000,3,0)</f>
        <v/>
      </c>
      <c r="J486">
        <f>VLOOKUP(D486,Товар!$A$2:$F$1000,5,0)</f>
        <v/>
      </c>
      <c r="K486">
        <f>IF(AND(H486="Промышленный",LEFT(I486,18)="Порошок стиральный",F486="Продажа",B486=DATE(2023,6,7)),E486*J486/1000,0)</f>
        <v/>
      </c>
    </row>
    <row r="487">
      <c r="A487" t="n">
        <v>486</v>
      </c>
      <c r="B487" s="1" t="n">
        <v>45079</v>
      </c>
      <c r="C487" s="5" t="inlineStr">
        <is>
          <t>M17</t>
        </is>
      </c>
      <c r="D487" s="5" t="n">
        <v>6</v>
      </c>
      <c r="E487" s="5" t="n">
        <v>100</v>
      </c>
      <c r="F487" t="inlineStr">
        <is>
          <t>Поступление</t>
        </is>
      </c>
      <c r="H487">
        <f>VLOOKUP(C487,Магазин!$A$2:$C$1000,2,0)</f>
        <v/>
      </c>
      <c r="I487">
        <f>VLOOKUP(D487,Товар!$A$2:$F$1000,3,0)</f>
        <v/>
      </c>
      <c r="J487">
        <f>VLOOKUP(D487,Товар!$A$2:$F$1000,5,0)</f>
        <v/>
      </c>
      <c r="K487">
        <f>IF(AND(H487="Промышленный",LEFT(I487,18)="Порошок стиральный",F487="Продажа",B487=DATE(2023,6,7)),E487*J487/1000,0)</f>
        <v/>
      </c>
    </row>
    <row r="488">
      <c r="A488" t="n">
        <v>487</v>
      </c>
      <c r="B488" s="1" t="n">
        <v>45079</v>
      </c>
      <c r="C488" s="5" t="inlineStr">
        <is>
          <t>M17</t>
        </is>
      </c>
      <c r="D488" s="5" t="n">
        <v>7</v>
      </c>
      <c r="E488" s="5" t="n">
        <v>100</v>
      </c>
      <c r="F488" t="inlineStr">
        <is>
          <t>Поступление</t>
        </is>
      </c>
      <c r="H488">
        <f>VLOOKUP(C488,Магазин!$A$2:$C$1000,2,0)</f>
        <v/>
      </c>
      <c r="I488">
        <f>VLOOKUP(D488,Товар!$A$2:$F$1000,3,0)</f>
        <v/>
      </c>
      <c r="J488">
        <f>VLOOKUP(D488,Товар!$A$2:$F$1000,5,0)</f>
        <v/>
      </c>
      <c r="K488">
        <f>IF(AND(H488="Промышленный",LEFT(I488,18)="Порошок стиральный",F488="Продажа",B488=DATE(2023,6,7)),E488*J488/1000,0)</f>
        <v/>
      </c>
    </row>
    <row r="489" ht="15" customHeight="1" s="4">
      <c r="A489" t="n">
        <v>488</v>
      </c>
      <c r="B489" s="1" t="n">
        <v>45079</v>
      </c>
      <c r="C489" s="5" t="inlineStr">
        <is>
          <t>M17</t>
        </is>
      </c>
      <c r="D489" s="5" t="n">
        <v>8</v>
      </c>
      <c r="E489" s="5" t="n">
        <v>100</v>
      </c>
      <c r="F489" t="inlineStr">
        <is>
          <t>Поступление</t>
        </is>
      </c>
      <c r="H489">
        <f>VLOOKUP(C489,Магазин!$A$2:$C$1000,2,0)</f>
        <v/>
      </c>
      <c r="I489">
        <f>VLOOKUP(D489,Товар!$A$2:$F$1000,3,0)</f>
        <v/>
      </c>
      <c r="J489">
        <f>VLOOKUP(D489,Товар!$A$2:$F$1000,5,0)</f>
        <v/>
      </c>
      <c r="K489">
        <f>IF(AND(H489="Промышленный",LEFT(I489,18)="Порошок стиральный",F489="Продажа",B489=DATE(2023,6,7)),E489*J489/1000,0)</f>
        <v/>
      </c>
    </row>
    <row r="490" ht="15" customHeight="1" s="4">
      <c r="A490" t="n">
        <v>489</v>
      </c>
      <c r="B490" s="1" t="n">
        <v>45079</v>
      </c>
      <c r="C490" s="5" t="inlineStr">
        <is>
          <t>M17</t>
        </is>
      </c>
      <c r="D490" s="5" t="n">
        <v>9</v>
      </c>
      <c r="E490" s="5" t="n">
        <v>100</v>
      </c>
      <c r="F490" t="inlineStr">
        <is>
          <t>Поступление</t>
        </is>
      </c>
      <c r="H490">
        <f>VLOOKUP(C490,Магазин!$A$2:$C$1000,2,0)</f>
        <v/>
      </c>
      <c r="I490">
        <f>VLOOKUP(D490,Товар!$A$2:$F$1000,3,0)</f>
        <v/>
      </c>
      <c r="J490">
        <f>VLOOKUP(D490,Товар!$A$2:$F$1000,5,0)</f>
        <v/>
      </c>
      <c r="K490">
        <f>IF(AND(H490="Промышленный",LEFT(I490,18)="Порошок стиральный",F490="Продажа",B490=DATE(2023,6,7)),E490*J490/1000,0)</f>
        <v/>
      </c>
    </row>
    <row r="491">
      <c r="A491" t="n">
        <v>490</v>
      </c>
      <c r="B491" s="1" t="n">
        <v>45079</v>
      </c>
      <c r="C491" s="5" t="inlineStr">
        <is>
          <t>M17</t>
        </is>
      </c>
      <c r="D491" s="5" t="n">
        <v>10</v>
      </c>
      <c r="E491" s="5" t="n">
        <v>100</v>
      </c>
      <c r="F491" t="inlineStr">
        <is>
          <t>Поступление</t>
        </is>
      </c>
      <c r="H491">
        <f>VLOOKUP(C491,Магазин!$A$2:$C$1000,2,0)</f>
        <v/>
      </c>
      <c r="I491">
        <f>VLOOKUP(D491,Товар!$A$2:$F$1000,3,0)</f>
        <v/>
      </c>
      <c r="J491">
        <f>VLOOKUP(D491,Товар!$A$2:$F$1000,5,0)</f>
        <v/>
      </c>
      <c r="K491">
        <f>IF(AND(H491="Промышленный",LEFT(I491,18)="Порошок стиральный",F491="Продажа",B491=DATE(2023,6,7)),E491*J491/1000,0)</f>
        <v/>
      </c>
    </row>
    <row r="492">
      <c r="A492" t="n">
        <v>491</v>
      </c>
      <c r="B492" s="1" t="n">
        <v>45079</v>
      </c>
      <c r="C492" s="5" t="inlineStr">
        <is>
          <t>M17</t>
        </is>
      </c>
      <c r="D492" s="5" t="n">
        <v>11</v>
      </c>
      <c r="E492" s="5" t="n">
        <v>100</v>
      </c>
      <c r="F492" t="inlineStr">
        <is>
          <t>Поступление</t>
        </is>
      </c>
      <c r="H492">
        <f>VLOOKUP(C492,Магазин!$A$2:$C$1000,2,0)</f>
        <v/>
      </c>
      <c r="I492">
        <f>VLOOKUP(D492,Товар!$A$2:$F$1000,3,0)</f>
        <v/>
      </c>
      <c r="J492">
        <f>VLOOKUP(D492,Товар!$A$2:$F$1000,5,0)</f>
        <v/>
      </c>
      <c r="K492">
        <f>IF(AND(H492="Промышленный",LEFT(I492,18)="Порошок стиральный",F492="Продажа",B492=DATE(2023,6,7)),E492*J492/1000,0)</f>
        <v/>
      </c>
    </row>
    <row r="493">
      <c r="A493" t="n">
        <v>492</v>
      </c>
      <c r="B493" s="1" t="n">
        <v>45079</v>
      </c>
      <c r="C493" s="5" t="inlineStr">
        <is>
          <t>M17</t>
        </is>
      </c>
      <c r="D493" s="5" t="n">
        <v>12</v>
      </c>
      <c r="E493" s="5" t="n">
        <v>100</v>
      </c>
      <c r="F493" t="inlineStr">
        <is>
          <t>Поступление</t>
        </is>
      </c>
      <c r="H493">
        <f>VLOOKUP(C493,Магазин!$A$2:$C$1000,2,0)</f>
        <v/>
      </c>
      <c r="I493">
        <f>VLOOKUP(D493,Товар!$A$2:$F$1000,3,0)</f>
        <v/>
      </c>
      <c r="J493">
        <f>VLOOKUP(D493,Товар!$A$2:$F$1000,5,0)</f>
        <v/>
      </c>
      <c r="K493">
        <f>IF(AND(H493="Промышленный",LEFT(I493,18)="Порошок стиральный",F493="Продажа",B493=DATE(2023,6,7)),E493*J493/1000,0)</f>
        <v/>
      </c>
    </row>
    <row r="494">
      <c r="A494" t="n">
        <v>493</v>
      </c>
      <c r="B494" s="1" t="n">
        <v>45079</v>
      </c>
      <c r="C494" s="5" t="inlineStr">
        <is>
          <t>M17</t>
        </is>
      </c>
      <c r="D494" s="5" t="n">
        <v>13</v>
      </c>
      <c r="E494" s="5" t="n">
        <v>100</v>
      </c>
      <c r="F494" t="inlineStr">
        <is>
          <t>Поступление</t>
        </is>
      </c>
      <c r="H494">
        <f>VLOOKUP(C494,Магазин!$A$2:$C$1000,2,0)</f>
        <v/>
      </c>
      <c r="I494">
        <f>VLOOKUP(D494,Товар!$A$2:$F$1000,3,0)</f>
        <v/>
      </c>
      <c r="J494">
        <f>VLOOKUP(D494,Товар!$A$2:$F$1000,5,0)</f>
        <v/>
      </c>
      <c r="K494">
        <f>IF(AND(H494="Промышленный",LEFT(I494,18)="Порошок стиральный",F494="Продажа",B494=DATE(2023,6,7)),E494*J494/1000,0)</f>
        <v/>
      </c>
    </row>
    <row r="495">
      <c r="A495" t="n">
        <v>494</v>
      </c>
      <c r="B495" s="1" t="n">
        <v>45079</v>
      </c>
      <c r="C495" s="5" t="inlineStr">
        <is>
          <t>M17</t>
        </is>
      </c>
      <c r="D495" s="5" t="n">
        <v>14</v>
      </c>
      <c r="E495" s="5" t="n">
        <v>100</v>
      </c>
      <c r="F495" t="inlineStr">
        <is>
          <t>Поступление</t>
        </is>
      </c>
      <c r="H495">
        <f>VLOOKUP(C495,Магазин!$A$2:$C$1000,2,0)</f>
        <v/>
      </c>
      <c r="I495">
        <f>VLOOKUP(D495,Товар!$A$2:$F$1000,3,0)</f>
        <v/>
      </c>
      <c r="J495">
        <f>VLOOKUP(D495,Товар!$A$2:$F$1000,5,0)</f>
        <v/>
      </c>
      <c r="K495">
        <f>IF(AND(H495="Промышленный",LEFT(I495,18)="Порошок стиральный",F495="Продажа",B495=DATE(2023,6,7)),E495*J495/1000,0)</f>
        <v/>
      </c>
    </row>
    <row r="496">
      <c r="A496" t="n">
        <v>495</v>
      </c>
      <c r="B496" s="1" t="n">
        <v>45079</v>
      </c>
      <c r="C496" s="5" t="inlineStr">
        <is>
          <t>M17</t>
        </is>
      </c>
      <c r="D496" s="5" t="n">
        <v>15</v>
      </c>
      <c r="E496" s="5" t="n">
        <v>100</v>
      </c>
      <c r="F496" t="inlineStr">
        <is>
          <t>Поступление</t>
        </is>
      </c>
      <c r="H496">
        <f>VLOOKUP(C496,Магазин!$A$2:$C$1000,2,0)</f>
        <v/>
      </c>
      <c r="I496">
        <f>VLOOKUP(D496,Товар!$A$2:$F$1000,3,0)</f>
        <v/>
      </c>
      <c r="J496">
        <f>VLOOKUP(D496,Товар!$A$2:$F$1000,5,0)</f>
        <v/>
      </c>
      <c r="K496">
        <f>IF(AND(H496="Промышленный",LEFT(I496,18)="Порошок стиральный",F496="Продажа",B496=DATE(2023,6,7)),E496*J496/1000,0)</f>
        <v/>
      </c>
    </row>
    <row r="497">
      <c r="A497" t="n">
        <v>496</v>
      </c>
      <c r="B497" s="1" t="n">
        <v>45079</v>
      </c>
      <c r="C497" s="5" t="inlineStr">
        <is>
          <t>M17</t>
        </is>
      </c>
      <c r="D497" s="5" t="n">
        <v>16</v>
      </c>
      <c r="E497" s="5" t="n">
        <v>100</v>
      </c>
      <c r="F497" t="inlineStr">
        <is>
          <t>Поступление</t>
        </is>
      </c>
      <c r="H497">
        <f>VLOOKUP(C497,Магазин!$A$2:$C$1000,2,0)</f>
        <v/>
      </c>
      <c r="I497">
        <f>VLOOKUP(D497,Товар!$A$2:$F$1000,3,0)</f>
        <v/>
      </c>
      <c r="J497">
        <f>VLOOKUP(D497,Товар!$A$2:$F$1000,5,0)</f>
        <v/>
      </c>
      <c r="K497">
        <f>IF(AND(H497="Промышленный",LEFT(I497,18)="Порошок стиральный",F497="Продажа",B497=DATE(2023,6,7)),E497*J497/1000,0)</f>
        <v/>
      </c>
    </row>
    <row r="498">
      <c r="A498" t="n">
        <v>497</v>
      </c>
      <c r="B498" s="1" t="n">
        <v>45079</v>
      </c>
      <c r="C498" s="5" t="inlineStr">
        <is>
          <t>M17</t>
        </is>
      </c>
      <c r="D498" s="5" t="n">
        <v>17</v>
      </c>
      <c r="E498" s="5" t="n">
        <v>100</v>
      </c>
      <c r="F498" t="inlineStr">
        <is>
          <t>Поступление</t>
        </is>
      </c>
      <c r="H498">
        <f>VLOOKUP(C498,Магазин!$A$2:$C$1000,2,0)</f>
        <v/>
      </c>
      <c r="I498">
        <f>VLOOKUP(D498,Товар!$A$2:$F$1000,3,0)</f>
        <v/>
      </c>
      <c r="J498">
        <f>VLOOKUP(D498,Товар!$A$2:$F$1000,5,0)</f>
        <v/>
      </c>
      <c r="K498">
        <f>IF(AND(H498="Промышленный",LEFT(I498,18)="Порошок стиральный",F498="Продажа",B498=DATE(2023,6,7)),E498*J498/1000,0)</f>
        <v/>
      </c>
    </row>
    <row r="499">
      <c r="A499" t="n">
        <v>498</v>
      </c>
      <c r="B499" s="1" t="n">
        <v>45079</v>
      </c>
      <c r="C499" s="5" t="inlineStr">
        <is>
          <t>M17</t>
        </is>
      </c>
      <c r="D499" s="5" t="n">
        <v>18</v>
      </c>
      <c r="E499" s="5" t="n">
        <v>100</v>
      </c>
      <c r="F499" t="inlineStr">
        <is>
          <t>Поступление</t>
        </is>
      </c>
      <c r="H499">
        <f>VLOOKUP(C499,Магазин!$A$2:$C$1000,2,0)</f>
        <v/>
      </c>
      <c r="I499">
        <f>VLOOKUP(D499,Товар!$A$2:$F$1000,3,0)</f>
        <v/>
      </c>
      <c r="J499">
        <f>VLOOKUP(D499,Товар!$A$2:$F$1000,5,0)</f>
        <v/>
      </c>
      <c r="K499">
        <f>IF(AND(H499="Промышленный",LEFT(I499,18)="Порошок стиральный",F499="Продажа",B499=DATE(2023,6,7)),E499*J499/1000,0)</f>
        <v/>
      </c>
    </row>
    <row r="500">
      <c r="A500" t="n">
        <v>499</v>
      </c>
      <c r="B500" s="1" t="n">
        <v>45079</v>
      </c>
      <c r="C500" s="5" t="inlineStr">
        <is>
          <t>M17</t>
        </is>
      </c>
      <c r="D500" s="5" t="n">
        <v>19</v>
      </c>
      <c r="E500" s="5" t="n">
        <v>100</v>
      </c>
      <c r="F500" t="inlineStr">
        <is>
          <t>Поступление</t>
        </is>
      </c>
      <c r="H500">
        <f>VLOOKUP(C500,Магазин!$A$2:$C$1000,2,0)</f>
        <v/>
      </c>
      <c r="I500">
        <f>VLOOKUP(D500,Товар!$A$2:$F$1000,3,0)</f>
        <v/>
      </c>
      <c r="J500">
        <f>VLOOKUP(D500,Товар!$A$2:$F$1000,5,0)</f>
        <v/>
      </c>
      <c r="K500">
        <f>IF(AND(H500="Промышленный",LEFT(I500,18)="Порошок стиральный",F500="Продажа",B500=DATE(2023,6,7)),E500*J500/1000,0)</f>
        <v/>
      </c>
    </row>
    <row r="501">
      <c r="A501" t="n">
        <v>500</v>
      </c>
      <c r="B501" s="1" t="n">
        <v>45079</v>
      </c>
      <c r="C501" s="5" t="inlineStr">
        <is>
          <t>M17</t>
        </is>
      </c>
      <c r="D501" s="5" t="n">
        <v>20</v>
      </c>
      <c r="E501" s="5" t="n">
        <v>100</v>
      </c>
      <c r="F501" t="inlineStr">
        <is>
          <t>Поступление</t>
        </is>
      </c>
      <c r="H501">
        <f>VLOOKUP(C501,Магазин!$A$2:$C$1000,2,0)</f>
        <v/>
      </c>
      <c r="I501">
        <f>VLOOKUP(D501,Товар!$A$2:$F$1000,3,0)</f>
        <v/>
      </c>
      <c r="J501">
        <f>VLOOKUP(D501,Товар!$A$2:$F$1000,5,0)</f>
        <v/>
      </c>
      <c r="K501">
        <f>IF(AND(H501="Промышленный",LEFT(I501,18)="Порошок стиральный",F501="Продажа",B501=DATE(2023,6,7)),E501*J501/1000,0)</f>
        <v/>
      </c>
    </row>
    <row r="502">
      <c r="A502" t="n">
        <v>501</v>
      </c>
      <c r="B502" s="1" t="n">
        <v>45079</v>
      </c>
      <c r="C502" s="5" t="inlineStr">
        <is>
          <t>M17</t>
        </is>
      </c>
      <c r="D502" s="5" t="n">
        <v>21</v>
      </c>
      <c r="E502" s="5" t="n">
        <v>100</v>
      </c>
      <c r="F502" t="inlineStr">
        <is>
          <t>Поступление</t>
        </is>
      </c>
      <c r="H502">
        <f>VLOOKUP(C502,Магазин!$A$2:$C$1000,2,0)</f>
        <v/>
      </c>
      <c r="I502">
        <f>VLOOKUP(D502,Товар!$A$2:$F$1000,3,0)</f>
        <v/>
      </c>
      <c r="J502">
        <f>VLOOKUP(D502,Товар!$A$2:$F$1000,5,0)</f>
        <v/>
      </c>
      <c r="K502">
        <f>IF(AND(H502="Промышленный",LEFT(I502,18)="Порошок стиральный",F502="Продажа",B502=DATE(2023,6,7)),E502*J502/1000,0)</f>
        <v/>
      </c>
    </row>
    <row r="503">
      <c r="A503" t="n">
        <v>502</v>
      </c>
      <c r="B503" s="1" t="n">
        <v>45079</v>
      </c>
      <c r="C503" s="5" t="inlineStr">
        <is>
          <t>M17</t>
        </is>
      </c>
      <c r="D503" s="5" t="n">
        <v>22</v>
      </c>
      <c r="E503" s="5" t="n">
        <v>100</v>
      </c>
      <c r="F503" t="inlineStr">
        <is>
          <t>Поступление</t>
        </is>
      </c>
      <c r="H503">
        <f>VLOOKUP(C503,Магазин!$A$2:$C$1000,2,0)</f>
        <v/>
      </c>
      <c r="I503">
        <f>VLOOKUP(D503,Товар!$A$2:$F$1000,3,0)</f>
        <v/>
      </c>
      <c r="J503">
        <f>VLOOKUP(D503,Товар!$A$2:$F$1000,5,0)</f>
        <v/>
      </c>
      <c r="K503">
        <f>IF(AND(H503="Промышленный",LEFT(I503,18)="Порошок стиральный",F503="Продажа",B503=DATE(2023,6,7)),E503*J503/1000,0)</f>
        <v/>
      </c>
    </row>
    <row r="504">
      <c r="A504" t="n">
        <v>503</v>
      </c>
      <c r="B504" s="1" t="n">
        <v>45079</v>
      </c>
      <c r="C504" s="5" t="inlineStr">
        <is>
          <t>M17</t>
        </is>
      </c>
      <c r="D504" s="5" t="n">
        <v>23</v>
      </c>
      <c r="E504" s="5" t="n">
        <v>100</v>
      </c>
      <c r="F504" t="inlineStr">
        <is>
          <t>Поступление</t>
        </is>
      </c>
      <c r="H504">
        <f>VLOOKUP(C504,Магазин!$A$2:$C$1000,2,0)</f>
        <v/>
      </c>
      <c r="I504">
        <f>VLOOKUP(D504,Товар!$A$2:$F$1000,3,0)</f>
        <v/>
      </c>
      <c r="J504">
        <f>VLOOKUP(D504,Товар!$A$2:$F$1000,5,0)</f>
        <v/>
      </c>
      <c r="K504">
        <f>IF(AND(H504="Промышленный",LEFT(I504,18)="Порошок стиральный",F504="Продажа",B504=DATE(2023,6,7)),E504*J504/1000,0)</f>
        <v/>
      </c>
    </row>
    <row r="505">
      <c r="A505" t="n">
        <v>504</v>
      </c>
      <c r="B505" s="1" t="n">
        <v>45079</v>
      </c>
      <c r="C505" s="5" t="inlineStr">
        <is>
          <t>M17</t>
        </is>
      </c>
      <c r="D505" s="5" t="n">
        <v>24</v>
      </c>
      <c r="E505" s="5" t="n">
        <v>100</v>
      </c>
      <c r="F505" t="inlineStr">
        <is>
          <t>Поступление</t>
        </is>
      </c>
      <c r="H505">
        <f>VLOOKUP(C505,Магазин!$A$2:$C$1000,2,0)</f>
        <v/>
      </c>
      <c r="I505">
        <f>VLOOKUP(D505,Товар!$A$2:$F$1000,3,0)</f>
        <v/>
      </c>
      <c r="J505">
        <f>VLOOKUP(D505,Товар!$A$2:$F$1000,5,0)</f>
        <v/>
      </c>
      <c r="K505">
        <f>IF(AND(H505="Промышленный",LEFT(I505,18)="Порошок стиральный",F505="Продажа",B505=DATE(2023,6,7)),E505*J505/1000,0)</f>
        <v/>
      </c>
    </row>
    <row r="506">
      <c r="A506" t="n">
        <v>505</v>
      </c>
      <c r="B506" s="1" t="n">
        <v>45079</v>
      </c>
      <c r="C506" s="5" t="inlineStr">
        <is>
          <t>M17</t>
        </is>
      </c>
      <c r="D506" s="5" t="n">
        <v>25</v>
      </c>
      <c r="E506" s="5" t="n">
        <v>100</v>
      </c>
      <c r="F506" t="inlineStr">
        <is>
          <t>Поступление</t>
        </is>
      </c>
      <c r="H506">
        <f>VLOOKUP(C506,Магазин!$A$2:$C$1000,2,0)</f>
        <v/>
      </c>
      <c r="I506">
        <f>VLOOKUP(D506,Товар!$A$2:$F$1000,3,0)</f>
        <v/>
      </c>
      <c r="J506">
        <f>VLOOKUP(D506,Товар!$A$2:$F$1000,5,0)</f>
        <v/>
      </c>
      <c r="K506">
        <f>IF(AND(H506="Промышленный",LEFT(I506,18)="Порошок стиральный",F506="Продажа",B506=DATE(2023,6,7)),E506*J506/1000,0)</f>
        <v/>
      </c>
    </row>
    <row r="507">
      <c r="A507" t="n">
        <v>506</v>
      </c>
      <c r="B507" s="1" t="n">
        <v>45079</v>
      </c>
      <c r="C507" s="5" t="inlineStr">
        <is>
          <t>M17</t>
        </is>
      </c>
      <c r="D507" s="5" t="n">
        <v>26</v>
      </c>
      <c r="E507" s="5" t="n">
        <v>100</v>
      </c>
      <c r="F507" t="inlineStr">
        <is>
          <t>Поступление</t>
        </is>
      </c>
      <c r="H507">
        <f>VLOOKUP(C507,Магазин!$A$2:$C$1000,2,0)</f>
        <v/>
      </c>
      <c r="I507">
        <f>VLOOKUP(D507,Товар!$A$2:$F$1000,3,0)</f>
        <v/>
      </c>
      <c r="J507">
        <f>VLOOKUP(D507,Товар!$A$2:$F$1000,5,0)</f>
        <v/>
      </c>
      <c r="K507">
        <f>IF(AND(H507="Промышленный",LEFT(I507,18)="Порошок стиральный",F507="Продажа",B507=DATE(2023,6,7)),E507*J507/1000,0)</f>
        <v/>
      </c>
    </row>
    <row r="508">
      <c r="A508" t="n">
        <v>507</v>
      </c>
      <c r="B508" s="1" t="n">
        <v>45079</v>
      </c>
      <c r="C508" s="5" t="inlineStr">
        <is>
          <t>M17</t>
        </is>
      </c>
      <c r="D508" s="5" t="n">
        <v>27</v>
      </c>
      <c r="E508" s="5" t="n">
        <v>100</v>
      </c>
      <c r="F508" t="inlineStr">
        <is>
          <t>Поступление</t>
        </is>
      </c>
      <c r="H508">
        <f>VLOOKUP(C508,Магазин!$A$2:$C$1000,2,0)</f>
        <v/>
      </c>
      <c r="I508">
        <f>VLOOKUP(D508,Товар!$A$2:$F$1000,3,0)</f>
        <v/>
      </c>
      <c r="J508">
        <f>VLOOKUP(D508,Товар!$A$2:$F$1000,5,0)</f>
        <v/>
      </c>
      <c r="K508">
        <f>IF(AND(H508="Промышленный",LEFT(I508,18)="Порошок стиральный",F508="Продажа",B508=DATE(2023,6,7)),E508*J508/1000,0)</f>
        <v/>
      </c>
    </row>
    <row r="509">
      <c r="A509" t="n">
        <v>508</v>
      </c>
      <c r="B509" s="1" t="n">
        <v>45079</v>
      </c>
      <c r="C509" s="5" t="inlineStr">
        <is>
          <t>M17</t>
        </is>
      </c>
      <c r="D509" s="5" t="n">
        <v>28</v>
      </c>
      <c r="E509" s="5" t="n">
        <v>100</v>
      </c>
      <c r="F509" t="inlineStr">
        <is>
          <t>Поступление</t>
        </is>
      </c>
      <c r="H509">
        <f>VLOOKUP(C509,Магазин!$A$2:$C$1000,2,0)</f>
        <v/>
      </c>
      <c r="I509">
        <f>VLOOKUP(D509,Товар!$A$2:$F$1000,3,0)</f>
        <v/>
      </c>
      <c r="J509">
        <f>VLOOKUP(D509,Товар!$A$2:$F$1000,5,0)</f>
        <v/>
      </c>
      <c r="K509">
        <f>IF(AND(H509="Промышленный",LEFT(I509,18)="Порошок стиральный",F509="Продажа",B509=DATE(2023,6,7)),E509*J509/1000,0)</f>
        <v/>
      </c>
    </row>
    <row r="510">
      <c r="A510" t="n">
        <v>509</v>
      </c>
      <c r="B510" s="1" t="n">
        <v>45079</v>
      </c>
      <c r="C510" s="5" t="inlineStr">
        <is>
          <t>M17</t>
        </is>
      </c>
      <c r="D510" s="5" t="n">
        <v>29</v>
      </c>
      <c r="E510" s="5" t="n">
        <v>100</v>
      </c>
      <c r="F510" t="inlineStr">
        <is>
          <t>Поступление</t>
        </is>
      </c>
      <c r="H510">
        <f>VLOOKUP(C510,Магазин!$A$2:$C$1000,2,0)</f>
        <v/>
      </c>
      <c r="I510">
        <f>VLOOKUP(D510,Товар!$A$2:$F$1000,3,0)</f>
        <v/>
      </c>
      <c r="J510">
        <f>VLOOKUP(D510,Товар!$A$2:$F$1000,5,0)</f>
        <v/>
      </c>
      <c r="K510">
        <f>IF(AND(H510="Промышленный",LEFT(I510,18)="Порошок стиральный",F510="Продажа",B510=DATE(2023,6,7)),E510*J510/1000,0)</f>
        <v/>
      </c>
    </row>
    <row r="511">
      <c r="A511" t="n">
        <v>510</v>
      </c>
      <c r="B511" s="1" t="n">
        <v>45079</v>
      </c>
      <c r="C511" s="5" t="inlineStr">
        <is>
          <t>M17</t>
        </is>
      </c>
      <c r="D511" s="5" t="n">
        <v>30</v>
      </c>
      <c r="E511" s="5" t="n">
        <v>100</v>
      </c>
      <c r="F511" t="inlineStr">
        <is>
          <t>Поступление</t>
        </is>
      </c>
      <c r="H511">
        <f>VLOOKUP(C511,Магазин!$A$2:$C$1000,2,0)</f>
        <v/>
      </c>
      <c r="I511">
        <f>VLOOKUP(D511,Товар!$A$2:$F$1000,3,0)</f>
        <v/>
      </c>
      <c r="J511">
        <f>VLOOKUP(D511,Товар!$A$2:$F$1000,5,0)</f>
        <v/>
      </c>
      <c r="K511">
        <f>IF(AND(H511="Промышленный",LEFT(I511,18)="Порошок стиральный",F511="Продажа",B511=DATE(2023,6,7)),E511*J511/1000,0)</f>
        <v/>
      </c>
    </row>
    <row r="512">
      <c r="A512" t="n">
        <v>511</v>
      </c>
      <c r="B512" s="1" t="n">
        <v>45079</v>
      </c>
      <c r="C512" s="5" t="inlineStr">
        <is>
          <t>M17</t>
        </is>
      </c>
      <c r="D512" s="5" t="n">
        <v>31</v>
      </c>
      <c r="E512" s="5" t="n">
        <v>100</v>
      </c>
      <c r="F512" t="inlineStr">
        <is>
          <t>Поступление</t>
        </is>
      </c>
      <c r="H512">
        <f>VLOOKUP(C512,Магазин!$A$2:$C$1000,2,0)</f>
        <v/>
      </c>
      <c r="I512">
        <f>VLOOKUP(D512,Товар!$A$2:$F$1000,3,0)</f>
        <v/>
      </c>
      <c r="J512">
        <f>VLOOKUP(D512,Товар!$A$2:$F$1000,5,0)</f>
        <v/>
      </c>
      <c r="K512">
        <f>IF(AND(H512="Промышленный",LEFT(I512,18)="Порошок стиральный",F512="Продажа",B512=DATE(2023,6,7)),E512*J512/1000,0)</f>
        <v/>
      </c>
    </row>
    <row r="513">
      <c r="A513" t="n">
        <v>512</v>
      </c>
      <c r="B513" s="1" t="n">
        <v>45079</v>
      </c>
      <c r="C513" s="5" t="inlineStr">
        <is>
          <t>M17</t>
        </is>
      </c>
      <c r="D513" s="5" t="n">
        <v>32</v>
      </c>
      <c r="E513" s="5" t="n">
        <v>100</v>
      </c>
      <c r="F513" t="inlineStr">
        <is>
          <t>Поступление</t>
        </is>
      </c>
      <c r="H513">
        <f>VLOOKUP(C513,Магазин!$A$2:$C$1000,2,0)</f>
        <v/>
      </c>
      <c r="I513">
        <f>VLOOKUP(D513,Товар!$A$2:$F$1000,3,0)</f>
        <v/>
      </c>
      <c r="J513">
        <f>VLOOKUP(D513,Товар!$A$2:$F$1000,5,0)</f>
        <v/>
      </c>
      <c r="K513">
        <f>IF(AND(H513="Промышленный",LEFT(I513,18)="Порошок стиральный",F513="Продажа",B513=DATE(2023,6,7)),E513*J513/1000,0)</f>
        <v/>
      </c>
    </row>
    <row r="514">
      <c r="A514" t="n">
        <v>513</v>
      </c>
      <c r="B514" s="1" t="n">
        <v>45079</v>
      </c>
      <c r="C514" s="5" t="inlineStr">
        <is>
          <t>M17</t>
        </is>
      </c>
      <c r="D514" s="5" t="n">
        <v>33</v>
      </c>
      <c r="E514" s="5" t="n">
        <v>100</v>
      </c>
      <c r="F514" t="inlineStr">
        <is>
          <t>Поступление</t>
        </is>
      </c>
      <c r="H514">
        <f>VLOOKUP(C514,Магазин!$A$2:$C$1000,2,0)</f>
        <v/>
      </c>
      <c r="I514">
        <f>VLOOKUP(D514,Товар!$A$2:$F$1000,3,0)</f>
        <v/>
      </c>
      <c r="J514">
        <f>VLOOKUP(D514,Товар!$A$2:$F$1000,5,0)</f>
        <v/>
      </c>
      <c r="K514">
        <f>IF(AND(H514="Промышленный",LEFT(I514,18)="Порошок стиральный",F514="Продажа",B514=DATE(2023,6,7)),E514*J514/1000,0)</f>
        <v/>
      </c>
    </row>
    <row r="515">
      <c r="A515" t="n">
        <v>514</v>
      </c>
      <c r="B515" s="1" t="n">
        <v>45079</v>
      </c>
      <c r="C515" s="5" t="inlineStr">
        <is>
          <t>M17</t>
        </is>
      </c>
      <c r="D515" s="5" t="n">
        <v>34</v>
      </c>
      <c r="E515" s="5" t="n">
        <v>100</v>
      </c>
      <c r="F515" t="inlineStr">
        <is>
          <t>Поступление</t>
        </is>
      </c>
      <c r="H515">
        <f>VLOOKUP(C515,Магазин!$A$2:$C$1000,2,0)</f>
        <v/>
      </c>
      <c r="I515">
        <f>VLOOKUP(D515,Товар!$A$2:$F$1000,3,0)</f>
        <v/>
      </c>
      <c r="J515">
        <f>VLOOKUP(D515,Товар!$A$2:$F$1000,5,0)</f>
        <v/>
      </c>
      <c r="K515">
        <f>IF(AND(H515="Промышленный",LEFT(I515,18)="Порошок стиральный",F515="Продажа",B515=DATE(2023,6,7)),E515*J515/1000,0)</f>
        <v/>
      </c>
    </row>
    <row r="516">
      <c r="A516" t="n">
        <v>515</v>
      </c>
      <c r="B516" s="1" t="n">
        <v>45079</v>
      </c>
      <c r="C516" s="5" t="inlineStr">
        <is>
          <t>M17</t>
        </is>
      </c>
      <c r="D516" s="5" t="n">
        <v>35</v>
      </c>
      <c r="E516" s="5" t="n">
        <v>100</v>
      </c>
      <c r="F516" t="inlineStr">
        <is>
          <t>Поступление</t>
        </is>
      </c>
      <c r="H516">
        <f>VLOOKUP(C516,Магазин!$A$2:$C$1000,2,0)</f>
        <v/>
      </c>
      <c r="I516">
        <f>VLOOKUP(D516,Товар!$A$2:$F$1000,3,0)</f>
        <v/>
      </c>
      <c r="J516">
        <f>VLOOKUP(D516,Товар!$A$2:$F$1000,5,0)</f>
        <v/>
      </c>
      <c r="K516">
        <f>IF(AND(H516="Промышленный",LEFT(I516,18)="Порошок стиральный",F516="Продажа",B516=DATE(2023,6,7)),E516*J516/1000,0)</f>
        <v/>
      </c>
    </row>
    <row r="517">
      <c r="A517" t="n">
        <v>516</v>
      </c>
      <c r="B517" s="1" t="n">
        <v>45079</v>
      </c>
      <c r="C517" s="5" t="inlineStr">
        <is>
          <t>M17</t>
        </is>
      </c>
      <c r="D517" s="5" t="n">
        <v>36</v>
      </c>
      <c r="E517" s="5" t="n">
        <v>100</v>
      </c>
      <c r="F517" t="inlineStr">
        <is>
          <t>Поступление</t>
        </is>
      </c>
      <c r="H517">
        <f>VLOOKUP(C517,Магазин!$A$2:$C$1000,2,0)</f>
        <v/>
      </c>
      <c r="I517">
        <f>VLOOKUP(D517,Товар!$A$2:$F$1000,3,0)</f>
        <v/>
      </c>
      <c r="J517">
        <f>VLOOKUP(D517,Товар!$A$2:$F$1000,5,0)</f>
        <v/>
      </c>
      <c r="K517">
        <f>IF(AND(H517="Промышленный",LEFT(I517,18)="Порошок стиральный",F517="Продажа",B517=DATE(2023,6,7)),E517*J517/1000,0)</f>
        <v/>
      </c>
    </row>
    <row r="518">
      <c r="A518" t="n">
        <v>517</v>
      </c>
      <c r="B518" s="1" t="n">
        <v>45079</v>
      </c>
      <c r="C518" s="5" t="inlineStr">
        <is>
          <t>M17</t>
        </is>
      </c>
      <c r="D518" s="5" t="n">
        <v>37</v>
      </c>
      <c r="E518" s="5" t="n">
        <v>200</v>
      </c>
      <c r="F518" t="inlineStr">
        <is>
          <t>Поступление</t>
        </is>
      </c>
      <c r="H518">
        <f>VLOOKUP(C518,Магазин!$A$2:$C$1000,2,0)</f>
        <v/>
      </c>
      <c r="I518">
        <f>VLOOKUP(D518,Товар!$A$2:$F$1000,3,0)</f>
        <v/>
      </c>
      <c r="J518">
        <f>VLOOKUP(D518,Товар!$A$2:$F$1000,5,0)</f>
        <v/>
      </c>
      <c r="K518">
        <f>IF(AND(H518="Промышленный",LEFT(I518,18)="Порошок стиральный",F518="Продажа",B518=DATE(2023,6,7)),E518*J518/1000,0)</f>
        <v/>
      </c>
    </row>
    <row r="519">
      <c r="A519" t="n">
        <v>518</v>
      </c>
      <c r="B519" s="1" t="n">
        <v>45079</v>
      </c>
      <c r="C519" s="5" t="inlineStr">
        <is>
          <t>M17</t>
        </is>
      </c>
      <c r="D519" s="5" t="n">
        <v>38</v>
      </c>
      <c r="E519" s="5" t="n">
        <v>200</v>
      </c>
      <c r="F519" t="inlineStr">
        <is>
          <t>Поступление</t>
        </is>
      </c>
      <c r="H519">
        <f>VLOOKUP(C519,Магазин!$A$2:$C$1000,2,0)</f>
        <v/>
      </c>
      <c r="I519">
        <f>VLOOKUP(D519,Товар!$A$2:$F$1000,3,0)</f>
        <v/>
      </c>
      <c r="J519">
        <f>VLOOKUP(D519,Товар!$A$2:$F$1000,5,0)</f>
        <v/>
      </c>
      <c r="K519">
        <f>IF(AND(H519="Промышленный",LEFT(I519,18)="Порошок стиральный",F519="Продажа",B519=DATE(2023,6,7)),E519*J519/1000,0)</f>
        <v/>
      </c>
    </row>
    <row r="520">
      <c r="A520" t="n">
        <v>519</v>
      </c>
      <c r="B520" s="1" t="n">
        <v>45079</v>
      </c>
      <c r="C520" s="5" t="inlineStr">
        <is>
          <t>M17</t>
        </is>
      </c>
      <c r="D520" s="5" t="n">
        <v>39</v>
      </c>
      <c r="E520" s="5" t="n">
        <v>200</v>
      </c>
      <c r="F520" t="inlineStr">
        <is>
          <t>Поступление</t>
        </is>
      </c>
      <c r="H520">
        <f>VLOOKUP(C520,Магазин!$A$2:$C$1000,2,0)</f>
        <v/>
      </c>
      <c r="I520">
        <f>VLOOKUP(D520,Товар!$A$2:$F$1000,3,0)</f>
        <v/>
      </c>
      <c r="J520">
        <f>VLOOKUP(D520,Товар!$A$2:$F$1000,5,0)</f>
        <v/>
      </c>
      <c r="K520">
        <f>IF(AND(H520="Промышленный",LEFT(I520,18)="Порошок стиральный",F520="Продажа",B520=DATE(2023,6,7)),E520*J520/1000,0)</f>
        <v/>
      </c>
    </row>
    <row r="521">
      <c r="A521" t="n">
        <v>520</v>
      </c>
      <c r="B521" s="1" t="n">
        <v>45079</v>
      </c>
      <c r="C521" s="5" t="inlineStr">
        <is>
          <t>M17</t>
        </is>
      </c>
      <c r="D521" s="5" t="n">
        <v>40</v>
      </c>
      <c r="E521" s="5" t="n">
        <v>200</v>
      </c>
      <c r="F521" t="inlineStr">
        <is>
          <t>Поступление</t>
        </is>
      </c>
      <c r="H521">
        <f>VLOOKUP(C521,Магазин!$A$2:$C$1000,2,0)</f>
        <v/>
      </c>
      <c r="I521">
        <f>VLOOKUP(D521,Товар!$A$2:$F$1000,3,0)</f>
        <v/>
      </c>
      <c r="J521">
        <f>VLOOKUP(D521,Товар!$A$2:$F$1000,5,0)</f>
        <v/>
      </c>
      <c r="K521">
        <f>IF(AND(H521="Промышленный",LEFT(I521,18)="Порошок стиральный",F521="Продажа",B521=DATE(2023,6,7)),E521*J521/1000,0)</f>
        <v/>
      </c>
    </row>
    <row r="522">
      <c r="A522" t="n">
        <v>521</v>
      </c>
      <c r="B522" s="1" t="n">
        <v>45079</v>
      </c>
      <c r="C522" s="5" t="inlineStr">
        <is>
          <t>M17</t>
        </is>
      </c>
      <c r="D522" s="5" t="n">
        <v>41</v>
      </c>
      <c r="E522" s="5" t="n">
        <v>200</v>
      </c>
      <c r="F522" t="inlineStr">
        <is>
          <t>Поступление</t>
        </is>
      </c>
      <c r="H522">
        <f>VLOOKUP(C522,Магазин!$A$2:$C$1000,2,0)</f>
        <v/>
      </c>
      <c r="I522">
        <f>VLOOKUP(D522,Товар!$A$2:$F$1000,3,0)</f>
        <v/>
      </c>
      <c r="J522">
        <f>VLOOKUP(D522,Товар!$A$2:$F$1000,5,0)</f>
        <v/>
      </c>
      <c r="K522">
        <f>IF(AND(H522="Промышленный",LEFT(I522,18)="Порошок стиральный",F522="Продажа",B522=DATE(2023,6,7)),E522*J522/1000,0)</f>
        <v/>
      </c>
    </row>
    <row r="523">
      <c r="A523" t="n">
        <v>522</v>
      </c>
      <c r="B523" s="1" t="n">
        <v>45079</v>
      </c>
      <c r="C523" s="5" t="inlineStr">
        <is>
          <t>M17</t>
        </is>
      </c>
      <c r="D523" s="5" t="n">
        <v>42</v>
      </c>
      <c r="E523" s="5" t="n">
        <v>200</v>
      </c>
      <c r="F523" t="inlineStr">
        <is>
          <t>Поступление</t>
        </is>
      </c>
      <c r="H523">
        <f>VLOOKUP(C523,Магазин!$A$2:$C$1000,2,0)</f>
        <v/>
      </c>
      <c r="I523">
        <f>VLOOKUP(D523,Товар!$A$2:$F$1000,3,0)</f>
        <v/>
      </c>
      <c r="J523">
        <f>VLOOKUP(D523,Товар!$A$2:$F$1000,5,0)</f>
        <v/>
      </c>
      <c r="K523">
        <f>IF(AND(H523="Промышленный",LEFT(I523,18)="Порошок стиральный",F523="Продажа",B523=DATE(2023,6,7)),E523*J523/1000,0)</f>
        <v/>
      </c>
    </row>
    <row r="524">
      <c r="A524" t="n">
        <v>523</v>
      </c>
      <c r="B524" s="1" t="n">
        <v>45079</v>
      </c>
      <c r="C524" s="5" t="inlineStr">
        <is>
          <t>M17</t>
        </is>
      </c>
      <c r="D524" s="5" t="n">
        <v>43</v>
      </c>
      <c r="E524" s="5" t="n">
        <v>200</v>
      </c>
      <c r="F524" t="inlineStr">
        <is>
          <t>Поступление</t>
        </is>
      </c>
      <c r="H524">
        <f>VLOOKUP(C524,Магазин!$A$2:$C$1000,2,0)</f>
        <v/>
      </c>
      <c r="I524">
        <f>VLOOKUP(D524,Товар!$A$2:$F$1000,3,0)</f>
        <v/>
      </c>
      <c r="J524">
        <f>VLOOKUP(D524,Товар!$A$2:$F$1000,5,0)</f>
        <v/>
      </c>
      <c r="K524">
        <f>IF(AND(H524="Промышленный",LEFT(I524,18)="Порошок стиральный",F524="Продажа",B524=DATE(2023,6,7)),E524*J524/1000,0)</f>
        <v/>
      </c>
    </row>
    <row r="525">
      <c r="A525" t="n">
        <v>524</v>
      </c>
      <c r="B525" s="1" t="n">
        <v>45079</v>
      </c>
      <c r="C525" s="5" t="inlineStr">
        <is>
          <t>M17</t>
        </is>
      </c>
      <c r="D525" s="5" t="n">
        <v>44</v>
      </c>
      <c r="E525" s="5" t="n">
        <v>200</v>
      </c>
      <c r="F525" t="inlineStr">
        <is>
          <t>Поступление</t>
        </is>
      </c>
      <c r="H525">
        <f>VLOOKUP(C525,Магазин!$A$2:$C$1000,2,0)</f>
        <v/>
      </c>
      <c r="I525">
        <f>VLOOKUP(D525,Товар!$A$2:$F$1000,3,0)</f>
        <v/>
      </c>
      <c r="J525">
        <f>VLOOKUP(D525,Товар!$A$2:$F$1000,5,0)</f>
        <v/>
      </c>
      <c r="K525">
        <f>IF(AND(H525="Промышленный",LEFT(I525,18)="Порошок стиральный",F525="Продажа",B525=DATE(2023,6,7)),E525*J525/1000,0)</f>
        <v/>
      </c>
    </row>
    <row r="526">
      <c r="A526" t="n">
        <v>525</v>
      </c>
      <c r="B526" s="1" t="n">
        <v>45079</v>
      </c>
      <c r="C526" s="5" t="inlineStr">
        <is>
          <t>M17</t>
        </is>
      </c>
      <c r="D526" s="5" t="n">
        <v>45</v>
      </c>
      <c r="E526" s="5" t="n">
        <v>200</v>
      </c>
      <c r="F526" t="inlineStr">
        <is>
          <t>Поступление</t>
        </is>
      </c>
      <c r="H526">
        <f>VLOOKUP(C526,Магазин!$A$2:$C$1000,2,0)</f>
        <v/>
      </c>
      <c r="I526">
        <f>VLOOKUP(D526,Товар!$A$2:$F$1000,3,0)</f>
        <v/>
      </c>
      <c r="J526">
        <f>VLOOKUP(D526,Товар!$A$2:$F$1000,5,0)</f>
        <v/>
      </c>
      <c r="K526">
        <f>IF(AND(H526="Промышленный",LEFT(I526,18)="Порошок стиральный",F526="Продажа",B526=DATE(2023,6,7)),E526*J526/1000,0)</f>
        <v/>
      </c>
    </row>
    <row r="527">
      <c r="A527" t="n">
        <v>526</v>
      </c>
      <c r="B527" s="1" t="n">
        <v>45079</v>
      </c>
      <c r="C527" s="5" t="inlineStr">
        <is>
          <t>M17</t>
        </is>
      </c>
      <c r="D527" s="5" t="n">
        <v>46</v>
      </c>
      <c r="E527" s="5" t="n">
        <v>200</v>
      </c>
      <c r="F527" t="inlineStr">
        <is>
          <t>Поступление</t>
        </is>
      </c>
      <c r="H527">
        <f>VLOOKUP(C527,Магазин!$A$2:$C$1000,2,0)</f>
        <v/>
      </c>
      <c r="I527">
        <f>VLOOKUP(D527,Товар!$A$2:$F$1000,3,0)</f>
        <v/>
      </c>
      <c r="J527">
        <f>VLOOKUP(D527,Товар!$A$2:$F$1000,5,0)</f>
        <v/>
      </c>
      <c r="K527">
        <f>IF(AND(H527="Промышленный",LEFT(I527,18)="Порошок стиральный",F527="Продажа",B527=DATE(2023,6,7)),E527*J527/1000,0)</f>
        <v/>
      </c>
    </row>
    <row r="528">
      <c r="A528" t="n">
        <v>527</v>
      </c>
      <c r="B528" s="1" t="n">
        <v>45079</v>
      </c>
      <c r="C528" s="5" t="inlineStr">
        <is>
          <t>M17</t>
        </is>
      </c>
      <c r="D528" s="5" t="n">
        <v>47</v>
      </c>
      <c r="E528" s="5" t="n">
        <v>200</v>
      </c>
      <c r="F528" t="inlineStr">
        <is>
          <t>Поступление</t>
        </is>
      </c>
      <c r="H528">
        <f>VLOOKUP(C528,Магазин!$A$2:$C$1000,2,0)</f>
        <v/>
      </c>
      <c r="I528">
        <f>VLOOKUP(D528,Товар!$A$2:$F$1000,3,0)</f>
        <v/>
      </c>
      <c r="J528">
        <f>VLOOKUP(D528,Товар!$A$2:$F$1000,5,0)</f>
        <v/>
      </c>
      <c r="K528">
        <f>IF(AND(H528="Промышленный",LEFT(I528,18)="Порошок стиральный",F528="Продажа",B528=DATE(2023,6,7)),E528*J528/1000,0)</f>
        <v/>
      </c>
    </row>
    <row r="529">
      <c r="A529" t="n">
        <v>528</v>
      </c>
      <c r="B529" s="1" t="n">
        <v>45079</v>
      </c>
      <c r="C529" s="5" t="inlineStr">
        <is>
          <t>M17</t>
        </is>
      </c>
      <c r="D529" s="5" t="n">
        <v>48</v>
      </c>
      <c r="E529" s="5" t="n">
        <v>200</v>
      </c>
      <c r="F529" t="inlineStr">
        <is>
          <t>Поступление</t>
        </is>
      </c>
      <c r="H529">
        <f>VLOOKUP(C529,Магазин!$A$2:$C$1000,2,0)</f>
        <v/>
      </c>
      <c r="I529">
        <f>VLOOKUP(D529,Товар!$A$2:$F$1000,3,0)</f>
        <v/>
      </c>
      <c r="J529">
        <f>VLOOKUP(D529,Товар!$A$2:$F$1000,5,0)</f>
        <v/>
      </c>
      <c r="K529">
        <f>IF(AND(H529="Промышленный",LEFT(I529,18)="Порошок стиральный",F529="Продажа",B529=DATE(2023,6,7)),E529*J529/1000,0)</f>
        <v/>
      </c>
    </row>
    <row r="530">
      <c r="A530" t="n">
        <v>529</v>
      </c>
      <c r="B530" s="1" t="n">
        <v>45079</v>
      </c>
      <c r="C530" s="5" t="inlineStr">
        <is>
          <t>M17</t>
        </is>
      </c>
      <c r="D530" s="5" t="n">
        <v>49</v>
      </c>
      <c r="E530" s="5" t="n">
        <v>200</v>
      </c>
      <c r="F530" t="inlineStr">
        <is>
          <t>Поступление</t>
        </is>
      </c>
      <c r="H530">
        <f>VLOOKUP(C530,Магазин!$A$2:$C$1000,2,0)</f>
        <v/>
      </c>
      <c r="I530">
        <f>VLOOKUP(D530,Товар!$A$2:$F$1000,3,0)</f>
        <v/>
      </c>
      <c r="J530">
        <f>VLOOKUP(D530,Товар!$A$2:$F$1000,5,0)</f>
        <v/>
      </c>
      <c r="K530">
        <f>IF(AND(H530="Промышленный",LEFT(I530,18)="Порошок стиральный",F530="Продажа",B530=DATE(2023,6,7)),E530*J530/1000,0)</f>
        <v/>
      </c>
    </row>
    <row r="531">
      <c r="A531" t="n">
        <v>530</v>
      </c>
      <c r="B531" s="1" t="n">
        <v>45079</v>
      </c>
      <c r="C531" s="5" t="inlineStr">
        <is>
          <t>M17</t>
        </is>
      </c>
      <c r="D531" s="5" t="n">
        <v>50</v>
      </c>
      <c r="E531" s="5" t="n">
        <v>200</v>
      </c>
      <c r="F531" t="inlineStr">
        <is>
          <t>Поступление</t>
        </is>
      </c>
      <c r="H531">
        <f>VLOOKUP(C531,Магазин!$A$2:$C$1000,2,0)</f>
        <v/>
      </c>
      <c r="I531">
        <f>VLOOKUP(D531,Товар!$A$2:$F$1000,3,0)</f>
        <v/>
      </c>
      <c r="J531">
        <f>VLOOKUP(D531,Товар!$A$2:$F$1000,5,0)</f>
        <v/>
      </c>
      <c r="K531">
        <f>IF(AND(H531="Промышленный",LEFT(I531,18)="Порошок стиральный",F531="Продажа",B531=DATE(2023,6,7)),E531*J531/1000,0)</f>
        <v/>
      </c>
    </row>
    <row r="532">
      <c r="A532" t="n">
        <v>531</v>
      </c>
      <c r="B532" s="1" t="n">
        <v>45079</v>
      </c>
      <c r="C532" s="5" t="inlineStr">
        <is>
          <t>M17</t>
        </is>
      </c>
      <c r="D532" s="5" t="n">
        <v>51</v>
      </c>
      <c r="E532" s="5" t="n">
        <v>200</v>
      </c>
      <c r="F532" t="inlineStr">
        <is>
          <t>Поступление</t>
        </is>
      </c>
      <c r="H532">
        <f>VLOOKUP(C532,Магазин!$A$2:$C$1000,2,0)</f>
        <v/>
      </c>
      <c r="I532">
        <f>VLOOKUP(D532,Товар!$A$2:$F$1000,3,0)</f>
        <v/>
      </c>
      <c r="J532">
        <f>VLOOKUP(D532,Товар!$A$2:$F$1000,5,0)</f>
        <v/>
      </c>
      <c r="K532">
        <f>IF(AND(H532="Промышленный",LEFT(I532,18)="Порошок стиральный",F532="Продажа",B532=DATE(2023,6,7)),E532*J532/1000,0)</f>
        <v/>
      </c>
    </row>
    <row r="533">
      <c r="A533" t="n">
        <v>532</v>
      </c>
      <c r="B533" s="1" t="n">
        <v>45079</v>
      </c>
      <c r="C533" s="5" t="inlineStr">
        <is>
          <t>M17</t>
        </is>
      </c>
      <c r="D533" s="5" t="n">
        <v>52</v>
      </c>
      <c r="E533" s="5" t="n">
        <v>200</v>
      </c>
      <c r="F533" t="inlineStr">
        <is>
          <t>Поступление</t>
        </is>
      </c>
      <c r="H533">
        <f>VLOOKUP(C533,Магазин!$A$2:$C$1000,2,0)</f>
        <v/>
      </c>
      <c r="I533">
        <f>VLOOKUP(D533,Товар!$A$2:$F$1000,3,0)</f>
        <v/>
      </c>
      <c r="J533">
        <f>VLOOKUP(D533,Товар!$A$2:$F$1000,5,0)</f>
        <v/>
      </c>
      <c r="K533">
        <f>IF(AND(H533="Промышленный",LEFT(I533,18)="Порошок стиральный",F533="Продажа",B533=DATE(2023,6,7)),E533*J533/1000,0)</f>
        <v/>
      </c>
    </row>
    <row r="534">
      <c r="A534" t="n">
        <v>533</v>
      </c>
      <c r="B534" s="1" t="n">
        <v>45079</v>
      </c>
      <c r="C534" s="5" t="inlineStr">
        <is>
          <t>M17</t>
        </is>
      </c>
      <c r="D534" s="5" t="n">
        <v>53</v>
      </c>
      <c r="E534" s="5" t="n">
        <v>200</v>
      </c>
      <c r="F534" t="inlineStr">
        <is>
          <t>Поступление</t>
        </is>
      </c>
      <c r="H534">
        <f>VLOOKUP(C534,Магазин!$A$2:$C$1000,2,0)</f>
        <v/>
      </c>
      <c r="I534">
        <f>VLOOKUP(D534,Товар!$A$2:$F$1000,3,0)</f>
        <v/>
      </c>
      <c r="J534">
        <f>VLOOKUP(D534,Товар!$A$2:$F$1000,5,0)</f>
        <v/>
      </c>
      <c r="K534">
        <f>IF(AND(H534="Промышленный",LEFT(I534,18)="Порошок стиральный",F534="Продажа",B534=DATE(2023,6,7)),E534*J534/1000,0)</f>
        <v/>
      </c>
    </row>
    <row r="535">
      <c r="A535" t="n">
        <v>534</v>
      </c>
      <c r="B535" s="1" t="n">
        <v>45079</v>
      </c>
      <c r="C535" s="5" t="inlineStr">
        <is>
          <t>M17</t>
        </is>
      </c>
      <c r="D535" s="5" t="n">
        <v>54</v>
      </c>
      <c r="E535" s="5" t="n">
        <v>200</v>
      </c>
      <c r="F535" t="inlineStr">
        <is>
          <t>Поступление</t>
        </is>
      </c>
      <c r="H535">
        <f>VLOOKUP(C535,Магазин!$A$2:$C$1000,2,0)</f>
        <v/>
      </c>
      <c r="I535">
        <f>VLOOKUP(D535,Товар!$A$2:$F$1000,3,0)</f>
        <v/>
      </c>
      <c r="J535">
        <f>VLOOKUP(D535,Товар!$A$2:$F$1000,5,0)</f>
        <v/>
      </c>
      <c r="K535">
        <f>IF(AND(H535="Промышленный",LEFT(I535,18)="Порошок стиральный",F535="Продажа",B535=DATE(2023,6,7)),E535*J535/1000,0)</f>
        <v/>
      </c>
    </row>
    <row r="536">
      <c r="A536" t="n">
        <v>535</v>
      </c>
      <c r="B536" s="1" t="n">
        <v>45079</v>
      </c>
      <c r="C536" s="5" t="inlineStr">
        <is>
          <t>M17</t>
        </is>
      </c>
      <c r="D536" s="5" t="n">
        <v>55</v>
      </c>
      <c r="E536" s="5" t="n">
        <v>200</v>
      </c>
      <c r="F536" t="inlineStr">
        <is>
          <t>Поступление</t>
        </is>
      </c>
      <c r="H536">
        <f>VLOOKUP(C536,Магазин!$A$2:$C$1000,2,0)</f>
        <v/>
      </c>
      <c r="I536">
        <f>VLOOKUP(D536,Товар!$A$2:$F$1000,3,0)</f>
        <v/>
      </c>
      <c r="J536">
        <f>VLOOKUP(D536,Товар!$A$2:$F$1000,5,0)</f>
        <v/>
      </c>
      <c r="K536">
        <f>IF(AND(H536="Промышленный",LEFT(I536,18)="Порошок стиральный",F536="Продажа",B536=DATE(2023,6,7)),E536*J536/1000,0)</f>
        <v/>
      </c>
    </row>
    <row r="537">
      <c r="A537" t="n">
        <v>536</v>
      </c>
      <c r="B537" s="1" t="n">
        <v>45079</v>
      </c>
      <c r="C537" s="5" t="inlineStr">
        <is>
          <t>M17</t>
        </is>
      </c>
      <c r="D537" s="5" t="n">
        <v>56</v>
      </c>
      <c r="E537" s="5" t="n">
        <v>200</v>
      </c>
      <c r="F537" t="inlineStr">
        <is>
          <t>Поступление</t>
        </is>
      </c>
      <c r="H537">
        <f>VLOOKUP(C537,Магазин!$A$2:$C$1000,2,0)</f>
        <v/>
      </c>
      <c r="I537">
        <f>VLOOKUP(D537,Товар!$A$2:$F$1000,3,0)</f>
        <v/>
      </c>
      <c r="J537">
        <f>VLOOKUP(D537,Товар!$A$2:$F$1000,5,0)</f>
        <v/>
      </c>
      <c r="K537">
        <f>IF(AND(H537="Промышленный",LEFT(I537,18)="Порошок стиральный",F537="Продажа",B537=DATE(2023,6,7)),E537*J537/1000,0)</f>
        <v/>
      </c>
    </row>
    <row r="538">
      <c r="A538" t="n">
        <v>537</v>
      </c>
      <c r="B538" s="1" t="n">
        <v>45079</v>
      </c>
      <c r="C538" s="5" t="inlineStr">
        <is>
          <t>M17</t>
        </is>
      </c>
      <c r="D538" s="5" t="n">
        <v>57</v>
      </c>
      <c r="E538" s="5" t="n">
        <v>200</v>
      </c>
      <c r="F538" t="inlineStr">
        <is>
          <t>Поступление</t>
        </is>
      </c>
      <c r="H538">
        <f>VLOOKUP(C538,Магазин!$A$2:$C$1000,2,0)</f>
        <v/>
      </c>
      <c r="I538">
        <f>VLOOKUP(D538,Товар!$A$2:$F$1000,3,0)</f>
        <v/>
      </c>
      <c r="J538">
        <f>VLOOKUP(D538,Товар!$A$2:$F$1000,5,0)</f>
        <v/>
      </c>
      <c r="K538">
        <f>IF(AND(H538="Промышленный",LEFT(I538,18)="Порошок стиральный",F538="Продажа",B538=DATE(2023,6,7)),E538*J538/1000,0)</f>
        <v/>
      </c>
    </row>
    <row r="539">
      <c r="A539" t="n">
        <v>538</v>
      </c>
      <c r="B539" s="1" t="n">
        <v>45079</v>
      </c>
      <c r="C539" s="5" t="inlineStr">
        <is>
          <t>M17</t>
        </is>
      </c>
      <c r="D539" s="5" t="n">
        <v>58</v>
      </c>
      <c r="E539" s="5" t="n">
        <v>200</v>
      </c>
      <c r="F539" t="inlineStr">
        <is>
          <t>Поступление</t>
        </is>
      </c>
      <c r="H539">
        <f>VLOOKUP(C539,Магазин!$A$2:$C$1000,2,0)</f>
        <v/>
      </c>
      <c r="I539">
        <f>VLOOKUP(D539,Товар!$A$2:$F$1000,3,0)</f>
        <v/>
      </c>
      <c r="J539">
        <f>VLOOKUP(D539,Товар!$A$2:$F$1000,5,0)</f>
        <v/>
      </c>
      <c r="K539">
        <f>IF(AND(H539="Промышленный",LEFT(I539,18)="Порошок стиральный",F539="Продажа",B539=DATE(2023,6,7)),E539*J539/1000,0)</f>
        <v/>
      </c>
    </row>
    <row r="540">
      <c r="A540" t="n">
        <v>539</v>
      </c>
      <c r="B540" s="1" t="n">
        <v>45079</v>
      </c>
      <c r="C540" s="5" t="inlineStr">
        <is>
          <t>M17</t>
        </is>
      </c>
      <c r="D540" s="5" t="n">
        <v>59</v>
      </c>
      <c r="E540" s="5" t="n">
        <v>200</v>
      </c>
      <c r="F540" t="inlineStr">
        <is>
          <t>Поступление</t>
        </is>
      </c>
      <c r="H540">
        <f>VLOOKUP(C540,Магазин!$A$2:$C$1000,2,0)</f>
        <v/>
      </c>
      <c r="I540">
        <f>VLOOKUP(D540,Товар!$A$2:$F$1000,3,0)</f>
        <v/>
      </c>
      <c r="J540">
        <f>VLOOKUP(D540,Товар!$A$2:$F$1000,5,0)</f>
        <v/>
      </c>
      <c r="K540">
        <f>IF(AND(H540="Промышленный",LEFT(I540,18)="Порошок стиральный",F540="Продажа",B540=DATE(2023,6,7)),E540*J540/1000,0)</f>
        <v/>
      </c>
    </row>
    <row r="541">
      <c r="A541" t="n">
        <v>540</v>
      </c>
      <c r="B541" s="1" t="n">
        <v>45079</v>
      </c>
      <c r="C541" s="5" t="inlineStr">
        <is>
          <t>M17</t>
        </is>
      </c>
      <c r="D541" s="5" t="n">
        <v>60</v>
      </c>
      <c r="E541" s="5" t="n">
        <v>200</v>
      </c>
      <c r="F541" t="inlineStr">
        <is>
          <t>Поступление</t>
        </is>
      </c>
      <c r="H541">
        <f>VLOOKUP(C541,Магазин!$A$2:$C$1000,2,0)</f>
        <v/>
      </c>
      <c r="I541">
        <f>VLOOKUP(D541,Товар!$A$2:$F$1000,3,0)</f>
        <v/>
      </c>
      <c r="J541">
        <f>VLOOKUP(D541,Товар!$A$2:$F$1000,5,0)</f>
        <v/>
      </c>
      <c r="K541">
        <f>IF(AND(H541="Промышленный",LEFT(I541,18)="Порошок стиральный",F541="Продажа",B541=DATE(2023,6,7)),E541*J541/1000,0)</f>
        <v/>
      </c>
    </row>
    <row r="542">
      <c r="A542" t="n">
        <v>541</v>
      </c>
      <c r="B542" s="1" t="n">
        <v>45079</v>
      </c>
      <c r="C542" s="5" t="inlineStr">
        <is>
          <t>M18</t>
        </is>
      </c>
      <c r="D542" s="5" t="n">
        <v>1</v>
      </c>
      <c r="E542" s="5" t="n">
        <v>200</v>
      </c>
      <c r="F542" t="inlineStr">
        <is>
          <t>Поступление</t>
        </is>
      </c>
      <c r="H542">
        <f>VLOOKUP(C542,Магазин!$A$2:$C$1000,2,0)</f>
        <v/>
      </c>
      <c r="I542">
        <f>VLOOKUP(D542,Товар!$A$2:$F$1000,3,0)</f>
        <v/>
      </c>
      <c r="J542">
        <f>VLOOKUP(D542,Товар!$A$2:$F$1000,5,0)</f>
        <v/>
      </c>
      <c r="K542">
        <f>IF(AND(H542="Промышленный",LEFT(I542,18)="Порошок стиральный",F542="Продажа",B542=DATE(2023,6,7)),E542*J542/1000,0)</f>
        <v/>
      </c>
    </row>
    <row r="543">
      <c r="A543" t="n">
        <v>542</v>
      </c>
      <c r="B543" s="1" t="n">
        <v>45079</v>
      </c>
      <c r="C543" s="5" t="inlineStr">
        <is>
          <t>M18</t>
        </is>
      </c>
      <c r="D543" s="5" t="n">
        <v>2</v>
      </c>
      <c r="E543" s="5" t="n">
        <v>200</v>
      </c>
      <c r="F543" t="inlineStr">
        <is>
          <t>Поступление</t>
        </is>
      </c>
      <c r="H543">
        <f>VLOOKUP(C543,Магазин!$A$2:$C$1000,2,0)</f>
        <v/>
      </c>
      <c r="I543">
        <f>VLOOKUP(D543,Товар!$A$2:$F$1000,3,0)</f>
        <v/>
      </c>
      <c r="J543">
        <f>VLOOKUP(D543,Товар!$A$2:$F$1000,5,0)</f>
        <v/>
      </c>
      <c r="K543">
        <f>IF(AND(H543="Промышленный",LEFT(I543,18)="Порошок стиральный",F543="Продажа",B543=DATE(2023,6,7)),E543*J543/1000,0)</f>
        <v/>
      </c>
    </row>
    <row r="544">
      <c r="A544" t="n">
        <v>543</v>
      </c>
      <c r="B544" s="1" t="n">
        <v>45079</v>
      </c>
      <c r="C544" s="5" t="inlineStr">
        <is>
          <t>M18</t>
        </is>
      </c>
      <c r="D544" s="5" t="n">
        <v>3</v>
      </c>
      <c r="E544" s="5" t="n">
        <v>200</v>
      </c>
      <c r="F544" t="inlineStr">
        <is>
          <t>Поступление</t>
        </is>
      </c>
      <c r="H544">
        <f>VLOOKUP(C544,Магазин!$A$2:$C$1000,2,0)</f>
        <v/>
      </c>
      <c r="I544">
        <f>VLOOKUP(D544,Товар!$A$2:$F$1000,3,0)</f>
        <v/>
      </c>
      <c r="J544">
        <f>VLOOKUP(D544,Товар!$A$2:$F$1000,5,0)</f>
        <v/>
      </c>
      <c r="K544">
        <f>IF(AND(H544="Промышленный",LEFT(I544,18)="Порошок стиральный",F544="Продажа",B544=DATE(2023,6,7)),E544*J544/1000,0)</f>
        <v/>
      </c>
    </row>
    <row r="545">
      <c r="A545" t="n">
        <v>544</v>
      </c>
      <c r="B545" s="1" t="n">
        <v>45079</v>
      </c>
      <c r="C545" s="5" t="inlineStr">
        <is>
          <t>M18</t>
        </is>
      </c>
      <c r="D545" s="5" t="n">
        <v>4</v>
      </c>
      <c r="E545" s="5" t="n">
        <v>200</v>
      </c>
      <c r="F545" t="inlineStr">
        <is>
          <t>Поступление</t>
        </is>
      </c>
      <c r="H545">
        <f>VLOOKUP(C545,Магазин!$A$2:$C$1000,2,0)</f>
        <v/>
      </c>
      <c r="I545">
        <f>VLOOKUP(D545,Товар!$A$2:$F$1000,3,0)</f>
        <v/>
      </c>
      <c r="J545">
        <f>VLOOKUP(D545,Товар!$A$2:$F$1000,5,0)</f>
        <v/>
      </c>
      <c r="K545">
        <f>IF(AND(H545="Промышленный",LEFT(I545,18)="Порошок стиральный",F545="Продажа",B545=DATE(2023,6,7)),E545*J545/1000,0)</f>
        <v/>
      </c>
    </row>
    <row r="546">
      <c r="A546" t="n">
        <v>545</v>
      </c>
      <c r="B546" s="1" t="n">
        <v>45079</v>
      </c>
      <c r="C546" s="5" t="inlineStr">
        <is>
          <t>M18</t>
        </is>
      </c>
      <c r="D546" s="5" t="n">
        <v>5</v>
      </c>
      <c r="E546" s="5" t="n">
        <v>200</v>
      </c>
      <c r="F546" t="inlineStr">
        <is>
          <t>Поступление</t>
        </is>
      </c>
      <c r="H546">
        <f>VLOOKUP(C546,Магазин!$A$2:$C$1000,2,0)</f>
        <v/>
      </c>
      <c r="I546">
        <f>VLOOKUP(D546,Товар!$A$2:$F$1000,3,0)</f>
        <v/>
      </c>
      <c r="J546">
        <f>VLOOKUP(D546,Товар!$A$2:$F$1000,5,0)</f>
        <v/>
      </c>
      <c r="K546">
        <f>IF(AND(H546="Промышленный",LEFT(I546,18)="Порошок стиральный",F546="Продажа",B546=DATE(2023,6,7)),E546*J546/1000,0)</f>
        <v/>
      </c>
    </row>
    <row r="547">
      <c r="A547" t="n">
        <v>546</v>
      </c>
      <c r="B547" s="1" t="n">
        <v>45079</v>
      </c>
      <c r="C547" s="5" t="inlineStr">
        <is>
          <t>M18</t>
        </is>
      </c>
      <c r="D547" s="5" t="n">
        <v>6</v>
      </c>
      <c r="E547" s="5" t="n">
        <v>200</v>
      </c>
      <c r="F547" t="inlineStr">
        <is>
          <t>Поступление</t>
        </is>
      </c>
      <c r="H547">
        <f>VLOOKUP(C547,Магазин!$A$2:$C$1000,2,0)</f>
        <v/>
      </c>
      <c r="I547">
        <f>VLOOKUP(D547,Товар!$A$2:$F$1000,3,0)</f>
        <v/>
      </c>
      <c r="J547">
        <f>VLOOKUP(D547,Товар!$A$2:$F$1000,5,0)</f>
        <v/>
      </c>
      <c r="K547">
        <f>IF(AND(H547="Промышленный",LEFT(I547,18)="Порошок стиральный",F547="Продажа",B547=DATE(2023,6,7)),E547*J547/1000,0)</f>
        <v/>
      </c>
    </row>
    <row r="548">
      <c r="A548" t="n">
        <v>547</v>
      </c>
      <c r="B548" s="1" t="n">
        <v>45079</v>
      </c>
      <c r="C548" s="5" t="inlineStr">
        <is>
          <t>M18</t>
        </is>
      </c>
      <c r="D548" s="5" t="n">
        <v>7</v>
      </c>
      <c r="E548" s="5" t="n">
        <v>200</v>
      </c>
      <c r="F548" t="inlineStr">
        <is>
          <t>Поступление</t>
        </is>
      </c>
      <c r="H548">
        <f>VLOOKUP(C548,Магазин!$A$2:$C$1000,2,0)</f>
        <v/>
      </c>
      <c r="I548">
        <f>VLOOKUP(D548,Товар!$A$2:$F$1000,3,0)</f>
        <v/>
      </c>
      <c r="J548">
        <f>VLOOKUP(D548,Товар!$A$2:$F$1000,5,0)</f>
        <v/>
      </c>
      <c r="K548">
        <f>IF(AND(H548="Промышленный",LEFT(I548,18)="Порошок стиральный",F548="Продажа",B548=DATE(2023,6,7)),E548*J548/1000,0)</f>
        <v/>
      </c>
    </row>
    <row r="549">
      <c r="A549" t="n">
        <v>548</v>
      </c>
      <c r="B549" s="1" t="n">
        <v>45079</v>
      </c>
      <c r="C549" s="5" t="inlineStr">
        <is>
          <t>M18</t>
        </is>
      </c>
      <c r="D549" s="5" t="n">
        <v>8</v>
      </c>
      <c r="E549" s="5" t="n">
        <v>200</v>
      </c>
      <c r="F549" t="inlineStr">
        <is>
          <t>Поступление</t>
        </is>
      </c>
      <c r="H549">
        <f>VLOOKUP(C549,Магазин!$A$2:$C$1000,2,0)</f>
        <v/>
      </c>
      <c r="I549">
        <f>VLOOKUP(D549,Товар!$A$2:$F$1000,3,0)</f>
        <v/>
      </c>
      <c r="J549">
        <f>VLOOKUP(D549,Товар!$A$2:$F$1000,5,0)</f>
        <v/>
      </c>
      <c r="K549">
        <f>IF(AND(H549="Промышленный",LEFT(I549,18)="Порошок стиральный",F549="Продажа",B549=DATE(2023,6,7)),E549*J549/1000,0)</f>
        <v/>
      </c>
    </row>
    <row r="550">
      <c r="A550" t="n">
        <v>549</v>
      </c>
      <c r="B550" s="1" t="n">
        <v>45079</v>
      </c>
      <c r="C550" s="5" t="inlineStr">
        <is>
          <t>M18</t>
        </is>
      </c>
      <c r="D550" s="5" t="n">
        <v>9</v>
      </c>
      <c r="E550" s="5" t="n">
        <v>200</v>
      </c>
      <c r="F550" t="inlineStr">
        <is>
          <t>Поступление</t>
        </is>
      </c>
      <c r="H550">
        <f>VLOOKUP(C550,Магазин!$A$2:$C$1000,2,0)</f>
        <v/>
      </c>
      <c r="I550">
        <f>VLOOKUP(D550,Товар!$A$2:$F$1000,3,0)</f>
        <v/>
      </c>
      <c r="J550">
        <f>VLOOKUP(D550,Товар!$A$2:$F$1000,5,0)</f>
        <v/>
      </c>
      <c r="K550">
        <f>IF(AND(H550="Промышленный",LEFT(I550,18)="Порошок стиральный",F550="Продажа",B550=DATE(2023,6,7)),E550*J550/1000,0)</f>
        <v/>
      </c>
    </row>
    <row r="551">
      <c r="A551" t="n">
        <v>550</v>
      </c>
      <c r="B551" s="1" t="n">
        <v>45079</v>
      </c>
      <c r="C551" s="5" t="inlineStr">
        <is>
          <t>M18</t>
        </is>
      </c>
      <c r="D551" s="5" t="n">
        <v>10</v>
      </c>
      <c r="E551" s="5" t="n">
        <v>200</v>
      </c>
      <c r="F551" t="inlineStr">
        <is>
          <t>Поступление</t>
        </is>
      </c>
      <c r="H551">
        <f>VLOOKUP(C551,Магазин!$A$2:$C$1000,2,0)</f>
        <v/>
      </c>
      <c r="I551">
        <f>VLOOKUP(D551,Товар!$A$2:$F$1000,3,0)</f>
        <v/>
      </c>
      <c r="J551">
        <f>VLOOKUP(D551,Товар!$A$2:$F$1000,5,0)</f>
        <v/>
      </c>
      <c r="K551">
        <f>IF(AND(H551="Промышленный",LEFT(I551,18)="Порошок стиральный",F551="Продажа",B551=DATE(2023,6,7)),E551*J551/1000,0)</f>
        <v/>
      </c>
    </row>
    <row r="552">
      <c r="A552" t="n">
        <v>551</v>
      </c>
      <c r="B552" s="1" t="n">
        <v>45079</v>
      </c>
      <c r="C552" s="5" t="inlineStr">
        <is>
          <t>M18</t>
        </is>
      </c>
      <c r="D552" s="5" t="n">
        <v>11</v>
      </c>
      <c r="E552" s="5" t="n">
        <v>200</v>
      </c>
      <c r="F552" t="inlineStr">
        <is>
          <t>Поступление</t>
        </is>
      </c>
      <c r="H552">
        <f>VLOOKUP(C552,Магазин!$A$2:$C$1000,2,0)</f>
        <v/>
      </c>
      <c r="I552">
        <f>VLOOKUP(D552,Товар!$A$2:$F$1000,3,0)</f>
        <v/>
      </c>
      <c r="J552">
        <f>VLOOKUP(D552,Товар!$A$2:$F$1000,5,0)</f>
        <v/>
      </c>
      <c r="K552">
        <f>IF(AND(H552="Промышленный",LEFT(I552,18)="Порошок стиральный",F552="Продажа",B552=DATE(2023,6,7)),E552*J552/1000,0)</f>
        <v/>
      </c>
    </row>
    <row r="553">
      <c r="A553" t="n">
        <v>552</v>
      </c>
      <c r="B553" s="1" t="n">
        <v>45079</v>
      </c>
      <c r="C553" s="5" t="inlineStr">
        <is>
          <t>M18</t>
        </is>
      </c>
      <c r="D553" s="5" t="n">
        <v>12</v>
      </c>
      <c r="E553" s="5" t="n">
        <v>200</v>
      </c>
      <c r="F553" t="inlineStr">
        <is>
          <t>Поступление</t>
        </is>
      </c>
      <c r="H553">
        <f>VLOOKUP(C553,Магазин!$A$2:$C$1000,2,0)</f>
        <v/>
      </c>
      <c r="I553">
        <f>VLOOKUP(D553,Товар!$A$2:$F$1000,3,0)</f>
        <v/>
      </c>
      <c r="J553">
        <f>VLOOKUP(D553,Товар!$A$2:$F$1000,5,0)</f>
        <v/>
      </c>
      <c r="K553">
        <f>IF(AND(H553="Промышленный",LEFT(I553,18)="Порошок стиральный",F553="Продажа",B553=DATE(2023,6,7)),E553*J553/1000,0)</f>
        <v/>
      </c>
    </row>
    <row r="554">
      <c r="A554" t="n">
        <v>553</v>
      </c>
      <c r="B554" s="1" t="n">
        <v>45079</v>
      </c>
      <c r="C554" s="5" t="inlineStr">
        <is>
          <t>M18</t>
        </is>
      </c>
      <c r="D554" s="5" t="n">
        <v>13</v>
      </c>
      <c r="E554" s="5" t="n">
        <v>200</v>
      </c>
      <c r="F554" t="inlineStr">
        <is>
          <t>Поступление</t>
        </is>
      </c>
      <c r="H554">
        <f>VLOOKUP(C554,Магазин!$A$2:$C$1000,2,0)</f>
        <v/>
      </c>
      <c r="I554">
        <f>VLOOKUP(D554,Товар!$A$2:$F$1000,3,0)</f>
        <v/>
      </c>
      <c r="J554">
        <f>VLOOKUP(D554,Товар!$A$2:$F$1000,5,0)</f>
        <v/>
      </c>
      <c r="K554">
        <f>IF(AND(H554="Промышленный",LEFT(I554,18)="Порошок стиральный",F554="Продажа",B554=DATE(2023,6,7)),E554*J554/1000,0)</f>
        <v/>
      </c>
    </row>
    <row r="555">
      <c r="A555" t="n">
        <v>554</v>
      </c>
      <c r="B555" s="1" t="n">
        <v>45079</v>
      </c>
      <c r="C555" s="5" t="inlineStr">
        <is>
          <t>M18</t>
        </is>
      </c>
      <c r="D555" s="5" t="n">
        <v>14</v>
      </c>
      <c r="E555" s="5" t="n">
        <v>200</v>
      </c>
      <c r="F555" t="inlineStr">
        <is>
          <t>Поступление</t>
        </is>
      </c>
      <c r="H555">
        <f>VLOOKUP(C555,Магазин!$A$2:$C$1000,2,0)</f>
        <v/>
      </c>
      <c r="I555">
        <f>VLOOKUP(D555,Товар!$A$2:$F$1000,3,0)</f>
        <v/>
      </c>
      <c r="J555">
        <f>VLOOKUP(D555,Товар!$A$2:$F$1000,5,0)</f>
        <v/>
      </c>
      <c r="K555">
        <f>IF(AND(H555="Промышленный",LEFT(I555,18)="Порошок стиральный",F555="Продажа",B555=DATE(2023,6,7)),E555*J555/1000,0)</f>
        <v/>
      </c>
    </row>
    <row r="556">
      <c r="A556" t="n">
        <v>555</v>
      </c>
      <c r="B556" s="1" t="n">
        <v>45079</v>
      </c>
      <c r="C556" s="5" t="inlineStr">
        <is>
          <t>M18</t>
        </is>
      </c>
      <c r="D556" s="5" t="n">
        <v>15</v>
      </c>
      <c r="E556" s="5" t="n">
        <v>200</v>
      </c>
      <c r="F556" t="inlineStr">
        <is>
          <t>Поступление</t>
        </is>
      </c>
      <c r="H556">
        <f>VLOOKUP(C556,Магазин!$A$2:$C$1000,2,0)</f>
        <v/>
      </c>
      <c r="I556">
        <f>VLOOKUP(D556,Товар!$A$2:$F$1000,3,0)</f>
        <v/>
      </c>
      <c r="J556">
        <f>VLOOKUP(D556,Товар!$A$2:$F$1000,5,0)</f>
        <v/>
      </c>
      <c r="K556">
        <f>IF(AND(H556="Промышленный",LEFT(I556,18)="Порошок стиральный",F556="Продажа",B556=DATE(2023,6,7)),E556*J556/1000,0)</f>
        <v/>
      </c>
    </row>
    <row r="557">
      <c r="A557" t="n">
        <v>556</v>
      </c>
      <c r="B557" s="1" t="n">
        <v>45079</v>
      </c>
      <c r="C557" s="5" t="inlineStr">
        <is>
          <t>M18</t>
        </is>
      </c>
      <c r="D557" s="5" t="n">
        <v>16</v>
      </c>
      <c r="E557" s="5" t="n">
        <v>200</v>
      </c>
      <c r="F557" t="inlineStr">
        <is>
          <t>Поступление</t>
        </is>
      </c>
      <c r="H557">
        <f>VLOOKUP(C557,Магазин!$A$2:$C$1000,2,0)</f>
        <v/>
      </c>
      <c r="I557">
        <f>VLOOKUP(D557,Товар!$A$2:$F$1000,3,0)</f>
        <v/>
      </c>
      <c r="J557">
        <f>VLOOKUP(D557,Товар!$A$2:$F$1000,5,0)</f>
        <v/>
      </c>
      <c r="K557">
        <f>IF(AND(H557="Промышленный",LEFT(I557,18)="Порошок стиральный",F557="Продажа",B557=DATE(2023,6,7)),E557*J557/1000,0)</f>
        <v/>
      </c>
    </row>
    <row r="558">
      <c r="A558" t="n">
        <v>557</v>
      </c>
      <c r="B558" s="1" t="n">
        <v>45079</v>
      </c>
      <c r="C558" s="5" t="inlineStr">
        <is>
          <t>M18</t>
        </is>
      </c>
      <c r="D558" s="5" t="n">
        <v>17</v>
      </c>
      <c r="E558" s="5" t="n">
        <v>200</v>
      </c>
      <c r="F558" t="inlineStr">
        <is>
          <t>Поступление</t>
        </is>
      </c>
      <c r="H558">
        <f>VLOOKUP(C558,Магазин!$A$2:$C$1000,2,0)</f>
        <v/>
      </c>
      <c r="I558">
        <f>VLOOKUP(D558,Товар!$A$2:$F$1000,3,0)</f>
        <v/>
      </c>
      <c r="J558">
        <f>VLOOKUP(D558,Товар!$A$2:$F$1000,5,0)</f>
        <v/>
      </c>
      <c r="K558">
        <f>IF(AND(H558="Промышленный",LEFT(I558,18)="Порошок стиральный",F558="Продажа",B558=DATE(2023,6,7)),E558*J558/1000,0)</f>
        <v/>
      </c>
    </row>
    <row r="559">
      <c r="A559" t="n">
        <v>558</v>
      </c>
      <c r="B559" s="1" t="n">
        <v>45079</v>
      </c>
      <c r="C559" s="5" t="inlineStr">
        <is>
          <t>M18</t>
        </is>
      </c>
      <c r="D559" s="5" t="n">
        <v>18</v>
      </c>
      <c r="E559" s="5" t="n">
        <v>200</v>
      </c>
      <c r="F559" t="inlineStr">
        <is>
          <t>Поступление</t>
        </is>
      </c>
      <c r="H559">
        <f>VLOOKUP(C559,Магазин!$A$2:$C$1000,2,0)</f>
        <v/>
      </c>
      <c r="I559">
        <f>VLOOKUP(D559,Товар!$A$2:$F$1000,3,0)</f>
        <v/>
      </c>
      <c r="J559">
        <f>VLOOKUP(D559,Товар!$A$2:$F$1000,5,0)</f>
        <v/>
      </c>
      <c r="K559">
        <f>IF(AND(H559="Промышленный",LEFT(I559,18)="Порошок стиральный",F559="Продажа",B559=DATE(2023,6,7)),E559*J559/1000,0)</f>
        <v/>
      </c>
    </row>
    <row r="560">
      <c r="A560" t="n">
        <v>559</v>
      </c>
      <c r="B560" s="1" t="n">
        <v>45079</v>
      </c>
      <c r="C560" s="5" t="inlineStr">
        <is>
          <t>M18</t>
        </is>
      </c>
      <c r="D560" s="5" t="n">
        <v>19</v>
      </c>
      <c r="E560" s="5" t="n">
        <v>200</v>
      </c>
      <c r="F560" t="inlineStr">
        <is>
          <t>Поступление</t>
        </is>
      </c>
      <c r="H560">
        <f>VLOOKUP(C560,Магазин!$A$2:$C$1000,2,0)</f>
        <v/>
      </c>
      <c r="I560">
        <f>VLOOKUP(D560,Товар!$A$2:$F$1000,3,0)</f>
        <v/>
      </c>
      <c r="J560">
        <f>VLOOKUP(D560,Товар!$A$2:$F$1000,5,0)</f>
        <v/>
      </c>
      <c r="K560">
        <f>IF(AND(H560="Промышленный",LEFT(I560,18)="Порошок стиральный",F560="Продажа",B560=DATE(2023,6,7)),E560*J560/1000,0)</f>
        <v/>
      </c>
    </row>
    <row r="561">
      <c r="A561" t="n">
        <v>560</v>
      </c>
      <c r="B561" s="1" t="n">
        <v>45079</v>
      </c>
      <c r="C561" s="5" t="inlineStr">
        <is>
          <t>M18</t>
        </is>
      </c>
      <c r="D561" s="5" t="n">
        <v>20</v>
      </c>
      <c r="E561" s="5" t="n">
        <v>200</v>
      </c>
      <c r="F561" t="inlineStr">
        <is>
          <t>Поступление</t>
        </is>
      </c>
      <c r="H561">
        <f>VLOOKUP(C561,Магазин!$A$2:$C$1000,2,0)</f>
        <v/>
      </c>
      <c r="I561">
        <f>VLOOKUP(D561,Товар!$A$2:$F$1000,3,0)</f>
        <v/>
      </c>
      <c r="J561">
        <f>VLOOKUP(D561,Товар!$A$2:$F$1000,5,0)</f>
        <v/>
      </c>
      <c r="K561">
        <f>IF(AND(H561="Промышленный",LEFT(I561,18)="Порошок стиральный",F561="Продажа",B561=DATE(2023,6,7)),E561*J561/1000,0)</f>
        <v/>
      </c>
    </row>
    <row r="562">
      <c r="A562" t="n">
        <v>561</v>
      </c>
      <c r="B562" s="1" t="n">
        <v>45079</v>
      </c>
      <c r="C562" s="5" t="inlineStr">
        <is>
          <t>M18</t>
        </is>
      </c>
      <c r="D562" s="5" t="n">
        <v>21</v>
      </c>
      <c r="E562" s="5" t="n">
        <v>200</v>
      </c>
      <c r="F562" t="inlineStr">
        <is>
          <t>Поступление</t>
        </is>
      </c>
      <c r="H562">
        <f>VLOOKUP(C562,Магазин!$A$2:$C$1000,2,0)</f>
        <v/>
      </c>
      <c r="I562">
        <f>VLOOKUP(D562,Товар!$A$2:$F$1000,3,0)</f>
        <v/>
      </c>
      <c r="J562">
        <f>VLOOKUP(D562,Товар!$A$2:$F$1000,5,0)</f>
        <v/>
      </c>
      <c r="K562">
        <f>IF(AND(H562="Промышленный",LEFT(I562,18)="Порошок стиральный",F562="Продажа",B562=DATE(2023,6,7)),E562*J562/1000,0)</f>
        <v/>
      </c>
    </row>
    <row r="563">
      <c r="A563" t="n">
        <v>562</v>
      </c>
      <c r="B563" s="1" t="n">
        <v>45079</v>
      </c>
      <c r="C563" s="5" t="inlineStr">
        <is>
          <t>M18</t>
        </is>
      </c>
      <c r="D563" s="5" t="n">
        <v>22</v>
      </c>
      <c r="E563" s="5" t="n">
        <v>200</v>
      </c>
      <c r="F563" t="inlineStr">
        <is>
          <t>Поступление</t>
        </is>
      </c>
      <c r="H563">
        <f>VLOOKUP(C563,Магазин!$A$2:$C$1000,2,0)</f>
        <v/>
      </c>
      <c r="I563">
        <f>VLOOKUP(D563,Товар!$A$2:$F$1000,3,0)</f>
        <v/>
      </c>
      <c r="J563">
        <f>VLOOKUP(D563,Товар!$A$2:$F$1000,5,0)</f>
        <v/>
      </c>
      <c r="K563">
        <f>IF(AND(H563="Промышленный",LEFT(I563,18)="Порошок стиральный",F563="Продажа",B563=DATE(2023,6,7)),E563*J563/1000,0)</f>
        <v/>
      </c>
    </row>
    <row r="564">
      <c r="A564" t="n">
        <v>563</v>
      </c>
      <c r="B564" s="1" t="n">
        <v>45079</v>
      </c>
      <c r="C564" s="5" t="inlineStr">
        <is>
          <t>M18</t>
        </is>
      </c>
      <c r="D564" s="5" t="n">
        <v>23</v>
      </c>
      <c r="E564" s="5" t="n">
        <v>200</v>
      </c>
      <c r="F564" t="inlineStr">
        <is>
          <t>Поступление</t>
        </is>
      </c>
      <c r="H564">
        <f>VLOOKUP(C564,Магазин!$A$2:$C$1000,2,0)</f>
        <v/>
      </c>
      <c r="I564">
        <f>VLOOKUP(D564,Товар!$A$2:$F$1000,3,0)</f>
        <v/>
      </c>
      <c r="J564">
        <f>VLOOKUP(D564,Товар!$A$2:$F$1000,5,0)</f>
        <v/>
      </c>
      <c r="K564">
        <f>IF(AND(H564="Промышленный",LEFT(I564,18)="Порошок стиральный",F564="Продажа",B564=DATE(2023,6,7)),E564*J564/1000,0)</f>
        <v/>
      </c>
    </row>
    <row r="565">
      <c r="A565" t="n">
        <v>564</v>
      </c>
      <c r="B565" s="1" t="n">
        <v>45079</v>
      </c>
      <c r="C565" s="5" t="inlineStr">
        <is>
          <t>M18</t>
        </is>
      </c>
      <c r="D565" s="5" t="n">
        <v>24</v>
      </c>
      <c r="E565" s="5" t="n">
        <v>200</v>
      </c>
      <c r="F565" t="inlineStr">
        <is>
          <t>Поступление</t>
        </is>
      </c>
      <c r="H565">
        <f>VLOOKUP(C565,Магазин!$A$2:$C$1000,2,0)</f>
        <v/>
      </c>
      <c r="I565">
        <f>VLOOKUP(D565,Товар!$A$2:$F$1000,3,0)</f>
        <v/>
      </c>
      <c r="J565">
        <f>VLOOKUP(D565,Товар!$A$2:$F$1000,5,0)</f>
        <v/>
      </c>
      <c r="K565">
        <f>IF(AND(H565="Промышленный",LEFT(I565,18)="Порошок стиральный",F565="Продажа",B565=DATE(2023,6,7)),E565*J565/1000,0)</f>
        <v/>
      </c>
    </row>
    <row r="566">
      <c r="A566" t="n">
        <v>565</v>
      </c>
      <c r="B566" s="1" t="n">
        <v>45079</v>
      </c>
      <c r="C566" s="5" t="inlineStr">
        <is>
          <t>M18</t>
        </is>
      </c>
      <c r="D566" s="5" t="n">
        <v>25</v>
      </c>
      <c r="E566" s="5" t="n">
        <v>200</v>
      </c>
      <c r="F566" t="inlineStr">
        <is>
          <t>Поступление</t>
        </is>
      </c>
      <c r="H566">
        <f>VLOOKUP(C566,Магазин!$A$2:$C$1000,2,0)</f>
        <v/>
      </c>
      <c r="I566">
        <f>VLOOKUP(D566,Товар!$A$2:$F$1000,3,0)</f>
        <v/>
      </c>
      <c r="J566">
        <f>VLOOKUP(D566,Товар!$A$2:$F$1000,5,0)</f>
        <v/>
      </c>
      <c r="K566">
        <f>IF(AND(H566="Промышленный",LEFT(I566,18)="Порошок стиральный",F566="Продажа",B566=DATE(2023,6,7)),E566*J566/1000,0)</f>
        <v/>
      </c>
    </row>
    <row r="567">
      <c r="A567" t="n">
        <v>566</v>
      </c>
      <c r="B567" s="1" t="n">
        <v>45079</v>
      </c>
      <c r="C567" s="5" t="inlineStr">
        <is>
          <t>M18</t>
        </is>
      </c>
      <c r="D567" s="5" t="n">
        <v>26</v>
      </c>
      <c r="E567" s="5" t="n">
        <v>200</v>
      </c>
      <c r="F567" t="inlineStr">
        <is>
          <t>Поступление</t>
        </is>
      </c>
      <c r="H567">
        <f>VLOOKUP(C567,Магазин!$A$2:$C$1000,2,0)</f>
        <v/>
      </c>
      <c r="I567">
        <f>VLOOKUP(D567,Товар!$A$2:$F$1000,3,0)</f>
        <v/>
      </c>
      <c r="J567">
        <f>VLOOKUP(D567,Товар!$A$2:$F$1000,5,0)</f>
        <v/>
      </c>
      <c r="K567">
        <f>IF(AND(H567="Промышленный",LEFT(I567,18)="Порошок стиральный",F567="Продажа",B567=DATE(2023,6,7)),E567*J567/1000,0)</f>
        <v/>
      </c>
    </row>
    <row r="568">
      <c r="A568" t="n">
        <v>567</v>
      </c>
      <c r="B568" s="1" t="n">
        <v>45079</v>
      </c>
      <c r="C568" s="5" t="inlineStr">
        <is>
          <t>M18</t>
        </is>
      </c>
      <c r="D568" s="5" t="n">
        <v>27</v>
      </c>
      <c r="E568" s="5" t="n">
        <v>200</v>
      </c>
      <c r="F568" t="inlineStr">
        <is>
          <t>Поступление</t>
        </is>
      </c>
      <c r="H568">
        <f>VLOOKUP(C568,Магазин!$A$2:$C$1000,2,0)</f>
        <v/>
      </c>
      <c r="I568">
        <f>VLOOKUP(D568,Товар!$A$2:$F$1000,3,0)</f>
        <v/>
      </c>
      <c r="J568">
        <f>VLOOKUP(D568,Товар!$A$2:$F$1000,5,0)</f>
        <v/>
      </c>
      <c r="K568">
        <f>IF(AND(H568="Промышленный",LEFT(I568,18)="Порошок стиральный",F568="Продажа",B568=DATE(2023,6,7)),E568*J568/1000,0)</f>
        <v/>
      </c>
    </row>
    <row r="569">
      <c r="A569" t="n">
        <v>568</v>
      </c>
      <c r="B569" s="1" t="n">
        <v>45079</v>
      </c>
      <c r="C569" s="5" t="inlineStr">
        <is>
          <t>M18</t>
        </is>
      </c>
      <c r="D569" s="5" t="n">
        <v>28</v>
      </c>
      <c r="E569" s="5" t="n">
        <v>200</v>
      </c>
      <c r="F569" t="inlineStr">
        <is>
          <t>Поступление</t>
        </is>
      </c>
      <c r="H569">
        <f>VLOOKUP(C569,Магазин!$A$2:$C$1000,2,0)</f>
        <v/>
      </c>
      <c r="I569">
        <f>VLOOKUP(D569,Товар!$A$2:$F$1000,3,0)</f>
        <v/>
      </c>
      <c r="J569">
        <f>VLOOKUP(D569,Товар!$A$2:$F$1000,5,0)</f>
        <v/>
      </c>
      <c r="K569">
        <f>IF(AND(H569="Промышленный",LEFT(I569,18)="Порошок стиральный",F569="Продажа",B569=DATE(2023,6,7)),E569*J569/1000,0)</f>
        <v/>
      </c>
    </row>
    <row r="570">
      <c r="A570" t="n">
        <v>569</v>
      </c>
      <c r="B570" s="1" t="n">
        <v>45079</v>
      </c>
      <c r="C570" s="5" t="inlineStr">
        <is>
          <t>M18</t>
        </is>
      </c>
      <c r="D570" s="5" t="n">
        <v>29</v>
      </c>
      <c r="E570" s="5" t="n">
        <v>200</v>
      </c>
      <c r="F570" t="inlineStr">
        <is>
          <t>Поступление</t>
        </is>
      </c>
      <c r="H570">
        <f>VLOOKUP(C570,Магазин!$A$2:$C$1000,2,0)</f>
        <v/>
      </c>
      <c r="I570">
        <f>VLOOKUP(D570,Товар!$A$2:$F$1000,3,0)</f>
        <v/>
      </c>
      <c r="J570">
        <f>VLOOKUP(D570,Товар!$A$2:$F$1000,5,0)</f>
        <v/>
      </c>
      <c r="K570">
        <f>IF(AND(H570="Промышленный",LEFT(I570,18)="Порошок стиральный",F570="Продажа",B570=DATE(2023,6,7)),E570*J570/1000,0)</f>
        <v/>
      </c>
    </row>
    <row r="571">
      <c r="A571" t="n">
        <v>570</v>
      </c>
      <c r="B571" s="1" t="n">
        <v>45079</v>
      </c>
      <c r="C571" s="5" t="inlineStr">
        <is>
          <t>M18</t>
        </is>
      </c>
      <c r="D571" s="5" t="n">
        <v>30</v>
      </c>
      <c r="E571" s="5" t="n">
        <v>200</v>
      </c>
      <c r="F571" t="inlineStr">
        <is>
          <t>Поступление</t>
        </is>
      </c>
      <c r="H571">
        <f>VLOOKUP(C571,Магазин!$A$2:$C$1000,2,0)</f>
        <v/>
      </c>
      <c r="I571">
        <f>VLOOKUP(D571,Товар!$A$2:$F$1000,3,0)</f>
        <v/>
      </c>
      <c r="J571">
        <f>VLOOKUP(D571,Товар!$A$2:$F$1000,5,0)</f>
        <v/>
      </c>
      <c r="K571">
        <f>IF(AND(H571="Промышленный",LEFT(I571,18)="Порошок стиральный",F571="Продажа",B571=DATE(2023,6,7)),E571*J571/1000,0)</f>
        <v/>
      </c>
    </row>
    <row r="572">
      <c r="A572" t="n">
        <v>571</v>
      </c>
      <c r="B572" s="1" t="n">
        <v>45079</v>
      </c>
      <c r="C572" s="5" t="inlineStr">
        <is>
          <t>M18</t>
        </is>
      </c>
      <c r="D572" s="5" t="n">
        <v>31</v>
      </c>
      <c r="E572" s="5" t="n">
        <v>200</v>
      </c>
      <c r="F572" t="inlineStr">
        <is>
          <t>Поступление</t>
        </is>
      </c>
      <c r="H572">
        <f>VLOOKUP(C572,Магазин!$A$2:$C$1000,2,0)</f>
        <v/>
      </c>
      <c r="I572">
        <f>VLOOKUP(D572,Товар!$A$2:$F$1000,3,0)</f>
        <v/>
      </c>
      <c r="J572">
        <f>VLOOKUP(D572,Товар!$A$2:$F$1000,5,0)</f>
        <v/>
      </c>
      <c r="K572">
        <f>IF(AND(H572="Промышленный",LEFT(I572,18)="Порошок стиральный",F572="Продажа",B572=DATE(2023,6,7)),E572*J572/1000,0)</f>
        <v/>
      </c>
    </row>
    <row r="573">
      <c r="A573" t="n">
        <v>572</v>
      </c>
      <c r="B573" s="1" t="n">
        <v>45079</v>
      </c>
      <c r="C573" s="5" t="inlineStr">
        <is>
          <t>M18</t>
        </is>
      </c>
      <c r="D573" s="5" t="n">
        <v>32</v>
      </c>
      <c r="E573" s="5" t="n">
        <v>200</v>
      </c>
      <c r="F573" t="inlineStr">
        <is>
          <t>Поступление</t>
        </is>
      </c>
      <c r="H573">
        <f>VLOOKUP(C573,Магазин!$A$2:$C$1000,2,0)</f>
        <v/>
      </c>
      <c r="I573">
        <f>VLOOKUP(D573,Товар!$A$2:$F$1000,3,0)</f>
        <v/>
      </c>
      <c r="J573">
        <f>VLOOKUP(D573,Товар!$A$2:$F$1000,5,0)</f>
        <v/>
      </c>
      <c r="K573">
        <f>IF(AND(H573="Промышленный",LEFT(I573,18)="Порошок стиральный",F573="Продажа",B573=DATE(2023,6,7)),E573*J573/1000,0)</f>
        <v/>
      </c>
    </row>
    <row r="574">
      <c r="A574" t="n">
        <v>573</v>
      </c>
      <c r="B574" s="1" t="n">
        <v>45079</v>
      </c>
      <c r="C574" s="5" t="inlineStr">
        <is>
          <t>M18</t>
        </is>
      </c>
      <c r="D574" s="5" t="n">
        <v>33</v>
      </c>
      <c r="E574" s="5" t="n">
        <v>200</v>
      </c>
      <c r="F574" t="inlineStr">
        <is>
          <t>Поступление</t>
        </is>
      </c>
      <c r="H574">
        <f>VLOOKUP(C574,Магазин!$A$2:$C$1000,2,0)</f>
        <v/>
      </c>
      <c r="I574">
        <f>VLOOKUP(D574,Товар!$A$2:$F$1000,3,0)</f>
        <v/>
      </c>
      <c r="J574">
        <f>VLOOKUP(D574,Товар!$A$2:$F$1000,5,0)</f>
        <v/>
      </c>
      <c r="K574">
        <f>IF(AND(H574="Промышленный",LEFT(I574,18)="Порошок стиральный",F574="Продажа",B574=DATE(2023,6,7)),E574*J574/1000,0)</f>
        <v/>
      </c>
    </row>
    <row r="575">
      <c r="A575" t="n">
        <v>574</v>
      </c>
      <c r="B575" s="1" t="n">
        <v>45079</v>
      </c>
      <c r="C575" s="5" t="inlineStr">
        <is>
          <t>M18</t>
        </is>
      </c>
      <c r="D575" s="5" t="n">
        <v>34</v>
      </c>
      <c r="E575" s="5" t="n">
        <v>200</v>
      </c>
      <c r="F575" t="inlineStr">
        <is>
          <t>Поступление</t>
        </is>
      </c>
      <c r="H575">
        <f>VLOOKUP(C575,Магазин!$A$2:$C$1000,2,0)</f>
        <v/>
      </c>
      <c r="I575">
        <f>VLOOKUP(D575,Товар!$A$2:$F$1000,3,0)</f>
        <v/>
      </c>
      <c r="J575">
        <f>VLOOKUP(D575,Товар!$A$2:$F$1000,5,0)</f>
        <v/>
      </c>
      <c r="K575">
        <f>IF(AND(H575="Промышленный",LEFT(I575,18)="Порошок стиральный",F575="Продажа",B575=DATE(2023,6,7)),E575*J575/1000,0)</f>
        <v/>
      </c>
    </row>
    <row r="576">
      <c r="A576" t="n">
        <v>575</v>
      </c>
      <c r="B576" s="1" t="n">
        <v>45079</v>
      </c>
      <c r="C576" s="5" t="inlineStr">
        <is>
          <t>M18</t>
        </is>
      </c>
      <c r="D576" s="5" t="n">
        <v>35</v>
      </c>
      <c r="E576" s="5" t="n">
        <v>200</v>
      </c>
      <c r="F576" t="inlineStr">
        <is>
          <t>Поступление</t>
        </is>
      </c>
      <c r="H576">
        <f>VLOOKUP(C576,Магазин!$A$2:$C$1000,2,0)</f>
        <v/>
      </c>
      <c r="I576">
        <f>VLOOKUP(D576,Товар!$A$2:$F$1000,3,0)</f>
        <v/>
      </c>
      <c r="J576">
        <f>VLOOKUP(D576,Товар!$A$2:$F$1000,5,0)</f>
        <v/>
      </c>
      <c r="K576">
        <f>IF(AND(H576="Промышленный",LEFT(I576,18)="Порошок стиральный",F576="Продажа",B576=DATE(2023,6,7)),E576*J576/1000,0)</f>
        <v/>
      </c>
    </row>
    <row r="577">
      <c r="A577" t="n">
        <v>576</v>
      </c>
      <c r="B577" s="1" t="n">
        <v>45079</v>
      </c>
      <c r="C577" s="5" t="inlineStr">
        <is>
          <t>M18</t>
        </is>
      </c>
      <c r="D577" s="5" t="n">
        <v>36</v>
      </c>
      <c r="E577" s="5" t="n">
        <v>200</v>
      </c>
      <c r="F577" t="inlineStr">
        <is>
          <t>Поступление</t>
        </is>
      </c>
      <c r="H577">
        <f>VLOOKUP(C577,Магазин!$A$2:$C$1000,2,0)</f>
        <v/>
      </c>
      <c r="I577">
        <f>VLOOKUP(D577,Товар!$A$2:$F$1000,3,0)</f>
        <v/>
      </c>
      <c r="J577">
        <f>VLOOKUP(D577,Товар!$A$2:$F$1000,5,0)</f>
        <v/>
      </c>
      <c r="K577">
        <f>IF(AND(H577="Промышленный",LEFT(I577,18)="Порошок стиральный",F577="Продажа",B577=DATE(2023,6,7)),E577*J577/1000,0)</f>
        <v/>
      </c>
    </row>
    <row r="578">
      <c r="A578" t="n">
        <v>577</v>
      </c>
      <c r="B578" s="1" t="n">
        <v>45079</v>
      </c>
      <c r="C578" s="5" t="inlineStr">
        <is>
          <t>M18</t>
        </is>
      </c>
      <c r="D578" s="5" t="n">
        <v>37</v>
      </c>
      <c r="E578" s="5" t="n">
        <v>300</v>
      </c>
      <c r="F578" t="inlineStr">
        <is>
          <t>Поступление</t>
        </is>
      </c>
      <c r="H578">
        <f>VLOOKUP(C578,Магазин!$A$2:$C$1000,2,0)</f>
        <v/>
      </c>
      <c r="I578">
        <f>VLOOKUP(D578,Товар!$A$2:$F$1000,3,0)</f>
        <v/>
      </c>
      <c r="J578">
        <f>VLOOKUP(D578,Товар!$A$2:$F$1000,5,0)</f>
        <v/>
      </c>
      <c r="K578">
        <f>IF(AND(H578="Промышленный",LEFT(I578,18)="Порошок стиральный",F578="Продажа",B578=DATE(2023,6,7)),E578*J578/1000,0)</f>
        <v/>
      </c>
    </row>
    <row r="579">
      <c r="A579" t="n">
        <v>578</v>
      </c>
      <c r="B579" s="1" t="n">
        <v>45079</v>
      </c>
      <c r="C579" s="5" t="inlineStr">
        <is>
          <t>M18</t>
        </is>
      </c>
      <c r="D579" s="5" t="n">
        <v>38</v>
      </c>
      <c r="E579" s="5" t="n">
        <v>300</v>
      </c>
      <c r="F579" t="inlineStr">
        <is>
          <t>Поступление</t>
        </is>
      </c>
      <c r="H579">
        <f>VLOOKUP(C579,Магазин!$A$2:$C$1000,2,0)</f>
        <v/>
      </c>
      <c r="I579">
        <f>VLOOKUP(D579,Товар!$A$2:$F$1000,3,0)</f>
        <v/>
      </c>
      <c r="J579">
        <f>VLOOKUP(D579,Товар!$A$2:$F$1000,5,0)</f>
        <v/>
      </c>
      <c r="K579">
        <f>IF(AND(H579="Промышленный",LEFT(I579,18)="Порошок стиральный",F579="Продажа",B579=DATE(2023,6,7)),E579*J579/1000,0)</f>
        <v/>
      </c>
    </row>
    <row r="580">
      <c r="A580" t="n">
        <v>579</v>
      </c>
      <c r="B580" s="1" t="n">
        <v>45079</v>
      </c>
      <c r="C580" s="5" t="inlineStr">
        <is>
          <t>M18</t>
        </is>
      </c>
      <c r="D580" s="5" t="n">
        <v>39</v>
      </c>
      <c r="E580" s="5" t="n">
        <v>300</v>
      </c>
      <c r="F580" t="inlineStr">
        <is>
          <t>Поступление</t>
        </is>
      </c>
      <c r="H580">
        <f>VLOOKUP(C580,Магазин!$A$2:$C$1000,2,0)</f>
        <v/>
      </c>
      <c r="I580">
        <f>VLOOKUP(D580,Товар!$A$2:$F$1000,3,0)</f>
        <v/>
      </c>
      <c r="J580">
        <f>VLOOKUP(D580,Товар!$A$2:$F$1000,5,0)</f>
        <v/>
      </c>
      <c r="K580">
        <f>IF(AND(H580="Промышленный",LEFT(I580,18)="Порошок стиральный",F580="Продажа",B580=DATE(2023,6,7)),E580*J580/1000,0)</f>
        <v/>
      </c>
    </row>
    <row r="581">
      <c r="A581" t="n">
        <v>580</v>
      </c>
      <c r="B581" s="1" t="n">
        <v>45079</v>
      </c>
      <c r="C581" s="5" t="inlineStr">
        <is>
          <t>M18</t>
        </is>
      </c>
      <c r="D581" s="5" t="n">
        <v>40</v>
      </c>
      <c r="E581" s="5" t="n">
        <v>300</v>
      </c>
      <c r="F581" t="inlineStr">
        <is>
          <t>Поступление</t>
        </is>
      </c>
      <c r="H581">
        <f>VLOOKUP(C581,Магазин!$A$2:$C$1000,2,0)</f>
        <v/>
      </c>
      <c r="I581">
        <f>VLOOKUP(D581,Товар!$A$2:$F$1000,3,0)</f>
        <v/>
      </c>
      <c r="J581">
        <f>VLOOKUP(D581,Товар!$A$2:$F$1000,5,0)</f>
        <v/>
      </c>
      <c r="K581">
        <f>IF(AND(H581="Промышленный",LEFT(I581,18)="Порошок стиральный",F581="Продажа",B581=DATE(2023,6,7)),E581*J581/1000,0)</f>
        <v/>
      </c>
    </row>
    <row r="582">
      <c r="A582" t="n">
        <v>581</v>
      </c>
      <c r="B582" s="1" t="n">
        <v>45079</v>
      </c>
      <c r="C582" s="5" t="inlineStr">
        <is>
          <t>M18</t>
        </is>
      </c>
      <c r="D582" s="5" t="n">
        <v>41</v>
      </c>
      <c r="E582" s="5" t="n">
        <v>300</v>
      </c>
      <c r="F582" t="inlineStr">
        <is>
          <t>Поступление</t>
        </is>
      </c>
      <c r="H582">
        <f>VLOOKUP(C582,Магазин!$A$2:$C$1000,2,0)</f>
        <v/>
      </c>
      <c r="I582">
        <f>VLOOKUP(D582,Товар!$A$2:$F$1000,3,0)</f>
        <v/>
      </c>
      <c r="J582">
        <f>VLOOKUP(D582,Товар!$A$2:$F$1000,5,0)</f>
        <v/>
      </c>
      <c r="K582">
        <f>IF(AND(H582="Промышленный",LEFT(I582,18)="Порошок стиральный",F582="Продажа",B582=DATE(2023,6,7)),E582*J582/1000,0)</f>
        <v/>
      </c>
    </row>
    <row r="583">
      <c r="A583" t="n">
        <v>582</v>
      </c>
      <c r="B583" s="1" t="n">
        <v>45079</v>
      </c>
      <c r="C583" s="5" t="inlineStr">
        <is>
          <t>M18</t>
        </is>
      </c>
      <c r="D583" s="5" t="n">
        <v>42</v>
      </c>
      <c r="E583" s="5" t="n">
        <v>300</v>
      </c>
      <c r="F583" t="inlineStr">
        <is>
          <t>Поступление</t>
        </is>
      </c>
      <c r="H583">
        <f>VLOOKUP(C583,Магазин!$A$2:$C$1000,2,0)</f>
        <v/>
      </c>
      <c r="I583">
        <f>VLOOKUP(D583,Товар!$A$2:$F$1000,3,0)</f>
        <v/>
      </c>
      <c r="J583">
        <f>VLOOKUP(D583,Товар!$A$2:$F$1000,5,0)</f>
        <v/>
      </c>
      <c r="K583">
        <f>IF(AND(H583="Промышленный",LEFT(I583,18)="Порошок стиральный",F583="Продажа",B583=DATE(2023,6,7)),E583*J583/1000,0)</f>
        <v/>
      </c>
    </row>
    <row r="584">
      <c r="A584" t="n">
        <v>583</v>
      </c>
      <c r="B584" s="1" t="n">
        <v>45079</v>
      </c>
      <c r="C584" s="5" t="inlineStr">
        <is>
          <t>M18</t>
        </is>
      </c>
      <c r="D584" s="5" t="n">
        <v>43</v>
      </c>
      <c r="E584" s="5" t="n">
        <v>300</v>
      </c>
      <c r="F584" t="inlineStr">
        <is>
          <t>Поступление</t>
        </is>
      </c>
      <c r="H584">
        <f>VLOOKUP(C584,Магазин!$A$2:$C$1000,2,0)</f>
        <v/>
      </c>
      <c r="I584">
        <f>VLOOKUP(D584,Товар!$A$2:$F$1000,3,0)</f>
        <v/>
      </c>
      <c r="J584">
        <f>VLOOKUP(D584,Товар!$A$2:$F$1000,5,0)</f>
        <v/>
      </c>
      <c r="K584">
        <f>IF(AND(H584="Промышленный",LEFT(I584,18)="Порошок стиральный",F584="Продажа",B584=DATE(2023,6,7)),E584*J584/1000,0)</f>
        <v/>
      </c>
    </row>
    <row r="585">
      <c r="A585" t="n">
        <v>584</v>
      </c>
      <c r="B585" s="1" t="n">
        <v>45079</v>
      </c>
      <c r="C585" s="5" t="inlineStr">
        <is>
          <t>M18</t>
        </is>
      </c>
      <c r="D585" s="5" t="n">
        <v>44</v>
      </c>
      <c r="E585" s="5" t="n">
        <v>300</v>
      </c>
      <c r="F585" t="inlineStr">
        <is>
          <t>Поступление</t>
        </is>
      </c>
      <c r="H585">
        <f>VLOOKUP(C585,Магазин!$A$2:$C$1000,2,0)</f>
        <v/>
      </c>
      <c r="I585">
        <f>VLOOKUP(D585,Товар!$A$2:$F$1000,3,0)</f>
        <v/>
      </c>
      <c r="J585">
        <f>VLOOKUP(D585,Товар!$A$2:$F$1000,5,0)</f>
        <v/>
      </c>
      <c r="K585">
        <f>IF(AND(H585="Промышленный",LEFT(I585,18)="Порошок стиральный",F585="Продажа",B585=DATE(2023,6,7)),E585*J585/1000,0)</f>
        <v/>
      </c>
    </row>
    <row r="586">
      <c r="A586" t="n">
        <v>585</v>
      </c>
      <c r="B586" s="1" t="n">
        <v>45079</v>
      </c>
      <c r="C586" s="5" t="inlineStr">
        <is>
          <t>M18</t>
        </is>
      </c>
      <c r="D586" s="5" t="n">
        <v>45</v>
      </c>
      <c r="E586" s="5" t="n">
        <v>300</v>
      </c>
      <c r="F586" t="inlineStr">
        <is>
          <t>Поступление</t>
        </is>
      </c>
      <c r="H586">
        <f>VLOOKUP(C586,Магазин!$A$2:$C$1000,2,0)</f>
        <v/>
      </c>
      <c r="I586">
        <f>VLOOKUP(D586,Товар!$A$2:$F$1000,3,0)</f>
        <v/>
      </c>
      <c r="J586">
        <f>VLOOKUP(D586,Товар!$A$2:$F$1000,5,0)</f>
        <v/>
      </c>
      <c r="K586">
        <f>IF(AND(H586="Промышленный",LEFT(I586,18)="Порошок стиральный",F586="Продажа",B586=DATE(2023,6,7)),E586*J586/1000,0)</f>
        <v/>
      </c>
    </row>
    <row r="587">
      <c r="A587" t="n">
        <v>586</v>
      </c>
      <c r="B587" s="1" t="n">
        <v>45079</v>
      </c>
      <c r="C587" s="5" t="inlineStr">
        <is>
          <t>M18</t>
        </is>
      </c>
      <c r="D587" s="5" t="n">
        <v>46</v>
      </c>
      <c r="E587" s="5" t="n">
        <v>300</v>
      </c>
      <c r="F587" t="inlineStr">
        <is>
          <t>Поступление</t>
        </is>
      </c>
      <c r="H587">
        <f>VLOOKUP(C587,Магазин!$A$2:$C$1000,2,0)</f>
        <v/>
      </c>
      <c r="I587">
        <f>VLOOKUP(D587,Товар!$A$2:$F$1000,3,0)</f>
        <v/>
      </c>
      <c r="J587">
        <f>VLOOKUP(D587,Товар!$A$2:$F$1000,5,0)</f>
        <v/>
      </c>
      <c r="K587">
        <f>IF(AND(H587="Промышленный",LEFT(I587,18)="Порошок стиральный",F587="Продажа",B587=DATE(2023,6,7)),E587*J587/1000,0)</f>
        <v/>
      </c>
    </row>
    <row r="588">
      <c r="A588" t="n">
        <v>587</v>
      </c>
      <c r="B588" s="1" t="n">
        <v>45079</v>
      </c>
      <c r="C588" s="5" t="inlineStr">
        <is>
          <t>M18</t>
        </is>
      </c>
      <c r="D588" s="5" t="n">
        <v>47</v>
      </c>
      <c r="E588" s="5" t="n">
        <v>300</v>
      </c>
      <c r="F588" t="inlineStr">
        <is>
          <t>Поступление</t>
        </is>
      </c>
      <c r="H588">
        <f>VLOOKUP(C588,Магазин!$A$2:$C$1000,2,0)</f>
        <v/>
      </c>
      <c r="I588">
        <f>VLOOKUP(D588,Товар!$A$2:$F$1000,3,0)</f>
        <v/>
      </c>
      <c r="J588">
        <f>VLOOKUP(D588,Товар!$A$2:$F$1000,5,0)</f>
        <v/>
      </c>
      <c r="K588">
        <f>IF(AND(H588="Промышленный",LEFT(I588,18)="Порошок стиральный",F588="Продажа",B588=DATE(2023,6,7)),E588*J588/1000,0)</f>
        <v/>
      </c>
    </row>
    <row r="589">
      <c r="A589" t="n">
        <v>588</v>
      </c>
      <c r="B589" s="1" t="n">
        <v>45079</v>
      </c>
      <c r="C589" s="5" t="inlineStr">
        <is>
          <t>M18</t>
        </is>
      </c>
      <c r="D589" s="5" t="n">
        <v>48</v>
      </c>
      <c r="E589" s="5" t="n">
        <v>300</v>
      </c>
      <c r="F589" t="inlineStr">
        <is>
          <t>Поступление</t>
        </is>
      </c>
      <c r="H589">
        <f>VLOOKUP(C589,Магазин!$A$2:$C$1000,2,0)</f>
        <v/>
      </c>
      <c r="I589">
        <f>VLOOKUP(D589,Товар!$A$2:$F$1000,3,0)</f>
        <v/>
      </c>
      <c r="J589">
        <f>VLOOKUP(D589,Товар!$A$2:$F$1000,5,0)</f>
        <v/>
      </c>
      <c r="K589">
        <f>IF(AND(H589="Промышленный",LEFT(I589,18)="Порошок стиральный",F589="Продажа",B589=DATE(2023,6,7)),E589*J589/1000,0)</f>
        <v/>
      </c>
    </row>
    <row r="590">
      <c r="A590" t="n">
        <v>589</v>
      </c>
      <c r="B590" s="1" t="n">
        <v>45079</v>
      </c>
      <c r="C590" s="5" t="inlineStr">
        <is>
          <t>M18</t>
        </is>
      </c>
      <c r="D590" s="5" t="n">
        <v>49</v>
      </c>
      <c r="E590" s="5" t="n">
        <v>300</v>
      </c>
      <c r="F590" t="inlineStr">
        <is>
          <t>Поступление</t>
        </is>
      </c>
      <c r="H590">
        <f>VLOOKUP(C590,Магазин!$A$2:$C$1000,2,0)</f>
        <v/>
      </c>
      <c r="I590">
        <f>VLOOKUP(D590,Товар!$A$2:$F$1000,3,0)</f>
        <v/>
      </c>
      <c r="J590">
        <f>VLOOKUP(D590,Товар!$A$2:$F$1000,5,0)</f>
        <v/>
      </c>
      <c r="K590">
        <f>IF(AND(H590="Промышленный",LEFT(I590,18)="Порошок стиральный",F590="Продажа",B590=DATE(2023,6,7)),E590*J590/1000,0)</f>
        <v/>
      </c>
    </row>
    <row r="591">
      <c r="A591" t="n">
        <v>590</v>
      </c>
      <c r="B591" s="1" t="n">
        <v>45079</v>
      </c>
      <c r="C591" s="5" t="inlineStr">
        <is>
          <t>M18</t>
        </is>
      </c>
      <c r="D591" s="5" t="n">
        <v>50</v>
      </c>
      <c r="E591" s="5" t="n">
        <v>300</v>
      </c>
      <c r="F591" t="inlineStr">
        <is>
          <t>Поступление</t>
        </is>
      </c>
      <c r="H591">
        <f>VLOOKUP(C591,Магазин!$A$2:$C$1000,2,0)</f>
        <v/>
      </c>
      <c r="I591">
        <f>VLOOKUP(D591,Товар!$A$2:$F$1000,3,0)</f>
        <v/>
      </c>
      <c r="J591">
        <f>VLOOKUP(D591,Товар!$A$2:$F$1000,5,0)</f>
        <v/>
      </c>
      <c r="K591">
        <f>IF(AND(H591="Промышленный",LEFT(I591,18)="Порошок стиральный",F591="Продажа",B591=DATE(2023,6,7)),E591*J591/1000,0)</f>
        <v/>
      </c>
    </row>
    <row r="592">
      <c r="A592" t="n">
        <v>591</v>
      </c>
      <c r="B592" s="1" t="n">
        <v>45079</v>
      </c>
      <c r="C592" s="5" t="inlineStr">
        <is>
          <t>M18</t>
        </is>
      </c>
      <c r="D592" s="5" t="n">
        <v>51</v>
      </c>
      <c r="E592" s="5" t="n">
        <v>300</v>
      </c>
      <c r="F592" t="inlineStr">
        <is>
          <t>Поступление</t>
        </is>
      </c>
      <c r="H592">
        <f>VLOOKUP(C592,Магазин!$A$2:$C$1000,2,0)</f>
        <v/>
      </c>
      <c r="I592">
        <f>VLOOKUP(D592,Товар!$A$2:$F$1000,3,0)</f>
        <v/>
      </c>
      <c r="J592">
        <f>VLOOKUP(D592,Товар!$A$2:$F$1000,5,0)</f>
        <v/>
      </c>
      <c r="K592">
        <f>IF(AND(H592="Промышленный",LEFT(I592,18)="Порошок стиральный",F592="Продажа",B592=DATE(2023,6,7)),E592*J592/1000,0)</f>
        <v/>
      </c>
    </row>
    <row r="593">
      <c r="A593" t="n">
        <v>592</v>
      </c>
      <c r="B593" s="1" t="n">
        <v>45079</v>
      </c>
      <c r="C593" s="5" t="inlineStr">
        <is>
          <t>M18</t>
        </is>
      </c>
      <c r="D593" s="5" t="n">
        <v>52</v>
      </c>
      <c r="E593" s="5" t="n">
        <v>300</v>
      </c>
      <c r="F593" t="inlineStr">
        <is>
          <t>Поступление</t>
        </is>
      </c>
      <c r="H593">
        <f>VLOOKUP(C593,Магазин!$A$2:$C$1000,2,0)</f>
        <v/>
      </c>
      <c r="I593">
        <f>VLOOKUP(D593,Товар!$A$2:$F$1000,3,0)</f>
        <v/>
      </c>
      <c r="J593">
        <f>VLOOKUP(D593,Товар!$A$2:$F$1000,5,0)</f>
        <v/>
      </c>
      <c r="K593">
        <f>IF(AND(H593="Промышленный",LEFT(I593,18)="Порошок стиральный",F593="Продажа",B593=DATE(2023,6,7)),E593*J593/1000,0)</f>
        <v/>
      </c>
    </row>
    <row r="594">
      <c r="A594" t="n">
        <v>593</v>
      </c>
      <c r="B594" s="1" t="n">
        <v>45079</v>
      </c>
      <c r="C594" s="5" t="inlineStr">
        <is>
          <t>M18</t>
        </is>
      </c>
      <c r="D594" s="5" t="n">
        <v>53</v>
      </c>
      <c r="E594" s="5" t="n">
        <v>300</v>
      </c>
      <c r="F594" t="inlineStr">
        <is>
          <t>Поступление</t>
        </is>
      </c>
      <c r="H594">
        <f>VLOOKUP(C594,Магазин!$A$2:$C$1000,2,0)</f>
        <v/>
      </c>
      <c r="I594">
        <f>VLOOKUP(D594,Товар!$A$2:$F$1000,3,0)</f>
        <v/>
      </c>
      <c r="J594">
        <f>VLOOKUP(D594,Товар!$A$2:$F$1000,5,0)</f>
        <v/>
      </c>
      <c r="K594">
        <f>IF(AND(H594="Промышленный",LEFT(I594,18)="Порошок стиральный",F594="Продажа",B594=DATE(2023,6,7)),E594*J594/1000,0)</f>
        <v/>
      </c>
    </row>
    <row r="595">
      <c r="A595" t="n">
        <v>594</v>
      </c>
      <c r="B595" s="1" t="n">
        <v>45079</v>
      </c>
      <c r="C595" s="5" t="inlineStr">
        <is>
          <t>M18</t>
        </is>
      </c>
      <c r="D595" s="5" t="n">
        <v>54</v>
      </c>
      <c r="E595" s="5" t="n">
        <v>300</v>
      </c>
      <c r="F595" t="inlineStr">
        <is>
          <t>Поступление</t>
        </is>
      </c>
      <c r="H595">
        <f>VLOOKUP(C595,Магазин!$A$2:$C$1000,2,0)</f>
        <v/>
      </c>
      <c r="I595">
        <f>VLOOKUP(D595,Товар!$A$2:$F$1000,3,0)</f>
        <v/>
      </c>
      <c r="J595">
        <f>VLOOKUP(D595,Товар!$A$2:$F$1000,5,0)</f>
        <v/>
      </c>
      <c r="K595">
        <f>IF(AND(H595="Промышленный",LEFT(I595,18)="Порошок стиральный",F595="Продажа",B595=DATE(2023,6,7)),E595*J595/1000,0)</f>
        <v/>
      </c>
    </row>
    <row r="596">
      <c r="A596" t="n">
        <v>595</v>
      </c>
      <c r="B596" s="1" t="n">
        <v>45079</v>
      </c>
      <c r="C596" s="5" t="inlineStr">
        <is>
          <t>M18</t>
        </is>
      </c>
      <c r="D596" s="5" t="n">
        <v>55</v>
      </c>
      <c r="E596" s="5" t="n">
        <v>300</v>
      </c>
      <c r="F596" t="inlineStr">
        <is>
          <t>Поступление</t>
        </is>
      </c>
      <c r="H596">
        <f>VLOOKUP(C596,Магазин!$A$2:$C$1000,2,0)</f>
        <v/>
      </c>
      <c r="I596">
        <f>VLOOKUP(D596,Товар!$A$2:$F$1000,3,0)</f>
        <v/>
      </c>
      <c r="J596">
        <f>VLOOKUP(D596,Товар!$A$2:$F$1000,5,0)</f>
        <v/>
      </c>
      <c r="K596">
        <f>IF(AND(H596="Промышленный",LEFT(I596,18)="Порошок стиральный",F596="Продажа",B596=DATE(2023,6,7)),E596*J596/1000,0)</f>
        <v/>
      </c>
    </row>
    <row r="597">
      <c r="A597" t="n">
        <v>596</v>
      </c>
      <c r="B597" s="1" t="n">
        <v>45079</v>
      </c>
      <c r="C597" s="5" t="inlineStr">
        <is>
          <t>M18</t>
        </is>
      </c>
      <c r="D597" s="5" t="n">
        <v>56</v>
      </c>
      <c r="E597" s="5" t="n">
        <v>300</v>
      </c>
      <c r="F597" t="inlineStr">
        <is>
          <t>Поступление</t>
        </is>
      </c>
      <c r="H597">
        <f>VLOOKUP(C597,Магазин!$A$2:$C$1000,2,0)</f>
        <v/>
      </c>
      <c r="I597">
        <f>VLOOKUP(D597,Товар!$A$2:$F$1000,3,0)</f>
        <v/>
      </c>
      <c r="J597">
        <f>VLOOKUP(D597,Товар!$A$2:$F$1000,5,0)</f>
        <v/>
      </c>
      <c r="K597">
        <f>IF(AND(H597="Промышленный",LEFT(I597,18)="Порошок стиральный",F597="Продажа",B597=DATE(2023,6,7)),E597*J597/1000,0)</f>
        <v/>
      </c>
    </row>
    <row r="598">
      <c r="A598" t="n">
        <v>597</v>
      </c>
      <c r="B598" s="1" t="n">
        <v>45079</v>
      </c>
      <c r="C598" s="5" t="inlineStr">
        <is>
          <t>M18</t>
        </is>
      </c>
      <c r="D598" s="5" t="n">
        <v>57</v>
      </c>
      <c r="E598" s="5" t="n">
        <v>300</v>
      </c>
      <c r="F598" t="inlineStr">
        <is>
          <t>Поступление</t>
        </is>
      </c>
      <c r="H598">
        <f>VLOOKUP(C598,Магазин!$A$2:$C$1000,2,0)</f>
        <v/>
      </c>
      <c r="I598">
        <f>VLOOKUP(D598,Товар!$A$2:$F$1000,3,0)</f>
        <v/>
      </c>
      <c r="J598">
        <f>VLOOKUP(D598,Товар!$A$2:$F$1000,5,0)</f>
        <v/>
      </c>
      <c r="K598">
        <f>IF(AND(H598="Промышленный",LEFT(I598,18)="Порошок стиральный",F598="Продажа",B598=DATE(2023,6,7)),E598*J598/1000,0)</f>
        <v/>
      </c>
    </row>
    <row r="599">
      <c r="A599" t="n">
        <v>598</v>
      </c>
      <c r="B599" s="1" t="n">
        <v>45079</v>
      </c>
      <c r="C599" s="5" t="inlineStr">
        <is>
          <t>M18</t>
        </is>
      </c>
      <c r="D599" s="5" t="n">
        <v>58</v>
      </c>
      <c r="E599" s="5" t="n">
        <v>300</v>
      </c>
      <c r="F599" t="inlineStr">
        <is>
          <t>Поступление</t>
        </is>
      </c>
      <c r="H599">
        <f>VLOOKUP(C599,Магазин!$A$2:$C$1000,2,0)</f>
        <v/>
      </c>
      <c r="I599">
        <f>VLOOKUP(D599,Товар!$A$2:$F$1000,3,0)</f>
        <v/>
      </c>
      <c r="J599">
        <f>VLOOKUP(D599,Товар!$A$2:$F$1000,5,0)</f>
        <v/>
      </c>
      <c r="K599">
        <f>IF(AND(H599="Промышленный",LEFT(I599,18)="Порошок стиральный",F599="Продажа",B599=DATE(2023,6,7)),E599*J599/1000,0)</f>
        <v/>
      </c>
    </row>
    <row r="600">
      <c r="A600" t="n">
        <v>599</v>
      </c>
      <c r="B600" s="1" t="n">
        <v>45079</v>
      </c>
      <c r="C600" s="5" t="inlineStr">
        <is>
          <t>M18</t>
        </is>
      </c>
      <c r="D600" s="5" t="n">
        <v>59</v>
      </c>
      <c r="E600" s="5" t="n">
        <v>300</v>
      </c>
      <c r="F600" t="inlineStr">
        <is>
          <t>Поступление</t>
        </is>
      </c>
      <c r="H600">
        <f>VLOOKUP(C600,Магазин!$A$2:$C$1000,2,0)</f>
        <v/>
      </c>
      <c r="I600">
        <f>VLOOKUP(D600,Товар!$A$2:$F$1000,3,0)</f>
        <v/>
      </c>
      <c r="J600">
        <f>VLOOKUP(D600,Товар!$A$2:$F$1000,5,0)</f>
        <v/>
      </c>
      <c r="K600">
        <f>IF(AND(H600="Промышленный",LEFT(I600,18)="Порошок стиральный",F600="Продажа",B600=DATE(2023,6,7)),E600*J600/1000,0)</f>
        <v/>
      </c>
    </row>
    <row r="601">
      <c r="A601" t="n">
        <v>600</v>
      </c>
      <c r="B601" s="1" t="n">
        <v>45079</v>
      </c>
      <c r="C601" s="5" t="inlineStr">
        <is>
          <t>M18</t>
        </is>
      </c>
      <c r="D601" s="5" t="n">
        <v>60</v>
      </c>
      <c r="E601" s="5" t="n">
        <v>300</v>
      </c>
      <c r="F601" t="inlineStr">
        <is>
          <t>Поступление</t>
        </is>
      </c>
      <c r="H601">
        <f>VLOOKUP(C601,Магазин!$A$2:$C$1000,2,0)</f>
        <v/>
      </c>
      <c r="I601">
        <f>VLOOKUP(D601,Товар!$A$2:$F$1000,3,0)</f>
        <v/>
      </c>
      <c r="J601">
        <f>VLOOKUP(D601,Товар!$A$2:$F$1000,5,0)</f>
        <v/>
      </c>
      <c r="K601">
        <f>IF(AND(H601="Промышленный",LEFT(I601,18)="Порошок стиральный",F601="Продажа",B601=DATE(2023,6,7)),E601*J601/1000,0)</f>
        <v/>
      </c>
    </row>
    <row r="602">
      <c r="A602" t="n">
        <v>601</v>
      </c>
      <c r="B602" s="1" t="n">
        <v>45079</v>
      </c>
      <c r="C602" s="5" t="inlineStr">
        <is>
          <t>M2</t>
        </is>
      </c>
      <c r="D602" s="5" t="n">
        <v>1</v>
      </c>
      <c r="E602" s="5" t="n">
        <v>300</v>
      </c>
      <c r="F602" t="inlineStr">
        <is>
          <t>Поступление</t>
        </is>
      </c>
      <c r="H602">
        <f>VLOOKUP(C602,Магазин!$A$2:$C$1000,2,0)</f>
        <v/>
      </c>
      <c r="I602">
        <f>VLOOKUP(D602,Товар!$A$2:$F$1000,3,0)</f>
        <v/>
      </c>
      <c r="J602">
        <f>VLOOKUP(D602,Товар!$A$2:$F$1000,5,0)</f>
        <v/>
      </c>
      <c r="K602">
        <f>IF(AND(H602="Промышленный",LEFT(I602,18)="Порошок стиральный",F602="Продажа",B602=DATE(2023,6,7)),E602*J602/1000,0)</f>
        <v/>
      </c>
    </row>
    <row r="603">
      <c r="A603" t="n">
        <v>602</v>
      </c>
      <c r="B603" s="1" t="n">
        <v>45079</v>
      </c>
      <c r="C603" s="5" t="inlineStr">
        <is>
          <t>M2</t>
        </is>
      </c>
      <c r="D603" s="5" t="n">
        <v>2</v>
      </c>
      <c r="E603" s="5" t="n">
        <v>300</v>
      </c>
      <c r="F603" t="inlineStr">
        <is>
          <t>Поступление</t>
        </is>
      </c>
      <c r="H603">
        <f>VLOOKUP(C603,Магазин!$A$2:$C$1000,2,0)</f>
        <v/>
      </c>
      <c r="I603">
        <f>VLOOKUP(D603,Товар!$A$2:$F$1000,3,0)</f>
        <v/>
      </c>
      <c r="J603">
        <f>VLOOKUP(D603,Товар!$A$2:$F$1000,5,0)</f>
        <v/>
      </c>
      <c r="K603">
        <f>IF(AND(H603="Промышленный",LEFT(I603,18)="Порошок стиральный",F603="Продажа",B603=DATE(2023,6,7)),E603*J603/1000,0)</f>
        <v/>
      </c>
    </row>
    <row r="604">
      <c r="A604" t="n">
        <v>603</v>
      </c>
      <c r="B604" s="1" t="n">
        <v>45079</v>
      </c>
      <c r="C604" s="5" t="inlineStr">
        <is>
          <t>M2</t>
        </is>
      </c>
      <c r="D604" s="5" t="n">
        <v>3</v>
      </c>
      <c r="E604" s="5" t="n">
        <v>300</v>
      </c>
      <c r="F604" t="inlineStr">
        <is>
          <t>Поступление</t>
        </is>
      </c>
      <c r="H604">
        <f>VLOOKUP(C604,Магазин!$A$2:$C$1000,2,0)</f>
        <v/>
      </c>
      <c r="I604">
        <f>VLOOKUP(D604,Товар!$A$2:$F$1000,3,0)</f>
        <v/>
      </c>
      <c r="J604">
        <f>VLOOKUP(D604,Товар!$A$2:$F$1000,5,0)</f>
        <v/>
      </c>
      <c r="K604">
        <f>IF(AND(H604="Промышленный",LEFT(I604,18)="Порошок стиральный",F604="Продажа",B604=DATE(2023,6,7)),E604*J604/1000,0)</f>
        <v/>
      </c>
    </row>
    <row r="605">
      <c r="A605" t="n">
        <v>604</v>
      </c>
      <c r="B605" s="1" t="n">
        <v>45079</v>
      </c>
      <c r="C605" s="5" t="inlineStr">
        <is>
          <t>M2</t>
        </is>
      </c>
      <c r="D605" s="5" t="n">
        <v>4</v>
      </c>
      <c r="E605" s="5" t="n">
        <v>300</v>
      </c>
      <c r="F605" t="inlineStr">
        <is>
          <t>Поступление</t>
        </is>
      </c>
      <c r="H605">
        <f>VLOOKUP(C605,Магазин!$A$2:$C$1000,2,0)</f>
        <v/>
      </c>
      <c r="I605">
        <f>VLOOKUP(D605,Товар!$A$2:$F$1000,3,0)</f>
        <v/>
      </c>
      <c r="J605">
        <f>VLOOKUP(D605,Товар!$A$2:$F$1000,5,0)</f>
        <v/>
      </c>
      <c r="K605">
        <f>IF(AND(H605="Промышленный",LEFT(I605,18)="Порошок стиральный",F605="Продажа",B605=DATE(2023,6,7)),E605*J605/1000,0)</f>
        <v/>
      </c>
    </row>
    <row r="606">
      <c r="A606" t="n">
        <v>605</v>
      </c>
      <c r="B606" s="1" t="n">
        <v>45079</v>
      </c>
      <c r="C606" s="5" t="inlineStr">
        <is>
          <t>M2</t>
        </is>
      </c>
      <c r="D606" s="5" t="n">
        <v>5</v>
      </c>
      <c r="E606" s="5" t="n">
        <v>300</v>
      </c>
      <c r="F606" t="inlineStr">
        <is>
          <t>Поступление</t>
        </is>
      </c>
      <c r="H606">
        <f>VLOOKUP(C606,Магазин!$A$2:$C$1000,2,0)</f>
        <v/>
      </c>
      <c r="I606">
        <f>VLOOKUP(D606,Товар!$A$2:$F$1000,3,0)</f>
        <v/>
      </c>
      <c r="J606">
        <f>VLOOKUP(D606,Товар!$A$2:$F$1000,5,0)</f>
        <v/>
      </c>
      <c r="K606">
        <f>IF(AND(H606="Промышленный",LEFT(I606,18)="Порошок стиральный",F606="Продажа",B606=DATE(2023,6,7)),E606*J606/1000,0)</f>
        <v/>
      </c>
    </row>
    <row r="607">
      <c r="A607" t="n">
        <v>606</v>
      </c>
      <c r="B607" s="1" t="n">
        <v>45079</v>
      </c>
      <c r="C607" s="5" t="inlineStr">
        <is>
          <t>M2</t>
        </is>
      </c>
      <c r="D607" s="5" t="n">
        <v>6</v>
      </c>
      <c r="E607" s="5" t="n">
        <v>300</v>
      </c>
      <c r="F607" t="inlineStr">
        <is>
          <t>Поступление</t>
        </is>
      </c>
      <c r="H607">
        <f>VLOOKUP(C607,Магазин!$A$2:$C$1000,2,0)</f>
        <v/>
      </c>
      <c r="I607">
        <f>VLOOKUP(D607,Товар!$A$2:$F$1000,3,0)</f>
        <v/>
      </c>
      <c r="J607">
        <f>VLOOKUP(D607,Товар!$A$2:$F$1000,5,0)</f>
        <v/>
      </c>
      <c r="K607">
        <f>IF(AND(H607="Промышленный",LEFT(I607,18)="Порошок стиральный",F607="Продажа",B607=DATE(2023,6,7)),E607*J607/1000,0)</f>
        <v/>
      </c>
    </row>
    <row r="608">
      <c r="A608" t="n">
        <v>607</v>
      </c>
      <c r="B608" s="1" t="n">
        <v>45079</v>
      </c>
      <c r="C608" s="5" t="inlineStr">
        <is>
          <t>M2</t>
        </is>
      </c>
      <c r="D608" s="5" t="n">
        <v>7</v>
      </c>
      <c r="E608" s="5" t="n">
        <v>300</v>
      </c>
      <c r="F608" t="inlineStr">
        <is>
          <t>Поступление</t>
        </is>
      </c>
      <c r="H608">
        <f>VLOOKUP(C608,Магазин!$A$2:$C$1000,2,0)</f>
        <v/>
      </c>
      <c r="I608">
        <f>VLOOKUP(D608,Товар!$A$2:$F$1000,3,0)</f>
        <v/>
      </c>
      <c r="J608">
        <f>VLOOKUP(D608,Товар!$A$2:$F$1000,5,0)</f>
        <v/>
      </c>
      <c r="K608">
        <f>IF(AND(H608="Промышленный",LEFT(I608,18)="Порошок стиральный",F608="Продажа",B608=DATE(2023,6,7)),E608*J608/1000,0)</f>
        <v/>
      </c>
    </row>
    <row r="609">
      <c r="A609" t="n">
        <v>608</v>
      </c>
      <c r="B609" s="1" t="n">
        <v>45079</v>
      </c>
      <c r="C609" s="5" t="inlineStr">
        <is>
          <t>M2</t>
        </is>
      </c>
      <c r="D609" s="5" t="n">
        <v>8</v>
      </c>
      <c r="E609" s="5" t="n">
        <v>300</v>
      </c>
      <c r="F609" t="inlineStr">
        <is>
          <t>Поступление</t>
        </is>
      </c>
      <c r="H609">
        <f>VLOOKUP(C609,Магазин!$A$2:$C$1000,2,0)</f>
        <v/>
      </c>
      <c r="I609">
        <f>VLOOKUP(D609,Товар!$A$2:$F$1000,3,0)</f>
        <v/>
      </c>
      <c r="J609">
        <f>VLOOKUP(D609,Товар!$A$2:$F$1000,5,0)</f>
        <v/>
      </c>
      <c r="K609">
        <f>IF(AND(H609="Промышленный",LEFT(I609,18)="Порошок стиральный",F609="Продажа",B609=DATE(2023,6,7)),E609*J609/1000,0)</f>
        <v/>
      </c>
    </row>
    <row r="610">
      <c r="A610" t="n">
        <v>609</v>
      </c>
      <c r="B610" s="1" t="n">
        <v>45079</v>
      </c>
      <c r="C610" s="5" t="inlineStr">
        <is>
          <t>M2</t>
        </is>
      </c>
      <c r="D610" s="5" t="n">
        <v>9</v>
      </c>
      <c r="E610" s="5" t="n">
        <v>300</v>
      </c>
      <c r="F610" t="inlineStr">
        <is>
          <t>Поступление</t>
        </is>
      </c>
      <c r="H610">
        <f>VLOOKUP(C610,Магазин!$A$2:$C$1000,2,0)</f>
        <v/>
      </c>
      <c r="I610">
        <f>VLOOKUP(D610,Товар!$A$2:$F$1000,3,0)</f>
        <v/>
      </c>
      <c r="J610">
        <f>VLOOKUP(D610,Товар!$A$2:$F$1000,5,0)</f>
        <v/>
      </c>
      <c r="K610">
        <f>IF(AND(H610="Промышленный",LEFT(I610,18)="Порошок стиральный",F610="Продажа",B610=DATE(2023,6,7)),E610*J610/1000,0)</f>
        <v/>
      </c>
    </row>
    <row r="611">
      <c r="A611" t="n">
        <v>610</v>
      </c>
      <c r="B611" s="1" t="n">
        <v>45079</v>
      </c>
      <c r="C611" s="5" t="inlineStr">
        <is>
          <t>M2</t>
        </is>
      </c>
      <c r="D611" s="5" t="n">
        <v>10</v>
      </c>
      <c r="E611" s="5" t="n">
        <v>300</v>
      </c>
      <c r="F611" t="inlineStr">
        <is>
          <t>Поступление</t>
        </is>
      </c>
      <c r="H611">
        <f>VLOOKUP(C611,Магазин!$A$2:$C$1000,2,0)</f>
        <v/>
      </c>
      <c r="I611">
        <f>VLOOKUP(D611,Товар!$A$2:$F$1000,3,0)</f>
        <v/>
      </c>
      <c r="J611">
        <f>VLOOKUP(D611,Товар!$A$2:$F$1000,5,0)</f>
        <v/>
      </c>
      <c r="K611">
        <f>IF(AND(H611="Промышленный",LEFT(I611,18)="Порошок стиральный",F611="Продажа",B611=DATE(2023,6,7)),E611*J611/1000,0)</f>
        <v/>
      </c>
    </row>
    <row r="612">
      <c r="A612" t="n">
        <v>611</v>
      </c>
      <c r="B612" s="1" t="n">
        <v>45079</v>
      </c>
      <c r="C612" s="5" t="inlineStr">
        <is>
          <t>M2</t>
        </is>
      </c>
      <c r="D612" s="5" t="n">
        <v>11</v>
      </c>
      <c r="E612" s="5" t="n">
        <v>300</v>
      </c>
      <c r="F612" t="inlineStr">
        <is>
          <t>Поступление</t>
        </is>
      </c>
      <c r="H612">
        <f>VLOOKUP(C612,Магазин!$A$2:$C$1000,2,0)</f>
        <v/>
      </c>
      <c r="I612">
        <f>VLOOKUP(D612,Товар!$A$2:$F$1000,3,0)</f>
        <v/>
      </c>
      <c r="J612">
        <f>VLOOKUP(D612,Товар!$A$2:$F$1000,5,0)</f>
        <v/>
      </c>
      <c r="K612">
        <f>IF(AND(H612="Промышленный",LEFT(I612,18)="Порошок стиральный",F612="Продажа",B612=DATE(2023,6,7)),E612*J612/1000,0)</f>
        <v/>
      </c>
    </row>
    <row r="613">
      <c r="A613" t="n">
        <v>612</v>
      </c>
      <c r="B613" s="1" t="n">
        <v>45079</v>
      </c>
      <c r="C613" s="5" t="inlineStr">
        <is>
          <t>M2</t>
        </is>
      </c>
      <c r="D613" s="5" t="n">
        <v>12</v>
      </c>
      <c r="E613" s="5" t="n">
        <v>300</v>
      </c>
      <c r="F613" t="inlineStr">
        <is>
          <t>Поступление</t>
        </is>
      </c>
      <c r="H613">
        <f>VLOOKUP(C613,Магазин!$A$2:$C$1000,2,0)</f>
        <v/>
      </c>
      <c r="I613">
        <f>VLOOKUP(D613,Товар!$A$2:$F$1000,3,0)</f>
        <v/>
      </c>
      <c r="J613">
        <f>VLOOKUP(D613,Товар!$A$2:$F$1000,5,0)</f>
        <v/>
      </c>
      <c r="K613">
        <f>IF(AND(H613="Промышленный",LEFT(I613,18)="Порошок стиральный",F613="Продажа",B613=DATE(2023,6,7)),E613*J613/1000,0)</f>
        <v/>
      </c>
    </row>
    <row r="614">
      <c r="A614" t="n">
        <v>613</v>
      </c>
      <c r="B614" s="1" t="n">
        <v>45079</v>
      </c>
      <c r="C614" s="5" t="inlineStr">
        <is>
          <t>M2</t>
        </is>
      </c>
      <c r="D614" s="5" t="n">
        <v>13</v>
      </c>
      <c r="E614" s="5" t="n">
        <v>300</v>
      </c>
      <c r="F614" t="inlineStr">
        <is>
          <t>Поступление</t>
        </is>
      </c>
      <c r="H614">
        <f>VLOOKUP(C614,Магазин!$A$2:$C$1000,2,0)</f>
        <v/>
      </c>
      <c r="I614">
        <f>VLOOKUP(D614,Товар!$A$2:$F$1000,3,0)</f>
        <v/>
      </c>
      <c r="J614">
        <f>VLOOKUP(D614,Товар!$A$2:$F$1000,5,0)</f>
        <v/>
      </c>
      <c r="K614">
        <f>IF(AND(H614="Промышленный",LEFT(I614,18)="Порошок стиральный",F614="Продажа",B614=DATE(2023,6,7)),E614*J614/1000,0)</f>
        <v/>
      </c>
    </row>
    <row r="615">
      <c r="A615" t="n">
        <v>614</v>
      </c>
      <c r="B615" s="1" t="n">
        <v>45079</v>
      </c>
      <c r="C615" s="5" t="inlineStr">
        <is>
          <t>M2</t>
        </is>
      </c>
      <c r="D615" s="5" t="n">
        <v>14</v>
      </c>
      <c r="E615" s="5" t="n">
        <v>300</v>
      </c>
      <c r="F615" t="inlineStr">
        <is>
          <t>Поступление</t>
        </is>
      </c>
      <c r="H615">
        <f>VLOOKUP(C615,Магазин!$A$2:$C$1000,2,0)</f>
        <v/>
      </c>
      <c r="I615">
        <f>VLOOKUP(D615,Товар!$A$2:$F$1000,3,0)</f>
        <v/>
      </c>
      <c r="J615">
        <f>VLOOKUP(D615,Товар!$A$2:$F$1000,5,0)</f>
        <v/>
      </c>
      <c r="K615">
        <f>IF(AND(H615="Промышленный",LEFT(I615,18)="Порошок стиральный",F615="Продажа",B615=DATE(2023,6,7)),E615*J615/1000,0)</f>
        <v/>
      </c>
    </row>
    <row r="616">
      <c r="A616" t="n">
        <v>615</v>
      </c>
      <c r="B616" s="1" t="n">
        <v>45079</v>
      </c>
      <c r="C616" s="5" t="inlineStr">
        <is>
          <t>M2</t>
        </is>
      </c>
      <c r="D616" s="5" t="n">
        <v>15</v>
      </c>
      <c r="E616" s="5" t="n">
        <v>300</v>
      </c>
      <c r="F616" t="inlineStr">
        <is>
          <t>Поступление</t>
        </is>
      </c>
      <c r="H616">
        <f>VLOOKUP(C616,Магазин!$A$2:$C$1000,2,0)</f>
        <v/>
      </c>
      <c r="I616">
        <f>VLOOKUP(D616,Товар!$A$2:$F$1000,3,0)</f>
        <v/>
      </c>
      <c r="J616">
        <f>VLOOKUP(D616,Товар!$A$2:$F$1000,5,0)</f>
        <v/>
      </c>
      <c r="K616">
        <f>IF(AND(H616="Промышленный",LEFT(I616,18)="Порошок стиральный",F616="Продажа",B616=DATE(2023,6,7)),E616*J616/1000,0)</f>
        <v/>
      </c>
    </row>
    <row r="617">
      <c r="A617" t="n">
        <v>616</v>
      </c>
      <c r="B617" s="1" t="n">
        <v>45079</v>
      </c>
      <c r="C617" s="5" t="inlineStr">
        <is>
          <t>M2</t>
        </is>
      </c>
      <c r="D617" s="5" t="n">
        <v>16</v>
      </c>
      <c r="E617" s="5" t="n">
        <v>300</v>
      </c>
      <c r="F617" t="inlineStr">
        <is>
          <t>Поступление</t>
        </is>
      </c>
      <c r="H617">
        <f>VLOOKUP(C617,Магазин!$A$2:$C$1000,2,0)</f>
        <v/>
      </c>
      <c r="I617">
        <f>VLOOKUP(D617,Товар!$A$2:$F$1000,3,0)</f>
        <v/>
      </c>
      <c r="J617">
        <f>VLOOKUP(D617,Товар!$A$2:$F$1000,5,0)</f>
        <v/>
      </c>
      <c r="K617">
        <f>IF(AND(H617="Промышленный",LEFT(I617,18)="Порошок стиральный",F617="Продажа",B617=DATE(2023,6,7)),E617*J617/1000,0)</f>
        <v/>
      </c>
    </row>
    <row r="618">
      <c r="A618" t="n">
        <v>617</v>
      </c>
      <c r="B618" s="1" t="n">
        <v>45079</v>
      </c>
      <c r="C618" s="5" t="inlineStr">
        <is>
          <t>M2</t>
        </is>
      </c>
      <c r="D618" s="5" t="n">
        <v>17</v>
      </c>
      <c r="E618" s="5" t="n">
        <v>300</v>
      </c>
      <c r="F618" t="inlineStr">
        <is>
          <t>Поступление</t>
        </is>
      </c>
      <c r="H618">
        <f>VLOOKUP(C618,Магазин!$A$2:$C$1000,2,0)</f>
        <v/>
      </c>
      <c r="I618">
        <f>VLOOKUP(D618,Товар!$A$2:$F$1000,3,0)</f>
        <v/>
      </c>
      <c r="J618">
        <f>VLOOKUP(D618,Товар!$A$2:$F$1000,5,0)</f>
        <v/>
      </c>
      <c r="K618">
        <f>IF(AND(H618="Промышленный",LEFT(I618,18)="Порошок стиральный",F618="Продажа",B618=DATE(2023,6,7)),E618*J618/1000,0)</f>
        <v/>
      </c>
    </row>
    <row r="619">
      <c r="A619" t="n">
        <v>618</v>
      </c>
      <c r="B619" s="1" t="n">
        <v>45079</v>
      </c>
      <c r="C619" s="5" t="inlineStr">
        <is>
          <t>M2</t>
        </is>
      </c>
      <c r="D619" s="5" t="n">
        <v>18</v>
      </c>
      <c r="E619" s="5" t="n">
        <v>300</v>
      </c>
      <c r="F619" t="inlineStr">
        <is>
          <t>Поступление</t>
        </is>
      </c>
      <c r="H619">
        <f>VLOOKUP(C619,Магазин!$A$2:$C$1000,2,0)</f>
        <v/>
      </c>
      <c r="I619">
        <f>VLOOKUP(D619,Товар!$A$2:$F$1000,3,0)</f>
        <v/>
      </c>
      <c r="J619">
        <f>VLOOKUP(D619,Товар!$A$2:$F$1000,5,0)</f>
        <v/>
      </c>
      <c r="K619">
        <f>IF(AND(H619="Промышленный",LEFT(I619,18)="Порошок стиральный",F619="Продажа",B619=DATE(2023,6,7)),E619*J619/1000,0)</f>
        <v/>
      </c>
    </row>
    <row r="620">
      <c r="A620" t="n">
        <v>619</v>
      </c>
      <c r="B620" s="1" t="n">
        <v>45079</v>
      </c>
      <c r="C620" s="5" t="inlineStr">
        <is>
          <t>M2</t>
        </is>
      </c>
      <c r="D620" s="5" t="n">
        <v>19</v>
      </c>
      <c r="E620" s="5" t="n">
        <v>300</v>
      </c>
      <c r="F620" t="inlineStr">
        <is>
          <t>Поступление</t>
        </is>
      </c>
      <c r="H620">
        <f>VLOOKUP(C620,Магазин!$A$2:$C$1000,2,0)</f>
        <v/>
      </c>
      <c r="I620">
        <f>VLOOKUP(D620,Товар!$A$2:$F$1000,3,0)</f>
        <v/>
      </c>
      <c r="J620">
        <f>VLOOKUP(D620,Товар!$A$2:$F$1000,5,0)</f>
        <v/>
      </c>
      <c r="K620">
        <f>IF(AND(H620="Промышленный",LEFT(I620,18)="Порошок стиральный",F620="Продажа",B620=DATE(2023,6,7)),E620*J620/1000,0)</f>
        <v/>
      </c>
    </row>
    <row r="621">
      <c r="A621" t="n">
        <v>620</v>
      </c>
      <c r="B621" s="1" t="n">
        <v>45079</v>
      </c>
      <c r="C621" s="5" t="inlineStr">
        <is>
          <t>M2</t>
        </is>
      </c>
      <c r="D621" s="5" t="n">
        <v>20</v>
      </c>
      <c r="E621" s="5" t="n">
        <v>300</v>
      </c>
      <c r="F621" t="inlineStr">
        <is>
          <t>Поступление</t>
        </is>
      </c>
      <c r="H621">
        <f>VLOOKUP(C621,Магазин!$A$2:$C$1000,2,0)</f>
        <v/>
      </c>
      <c r="I621">
        <f>VLOOKUP(D621,Товар!$A$2:$F$1000,3,0)</f>
        <v/>
      </c>
      <c r="J621">
        <f>VLOOKUP(D621,Товар!$A$2:$F$1000,5,0)</f>
        <v/>
      </c>
      <c r="K621">
        <f>IF(AND(H621="Промышленный",LEFT(I621,18)="Порошок стиральный",F621="Продажа",B621=DATE(2023,6,7)),E621*J621/1000,0)</f>
        <v/>
      </c>
    </row>
    <row r="622">
      <c r="A622" t="n">
        <v>621</v>
      </c>
      <c r="B622" s="1" t="n">
        <v>45079</v>
      </c>
      <c r="C622" s="5" t="inlineStr">
        <is>
          <t>M2</t>
        </is>
      </c>
      <c r="D622" s="5" t="n">
        <v>21</v>
      </c>
      <c r="E622" s="5" t="n">
        <v>300</v>
      </c>
      <c r="F622" t="inlineStr">
        <is>
          <t>Поступление</t>
        </is>
      </c>
      <c r="H622">
        <f>VLOOKUP(C622,Магазин!$A$2:$C$1000,2,0)</f>
        <v/>
      </c>
      <c r="I622">
        <f>VLOOKUP(D622,Товар!$A$2:$F$1000,3,0)</f>
        <v/>
      </c>
      <c r="J622">
        <f>VLOOKUP(D622,Товар!$A$2:$F$1000,5,0)</f>
        <v/>
      </c>
      <c r="K622">
        <f>IF(AND(H622="Промышленный",LEFT(I622,18)="Порошок стиральный",F622="Продажа",B622=DATE(2023,6,7)),E622*J622/1000,0)</f>
        <v/>
      </c>
    </row>
    <row r="623">
      <c r="A623" t="n">
        <v>622</v>
      </c>
      <c r="B623" s="1" t="n">
        <v>45079</v>
      </c>
      <c r="C623" s="5" t="inlineStr">
        <is>
          <t>M2</t>
        </is>
      </c>
      <c r="D623" s="5" t="n">
        <v>22</v>
      </c>
      <c r="E623" s="5" t="n">
        <v>300</v>
      </c>
      <c r="F623" t="inlineStr">
        <is>
          <t>Поступление</t>
        </is>
      </c>
      <c r="H623">
        <f>VLOOKUP(C623,Магазин!$A$2:$C$1000,2,0)</f>
        <v/>
      </c>
      <c r="I623">
        <f>VLOOKUP(D623,Товар!$A$2:$F$1000,3,0)</f>
        <v/>
      </c>
      <c r="J623">
        <f>VLOOKUP(D623,Товар!$A$2:$F$1000,5,0)</f>
        <v/>
      </c>
      <c r="K623">
        <f>IF(AND(H623="Промышленный",LEFT(I623,18)="Порошок стиральный",F623="Продажа",B623=DATE(2023,6,7)),E623*J623/1000,0)</f>
        <v/>
      </c>
    </row>
    <row r="624">
      <c r="A624" t="n">
        <v>623</v>
      </c>
      <c r="B624" s="1" t="n">
        <v>45079</v>
      </c>
      <c r="C624" s="5" t="inlineStr">
        <is>
          <t>M2</t>
        </is>
      </c>
      <c r="D624" s="5" t="n">
        <v>23</v>
      </c>
      <c r="E624" s="5" t="n">
        <v>300</v>
      </c>
      <c r="F624" t="inlineStr">
        <is>
          <t>Поступление</t>
        </is>
      </c>
      <c r="H624">
        <f>VLOOKUP(C624,Магазин!$A$2:$C$1000,2,0)</f>
        <v/>
      </c>
      <c r="I624">
        <f>VLOOKUP(D624,Товар!$A$2:$F$1000,3,0)</f>
        <v/>
      </c>
      <c r="J624">
        <f>VLOOKUP(D624,Товар!$A$2:$F$1000,5,0)</f>
        <v/>
      </c>
      <c r="K624">
        <f>IF(AND(H624="Промышленный",LEFT(I624,18)="Порошок стиральный",F624="Продажа",B624=DATE(2023,6,7)),E624*J624/1000,0)</f>
        <v/>
      </c>
    </row>
    <row r="625">
      <c r="A625" t="n">
        <v>624</v>
      </c>
      <c r="B625" s="1" t="n">
        <v>45079</v>
      </c>
      <c r="C625" s="5" t="inlineStr">
        <is>
          <t>M2</t>
        </is>
      </c>
      <c r="D625" s="5" t="n">
        <v>24</v>
      </c>
      <c r="E625" s="5" t="n">
        <v>300</v>
      </c>
      <c r="F625" t="inlineStr">
        <is>
          <t>Поступление</t>
        </is>
      </c>
      <c r="H625">
        <f>VLOOKUP(C625,Магазин!$A$2:$C$1000,2,0)</f>
        <v/>
      </c>
      <c r="I625">
        <f>VLOOKUP(D625,Товар!$A$2:$F$1000,3,0)</f>
        <v/>
      </c>
      <c r="J625">
        <f>VLOOKUP(D625,Товар!$A$2:$F$1000,5,0)</f>
        <v/>
      </c>
      <c r="K625">
        <f>IF(AND(H625="Промышленный",LEFT(I625,18)="Порошок стиральный",F625="Продажа",B625=DATE(2023,6,7)),E625*J625/1000,0)</f>
        <v/>
      </c>
    </row>
    <row r="626">
      <c r="A626" t="n">
        <v>625</v>
      </c>
      <c r="B626" s="1" t="n">
        <v>45079</v>
      </c>
      <c r="C626" s="5" t="inlineStr">
        <is>
          <t>M2</t>
        </is>
      </c>
      <c r="D626" s="5" t="n">
        <v>25</v>
      </c>
      <c r="E626" s="5" t="n">
        <v>300</v>
      </c>
      <c r="F626" t="inlineStr">
        <is>
          <t>Поступление</t>
        </is>
      </c>
      <c r="H626">
        <f>VLOOKUP(C626,Магазин!$A$2:$C$1000,2,0)</f>
        <v/>
      </c>
      <c r="I626">
        <f>VLOOKUP(D626,Товар!$A$2:$F$1000,3,0)</f>
        <v/>
      </c>
      <c r="J626">
        <f>VLOOKUP(D626,Товар!$A$2:$F$1000,5,0)</f>
        <v/>
      </c>
      <c r="K626">
        <f>IF(AND(H626="Промышленный",LEFT(I626,18)="Порошок стиральный",F626="Продажа",B626=DATE(2023,6,7)),E626*J626/1000,0)</f>
        <v/>
      </c>
    </row>
    <row r="627">
      <c r="A627" t="n">
        <v>626</v>
      </c>
      <c r="B627" s="1" t="n">
        <v>45079</v>
      </c>
      <c r="C627" s="5" t="inlineStr">
        <is>
          <t>M2</t>
        </is>
      </c>
      <c r="D627" s="5" t="n">
        <v>26</v>
      </c>
      <c r="E627" s="5" t="n">
        <v>300</v>
      </c>
      <c r="F627" t="inlineStr">
        <is>
          <t>Поступление</t>
        </is>
      </c>
      <c r="H627">
        <f>VLOOKUP(C627,Магазин!$A$2:$C$1000,2,0)</f>
        <v/>
      </c>
      <c r="I627">
        <f>VLOOKUP(D627,Товар!$A$2:$F$1000,3,0)</f>
        <v/>
      </c>
      <c r="J627">
        <f>VLOOKUP(D627,Товар!$A$2:$F$1000,5,0)</f>
        <v/>
      </c>
      <c r="K627">
        <f>IF(AND(H627="Промышленный",LEFT(I627,18)="Порошок стиральный",F627="Продажа",B627=DATE(2023,6,7)),E627*J627/1000,0)</f>
        <v/>
      </c>
    </row>
    <row r="628">
      <c r="A628" t="n">
        <v>627</v>
      </c>
      <c r="B628" s="1" t="n">
        <v>45079</v>
      </c>
      <c r="C628" s="5" t="inlineStr">
        <is>
          <t>M2</t>
        </is>
      </c>
      <c r="D628" s="5" t="n">
        <v>27</v>
      </c>
      <c r="E628" s="5" t="n">
        <v>300</v>
      </c>
      <c r="F628" t="inlineStr">
        <is>
          <t>Поступление</t>
        </is>
      </c>
      <c r="H628">
        <f>VLOOKUP(C628,Магазин!$A$2:$C$1000,2,0)</f>
        <v/>
      </c>
      <c r="I628">
        <f>VLOOKUP(D628,Товар!$A$2:$F$1000,3,0)</f>
        <v/>
      </c>
      <c r="J628">
        <f>VLOOKUP(D628,Товар!$A$2:$F$1000,5,0)</f>
        <v/>
      </c>
      <c r="K628">
        <f>IF(AND(H628="Промышленный",LEFT(I628,18)="Порошок стиральный",F628="Продажа",B628=DATE(2023,6,7)),E628*J628/1000,0)</f>
        <v/>
      </c>
    </row>
    <row r="629">
      <c r="A629" t="n">
        <v>628</v>
      </c>
      <c r="B629" s="1" t="n">
        <v>45079</v>
      </c>
      <c r="C629" s="5" t="inlineStr">
        <is>
          <t>M2</t>
        </is>
      </c>
      <c r="D629" s="5" t="n">
        <v>28</v>
      </c>
      <c r="E629" s="5" t="n">
        <v>300</v>
      </c>
      <c r="F629" t="inlineStr">
        <is>
          <t>Поступление</t>
        </is>
      </c>
      <c r="H629">
        <f>VLOOKUP(C629,Магазин!$A$2:$C$1000,2,0)</f>
        <v/>
      </c>
      <c r="I629">
        <f>VLOOKUP(D629,Товар!$A$2:$F$1000,3,0)</f>
        <v/>
      </c>
      <c r="J629">
        <f>VLOOKUP(D629,Товар!$A$2:$F$1000,5,0)</f>
        <v/>
      </c>
      <c r="K629">
        <f>IF(AND(H629="Промышленный",LEFT(I629,18)="Порошок стиральный",F629="Продажа",B629=DATE(2023,6,7)),E629*J629/1000,0)</f>
        <v/>
      </c>
    </row>
    <row r="630">
      <c r="A630" t="n">
        <v>629</v>
      </c>
      <c r="B630" s="1" t="n">
        <v>45079</v>
      </c>
      <c r="C630" s="5" t="inlineStr">
        <is>
          <t>M2</t>
        </is>
      </c>
      <c r="D630" s="5" t="n">
        <v>29</v>
      </c>
      <c r="E630" s="5" t="n">
        <v>300</v>
      </c>
      <c r="F630" t="inlineStr">
        <is>
          <t>Поступление</t>
        </is>
      </c>
      <c r="H630">
        <f>VLOOKUP(C630,Магазин!$A$2:$C$1000,2,0)</f>
        <v/>
      </c>
      <c r="I630">
        <f>VLOOKUP(D630,Товар!$A$2:$F$1000,3,0)</f>
        <v/>
      </c>
      <c r="J630">
        <f>VLOOKUP(D630,Товар!$A$2:$F$1000,5,0)</f>
        <v/>
      </c>
      <c r="K630">
        <f>IF(AND(H630="Промышленный",LEFT(I630,18)="Порошок стиральный",F630="Продажа",B630=DATE(2023,6,7)),E630*J630/1000,0)</f>
        <v/>
      </c>
    </row>
    <row r="631">
      <c r="A631" t="n">
        <v>630</v>
      </c>
      <c r="B631" s="1" t="n">
        <v>45079</v>
      </c>
      <c r="C631" s="5" t="inlineStr">
        <is>
          <t>M2</t>
        </is>
      </c>
      <c r="D631" s="5" t="n">
        <v>30</v>
      </c>
      <c r="E631" s="5" t="n">
        <v>300</v>
      </c>
      <c r="F631" t="inlineStr">
        <is>
          <t>Поступление</t>
        </is>
      </c>
      <c r="H631">
        <f>VLOOKUP(C631,Магазин!$A$2:$C$1000,2,0)</f>
        <v/>
      </c>
      <c r="I631">
        <f>VLOOKUP(D631,Товар!$A$2:$F$1000,3,0)</f>
        <v/>
      </c>
      <c r="J631">
        <f>VLOOKUP(D631,Товар!$A$2:$F$1000,5,0)</f>
        <v/>
      </c>
      <c r="K631">
        <f>IF(AND(H631="Промышленный",LEFT(I631,18)="Порошок стиральный",F631="Продажа",B631=DATE(2023,6,7)),E631*J631/1000,0)</f>
        <v/>
      </c>
    </row>
    <row r="632">
      <c r="A632" t="n">
        <v>631</v>
      </c>
      <c r="B632" s="1" t="n">
        <v>45079</v>
      </c>
      <c r="C632" s="5" t="inlineStr">
        <is>
          <t>M2</t>
        </is>
      </c>
      <c r="D632" s="5" t="n">
        <v>31</v>
      </c>
      <c r="E632" s="5" t="n">
        <v>300</v>
      </c>
      <c r="F632" t="inlineStr">
        <is>
          <t>Поступление</t>
        </is>
      </c>
      <c r="H632">
        <f>VLOOKUP(C632,Магазин!$A$2:$C$1000,2,0)</f>
        <v/>
      </c>
      <c r="I632">
        <f>VLOOKUP(D632,Товар!$A$2:$F$1000,3,0)</f>
        <v/>
      </c>
      <c r="J632">
        <f>VLOOKUP(D632,Товар!$A$2:$F$1000,5,0)</f>
        <v/>
      </c>
      <c r="K632">
        <f>IF(AND(H632="Промышленный",LEFT(I632,18)="Порошок стиральный",F632="Продажа",B632=DATE(2023,6,7)),E632*J632/1000,0)</f>
        <v/>
      </c>
    </row>
    <row r="633">
      <c r="A633" t="n">
        <v>632</v>
      </c>
      <c r="B633" s="1" t="n">
        <v>45079</v>
      </c>
      <c r="C633" s="5" t="inlineStr">
        <is>
          <t>M2</t>
        </is>
      </c>
      <c r="D633" s="5" t="n">
        <v>32</v>
      </c>
      <c r="E633" s="5" t="n">
        <v>300</v>
      </c>
      <c r="F633" t="inlineStr">
        <is>
          <t>Поступление</t>
        </is>
      </c>
      <c r="H633">
        <f>VLOOKUP(C633,Магазин!$A$2:$C$1000,2,0)</f>
        <v/>
      </c>
      <c r="I633">
        <f>VLOOKUP(D633,Товар!$A$2:$F$1000,3,0)</f>
        <v/>
      </c>
      <c r="J633">
        <f>VLOOKUP(D633,Товар!$A$2:$F$1000,5,0)</f>
        <v/>
      </c>
      <c r="K633">
        <f>IF(AND(H633="Промышленный",LEFT(I633,18)="Порошок стиральный",F633="Продажа",B633=DATE(2023,6,7)),E633*J633/1000,0)</f>
        <v/>
      </c>
    </row>
    <row r="634">
      <c r="A634" t="n">
        <v>633</v>
      </c>
      <c r="B634" s="1" t="n">
        <v>45079</v>
      </c>
      <c r="C634" s="5" t="inlineStr">
        <is>
          <t>M2</t>
        </is>
      </c>
      <c r="D634" s="5" t="n">
        <v>33</v>
      </c>
      <c r="E634" s="5" t="n">
        <v>300</v>
      </c>
      <c r="F634" t="inlineStr">
        <is>
          <t>Поступление</t>
        </is>
      </c>
      <c r="H634">
        <f>VLOOKUP(C634,Магазин!$A$2:$C$1000,2,0)</f>
        <v/>
      </c>
      <c r="I634">
        <f>VLOOKUP(D634,Товар!$A$2:$F$1000,3,0)</f>
        <v/>
      </c>
      <c r="J634">
        <f>VLOOKUP(D634,Товар!$A$2:$F$1000,5,0)</f>
        <v/>
      </c>
      <c r="K634">
        <f>IF(AND(H634="Промышленный",LEFT(I634,18)="Порошок стиральный",F634="Продажа",B634=DATE(2023,6,7)),E634*J634/1000,0)</f>
        <v/>
      </c>
    </row>
    <row r="635">
      <c r="A635" t="n">
        <v>634</v>
      </c>
      <c r="B635" s="1" t="n">
        <v>45079</v>
      </c>
      <c r="C635" s="5" t="inlineStr">
        <is>
          <t>M2</t>
        </is>
      </c>
      <c r="D635" s="5" t="n">
        <v>34</v>
      </c>
      <c r="E635" s="5" t="n">
        <v>300</v>
      </c>
      <c r="F635" t="inlineStr">
        <is>
          <t>Поступление</t>
        </is>
      </c>
      <c r="H635">
        <f>VLOOKUP(C635,Магазин!$A$2:$C$1000,2,0)</f>
        <v/>
      </c>
      <c r="I635">
        <f>VLOOKUP(D635,Товар!$A$2:$F$1000,3,0)</f>
        <v/>
      </c>
      <c r="J635">
        <f>VLOOKUP(D635,Товар!$A$2:$F$1000,5,0)</f>
        <v/>
      </c>
      <c r="K635">
        <f>IF(AND(H635="Промышленный",LEFT(I635,18)="Порошок стиральный",F635="Продажа",B635=DATE(2023,6,7)),E635*J635/1000,0)</f>
        <v/>
      </c>
    </row>
    <row r="636">
      <c r="A636" t="n">
        <v>635</v>
      </c>
      <c r="B636" s="1" t="n">
        <v>45079</v>
      </c>
      <c r="C636" s="5" t="inlineStr">
        <is>
          <t>M2</t>
        </is>
      </c>
      <c r="D636" s="5" t="n">
        <v>35</v>
      </c>
      <c r="E636" s="5" t="n">
        <v>300</v>
      </c>
      <c r="F636" t="inlineStr">
        <is>
          <t>Поступление</t>
        </is>
      </c>
      <c r="H636">
        <f>VLOOKUP(C636,Магазин!$A$2:$C$1000,2,0)</f>
        <v/>
      </c>
      <c r="I636">
        <f>VLOOKUP(D636,Товар!$A$2:$F$1000,3,0)</f>
        <v/>
      </c>
      <c r="J636">
        <f>VLOOKUP(D636,Товар!$A$2:$F$1000,5,0)</f>
        <v/>
      </c>
      <c r="K636">
        <f>IF(AND(H636="Промышленный",LEFT(I636,18)="Порошок стиральный",F636="Продажа",B636=DATE(2023,6,7)),E636*J636/1000,0)</f>
        <v/>
      </c>
    </row>
    <row r="637">
      <c r="A637" t="n">
        <v>636</v>
      </c>
      <c r="B637" s="1" t="n">
        <v>45079</v>
      </c>
      <c r="C637" s="5" t="inlineStr">
        <is>
          <t>M2</t>
        </is>
      </c>
      <c r="D637" s="5" t="n">
        <v>36</v>
      </c>
      <c r="E637" s="5" t="n">
        <v>300</v>
      </c>
      <c r="F637" t="inlineStr">
        <is>
          <t>Поступление</t>
        </is>
      </c>
      <c r="H637">
        <f>VLOOKUP(C637,Магазин!$A$2:$C$1000,2,0)</f>
        <v/>
      </c>
      <c r="I637">
        <f>VLOOKUP(D637,Товар!$A$2:$F$1000,3,0)</f>
        <v/>
      </c>
      <c r="J637">
        <f>VLOOKUP(D637,Товар!$A$2:$F$1000,5,0)</f>
        <v/>
      </c>
      <c r="K637">
        <f>IF(AND(H637="Промышленный",LEFT(I637,18)="Порошок стиральный",F637="Продажа",B637=DATE(2023,6,7)),E637*J637/1000,0)</f>
        <v/>
      </c>
    </row>
    <row r="638">
      <c r="A638" t="n">
        <v>637</v>
      </c>
      <c r="B638" s="1" t="n">
        <v>45079</v>
      </c>
      <c r="C638" s="5" t="inlineStr">
        <is>
          <t>M2</t>
        </is>
      </c>
      <c r="D638" s="5" t="n">
        <v>37</v>
      </c>
      <c r="E638" s="5" t="n">
        <v>400</v>
      </c>
      <c r="F638" t="inlineStr">
        <is>
          <t>Поступление</t>
        </is>
      </c>
      <c r="H638">
        <f>VLOOKUP(C638,Магазин!$A$2:$C$1000,2,0)</f>
        <v/>
      </c>
      <c r="I638">
        <f>VLOOKUP(D638,Товар!$A$2:$F$1000,3,0)</f>
        <v/>
      </c>
      <c r="J638">
        <f>VLOOKUP(D638,Товар!$A$2:$F$1000,5,0)</f>
        <v/>
      </c>
      <c r="K638">
        <f>IF(AND(H638="Промышленный",LEFT(I638,18)="Порошок стиральный",F638="Продажа",B638=DATE(2023,6,7)),E638*J638/1000,0)</f>
        <v/>
      </c>
    </row>
    <row r="639">
      <c r="A639" t="n">
        <v>638</v>
      </c>
      <c r="B639" s="1" t="n">
        <v>45079</v>
      </c>
      <c r="C639" s="5" t="inlineStr">
        <is>
          <t>M2</t>
        </is>
      </c>
      <c r="D639" s="5" t="n">
        <v>38</v>
      </c>
      <c r="E639" s="5" t="n">
        <v>400</v>
      </c>
      <c r="F639" t="inlineStr">
        <is>
          <t>Поступление</t>
        </is>
      </c>
      <c r="H639">
        <f>VLOOKUP(C639,Магазин!$A$2:$C$1000,2,0)</f>
        <v/>
      </c>
      <c r="I639">
        <f>VLOOKUP(D639,Товар!$A$2:$F$1000,3,0)</f>
        <v/>
      </c>
      <c r="J639">
        <f>VLOOKUP(D639,Товар!$A$2:$F$1000,5,0)</f>
        <v/>
      </c>
      <c r="K639">
        <f>IF(AND(H639="Промышленный",LEFT(I639,18)="Порошок стиральный",F639="Продажа",B639=DATE(2023,6,7)),E639*J639/1000,0)</f>
        <v/>
      </c>
    </row>
    <row r="640">
      <c r="A640" t="n">
        <v>639</v>
      </c>
      <c r="B640" s="1" t="n">
        <v>45079</v>
      </c>
      <c r="C640" s="5" t="inlineStr">
        <is>
          <t>M2</t>
        </is>
      </c>
      <c r="D640" s="5" t="n">
        <v>39</v>
      </c>
      <c r="E640" s="5" t="n">
        <v>400</v>
      </c>
      <c r="F640" t="inlineStr">
        <is>
          <t>Поступление</t>
        </is>
      </c>
      <c r="H640">
        <f>VLOOKUP(C640,Магазин!$A$2:$C$1000,2,0)</f>
        <v/>
      </c>
      <c r="I640">
        <f>VLOOKUP(D640,Товар!$A$2:$F$1000,3,0)</f>
        <v/>
      </c>
      <c r="J640">
        <f>VLOOKUP(D640,Товар!$A$2:$F$1000,5,0)</f>
        <v/>
      </c>
      <c r="K640">
        <f>IF(AND(H640="Промышленный",LEFT(I640,18)="Порошок стиральный",F640="Продажа",B640=DATE(2023,6,7)),E640*J640/1000,0)</f>
        <v/>
      </c>
    </row>
    <row r="641">
      <c r="A641" t="n">
        <v>640</v>
      </c>
      <c r="B641" s="1" t="n">
        <v>45079</v>
      </c>
      <c r="C641" s="5" t="inlineStr">
        <is>
          <t>M2</t>
        </is>
      </c>
      <c r="D641" s="5" t="n">
        <v>40</v>
      </c>
      <c r="E641" s="5" t="n">
        <v>400</v>
      </c>
      <c r="F641" t="inlineStr">
        <is>
          <t>Поступление</t>
        </is>
      </c>
      <c r="H641">
        <f>VLOOKUP(C641,Магазин!$A$2:$C$1000,2,0)</f>
        <v/>
      </c>
      <c r="I641">
        <f>VLOOKUP(D641,Товар!$A$2:$F$1000,3,0)</f>
        <v/>
      </c>
      <c r="J641">
        <f>VLOOKUP(D641,Товар!$A$2:$F$1000,5,0)</f>
        <v/>
      </c>
      <c r="K641">
        <f>IF(AND(H641="Промышленный",LEFT(I641,18)="Порошок стиральный",F641="Продажа",B641=DATE(2023,6,7)),E641*J641/1000,0)</f>
        <v/>
      </c>
    </row>
    <row r="642">
      <c r="A642" t="n">
        <v>641</v>
      </c>
      <c r="B642" s="1" t="n">
        <v>45079</v>
      </c>
      <c r="C642" s="5" t="inlineStr">
        <is>
          <t>M2</t>
        </is>
      </c>
      <c r="D642" s="5" t="n">
        <v>41</v>
      </c>
      <c r="E642" s="5" t="n">
        <v>400</v>
      </c>
      <c r="F642" t="inlineStr">
        <is>
          <t>Поступление</t>
        </is>
      </c>
      <c r="H642">
        <f>VLOOKUP(C642,Магазин!$A$2:$C$1000,2,0)</f>
        <v/>
      </c>
      <c r="I642">
        <f>VLOOKUP(D642,Товар!$A$2:$F$1000,3,0)</f>
        <v/>
      </c>
      <c r="J642">
        <f>VLOOKUP(D642,Товар!$A$2:$F$1000,5,0)</f>
        <v/>
      </c>
      <c r="K642">
        <f>IF(AND(H642="Промышленный",LEFT(I642,18)="Порошок стиральный",F642="Продажа",B642=DATE(2023,6,7)),E642*J642/1000,0)</f>
        <v/>
      </c>
    </row>
    <row r="643">
      <c r="A643" t="n">
        <v>642</v>
      </c>
      <c r="B643" s="1" t="n">
        <v>45079</v>
      </c>
      <c r="C643" s="5" t="inlineStr">
        <is>
          <t>M2</t>
        </is>
      </c>
      <c r="D643" s="5" t="n">
        <v>42</v>
      </c>
      <c r="E643" s="5" t="n">
        <v>400</v>
      </c>
      <c r="F643" t="inlineStr">
        <is>
          <t>Поступление</t>
        </is>
      </c>
      <c r="H643">
        <f>VLOOKUP(C643,Магазин!$A$2:$C$1000,2,0)</f>
        <v/>
      </c>
      <c r="I643">
        <f>VLOOKUP(D643,Товар!$A$2:$F$1000,3,0)</f>
        <v/>
      </c>
      <c r="J643">
        <f>VLOOKUP(D643,Товар!$A$2:$F$1000,5,0)</f>
        <v/>
      </c>
      <c r="K643">
        <f>IF(AND(H643="Промышленный",LEFT(I643,18)="Порошок стиральный",F643="Продажа",B643=DATE(2023,6,7)),E643*J643/1000,0)</f>
        <v/>
      </c>
    </row>
    <row r="644">
      <c r="A644" t="n">
        <v>643</v>
      </c>
      <c r="B644" s="1" t="n">
        <v>45079</v>
      </c>
      <c r="C644" s="5" t="inlineStr">
        <is>
          <t>M2</t>
        </is>
      </c>
      <c r="D644" s="5" t="n">
        <v>43</v>
      </c>
      <c r="E644" s="5" t="n">
        <v>400</v>
      </c>
      <c r="F644" t="inlineStr">
        <is>
          <t>Поступление</t>
        </is>
      </c>
      <c r="H644">
        <f>VLOOKUP(C644,Магазин!$A$2:$C$1000,2,0)</f>
        <v/>
      </c>
      <c r="I644">
        <f>VLOOKUP(D644,Товар!$A$2:$F$1000,3,0)</f>
        <v/>
      </c>
      <c r="J644">
        <f>VLOOKUP(D644,Товар!$A$2:$F$1000,5,0)</f>
        <v/>
      </c>
      <c r="K644">
        <f>IF(AND(H644="Промышленный",LEFT(I644,18)="Порошок стиральный",F644="Продажа",B644=DATE(2023,6,7)),E644*J644/1000,0)</f>
        <v/>
      </c>
    </row>
    <row r="645">
      <c r="A645" t="n">
        <v>644</v>
      </c>
      <c r="B645" s="1" t="n">
        <v>45079</v>
      </c>
      <c r="C645" s="5" t="inlineStr">
        <is>
          <t>M2</t>
        </is>
      </c>
      <c r="D645" s="5" t="n">
        <v>44</v>
      </c>
      <c r="E645" s="5" t="n">
        <v>400</v>
      </c>
      <c r="F645" t="inlineStr">
        <is>
          <t>Поступление</t>
        </is>
      </c>
      <c r="H645">
        <f>VLOOKUP(C645,Магазин!$A$2:$C$1000,2,0)</f>
        <v/>
      </c>
      <c r="I645">
        <f>VLOOKUP(D645,Товар!$A$2:$F$1000,3,0)</f>
        <v/>
      </c>
      <c r="J645">
        <f>VLOOKUP(D645,Товар!$A$2:$F$1000,5,0)</f>
        <v/>
      </c>
      <c r="K645">
        <f>IF(AND(H645="Промышленный",LEFT(I645,18)="Порошок стиральный",F645="Продажа",B645=DATE(2023,6,7)),E645*J645/1000,0)</f>
        <v/>
      </c>
    </row>
    <row r="646">
      <c r="A646" t="n">
        <v>645</v>
      </c>
      <c r="B646" s="1" t="n">
        <v>45079</v>
      </c>
      <c r="C646" s="5" t="inlineStr">
        <is>
          <t>M2</t>
        </is>
      </c>
      <c r="D646" s="5" t="n">
        <v>45</v>
      </c>
      <c r="E646" s="5" t="n">
        <v>400</v>
      </c>
      <c r="F646" t="inlineStr">
        <is>
          <t>Поступление</t>
        </is>
      </c>
      <c r="H646">
        <f>VLOOKUP(C646,Магазин!$A$2:$C$1000,2,0)</f>
        <v/>
      </c>
      <c r="I646">
        <f>VLOOKUP(D646,Товар!$A$2:$F$1000,3,0)</f>
        <v/>
      </c>
      <c r="J646">
        <f>VLOOKUP(D646,Товар!$A$2:$F$1000,5,0)</f>
        <v/>
      </c>
      <c r="K646">
        <f>IF(AND(H646="Промышленный",LEFT(I646,18)="Порошок стиральный",F646="Продажа",B646=DATE(2023,6,7)),E646*J646/1000,0)</f>
        <v/>
      </c>
    </row>
    <row r="647">
      <c r="A647" t="n">
        <v>646</v>
      </c>
      <c r="B647" s="1" t="n">
        <v>45079</v>
      </c>
      <c r="C647" s="5" t="inlineStr">
        <is>
          <t>M2</t>
        </is>
      </c>
      <c r="D647" s="5" t="n">
        <v>46</v>
      </c>
      <c r="E647" s="5" t="n">
        <v>400</v>
      </c>
      <c r="F647" t="inlineStr">
        <is>
          <t>Поступление</t>
        </is>
      </c>
      <c r="H647">
        <f>VLOOKUP(C647,Магазин!$A$2:$C$1000,2,0)</f>
        <v/>
      </c>
      <c r="I647">
        <f>VLOOKUP(D647,Товар!$A$2:$F$1000,3,0)</f>
        <v/>
      </c>
      <c r="J647">
        <f>VLOOKUP(D647,Товар!$A$2:$F$1000,5,0)</f>
        <v/>
      </c>
      <c r="K647">
        <f>IF(AND(H647="Промышленный",LEFT(I647,18)="Порошок стиральный",F647="Продажа",B647=DATE(2023,6,7)),E647*J647/1000,0)</f>
        <v/>
      </c>
    </row>
    <row r="648">
      <c r="A648" t="n">
        <v>647</v>
      </c>
      <c r="B648" s="1" t="n">
        <v>45079</v>
      </c>
      <c r="C648" s="5" t="inlineStr">
        <is>
          <t>M2</t>
        </is>
      </c>
      <c r="D648" s="5" t="n">
        <v>47</v>
      </c>
      <c r="E648" s="5" t="n">
        <v>400</v>
      </c>
      <c r="F648" t="inlineStr">
        <is>
          <t>Поступление</t>
        </is>
      </c>
      <c r="H648">
        <f>VLOOKUP(C648,Магазин!$A$2:$C$1000,2,0)</f>
        <v/>
      </c>
      <c r="I648">
        <f>VLOOKUP(D648,Товар!$A$2:$F$1000,3,0)</f>
        <v/>
      </c>
      <c r="J648">
        <f>VLOOKUP(D648,Товар!$A$2:$F$1000,5,0)</f>
        <v/>
      </c>
      <c r="K648">
        <f>IF(AND(H648="Промышленный",LEFT(I648,18)="Порошок стиральный",F648="Продажа",B648=DATE(2023,6,7)),E648*J648/1000,0)</f>
        <v/>
      </c>
    </row>
    <row r="649">
      <c r="A649" t="n">
        <v>648</v>
      </c>
      <c r="B649" s="1" t="n">
        <v>45079</v>
      </c>
      <c r="C649" s="5" t="inlineStr">
        <is>
          <t>M2</t>
        </is>
      </c>
      <c r="D649" s="5" t="n">
        <v>48</v>
      </c>
      <c r="E649" s="5" t="n">
        <v>400</v>
      </c>
      <c r="F649" t="inlineStr">
        <is>
          <t>Поступление</t>
        </is>
      </c>
      <c r="H649">
        <f>VLOOKUP(C649,Магазин!$A$2:$C$1000,2,0)</f>
        <v/>
      </c>
      <c r="I649">
        <f>VLOOKUP(D649,Товар!$A$2:$F$1000,3,0)</f>
        <v/>
      </c>
      <c r="J649">
        <f>VLOOKUP(D649,Товар!$A$2:$F$1000,5,0)</f>
        <v/>
      </c>
      <c r="K649">
        <f>IF(AND(H649="Промышленный",LEFT(I649,18)="Порошок стиральный",F649="Продажа",B649=DATE(2023,6,7)),E649*J649/1000,0)</f>
        <v/>
      </c>
    </row>
    <row r="650">
      <c r="A650" t="n">
        <v>649</v>
      </c>
      <c r="B650" s="1" t="n">
        <v>45079</v>
      </c>
      <c r="C650" s="5" t="inlineStr">
        <is>
          <t>M2</t>
        </is>
      </c>
      <c r="D650" s="5" t="n">
        <v>49</v>
      </c>
      <c r="E650" s="5" t="n">
        <v>400</v>
      </c>
      <c r="F650" t="inlineStr">
        <is>
          <t>Поступление</t>
        </is>
      </c>
      <c r="H650">
        <f>VLOOKUP(C650,Магазин!$A$2:$C$1000,2,0)</f>
        <v/>
      </c>
      <c r="I650">
        <f>VLOOKUP(D650,Товар!$A$2:$F$1000,3,0)</f>
        <v/>
      </c>
      <c r="J650">
        <f>VLOOKUP(D650,Товар!$A$2:$F$1000,5,0)</f>
        <v/>
      </c>
      <c r="K650">
        <f>IF(AND(H650="Промышленный",LEFT(I650,18)="Порошок стиральный",F650="Продажа",B650=DATE(2023,6,7)),E650*J650/1000,0)</f>
        <v/>
      </c>
    </row>
    <row r="651">
      <c r="A651" t="n">
        <v>650</v>
      </c>
      <c r="B651" s="1" t="n">
        <v>45079</v>
      </c>
      <c r="C651" s="5" t="inlineStr">
        <is>
          <t>M2</t>
        </is>
      </c>
      <c r="D651" s="5" t="n">
        <v>50</v>
      </c>
      <c r="E651" s="5" t="n">
        <v>400</v>
      </c>
      <c r="F651" t="inlineStr">
        <is>
          <t>Поступление</t>
        </is>
      </c>
      <c r="H651">
        <f>VLOOKUP(C651,Магазин!$A$2:$C$1000,2,0)</f>
        <v/>
      </c>
      <c r="I651">
        <f>VLOOKUP(D651,Товар!$A$2:$F$1000,3,0)</f>
        <v/>
      </c>
      <c r="J651">
        <f>VLOOKUP(D651,Товар!$A$2:$F$1000,5,0)</f>
        <v/>
      </c>
      <c r="K651">
        <f>IF(AND(H651="Промышленный",LEFT(I651,18)="Порошок стиральный",F651="Продажа",B651=DATE(2023,6,7)),E651*J651/1000,0)</f>
        <v/>
      </c>
    </row>
    <row r="652">
      <c r="A652" t="n">
        <v>651</v>
      </c>
      <c r="B652" s="1" t="n">
        <v>45079</v>
      </c>
      <c r="C652" s="5" t="inlineStr">
        <is>
          <t>M2</t>
        </is>
      </c>
      <c r="D652" s="5" t="n">
        <v>51</v>
      </c>
      <c r="E652" s="5" t="n">
        <v>400</v>
      </c>
      <c r="F652" t="inlineStr">
        <is>
          <t>Поступление</t>
        </is>
      </c>
      <c r="H652">
        <f>VLOOKUP(C652,Магазин!$A$2:$C$1000,2,0)</f>
        <v/>
      </c>
      <c r="I652">
        <f>VLOOKUP(D652,Товар!$A$2:$F$1000,3,0)</f>
        <v/>
      </c>
      <c r="J652">
        <f>VLOOKUP(D652,Товар!$A$2:$F$1000,5,0)</f>
        <v/>
      </c>
      <c r="K652">
        <f>IF(AND(H652="Промышленный",LEFT(I652,18)="Порошок стиральный",F652="Продажа",B652=DATE(2023,6,7)),E652*J652/1000,0)</f>
        <v/>
      </c>
    </row>
    <row r="653">
      <c r="A653" t="n">
        <v>652</v>
      </c>
      <c r="B653" s="1" t="n">
        <v>45079</v>
      </c>
      <c r="C653" s="5" t="inlineStr">
        <is>
          <t>M2</t>
        </is>
      </c>
      <c r="D653" s="5" t="n">
        <v>52</v>
      </c>
      <c r="E653" s="5" t="n">
        <v>400</v>
      </c>
      <c r="F653" t="inlineStr">
        <is>
          <t>Поступление</t>
        </is>
      </c>
      <c r="H653">
        <f>VLOOKUP(C653,Магазин!$A$2:$C$1000,2,0)</f>
        <v/>
      </c>
      <c r="I653">
        <f>VLOOKUP(D653,Товар!$A$2:$F$1000,3,0)</f>
        <v/>
      </c>
      <c r="J653">
        <f>VLOOKUP(D653,Товар!$A$2:$F$1000,5,0)</f>
        <v/>
      </c>
      <c r="K653">
        <f>IF(AND(H653="Промышленный",LEFT(I653,18)="Порошок стиральный",F653="Продажа",B653=DATE(2023,6,7)),E653*J653/1000,0)</f>
        <v/>
      </c>
    </row>
    <row r="654">
      <c r="A654" t="n">
        <v>653</v>
      </c>
      <c r="B654" s="1" t="n">
        <v>45079</v>
      </c>
      <c r="C654" s="5" t="inlineStr">
        <is>
          <t>M2</t>
        </is>
      </c>
      <c r="D654" s="5" t="n">
        <v>53</v>
      </c>
      <c r="E654" s="5" t="n">
        <v>400</v>
      </c>
      <c r="F654" t="inlineStr">
        <is>
          <t>Поступление</t>
        </is>
      </c>
      <c r="H654">
        <f>VLOOKUP(C654,Магазин!$A$2:$C$1000,2,0)</f>
        <v/>
      </c>
      <c r="I654">
        <f>VLOOKUP(D654,Товар!$A$2:$F$1000,3,0)</f>
        <v/>
      </c>
      <c r="J654">
        <f>VLOOKUP(D654,Товар!$A$2:$F$1000,5,0)</f>
        <v/>
      </c>
      <c r="K654">
        <f>IF(AND(H654="Промышленный",LEFT(I654,18)="Порошок стиральный",F654="Продажа",B654=DATE(2023,6,7)),E654*J654/1000,0)</f>
        <v/>
      </c>
    </row>
    <row r="655">
      <c r="A655" t="n">
        <v>654</v>
      </c>
      <c r="B655" s="1" t="n">
        <v>45079</v>
      </c>
      <c r="C655" s="5" t="inlineStr">
        <is>
          <t>M2</t>
        </is>
      </c>
      <c r="D655" s="5" t="n">
        <v>54</v>
      </c>
      <c r="E655" s="5" t="n">
        <v>400</v>
      </c>
      <c r="F655" t="inlineStr">
        <is>
          <t>Поступление</t>
        </is>
      </c>
      <c r="H655">
        <f>VLOOKUP(C655,Магазин!$A$2:$C$1000,2,0)</f>
        <v/>
      </c>
      <c r="I655">
        <f>VLOOKUP(D655,Товар!$A$2:$F$1000,3,0)</f>
        <v/>
      </c>
      <c r="J655">
        <f>VLOOKUP(D655,Товар!$A$2:$F$1000,5,0)</f>
        <v/>
      </c>
      <c r="K655">
        <f>IF(AND(H655="Промышленный",LEFT(I655,18)="Порошок стиральный",F655="Продажа",B655=DATE(2023,6,7)),E655*J655/1000,0)</f>
        <v/>
      </c>
    </row>
    <row r="656">
      <c r="A656" t="n">
        <v>655</v>
      </c>
      <c r="B656" s="1" t="n">
        <v>45079</v>
      </c>
      <c r="C656" s="5" t="inlineStr">
        <is>
          <t>M2</t>
        </is>
      </c>
      <c r="D656" s="5" t="n">
        <v>55</v>
      </c>
      <c r="E656" s="5" t="n">
        <v>400</v>
      </c>
      <c r="F656" t="inlineStr">
        <is>
          <t>Поступление</t>
        </is>
      </c>
      <c r="H656">
        <f>VLOOKUP(C656,Магазин!$A$2:$C$1000,2,0)</f>
        <v/>
      </c>
      <c r="I656">
        <f>VLOOKUP(D656,Товар!$A$2:$F$1000,3,0)</f>
        <v/>
      </c>
      <c r="J656">
        <f>VLOOKUP(D656,Товар!$A$2:$F$1000,5,0)</f>
        <v/>
      </c>
      <c r="K656">
        <f>IF(AND(H656="Промышленный",LEFT(I656,18)="Порошок стиральный",F656="Продажа",B656=DATE(2023,6,7)),E656*J656/1000,0)</f>
        <v/>
      </c>
    </row>
    <row r="657">
      <c r="A657" t="n">
        <v>656</v>
      </c>
      <c r="B657" s="1" t="n">
        <v>45079</v>
      </c>
      <c r="C657" s="5" t="inlineStr">
        <is>
          <t>M2</t>
        </is>
      </c>
      <c r="D657" s="5" t="n">
        <v>56</v>
      </c>
      <c r="E657" s="5" t="n">
        <v>400</v>
      </c>
      <c r="F657" t="inlineStr">
        <is>
          <t>Поступление</t>
        </is>
      </c>
      <c r="H657">
        <f>VLOOKUP(C657,Магазин!$A$2:$C$1000,2,0)</f>
        <v/>
      </c>
      <c r="I657">
        <f>VLOOKUP(D657,Товар!$A$2:$F$1000,3,0)</f>
        <v/>
      </c>
      <c r="J657">
        <f>VLOOKUP(D657,Товар!$A$2:$F$1000,5,0)</f>
        <v/>
      </c>
      <c r="K657">
        <f>IF(AND(H657="Промышленный",LEFT(I657,18)="Порошок стиральный",F657="Продажа",B657=DATE(2023,6,7)),E657*J657/1000,0)</f>
        <v/>
      </c>
    </row>
    <row r="658">
      <c r="A658" t="n">
        <v>657</v>
      </c>
      <c r="B658" s="1" t="n">
        <v>45079</v>
      </c>
      <c r="C658" s="5" t="inlineStr">
        <is>
          <t>M2</t>
        </is>
      </c>
      <c r="D658" s="5" t="n">
        <v>57</v>
      </c>
      <c r="E658" s="5" t="n">
        <v>400</v>
      </c>
      <c r="F658" t="inlineStr">
        <is>
          <t>Поступление</t>
        </is>
      </c>
      <c r="H658">
        <f>VLOOKUP(C658,Магазин!$A$2:$C$1000,2,0)</f>
        <v/>
      </c>
      <c r="I658">
        <f>VLOOKUP(D658,Товар!$A$2:$F$1000,3,0)</f>
        <v/>
      </c>
      <c r="J658">
        <f>VLOOKUP(D658,Товар!$A$2:$F$1000,5,0)</f>
        <v/>
      </c>
      <c r="K658">
        <f>IF(AND(H658="Промышленный",LEFT(I658,18)="Порошок стиральный",F658="Продажа",B658=DATE(2023,6,7)),E658*J658/1000,0)</f>
        <v/>
      </c>
    </row>
    <row r="659">
      <c r="A659" t="n">
        <v>658</v>
      </c>
      <c r="B659" s="1" t="n">
        <v>45079</v>
      </c>
      <c r="C659" s="5" t="inlineStr">
        <is>
          <t>M2</t>
        </is>
      </c>
      <c r="D659" s="5" t="n">
        <v>58</v>
      </c>
      <c r="E659" s="5" t="n">
        <v>400</v>
      </c>
      <c r="F659" t="inlineStr">
        <is>
          <t>Поступление</t>
        </is>
      </c>
      <c r="H659">
        <f>VLOOKUP(C659,Магазин!$A$2:$C$1000,2,0)</f>
        <v/>
      </c>
      <c r="I659">
        <f>VLOOKUP(D659,Товар!$A$2:$F$1000,3,0)</f>
        <v/>
      </c>
      <c r="J659">
        <f>VLOOKUP(D659,Товар!$A$2:$F$1000,5,0)</f>
        <v/>
      </c>
      <c r="K659">
        <f>IF(AND(H659="Промышленный",LEFT(I659,18)="Порошок стиральный",F659="Продажа",B659=DATE(2023,6,7)),E659*J659/1000,0)</f>
        <v/>
      </c>
    </row>
    <row r="660">
      <c r="A660" t="n">
        <v>659</v>
      </c>
      <c r="B660" s="1" t="n">
        <v>45079</v>
      </c>
      <c r="C660" s="5" t="inlineStr">
        <is>
          <t>M2</t>
        </is>
      </c>
      <c r="D660" s="5" t="n">
        <v>59</v>
      </c>
      <c r="E660" s="5" t="n">
        <v>400</v>
      </c>
      <c r="F660" t="inlineStr">
        <is>
          <t>Поступление</t>
        </is>
      </c>
      <c r="H660">
        <f>VLOOKUP(C660,Магазин!$A$2:$C$1000,2,0)</f>
        <v/>
      </c>
      <c r="I660">
        <f>VLOOKUP(D660,Товар!$A$2:$F$1000,3,0)</f>
        <v/>
      </c>
      <c r="J660">
        <f>VLOOKUP(D660,Товар!$A$2:$F$1000,5,0)</f>
        <v/>
      </c>
      <c r="K660">
        <f>IF(AND(H660="Промышленный",LEFT(I660,18)="Порошок стиральный",F660="Продажа",B660=DATE(2023,6,7)),E660*J660/1000,0)</f>
        <v/>
      </c>
    </row>
    <row r="661">
      <c r="A661" t="n">
        <v>660</v>
      </c>
      <c r="B661" s="1" t="n">
        <v>45079</v>
      </c>
      <c r="C661" s="5" t="inlineStr">
        <is>
          <t>M2</t>
        </is>
      </c>
      <c r="D661" s="5" t="n">
        <v>60</v>
      </c>
      <c r="E661" s="5" t="n">
        <v>400</v>
      </c>
      <c r="F661" t="inlineStr">
        <is>
          <t>Поступление</t>
        </is>
      </c>
      <c r="H661">
        <f>VLOOKUP(C661,Магазин!$A$2:$C$1000,2,0)</f>
        <v/>
      </c>
      <c r="I661">
        <f>VLOOKUP(D661,Товар!$A$2:$F$1000,3,0)</f>
        <v/>
      </c>
      <c r="J661">
        <f>VLOOKUP(D661,Товар!$A$2:$F$1000,5,0)</f>
        <v/>
      </c>
      <c r="K661">
        <f>IF(AND(H661="Промышленный",LEFT(I661,18)="Порошок стиральный",F661="Продажа",B661=DATE(2023,6,7)),E661*J661/1000,0)</f>
        <v/>
      </c>
    </row>
    <row r="662">
      <c r="A662" t="n">
        <v>661</v>
      </c>
      <c r="B662" s="1" t="n">
        <v>45079</v>
      </c>
      <c r="C662" s="5" t="inlineStr">
        <is>
          <t>M3</t>
        </is>
      </c>
      <c r="D662" s="5" t="n">
        <v>1</v>
      </c>
      <c r="E662" s="5" t="n">
        <v>100</v>
      </c>
      <c r="F662" t="inlineStr">
        <is>
          <t>Поступление</t>
        </is>
      </c>
      <c r="H662">
        <f>VLOOKUP(C662,Магазин!$A$2:$C$1000,2,0)</f>
        <v/>
      </c>
      <c r="I662">
        <f>VLOOKUP(D662,Товар!$A$2:$F$1000,3,0)</f>
        <v/>
      </c>
      <c r="J662">
        <f>VLOOKUP(D662,Товар!$A$2:$F$1000,5,0)</f>
        <v/>
      </c>
      <c r="K662">
        <f>IF(AND(H662="Промышленный",LEFT(I662,18)="Порошок стиральный",F662="Продажа",B662=DATE(2023,6,7)),E662*J662/1000,0)</f>
        <v/>
      </c>
    </row>
    <row r="663">
      <c r="A663" t="n">
        <v>662</v>
      </c>
      <c r="B663" s="1" t="n">
        <v>45079</v>
      </c>
      <c r="C663" s="5" t="inlineStr">
        <is>
          <t>M3</t>
        </is>
      </c>
      <c r="D663" s="5" t="n">
        <v>2</v>
      </c>
      <c r="E663" s="5" t="n">
        <v>100</v>
      </c>
      <c r="F663" t="inlineStr">
        <is>
          <t>Поступление</t>
        </is>
      </c>
      <c r="H663">
        <f>VLOOKUP(C663,Магазин!$A$2:$C$1000,2,0)</f>
        <v/>
      </c>
      <c r="I663">
        <f>VLOOKUP(D663,Товар!$A$2:$F$1000,3,0)</f>
        <v/>
      </c>
      <c r="J663">
        <f>VLOOKUP(D663,Товар!$A$2:$F$1000,5,0)</f>
        <v/>
      </c>
      <c r="K663">
        <f>IF(AND(H663="Промышленный",LEFT(I663,18)="Порошок стиральный",F663="Продажа",B663=DATE(2023,6,7)),E663*J663/1000,0)</f>
        <v/>
      </c>
    </row>
    <row r="664">
      <c r="A664" t="n">
        <v>663</v>
      </c>
      <c r="B664" s="1" t="n">
        <v>45079</v>
      </c>
      <c r="C664" s="5" t="inlineStr">
        <is>
          <t>M3</t>
        </is>
      </c>
      <c r="D664" s="5" t="n">
        <v>3</v>
      </c>
      <c r="E664" s="5" t="n">
        <v>100</v>
      </c>
      <c r="F664" t="inlineStr">
        <is>
          <t>Поступление</t>
        </is>
      </c>
      <c r="H664">
        <f>VLOOKUP(C664,Магазин!$A$2:$C$1000,2,0)</f>
        <v/>
      </c>
      <c r="I664">
        <f>VLOOKUP(D664,Товар!$A$2:$F$1000,3,0)</f>
        <v/>
      </c>
      <c r="J664">
        <f>VLOOKUP(D664,Товар!$A$2:$F$1000,5,0)</f>
        <v/>
      </c>
      <c r="K664">
        <f>IF(AND(H664="Промышленный",LEFT(I664,18)="Порошок стиральный",F664="Продажа",B664=DATE(2023,6,7)),E664*J664/1000,0)</f>
        <v/>
      </c>
    </row>
    <row r="665">
      <c r="A665" t="n">
        <v>664</v>
      </c>
      <c r="B665" s="1" t="n">
        <v>45079</v>
      </c>
      <c r="C665" s="5" t="inlineStr">
        <is>
          <t>M3</t>
        </is>
      </c>
      <c r="D665" s="5" t="n">
        <v>4</v>
      </c>
      <c r="E665" s="5" t="n">
        <v>100</v>
      </c>
      <c r="F665" t="inlineStr">
        <is>
          <t>Поступление</t>
        </is>
      </c>
      <c r="H665">
        <f>VLOOKUP(C665,Магазин!$A$2:$C$1000,2,0)</f>
        <v/>
      </c>
      <c r="I665">
        <f>VLOOKUP(D665,Товар!$A$2:$F$1000,3,0)</f>
        <v/>
      </c>
      <c r="J665">
        <f>VLOOKUP(D665,Товар!$A$2:$F$1000,5,0)</f>
        <v/>
      </c>
      <c r="K665">
        <f>IF(AND(H665="Промышленный",LEFT(I665,18)="Порошок стиральный",F665="Продажа",B665=DATE(2023,6,7)),E665*J665/1000,0)</f>
        <v/>
      </c>
    </row>
    <row r="666">
      <c r="A666" t="n">
        <v>665</v>
      </c>
      <c r="B666" s="1" t="n">
        <v>45079</v>
      </c>
      <c r="C666" s="5" t="inlineStr">
        <is>
          <t>M3</t>
        </is>
      </c>
      <c r="D666" s="5" t="n">
        <v>5</v>
      </c>
      <c r="E666" s="5" t="n">
        <v>100</v>
      </c>
      <c r="F666" t="inlineStr">
        <is>
          <t>Поступление</t>
        </is>
      </c>
      <c r="H666">
        <f>VLOOKUP(C666,Магазин!$A$2:$C$1000,2,0)</f>
        <v/>
      </c>
      <c r="I666">
        <f>VLOOKUP(D666,Товар!$A$2:$F$1000,3,0)</f>
        <v/>
      </c>
      <c r="J666">
        <f>VLOOKUP(D666,Товар!$A$2:$F$1000,5,0)</f>
        <v/>
      </c>
      <c r="K666">
        <f>IF(AND(H666="Промышленный",LEFT(I666,18)="Порошок стиральный",F666="Продажа",B666=DATE(2023,6,7)),E666*J666/1000,0)</f>
        <v/>
      </c>
    </row>
    <row r="667">
      <c r="A667" t="n">
        <v>666</v>
      </c>
      <c r="B667" s="1" t="n">
        <v>45079</v>
      </c>
      <c r="C667" s="5" t="inlineStr">
        <is>
          <t>M3</t>
        </is>
      </c>
      <c r="D667" s="5" t="n">
        <v>6</v>
      </c>
      <c r="E667" s="5" t="n">
        <v>100</v>
      </c>
      <c r="F667" t="inlineStr">
        <is>
          <t>Поступление</t>
        </is>
      </c>
      <c r="H667">
        <f>VLOOKUP(C667,Магазин!$A$2:$C$1000,2,0)</f>
        <v/>
      </c>
      <c r="I667">
        <f>VLOOKUP(D667,Товар!$A$2:$F$1000,3,0)</f>
        <v/>
      </c>
      <c r="J667">
        <f>VLOOKUP(D667,Товар!$A$2:$F$1000,5,0)</f>
        <v/>
      </c>
      <c r="K667">
        <f>IF(AND(H667="Промышленный",LEFT(I667,18)="Порошок стиральный",F667="Продажа",B667=DATE(2023,6,7)),E667*J667/1000,0)</f>
        <v/>
      </c>
    </row>
    <row r="668">
      <c r="A668" t="n">
        <v>667</v>
      </c>
      <c r="B668" s="1" t="n">
        <v>45079</v>
      </c>
      <c r="C668" s="5" t="inlineStr">
        <is>
          <t>M3</t>
        </is>
      </c>
      <c r="D668" s="5" t="n">
        <v>7</v>
      </c>
      <c r="E668" s="5" t="n">
        <v>100</v>
      </c>
      <c r="F668" t="inlineStr">
        <is>
          <t>Поступление</t>
        </is>
      </c>
      <c r="H668">
        <f>VLOOKUP(C668,Магазин!$A$2:$C$1000,2,0)</f>
        <v/>
      </c>
      <c r="I668">
        <f>VLOOKUP(D668,Товар!$A$2:$F$1000,3,0)</f>
        <v/>
      </c>
      <c r="J668">
        <f>VLOOKUP(D668,Товар!$A$2:$F$1000,5,0)</f>
        <v/>
      </c>
      <c r="K668">
        <f>IF(AND(H668="Промышленный",LEFT(I668,18)="Порошок стиральный",F668="Продажа",B668=DATE(2023,6,7)),E668*J668/1000,0)</f>
        <v/>
      </c>
    </row>
    <row r="669">
      <c r="A669" t="n">
        <v>668</v>
      </c>
      <c r="B669" s="1" t="n">
        <v>45079</v>
      </c>
      <c r="C669" s="5" t="inlineStr">
        <is>
          <t>M3</t>
        </is>
      </c>
      <c r="D669" s="5" t="n">
        <v>8</v>
      </c>
      <c r="E669" s="5" t="n">
        <v>100</v>
      </c>
      <c r="F669" t="inlineStr">
        <is>
          <t>Поступление</t>
        </is>
      </c>
      <c r="H669">
        <f>VLOOKUP(C669,Магазин!$A$2:$C$1000,2,0)</f>
        <v/>
      </c>
      <c r="I669">
        <f>VLOOKUP(D669,Товар!$A$2:$F$1000,3,0)</f>
        <v/>
      </c>
      <c r="J669">
        <f>VLOOKUP(D669,Товар!$A$2:$F$1000,5,0)</f>
        <v/>
      </c>
      <c r="K669">
        <f>IF(AND(H669="Промышленный",LEFT(I669,18)="Порошок стиральный",F669="Продажа",B669=DATE(2023,6,7)),E669*J669/1000,0)</f>
        <v/>
      </c>
    </row>
    <row r="670">
      <c r="A670" t="n">
        <v>669</v>
      </c>
      <c r="B670" s="1" t="n">
        <v>45079</v>
      </c>
      <c r="C670" s="5" t="inlineStr">
        <is>
          <t>M3</t>
        </is>
      </c>
      <c r="D670" s="5" t="n">
        <v>9</v>
      </c>
      <c r="E670" s="5" t="n">
        <v>100</v>
      </c>
      <c r="F670" t="inlineStr">
        <is>
          <t>Поступление</t>
        </is>
      </c>
      <c r="H670">
        <f>VLOOKUP(C670,Магазин!$A$2:$C$1000,2,0)</f>
        <v/>
      </c>
      <c r="I670">
        <f>VLOOKUP(D670,Товар!$A$2:$F$1000,3,0)</f>
        <v/>
      </c>
      <c r="J670">
        <f>VLOOKUP(D670,Товар!$A$2:$F$1000,5,0)</f>
        <v/>
      </c>
      <c r="K670">
        <f>IF(AND(H670="Промышленный",LEFT(I670,18)="Порошок стиральный",F670="Продажа",B670=DATE(2023,6,7)),E670*J670/1000,0)</f>
        <v/>
      </c>
    </row>
    <row r="671">
      <c r="A671" t="n">
        <v>670</v>
      </c>
      <c r="B671" s="1" t="n">
        <v>45079</v>
      </c>
      <c r="C671" s="5" t="inlineStr">
        <is>
          <t>M3</t>
        </is>
      </c>
      <c r="D671" s="5" t="n">
        <v>10</v>
      </c>
      <c r="E671" s="5" t="n">
        <v>100</v>
      </c>
      <c r="F671" t="inlineStr">
        <is>
          <t>Поступление</t>
        </is>
      </c>
      <c r="H671">
        <f>VLOOKUP(C671,Магазин!$A$2:$C$1000,2,0)</f>
        <v/>
      </c>
      <c r="I671">
        <f>VLOOKUP(D671,Товар!$A$2:$F$1000,3,0)</f>
        <v/>
      </c>
      <c r="J671">
        <f>VLOOKUP(D671,Товар!$A$2:$F$1000,5,0)</f>
        <v/>
      </c>
      <c r="K671">
        <f>IF(AND(H671="Промышленный",LEFT(I671,18)="Порошок стиральный",F671="Продажа",B671=DATE(2023,6,7)),E671*J671/1000,0)</f>
        <v/>
      </c>
    </row>
    <row r="672">
      <c r="A672" t="n">
        <v>671</v>
      </c>
      <c r="B672" s="1" t="n">
        <v>45079</v>
      </c>
      <c r="C672" s="5" t="inlineStr">
        <is>
          <t>M3</t>
        </is>
      </c>
      <c r="D672" s="5" t="n">
        <v>11</v>
      </c>
      <c r="E672" s="5" t="n">
        <v>100</v>
      </c>
      <c r="F672" t="inlineStr">
        <is>
          <t>Поступление</t>
        </is>
      </c>
      <c r="H672">
        <f>VLOOKUP(C672,Магазин!$A$2:$C$1000,2,0)</f>
        <v/>
      </c>
      <c r="I672">
        <f>VLOOKUP(D672,Товар!$A$2:$F$1000,3,0)</f>
        <v/>
      </c>
      <c r="J672">
        <f>VLOOKUP(D672,Товар!$A$2:$F$1000,5,0)</f>
        <v/>
      </c>
      <c r="K672">
        <f>IF(AND(H672="Промышленный",LEFT(I672,18)="Порошок стиральный",F672="Продажа",B672=DATE(2023,6,7)),E672*J672/1000,0)</f>
        <v/>
      </c>
    </row>
    <row r="673">
      <c r="A673" t="n">
        <v>672</v>
      </c>
      <c r="B673" s="1" t="n">
        <v>45079</v>
      </c>
      <c r="C673" s="5" t="inlineStr">
        <is>
          <t>M3</t>
        </is>
      </c>
      <c r="D673" s="5" t="n">
        <v>12</v>
      </c>
      <c r="E673" s="5" t="n">
        <v>100</v>
      </c>
      <c r="F673" t="inlineStr">
        <is>
          <t>Поступление</t>
        </is>
      </c>
      <c r="H673">
        <f>VLOOKUP(C673,Магазин!$A$2:$C$1000,2,0)</f>
        <v/>
      </c>
      <c r="I673">
        <f>VLOOKUP(D673,Товар!$A$2:$F$1000,3,0)</f>
        <v/>
      </c>
      <c r="J673">
        <f>VLOOKUP(D673,Товар!$A$2:$F$1000,5,0)</f>
        <v/>
      </c>
      <c r="K673">
        <f>IF(AND(H673="Промышленный",LEFT(I673,18)="Порошок стиральный",F673="Продажа",B673=DATE(2023,6,7)),E673*J673/1000,0)</f>
        <v/>
      </c>
    </row>
    <row r="674">
      <c r="A674" t="n">
        <v>673</v>
      </c>
      <c r="B674" s="1" t="n">
        <v>45079</v>
      </c>
      <c r="C674" s="5" t="inlineStr">
        <is>
          <t>M3</t>
        </is>
      </c>
      <c r="D674" s="5" t="n">
        <v>13</v>
      </c>
      <c r="E674" s="5" t="n">
        <v>100</v>
      </c>
      <c r="F674" t="inlineStr">
        <is>
          <t>Поступление</t>
        </is>
      </c>
      <c r="H674">
        <f>VLOOKUP(C674,Магазин!$A$2:$C$1000,2,0)</f>
        <v/>
      </c>
      <c r="I674">
        <f>VLOOKUP(D674,Товар!$A$2:$F$1000,3,0)</f>
        <v/>
      </c>
      <c r="J674">
        <f>VLOOKUP(D674,Товар!$A$2:$F$1000,5,0)</f>
        <v/>
      </c>
      <c r="K674">
        <f>IF(AND(H674="Промышленный",LEFT(I674,18)="Порошок стиральный",F674="Продажа",B674=DATE(2023,6,7)),E674*J674/1000,0)</f>
        <v/>
      </c>
    </row>
    <row r="675">
      <c r="A675" t="n">
        <v>674</v>
      </c>
      <c r="B675" s="1" t="n">
        <v>45079</v>
      </c>
      <c r="C675" s="5" t="inlineStr">
        <is>
          <t>M3</t>
        </is>
      </c>
      <c r="D675" s="5" t="n">
        <v>14</v>
      </c>
      <c r="E675" s="5" t="n">
        <v>100</v>
      </c>
      <c r="F675" t="inlineStr">
        <is>
          <t>Поступление</t>
        </is>
      </c>
      <c r="H675">
        <f>VLOOKUP(C675,Магазин!$A$2:$C$1000,2,0)</f>
        <v/>
      </c>
      <c r="I675">
        <f>VLOOKUP(D675,Товар!$A$2:$F$1000,3,0)</f>
        <v/>
      </c>
      <c r="J675">
        <f>VLOOKUP(D675,Товар!$A$2:$F$1000,5,0)</f>
        <v/>
      </c>
      <c r="K675">
        <f>IF(AND(H675="Промышленный",LEFT(I675,18)="Порошок стиральный",F675="Продажа",B675=DATE(2023,6,7)),E675*J675/1000,0)</f>
        <v/>
      </c>
    </row>
    <row r="676">
      <c r="A676" t="n">
        <v>675</v>
      </c>
      <c r="B676" s="1" t="n">
        <v>45079</v>
      </c>
      <c r="C676" s="5" t="inlineStr">
        <is>
          <t>M3</t>
        </is>
      </c>
      <c r="D676" s="5" t="n">
        <v>15</v>
      </c>
      <c r="E676" s="5" t="n">
        <v>100</v>
      </c>
      <c r="F676" t="inlineStr">
        <is>
          <t>Поступление</t>
        </is>
      </c>
      <c r="H676">
        <f>VLOOKUP(C676,Магазин!$A$2:$C$1000,2,0)</f>
        <v/>
      </c>
      <c r="I676">
        <f>VLOOKUP(D676,Товар!$A$2:$F$1000,3,0)</f>
        <v/>
      </c>
      <c r="J676">
        <f>VLOOKUP(D676,Товар!$A$2:$F$1000,5,0)</f>
        <v/>
      </c>
      <c r="K676">
        <f>IF(AND(H676="Промышленный",LEFT(I676,18)="Порошок стиральный",F676="Продажа",B676=DATE(2023,6,7)),E676*J676/1000,0)</f>
        <v/>
      </c>
    </row>
    <row r="677">
      <c r="A677" t="n">
        <v>676</v>
      </c>
      <c r="B677" s="1" t="n">
        <v>45079</v>
      </c>
      <c r="C677" s="5" t="inlineStr">
        <is>
          <t>M3</t>
        </is>
      </c>
      <c r="D677" s="5" t="n">
        <v>16</v>
      </c>
      <c r="E677" s="5" t="n">
        <v>100</v>
      </c>
      <c r="F677" t="inlineStr">
        <is>
          <t>Поступление</t>
        </is>
      </c>
      <c r="H677">
        <f>VLOOKUP(C677,Магазин!$A$2:$C$1000,2,0)</f>
        <v/>
      </c>
      <c r="I677">
        <f>VLOOKUP(D677,Товар!$A$2:$F$1000,3,0)</f>
        <v/>
      </c>
      <c r="J677">
        <f>VLOOKUP(D677,Товар!$A$2:$F$1000,5,0)</f>
        <v/>
      </c>
      <c r="K677">
        <f>IF(AND(H677="Промышленный",LEFT(I677,18)="Порошок стиральный",F677="Продажа",B677=DATE(2023,6,7)),E677*J677/1000,0)</f>
        <v/>
      </c>
    </row>
    <row r="678">
      <c r="A678" t="n">
        <v>677</v>
      </c>
      <c r="B678" s="1" t="n">
        <v>45079</v>
      </c>
      <c r="C678" s="5" t="inlineStr">
        <is>
          <t>M3</t>
        </is>
      </c>
      <c r="D678" s="5" t="n">
        <v>17</v>
      </c>
      <c r="E678" s="5" t="n">
        <v>100</v>
      </c>
      <c r="F678" t="inlineStr">
        <is>
          <t>Поступление</t>
        </is>
      </c>
      <c r="H678">
        <f>VLOOKUP(C678,Магазин!$A$2:$C$1000,2,0)</f>
        <v/>
      </c>
      <c r="I678">
        <f>VLOOKUP(D678,Товар!$A$2:$F$1000,3,0)</f>
        <v/>
      </c>
      <c r="J678">
        <f>VLOOKUP(D678,Товар!$A$2:$F$1000,5,0)</f>
        <v/>
      </c>
      <c r="K678">
        <f>IF(AND(H678="Промышленный",LEFT(I678,18)="Порошок стиральный",F678="Продажа",B678=DATE(2023,6,7)),E678*J678/1000,0)</f>
        <v/>
      </c>
    </row>
    <row r="679">
      <c r="A679" t="n">
        <v>678</v>
      </c>
      <c r="B679" s="1" t="n">
        <v>45079</v>
      </c>
      <c r="C679" s="5" t="inlineStr">
        <is>
          <t>M3</t>
        </is>
      </c>
      <c r="D679" s="5" t="n">
        <v>18</v>
      </c>
      <c r="E679" s="5" t="n">
        <v>100</v>
      </c>
      <c r="F679" t="inlineStr">
        <is>
          <t>Поступление</t>
        </is>
      </c>
      <c r="H679">
        <f>VLOOKUP(C679,Магазин!$A$2:$C$1000,2,0)</f>
        <v/>
      </c>
      <c r="I679">
        <f>VLOOKUP(D679,Товар!$A$2:$F$1000,3,0)</f>
        <v/>
      </c>
      <c r="J679">
        <f>VLOOKUP(D679,Товар!$A$2:$F$1000,5,0)</f>
        <v/>
      </c>
      <c r="K679">
        <f>IF(AND(H679="Промышленный",LEFT(I679,18)="Порошок стиральный",F679="Продажа",B679=DATE(2023,6,7)),E679*J679/1000,0)</f>
        <v/>
      </c>
    </row>
    <row r="680">
      <c r="A680" t="n">
        <v>679</v>
      </c>
      <c r="B680" s="1" t="n">
        <v>45079</v>
      </c>
      <c r="C680" s="5" t="inlineStr">
        <is>
          <t>M3</t>
        </is>
      </c>
      <c r="D680" s="5" t="n">
        <v>19</v>
      </c>
      <c r="E680" s="5" t="n">
        <v>100</v>
      </c>
      <c r="F680" t="inlineStr">
        <is>
          <t>Поступление</t>
        </is>
      </c>
      <c r="H680">
        <f>VLOOKUP(C680,Магазин!$A$2:$C$1000,2,0)</f>
        <v/>
      </c>
      <c r="I680">
        <f>VLOOKUP(D680,Товар!$A$2:$F$1000,3,0)</f>
        <v/>
      </c>
      <c r="J680">
        <f>VLOOKUP(D680,Товар!$A$2:$F$1000,5,0)</f>
        <v/>
      </c>
      <c r="K680">
        <f>IF(AND(H680="Промышленный",LEFT(I680,18)="Порошок стиральный",F680="Продажа",B680=DATE(2023,6,7)),E680*J680/1000,0)</f>
        <v/>
      </c>
    </row>
    <row r="681">
      <c r="A681" t="n">
        <v>680</v>
      </c>
      <c r="B681" s="1" t="n">
        <v>45079</v>
      </c>
      <c r="C681" s="5" t="inlineStr">
        <is>
          <t>M3</t>
        </is>
      </c>
      <c r="D681" s="5" t="n">
        <v>20</v>
      </c>
      <c r="E681" s="5" t="n">
        <v>100</v>
      </c>
      <c r="F681" t="inlineStr">
        <is>
          <t>Поступление</t>
        </is>
      </c>
      <c r="H681">
        <f>VLOOKUP(C681,Магазин!$A$2:$C$1000,2,0)</f>
        <v/>
      </c>
      <c r="I681">
        <f>VLOOKUP(D681,Товар!$A$2:$F$1000,3,0)</f>
        <v/>
      </c>
      <c r="J681">
        <f>VLOOKUP(D681,Товар!$A$2:$F$1000,5,0)</f>
        <v/>
      </c>
      <c r="K681">
        <f>IF(AND(H681="Промышленный",LEFT(I681,18)="Порошок стиральный",F681="Продажа",B681=DATE(2023,6,7)),E681*J681/1000,0)</f>
        <v/>
      </c>
    </row>
    <row r="682">
      <c r="A682" t="n">
        <v>681</v>
      </c>
      <c r="B682" s="1" t="n">
        <v>45079</v>
      </c>
      <c r="C682" s="5" t="inlineStr">
        <is>
          <t>M3</t>
        </is>
      </c>
      <c r="D682" s="5" t="n">
        <v>21</v>
      </c>
      <c r="E682" s="5" t="n">
        <v>100</v>
      </c>
      <c r="F682" t="inlineStr">
        <is>
          <t>Поступление</t>
        </is>
      </c>
      <c r="H682">
        <f>VLOOKUP(C682,Магазин!$A$2:$C$1000,2,0)</f>
        <v/>
      </c>
      <c r="I682">
        <f>VLOOKUP(D682,Товар!$A$2:$F$1000,3,0)</f>
        <v/>
      </c>
      <c r="J682">
        <f>VLOOKUP(D682,Товар!$A$2:$F$1000,5,0)</f>
        <v/>
      </c>
      <c r="K682">
        <f>IF(AND(H682="Промышленный",LEFT(I682,18)="Порошок стиральный",F682="Продажа",B682=DATE(2023,6,7)),E682*J682/1000,0)</f>
        <v/>
      </c>
    </row>
    <row r="683">
      <c r="A683" t="n">
        <v>682</v>
      </c>
      <c r="B683" s="1" t="n">
        <v>45079</v>
      </c>
      <c r="C683" s="5" t="inlineStr">
        <is>
          <t>M3</t>
        </is>
      </c>
      <c r="D683" s="5" t="n">
        <v>22</v>
      </c>
      <c r="E683" s="5" t="n">
        <v>100</v>
      </c>
      <c r="F683" t="inlineStr">
        <is>
          <t>Поступление</t>
        </is>
      </c>
      <c r="H683">
        <f>VLOOKUP(C683,Магазин!$A$2:$C$1000,2,0)</f>
        <v/>
      </c>
      <c r="I683">
        <f>VLOOKUP(D683,Товар!$A$2:$F$1000,3,0)</f>
        <v/>
      </c>
      <c r="J683">
        <f>VLOOKUP(D683,Товар!$A$2:$F$1000,5,0)</f>
        <v/>
      </c>
      <c r="K683">
        <f>IF(AND(H683="Промышленный",LEFT(I683,18)="Порошок стиральный",F683="Продажа",B683=DATE(2023,6,7)),E683*J683/1000,0)</f>
        <v/>
      </c>
    </row>
    <row r="684">
      <c r="A684" t="n">
        <v>683</v>
      </c>
      <c r="B684" s="1" t="n">
        <v>45079</v>
      </c>
      <c r="C684" s="5" t="inlineStr">
        <is>
          <t>M3</t>
        </is>
      </c>
      <c r="D684" s="5" t="n">
        <v>23</v>
      </c>
      <c r="E684" s="5" t="n">
        <v>100</v>
      </c>
      <c r="F684" t="inlineStr">
        <is>
          <t>Поступление</t>
        </is>
      </c>
      <c r="H684">
        <f>VLOOKUP(C684,Магазин!$A$2:$C$1000,2,0)</f>
        <v/>
      </c>
      <c r="I684">
        <f>VLOOKUP(D684,Товар!$A$2:$F$1000,3,0)</f>
        <v/>
      </c>
      <c r="J684">
        <f>VLOOKUP(D684,Товар!$A$2:$F$1000,5,0)</f>
        <v/>
      </c>
      <c r="K684">
        <f>IF(AND(H684="Промышленный",LEFT(I684,18)="Порошок стиральный",F684="Продажа",B684=DATE(2023,6,7)),E684*J684/1000,0)</f>
        <v/>
      </c>
    </row>
    <row r="685">
      <c r="A685" t="n">
        <v>684</v>
      </c>
      <c r="B685" s="1" t="n">
        <v>45079</v>
      </c>
      <c r="C685" s="5" t="inlineStr">
        <is>
          <t>M3</t>
        </is>
      </c>
      <c r="D685" s="5" t="n">
        <v>24</v>
      </c>
      <c r="E685" s="5" t="n">
        <v>100</v>
      </c>
      <c r="F685" t="inlineStr">
        <is>
          <t>Поступление</t>
        </is>
      </c>
      <c r="H685">
        <f>VLOOKUP(C685,Магазин!$A$2:$C$1000,2,0)</f>
        <v/>
      </c>
      <c r="I685">
        <f>VLOOKUP(D685,Товар!$A$2:$F$1000,3,0)</f>
        <v/>
      </c>
      <c r="J685">
        <f>VLOOKUP(D685,Товар!$A$2:$F$1000,5,0)</f>
        <v/>
      </c>
      <c r="K685">
        <f>IF(AND(H685="Промышленный",LEFT(I685,18)="Порошок стиральный",F685="Продажа",B685=DATE(2023,6,7)),E685*J685/1000,0)</f>
        <v/>
      </c>
    </row>
    <row r="686">
      <c r="A686" t="n">
        <v>685</v>
      </c>
      <c r="B686" s="1" t="n">
        <v>45079</v>
      </c>
      <c r="C686" s="5" t="inlineStr">
        <is>
          <t>M3</t>
        </is>
      </c>
      <c r="D686" s="5" t="n">
        <v>25</v>
      </c>
      <c r="E686" s="5" t="n">
        <v>100</v>
      </c>
      <c r="F686" t="inlineStr">
        <is>
          <t>Поступление</t>
        </is>
      </c>
      <c r="H686">
        <f>VLOOKUP(C686,Магазин!$A$2:$C$1000,2,0)</f>
        <v/>
      </c>
      <c r="I686">
        <f>VLOOKUP(D686,Товар!$A$2:$F$1000,3,0)</f>
        <v/>
      </c>
      <c r="J686">
        <f>VLOOKUP(D686,Товар!$A$2:$F$1000,5,0)</f>
        <v/>
      </c>
      <c r="K686">
        <f>IF(AND(H686="Промышленный",LEFT(I686,18)="Порошок стиральный",F686="Продажа",B686=DATE(2023,6,7)),E686*J686/1000,0)</f>
        <v/>
      </c>
    </row>
    <row r="687">
      <c r="A687" t="n">
        <v>686</v>
      </c>
      <c r="B687" s="1" t="n">
        <v>45079</v>
      </c>
      <c r="C687" s="5" t="inlineStr">
        <is>
          <t>M3</t>
        </is>
      </c>
      <c r="D687" s="5" t="n">
        <v>26</v>
      </c>
      <c r="E687" s="5" t="n">
        <v>100</v>
      </c>
      <c r="F687" t="inlineStr">
        <is>
          <t>Поступление</t>
        </is>
      </c>
      <c r="H687">
        <f>VLOOKUP(C687,Магазин!$A$2:$C$1000,2,0)</f>
        <v/>
      </c>
      <c r="I687">
        <f>VLOOKUP(D687,Товар!$A$2:$F$1000,3,0)</f>
        <v/>
      </c>
      <c r="J687">
        <f>VLOOKUP(D687,Товар!$A$2:$F$1000,5,0)</f>
        <v/>
      </c>
      <c r="K687">
        <f>IF(AND(H687="Промышленный",LEFT(I687,18)="Порошок стиральный",F687="Продажа",B687=DATE(2023,6,7)),E687*J687/1000,0)</f>
        <v/>
      </c>
    </row>
    <row r="688">
      <c r="A688" t="n">
        <v>687</v>
      </c>
      <c r="B688" s="1" t="n">
        <v>45079</v>
      </c>
      <c r="C688" s="5" t="inlineStr">
        <is>
          <t>M3</t>
        </is>
      </c>
      <c r="D688" s="5" t="n">
        <v>27</v>
      </c>
      <c r="E688" s="5" t="n">
        <v>100</v>
      </c>
      <c r="F688" t="inlineStr">
        <is>
          <t>Поступление</t>
        </is>
      </c>
      <c r="H688">
        <f>VLOOKUP(C688,Магазин!$A$2:$C$1000,2,0)</f>
        <v/>
      </c>
      <c r="I688">
        <f>VLOOKUP(D688,Товар!$A$2:$F$1000,3,0)</f>
        <v/>
      </c>
      <c r="J688">
        <f>VLOOKUP(D688,Товар!$A$2:$F$1000,5,0)</f>
        <v/>
      </c>
      <c r="K688">
        <f>IF(AND(H688="Промышленный",LEFT(I688,18)="Порошок стиральный",F688="Продажа",B688=DATE(2023,6,7)),E688*J688/1000,0)</f>
        <v/>
      </c>
    </row>
    <row r="689">
      <c r="A689" t="n">
        <v>688</v>
      </c>
      <c r="B689" s="1" t="n">
        <v>45079</v>
      </c>
      <c r="C689" s="5" t="inlineStr">
        <is>
          <t>M3</t>
        </is>
      </c>
      <c r="D689" s="5" t="n">
        <v>28</v>
      </c>
      <c r="E689" s="5" t="n">
        <v>100</v>
      </c>
      <c r="F689" t="inlineStr">
        <is>
          <t>Поступление</t>
        </is>
      </c>
      <c r="H689">
        <f>VLOOKUP(C689,Магазин!$A$2:$C$1000,2,0)</f>
        <v/>
      </c>
      <c r="I689">
        <f>VLOOKUP(D689,Товар!$A$2:$F$1000,3,0)</f>
        <v/>
      </c>
      <c r="J689">
        <f>VLOOKUP(D689,Товар!$A$2:$F$1000,5,0)</f>
        <v/>
      </c>
      <c r="K689">
        <f>IF(AND(H689="Промышленный",LEFT(I689,18)="Порошок стиральный",F689="Продажа",B689=DATE(2023,6,7)),E689*J689/1000,0)</f>
        <v/>
      </c>
    </row>
    <row r="690">
      <c r="A690" t="n">
        <v>689</v>
      </c>
      <c r="B690" s="1" t="n">
        <v>45079</v>
      </c>
      <c r="C690" s="5" t="inlineStr">
        <is>
          <t>M3</t>
        </is>
      </c>
      <c r="D690" s="5" t="n">
        <v>29</v>
      </c>
      <c r="E690" s="5" t="n">
        <v>100</v>
      </c>
      <c r="F690" t="inlineStr">
        <is>
          <t>Поступление</t>
        </is>
      </c>
      <c r="H690">
        <f>VLOOKUP(C690,Магазин!$A$2:$C$1000,2,0)</f>
        <v/>
      </c>
      <c r="I690">
        <f>VLOOKUP(D690,Товар!$A$2:$F$1000,3,0)</f>
        <v/>
      </c>
      <c r="J690">
        <f>VLOOKUP(D690,Товар!$A$2:$F$1000,5,0)</f>
        <v/>
      </c>
      <c r="K690">
        <f>IF(AND(H690="Промышленный",LEFT(I690,18)="Порошок стиральный",F690="Продажа",B690=DATE(2023,6,7)),E690*J690/1000,0)</f>
        <v/>
      </c>
    </row>
    <row r="691">
      <c r="A691" t="n">
        <v>690</v>
      </c>
      <c r="B691" s="1" t="n">
        <v>45079</v>
      </c>
      <c r="C691" s="5" t="inlineStr">
        <is>
          <t>M3</t>
        </is>
      </c>
      <c r="D691" s="5" t="n">
        <v>30</v>
      </c>
      <c r="E691" s="5" t="n">
        <v>100</v>
      </c>
      <c r="F691" t="inlineStr">
        <is>
          <t>Поступление</t>
        </is>
      </c>
      <c r="H691">
        <f>VLOOKUP(C691,Магазин!$A$2:$C$1000,2,0)</f>
        <v/>
      </c>
      <c r="I691">
        <f>VLOOKUP(D691,Товар!$A$2:$F$1000,3,0)</f>
        <v/>
      </c>
      <c r="J691">
        <f>VLOOKUP(D691,Товар!$A$2:$F$1000,5,0)</f>
        <v/>
      </c>
      <c r="K691">
        <f>IF(AND(H691="Промышленный",LEFT(I691,18)="Порошок стиральный",F691="Продажа",B691=DATE(2023,6,7)),E691*J691/1000,0)</f>
        <v/>
      </c>
    </row>
    <row r="692">
      <c r="A692" t="n">
        <v>691</v>
      </c>
      <c r="B692" s="1" t="n">
        <v>45079</v>
      </c>
      <c r="C692" s="5" t="inlineStr">
        <is>
          <t>M3</t>
        </is>
      </c>
      <c r="D692" s="5" t="n">
        <v>31</v>
      </c>
      <c r="E692" s="5" t="n">
        <v>100</v>
      </c>
      <c r="F692" t="inlineStr">
        <is>
          <t>Поступление</t>
        </is>
      </c>
      <c r="H692">
        <f>VLOOKUP(C692,Магазин!$A$2:$C$1000,2,0)</f>
        <v/>
      </c>
      <c r="I692">
        <f>VLOOKUP(D692,Товар!$A$2:$F$1000,3,0)</f>
        <v/>
      </c>
      <c r="J692">
        <f>VLOOKUP(D692,Товар!$A$2:$F$1000,5,0)</f>
        <v/>
      </c>
      <c r="K692">
        <f>IF(AND(H692="Промышленный",LEFT(I692,18)="Порошок стиральный",F692="Продажа",B692=DATE(2023,6,7)),E692*J692/1000,0)</f>
        <v/>
      </c>
    </row>
    <row r="693">
      <c r="A693" t="n">
        <v>692</v>
      </c>
      <c r="B693" s="1" t="n">
        <v>45079</v>
      </c>
      <c r="C693" s="5" t="inlineStr">
        <is>
          <t>M3</t>
        </is>
      </c>
      <c r="D693" s="5" t="n">
        <v>32</v>
      </c>
      <c r="E693" s="5" t="n">
        <v>100</v>
      </c>
      <c r="F693" t="inlineStr">
        <is>
          <t>Поступление</t>
        </is>
      </c>
      <c r="H693">
        <f>VLOOKUP(C693,Магазин!$A$2:$C$1000,2,0)</f>
        <v/>
      </c>
      <c r="I693">
        <f>VLOOKUP(D693,Товар!$A$2:$F$1000,3,0)</f>
        <v/>
      </c>
      <c r="J693">
        <f>VLOOKUP(D693,Товар!$A$2:$F$1000,5,0)</f>
        <v/>
      </c>
      <c r="K693">
        <f>IF(AND(H693="Промышленный",LEFT(I693,18)="Порошок стиральный",F693="Продажа",B693=DATE(2023,6,7)),E693*J693/1000,0)</f>
        <v/>
      </c>
    </row>
    <row r="694">
      <c r="A694" t="n">
        <v>693</v>
      </c>
      <c r="B694" s="1" t="n">
        <v>45079</v>
      </c>
      <c r="C694" s="5" t="inlineStr">
        <is>
          <t>M3</t>
        </is>
      </c>
      <c r="D694" s="5" t="n">
        <v>33</v>
      </c>
      <c r="E694" s="5" t="n">
        <v>100</v>
      </c>
      <c r="F694" t="inlineStr">
        <is>
          <t>Поступление</t>
        </is>
      </c>
      <c r="H694">
        <f>VLOOKUP(C694,Магазин!$A$2:$C$1000,2,0)</f>
        <v/>
      </c>
      <c r="I694">
        <f>VLOOKUP(D694,Товар!$A$2:$F$1000,3,0)</f>
        <v/>
      </c>
      <c r="J694">
        <f>VLOOKUP(D694,Товар!$A$2:$F$1000,5,0)</f>
        <v/>
      </c>
      <c r="K694">
        <f>IF(AND(H694="Промышленный",LEFT(I694,18)="Порошок стиральный",F694="Продажа",B694=DATE(2023,6,7)),E694*J694/1000,0)</f>
        <v/>
      </c>
    </row>
    <row r="695">
      <c r="A695" t="n">
        <v>694</v>
      </c>
      <c r="B695" s="1" t="n">
        <v>45079</v>
      </c>
      <c r="C695" s="5" t="inlineStr">
        <is>
          <t>M3</t>
        </is>
      </c>
      <c r="D695" s="5" t="n">
        <v>34</v>
      </c>
      <c r="E695" s="5" t="n">
        <v>100</v>
      </c>
      <c r="F695" t="inlineStr">
        <is>
          <t>Поступление</t>
        </is>
      </c>
      <c r="H695">
        <f>VLOOKUP(C695,Магазин!$A$2:$C$1000,2,0)</f>
        <v/>
      </c>
      <c r="I695">
        <f>VLOOKUP(D695,Товар!$A$2:$F$1000,3,0)</f>
        <v/>
      </c>
      <c r="J695">
        <f>VLOOKUP(D695,Товар!$A$2:$F$1000,5,0)</f>
        <v/>
      </c>
      <c r="K695">
        <f>IF(AND(H695="Промышленный",LEFT(I695,18)="Порошок стиральный",F695="Продажа",B695=DATE(2023,6,7)),E695*J695/1000,0)</f>
        <v/>
      </c>
    </row>
    <row r="696">
      <c r="A696" t="n">
        <v>695</v>
      </c>
      <c r="B696" s="1" t="n">
        <v>45079</v>
      </c>
      <c r="C696" s="5" t="inlineStr">
        <is>
          <t>M3</t>
        </is>
      </c>
      <c r="D696" s="5" t="n">
        <v>35</v>
      </c>
      <c r="E696" s="5" t="n">
        <v>100</v>
      </c>
      <c r="F696" t="inlineStr">
        <is>
          <t>Поступление</t>
        </is>
      </c>
      <c r="H696">
        <f>VLOOKUP(C696,Магазин!$A$2:$C$1000,2,0)</f>
        <v/>
      </c>
      <c r="I696">
        <f>VLOOKUP(D696,Товар!$A$2:$F$1000,3,0)</f>
        <v/>
      </c>
      <c r="J696">
        <f>VLOOKUP(D696,Товар!$A$2:$F$1000,5,0)</f>
        <v/>
      </c>
      <c r="K696">
        <f>IF(AND(H696="Промышленный",LEFT(I696,18)="Порошок стиральный",F696="Продажа",B696=DATE(2023,6,7)),E696*J696/1000,0)</f>
        <v/>
      </c>
    </row>
    <row r="697">
      <c r="A697" t="n">
        <v>696</v>
      </c>
      <c r="B697" s="1" t="n">
        <v>45079</v>
      </c>
      <c r="C697" s="5" t="inlineStr">
        <is>
          <t>M3</t>
        </is>
      </c>
      <c r="D697" s="5" t="n">
        <v>36</v>
      </c>
      <c r="E697" s="5" t="n">
        <v>100</v>
      </c>
      <c r="F697" t="inlineStr">
        <is>
          <t>Поступление</t>
        </is>
      </c>
      <c r="H697">
        <f>VLOOKUP(C697,Магазин!$A$2:$C$1000,2,0)</f>
        <v/>
      </c>
      <c r="I697">
        <f>VLOOKUP(D697,Товар!$A$2:$F$1000,3,0)</f>
        <v/>
      </c>
      <c r="J697">
        <f>VLOOKUP(D697,Товар!$A$2:$F$1000,5,0)</f>
        <v/>
      </c>
      <c r="K697">
        <f>IF(AND(H697="Промышленный",LEFT(I697,18)="Порошок стиральный",F697="Продажа",B697=DATE(2023,6,7)),E697*J697/1000,0)</f>
        <v/>
      </c>
    </row>
    <row r="698">
      <c r="A698" t="n">
        <v>697</v>
      </c>
      <c r="B698" s="1" t="n">
        <v>45079</v>
      </c>
      <c r="C698" s="5" t="inlineStr">
        <is>
          <t>M3</t>
        </is>
      </c>
      <c r="D698" s="5" t="n">
        <v>37</v>
      </c>
      <c r="E698" s="5" t="n">
        <v>200</v>
      </c>
      <c r="F698" t="inlineStr">
        <is>
          <t>Поступление</t>
        </is>
      </c>
      <c r="H698">
        <f>VLOOKUP(C698,Магазин!$A$2:$C$1000,2,0)</f>
        <v/>
      </c>
      <c r="I698">
        <f>VLOOKUP(D698,Товар!$A$2:$F$1000,3,0)</f>
        <v/>
      </c>
      <c r="J698">
        <f>VLOOKUP(D698,Товар!$A$2:$F$1000,5,0)</f>
        <v/>
      </c>
      <c r="K698">
        <f>IF(AND(H698="Промышленный",LEFT(I698,18)="Порошок стиральный",F698="Продажа",B698=DATE(2023,6,7)),E698*J698/1000,0)</f>
        <v/>
      </c>
    </row>
    <row r="699">
      <c r="A699" t="n">
        <v>698</v>
      </c>
      <c r="B699" s="1" t="n">
        <v>45079</v>
      </c>
      <c r="C699" s="5" t="inlineStr">
        <is>
          <t>M3</t>
        </is>
      </c>
      <c r="D699" s="5" t="n">
        <v>38</v>
      </c>
      <c r="E699" s="5" t="n">
        <v>200</v>
      </c>
      <c r="F699" t="inlineStr">
        <is>
          <t>Поступление</t>
        </is>
      </c>
      <c r="H699">
        <f>VLOOKUP(C699,Магазин!$A$2:$C$1000,2,0)</f>
        <v/>
      </c>
      <c r="I699">
        <f>VLOOKUP(D699,Товар!$A$2:$F$1000,3,0)</f>
        <v/>
      </c>
      <c r="J699">
        <f>VLOOKUP(D699,Товар!$A$2:$F$1000,5,0)</f>
        <v/>
      </c>
      <c r="K699">
        <f>IF(AND(H699="Промышленный",LEFT(I699,18)="Порошок стиральный",F699="Продажа",B699=DATE(2023,6,7)),E699*J699/1000,0)</f>
        <v/>
      </c>
    </row>
    <row r="700">
      <c r="A700" t="n">
        <v>699</v>
      </c>
      <c r="B700" s="1" t="n">
        <v>45079</v>
      </c>
      <c r="C700" s="5" t="inlineStr">
        <is>
          <t>M3</t>
        </is>
      </c>
      <c r="D700" s="5" t="n">
        <v>39</v>
      </c>
      <c r="E700" s="5" t="n">
        <v>200</v>
      </c>
      <c r="F700" t="inlineStr">
        <is>
          <t>Поступление</t>
        </is>
      </c>
      <c r="H700">
        <f>VLOOKUP(C700,Магазин!$A$2:$C$1000,2,0)</f>
        <v/>
      </c>
      <c r="I700">
        <f>VLOOKUP(D700,Товар!$A$2:$F$1000,3,0)</f>
        <v/>
      </c>
      <c r="J700">
        <f>VLOOKUP(D700,Товар!$A$2:$F$1000,5,0)</f>
        <v/>
      </c>
      <c r="K700">
        <f>IF(AND(H700="Промышленный",LEFT(I700,18)="Порошок стиральный",F700="Продажа",B700=DATE(2023,6,7)),E700*J700/1000,0)</f>
        <v/>
      </c>
    </row>
    <row r="701">
      <c r="A701" t="n">
        <v>700</v>
      </c>
      <c r="B701" s="1" t="n">
        <v>45079</v>
      </c>
      <c r="C701" s="5" t="inlineStr">
        <is>
          <t>M3</t>
        </is>
      </c>
      <c r="D701" s="5" t="n">
        <v>40</v>
      </c>
      <c r="E701" s="5" t="n">
        <v>200</v>
      </c>
      <c r="F701" t="inlineStr">
        <is>
          <t>Поступление</t>
        </is>
      </c>
      <c r="H701">
        <f>VLOOKUP(C701,Магазин!$A$2:$C$1000,2,0)</f>
        <v/>
      </c>
      <c r="I701">
        <f>VLOOKUP(D701,Товар!$A$2:$F$1000,3,0)</f>
        <v/>
      </c>
      <c r="J701">
        <f>VLOOKUP(D701,Товар!$A$2:$F$1000,5,0)</f>
        <v/>
      </c>
      <c r="K701">
        <f>IF(AND(H701="Промышленный",LEFT(I701,18)="Порошок стиральный",F701="Продажа",B701=DATE(2023,6,7)),E701*J701/1000,0)</f>
        <v/>
      </c>
    </row>
    <row r="702">
      <c r="A702" t="n">
        <v>701</v>
      </c>
      <c r="B702" s="1" t="n">
        <v>45079</v>
      </c>
      <c r="C702" s="5" t="inlineStr">
        <is>
          <t>M3</t>
        </is>
      </c>
      <c r="D702" s="5" t="n">
        <v>41</v>
      </c>
      <c r="E702" s="5" t="n">
        <v>200</v>
      </c>
      <c r="F702" t="inlineStr">
        <is>
          <t>Поступление</t>
        </is>
      </c>
      <c r="H702">
        <f>VLOOKUP(C702,Магазин!$A$2:$C$1000,2,0)</f>
        <v/>
      </c>
      <c r="I702">
        <f>VLOOKUP(D702,Товар!$A$2:$F$1000,3,0)</f>
        <v/>
      </c>
      <c r="J702">
        <f>VLOOKUP(D702,Товар!$A$2:$F$1000,5,0)</f>
        <v/>
      </c>
      <c r="K702">
        <f>IF(AND(H702="Промышленный",LEFT(I702,18)="Порошок стиральный",F702="Продажа",B702=DATE(2023,6,7)),E702*J702/1000,0)</f>
        <v/>
      </c>
    </row>
    <row r="703">
      <c r="A703" t="n">
        <v>702</v>
      </c>
      <c r="B703" s="1" t="n">
        <v>45079</v>
      </c>
      <c r="C703" s="5" t="inlineStr">
        <is>
          <t>M3</t>
        </is>
      </c>
      <c r="D703" s="5" t="n">
        <v>42</v>
      </c>
      <c r="E703" s="5" t="n">
        <v>200</v>
      </c>
      <c r="F703" t="inlineStr">
        <is>
          <t>Поступление</t>
        </is>
      </c>
      <c r="H703">
        <f>VLOOKUP(C703,Магазин!$A$2:$C$1000,2,0)</f>
        <v/>
      </c>
      <c r="I703">
        <f>VLOOKUP(D703,Товар!$A$2:$F$1000,3,0)</f>
        <v/>
      </c>
      <c r="J703">
        <f>VLOOKUP(D703,Товар!$A$2:$F$1000,5,0)</f>
        <v/>
      </c>
      <c r="K703">
        <f>IF(AND(H703="Промышленный",LEFT(I703,18)="Порошок стиральный",F703="Продажа",B703=DATE(2023,6,7)),E703*J703/1000,0)</f>
        <v/>
      </c>
    </row>
    <row r="704">
      <c r="A704" t="n">
        <v>703</v>
      </c>
      <c r="B704" s="1" t="n">
        <v>45079</v>
      </c>
      <c r="C704" s="5" t="inlineStr">
        <is>
          <t>M3</t>
        </is>
      </c>
      <c r="D704" s="5" t="n">
        <v>43</v>
      </c>
      <c r="E704" s="5" t="n">
        <v>200</v>
      </c>
      <c r="F704" t="inlineStr">
        <is>
          <t>Поступление</t>
        </is>
      </c>
      <c r="H704">
        <f>VLOOKUP(C704,Магазин!$A$2:$C$1000,2,0)</f>
        <v/>
      </c>
      <c r="I704">
        <f>VLOOKUP(D704,Товар!$A$2:$F$1000,3,0)</f>
        <v/>
      </c>
      <c r="J704">
        <f>VLOOKUP(D704,Товар!$A$2:$F$1000,5,0)</f>
        <v/>
      </c>
      <c r="K704">
        <f>IF(AND(H704="Промышленный",LEFT(I704,18)="Порошок стиральный",F704="Продажа",B704=DATE(2023,6,7)),E704*J704/1000,0)</f>
        <v/>
      </c>
    </row>
    <row r="705">
      <c r="A705" t="n">
        <v>704</v>
      </c>
      <c r="B705" s="1" t="n">
        <v>45079</v>
      </c>
      <c r="C705" s="5" t="inlineStr">
        <is>
          <t>M3</t>
        </is>
      </c>
      <c r="D705" s="5" t="n">
        <v>44</v>
      </c>
      <c r="E705" s="5" t="n">
        <v>200</v>
      </c>
      <c r="F705" t="inlineStr">
        <is>
          <t>Поступление</t>
        </is>
      </c>
      <c r="H705">
        <f>VLOOKUP(C705,Магазин!$A$2:$C$1000,2,0)</f>
        <v/>
      </c>
      <c r="I705">
        <f>VLOOKUP(D705,Товар!$A$2:$F$1000,3,0)</f>
        <v/>
      </c>
      <c r="J705">
        <f>VLOOKUP(D705,Товар!$A$2:$F$1000,5,0)</f>
        <v/>
      </c>
      <c r="K705">
        <f>IF(AND(H705="Промышленный",LEFT(I705,18)="Порошок стиральный",F705="Продажа",B705=DATE(2023,6,7)),E705*J705/1000,0)</f>
        <v/>
      </c>
    </row>
    <row r="706">
      <c r="A706" t="n">
        <v>705</v>
      </c>
      <c r="B706" s="1" t="n">
        <v>45079</v>
      </c>
      <c r="C706" s="5" t="inlineStr">
        <is>
          <t>M3</t>
        </is>
      </c>
      <c r="D706" s="5" t="n">
        <v>45</v>
      </c>
      <c r="E706" s="5" t="n">
        <v>200</v>
      </c>
      <c r="F706" t="inlineStr">
        <is>
          <t>Поступление</t>
        </is>
      </c>
      <c r="H706">
        <f>VLOOKUP(C706,Магазин!$A$2:$C$1000,2,0)</f>
        <v/>
      </c>
      <c r="I706">
        <f>VLOOKUP(D706,Товар!$A$2:$F$1000,3,0)</f>
        <v/>
      </c>
      <c r="J706">
        <f>VLOOKUP(D706,Товар!$A$2:$F$1000,5,0)</f>
        <v/>
      </c>
      <c r="K706">
        <f>IF(AND(H706="Промышленный",LEFT(I706,18)="Порошок стиральный",F706="Продажа",B706=DATE(2023,6,7)),E706*J706/1000,0)</f>
        <v/>
      </c>
    </row>
    <row r="707">
      <c r="A707" t="n">
        <v>706</v>
      </c>
      <c r="B707" s="1" t="n">
        <v>45079</v>
      </c>
      <c r="C707" s="5" t="inlineStr">
        <is>
          <t>M3</t>
        </is>
      </c>
      <c r="D707" s="5" t="n">
        <v>46</v>
      </c>
      <c r="E707" s="5" t="n">
        <v>200</v>
      </c>
      <c r="F707" t="inlineStr">
        <is>
          <t>Поступление</t>
        </is>
      </c>
      <c r="H707">
        <f>VLOOKUP(C707,Магазин!$A$2:$C$1000,2,0)</f>
        <v/>
      </c>
      <c r="I707">
        <f>VLOOKUP(D707,Товар!$A$2:$F$1000,3,0)</f>
        <v/>
      </c>
      <c r="J707">
        <f>VLOOKUP(D707,Товар!$A$2:$F$1000,5,0)</f>
        <v/>
      </c>
      <c r="K707">
        <f>IF(AND(H707="Промышленный",LEFT(I707,18)="Порошок стиральный",F707="Продажа",B707=DATE(2023,6,7)),E707*J707/1000,0)</f>
        <v/>
      </c>
    </row>
    <row r="708">
      <c r="A708" t="n">
        <v>707</v>
      </c>
      <c r="B708" s="1" t="n">
        <v>45079</v>
      </c>
      <c r="C708" s="5" t="inlineStr">
        <is>
          <t>M3</t>
        </is>
      </c>
      <c r="D708" s="5" t="n">
        <v>47</v>
      </c>
      <c r="E708" s="5" t="n">
        <v>200</v>
      </c>
      <c r="F708" t="inlineStr">
        <is>
          <t>Поступление</t>
        </is>
      </c>
      <c r="H708">
        <f>VLOOKUP(C708,Магазин!$A$2:$C$1000,2,0)</f>
        <v/>
      </c>
      <c r="I708">
        <f>VLOOKUP(D708,Товар!$A$2:$F$1000,3,0)</f>
        <v/>
      </c>
      <c r="J708">
        <f>VLOOKUP(D708,Товар!$A$2:$F$1000,5,0)</f>
        <v/>
      </c>
      <c r="K708">
        <f>IF(AND(H708="Промышленный",LEFT(I708,18)="Порошок стиральный",F708="Продажа",B708=DATE(2023,6,7)),E708*J708/1000,0)</f>
        <v/>
      </c>
    </row>
    <row r="709">
      <c r="A709" t="n">
        <v>708</v>
      </c>
      <c r="B709" s="1" t="n">
        <v>45079</v>
      </c>
      <c r="C709" s="5" t="inlineStr">
        <is>
          <t>M3</t>
        </is>
      </c>
      <c r="D709" s="5" t="n">
        <v>48</v>
      </c>
      <c r="E709" s="5" t="n">
        <v>200</v>
      </c>
      <c r="F709" t="inlineStr">
        <is>
          <t>Поступление</t>
        </is>
      </c>
      <c r="H709">
        <f>VLOOKUP(C709,Магазин!$A$2:$C$1000,2,0)</f>
        <v/>
      </c>
      <c r="I709">
        <f>VLOOKUP(D709,Товар!$A$2:$F$1000,3,0)</f>
        <v/>
      </c>
      <c r="J709">
        <f>VLOOKUP(D709,Товар!$A$2:$F$1000,5,0)</f>
        <v/>
      </c>
      <c r="K709">
        <f>IF(AND(H709="Промышленный",LEFT(I709,18)="Порошок стиральный",F709="Продажа",B709=DATE(2023,6,7)),E709*J709/1000,0)</f>
        <v/>
      </c>
    </row>
    <row r="710">
      <c r="A710" t="n">
        <v>709</v>
      </c>
      <c r="B710" s="1" t="n">
        <v>45079</v>
      </c>
      <c r="C710" s="5" t="inlineStr">
        <is>
          <t>M3</t>
        </is>
      </c>
      <c r="D710" s="5" t="n">
        <v>49</v>
      </c>
      <c r="E710" s="5" t="n">
        <v>200</v>
      </c>
      <c r="F710" t="inlineStr">
        <is>
          <t>Поступление</t>
        </is>
      </c>
      <c r="H710">
        <f>VLOOKUP(C710,Магазин!$A$2:$C$1000,2,0)</f>
        <v/>
      </c>
      <c r="I710">
        <f>VLOOKUP(D710,Товар!$A$2:$F$1000,3,0)</f>
        <v/>
      </c>
      <c r="J710">
        <f>VLOOKUP(D710,Товар!$A$2:$F$1000,5,0)</f>
        <v/>
      </c>
      <c r="K710">
        <f>IF(AND(H710="Промышленный",LEFT(I710,18)="Порошок стиральный",F710="Продажа",B710=DATE(2023,6,7)),E710*J710/1000,0)</f>
        <v/>
      </c>
    </row>
    <row r="711">
      <c r="A711" t="n">
        <v>710</v>
      </c>
      <c r="B711" s="1" t="n">
        <v>45079</v>
      </c>
      <c r="C711" s="5" t="inlineStr">
        <is>
          <t>M3</t>
        </is>
      </c>
      <c r="D711" s="5" t="n">
        <v>50</v>
      </c>
      <c r="E711" s="5" t="n">
        <v>200</v>
      </c>
      <c r="F711" t="inlineStr">
        <is>
          <t>Поступление</t>
        </is>
      </c>
      <c r="H711">
        <f>VLOOKUP(C711,Магазин!$A$2:$C$1000,2,0)</f>
        <v/>
      </c>
      <c r="I711">
        <f>VLOOKUP(D711,Товар!$A$2:$F$1000,3,0)</f>
        <v/>
      </c>
      <c r="J711">
        <f>VLOOKUP(D711,Товар!$A$2:$F$1000,5,0)</f>
        <v/>
      </c>
      <c r="K711">
        <f>IF(AND(H711="Промышленный",LEFT(I711,18)="Порошок стиральный",F711="Продажа",B711=DATE(2023,6,7)),E711*J711/1000,0)</f>
        <v/>
      </c>
    </row>
    <row r="712">
      <c r="A712" t="n">
        <v>711</v>
      </c>
      <c r="B712" s="1" t="n">
        <v>45079</v>
      </c>
      <c r="C712" s="5" t="inlineStr">
        <is>
          <t>M3</t>
        </is>
      </c>
      <c r="D712" s="5" t="n">
        <v>51</v>
      </c>
      <c r="E712" s="5" t="n">
        <v>200</v>
      </c>
      <c r="F712" t="inlineStr">
        <is>
          <t>Поступление</t>
        </is>
      </c>
      <c r="H712">
        <f>VLOOKUP(C712,Магазин!$A$2:$C$1000,2,0)</f>
        <v/>
      </c>
      <c r="I712">
        <f>VLOOKUP(D712,Товар!$A$2:$F$1000,3,0)</f>
        <v/>
      </c>
      <c r="J712">
        <f>VLOOKUP(D712,Товар!$A$2:$F$1000,5,0)</f>
        <v/>
      </c>
      <c r="K712">
        <f>IF(AND(H712="Промышленный",LEFT(I712,18)="Порошок стиральный",F712="Продажа",B712=DATE(2023,6,7)),E712*J712/1000,0)</f>
        <v/>
      </c>
    </row>
    <row r="713">
      <c r="A713" t="n">
        <v>712</v>
      </c>
      <c r="B713" s="1" t="n">
        <v>45079</v>
      </c>
      <c r="C713" s="5" t="inlineStr">
        <is>
          <t>M3</t>
        </is>
      </c>
      <c r="D713" s="5" t="n">
        <v>52</v>
      </c>
      <c r="E713" s="5" t="n">
        <v>200</v>
      </c>
      <c r="F713" t="inlineStr">
        <is>
          <t>Поступление</t>
        </is>
      </c>
      <c r="H713">
        <f>VLOOKUP(C713,Магазин!$A$2:$C$1000,2,0)</f>
        <v/>
      </c>
      <c r="I713">
        <f>VLOOKUP(D713,Товар!$A$2:$F$1000,3,0)</f>
        <v/>
      </c>
      <c r="J713">
        <f>VLOOKUP(D713,Товар!$A$2:$F$1000,5,0)</f>
        <v/>
      </c>
      <c r="K713">
        <f>IF(AND(H713="Промышленный",LEFT(I713,18)="Порошок стиральный",F713="Продажа",B713=DATE(2023,6,7)),E713*J713/1000,0)</f>
        <v/>
      </c>
    </row>
    <row r="714">
      <c r="A714" t="n">
        <v>713</v>
      </c>
      <c r="B714" s="1" t="n">
        <v>45079</v>
      </c>
      <c r="C714" s="5" t="inlineStr">
        <is>
          <t>M3</t>
        </is>
      </c>
      <c r="D714" s="5" t="n">
        <v>53</v>
      </c>
      <c r="E714" s="5" t="n">
        <v>200</v>
      </c>
      <c r="F714" t="inlineStr">
        <is>
          <t>Поступление</t>
        </is>
      </c>
      <c r="H714">
        <f>VLOOKUP(C714,Магазин!$A$2:$C$1000,2,0)</f>
        <v/>
      </c>
      <c r="I714">
        <f>VLOOKUP(D714,Товар!$A$2:$F$1000,3,0)</f>
        <v/>
      </c>
      <c r="J714">
        <f>VLOOKUP(D714,Товар!$A$2:$F$1000,5,0)</f>
        <v/>
      </c>
      <c r="K714">
        <f>IF(AND(H714="Промышленный",LEFT(I714,18)="Порошок стиральный",F714="Продажа",B714=DATE(2023,6,7)),E714*J714/1000,0)</f>
        <v/>
      </c>
    </row>
    <row r="715">
      <c r="A715" t="n">
        <v>714</v>
      </c>
      <c r="B715" s="1" t="n">
        <v>45079</v>
      </c>
      <c r="C715" s="5" t="inlineStr">
        <is>
          <t>M3</t>
        </is>
      </c>
      <c r="D715" s="5" t="n">
        <v>54</v>
      </c>
      <c r="E715" s="5" t="n">
        <v>200</v>
      </c>
      <c r="F715" t="inlineStr">
        <is>
          <t>Поступление</t>
        </is>
      </c>
      <c r="H715">
        <f>VLOOKUP(C715,Магазин!$A$2:$C$1000,2,0)</f>
        <v/>
      </c>
      <c r="I715">
        <f>VLOOKUP(D715,Товар!$A$2:$F$1000,3,0)</f>
        <v/>
      </c>
      <c r="J715">
        <f>VLOOKUP(D715,Товар!$A$2:$F$1000,5,0)</f>
        <v/>
      </c>
      <c r="K715">
        <f>IF(AND(H715="Промышленный",LEFT(I715,18)="Порошок стиральный",F715="Продажа",B715=DATE(2023,6,7)),E715*J715/1000,0)</f>
        <v/>
      </c>
    </row>
    <row r="716">
      <c r="A716" t="n">
        <v>715</v>
      </c>
      <c r="B716" s="1" t="n">
        <v>45079</v>
      </c>
      <c r="C716" s="5" t="inlineStr">
        <is>
          <t>M3</t>
        </is>
      </c>
      <c r="D716" s="5" t="n">
        <v>55</v>
      </c>
      <c r="E716" s="5" t="n">
        <v>200</v>
      </c>
      <c r="F716" t="inlineStr">
        <is>
          <t>Поступление</t>
        </is>
      </c>
      <c r="H716">
        <f>VLOOKUP(C716,Магазин!$A$2:$C$1000,2,0)</f>
        <v/>
      </c>
      <c r="I716">
        <f>VLOOKUP(D716,Товар!$A$2:$F$1000,3,0)</f>
        <v/>
      </c>
      <c r="J716">
        <f>VLOOKUP(D716,Товар!$A$2:$F$1000,5,0)</f>
        <v/>
      </c>
      <c r="K716">
        <f>IF(AND(H716="Промышленный",LEFT(I716,18)="Порошок стиральный",F716="Продажа",B716=DATE(2023,6,7)),E716*J716/1000,0)</f>
        <v/>
      </c>
    </row>
    <row r="717">
      <c r="A717" t="n">
        <v>716</v>
      </c>
      <c r="B717" s="1" t="n">
        <v>45079</v>
      </c>
      <c r="C717" s="5" t="inlineStr">
        <is>
          <t>M3</t>
        </is>
      </c>
      <c r="D717" s="5" t="n">
        <v>56</v>
      </c>
      <c r="E717" s="5" t="n">
        <v>200</v>
      </c>
      <c r="F717" t="inlineStr">
        <is>
          <t>Поступление</t>
        </is>
      </c>
      <c r="H717">
        <f>VLOOKUP(C717,Магазин!$A$2:$C$1000,2,0)</f>
        <v/>
      </c>
      <c r="I717">
        <f>VLOOKUP(D717,Товар!$A$2:$F$1000,3,0)</f>
        <v/>
      </c>
      <c r="J717">
        <f>VLOOKUP(D717,Товар!$A$2:$F$1000,5,0)</f>
        <v/>
      </c>
      <c r="K717">
        <f>IF(AND(H717="Промышленный",LEFT(I717,18)="Порошок стиральный",F717="Продажа",B717=DATE(2023,6,7)),E717*J717/1000,0)</f>
        <v/>
      </c>
    </row>
    <row r="718">
      <c r="A718" t="n">
        <v>717</v>
      </c>
      <c r="B718" s="1" t="n">
        <v>45079</v>
      </c>
      <c r="C718" s="5" t="inlineStr">
        <is>
          <t>M3</t>
        </is>
      </c>
      <c r="D718" s="5" t="n">
        <v>57</v>
      </c>
      <c r="E718" s="5" t="n">
        <v>200</v>
      </c>
      <c r="F718" t="inlineStr">
        <is>
          <t>Поступление</t>
        </is>
      </c>
      <c r="H718">
        <f>VLOOKUP(C718,Магазин!$A$2:$C$1000,2,0)</f>
        <v/>
      </c>
      <c r="I718">
        <f>VLOOKUP(D718,Товар!$A$2:$F$1000,3,0)</f>
        <v/>
      </c>
      <c r="J718">
        <f>VLOOKUP(D718,Товар!$A$2:$F$1000,5,0)</f>
        <v/>
      </c>
      <c r="K718">
        <f>IF(AND(H718="Промышленный",LEFT(I718,18)="Порошок стиральный",F718="Продажа",B718=DATE(2023,6,7)),E718*J718/1000,0)</f>
        <v/>
      </c>
    </row>
    <row r="719">
      <c r="A719" t="n">
        <v>718</v>
      </c>
      <c r="B719" s="1" t="n">
        <v>45079</v>
      </c>
      <c r="C719" s="5" t="inlineStr">
        <is>
          <t>M3</t>
        </is>
      </c>
      <c r="D719" s="5" t="n">
        <v>58</v>
      </c>
      <c r="E719" s="5" t="n">
        <v>200</v>
      </c>
      <c r="F719" t="inlineStr">
        <is>
          <t>Поступление</t>
        </is>
      </c>
      <c r="H719">
        <f>VLOOKUP(C719,Магазин!$A$2:$C$1000,2,0)</f>
        <v/>
      </c>
      <c r="I719">
        <f>VLOOKUP(D719,Товар!$A$2:$F$1000,3,0)</f>
        <v/>
      </c>
      <c r="J719">
        <f>VLOOKUP(D719,Товар!$A$2:$F$1000,5,0)</f>
        <v/>
      </c>
      <c r="K719">
        <f>IF(AND(H719="Промышленный",LEFT(I719,18)="Порошок стиральный",F719="Продажа",B719=DATE(2023,6,7)),E719*J719/1000,0)</f>
        <v/>
      </c>
    </row>
    <row r="720">
      <c r="A720" t="n">
        <v>719</v>
      </c>
      <c r="B720" s="1" t="n">
        <v>45079</v>
      </c>
      <c r="C720" s="5" t="inlineStr">
        <is>
          <t>M3</t>
        </is>
      </c>
      <c r="D720" s="5" t="n">
        <v>59</v>
      </c>
      <c r="E720" s="5" t="n">
        <v>200</v>
      </c>
      <c r="F720" t="inlineStr">
        <is>
          <t>Поступление</t>
        </is>
      </c>
      <c r="H720">
        <f>VLOOKUP(C720,Магазин!$A$2:$C$1000,2,0)</f>
        <v/>
      </c>
      <c r="I720">
        <f>VLOOKUP(D720,Товар!$A$2:$F$1000,3,0)</f>
        <v/>
      </c>
      <c r="J720">
        <f>VLOOKUP(D720,Товар!$A$2:$F$1000,5,0)</f>
        <v/>
      </c>
      <c r="K720">
        <f>IF(AND(H720="Промышленный",LEFT(I720,18)="Порошок стиральный",F720="Продажа",B720=DATE(2023,6,7)),E720*J720/1000,0)</f>
        <v/>
      </c>
    </row>
    <row r="721">
      <c r="A721" t="n">
        <v>720</v>
      </c>
      <c r="B721" s="1" t="n">
        <v>45079</v>
      </c>
      <c r="C721" s="5" t="inlineStr">
        <is>
          <t>M3</t>
        </is>
      </c>
      <c r="D721" s="5" t="n">
        <v>60</v>
      </c>
      <c r="E721" s="5" t="n">
        <v>200</v>
      </c>
      <c r="F721" t="inlineStr">
        <is>
          <t>Поступление</t>
        </is>
      </c>
      <c r="H721">
        <f>VLOOKUP(C721,Магазин!$A$2:$C$1000,2,0)</f>
        <v/>
      </c>
      <c r="I721">
        <f>VLOOKUP(D721,Товар!$A$2:$F$1000,3,0)</f>
        <v/>
      </c>
      <c r="J721">
        <f>VLOOKUP(D721,Товар!$A$2:$F$1000,5,0)</f>
        <v/>
      </c>
      <c r="K721">
        <f>IF(AND(H721="Промышленный",LEFT(I721,18)="Порошок стиральный",F721="Продажа",B721=DATE(2023,6,7)),E721*J721/1000,0)</f>
        <v/>
      </c>
    </row>
    <row r="722">
      <c r="A722" t="n">
        <v>721</v>
      </c>
      <c r="B722" s="1" t="n">
        <v>45079</v>
      </c>
      <c r="C722" s="5" t="inlineStr">
        <is>
          <t>M4</t>
        </is>
      </c>
      <c r="D722" s="5" t="n">
        <v>1</v>
      </c>
      <c r="E722" s="5" t="n">
        <v>300</v>
      </c>
      <c r="F722" t="inlineStr">
        <is>
          <t>Поступление</t>
        </is>
      </c>
      <c r="H722">
        <f>VLOOKUP(C722,Магазин!$A$2:$C$1000,2,0)</f>
        <v/>
      </c>
      <c r="I722">
        <f>VLOOKUP(D722,Товар!$A$2:$F$1000,3,0)</f>
        <v/>
      </c>
      <c r="J722">
        <f>VLOOKUP(D722,Товар!$A$2:$F$1000,5,0)</f>
        <v/>
      </c>
      <c r="K722">
        <f>IF(AND(H722="Промышленный",LEFT(I722,18)="Порошок стиральный",F722="Продажа",B722=DATE(2023,6,7)),E722*J722/1000,0)</f>
        <v/>
      </c>
    </row>
    <row r="723">
      <c r="A723" t="n">
        <v>722</v>
      </c>
      <c r="B723" s="1" t="n">
        <v>45079</v>
      </c>
      <c r="C723" s="5" t="inlineStr">
        <is>
          <t>M4</t>
        </is>
      </c>
      <c r="D723" s="5" t="n">
        <v>2</v>
      </c>
      <c r="E723" s="5" t="n">
        <v>300</v>
      </c>
      <c r="F723" t="inlineStr">
        <is>
          <t>Поступление</t>
        </is>
      </c>
      <c r="H723">
        <f>VLOOKUP(C723,Магазин!$A$2:$C$1000,2,0)</f>
        <v/>
      </c>
      <c r="I723">
        <f>VLOOKUP(D723,Товар!$A$2:$F$1000,3,0)</f>
        <v/>
      </c>
      <c r="J723">
        <f>VLOOKUP(D723,Товар!$A$2:$F$1000,5,0)</f>
        <v/>
      </c>
      <c r="K723">
        <f>IF(AND(H723="Промышленный",LEFT(I723,18)="Порошок стиральный",F723="Продажа",B723=DATE(2023,6,7)),E723*J723/1000,0)</f>
        <v/>
      </c>
    </row>
    <row r="724">
      <c r="A724" t="n">
        <v>723</v>
      </c>
      <c r="B724" s="1" t="n">
        <v>45079</v>
      </c>
      <c r="C724" s="5" t="inlineStr">
        <is>
          <t>M4</t>
        </is>
      </c>
      <c r="D724" s="5" t="n">
        <v>3</v>
      </c>
      <c r="E724" s="5" t="n">
        <v>300</v>
      </c>
      <c r="F724" t="inlineStr">
        <is>
          <t>Поступление</t>
        </is>
      </c>
      <c r="H724">
        <f>VLOOKUP(C724,Магазин!$A$2:$C$1000,2,0)</f>
        <v/>
      </c>
      <c r="I724">
        <f>VLOOKUP(D724,Товар!$A$2:$F$1000,3,0)</f>
        <v/>
      </c>
      <c r="J724">
        <f>VLOOKUP(D724,Товар!$A$2:$F$1000,5,0)</f>
        <v/>
      </c>
      <c r="K724">
        <f>IF(AND(H724="Промышленный",LEFT(I724,18)="Порошок стиральный",F724="Продажа",B724=DATE(2023,6,7)),E724*J724/1000,0)</f>
        <v/>
      </c>
    </row>
    <row r="725">
      <c r="A725" t="n">
        <v>724</v>
      </c>
      <c r="B725" s="1" t="n">
        <v>45079</v>
      </c>
      <c r="C725" s="5" t="inlineStr">
        <is>
          <t>M4</t>
        </is>
      </c>
      <c r="D725" s="5" t="n">
        <v>4</v>
      </c>
      <c r="E725" s="5" t="n">
        <v>300</v>
      </c>
      <c r="F725" t="inlineStr">
        <is>
          <t>Поступление</t>
        </is>
      </c>
      <c r="H725">
        <f>VLOOKUP(C725,Магазин!$A$2:$C$1000,2,0)</f>
        <v/>
      </c>
      <c r="I725">
        <f>VLOOKUP(D725,Товар!$A$2:$F$1000,3,0)</f>
        <v/>
      </c>
      <c r="J725">
        <f>VLOOKUP(D725,Товар!$A$2:$F$1000,5,0)</f>
        <v/>
      </c>
      <c r="K725">
        <f>IF(AND(H725="Промышленный",LEFT(I725,18)="Порошок стиральный",F725="Продажа",B725=DATE(2023,6,7)),E725*J725/1000,0)</f>
        <v/>
      </c>
    </row>
    <row r="726">
      <c r="A726" t="n">
        <v>725</v>
      </c>
      <c r="B726" s="1" t="n">
        <v>45079</v>
      </c>
      <c r="C726" s="5" t="inlineStr">
        <is>
          <t>M4</t>
        </is>
      </c>
      <c r="D726" s="5" t="n">
        <v>5</v>
      </c>
      <c r="E726" s="5" t="n">
        <v>300</v>
      </c>
      <c r="F726" t="inlineStr">
        <is>
          <t>Поступление</t>
        </is>
      </c>
      <c r="H726">
        <f>VLOOKUP(C726,Магазин!$A$2:$C$1000,2,0)</f>
        <v/>
      </c>
      <c r="I726">
        <f>VLOOKUP(D726,Товар!$A$2:$F$1000,3,0)</f>
        <v/>
      </c>
      <c r="J726">
        <f>VLOOKUP(D726,Товар!$A$2:$F$1000,5,0)</f>
        <v/>
      </c>
      <c r="K726">
        <f>IF(AND(H726="Промышленный",LEFT(I726,18)="Порошок стиральный",F726="Продажа",B726=DATE(2023,6,7)),E726*J726/1000,0)</f>
        <v/>
      </c>
    </row>
    <row r="727">
      <c r="A727" t="n">
        <v>726</v>
      </c>
      <c r="B727" s="1" t="n">
        <v>45079</v>
      </c>
      <c r="C727" s="5" t="inlineStr">
        <is>
          <t>M4</t>
        </is>
      </c>
      <c r="D727" s="5" t="n">
        <v>6</v>
      </c>
      <c r="E727" s="5" t="n">
        <v>300</v>
      </c>
      <c r="F727" t="inlineStr">
        <is>
          <t>Поступление</t>
        </is>
      </c>
      <c r="H727">
        <f>VLOOKUP(C727,Магазин!$A$2:$C$1000,2,0)</f>
        <v/>
      </c>
      <c r="I727">
        <f>VLOOKUP(D727,Товар!$A$2:$F$1000,3,0)</f>
        <v/>
      </c>
      <c r="J727">
        <f>VLOOKUP(D727,Товар!$A$2:$F$1000,5,0)</f>
        <v/>
      </c>
      <c r="K727">
        <f>IF(AND(H727="Промышленный",LEFT(I727,18)="Порошок стиральный",F727="Продажа",B727=DATE(2023,6,7)),E727*J727/1000,0)</f>
        <v/>
      </c>
    </row>
    <row r="728">
      <c r="A728" t="n">
        <v>727</v>
      </c>
      <c r="B728" s="1" t="n">
        <v>45079</v>
      </c>
      <c r="C728" s="5" t="inlineStr">
        <is>
          <t>M4</t>
        </is>
      </c>
      <c r="D728" s="5" t="n">
        <v>7</v>
      </c>
      <c r="E728" s="5" t="n">
        <v>300</v>
      </c>
      <c r="F728" t="inlineStr">
        <is>
          <t>Поступление</t>
        </is>
      </c>
      <c r="H728">
        <f>VLOOKUP(C728,Магазин!$A$2:$C$1000,2,0)</f>
        <v/>
      </c>
      <c r="I728">
        <f>VLOOKUP(D728,Товар!$A$2:$F$1000,3,0)</f>
        <v/>
      </c>
      <c r="J728">
        <f>VLOOKUP(D728,Товар!$A$2:$F$1000,5,0)</f>
        <v/>
      </c>
      <c r="K728">
        <f>IF(AND(H728="Промышленный",LEFT(I728,18)="Порошок стиральный",F728="Продажа",B728=DATE(2023,6,7)),E728*J728/1000,0)</f>
        <v/>
      </c>
    </row>
    <row r="729">
      <c r="A729" t="n">
        <v>728</v>
      </c>
      <c r="B729" s="1" t="n">
        <v>45079</v>
      </c>
      <c r="C729" s="5" t="inlineStr">
        <is>
          <t>M4</t>
        </is>
      </c>
      <c r="D729" s="5" t="n">
        <v>8</v>
      </c>
      <c r="E729" s="5" t="n">
        <v>300</v>
      </c>
      <c r="F729" t="inlineStr">
        <is>
          <t>Поступление</t>
        </is>
      </c>
      <c r="H729">
        <f>VLOOKUP(C729,Магазин!$A$2:$C$1000,2,0)</f>
        <v/>
      </c>
      <c r="I729">
        <f>VLOOKUP(D729,Товар!$A$2:$F$1000,3,0)</f>
        <v/>
      </c>
      <c r="J729">
        <f>VLOOKUP(D729,Товар!$A$2:$F$1000,5,0)</f>
        <v/>
      </c>
      <c r="K729">
        <f>IF(AND(H729="Промышленный",LEFT(I729,18)="Порошок стиральный",F729="Продажа",B729=DATE(2023,6,7)),E729*J729/1000,0)</f>
        <v/>
      </c>
    </row>
    <row r="730">
      <c r="A730" t="n">
        <v>729</v>
      </c>
      <c r="B730" s="1" t="n">
        <v>45079</v>
      </c>
      <c r="C730" s="5" t="inlineStr">
        <is>
          <t>M4</t>
        </is>
      </c>
      <c r="D730" s="5" t="n">
        <v>9</v>
      </c>
      <c r="E730" s="5" t="n">
        <v>300</v>
      </c>
      <c r="F730" t="inlineStr">
        <is>
          <t>Поступление</t>
        </is>
      </c>
      <c r="H730">
        <f>VLOOKUP(C730,Магазин!$A$2:$C$1000,2,0)</f>
        <v/>
      </c>
      <c r="I730">
        <f>VLOOKUP(D730,Товар!$A$2:$F$1000,3,0)</f>
        <v/>
      </c>
      <c r="J730">
        <f>VLOOKUP(D730,Товар!$A$2:$F$1000,5,0)</f>
        <v/>
      </c>
      <c r="K730">
        <f>IF(AND(H730="Промышленный",LEFT(I730,18)="Порошок стиральный",F730="Продажа",B730=DATE(2023,6,7)),E730*J730/1000,0)</f>
        <v/>
      </c>
    </row>
    <row r="731">
      <c r="A731" t="n">
        <v>730</v>
      </c>
      <c r="B731" s="1" t="n">
        <v>45079</v>
      </c>
      <c r="C731" s="5" t="inlineStr">
        <is>
          <t>M4</t>
        </is>
      </c>
      <c r="D731" s="5" t="n">
        <v>10</v>
      </c>
      <c r="E731" s="5" t="n">
        <v>300</v>
      </c>
      <c r="F731" t="inlineStr">
        <is>
          <t>Поступление</t>
        </is>
      </c>
      <c r="H731">
        <f>VLOOKUP(C731,Магазин!$A$2:$C$1000,2,0)</f>
        <v/>
      </c>
      <c r="I731">
        <f>VLOOKUP(D731,Товар!$A$2:$F$1000,3,0)</f>
        <v/>
      </c>
      <c r="J731">
        <f>VLOOKUP(D731,Товар!$A$2:$F$1000,5,0)</f>
        <v/>
      </c>
      <c r="K731">
        <f>IF(AND(H731="Промышленный",LEFT(I731,18)="Порошок стиральный",F731="Продажа",B731=DATE(2023,6,7)),E731*J731/1000,0)</f>
        <v/>
      </c>
    </row>
    <row r="732">
      <c r="A732" t="n">
        <v>731</v>
      </c>
      <c r="B732" s="1" t="n">
        <v>45079</v>
      </c>
      <c r="C732" s="5" t="inlineStr">
        <is>
          <t>M4</t>
        </is>
      </c>
      <c r="D732" s="5" t="n">
        <v>11</v>
      </c>
      <c r="E732" s="5" t="n">
        <v>300</v>
      </c>
      <c r="F732" t="inlineStr">
        <is>
          <t>Поступление</t>
        </is>
      </c>
      <c r="H732">
        <f>VLOOKUP(C732,Магазин!$A$2:$C$1000,2,0)</f>
        <v/>
      </c>
      <c r="I732">
        <f>VLOOKUP(D732,Товар!$A$2:$F$1000,3,0)</f>
        <v/>
      </c>
      <c r="J732">
        <f>VLOOKUP(D732,Товар!$A$2:$F$1000,5,0)</f>
        <v/>
      </c>
      <c r="K732">
        <f>IF(AND(H732="Промышленный",LEFT(I732,18)="Порошок стиральный",F732="Продажа",B732=DATE(2023,6,7)),E732*J732/1000,0)</f>
        <v/>
      </c>
    </row>
    <row r="733">
      <c r="A733" t="n">
        <v>732</v>
      </c>
      <c r="B733" s="1" t="n">
        <v>45079</v>
      </c>
      <c r="C733" s="5" t="inlineStr">
        <is>
          <t>M4</t>
        </is>
      </c>
      <c r="D733" s="5" t="n">
        <v>12</v>
      </c>
      <c r="E733" s="5" t="n">
        <v>300</v>
      </c>
      <c r="F733" t="inlineStr">
        <is>
          <t>Поступление</t>
        </is>
      </c>
      <c r="H733">
        <f>VLOOKUP(C733,Магазин!$A$2:$C$1000,2,0)</f>
        <v/>
      </c>
      <c r="I733">
        <f>VLOOKUP(D733,Товар!$A$2:$F$1000,3,0)</f>
        <v/>
      </c>
      <c r="J733">
        <f>VLOOKUP(D733,Товар!$A$2:$F$1000,5,0)</f>
        <v/>
      </c>
      <c r="K733">
        <f>IF(AND(H733="Промышленный",LEFT(I733,18)="Порошок стиральный",F733="Продажа",B733=DATE(2023,6,7)),E733*J733/1000,0)</f>
        <v/>
      </c>
    </row>
    <row r="734">
      <c r="A734" t="n">
        <v>733</v>
      </c>
      <c r="B734" s="1" t="n">
        <v>45079</v>
      </c>
      <c r="C734" s="5" t="inlineStr">
        <is>
          <t>M4</t>
        </is>
      </c>
      <c r="D734" s="5" t="n">
        <v>13</v>
      </c>
      <c r="E734" s="5" t="n">
        <v>300</v>
      </c>
      <c r="F734" t="inlineStr">
        <is>
          <t>Поступление</t>
        </is>
      </c>
      <c r="H734">
        <f>VLOOKUP(C734,Магазин!$A$2:$C$1000,2,0)</f>
        <v/>
      </c>
      <c r="I734">
        <f>VLOOKUP(D734,Товар!$A$2:$F$1000,3,0)</f>
        <v/>
      </c>
      <c r="J734">
        <f>VLOOKUP(D734,Товар!$A$2:$F$1000,5,0)</f>
        <v/>
      </c>
      <c r="K734">
        <f>IF(AND(H734="Промышленный",LEFT(I734,18)="Порошок стиральный",F734="Продажа",B734=DATE(2023,6,7)),E734*J734/1000,0)</f>
        <v/>
      </c>
    </row>
    <row r="735">
      <c r="A735" t="n">
        <v>734</v>
      </c>
      <c r="B735" s="1" t="n">
        <v>45079</v>
      </c>
      <c r="C735" s="5" t="inlineStr">
        <is>
          <t>M4</t>
        </is>
      </c>
      <c r="D735" s="5" t="n">
        <v>14</v>
      </c>
      <c r="E735" s="5" t="n">
        <v>300</v>
      </c>
      <c r="F735" t="inlineStr">
        <is>
          <t>Поступление</t>
        </is>
      </c>
      <c r="H735">
        <f>VLOOKUP(C735,Магазин!$A$2:$C$1000,2,0)</f>
        <v/>
      </c>
      <c r="I735">
        <f>VLOOKUP(D735,Товар!$A$2:$F$1000,3,0)</f>
        <v/>
      </c>
      <c r="J735">
        <f>VLOOKUP(D735,Товар!$A$2:$F$1000,5,0)</f>
        <v/>
      </c>
      <c r="K735">
        <f>IF(AND(H735="Промышленный",LEFT(I735,18)="Порошок стиральный",F735="Продажа",B735=DATE(2023,6,7)),E735*J735/1000,0)</f>
        <v/>
      </c>
    </row>
    <row r="736">
      <c r="A736" t="n">
        <v>735</v>
      </c>
      <c r="B736" s="1" t="n">
        <v>45079</v>
      </c>
      <c r="C736" s="5" t="inlineStr">
        <is>
          <t>M4</t>
        </is>
      </c>
      <c r="D736" s="5" t="n">
        <v>15</v>
      </c>
      <c r="E736" s="5" t="n">
        <v>300</v>
      </c>
      <c r="F736" t="inlineStr">
        <is>
          <t>Поступление</t>
        </is>
      </c>
      <c r="H736">
        <f>VLOOKUP(C736,Магазин!$A$2:$C$1000,2,0)</f>
        <v/>
      </c>
      <c r="I736">
        <f>VLOOKUP(D736,Товар!$A$2:$F$1000,3,0)</f>
        <v/>
      </c>
      <c r="J736">
        <f>VLOOKUP(D736,Товар!$A$2:$F$1000,5,0)</f>
        <v/>
      </c>
      <c r="K736">
        <f>IF(AND(H736="Промышленный",LEFT(I736,18)="Порошок стиральный",F736="Продажа",B736=DATE(2023,6,7)),E736*J736/1000,0)</f>
        <v/>
      </c>
    </row>
    <row r="737">
      <c r="A737" t="n">
        <v>736</v>
      </c>
      <c r="B737" s="1" t="n">
        <v>45079</v>
      </c>
      <c r="C737" s="5" t="inlineStr">
        <is>
          <t>M4</t>
        </is>
      </c>
      <c r="D737" s="5" t="n">
        <v>16</v>
      </c>
      <c r="E737" s="5" t="n">
        <v>300</v>
      </c>
      <c r="F737" t="inlineStr">
        <is>
          <t>Поступление</t>
        </is>
      </c>
      <c r="H737">
        <f>VLOOKUP(C737,Магазин!$A$2:$C$1000,2,0)</f>
        <v/>
      </c>
      <c r="I737">
        <f>VLOOKUP(D737,Товар!$A$2:$F$1000,3,0)</f>
        <v/>
      </c>
      <c r="J737">
        <f>VLOOKUP(D737,Товар!$A$2:$F$1000,5,0)</f>
        <v/>
      </c>
      <c r="K737">
        <f>IF(AND(H737="Промышленный",LEFT(I737,18)="Порошок стиральный",F737="Продажа",B737=DATE(2023,6,7)),E737*J737/1000,0)</f>
        <v/>
      </c>
    </row>
    <row r="738">
      <c r="A738" t="n">
        <v>737</v>
      </c>
      <c r="B738" s="1" t="n">
        <v>45079</v>
      </c>
      <c r="C738" s="5" t="inlineStr">
        <is>
          <t>M4</t>
        </is>
      </c>
      <c r="D738" s="5" t="n">
        <v>17</v>
      </c>
      <c r="E738" s="5" t="n">
        <v>300</v>
      </c>
      <c r="F738" t="inlineStr">
        <is>
          <t>Поступление</t>
        </is>
      </c>
      <c r="H738">
        <f>VLOOKUP(C738,Магазин!$A$2:$C$1000,2,0)</f>
        <v/>
      </c>
      <c r="I738">
        <f>VLOOKUP(D738,Товар!$A$2:$F$1000,3,0)</f>
        <v/>
      </c>
      <c r="J738">
        <f>VLOOKUP(D738,Товар!$A$2:$F$1000,5,0)</f>
        <v/>
      </c>
      <c r="K738">
        <f>IF(AND(H738="Промышленный",LEFT(I738,18)="Порошок стиральный",F738="Продажа",B738=DATE(2023,6,7)),E738*J738/1000,0)</f>
        <v/>
      </c>
    </row>
    <row r="739">
      <c r="A739" t="n">
        <v>738</v>
      </c>
      <c r="B739" s="1" t="n">
        <v>45079</v>
      </c>
      <c r="C739" s="5" t="inlineStr">
        <is>
          <t>M4</t>
        </is>
      </c>
      <c r="D739" s="5" t="n">
        <v>18</v>
      </c>
      <c r="E739" s="5" t="n">
        <v>300</v>
      </c>
      <c r="F739" t="inlineStr">
        <is>
          <t>Поступление</t>
        </is>
      </c>
      <c r="H739">
        <f>VLOOKUP(C739,Магазин!$A$2:$C$1000,2,0)</f>
        <v/>
      </c>
      <c r="I739">
        <f>VLOOKUP(D739,Товар!$A$2:$F$1000,3,0)</f>
        <v/>
      </c>
      <c r="J739">
        <f>VLOOKUP(D739,Товар!$A$2:$F$1000,5,0)</f>
        <v/>
      </c>
      <c r="K739">
        <f>IF(AND(H739="Промышленный",LEFT(I739,18)="Порошок стиральный",F739="Продажа",B739=DATE(2023,6,7)),E739*J739/1000,0)</f>
        <v/>
      </c>
    </row>
    <row r="740">
      <c r="A740" t="n">
        <v>739</v>
      </c>
      <c r="B740" s="1" t="n">
        <v>45079</v>
      </c>
      <c r="C740" s="5" t="inlineStr">
        <is>
          <t>M4</t>
        </is>
      </c>
      <c r="D740" s="5" t="n">
        <v>19</v>
      </c>
      <c r="E740" s="5" t="n">
        <v>300</v>
      </c>
      <c r="F740" t="inlineStr">
        <is>
          <t>Поступление</t>
        </is>
      </c>
      <c r="H740">
        <f>VLOOKUP(C740,Магазин!$A$2:$C$1000,2,0)</f>
        <v/>
      </c>
      <c r="I740">
        <f>VLOOKUP(D740,Товар!$A$2:$F$1000,3,0)</f>
        <v/>
      </c>
      <c r="J740">
        <f>VLOOKUP(D740,Товар!$A$2:$F$1000,5,0)</f>
        <v/>
      </c>
      <c r="K740">
        <f>IF(AND(H740="Промышленный",LEFT(I740,18)="Порошок стиральный",F740="Продажа",B740=DATE(2023,6,7)),E740*J740/1000,0)</f>
        <v/>
      </c>
    </row>
    <row r="741">
      <c r="A741" t="n">
        <v>740</v>
      </c>
      <c r="B741" s="1" t="n">
        <v>45079</v>
      </c>
      <c r="C741" s="5" t="inlineStr">
        <is>
          <t>M4</t>
        </is>
      </c>
      <c r="D741" s="5" t="n">
        <v>20</v>
      </c>
      <c r="E741" s="5" t="n">
        <v>300</v>
      </c>
      <c r="F741" t="inlineStr">
        <is>
          <t>Поступление</t>
        </is>
      </c>
      <c r="H741">
        <f>VLOOKUP(C741,Магазин!$A$2:$C$1000,2,0)</f>
        <v/>
      </c>
      <c r="I741">
        <f>VLOOKUP(D741,Товар!$A$2:$F$1000,3,0)</f>
        <v/>
      </c>
      <c r="J741">
        <f>VLOOKUP(D741,Товар!$A$2:$F$1000,5,0)</f>
        <v/>
      </c>
      <c r="K741">
        <f>IF(AND(H741="Промышленный",LEFT(I741,18)="Порошок стиральный",F741="Продажа",B741=DATE(2023,6,7)),E741*J741/1000,0)</f>
        <v/>
      </c>
    </row>
    <row r="742">
      <c r="A742" t="n">
        <v>741</v>
      </c>
      <c r="B742" s="1" t="n">
        <v>45079</v>
      </c>
      <c r="C742" s="5" t="inlineStr">
        <is>
          <t>M4</t>
        </is>
      </c>
      <c r="D742" s="5" t="n">
        <v>21</v>
      </c>
      <c r="E742" s="5" t="n">
        <v>300</v>
      </c>
      <c r="F742" t="inlineStr">
        <is>
          <t>Поступление</t>
        </is>
      </c>
      <c r="H742">
        <f>VLOOKUP(C742,Магазин!$A$2:$C$1000,2,0)</f>
        <v/>
      </c>
      <c r="I742">
        <f>VLOOKUP(D742,Товар!$A$2:$F$1000,3,0)</f>
        <v/>
      </c>
      <c r="J742">
        <f>VLOOKUP(D742,Товар!$A$2:$F$1000,5,0)</f>
        <v/>
      </c>
      <c r="K742">
        <f>IF(AND(H742="Промышленный",LEFT(I742,18)="Порошок стиральный",F742="Продажа",B742=DATE(2023,6,7)),E742*J742/1000,0)</f>
        <v/>
      </c>
    </row>
    <row r="743">
      <c r="A743" t="n">
        <v>742</v>
      </c>
      <c r="B743" s="1" t="n">
        <v>45079</v>
      </c>
      <c r="C743" s="5" t="inlineStr">
        <is>
          <t>M4</t>
        </is>
      </c>
      <c r="D743" s="5" t="n">
        <v>22</v>
      </c>
      <c r="E743" s="5" t="n">
        <v>300</v>
      </c>
      <c r="F743" t="inlineStr">
        <is>
          <t>Поступление</t>
        </is>
      </c>
      <c r="H743">
        <f>VLOOKUP(C743,Магазин!$A$2:$C$1000,2,0)</f>
        <v/>
      </c>
      <c r="I743">
        <f>VLOOKUP(D743,Товар!$A$2:$F$1000,3,0)</f>
        <v/>
      </c>
      <c r="J743">
        <f>VLOOKUP(D743,Товар!$A$2:$F$1000,5,0)</f>
        <v/>
      </c>
      <c r="K743">
        <f>IF(AND(H743="Промышленный",LEFT(I743,18)="Порошок стиральный",F743="Продажа",B743=DATE(2023,6,7)),E743*J743/1000,0)</f>
        <v/>
      </c>
    </row>
    <row r="744">
      <c r="A744" t="n">
        <v>743</v>
      </c>
      <c r="B744" s="1" t="n">
        <v>45079</v>
      </c>
      <c r="C744" s="5" t="inlineStr">
        <is>
          <t>M4</t>
        </is>
      </c>
      <c r="D744" s="5" t="n">
        <v>23</v>
      </c>
      <c r="E744" s="5" t="n">
        <v>300</v>
      </c>
      <c r="F744" t="inlineStr">
        <is>
          <t>Поступление</t>
        </is>
      </c>
      <c r="H744">
        <f>VLOOKUP(C744,Магазин!$A$2:$C$1000,2,0)</f>
        <v/>
      </c>
      <c r="I744">
        <f>VLOOKUP(D744,Товар!$A$2:$F$1000,3,0)</f>
        <v/>
      </c>
      <c r="J744">
        <f>VLOOKUP(D744,Товар!$A$2:$F$1000,5,0)</f>
        <v/>
      </c>
      <c r="K744">
        <f>IF(AND(H744="Промышленный",LEFT(I744,18)="Порошок стиральный",F744="Продажа",B744=DATE(2023,6,7)),E744*J744/1000,0)</f>
        <v/>
      </c>
    </row>
    <row r="745">
      <c r="A745" t="n">
        <v>744</v>
      </c>
      <c r="B745" s="1" t="n">
        <v>45079</v>
      </c>
      <c r="C745" s="5" t="inlineStr">
        <is>
          <t>M4</t>
        </is>
      </c>
      <c r="D745" s="5" t="n">
        <v>24</v>
      </c>
      <c r="E745" s="5" t="n">
        <v>300</v>
      </c>
      <c r="F745" t="inlineStr">
        <is>
          <t>Поступление</t>
        </is>
      </c>
      <c r="H745">
        <f>VLOOKUP(C745,Магазин!$A$2:$C$1000,2,0)</f>
        <v/>
      </c>
      <c r="I745">
        <f>VLOOKUP(D745,Товар!$A$2:$F$1000,3,0)</f>
        <v/>
      </c>
      <c r="J745">
        <f>VLOOKUP(D745,Товар!$A$2:$F$1000,5,0)</f>
        <v/>
      </c>
      <c r="K745">
        <f>IF(AND(H745="Промышленный",LEFT(I745,18)="Порошок стиральный",F745="Продажа",B745=DATE(2023,6,7)),E745*J745/1000,0)</f>
        <v/>
      </c>
    </row>
    <row r="746">
      <c r="A746" t="n">
        <v>745</v>
      </c>
      <c r="B746" s="1" t="n">
        <v>45079</v>
      </c>
      <c r="C746" s="5" t="inlineStr">
        <is>
          <t>M4</t>
        </is>
      </c>
      <c r="D746" s="5" t="n">
        <v>25</v>
      </c>
      <c r="E746" s="5" t="n">
        <v>300</v>
      </c>
      <c r="F746" t="inlineStr">
        <is>
          <t>Поступление</t>
        </is>
      </c>
      <c r="H746">
        <f>VLOOKUP(C746,Магазин!$A$2:$C$1000,2,0)</f>
        <v/>
      </c>
      <c r="I746">
        <f>VLOOKUP(D746,Товар!$A$2:$F$1000,3,0)</f>
        <v/>
      </c>
      <c r="J746">
        <f>VLOOKUP(D746,Товар!$A$2:$F$1000,5,0)</f>
        <v/>
      </c>
      <c r="K746">
        <f>IF(AND(H746="Промышленный",LEFT(I746,18)="Порошок стиральный",F746="Продажа",B746=DATE(2023,6,7)),E746*J746/1000,0)</f>
        <v/>
      </c>
    </row>
    <row r="747">
      <c r="A747" t="n">
        <v>746</v>
      </c>
      <c r="B747" s="1" t="n">
        <v>45079</v>
      </c>
      <c r="C747" s="5" t="inlineStr">
        <is>
          <t>M4</t>
        </is>
      </c>
      <c r="D747" s="5" t="n">
        <v>26</v>
      </c>
      <c r="E747" s="5" t="n">
        <v>300</v>
      </c>
      <c r="F747" t="inlineStr">
        <is>
          <t>Поступление</t>
        </is>
      </c>
      <c r="H747">
        <f>VLOOKUP(C747,Магазин!$A$2:$C$1000,2,0)</f>
        <v/>
      </c>
      <c r="I747">
        <f>VLOOKUP(D747,Товар!$A$2:$F$1000,3,0)</f>
        <v/>
      </c>
      <c r="J747">
        <f>VLOOKUP(D747,Товар!$A$2:$F$1000,5,0)</f>
        <v/>
      </c>
      <c r="K747">
        <f>IF(AND(H747="Промышленный",LEFT(I747,18)="Порошок стиральный",F747="Продажа",B747=DATE(2023,6,7)),E747*J747/1000,0)</f>
        <v/>
      </c>
    </row>
    <row r="748">
      <c r="A748" t="n">
        <v>747</v>
      </c>
      <c r="B748" s="1" t="n">
        <v>45079</v>
      </c>
      <c r="C748" s="5" t="inlineStr">
        <is>
          <t>M4</t>
        </is>
      </c>
      <c r="D748" s="5" t="n">
        <v>27</v>
      </c>
      <c r="E748" s="5" t="n">
        <v>300</v>
      </c>
      <c r="F748" t="inlineStr">
        <is>
          <t>Поступление</t>
        </is>
      </c>
      <c r="H748">
        <f>VLOOKUP(C748,Магазин!$A$2:$C$1000,2,0)</f>
        <v/>
      </c>
      <c r="I748">
        <f>VLOOKUP(D748,Товар!$A$2:$F$1000,3,0)</f>
        <v/>
      </c>
      <c r="J748">
        <f>VLOOKUP(D748,Товар!$A$2:$F$1000,5,0)</f>
        <v/>
      </c>
      <c r="K748">
        <f>IF(AND(H748="Промышленный",LEFT(I748,18)="Порошок стиральный",F748="Продажа",B748=DATE(2023,6,7)),E748*J748/1000,0)</f>
        <v/>
      </c>
    </row>
    <row r="749">
      <c r="A749" t="n">
        <v>748</v>
      </c>
      <c r="B749" s="1" t="n">
        <v>45079</v>
      </c>
      <c r="C749" s="5" t="inlineStr">
        <is>
          <t>M4</t>
        </is>
      </c>
      <c r="D749" s="5" t="n">
        <v>28</v>
      </c>
      <c r="E749" s="5" t="n">
        <v>300</v>
      </c>
      <c r="F749" t="inlineStr">
        <is>
          <t>Поступление</t>
        </is>
      </c>
      <c r="H749">
        <f>VLOOKUP(C749,Магазин!$A$2:$C$1000,2,0)</f>
        <v/>
      </c>
      <c r="I749">
        <f>VLOOKUP(D749,Товар!$A$2:$F$1000,3,0)</f>
        <v/>
      </c>
      <c r="J749">
        <f>VLOOKUP(D749,Товар!$A$2:$F$1000,5,0)</f>
        <v/>
      </c>
      <c r="K749">
        <f>IF(AND(H749="Промышленный",LEFT(I749,18)="Порошок стиральный",F749="Продажа",B749=DATE(2023,6,7)),E749*J749/1000,0)</f>
        <v/>
      </c>
    </row>
    <row r="750">
      <c r="A750" t="n">
        <v>749</v>
      </c>
      <c r="B750" s="1" t="n">
        <v>45079</v>
      </c>
      <c r="C750" s="5" t="inlineStr">
        <is>
          <t>M4</t>
        </is>
      </c>
      <c r="D750" s="5" t="n">
        <v>29</v>
      </c>
      <c r="E750" s="5" t="n">
        <v>300</v>
      </c>
      <c r="F750" t="inlineStr">
        <is>
          <t>Поступление</t>
        </is>
      </c>
      <c r="H750">
        <f>VLOOKUP(C750,Магазин!$A$2:$C$1000,2,0)</f>
        <v/>
      </c>
      <c r="I750">
        <f>VLOOKUP(D750,Товар!$A$2:$F$1000,3,0)</f>
        <v/>
      </c>
      <c r="J750">
        <f>VLOOKUP(D750,Товар!$A$2:$F$1000,5,0)</f>
        <v/>
      </c>
      <c r="K750">
        <f>IF(AND(H750="Промышленный",LEFT(I750,18)="Порошок стиральный",F750="Продажа",B750=DATE(2023,6,7)),E750*J750/1000,0)</f>
        <v/>
      </c>
    </row>
    <row r="751">
      <c r="A751" t="n">
        <v>750</v>
      </c>
      <c r="B751" s="1" t="n">
        <v>45079</v>
      </c>
      <c r="C751" s="5" t="inlineStr">
        <is>
          <t>M4</t>
        </is>
      </c>
      <c r="D751" s="5" t="n">
        <v>30</v>
      </c>
      <c r="E751" s="5" t="n">
        <v>300</v>
      </c>
      <c r="F751" t="inlineStr">
        <is>
          <t>Поступление</t>
        </is>
      </c>
      <c r="H751">
        <f>VLOOKUP(C751,Магазин!$A$2:$C$1000,2,0)</f>
        <v/>
      </c>
      <c r="I751">
        <f>VLOOKUP(D751,Товар!$A$2:$F$1000,3,0)</f>
        <v/>
      </c>
      <c r="J751">
        <f>VLOOKUP(D751,Товар!$A$2:$F$1000,5,0)</f>
        <v/>
      </c>
      <c r="K751">
        <f>IF(AND(H751="Промышленный",LEFT(I751,18)="Порошок стиральный",F751="Продажа",B751=DATE(2023,6,7)),E751*J751/1000,0)</f>
        <v/>
      </c>
    </row>
    <row r="752">
      <c r="A752" t="n">
        <v>751</v>
      </c>
      <c r="B752" s="1" t="n">
        <v>45079</v>
      </c>
      <c r="C752" s="5" t="inlineStr">
        <is>
          <t>M4</t>
        </is>
      </c>
      <c r="D752" s="5" t="n">
        <v>31</v>
      </c>
      <c r="E752" s="5" t="n">
        <v>300</v>
      </c>
      <c r="F752" t="inlineStr">
        <is>
          <t>Поступление</t>
        </is>
      </c>
      <c r="H752">
        <f>VLOOKUP(C752,Магазин!$A$2:$C$1000,2,0)</f>
        <v/>
      </c>
      <c r="I752">
        <f>VLOOKUP(D752,Товар!$A$2:$F$1000,3,0)</f>
        <v/>
      </c>
      <c r="J752">
        <f>VLOOKUP(D752,Товар!$A$2:$F$1000,5,0)</f>
        <v/>
      </c>
      <c r="K752">
        <f>IF(AND(H752="Промышленный",LEFT(I752,18)="Порошок стиральный",F752="Продажа",B752=DATE(2023,6,7)),E752*J752/1000,0)</f>
        <v/>
      </c>
    </row>
    <row r="753">
      <c r="A753" t="n">
        <v>752</v>
      </c>
      <c r="B753" s="1" t="n">
        <v>45079</v>
      </c>
      <c r="C753" s="5" t="inlineStr">
        <is>
          <t>M4</t>
        </is>
      </c>
      <c r="D753" s="5" t="n">
        <v>32</v>
      </c>
      <c r="E753" s="5" t="n">
        <v>300</v>
      </c>
      <c r="F753" t="inlineStr">
        <is>
          <t>Поступление</t>
        </is>
      </c>
      <c r="H753">
        <f>VLOOKUP(C753,Магазин!$A$2:$C$1000,2,0)</f>
        <v/>
      </c>
      <c r="I753">
        <f>VLOOKUP(D753,Товар!$A$2:$F$1000,3,0)</f>
        <v/>
      </c>
      <c r="J753">
        <f>VLOOKUP(D753,Товар!$A$2:$F$1000,5,0)</f>
        <v/>
      </c>
      <c r="K753">
        <f>IF(AND(H753="Промышленный",LEFT(I753,18)="Порошок стиральный",F753="Продажа",B753=DATE(2023,6,7)),E753*J753/1000,0)</f>
        <v/>
      </c>
    </row>
    <row r="754">
      <c r="A754" t="n">
        <v>753</v>
      </c>
      <c r="B754" s="1" t="n">
        <v>45079</v>
      </c>
      <c r="C754" s="5" t="inlineStr">
        <is>
          <t>M4</t>
        </is>
      </c>
      <c r="D754" s="5" t="n">
        <v>33</v>
      </c>
      <c r="E754" s="5" t="n">
        <v>300</v>
      </c>
      <c r="F754" t="inlineStr">
        <is>
          <t>Поступление</t>
        </is>
      </c>
      <c r="H754">
        <f>VLOOKUP(C754,Магазин!$A$2:$C$1000,2,0)</f>
        <v/>
      </c>
      <c r="I754">
        <f>VLOOKUP(D754,Товар!$A$2:$F$1000,3,0)</f>
        <v/>
      </c>
      <c r="J754">
        <f>VLOOKUP(D754,Товар!$A$2:$F$1000,5,0)</f>
        <v/>
      </c>
      <c r="K754">
        <f>IF(AND(H754="Промышленный",LEFT(I754,18)="Порошок стиральный",F754="Продажа",B754=DATE(2023,6,7)),E754*J754/1000,0)</f>
        <v/>
      </c>
    </row>
    <row r="755">
      <c r="A755" t="n">
        <v>754</v>
      </c>
      <c r="B755" s="1" t="n">
        <v>45079</v>
      </c>
      <c r="C755" s="5" t="inlineStr">
        <is>
          <t>M4</t>
        </is>
      </c>
      <c r="D755" s="5" t="n">
        <v>34</v>
      </c>
      <c r="E755" s="5" t="n">
        <v>300</v>
      </c>
      <c r="F755" t="inlineStr">
        <is>
          <t>Поступление</t>
        </is>
      </c>
      <c r="H755">
        <f>VLOOKUP(C755,Магазин!$A$2:$C$1000,2,0)</f>
        <v/>
      </c>
      <c r="I755">
        <f>VLOOKUP(D755,Товар!$A$2:$F$1000,3,0)</f>
        <v/>
      </c>
      <c r="J755">
        <f>VLOOKUP(D755,Товар!$A$2:$F$1000,5,0)</f>
        <v/>
      </c>
      <c r="K755">
        <f>IF(AND(H755="Промышленный",LEFT(I755,18)="Порошок стиральный",F755="Продажа",B755=DATE(2023,6,7)),E755*J755/1000,0)</f>
        <v/>
      </c>
    </row>
    <row r="756">
      <c r="A756" t="n">
        <v>755</v>
      </c>
      <c r="B756" s="1" t="n">
        <v>45079</v>
      </c>
      <c r="C756" s="5" t="inlineStr">
        <is>
          <t>M4</t>
        </is>
      </c>
      <c r="D756" s="5" t="n">
        <v>35</v>
      </c>
      <c r="E756" s="5" t="n">
        <v>300</v>
      </c>
      <c r="F756" t="inlineStr">
        <is>
          <t>Поступление</t>
        </is>
      </c>
      <c r="H756">
        <f>VLOOKUP(C756,Магазин!$A$2:$C$1000,2,0)</f>
        <v/>
      </c>
      <c r="I756">
        <f>VLOOKUP(D756,Товар!$A$2:$F$1000,3,0)</f>
        <v/>
      </c>
      <c r="J756">
        <f>VLOOKUP(D756,Товар!$A$2:$F$1000,5,0)</f>
        <v/>
      </c>
      <c r="K756">
        <f>IF(AND(H756="Промышленный",LEFT(I756,18)="Порошок стиральный",F756="Продажа",B756=DATE(2023,6,7)),E756*J756/1000,0)</f>
        <v/>
      </c>
    </row>
    <row r="757">
      <c r="A757" t="n">
        <v>756</v>
      </c>
      <c r="B757" s="1" t="n">
        <v>45079</v>
      </c>
      <c r="C757" s="5" t="inlineStr">
        <is>
          <t>M4</t>
        </is>
      </c>
      <c r="D757" s="5" t="n">
        <v>36</v>
      </c>
      <c r="E757" s="5" t="n">
        <v>300</v>
      </c>
      <c r="F757" t="inlineStr">
        <is>
          <t>Поступление</t>
        </is>
      </c>
      <c r="H757">
        <f>VLOOKUP(C757,Магазин!$A$2:$C$1000,2,0)</f>
        <v/>
      </c>
      <c r="I757">
        <f>VLOOKUP(D757,Товар!$A$2:$F$1000,3,0)</f>
        <v/>
      </c>
      <c r="J757">
        <f>VLOOKUP(D757,Товар!$A$2:$F$1000,5,0)</f>
        <v/>
      </c>
      <c r="K757">
        <f>IF(AND(H757="Промышленный",LEFT(I757,18)="Порошок стиральный",F757="Продажа",B757=DATE(2023,6,7)),E757*J757/1000,0)</f>
        <v/>
      </c>
    </row>
    <row r="758">
      <c r="A758" t="n">
        <v>757</v>
      </c>
      <c r="B758" s="1" t="n">
        <v>45079</v>
      </c>
      <c r="C758" s="5" t="inlineStr">
        <is>
          <t>M4</t>
        </is>
      </c>
      <c r="D758" s="5" t="n">
        <v>37</v>
      </c>
      <c r="E758" s="5" t="n">
        <v>400</v>
      </c>
      <c r="F758" t="inlineStr">
        <is>
          <t>Поступление</t>
        </is>
      </c>
      <c r="H758">
        <f>VLOOKUP(C758,Магазин!$A$2:$C$1000,2,0)</f>
        <v/>
      </c>
      <c r="I758">
        <f>VLOOKUP(D758,Товар!$A$2:$F$1000,3,0)</f>
        <v/>
      </c>
      <c r="J758">
        <f>VLOOKUP(D758,Товар!$A$2:$F$1000,5,0)</f>
        <v/>
      </c>
      <c r="K758">
        <f>IF(AND(H758="Промышленный",LEFT(I758,18)="Порошок стиральный",F758="Продажа",B758=DATE(2023,6,7)),E758*J758/1000,0)</f>
        <v/>
      </c>
    </row>
    <row r="759">
      <c r="A759" t="n">
        <v>758</v>
      </c>
      <c r="B759" s="1" t="n">
        <v>45079</v>
      </c>
      <c r="C759" s="5" t="inlineStr">
        <is>
          <t>M4</t>
        </is>
      </c>
      <c r="D759" s="5" t="n">
        <v>38</v>
      </c>
      <c r="E759" s="5" t="n">
        <v>400</v>
      </c>
      <c r="F759" t="inlineStr">
        <is>
          <t>Поступление</t>
        </is>
      </c>
      <c r="H759">
        <f>VLOOKUP(C759,Магазин!$A$2:$C$1000,2,0)</f>
        <v/>
      </c>
      <c r="I759">
        <f>VLOOKUP(D759,Товар!$A$2:$F$1000,3,0)</f>
        <v/>
      </c>
      <c r="J759">
        <f>VLOOKUP(D759,Товар!$A$2:$F$1000,5,0)</f>
        <v/>
      </c>
      <c r="K759">
        <f>IF(AND(H759="Промышленный",LEFT(I759,18)="Порошок стиральный",F759="Продажа",B759=DATE(2023,6,7)),E759*J759/1000,0)</f>
        <v/>
      </c>
    </row>
    <row r="760">
      <c r="A760" t="n">
        <v>759</v>
      </c>
      <c r="B760" s="1" t="n">
        <v>45079</v>
      </c>
      <c r="C760" s="5" t="inlineStr">
        <is>
          <t>M4</t>
        </is>
      </c>
      <c r="D760" s="5" t="n">
        <v>39</v>
      </c>
      <c r="E760" s="5" t="n">
        <v>400</v>
      </c>
      <c r="F760" t="inlineStr">
        <is>
          <t>Поступление</t>
        </is>
      </c>
      <c r="H760">
        <f>VLOOKUP(C760,Магазин!$A$2:$C$1000,2,0)</f>
        <v/>
      </c>
      <c r="I760">
        <f>VLOOKUP(D760,Товар!$A$2:$F$1000,3,0)</f>
        <v/>
      </c>
      <c r="J760">
        <f>VLOOKUP(D760,Товар!$A$2:$F$1000,5,0)</f>
        <v/>
      </c>
      <c r="K760">
        <f>IF(AND(H760="Промышленный",LEFT(I760,18)="Порошок стиральный",F760="Продажа",B760=DATE(2023,6,7)),E760*J760/1000,0)</f>
        <v/>
      </c>
    </row>
    <row r="761">
      <c r="A761" t="n">
        <v>760</v>
      </c>
      <c r="B761" s="1" t="n">
        <v>45079</v>
      </c>
      <c r="C761" s="5" t="inlineStr">
        <is>
          <t>M4</t>
        </is>
      </c>
      <c r="D761" s="5" t="n">
        <v>40</v>
      </c>
      <c r="E761" s="5" t="n">
        <v>400</v>
      </c>
      <c r="F761" t="inlineStr">
        <is>
          <t>Поступление</t>
        </is>
      </c>
      <c r="H761">
        <f>VLOOKUP(C761,Магазин!$A$2:$C$1000,2,0)</f>
        <v/>
      </c>
      <c r="I761">
        <f>VLOOKUP(D761,Товар!$A$2:$F$1000,3,0)</f>
        <v/>
      </c>
      <c r="J761">
        <f>VLOOKUP(D761,Товар!$A$2:$F$1000,5,0)</f>
        <v/>
      </c>
      <c r="K761">
        <f>IF(AND(H761="Промышленный",LEFT(I761,18)="Порошок стиральный",F761="Продажа",B761=DATE(2023,6,7)),E761*J761/1000,0)</f>
        <v/>
      </c>
    </row>
    <row r="762">
      <c r="A762" t="n">
        <v>761</v>
      </c>
      <c r="B762" s="1" t="n">
        <v>45079</v>
      </c>
      <c r="C762" s="5" t="inlineStr">
        <is>
          <t>M4</t>
        </is>
      </c>
      <c r="D762" s="5" t="n">
        <v>41</v>
      </c>
      <c r="E762" s="5" t="n">
        <v>400</v>
      </c>
      <c r="F762" t="inlineStr">
        <is>
          <t>Поступление</t>
        </is>
      </c>
      <c r="H762">
        <f>VLOOKUP(C762,Магазин!$A$2:$C$1000,2,0)</f>
        <v/>
      </c>
      <c r="I762">
        <f>VLOOKUP(D762,Товар!$A$2:$F$1000,3,0)</f>
        <v/>
      </c>
      <c r="J762">
        <f>VLOOKUP(D762,Товар!$A$2:$F$1000,5,0)</f>
        <v/>
      </c>
      <c r="K762">
        <f>IF(AND(H762="Промышленный",LEFT(I762,18)="Порошок стиральный",F762="Продажа",B762=DATE(2023,6,7)),E762*J762/1000,0)</f>
        <v/>
      </c>
    </row>
    <row r="763">
      <c r="A763" t="n">
        <v>762</v>
      </c>
      <c r="B763" s="1" t="n">
        <v>45079</v>
      </c>
      <c r="C763" s="5" t="inlineStr">
        <is>
          <t>M4</t>
        </is>
      </c>
      <c r="D763" s="5" t="n">
        <v>42</v>
      </c>
      <c r="E763" s="5" t="n">
        <v>400</v>
      </c>
      <c r="F763" t="inlineStr">
        <is>
          <t>Поступление</t>
        </is>
      </c>
      <c r="H763">
        <f>VLOOKUP(C763,Магазин!$A$2:$C$1000,2,0)</f>
        <v/>
      </c>
      <c r="I763">
        <f>VLOOKUP(D763,Товар!$A$2:$F$1000,3,0)</f>
        <v/>
      </c>
      <c r="J763">
        <f>VLOOKUP(D763,Товар!$A$2:$F$1000,5,0)</f>
        <v/>
      </c>
      <c r="K763">
        <f>IF(AND(H763="Промышленный",LEFT(I763,18)="Порошок стиральный",F763="Продажа",B763=DATE(2023,6,7)),E763*J763/1000,0)</f>
        <v/>
      </c>
    </row>
    <row r="764">
      <c r="A764" t="n">
        <v>763</v>
      </c>
      <c r="B764" s="1" t="n">
        <v>45079</v>
      </c>
      <c r="C764" s="5" t="inlineStr">
        <is>
          <t>M4</t>
        </is>
      </c>
      <c r="D764" s="5" t="n">
        <v>43</v>
      </c>
      <c r="E764" s="5" t="n">
        <v>400</v>
      </c>
      <c r="F764" t="inlineStr">
        <is>
          <t>Поступление</t>
        </is>
      </c>
      <c r="H764">
        <f>VLOOKUP(C764,Магазин!$A$2:$C$1000,2,0)</f>
        <v/>
      </c>
      <c r="I764">
        <f>VLOOKUP(D764,Товар!$A$2:$F$1000,3,0)</f>
        <v/>
      </c>
      <c r="J764">
        <f>VLOOKUP(D764,Товар!$A$2:$F$1000,5,0)</f>
        <v/>
      </c>
      <c r="K764">
        <f>IF(AND(H764="Промышленный",LEFT(I764,18)="Порошок стиральный",F764="Продажа",B764=DATE(2023,6,7)),E764*J764/1000,0)</f>
        <v/>
      </c>
    </row>
    <row r="765">
      <c r="A765" t="n">
        <v>764</v>
      </c>
      <c r="B765" s="1" t="n">
        <v>45079</v>
      </c>
      <c r="C765" s="5" t="inlineStr">
        <is>
          <t>M4</t>
        </is>
      </c>
      <c r="D765" s="5" t="n">
        <v>44</v>
      </c>
      <c r="E765" s="5" t="n">
        <v>400</v>
      </c>
      <c r="F765" t="inlineStr">
        <is>
          <t>Поступление</t>
        </is>
      </c>
      <c r="H765">
        <f>VLOOKUP(C765,Магазин!$A$2:$C$1000,2,0)</f>
        <v/>
      </c>
      <c r="I765">
        <f>VLOOKUP(D765,Товар!$A$2:$F$1000,3,0)</f>
        <v/>
      </c>
      <c r="J765">
        <f>VLOOKUP(D765,Товар!$A$2:$F$1000,5,0)</f>
        <v/>
      </c>
      <c r="K765">
        <f>IF(AND(H765="Промышленный",LEFT(I765,18)="Порошок стиральный",F765="Продажа",B765=DATE(2023,6,7)),E765*J765/1000,0)</f>
        <v/>
      </c>
    </row>
    <row r="766">
      <c r="A766" t="n">
        <v>765</v>
      </c>
      <c r="B766" s="1" t="n">
        <v>45079</v>
      </c>
      <c r="C766" s="5" t="inlineStr">
        <is>
          <t>M4</t>
        </is>
      </c>
      <c r="D766" s="5" t="n">
        <v>45</v>
      </c>
      <c r="E766" s="5" t="n">
        <v>400</v>
      </c>
      <c r="F766" t="inlineStr">
        <is>
          <t>Поступление</t>
        </is>
      </c>
      <c r="H766">
        <f>VLOOKUP(C766,Магазин!$A$2:$C$1000,2,0)</f>
        <v/>
      </c>
      <c r="I766">
        <f>VLOOKUP(D766,Товар!$A$2:$F$1000,3,0)</f>
        <v/>
      </c>
      <c r="J766">
        <f>VLOOKUP(D766,Товар!$A$2:$F$1000,5,0)</f>
        <v/>
      </c>
      <c r="K766">
        <f>IF(AND(H766="Промышленный",LEFT(I766,18)="Порошок стиральный",F766="Продажа",B766=DATE(2023,6,7)),E766*J766/1000,0)</f>
        <v/>
      </c>
    </row>
    <row r="767">
      <c r="A767" t="n">
        <v>766</v>
      </c>
      <c r="B767" s="1" t="n">
        <v>45079</v>
      </c>
      <c r="C767" s="5" t="inlineStr">
        <is>
          <t>M4</t>
        </is>
      </c>
      <c r="D767" s="5" t="n">
        <v>46</v>
      </c>
      <c r="E767" s="5" t="n">
        <v>400</v>
      </c>
      <c r="F767" t="inlineStr">
        <is>
          <t>Поступление</t>
        </is>
      </c>
      <c r="H767">
        <f>VLOOKUP(C767,Магазин!$A$2:$C$1000,2,0)</f>
        <v/>
      </c>
      <c r="I767">
        <f>VLOOKUP(D767,Товар!$A$2:$F$1000,3,0)</f>
        <v/>
      </c>
      <c r="J767">
        <f>VLOOKUP(D767,Товар!$A$2:$F$1000,5,0)</f>
        <v/>
      </c>
      <c r="K767">
        <f>IF(AND(H767="Промышленный",LEFT(I767,18)="Порошок стиральный",F767="Продажа",B767=DATE(2023,6,7)),E767*J767/1000,0)</f>
        <v/>
      </c>
    </row>
    <row r="768">
      <c r="A768" t="n">
        <v>767</v>
      </c>
      <c r="B768" s="1" t="n">
        <v>45079</v>
      </c>
      <c r="C768" s="5" t="inlineStr">
        <is>
          <t>M4</t>
        </is>
      </c>
      <c r="D768" s="5" t="n">
        <v>47</v>
      </c>
      <c r="E768" s="5" t="n">
        <v>400</v>
      </c>
      <c r="F768" t="inlineStr">
        <is>
          <t>Поступление</t>
        </is>
      </c>
      <c r="H768">
        <f>VLOOKUP(C768,Магазин!$A$2:$C$1000,2,0)</f>
        <v/>
      </c>
      <c r="I768">
        <f>VLOOKUP(D768,Товар!$A$2:$F$1000,3,0)</f>
        <v/>
      </c>
      <c r="J768">
        <f>VLOOKUP(D768,Товар!$A$2:$F$1000,5,0)</f>
        <v/>
      </c>
      <c r="K768">
        <f>IF(AND(H768="Промышленный",LEFT(I768,18)="Порошок стиральный",F768="Продажа",B768=DATE(2023,6,7)),E768*J768/1000,0)</f>
        <v/>
      </c>
    </row>
    <row r="769">
      <c r="A769" t="n">
        <v>768</v>
      </c>
      <c r="B769" s="1" t="n">
        <v>45079</v>
      </c>
      <c r="C769" s="5" t="inlineStr">
        <is>
          <t>M4</t>
        </is>
      </c>
      <c r="D769" s="5" t="n">
        <v>48</v>
      </c>
      <c r="E769" s="5" t="n">
        <v>400</v>
      </c>
      <c r="F769" t="inlineStr">
        <is>
          <t>Поступление</t>
        </is>
      </c>
      <c r="H769">
        <f>VLOOKUP(C769,Магазин!$A$2:$C$1000,2,0)</f>
        <v/>
      </c>
      <c r="I769">
        <f>VLOOKUP(D769,Товар!$A$2:$F$1000,3,0)</f>
        <v/>
      </c>
      <c r="J769">
        <f>VLOOKUP(D769,Товар!$A$2:$F$1000,5,0)</f>
        <v/>
      </c>
      <c r="K769">
        <f>IF(AND(H769="Промышленный",LEFT(I769,18)="Порошок стиральный",F769="Продажа",B769=DATE(2023,6,7)),E769*J769/1000,0)</f>
        <v/>
      </c>
    </row>
    <row r="770">
      <c r="A770" t="n">
        <v>769</v>
      </c>
      <c r="B770" s="1" t="n">
        <v>45079</v>
      </c>
      <c r="C770" s="5" t="inlineStr">
        <is>
          <t>M4</t>
        </is>
      </c>
      <c r="D770" s="5" t="n">
        <v>49</v>
      </c>
      <c r="E770" s="5" t="n">
        <v>400</v>
      </c>
      <c r="F770" t="inlineStr">
        <is>
          <t>Поступление</t>
        </is>
      </c>
      <c r="H770">
        <f>VLOOKUP(C770,Магазин!$A$2:$C$1000,2,0)</f>
        <v/>
      </c>
      <c r="I770">
        <f>VLOOKUP(D770,Товар!$A$2:$F$1000,3,0)</f>
        <v/>
      </c>
      <c r="J770">
        <f>VLOOKUP(D770,Товар!$A$2:$F$1000,5,0)</f>
        <v/>
      </c>
      <c r="K770">
        <f>IF(AND(H770="Промышленный",LEFT(I770,18)="Порошок стиральный",F770="Продажа",B770=DATE(2023,6,7)),E770*J770/1000,0)</f>
        <v/>
      </c>
    </row>
    <row r="771">
      <c r="A771" t="n">
        <v>770</v>
      </c>
      <c r="B771" s="1" t="n">
        <v>45079</v>
      </c>
      <c r="C771" s="5" t="inlineStr">
        <is>
          <t>M4</t>
        </is>
      </c>
      <c r="D771" s="5" t="n">
        <v>50</v>
      </c>
      <c r="E771" s="5" t="n">
        <v>400</v>
      </c>
      <c r="F771" t="inlineStr">
        <is>
          <t>Поступление</t>
        </is>
      </c>
      <c r="H771">
        <f>VLOOKUP(C771,Магазин!$A$2:$C$1000,2,0)</f>
        <v/>
      </c>
      <c r="I771">
        <f>VLOOKUP(D771,Товар!$A$2:$F$1000,3,0)</f>
        <v/>
      </c>
      <c r="J771">
        <f>VLOOKUP(D771,Товар!$A$2:$F$1000,5,0)</f>
        <v/>
      </c>
      <c r="K771">
        <f>IF(AND(H771="Промышленный",LEFT(I771,18)="Порошок стиральный",F771="Продажа",B771=DATE(2023,6,7)),E771*J771/1000,0)</f>
        <v/>
      </c>
    </row>
    <row r="772">
      <c r="A772" t="n">
        <v>771</v>
      </c>
      <c r="B772" s="1" t="n">
        <v>45079</v>
      </c>
      <c r="C772" s="5" t="inlineStr">
        <is>
          <t>M4</t>
        </is>
      </c>
      <c r="D772" s="5" t="n">
        <v>51</v>
      </c>
      <c r="E772" s="5" t="n">
        <v>400</v>
      </c>
      <c r="F772" t="inlineStr">
        <is>
          <t>Поступление</t>
        </is>
      </c>
      <c r="H772">
        <f>VLOOKUP(C772,Магазин!$A$2:$C$1000,2,0)</f>
        <v/>
      </c>
      <c r="I772">
        <f>VLOOKUP(D772,Товар!$A$2:$F$1000,3,0)</f>
        <v/>
      </c>
      <c r="J772">
        <f>VLOOKUP(D772,Товар!$A$2:$F$1000,5,0)</f>
        <v/>
      </c>
      <c r="K772">
        <f>IF(AND(H772="Промышленный",LEFT(I772,18)="Порошок стиральный",F772="Продажа",B772=DATE(2023,6,7)),E772*J772/1000,0)</f>
        <v/>
      </c>
    </row>
    <row r="773">
      <c r="A773" t="n">
        <v>772</v>
      </c>
      <c r="B773" s="1" t="n">
        <v>45079</v>
      </c>
      <c r="C773" s="5" t="inlineStr">
        <is>
          <t>M4</t>
        </is>
      </c>
      <c r="D773" s="5" t="n">
        <v>52</v>
      </c>
      <c r="E773" s="5" t="n">
        <v>400</v>
      </c>
      <c r="F773" t="inlineStr">
        <is>
          <t>Поступление</t>
        </is>
      </c>
      <c r="H773">
        <f>VLOOKUP(C773,Магазин!$A$2:$C$1000,2,0)</f>
        <v/>
      </c>
      <c r="I773">
        <f>VLOOKUP(D773,Товар!$A$2:$F$1000,3,0)</f>
        <v/>
      </c>
      <c r="J773">
        <f>VLOOKUP(D773,Товар!$A$2:$F$1000,5,0)</f>
        <v/>
      </c>
      <c r="K773">
        <f>IF(AND(H773="Промышленный",LEFT(I773,18)="Порошок стиральный",F773="Продажа",B773=DATE(2023,6,7)),E773*J773/1000,0)</f>
        <v/>
      </c>
    </row>
    <row r="774">
      <c r="A774" t="n">
        <v>773</v>
      </c>
      <c r="B774" s="1" t="n">
        <v>45079</v>
      </c>
      <c r="C774" s="5" t="inlineStr">
        <is>
          <t>M4</t>
        </is>
      </c>
      <c r="D774" s="5" t="n">
        <v>53</v>
      </c>
      <c r="E774" s="5" t="n">
        <v>400</v>
      </c>
      <c r="F774" t="inlineStr">
        <is>
          <t>Поступление</t>
        </is>
      </c>
      <c r="H774">
        <f>VLOOKUP(C774,Магазин!$A$2:$C$1000,2,0)</f>
        <v/>
      </c>
      <c r="I774">
        <f>VLOOKUP(D774,Товар!$A$2:$F$1000,3,0)</f>
        <v/>
      </c>
      <c r="J774">
        <f>VLOOKUP(D774,Товар!$A$2:$F$1000,5,0)</f>
        <v/>
      </c>
      <c r="K774">
        <f>IF(AND(H774="Промышленный",LEFT(I774,18)="Порошок стиральный",F774="Продажа",B774=DATE(2023,6,7)),E774*J774/1000,0)</f>
        <v/>
      </c>
    </row>
    <row r="775">
      <c r="A775" t="n">
        <v>774</v>
      </c>
      <c r="B775" s="1" t="n">
        <v>45079</v>
      </c>
      <c r="C775" s="5" t="inlineStr">
        <is>
          <t>M4</t>
        </is>
      </c>
      <c r="D775" s="5" t="n">
        <v>54</v>
      </c>
      <c r="E775" s="5" t="n">
        <v>400</v>
      </c>
      <c r="F775" t="inlineStr">
        <is>
          <t>Поступление</t>
        </is>
      </c>
      <c r="H775">
        <f>VLOOKUP(C775,Магазин!$A$2:$C$1000,2,0)</f>
        <v/>
      </c>
      <c r="I775">
        <f>VLOOKUP(D775,Товар!$A$2:$F$1000,3,0)</f>
        <v/>
      </c>
      <c r="J775">
        <f>VLOOKUP(D775,Товар!$A$2:$F$1000,5,0)</f>
        <v/>
      </c>
      <c r="K775">
        <f>IF(AND(H775="Промышленный",LEFT(I775,18)="Порошок стиральный",F775="Продажа",B775=DATE(2023,6,7)),E775*J775/1000,0)</f>
        <v/>
      </c>
    </row>
    <row r="776" ht="14.1" customHeight="1" s="4">
      <c r="A776" t="n">
        <v>775</v>
      </c>
      <c r="B776" s="1" t="n">
        <v>45079</v>
      </c>
      <c r="C776" s="5" t="inlineStr">
        <is>
          <t>M4</t>
        </is>
      </c>
      <c r="D776" s="5" t="n">
        <v>55</v>
      </c>
      <c r="E776" s="5" t="n">
        <v>400</v>
      </c>
      <c r="F776" t="inlineStr">
        <is>
          <t>Поступление</t>
        </is>
      </c>
      <c r="H776">
        <f>VLOOKUP(C776,Магазин!$A$2:$C$1000,2,0)</f>
        <v/>
      </c>
      <c r="I776">
        <f>VLOOKUP(D776,Товар!$A$2:$F$1000,3,0)</f>
        <v/>
      </c>
      <c r="J776">
        <f>VLOOKUP(D776,Товар!$A$2:$F$1000,5,0)</f>
        <v/>
      </c>
      <c r="K776">
        <f>IF(AND(H776="Промышленный",LEFT(I776,18)="Порошок стиральный",F776="Продажа",B776=DATE(2023,6,7)),E776*J776/1000,0)</f>
        <v/>
      </c>
    </row>
    <row r="777" ht="14.1" customHeight="1" s="4">
      <c r="A777" t="n">
        <v>776</v>
      </c>
      <c r="B777" s="1" t="n">
        <v>45079</v>
      </c>
      <c r="C777" s="5" t="inlineStr">
        <is>
          <t>M4</t>
        </is>
      </c>
      <c r="D777" s="5" t="n">
        <v>56</v>
      </c>
      <c r="E777" s="5" t="n">
        <v>400</v>
      </c>
      <c r="F777" t="inlineStr">
        <is>
          <t>Поступление</t>
        </is>
      </c>
      <c r="H777">
        <f>VLOOKUP(C777,Магазин!$A$2:$C$1000,2,0)</f>
        <v/>
      </c>
      <c r="I777">
        <f>VLOOKUP(D777,Товар!$A$2:$F$1000,3,0)</f>
        <v/>
      </c>
      <c r="J777">
        <f>VLOOKUP(D777,Товар!$A$2:$F$1000,5,0)</f>
        <v/>
      </c>
      <c r="K777">
        <f>IF(AND(H777="Промышленный",LEFT(I777,18)="Порошок стиральный",F777="Продажа",B777=DATE(2023,6,7)),E777*J777/1000,0)</f>
        <v/>
      </c>
    </row>
    <row r="778">
      <c r="A778" t="n">
        <v>777</v>
      </c>
      <c r="B778" s="1" t="n">
        <v>45079</v>
      </c>
      <c r="C778" s="5" t="inlineStr">
        <is>
          <t>M4</t>
        </is>
      </c>
      <c r="D778" s="5" t="n">
        <v>57</v>
      </c>
      <c r="E778" s="5" t="n">
        <v>400</v>
      </c>
      <c r="F778" t="inlineStr">
        <is>
          <t>Поступление</t>
        </is>
      </c>
      <c r="H778">
        <f>VLOOKUP(C778,Магазин!$A$2:$C$1000,2,0)</f>
        <v/>
      </c>
      <c r="I778">
        <f>VLOOKUP(D778,Товар!$A$2:$F$1000,3,0)</f>
        <v/>
      </c>
      <c r="J778">
        <f>VLOOKUP(D778,Товар!$A$2:$F$1000,5,0)</f>
        <v/>
      </c>
      <c r="K778">
        <f>IF(AND(H778="Промышленный",LEFT(I778,18)="Порошок стиральный",F778="Продажа",B778=DATE(2023,6,7)),E778*J778/1000,0)</f>
        <v/>
      </c>
    </row>
    <row r="779">
      <c r="A779" t="n">
        <v>778</v>
      </c>
      <c r="B779" s="1" t="n">
        <v>45079</v>
      </c>
      <c r="C779" s="5" t="inlineStr">
        <is>
          <t>M4</t>
        </is>
      </c>
      <c r="D779" s="5" t="n">
        <v>58</v>
      </c>
      <c r="E779" s="5" t="n">
        <v>400</v>
      </c>
      <c r="F779" t="inlineStr">
        <is>
          <t>Поступление</t>
        </is>
      </c>
      <c r="H779">
        <f>VLOOKUP(C779,Магазин!$A$2:$C$1000,2,0)</f>
        <v/>
      </c>
      <c r="I779">
        <f>VLOOKUP(D779,Товар!$A$2:$F$1000,3,0)</f>
        <v/>
      </c>
      <c r="J779">
        <f>VLOOKUP(D779,Товар!$A$2:$F$1000,5,0)</f>
        <v/>
      </c>
      <c r="K779">
        <f>IF(AND(H779="Промышленный",LEFT(I779,18)="Порошок стиральный",F779="Продажа",B779=DATE(2023,6,7)),E779*J779/1000,0)</f>
        <v/>
      </c>
    </row>
    <row r="780">
      <c r="A780" t="n">
        <v>779</v>
      </c>
      <c r="B780" s="1" t="n">
        <v>45079</v>
      </c>
      <c r="C780" s="5" t="inlineStr">
        <is>
          <t>M4</t>
        </is>
      </c>
      <c r="D780" s="5" t="n">
        <v>59</v>
      </c>
      <c r="E780" s="5" t="n">
        <v>400</v>
      </c>
      <c r="F780" t="inlineStr">
        <is>
          <t>Поступление</t>
        </is>
      </c>
      <c r="H780">
        <f>VLOOKUP(C780,Магазин!$A$2:$C$1000,2,0)</f>
        <v/>
      </c>
      <c r="I780">
        <f>VLOOKUP(D780,Товар!$A$2:$F$1000,3,0)</f>
        <v/>
      </c>
      <c r="J780">
        <f>VLOOKUP(D780,Товар!$A$2:$F$1000,5,0)</f>
        <v/>
      </c>
      <c r="K780">
        <f>IF(AND(H780="Промышленный",LEFT(I780,18)="Порошок стиральный",F780="Продажа",B780=DATE(2023,6,7)),E780*J780/1000,0)</f>
        <v/>
      </c>
    </row>
    <row r="781">
      <c r="A781" t="n">
        <v>780</v>
      </c>
      <c r="B781" s="1" t="n">
        <v>45079</v>
      </c>
      <c r="C781" s="5" t="inlineStr">
        <is>
          <t>M4</t>
        </is>
      </c>
      <c r="D781" s="5" t="n">
        <v>60</v>
      </c>
      <c r="E781" s="5" t="n">
        <v>400</v>
      </c>
      <c r="F781" t="inlineStr">
        <is>
          <t>Поступление</t>
        </is>
      </c>
      <c r="H781">
        <f>VLOOKUP(C781,Магазин!$A$2:$C$1000,2,0)</f>
        <v/>
      </c>
      <c r="I781">
        <f>VLOOKUP(D781,Товар!$A$2:$F$1000,3,0)</f>
        <v/>
      </c>
      <c r="J781">
        <f>VLOOKUP(D781,Товар!$A$2:$F$1000,5,0)</f>
        <v/>
      </c>
      <c r="K781">
        <f>IF(AND(H781="Промышленный",LEFT(I781,18)="Порошок стиральный",F781="Продажа",B781=DATE(2023,6,7)),E781*J781/1000,0)</f>
        <v/>
      </c>
    </row>
    <row r="782">
      <c r="A782" t="n">
        <v>781</v>
      </c>
      <c r="B782" s="1" t="n">
        <v>45079</v>
      </c>
      <c r="C782" s="5" t="inlineStr">
        <is>
          <t>M5</t>
        </is>
      </c>
      <c r="D782" s="5" t="n">
        <v>1</v>
      </c>
      <c r="E782" s="5" t="n">
        <v>200</v>
      </c>
      <c r="F782" t="inlineStr">
        <is>
          <t>Поступление</t>
        </is>
      </c>
      <c r="H782">
        <f>VLOOKUP(C782,Магазин!$A$2:$C$1000,2,0)</f>
        <v/>
      </c>
      <c r="I782">
        <f>VLOOKUP(D782,Товар!$A$2:$F$1000,3,0)</f>
        <v/>
      </c>
      <c r="J782">
        <f>VLOOKUP(D782,Товар!$A$2:$F$1000,5,0)</f>
        <v/>
      </c>
      <c r="K782">
        <f>IF(AND(H782="Промышленный",LEFT(I782,18)="Порошок стиральный",F782="Продажа",B782=DATE(2023,6,7)),E782*J782/1000,0)</f>
        <v/>
      </c>
    </row>
    <row r="783">
      <c r="A783" t="n">
        <v>782</v>
      </c>
      <c r="B783" s="1" t="n">
        <v>45079</v>
      </c>
      <c r="C783" s="5" t="inlineStr">
        <is>
          <t>M5</t>
        </is>
      </c>
      <c r="D783" s="5" t="n">
        <v>2</v>
      </c>
      <c r="E783" s="5" t="n">
        <v>200</v>
      </c>
      <c r="F783" t="inlineStr">
        <is>
          <t>Поступление</t>
        </is>
      </c>
      <c r="H783">
        <f>VLOOKUP(C783,Магазин!$A$2:$C$1000,2,0)</f>
        <v/>
      </c>
      <c r="I783">
        <f>VLOOKUP(D783,Товар!$A$2:$F$1000,3,0)</f>
        <v/>
      </c>
      <c r="J783">
        <f>VLOOKUP(D783,Товар!$A$2:$F$1000,5,0)</f>
        <v/>
      </c>
      <c r="K783">
        <f>IF(AND(H783="Промышленный",LEFT(I783,18)="Порошок стиральный",F783="Продажа",B783=DATE(2023,6,7)),E783*J783/1000,0)</f>
        <v/>
      </c>
    </row>
    <row r="784">
      <c r="A784" t="n">
        <v>783</v>
      </c>
      <c r="B784" s="1" t="n">
        <v>45079</v>
      </c>
      <c r="C784" s="5" t="inlineStr">
        <is>
          <t>M5</t>
        </is>
      </c>
      <c r="D784" s="5" t="n">
        <v>3</v>
      </c>
      <c r="E784" s="5" t="n">
        <v>200</v>
      </c>
      <c r="F784" t="inlineStr">
        <is>
          <t>Поступление</t>
        </is>
      </c>
      <c r="H784">
        <f>VLOOKUP(C784,Магазин!$A$2:$C$1000,2,0)</f>
        <v/>
      </c>
      <c r="I784">
        <f>VLOOKUP(D784,Товар!$A$2:$F$1000,3,0)</f>
        <v/>
      </c>
      <c r="J784">
        <f>VLOOKUP(D784,Товар!$A$2:$F$1000,5,0)</f>
        <v/>
      </c>
      <c r="K784">
        <f>IF(AND(H784="Промышленный",LEFT(I784,18)="Порошок стиральный",F784="Продажа",B784=DATE(2023,6,7)),E784*J784/1000,0)</f>
        <v/>
      </c>
    </row>
    <row r="785">
      <c r="A785" t="n">
        <v>784</v>
      </c>
      <c r="B785" s="1" t="n">
        <v>45079</v>
      </c>
      <c r="C785" s="5" t="inlineStr">
        <is>
          <t>M5</t>
        </is>
      </c>
      <c r="D785" s="5" t="n">
        <v>4</v>
      </c>
      <c r="E785" s="5" t="n">
        <v>200</v>
      </c>
      <c r="F785" t="inlineStr">
        <is>
          <t>Поступление</t>
        </is>
      </c>
      <c r="H785">
        <f>VLOOKUP(C785,Магазин!$A$2:$C$1000,2,0)</f>
        <v/>
      </c>
      <c r="I785">
        <f>VLOOKUP(D785,Товар!$A$2:$F$1000,3,0)</f>
        <v/>
      </c>
      <c r="J785">
        <f>VLOOKUP(D785,Товар!$A$2:$F$1000,5,0)</f>
        <v/>
      </c>
      <c r="K785">
        <f>IF(AND(H785="Промышленный",LEFT(I785,18)="Порошок стиральный",F785="Продажа",B785=DATE(2023,6,7)),E785*J785/1000,0)</f>
        <v/>
      </c>
    </row>
    <row r="786">
      <c r="A786" t="n">
        <v>785</v>
      </c>
      <c r="B786" s="1" t="n">
        <v>45079</v>
      </c>
      <c r="C786" s="5" t="inlineStr">
        <is>
          <t>M5</t>
        </is>
      </c>
      <c r="D786" s="5" t="n">
        <v>5</v>
      </c>
      <c r="E786" s="5" t="n">
        <v>200</v>
      </c>
      <c r="F786" t="inlineStr">
        <is>
          <t>Поступление</t>
        </is>
      </c>
      <c r="H786">
        <f>VLOOKUP(C786,Магазин!$A$2:$C$1000,2,0)</f>
        <v/>
      </c>
      <c r="I786">
        <f>VLOOKUP(D786,Товар!$A$2:$F$1000,3,0)</f>
        <v/>
      </c>
      <c r="J786">
        <f>VLOOKUP(D786,Товар!$A$2:$F$1000,5,0)</f>
        <v/>
      </c>
      <c r="K786">
        <f>IF(AND(H786="Промышленный",LEFT(I786,18)="Порошок стиральный",F786="Продажа",B786=DATE(2023,6,7)),E786*J786/1000,0)</f>
        <v/>
      </c>
    </row>
    <row r="787">
      <c r="A787" t="n">
        <v>786</v>
      </c>
      <c r="B787" s="1" t="n">
        <v>45079</v>
      </c>
      <c r="C787" s="5" t="inlineStr">
        <is>
          <t>M5</t>
        </is>
      </c>
      <c r="D787" s="5" t="n">
        <v>6</v>
      </c>
      <c r="E787" s="5" t="n">
        <v>200</v>
      </c>
      <c r="F787" t="inlineStr">
        <is>
          <t>Поступление</t>
        </is>
      </c>
      <c r="H787">
        <f>VLOOKUP(C787,Магазин!$A$2:$C$1000,2,0)</f>
        <v/>
      </c>
      <c r="I787">
        <f>VLOOKUP(D787,Товар!$A$2:$F$1000,3,0)</f>
        <v/>
      </c>
      <c r="J787">
        <f>VLOOKUP(D787,Товар!$A$2:$F$1000,5,0)</f>
        <v/>
      </c>
      <c r="K787">
        <f>IF(AND(H787="Промышленный",LEFT(I787,18)="Порошок стиральный",F787="Продажа",B787=DATE(2023,6,7)),E787*J787/1000,0)</f>
        <v/>
      </c>
    </row>
    <row r="788">
      <c r="A788" t="n">
        <v>787</v>
      </c>
      <c r="B788" s="1" t="n">
        <v>45079</v>
      </c>
      <c r="C788" s="5" t="inlineStr">
        <is>
          <t>M5</t>
        </is>
      </c>
      <c r="D788" s="5" t="n">
        <v>7</v>
      </c>
      <c r="E788" s="5" t="n">
        <v>200</v>
      </c>
      <c r="F788" t="inlineStr">
        <is>
          <t>Поступление</t>
        </is>
      </c>
      <c r="H788">
        <f>VLOOKUP(C788,Магазин!$A$2:$C$1000,2,0)</f>
        <v/>
      </c>
      <c r="I788">
        <f>VLOOKUP(D788,Товар!$A$2:$F$1000,3,0)</f>
        <v/>
      </c>
      <c r="J788">
        <f>VLOOKUP(D788,Товар!$A$2:$F$1000,5,0)</f>
        <v/>
      </c>
      <c r="K788">
        <f>IF(AND(H788="Промышленный",LEFT(I788,18)="Порошок стиральный",F788="Продажа",B788=DATE(2023,6,7)),E788*J788/1000,0)</f>
        <v/>
      </c>
    </row>
    <row r="789">
      <c r="A789" t="n">
        <v>788</v>
      </c>
      <c r="B789" s="1" t="n">
        <v>45079</v>
      </c>
      <c r="C789" s="5" t="inlineStr">
        <is>
          <t>M5</t>
        </is>
      </c>
      <c r="D789" s="5" t="n">
        <v>8</v>
      </c>
      <c r="E789" s="5" t="n">
        <v>200</v>
      </c>
      <c r="F789" t="inlineStr">
        <is>
          <t>Поступление</t>
        </is>
      </c>
      <c r="H789">
        <f>VLOOKUP(C789,Магазин!$A$2:$C$1000,2,0)</f>
        <v/>
      </c>
      <c r="I789">
        <f>VLOOKUP(D789,Товар!$A$2:$F$1000,3,0)</f>
        <v/>
      </c>
      <c r="J789">
        <f>VLOOKUP(D789,Товар!$A$2:$F$1000,5,0)</f>
        <v/>
      </c>
      <c r="K789">
        <f>IF(AND(H789="Промышленный",LEFT(I789,18)="Порошок стиральный",F789="Продажа",B789=DATE(2023,6,7)),E789*J789/1000,0)</f>
        <v/>
      </c>
    </row>
    <row r="790">
      <c r="A790" t="n">
        <v>789</v>
      </c>
      <c r="B790" s="1" t="n">
        <v>45079</v>
      </c>
      <c r="C790" s="5" t="inlineStr">
        <is>
          <t>M5</t>
        </is>
      </c>
      <c r="D790" s="5" t="n">
        <v>9</v>
      </c>
      <c r="E790" s="5" t="n">
        <v>200</v>
      </c>
      <c r="F790" t="inlineStr">
        <is>
          <t>Поступление</t>
        </is>
      </c>
      <c r="H790">
        <f>VLOOKUP(C790,Магазин!$A$2:$C$1000,2,0)</f>
        <v/>
      </c>
      <c r="I790">
        <f>VLOOKUP(D790,Товар!$A$2:$F$1000,3,0)</f>
        <v/>
      </c>
      <c r="J790">
        <f>VLOOKUP(D790,Товар!$A$2:$F$1000,5,0)</f>
        <v/>
      </c>
      <c r="K790">
        <f>IF(AND(H790="Промышленный",LEFT(I790,18)="Порошок стиральный",F790="Продажа",B790=DATE(2023,6,7)),E790*J790/1000,0)</f>
        <v/>
      </c>
    </row>
    <row r="791">
      <c r="A791" t="n">
        <v>790</v>
      </c>
      <c r="B791" s="1" t="n">
        <v>45079</v>
      </c>
      <c r="C791" s="5" t="inlineStr">
        <is>
          <t>M5</t>
        </is>
      </c>
      <c r="D791" s="5" t="n">
        <v>10</v>
      </c>
      <c r="E791" s="5" t="n">
        <v>200</v>
      </c>
      <c r="F791" t="inlineStr">
        <is>
          <t>Поступление</t>
        </is>
      </c>
      <c r="H791">
        <f>VLOOKUP(C791,Магазин!$A$2:$C$1000,2,0)</f>
        <v/>
      </c>
      <c r="I791">
        <f>VLOOKUP(D791,Товар!$A$2:$F$1000,3,0)</f>
        <v/>
      </c>
      <c r="J791">
        <f>VLOOKUP(D791,Товар!$A$2:$F$1000,5,0)</f>
        <v/>
      </c>
      <c r="K791">
        <f>IF(AND(H791="Промышленный",LEFT(I791,18)="Порошок стиральный",F791="Продажа",B791=DATE(2023,6,7)),E791*J791/1000,0)</f>
        <v/>
      </c>
    </row>
    <row r="792">
      <c r="A792" t="n">
        <v>791</v>
      </c>
      <c r="B792" s="1" t="n">
        <v>45079</v>
      </c>
      <c r="C792" s="5" t="inlineStr">
        <is>
          <t>M5</t>
        </is>
      </c>
      <c r="D792" s="5" t="n">
        <v>11</v>
      </c>
      <c r="E792" s="5" t="n">
        <v>200</v>
      </c>
      <c r="F792" t="inlineStr">
        <is>
          <t>Поступление</t>
        </is>
      </c>
      <c r="H792">
        <f>VLOOKUP(C792,Магазин!$A$2:$C$1000,2,0)</f>
        <v/>
      </c>
      <c r="I792">
        <f>VLOOKUP(D792,Товар!$A$2:$F$1000,3,0)</f>
        <v/>
      </c>
      <c r="J792">
        <f>VLOOKUP(D792,Товар!$A$2:$F$1000,5,0)</f>
        <v/>
      </c>
      <c r="K792">
        <f>IF(AND(H792="Промышленный",LEFT(I792,18)="Порошок стиральный",F792="Продажа",B792=DATE(2023,6,7)),E792*J792/1000,0)</f>
        <v/>
      </c>
    </row>
    <row r="793">
      <c r="A793" t="n">
        <v>792</v>
      </c>
      <c r="B793" s="1" t="n">
        <v>45079</v>
      </c>
      <c r="C793" s="5" t="inlineStr">
        <is>
          <t>M5</t>
        </is>
      </c>
      <c r="D793" s="5" t="n">
        <v>12</v>
      </c>
      <c r="E793" s="5" t="n">
        <v>200</v>
      </c>
      <c r="F793" t="inlineStr">
        <is>
          <t>Поступление</t>
        </is>
      </c>
      <c r="H793">
        <f>VLOOKUP(C793,Магазин!$A$2:$C$1000,2,0)</f>
        <v/>
      </c>
      <c r="I793">
        <f>VLOOKUP(D793,Товар!$A$2:$F$1000,3,0)</f>
        <v/>
      </c>
      <c r="J793">
        <f>VLOOKUP(D793,Товар!$A$2:$F$1000,5,0)</f>
        <v/>
      </c>
      <c r="K793">
        <f>IF(AND(H793="Промышленный",LEFT(I793,18)="Порошок стиральный",F793="Продажа",B793=DATE(2023,6,7)),E793*J793/1000,0)</f>
        <v/>
      </c>
    </row>
    <row r="794">
      <c r="A794" t="n">
        <v>793</v>
      </c>
      <c r="B794" s="1" t="n">
        <v>45079</v>
      </c>
      <c r="C794" s="5" t="inlineStr">
        <is>
          <t>M5</t>
        </is>
      </c>
      <c r="D794" s="5" t="n">
        <v>13</v>
      </c>
      <c r="E794" s="5" t="n">
        <v>200</v>
      </c>
      <c r="F794" t="inlineStr">
        <is>
          <t>Поступление</t>
        </is>
      </c>
      <c r="H794">
        <f>VLOOKUP(C794,Магазин!$A$2:$C$1000,2,0)</f>
        <v/>
      </c>
      <c r="I794">
        <f>VLOOKUP(D794,Товар!$A$2:$F$1000,3,0)</f>
        <v/>
      </c>
      <c r="J794">
        <f>VLOOKUP(D794,Товар!$A$2:$F$1000,5,0)</f>
        <v/>
      </c>
      <c r="K794">
        <f>IF(AND(H794="Промышленный",LEFT(I794,18)="Порошок стиральный",F794="Продажа",B794=DATE(2023,6,7)),E794*J794/1000,0)</f>
        <v/>
      </c>
    </row>
    <row r="795">
      <c r="A795" t="n">
        <v>794</v>
      </c>
      <c r="B795" s="1" t="n">
        <v>45079</v>
      </c>
      <c r="C795" s="5" t="inlineStr">
        <is>
          <t>M5</t>
        </is>
      </c>
      <c r="D795" s="5" t="n">
        <v>14</v>
      </c>
      <c r="E795" s="5" t="n">
        <v>200</v>
      </c>
      <c r="F795" t="inlineStr">
        <is>
          <t>Поступление</t>
        </is>
      </c>
      <c r="H795">
        <f>VLOOKUP(C795,Магазин!$A$2:$C$1000,2,0)</f>
        <v/>
      </c>
      <c r="I795">
        <f>VLOOKUP(D795,Товар!$A$2:$F$1000,3,0)</f>
        <v/>
      </c>
      <c r="J795">
        <f>VLOOKUP(D795,Товар!$A$2:$F$1000,5,0)</f>
        <v/>
      </c>
      <c r="K795">
        <f>IF(AND(H795="Промышленный",LEFT(I795,18)="Порошок стиральный",F795="Продажа",B795=DATE(2023,6,7)),E795*J795/1000,0)</f>
        <v/>
      </c>
    </row>
    <row r="796">
      <c r="A796" t="n">
        <v>795</v>
      </c>
      <c r="B796" s="1" t="n">
        <v>45079</v>
      </c>
      <c r="C796" s="5" t="inlineStr">
        <is>
          <t>M5</t>
        </is>
      </c>
      <c r="D796" s="5" t="n">
        <v>15</v>
      </c>
      <c r="E796" s="5" t="n">
        <v>200</v>
      </c>
      <c r="F796" t="inlineStr">
        <is>
          <t>Поступление</t>
        </is>
      </c>
      <c r="H796">
        <f>VLOOKUP(C796,Магазин!$A$2:$C$1000,2,0)</f>
        <v/>
      </c>
      <c r="I796">
        <f>VLOOKUP(D796,Товар!$A$2:$F$1000,3,0)</f>
        <v/>
      </c>
      <c r="J796">
        <f>VLOOKUP(D796,Товар!$A$2:$F$1000,5,0)</f>
        <v/>
      </c>
      <c r="K796">
        <f>IF(AND(H796="Промышленный",LEFT(I796,18)="Порошок стиральный",F796="Продажа",B796=DATE(2023,6,7)),E796*J796/1000,0)</f>
        <v/>
      </c>
    </row>
    <row r="797">
      <c r="A797" t="n">
        <v>796</v>
      </c>
      <c r="B797" s="1" t="n">
        <v>45079</v>
      </c>
      <c r="C797" s="5" t="inlineStr">
        <is>
          <t>M5</t>
        </is>
      </c>
      <c r="D797" s="5" t="n">
        <v>16</v>
      </c>
      <c r="E797" s="5" t="n">
        <v>200</v>
      </c>
      <c r="F797" t="inlineStr">
        <is>
          <t>Поступление</t>
        </is>
      </c>
      <c r="H797">
        <f>VLOOKUP(C797,Магазин!$A$2:$C$1000,2,0)</f>
        <v/>
      </c>
      <c r="I797">
        <f>VLOOKUP(D797,Товар!$A$2:$F$1000,3,0)</f>
        <v/>
      </c>
      <c r="J797">
        <f>VLOOKUP(D797,Товар!$A$2:$F$1000,5,0)</f>
        <v/>
      </c>
      <c r="K797">
        <f>IF(AND(H797="Промышленный",LEFT(I797,18)="Порошок стиральный",F797="Продажа",B797=DATE(2023,6,7)),E797*J797/1000,0)</f>
        <v/>
      </c>
    </row>
    <row r="798">
      <c r="A798" t="n">
        <v>797</v>
      </c>
      <c r="B798" s="1" t="n">
        <v>45079</v>
      </c>
      <c r="C798" s="5" t="inlineStr">
        <is>
          <t>M5</t>
        </is>
      </c>
      <c r="D798" s="5" t="n">
        <v>17</v>
      </c>
      <c r="E798" s="5" t="n">
        <v>200</v>
      </c>
      <c r="F798" t="inlineStr">
        <is>
          <t>Поступление</t>
        </is>
      </c>
      <c r="H798">
        <f>VLOOKUP(C798,Магазин!$A$2:$C$1000,2,0)</f>
        <v/>
      </c>
      <c r="I798">
        <f>VLOOKUP(D798,Товар!$A$2:$F$1000,3,0)</f>
        <v/>
      </c>
      <c r="J798">
        <f>VLOOKUP(D798,Товар!$A$2:$F$1000,5,0)</f>
        <v/>
      </c>
      <c r="K798">
        <f>IF(AND(H798="Промышленный",LEFT(I798,18)="Порошок стиральный",F798="Продажа",B798=DATE(2023,6,7)),E798*J798/1000,0)</f>
        <v/>
      </c>
    </row>
    <row r="799">
      <c r="A799" t="n">
        <v>798</v>
      </c>
      <c r="B799" s="1" t="n">
        <v>45079</v>
      </c>
      <c r="C799" s="5" t="inlineStr">
        <is>
          <t>M5</t>
        </is>
      </c>
      <c r="D799" s="5" t="n">
        <v>18</v>
      </c>
      <c r="E799" s="5" t="n">
        <v>200</v>
      </c>
      <c r="F799" t="inlineStr">
        <is>
          <t>Поступление</t>
        </is>
      </c>
      <c r="H799">
        <f>VLOOKUP(C799,Магазин!$A$2:$C$1000,2,0)</f>
        <v/>
      </c>
      <c r="I799">
        <f>VLOOKUP(D799,Товар!$A$2:$F$1000,3,0)</f>
        <v/>
      </c>
      <c r="J799">
        <f>VLOOKUP(D799,Товар!$A$2:$F$1000,5,0)</f>
        <v/>
      </c>
      <c r="K799">
        <f>IF(AND(H799="Промышленный",LEFT(I799,18)="Порошок стиральный",F799="Продажа",B799=DATE(2023,6,7)),E799*J799/1000,0)</f>
        <v/>
      </c>
    </row>
    <row r="800">
      <c r="A800" t="n">
        <v>799</v>
      </c>
      <c r="B800" s="1" t="n">
        <v>45079</v>
      </c>
      <c r="C800" s="5" t="inlineStr">
        <is>
          <t>M5</t>
        </is>
      </c>
      <c r="D800" s="5" t="n">
        <v>19</v>
      </c>
      <c r="E800" s="5" t="n">
        <v>200</v>
      </c>
      <c r="F800" t="inlineStr">
        <is>
          <t>Поступление</t>
        </is>
      </c>
      <c r="H800">
        <f>VLOOKUP(C800,Магазин!$A$2:$C$1000,2,0)</f>
        <v/>
      </c>
      <c r="I800">
        <f>VLOOKUP(D800,Товар!$A$2:$F$1000,3,0)</f>
        <v/>
      </c>
      <c r="J800">
        <f>VLOOKUP(D800,Товар!$A$2:$F$1000,5,0)</f>
        <v/>
      </c>
      <c r="K800">
        <f>IF(AND(H800="Промышленный",LEFT(I800,18)="Порошок стиральный",F800="Продажа",B800=DATE(2023,6,7)),E800*J800/1000,0)</f>
        <v/>
      </c>
    </row>
    <row r="801">
      <c r="A801" t="n">
        <v>800</v>
      </c>
      <c r="B801" s="1" t="n">
        <v>45079</v>
      </c>
      <c r="C801" s="5" t="inlineStr">
        <is>
          <t>M5</t>
        </is>
      </c>
      <c r="D801" s="5" t="n">
        <v>20</v>
      </c>
      <c r="E801" s="5" t="n">
        <v>200</v>
      </c>
      <c r="F801" t="inlineStr">
        <is>
          <t>Поступление</t>
        </is>
      </c>
      <c r="H801">
        <f>VLOOKUP(C801,Магазин!$A$2:$C$1000,2,0)</f>
        <v/>
      </c>
      <c r="I801">
        <f>VLOOKUP(D801,Товар!$A$2:$F$1000,3,0)</f>
        <v/>
      </c>
      <c r="J801">
        <f>VLOOKUP(D801,Товар!$A$2:$F$1000,5,0)</f>
        <v/>
      </c>
      <c r="K801">
        <f>IF(AND(H801="Промышленный",LEFT(I801,18)="Порошок стиральный",F801="Продажа",B801=DATE(2023,6,7)),E801*J801/1000,0)</f>
        <v/>
      </c>
    </row>
    <row r="802">
      <c r="A802" t="n">
        <v>801</v>
      </c>
      <c r="B802" s="1" t="n">
        <v>45079</v>
      </c>
      <c r="C802" s="5" t="inlineStr">
        <is>
          <t>M5</t>
        </is>
      </c>
      <c r="D802" s="5" t="n">
        <v>21</v>
      </c>
      <c r="E802" s="5" t="n">
        <v>200</v>
      </c>
      <c r="F802" t="inlineStr">
        <is>
          <t>Поступление</t>
        </is>
      </c>
      <c r="H802">
        <f>VLOOKUP(C802,Магазин!$A$2:$C$1000,2,0)</f>
        <v/>
      </c>
      <c r="I802">
        <f>VLOOKUP(D802,Товар!$A$2:$F$1000,3,0)</f>
        <v/>
      </c>
      <c r="J802">
        <f>VLOOKUP(D802,Товар!$A$2:$F$1000,5,0)</f>
        <v/>
      </c>
      <c r="K802">
        <f>IF(AND(H802="Промышленный",LEFT(I802,18)="Порошок стиральный",F802="Продажа",B802=DATE(2023,6,7)),E802*J802/1000,0)</f>
        <v/>
      </c>
    </row>
    <row r="803">
      <c r="A803" t="n">
        <v>802</v>
      </c>
      <c r="B803" s="1" t="n">
        <v>45079</v>
      </c>
      <c r="C803" s="5" t="inlineStr">
        <is>
          <t>M5</t>
        </is>
      </c>
      <c r="D803" s="5" t="n">
        <v>22</v>
      </c>
      <c r="E803" s="5" t="n">
        <v>200</v>
      </c>
      <c r="F803" t="inlineStr">
        <is>
          <t>Поступление</t>
        </is>
      </c>
      <c r="H803">
        <f>VLOOKUP(C803,Магазин!$A$2:$C$1000,2,0)</f>
        <v/>
      </c>
      <c r="I803">
        <f>VLOOKUP(D803,Товар!$A$2:$F$1000,3,0)</f>
        <v/>
      </c>
      <c r="J803">
        <f>VLOOKUP(D803,Товар!$A$2:$F$1000,5,0)</f>
        <v/>
      </c>
      <c r="K803">
        <f>IF(AND(H803="Промышленный",LEFT(I803,18)="Порошок стиральный",F803="Продажа",B803=DATE(2023,6,7)),E803*J803/1000,0)</f>
        <v/>
      </c>
    </row>
    <row r="804">
      <c r="A804" t="n">
        <v>803</v>
      </c>
      <c r="B804" s="1" t="n">
        <v>45079</v>
      </c>
      <c r="C804" s="5" t="inlineStr">
        <is>
          <t>M5</t>
        </is>
      </c>
      <c r="D804" s="5" t="n">
        <v>23</v>
      </c>
      <c r="E804" s="5" t="n">
        <v>200</v>
      </c>
      <c r="F804" t="inlineStr">
        <is>
          <t>Поступление</t>
        </is>
      </c>
      <c r="H804">
        <f>VLOOKUP(C804,Магазин!$A$2:$C$1000,2,0)</f>
        <v/>
      </c>
      <c r="I804">
        <f>VLOOKUP(D804,Товар!$A$2:$F$1000,3,0)</f>
        <v/>
      </c>
      <c r="J804">
        <f>VLOOKUP(D804,Товар!$A$2:$F$1000,5,0)</f>
        <v/>
      </c>
      <c r="K804">
        <f>IF(AND(H804="Промышленный",LEFT(I804,18)="Порошок стиральный",F804="Продажа",B804=DATE(2023,6,7)),E804*J804/1000,0)</f>
        <v/>
      </c>
    </row>
    <row r="805">
      <c r="A805" t="n">
        <v>804</v>
      </c>
      <c r="B805" s="1" t="n">
        <v>45079</v>
      </c>
      <c r="C805" s="5" t="inlineStr">
        <is>
          <t>M5</t>
        </is>
      </c>
      <c r="D805" s="5" t="n">
        <v>24</v>
      </c>
      <c r="E805" s="5" t="n">
        <v>200</v>
      </c>
      <c r="F805" t="inlineStr">
        <is>
          <t>Поступление</t>
        </is>
      </c>
      <c r="H805">
        <f>VLOOKUP(C805,Магазин!$A$2:$C$1000,2,0)</f>
        <v/>
      </c>
      <c r="I805">
        <f>VLOOKUP(D805,Товар!$A$2:$F$1000,3,0)</f>
        <v/>
      </c>
      <c r="J805">
        <f>VLOOKUP(D805,Товар!$A$2:$F$1000,5,0)</f>
        <v/>
      </c>
      <c r="K805">
        <f>IF(AND(H805="Промышленный",LEFT(I805,18)="Порошок стиральный",F805="Продажа",B805=DATE(2023,6,7)),E805*J805/1000,0)</f>
        <v/>
      </c>
    </row>
    <row r="806">
      <c r="A806" t="n">
        <v>805</v>
      </c>
      <c r="B806" s="1" t="n">
        <v>45079</v>
      </c>
      <c r="C806" s="5" t="inlineStr">
        <is>
          <t>M5</t>
        </is>
      </c>
      <c r="D806" s="5" t="n">
        <v>25</v>
      </c>
      <c r="E806" s="5" t="n">
        <v>200</v>
      </c>
      <c r="F806" t="inlineStr">
        <is>
          <t>Поступление</t>
        </is>
      </c>
      <c r="H806">
        <f>VLOOKUP(C806,Магазин!$A$2:$C$1000,2,0)</f>
        <v/>
      </c>
      <c r="I806">
        <f>VLOOKUP(D806,Товар!$A$2:$F$1000,3,0)</f>
        <v/>
      </c>
      <c r="J806">
        <f>VLOOKUP(D806,Товар!$A$2:$F$1000,5,0)</f>
        <v/>
      </c>
      <c r="K806">
        <f>IF(AND(H806="Промышленный",LEFT(I806,18)="Порошок стиральный",F806="Продажа",B806=DATE(2023,6,7)),E806*J806/1000,0)</f>
        <v/>
      </c>
    </row>
    <row r="807">
      <c r="A807" t="n">
        <v>806</v>
      </c>
      <c r="B807" s="1" t="n">
        <v>45079</v>
      </c>
      <c r="C807" s="5" t="inlineStr">
        <is>
          <t>M5</t>
        </is>
      </c>
      <c r="D807" s="5" t="n">
        <v>26</v>
      </c>
      <c r="E807" s="5" t="n">
        <v>200</v>
      </c>
      <c r="F807" t="inlineStr">
        <is>
          <t>Поступление</t>
        </is>
      </c>
      <c r="H807">
        <f>VLOOKUP(C807,Магазин!$A$2:$C$1000,2,0)</f>
        <v/>
      </c>
      <c r="I807">
        <f>VLOOKUP(D807,Товар!$A$2:$F$1000,3,0)</f>
        <v/>
      </c>
      <c r="J807">
        <f>VLOOKUP(D807,Товар!$A$2:$F$1000,5,0)</f>
        <v/>
      </c>
      <c r="K807">
        <f>IF(AND(H807="Промышленный",LEFT(I807,18)="Порошок стиральный",F807="Продажа",B807=DATE(2023,6,7)),E807*J807/1000,0)</f>
        <v/>
      </c>
    </row>
    <row r="808">
      <c r="A808" t="n">
        <v>807</v>
      </c>
      <c r="B808" s="1" t="n">
        <v>45079</v>
      </c>
      <c r="C808" s="5" t="inlineStr">
        <is>
          <t>M5</t>
        </is>
      </c>
      <c r="D808" s="5" t="n">
        <v>27</v>
      </c>
      <c r="E808" s="5" t="n">
        <v>200</v>
      </c>
      <c r="F808" t="inlineStr">
        <is>
          <t>Поступление</t>
        </is>
      </c>
      <c r="H808">
        <f>VLOOKUP(C808,Магазин!$A$2:$C$1000,2,0)</f>
        <v/>
      </c>
      <c r="I808">
        <f>VLOOKUP(D808,Товар!$A$2:$F$1000,3,0)</f>
        <v/>
      </c>
      <c r="J808">
        <f>VLOOKUP(D808,Товар!$A$2:$F$1000,5,0)</f>
        <v/>
      </c>
      <c r="K808">
        <f>IF(AND(H808="Промышленный",LEFT(I808,18)="Порошок стиральный",F808="Продажа",B808=DATE(2023,6,7)),E808*J808/1000,0)</f>
        <v/>
      </c>
    </row>
    <row r="809">
      <c r="A809" t="n">
        <v>808</v>
      </c>
      <c r="B809" s="1" t="n">
        <v>45079</v>
      </c>
      <c r="C809" s="5" t="inlineStr">
        <is>
          <t>M5</t>
        </is>
      </c>
      <c r="D809" s="5" t="n">
        <v>28</v>
      </c>
      <c r="E809" s="5" t="n">
        <v>200</v>
      </c>
      <c r="F809" t="inlineStr">
        <is>
          <t>Поступление</t>
        </is>
      </c>
      <c r="H809">
        <f>VLOOKUP(C809,Магазин!$A$2:$C$1000,2,0)</f>
        <v/>
      </c>
      <c r="I809">
        <f>VLOOKUP(D809,Товар!$A$2:$F$1000,3,0)</f>
        <v/>
      </c>
      <c r="J809">
        <f>VLOOKUP(D809,Товар!$A$2:$F$1000,5,0)</f>
        <v/>
      </c>
      <c r="K809">
        <f>IF(AND(H809="Промышленный",LEFT(I809,18)="Порошок стиральный",F809="Продажа",B809=DATE(2023,6,7)),E809*J809/1000,0)</f>
        <v/>
      </c>
    </row>
    <row r="810">
      <c r="A810" t="n">
        <v>809</v>
      </c>
      <c r="B810" s="1" t="n">
        <v>45079</v>
      </c>
      <c r="C810" s="5" t="inlineStr">
        <is>
          <t>M5</t>
        </is>
      </c>
      <c r="D810" s="5" t="n">
        <v>29</v>
      </c>
      <c r="E810" s="5" t="n">
        <v>200</v>
      </c>
      <c r="F810" t="inlineStr">
        <is>
          <t>Поступление</t>
        </is>
      </c>
      <c r="H810">
        <f>VLOOKUP(C810,Магазин!$A$2:$C$1000,2,0)</f>
        <v/>
      </c>
      <c r="I810">
        <f>VLOOKUP(D810,Товар!$A$2:$F$1000,3,0)</f>
        <v/>
      </c>
      <c r="J810">
        <f>VLOOKUP(D810,Товар!$A$2:$F$1000,5,0)</f>
        <v/>
      </c>
      <c r="K810">
        <f>IF(AND(H810="Промышленный",LEFT(I810,18)="Порошок стиральный",F810="Продажа",B810=DATE(2023,6,7)),E810*J810/1000,0)</f>
        <v/>
      </c>
    </row>
    <row r="811">
      <c r="A811" t="n">
        <v>810</v>
      </c>
      <c r="B811" s="1" t="n">
        <v>45079</v>
      </c>
      <c r="C811" s="5" t="inlineStr">
        <is>
          <t>M5</t>
        </is>
      </c>
      <c r="D811" s="5" t="n">
        <v>30</v>
      </c>
      <c r="E811" s="5" t="n">
        <v>200</v>
      </c>
      <c r="F811" t="inlineStr">
        <is>
          <t>Поступление</t>
        </is>
      </c>
      <c r="H811">
        <f>VLOOKUP(C811,Магазин!$A$2:$C$1000,2,0)</f>
        <v/>
      </c>
      <c r="I811">
        <f>VLOOKUP(D811,Товар!$A$2:$F$1000,3,0)</f>
        <v/>
      </c>
      <c r="J811">
        <f>VLOOKUP(D811,Товар!$A$2:$F$1000,5,0)</f>
        <v/>
      </c>
      <c r="K811">
        <f>IF(AND(H811="Промышленный",LEFT(I811,18)="Порошок стиральный",F811="Продажа",B811=DATE(2023,6,7)),E811*J811/1000,0)</f>
        <v/>
      </c>
    </row>
    <row r="812">
      <c r="A812" t="n">
        <v>811</v>
      </c>
      <c r="B812" s="1" t="n">
        <v>45079</v>
      </c>
      <c r="C812" s="5" t="inlineStr">
        <is>
          <t>M5</t>
        </is>
      </c>
      <c r="D812" s="5" t="n">
        <v>31</v>
      </c>
      <c r="E812" s="5" t="n">
        <v>200</v>
      </c>
      <c r="F812" t="inlineStr">
        <is>
          <t>Поступление</t>
        </is>
      </c>
      <c r="H812">
        <f>VLOOKUP(C812,Магазин!$A$2:$C$1000,2,0)</f>
        <v/>
      </c>
      <c r="I812">
        <f>VLOOKUP(D812,Товар!$A$2:$F$1000,3,0)</f>
        <v/>
      </c>
      <c r="J812">
        <f>VLOOKUP(D812,Товар!$A$2:$F$1000,5,0)</f>
        <v/>
      </c>
      <c r="K812">
        <f>IF(AND(H812="Промышленный",LEFT(I812,18)="Порошок стиральный",F812="Продажа",B812=DATE(2023,6,7)),E812*J812/1000,0)</f>
        <v/>
      </c>
    </row>
    <row r="813">
      <c r="A813" t="n">
        <v>812</v>
      </c>
      <c r="B813" s="1" t="n">
        <v>45079</v>
      </c>
      <c r="C813" s="5" t="inlineStr">
        <is>
          <t>M5</t>
        </is>
      </c>
      <c r="D813" s="5" t="n">
        <v>32</v>
      </c>
      <c r="E813" s="5" t="n">
        <v>200</v>
      </c>
      <c r="F813" t="inlineStr">
        <is>
          <t>Поступление</t>
        </is>
      </c>
      <c r="H813">
        <f>VLOOKUP(C813,Магазин!$A$2:$C$1000,2,0)</f>
        <v/>
      </c>
      <c r="I813">
        <f>VLOOKUP(D813,Товар!$A$2:$F$1000,3,0)</f>
        <v/>
      </c>
      <c r="J813">
        <f>VLOOKUP(D813,Товар!$A$2:$F$1000,5,0)</f>
        <v/>
      </c>
      <c r="K813">
        <f>IF(AND(H813="Промышленный",LEFT(I813,18)="Порошок стиральный",F813="Продажа",B813=DATE(2023,6,7)),E813*J813/1000,0)</f>
        <v/>
      </c>
    </row>
    <row r="814">
      <c r="A814" t="n">
        <v>813</v>
      </c>
      <c r="B814" s="1" t="n">
        <v>45079</v>
      </c>
      <c r="C814" s="5" t="inlineStr">
        <is>
          <t>M5</t>
        </is>
      </c>
      <c r="D814" s="5" t="n">
        <v>33</v>
      </c>
      <c r="E814" s="5" t="n">
        <v>200</v>
      </c>
      <c r="F814" t="inlineStr">
        <is>
          <t>Поступление</t>
        </is>
      </c>
      <c r="H814">
        <f>VLOOKUP(C814,Магазин!$A$2:$C$1000,2,0)</f>
        <v/>
      </c>
      <c r="I814">
        <f>VLOOKUP(D814,Товар!$A$2:$F$1000,3,0)</f>
        <v/>
      </c>
      <c r="J814">
        <f>VLOOKUP(D814,Товар!$A$2:$F$1000,5,0)</f>
        <v/>
      </c>
      <c r="K814">
        <f>IF(AND(H814="Промышленный",LEFT(I814,18)="Порошок стиральный",F814="Продажа",B814=DATE(2023,6,7)),E814*J814/1000,0)</f>
        <v/>
      </c>
    </row>
    <row r="815">
      <c r="A815" t="n">
        <v>814</v>
      </c>
      <c r="B815" s="1" t="n">
        <v>45079</v>
      </c>
      <c r="C815" s="5" t="inlineStr">
        <is>
          <t>M5</t>
        </is>
      </c>
      <c r="D815" s="5" t="n">
        <v>34</v>
      </c>
      <c r="E815" s="5" t="n">
        <v>200</v>
      </c>
      <c r="F815" t="inlineStr">
        <is>
          <t>Поступление</t>
        </is>
      </c>
      <c r="H815">
        <f>VLOOKUP(C815,Магазин!$A$2:$C$1000,2,0)</f>
        <v/>
      </c>
      <c r="I815">
        <f>VLOOKUP(D815,Товар!$A$2:$F$1000,3,0)</f>
        <v/>
      </c>
      <c r="J815">
        <f>VLOOKUP(D815,Товар!$A$2:$F$1000,5,0)</f>
        <v/>
      </c>
      <c r="K815">
        <f>IF(AND(H815="Промышленный",LEFT(I815,18)="Порошок стиральный",F815="Продажа",B815=DATE(2023,6,7)),E815*J815/1000,0)</f>
        <v/>
      </c>
    </row>
    <row r="816">
      <c r="A816" t="n">
        <v>815</v>
      </c>
      <c r="B816" s="1" t="n">
        <v>45079</v>
      </c>
      <c r="C816" s="5" t="inlineStr">
        <is>
          <t>M5</t>
        </is>
      </c>
      <c r="D816" s="5" t="n">
        <v>35</v>
      </c>
      <c r="E816" s="5" t="n">
        <v>200</v>
      </c>
      <c r="F816" t="inlineStr">
        <is>
          <t>Поступление</t>
        </is>
      </c>
      <c r="H816">
        <f>VLOOKUP(C816,Магазин!$A$2:$C$1000,2,0)</f>
        <v/>
      </c>
      <c r="I816">
        <f>VLOOKUP(D816,Товар!$A$2:$F$1000,3,0)</f>
        <v/>
      </c>
      <c r="J816">
        <f>VLOOKUP(D816,Товар!$A$2:$F$1000,5,0)</f>
        <v/>
      </c>
      <c r="K816">
        <f>IF(AND(H816="Промышленный",LEFT(I816,18)="Порошок стиральный",F816="Продажа",B816=DATE(2023,6,7)),E816*J816/1000,0)</f>
        <v/>
      </c>
    </row>
    <row r="817">
      <c r="A817" t="n">
        <v>816</v>
      </c>
      <c r="B817" s="1" t="n">
        <v>45079</v>
      </c>
      <c r="C817" s="5" t="inlineStr">
        <is>
          <t>M5</t>
        </is>
      </c>
      <c r="D817" s="5" t="n">
        <v>36</v>
      </c>
      <c r="E817" s="5" t="n">
        <v>200</v>
      </c>
      <c r="F817" t="inlineStr">
        <is>
          <t>Поступление</t>
        </is>
      </c>
      <c r="H817">
        <f>VLOOKUP(C817,Магазин!$A$2:$C$1000,2,0)</f>
        <v/>
      </c>
      <c r="I817">
        <f>VLOOKUP(D817,Товар!$A$2:$F$1000,3,0)</f>
        <v/>
      </c>
      <c r="J817">
        <f>VLOOKUP(D817,Товар!$A$2:$F$1000,5,0)</f>
        <v/>
      </c>
      <c r="K817">
        <f>IF(AND(H817="Промышленный",LEFT(I817,18)="Порошок стиральный",F817="Продажа",B817=DATE(2023,6,7)),E817*J817/1000,0)</f>
        <v/>
      </c>
    </row>
    <row r="818">
      <c r="A818" t="n">
        <v>817</v>
      </c>
      <c r="B818" s="1" t="n">
        <v>45079</v>
      </c>
      <c r="C818" s="5" t="inlineStr">
        <is>
          <t>M5</t>
        </is>
      </c>
      <c r="D818" s="5" t="n">
        <v>37</v>
      </c>
      <c r="E818" s="5" t="n">
        <v>300</v>
      </c>
      <c r="F818" t="inlineStr">
        <is>
          <t>Поступление</t>
        </is>
      </c>
      <c r="H818">
        <f>VLOOKUP(C818,Магазин!$A$2:$C$1000,2,0)</f>
        <v/>
      </c>
      <c r="I818">
        <f>VLOOKUP(D818,Товар!$A$2:$F$1000,3,0)</f>
        <v/>
      </c>
      <c r="J818">
        <f>VLOOKUP(D818,Товар!$A$2:$F$1000,5,0)</f>
        <v/>
      </c>
      <c r="K818">
        <f>IF(AND(H818="Промышленный",LEFT(I818,18)="Порошок стиральный",F818="Продажа",B818=DATE(2023,6,7)),E818*J818/1000,0)</f>
        <v/>
      </c>
    </row>
    <row r="819">
      <c r="A819" t="n">
        <v>818</v>
      </c>
      <c r="B819" s="1" t="n">
        <v>45079</v>
      </c>
      <c r="C819" s="5" t="inlineStr">
        <is>
          <t>M5</t>
        </is>
      </c>
      <c r="D819" s="5" t="n">
        <v>38</v>
      </c>
      <c r="E819" s="5" t="n">
        <v>300</v>
      </c>
      <c r="F819" t="inlineStr">
        <is>
          <t>Поступление</t>
        </is>
      </c>
      <c r="H819">
        <f>VLOOKUP(C819,Магазин!$A$2:$C$1000,2,0)</f>
        <v/>
      </c>
      <c r="I819">
        <f>VLOOKUP(D819,Товар!$A$2:$F$1000,3,0)</f>
        <v/>
      </c>
      <c r="J819">
        <f>VLOOKUP(D819,Товар!$A$2:$F$1000,5,0)</f>
        <v/>
      </c>
      <c r="K819">
        <f>IF(AND(H819="Промышленный",LEFT(I819,18)="Порошок стиральный",F819="Продажа",B819=DATE(2023,6,7)),E819*J819/1000,0)</f>
        <v/>
      </c>
    </row>
    <row r="820">
      <c r="A820" t="n">
        <v>819</v>
      </c>
      <c r="B820" s="1" t="n">
        <v>45079</v>
      </c>
      <c r="C820" s="5" t="inlineStr">
        <is>
          <t>M5</t>
        </is>
      </c>
      <c r="D820" s="5" t="n">
        <v>39</v>
      </c>
      <c r="E820" s="5" t="n">
        <v>300</v>
      </c>
      <c r="F820" t="inlineStr">
        <is>
          <t>Поступление</t>
        </is>
      </c>
      <c r="H820">
        <f>VLOOKUP(C820,Магазин!$A$2:$C$1000,2,0)</f>
        <v/>
      </c>
      <c r="I820">
        <f>VLOOKUP(D820,Товар!$A$2:$F$1000,3,0)</f>
        <v/>
      </c>
      <c r="J820">
        <f>VLOOKUP(D820,Товар!$A$2:$F$1000,5,0)</f>
        <v/>
      </c>
      <c r="K820">
        <f>IF(AND(H820="Промышленный",LEFT(I820,18)="Порошок стиральный",F820="Продажа",B820=DATE(2023,6,7)),E820*J820/1000,0)</f>
        <v/>
      </c>
    </row>
    <row r="821">
      <c r="A821" t="n">
        <v>820</v>
      </c>
      <c r="B821" s="1" t="n">
        <v>45079</v>
      </c>
      <c r="C821" s="5" t="inlineStr">
        <is>
          <t>M5</t>
        </is>
      </c>
      <c r="D821" s="5" t="n">
        <v>40</v>
      </c>
      <c r="E821" s="5" t="n">
        <v>300</v>
      </c>
      <c r="F821" t="inlineStr">
        <is>
          <t>Поступление</t>
        </is>
      </c>
      <c r="H821">
        <f>VLOOKUP(C821,Магазин!$A$2:$C$1000,2,0)</f>
        <v/>
      </c>
      <c r="I821">
        <f>VLOOKUP(D821,Товар!$A$2:$F$1000,3,0)</f>
        <v/>
      </c>
      <c r="J821">
        <f>VLOOKUP(D821,Товар!$A$2:$F$1000,5,0)</f>
        <v/>
      </c>
      <c r="K821">
        <f>IF(AND(H821="Промышленный",LEFT(I821,18)="Порошок стиральный",F821="Продажа",B821=DATE(2023,6,7)),E821*J821/1000,0)</f>
        <v/>
      </c>
    </row>
    <row r="822">
      <c r="A822" t="n">
        <v>821</v>
      </c>
      <c r="B822" s="1" t="n">
        <v>45079</v>
      </c>
      <c r="C822" s="5" t="inlineStr">
        <is>
          <t>M5</t>
        </is>
      </c>
      <c r="D822" s="5" t="n">
        <v>41</v>
      </c>
      <c r="E822" s="5" t="n">
        <v>300</v>
      </c>
      <c r="F822" t="inlineStr">
        <is>
          <t>Поступление</t>
        </is>
      </c>
      <c r="H822">
        <f>VLOOKUP(C822,Магазин!$A$2:$C$1000,2,0)</f>
        <v/>
      </c>
      <c r="I822">
        <f>VLOOKUP(D822,Товар!$A$2:$F$1000,3,0)</f>
        <v/>
      </c>
      <c r="J822">
        <f>VLOOKUP(D822,Товар!$A$2:$F$1000,5,0)</f>
        <v/>
      </c>
      <c r="K822">
        <f>IF(AND(H822="Промышленный",LEFT(I822,18)="Порошок стиральный",F822="Продажа",B822=DATE(2023,6,7)),E822*J822/1000,0)</f>
        <v/>
      </c>
    </row>
    <row r="823">
      <c r="A823" t="n">
        <v>822</v>
      </c>
      <c r="B823" s="1" t="n">
        <v>45079</v>
      </c>
      <c r="C823" s="5" t="inlineStr">
        <is>
          <t>M5</t>
        </is>
      </c>
      <c r="D823" s="5" t="n">
        <v>42</v>
      </c>
      <c r="E823" s="5" t="n">
        <v>300</v>
      </c>
      <c r="F823" t="inlineStr">
        <is>
          <t>Поступление</t>
        </is>
      </c>
      <c r="H823">
        <f>VLOOKUP(C823,Магазин!$A$2:$C$1000,2,0)</f>
        <v/>
      </c>
      <c r="I823">
        <f>VLOOKUP(D823,Товар!$A$2:$F$1000,3,0)</f>
        <v/>
      </c>
      <c r="J823">
        <f>VLOOKUP(D823,Товар!$A$2:$F$1000,5,0)</f>
        <v/>
      </c>
      <c r="K823">
        <f>IF(AND(H823="Промышленный",LEFT(I823,18)="Порошок стиральный",F823="Продажа",B823=DATE(2023,6,7)),E823*J823/1000,0)</f>
        <v/>
      </c>
    </row>
    <row r="824">
      <c r="A824" t="n">
        <v>823</v>
      </c>
      <c r="B824" s="1" t="n">
        <v>45079</v>
      </c>
      <c r="C824" s="5" t="inlineStr">
        <is>
          <t>M5</t>
        </is>
      </c>
      <c r="D824" s="5" t="n">
        <v>43</v>
      </c>
      <c r="E824" s="5" t="n">
        <v>300</v>
      </c>
      <c r="F824" t="inlineStr">
        <is>
          <t>Поступление</t>
        </is>
      </c>
      <c r="H824">
        <f>VLOOKUP(C824,Магазин!$A$2:$C$1000,2,0)</f>
        <v/>
      </c>
      <c r="I824">
        <f>VLOOKUP(D824,Товар!$A$2:$F$1000,3,0)</f>
        <v/>
      </c>
      <c r="J824">
        <f>VLOOKUP(D824,Товар!$A$2:$F$1000,5,0)</f>
        <v/>
      </c>
      <c r="K824">
        <f>IF(AND(H824="Промышленный",LEFT(I824,18)="Порошок стиральный",F824="Продажа",B824=DATE(2023,6,7)),E824*J824/1000,0)</f>
        <v/>
      </c>
    </row>
    <row r="825">
      <c r="A825" t="n">
        <v>824</v>
      </c>
      <c r="B825" s="1" t="n">
        <v>45079</v>
      </c>
      <c r="C825" s="5" t="inlineStr">
        <is>
          <t>M5</t>
        </is>
      </c>
      <c r="D825" s="5" t="n">
        <v>44</v>
      </c>
      <c r="E825" s="5" t="n">
        <v>300</v>
      </c>
      <c r="F825" t="inlineStr">
        <is>
          <t>Поступление</t>
        </is>
      </c>
      <c r="H825">
        <f>VLOOKUP(C825,Магазин!$A$2:$C$1000,2,0)</f>
        <v/>
      </c>
      <c r="I825">
        <f>VLOOKUP(D825,Товар!$A$2:$F$1000,3,0)</f>
        <v/>
      </c>
      <c r="J825">
        <f>VLOOKUP(D825,Товар!$A$2:$F$1000,5,0)</f>
        <v/>
      </c>
      <c r="K825">
        <f>IF(AND(H825="Промышленный",LEFT(I825,18)="Порошок стиральный",F825="Продажа",B825=DATE(2023,6,7)),E825*J825/1000,0)</f>
        <v/>
      </c>
    </row>
    <row r="826">
      <c r="A826" t="n">
        <v>825</v>
      </c>
      <c r="B826" s="1" t="n">
        <v>45079</v>
      </c>
      <c r="C826" s="5" t="inlineStr">
        <is>
          <t>M5</t>
        </is>
      </c>
      <c r="D826" s="5" t="n">
        <v>45</v>
      </c>
      <c r="E826" s="5" t="n">
        <v>300</v>
      </c>
      <c r="F826" t="inlineStr">
        <is>
          <t>Поступление</t>
        </is>
      </c>
      <c r="H826">
        <f>VLOOKUP(C826,Магазин!$A$2:$C$1000,2,0)</f>
        <v/>
      </c>
      <c r="I826">
        <f>VLOOKUP(D826,Товар!$A$2:$F$1000,3,0)</f>
        <v/>
      </c>
      <c r="J826">
        <f>VLOOKUP(D826,Товар!$A$2:$F$1000,5,0)</f>
        <v/>
      </c>
      <c r="K826">
        <f>IF(AND(H826="Промышленный",LEFT(I826,18)="Порошок стиральный",F826="Продажа",B826=DATE(2023,6,7)),E826*J826/1000,0)</f>
        <v/>
      </c>
    </row>
    <row r="827">
      <c r="A827" t="n">
        <v>826</v>
      </c>
      <c r="B827" s="1" t="n">
        <v>45079</v>
      </c>
      <c r="C827" s="5" t="inlineStr">
        <is>
          <t>M5</t>
        </is>
      </c>
      <c r="D827" s="5" t="n">
        <v>46</v>
      </c>
      <c r="E827" s="5" t="n">
        <v>300</v>
      </c>
      <c r="F827" t="inlineStr">
        <is>
          <t>Поступление</t>
        </is>
      </c>
      <c r="H827">
        <f>VLOOKUP(C827,Магазин!$A$2:$C$1000,2,0)</f>
        <v/>
      </c>
      <c r="I827">
        <f>VLOOKUP(D827,Товар!$A$2:$F$1000,3,0)</f>
        <v/>
      </c>
      <c r="J827">
        <f>VLOOKUP(D827,Товар!$A$2:$F$1000,5,0)</f>
        <v/>
      </c>
      <c r="K827">
        <f>IF(AND(H827="Промышленный",LEFT(I827,18)="Порошок стиральный",F827="Продажа",B827=DATE(2023,6,7)),E827*J827/1000,0)</f>
        <v/>
      </c>
    </row>
    <row r="828">
      <c r="A828" t="n">
        <v>827</v>
      </c>
      <c r="B828" s="1" t="n">
        <v>45079</v>
      </c>
      <c r="C828" s="5" t="inlineStr">
        <is>
          <t>M5</t>
        </is>
      </c>
      <c r="D828" s="5" t="n">
        <v>47</v>
      </c>
      <c r="E828" s="5" t="n">
        <v>300</v>
      </c>
      <c r="F828" t="inlineStr">
        <is>
          <t>Поступление</t>
        </is>
      </c>
      <c r="H828">
        <f>VLOOKUP(C828,Магазин!$A$2:$C$1000,2,0)</f>
        <v/>
      </c>
      <c r="I828">
        <f>VLOOKUP(D828,Товар!$A$2:$F$1000,3,0)</f>
        <v/>
      </c>
      <c r="J828">
        <f>VLOOKUP(D828,Товар!$A$2:$F$1000,5,0)</f>
        <v/>
      </c>
      <c r="K828">
        <f>IF(AND(H828="Промышленный",LEFT(I828,18)="Порошок стиральный",F828="Продажа",B828=DATE(2023,6,7)),E828*J828/1000,0)</f>
        <v/>
      </c>
    </row>
    <row r="829">
      <c r="A829" t="n">
        <v>828</v>
      </c>
      <c r="B829" s="1" t="n">
        <v>45079</v>
      </c>
      <c r="C829" s="5" t="inlineStr">
        <is>
          <t>M5</t>
        </is>
      </c>
      <c r="D829" s="5" t="n">
        <v>48</v>
      </c>
      <c r="E829" s="5" t="n">
        <v>300</v>
      </c>
      <c r="F829" t="inlineStr">
        <is>
          <t>Поступление</t>
        </is>
      </c>
      <c r="H829">
        <f>VLOOKUP(C829,Магазин!$A$2:$C$1000,2,0)</f>
        <v/>
      </c>
      <c r="I829">
        <f>VLOOKUP(D829,Товар!$A$2:$F$1000,3,0)</f>
        <v/>
      </c>
      <c r="J829">
        <f>VLOOKUP(D829,Товар!$A$2:$F$1000,5,0)</f>
        <v/>
      </c>
      <c r="K829">
        <f>IF(AND(H829="Промышленный",LEFT(I829,18)="Порошок стиральный",F829="Продажа",B829=DATE(2023,6,7)),E829*J829/1000,0)</f>
        <v/>
      </c>
    </row>
    <row r="830">
      <c r="A830" t="n">
        <v>829</v>
      </c>
      <c r="B830" s="1" t="n">
        <v>45079</v>
      </c>
      <c r="C830" s="5" t="inlineStr">
        <is>
          <t>M5</t>
        </is>
      </c>
      <c r="D830" s="5" t="n">
        <v>49</v>
      </c>
      <c r="E830" s="5" t="n">
        <v>300</v>
      </c>
      <c r="F830" t="inlineStr">
        <is>
          <t>Поступление</t>
        </is>
      </c>
      <c r="H830">
        <f>VLOOKUP(C830,Магазин!$A$2:$C$1000,2,0)</f>
        <v/>
      </c>
      <c r="I830">
        <f>VLOOKUP(D830,Товар!$A$2:$F$1000,3,0)</f>
        <v/>
      </c>
      <c r="J830">
        <f>VLOOKUP(D830,Товар!$A$2:$F$1000,5,0)</f>
        <v/>
      </c>
      <c r="K830">
        <f>IF(AND(H830="Промышленный",LEFT(I830,18)="Порошок стиральный",F830="Продажа",B830=DATE(2023,6,7)),E830*J830/1000,0)</f>
        <v/>
      </c>
    </row>
    <row r="831">
      <c r="A831" t="n">
        <v>830</v>
      </c>
      <c r="B831" s="1" t="n">
        <v>45079</v>
      </c>
      <c r="C831" s="5" t="inlineStr">
        <is>
          <t>M5</t>
        </is>
      </c>
      <c r="D831" s="5" t="n">
        <v>50</v>
      </c>
      <c r="E831" s="5" t="n">
        <v>300</v>
      </c>
      <c r="F831" t="inlineStr">
        <is>
          <t>Поступление</t>
        </is>
      </c>
      <c r="H831">
        <f>VLOOKUP(C831,Магазин!$A$2:$C$1000,2,0)</f>
        <v/>
      </c>
      <c r="I831">
        <f>VLOOKUP(D831,Товар!$A$2:$F$1000,3,0)</f>
        <v/>
      </c>
      <c r="J831">
        <f>VLOOKUP(D831,Товар!$A$2:$F$1000,5,0)</f>
        <v/>
      </c>
      <c r="K831">
        <f>IF(AND(H831="Промышленный",LEFT(I831,18)="Порошок стиральный",F831="Продажа",B831=DATE(2023,6,7)),E831*J831/1000,0)</f>
        <v/>
      </c>
    </row>
    <row r="832">
      <c r="A832" t="n">
        <v>831</v>
      </c>
      <c r="B832" s="1" t="n">
        <v>45079</v>
      </c>
      <c r="C832" s="5" t="inlineStr">
        <is>
          <t>M5</t>
        </is>
      </c>
      <c r="D832" s="5" t="n">
        <v>51</v>
      </c>
      <c r="E832" s="5" t="n">
        <v>300</v>
      </c>
      <c r="F832" t="inlineStr">
        <is>
          <t>Поступление</t>
        </is>
      </c>
      <c r="H832">
        <f>VLOOKUP(C832,Магазин!$A$2:$C$1000,2,0)</f>
        <v/>
      </c>
      <c r="I832">
        <f>VLOOKUP(D832,Товар!$A$2:$F$1000,3,0)</f>
        <v/>
      </c>
      <c r="J832">
        <f>VLOOKUP(D832,Товар!$A$2:$F$1000,5,0)</f>
        <v/>
      </c>
      <c r="K832">
        <f>IF(AND(H832="Промышленный",LEFT(I832,18)="Порошок стиральный",F832="Продажа",B832=DATE(2023,6,7)),E832*J832/1000,0)</f>
        <v/>
      </c>
    </row>
    <row r="833">
      <c r="A833" t="n">
        <v>832</v>
      </c>
      <c r="B833" s="1" t="n">
        <v>45079</v>
      </c>
      <c r="C833" s="5" t="inlineStr">
        <is>
          <t>M5</t>
        </is>
      </c>
      <c r="D833" s="5" t="n">
        <v>52</v>
      </c>
      <c r="E833" s="5" t="n">
        <v>300</v>
      </c>
      <c r="F833" t="inlineStr">
        <is>
          <t>Поступление</t>
        </is>
      </c>
      <c r="H833">
        <f>VLOOKUP(C833,Магазин!$A$2:$C$1000,2,0)</f>
        <v/>
      </c>
      <c r="I833">
        <f>VLOOKUP(D833,Товар!$A$2:$F$1000,3,0)</f>
        <v/>
      </c>
      <c r="J833">
        <f>VLOOKUP(D833,Товар!$A$2:$F$1000,5,0)</f>
        <v/>
      </c>
      <c r="K833">
        <f>IF(AND(H833="Промышленный",LEFT(I833,18)="Порошок стиральный",F833="Продажа",B833=DATE(2023,6,7)),E833*J833/1000,0)</f>
        <v/>
      </c>
    </row>
    <row r="834">
      <c r="A834" t="n">
        <v>833</v>
      </c>
      <c r="B834" s="1" t="n">
        <v>45079</v>
      </c>
      <c r="C834" s="5" t="inlineStr">
        <is>
          <t>M5</t>
        </is>
      </c>
      <c r="D834" s="5" t="n">
        <v>53</v>
      </c>
      <c r="E834" s="5" t="n">
        <v>300</v>
      </c>
      <c r="F834" t="inlineStr">
        <is>
          <t>Поступление</t>
        </is>
      </c>
      <c r="H834">
        <f>VLOOKUP(C834,Магазин!$A$2:$C$1000,2,0)</f>
        <v/>
      </c>
      <c r="I834">
        <f>VLOOKUP(D834,Товар!$A$2:$F$1000,3,0)</f>
        <v/>
      </c>
      <c r="J834">
        <f>VLOOKUP(D834,Товар!$A$2:$F$1000,5,0)</f>
        <v/>
      </c>
      <c r="K834">
        <f>IF(AND(H834="Промышленный",LEFT(I834,18)="Порошок стиральный",F834="Продажа",B834=DATE(2023,6,7)),E834*J834/1000,0)</f>
        <v/>
      </c>
    </row>
    <row r="835">
      <c r="A835" t="n">
        <v>834</v>
      </c>
      <c r="B835" s="1" t="n">
        <v>45079</v>
      </c>
      <c r="C835" s="5" t="inlineStr">
        <is>
          <t>M5</t>
        </is>
      </c>
      <c r="D835" s="5" t="n">
        <v>54</v>
      </c>
      <c r="E835" s="5" t="n">
        <v>300</v>
      </c>
      <c r="F835" t="inlineStr">
        <is>
          <t>Поступление</t>
        </is>
      </c>
      <c r="H835">
        <f>VLOOKUP(C835,Магазин!$A$2:$C$1000,2,0)</f>
        <v/>
      </c>
      <c r="I835">
        <f>VLOOKUP(D835,Товар!$A$2:$F$1000,3,0)</f>
        <v/>
      </c>
      <c r="J835">
        <f>VLOOKUP(D835,Товар!$A$2:$F$1000,5,0)</f>
        <v/>
      </c>
      <c r="K835">
        <f>IF(AND(H835="Промышленный",LEFT(I835,18)="Порошок стиральный",F835="Продажа",B835=DATE(2023,6,7)),E835*J835/1000,0)</f>
        <v/>
      </c>
    </row>
    <row r="836">
      <c r="A836" t="n">
        <v>835</v>
      </c>
      <c r="B836" s="1" t="n">
        <v>45079</v>
      </c>
      <c r="C836" s="5" t="inlineStr">
        <is>
          <t>M5</t>
        </is>
      </c>
      <c r="D836" s="5" t="n">
        <v>55</v>
      </c>
      <c r="E836" s="5" t="n">
        <v>300</v>
      </c>
      <c r="F836" t="inlineStr">
        <is>
          <t>Поступление</t>
        </is>
      </c>
      <c r="H836">
        <f>VLOOKUP(C836,Магазин!$A$2:$C$1000,2,0)</f>
        <v/>
      </c>
      <c r="I836">
        <f>VLOOKUP(D836,Товар!$A$2:$F$1000,3,0)</f>
        <v/>
      </c>
      <c r="J836">
        <f>VLOOKUP(D836,Товар!$A$2:$F$1000,5,0)</f>
        <v/>
      </c>
      <c r="K836">
        <f>IF(AND(H836="Промышленный",LEFT(I836,18)="Порошок стиральный",F836="Продажа",B836=DATE(2023,6,7)),E836*J836/1000,0)</f>
        <v/>
      </c>
    </row>
    <row r="837">
      <c r="A837" t="n">
        <v>836</v>
      </c>
      <c r="B837" s="1" t="n">
        <v>45079</v>
      </c>
      <c r="C837" s="5" t="inlineStr">
        <is>
          <t>M5</t>
        </is>
      </c>
      <c r="D837" s="5" t="n">
        <v>56</v>
      </c>
      <c r="E837" s="5" t="n">
        <v>300</v>
      </c>
      <c r="F837" t="inlineStr">
        <is>
          <t>Поступление</t>
        </is>
      </c>
      <c r="H837">
        <f>VLOOKUP(C837,Магазин!$A$2:$C$1000,2,0)</f>
        <v/>
      </c>
      <c r="I837">
        <f>VLOOKUP(D837,Товар!$A$2:$F$1000,3,0)</f>
        <v/>
      </c>
      <c r="J837">
        <f>VLOOKUP(D837,Товар!$A$2:$F$1000,5,0)</f>
        <v/>
      </c>
      <c r="K837">
        <f>IF(AND(H837="Промышленный",LEFT(I837,18)="Порошок стиральный",F837="Продажа",B837=DATE(2023,6,7)),E837*J837/1000,0)</f>
        <v/>
      </c>
    </row>
    <row r="838">
      <c r="A838" t="n">
        <v>837</v>
      </c>
      <c r="B838" s="1" t="n">
        <v>45079</v>
      </c>
      <c r="C838" s="5" t="inlineStr">
        <is>
          <t>M5</t>
        </is>
      </c>
      <c r="D838" s="5" t="n">
        <v>57</v>
      </c>
      <c r="E838" s="5" t="n">
        <v>300</v>
      </c>
      <c r="F838" t="inlineStr">
        <is>
          <t>Поступление</t>
        </is>
      </c>
      <c r="H838">
        <f>VLOOKUP(C838,Магазин!$A$2:$C$1000,2,0)</f>
        <v/>
      </c>
      <c r="I838">
        <f>VLOOKUP(D838,Товар!$A$2:$F$1000,3,0)</f>
        <v/>
      </c>
      <c r="J838">
        <f>VLOOKUP(D838,Товар!$A$2:$F$1000,5,0)</f>
        <v/>
      </c>
      <c r="K838">
        <f>IF(AND(H838="Промышленный",LEFT(I838,18)="Порошок стиральный",F838="Продажа",B838=DATE(2023,6,7)),E838*J838/1000,0)</f>
        <v/>
      </c>
    </row>
    <row r="839">
      <c r="A839" t="n">
        <v>838</v>
      </c>
      <c r="B839" s="1" t="n">
        <v>45079</v>
      </c>
      <c r="C839" s="5" t="inlineStr">
        <is>
          <t>M5</t>
        </is>
      </c>
      <c r="D839" s="5" t="n">
        <v>58</v>
      </c>
      <c r="E839" s="5" t="n">
        <v>300</v>
      </c>
      <c r="F839" t="inlineStr">
        <is>
          <t>Поступление</t>
        </is>
      </c>
      <c r="H839">
        <f>VLOOKUP(C839,Магазин!$A$2:$C$1000,2,0)</f>
        <v/>
      </c>
      <c r="I839">
        <f>VLOOKUP(D839,Товар!$A$2:$F$1000,3,0)</f>
        <v/>
      </c>
      <c r="J839">
        <f>VLOOKUP(D839,Товар!$A$2:$F$1000,5,0)</f>
        <v/>
      </c>
      <c r="K839">
        <f>IF(AND(H839="Промышленный",LEFT(I839,18)="Порошок стиральный",F839="Продажа",B839=DATE(2023,6,7)),E839*J839/1000,0)</f>
        <v/>
      </c>
    </row>
    <row r="840">
      <c r="A840" t="n">
        <v>839</v>
      </c>
      <c r="B840" s="1" t="n">
        <v>45079</v>
      </c>
      <c r="C840" s="5" t="inlineStr">
        <is>
          <t>M5</t>
        </is>
      </c>
      <c r="D840" s="5" t="n">
        <v>59</v>
      </c>
      <c r="E840" s="5" t="n">
        <v>300</v>
      </c>
      <c r="F840" t="inlineStr">
        <is>
          <t>Поступление</t>
        </is>
      </c>
      <c r="H840">
        <f>VLOOKUP(C840,Магазин!$A$2:$C$1000,2,0)</f>
        <v/>
      </c>
      <c r="I840">
        <f>VLOOKUP(D840,Товар!$A$2:$F$1000,3,0)</f>
        <v/>
      </c>
      <c r="J840">
        <f>VLOOKUP(D840,Товар!$A$2:$F$1000,5,0)</f>
        <v/>
      </c>
      <c r="K840">
        <f>IF(AND(H840="Промышленный",LEFT(I840,18)="Порошок стиральный",F840="Продажа",B840=DATE(2023,6,7)),E840*J840/1000,0)</f>
        <v/>
      </c>
    </row>
    <row r="841">
      <c r="A841" t="n">
        <v>840</v>
      </c>
      <c r="B841" s="1" t="n">
        <v>45079</v>
      </c>
      <c r="C841" s="5" t="inlineStr">
        <is>
          <t>M5</t>
        </is>
      </c>
      <c r="D841" s="5" t="n">
        <v>60</v>
      </c>
      <c r="E841" s="5" t="n">
        <v>300</v>
      </c>
      <c r="F841" t="inlineStr">
        <is>
          <t>Поступление</t>
        </is>
      </c>
      <c r="H841">
        <f>VLOOKUP(C841,Магазин!$A$2:$C$1000,2,0)</f>
        <v/>
      </c>
      <c r="I841">
        <f>VLOOKUP(D841,Товар!$A$2:$F$1000,3,0)</f>
        <v/>
      </c>
      <c r="J841">
        <f>VLOOKUP(D841,Товар!$A$2:$F$1000,5,0)</f>
        <v/>
      </c>
      <c r="K841">
        <f>IF(AND(H841="Промышленный",LEFT(I841,18)="Порошок стиральный",F841="Продажа",B841=DATE(2023,6,7)),E841*J841/1000,0)</f>
        <v/>
      </c>
    </row>
    <row r="842" ht="15" customHeight="1" s="4">
      <c r="A842" t="n">
        <v>841</v>
      </c>
      <c r="B842" s="1" t="n">
        <v>45079</v>
      </c>
      <c r="C842" s="5" t="inlineStr">
        <is>
          <t>M6</t>
        </is>
      </c>
      <c r="D842" s="5" t="n">
        <v>1</v>
      </c>
      <c r="E842" s="5" t="n">
        <v>200</v>
      </c>
      <c r="F842" t="inlineStr">
        <is>
          <t>Поступление</t>
        </is>
      </c>
      <c r="H842">
        <f>VLOOKUP(C842,Магазин!$A$2:$C$1000,2,0)</f>
        <v/>
      </c>
      <c r="I842">
        <f>VLOOKUP(D842,Товар!$A$2:$F$1000,3,0)</f>
        <v/>
      </c>
      <c r="J842">
        <f>VLOOKUP(D842,Товар!$A$2:$F$1000,5,0)</f>
        <v/>
      </c>
      <c r="K842">
        <f>IF(AND(H842="Промышленный",LEFT(I842,18)="Порошок стиральный",F842="Продажа",B842=DATE(2023,6,7)),E842*J842/1000,0)</f>
        <v/>
      </c>
    </row>
    <row r="843" ht="15" customHeight="1" s="4">
      <c r="A843" t="n">
        <v>842</v>
      </c>
      <c r="B843" s="1" t="n">
        <v>45079</v>
      </c>
      <c r="C843" s="5" t="inlineStr">
        <is>
          <t>M6</t>
        </is>
      </c>
      <c r="D843" s="5" t="n">
        <v>2</v>
      </c>
      <c r="E843" s="5" t="n">
        <v>200</v>
      </c>
      <c r="F843" t="inlineStr">
        <is>
          <t>Поступление</t>
        </is>
      </c>
      <c r="H843">
        <f>VLOOKUP(C843,Магазин!$A$2:$C$1000,2,0)</f>
        <v/>
      </c>
      <c r="I843">
        <f>VLOOKUP(D843,Товар!$A$2:$F$1000,3,0)</f>
        <v/>
      </c>
      <c r="J843">
        <f>VLOOKUP(D843,Товар!$A$2:$F$1000,5,0)</f>
        <v/>
      </c>
      <c r="K843">
        <f>IF(AND(H843="Промышленный",LEFT(I843,18)="Порошок стиральный",F843="Продажа",B843=DATE(2023,6,7)),E843*J843/1000,0)</f>
        <v/>
      </c>
    </row>
    <row r="844">
      <c r="A844" t="n">
        <v>843</v>
      </c>
      <c r="B844" s="1" t="n">
        <v>45079</v>
      </c>
      <c r="C844" s="5" t="inlineStr">
        <is>
          <t>M6</t>
        </is>
      </c>
      <c r="D844" s="5" t="n">
        <v>3</v>
      </c>
      <c r="E844" s="5" t="n">
        <v>200</v>
      </c>
      <c r="F844" t="inlineStr">
        <is>
          <t>Поступление</t>
        </is>
      </c>
      <c r="H844">
        <f>VLOOKUP(C844,Магазин!$A$2:$C$1000,2,0)</f>
        <v/>
      </c>
      <c r="I844">
        <f>VLOOKUP(D844,Товар!$A$2:$F$1000,3,0)</f>
        <v/>
      </c>
      <c r="J844">
        <f>VLOOKUP(D844,Товар!$A$2:$F$1000,5,0)</f>
        <v/>
      </c>
      <c r="K844">
        <f>IF(AND(H844="Промышленный",LEFT(I844,18)="Порошок стиральный",F844="Продажа",B844=DATE(2023,6,7)),E844*J844/1000,0)</f>
        <v/>
      </c>
    </row>
    <row r="845">
      <c r="A845" t="n">
        <v>844</v>
      </c>
      <c r="B845" s="1" t="n">
        <v>45079</v>
      </c>
      <c r="C845" s="5" t="inlineStr">
        <is>
          <t>M6</t>
        </is>
      </c>
      <c r="D845" s="5" t="n">
        <v>4</v>
      </c>
      <c r="E845" s="5" t="n">
        <v>200</v>
      </c>
      <c r="F845" t="inlineStr">
        <is>
          <t>Поступление</t>
        </is>
      </c>
      <c r="H845">
        <f>VLOOKUP(C845,Магазин!$A$2:$C$1000,2,0)</f>
        <v/>
      </c>
      <c r="I845">
        <f>VLOOKUP(D845,Товар!$A$2:$F$1000,3,0)</f>
        <v/>
      </c>
      <c r="J845">
        <f>VLOOKUP(D845,Товар!$A$2:$F$1000,5,0)</f>
        <v/>
      </c>
      <c r="K845">
        <f>IF(AND(H845="Промышленный",LEFT(I845,18)="Порошок стиральный",F845="Продажа",B845=DATE(2023,6,7)),E845*J845/1000,0)</f>
        <v/>
      </c>
    </row>
    <row r="846">
      <c r="A846" t="n">
        <v>845</v>
      </c>
      <c r="B846" s="1" t="n">
        <v>45079</v>
      </c>
      <c r="C846" s="5" t="inlineStr">
        <is>
          <t>M6</t>
        </is>
      </c>
      <c r="D846" s="5" t="n">
        <v>5</v>
      </c>
      <c r="E846" s="5" t="n">
        <v>200</v>
      </c>
      <c r="F846" t="inlineStr">
        <is>
          <t>Поступление</t>
        </is>
      </c>
      <c r="H846">
        <f>VLOOKUP(C846,Магазин!$A$2:$C$1000,2,0)</f>
        <v/>
      </c>
      <c r="I846">
        <f>VLOOKUP(D846,Товар!$A$2:$F$1000,3,0)</f>
        <v/>
      </c>
      <c r="J846">
        <f>VLOOKUP(D846,Товар!$A$2:$F$1000,5,0)</f>
        <v/>
      </c>
      <c r="K846">
        <f>IF(AND(H846="Промышленный",LEFT(I846,18)="Порошок стиральный",F846="Продажа",B846=DATE(2023,6,7)),E846*J846/1000,0)</f>
        <v/>
      </c>
    </row>
    <row r="847">
      <c r="A847" t="n">
        <v>846</v>
      </c>
      <c r="B847" s="1" t="n">
        <v>45079</v>
      </c>
      <c r="C847" s="5" t="inlineStr">
        <is>
          <t>M6</t>
        </is>
      </c>
      <c r="D847" s="5" t="n">
        <v>6</v>
      </c>
      <c r="E847" s="5" t="n">
        <v>200</v>
      </c>
      <c r="F847" t="inlineStr">
        <is>
          <t>Поступление</t>
        </is>
      </c>
      <c r="H847">
        <f>VLOOKUP(C847,Магазин!$A$2:$C$1000,2,0)</f>
        <v/>
      </c>
      <c r="I847">
        <f>VLOOKUP(D847,Товар!$A$2:$F$1000,3,0)</f>
        <v/>
      </c>
      <c r="J847">
        <f>VLOOKUP(D847,Товар!$A$2:$F$1000,5,0)</f>
        <v/>
      </c>
      <c r="K847">
        <f>IF(AND(H847="Промышленный",LEFT(I847,18)="Порошок стиральный",F847="Продажа",B847=DATE(2023,6,7)),E847*J847/1000,0)</f>
        <v/>
      </c>
    </row>
    <row r="848">
      <c r="A848" t="n">
        <v>847</v>
      </c>
      <c r="B848" s="1" t="n">
        <v>45079</v>
      </c>
      <c r="C848" s="5" t="inlineStr">
        <is>
          <t>M6</t>
        </is>
      </c>
      <c r="D848" s="5" t="n">
        <v>7</v>
      </c>
      <c r="E848" s="5" t="n">
        <v>200</v>
      </c>
      <c r="F848" t="inlineStr">
        <is>
          <t>Поступление</t>
        </is>
      </c>
      <c r="H848">
        <f>VLOOKUP(C848,Магазин!$A$2:$C$1000,2,0)</f>
        <v/>
      </c>
      <c r="I848">
        <f>VLOOKUP(D848,Товар!$A$2:$F$1000,3,0)</f>
        <v/>
      </c>
      <c r="J848">
        <f>VLOOKUP(D848,Товар!$A$2:$F$1000,5,0)</f>
        <v/>
      </c>
      <c r="K848">
        <f>IF(AND(H848="Промышленный",LEFT(I848,18)="Порошок стиральный",F848="Продажа",B848=DATE(2023,6,7)),E848*J848/1000,0)</f>
        <v/>
      </c>
    </row>
    <row r="849">
      <c r="A849" t="n">
        <v>848</v>
      </c>
      <c r="B849" s="1" t="n">
        <v>45079</v>
      </c>
      <c r="C849" s="5" t="inlineStr">
        <is>
          <t>M6</t>
        </is>
      </c>
      <c r="D849" s="5" t="n">
        <v>8</v>
      </c>
      <c r="E849" s="5" t="n">
        <v>200</v>
      </c>
      <c r="F849" t="inlineStr">
        <is>
          <t>Поступление</t>
        </is>
      </c>
      <c r="H849">
        <f>VLOOKUP(C849,Магазин!$A$2:$C$1000,2,0)</f>
        <v/>
      </c>
      <c r="I849">
        <f>VLOOKUP(D849,Товар!$A$2:$F$1000,3,0)</f>
        <v/>
      </c>
      <c r="J849">
        <f>VLOOKUP(D849,Товар!$A$2:$F$1000,5,0)</f>
        <v/>
      </c>
      <c r="K849">
        <f>IF(AND(H849="Промышленный",LEFT(I849,18)="Порошок стиральный",F849="Продажа",B849=DATE(2023,6,7)),E849*J849/1000,0)</f>
        <v/>
      </c>
    </row>
    <row r="850">
      <c r="A850" t="n">
        <v>849</v>
      </c>
      <c r="B850" s="1" t="n">
        <v>45079</v>
      </c>
      <c r="C850" s="5" t="inlineStr">
        <is>
          <t>M6</t>
        </is>
      </c>
      <c r="D850" s="5" t="n">
        <v>9</v>
      </c>
      <c r="E850" s="5" t="n">
        <v>200</v>
      </c>
      <c r="F850" t="inlineStr">
        <is>
          <t>Поступление</t>
        </is>
      </c>
      <c r="H850">
        <f>VLOOKUP(C850,Магазин!$A$2:$C$1000,2,0)</f>
        <v/>
      </c>
      <c r="I850">
        <f>VLOOKUP(D850,Товар!$A$2:$F$1000,3,0)</f>
        <v/>
      </c>
      <c r="J850">
        <f>VLOOKUP(D850,Товар!$A$2:$F$1000,5,0)</f>
        <v/>
      </c>
      <c r="K850">
        <f>IF(AND(H850="Промышленный",LEFT(I850,18)="Порошок стиральный",F850="Продажа",B850=DATE(2023,6,7)),E850*J850/1000,0)</f>
        <v/>
      </c>
    </row>
    <row r="851">
      <c r="A851" t="n">
        <v>850</v>
      </c>
      <c r="B851" s="1" t="n">
        <v>45079</v>
      </c>
      <c r="C851" s="5" t="inlineStr">
        <is>
          <t>M6</t>
        </is>
      </c>
      <c r="D851" s="5" t="n">
        <v>10</v>
      </c>
      <c r="E851" s="5" t="n">
        <v>200</v>
      </c>
      <c r="F851" t="inlineStr">
        <is>
          <t>Поступление</t>
        </is>
      </c>
      <c r="H851">
        <f>VLOOKUP(C851,Магазин!$A$2:$C$1000,2,0)</f>
        <v/>
      </c>
      <c r="I851">
        <f>VLOOKUP(D851,Товар!$A$2:$F$1000,3,0)</f>
        <v/>
      </c>
      <c r="J851">
        <f>VLOOKUP(D851,Товар!$A$2:$F$1000,5,0)</f>
        <v/>
      </c>
      <c r="K851">
        <f>IF(AND(H851="Промышленный",LEFT(I851,18)="Порошок стиральный",F851="Продажа",B851=DATE(2023,6,7)),E851*J851/1000,0)</f>
        <v/>
      </c>
    </row>
    <row r="852">
      <c r="A852" t="n">
        <v>851</v>
      </c>
      <c r="B852" s="1" t="n">
        <v>45079</v>
      </c>
      <c r="C852" s="5" t="inlineStr">
        <is>
          <t>M6</t>
        </is>
      </c>
      <c r="D852" s="5" t="n">
        <v>11</v>
      </c>
      <c r="E852" s="5" t="n">
        <v>200</v>
      </c>
      <c r="F852" t="inlineStr">
        <is>
          <t>Поступление</t>
        </is>
      </c>
      <c r="H852">
        <f>VLOOKUP(C852,Магазин!$A$2:$C$1000,2,0)</f>
        <v/>
      </c>
      <c r="I852">
        <f>VLOOKUP(D852,Товар!$A$2:$F$1000,3,0)</f>
        <v/>
      </c>
      <c r="J852">
        <f>VLOOKUP(D852,Товар!$A$2:$F$1000,5,0)</f>
        <v/>
      </c>
      <c r="K852">
        <f>IF(AND(H852="Промышленный",LEFT(I852,18)="Порошок стиральный",F852="Продажа",B852=DATE(2023,6,7)),E852*J852/1000,0)</f>
        <v/>
      </c>
    </row>
    <row r="853">
      <c r="A853" t="n">
        <v>852</v>
      </c>
      <c r="B853" s="1" t="n">
        <v>45079</v>
      </c>
      <c r="C853" s="5" t="inlineStr">
        <is>
          <t>M6</t>
        </is>
      </c>
      <c r="D853" s="5" t="n">
        <v>12</v>
      </c>
      <c r="E853" s="5" t="n">
        <v>200</v>
      </c>
      <c r="F853" t="inlineStr">
        <is>
          <t>Поступление</t>
        </is>
      </c>
      <c r="H853">
        <f>VLOOKUP(C853,Магазин!$A$2:$C$1000,2,0)</f>
        <v/>
      </c>
      <c r="I853">
        <f>VLOOKUP(D853,Товар!$A$2:$F$1000,3,0)</f>
        <v/>
      </c>
      <c r="J853">
        <f>VLOOKUP(D853,Товар!$A$2:$F$1000,5,0)</f>
        <v/>
      </c>
      <c r="K853">
        <f>IF(AND(H853="Промышленный",LEFT(I853,18)="Порошок стиральный",F853="Продажа",B853=DATE(2023,6,7)),E853*J853/1000,0)</f>
        <v/>
      </c>
    </row>
    <row r="854">
      <c r="A854" t="n">
        <v>853</v>
      </c>
      <c r="B854" s="1" t="n">
        <v>45079</v>
      </c>
      <c r="C854" s="5" t="inlineStr">
        <is>
          <t>M6</t>
        </is>
      </c>
      <c r="D854" s="5" t="n">
        <v>13</v>
      </c>
      <c r="E854" s="5" t="n">
        <v>200</v>
      </c>
      <c r="F854" t="inlineStr">
        <is>
          <t>Поступление</t>
        </is>
      </c>
      <c r="H854">
        <f>VLOOKUP(C854,Магазин!$A$2:$C$1000,2,0)</f>
        <v/>
      </c>
      <c r="I854">
        <f>VLOOKUP(D854,Товар!$A$2:$F$1000,3,0)</f>
        <v/>
      </c>
      <c r="J854">
        <f>VLOOKUP(D854,Товар!$A$2:$F$1000,5,0)</f>
        <v/>
      </c>
      <c r="K854">
        <f>IF(AND(H854="Промышленный",LEFT(I854,18)="Порошок стиральный",F854="Продажа",B854=DATE(2023,6,7)),E854*J854/1000,0)</f>
        <v/>
      </c>
    </row>
    <row r="855">
      <c r="A855" t="n">
        <v>854</v>
      </c>
      <c r="B855" s="1" t="n">
        <v>45079</v>
      </c>
      <c r="C855" s="5" t="inlineStr">
        <is>
          <t>M6</t>
        </is>
      </c>
      <c r="D855" s="5" t="n">
        <v>14</v>
      </c>
      <c r="E855" s="5" t="n">
        <v>200</v>
      </c>
      <c r="F855" t="inlineStr">
        <is>
          <t>Поступление</t>
        </is>
      </c>
      <c r="H855">
        <f>VLOOKUP(C855,Магазин!$A$2:$C$1000,2,0)</f>
        <v/>
      </c>
      <c r="I855">
        <f>VLOOKUP(D855,Товар!$A$2:$F$1000,3,0)</f>
        <v/>
      </c>
      <c r="J855">
        <f>VLOOKUP(D855,Товар!$A$2:$F$1000,5,0)</f>
        <v/>
      </c>
      <c r="K855">
        <f>IF(AND(H855="Промышленный",LEFT(I855,18)="Порошок стиральный",F855="Продажа",B855=DATE(2023,6,7)),E855*J855/1000,0)</f>
        <v/>
      </c>
    </row>
    <row r="856">
      <c r="A856" t="n">
        <v>855</v>
      </c>
      <c r="B856" s="1" t="n">
        <v>45079</v>
      </c>
      <c r="C856" s="5" t="inlineStr">
        <is>
          <t>M6</t>
        </is>
      </c>
      <c r="D856" s="5" t="n">
        <v>15</v>
      </c>
      <c r="E856" s="5" t="n">
        <v>200</v>
      </c>
      <c r="F856" t="inlineStr">
        <is>
          <t>Поступление</t>
        </is>
      </c>
      <c r="H856">
        <f>VLOOKUP(C856,Магазин!$A$2:$C$1000,2,0)</f>
        <v/>
      </c>
      <c r="I856">
        <f>VLOOKUP(D856,Товар!$A$2:$F$1000,3,0)</f>
        <v/>
      </c>
      <c r="J856">
        <f>VLOOKUP(D856,Товар!$A$2:$F$1000,5,0)</f>
        <v/>
      </c>
      <c r="K856">
        <f>IF(AND(H856="Промышленный",LEFT(I856,18)="Порошок стиральный",F856="Продажа",B856=DATE(2023,6,7)),E856*J856/1000,0)</f>
        <v/>
      </c>
    </row>
    <row r="857">
      <c r="A857" t="n">
        <v>856</v>
      </c>
      <c r="B857" s="1" t="n">
        <v>45079</v>
      </c>
      <c r="C857" s="5" t="inlineStr">
        <is>
          <t>M6</t>
        </is>
      </c>
      <c r="D857" s="5" t="n">
        <v>16</v>
      </c>
      <c r="E857" s="5" t="n">
        <v>200</v>
      </c>
      <c r="F857" t="inlineStr">
        <is>
          <t>Поступление</t>
        </is>
      </c>
      <c r="H857">
        <f>VLOOKUP(C857,Магазин!$A$2:$C$1000,2,0)</f>
        <v/>
      </c>
      <c r="I857">
        <f>VLOOKUP(D857,Товар!$A$2:$F$1000,3,0)</f>
        <v/>
      </c>
      <c r="J857">
        <f>VLOOKUP(D857,Товар!$A$2:$F$1000,5,0)</f>
        <v/>
      </c>
      <c r="K857">
        <f>IF(AND(H857="Промышленный",LEFT(I857,18)="Порошок стиральный",F857="Продажа",B857=DATE(2023,6,7)),E857*J857/1000,0)</f>
        <v/>
      </c>
    </row>
    <row r="858">
      <c r="A858" t="n">
        <v>857</v>
      </c>
      <c r="B858" s="1" t="n">
        <v>45079</v>
      </c>
      <c r="C858" s="5" t="inlineStr">
        <is>
          <t>M6</t>
        </is>
      </c>
      <c r="D858" s="5" t="n">
        <v>17</v>
      </c>
      <c r="E858" s="5" t="n">
        <v>200</v>
      </c>
      <c r="F858" t="inlineStr">
        <is>
          <t>Поступление</t>
        </is>
      </c>
      <c r="H858">
        <f>VLOOKUP(C858,Магазин!$A$2:$C$1000,2,0)</f>
        <v/>
      </c>
      <c r="I858">
        <f>VLOOKUP(D858,Товар!$A$2:$F$1000,3,0)</f>
        <v/>
      </c>
      <c r="J858">
        <f>VLOOKUP(D858,Товар!$A$2:$F$1000,5,0)</f>
        <v/>
      </c>
      <c r="K858">
        <f>IF(AND(H858="Промышленный",LEFT(I858,18)="Порошок стиральный",F858="Продажа",B858=DATE(2023,6,7)),E858*J858/1000,0)</f>
        <v/>
      </c>
    </row>
    <row r="859">
      <c r="A859" t="n">
        <v>858</v>
      </c>
      <c r="B859" s="1" t="n">
        <v>45079</v>
      </c>
      <c r="C859" s="5" t="inlineStr">
        <is>
          <t>M6</t>
        </is>
      </c>
      <c r="D859" s="5" t="n">
        <v>18</v>
      </c>
      <c r="E859" s="5" t="n">
        <v>200</v>
      </c>
      <c r="F859" t="inlineStr">
        <is>
          <t>Поступление</t>
        </is>
      </c>
      <c r="H859">
        <f>VLOOKUP(C859,Магазин!$A$2:$C$1000,2,0)</f>
        <v/>
      </c>
      <c r="I859">
        <f>VLOOKUP(D859,Товар!$A$2:$F$1000,3,0)</f>
        <v/>
      </c>
      <c r="J859">
        <f>VLOOKUP(D859,Товар!$A$2:$F$1000,5,0)</f>
        <v/>
      </c>
      <c r="K859">
        <f>IF(AND(H859="Промышленный",LEFT(I859,18)="Порошок стиральный",F859="Продажа",B859=DATE(2023,6,7)),E859*J859/1000,0)</f>
        <v/>
      </c>
    </row>
    <row r="860">
      <c r="A860" t="n">
        <v>859</v>
      </c>
      <c r="B860" s="1" t="n">
        <v>45079</v>
      </c>
      <c r="C860" s="5" t="inlineStr">
        <is>
          <t>M6</t>
        </is>
      </c>
      <c r="D860" s="5" t="n">
        <v>19</v>
      </c>
      <c r="E860" s="5" t="n">
        <v>200</v>
      </c>
      <c r="F860" t="inlineStr">
        <is>
          <t>Поступление</t>
        </is>
      </c>
      <c r="H860">
        <f>VLOOKUP(C860,Магазин!$A$2:$C$1000,2,0)</f>
        <v/>
      </c>
      <c r="I860">
        <f>VLOOKUP(D860,Товар!$A$2:$F$1000,3,0)</f>
        <v/>
      </c>
      <c r="J860">
        <f>VLOOKUP(D860,Товар!$A$2:$F$1000,5,0)</f>
        <v/>
      </c>
      <c r="K860">
        <f>IF(AND(H860="Промышленный",LEFT(I860,18)="Порошок стиральный",F860="Продажа",B860=DATE(2023,6,7)),E860*J860/1000,0)</f>
        <v/>
      </c>
    </row>
    <row r="861">
      <c r="A861" t="n">
        <v>860</v>
      </c>
      <c r="B861" s="1" t="n">
        <v>45079</v>
      </c>
      <c r="C861" s="5" t="inlineStr">
        <is>
          <t>M6</t>
        </is>
      </c>
      <c r="D861" s="5" t="n">
        <v>20</v>
      </c>
      <c r="E861" s="5" t="n">
        <v>200</v>
      </c>
      <c r="F861" t="inlineStr">
        <is>
          <t>Поступление</t>
        </is>
      </c>
      <c r="H861">
        <f>VLOOKUP(C861,Магазин!$A$2:$C$1000,2,0)</f>
        <v/>
      </c>
      <c r="I861">
        <f>VLOOKUP(D861,Товар!$A$2:$F$1000,3,0)</f>
        <v/>
      </c>
      <c r="J861">
        <f>VLOOKUP(D861,Товар!$A$2:$F$1000,5,0)</f>
        <v/>
      </c>
      <c r="K861">
        <f>IF(AND(H861="Промышленный",LEFT(I861,18)="Порошок стиральный",F861="Продажа",B861=DATE(2023,6,7)),E861*J861/1000,0)</f>
        <v/>
      </c>
    </row>
    <row r="862">
      <c r="A862" t="n">
        <v>861</v>
      </c>
      <c r="B862" s="1" t="n">
        <v>45079</v>
      </c>
      <c r="C862" s="5" t="inlineStr">
        <is>
          <t>M6</t>
        </is>
      </c>
      <c r="D862" s="5" t="n">
        <v>21</v>
      </c>
      <c r="E862" s="5" t="n">
        <v>200</v>
      </c>
      <c r="F862" t="inlineStr">
        <is>
          <t>Поступление</t>
        </is>
      </c>
      <c r="H862">
        <f>VLOOKUP(C862,Магазин!$A$2:$C$1000,2,0)</f>
        <v/>
      </c>
      <c r="I862">
        <f>VLOOKUP(D862,Товар!$A$2:$F$1000,3,0)</f>
        <v/>
      </c>
      <c r="J862">
        <f>VLOOKUP(D862,Товар!$A$2:$F$1000,5,0)</f>
        <v/>
      </c>
      <c r="K862">
        <f>IF(AND(H862="Промышленный",LEFT(I862,18)="Порошок стиральный",F862="Продажа",B862=DATE(2023,6,7)),E862*J862/1000,0)</f>
        <v/>
      </c>
    </row>
    <row r="863">
      <c r="A863" t="n">
        <v>862</v>
      </c>
      <c r="B863" s="1" t="n">
        <v>45079</v>
      </c>
      <c r="C863" s="5" t="inlineStr">
        <is>
          <t>M6</t>
        </is>
      </c>
      <c r="D863" s="5" t="n">
        <v>22</v>
      </c>
      <c r="E863" s="5" t="n">
        <v>200</v>
      </c>
      <c r="F863" t="inlineStr">
        <is>
          <t>Поступление</t>
        </is>
      </c>
      <c r="H863">
        <f>VLOOKUP(C863,Магазин!$A$2:$C$1000,2,0)</f>
        <v/>
      </c>
      <c r="I863">
        <f>VLOOKUP(D863,Товар!$A$2:$F$1000,3,0)</f>
        <v/>
      </c>
      <c r="J863">
        <f>VLOOKUP(D863,Товар!$A$2:$F$1000,5,0)</f>
        <v/>
      </c>
      <c r="K863">
        <f>IF(AND(H863="Промышленный",LEFT(I863,18)="Порошок стиральный",F863="Продажа",B863=DATE(2023,6,7)),E863*J863/1000,0)</f>
        <v/>
      </c>
    </row>
    <row r="864">
      <c r="A864" t="n">
        <v>863</v>
      </c>
      <c r="B864" s="1" t="n">
        <v>45079</v>
      </c>
      <c r="C864" s="5" t="inlineStr">
        <is>
          <t>M6</t>
        </is>
      </c>
      <c r="D864" s="5" t="n">
        <v>23</v>
      </c>
      <c r="E864" s="5" t="n">
        <v>200</v>
      </c>
      <c r="F864" t="inlineStr">
        <is>
          <t>Поступление</t>
        </is>
      </c>
      <c r="H864">
        <f>VLOOKUP(C864,Магазин!$A$2:$C$1000,2,0)</f>
        <v/>
      </c>
      <c r="I864">
        <f>VLOOKUP(D864,Товар!$A$2:$F$1000,3,0)</f>
        <v/>
      </c>
      <c r="J864">
        <f>VLOOKUP(D864,Товар!$A$2:$F$1000,5,0)</f>
        <v/>
      </c>
      <c r="K864">
        <f>IF(AND(H864="Промышленный",LEFT(I864,18)="Порошок стиральный",F864="Продажа",B864=DATE(2023,6,7)),E864*J864/1000,0)</f>
        <v/>
      </c>
    </row>
    <row r="865">
      <c r="A865" t="n">
        <v>864</v>
      </c>
      <c r="B865" s="1" t="n">
        <v>45079</v>
      </c>
      <c r="C865" s="5" t="inlineStr">
        <is>
          <t>M6</t>
        </is>
      </c>
      <c r="D865" s="5" t="n">
        <v>24</v>
      </c>
      <c r="E865" s="5" t="n">
        <v>200</v>
      </c>
      <c r="F865" t="inlineStr">
        <is>
          <t>Поступление</t>
        </is>
      </c>
      <c r="H865">
        <f>VLOOKUP(C865,Магазин!$A$2:$C$1000,2,0)</f>
        <v/>
      </c>
      <c r="I865">
        <f>VLOOKUP(D865,Товар!$A$2:$F$1000,3,0)</f>
        <v/>
      </c>
      <c r="J865">
        <f>VLOOKUP(D865,Товар!$A$2:$F$1000,5,0)</f>
        <v/>
      </c>
      <c r="K865">
        <f>IF(AND(H865="Промышленный",LEFT(I865,18)="Порошок стиральный",F865="Продажа",B865=DATE(2023,6,7)),E865*J865/1000,0)</f>
        <v/>
      </c>
    </row>
    <row r="866">
      <c r="A866" t="n">
        <v>865</v>
      </c>
      <c r="B866" s="1" t="n">
        <v>45079</v>
      </c>
      <c r="C866" s="5" t="inlineStr">
        <is>
          <t>M6</t>
        </is>
      </c>
      <c r="D866" s="5" t="n">
        <v>25</v>
      </c>
      <c r="E866" s="5" t="n">
        <v>200</v>
      </c>
      <c r="F866" t="inlineStr">
        <is>
          <t>Поступление</t>
        </is>
      </c>
      <c r="H866">
        <f>VLOOKUP(C866,Магазин!$A$2:$C$1000,2,0)</f>
        <v/>
      </c>
      <c r="I866">
        <f>VLOOKUP(D866,Товар!$A$2:$F$1000,3,0)</f>
        <v/>
      </c>
      <c r="J866">
        <f>VLOOKUP(D866,Товар!$A$2:$F$1000,5,0)</f>
        <v/>
      </c>
      <c r="K866">
        <f>IF(AND(H866="Промышленный",LEFT(I866,18)="Порошок стиральный",F866="Продажа",B866=DATE(2023,6,7)),E866*J866/1000,0)</f>
        <v/>
      </c>
    </row>
    <row r="867">
      <c r="A867" t="n">
        <v>866</v>
      </c>
      <c r="B867" s="1" t="n">
        <v>45079</v>
      </c>
      <c r="C867" s="5" t="inlineStr">
        <is>
          <t>M6</t>
        </is>
      </c>
      <c r="D867" s="5" t="n">
        <v>26</v>
      </c>
      <c r="E867" s="5" t="n">
        <v>200</v>
      </c>
      <c r="F867" t="inlineStr">
        <is>
          <t>Поступление</t>
        </is>
      </c>
      <c r="H867">
        <f>VLOOKUP(C867,Магазин!$A$2:$C$1000,2,0)</f>
        <v/>
      </c>
      <c r="I867">
        <f>VLOOKUP(D867,Товар!$A$2:$F$1000,3,0)</f>
        <v/>
      </c>
      <c r="J867">
        <f>VLOOKUP(D867,Товар!$A$2:$F$1000,5,0)</f>
        <v/>
      </c>
      <c r="K867">
        <f>IF(AND(H867="Промышленный",LEFT(I867,18)="Порошок стиральный",F867="Продажа",B867=DATE(2023,6,7)),E867*J867/1000,0)</f>
        <v/>
      </c>
    </row>
    <row r="868">
      <c r="A868" t="n">
        <v>867</v>
      </c>
      <c r="B868" s="1" t="n">
        <v>45079</v>
      </c>
      <c r="C868" s="5" t="inlineStr">
        <is>
          <t>M6</t>
        </is>
      </c>
      <c r="D868" s="5" t="n">
        <v>27</v>
      </c>
      <c r="E868" s="5" t="n">
        <v>200</v>
      </c>
      <c r="F868" t="inlineStr">
        <is>
          <t>Поступление</t>
        </is>
      </c>
      <c r="H868">
        <f>VLOOKUP(C868,Магазин!$A$2:$C$1000,2,0)</f>
        <v/>
      </c>
      <c r="I868">
        <f>VLOOKUP(D868,Товар!$A$2:$F$1000,3,0)</f>
        <v/>
      </c>
      <c r="J868">
        <f>VLOOKUP(D868,Товар!$A$2:$F$1000,5,0)</f>
        <v/>
      </c>
      <c r="K868">
        <f>IF(AND(H868="Промышленный",LEFT(I868,18)="Порошок стиральный",F868="Продажа",B868=DATE(2023,6,7)),E868*J868/1000,0)</f>
        <v/>
      </c>
    </row>
    <row r="869">
      <c r="A869" t="n">
        <v>868</v>
      </c>
      <c r="B869" s="1" t="n">
        <v>45079</v>
      </c>
      <c r="C869" s="5" t="inlineStr">
        <is>
          <t>M6</t>
        </is>
      </c>
      <c r="D869" s="5" t="n">
        <v>28</v>
      </c>
      <c r="E869" s="5" t="n">
        <v>200</v>
      </c>
      <c r="F869" t="inlineStr">
        <is>
          <t>Поступление</t>
        </is>
      </c>
      <c r="H869">
        <f>VLOOKUP(C869,Магазин!$A$2:$C$1000,2,0)</f>
        <v/>
      </c>
      <c r="I869">
        <f>VLOOKUP(D869,Товар!$A$2:$F$1000,3,0)</f>
        <v/>
      </c>
      <c r="J869">
        <f>VLOOKUP(D869,Товар!$A$2:$F$1000,5,0)</f>
        <v/>
      </c>
      <c r="K869">
        <f>IF(AND(H869="Промышленный",LEFT(I869,18)="Порошок стиральный",F869="Продажа",B869=DATE(2023,6,7)),E869*J869/1000,0)</f>
        <v/>
      </c>
    </row>
    <row r="870">
      <c r="A870" t="n">
        <v>869</v>
      </c>
      <c r="B870" s="1" t="n">
        <v>45079</v>
      </c>
      <c r="C870" s="5" t="inlineStr">
        <is>
          <t>M6</t>
        </is>
      </c>
      <c r="D870" s="5" t="n">
        <v>29</v>
      </c>
      <c r="E870" s="5" t="n">
        <v>200</v>
      </c>
      <c r="F870" t="inlineStr">
        <is>
          <t>Поступление</t>
        </is>
      </c>
      <c r="H870">
        <f>VLOOKUP(C870,Магазин!$A$2:$C$1000,2,0)</f>
        <v/>
      </c>
      <c r="I870">
        <f>VLOOKUP(D870,Товар!$A$2:$F$1000,3,0)</f>
        <v/>
      </c>
      <c r="J870">
        <f>VLOOKUP(D870,Товар!$A$2:$F$1000,5,0)</f>
        <v/>
      </c>
      <c r="K870">
        <f>IF(AND(H870="Промышленный",LEFT(I870,18)="Порошок стиральный",F870="Продажа",B870=DATE(2023,6,7)),E870*J870/1000,0)</f>
        <v/>
      </c>
    </row>
    <row r="871">
      <c r="A871" t="n">
        <v>870</v>
      </c>
      <c r="B871" s="1" t="n">
        <v>45079</v>
      </c>
      <c r="C871" s="5" t="inlineStr">
        <is>
          <t>M6</t>
        </is>
      </c>
      <c r="D871" s="5" t="n">
        <v>30</v>
      </c>
      <c r="E871" s="5" t="n">
        <v>200</v>
      </c>
      <c r="F871" t="inlineStr">
        <is>
          <t>Поступление</t>
        </is>
      </c>
      <c r="H871">
        <f>VLOOKUP(C871,Магазин!$A$2:$C$1000,2,0)</f>
        <v/>
      </c>
      <c r="I871">
        <f>VLOOKUP(D871,Товар!$A$2:$F$1000,3,0)</f>
        <v/>
      </c>
      <c r="J871">
        <f>VLOOKUP(D871,Товар!$A$2:$F$1000,5,0)</f>
        <v/>
      </c>
      <c r="K871">
        <f>IF(AND(H871="Промышленный",LEFT(I871,18)="Порошок стиральный",F871="Продажа",B871=DATE(2023,6,7)),E871*J871/1000,0)</f>
        <v/>
      </c>
    </row>
    <row r="872">
      <c r="A872" t="n">
        <v>871</v>
      </c>
      <c r="B872" s="1" t="n">
        <v>45079</v>
      </c>
      <c r="C872" s="5" t="inlineStr">
        <is>
          <t>M6</t>
        </is>
      </c>
      <c r="D872" s="5" t="n">
        <v>31</v>
      </c>
      <c r="E872" s="5" t="n">
        <v>200</v>
      </c>
      <c r="F872" t="inlineStr">
        <is>
          <t>Поступление</t>
        </is>
      </c>
      <c r="H872">
        <f>VLOOKUP(C872,Магазин!$A$2:$C$1000,2,0)</f>
        <v/>
      </c>
      <c r="I872">
        <f>VLOOKUP(D872,Товар!$A$2:$F$1000,3,0)</f>
        <v/>
      </c>
      <c r="J872">
        <f>VLOOKUP(D872,Товар!$A$2:$F$1000,5,0)</f>
        <v/>
      </c>
      <c r="K872">
        <f>IF(AND(H872="Промышленный",LEFT(I872,18)="Порошок стиральный",F872="Продажа",B872=DATE(2023,6,7)),E872*J872/1000,0)</f>
        <v/>
      </c>
    </row>
    <row r="873">
      <c r="A873" t="n">
        <v>872</v>
      </c>
      <c r="B873" s="1" t="n">
        <v>45079</v>
      </c>
      <c r="C873" s="5" t="inlineStr">
        <is>
          <t>M6</t>
        </is>
      </c>
      <c r="D873" s="5" t="n">
        <v>32</v>
      </c>
      <c r="E873" s="5" t="n">
        <v>200</v>
      </c>
      <c r="F873" t="inlineStr">
        <is>
          <t>Поступление</t>
        </is>
      </c>
      <c r="H873">
        <f>VLOOKUP(C873,Магазин!$A$2:$C$1000,2,0)</f>
        <v/>
      </c>
      <c r="I873">
        <f>VLOOKUP(D873,Товар!$A$2:$F$1000,3,0)</f>
        <v/>
      </c>
      <c r="J873">
        <f>VLOOKUP(D873,Товар!$A$2:$F$1000,5,0)</f>
        <v/>
      </c>
      <c r="K873">
        <f>IF(AND(H873="Промышленный",LEFT(I873,18)="Порошок стиральный",F873="Продажа",B873=DATE(2023,6,7)),E873*J873/1000,0)</f>
        <v/>
      </c>
    </row>
    <row r="874">
      <c r="A874" t="n">
        <v>873</v>
      </c>
      <c r="B874" s="1" t="n">
        <v>45079</v>
      </c>
      <c r="C874" s="5" t="inlineStr">
        <is>
          <t>M6</t>
        </is>
      </c>
      <c r="D874" s="5" t="n">
        <v>33</v>
      </c>
      <c r="E874" s="5" t="n">
        <v>200</v>
      </c>
      <c r="F874" t="inlineStr">
        <is>
          <t>Поступление</t>
        </is>
      </c>
      <c r="H874">
        <f>VLOOKUP(C874,Магазин!$A$2:$C$1000,2,0)</f>
        <v/>
      </c>
      <c r="I874">
        <f>VLOOKUP(D874,Товар!$A$2:$F$1000,3,0)</f>
        <v/>
      </c>
      <c r="J874">
        <f>VLOOKUP(D874,Товар!$A$2:$F$1000,5,0)</f>
        <v/>
      </c>
      <c r="K874">
        <f>IF(AND(H874="Промышленный",LEFT(I874,18)="Порошок стиральный",F874="Продажа",B874=DATE(2023,6,7)),E874*J874/1000,0)</f>
        <v/>
      </c>
    </row>
    <row r="875">
      <c r="A875" t="n">
        <v>874</v>
      </c>
      <c r="B875" s="1" t="n">
        <v>45079</v>
      </c>
      <c r="C875" s="5" t="inlineStr">
        <is>
          <t>M6</t>
        </is>
      </c>
      <c r="D875" s="5" t="n">
        <v>34</v>
      </c>
      <c r="E875" s="5" t="n">
        <v>200</v>
      </c>
      <c r="F875" t="inlineStr">
        <is>
          <t>Поступление</t>
        </is>
      </c>
      <c r="H875">
        <f>VLOOKUP(C875,Магазин!$A$2:$C$1000,2,0)</f>
        <v/>
      </c>
      <c r="I875">
        <f>VLOOKUP(D875,Товар!$A$2:$F$1000,3,0)</f>
        <v/>
      </c>
      <c r="J875">
        <f>VLOOKUP(D875,Товар!$A$2:$F$1000,5,0)</f>
        <v/>
      </c>
      <c r="K875">
        <f>IF(AND(H875="Промышленный",LEFT(I875,18)="Порошок стиральный",F875="Продажа",B875=DATE(2023,6,7)),E875*J875/1000,0)</f>
        <v/>
      </c>
    </row>
    <row r="876">
      <c r="A876" t="n">
        <v>875</v>
      </c>
      <c r="B876" s="1" t="n">
        <v>45079</v>
      </c>
      <c r="C876" s="5" t="inlineStr">
        <is>
          <t>M6</t>
        </is>
      </c>
      <c r="D876" s="5" t="n">
        <v>35</v>
      </c>
      <c r="E876" s="5" t="n">
        <v>200</v>
      </c>
      <c r="F876" t="inlineStr">
        <is>
          <t>Поступление</t>
        </is>
      </c>
      <c r="H876">
        <f>VLOOKUP(C876,Магазин!$A$2:$C$1000,2,0)</f>
        <v/>
      </c>
      <c r="I876">
        <f>VLOOKUP(D876,Товар!$A$2:$F$1000,3,0)</f>
        <v/>
      </c>
      <c r="J876">
        <f>VLOOKUP(D876,Товар!$A$2:$F$1000,5,0)</f>
        <v/>
      </c>
      <c r="K876">
        <f>IF(AND(H876="Промышленный",LEFT(I876,18)="Порошок стиральный",F876="Продажа",B876=DATE(2023,6,7)),E876*J876/1000,0)</f>
        <v/>
      </c>
    </row>
    <row r="877">
      <c r="A877" t="n">
        <v>876</v>
      </c>
      <c r="B877" s="1" t="n">
        <v>45079</v>
      </c>
      <c r="C877" s="5" t="inlineStr">
        <is>
          <t>M6</t>
        </is>
      </c>
      <c r="D877" s="5" t="n">
        <v>36</v>
      </c>
      <c r="E877" s="5" t="n">
        <v>200</v>
      </c>
      <c r="F877" t="inlineStr">
        <is>
          <t>Поступление</t>
        </is>
      </c>
      <c r="H877">
        <f>VLOOKUP(C877,Магазин!$A$2:$C$1000,2,0)</f>
        <v/>
      </c>
      <c r="I877">
        <f>VLOOKUP(D877,Товар!$A$2:$F$1000,3,0)</f>
        <v/>
      </c>
      <c r="J877">
        <f>VLOOKUP(D877,Товар!$A$2:$F$1000,5,0)</f>
        <v/>
      </c>
      <c r="K877">
        <f>IF(AND(H877="Промышленный",LEFT(I877,18)="Порошок стиральный",F877="Продажа",B877=DATE(2023,6,7)),E877*J877/1000,0)</f>
        <v/>
      </c>
    </row>
    <row r="878">
      <c r="A878" t="n">
        <v>877</v>
      </c>
      <c r="B878" s="1" t="n">
        <v>45079</v>
      </c>
      <c r="C878" s="5" t="inlineStr">
        <is>
          <t>M6</t>
        </is>
      </c>
      <c r="D878" s="5" t="n">
        <v>37</v>
      </c>
      <c r="E878" s="5" t="n">
        <v>300</v>
      </c>
      <c r="F878" t="inlineStr">
        <is>
          <t>Поступление</t>
        </is>
      </c>
      <c r="H878">
        <f>VLOOKUP(C878,Магазин!$A$2:$C$1000,2,0)</f>
        <v/>
      </c>
      <c r="I878">
        <f>VLOOKUP(D878,Товар!$A$2:$F$1000,3,0)</f>
        <v/>
      </c>
      <c r="J878">
        <f>VLOOKUP(D878,Товар!$A$2:$F$1000,5,0)</f>
        <v/>
      </c>
      <c r="K878">
        <f>IF(AND(H878="Промышленный",LEFT(I878,18)="Порошок стиральный",F878="Продажа",B878=DATE(2023,6,7)),E878*J878/1000,0)</f>
        <v/>
      </c>
    </row>
    <row r="879">
      <c r="A879" t="n">
        <v>878</v>
      </c>
      <c r="B879" s="1" t="n">
        <v>45079</v>
      </c>
      <c r="C879" s="5" t="inlineStr">
        <is>
          <t>M6</t>
        </is>
      </c>
      <c r="D879" s="5" t="n">
        <v>38</v>
      </c>
      <c r="E879" s="5" t="n">
        <v>300</v>
      </c>
      <c r="F879" t="inlineStr">
        <is>
          <t>Поступление</t>
        </is>
      </c>
      <c r="H879">
        <f>VLOOKUP(C879,Магазин!$A$2:$C$1000,2,0)</f>
        <v/>
      </c>
      <c r="I879">
        <f>VLOOKUP(D879,Товар!$A$2:$F$1000,3,0)</f>
        <v/>
      </c>
      <c r="J879">
        <f>VLOOKUP(D879,Товар!$A$2:$F$1000,5,0)</f>
        <v/>
      </c>
      <c r="K879">
        <f>IF(AND(H879="Промышленный",LEFT(I879,18)="Порошок стиральный",F879="Продажа",B879=DATE(2023,6,7)),E879*J879/1000,0)</f>
        <v/>
      </c>
    </row>
    <row r="880">
      <c r="A880" t="n">
        <v>879</v>
      </c>
      <c r="B880" s="1" t="n">
        <v>45079</v>
      </c>
      <c r="C880" s="5" t="inlineStr">
        <is>
          <t>M6</t>
        </is>
      </c>
      <c r="D880" s="5" t="n">
        <v>39</v>
      </c>
      <c r="E880" s="5" t="n">
        <v>300</v>
      </c>
      <c r="F880" t="inlineStr">
        <is>
          <t>Поступление</t>
        </is>
      </c>
      <c r="H880">
        <f>VLOOKUP(C880,Магазин!$A$2:$C$1000,2,0)</f>
        <v/>
      </c>
      <c r="I880">
        <f>VLOOKUP(D880,Товар!$A$2:$F$1000,3,0)</f>
        <v/>
      </c>
      <c r="J880">
        <f>VLOOKUP(D880,Товар!$A$2:$F$1000,5,0)</f>
        <v/>
      </c>
      <c r="K880">
        <f>IF(AND(H880="Промышленный",LEFT(I880,18)="Порошок стиральный",F880="Продажа",B880=DATE(2023,6,7)),E880*J880/1000,0)</f>
        <v/>
      </c>
    </row>
    <row r="881">
      <c r="A881" t="n">
        <v>880</v>
      </c>
      <c r="B881" s="1" t="n">
        <v>45079</v>
      </c>
      <c r="C881" s="5" t="inlineStr">
        <is>
          <t>M6</t>
        </is>
      </c>
      <c r="D881" s="5" t="n">
        <v>40</v>
      </c>
      <c r="E881" s="5" t="n">
        <v>300</v>
      </c>
      <c r="F881" t="inlineStr">
        <is>
          <t>Поступление</t>
        </is>
      </c>
      <c r="H881">
        <f>VLOOKUP(C881,Магазин!$A$2:$C$1000,2,0)</f>
        <v/>
      </c>
      <c r="I881">
        <f>VLOOKUP(D881,Товар!$A$2:$F$1000,3,0)</f>
        <v/>
      </c>
      <c r="J881">
        <f>VLOOKUP(D881,Товар!$A$2:$F$1000,5,0)</f>
        <v/>
      </c>
      <c r="K881">
        <f>IF(AND(H881="Промышленный",LEFT(I881,18)="Порошок стиральный",F881="Продажа",B881=DATE(2023,6,7)),E881*J881/1000,0)</f>
        <v/>
      </c>
    </row>
    <row r="882">
      <c r="A882" t="n">
        <v>881</v>
      </c>
      <c r="B882" s="1" t="n">
        <v>45079</v>
      </c>
      <c r="C882" s="5" t="inlineStr">
        <is>
          <t>M6</t>
        </is>
      </c>
      <c r="D882" s="5" t="n">
        <v>41</v>
      </c>
      <c r="E882" s="5" t="n">
        <v>300</v>
      </c>
      <c r="F882" t="inlineStr">
        <is>
          <t>Поступление</t>
        </is>
      </c>
      <c r="H882">
        <f>VLOOKUP(C882,Магазин!$A$2:$C$1000,2,0)</f>
        <v/>
      </c>
      <c r="I882">
        <f>VLOOKUP(D882,Товар!$A$2:$F$1000,3,0)</f>
        <v/>
      </c>
      <c r="J882">
        <f>VLOOKUP(D882,Товар!$A$2:$F$1000,5,0)</f>
        <v/>
      </c>
      <c r="K882">
        <f>IF(AND(H882="Промышленный",LEFT(I882,18)="Порошок стиральный",F882="Продажа",B882=DATE(2023,6,7)),E882*J882/1000,0)</f>
        <v/>
      </c>
    </row>
    <row r="883">
      <c r="A883" t="n">
        <v>882</v>
      </c>
      <c r="B883" s="1" t="n">
        <v>45079</v>
      </c>
      <c r="C883" s="5" t="inlineStr">
        <is>
          <t>M6</t>
        </is>
      </c>
      <c r="D883" s="5" t="n">
        <v>42</v>
      </c>
      <c r="E883" s="5" t="n">
        <v>300</v>
      </c>
      <c r="F883" t="inlineStr">
        <is>
          <t>Поступление</t>
        </is>
      </c>
      <c r="H883">
        <f>VLOOKUP(C883,Магазин!$A$2:$C$1000,2,0)</f>
        <v/>
      </c>
      <c r="I883">
        <f>VLOOKUP(D883,Товар!$A$2:$F$1000,3,0)</f>
        <v/>
      </c>
      <c r="J883">
        <f>VLOOKUP(D883,Товар!$A$2:$F$1000,5,0)</f>
        <v/>
      </c>
      <c r="K883">
        <f>IF(AND(H883="Промышленный",LEFT(I883,18)="Порошок стиральный",F883="Продажа",B883=DATE(2023,6,7)),E883*J883/1000,0)</f>
        <v/>
      </c>
    </row>
    <row r="884">
      <c r="A884" t="n">
        <v>883</v>
      </c>
      <c r="B884" s="1" t="n">
        <v>45079</v>
      </c>
      <c r="C884" s="5" t="inlineStr">
        <is>
          <t>M6</t>
        </is>
      </c>
      <c r="D884" s="5" t="n">
        <v>43</v>
      </c>
      <c r="E884" s="5" t="n">
        <v>300</v>
      </c>
      <c r="F884" t="inlineStr">
        <is>
          <t>Поступление</t>
        </is>
      </c>
      <c r="H884">
        <f>VLOOKUP(C884,Магазин!$A$2:$C$1000,2,0)</f>
        <v/>
      </c>
      <c r="I884">
        <f>VLOOKUP(D884,Товар!$A$2:$F$1000,3,0)</f>
        <v/>
      </c>
      <c r="J884">
        <f>VLOOKUP(D884,Товар!$A$2:$F$1000,5,0)</f>
        <v/>
      </c>
      <c r="K884">
        <f>IF(AND(H884="Промышленный",LEFT(I884,18)="Порошок стиральный",F884="Продажа",B884=DATE(2023,6,7)),E884*J884/1000,0)</f>
        <v/>
      </c>
    </row>
    <row r="885">
      <c r="A885" t="n">
        <v>884</v>
      </c>
      <c r="B885" s="1" t="n">
        <v>45079</v>
      </c>
      <c r="C885" s="5" t="inlineStr">
        <is>
          <t>M6</t>
        </is>
      </c>
      <c r="D885" s="5" t="n">
        <v>44</v>
      </c>
      <c r="E885" s="5" t="n">
        <v>300</v>
      </c>
      <c r="F885" t="inlineStr">
        <is>
          <t>Поступление</t>
        </is>
      </c>
      <c r="H885">
        <f>VLOOKUP(C885,Магазин!$A$2:$C$1000,2,0)</f>
        <v/>
      </c>
      <c r="I885">
        <f>VLOOKUP(D885,Товар!$A$2:$F$1000,3,0)</f>
        <v/>
      </c>
      <c r="J885">
        <f>VLOOKUP(D885,Товар!$A$2:$F$1000,5,0)</f>
        <v/>
      </c>
      <c r="K885">
        <f>IF(AND(H885="Промышленный",LEFT(I885,18)="Порошок стиральный",F885="Продажа",B885=DATE(2023,6,7)),E885*J885/1000,0)</f>
        <v/>
      </c>
    </row>
    <row r="886">
      <c r="A886" t="n">
        <v>885</v>
      </c>
      <c r="B886" s="1" t="n">
        <v>45079</v>
      </c>
      <c r="C886" s="5" t="inlineStr">
        <is>
          <t>M6</t>
        </is>
      </c>
      <c r="D886" s="5" t="n">
        <v>45</v>
      </c>
      <c r="E886" s="5" t="n">
        <v>300</v>
      </c>
      <c r="F886" t="inlineStr">
        <is>
          <t>Поступление</t>
        </is>
      </c>
      <c r="H886">
        <f>VLOOKUP(C886,Магазин!$A$2:$C$1000,2,0)</f>
        <v/>
      </c>
      <c r="I886">
        <f>VLOOKUP(D886,Товар!$A$2:$F$1000,3,0)</f>
        <v/>
      </c>
      <c r="J886">
        <f>VLOOKUP(D886,Товар!$A$2:$F$1000,5,0)</f>
        <v/>
      </c>
      <c r="K886">
        <f>IF(AND(H886="Промышленный",LEFT(I886,18)="Порошок стиральный",F886="Продажа",B886=DATE(2023,6,7)),E886*J886/1000,0)</f>
        <v/>
      </c>
    </row>
    <row r="887">
      <c r="A887" t="n">
        <v>886</v>
      </c>
      <c r="B887" s="1" t="n">
        <v>45079</v>
      </c>
      <c r="C887" s="5" t="inlineStr">
        <is>
          <t>M6</t>
        </is>
      </c>
      <c r="D887" s="5" t="n">
        <v>46</v>
      </c>
      <c r="E887" s="5" t="n">
        <v>300</v>
      </c>
      <c r="F887" t="inlineStr">
        <is>
          <t>Поступление</t>
        </is>
      </c>
      <c r="H887">
        <f>VLOOKUP(C887,Магазин!$A$2:$C$1000,2,0)</f>
        <v/>
      </c>
      <c r="I887">
        <f>VLOOKUP(D887,Товар!$A$2:$F$1000,3,0)</f>
        <v/>
      </c>
      <c r="J887">
        <f>VLOOKUP(D887,Товар!$A$2:$F$1000,5,0)</f>
        <v/>
      </c>
      <c r="K887">
        <f>IF(AND(H887="Промышленный",LEFT(I887,18)="Порошок стиральный",F887="Продажа",B887=DATE(2023,6,7)),E887*J887/1000,0)</f>
        <v/>
      </c>
    </row>
    <row r="888">
      <c r="A888" t="n">
        <v>887</v>
      </c>
      <c r="B888" s="1" t="n">
        <v>45079</v>
      </c>
      <c r="C888" s="5" t="inlineStr">
        <is>
          <t>M6</t>
        </is>
      </c>
      <c r="D888" s="5" t="n">
        <v>47</v>
      </c>
      <c r="E888" s="5" t="n">
        <v>300</v>
      </c>
      <c r="F888" t="inlineStr">
        <is>
          <t>Поступление</t>
        </is>
      </c>
      <c r="H888">
        <f>VLOOKUP(C888,Магазин!$A$2:$C$1000,2,0)</f>
        <v/>
      </c>
      <c r="I888">
        <f>VLOOKUP(D888,Товар!$A$2:$F$1000,3,0)</f>
        <v/>
      </c>
      <c r="J888">
        <f>VLOOKUP(D888,Товар!$A$2:$F$1000,5,0)</f>
        <v/>
      </c>
      <c r="K888">
        <f>IF(AND(H888="Промышленный",LEFT(I888,18)="Порошок стиральный",F888="Продажа",B888=DATE(2023,6,7)),E888*J888/1000,0)</f>
        <v/>
      </c>
    </row>
    <row r="889">
      <c r="A889" t="n">
        <v>888</v>
      </c>
      <c r="B889" s="1" t="n">
        <v>45079</v>
      </c>
      <c r="C889" s="5" t="inlineStr">
        <is>
          <t>M6</t>
        </is>
      </c>
      <c r="D889" s="5" t="n">
        <v>48</v>
      </c>
      <c r="E889" s="5" t="n">
        <v>300</v>
      </c>
      <c r="F889" t="inlineStr">
        <is>
          <t>Поступление</t>
        </is>
      </c>
      <c r="H889">
        <f>VLOOKUP(C889,Магазин!$A$2:$C$1000,2,0)</f>
        <v/>
      </c>
      <c r="I889">
        <f>VLOOKUP(D889,Товар!$A$2:$F$1000,3,0)</f>
        <v/>
      </c>
      <c r="J889">
        <f>VLOOKUP(D889,Товар!$A$2:$F$1000,5,0)</f>
        <v/>
      </c>
      <c r="K889">
        <f>IF(AND(H889="Промышленный",LEFT(I889,18)="Порошок стиральный",F889="Продажа",B889=DATE(2023,6,7)),E889*J889/1000,0)</f>
        <v/>
      </c>
    </row>
    <row r="890">
      <c r="A890" t="n">
        <v>889</v>
      </c>
      <c r="B890" s="1" t="n">
        <v>45079</v>
      </c>
      <c r="C890" s="5" t="inlineStr">
        <is>
          <t>M6</t>
        </is>
      </c>
      <c r="D890" s="5" t="n">
        <v>49</v>
      </c>
      <c r="E890" s="5" t="n">
        <v>300</v>
      </c>
      <c r="F890" t="inlineStr">
        <is>
          <t>Поступление</t>
        </is>
      </c>
      <c r="H890">
        <f>VLOOKUP(C890,Магазин!$A$2:$C$1000,2,0)</f>
        <v/>
      </c>
      <c r="I890">
        <f>VLOOKUP(D890,Товар!$A$2:$F$1000,3,0)</f>
        <v/>
      </c>
      <c r="J890">
        <f>VLOOKUP(D890,Товар!$A$2:$F$1000,5,0)</f>
        <v/>
      </c>
      <c r="K890">
        <f>IF(AND(H890="Промышленный",LEFT(I890,18)="Порошок стиральный",F890="Продажа",B890=DATE(2023,6,7)),E890*J890/1000,0)</f>
        <v/>
      </c>
    </row>
    <row r="891">
      <c r="A891" t="n">
        <v>890</v>
      </c>
      <c r="B891" s="1" t="n">
        <v>45079</v>
      </c>
      <c r="C891" s="5" t="inlineStr">
        <is>
          <t>M6</t>
        </is>
      </c>
      <c r="D891" s="5" t="n">
        <v>50</v>
      </c>
      <c r="E891" s="5" t="n">
        <v>300</v>
      </c>
      <c r="F891" t="inlineStr">
        <is>
          <t>Поступление</t>
        </is>
      </c>
      <c r="H891">
        <f>VLOOKUP(C891,Магазин!$A$2:$C$1000,2,0)</f>
        <v/>
      </c>
      <c r="I891">
        <f>VLOOKUP(D891,Товар!$A$2:$F$1000,3,0)</f>
        <v/>
      </c>
      <c r="J891">
        <f>VLOOKUP(D891,Товар!$A$2:$F$1000,5,0)</f>
        <v/>
      </c>
      <c r="K891">
        <f>IF(AND(H891="Промышленный",LEFT(I891,18)="Порошок стиральный",F891="Продажа",B891=DATE(2023,6,7)),E891*J891/1000,0)</f>
        <v/>
      </c>
    </row>
    <row r="892">
      <c r="A892" t="n">
        <v>891</v>
      </c>
      <c r="B892" s="1" t="n">
        <v>45079</v>
      </c>
      <c r="C892" s="5" t="inlineStr">
        <is>
          <t>M6</t>
        </is>
      </c>
      <c r="D892" s="5" t="n">
        <v>51</v>
      </c>
      <c r="E892" s="5" t="n">
        <v>300</v>
      </c>
      <c r="F892" t="inlineStr">
        <is>
          <t>Поступление</t>
        </is>
      </c>
      <c r="H892">
        <f>VLOOKUP(C892,Магазин!$A$2:$C$1000,2,0)</f>
        <v/>
      </c>
      <c r="I892">
        <f>VLOOKUP(D892,Товар!$A$2:$F$1000,3,0)</f>
        <v/>
      </c>
      <c r="J892">
        <f>VLOOKUP(D892,Товар!$A$2:$F$1000,5,0)</f>
        <v/>
      </c>
      <c r="K892">
        <f>IF(AND(H892="Промышленный",LEFT(I892,18)="Порошок стиральный",F892="Продажа",B892=DATE(2023,6,7)),E892*J892/1000,0)</f>
        <v/>
      </c>
    </row>
    <row r="893">
      <c r="A893" t="n">
        <v>892</v>
      </c>
      <c r="B893" s="1" t="n">
        <v>45079</v>
      </c>
      <c r="C893" s="5" t="inlineStr">
        <is>
          <t>M6</t>
        </is>
      </c>
      <c r="D893" s="5" t="n">
        <v>52</v>
      </c>
      <c r="E893" s="5" t="n">
        <v>300</v>
      </c>
      <c r="F893" t="inlineStr">
        <is>
          <t>Поступление</t>
        </is>
      </c>
      <c r="H893">
        <f>VLOOKUP(C893,Магазин!$A$2:$C$1000,2,0)</f>
        <v/>
      </c>
      <c r="I893">
        <f>VLOOKUP(D893,Товар!$A$2:$F$1000,3,0)</f>
        <v/>
      </c>
      <c r="J893">
        <f>VLOOKUP(D893,Товар!$A$2:$F$1000,5,0)</f>
        <v/>
      </c>
      <c r="K893">
        <f>IF(AND(H893="Промышленный",LEFT(I893,18)="Порошок стиральный",F893="Продажа",B893=DATE(2023,6,7)),E893*J893/1000,0)</f>
        <v/>
      </c>
    </row>
    <row r="894">
      <c r="A894" t="n">
        <v>893</v>
      </c>
      <c r="B894" s="1" t="n">
        <v>45079</v>
      </c>
      <c r="C894" s="5" t="inlineStr">
        <is>
          <t>M6</t>
        </is>
      </c>
      <c r="D894" s="5" t="n">
        <v>53</v>
      </c>
      <c r="E894" s="5" t="n">
        <v>300</v>
      </c>
      <c r="F894" t="inlineStr">
        <is>
          <t>Поступление</t>
        </is>
      </c>
      <c r="H894">
        <f>VLOOKUP(C894,Магазин!$A$2:$C$1000,2,0)</f>
        <v/>
      </c>
      <c r="I894">
        <f>VLOOKUP(D894,Товар!$A$2:$F$1000,3,0)</f>
        <v/>
      </c>
      <c r="J894">
        <f>VLOOKUP(D894,Товар!$A$2:$F$1000,5,0)</f>
        <v/>
      </c>
      <c r="K894">
        <f>IF(AND(H894="Промышленный",LEFT(I894,18)="Порошок стиральный",F894="Продажа",B894=DATE(2023,6,7)),E894*J894/1000,0)</f>
        <v/>
      </c>
    </row>
    <row r="895">
      <c r="A895" t="n">
        <v>894</v>
      </c>
      <c r="B895" s="1" t="n">
        <v>45079</v>
      </c>
      <c r="C895" s="5" t="inlineStr">
        <is>
          <t>M6</t>
        </is>
      </c>
      <c r="D895" s="5" t="n">
        <v>54</v>
      </c>
      <c r="E895" s="5" t="n">
        <v>300</v>
      </c>
      <c r="F895" t="inlineStr">
        <is>
          <t>Поступление</t>
        </is>
      </c>
      <c r="H895">
        <f>VLOOKUP(C895,Магазин!$A$2:$C$1000,2,0)</f>
        <v/>
      </c>
      <c r="I895">
        <f>VLOOKUP(D895,Товар!$A$2:$F$1000,3,0)</f>
        <v/>
      </c>
      <c r="J895">
        <f>VLOOKUP(D895,Товар!$A$2:$F$1000,5,0)</f>
        <v/>
      </c>
      <c r="K895">
        <f>IF(AND(H895="Промышленный",LEFT(I895,18)="Порошок стиральный",F895="Продажа",B895=DATE(2023,6,7)),E895*J895/1000,0)</f>
        <v/>
      </c>
    </row>
    <row r="896">
      <c r="A896" t="n">
        <v>895</v>
      </c>
      <c r="B896" s="1" t="n">
        <v>45079</v>
      </c>
      <c r="C896" s="5" t="inlineStr">
        <is>
          <t>M6</t>
        </is>
      </c>
      <c r="D896" s="5" t="n">
        <v>55</v>
      </c>
      <c r="E896" s="5" t="n">
        <v>300</v>
      </c>
      <c r="F896" t="inlineStr">
        <is>
          <t>Поступление</t>
        </is>
      </c>
      <c r="H896">
        <f>VLOOKUP(C896,Магазин!$A$2:$C$1000,2,0)</f>
        <v/>
      </c>
      <c r="I896">
        <f>VLOOKUP(D896,Товар!$A$2:$F$1000,3,0)</f>
        <v/>
      </c>
      <c r="J896">
        <f>VLOOKUP(D896,Товар!$A$2:$F$1000,5,0)</f>
        <v/>
      </c>
      <c r="K896">
        <f>IF(AND(H896="Промышленный",LEFT(I896,18)="Порошок стиральный",F896="Продажа",B896=DATE(2023,6,7)),E896*J896/1000,0)</f>
        <v/>
      </c>
    </row>
    <row r="897">
      <c r="A897" t="n">
        <v>896</v>
      </c>
      <c r="B897" s="1" t="n">
        <v>45079</v>
      </c>
      <c r="C897" s="5" t="inlineStr">
        <is>
          <t>M6</t>
        </is>
      </c>
      <c r="D897" s="5" t="n">
        <v>56</v>
      </c>
      <c r="E897" s="5" t="n">
        <v>300</v>
      </c>
      <c r="F897" t="inlineStr">
        <is>
          <t>Поступление</t>
        </is>
      </c>
      <c r="H897">
        <f>VLOOKUP(C897,Магазин!$A$2:$C$1000,2,0)</f>
        <v/>
      </c>
      <c r="I897">
        <f>VLOOKUP(D897,Товар!$A$2:$F$1000,3,0)</f>
        <v/>
      </c>
      <c r="J897">
        <f>VLOOKUP(D897,Товар!$A$2:$F$1000,5,0)</f>
        <v/>
      </c>
      <c r="K897">
        <f>IF(AND(H897="Промышленный",LEFT(I897,18)="Порошок стиральный",F897="Продажа",B897=DATE(2023,6,7)),E897*J897/1000,0)</f>
        <v/>
      </c>
    </row>
    <row r="898">
      <c r="A898" t="n">
        <v>897</v>
      </c>
      <c r="B898" s="1" t="n">
        <v>45079</v>
      </c>
      <c r="C898" s="5" t="inlineStr">
        <is>
          <t>M6</t>
        </is>
      </c>
      <c r="D898" s="5" t="n">
        <v>57</v>
      </c>
      <c r="E898" s="5" t="n">
        <v>300</v>
      </c>
      <c r="F898" t="inlineStr">
        <is>
          <t>Поступление</t>
        </is>
      </c>
      <c r="H898">
        <f>VLOOKUP(C898,Магазин!$A$2:$C$1000,2,0)</f>
        <v/>
      </c>
      <c r="I898">
        <f>VLOOKUP(D898,Товар!$A$2:$F$1000,3,0)</f>
        <v/>
      </c>
      <c r="J898">
        <f>VLOOKUP(D898,Товар!$A$2:$F$1000,5,0)</f>
        <v/>
      </c>
      <c r="K898">
        <f>IF(AND(H898="Промышленный",LEFT(I898,18)="Порошок стиральный",F898="Продажа",B898=DATE(2023,6,7)),E898*J898/1000,0)</f>
        <v/>
      </c>
    </row>
    <row r="899">
      <c r="A899" t="n">
        <v>898</v>
      </c>
      <c r="B899" s="1" t="n">
        <v>45079</v>
      </c>
      <c r="C899" s="5" t="inlineStr">
        <is>
          <t>M6</t>
        </is>
      </c>
      <c r="D899" s="5" t="n">
        <v>58</v>
      </c>
      <c r="E899" s="5" t="n">
        <v>300</v>
      </c>
      <c r="F899" t="inlineStr">
        <is>
          <t>Поступление</t>
        </is>
      </c>
      <c r="H899">
        <f>VLOOKUP(C899,Магазин!$A$2:$C$1000,2,0)</f>
        <v/>
      </c>
      <c r="I899">
        <f>VLOOKUP(D899,Товар!$A$2:$F$1000,3,0)</f>
        <v/>
      </c>
      <c r="J899">
        <f>VLOOKUP(D899,Товар!$A$2:$F$1000,5,0)</f>
        <v/>
      </c>
      <c r="K899">
        <f>IF(AND(H899="Промышленный",LEFT(I899,18)="Порошок стиральный",F899="Продажа",B899=DATE(2023,6,7)),E899*J899/1000,0)</f>
        <v/>
      </c>
    </row>
    <row r="900">
      <c r="A900" t="n">
        <v>899</v>
      </c>
      <c r="B900" s="1" t="n">
        <v>45079</v>
      </c>
      <c r="C900" s="5" t="inlineStr">
        <is>
          <t>M6</t>
        </is>
      </c>
      <c r="D900" s="5" t="n">
        <v>59</v>
      </c>
      <c r="E900" s="5" t="n">
        <v>300</v>
      </c>
      <c r="F900" t="inlineStr">
        <is>
          <t>Поступление</t>
        </is>
      </c>
      <c r="H900">
        <f>VLOOKUP(C900,Магазин!$A$2:$C$1000,2,0)</f>
        <v/>
      </c>
      <c r="I900">
        <f>VLOOKUP(D900,Товар!$A$2:$F$1000,3,0)</f>
        <v/>
      </c>
      <c r="J900">
        <f>VLOOKUP(D900,Товар!$A$2:$F$1000,5,0)</f>
        <v/>
      </c>
      <c r="K900">
        <f>IF(AND(H900="Промышленный",LEFT(I900,18)="Порошок стиральный",F900="Продажа",B900=DATE(2023,6,7)),E900*J900/1000,0)</f>
        <v/>
      </c>
    </row>
    <row r="901">
      <c r="A901" t="n">
        <v>900</v>
      </c>
      <c r="B901" s="1" t="n">
        <v>45079</v>
      </c>
      <c r="C901" s="5" t="inlineStr">
        <is>
          <t>M6</t>
        </is>
      </c>
      <c r="D901" s="5" t="n">
        <v>60</v>
      </c>
      <c r="E901" s="5" t="n">
        <v>300</v>
      </c>
      <c r="F901" t="inlineStr">
        <is>
          <t>Поступление</t>
        </is>
      </c>
      <c r="H901">
        <f>VLOOKUP(C901,Магазин!$A$2:$C$1000,2,0)</f>
        <v/>
      </c>
      <c r="I901">
        <f>VLOOKUP(D901,Товар!$A$2:$F$1000,3,0)</f>
        <v/>
      </c>
      <c r="J901">
        <f>VLOOKUP(D901,Товар!$A$2:$F$1000,5,0)</f>
        <v/>
      </c>
      <c r="K901">
        <f>IF(AND(H901="Промышленный",LEFT(I901,18)="Порошок стиральный",F901="Продажа",B901=DATE(2023,6,7)),E901*J901/1000,0)</f>
        <v/>
      </c>
    </row>
    <row r="902">
      <c r="A902" t="n">
        <v>901</v>
      </c>
      <c r="B902" s="1" t="n">
        <v>45079</v>
      </c>
      <c r="C902" s="5" t="inlineStr">
        <is>
          <t>M7</t>
        </is>
      </c>
      <c r="D902" s="5" t="n">
        <v>1</v>
      </c>
      <c r="E902" s="5" t="n">
        <v>300</v>
      </c>
      <c r="F902" t="inlineStr">
        <is>
          <t>Поступление</t>
        </is>
      </c>
      <c r="H902">
        <f>VLOOKUP(C902,Магазин!$A$2:$C$1000,2,0)</f>
        <v/>
      </c>
      <c r="I902">
        <f>VLOOKUP(D902,Товар!$A$2:$F$1000,3,0)</f>
        <v/>
      </c>
      <c r="J902">
        <f>VLOOKUP(D902,Товар!$A$2:$F$1000,5,0)</f>
        <v/>
      </c>
      <c r="K902">
        <f>IF(AND(H902="Промышленный",LEFT(I902,18)="Порошок стиральный",F902="Продажа",B902=DATE(2023,6,7)),E902*J902/1000,0)</f>
        <v/>
      </c>
    </row>
    <row r="903">
      <c r="A903" t="n">
        <v>902</v>
      </c>
      <c r="B903" s="1" t="n">
        <v>45079</v>
      </c>
      <c r="C903" s="5" t="inlineStr">
        <is>
          <t>M7</t>
        </is>
      </c>
      <c r="D903" s="5" t="n">
        <v>2</v>
      </c>
      <c r="E903" s="5" t="n">
        <v>300</v>
      </c>
      <c r="F903" t="inlineStr">
        <is>
          <t>Поступление</t>
        </is>
      </c>
      <c r="H903">
        <f>VLOOKUP(C903,Магазин!$A$2:$C$1000,2,0)</f>
        <v/>
      </c>
      <c r="I903">
        <f>VLOOKUP(D903,Товар!$A$2:$F$1000,3,0)</f>
        <v/>
      </c>
      <c r="J903">
        <f>VLOOKUP(D903,Товар!$A$2:$F$1000,5,0)</f>
        <v/>
      </c>
      <c r="K903">
        <f>IF(AND(H903="Промышленный",LEFT(I903,18)="Порошок стиральный",F903="Продажа",B903=DATE(2023,6,7)),E903*J903/1000,0)</f>
        <v/>
      </c>
    </row>
    <row r="904">
      <c r="A904" t="n">
        <v>903</v>
      </c>
      <c r="B904" s="1" t="n">
        <v>45079</v>
      </c>
      <c r="C904" s="5" t="inlineStr">
        <is>
          <t>M7</t>
        </is>
      </c>
      <c r="D904" s="5" t="n">
        <v>3</v>
      </c>
      <c r="E904" s="5" t="n">
        <v>300</v>
      </c>
      <c r="F904" t="inlineStr">
        <is>
          <t>Поступление</t>
        </is>
      </c>
      <c r="H904">
        <f>VLOOKUP(C904,Магазин!$A$2:$C$1000,2,0)</f>
        <v/>
      </c>
      <c r="I904">
        <f>VLOOKUP(D904,Товар!$A$2:$F$1000,3,0)</f>
        <v/>
      </c>
      <c r="J904">
        <f>VLOOKUP(D904,Товар!$A$2:$F$1000,5,0)</f>
        <v/>
      </c>
      <c r="K904">
        <f>IF(AND(H904="Промышленный",LEFT(I904,18)="Порошок стиральный",F904="Продажа",B904=DATE(2023,6,7)),E904*J904/1000,0)</f>
        <v/>
      </c>
    </row>
    <row r="905">
      <c r="A905" t="n">
        <v>904</v>
      </c>
      <c r="B905" s="1" t="n">
        <v>45079</v>
      </c>
      <c r="C905" s="5" t="inlineStr">
        <is>
          <t>M7</t>
        </is>
      </c>
      <c r="D905" s="5" t="n">
        <v>4</v>
      </c>
      <c r="E905" s="5" t="n">
        <v>300</v>
      </c>
      <c r="F905" t="inlineStr">
        <is>
          <t>Поступление</t>
        </is>
      </c>
      <c r="H905">
        <f>VLOOKUP(C905,Магазин!$A$2:$C$1000,2,0)</f>
        <v/>
      </c>
      <c r="I905">
        <f>VLOOKUP(D905,Товар!$A$2:$F$1000,3,0)</f>
        <v/>
      </c>
      <c r="J905">
        <f>VLOOKUP(D905,Товар!$A$2:$F$1000,5,0)</f>
        <v/>
      </c>
      <c r="K905">
        <f>IF(AND(H905="Промышленный",LEFT(I905,18)="Порошок стиральный",F905="Продажа",B905=DATE(2023,6,7)),E905*J905/1000,0)</f>
        <v/>
      </c>
    </row>
    <row r="906">
      <c r="A906" t="n">
        <v>905</v>
      </c>
      <c r="B906" s="1" t="n">
        <v>45079</v>
      </c>
      <c r="C906" s="5" t="inlineStr">
        <is>
          <t>M7</t>
        </is>
      </c>
      <c r="D906" s="5" t="n">
        <v>5</v>
      </c>
      <c r="E906" s="5" t="n">
        <v>300</v>
      </c>
      <c r="F906" t="inlineStr">
        <is>
          <t>Поступление</t>
        </is>
      </c>
      <c r="H906">
        <f>VLOOKUP(C906,Магазин!$A$2:$C$1000,2,0)</f>
        <v/>
      </c>
      <c r="I906">
        <f>VLOOKUP(D906,Товар!$A$2:$F$1000,3,0)</f>
        <v/>
      </c>
      <c r="J906">
        <f>VLOOKUP(D906,Товар!$A$2:$F$1000,5,0)</f>
        <v/>
      </c>
      <c r="K906">
        <f>IF(AND(H906="Промышленный",LEFT(I906,18)="Порошок стиральный",F906="Продажа",B906=DATE(2023,6,7)),E906*J906/1000,0)</f>
        <v/>
      </c>
    </row>
    <row r="907">
      <c r="A907" t="n">
        <v>906</v>
      </c>
      <c r="B907" s="1" t="n">
        <v>45079</v>
      </c>
      <c r="C907" s="5" t="inlineStr">
        <is>
          <t>M7</t>
        </is>
      </c>
      <c r="D907" s="5" t="n">
        <v>6</v>
      </c>
      <c r="E907" s="5" t="n">
        <v>300</v>
      </c>
      <c r="F907" t="inlineStr">
        <is>
          <t>Поступление</t>
        </is>
      </c>
      <c r="H907">
        <f>VLOOKUP(C907,Магазин!$A$2:$C$1000,2,0)</f>
        <v/>
      </c>
      <c r="I907">
        <f>VLOOKUP(D907,Товар!$A$2:$F$1000,3,0)</f>
        <v/>
      </c>
      <c r="J907">
        <f>VLOOKUP(D907,Товар!$A$2:$F$1000,5,0)</f>
        <v/>
      </c>
      <c r="K907">
        <f>IF(AND(H907="Промышленный",LEFT(I907,18)="Порошок стиральный",F907="Продажа",B907=DATE(2023,6,7)),E907*J907/1000,0)</f>
        <v/>
      </c>
    </row>
    <row r="908">
      <c r="A908" t="n">
        <v>907</v>
      </c>
      <c r="B908" s="1" t="n">
        <v>45079</v>
      </c>
      <c r="C908" s="5" t="inlineStr">
        <is>
          <t>M7</t>
        </is>
      </c>
      <c r="D908" s="5" t="n">
        <v>7</v>
      </c>
      <c r="E908" s="5" t="n">
        <v>300</v>
      </c>
      <c r="F908" t="inlineStr">
        <is>
          <t>Поступление</t>
        </is>
      </c>
      <c r="H908">
        <f>VLOOKUP(C908,Магазин!$A$2:$C$1000,2,0)</f>
        <v/>
      </c>
      <c r="I908">
        <f>VLOOKUP(D908,Товар!$A$2:$F$1000,3,0)</f>
        <v/>
      </c>
      <c r="J908">
        <f>VLOOKUP(D908,Товар!$A$2:$F$1000,5,0)</f>
        <v/>
      </c>
      <c r="K908">
        <f>IF(AND(H908="Промышленный",LEFT(I908,18)="Порошок стиральный",F908="Продажа",B908=DATE(2023,6,7)),E908*J908/1000,0)</f>
        <v/>
      </c>
    </row>
    <row r="909">
      <c r="A909" t="n">
        <v>908</v>
      </c>
      <c r="B909" s="1" t="n">
        <v>45079</v>
      </c>
      <c r="C909" s="5" t="inlineStr">
        <is>
          <t>M7</t>
        </is>
      </c>
      <c r="D909" s="5" t="n">
        <v>8</v>
      </c>
      <c r="E909" s="5" t="n">
        <v>300</v>
      </c>
      <c r="F909" t="inlineStr">
        <is>
          <t>Поступление</t>
        </is>
      </c>
      <c r="H909">
        <f>VLOOKUP(C909,Магазин!$A$2:$C$1000,2,0)</f>
        <v/>
      </c>
      <c r="I909">
        <f>VLOOKUP(D909,Товар!$A$2:$F$1000,3,0)</f>
        <v/>
      </c>
      <c r="J909">
        <f>VLOOKUP(D909,Товар!$A$2:$F$1000,5,0)</f>
        <v/>
      </c>
      <c r="K909">
        <f>IF(AND(H909="Промышленный",LEFT(I909,18)="Порошок стиральный",F909="Продажа",B909=DATE(2023,6,7)),E909*J909/1000,0)</f>
        <v/>
      </c>
    </row>
    <row r="910">
      <c r="A910" t="n">
        <v>909</v>
      </c>
      <c r="B910" s="1" t="n">
        <v>45079</v>
      </c>
      <c r="C910" s="5" t="inlineStr">
        <is>
          <t>M7</t>
        </is>
      </c>
      <c r="D910" s="5" t="n">
        <v>9</v>
      </c>
      <c r="E910" s="5" t="n">
        <v>300</v>
      </c>
      <c r="F910" t="inlineStr">
        <is>
          <t>Поступление</t>
        </is>
      </c>
      <c r="H910">
        <f>VLOOKUP(C910,Магазин!$A$2:$C$1000,2,0)</f>
        <v/>
      </c>
      <c r="I910">
        <f>VLOOKUP(D910,Товар!$A$2:$F$1000,3,0)</f>
        <v/>
      </c>
      <c r="J910">
        <f>VLOOKUP(D910,Товар!$A$2:$F$1000,5,0)</f>
        <v/>
      </c>
      <c r="K910">
        <f>IF(AND(H910="Промышленный",LEFT(I910,18)="Порошок стиральный",F910="Продажа",B910=DATE(2023,6,7)),E910*J910/1000,0)</f>
        <v/>
      </c>
    </row>
    <row r="911">
      <c r="A911" t="n">
        <v>910</v>
      </c>
      <c r="B911" s="1" t="n">
        <v>45079</v>
      </c>
      <c r="C911" s="5" t="inlineStr">
        <is>
          <t>M7</t>
        </is>
      </c>
      <c r="D911" s="5" t="n">
        <v>10</v>
      </c>
      <c r="E911" s="5" t="n">
        <v>300</v>
      </c>
      <c r="F911" t="inlineStr">
        <is>
          <t>Поступление</t>
        </is>
      </c>
      <c r="H911">
        <f>VLOOKUP(C911,Магазин!$A$2:$C$1000,2,0)</f>
        <v/>
      </c>
      <c r="I911">
        <f>VLOOKUP(D911,Товар!$A$2:$F$1000,3,0)</f>
        <v/>
      </c>
      <c r="J911">
        <f>VLOOKUP(D911,Товар!$A$2:$F$1000,5,0)</f>
        <v/>
      </c>
      <c r="K911">
        <f>IF(AND(H911="Промышленный",LEFT(I911,18)="Порошок стиральный",F911="Продажа",B911=DATE(2023,6,7)),E911*J911/1000,0)</f>
        <v/>
      </c>
    </row>
    <row r="912">
      <c r="A912" t="n">
        <v>911</v>
      </c>
      <c r="B912" s="1" t="n">
        <v>45079</v>
      </c>
      <c r="C912" s="5" t="inlineStr">
        <is>
          <t>M7</t>
        </is>
      </c>
      <c r="D912" s="5" t="n">
        <v>11</v>
      </c>
      <c r="E912" s="5" t="n">
        <v>300</v>
      </c>
      <c r="F912" t="inlineStr">
        <is>
          <t>Поступление</t>
        </is>
      </c>
      <c r="H912">
        <f>VLOOKUP(C912,Магазин!$A$2:$C$1000,2,0)</f>
        <v/>
      </c>
      <c r="I912">
        <f>VLOOKUP(D912,Товар!$A$2:$F$1000,3,0)</f>
        <v/>
      </c>
      <c r="J912">
        <f>VLOOKUP(D912,Товар!$A$2:$F$1000,5,0)</f>
        <v/>
      </c>
      <c r="K912">
        <f>IF(AND(H912="Промышленный",LEFT(I912,18)="Порошок стиральный",F912="Продажа",B912=DATE(2023,6,7)),E912*J912/1000,0)</f>
        <v/>
      </c>
    </row>
    <row r="913">
      <c r="A913" t="n">
        <v>912</v>
      </c>
      <c r="B913" s="1" t="n">
        <v>45079</v>
      </c>
      <c r="C913" s="5" t="inlineStr">
        <is>
          <t>M7</t>
        </is>
      </c>
      <c r="D913" s="5" t="n">
        <v>12</v>
      </c>
      <c r="E913" s="5" t="n">
        <v>300</v>
      </c>
      <c r="F913" t="inlineStr">
        <is>
          <t>Поступление</t>
        </is>
      </c>
      <c r="H913">
        <f>VLOOKUP(C913,Магазин!$A$2:$C$1000,2,0)</f>
        <v/>
      </c>
      <c r="I913">
        <f>VLOOKUP(D913,Товар!$A$2:$F$1000,3,0)</f>
        <v/>
      </c>
      <c r="J913">
        <f>VLOOKUP(D913,Товар!$A$2:$F$1000,5,0)</f>
        <v/>
      </c>
      <c r="K913">
        <f>IF(AND(H913="Промышленный",LEFT(I913,18)="Порошок стиральный",F913="Продажа",B913=DATE(2023,6,7)),E913*J913/1000,0)</f>
        <v/>
      </c>
    </row>
    <row r="914">
      <c r="A914" t="n">
        <v>913</v>
      </c>
      <c r="B914" s="1" t="n">
        <v>45079</v>
      </c>
      <c r="C914" s="5" t="inlineStr">
        <is>
          <t>M7</t>
        </is>
      </c>
      <c r="D914" s="5" t="n">
        <v>13</v>
      </c>
      <c r="E914" s="5" t="n">
        <v>300</v>
      </c>
      <c r="F914" t="inlineStr">
        <is>
          <t>Поступление</t>
        </is>
      </c>
      <c r="H914">
        <f>VLOOKUP(C914,Магазин!$A$2:$C$1000,2,0)</f>
        <v/>
      </c>
      <c r="I914">
        <f>VLOOKUP(D914,Товар!$A$2:$F$1000,3,0)</f>
        <v/>
      </c>
      <c r="J914">
        <f>VLOOKUP(D914,Товар!$A$2:$F$1000,5,0)</f>
        <v/>
      </c>
      <c r="K914">
        <f>IF(AND(H914="Промышленный",LEFT(I914,18)="Порошок стиральный",F914="Продажа",B914=DATE(2023,6,7)),E914*J914/1000,0)</f>
        <v/>
      </c>
    </row>
    <row r="915">
      <c r="A915" t="n">
        <v>914</v>
      </c>
      <c r="B915" s="1" t="n">
        <v>45079</v>
      </c>
      <c r="C915" s="5" t="inlineStr">
        <is>
          <t>M7</t>
        </is>
      </c>
      <c r="D915" s="5" t="n">
        <v>14</v>
      </c>
      <c r="E915" s="5" t="n">
        <v>300</v>
      </c>
      <c r="F915" t="inlineStr">
        <is>
          <t>Поступление</t>
        </is>
      </c>
      <c r="H915">
        <f>VLOOKUP(C915,Магазин!$A$2:$C$1000,2,0)</f>
        <v/>
      </c>
      <c r="I915">
        <f>VLOOKUP(D915,Товар!$A$2:$F$1000,3,0)</f>
        <v/>
      </c>
      <c r="J915">
        <f>VLOOKUP(D915,Товар!$A$2:$F$1000,5,0)</f>
        <v/>
      </c>
      <c r="K915">
        <f>IF(AND(H915="Промышленный",LEFT(I915,18)="Порошок стиральный",F915="Продажа",B915=DATE(2023,6,7)),E915*J915/1000,0)</f>
        <v/>
      </c>
    </row>
    <row r="916">
      <c r="A916" t="n">
        <v>915</v>
      </c>
      <c r="B916" s="1" t="n">
        <v>45079</v>
      </c>
      <c r="C916" s="5" t="inlineStr">
        <is>
          <t>M7</t>
        </is>
      </c>
      <c r="D916" s="5" t="n">
        <v>15</v>
      </c>
      <c r="E916" s="5" t="n">
        <v>300</v>
      </c>
      <c r="F916" t="inlineStr">
        <is>
          <t>Поступление</t>
        </is>
      </c>
      <c r="H916">
        <f>VLOOKUP(C916,Магазин!$A$2:$C$1000,2,0)</f>
        <v/>
      </c>
      <c r="I916">
        <f>VLOOKUP(D916,Товар!$A$2:$F$1000,3,0)</f>
        <v/>
      </c>
      <c r="J916">
        <f>VLOOKUP(D916,Товар!$A$2:$F$1000,5,0)</f>
        <v/>
      </c>
      <c r="K916">
        <f>IF(AND(H916="Промышленный",LEFT(I916,18)="Порошок стиральный",F916="Продажа",B916=DATE(2023,6,7)),E916*J916/1000,0)</f>
        <v/>
      </c>
    </row>
    <row r="917">
      <c r="A917" t="n">
        <v>916</v>
      </c>
      <c r="B917" s="1" t="n">
        <v>45079</v>
      </c>
      <c r="C917" s="5" t="inlineStr">
        <is>
          <t>M7</t>
        </is>
      </c>
      <c r="D917" s="5" t="n">
        <v>16</v>
      </c>
      <c r="E917" s="5" t="n">
        <v>300</v>
      </c>
      <c r="F917" t="inlineStr">
        <is>
          <t>Поступление</t>
        </is>
      </c>
      <c r="H917">
        <f>VLOOKUP(C917,Магазин!$A$2:$C$1000,2,0)</f>
        <v/>
      </c>
      <c r="I917">
        <f>VLOOKUP(D917,Товар!$A$2:$F$1000,3,0)</f>
        <v/>
      </c>
      <c r="J917">
        <f>VLOOKUP(D917,Товар!$A$2:$F$1000,5,0)</f>
        <v/>
      </c>
      <c r="K917">
        <f>IF(AND(H917="Промышленный",LEFT(I917,18)="Порошок стиральный",F917="Продажа",B917=DATE(2023,6,7)),E917*J917/1000,0)</f>
        <v/>
      </c>
    </row>
    <row r="918">
      <c r="A918" t="n">
        <v>917</v>
      </c>
      <c r="B918" s="1" t="n">
        <v>45079</v>
      </c>
      <c r="C918" s="5" t="inlineStr">
        <is>
          <t>M7</t>
        </is>
      </c>
      <c r="D918" s="5" t="n">
        <v>17</v>
      </c>
      <c r="E918" s="5" t="n">
        <v>300</v>
      </c>
      <c r="F918" t="inlineStr">
        <is>
          <t>Поступление</t>
        </is>
      </c>
      <c r="H918">
        <f>VLOOKUP(C918,Магазин!$A$2:$C$1000,2,0)</f>
        <v/>
      </c>
      <c r="I918">
        <f>VLOOKUP(D918,Товар!$A$2:$F$1000,3,0)</f>
        <v/>
      </c>
      <c r="J918">
        <f>VLOOKUP(D918,Товар!$A$2:$F$1000,5,0)</f>
        <v/>
      </c>
      <c r="K918">
        <f>IF(AND(H918="Промышленный",LEFT(I918,18)="Порошок стиральный",F918="Продажа",B918=DATE(2023,6,7)),E918*J918/1000,0)</f>
        <v/>
      </c>
    </row>
    <row r="919">
      <c r="A919" t="n">
        <v>918</v>
      </c>
      <c r="B919" s="1" t="n">
        <v>45079</v>
      </c>
      <c r="C919" s="5" t="inlineStr">
        <is>
          <t>M7</t>
        </is>
      </c>
      <c r="D919" s="5" t="n">
        <v>18</v>
      </c>
      <c r="E919" s="5" t="n">
        <v>300</v>
      </c>
      <c r="F919" t="inlineStr">
        <is>
          <t>Поступление</t>
        </is>
      </c>
      <c r="H919">
        <f>VLOOKUP(C919,Магазин!$A$2:$C$1000,2,0)</f>
        <v/>
      </c>
      <c r="I919">
        <f>VLOOKUP(D919,Товар!$A$2:$F$1000,3,0)</f>
        <v/>
      </c>
      <c r="J919">
        <f>VLOOKUP(D919,Товар!$A$2:$F$1000,5,0)</f>
        <v/>
      </c>
      <c r="K919">
        <f>IF(AND(H919="Промышленный",LEFT(I919,18)="Порошок стиральный",F919="Продажа",B919=DATE(2023,6,7)),E919*J919/1000,0)</f>
        <v/>
      </c>
    </row>
    <row r="920">
      <c r="A920" t="n">
        <v>919</v>
      </c>
      <c r="B920" s="1" t="n">
        <v>45079</v>
      </c>
      <c r="C920" s="5" t="inlineStr">
        <is>
          <t>M7</t>
        </is>
      </c>
      <c r="D920" s="5" t="n">
        <v>19</v>
      </c>
      <c r="E920" s="5" t="n">
        <v>300</v>
      </c>
      <c r="F920" t="inlineStr">
        <is>
          <t>Поступление</t>
        </is>
      </c>
      <c r="H920">
        <f>VLOOKUP(C920,Магазин!$A$2:$C$1000,2,0)</f>
        <v/>
      </c>
      <c r="I920">
        <f>VLOOKUP(D920,Товар!$A$2:$F$1000,3,0)</f>
        <v/>
      </c>
      <c r="J920">
        <f>VLOOKUP(D920,Товар!$A$2:$F$1000,5,0)</f>
        <v/>
      </c>
      <c r="K920">
        <f>IF(AND(H920="Промышленный",LEFT(I920,18)="Порошок стиральный",F920="Продажа",B920=DATE(2023,6,7)),E920*J920/1000,0)</f>
        <v/>
      </c>
    </row>
    <row r="921">
      <c r="A921" t="n">
        <v>920</v>
      </c>
      <c r="B921" s="1" t="n">
        <v>45079</v>
      </c>
      <c r="C921" s="5" t="inlineStr">
        <is>
          <t>M7</t>
        </is>
      </c>
      <c r="D921" s="5" t="n">
        <v>20</v>
      </c>
      <c r="E921" s="5" t="n">
        <v>300</v>
      </c>
      <c r="F921" t="inlineStr">
        <is>
          <t>Поступление</t>
        </is>
      </c>
      <c r="H921">
        <f>VLOOKUP(C921,Магазин!$A$2:$C$1000,2,0)</f>
        <v/>
      </c>
      <c r="I921">
        <f>VLOOKUP(D921,Товар!$A$2:$F$1000,3,0)</f>
        <v/>
      </c>
      <c r="J921">
        <f>VLOOKUP(D921,Товар!$A$2:$F$1000,5,0)</f>
        <v/>
      </c>
      <c r="K921">
        <f>IF(AND(H921="Промышленный",LEFT(I921,18)="Порошок стиральный",F921="Продажа",B921=DATE(2023,6,7)),E921*J921/1000,0)</f>
        <v/>
      </c>
    </row>
    <row r="922">
      <c r="A922" t="n">
        <v>921</v>
      </c>
      <c r="B922" s="1" t="n">
        <v>45079</v>
      </c>
      <c r="C922" s="5" t="inlineStr">
        <is>
          <t>M7</t>
        </is>
      </c>
      <c r="D922" s="5" t="n">
        <v>21</v>
      </c>
      <c r="E922" s="5" t="n">
        <v>300</v>
      </c>
      <c r="F922" t="inlineStr">
        <is>
          <t>Поступление</t>
        </is>
      </c>
      <c r="H922">
        <f>VLOOKUP(C922,Магазин!$A$2:$C$1000,2,0)</f>
        <v/>
      </c>
      <c r="I922">
        <f>VLOOKUP(D922,Товар!$A$2:$F$1000,3,0)</f>
        <v/>
      </c>
      <c r="J922">
        <f>VLOOKUP(D922,Товар!$A$2:$F$1000,5,0)</f>
        <v/>
      </c>
      <c r="K922">
        <f>IF(AND(H922="Промышленный",LEFT(I922,18)="Порошок стиральный",F922="Продажа",B922=DATE(2023,6,7)),E922*J922/1000,0)</f>
        <v/>
      </c>
    </row>
    <row r="923">
      <c r="A923" t="n">
        <v>922</v>
      </c>
      <c r="B923" s="1" t="n">
        <v>45079</v>
      </c>
      <c r="C923" s="5" t="inlineStr">
        <is>
          <t>M7</t>
        </is>
      </c>
      <c r="D923" s="5" t="n">
        <v>22</v>
      </c>
      <c r="E923" s="5" t="n">
        <v>300</v>
      </c>
      <c r="F923" t="inlineStr">
        <is>
          <t>Поступление</t>
        </is>
      </c>
      <c r="H923">
        <f>VLOOKUP(C923,Магазин!$A$2:$C$1000,2,0)</f>
        <v/>
      </c>
      <c r="I923">
        <f>VLOOKUP(D923,Товар!$A$2:$F$1000,3,0)</f>
        <v/>
      </c>
      <c r="J923">
        <f>VLOOKUP(D923,Товар!$A$2:$F$1000,5,0)</f>
        <v/>
      </c>
      <c r="K923">
        <f>IF(AND(H923="Промышленный",LEFT(I923,18)="Порошок стиральный",F923="Продажа",B923=DATE(2023,6,7)),E923*J923/1000,0)</f>
        <v/>
      </c>
    </row>
    <row r="924">
      <c r="A924" t="n">
        <v>923</v>
      </c>
      <c r="B924" s="1" t="n">
        <v>45079</v>
      </c>
      <c r="C924" s="5" t="inlineStr">
        <is>
          <t>M7</t>
        </is>
      </c>
      <c r="D924" s="5" t="n">
        <v>23</v>
      </c>
      <c r="E924" s="5" t="n">
        <v>300</v>
      </c>
      <c r="F924" t="inlineStr">
        <is>
          <t>Поступление</t>
        </is>
      </c>
      <c r="H924">
        <f>VLOOKUP(C924,Магазин!$A$2:$C$1000,2,0)</f>
        <v/>
      </c>
      <c r="I924">
        <f>VLOOKUP(D924,Товар!$A$2:$F$1000,3,0)</f>
        <v/>
      </c>
      <c r="J924">
        <f>VLOOKUP(D924,Товар!$A$2:$F$1000,5,0)</f>
        <v/>
      </c>
      <c r="K924">
        <f>IF(AND(H924="Промышленный",LEFT(I924,18)="Порошок стиральный",F924="Продажа",B924=DATE(2023,6,7)),E924*J924/1000,0)</f>
        <v/>
      </c>
    </row>
    <row r="925">
      <c r="A925" t="n">
        <v>924</v>
      </c>
      <c r="B925" s="1" t="n">
        <v>45079</v>
      </c>
      <c r="C925" s="5" t="inlineStr">
        <is>
          <t>M7</t>
        </is>
      </c>
      <c r="D925" s="5" t="n">
        <v>24</v>
      </c>
      <c r="E925" s="5" t="n">
        <v>300</v>
      </c>
      <c r="F925" t="inlineStr">
        <is>
          <t>Поступление</t>
        </is>
      </c>
      <c r="H925">
        <f>VLOOKUP(C925,Магазин!$A$2:$C$1000,2,0)</f>
        <v/>
      </c>
      <c r="I925">
        <f>VLOOKUP(D925,Товар!$A$2:$F$1000,3,0)</f>
        <v/>
      </c>
      <c r="J925">
        <f>VLOOKUP(D925,Товар!$A$2:$F$1000,5,0)</f>
        <v/>
      </c>
      <c r="K925">
        <f>IF(AND(H925="Промышленный",LEFT(I925,18)="Порошок стиральный",F925="Продажа",B925=DATE(2023,6,7)),E925*J925/1000,0)</f>
        <v/>
      </c>
    </row>
    <row r="926">
      <c r="A926" t="n">
        <v>925</v>
      </c>
      <c r="B926" s="1" t="n">
        <v>45079</v>
      </c>
      <c r="C926" s="5" t="inlineStr">
        <is>
          <t>M7</t>
        </is>
      </c>
      <c r="D926" s="5" t="n">
        <v>25</v>
      </c>
      <c r="E926" s="5" t="n">
        <v>300</v>
      </c>
      <c r="F926" t="inlineStr">
        <is>
          <t>Поступление</t>
        </is>
      </c>
      <c r="H926">
        <f>VLOOKUP(C926,Магазин!$A$2:$C$1000,2,0)</f>
        <v/>
      </c>
      <c r="I926">
        <f>VLOOKUP(D926,Товар!$A$2:$F$1000,3,0)</f>
        <v/>
      </c>
      <c r="J926">
        <f>VLOOKUP(D926,Товар!$A$2:$F$1000,5,0)</f>
        <v/>
      </c>
      <c r="K926">
        <f>IF(AND(H926="Промышленный",LEFT(I926,18)="Порошок стиральный",F926="Продажа",B926=DATE(2023,6,7)),E926*J926/1000,0)</f>
        <v/>
      </c>
    </row>
    <row r="927">
      <c r="A927" t="n">
        <v>926</v>
      </c>
      <c r="B927" s="1" t="n">
        <v>45079</v>
      </c>
      <c r="C927" s="5" t="inlineStr">
        <is>
          <t>M7</t>
        </is>
      </c>
      <c r="D927" s="5" t="n">
        <v>26</v>
      </c>
      <c r="E927" s="5" t="n">
        <v>300</v>
      </c>
      <c r="F927" t="inlineStr">
        <is>
          <t>Поступление</t>
        </is>
      </c>
      <c r="H927">
        <f>VLOOKUP(C927,Магазин!$A$2:$C$1000,2,0)</f>
        <v/>
      </c>
      <c r="I927">
        <f>VLOOKUP(D927,Товар!$A$2:$F$1000,3,0)</f>
        <v/>
      </c>
      <c r="J927">
        <f>VLOOKUP(D927,Товар!$A$2:$F$1000,5,0)</f>
        <v/>
      </c>
      <c r="K927">
        <f>IF(AND(H927="Промышленный",LEFT(I927,18)="Порошок стиральный",F927="Продажа",B927=DATE(2023,6,7)),E927*J927/1000,0)</f>
        <v/>
      </c>
    </row>
    <row r="928">
      <c r="A928" t="n">
        <v>927</v>
      </c>
      <c r="B928" s="1" t="n">
        <v>45079</v>
      </c>
      <c r="C928" s="5" t="inlineStr">
        <is>
          <t>M7</t>
        </is>
      </c>
      <c r="D928" s="5" t="n">
        <v>27</v>
      </c>
      <c r="E928" s="5" t="n">
        <v>300</v>
      </c>
      <c r="F928" t="inlineStr">
        <is>
          <t>Поступление</t>
        </is>
      </c>
      <c r="H928">
        <f>VLOOKUP(C928,Магазин!$A$2:$C$1000,2,0)</f>
        <v/>
      </c>
      <c r="I928">
        <f>VLOOKUP(D928,Товар!$A$2:$F$1000,3,0)</f>
        <v/>
      </c>
      <c r="J928">
        <f>VLOOKUP(D928,Товар!$A$2:$F$1000,5,0)</f>
        <v/>
      </c>
      <c r="K928">
        <f>IF(AND(H928="Промышленный",LEFT(I928,18)="Порошок стиральный",F928="Продажа",B928=DATE(2023,6,7)),E928*J928/1000,0)</f>
        <v/>
      </c>
    </row>
    <row r="929">
      <c r="A929" t="n">
        <v>928</v>
      </c>
      <c r="B929" s="1" t="n">
        <v>45079</v>
      </c>
      <c r="C929" s="5" t="inlineStr">
        <is>
          <t>M7</t>
        </is>
      </c>
      <c r="D929" s="5" t="n">
        <v>28</v>
      </c>
      <c r="E929" s="5" t="n">
        <v>300</v>
      </c>
      <c r="F929" t="inlineStr">
        <is>
          <t>Поступление</t>
        </is>
      </c>
      <c r="H929">
        <f>VLOOKUP(C929,Магазин!$A$2:$C$1000,2,0)</f>
        <v/>
      </c>
      <c r="I929">
        <f>VLOOKUP(D929,Товар!$A$2:$F$1000,3,0)</f>
        <v/>
      </c>
      <c r="J929">
        <f>VLOOKUP(D929,Товар!$A$2:$F$1000,5,0)</f>
        <v/>
      </c>
      <c r="K929">
        <f>IF(AND(H929="Промышленный",LEFT(I929,18)="Порошок стиральный",F929="Продажа",B929=DATE(2023,6,7)),E929*J929/1000,0)</f>
        <v/>
      </c>
    </row>
    <row r="930">
      <c r="A930" t="n">
        <v>929</v>
      </c>
      <c r="B930" s="1" t="n">
        <v>45079</v>
      </c>
      <c r="C930" s="5" t="inlineStr">
        <is>
          <t>M7</t>
        </is>
      </c>
      <c r="D930" s="5" t="n">
        <v>29</v>
      </c>
      <c r="E930" s="5" t="n">
        <v>300</v>
      </c>
      <c r="F930" t="inlineStr">
        <is>
          <t>Поступление</t>
        </is>
      </c>
      <c r="H930">
        <f>VLOOKUP(C930,Магазин!$A$2:$C$1000,2,0)</f>
        <v/>
      </c>
      <c r="I930">
        <f>VLOOKUP(D930,Товар!$A$2:$F$1000,3,0)</f>
        <v/>
      </c>
      <c r="J930">
        <f>VLOOKUP(D930,Товар!$A$2:$F$1000,5,0)</f>
        <v/>
      </c>
      <c r="K930">
        <f>IF(AND(H930="Промышленный",LEFT(I930,18)="Порошок стиральный",F930="Продажа",B930=DATE(2023,6,7)),E930*J930/1000,0)</f>
        <v/>
      </c>
    </row>
    <row r="931">
      <c r="A931" t="n">
        <v>930</v>
      </c>
      <c r="B931" s="1" t="n">
        <v>45079</v>
      </c>
      <c r="C931" s="5" t="inlineStr">
        <is>
          <t>M7</t>
        </is>
      </c>
      <c r="D931" s="5" t="n">
        <v>30</v>
      </c>
      <c r="E931" s="5" t="n">
        <v>300</v>
      </c>
      <c r="F931" t="inlineStr">
        <is>
          <t>Поступление</t>
        </is>
      </c>
      <c r="H931">
        <f>VLOOKUP(C931,Магазин!$A$2:$C$1000,2,0)</f>
        <v/>
      </c>
      <c r="I931">
        <f>VLOOKUP(D931,Товар!$A$2:$F$1000,3,0)</f>
        <v/>
      </c>
      <c r="J931">
        <f>VLOOKUP(D931,Товар!$A$2:$F$1000,5,0)</f>
        <v/>
      </c>
      <c r="K931">
        <f>IF(AND(H931="Промышленный",LEFT(I931,18)="Порошок стиральный",F931="Продажа",B931=DATE(2023,6,7)),E931*J931/1000,0)</f>
        <v/>
      </c>
    </row>
    <row r="932">
      <c r="A932" t="n">
        <v>931</v>
      </c>
      <c r="B932" s="1" t="n">
        <v>45079</v>
      </c>
      <c r="C932" s="5" t="inlineStr">
        <is>
          <t>M7</t>
        </is>
      </c>
      <c r="D932" s="5" t="n">
        <v>31</v>
      </c>
      <c r="E932" s="5" t="n">
        <v>300</v>
      </c>
      <c r="F932" t="inlineStr">
        <is>
          <t>Поступление</t>
        </is>
      </c>
      <c r="H932">
        <f>VLOOKUP(C932,Магазин!$A$2:$C$1000,2,0)</f>
        <v/>
      </c>
      <c r="I932">
        <f>VLOOKUP(D932,Товар!$A$2:$F$1000,3,0)</f>
        <v/>
      </c>
      <c r="J932">
        <f>VLOOKUP(D932,Товар!$A$2:$F$1000,5,0)</f>
        <v/>
      </c>
      <c r="K932">
        <f>IF(AND(H932="Промышленный",LEFT(I932,18)="Порошок стиральный",F932="Продажа",B932=DATE(2023,6,7)),E932*J932/1000,0)</f>
        <v/>
      </c>
    </row>
    <row r="933">
      <c r="A933" t="n">
        <v>932</v>
      </c>
      <c r="B933" s="1" t="n">
        <v>45079</v>
      </c>
      <c r="C933" s="5" t="inlineStr">
        <is>
          <t>M7</t>
        </is>
      </c>
      <c r="D933" s="5" t="n">
        <v>32</v>
      </c>
      <c r="E933" s="5" t="n">
        <v>300</v>
      </c>
      <c r="F933" t="inlineStr">
        <is>
          <t>Поступление</t>
        </is>
      </c>
      <c r="H933">
        <f>VLOOKUP(C933,Магазин!$A$2:$C$1000,2,0)</f>
        <v/>
      </c>
      <c r="I933">
        <f>VLOOKUP(D933,Товар!$A$2:$F$1000,3,0)</f>
        <v/>
      </c>
      <c r="J933">
        <f>VLOOKUP(D933,Товар!$A$2:$F$1000,5,0)</f>
        <v/>
      </c>
      <c r="K933">
        <f>IF(AND(H933="Промышленный",LEFT(I933,18)="Порошок стиральный",F933="Продажа",B933=DATE(2023,6,7)),E933*J933/1000,0)</f>
        <v/>
      </c>
    </row>
    <row r="934" ht="15" customHeight="1" s="4">
      <c r="A934" t="n">
        <v>933</v>
      </c>
      <c r="B934" s="1" t="n">
        <v>45079</v>
      </c>
      <c r="C934" s="5" t="inlineStr">
        <is>
          <t>M7</t>
        </is>
      </c>
      <c r="D934" s="5" t="n">
        <v>33</v>
      </c>
      <c r="E934" s="5" t="n">
        <v>300</v>
      </c>
      <c r="F934" t="inlineStr">
        <is>
          <t>Поступление</t>
        </is>
      </c>
      <c r="H934">
        <f>VLOOKUP(C934,Магазин!$A$2:$C$1000,2,0)</f>
        <v/>
      </c>
      <c r="I934">
        <f>VLOOKUP(D934,Товар!$A$2:$F$1000,3,0)</f>
        <v/>
      </c>
      <c r="J934">
        <f>VLOOKUP(D934,Товар!$A$2:$F$1000,5,0)</f>
        <v/>
      </c>
      <c r="K934">
        <f>IF(AND(H934="Промышленный",LEFT(I934,18)="Порошок стиральный",F934="Продажа",B934=DATE(2023,6,7)),E934*J934/1000,0)</f>
        <v/>
      </c>
    </row>
    <row r="935" ht="15" customHeight="1" s="4">
      <c r="A935" t="n">
        <v>934</v>
      </c>
      <c r="B935" s="1" t="n">
        <v>45079</v>
      </c>
      <c r="C935" s="5" t="inlineStr">
        <is>
          <t>M7</t>
        </is>
      </c>
      <c r="D935" s="5" t="n">
        <v>34</v>
      </c>
      <c r="E935" s="5" t="n">
        <v>300</v>
      </c>
      <c r="F935" t="inlineStr">
        <is>
          <t>Поступление</t>
        </is>
      </c>
      <c r="H935">
        <f>VLOOKUP(C935,Магазин!$A$2:$C$1000,2,0)</f>
        <v/>
      </c>
      <c r="I935">
        <f>VLOOKUP(D935,Товар!$A$2:$F$1000,3,0)</f>
        <v/>
      </c>
      <c r="J935">
        <f>VLOOKUP(D935,Товар!$A$2:$F$1000,5,0)</f>
        <v/>
      </c>
      <c r="K935">
        <f>IF(AND(H935="Промышленный",LEFT(I935,18)="Порошок стиральный",F935="Продажа",B935=DATE(2023,6,7)),E935*J935/1000,0)</f>
        <v/>
      </c>
    </row>
    <row r="936">
      <c r="A936" t="n">
        <v>935</v>
      </c>
      <c r="B936" s="1" t="n">
        <v>45079</v>
      </c>
      <c r="C936" s="5" t="inlineStr">
        <is>
          <t>M7</t>
        </is>
      </c>
      <c r="D936" s="5" t="n">
        <v>35</v>
      </c>
      <c r="E936" s="5" t="n">
        <v>300</v>
      </c>
      <c r="F936" t="inlineStr">
        <is>
          <t>Поступление</t>
        </is>
      </c>
      <c r="H936">
        <f>VLOOKUP(C936,Магазин!$A$2:$C$1000,2,0)</f>
        <v/>
      </c>
      <c r="I936">
        <f>VLOOKUP(D936,Товар!$A$2:$F$1000,3,0)</f>
        <v/>
      </c>
      <c r="J936">
        <f>VLOOKUP(D936,Товар!$A$2:$F$1000,5,0)</f>
        <v/>
      </c>
      <c r="K936">
        <f>IF(AND(H936="Промышленный",LEFT(I936,18)="Порошок стиральный",F936="Продажа",B936=DATE(2023,6,7)),E936*J936/1000,0)</f>
        <v/>
      </c>
    </row>
    <row r="937">
      <c r="A937" t="n">
        <v>936</v>
      </c>
      <c r="B937" s="1" t="n">
        <v>45079</v>
      </c>
      <c r="C937" s="5" t="inlineStr">
        <is>
          <t>M7</t>
        </is>
      </c>
      <c r="D937" s="5" t="n">
        <v>36</v>
      </c>
      <c r="E937" s="5" t="n">
        <v>300</v>
      </c>
      <c r="F937" t="inlineStr">
        <is>
          <t>Поступление</t>
        </is>
      </c>
      <c r="H937">
        <f>VLOOKUP(C937,Магазин!$A$2:$C$1000,2,0)</f>
        <v/>
      </c>
      <c r="I937">
        <f>VLOOKUP(D937,Товар!$A$2:$F$1000,3,0)</f>
        <v/>
      </c>
      <c r="J937">
        <f>VLOOKUP(D937,Товар!$A$2:$F$1000,5,0)</f>
        <v/>
      </c>
      <c r="K937">
        <f>IF(AND(H937="Промышленный",LEFT(I937,18)="Порошок стиральный",F937="Продажа",B937=DATE(2023,6,7)),E937*J937/1000,0)</f>
        <v/>
      </c>
    </row>
    <row r="938">
      <c r="A938" t="n">
        <v>937</v>
      </c>
      <c r="B938" s="1" t="n">
        <v>45079</v>
      </c>
      <c r="C938" s="5" t="inlineStr">
        <is>
          <t>M7</t>
        </is>
      </c>
      <c r="D938" s="5" t="n">
        <v>37</v>
      </c>
      <c r="E938" s="5" t="n">
        <v>400</v>
      </c>
      <c r="F938" t="inlineStr">
        <is>
          <t>Поступление</t>
        </is>
      </c>
      <c r="H938">
        <f>VLOOKUP(C938,Магазин!$A$2:$C$1000,2,0)</f>
        <v/>
      </c>
      <c r="I938">
        <f>VLOOKUP(D938,Товар!$A$2:$F$1000,3,0)</f>
        <v/>
      </c>
      <c r="J938">
        <f>VLOOKUP(D938,Товар!$A$2:$F$1000,5,0)</f>
        <v/>
      </c>
      <c r="K938">
        <f>IF(AND(H938="Промышленный",LEFT(I938,18)="Порошок стиральный",F938="Продажа",B938=DATE(2023,6,7)),E938*J938/1000,0)</f>
        <v/>
      </c>
    </row>
    <row r="939">
      <c r="A939" t="n">
        <v>938</v>
      </c>
      <c r="B939" s="1" t="n">
        <v>45079</v>
      </c>
      <c r="C939" s="5" t="inlineStr">
        <is>
          <t>M7</t>
        </is>
      </c>
      <c r="D939" s="5" t="n">
        <v>38</v>
      </c>
      <c r="E939" s="5" t="n">
        <v>400</v>
      </c>
      <c r="F939" t="inlineStr">
        <is>
          <t>Поступление</t>
        </is>
      </c>
      <c r="H939">
        <f>VLOOKUP(C939,Магазин!$A$2:$C$1000,2,0)</f>
        <v/>
      </c>
      <c r="I939">
        <f>VLOOKUP(D939,Товар!$A$2:$F$1000,3,0)</f>
        <v/>
      </c>
      <c r="J939">
        <f>VLOOKUP(D939,Товар!$A$2:$F$1000,5,0)</f>
        <v/>
      </c>
      <c r="K939">
        <f>IF(AND(H939="Промышленный",LEFT(I939,18)="Порошок стиральный",F939="Продажа",B939=DATE(2023,6,7)),E939*J939/1000,0)</f>
        <v/>
      </c>
    </row>
    <row r="940">
      <c r="A940" t="n">
        <v>939</v>
      </c>
      <c r="B940" s="1" t="n">
        <v>45079</v>
      </c>
      <c r="C940" s="5" t="inlineStr">
        <is>
          <t>M7</t>
        </is>
      </c>
      <c r="D940" s="5" t="n">
        <v>39</v>
      </c>
      <c r="E940" s="5" t="n">
        <v>400</v>
      </c>
      <c r="F940" t="inlineStr">
        <is>
          <t>Поступление</t>
        </is>
      </c>
      <c r="H940">
        <f>VLOOKUP(C940,Магазин!$A$2:$C$1000,2,0)</f>
        <v/>
      </c>
      <c r="I940">
        <f>VLOOKUP(D940,Товар!$A$2:$F$1000,3,0)</f>
        <v/>
      </c>
      <c r="J940">
        <f>VLOOKUP(D940,Товар!$A$2:$F$1000,5,0)</f>
        <v/>
      </c>
      <c r="K940">
        <f>IF(AND(H940="Промышленный",LEFT(I940,18)="Порошок стиральный",F940="Продажа",B940=DATE(2023,6,7)),E940*J940/1000,0)</f>
        <v/>
      </c>
    </row>
    <row r="941">
      <c r="A941" t="n">
        <v>940</v>
      </c>
      <c r="B941" s="1" t="n">
        <v>45079</v>
      </c>
      <c r="C941" s="5" t="inlineStr">
        <is>
          <t>M7</t>
        </is>
      </c>
      <c r="D941" s="5" t="n">
        <v>40</v>
      </c>
      <c r="E941" s="5" t="n">
        <v>400</v>
      </c>
      <c r="F941" t="inlineStr">
        <is>
          <t>Поступление</t>
        </is>
      </c>
      <c r="H941">
        <f>VLOOKUP(C941,Магазин!$A$2:$C$1000,2,0)</f>
        <v/>
      </c>
      <c r="I941">
        <f>VLOOKUP(D941,Товар!$A$2:$F$1000,3,0)</f>
        <v/>
      </c>
      <c r="J941">
        <f>VLOOKUP(D941,Товар!$A$2:$F$1000,5,0)</f>
        <v/>
      </c>
      <c r="K941">
        <f>IF(AND(H941="Промышленный",LEFT(I941,18)="Порошок стиральный",F941="Продажа",B941=DATE(2023,6,7)),E941*J941/1000,0)</f>
        <v/>
      </c>
    </row>
    <row r="942">
      <c r="A942" t="n">
        <v>941</v>
      </c>
      <c r="B942" s="1" t="n">
        <v>45079</v>
      </c>
      <c r="C942" s="5" t="inlineStr">
        <is>
          <t>M7</t>
        </is>
      </c>
      <c r="D942" s="5" t="n">
        <v>41</v>
      </c>
      <c r="E942" s="5" t="n">
        <v>400</v>
      </c>
      <c r="F942" t="inlineStr">
        <is>
          <t>Поступление</t>
        </is>
      </c>
      <c r="H942">
        <f>VLOOKUP(C942,Магазин!$A$2:$C$1000,2,0)</f>
        <v/>
      </c>
      <c r="I942">
        <f>VLOOKUP(D942,Товар!$A$2:$F$1000,3,0)</f>
        <v/>
      </c>
      <c r="J942">
        <f>VLOOKUP(D942,Товар!$A$2:$F$1000,5,0)</f>
        <v/>
      </c>
      <c r="K942">
        <f>IF(AND(H942="Промышленный",LEFT(I942,18)="Порошок стиральный",F942="Продажа",B942=DATE(2023,6,7)),E942*J942/1000,0)</f>
        <v/>
      </c>
    </row>
    <row r="943">
      <c r="A943" t="n">
        <v>942</v>
      </c>
      <c r="B943" s="1" t="n">
        <v>45079</v>
      </c>
      <c r="C943" s="5" t="inlineStr">
        <is>
          <t>M7</t>
        </is>
      </c>
      <c r="D943" s="5" t="n">
        <v>42</v>
      </c>
      <c r="E943" s="5" t="n">
        <v>400</v>
      </c>
      <c r="F943" t="inlineStr">
        <is>
          <t>Поступление</t>
        </is>
      </c>
      <c r="H943">
        <f>VLOOKUP(C943,Магазин!$A$2:$C$1000,2,0)</f>
        <v/>
      </c>
      <c r="I943">
        <f>VLOOKUP(D943,Товар!$A$2:$F$1000,3,0)</f>
        <v/>
      </c>
      <c r="J943">
        <f>VLOOKUP(D943,Товар!$A$2:$F$1000,5,0)</f>
        <v/>
      </c>
      <c r="K943">
        <f>IF(AND(H943="Промышленный",LEFT(I943,18)="Порошок стиральный",F943="Продажа",B943=DATE(2023,6,7)),E943*J943/1000,0)</f>
        <v/>
      </c>
    </row>
    <row r="944">
      <c r="A944" t="n">
        <v>943</v>
      </c>
      <c r="B944" s="1" t="n">
        <v>45079</v>
      </c>
      <c r="C944" s="5" t="inlineStr">
        <is>
          <t>M7</t>
        </is>
      </c>
      <c r="D944" s="5" t="n">
        <v>43</v>
      </c>
      <c r="E944" s="5" t="n">
        <v>400</v>
      </c>
      <c r="F944" t="inlineStr">
        <is>
          <t>Поступление</t>
        </is>
      </c>
      <c r="H944">
        <f>VLOOKUP(C944,Магазин!$A$2:$C$1000,2,0)</f>
        <v/>
      </c>
      <c r="I944">
        <f>VLOOKUP(D944,Товар!$A$2:$F$1000,3,0)</f>
        <v/>
      </c>
      <c r="J944">
        <f>VLOOKUP(D944,Товар!$A$2:$F$1000,5,0)</f>
        <v/>
      </c>
      <c r="K944">
        <f>IF(AND(H944="Промышленный",LEFT(I944,18)="Порошок стиральный",F944="Продажа",B944=DATE(2023,6,7)),E944*J944/1000,0)</f>
        <v/>
      </c>
    </row>
    <row r="945">
      <c r="A945" t="n">
        <v>944</v>
      </c>
      <c r="B945" s="1" t="n">
        <v>45079</v>
      </c>
      <c r="C945" s="5" t="inlineStr">
        <is>
          <t>M7</t>
        </is>
      </c>
      <c r="D945" s="5" t="n">
        <v>44</v>
      </c>
      <c r="E945" s="5" t="n">
        <v>400</v>
      </c>
      <c r="F945" t="inlineStr">
        <is>
          <t>Поступление</t>
        </is>
      </c>
      <c r="H945">
        <f>VLOOKUP(C945,Магазин!$A$2:$C$1000,2,0)</f>
        <v/>
      </c>
      <c r="I945">
        <f>VLOOKUP(D945,Товар!$A$2:$F$1000,3,0)</f>
        <v/>
      </c>
      <c r="J945">
        <f>VLOOKUP(D945,Товар!$A$2:$F$1000,5,0)</f>
        <v/>
      </c>
      <c r="K945">
        <f>IF(AND(H945="Промышленный",LEFT(I945,18)="Порошок стиральный",F945="Продажа",B945=DATE(2023,6,7)),E945*J945/1000,0)</f>
        <v/>
      </c>
    </row>
    <row r="946">
      <c r="A946" t="n">
        <v>945</v>
      </c>
      <c r="B946" s="1" t="n">
        <v>45079</v>
      </c>
      <c r="C946" s="5" t="inlineStr">
        <is>
          <t>M7</t>
        </is>
      </c>
      <c r="D946" s="5" t="n">
        <v>45</v>
      </c>
      <c r="E946" s="5" t="n">
        <v>400</v>
      </c>
      <c r="F946" t="inlineStr">
        <is>
          <t>Поступление</t>
        </is>
      </c>
      <c r="H946">
        <f>VLOOKUP(C946,Магазин!$A$2:$C$1000,2,0)</f>
        <v/>
      </c>
      <c r="I946">
        <f>VLOOKUP(D946,Товар!$A$2:$F$1000,3,0)</f>
        <v/>
      </c>
      <c r="J946">
        <f>VLOOKUP(D946,Товар!$A$2:$F$1000,5,0)</f>
        <v/>
      </c>
      <c r="K946">
        <f>IF(AND(H946="Промышленный",LEFT(I946,18)="Порошок стиральный",F946="Продажа",B946=DATE(2023,6,7)),E946*J946/1000,0)</f>
        <v/>
      </c>
    </row>
    <row r="947">
      <c r="A947" t="n">
        <v>946</v>
      </c>
      <c r="B947" s="1" t="n">
        <v>45079</v>
      </c>
      <c r="C947" s="5" t="inlineStr">
        <is>
          <t>M7</t>
        </is>
      </c>
      <c r="D947" s="5" t="n">
        <v>46</v>
      </c>
      <c r="E947" s="5" t="n">
        <v>400</v>
      </c>
      <c r="F947" t="inlineStr">
        <is>
          <t>Поступление</t>
        </is>
      </c>
      <c r="H947">
        <f>VLOOKUP(C947,Магазин!$A$2:$C$1000,2,0)</f>
        <v/>
      </c>
      <c r="I947">
        <f>VLOOKUP(D947,Товар!$A$2:$F$1000,3,0)</f>
        <v/>
      </c>
      <c r="J947">
        <f>VLOOKUP(D947,Товар!$A$2:$F$1000,5,0)</f>
        <v/>
      </c>
      <c r="K947">
        <f>IF(AND(H947="Промышленный",LEFT(I947,18)="Порошок стиральный",F947="Продажа",B947=DATE(2023,6,7)),E947*J947/1000,0)</f>
        <v/>
      </c>
    </row>
    <row r="948">
      <c r="A948" t="n">
        <v>947</v>
      </c>
      <c r="B948" s="1" t="n">
        <v>45079</v>
      </c>
      <c r="C948" s="5" t="inlineStr">
        <is>
          <t>M7</t>
        </is>
      </c>
      <c r="D948" s="5" t="n">
        <v>47</v>
      </c>
      <c r="E948" s="5" t="n">
        <v>400</v>
      </c>
      <c r="F948" t="inlineStr">
        <is>
          <t>Поступление</t>
        </is>
      </c>
      <c r="H948">
        <f>VLOOKUP(C948,Магазин!$A$2:$C$1000,2,0)</f>
        <v/>
      </c>
      <c r="I948">
        <f>VLOOKUP(D948,Товар!$A$2:$F$1000,3,0)</f>
        <v/>
      </c>
      <c r="J948">
        <f>VLOOKUP(D948,Товар!$A$2:$F$1000,5,0)</f>
        <v/>
      </c>
      <c r="K948">
        <f>IF(AND(H948="Промышленный",LEFT(I948,18)="Порошок стиральный",F948="Продажа",B948=DATE(2023,6,7)),E948*J948/1000,0)</f>
        <v/>
      </c>
    </row>
    <row r="949">
      <c r="A949" t="n">
        <v>948</v>
      </c>
      <c r="B949" s="1" t="n">
        <v>45079</v>
      </c>
      <c r="C949" s="5" t="inlineStr">
        <is>
          <t>M7</t>
        </is>
      </c>
      <c r="D949" s="5" t="n">
        <v>48</v>
      </c>
      <c r="E949" s="5" t="n">
        <v>400</v>
      </c>
      <c r="F949" t="inlineStr">
        <is>
          <t>Поступление</t>
        </is>
      </c>
      <c r="H949">
        <f>VLOOKUP(C949,Магазин!$A$2:$C$1000,2,0)</f>
        <v/>
      </c>
      <c r="I949">
        <f>VLOOKUP(D949,Товар!$A$2:$F$1000,3,0)</f>
        <v/>
      </c>
      <c r="J949">
        <f>VLOOKUP(D949,Товар!$A$2:$F$1000,5,0)</f>
        <v/>
      </c>
      <c r="K949">
        <f>IF(AND(H949="Промышленный",LEFT(I949,18)="Порошок стиральный",F949="Продажа",B949=DATE(2023,6,7)),E949*J949/1000,0)</f>
        <v/>
      </c>
    </row>
    <row r="950">
      <c r="A950" t="n">
        <v>949</v>
      </c>
      <c r="B950" s="1" t="n">
        <v>45079</v>
      </c>
      <c r="C950" s="5" t="inlineStr">
        <is>
          <t>M7</t>
        </is>
      </c>
      <c r="D950" s="5" t="n">
        <v>49</v>
      </c>
      <c r="E950" s="5" t="n">
        <v>400</v>
      </c>
      <c r="F950" t="inlineStr">
        <is>
          <t>Поступление</t>
        </is>
      </c>
      <c r="H950">
        <f>VLOOKUP(C950,Магазин!$A$2:$C$1000,2,0)</f>
        <v/>
      </c>
      <c r="I950">
        <f>VLOOKUP(D950,Товар!$A$2:$F$1000,3,0)</f>
        <v/>
      </c>
      <c r="J950">
        <f>VLOOKUP(D950,Товар!$A$2:$F$1000,5,0)</f>
        <v/>
      </c>
      <c r="K950">
        <f>IF(AND(H950="Промышленный",LEFT(I950,18)="Порошок стиральный",F950="Продажа",B950=DATE(2023,6,7)),E950*J950/1000,0)</f>
        <v/>
      </c>
    </row>
    <row r="951">
      <c r="A951" t="n">
        <v>950</v>
      </c>
      <c r="B951" s="1" t="n">
        <v>45079</v>
      </c>
      <c r="C951" s="5" t="inlineStr">
        <is>
          <t>M7</t>
        </is>
      </c>
      <c r="D951" s="5" t="n">
        <v>50</v>
      </c>
      <c r="E951" s="5" t="n">
        <v>400</v>
      </c>
      <c r="F951" t="inlineStr">
        <is>
          <t>Поступление</t>
        </is>
      </c>
      <c r="H951">
        <f>VLOOKUP(C951,Магазин!$A$2:$C$1000,2,0)</f>
        <v/>
      </c>
      <c r="I951">
        <f>VLOOKUP(D951,Товар!$A$2:$F$1000,3,0)</f>
        <v/>
      </c>
      <c r="J951">
        <f>VLOOKUP(D951,Товар!$A$2:$F$1000,5,0)</f>
        <v/>
      </c>
      <c r="K951">
        <f>IF(AND(H951="Промышленный",LEFT(I951,18)="Порошок стиральный",F951="Продажа",B951=DATE(2023,6,7)),E951*J951/1000,0)</f>
        <v/>
      </c>
    </row>
    <row r="952">
      <c r="A952" t="n">
        <v>951</v>
      </c>
      <c r="B952" s="1" t="n">
        <v>45079</v>
      </c>
      <c r="C952" s="5" t="inlineStr">
        <is>
          <t>M7</t>
        </is>
      </c>
      <c r="D952" s="5" t="n">
        <v>51</v>
      </c>
      <c r="E952" s="5" t="n">
        <v>400</v>
      </c>
      <c r="F952" t="inlineStr">
        <is>
          <t>Поступление</t>
        </is>
      </c>
      <c r="H952">
        <f>VLOOKUP(C952,Магазин!$A$2:$C$1000,2,0)</f>
        <v/>
      </c>
      <c r="I952">
        <f>VLOOKUP(D952,Товар!$A$2:$F$1000,3,0)</f>
        <v/>
      </c>
      <c r="J952">
        <f>VLOOKUP(D952,Товар!$A$2:$F$1000,5,0)</f>
        <v/>
      </c>
      <c r="K952">
        <f>IF(AND(H952="Промышленный",LEFT(I952,18)="Порошок стиральный",F952="Продажа",B952=DATE(2023,6,7)),E952*J952/1000,0)</f>
        <v/>
      </c>
    </row>
    <row r="953">
      <c r="A953" t="n">
        <v>952</v>
      </c>
      <c r="B953" s="1" t="n">
        <v>45079</v>
      </c>
      <c r="C953" s="5" t="inlineStr">
        <is>
          <t>M7</t>
        </is>
      </c>
      <c r="D953" s="5" t="n">
        <v>52</v>
      </c>
      <c r="E953" s="5" t="n">
        <v>400</v>
      </c>
      <c r="F953" t="inlineStr">
        <is>
          <t>Поступление</t>
        </is>
      </c>
      <c r="H953">
        <f>VLOOKUP(C953,Магазин!$A$2:$C$1000,2,0)</f>
        <v/>
      </c>
      <c r="I953">
        <f>VLOOKUP(D953,Товар!$A$2:$F$1000,3,0)</f>
        <v/>
      </c>
      <c r="J953">
        <f>VLOOKUP(D953,Товар!$A$2:$F$1000,5,0)</f>
        <v/>
      </c>
      <c r="K953">
        <f>IF(AND(H953="Промышленный",LEFT(I953,18)="Порошок стиральный",F953="Продажа",B953=DATE(2023,6,7)),E953*J953/1000,0)</f>
        <v/>
      </c>
    </row>
    <row r="954">
      <c r="A954" t="n">
        <v>953</v>
      </c>
      <c r="B954" s="1" t="n">
        <v>45079</v>
      </c>
      <c r="C954" s="5" t="inlineStr">
        <is>
          <t>M7</t>
        </is>
      </c>
      <c r="D954" s="5" t="n">
        <v>53</v>
      </c>
      <c r="E954" s="5" t="n">
        <v>400</v>
      </c>
      <c r="F954" t="inlineStr">
        <is>
          <t>Поступление</t>
        </is>
      </c>
      <c r="H954">
        <f>VLOOKUP(C954,Магазин!$A$2:$C$1000,2,0)</f>
        <v/>
      </c>
      <c r="I954">
        <f>VLOOKUP(D954,Товар!$A$2:$F$1000,3,0)</f>
        <v/>
      </c>
      <c r="J954">
        <f>VLOOKUP(D954,Товар!$A$2:$F$1000,5,0)</f>
        <v/>
      </c>
      <c r="K954">
        <f>IF(AND(H954="Промышленный",LEFT(I954,18)="Порошок стиральный",F954="Продажа",B954=DATE(2023,6,7)),E954*J954/1000,0)</f>
        <v/>
      </c>
    </row>
    <row r="955">
      <c r="A955" t="n">
        <v>954</v>
      </c>
      <c r="B955" s="1" t="n">
        <v>45079</v>
      </c>
      <c r="C955" s="5" t="inlineStr">
        <is>
          <t>M7</t>
        </is>
      </c>
      <c r="D955" s="5" t="n">
        <v>54</v>
      </c>
      <c r="E955" s="5" t="n">
        <v>400</v>
      </c>
      <c r="F955" t="inlineStr">
        <is>
          <t>Поступление</t>
        </is>
      </c>
      <c r="H955">
        <f>VLOOKUP(C955,Магазин!$A$2:$C$1000,2,0)</f>
        <v/>
      </c>
      <c r="I955">
        <f>VLOOKUP(D955,Товар!$A$2:$F$1000,3,0)</f>
        <v/>
      </c>
      <c r="J955">
        <f>VLOOKUP(D955,Товар!$A$2:$F$1000,5,0)</f>
        <v/>
      </c>
      <c r="K955">
        <f>IF(AND(H955="Промышленный",LEFT(I955,18)="Порошок стиральный",F955="Продажа",B955=DATE(2023,6,7)),E955*J955/1000,0)</f>
        <v/>
      </c>
    </row>
    <row r="956">
      <c r="A956" t="n">
        <v>955</v>
      </c>
      <c r="B956" s="1" t="n">
        <v>45079</v>
      </c>
      <c r="C956" s="5" t="inlineStr">
        <is>
          <t>M7</t>
        </is>
      </c>
      <c r="D956" s="5" t="n">
        <v>55</v>
      </c>
      <c r="E956" s="5" t="n">
        <v>400</v>
      </c>
      <c r="F956" t="inlineStr">
        <is>
          <t>Поступление</t>
        </is>
      </c>
      <c r="H956">
        <f>VLOOKUP(C956,Магазин!$A$2:$C$1000,2,0)</f>
        <v/>
      </c>
      <c r="I956">
        <f>VLOOKUP(D956,Товар!$A$2:$F$1000,3,0)</f>
        <v/>
      </c>
      <c r="J956">
        <f>VLOOKUP(D956,Товар!$A$2:$F$1000,5,0)</f>
        <v/>
      </c>
      <c r="K956">
        <f>IF(AND(H956="Промышленный",LEFT(I956,18)="Порошок стиральный",F956="Продажа",B956=DATE(2023,6,7)),E956*J956/1000,0)</f>
        <v/>
      </c>
    </row>
    <row r="957">
      <c r="A957" t="n">
        <v>956</v>
      </c>
      <c r="B957" s="1" t="n">
        <v>45079</v>
      </c>
      <c r="C957" s="5" t="inlineStr">
        <is>
          <t>M7</t>
        </is>
      </c>
      <c r="D957" s="5" t="n">
        <v>56</v>
      </c>
      <c r="E957" s="5" t="n">
        <v>400</v>
      </c>
      <c r="F957" t="inlineStr">
        <is>
          <t>Поступление</t>
        </is>
      </c>
      <c r="H957">
        <f>VLOOKUP(C957,Магазин!$A$2:$C$1000,2,0)</f>
        <v/>
      </c>
      <c r="I957">
        <f>VLOOKUP(D957,Товар!$A$2:$F$1000,3,0)</f>
        <v/>
      </c>
      <c r="J957">
        <f>VLOOKUP(D957,Товар!$A$2:$F$1000,5,0)</f>
        <v/>
      </c>
      <c r="K957">
        <f>IF(AND(H957="Промышленный",LEFT(I957,18)="Порошок стиральный",F957="Продажа",B957=DATE(2023,6,7)),E957*J957/1000,0)</f>
        <v/>
      </c>
    </row>
    <row r="958">
      <c r="A958" t="n">
        <v>957</v>
      </c>
      <c r="B958" s="1" t="n">
        <v>45079</v>
      </c>
      <c r="C958" s="5" t="inlineStr">
        <is>
          <t>M7</t>
        </is>
      </c>
      <c r="D958" s="5" t="n">
        <v>57</v>
      </c>
      <c r="E958" s="5" t="n">
        <v>400</v>
      </c>
      <c r="F958" t="inlineStr">
        <is>
          <t>Поступление</t>
        </is>
      </c>
      <c r="H958">
        <f>VLOOKUP(C958,Магазин!$A$2:$C$1000,2,0)</f>
        <v/>
      </c>
      <c r="I958">
        <f>VLOOKUP(D958,Товар!$A$2:$F$1000,3,0)</f>
        <v/>
      </c>
      <c r="J958">
        <f>VLOOKUP(D958,Товар!$A$2:$F$1000,5,0)</f>
        <v/>
      </c>
      <c r="K958">
        <f>IF(AND(H958="Промышленный",LEFT(I958,18)="Порошок стиральный",F958="Продажа",B958=DATE(2023,6,7)),E958*J958/1000,0)</f>
        <v/>
      </c>
    </row>
    <row r="959">
      <c r="A959" t="n">
        <v>958</v>
      </c>
      <c r="B959" s="1" t="n">
        <v>45079</v>
      </c>
      <c r="C959" s="5" t="inlineStr">
        <is>
          <t>M7</t>
        </is>
      </c>
      <c r="D959" s="5" t="n">
        <v>58</v>
      </c>
      <c r="E959" s="5" t="n">
        <v>400</v>
      </c>
      <c r="F959" t="inlineStr">
        <is>
          <t>Поступление</t>
        </is>
      </c>
      <c r="H959">
        <f>VLOOKUP(C959,Магазин!$A$2:$C$1000,2,0)</f>
        <v/>
      </c>
      <c r="I959">
        <f>VLOOKUP(D959,Товар!$A$2:$F$1000,3,0)</f>
        <v/>
      </c>
      <c r="J959">
        <f>VLOOKUP(D959,Товар!$A$2:$F$1000,5,0)</f>
        <v/>
      </c>
      <c r="K959">
        <f>IF(AND(H959="Промышленный",LEFT(I959,18)="Порошок стиральный",F959="Продажа",B959=DATE(2023,6,7)),E959*J959/1000,0)</f>
        <v/>
      </c>
    </row>
    <row r="960">
      <c r="A960" t="n">
        <v>959</v>
      </c>
      <c r="B960" s="1" t="n">
        <v>45079</v>
      </c>
      <c r="C960" s="5" t="inlineStr">
        <is>
          <t>M7</t>
        </is>
      </c>
      <c r="D960" s="5" t="n">
        <v>59</v>
      </c>
      <c r="E960" s="5" t="n">
        <v>400</v>
      </c>
      <c r="F960" t="inlineStr">
        <is>
          <t>Поступление</t>
        </is>
      </c>
      <c r="H960">
        <f>VLOOKUP(C960,Магазин!$A$2:$C$1000,2,0)</f>
        <v/>
      </c>
      <c r="I960">
        <f>VLOOKUP(D960,Товар!$A$2:$F$1000,3,0)</f>
        <v/>
      </c>
      <c r="J960">
        <f>VLOOKUP(D960,Товар!$A$2:$F$1000,5,0)</f>
        <v/>
      </c>
      <c r="K960">
        <f>IF(AND(H960="Промышленный",LEFT(I960,18)="Порошок стиральный",F960="Продажа",B960=DATE(2023,6,7)),E960*J960/1000,0)</f>
        <v/>
      </c>
    </row>
    <row r="961">
      <c r="A961" t="n">
        <v>960</v>
      </c>
      <c r="B961" s="1" t="n">
        <v>45079</v>
      </c>
      <c r="C961" s="5" t="inlineStr">
        <is>
          <t>M7</t>
        </is>
      </c>
      <c r="D961" s="5" t="n">
        <v>60</v>
      </c>
      <c r="E961" s="5" t="n">
        <v>400</v>
      </c>
      <c r="F961" t="inlineStr">
        <is>
          <t>Поступление</t>
        </is>
      </c>
      <c r="H961">
        <f>VLOOKUP(C961,Магазин!$A$2:$C$1000,2,0)</f>
        <v/>
      </c>
      <c r="I961">
        <f>VLOOKUP(D961,Товар!$A$2:$F$1000,3,0)</f>
        <v/>
      </c>
      <c r="J961">
        <f>VLOOKUP(D961,Товар!$A$2:$F$1000,5,0)</f>
        <v/>
      </c>
      <c r="K961">
        <f>IF(AND(H961="Промышленный",LEFT(I961,18)="Порошок стиральный",F961="Продажа",B961=DATE(2023,6,7)),E961*J961/1000,0)</f>
        <v/>
      </c>
    </row>
    <row r="962">
      <c r="A962" t="n">
        <v>961</v>
      </c>
      <c r="B962" s="1" t="n">
        <v>45079</v>
      </c>
      <c r="C962" s="5" t="inlineStr">
        <is>
          <t>M8</t>
        </is>
      </c>
      <c r="D962" s="5" t="n">
        <v>1</v>
      </c>
      <c r="E962" s="5" t="n">
        <v>300</v>
      </c>
      <c r="F962" t="inlineStr">
        <is>
          <t>Поступление</t>
        </is>
      </c>
      <c r="H962">
        <f>VLOOKUP(C962,Магазин!$A$2:$C$1000,2,0)</f>
        <v/>
      </c>
      <c r="I962">
        <f>VLOOKUP(D962,Товар!$A$2:$F$1000,3,0)</f>
        <v/>
      </c>
      <c r="J962">
        <f>VLOOKUP(D962,Товар!$A$2:$F$1000,5,0)</f>
        <v/>
      </c>
      <c r="K962">
        <f>IF(AND(H962="Промышленный",LEFT(I962,18)="Порошок стиральный",F962="Продажа",B962=DATE(2023,6,7)),E962*J962/1000,0)</f>
        <v/>
      </c>
    </row>
    <row r="963">
      <c r="A963" t="n">
        <v>962</v>
      </c>
      <c r="B963" s="1" t="n">
        <v>45079</v>
      </c>
      <c r="C963" s="5" t="inlineStr">
        <is>
          <t>M8</t>
        </is>
      </c>
      <c r="D963" s="5" t="n">
        <v>2</v>
      </c>
      <c r="E963" s="5" t="n">
        <v>300</v>
      </c>
      <c r="F963" t="inlineStr">
        <is>
          <t>Поступление</t>
        </is>
      </c>
      <c r="H963">
        <f>VLOOKUP(C963,Магазин!$A$2:$C$1000,2,0)</f>
        <v/>
      </c>
      <c r="I963">
        <f>VLOOKUP(D963,Товар!$A$2:$F$1000,3,0)</f>
        <v/>
      </c>
      <c r="J963">
        <f>VLOOKUP(D963,Товар!$A$2:$F$1000,5,0)</f>
        <v/>
      </c>
      <c r="K963">
        <f>IF(AND(H963="Промышленный",LEFT(I963,18)="Порошок стиральный",F963="Продажа",B963=DATE(2023,6,7)),E963*J963/1000,0)</f>
        <v/>
      </c>
    </row>
    <row r="964">
      <c r="A964" t="n">
        <v>963</v>
      </c>
      <c r="B964" s="1" t="n">
        <v>45079</v>
      </c>
      <c r="C964" s="5" t="inlineStr">
        <is>
          <t>M8</t>
        </is>
      </c>
      <c r="D964" s="5" t="n">
        <v>3</v>
      </c>
      <c r="E964" s="5" t="n">
        <v>300</v>
      </c>
      <c r="F964" t="inlineStr">
        <is>
          <t>Поступление</t>
        </is>
      </c>
      <c r="H964">
        <f>VLOOKUP(C964,Магазин!$A$2:$C$1000,2,0)</f>
        <v/>
      </c>
      <c r="I964">
        <f>VLOOKUP(D964,Товар!$A$2:$F$1000,3,0)</f>
        <v/>
      </c>
      <c r="J964">
        <f>VLOOKUP(D964,Товар!$A$2:$F$1000,5,0)</f>
        <v/>
      </c>
      <c r="K964">
        <f>IF(AND(H964="Промышленный",LEFT(I964,18)="Порошок стиральный",F964="Продажа",B964=DATE(2023,6,7)),E964*J964/1000,0)</f>
        <v/>
      </c>
    </row>
    <row r="965">
      <c r="A965" t="n">
        <v>964</v>
      </c>
      <c r="B965" s="1" t="n">
        <v>45079</v>
      </c>
      <c r="C965" s="5" t="inlineStr">
        <is>
          <t>M8</t>
        </is>
      </c>
      <c r="D965" s="5" t="n">
        <v>4</v>
      </c>
      <c r="E965" s="5" t="n">
        <v>300</v>
      </c>
      <c r="F965" t="inlineStr">
        <is>
          <t>Поступление</t>
        </is>
      </c>
      <c r="H965">
        <f>VLOOKUP(C965,Магазин!$A$2:$C$1000,2,0)</f>
        <v/>
      </c>
      <c r="I965">
        <f>VLOOKUP(D965,Товар!$A$2:$F$1000,3,0)</f>
        <v/>
      </c>
      <c r="J965">
        <f>VLOOKUP(D965,Товар!$A$2:$F$1000,5,0)</f>
        <v/>
      </c>
      <c r="K965">
        <f>IF(AND(H965="Промышленный",LEFT(I965,18)="Порошок стиральный",F965="Продажа",B965=DATE(2023,6,7)),E965*J965/1000,0)</f>
        <v/>
      </c>
    </row>
    <row r="966">
      <c r="A966" t="n">
        <v>965</v>
      </c>
      <c r="B966" s="1" t="n">
        <v>45079</v>
      </c>
      <c r="C966" s="5" t="inlineStr">
        <is>
          <t>M8</t>
        </is>
      </c>
      <c r="D966" s="5" t="n">
        <v>5</v>
      </c>
      <c r="E966" s="5" t="n">
        <v>300</v>
      </c>
      <c r="F966" t="inlineStr">
        <is>
          <t>Поступление</t>
        </is>
      </c>
      <c r="H966">
        <f>VLOOKUP(C966,Магазин!$A$2:$C$1000,2,0)</f>
        <v/>
      </c>
      <c r="I966">
        <f>VLOOKUP(D966,Товар!$A$2:$F$1000,3,0)</f>
        <v/>
      </c>
      <c r="J966">
        <f>VLOOKUP(D966,Товар!$A$2:$F$1000,5,0)</f>
        <v/>
      </c>
      <c r="K966">
        <f>IF(AND(H966="Промышленный",LEFT(I966,18)="Порошок стиральный",F966="Продажа",B966=DATE(2023,6,7)),E966*J966/1000,0)</f>
        <v/>
      </c>
    </row>
    <row r="967">
      <c r="A967" t="n">
        <v>966</v>
      </c>
      <c r="B967" s="1" t="n">
        <v>45079</v>
      </c>
      <c r="C967" s="5" t="inlineStr">
        <is>
          <t>M8</t>
        </is>
      </c>
      <c r="D967" s="5" t="n">
        <v>6</v>
      </c>
      <c r="E967" s="5" t="n">
        <v>300</v>
      </c>
      <c r="F967" t="inlineStr">
        <is>
          <t>Поступление</t>
        </is>
      </c>
      <c r="H967">
        <f>VLOOKUP(C967,Магазин!$A$2:$C$1000,2,0)</f>
        <v/>
      </c>
      <c r="I967">
        <f>VLOOKUP(D967,Товар!$A$2:$F$1000,3,0)</f>
        <v/>
      </c>
      <c r="J967">
        <f>VLOOKUP(D967,Товар!$A$2:$F$1000,5,0)</f>
        <v/>
      </c>
      <c r="K967">
        <f>IF(AND(H967="Промышленный",LEFT(I967,18)="Порошок стиральный",F967="Продажа",B967=DATE(2023,6,7)),E967*J967/1000,0)</f>
        <v/>
      </c>
    </row>
    <row r="968">
      <c r="A968" t="n">
        <v>967</v>
      </c>
      <c r="B968" s="1" t="n">
        <v>45079</v>
      </c>
      <c r="C968" s="5" t="inlineStr">
        <is>
          <t>M8</t>
        </is>
      </c>
      <c r="D968" s="5" t="n">
        <v>7</v>
      </c>
      <c r="E968" s="5" t="n">
        <v>300</v>
      </c>
      <c r="F968" t="inlineStr">
        <is>
          <t>Поступление</t>
        </is>
      </c>
      <c r="H968">
        <f>VLOOKUP(C968,Магазин!$A$2:$C$1000,2,0)</f>
        <v/>
      </c>
      <c r="I968">
        <f>VLOOKUP(D968,Товар!$A$2:$F$1000,3,0)</f>
        <v/>
      </c>
      <c r="J968">
        <f>VLOOKUP(D968,Товар!$A$2:$F$1000,5,0)</f>
        <v/>
      </c>
      <c r="K968">
        <f>IF(AND(H968="Промышленный",LEFT(I968,18)="Порошок стиральный",F968="Продажа",B968=DATE(2023,6,7)),E968*J968/1000,0)</f>
        <v/>
      </c>
    </row>
    <row r="969">
      <c r="A969" t="n">
        <v>968</v>
      </c>
      <c r="B969" s="1" t="n">
        <v>45079</v>
      </c>
      <c r="C969" s="5" t="inlineStr">
        <is>
          <t>M8</t>
        </is>
      </c>
      <c r="D969" s="5" t="n">
        <v>8</v>
      </c>
      <c r="E969" s="5" t="n">
        <v>300</v>
      </c>
      <c r="F969" t="inlineStr">
        <is>
          <t>Поступление</t>
        </is>
      </c>
      <c r="H969">
        <f>VLOOKUP(C969,Магазин!$A$2:$C$1000,2,0)</f>
        <v/>
      </c>
      <c r="I969">
        <f>VLOOKUP(D969,Товар!$A$2:$F$1000,3,0)</f>
        <v/>
      </c>
      <c r="J969">
        <f>VLOOKUP(D969,Товар!$A$2:$F$1000,5,0)</f>
        <v/>
      </c>
      <c r="K969">
        <f>IF(AND(H969="Промышленный",LEFT(I969,18)="Порошок стиральный",F969="Продажа",B969=DATE(2023,6,7)),E969*J969/1000,0)</f>
        <v/>
      </c>
    </row>
    <row r="970">
      <c r="A970" t="n">
        <v>969</v>
      </c>
      <c r="B970" s="1" t="n">
        <v>45079</v>
      </c>
      <c r="C970" s="5" t="inlineStr">
        <is>
          <t>M8</t>
        </is>
      </c>
      <c r="D970" s="5" t="n">
        <v>9</v>
      </c>
      <c r="E970" s="5" t="n">
        <v>300</v>
      </c>
      <c r="F970" t="inlineStr">
        <is>
          <t>Поступление</t>
        </is>
      </c>
      <c r="H970">
        <f>VLOOKUP(C970,Магазин!$A$2:$C$1000,2,0)</f>
        <v/>
      </c>
      <c r="I970">
        <f>VLOOKUP(D970,Товар!$A$2:$F$1000,3,0)</f>
        <v/>
      </c>
      <c r="J970">
        <f>VLOOKUP(D970,Товар!$A$2:$F$1000,5,0)</f>
        <v/>
      </c>
      <c r="K970">
        <f>IF(AND(H970="Промышленный",LEFT(I970,18)="Порошок стиральный",F970="Продажа",B970=DATE(2023,6,7)),E970*J970/1000,0)</f>
        <v/>
      </c>
    </row>
    <row r="971">
      <c r="A971" t="n">
        <v>970</v>
      </c>
      <c r="B971" s="1" t="n">
        <v>45079</v>
      </c>
      <c r="C971" s="5" t="inlineStr">
        <is>
          <t>M8</t>
        </is>
      </c>
      <c r="D971" s="5" t="n">
        <v>10</v>
      </c>
      <c r="E971" s="5" t="n">
        <v>300</v>
      </c>
      <c r="F971" t="inlineStr">
        <is>
          <t>Поступление</t>
        </is>
      </c>
      <c r="H971">
        <f>VLOOKUP(C971,Магазин!$A$2:$C$1000,2,0)</f>
        <v/>
      </c>
      <c r="I971">
        <f>VLOOKUP(D971,Товар!$A$2:$F$1000,3,0)</f>
        <v/>
      </c>
      <c r="J971">
        <f>VLOOKUP(D971,Товар!$A$2:$F$1000,5,0)</f>
        <v/>
      </c>
      <c r="K971">
        <f>IF(AND(H971="Промышленный",LEFT(I971,18)="Порошок стиральный",F971="Продажа",B971=DATE(2023,6,7)),E971*J971/1000,0)</f>
        <v/>
      </c>
    </row>
    <row r="972">
      <c r="A972" t="n">
        <v>971</v>
      </c>
      <c r="B972" s="1" t="n">
        <v>45079</v>
      </c>
      <c r="C972" s="5" t="inlineStr">
        <is>
          <t>M8</t>
        </is>
      </c>
      <c r="D972" s="5" t="n">
        <v>11</v>
      </c>
      <c r="E972" s="5" t="n">
        <v>300</v>
      </c>
      <c r="F972" t="inlineStr">
        <is>
          <t>Поступление</t>
        </is>
      </c>
      <c r="H972">
        <f>VLOOKUP(C972,Магазин!$A$2:$C$1000,2,0)</f>
        <v/>
      </c>
      <c r="I972">
        <f>VLOOKUP(D972,Товар!$A$2:$F$1000,3,0)</f>
        <v/>
      </c>
      <c r="J972">
        <f>VLOOKUP(D972,Товар!$A$2:$F$1000,5,0)</f>
        <v/>
      </c>
      <c r="K972">
        <f>IF(AND(H972="Промышленный",LEFT(I972,18)="Порошок стиральный",F972="Продажа",B972=DATE(2023,6,7)),E972*J972/1000,0)</f>
        <v/>
      </c>
    </row>
    <row r="973">
      <c r="A973" t="n">
        <v>972</v>
      </c>
      <c r="B973" s="1" t="n">
        <v>45079</v>
      </c>
      <c r="C973" s="5" t="inlineStr">
        <is>
          <t>M8</t>
        </is>
      </c>
      <c r="D973" s="5" t="n">
        <v>12</v>
      </c>
      <c r="E973" s="5" t="n">
        <v>300</v>
      </c>
      <c r="F973" t="inlineStr">
        <is>
          <t>Поступление</t>
        </is>
      </c>
      <c r="H973">
        <f>VLOOKUP(C973,Магазин!$A$2:$C$1000,2,0)</f>
        <v/>
      </c>
      <c r="I973">
        <f>VLOOKUP(D973,Товар!$A$2:$F$1000,3,0)</f>
        <v/>
      </c>
      <c r="J973">
        <f>VLOOKUP(D973,Товар!$A$2:$F$1000,5,0)</f>
        <v/>
      </c>
      <c r="K973">
        <f>IF(AND(H973="Промышленный",LEFT(I973,18)="Порошок стиральный",F973="Продажа",B973=DATE(2023,6,7)),E973*J973/1000,0)</f>
        <v/>
      </c>
    </row>
    <row r="974">
      <c r="A974" t="n">
        <v>973</v>
      </c>
      <c r="B974" s="1" t="n">
        <v>45079</v>
      </c>
      <c r="C974" s="5" t="inlineStr">
        <is>
          <t>M8</t>
        </is>
      </c>
      <c r="D974" s="5" t="n">
        <v>13</v>
      </c>
      <c r="E974" s="5" t="n">
        <v>300</v>
      </c>
      <c r="F974" t="inlineStr">
        <is>
          <t>Поступление</t>
        </is>
      </c>
      <c r="H974">
        <f>VLOOKUP(C974,Магазин!$A$2:$C$1000,2,0)</f>
        <v/>
      </c>
      <c r="I974">
        <f>VLOOKUP(D974,Товар!$A$2:$F$1000,3,0)</f>
        <v/>
      </c>
      <c r="J974">
        <f>VLOOKUP(D974,Товар!$A$2:$F$1000,5,0)</f>
        <v/>
      </c>
      <c r="K974">
        <f>IF(AND(H974="Промышленный",LEFT(I974,18)="Порошок стиральный",F974="Продажа",B974=DATE(2023,6,7)),E974*J974/1000,0)</f>
        <v/>
      </c>
    </row>
    <row r="975">
      <c r="A975" t="n">
        <v>974</v>
      </c>
      <c r="B975" s="1" t="n">
        <v>45079</v>
      </c>
      <c r="C975" s="5" t="inlineStr">
        <is>
          <t>M8</t>
        </is>
      </c>
      <c r="D975" s="5" t="n">
        <v>14</v>
      </c>
      <c r="E975" s="5" t="n">
        <v>300</v>
      </c>
      <c r="F975" t="inlineStr">
        <is>
          <t>Поступление</t>
        </is>
      </c>
      <c r="H975">
        <f>VLOOKUP(C975,Магазин!$A$2:$C$1000,2,0)</f>
        <v/>
      </c>
      <c r="I975">
        <f>VLOOKUP(D975,Товар!$A$2:$F$1000,3,0)</f>
        <v/>
      </c>
      <c r="J975">
        <f>VLOOKUP(D975,Товар!$A$2:$F$1000,5,0)</f>
        <v/>
      </c>
      <c r="K975">
        <f>IF(AND(H975="Промышленный",LEFT(I975,18)="Порошок стиральный",F975="Продажа",B975=DATE(2023,6,7)),E975*J975/1000,0)</f>
        <v/>
      </c>
    </row>
    <row r="976">
      <c r="A976" t="n">
        <v>975</v>
      </c>
      <c r="B976" s="1" t="n">
        <v>45079</v>
      </c>
      <c r="C976" s="5" t="inlineStr">
        <is>
          <t>M8</t>
        </is>
      </c>
      <c r="D976" s="5" t="n">
        <v>15</v>
      </c>
      <c r="E976" s="5" t="n">
        <v>300</v>
      </c>
      <c r="F976" t="inlineStr">
        <is>
          <t>Поступление</t>
        </is>
      </c>
      <c r="H976">
        <f>VLOOKUP(C976,Магазин!$A$2:$C$1000,2,0)</f>
        <v/>
      </c>
      <c r="I976">
        <f>VLOOKUP(D976,Товар!$A$2:$F$1000,3,0)</f>
        <v/>
      </c>
      <c r="J976">
        <f>VLOOKUP(D976,Товар!$A$2:$F$1000,5,0)</f>
        <v/>
      </c>
      <c r="K976">
        <f>IF(AND(H976="Промышленный",LEFT(I976,18)="Порошок стиральный",F976="Продажа",B976=DATE(2023,6,7)),E976*J976/1000,0)</f>
        <v/>
      </c>
    </row>
    <row r="977">
      <c r="A977" t="n">
        <v>976</v>
      </c>
      <c r="B977" s="1" t="n">
        <v>45079</v>
      </c>
      <c r="C977" s="5" t="inlineStr">
        <is>
          <t>M8</t>
        </is>
      </c>
      <c r="D977" s="5" t="n">
        <v>16</v>
      </c>
      <c r="E977" s="5" t="n">
        <v>300</v>
      </c>
      <c r="F977" t="inlineStr">
        <is>
          <t>Поступление</t>
        </is>
      </c>
      <c r="H977">
        <f>VLOOKUP(C977,Магазин!$A$2:$C$1000,2,0)</f>
        <v/>
      </c>
      <c r="I977">
        <f>VLOOKUP(D977,Товар!$A$2:$F$1000,3,0)</f>
        <v/>
      </c>
      <c r="J977">
        <f>VLOOKUP(D977,Товар!$A$2:$F$1000,5,0)</f>
        <v/>
      </c>
      <c r="K977">
        <f>IF(AND(H977="Промышленный",LEFT(I977,18)="Порошок стиральный",F977="Продажа",B977=DATE(2023,6,7)),E977*J977/1000,0)</f>
        <v/>
      </c>
    </row>
    <row r="978">
      <c r="A978" t="n">
        <v>977</v>
      </c>
      <c r="B978" s="1" t="n">
        <v>45079</v>
      </c>
      <c r="C978" s="5" t="inlineStr">
        <is>
          <t>M8</t>
        </is>
      </c>
      <c r="D978" s="5" t="n">
        <v>17</v>
      </c>
      <c r="E978" s="5" t="n">
        <v>300</v>
      </c>
      <c r="F978" t="inlineStr">
        <is>
          <t>Поступление</t>
        </is>
      </c>
      <c r="H978">
        <f>VLOOKUP(C978,Магазин!$A$2:$C$1000,2,0)</f>
        <v/>
      </c>
      <c r="I978">
        <f>VLOOKUP(D978,Товар!$A$2:$F$1000,3,0)</f>
        <v/>
      </c>
      <c r="J978">
        <f>VLOOKUP(D978,Товар!$A$2:$F$1000,5,0)</f>
        <v/>
      </c>
      <c r="K978">
        <f>IF(AND(H978="Промышленный",LEFT(I978,18)="Порошок стиральный",F978="Продажа",B978=DATE(2023,6,7)),E978*J978/1000,0)</f>
        <v/>
      </c>
    </row>
    <row r="979">
      <c r="A979" t="n">
        <v>978</v>
      </c>
      <c r="B979" s="1" t="n">
        <v>45079</v>
      </c>
      <c r="C979" s="5" t="inlineStr">
        <is>
          <t>M8</t>
        </is>
      </c>
      <c r="D979" s="5" t="n">
        <v>18</v>
      </c>
      <c r="E979" s="5" t="n">
        <v>300</v>
      </c>
      <c r="F979" t="inlineStr">
        <is>
          <t>Поступление</t>
        </is>
      </c>
      <c r="H979">
        <f>VLOOKUP(C979,Магазин!$A$2:$C$1000,2,0)</f>
        <v/>
      </c>
      <c r="I979">
        <f>VLOOKUP(D979,Товар!$A$2:$F$1000,3,0)</f>
        <v/>
      </c>
      <c r="J979">
        <f>VLOOKUP(D979,Товар!$A$2:$F$1000,5,0)</f>
        <v/>
      </c>
      <c r="K979">
        <f>IF(AND(H979="Промышленный",LEFT(I979,18)="Порошок стиральный",F979="Продажа",B979=DATE(2023,6,7)),E979*J979/1000,0)</f>
        <v/>
      </c>
    </row>
    <row r="980">
      <c r="A980" t="n">
        <v>979</v>
      </c>
      <c r="B980" s="1" t="n">
        <v>45079</v>
      </c>
      <c r="C980" s="5" t="inlineStr">
        <is>
          <t>M8</t>
        </is>
      </c>
      <c r="D980" s="5" t="n">
        <v>19</v>
      </c>
      <c r="E980" s="5" t="n">
        <v>300</v>
      </c>
      <c r="F980" t="inlineStr">
        <is>
          <t>Поступление</t>
        </is>
      </c>
      <c r="H980">
        <f>VLOOKUP(C980,Магазин!$A$2:$C$1000,2,0)</f>
        <v/>
      </c>
      <c r="I980">
        <f>VLOOKUP(D980,Товар!$A$2:$F$1000,3,0)</f>
        <v/>
      </c>
      <c r="J980">
        <f>VLOOKUP(D980,Товар!$A$2:$F$1000,5,0)</f>
        <v/>
      </c>
      <c r="K980">
        <f>IF(AND(H980="Промышленный",LEFT(I980,18)="Порошок стиральный",F980="Продажа",B980=DATE(2023,6,7)),E980*J980/1000,0)</f>
        <v/>
      </c>
    </row>
    <row r="981">
      <c r="A981" t="n">
        <v>980</v>
      </c>
      <c r="B981" s="1" t="n">
        <v>45079</v>
      </c>
      <c r="C981" s="5" t="inlineStr">
        <is>
          <t>M8</t>
        </is>
      </c>
      <c r="D981" s="5" t="n">
        <v>20</v>
      </c>
      <c r="E981" s="5" t="n">
        <v>300</v>
      </c>
      <c r="F981" t="inlineStr">
        <is>
          <t>Поступление</t>
        </is>
      </c>
      <c r="H981">
        <f>VLOOKUP(C981,Магазин!$A$2:$C$1000,2,0)</f>
        <v/>
      </c>
      <c r="I981">
        <f>VLOOKUP(D981,Товар!$A$2:$F$1000,3,0)</f>
        <v/>
      </c>
      <c r="J981">
        <f>VLOOKUP(D981,Товар!$A$2:$F$1000,5,0)</f>
        <v/>
      </c>
      <c r="K981">
        <f>IF(AND(H981="Промышленный",LEFT(I981,18)="Порошок стиральный",F981="Продажа",B981=DATE(2023,6,7)),E981*J981/1000,0)</f>
        <v/>
      </c>
    </row>
    <row r="982">
      <c r="A982" t="n">
        <v>981</v>
      </c>
      <c r="B982" s="1" t="n">
        <v>45079</v>
      </c>
      <c r="C982" s="5" t="inlineStr">
        <is>
          <t>M8</t>
        </is>
      </c>
      <c r="D982" s="5" t="n">
        <v>21</v>
      </c>
      <c r="E982" s="5" t="n">
        <v>300</v>
      </c>
      <c r="F982" t="inlineStr">
        <is>
          <t>Поступление</t>
        </is>
      </c>
      <c r="H982">
        <f>VLOOKUP(C982,Магазин!$A$2:$C$1000,2,0)</f>
        <v/>
      </c>
      <c r="I982">
        <f>VLOOKUP(D982,Товар!$A$2:$F$1000,3,0)</f>
        <v/>
      </c>
      <c r="J982">
        <f>VLOOKUP(D982,Товар!$A$2:$F$1000,5,0)</f>
        <v/>
      </c>
      <c r="K982">
        <f>IF(AND(H982="Промышленный",LEFT(I982,18)="Порошок стиральный",F982="Продажа",B982=DATE(2023,6,7)),E982*J982/1000,0)</f>
        <v/>
      </c>
    </row>
    <row r="983">
      <c r="A983" t="n">
        <v>982</v>
      </c>
      <c r="B983" s="1" t="n">
        <v>45079</v>
      </c>
      <c r="C983" s="5" t="inlineStr">
        <is>
          <t>M8</t>
        </is>
      </c>
      <c r="D983" s="5" t="n">
        <v>22</v>
      </c>
      <c r="E983" s="5" t="n">
        <v>300</v>
      </c>
      <c r="F983" t="inlineStr">
        <is>
          <t>Поступление</t>
        </is>
      </c>
      <c r="H983">
        <f>VLOOKUP(C983,Магазин!$A$2:$C$1000,2,0)</f>
        <v/>
      </c>
      <c r="I983">
        <f>VLOOKUP(D983,Товар!$A$2:$F$1000,3,0)</f>
        <v/>
      </c>
      <c r="J983">
        <f>VLOOKUP(D983,Товар!$A$2:$F$1000,5,0)</f>
        <v/>
      </c>
      <c r="K983">
        <f>IF(AND(H983="Промышленный",LEFT(I983,18)="Порошок стиральный",F983="Продажа",B983=DATE(2023,6,7)),E983*J983/1000,0)</f>
        <v/>
      </c>
    </row>
    <row r="984">
      <c r="A984" t="n">
        <v>983</v>
      </c>
      <c r="B984" s="1" t="n">
        <v>45079</v>
      </c>
      <c r="C984" s="5" t="inlineStr">
        <is>
          <t>M8</t>
        </is>
      </c>
      <c r="D984" s="5" t="n">
        <v>23</v>
      </c>
      <c r="E984" s="5" t="n">
        <v>300</v>
      </c>
      <c r="F984" t="inlineStr">
        <is>
          <t>Поступление</t>
        </is>
      </c>
      <c r="H984">
        <f>VLOOKUP(C984,Магазин!$A$2:$C$1000,2,0)</f>
        <v/>
      </c>
      <c r="I984">
        <f>VLOOKUP(D984,Товар!$A$2:$F$1000,3,0)</f>
        <v/>
      </c>
      <c r="J984">
        <f>VLOOKUP(D984,Товар!$A$2:$F$1000,5,0)</f>
        <v/>
      </c>
      <c r="K984">
        <f>IF(AND(H984="Промышленный",LEFT(I984,18)="Порошок стиральный",F984="Продажа",B984=DATE(2023,6,7)),E984*J984/1000,0)</f>
        <v/>
      </c>
    </row>
    <row r="985">
      <c r="A985" t="n">
        <v>984</v>
      </c>
      <c r="B985" s="1" t="n">
        <v>45079</v>
      </c>
      <c r="C985" s="5" t="inlineStr">
        <is>
          <t>M8</t>
        </is>
      </c>
      <c r="D985" s="5" t="n">
        <v>24</v>
      </c>
      <c r="E985" s="5" t="n">
        <v>300</v>
      </c>
      <c r="F985" t="inlineStr">
        <is>
          <t>Поступление</t>
        </is>
      </c>
      <c r="H985">
        <f>VLOOKUP(C985,Магазин!$A$2:$C$1000,2,0)</f>
        <v/>
      </c>
      <c r="I985">
        <f>VLOOKUP(D985,Товар!$A$2:$F$1000,3,0)</f>
        <v/>
      </c>
      <c r="J985">
        <f>VLOOKUP(D985,Товар!$A$2:$F$1000,5,0)</f>
        <v/>
      </c>
      <c r="K985">
        <f>IF(AND(H985="Промышленный",LEFT(I985,18)="Порошок стиральный",F985="Продажа",B985=DATE(2023,6,7)),E985*J985/1000,0)</f>
        <v/>
      </c>
    </row>
    <row r="986">
      <c r="A986" t="n">
        <v>985</v>
      </c>
      <c r="B986" s="1" t="n">
        <v>45079</v>
      </c>
      <c r="C986" s="5" t="inlineStr">
        <is>
          <t>M8</t>
        </is>
      </c>
      <c r="D986" s="5" t="n">
        <v>25</v>
      </c>
      <c r="E986" s="5" t="n">
        <v>300</v>
      </c>
      <c r="F986" t="inlineStr">
        <is>
          <t>Поступление</t>
        </is>
      </c>
      <c r="H986">
        <f>VLOOKUP(C986,Магазин!$A$2:$C$1000,2,0)</f>
        <v/>
      </c>
      <c r="I986">
        <f>VLOOKUP(D986,Товар!$A$2:$F$1000,3,0)</f>
        <v/>
      </c>
      <c r="J986">
        <f>VLOOKUP(D986,Товар!$A$2:$F$1000,5,0)</f>
        <v/>
      </c>
      <c r="K986">
        <f>IF(AND(H986="Промышленный",LEFT(I986,18)="Порошок стиральный",F986="Продажа",B986=DATE(2023,6,7)),E986*J986/1000,0)</f>
        <v/>
      </c>
    </row>
    <row r="987">
      <c r="A987" t="n">
        <v>986</v>
      </c>
      <c r="B987" s="1" t="n">
        <v>45079</v>
      </c>
      <c r="C987" s="5" t="inlineStr">
        <is>
          <t>M8</t>
        </is>
      </c>
      <c r="D987" s="5" t="n">
        <v>26</v>
      </c>
      <c r="E987" s="5" t="n">
        <v>300</v>
      </c>
      <c r="F987" t="inlineStr">
        <is>
          <t>Поступление</t>
        </is>
      </c>
      <c r="H987">
        <f>VLOOKUP(C987,Магазин!$A$2:$C$1000,2,0)</f>
        <v/>
      </c>
      <c r="I987">
        <f>VLOOKUP(D987,Товар!$A$2:$F$1000,3,0)</f>
        <v/>
      </c>
      <c r="J987">
        <f>VLOOKUP(D987,Товар!$A$2:$F$1000,5,0)</f>
        <v/>
      </c>
      <c r="K987">
        <f>IF(AND(H987="Промышленный",LEFT(I987,18)="Порошок стиральный",F987="Продажа",B987=DATE(2023,6,7)),E987*J987/1000,0)</f>
        <v/>
      </c>
    </row>
    <row r="988">
      <c r="A988" t="n">
        <v>987</v>
      </c>
      <c r="B988" s="1" t="n">
        <v>45079</v>
      </c>
      <c r="C988" s="5" t="inlineStr">
        <is>
          <t>M8</t>
        </is>
      </c>
      <c r="D988" s="5" t="n">
        <v>27</v>
      </c>
      <c r="E988" s="5" t="n">
        <v>300</v>
      </c>
      <c r="F988" t="inlineStr">
        <is>
          <t>Поступление</t>
        </is>
      </c>
      <c r="H988">
        <f>VLOOKUP(C988,Магазин!$A$2:$C$1000,2,0)</f>
        <v/>
      </c>
      <c r="I988">
        <f>VLOOKUP(D988,Товар!$A$2:$F$1000,3,0)</f>
        <v/>
      </c>
      <c r="J988">
        <f>VLOOKUP(D988,Товар!$A$2:$F$1000,5,0)</f>
        <v/>
      </c>
      <c r="K988">
        <f>IF(AND(H988="Промышленный",LEFT(I988,18)="Порошок стиральный",F988="Продажа",B988=DATE(2023,6,7)),E988*J988/1000,0)</f>
        <v/>
      </c>
    </row>
    <row r="989">
      <c r="A989" t="n">
        <v>988</v>
      </c>
      <c r="B989" s="1" t="n">
        <v>45079</v>
      </c>
      <c r="C989" s="5" t="inlineStr">
        <is>
          <t>M8</t>
        </is>
      </c>
      <c r="D989" s="5" t="n">
        <v>28</v>
      </c>
      <c r="E989" s="5" t="n">
        <v>300</v>
      </c>
      <c r="F989" t="inlineStr">
        <is>
          <t>Поступление</t>
        </is>
      </c>
      <c r="H989">
        <f>VLOOKUP(C989,Магазин!$A$2:$C$1000,2,0)</f>
        <v/>
      </c>
      <c r="I989">
        <f>VLOOKUP(D989,Товар!$A$2:$F$1000,3,0)</f>
        <v/>
      </c>
      <c r="J989">
        <f>VLOOKUP(D989,Товар!$A$2:$F$1000,5,0)</f>
        <v/>
      </c>
      <c r="K989">
        <f>IF(AND(H989="Промышленный",LEFT(I989,18)="Порошок стиральный",F989="Продажа",B989=DATE(2023,6,7)),E989*J989/1000,0)</f>
        <v/>
      </c>
    </row>
    <row r="990">
      <c r="A990" t="n">
        <v>989</v>
      </c>
      <c r="B990" s="1" t="n">
        <v>45079</v>
      </c>
      <c r="C990" s="5" t="inlineStr">
        <is>
          <t>M8</t>
        </is>
      </c>
      <c r="D990" s="5" t="n">
        <v>29</v>
      </c>
      <c r="E990" s="5" t="n">
        <v>300</v>
      </c>
      <c r="F990" t="inlineStr">
        <is>
          <t>Поступление</t>
        </is>
      </c>
      <c r="H990">
        <f>VLOOKUP(C990,Магазин!$A$2:$C$1000,2,0)</f>
        <v/>
      </c>
      <c r="I990">
        <f>VLOOKUP(D990,Товар!$A$2:$F$1000,3,0)</f>
        <v/>
      </c>
      <c r="J990">
        <f>VLOOKUP(D990,Товар!$A$2:$F$1000,5,0)</f>
        <v/>
      </c>
      <c r="K990">
        <f>IF(AND(H990="Промышленный",LEFT(I990,18)="Порошок стиральный",F990="Продажа",B990=DATE(2023,6,7)),E990*J990/1000,0)</f>
        <v/>
      </c>
    </row>
    <row r="991">
      <c r="A991" t="n">
        <v>990</v>
      </c>
      <c r="B991" s="1" t="n">
        <v>45079</v>
      </c>
      <c r="C991" s="5" t="inlineStr">
        <is>
          <t>M8</t>
        </is>
      </c>
      <c r="D991" s="5" t="n">
        <v>30</v>
      </c>
      <c r="E991" s="5" t="n">
        <v>300</v>
      </c>
      <c r="F991" t="inlineStr">
        <is>
          <t>Поступление</t>
        </is>
      </c>
      <c r="H991">
        <f>VLOOKUP(C991,Магазин!$A$2:$C$1000,2,0)</f>
        <v/>
      </c>
      <c r="I991">
        <f>VLOOKUP(D991,Товар!$A$2:$F$1000,3,0)</f>
        <v/>
      </c>
      <c r="J991">
        <f>VLOOKUP(D991,Товар!$A$2:$F$1000,5,0)</f>
        <v/>
      </c>
      <c r="K991">
        <f>IF(AND(H991="Промышленный",LEFT(I991,18)="Порошок стиральный",F991="Продажа",B991=DATE(2023,6,7)),E991*J991/1000,0)</f>
        <v/>
      </c>
    </row>
    <row r="992">
      <c r="A992" t="n">
        <v>991</v>
      </c>
      <c r="B992" s="1" t="n">
        <v>45079</v>
      </c>
      <c r="C992" s="5" t="inlineStr">
        <is>
          <t>M8</t>
        </is>
      </c>
      <c r="D992" s="5" t="n">
        <v>31</v>
      </c>
      <c r="E992" s="5" t="n">
        <v>300</v>
      </c>
      <c r="F992" t="inlineStr">
        <is>
          <t>Поступление</t>
        </is>
      </c>
      <c r="H992">
        <f>VLOOKUP(C992,Магазин!$A$2:$C$1000,2,0)</f>
        <v/>
      </c>
      <c r="I992">
        <f>VLOOKUP(D992,Товар!$A$2:$F$1000,3,0)</f>
        <v/>
      </c>
      <c r="J992">
        <f>VLOOKUP(D992,Товар!$A$2:$F$1000,5,0)</f>
        <v/>
      </c>
      <c r="K992">
        <f>IF(AND(H992="Промышленный",LEFT(I992,18)="Порошок стиральный",F992="Продажа",B992=DATE(2023,6,7)),E992*J992/1000,0)</f>
        <v/>
      </c>
    </row>
    <row r="993">
      <c r="A993" t="n">
        <v>992</v>
      </c>
      <c r="B993" s="1" t="n">
        <v>45079</v>
      </c>
      <c r="C993" s="5" t="inlineStr">
        <is>
          <t>M8</t>
        </is>
      </c>
      <c r="D993" s="5" t="n">
        <v>32</v>
      </c>
      <c r="E993" s="5" t="n">
        <v>300</v>
      </c>
      <c r="F993" t="inlineStr">
        <is>
          <t>Поступление</t>
        </is>
      </c>
      <c r="H993">
        <f>VLOOKUP(C993,Магазин!$A$2:$C$1000,2,0)</f>
        <v/>
      </c>
      <c r="I993">
        <f>VLOOKUP(D993,Товар!$A$2:$F$1000,3,0)</f>
        <v/>
      </c>
      <c r="J993">
        <f>VLOOKUP(D993,Товар!$A$2:$F$1000,5,0)</f>
        <v/>
      </c>
      <c r="K993">
        <f>IF(AND(H993="Промышленный",LEFT(I993,18)="Порошок стиральный",F993="Продажа",B993=DATE(2023,6,7)),E993*J993/1000,0)</f>
        <v/>
      </c>
    </row>
    <row r="994">
      <c r="A994" t="n">
        <v>993</v>
      </c>
      <c r="B994" s="1" t="n">
        <v>45079</v>
      </c>
      <c r="C994" s="5" t="inlineStr">
        <is>
          <t>M8</t>
        </is>
      </c>
      <c r="D994" s="5" t="n">
        <v>33</v>
      </c>
      <c r="E994" s="5" t="n">
        <v>300</v>
      </c>
      <c r="F994" t="inlineStr">
        <is>
          <t>Поступление</t>
        </is>
      </c>
      <c r="H994">
        <f>VLOOKUP(C994,Магазин!$A$2:$C$1000,2,0)</f>
        <v/>
      </c>
      <c r="I994">
        <f>VLOOKUP(D994,Товар!$A$2:$F$1000,3,0)</f>
        <v/>
      </c>
      <c r="J994">
        <f>VLOOKUP(D994,Товар!$A$2:$F$1000,5,0)</f>
        <v/>
      </c>
      <c r="K994">
        <f>IF(AND(H994="Промышленный",LEFT(I994,18)="Порошок стиральный",F994="Продажа",B994=DATE(2023,6,7)),E994*J994/1000,0)</f>
        <v/>
      </c>
    </row>
    <row r="995">
      <c r="A995" t="n">
        <v>994</v>
      </c>
      <c r="B995" s="1" t="n">
        <v>45079</v>
      </c>
      <c r="C995" s="5" t="inlineStr">
        <is>
          <t>M8</t>
        </is>
      </c>
      <c r="D995" s="5" t="n">
        <v>34</v>
      </c>
      <c r="E995" s="5" t="n">
        <v>300</v>
      </c>
      <c r="F995" t="inlineStr">
        <is>
          <t>Поступление</t>
        </is>
      </c>
      <c r="H995">
        <f>VLOOKUP(C995,Магазин!$A$2:$C$1000,2,0)</f>
        <v/>
      </c>
      <c r="I995">
        <f>VLOOKUP(D995,Товар!$A$2:$F$1000,3,0)</f>
        <v/>
      </c>
      <c r="J995">
        <f>VLOOKUP(D995,Товар!$A$2:$F$1000,5,0)</f>
        <v/>
      </c>
      <c r="K995">
        <f>IF(AND(H995="Промышленный",LEFT(I995,18)="Порошок стиральный",F995="Продажа",B995=DATE(2023,6,7)),E995*J995/1000,0)</f>
        <v/>
      </c>
    </row>
    <row r="996">
      <c r="A996" t="n">
        <v>995</v>
      </c>
      <c r="B996" s="1" t="n">
        <v>45079</v>
      </c>
      <c r="C996" s="5" t="inlineStr">
        <is>
          <t>M8</t>
        </is>
      </c>
      <c r="D996" s="5" t="n">
        <v>35</v>
      </c>
      <c r="E996" s="5" t="n">
        <v>300</v>
      </c>
      <c r="F996" t="inlineStr">
        <is>
          <t>Поступление</t>
        </is>
      </c>
      <c r="H996">
        <f>VLOOKUP(C996,Магазин!$A$2:$C$1000,2,0)</f>
        <v/>
      </c>
      <c r="I996">
        <f>VLOOKUP(D996,Товар!$A$2:$F$1000,3,0)</f>
        <v/>
      </c>
      <c r="J996">
        <f>VLOOKUP(D996,Товар!$A$2:$F$1000,5,0)</f>
        <v/>
      </c>
      <c r="K996">
        <f>IF(AND(H996="Промышленный",LEFT(I996,18)="Порошок стиральный",F996="Продажа",B996=DATE(2023,6,7)),E996*J996/1000,0)</f>
        <v/>
      </c>
    </row>
    <row r="997">
      <c r="A997" t="n">
        <v>996</v>
      </c>
      <c r="B997" s="1" t="n">
        <v>45079</v>
      </c>
      <c r="C997" s="5" t="inlineStr">
        <is>
          <t>M8</t>
        </is>
      </c>
      <c r="D997" s="5" t="n">
        <v>36</v>
      </c>
      <c r="E997" s="5" t="n">
        <v>300</v>
      </c>
      <c r="F997" t="inlineStr">
        <is>
          <t>Поступление</t>
        </is>
      </c>
      <c r="H997">
        <f>VLOOKUP(C997,Магазин!$A$2:$C$1000,2,0)</f>
        <v/>
      </c>
      <c r="I997">
        <f>VLOOKUP(D997,Товар!$A$2:$F$1000,3,0)</f>
        <v/>
      </c>
      <c r="J997">
        <f>VLOOKUP(D997,Товар!$A$2:$F$1000,5,0)</f>
        <v/>
      </c>
      <c r="K997">
        <f>IF(AND(H997="Промышленный",LEFT(I997,18)="Порошок стиральный",F997="Продажа",B997=DATE(2023,6,7)),E997*J997/1000,0)</f>
        <v/>
      </c>
    </row>
    <row r="998">
      <c r="A998" t="n">
        <v>997</v>
      </c>
      <c r="B998" s="1" t="n">
        <v>45079</v>
      </c>
      <c r="C998" s="5" t="inlineStr">
        <is>
          <t>M8</t>
        </is>
      </c>
      <c r="D998" s="5" t="n">
        <v>37</v>
      </c>
      <c r="E998" s="5" t="n">
        <v>400</v>
      </c>
      <c r="F998" t="inlineStr">
        <is>
          <t>Поступление</t>
        </is>
      </c>
      <c r="H998">
        <f>VLOOKUP(C998,Магазин!$A$2:$C$1000,2,0)</f>
        <v/>
      </c>
      <c r="I998">
        <f>VLOOKUP(D998,Товар!$A$2:$F$1000,3,0)</f>
        <v/>
      </c>
      <c r="J998">
        <f>VLOOKUP(D998,Товар!$A$2:$F$1000,5,0)</f>
        <v/>
      </c>
      <c r="K998">
        <f>IF(AND(H998="Промышленный",LEFT(I998,18)="Порошок стиральный",F998="Продажа",B998=DATE(2023,6,7)),E998*J998/1000,0)</f>
        <v/>
      </c>
    </row>
    <row r="999">
      <c r="A999" t="n">
        <v>998</v>
      </c>
      <c r="B999" s="1" t="n">
        <v>45079</v>
      </c>
      <c r="C999" s="5" t="inlineStr">
        <is>
          <t>M8</t>
        </is>
      </c>
      <c r="D999" s="5" t="n">
        <v>38</v>
      </c>
      <c r="E999" s="5" t="n">
        <v>400</v>
      </c>
      <c r="F999" t="inlineStr">
        <is>
          <t>Поступление</t>
        </is>
      </c>
      <c r="H999">
        <f>VLOOKUP(C999,Магазин!$A$2:$C$1000,2,0)</f>
        <v/>
      </c>
      <c r="I999">
        <f>VLOOKUP(D999,Товар!$A$2:$F$1000,3,0)</f>
        <v/>
      </c>
      <c r="J999">
        <f>VLOOKUP(D999,Товар!$A$2:$F$1000,5,0)</f>
        <v/>
      </c>
      <c r="K999">
        <f>IF(AND(H999="Промышленный",LEFT(I999,18)="Порошок стиральный",F999="Продажа",B999=DATE(2023,6,7)),E999*J999/1000,0)</f>
        <v/>
      </c>
    </row>
    <row r="1000">
      <c r="A1000" t="n">
        <v>999</v>
      </c>
      <c r="B1000" s="1" t="n">
        <v>45079</v>
      </c>
      <c r="C1000" s="5" t="inlineStr">
        <is>
          <t>M8</t>
        </is>
      </c>
      <c r="D1000" s="5" t="n">
        <v>39</v>
      </c>
      <c r="E1000" s="5" t="n">
        <v>400</v>
      </c>
      <c r="F1000" t="inlineStr">
        <is>
          <t>Поступление</t>
        </is>
      </c>
      <c r="H1000">
        <f>VLOOKUP(C1000,Магазин!$A$2:$C$1000,2,0)</f>
        <v/>
      </c>
      <c r="I1000">
        <f>VLOOKUP(D1000,Товар!$A$2:$F$1000,3,0)</f>
        <v/>
      </c>
      <c r="J1000">
        <f>VLOOKUP(D1000,Товар!$A$2:$F$1000,5,0)</f>
        <v/>
      </c>
      <c r="K1000">
        <f>IF(AND(H1000="Промышленный",LEFT(I1000,18)="Порошок стиральный",F1000="Продажа",B1000=DATE(2023,6,7)),E1000*J1000/1000,0)</f>
        <v/>
      </c>
    </row>
    <row r="1001">
      <c r="A1001" t="n">
        <v>1000</v>
      </c>
      <c r="B1001" s="1" t="n">
        <v>45079</v>
      </c>
      <c r="C1001" s="5" t="inlineStr">
        <is>
          <t>M8</t>
        </is>
      </c>
      <c r="D1001" s="5" t="n">
        <v>40</v>
      </c>
      <c r="E1001" s="5" t="n">
        <v>400</v>
      </c>
      <c r="F1001" t="inlineStr">
        <is>
          <t>Поступление</t>
        </is>
      </c>
      <c r="H1001">
        <f>VLOOKUP(C1001,Магазин!$A$2:$C$1000,2,0)</f>
        <v/>
      </c>
      <c r="I1001">
        <f>VLOOKUP(D1001,Товар!$A$2:$F$1000,3,0)</f>
        <v/>
      </c>
      <c r="J1001">
        <f>VLOOKUP(D1001,Товар!$A$2:$F$1000,5,0)</f>
        <v/>
      </c>
      <c r="K1001">
        <f>IF(AND(H1001="Промышленный",LEFT(I1001,18)="Порошок стиральный",F1001="Продажа",B1001=DATE(2023,6,7)),E1001*J1001/1000,0)</f>
        <v/>
      </c>
    </row>
    <row r="1002">
      <c r="A1002" t="n">
        <v>1001</v>
      </c>
      <c r="B1002" s="1" t="n">
        <v>45079</v>
      </c>
      <c r="C1002" s="5" t="inlineStr">
        <is>
          <t>M8</t>
        </is>
      </c>
      <c r="D1002" s="5" t="n">
        <v>41</v>
      </c>
      <c r="E1002" s="5" t="n">
        <v>400</v>
      </c>
      <c r="F1002" t="inlineStr">
        <is>
          <t>Поступление</t>
        </is>
      </c>
      <c r="H1002">
        <f>VLOOKUP(C1002,Магазин!$A$2:$C$1000,2,0)</f>
        <v/>
      </c>
      <c r="I1002">
        <f>VLOOKUP(D1002,Товар!$A$2:$F$1000,3,0)</f>
        <v/>
      </c>
      <c r="J1002">
        <f>VLOOKUP(D1002,Товар!$A$2:$F$1000,5,0)</f>
        <v/>
      </c>
      <c r="K1002">
        <f>IF(AND(H1002="Промышленный",LEFT(I1002,18)="Порошок стиральный",F1002="Продажа",B1002=DATE(2023,6,7)),E1002*J1002/1000,0)</f>
        <v/>
      </c>
    </row>
    <row r="1003">
      <c r="A1003" t="n">
        <v>1002</v>
      </c>
      <c r="B1003" s="1" t="n">
        <v>45079</v>
      </c>
      <c r="C1003" s="5" t="inlineStr">
        <is>
          <t>M8</t>
        </is>
      </c>
      <c r="D1003" s="5" t="n">
        <v>42</v>
      </c>
      <c r="E1003" s="5" t="n">
        <v>400</v>
      </c>
      <c r="F1003" t="inlineStr">
        <is>
          <t>Поступление</t>
        </is>
      </c>
      <c r="H1003">
        <f>VLOOKUP(C1003,Магазин!$A$2:$C$1000,2,0)</f>
        <v/>
      </c>
      <c r="I1003">
        <f>VLOOKUP(D1003,Товар!$A$2:$F$1000,3,0)</f>
        <v/>
      </c>
      <c r="J1003">
        <f>VLOOKUP(D1003,Товар!$A$2:$F$1000,5,0)</f>
        <v/>
      </c>
      <c r="K1003">
        <f>IF(AND(H1003="Промышленный",LEFT(I1003,18)="Порошок стиральный",F1003="Продажа",B1003=DATE(2023,6,7)),E1003*J1003/1000,0)</f>
        <v/>
      </c>
    </row>
    <row r="1004">
      <c r="A1004" t="n">
        <v>1003</v>
      </c>
      <c r="B1004" s="1" t="n">
        <v>45079</v>
      </c>
      <c r="C1004" s="5" t="inlineStr">
        <is>
          <t>M8</t>
        </is>
      </c>
      <c r="D1004" s="5" t="n">
        <v>43</v>
      </c>
      <c r="E1004" s="5" t="n">
        <v>400</v>
      </c>
      <c r="F1004" t="inlineStr">
        <is>
          <t>Поступление</t>
        </is>
      </c>
      <c r="H1004">
        <f>VLOOKUP(C1004,Магазин!$A$2:$C$1000,2,0)</f>
        <v/>
      </c>
      <c r="I1004">
        <f>VLOOKUP(D1004,Товар!$A$2:$F$1000,3,0)</f>
        <v/>
      </c>
      <c r="J1004">
        <f>VLOOKUP(D1004,Товар!$A$2:$F$1000,5,0)</f>
        <v/>
      </c>
      <c r="K1004">
        <f>IF(AND(H1004="Промышленный",LEFT(I1004,18)="Порошок стиральный",F1004="Продажа",B1004=DATE(2023,6,7)),E1004*J1004/1000,0)</f>
        <v/>
      </c>
    </row>
    <row r="1005">
      <c r="A1005" t="n">
        <v>1004</v>
      </c>
      <c r="B1005" s="1" t="n">
        <v>45079</v>
      </c>
      <c r="C1005" s="5" t="inlineStr">
        <is>
          <t>M8</t>
        </is>
      </c>
      <c r="D1005" s="5" t="n">
        <v>44</v>
      </c>
      <c r="E1005" s="5" t="n">
        <v>400</v>
      </c>
      <c r="F1005" t="inlineStr">
        <is>
          <t>Поступление</t>
        </is>
      </c>
      <c r="H1005">
        <f>VLOOKUP(C1005,Магазин!$A$2:$C$1000,2,0)</f>
        <v/>
      </c>
      <c r="I1005">
        <f>VLOOKUP(D1005,Товар!$A$2:$F$1000,3,0)</f>
        <v/>
      </c>
      <c r="J1005">
        <f>VLOOKUP(D1005,Товар!$A$2:$F$1000,5,0)</f>
        <v/>
      </c>
      <c r="K1005">
        <f>IF(AND(H1005="Промышленный",LEFT(I1005,18)="Порошок стиральный",F1005="Продажа",B1005=DATE(2023,6,7)),E1005*J1005/1000,0)</f>
        <v/>
      </c>
    </row>
    <row r="1006">
      <c r="A1006" t="n">
        <v>1005</v>
      </c>
      <c r="B1006" s="1" t="n">
        <v>45079</v>
      </c>
      <c r="C1006" s="5" t="inlineStr">
        <is>
          <t>M8</t>
        </is>
      </c>
      <c r="D1006" s="5" t="n">
        <v>45</v>
      </c>
      <c r="E1006" s="5" t="n">
        <v>400</v>
      </c>
      <c r="F1006" t="inlineStr">
        <is>
          <t>Поступление</t>
        </is>
      </c>
      <c r="H1006">
        <f>VLOOKUP(C1006,Магазин!$A$2:$C$1000,2,0)</f>
        <v/>
      </c>
      <c r="I1006">
        <f>VLOOKUP(D1006,Товар!$A$2:$F$1000,3,0)</f>
        <v/>
      </c>
      <c r="J1006">
        <f>VLOOKUP(D1006,Товар!$A$2:$F$1000,5,0)</f>
        <v/>
      </c>
      <c r="K1006">
        <f>IF(AND(H1006="Промышленный",LEFT(I1006,18)="Порошок стиральный",F1006="Продажа",B1006=DATE(2023,6,7)),E1006*J1006/1000,0)</f>
        <v/>
      </c>
    </row>
    <row r="1007">
      <c r="A1007" t="n">
        <v>1006</v>
      </c>
      <c r="B1007" s="1" t="n">
        <v>45079</v>
      </c>
      <c r="C1007" s="5" t="inlineStr">
        <is>
          <t>M8</t>
        </is>
      </c>
      <c r="D1007" s="5" t="n">
        <v>46</v>
      </c>
      <c r="E1007" s="5" t="n">
        <v>400</v>
      </c>
      <c r="F1007" t="inlineStr">
        <is>
          <t>Поступление</t>
        </is>
      </c>
      <c r="H1007">
        <f>VLOOKUP(C1007,Магазин!$A$2:$C$1000,2,0)</f>
        <v/>
      </c>
      <c r="I1007">
        <f>VLOOKUP(D1007,Товар!$A$2:$F$1000,3,0)</f>
        <v/>
      </c>
      <c r="J1007">
        <f>VLOOKUP(D1007,Товар!$A$2:$F$1000,5,0)</f>
        <v/>
      </c>
      <c r="K1007">
        <f>IF(AND(H1007="Промышленный",LEFT(I1007,18)="Порошок стиральный",F1007="Продажа",B1007=DATE(2023,6,7)),E1007*J1007/1000,0)</f>
        <v/>
      </c>
    </row>
    <row r="1008">
      <c r="A1008" t="n">
        <v>1007</v>
      </c>
      <c r="B1008" s="1" t="n">
        <v>45079</v>
      </c>
      <c r="C1008" s="5" t="inlineStr">
        <is>
          <t>M8</t>
        </is>
      </c>
      <c r="D1008" s="5" t="n">
        <v>47</v>
      </c>
      <c r="E1008" s="5" t="n">
        <v>400</v>
      </c>
      <c r="F1008" t="inlineStr">
        <is>
          <t>Поступление</t>
        </is>
      </c>
      <c r="H1008">
        <f>VLOOKUP(C1008,Магазин!$A$2:$C$1000,2,0)</f>
        <v/>
      </c>
      <c r="I1008">
        <f>VLOOKUP(D1008,Товар!$A$2:$F$1000,3,0)</f>
        <v/>
      </c>
      <c r="J1008">
        <f>VLOOKUP(D1008,Товар!$A$2:$F$1000,5,0)</f>
        <v/>
      </c>
      <c r="K1008">
        <f>IF(AND(H1008="Промышленный",LEFT(I1008,18)="Порошок стиральный",F1008="Продажа",B1008=DATE(2023,6,7)),E1008*J1008/1000,0)</f>
        <v/>
      </c>
    </row>
    <row r="1009">
      <c r="A1009" t="n">
        <v>1008</v>
      </c>
      <c r="B1009" s="1" t="n">
        <v>45079</v>
      </c>
      <c r="C1009" s="5" t="inlineStr">
        <is>
          <t>M8</t>
        </is>
      </c>
      <c r="D1009" s="5" t="n">
        <v>48</v>
      </c>
      <c r="E1009" s="5" t="n">
        <v>400</v>
      </c>
      <c r="F1009" t="inlineStr">
        <is>
          <t>Поступление</t>
        </is>
      </c>
      <c r="H1009">
        <f>VLOOKUP(C1009,Магазин!$A$2:$C$1000,2,0)</f>
        <v/>
      </c>
      <c r="I1009">
        <f>VLOOKUP(D1009,Товар!$A$2:$F$1000,3,0)</f>
        <v/>
      </c>
      <c r="J1009">
        <f>VLOOKUP(D1009,Товар!$A$2:$F$1000,5,0)</f>
        <v/>
      </c>
      <c r="K1009">
        <f>IF(AND(H1009="Промышленный",LEFT(I1009,18)="Порошок стиральный",F1009="Продажа",B1009=DATE(2023,6,7)),E1009*J1009/1000,0)</f>
        <v/>
      </c>
    </row>
    <row r="1010">
      <c r="A1010" t="n">
        <v>1009</v>
      </c>
      <c r="B1010" s="1" t="n">
        <v>45079</v>
      </c>
      <c r="C1010" s="5" t="inlineStr">
        <is>
          <t>M8</t>
        </is>
      </c>
      <c r="D1010" s="5" t="n">
        <v>49</v>
      </c>
      <c r="E1010" s="5" t="n">
        <v>400</v>
      </c>
      <c r="F1010" t="inlineStr">
        <is>
          <t>Поступление</t>
        </is>
      </c>
      <c r="H1010">
        <f>VLOOKUP(C1010,Магазин!$A$2:$C$1000,2,0)</f>
        <v/>
      </c>
      <c r="I1010">
        <f>VLOOKUP(D1010,Товар!$A$2:$F$1000,3,0)</f>
        <v/>
      </c>
      <c r="J1010">
        <f>VLOOKUP(D1010,Товар!$A$2:$F$1000,5,0)</f>
        <v/>
      </c>
      <c r="K1010">
        <f>IF(AND(H1010="Промышленный",LEFT(I1010,18)="Порошок стиральный",F1010="Продажа",B1010=DATE(2023,6,7)),E1010*J1010/1000,0)</f>
        <v/>
      </c>
    </row>
    <row r="1011">
      <c r="A1011" t="n">
        <v>1010</v>
      </c>
      <c r="B1011" s="1" t="n">
        <v>45079</v>
      </c>
      <c r="C1011" s="5" t="inlineStr">
        <is>
          <t>M8</t>
        </is>
      </c>
      <c r="D1011" s="5" t="n">
        <v>50</v>
      </c>
      <c r="E1011" s="5" t="n">
        <v>400</v>
      </c>
      <c r="F1011" t="inlineStr">
        <is>
          <t>Поступление</t>
        </is>
      </c>
      <c r="H1011">
        <f>VLOOKUP(C1011,Магазин!$A$2:$C$1000,2,0)</f>
        <v/>
      </c>
      <c r="I1011">
        <f>VLOOKUP(D1011,Товар!$A$2:$F$1000,3,0)</f>
        <v/>
      </c>
      <c r="J1011">
        <f>VLOOKUP(D1011,Товар!$A$2:$F$1000,5,0)</f>
        <v/>
      </c>
      <c r="K1011">
        <f>IF(AND(H1011="Промышленный",LEFT(I1011,18)="Порошок стиральный",F1011="Продажа",B1011=DATE(2023,6,7)),E1011*J1011/1000,0)</f>
        <v/>
      </c>
    </row>
    <row r="1012">
      <c r="A1012" t="n">
        <v>1011</v>
      </c>
      <c r="B1012" s="1" t="n">
        <v>45079</v>
      </c>
      <c r="C1012" s="5" t="inlineStr">
        <is>
          <t>M8</t>
        </is>
      </c>
      <c r="D1012" s="5" t="n">
        <v>51</v>
      </c>
      <c r="E1012" s="5" t="n">
        <v>400</v>
      </c>
      <c r="F1012" t="inlineStr">
        <is>
          <t>Поступление</t>
        </is>
      </c>
      <c r="H1012">
        <f>VLOOKUP(C1012,Магазин!$A$2:$C$1000,2,0)</f>
        <v/>
      </c>
      <c r="I1012">
        <f>VLOOKUP(D1012,Товар!$A$2:$F$1000,3,0)</f>
        <v/>
      </c>
      <c r="J1012">
        <f>VLOOKUP(D1012,Товар!$A$2:$F$1000,5,0)</f>
        <v/>
      </c>
      <c r="K1012">
        <f>IF(AND(H1012="Промышленный",LEFT(I1012,18)="Порошок стиральный",F1012="Продажа",B1012=DATE(2023,6,7)),E1012*J1012/1000,0)</f>
        <v/>
      </c>
    </row>
    <row r="1013">
      <c r="A1013" t="n">
        <v>1012</v>
      </c>
      <c r="B1013" s="1" t="n">
        <v>45079</v>
      </c>
      <c r="C1013" s="5" t="inlineStr">
        <is>
          <t>M8</t>
        </is>
      </c>
      <c r="D1013" s="5" t="n">
        <v>52</v>
      </c>
      <c r="E1013" s="5" t="n">
        <v>400</v>
      </c>
      <c r="F1013" t="inlineStr">
        <is>
          <t>Поступление</t>
        </is>
      </c>
      <c r="H1013">
        <f>VLOOKUP(C1013,Магазин!$A$2:$C$1000,2,0)</f>
        <v/>
      </c>
      <c r="I1013">
        <f>VLOOKUP(D1013,Товар!$A$2:$F$1000,3,0)</f>
        <v/>
      </c>
      <c r="J1013">
        <f>VLOOKUP(D1013,Товар!$A$2:$F$1000,5,0)</f>
        <v/>
      </c>
      <c r="K1013">
        <f>IF(AND(H1013="Промышленный",LEFT(I1013,18)="Порошок стиральный",F1013="Продажа",B1013=DATE(2023,6,7)),E1013*J1013/1000,0)</f>
        <v/>
      </c>
    </row>
    <row r="1014">
      <c r="A1014" t="n">
        <v>1013</v>
      </c>
      <c r="B1014" s="1" t="n">
        <v>45079</v>
      </c>
      <c r="C1014" s="5" t="inlineStr">
        <is>
          <t>M8</t>
        </is>
      </c>
      <c r="D1014" s="5" t="n">
        <v>53</v>
      </c>
      <c r="E1014" s="5" t="n">
        <v>400</v>
      </c>
      <c r="F1014" t="inlineStr">
        <is>
          <t>Поступление</t>
        </is>
      </c>
      <c r="H1014">
        <f>VLOOKUP(C1014,Магазин!$A$2:$C$1000,2,0)</f>
        <v/>
      </c>
      <c r="I1014">
        <f>VLOOKUP(D1014,Товар!$A$2:$F$1000,3,0)</f>
        <v/>
      </c>
      <c r="J1014">
        <f>VLOOKUP(D1014,Товар!$A$2:$F$1000,5,0)</f>
        <v/>
      </c>
      <c r="K1014">
        <f>IF(AND(H1014="Промышленный",LEFT(I1014,18)="Порошок стиральный",F1014="Продажа",B1014=DATE(2023,6,7)),E1014*J1014/1000,0)</f>
        <v/>
      </c>
    </row>
    <row r="1015">
      <c r="A1015" t="n">
        <v>1014</v>
      </c>
      <c r="B1015" s="1" t="n">
        <v>45079</v>
      </c>
      <c r="C1015" s="5" t="inlineStr">
        <is>
          <t>M8</t>
        </is>
      </c>
      <c r="D1015" s="5" t="n">
        <v>54</v>
      </c>
      <c r="E1015" s="5" t="n">
        <v>400</v>
      </c>
      <c r="F1015" t="inlineStr">
        <is>
          <t>Поступление</t>
        </is>
      </c>
      <c r="H1015">
        <f>VLOOKUP(C1015,Магазин!$A$2:$C$1000,2,0)</f>
        <v/>
      </c>
      <c r="I1015">
        <f>VLOOKUP(D1015,Товар!$A$2:$F$1000,3,0)</f>
        <v/>
      </c>
      <c r="J1015">
        <f>VLOOKUP(D1015,Товар!$A$2:$F$1000,5,0)</f>
        <v/>
      </c>
      <c r="K1015">
        <f>IF(AND(H1015="Промышленный",LEFT(I1015,18)="Порошок стиральный",F1015="Продажа",B1015=DATE(2023,6,7)),E1015*J1015/1000,0)</f>
        <v/>
      </c>
    </row>
    <row r="1016">
      <c r="A1016" t="n">
        <v>1015</v>
      </c>
      <c r="B1016" s="1" t="n">
        <v>45079</v>
      </c>
      <c r="C1016" s="5" t="inlineStr">
        <is>
          <t>M8</t>
        </is>
      </c>
      <c r="D1016" s="5" t="n">
        <v>55</v>
      </c>
      <c r="E1016" s="5" t="n">
        <v>400</v>
      </c>
      <c r="F1016" t="inlineStr">
        <is>
          <t>Поступление</t>
        </is>
      </c>
      <c r="H1016">
        <f>VLOOKUP(C1016,Магазин!$A$2:$C$1000,2,0)</f>
        <v/>
      </c>
      <c r="I1016">
        <f>VLOOKUP(D1016,Товар!$A$2:$F$1000,3,0)</f>
        <v/>
      </c>
      <c r="J1016">
        <f>VLOOKUP(D1016,Товар!$A$2:$F$1000,5,0)</f>
        <v/>
      </c>
      <c r="K1016">
        <f>IF(AND(H1016="Промышленный",LEFT(I1016,18)="Порошок стиральный",F1016="Продажа",B1016=DATE(2023,6,7)),E1016*J1016/1000,0)</f>
        <v/>
      </c>
    </row>
    <row r="1017">
      <c r="A1017" t="n">
        <v>1016</v>
      </c>
      <c r="B1017" s="1" t="n">
        <v>45079</v>
      </c>
      <c r="C1017" s="5" t="inlineStr">
        <is>
          <t>M8</t>
        </is>
      </c>
      <c r="D1017" s="5" t="n">
        <v>56</v>
      </c>
      <c r="E1017" s="5" t="n">
        <v>400</v>
      </c>
      <c r="F1017" t="inlineStr">
        <is>
          <t>Поступление</t>
        </is>
      </c>
      <c r="H1017">
        <f>VLOOKUP(C1017,Магазин!$A$2:$C$1000,2,0)</f>
        <v/>
      </c>
      <c r="I1017">
        <f>VLOOKUP(D1017,Товар!$A$2:$F$1000,3,0)</f>
        <v/>
      </c>
      <c r="J1017">
        <f>VLOOKUP(D1017,Товар!$A$2:$F$1000,5,0)</f>
        <v/>
      </c>
      <c r="K1017">
        <f>IF(AND(H1017="Промышленный",LEFT(I1017,18)="Порошок стиральный",F1017="Продажа",B1017=DATE(2023,6,7)),E1017*J1017/1000,0)</f>
        <v/>
      </c>
    </row>
    <row r="1018">
      <c r="A1018" t="n">
        <v>1017</v>
      </c>
      <c r="B1018" s="1" t="n">
        <v>45079</v>
      </c>
      <c r="C1018" s="5" t="inlineStr">
        <is>
          <t>M8</t>
        </is>
      </c>
      <c r="D1018" s="5" t="n">
        <v>57</v>
      </c>
      <c r="E1018" s="5" t="n">
        <v>400</v>
      </c>
      <c r="F1018" t="inlineStr">
        <is>
          <t>Поступление</t>
        </is>
      </c>
      <c r="H1018">
        <f>VLOOKUP(C1018,Магазин!$A$2:$C$1000,2,0)</f>
        <v/>
      </c>
      <c r="I1018">
        <f>VLOOKUP(D1018,Товар!$A$2:$F$1000,3,0)</f>
        <v/>
      </c>
      <c r="J1018">
        <f>VLOOKUP(D1018,Товар!$A$2:$F$1000,5,0)</f>
        <v/>
      </c>
      <c r="K1018">
        <f>IF(AND(H1018="Промышленный",LEFT(I1018,18)="Порошок стиральный",F1018="Продажа",B1018=DATE(2023,6,7)),E1018*J1018/1000,0)</f>
        <v/>
      </c>
    </row>
    <row r="1019">
      <c r="A1019" t="n">
        <v>1018</v>
      </c>
      <c r="B1019" s="1" t="n">
        <v>45079</v>
      </c>
      <c r="C1019" s="5" t="inlineStr">
        <is>
          <t>M8</t>
        </is>
      </c>
      <c r="D1019" s="5" t="n">
        <v>58</v>
      </c>
      <c r="E1019" s="5" t="n">
        <v>400</v>
      </c>
      <c r="F1019" t="inlineStr">
        <is>
          <t>Поступление</t>
        </is>
      </c>
      <c r="H1019">
        <f>VLOOKUP(C1019,Магазин!$A$2:$C$1000,2,0)</f>
        <v/>
      </c>
      <c r="I1019">
        <f>VLOOKUP(D1019,Товар!$A$2:$F$1000,3,0)</f>
        <v/>
      </c>
      <c r="J1019">
        <f>VLOOKUP(D1019,Товар!$A$2:$F$1000,5,0)</f>
        <v/>
      </c>
      <c r="K1019">
        <f>IF(AND(H1019="Промышленный",LEFT(I1019,18)="Порошок стиральный",F1019="Продажа",B1019=DATE(2023,6,7)),E1019*J1019/1000,0)</f>
        <v/>
      </c>
    </row>
    <row r="1020">
      <c r="A1020" t="n">
        <v>1019</v>
      </c>
      <c r="B1020" s="1" t="n">
        <v>45079</v>
      </c>
      <c r="C1020" s="5" t="inlineStr">
        <is>
          <t>M8</t>
        </is>
      </c>
      <c r="D1020" s="5" t="n">
        <v>59</v>
      </c>
      <c r="E1020" s="5" t="n">
        <v>400</v>
      </c>
      <c r="F1020" t="inlineStr">
        <is>
          <t>Поступление</t>
        </is>
      </c>
      <c r="H1020">
        <f>VLOOKUP(C1020,Магазин!$A$2:$C$1000,2,0)</f>
        <v/>
      </c>
      <c r="I1020">
        <f>VLOOKUP(D1020,Товар!$A$2:$F$1000,3,0)</f>
        <v/>
      </c>
      <c r="J1020">
        <f>VLOOKUP(D1020,Товар!$A$2:$F$1000,5,0)</f>
        <v/>
      </c>
      <c r="K1020">
        <f>IF(AND(H1020="Промышленный",LEFT(I1020,18)="Порошок стиральный",F1020="Продажа",B1020=DATE(2023,6,7)),E1020*J1020/1000,0)</f>
        <v/>
      </c>
    </row>
    <row r="1021">
      <c r="A1021" t="n">
        <v>1020</v>
      </c>
      <c r="B1021" s="1" t="n">
        <v>45079</v>
      </c>
      <c r="C1021" s="5" t="inlineStr">
        <is>
          <t>M8</t>
        </is>
      </c>
      <c r="D1021" s="5" t="n">
        <v>60</v>
      </c>
      <c r="E1021" s="5" t="n">
        <v>400</v>
      </c>
      <c r="F1021" t="inlineStr">
        <is>
          <t>Поступление</t>
        </is>
      </c>
      <c r="H1021">
        <f>VLOOKUP(C1021,Магазин!$A$2:$C$1000,2,0)</f>
        <v/>
      </c>
      <c r="I1021">
        <f>VLOOKUP(D1021,Товар!$A$2:$F$1000,3,0)</f>
        <v/>
      </c>
      <c r="J1021">
        <f>VLOOKUP(D1021,Товар!$A$2:$F$1000,5,0)</f>
        <v/>
      </c>
      <c r="K1021">
        <f>IF(AND(H1021="Промышленный",LEFT(I1021,18)="Порошок стиральный",F1021="Продажа",B1021=DATE(2023,6,7)),E1021*J1021/1000,0)</f>
        <v/>
      </c>
    </row>
    <row r="1022">
      <c r="A1022" t="n">
        <v>1021</v>
      </c>
      <c r="B1022" s="1" t="n">
        <v>45079</v>
      </c>
      <c r="C1022" s="5" t="inlineStr">
        <is>
          <t>M9</t>
        </is>
      </c>
      <c r="D1022" s="5" t="n">
        <v>1</v>
      </c>
      <c r="E1022" s="5" t="n">
        <v>100</v>
      </c>
      <c r="F1022" t="inlineStr">
        <is>
          <t>Поступление</t>
        </is>
      </c>
      <c r="H1022">
        <f>VLOOKUP(C1022,Магазин!$A$2:$C$1000,2,0)</f>
        <v/>
      </c>
      <c r="I1022">
        <f>VLOOKUP(D1022,Товар!$A$2:$F$1000,3,0)</f>
        <v/>
      </c>
      <c r="J1022">
        <f>VLOOKUP(D1022,Товар!$A$2:$F$1000,5,0)</f>
        <v/>
      </c>
      <c r="K1022">
        <f>IF(AND(H1022="Промышленный",LEFT(I1022,18)="Порошок стиральный",F1022="Продажа",B1022=DATE(2023,6,7)),E1022*J1022/1000,0)</f>
        <v/>
      </c>
    </row>
    <row r="1023">
      <c r="A1023" t="n">
        <v>1022</v>
      </c>
      <c r="B1023" s="1" t="n">
        <v>45079</v>
      </c>
      <c r="C1023" s="5" t="inlineStr">
        <is>
          <t>M9</t>
        </is>
      </c>
      <c r="D1023" s="5" t="n">
        <v>2</v>
      </c>
      <c r="E1023" s="5" t="n">
        <v>100</v>
      </c>
      <c r="F1023" t="inlineStr">
        <is>
          <t>Поступление</t>
        </is>
      </c>
      <c r="H1023">
        <f>VLOOKUP(C1023,Магазин!$A$2:$C$1000,2,0)</f>
        <v/>
      </c>
      <c r="I1023">
        <f>VLOOKUP(D1023,Товар!$A$2:$F$1000,3,0)</f>
        <v/>
      </c>
      <c r="J1023">
        <f>VLOOKUP(D1023,Товар!$A$2:$F$1000,5,0)</f>
        <v/>
      </c>
      <c r="K1023">
        <f>IF(AND(H1023="Промышленный",LEFT(I1023,18)="Порошок стиральный",F1023="Продажа",B1023=DATE(2023,6,7)),E1023*J1023/1000,0)</f>
        <v/>
      </c>
    </row>
    <row r="1024">
      <c r="A1024" t="n">
        <v>1023</v>
      </c>
      <c r="B1024" s="1" t="n">
        <v>45079</v>
      </c>
      <c r="C1024" s="5" t="inlineStr">
        <is>
          <t>M9</t>
        </is>
      </c>
      <c r="D1024" s="5" t="n">
        <v>3</v>
      </c>
      <c r="E1024" s="5" t="n">
        <v>100</v>
      </c>
      <c r="F1024" t="inlineStr">
        <is>
          <t>Поступление</t>
        </is>
      </c>
      <c r="H1024">
        <f>VLOOKUP(C1024,Магазин!$A$2:$C$1000,2,0)</f>
        <v/>
      </c>
      <c r="I1024">
        <f>VLOOKUP(D1024,Товар!$A$2:$F$1000,3,0)</f>
        <v/>
      </c>
      <c r="J1024">
        <f>VLOOKUP(D1024,Товар!$A$2:$F$1000,5,0)</f>
        <v/>
      </c>
      <c r="K1024">
        <f>IF(AND(H1024="Промышленный",LEFT(I1024,18)="Порошок стиральный",F1024="Продажа",B1024=DATE(2023,6,7)),E1024*J1024/1000,0)</f>
        <v/>
      </c>
    </row>
    <row r="1025">
      <c r="A1025" t="n">
        <v>1024</v>
      </c>
      <c r="B1025" s="1" t="n">
        <v>45079</v>
      </c>
      <c r="C1025" s="5" t="inlineStr">
        <is>
          <t>M9</t>
        </is>
      </c>
      <c r="D1025" s="5" t="n">
        <v>4</v>
      </c>
      <c r="E1025" s="5" t="n">
        <v>100</v>
      </c>
      <c r="F1025" t="inlineStr">
        <is>
          <t>Поступление</t>
        </is>
      </c>
      <c r="H1025">
        <f>VLOOKUP(C1025,Магазин!$A$2:$C$1000,2,0)</f>
        <v/>
      </c>
      <c r="I1025">
        <f>VLOOKUP(D1025,Товар!$A$2:$F$1000,3,0)</f>
        <v/>
      </c>
      <c r="J1025">
        <f>VLOOKUP(D1025,Товар!$A$2:$F$1000,5,0)</f>
        <v/>
      </c>
      <c r="K1025">
        <f>IF(AND(H1025="Промышленный",LEFT(I1025,18)="Порошок стиральный",F1025="Продажа",B1025=DATE(2023,6,7)),E1025*J1025/1000,0)</f>
        <v/>
      </c>
    </row>
    <row r="1026">
      <c r="A1026" t="n">
        <v>1025</v>
      </c>
      <c r="B1026" s="1" t="n">
        <v>45079</v>
      </c>
      <c r="C1026" s="5" t="inlineStr">
        <is>
          <t>M9</t>
        </is>
      </c>
      <c r="D1026" s="5" t="n">
        <v>5</v>
      </c>
      <c r="E1026" s="5" t="n">
        <v>100</v>
      </c>
      <c r="F1026" t="inlineStr">
        <is>
          <t>Поступление</t>
        </is>
      </c>
      <c r="H1026">
        <f>VLOOKUP(C1026,Магазин!$A$2:$C$1000,2,0)</f>
        <v/>
      </c>
      <c r="I1026">
        <f>VLOOKUP(D1026,Товар!$A$2:$F$1000,3,0)</f>
        <v/>
      </c>
      <c r="J1026">
        <f>VLOOKUP(D1026,Товар!$A$2:$F$1000,5,0)</f>
        <v/>
      </c>
      <c r="K1026">
        <f>IF(AND(H1026="Промышленный",LEFT(I1026,18)="Порошок стиральный",F1026="Продажа",B1026=DATE(2023,6,7)),E1026*J1026/1000,0)</f>
        <v/>
      </c>
    </row>
    <row r="1027">
      <c r="A1027" t="n">
        <v>1026</v>
      </c>
      <c r="B1027" s="1" t="n">
        <v>45079</v>
      </c>
      <c r="C1027" s="5" t="inlineStr">
        <is>
          <t>M9</t>
        </is>
      </c>
      <c r="D1027" s="5" t="n">
        <v>6</v>
      </c>
      <c r="E1027" s="5" t="n">
        <v>100</v>
      </c>
      <c r="F1027" t="inlineStr">
        <is>
          <t>Поступление</t>
        </is>
      </c>
      <c r="H1027">
        <f>VLOOKUP(C1027,Магазин!$A$2:$C$1000,2,0)</f>
        <v/>
      </c>
      <c r="I1027">
        <f>VLOOKUP(D1027,Товар!$A$2:$F$1000,3,0)</f>
        <v/>
      </c>
      <c r="J1027">
        <f>VLOOKUP(D1027,Товар!$A$2:$F$1000,5,0)</f>
        <v/>
      </c>
      <c r="K1027">
        <f>IF(AND(H1027="Промышленный",LEFT(I1027,18)="Порошок стиральный",F1027="Продажа",B1027=DATE(2023,6,7)),E1027*J1027/1000,0)</f>
        <v/>
      </c>
    </row>
    <row r="1028">
      <c r="A1028" t="n">
        <v>1027</v>
      </c>
      <c r="B1028" s="1" t="n">
        <v>45079</v>
      </c>
      <c r="C1028" s="5" t="inlineStr">
        <is>
          <t>M9</t>
        </is>
      </c>
      <c r="D1028" s="5" t="n">
        <v>7</v>
      </c>
      <c r="E1028" s="5" t="n">
        <v>100</v>
      </c>
      <c r="F1028" t="inlineStr">
        <is>
          <t>Поступление</t>
        </is>
      </c>
      <c r="H1028">
        <f>VLOOKUP(C1028,Магазин!$A$2:$C$1000,2,0)</f>
        <v/>
      </c>
      <c r="I1028">
        <f>VLOOKUP(D1028,Товар!$A$2:$F$1000,3,0)</f>
        <v/>
      </c>
      <c r="J1028">
        <f>VLOOKUP(D1028,Товар!$A$2:$F$1000,5,0)</f>
        <v/>
      </c>
      <c r="K1028">
        <f>IF(AND(H1028="Промышленный",LEFT(I1028,18)="Порошок стиральный",F1028="Продажа",B1028=DATE(2023,6,7)),E1028*J1028/1000,0)</f>
        <v/>
      </c>
    </row>
    <row r="1029">
      <c r="A1029" t="n">
        <v>1028</v>
      </c>
      <c r="B1029" s="1" t="n">
        <v>45079</v>
      </c>
      <c r="C1029" s="5" t="inlineStr">
        <is>
          <t>M9</t>
        </is>
      </c>
      <c r="D1029" s="5" t="n">
        <v>8</v>
      </c>
      <c r="E1029" s="5" t="n">
        <v>100</v>
      </c>
      <c r="F1029" t="inlineStr">
        <is>
          <t>Поступление</t>
        </is>
      </c>
      <c r="H1029">
        <f>VLOOKUP(C1029,Магазин!$A$2:$C$1000,2,0)</f>
        <v/>
      </c>
      <c r="I1029">
        <f>VLOOKUP(D1029,Товар!$A$2:$F$1000,3,0)</f>
        <v/>
      </c>
      <c r="J1029">
        <f>VLOOKUP(D1029,Товар!$A$2:$F$1000,5,0)</f>
        <v/>
      </c>
      <c r="K1029">
        <f>IF(AND(H1029="Промышленный",LEFT(I1029,18)="Порошок стиральный",F1029="Продажа",B1029=DATE(2023,6,7)),E1029*J1029/1000,0)</f>
        <v/>
      </c>
    </row>
    <row r="1030">
      <c r="A1030" t="n">
        <v>1029</v>
      </c>
      <c r="B1030" s="1" t="n">
        <v>45079</v>
      </c>
      <c r="C1030" s="5" t="inlineStr">
        <is>
          <t>M9</t>
        </is>
      </c>
      <c r="D1030" s="5" t="n">
        <v>9</v>
      </c>
      <c r="E1030" s="5" t="n">
        <v>100</v>
      </c>
      <c r="F1030" t="inlineStr">
        <is>
          <t>Поступление</t>
        </is>
      </c>
      <c r="H1030">
        <f>VLOOKUP(C1030,Магазин!$A$2:$C$1000,2,0)</f>
        <v/>
      </c>
      <c r="I1030">
        <f>VLOOKUP(D1030,Товар!$A$2:$F$1000,3,0)</f>
        <v/>
      </c>
      <c r="J1030">
        <f>VLOOKUP(D1030,Товар!$A$2:$F$1000,5,0)</f>
        <v/>
      </c>
      <c r="K1030">
        <f>IF(AND(H1030="Промышленный",LEFT(I1030,18)="Порошок стиральный",F1030="Продажа",B1030=DATE(2023,6,7)),E1030*J1030/1000,0)</f>
        <v/>
      </c>
    </row>
    <row r="1031">
      <c r="A1031" t="n">
        <v>1030</v>
      </c>
      <c r="B1031" s="1" t="n">
        <v>45079</v>
      </c>
      <c r="C1031" s="5" t="inlineStr">
        <is>
          <t>M9</t>
        </is>
      </c>
      <c r="D1031" s="5" t="n">
        <v>10</v>
      </c>
      <c r="E1031" s="5" t="n">
        <v>100</v>
      </c>
      <c r="F1031" t="inlineStr">
        <is>
          <t>Поступление</t>
        </is>
      </c>
      <c r="H1031">
        <f>VLOOKUP(C1031,Магазин!$A$2:$C$1000,2,0)</f>
        <v/>
      </c>
      <c r="I1031">
        <f>VLOOKUP(D1031,Товар!$A$2:$F$1000,3,0)</f>
        <v/>
      </c>
      <c r="J1031">
        <f>VLOOKUP(D1031,Товар!$A$2:$F$1000,5,0)</f>
        <v/>
      </c>
      <c r="K1031">
        <f>IF(AND(H1031="Промышленный",LEFT(I1031,18)="Порошок стиральный",F1031="Продажа",B1031=DATE(2023,6,7)),E1031*J1031/1000,0)</f>
        <v/>
      </c>
    </row>
    <row r="1032">
      <c r="A1032" t="n">
        <v>1031</v>
      </c>
      <c r="B1032" s="1" t="n">
        <v>45079</v>
      </c>
      <c r="C1032" s="5" t="inlineStr">
        <is>
          <t>M9</t>
        </is>
      </c>
      <c r="D1032" s="5" t="n">
        <v>11</v>
      </c>
      <c r="E1032" s="5" t="n">
        <v>100</v>
      </c>
      <c r="F1032" t="inlineStr">
        <is>
          <t>Поступление</t>
        </is>
      </c>
      <c r="H1032">
        <f>VLOOKUP(C1032,Магазин!$A$2:$C$1000,2,0)</f>
        <v/>
      </c>
      <c r="I1032">
        <f>VLOOKUP(D1032,Товар!$A$2:$F$1000,3,0)</f>
        <v/>
      </c>
      <c r="J1032">
        <f>VLOOKUP(D1032,Товар!$A$2:$F$1000,5,0)</f>
        <v/>
      </c>
      <c r="K1032">
        <f>IF(AND(H1032="Промышленный",LEFT(I1032,18)="Порошок стиральный",F1032="Продажа",B1032=DATE(2023,6,7)),E1032*J1032/1000,0)</f>
        <v/>
      </c>
    </row>
    <row r="1033">
      <c r="A1033" t="n">
        <v>1032</v>
      </c>
      <c r="B1033" s="1" t="n">
        <v>45079</v>
      </c>
      <c r="C1033" s="5" t="inlineStr">
        <is>
          <t>M9</t>
        </is>
      </c>
      <c r="D1033" s="5" t="n">
        <v>12</v>
      </c>
      <c r="E1033" s="5" t="n">
        <v>100</v>
      </c>
      <c r="F1033" t="inlineStr">
        <is>
          <t>Поступление</t>
        </is>
      </c>
      <c r="H1033">
        <f>VLOOKUP(C1033,Магазин!$A$2:$C$1000,2,0)</f>
        <v/>
      </c>
      <c r="I1033">
        <f>VLOOKUP(D1033,Товар!$A$2:$F$1000,3,0)</f>
        <v/>
      </c>
      <c r="J1033">
        <f>VLOOKUP(D1033,Товар!$A$2:$F$1000,5,0)</f>
        <v/>
      </c>
      <c r="K1033">
        <f>IF(AND(H1033="Промышленный",LEFT(I1033,18)="Порошок стиральный",F1033="Продажа",B1033=DATE(2023,6,7)),E1033*J1033/1000,0)</f>
        <v/>
      </c>
    </row>
    <row r="1034">
      <c r="A1034" t="n">
        <v>1033</v>
      </c>
      <c r="B1034" s="1" t="n">
        <v>45079</v>
      </c>
      <c r="C1034" s="5" t="inlineStr">
        <is>
          <t>M9</t>
        </is>
      </c>
      <c r="D1034" s="5" t="n">
        <v>13</v>
      </c>
      <c r="E1034" s="5" t="n">
        <v>100</v>
      </c>
      <c r="F1034" t="inlineStr">
        <is>
          <t>Поступление</t>
        </is>
      </c>
      <c r="H1034">
        <f>VLOOKUP(C1034,Магазин!$A$2:$C$1000,2,0)</f>
        <v/>
      </c>
      <c r="I1034">
        <f>VLOOKUP(D1034,Товар!$A$2:$F$1000,3,0)</f>
        <v/>
      </c>
      <c r="J1034">
        <f>VLOOKUP(D1034,Товар!$A$2:$F$1000,5,0)</f>
        <v/>
      </c>
      <c r="K1034">
        <f>IF(AND(H1034="Промышленный",LEFT(I1034,18)="Порошок стиральный",F1034="Продажа",B1034=DATE(2023,6,7)),E1034*J1034/1000,0)</f>
        <v/>
      </c>
    </row>
    <row r="1035">
      <c r="A1035" t="n">
        <v>1034</v>
      </c>
      <c r="B1035" s="1" t="n">
        <v>45079</v>
      </c>
      <c r="C1035" s="5" t="inlineStr">
        <is>
          <t>M9</t>
        </is>
      </c>
      <c r="D1035" s="5" t="n">
        <v>14</v>
      </c>
      <c r="E1035" s="5" t="n">
        <v>100</v>
      </c>
      <c r="F1035" t="inlineStr">
        <is>
          <t>Поступление</t>
        </is>
      </c>
      <c r="H1035">
        <f>VLOOKUP(C1035,Магазин!$A$2:$C$1000,2,0)</f>
        <v/>
      </c>
      <c r="I1035">
        <f>VLOOKUP(D1035,Товар!$A$2:$F$1000,3,0)</f>
        <v/>
      </c>
      <c r="J1035">
        <f>VLOOKUP(D1035,Товар!$A$2:$F$1000,5,0)</f>
        <v/>
      </c>
      <c r="K1035">
        <f>IF(AND(H1035="Промышленный",LEFT(I1035,18)="Порошок стиральный",F1035="Продажа",B1035=DATE(2023,6,7)),E1035*J1035/1000,0)</f>
        <v/>
      </c>
    </row>
    <row r="1036">
      <c r="A1036" t="n">
        <v>1035</v>
      </c>
      <c r="B1036" s="1" t="n">
        <v>45079</v>
      </c>
      <c r="C1036" s="5" t="inlineStr">
        <is>
          <t>M9</t>
        </is>
      </c>
      <c r="D1036" s="5" t="n">
        <v>15</v>
      </c>
      <c r="E1036" s="5" t="n">
        <v>100</v>
      </c>
      <c r="F1036" t="inlineStr">
        <is>
          <t>Поступление</t>
        </is>
      </c>
      <c r="H1036">
        <f>VLOOKUP(C1036,Магазин!$A$2:$C$1000,2,0)</f>
        <v/>
      </c>
      <c r="I1036">
        <f>VLOOKUP(D1036,Товар!$A$2:$F$1000,3,0)</f>
        <v/>
      </c>
      <c r="J1036">
        <f>VLOOKUP(D1036,Товар!$A$2:$F$1000,5,0)</f>
        <v/>
      </c>
      <c r="K1036">
        <f>IF(AND(H1036="Промышленный",LEFT(I1036,18)="Порошок стиральный",F1036="Продажа",B1036=DATE(2023,6,7)),E1036*J1036/1000,0)</f>
        <v/>
      </c>
    </row>
    <row r="1037">
      <c r="A1037" t="n">
        <v>1036</v>
      </c>
      <c r="B1037" s="1" t="n">
        <v>45079</v>
      </c>
      <c r="C1037" s="5" t="inlineStr">
        <is>
          <t>M9</t>
        </is>
      </c>
      <c r="D1037" s="5" t="n">
        <v>16</v>
      </c>
      <c r="E1037" s="5" t="n">
        <v>100</v>
      </c>
      <c r="F1037" t="inlineStr">
        <is>
          <t>Поступление</t>
        </is>
      </c>
      <c r="H1037">
        <f>VLOOKUP(C1037,Магазин!$A$2:$C$1000,2,0)</f>
        <v/>
      </c>
      <c r="I1037">
        <f>VLOOKUP(D1037,Товар!$A$2:$F$1000,3,0)</f>
        <v/>
      </c>
      <c r="J1037">
        <f>VLOOKUP(D1037,Товар!$A$2:$F$1000,5,0)</f>
        <v/>
      </c>
      <c r="K1037">
        <f>IF(AND(H1037="Промышленный",LEFT(I1037,18)="Порошок стиральный",F1037="Продажа",B1037=DATE(2023,6,7)),E1037*J1037/1000,0)</f>
        <v/>
      </c>
    </row>
    <row r="1038">
      <c r="A1038" t="n">
        <v>1037</v>
      </c>
      <c r="B1038" s="1" t="n">
        <v>45079</v>
      </c>
      <c r="C1038" s="5" t="inlineStr">
        <is>
          <t>M9</t>
        </is>
      </c>
      <c r="D1038" s="5" t="n">
        <v>17</v>
      </c>
      <c r="E1038" s="5" t="n">
        <v>100</v>
      </c>
      <c r="F1038" t="inlineStr">
        <is>
          <t>Поступление</t>
        </is>
      </c>
      <c r="H1038">
        <f>VLOOKUP(C1038,Магазин!$A$2:$C$1000,2,0)</f>
        <v/>
      </c>
      <c r="I1038">
        <f>VLOOKUP(D1038,Товар!$A$2:$F$1000,3,0)</f>
        <v/>
      </c>
      <c r="J1038">
        <f>VLOOKUP(D1038,Товар!$A$2:$F$1000,5,0)</f>
        <v/>
      </c>
      <c r="K1038">
        <f>IF(AND(H1038="Промышленный",LEFT(I1038,18)="Порошок стиральный",F1038="Продажа",B1038=DATE(2023,6,7)),E1038*J1038/1000,0)</f>
        <v/>
      </c>
    </row>
    <row r="1039">
      <c r="A1039" t="n">
        <v>1038</v>
      </c>
      <c r="B1039" s="1" t="n">
        <v>45079</v>
      </c>
      <c r="C1039" s="5" t="inlineStr">
        <is>
          <t>M9</t>
        </is>
      </c>
      <c r="D1039" s="5" t="n">
        <v>18</v>
      </c>
      <c r="E1039" s="5" t="n">
        <v>100</v>
      </c>
      <c r="F1039" t="inlineStr">
        <is>
          <t>Поступление</t>
        </is>
      </c>
      <c r="H1039">
        <f>VLOOKUP(C1039,Магазин!$A$2:$C$1000,2,0)</f>
        <v/>
      </c>
      <c r="I1039">
        <f>VLOOKUP(D1039,Товар!$A$2:$F$1000,3,0)</f>
        <v/>
      </c>
      <c r="J1039">
        <f>VLOOKUP(D1039,Товар!$A$2:$F$1000,5,0)</f>
        <v/>
      </c>
      <c r="K1039">
        <f>IF(AND(H1039="Промышленный",LEFT(I1039,18)="Порошок стиральный",F1039="Продажа",B1039=DATE(2023,6,7)),E1039*J1039/1000,0)</f>
        <v/>
      </c>
    </row>
    <row r="1040">
      <c r="A1040" t="n">
        <v>1039</v>
      </c>
      <c r="B1040" s="1" t="n">
        <v>45079</v>
      </c>
      <c r="C1040" s="5" t="inlineStr">
        <is>
          <t>M9</t>
        </is>
      </c>
      <c r="D1040" s="5" t="n">
        <v>19</v>
      </c>
      <c r="E1040" s="5" t="n">
        <v>100</v>
      </c>
      <c r="F1040" t="inlineStr">
        <is>
          <t>Поступление</t>
        </is>
      </c>
      <c r="H1040">
        <f>VLOOKUP(C1040,Магазин!$A$2:$C$1000,2,0)</f>
        <v/>
      </c>
      <c r="I1040">
        <f>VLOOKUP(D1040,Товар!$A$2:$F$1000,3,0)</f>
        <v/>
      </c>
      <c r="J1040">
        <f>VLOOKUP(D1040,Товар!$A$2:$F$1000,5,0)</f>
        <v/>
      </c>
      <c r="K1040">
        <f>IF(AND(H1040="Промышленный",LEFT(I1040,18)="Порошок стиральный",F1040="Продажа",B1040=DATE(2023,6,7)),E1040*J1040/1000,0)</f>
        <v/>
      </c>
    </row>
    <row r="1041">
      <c r="A1041" t="n">
        <v>1040</v>
      </c>
      <c r="B1041" s="1" t="n">
        <v>45079</v>
      </c>
      <c r="C1041" s="5" t="inlineStr">
        <is>
          <t>M9</t>
        </is>
      </c>
      <c r="D1041" s="5" t="n">
        <v>20</v>
      </c>
      <c r="E1041" s="5" t="n">
        <v>100</v>
      </c>
      <c r="F1041" t="inlineStr">
        <is>
          <t>Поступление</t>
        </is>
      </c>
      <c r="H1041">
        <f>VLOOKUP(C1041,Магазин!$A$2:$C$1000,2,0)</f>
        <v/>
      </c>
      <c r="I1041">
        <f>VLOOKUP(D1041,Товар!$A$2:$F$1000,3,0)</f>
        <v/>
      </c>
      <c r="J1041">
        <f>VLOOKUP(D1041,Товар!$A$2:$F$1000,5,0)</f>
        <v/>
      </c>
      <c r="K1041">
        <f>IF(AND(H1041="Промышленный",LEFT(I1041,18)="Порошок стиральный",F1041="Продажа",B1041=DATE(2023,6,7)),E1041*J1041/1000,0)</f>
        <v/>
      </c>
    </row>
    <row r="1042">
      <c r="A1042" t="n">
        <v>1041</v>
      </c>
      <c r="B1042" s="1" t="n">
        <v>45079</v>
      </c>
      <c r="C1042" s="5" t="inlineStr">
        <is>
          <t>M9</t>
        </is>
      </c>
      <c r="D1042" s="5" t="n">
        <v>21</v>
      </c>
      <c r="E1042" s="5" t="n">
        <v>100</v>
      </c>
      <c r="F1042" t="inlineStr">
        <is>
          <t>Поступление</t>
        </is>
      </c>
      <c r="H1042">
        <f>VLOOKUP(C1042,Магазин!$A$2:$C$1000,2,0)</f>
        <v/>
      </c>
      <c r="I1042">
        <f>VLOOKUP(D1042,Товар!$A$2:$F$1000,3,0)</f>
        <v/>
      </c>
      <c r="J1042">
        <f>VLOOKUP(D1042,Товар!$A$2:$F$1000,5,0)</f>
        <v/>
      </c>
      <c r="K1042">
        <f>IF(AND(H1042="Промышленный",LEFT(I1042,18)="Порошок стиральный",F1042="Продажа",B1042=DATE(2023,6,7)),E1042*J1042/1000,0)</f>
        <v/>
      </c>
    </row>
    <row r="1043">
      <c r="A1043" t="n">
        <v>1042</v>
      </c>
      <c r="B1043" s="1" t="n">
        <v>45079</v>
      </c>
      <c r="C1043" s="5" t="inlineStr">
        <is>
          <t>M9</t>
        </is>
      </c>
      <c r="D1043" s="5" t="n">
        <v>22</v>
      </c>
      <c r="E1043" s="5" t="n">
        <v>100</v>
      </c>
      <c r="F1043" t="inlineStr">
        <is>
          <t>Поступление</t>
        </is>
      </c>
      <c r="H1043">
        <f>VLOOKUP(C1043,Магазин!$A$2:$C$1000,2,0)</f>
        <v/>
      </c>
      <c r="I1043">
        <f>VLOOKUP(D1043,Товар!$A$2:$F$1000,3,0)</f>
        <v/>
      </c>
      <c r="J1043">
        <f>VLOOKUP(D1043,Товар!$A$2:$F$1000,5,0)</f>
        <v/>
      </c>
      <c r="K1043">
        <f>IF(AND(H1043="Промышленный",LEFT(I1043,18)="Порошок стиральный",F1043="Продажа",B1043=DATE(2023,6,7)),E1043*J1043/1000,0)</f>
        <v/>
      </c>
    </row>
    <row r="1044">
      <c r="A1044" t="n">
        <v>1043</v>
      </c>
      <c r="B1044" s="1" t="n">
        <v>45079</v>
      </c>
      <c r="C1044" s="5" t="inlineStr">
        <is>
          <t>M9</t>
        </is>
      </c>
      <c r="D1044" s="5" t="n">
        <v>23</v>
      </c>
      <c r="E1044" s="5" t="n">
        <v>100</v>
      </c>
      <c r="F1044" t="inlineStr">
        <is>
          <t>Поступление</t>
        </is>
      </c>
      <c r="H1044">
        <f>VLOOKUP(C1044,Магазин!$A$2:$C$1000,2,0)</f>
        <v/>
      </c>
      <c r="I1044">
        <f>VLOOKUP(D1044,Товар!$A$2:$F$1000,3,0)</f>
        <v/>
      </c>
      <c r="J1044">
        <f>VLOOKUP(D1044,Товар!$A$2:$F$1000,5,0)</f>
        <v/>
      </c>
      <c r="K1044">
        <f>IF(AND(H1044="Промышленный",LEFT(I1044,18)="Порошок стиральный",F1044="Продажа",B1044=DATE(2023,6,7)),E1044*J1044/1000,0)</f>
        <v/>
      </c>
    </row>
    <row r="1045">
      <c r="A1045" t="n">
        <v>1044</v>
      </c>
      <c r="B1045" s="1" t="n">
        <v>45079</v>
      </c>
      <c r="C1045" s="5" t="inlineStr">
        <is>
          <t>M9</t>
        </is>
      </c>
      <c r="D1045" s="5" t="n">
        <v>24</v>
      </c>
      <c r="E1045" s="5" t="n">
        <v>100</v>
      </c>
      <c r="F1045" t="inlineStr">
        <is>
          <t>Поступление</t>
        </is>
      </c>
      <c r="H1045">
        <f>VLOOKUP(C1045,Магазин!$A$2:$C$1000,2,0)</f>
        <v/>
      </c>
      <c r="I1045">
        <f>VLOOKUP(D1045,Товар!$A$2:$F$1000,3,0)</f>
        <v/>
      </c>
      <c r="J1045">
        <f>VLOOKUP(D1045,Товар!$A$2:$F$1000,5,0)</f>
        <v/>
      </c>
      <c r="K1045">
        <f>IF(AND(H1045="Промышленный",LEFT(I1045,18)="Порошок стиральный",F1045="Продажа",B1045=DATE(2023,6,7)),E1045*J1045/1000,0)</f>
        <v/>
      </c>
    </row>
    <row r="1046">
      <c r="A1046" t="n">
        <v>1045</v>
      </c>
      <c r="B1046" s="1" t="n">
        <v>45079</v>
      </c>
      <c r="C1046" s="5" t="inlineStr">
        <is>
          <t>M9</t>
        </is>
      </c>
      <c r="D1046" s="5" t="n">
        <v>25</v>
      </c>
      <c r="E1046" s="5" t="n">
        <v>100</v>
      </c>
      <c r="F1046" t="inlineStr">
        <is>
          <t>Поступление</t>
        </is>
      </c>
      <c r="H1046">
        <f>VLOOKUP(C1046,Магазин!$A$2:$C$1000,2,0)</f>
        <v/>
      </c>
      <c r="I1046">
        <f>VLOOKUP(D1046,Товар!$A$2:$F$1000,3,0)</f>
        <v/>
      </c>
      <c r="J1046">
        <f>VLOOKUP(D1046,Товар!$A$2:$F$1000,5,0)</f>
        <v/>
      </c>
      <c r="K1046">
        <f>IF(AND(H1046="Промышленный",LEFT(I1046,18)="Порошок стиральный",F1046="Продажа",B1046=DATE(2023,6,7)),E1046*J1046/1000,0)</f>
        <v/>
      </c>
    </row>
    <row r="1047">
      <c r="A1047" t="n">
        <v>1046</v>
      </c>
      <c r="B1047" s="1" t="n">
        <v>45079</v>
      </c>
      <c r="C1047" s="5" t="inlineStr">
        <is>
          <t>M9</t>
        </is>
      </c>
      <c r="D1047" s="5" t="n">
        <v>26</v>
      </c>
      <c r="E1047" s="5" t="n">
        <v>100</v>
      </c>
      <c r="F1047" t="inlineStr">
        <is>
          <t>Поступление</t>
        </is>
      </c>
      <c r="H1047">
        <f>VLOOKUP(C1047,Магазин!$A$2:$C$1000,2,0)</f>
        <v/>
      </c>
      <c r="I1047">
        <f>VLOOKUP(D1047,Товар!$A$2:$F$1000,3,0)</f>
        <v/>
      </c>
      <c r="J1047">
        <f>VLOOKUP(D1047,Товар!$A$2:$F$1000,5,0)</f>
        <v/>
      </c>
      <c r="K1047">
        <f>IF(AND(H1047="Промышленный",LEFT(I1047,18)="Порошок стиральный",F1047="Продажа",B1047=DATE(2023,6,7)),E1047*J1047/1000,0)</f>
        <v/>
      </c>
    </row>
    <row r="1048">
      <c r="A1048" t="n">
        <v>1047</v>
      </c>
      <c r="B1048" s="1" t="n">
        <v>45079</v>
      </c>
      <c r="C1048" s="5" t="inlineStr">
        <is>
          <t>M9</t>
        </is>
      </c>
      <c r="D1048" s="5" t="n">
        <v>27</v>
      </c>
      <c r="E1048" s="5" t="n">
        <v>100</v>
      </c>
      <c r="F1048" t="inlineStr">
        <is>
          <t>Поступление</t>
        </is>
      </c>
      <c r="H1048">
        <f>VLOOKUP(C1048,Магазин!$A$2:$C$1000,2,0)</f>
        <v/>
      </c>
      <c r="I1048">
        <f>VLOOKUP(D1048,Товар!$A$2:$F$1000,3,0)</f>
        <v/>
      </c>
      <c r="J1048">
        <f>VLOOKUP(D1048,Товар!$A$2:$F$1000,5,0)</f>
        <v/>
      </c>
      <c r="K1048">
        <f>IF(AND(H1048="Промышленный",LEFT(I1048,18)="Порошок стиральный",F1048="Продажа",B1048=DATE(2023,6,7)),E1048*J1048/1000,0)</f>
        <v/>
      </c>
    </row>
    <row r="1049">
      <c r="A1049" t="n">
        <v>1048</v>
      </c>
      <c r="B1049" s="1" t="n">
        <v>45079</v>
      </c>
      <c r="C1049" s="5" t="inlineStr">
        <is>
          <t>M9</t>
        </is>
      </c>
      <c r="D1049" s="5" t="n">
        <v>28</v>
      </c>
      <c r="E1049" s="5" t="n">
        <v>100</v>
      </c>
      <c r="F1049" t="inlineStr">
        <is>
          <t>Поступление</t>
        </is>
      </c>
      <c r="H1049">
        <f>VLOOKUP(C1049,Магазин!$A$2:$C$1000,2,0)</f>
        <v/>
      </c>
      <c r="I1049">
        <f>VLOOKUP(D1049,Товар!$A$2:$F$1000,3,0)</f>
        <v/>
      </c>
      <c r="J1049">
        <f>VLOOKUP(D1049,Товар!$A$2:$F$1000,5,0)</f>
        <v/>
      </c>
      <c r="K1049">
        <f>IF(AND(H1049="Промышленный",LEFT(I1049,18)="Порошок стиральный",F1049="Продажа",B1049=DATE(2023,6,7)),E1049*J1049/1000,0)</f>
        <v/>
      </c>
    </row>
    <row r="1050">
      <c r="A1050" t="n">
        <v>1049</v>
      </c>
      <c r="B1050" s="1" t="n">
        <v>45079</v>
      </c>
      <c r="C1050" s="5" t="inlineStr">
        <is>
          <t>M9</t>
        </is>
      </c>
      <c r="D1050" s="5" t="n">
        <v>29</v>
      </c>
      <c r="E1050" s="5" t="n">
        <v>100</v>
      </c>
      <c r="F1050" t="inlineStr">
        <is>
          <t>Поступление</t>
        </is>
      </c>
      <c r="H1050">
        <f>VLOOKUP(C1050,Магазин!$A$2:$C$1000,2,0)</f>
        <v/>
      </c>
      <c r="I1050">
        <f>VLOOKUP(D1050,Товар!$A$2:$F$1000,3,0)</f>
        <v/>
      </c>
      <c r="J1050">
        <f>VLOOKUP(D1050,Товар!$A$2:$F$1000,5,0)</f>
        <v/>
      </c>
      <c r="K1050">
        <f>IF(AND(H1050="Промышленный",LEFT(I1050,18)="Порошок стиральный",F1050="Продажа",B1050=DATE(2023,6,7)),E1050*J1050/1000,0)</f>
        <v/>
      </c>
    </row>
    <row r="1051">
      <c r="A1051" t="n">
        <v>1050</v>
      </c>
      <c r="B1051" s="1" t="n">
        <v>45079</v>
      </c>
      <c r="C1051" s="5" t="inlineStr">
        <is>
          <t>M9</t>
        </is>
      </c>
      <c r="D1051" s="5" t="n">
        <v>30</v>
      </c>
      <c r="E1051" s="5" t="n">
        <v>100</v>
      </c>
      <c r="F1051" t="inlineStr">
        <is>
          <t>Поступление</t>
        </is>
      </c>
      <c r="H1051">
        <f>VLOOKUP(C1051,Магазин!$A$2:$C$1000,2,0)</f>
        <v/>
      </c>
      <c r="I1051">
        <f>VLOOKUP(D1051,Товар!$A$2:$F$1000,3,0)</f>
        <v/>
      </c>
      <c r="J1051">
        <f>VLOOKUP(D1051,Товар!$A$2:$F$1000,5,0)</f>
        <v/>
      </c>
      <c r="K1051">
        <f>IF(AND(H1051="Промышленный",LEFT(I1051,18)="Порошок стиральный",F1051="Продажа",B1051=DATE(2023,6,7)),E1051*J1051/1000,0)</f>
        <v/>
      </c>
    </row>
    <row r="1052">
      <c r="A1052" t="n">
        <v>1051</v>
      </c>
      <c r="B1052" s="1" t="n">
        <v>45079</v>
      </c>
      <c r="C1052" s="5" t="inlineStr">
        <is>
          <t>M9</t>
        </is>
      </c>
      <c r="D1052" s="5" t="n">
        <v>31</v>
      </c>
      <c r="E1052" s="5" t="n">
        <v>100</v>
      </c>
      <c r="F1052" t="inlineStr">
        <is>
          <t>Поступление</t>
        </is>
      </c>
      <c r="H1052">
        <f>VLOOKUP(C1052,Магазин!$A$2:$C$1000,2,0)</f>
        <v/>
      </c>
      <c r="I1052">
        <f>VLOOKUP(D1052,Товар!$A$2:$F$1000,3,0)</f>
        <v/>
      </c>
      <c r="J1052">
        <f>VLOOKUP(D1052,Товар!$A$2:$F$1000,5,0)</f>
        <v/>
      </c>
      <c r="K1052">
        <f>IF(AND(H1052="Промышленный",LEFT(I1052,18)="Порошок стиральный",F1052="Продажа",B1052=DATE(2023,6,7)),E1052*J1052/1000,0)</f>
        <v/>
      </c>
    </row>
    <row r="1053">
      <c r="A1053" t="n">
        <v>1052</v>
      </c>
      <c r="B1053" s="1" t="n">
        <v>45079</v>
      </c>
      <c r="C1053" s="5" t="inlineStr">
        <is>
          <t>M9</t>
        </is>
      </c>
      <c r="D1053" s="5" t="n">
        <v>32</v>
      </c>
      <c r="E1053" s="5" t="n">
        <v>100</v>
      </c>
      <c r="F1053" t="inlineStr">
        <is>
          <t>Поступление</t>
        </is>
      </c>
      <c r="H1053">
        <f>VLOOKUP(C1053,Магазин!$A$2:$C$1000,2,0)</f>
        <v/>
      </c>
      <c r="I1053">
        <f>VLOOKUP(D1053,Товар!$A$2:$F$1000,3,0)</f>
        <v/>
      </c>
      <c r="J1053">
        <f>VLOOKUP(D1053,Товар!$A$2:$F$1000,5,0)</f>
        <v/>
      </c>
      <c r="K1053">
        <f>IF(AND(H1053="Промышленный",LEFT(I1053,18)="Порошок стиральный",F1053="Продажа",B1053=DATE(2023,6,7)),E1053*J1053/1000,0)</f>
        <v/>
      </c>
    </row>
    <row r="1054">
      <c r="A1054" t="n">
        <v>1053</v>
      </c>
      <c r="B1054" s="1" t="n">
        <v>45079</v>
      </c>
      <c r="C1054" s="5" t="inlineStr">
        <is>
          <t>M9</t>
        </is>
      </c>
      <c r="D1054" s="5" t="n">
        <v>33</v>
      </c>
      <c r="E1054" s="5" t="n">
        <v>100</v>
      </c>
      <c r="F1054" t="inlineStr">
        <is>
          <t>Поступление</t>
        </is>
      </c>
      <c r="H1054">
        <f>VLOOKUP(C1054,Магазин!$A$2:$C$1000,2,0)</f>
        <v/>
      </c>
      <c r="I1054">
        <f>VLOOKUP(D1054,Товар!$A$2:$F$1000,3,0)</f>
        <v/>
      </c>
      <c r="J1054">
        <f>VLOOKUP(D1054,Товар!$A$2:$F$1000,5,0)</f>
        <v/>
      </c>
      <c r="K1054">
        <f>IF(AND(H1054="Промышленный",LEFT(I1054,18)="Порошок стиральный",F1054="Продажа",B1054=DATE(2023,6,7)),E1054*J1054/1000,0)</f>
        <v/>
      </c>
    </row>
    <row r="1055">
      <c r="A1055" t="n">
        <v>1054</v>
      </c>
      <c r="B1055" s="1" t="n">
        <v>45079</v>
      </c>
      <c r="C1055" s="5" t="inlineStr">
        <is>
          <t>M9</t>
        </is>
      </c>
      <c r="D1055" s="5" t="n">
        <v>34</v>
      </c>
      <c r="E1055" s="5" t="n">
        <v>100</v>
      </c>
      <c r="F1055" t="inlineStr">
        <is>
          <t>Поступление</t>
        </is>
      </c>
      <c r="H1055">
        <f>VLOOKUP(C1055,Магазин!$A$2:$C$1000,2,0)</f>
        <v/>
      </c>
      <c r="I1055">
        <f>VLOOKUP(D1055,Товар!$A$2:$F$1000,3,0)</f>
        <v/>
      </c>
      <c r="J1055">
        <f>VLOOKUP(D1055,Товар!$A$2:$F$1000,5,0)</f>
        <v/>
      </c>
      <c r="K1055">
        <f>IF(AND(H1055="Промышленный",LEFT(I1055,18)="Порошок стиральный",F1055="Продажа",B1055=DATE(2023,6,7)),E1055*J1055/1000,0)</f>
        <v/>
      </c>
    </row>
    <row r="1056">
      <c r="A1056" t="n">
        <v>1055</v>
      </c>
      <c r="B1056" s="1" t="n">
        <v>45079</v>
      </c>
      <c r="C1056" s="5" t="inlineStr">
        <is>
          <t>M9</t>
        </is>
      </c>
      <c r="D1056" s="5" t="n">
        <v>35</v>
      </c>
      <c r="E1056" s="5" t="n">
        <v>100</v>
      </c>
      <c r="F1056" t="inlineStr">
        <is>
          <t>Поступление</t>
        </is>
      </c>
      <c r="H1056">
        <f>VLOOKUP(C1056,Магазин!$A$2:$C$1000,2,0)</f>
        <v/>
      </c>
      <c r="I1056">
        <f>VLOOKUP(D1056,Товар!$A$2:$F$1000,3,0)</f>
        <v/>
      </c>
      <c r="J1056">
        <f>VLOOKUP(D1056,Товар!$A$2:$F$1000,5,0)</f>
        <v/>
      </c>
      <c r="K1056">
        <f>IF(AND(H1056="Промышленный",LEFT(I1056,18)="Порошок стиральный",F1056="Продажа",B1056=DATE(2023,6,7)),E1056*J1056/1000,0)</f>
        <v/>
      </c>
    </row>
    <row r="1057">
      <c r="A1057" t="n">
        <v>1056</v>
      </c>
      <c r="B1057" s="1" t="n">
        <v>45079</v>
      </c>
      <c r="C1057" s="5" t="inlineStr">
        <is>
          <t>M9</t>
        </is>
      </c>
      <c r="D1057" s="5" t="n">
        <v>36</v>
      </c>
      <c r="E1057" s="5" t="n">
        <v>100</v>
      </c>
      <c r="F1057" t="inlineStr">
        <is>
          <t>Поступление</t>
        </is>
      </c>
      <c r="H1057">
        <f>VLOOKUP(C1057,Магазин!$A$2:$C$1000,2,0)</f>
        <v/>
      </c>
      <c r="I1057">
        <f>VLOOKUP(D1057,Товар!$A$2:$F$1000,3,0)</f>
        <v/>
      </c>
      <c r="J1057">
        <f>VLOOKUP(D1057,Товар!$A$2:$F$1000,5,0)</f>
        <v/>
      </c>
      <c r="K1057">
        <f>IF(AND(H1057="Промышленный",LEFT(I1057,18)="Порошок стиральный",F1057="Продажа",B1057=DATE(2023,6,7)),E1057*J1057/1000,0)</f>
        <v/>
      </c>
    </row>
    <row r="1058">
      <c r="A1058" t="n">
        <v>1057</v>
      </c>
      <c r="B1058" s="1" t="n">
        <v>45079</v>
      </c>
      <c r="C1058" s="5" t="inlineStr">
        <is>
          <t>M9</t>
        </is>
      </c>
      <c r="D1058" s="5" t="n">
        <v>37</v>
      </c>
      <c r="E1058" s="5" t="n">
        <v>200</v>
      </c>
      <c r="F1058" t="inlineStr">
        <is>
          <t>Поступление</t>
        </is>
      </c>
      <c r="H1058">
        <f>VLOOKUP(C1058,Магазин!$A$2:$C$1000,2,0)</f>
        <v/>
      </c>
      <c r="I1058">
        <f>VLOOKUP(D1058,Товар!$A$2:$F$1000,3,0)</f>
        <v/>
      </c>
      <c r="J1058">
        <f>VLOOKUP(D1058,Товар!$A$2:$F$1000,5,0)</f>
        <v/>
      </c>
      <c r="K1058">
        <f>IF(AND(H1058="Промышленный",LEFT(I1058,18)="Порошок стиральный",F1058="Продажа",B1058=DATE(2023,6,7)),E1058*J1058/1000,0)</f>
        <v/>
      </c>
    </row>
    <row r="1059" ht="13.5" customHeight="1" s="4">
      <c r="A1059" t="n">
        <v>1058</v>
      </c>
      <c r="B1059" s="1" t="n">
        <v>45079</v>
      </c>
      <c r="C1059" s="5" t="inlineStr">
        <is>
          <t>M9</t>
        </is>
      </c>
      <c r="D1059" s="5" t="n">
        <v>38</v>
      </c>
      <c r="E1059" s="5" t="n">
        <v>200</v>
      </c>
      <c r="F1059" t="inlineStr">
        <is>
          <t>Поступление</t>
        </is>
      </c>
      <c r="H1059">
        <f>VLOOKUP(C1059,Магазин!$A$2:$C$1000,2,0)</f>
        <v/>
      </c>
      <c r="I1059">
        <f>VLOOKUP(D1059,Товар!$A$2:$F$1000,3,0)</f>
        <v/>
      </c>
      <c r="J1059">
        <f>VLOOKUP(D1059,Товар!$A$2:$F$1000,5,0)</f>
        <v/>
      </c>
      <c r="K1059">
        <f>IF(AND(H1059="Промышленный",LEFT(I1059,18)="Порошок стиральный",F1059="Продажа",B1059=DATE(2023,6,7)),E1059*J1059/1000,0)</f>
        <v/>
      </c>
    </row>
    <row r="1060" ht="13.5" customHeight="1" s="4">
      <c r="A1060" t="n">
        <v>1059</v>
      </c>
      <c r="B1060" s="1" t="n">
        <v>45079</v>
      </c>
      <c r="C1060" s="5" t="inlineStr">
        <is>
          <t>M9</t>
        </is>
      </c>
      <c r="D1060" s="5" t="n">
        <v>39</v>
      </c>
      <c r="E1060" s="5" t="n">
        <v>200</v>
      </c>
      <c r="F1060" t="inlineStr">
        <is>
          <t>Поступление</t>
        </is>
      </c>
      <c r="H1060">
        <f>VLOOKUP(C1060,Магазин!$A$2:$C$1000,2,0)</f>
        <v/>
      </c>
      <c r="I1060">
        <f>VLOOKUP(D1060,Товар!$A$2:$F$1000,3,0)</f>
        <v/>
      </c>
      <c r="J1060">
        <f>VLOOKUP(D1060,Товар!$A$2:$F$1000,5,0)</f>
        <v/>
      </c>
      <c r="K1060">
        <f>IF(AND(H1060="Промышленный",LEFT(I1060,18)="Порошок стиральный",F1060="Продажа",B1060=DATE(2023,6,7)),E1060*J1060/1000,0)</f>
        <v/>
      </c>
    </row>
    <row r="1061">
      <c r="A1061" t="n">
        <v>1060</v>
      </c>
      <c r="B1061" s="1" t="n">
        <v>45079</v>
      </c>
      <c r="C1061" s="5" t="inlineStr">
        <is>
          <t>M9</t>
        </is>
      </c>
      <c r="D1061" s="5" t="n">
        <v>40</v>
      </c>
      <c r="E1061" s="5" t="n">
        <v>200</v>
      </c>
      <c r="F1061" t="inlineStr">
        <is>
          <t>Поступление</t>
        </is>
      </c>
      <c r="H1061">
        <f>VLOOKUP(C1061,Магазин!$A$2:$C$1000,2,0)</f>
        <v/>
      </c>
      <c r="I1061">
        <f>VLOOKUP(D1061,Товар!$A$2:$F$1000,3,0)</f>
        <v/>
      </c>
      <c r="J1061">
        <f>VLOOKUP(D1061,Товар!$A$2:$F$1000,5,0)</f>
        <v/>
      </c>
      <c r="K1061">
        <f>IF(AND(H1061="Промышленный",LEFT(I1061,18)="Порошок стиральный",F1061="Продажа",B1061=DATE(2023,6,7)),E1061*J1061/1000,0)</f>
        <v/>
      </c>
    </row>
    <row r="1062">
      <c r="A1062" t="n">
        <v>1061</v>
      </c>
      <c r="B1062" s="1" t="n">
        <v>45079</v>
      </c>
      <c r="C1062" s="5" t="inlineStr">
        <is>
          <t>M9</t>
        </is>
      </c>
      <c r="D1062" s="5" t="n">
        <v>41</v>
      </c>
      <c r="E1062" s="5" t="n">
        <v>200</v>
      </c>
      <c r="F1062" t="inlineStr">
        <is>
          <t>Поступление</t>
        </is>
      </c>
      <c r="H1062">
        <f>VLOOKUP(C1062,Магазин!$A$2:$C$1000,2,0)</f>
        <v/>
      </c>
      <c r="I1062">
        <f>VLOOKUP(D1062,Товар!$A$2:$F$1000,3,0)</f>
        <v/>
      </c>
      <c r="J1062">
        <f>VLOOKUP(D1062,Товар!$A$2:$F$1000,5,0)</f>
        <v/>
      </c>
      <c r="K1062">
        <f>IF(AND(H1062="Промышленный",LEFT(I1062,18)="Порошок стиральный",F1062="Продажа",B1062=DATE(2023,6,7)),E1062*J1062/1000,0)</f>
        <v/>
      </c>
    </row>
    <row r="1063">
      <c r="A1063" t="n">
        <v>1062</v>
      </c>
      <c r="B1063" s="1" t="n">
        <v>45079</v>
      </c>
      <c r="C1063" s="5" t="inlineStr">
        <is>
          <t>M9</t>
        </is>
      </c>
      <c r="D1063" s="5" t="n">
        <v>42</v>
      </c>
      <c r="E1063" s="5" t="n">
        <v>200</v>
      </c>
      <c r="F1063" t="inlineStr">
        <is>
          <t>Поступление</t>
        </is>
      </c>
      <c r="H1063">
        <f>VLOOKUP(C1063,Магазин!$A$2:$C$1000,2,0)</f>
        <v/>
      </c>
      <c r="I1063">
        <f>VLOOKUP(D1063,Товар!$A$2:$F$1000,3,0)</f>
        <v/>
      </c>
      <c r="J1063">
        <f>VLOOKUP(D1063,Товар!$A$2:$F$1000,5,0)</f>
        <v/>
      </c>
      <c r="K1063">
        <f>IF(AND(H1063="Промышленный",LEFT(I1063,18)="Порошок стиральный",F1063="Продажа",B1063=DATE(2023,6,7)),E1063*J1063/1000,0)</f>
        <v/>
      </c>
    </row>
    <row r="1064">
      <c r="A1064" t="n">
        <v>1063</v>
      </c>
      <c r="B1064" s="1" t="n">
        <v>45079</v>
      </c>
      <c r="C1064" s="5" t="inlineStr">
        <is>
          <t>M9</t>
        </is>
      </c>
      <c r="D1064" s="5" t="n">
        <v>43</v>
      </c>
      <c r="E1064" s="5" t="n">
        <v>200</v>
      </c>
      <c r="F1064" t="inlineStr">
        <is>
          <t>Поступление</t>
        </is>
      </c>
      <c r="H1064">
        <f>VLOOKUP(C1064,Магазин!$A$2:$C$1000,2,0)</f>
        <v/>
      </c>
      <c r="I1064">
        <f>VLOOKUP(D1064,Товар!$A$2:$F$1000,3,0)</f>
        <v/>
      </c>
      <c r="J1064">
        <f>VLOOKUP(D1064,Товар!$A$2:$F$1000,5,0)</f>
        <v/>
      </c>
      <c r="K1064">
        <f>IF(AND(H1064="Промышленный",LEFT(I1064,18)="Порошок стиральный",F1064="Продажа",B1064=DATE(2023,6,7)),E1064*J1064/1000,0)</f>
        <v/>
      </c>
    </row>
    <row r="1065">
      <c r="A1065" t="n">
        <v>1064</v>
      </c>
      <c r="B1065" s="1" t="n">
        <v>45079</v>
      </c>
      <c r="C1065" s="5" t="inlineStr">
        <is>
          <t>M9</t>
        </is>
      </c>
      <c r="D1065" s="5" t="n">
        <v>44</v>
      </c>
      <c r="E1065" s="5" t="n">
        <v>200</v>
      </c>
      <c r="F1065" t="inlineStr">
        <is>
          <t>Поступление</t>
        </is>
      </c>
      <c r="H1065">
        <f>VLOOKUP(C1065,Магазин!$A$2:$C$1000,2,0)</f>
        <v/>
      </c>
      <c r="I1065">
        <f>VLOOKUP(D1065,Товар!$A$2:$F$1000,3,0)</f>
        <v/>
      </c>
      <c r="J1065">
        <f>VLOOKUP(D1065,Товар!$A$2:$F$1000,5,0)</f>
        <v/>
      </c>
      <c r="K1065">
        <f>IF(AND(H1065="Промышленный",LEFT(I1065,18)="Порошок стиральный",F1065="Продажа",B1065=DATE(2023,6,7)),E1065*J1065/1000,0)</f>
        <v/>
      </c>
    </row>
    <row r="1066">
      <c r="A1066" t="n">
        <v>1065</v>
      </c>
      <c r="B1066" s="1" t="n">
        <v>45079</v>
      </c>
      <c r="C1066" s="5" t="inlineStr">
        <is>
          <t>M9</t>
        </is>
      </c>
      <c r="D1066" s="5" t="n">
        <v>45</v>
      </c>
      <c r="E1066" s="5" t="n">
        <v>200</v>
      </c>
      <c r="F1066" t="inlineStr">
        <is>
          <t>Поступление</t>
        </is>
      </c>
      <c r="H1066">
        <f>VLOOKUP(C1066,Магазин!$A$2:$C$1000,2,0)</f>
        <v/>
      </c>
      <c r="I1066">
        <f>VLOOKUP(D1066,Товар!$A$2:$F$1000,3,0)</f>
        <v/>
      </c>
      <c r="J1066">
        <f>VLOOKUP(D1066,Товар!$A$2:$F$1000,5,0)</f>
        <v/>
      </c>
      <c r="K1066">
        <f>IF(AND(H1066="Промышленный",LEFT(I1066,18)="Порошок стиральный",F1066="Продажа",B1066=DATE(2023,6,7)),E1066*J1066/1000,0)</f>
        <v/>
      </c>
    </row>
    <row r="1067">
      <c r="A1067" t="n">
        <v>1066</v>
      </c>
      <c r="B1067" s="1" t="n">
        <v>45079</v>
      </c>
      <c r="C1067" s="5" t="inlineStr">
        <is>
          <t>M9</t>
        </is>
      </c>
      <c r="D1067" s="5" t="n">
        <v>46</v>
      </c>
      <c r="E1067" s="5" t="n">
        <v>200</v>
      </c>
      <c r="F1067" t="inlineStr">
        <is>
          <t>Поступление</t>
        </is>
      </c>
      <c r="H1067">
        <f>VLOOKUP(C1067,Магазин!$A$2:$C$1000,2,0)</f>
        <v/>
      </c>
      <c r="I1067">
        <f>VLOOKUP(D1067,Товар!$A$2:$F$1000,3,0)</f>
        <v/>
      </c>
      <c r="J1067">
        <f>VLOOKUP(D1067,Товар!$A$2:$F$1000,5,0)</f>
        <v/>
      </c>
      <c r="K1067">
        <f>IF(AND(H1067="Промышленный",LEFT(I1067,18)="Порошок стиральный",F1067="Продажа",B1067=DATE(2023,6,7)),E1067*J1067/1000,0)</f>
        <v/>
      </c>
    </row>
    <row r="1068">
      <c r="A1068" t="n">
        <v>1067</v>
      </c>
      <c r="B1068" s="1" t="n">
        <v>45079</v>
      </c>
      <c r="C1068" s="5" t="inlineStr">
        <is>
          <t>M9</t>
        </is>
      </c>
      <c r="D1068" s="5" t="n">
        <v>47</v>
      </c>
      <c r="E1068" s="5" t="n">
        <v>200</v>
      </c>
      <c r="F1068" t="inlineStr">
        <is>
          <t>Поступление</t>
        </is>
      </c>
      <c r="H1068">
        <f>VLOOKUP(C1068,Магазин!$A$2:$C$1000,2,0)</f>
        <v/>
      </c>
      <c r="I1068">
        <f>VLOOKUP(D1068,Товар!$A$2:$F$1000,3,0)</f>
        <v/>
      </c>
      <c r="J1068">
        <f>VLOOKUP(D1068,Товар!$A$2:$F$1000,5,0)</f>
        <v/>
      </c>
      <c r="K1068">
        <f>IF(AND(H1068="Промышленный",LEFT(I1068,18)="Порошок стиральный",F1068="Продажа",B1068=DATE(2023,6,7)),E1068*J1068/1000,0)</f>
        <v/>
      </c>
    </row>
    <row r="1069">
      <c r="A1069" t="n">
        <v>1068</v>
      </c>
      <c r="B1069" s="1" t="n">
        <v>45079</v>
      </c>
      <c r="C1069" s="5" t="inlineStr">
        <is>
          <t>M9</t>
        </is>
      </c>
      <c r="D1069" s="5" t="n">
        <v>48</v>
      </c>
      <c r="E1069" s="5" t="n">
        <v>200</v>
      </c>
      <c r="F1069" t="inlineStr">
        <is>
          <t>Поступление</t>
        </is>
      </c>
      <c r="H1069">
        <f>VLOOKUP(C1069,Магазин!$A$2:$C$1000,2,0)</f>
        <v/>
      </c>
      <c r="I1069">
        <f>VLOOKUP(D1069,Товар!$A$2:$F$1000,3,0)</f>
        <v/>
      </c>
      <c r="J1069">
        <f>VLOOKUP(D1069,Товар!$A$2:$F$1000,5,0)</f>
        <v/>
      </c>
      <c r="K1069">
        <f>IF(AND(H1069="Промышленный",LEFT(I1069,18)="Порошок стиральный",F1069="Продажа",B1069=DATE(2023,6,7)),E1069*J1069/1000,0)</f>
        <v/>
      </c>
    </row>
    <row r="1070">
      <c r="A1070" t="n">
        <v>1069</v>
      </c>
      <c r="B1070" s="1" t="n">
        <v>45079</v>
      </c>
      <c r="C1070" s="5" t="inlineStr">
        <is>
          <t>M9</t>
        </is>
      </c>
      <c r="D1070" s="5" t="n">
        <v>49</v>
      </c>
      <c r="E1070" s="5" t="n">
        <v>200</v>
      </c>
      <c r="F1070" t="inlineStr">
        <is>
          <t>Поступление</t>
        </is>
      </c>
      <c r="H1070">
        <f>VLOOKUP(C1070,Магазин!$A$2:$C$1000,2,0)</f>
        <v/>
      </c>
      <c r="I1070">
        <f>VLOOKUP(D1070,Товар!$A$2:$F$1000,3,0)</f>
        <v/>
      </c>
      <c r="J1070">
        <f>VLOOKUP(D1070,Товар!$A$2:$F$1000,5,0)</f>
        <v/>
      </c>
      <c r="K1070">
        <f>IF(AND(H1070="Промышленный",LEFT(I1070,18)="Порошок стиральный",F1070="Продажа",B1070=DATE(2023,6,7)),E1070*J1070/1000,0)</f>
        <v/>
      </c>
    </row>
    <row r="1071">
      <c r="A1071" t="n">
        <v>1070</v>
      </c>
      <c r="B1071" s="1" t="n">
        <v>45079</v>
      </c>
      <c r="C1071" s="5" t="inlineStr">
        <is>
          <t>M9</t>
        </is>
      </c>
      <c r="D1071" s="5" t="n">
        <v>50</v>
      </c>
      <c r="E1071" s="5" t="n">
        <v>200</v>
      </c>
      <c r="F1071" t="inlineStr">
        <is>
          <t>Поступление</t>
        </is>
      </c>
      <c r="H1071">
        <f>VLOOKUP(C1071,Магазин!$A$2:$C$1000,2,0)</f>
        <v/>
      </c>
      <c r="I1071">
        <f>VLOOKUP(D1071,Товар!$A$2:$F$1000,3,0)</f>
        <v/>
      </c>
      <c r="J1071">
        <f>VLOOKUP(D1071,Товар!$A$2:$F$1000,5,0)</f>
        <v/>
      </c>
      <c r="K1071">
        <f>IF(AND(H1071="Промышленный",LEFT(I1071,18)="Порошок стиральный",F1071="Продажа",B1071=DATE(2023,6,7)),E1071*J1071/1000,0)</f>
        <v/>
      </c>
    </row>
    <row r="1072">
      <c r="A1072" t="n">
        <v>1071</v>
      </c>
      <c r="B1072" s="1" t="n">
        <v>45079</v>
      </c>
      <c r="C1072" s="5" t="inlineStr">
        <is>
          <t>M9</t>
        </is>
      </c>
      <c r="D1072" s="5" t="n">
        <v>51</v>
      </c>
      <c r="E1072" s="5" t="n">
        <v>200</v>
      </c>
      <c r="F1072" t="inlineStr">
        <is>
          <t>Поступление</t>
        </is>
      </c>
      <c r="H1072">
        <f>VLOOKUP(C1072,Магазин!$A$2:$C$1000,2,0)</f>
        <v/>
      </c>
      <c r="I1072">
        <f>VLOOKUP(D1072,Товар!$A$2:$F$1000,3,0)</f>
        <v/>
      </c>
      <c r="J1072">
        <f>VLOOKUP(D1072,Товар!$A$2:$F$1000,5,0)</f>
        <v/>
      </c>
      <c r="K1072">
        <f>IF(AND(H1072="Промышленный",LEFT(I1072,18)="Порошок стиральный",F1072="Продажа",B1072=DATE(2023,6,7)),E1072*J1072/1000,0)</f>
        <v/>
      </c>
    </row>
    <row r="1073">
      <c r="A1073" t="n">
        <v>1072</v>
      </c>
      <c r="B1073" s="1" t="n">
        <v>45079</v>
      </c>
      <c r="C1073" s="5" t="inlineStr">
        <is>
          <t>M9</t>
        </is>
      </c>
      <c r="D1073" s="5" t="n">
        <v>52</v>
      </c>
      <c r="E1073" s="5" t="n">
        <v>200</v>
      </c>
      <c r="F1073" t="inlineStr">
        <is>
          <t>Поступление</t>
        </is>
      </c>
      <c r="H1073">
        <f>VLOOKUP(C1073,Магазин!$A$2:$C$1000,2,0)</f>
        <v/>
      </c>
      <c r="I1073">
        <f>VLOOKUP(D1073,Товар!$A$2:$F$1000,3,0)</f>
        <v/>
      </c>
      <c r="J1073">
        <f>VLOOKUP(D1073,Товар!$A$2:$F$1000,5,0)</f>
        <v/>
      </c>
      <c r="K1073">
        <f>IF(AND(H1073="Промышленный",LEFT(I1073,18)="Порошок стиральный",F1073="Продажа",B1073=DATE(2023,6,7)),E1073*J1073/1000,0)</f>
        <v/>
      </c>
    </row>
    <row r="1074">
      <c r="A1074" t="n">
        <v>1073</v>
      </c>
      <c r="B1074" s="1" t="n">
        <v>45079</v>
      </c>
      <c r="C1074" s="5" t="inlineStr">
        <is>
          <t>M9</t>
        </is>
      </c>
      <c r="D1074" s="5" t="n">
        <v>53</v>
      </c>
      <c r="E1074" s="5" t="n">
        <v>200</v>
      </c>
      <c r="F1074" t="inlineStr">
        <is>
          <t>Поступление</t>
        </is>
      </c>
      <c r="H1074">
        <f>VLOOKUP(C1074,Магазин!$A$2:$C$1000,2,0)</f>
        <v/>
      </c>
      <c r="I1074">
        <f>VLOOKUP(D1074,Товар!$A$2:$F$1000,3,0)</f>
        <v/>
      </c>
      <c r="J1074">
        <f>VLOOKUP(D1074,Товар!$A$2:$F$1000,5,0)</f>
        <v/>
      </c>
      <c r="K1074">
        <f>IF(AND(H1074="Промышленный",LEFT(I1074,18)="Порошок стиральный",F1074="Продажа",B1074=DATE(2023,6,7)),E1074*J1074/1000,0)</f>
        <v/>
      </c>
    </row>
    <row r="1075">
      <c r="A1075" t="n">
        <v>1074</v>
      </c>
      <c r="B1075" s="1" t="n">
        <v>45079</v>
      </c>
      <c r="C1075" s="5" t="inlineStr">
        <is>
          <t>M9</t>
        </is>
      </c>
      <c r="D1075" s="5" t="n">
        <v>54</v>
      </c>
      <c r="E1075" s="5" t="n">
        <v>200</v>
      </c>
      <c r="F1075" t="inlineStr">
        <is>
          <t>Поступление</t>
        </is>
      </c>
      <c r="H1075">
        <f>VLOOKUP(C1075,Магазин!$A$2:$C$1000,2,0)</f>
        <v/>
      </c>
      <c r="I1075">
        <f>VLOOKUP(D1075,Товар!$A$2:$F$1000,3,0)</f>
        <v/>
      </c>
      <c r="J1075">
        <f>VLOOKUP(D1075,Товар!$A$2:$F$1000,5,0)</f>
        <v/>
      </c>
      <c r="K1075">
        <f>IF(AND(H1075="Промышленный",LEFT(I1075,18)="Порошок стиральный",F1075="Продажа",B1075=DATE(2023,6,7)),E1075*J1075/1000,0)</f>
        <v/>
      </c>
    </row>
    <row r="1076">
      <c r="A1076" t="n">
        <v>1075</v>
      </c>
      <c r="B1076" s="1" t="n">
        <v>45079</v>
      </c>
      <c r="C1076" s="5" t="inlineStr">
        <is>
          <t>M9</t>
        </is>
      </c>
      <c r="D1076" s="5" t="n">
        <v>55</v>
      </c>
      <c r="E1076" s="5" t="n">
        <v>200</v>
      </c>
      <c r="F1076" t="inlineStr">
        <is>
          <t>Поступление</t>
        </is>
      </c>
      <c r="H1076">
        <f>VLOOKUP(C1076,Магазин!$A$2:$C$1000,2,0)</f>
        <v/>
      </c>
      <c r="I1076">
        <f>VLOOKUP(D1076,Товар!$A$2:$F$1000,3,0)</f>
        <v/>
      </c>
      <c r="J1076">
        <f>VLOOKUP(D1076,Товар!$A$2:$F$1000,5,0)</f>
        <v/>
      </c>
      <c r="K1076">
        <f>IF(AND(H1076="Промышленный",LEFT(I1076,18)="Порошок стиральный",F1076="Продажа",B1076=DATE(2023,6,7)),E1076*J1076/1000,0)</f>
        <v/>
      </c>
    </row>
    <row r="1077">
      <c r="A1077" t="n">
        <v>1076</v>
      </c>
      <c r="B1077" s="1" t="n">
        <v>45079</v>
      </c>
      <c r="C1077" s="5" t="inlineStr">
        <is>
          <t>M9</t>
        </is>
      </c>
      <c r="D1077" s="5" t="n">
        <v>56</v>
      </c>
      <c r="E1077" s="5" t="n">
        <v>200</v>
      </c>
      <c r="F1077" t="inlineStr">
        <is>
          <t>Поступление</t>
        </is>
      </c>
      <c r="H1077">
        <f>VLOOKUP(C1077,Магазин!$A$2:$C$1000,2,0)</f>
        <v/>
      </c>
      <c r="I1077">
        <f>VLOOKUP(D1077,Товар!$A$2:$F$1000,3,0)</f>
        <v/>
      </c>
      <c r="J1077">
        <f>VLOOKUP(D1077,Товар!$A$2:$F$1000,5,0)</f>
        <v/>
      </c>
      <c r="K1077">
        <f>IF(AND(H1077="Промышленный",LEFT(I1077,18)="Порошок стиральный",F1077="Продажа",B1077=DATE(2023,6,7)),E1077*J1077/1000,0)</f>
        <v/>
      </c>
    </row>
    <row r="1078">
      <c r="A1078" t="n">
        <v>1077</v>
      </c>
      <c r="B1078" s="1" t="n">
        <v>45079</v>
      </c>
      <c r="C1078" s="5" t="inlineStr">
        <is>
          <t>M9</t>
        </is>
      </c>
      <c r="D1078" s="5" t="n">
        <v>57</v>
      </c>
      <c r="E1078" s="5" t="n">
        <v>200</v>
      </c>
      <c r="F1078" t="inlineStr">
        <is>
          <t>Поступление</t>
        </is>
      </c>
      <c r="H1078">
        <f>VLOOKUP(C1078,Магазин!$A$2:$C$1000,2,0)</f>
        <v/>
      </c>
      <c r="I1078">
        <f>VLOOKUP(D1078,Товар!$A$2:$F$1000,3,0)</f>
        <v/>
      </c>
      <c r="J1078">
        <f>VLOOKUP(D1078,Товар!$A$2:$F$1000,5,0)</f>
        <v/>
      </c>
      <c r="K1078">
        <f>IF(AND(H1078="Промышленный",LEFT(I1078,18)="Порошок стиральный",F1078="Продажа",B1078=DATE(2023,6,7)),E1078*J1078/1000,0)</f>
        <v/>
      </c>
    </row>
    <row r="1079">
      <c r="A1079" t="n">
        <v>1078</v>
      </c>
      <c r="B1079" s="1" t="n">
        <v>45079</v>
      </c>
      <c r="C1079" s="5" t="inlineStr">
        <is>
          <t>M9</t>
        </is>
      </c>
      <c r="D1079" s="5" t="n">
        <v>58</v>
      </c>
      <c r="E1079" s="5" t="n">
        <v>200</v>
      </c>
      <c r="F1079" t="inlineStr">
        <is>
          <t>Поступление</t>
        </is>
      </c>
      <c r="H1079">
        <f>VLOOKUP(C1079,Магазин!$A$2:$C$1000,2,0)</f>
        <v/>
      </c>
      <c r="I1079">
        <f>VLOOKUP(D1079,Товар!$A$2:$F$1000,3,0)</f>
        <v/>
      </c>
      <c r="J1079">
        <f>VLOOKUP(D1079,Товар!$A$2:$F$1000,5,0)</f>
        <v/>
      </c>
      <c r="K1079">
        <f>IF(AND(H1079="Промышленный",LEFT(I1079,18)="Порошок стиральный",F1079="Продажа",B1079=DATE(2023,6,7)),E1079*J1079/1000,0)</f>
        <v/>
      </c>
    </row>
    <row r="1080">
      <c r="A1080" t="n">
        <v>1079</v>
      </c>
      <c r="B1080" s="1" t="n">
        <v>45079</v>
      </c>
      <c r="C1080" s="5" t="inlineStr">
        <is>
          <t>M9</t>
        </is>
      </c>
      <c r="D1080" s="5" t="n">
        <v>59</v>
      </c>
      <c r="E1080" s="5" t="n">
        <v>200</v>
      </c>
      <c r="F1080" t="inlineStr">
        <is>
          <t>Поступление</t>
        </is>
      </c>
      <c r="H1080">
        <f>VLOOKUP(C1080,Магазин!$A$2:$C$1000,2,0)</f>
        <v/>
      </c>
      <c r="I1080">
        <f>VLOOKUP(D1080,Товар!$A$2:$F$1000,3,0)</f>
        <v/>
      </c>
      <c r="J1080">
        <f>VLOOKUP(D1080,Товар!$A$2:$F$1000,5,0)</f>
        <v/>
      </c>
      <c r="K1080">
        <f>IF(AND(H1080="Промышленный",LEFT(I1080,18)="Порошок стиральный",F1080="Продажа",B1080=DATE(2023,6,7)),E1080*J1080/1000,0)</f>
        <v/>
      </c>
    </row>
    <row r="1081">
      <c r="A1081" t="n">
        <v>1080</v>
      </c>
      <c r="B1081" s="1" t="n">
        <v>45079</v>
      </c>
      <c r="C1081" s="5" t="inlineStr">
        <is>
          <t>M9</t>
        </is>
      </c>
      <c r="D1081" s="5" t="n">
        <v>60</v>
      </c>
      <c r="E1081" s="5" t="n">
        <v>200</v>
      </c>
      <c r="F1081" t="inlineStr">
        <is>
          <t>Поступление</t>
        </is>
      </c>
      <c r="H1081">
        <f>VLOOKUP(C1081,Магазин!$A$2:$C$1000,2,0)</f>
        <v/>
      </c>
      <c r="I1081">
        <f>VLOOKUP(D1081,Товар!$A$2:$F$1000,3,0)</f>
        <v/>
      </c>
      <c r="J1081">
        <f>VLOOKUP(D1081,Товар!$A$2:$F$1000,5,0)</f>
        <v/>
      </c>
      <c r="K1081">
        <f>IF(AND(H1081="Промышленный",LEFT(I1081,18)="Порошок стиральный",F1081="Продажа",B1081=DATE(2023,6,7)),E1081*J1081/1000,0)</f>
        <v/>
      </c>
    </row>
    <row r="1082">
      <c r="A1082" t="n">
        <v>1081</v>
      </c>
      <c r="B1082" s="1" t="n">
        <v>45084</v>
      </c>
      <c r="C1082" s="5" t="inlineStr">
        <is>
          <t>M1</t>
        </is>
      </c>
      <c r="D1082" s="5" t="n">
        <v>1</v>
      </c>
      <c r="E1082" s="5" t="n">
        <v>180</v>
      </c>
      <c r="F1082" t="inlineStr">
        <is>
          <t>Продажа</t>
        </is>
      </c>
      <c r="H1082">
        <f>VLOOKUP(C1082,Магазин!$A$2:$C$1000,2,0)</f>
        <v/>
      </c>
      <c r="I1082">
        <f>VLOOKUP(D1082,Товар!$A$2:$F$1000,3,0)</f>
        <v/>
      </c>
      <c r="J1082">
        <f>VLOOKUP(D1082,Товар!$A$2:$F$1000,5,0)</f>
        <v/>
      </c>
      <c r="K1082">
        <f>IF(AND(H1082="Промышленный",LEFT(I1082,18)="Порошок стиральный",F1082="Продажа",B1082=DATE(2023,6,7)),E1082*J1082/1000,0)</f>
        <v/>
      </c>
    </row>
    <row r="1083">
      <c r="A1083" t="n">
        <v>1082</v>
      </c>
      <c r="B1083" s="1" t="n">
        <v>45084</v>
      </c>
      <c r="C1083" s="5" t="inlineStr">
        <is>
          <t>M1</t>
        </is>
      </c>
      <c r="D1083" s="5" t="n">
        <v>2</v>
      </c>
      <c r="E1083" s="5" t="n">
        <v>142</v>
      </c>
      <c r="F1083" t="inlineStr">
        <is>
          <t>Продажа</t>
        </is>
      </c>
      <c r="H1083">
        <f>VLOOKUP(C1083,Магазин!$A$2:$C$1000,2,0)</f>
        <v/>
      </c>
      <c r="I1083">
        <f>VLOOKUP(D1083,Товар!$A$2:$F$1000,3,0)</f>
        <v/>
      </c>
      <c r="J1083">
        <f>VLOOKUP(D1083,Товар!$A$2:$F$1000,5,0)</f>
        <v/>
      </c>
      <c r="K1083">
        <f>IF(AND(H1083="Промышленный",LEFT(I1083,18)="Порошок стиральный",F1083="Продажа",B1083=DATE(2023,6,7)),E1083*J1083/1000,0)</f>
        <v/>
      </c>
    </row>
    <row r="1084">
      <c r="A1084" t="n">
        <v>1083</v>
      </c>
      <c r="B1084" s="1" t="n">
        <v>45084</v>
      </c>
      <c r="C1084" s="5" t="inlineStr">
        <is>
          <t>M1</t>
        </is>
      </c>
      <c r="D1084" s="5" t="n">
        <v>3</v>
      </c>
      <c r="E1084" s="5" t="n">
        <v>156</v>
      </c>
      <c r="F1084" t="inlineStr">
        <is>
          <t>Продажа</t>
        </is>
      </c>
      <c r="H1084">
        <f>VLOOKUP(C1084,Магазин!$A$2:$C$1000,2,0)</f>
        <v/>
      </c>
      <c r="I1084">
        <f>VLOOKUP(D1084,Товар!$A$2:$F$1000,3,0)</f>
        <v/>
      </c>
      <c r="J1084">
        <f>VLOOKUP(D1084,Товар!$A$2:$F$1000,5,0)</f>
        <v/>
      </c>
      <c r="K1084">
        <f>IF(AND(H1084="Промышленный",LEFT(I1084,18)="Порошок стиральный",F1084="Продажа",B1084=DATE(2023,6,7)),E1084*J1084/1000,0)</f>
        <v/>
      </c>
    </row>
    <row r="1085">
      <c r="A1085" t="n">
        <v>1084</v>
      </c>
      <c r="B1085" s="1" t="n">
        <v>45084</v>
      </c>
      <c r="C1085" s="5" t="inlineStr">
        <is>
          <t>M1</t>
        </is>
      </c>
      <c r="D1085" s="5" t="n">
        <v>4</v>
      </c>
      <c r="E1085" s="5" t="n">
        <v>144</v>
      </c>
      <c r="F1085" t="inlineStr">
        <is>
          <t>Продажа</t>
        </is>
      </c>
      <c r="H1085">
        <f>VLOOKUP(C1085,Магазин!$A$2:$C$1000,2,0)</f>
        <v/>
      </c>
      <c r="I1085">
        <f>VLOOKUP(D1085,Товар!$A$2:$F$1000,3,0)</f>
        <v/>
      </c>
      <c r="J1085">
        <f>VLOOKUP(D1085,Товар!$A$2:$F$1000,5,0)</f>
        <v/>
      </c>
      <c r="K1085">
        <f>IF(AND(H1085="Промышленный",LEFT(I1085,18)="Порошок стиральный",F1085="Продажа",B1085=DATE(2023,6,7)),E1085*J1085/1000,0)</f>
        <v/>
      </c>
    </row>
    <row r="1086">
      <c r="A1086" t="n">
        <v>1085</v>
      </c>
      <c r="B1086" s="1" t="n">
        <v>45084</v>
      </c>
      <c r="C1086" s="5" t="inlineStr">
        <is>
          <t>M1</t>
        </is>
      </c>
      <c r="D1086" s="5" t="n">
        <v>5</v>
      </c>
      <c r="E1086" s="5" t="n">
        <v>178</v>
      </c>
      <c r="F1086" t="inlineStr">
        <is>
          <t>Продажа</t>
        </is>
      </c>
      <c r="H1086">
        <f>VLOOKUP(C1086,Магазин!$A$2:$C$1000,2,0)</f>
        <v/>
      </c>
      <c r="I1086">
        <f>VLOOKUP(D1086,Товар!$A$2:$F$1000,3,0)</f>
        <v/>
      </c>
      <c r="J1086">
        <f>VLOOKUP(D1086,Товар!$A$2:$F$1000,5,0)</f>
        <v/>
      </c>
      <c r="K1086">
        <f>IF(AND(H1086="Промышленный",LEFT(I1086,18)="Порошок стиральный",F1086="Продажа",B1086=DATE(2023,6,7)),E1086*J1086/1000,0)</f>
        <v/>
      </c>
    </row>
    <row r="1087">
      <c r="A1087" t="n">
        <v>1086</v>
      </c>
      <c r="B1087" s="1" t="n">
        <v>45084</v>
      </c>
      <c r="C1087" s="5" t="inlineStr">
        <is>
          <t>M1</t>
        </is>
      </c>
      <c r="D1087" s="5" t="n">
        <v>6</v>
      </c>
      <c r="E1087" s="5" t="n">
        <v>169</v>
      </c>
      <c r="F1087" t="inlineStr">
        <is>
          <t>Продажа</t>
        </is>
      </c>
      <c r="H1087">
        <f>VLOOKUP(C1087,Магазин!$A$2:$C$1000,2,0)</f>
        <v/>
      </c>
      <c r="I1087">
        <f>VLOOKUP(D1087,Товар!$A$2:$F$1000,3,0)</f>
        <v/>
      </c>
      <c r="J1087">
        <f>VLOOKUP(D1087,Товар!$A$2:$F$1000,5,0)</f>
        <v/>
      </c>
      <c r="K1087">
        <f>IF(AND(H1087="Промышленный",LEFT(I1087,18)="Порошок стиральный",F1087="Продажа",B1087=DATE(2023,6,7)),E1087*J1087/1000,0)</f>
        <v/>
      </c>
    </row>
    <row r="1088">
      <c r="A1088" t="n">
        <v>1087</v>
      </c>
      <c r="B1088" s="1" t="n">
        <v>45084</v>
      </c>
      <c r="C1088" s="5" t="inlineStr">
        <is>
          <t>M1</t>
        </is>
      </c>
      <c r="D1088" s="5" t="n">
        <v>7</v>
      </c>
      <c r="E1088" s="5" t="n">
        <v>196</v>
      </c>
      <c r="F1088" t="inlineStr">
        <is>
          <t>Продажа</t>
        </is>
      </c>
      <c r="H1088">
        <f>VLOOKUP(C1088,Магазин!$A$2:$C$1000,2,0)</f>
        <v/>
      </c>
      <c r="I1088">
        <f>VLOOKUP(D1088,Товар!$A$2:$F$1000,3,0)</f>
        <v/>
      </c>
      <c r="J1088">
        <f>VLOOKUP(D1088,Товар!$A$2:$F$1000,5,0)</f>
        <v/>
      </c>
      <c r="K1088">
        <f>IF(AND(H1088="Промышленный",LEFT(I1088,18)="Порошок стиральный",F1088="Продажа",B1088=DATE(2023,6,7)),E1088*J1088/1000,0)</f>
        <v/>
      </c>
    </row>
    <row r="1089">
      <c r="A1089" t="n">
        <v>1088</v>
      </c>
      <c r="B1089" s="1" t="n">
        <v>45084</v>
      </c>
      <c r="C1089" s="5" t="inlineStr">
        <is>
          <t>M1</t>
        </is>
      </c>
      <c r="D1089" s="5" t="n">
        <v>8</v>
      </c>
      <c r="E1089" s="5" t="n">
        <v>123</v>
      </c>
      <c r="F1089" t="inlineStr">
        <is>
          <t>Продажа</t>
        </is>
      </c>
      <c r="H1089">
        <f>VLOOKUP(C1089,Магазин!$A$2:$C$1000,2,0)</f>
        <v/>
      </c>
      <c r="I1089">
        <f>VLOOKUP(D1089,Товар!$A$2:$F$1000,3,0)</f>
        <v/>
      </c>
      <c r="J1089">
        <f>VLOOKUP(D1089,Товар!$A$2:$F$1000,5,0)</f>
        <v/>
      </c>
      <c r="K1089">
        <f>IF(AND(H1089="Промышленный",LEFT(I1089,18)="Порошок стиральный",F1089="Продажа",B1089=DATE(2023,6,7)),E1089*J1089/1000,0)</f>
        <v/>
      </c>
    </row>
    <row r="1090">
      <c r="A1090" t="n">
        <v>1089</v>
      </c>
      <c r="B1090" s="1" t="n">
        <v>45084</v>
      </c>
      <c r="C1090" s="5" t="inlineStr">
        <is>
          <t>M1</t>
        </is>
      </c>
      <c r="D1090" s="5" t="n">
        <v>9</v>
      </c>
      <c r="E1090" s="5" t="n">
        <v>111</v>
      </c>
      <c r="F1090" t="inlineStr">
        <is>
          <t>Продажа</t>
        </is>
      </c>
      <c r="H1090">
        <f>VLOOKUP(C1090,Магазин!$A$2:$C$1000,2,0)</f>
        <v/>
      </c>
      <c r="I1090">
        <f>VLOOKUP(D1090,Товар!$A$2:$F$1000,3,0)</f>
        <v/>
      </c>
      <c r="J1090">
        <f>VLOOKUP(D1090,Товар!$A$2:$F$1000,5,0)</f>
        <v/>
      </c>
      <c r="K1090">
        <f>IF(AND(H1090="Промышленный",LEFT(I1090,18)="Порошок стиральный",F1090="Продажа",B1090=DATE(2023,6,7)),E1090*J1090/1000,0)</f>
        <v/>
      </c>
    </row>
    <row r="1091">
      <c r="A1091" t="n">
        <v>1090</v>
      </c>
      <c r="B1091" s="1" t="n">
        <v>45084</v>
      </c>
      <c r="C1091" s="5" t="inlineStr">
        <is>
          <t>M1</t>
        </is>
      </c>
      <c r="D1091" s="5" t="n">
        <v>10</v>
      </c>
      <c r="E1091" s="5" t="n">
        <v>158</v>
      </c>
      <c r="F1091" t="inlineStr">
        <is>
          <t>Продажа</t>
        </is>
      </c>
      <c r="H1091">
        <f>VLOOKUP(C1091,Магазин!$A$2:$C$1000,2,0)</f>
        <v/>
      </c>
      <c r="I1091">
        <f>VLOOKUP(D1091,Товар!$A$2:$F$1000,3,0)</f>
        <v/>
      </c>
      <c r="J1091">
        <f>VLOOKUP(D1091,Товар!$A$2:$F$1000,5,0)</f>
        <v/>
      </c>
      <c r="K1091">
        <f>IF(AND(H1091="Промышленный",LEFT(I1091,18)="Порошок стиральный",F1091="Продажа",B1091=DATE(2023,6,7)),E1091*J1091/1000,0)</f>
        <v/>
      </c>
    </row>
    <row r="1092">
      <c r="A1092" t="n">
        <v>1091</v>
      </c>
      <c r="B1092" s="1" t="n">
        <v>45084</v>
      </c>
      <c r="C1092" s="5" t="inlineStr">
        <is>
          <t>M1</t>
        </is>
      </c>
      <c r="D1092" s="5" t="n">
        <v>11</v>
      </c>
      <c r="E1092" s="5" t="n">
        <v>175</v>
      </c>
      <c r="F1092" t="inlineStr">
        <is>
          <t>Продажа</t>
        </is>
      </c>
      <c r="H1092">
        <f>VLOOKUP(C1092,Магазин!$A$2:$C$1000,2,0)</f>
        <v/>
      </c>
      <c r="I1092">
        <f>VLOOKUP(D1092,Товар!$A$2:$F$1000,3,0)</f>
        <v/>
      </c>
      <c r="J1092">
        <f>VLOOKUP(D1092,Товар!$A$2:$F$1000,5,0)</f>
        <v/>
      </c>
      <c r="K1092">
        <f>IF(AND(H1092="Промышленный",LEFT(I1092,18)="Порошок стиральный",F1092="Продажа",B1092=DATE(2023,6,7)),E1092*J1092/1000,0)</f>
        <v/>
      </c>
    </row>
    <row r="1093">
      <c r="A1093" t="n">
        <v>1092</v>
      </c>
      <c r="B1093" s="1" t="n">
        <v>45084</v>
      </c>
      <c r="C1093" s="5" t="inlineStr">
        <is>
          <t>M1</t>
        </is>
      </c>
      <c r="D1093" s="5" t="n">
        <v>12</v>
      </c>
      <c r="E1093" s="5" t="n">
        <v>114</v>
      </c>
      <c r="F1093" t="inlineStr">
        <is>
          <t>Продажа</t>
        </is>
      </c>
      <c r="H1093">
        <f>VLOOKUP(C1093,Магазин!$A$2:$C$1000,2,0)</f>
        <v/>
      </c>
      <c r="I1093">
        <f>VLOOKUP(D1093,Товар!$A$2:$F$1000,3,0)</f>
        <v/>
      </c>
      <c r="J1093">
        <f>VLOOKUP(D1093,Товар!$A$2:$F$1000,5,0)</f>
        <v/>
      </c>
      <c r="K1093">
        <f>IF(AND(H1093="Промышленный",LEFT(I1093,18)="Порошок стиральный",F1093="Продажа",B1093=DATE(2023,6,7)),E1093*J1093/1000,0)</f>
        <v/>
      </c>
    </row>
    <row r="1094">
      <c r="A1094" t="n">
        <v>1093</v>
      </c>
      <c r="B1094" s="1" t="n">
        <v>45084</v>
      </c>
      <c r="C1094" s="5" t="inlineStr">
        <is>
          <t>M1</t>
        </is>
      </c>
      <c r="D1094" s="5" t="n">
        <v>13</v>
      </c>
      <c r="E1094" s="5" t="n">
        <v>139</v>
      </c>
      <c r="F1094" t="inlineStr">
        <is>
          <t>Продажа</t>
        </is>
      </c>
      <c r="H1094">
        <f>VLOOKUP(C1094,Магазин!$A$2:$C$1000,2,0)</f>
        <v/>
      </c>
      <c r="I1094">
        <f>VLOOKUP(D1094,Товар!$A$2:$F$1000,3,0)</f>
        <v/>
      </c>
      <c r="J1094">
        <f>VLOOKUP(D1094,Товар!$A$2:$F$1000,5,0)</f>
        <v/>
      </c>
      <c r="K1094">
        <f>IF(AND(H1094="Промышленный",LEFT(I1094,18)="Порошок стиральный",F1094="Продажа",B1094=DATE(2023,6,7)),E1094*J1094/1000,0)</f>
        <v/>
      </c>
    </row>
    <row r="1095">
      <c r="A1095" t="n">
        <v>1094</v>
      </c>
      <c r="B1095" s="1" t="n">
        <v>45084</v>
      </c>
      <c r="C1095" s="5" t="inlineStr">
        <is>
          <t>M1</t>
        </is>
      </c>
      <c r="D1095" s="5" t="n">
        <v>14</v>
      </c>
      <c r="E1095" s="5" t="n">
        <v>141</v>
      </c>
      <c r="F1095" t="inlineStr">
        <is>
          <t>Продажа</t>
        </is>
      </c>
      <c r="H1095">
        <f>VLOOKUP(C1095,Магазин!$A$2:$C$1000,2,0)</f>
        <v/>
      </c>
      <c r="I1095">
        <f>VLOOKUP(D1095,Товар!$A$2:$F$1000,3,0)</f>
        <v/>
      </c>
      <c r="J1095">
        <f>VLOOKUP(D1095,Товар!$A$2:$F$1000,5,0)</f>
        <v/>
      </c>
      <c r="K1095">
        <f>IF(AND(H1095="Промышленный",LEFT(I1095,18)="Порошок стиральный",F1095="Продажа",B1095=DATE(2023,6,7)),E1095*J1095/1000,0)</f>
        <v/>
      </c>
    </row>
    <row r="1096">
      <c r="A1096" t="n">
        <v>1095</v>
      </c>
      <c r="B1096" s="1" t="n">
        <v>45084</v>
      </c>
      <c r="C1096" s="5" t="inlineStr">
        <is>
          <t>M1</t>
        </is>
      </c>
      <c r="D1096" s="5" t="n">
        <v>15</v>
      </c>
      <c r="E1096" s="5" t="n">
        <v>122</v>
      </c>
      <c r="F1096" t="inlineStr">
        <is>
          <t>Продажа</t>
        </is>
      </c>
      <c r="H1096">
        <f>VLOOKUP(C1096,Магазин!$A$2:$C$1000,2,0)</f>
        <v/>
      </c>
      <c r="I1096">
        <f>VLOOKUP(D1096,Товар!$A$2:$F$1000,3,0)</f>
        <v/>
      </c>
      <c r="J1096">
        <f>VLOOKUP(D1096,Товар!$A$2:$F$1000,5,0)</f>
        <v/>
      </c>
      <c r="K1096">
        <f>IF(AND(H1096="Промышленный",LEFT(I1096,18)="Порошок стиральный",F1096="Продажа",B1096=DATE(2023,6,7)),E1096*J1096/1000,0)</f>
        <v/>
      </c>
    </row>
    <row r="1097">
      <c r="A1097" t="n">
        <v>1096</v>
      </c>
      <c r="B1097" s="1" t="n">
        <v>45084</v>
      </c>
      <c r="C1097" s="5" t="inlineStr">
        <is>
          <t>M1</t>
        </is>
      </c>
      <c r="D1097" s="5" t="n">
        <v>16</v>
      </c>
      <c r="E1097" s="5" t="n">
        <v>123</v>
      </c>
      <c r="F1097" t="inlineStr">
        <is>
          <t>Продажа</t>
        </is>
      </c>
      <c r="H1097">
        <f>VLOOKUP(C1097,Магазин!$A$2:$C$1000,2,0)</f>
        <v/>
      </c>
      <c r="I1097">
        <f>VLOOKUP(D1097,Товар!$A$2:$F$1000,3,0)</f>
        <v/>
      </c>
      <c r="J1097">
        <f>VLOOKUP(D1097,Товар!$A$2:$F$1000,5,0)</f>
        <v/>
      </c>
      <c r="K1097">
        <f>IF(AND(H1097="Промышленный",LEFT(I1097,18)="Порошок стиральный",F1097="Продажа",B1097=DATE(2023,6,7)),E1097*J1097/1000,0)</f>
        <v/>
      </c>
    </row>
    <row r="1098">
      <c r="A1098" t="n">
        <v>1097</v>
      </c>
      <c r="B1098" s="1" t="n">
        <v>45084</v>
      </c>
      <c r="C1098" s="5" t="inlineStr">
        <is>
          <t>M1</t>
        </is>
      </c>
      <c r="D1098" s="5" t="n">
        <v>17</v>
      </c>
      <c r="E1098" s="5" t="n">
        <v>158</v>
      </c>
      <c r="F1098" t="inlineStr">
        <is>
          <t>Продажа</t>
        </is>
      </c>
      <c r="H1098">
        <f>VLOOKUP(C1098,Магазин!$A$2:$C$1000,2,0)</f>
        <v/>
      </c>
      <c r="I1098">
        <f>VLOOKUP(D1098,Товар!$A$2:$F$1000,3,0)</f>
        <v/>
      </c>
      <c r="J1098">
        <f>VLOOKUP(D1098,Товар!$A$2:$F$1000,5,0)</f>
        <v/>
      </c>
      <c r="K1098">
        <f>IF(AND(H1098="Промышленный",LEFT(I1098,18)="Порошок стиральный",F1098="Продажа",B1098=DATE(2023,6,7)),E1098*J1098/1000,0)</f>
        <v/>
      </c>
    </row>
    <row r="1099">
      <c r="A1099" t="n">
        <v>1098</v>
      </c>
      <c r="B1099" s="1" t="n">
        <v>45084</v>
      </c>
      <c r="C1099" s="5" t="inlineStr">
        <is>
          <t>M1</t>
        </is>
      </c>
      <c r="D1099" s="5" t="n">
        <v>18</v>
      </c>
      <c r="E1099" s="5" t="n">
        <v>146</v>
      </c>
      <c r="F1099" t="inlineStr">
        <is>
          <t>Продажа</t>
        </is>
      </c>
      <c r="H1099">
        <f>VLOOKUP(C1099,Магазин!$A$2:$C$1000,2,0)</f>
        <v/>
      </c>
      <c r="I1099">
        <f>VLOOKUP(D1099,Товар!$A$2:$F$1000,3,0)</f>
        <v/>
      </c>
      <c r="J1099">
        <f>VLOOKUP(D1099,Товар!$A$2:$F$1000,5,0)</f>
        <v/>
      </c>
      <c r="K1099">
        <f>IF(AND(H1099="Промышленный",LEFT(I1099,18)="Порошок стиральный",F1099="Продажа",B1099=DATE(2023,6,7)),E1099*J1099/1000,0)</f>
        <v/>
      </c>
    </row>
    <row r="1100">
      <c r="A1100" t="n">
        <v>1099</v>
      </c>
      <c r="B1100" s="1" t="n">
        <v>45084</v>
      </c>
      <c r="C1100" s="5" t="inlineStr">
        <is>
          <t>M1</t>
        </is>
      </c>
      <c r="D1100" s="5" t="n">
        <v>19</v>
      </c>
      <c r="E1100" s="5" t="n">
        <v>147</v>
      </c>
      <c r="F1100" t="inlineStr">
        <is>
          <t>Продажа</t>
        </is>
      </c>
      <c r="H1100">
        <f>VLOOKUP(C1100,Магазин!$A$2:$C$1000,2,0)</f>
        <v/>
      </c>
      <c r="I1100">
        <f>VLOOKUP(D1100,Товар!$A$2:$F$1000,3,0)</f>
        <v/>
      </c>
      <c r="J1100">
        <f>VLOOKUP(D1100,Товар!$A$2:$F$1000,5,0)</f>
        <v/>
      </c>
      <c r="K1100">
        <f>IF(AND(H1100="Промышленный",LEFT(I1100,18)="Порошок стиральный",F1100="Продажа",B1100=DATE(2023,6,7)),E1100*J1100/1000,0)</f>
        <v/>
      </c>
    </row>
    <row r="1101">
      <c r="A1101" t="n">
        <v>1100</v>
      </c>
      <c r="B1101" s="1" t="n">
        <v>45084</v>
      </c>
      <c r="C1101" s="5" t="inlineStr">
        <is>
          <t>M1</t>
        </is>
      </c>
      <c r="D1101" s="5" t="n">
        <v>20</v>
      </c>
      <c r="E1101" s="5" t="n">
        <v>169</v>
      </c>
      <c r="F1101" t="inlineStr">
        <is>
          <t>Продажа</t>
        </is>
      </c>
      <c r="H1101">
        <f>VLOOKUP(C1101,Магазин!$A$2:$C$1000,2,0)</f>
        <v/>
      </c>
      <c r="I1101">
        <f>VLOOKUP(D1101,Товар!$A$2:$F$1000,3,0)</f>
        <v/>
      </c>
      <c r="J1101">
        <f>VLOOKUP(D1101,Товар!$A$2:$F$1000,5,0)</f>
        <v/>
      </c>
      <c r="K1101">
        <f>IF(AND(H1101="Промышленный",LEFT(I1101,18)="Порошок стиральный",F1101="Продажа",B1101=DATE(2023,6,7)),E1101*J1101/1000,0)</f>
        <v/>
      </c>
    </row>
    <row r="1102">
      <c r="A1102" t="n">
        <v>1101</v>
      </c>
      <c r="B1102" s="1" t="n">
        <v>45084</v>
      </c>
      <c r="C1102" s="5" t="inlineStr">
        <is>
          <t>M1</t>
        </is>
      </c>
      <c r="D1102" s="5" t="n">
        <v>21</v>
      </c>
      <c r="E1102" s="5" t="n">
        <v>199</v>
      </c>
      <c r="F1102" t="inlineStr">
        <is>
          <t>Продажа</t>
        </is>
      </c>
      <c r="H1102">
        <f>VLOOKUP(C1102,Магазин!$A$2:$C$1000,2,0)</f>
        <v/>
      </c>
      <c r="I1102">
        <f>VLOOKUP(D1102,Товар!$A$2:$F$1000,3,0)</f>
        <v/>
      </c>
      <c r="J1102">
        <f>VLOOKUP(D1102,Товар!$A$2:$F$1000,5,0)</f>
        <v/>
      </c>
      <c r="K1102">
        <f>IF(AND(H1102="Промышленный",LEFT(I1102,18)="Порошок стиральный",F1102="Продажа",B1102=DATE(2023,6,7)),E1102*J1102/1000,0)</f>
        <v/>
      </c>
    </row>
    <row r="1103">
      <c r="A1103" t="n">
        <v>1102</v>
      </c>
      <c r="B1103" s="1" t="n">
        <v>45084</v>
      </c>
      <c r="C1103" s="5" t="inlineStr">
        <is>
          <t>M1</t>
        </is>
      </c>
      <c r="D1103" s="5" t="n">
        <v>22</v>
      </c>
      <c r="E1103" s="5" t="n">
        <v>147</v>
      </c>
      <c r="F1103" t="inlineStr">
        <is>
          <t>Продажа</t>
        </is>
      </c>
      <c r="H1103">
        <f>VLOOKUP(C1103,Магазин!$A$2:$C$1000,2,0)</f>
        <v/>
      </c>
      <c r="I1103">
        <f>VLOOKUP(D1103,Товар!$A$2:$F$1000,3,0)</f>
        <v/>
      </c>
      <c r="J1103">
        <f>VLOOKUP(D1103,Товар!$A$2:$F$1000,5,0)</f>
        <v/>
      </c>
      <c r="K1103">
        <f>IF(AND(H1103="Промышленный",LEFT(I1103,18)="Порошок стиральный",F1103="Продажа",B1103=DATE(2023,6,7)),E1103*J1103/1000,0)</f>
        <v/>
      </c>
    </row>
    <row r="1104">
      <c r="A1104" t="n">
        <v>1103</v>
      </c>
      <c r="B1104" s="1" t="n">
        <v>45084</v>
      </c>
      <c r="C1104" s="5" t="inlineStr">
        <is>
          <t>M1</t>
        </is>
      </c>
      <c r="D1104" s="5" t="n">
        <v>23</v>
      </c>
      <c r="E1104" s="5" t="n">
        <v>138</v>
      </c>
      <c r="F1104" t="inlineStr">
        <is>
          <t>Продажа</t>
        </is>
      </c>
      <c r="H1104">
        <f>VLOOKUP(C1104,Магазин!$A$2:$C$1000,2,0)</f>
        <v/>
      </c>
      <c r="I1104">
        <f>VLOOKUP(D1104,Товар!$A$2:$F$1000,3,0)</f>
        <v/>
      </c>
      <c r="J1104">
        <f>VLOOKUP(D1104,Товар!$A$2:$F$1000,5,0)</f>
        <v/>
      </c>
      <c r="K1104">
        <f>IF(AND(H1104="Промышленный",LEFT(I1104,18)="Порошок стиральный",F1104="Продажа",B1104=DATE(2023,6,7)),E1104*J1104/1000,0)</f>
        <v/>
      </c>
    </row>
    <row r="1105">
      <c r="A1105" t="n">
        <v>1104</v>
      </c>
      <c r="B1105" s="1" t="n">
        <v>45084</v>
      </c>
      <c r="C1105" s="5" t="inlineStr">
        <is>
          <t>M1</t>
        </is>
      </c>
      <c r="D1105" s="5" t="n">
        <v>24</v>
      </c>
      <c r="E1105" s="5" t="n">
        <v>129</v>
      </c>
      <c r="F1105" t="inlineStr">
        <is>
          <t>Продажа</t>
        </is>
      </c>
      <c r="H1105">
        <f>VLOOKUP(C1105,Магазин!$A$2:$C$1000,2,0)</f>
        <v/>
      </c>
      <c r="I1105">
        <f>VLOOKUP(D1105,Товар!$A$2:$F$1000,3,0)</f>
        <v/>
      </c>
      <c r="J1105">
        <f>VLOOKUP(D1105,Товар!$A$2:$F$1000,5,0)</f>
        <v/>
      </c>
      <c r="K1105">
        <f>IF(AND(H1105="Промышленный",LEFT(I1105,18)="Порошок стиральный",F1105="Продажа",B1105=DATE(2023,6,7)),E1105*J1105/1000,0)</f>
        <v/>
      </c>
    </row>
    <row r="1106">
      <c r="A1106" t="n">
        <v>1105</v>
      </c>
      <c r="B1106" s="1" t="n">
        <v>45084</v>
      </c>
      <c r="C1106" s="5" t="inlineStr">
        <is>
          <t>M1</t>
        </is>
      </c>
      <c r="D1106" s="5" t="n">
        <v>25</v>
      </c>
      <c r="E1106" s="5" t="n">
        <v>191</v>
      </c>
      <c r="F1106" t="inlineStr">
        <is>
          <t>Продажа</t>
        </is>
      </c>
      <c r="H1106">
        <f>VLOOKUP(C1106,Магазин!$A$2:$C$1000,2,0)</f>
        <v/>
      </c>
      <c r="I1106">
        <f>VLOOKUP(D1106,Товар!$A$2:$F$1000,3,0)</f>
        <v/>
      </c>
      <c r="J1106">
        <f>VLOOKUP(D1106,Товар!$A$2:$F$1000,5,0)</f>
        <v/>
      </c>
      <c r="K1106">
        <f>IF(AND(H1106="Промышленный",LEFT(I1106,18)="Порошок стиральный",F1106="Продажа",B1106=DATE(2023,6,7)),E1106*J1106/1000,0)</f>
        <v/>
      </c>
    </row>
    <row r="1107">
      <c r="A1107" t="n">
        <v>1106</v>
      </c>
      <c r="B1107" s="1" t="n">
        <v>45084</v>
      </c>
      <c r="C1107" s="5" t="inlineStr">
        <is>
          <t>M1</t>
        </is>
      </c>
      <c r="D1107" s="5" t="n">
        <v>26</v>
      </c>
      <c r="E1107" s="5" t="n">
        <v>155</v>
      </c>
      <c r="F1107" t="inlineStr">
        <is>
          <t>Продажа</t>
        </is>
      </c>
      <c r="H1107">
        <f>VLOOKUP(C1107,Магазин!$A$2:$C$1000,2,0)</f>
        <v/>
      </c>
      <c r="I1107">
        <f>VLOOKUP(D1107,Товар!$A$2:$F$1000,3,0)</f>
        <v/>
      </c>
      <c r="J1107">
        <f>VLOOKUP(D1107,Товар!$A$2:$F$1000,5,0)</f>
        <v/>
      </c>
      <c r="K1107">
        <f>IF(AND(H1107="Промышленный",LEFT(I1107,18)="Порошок стиральный",F1107="Продажа",B1107=DATE(2023,6,7)),E1107*J1107/1000,0)</f>
        <v/>
      </c>
    </row>
    <row r="1108">
      <c r="A1108" t="n">
        <v>1107</v>
      </c>
      <c r="B1108" s="1" t="n">
        <v>45084</v>
      </c>
      <c r="C1108" s="5" t="inlineStr">
        <is>
          <t>M1</t>
        </is>
      </c>
      <c r="D1108" s="5" t="n">
        <v>27</v>
      </c>
      <c r="E1108" s="5" t="n">
        <v>143</v>
      </c>
      <c r="F1108" t="inlineStr">
        <is>
          <t>Продажа</t>
        </is>
      </c>
      <c r="H1108">
        <f>VLOOKUP(C1108,Магазин!$A$2:$C$1000,2,0)</f>
        <v/>
      </c>
      <c r="I1108">
        <f>VLOOKUP(D1108,Товар!$A$2:$F$1000,3,0)</f>
        <v/>
      </c>
      <c r="J1108">
        <f>VLOOKUP(D1108,Товар!$A$2:$F$1000,5,0)</f>
        <v/>
      </c>
      <c r="K1108">
        <f>IF(AND(H1108="Промышленный",LEFT(I1108,18)="Порошок стиральный",F1108="Продажа",B1108=DATE(2023,6,7)),E1108*J1108/1000,0)</f>
        <v/>
      </c>
    </row>
    <row r="1109">
      <c r="A1109" t="n">
        <v>1108</v>
      </c>
      <c r="B1109" s="1" t="n">
        <v>45084</v>
      </c>
      <c r="C1109" s="5" t="inlineStr">
        <is>
          <t>M1</t>
        </is>
      </c>
      <c r="D1109" s="5" t="n">
        <v>28</v>
      </c>
      <c r="E1109" s="5" t="n">
        <v>178</v>
      </c>
      <c r="F1109" t="inlineStr">
        <is>
          <t>Продажа</t>
        </is>
      </c>
      <c r="H1109">
        <f>VLOOKUP(C1109,Магазин!$A$2:$C$1000,2,0)</f>
        <v/>
      </c>
      <c r="I1109">
        <f>VLOOKUP(D1109,Товар!$A$2:$F$1000,3,0)</f>
        <v/>
      </c>
      <c r="J1109">
        <f>VLOOKUP(D1109,Товар!$A$2:$F$1000,5,0)</f>
        <v/>
      </c>
      <c r="K1109">
        <f>IF(AND(H1109="Промышленный",LEFT(I1109,18)="Порошок стиральный",F1109="Продажа",B1109=DATE(2023,6,7)),E1109*J1109/1000,0)</f>
        <v/>
      </c>
    </row>
    <row r="1110">
      <c r="A1110" t="n">
        <v>1109</v>
      </c>
      <c r="B1110" s="1" t="n">
        <v>45084</v>
      </c>
      <c r="C1110" s="5" t="inlineStr">
        <is>
          <t>M1</t>
        </is>
      </c>
      <c r="D1110" s="5" t="n">
        <v>29</v>
      </c>
      <c r="E1110" s="5" t="n">
        <v>146</v>
      </c>
      <c r="F1110" t="inlineStr">
        <is>
          <t>Продажа</t>
        </is>
      </c>
      <c r="H1110">
        <f>VLOOKUP(C1110,Магазин!$A$2:$C$1000,2,0)</f>
        <v/>
      </c>
      <c r="I1110">
        <f>VLOOKUP(D1110,Товар!$A$2:$F$1000,3,0)</f>
        <v/>
      </c>
      <c r="J1110">
        <f>VLOOKUP(D1110,Товар!$A$2:$F$1000,5,0)</f>
        <v/>
      </c>
      <c r="K1110">
        <f>IF(AND(H1110="Промышленный",LEFT(I1110,18)="Порошок стиральный",F1110="Продажа",B1110=DATE(2023,6,7)),E1110*J1110/1000,0)</f>
        <v/>
      </c>
    </row>
    <row r="1111">
      <c r="A1111" t="n">
        <v>1110</v>
      </c>
      <c r="B1111" s="1" t="n">
        <v>45084</v>
      </c>
      <c r="C1111" s="5" t="inlineStr">
        <is>
          <t>M1</t>
        </is>
      </c>
      <c r="D1111" s="5" t="n">
        <v>30</v>
      </c>
      <c r="E1111" s="5" t="n">
        <v>128</v>
      </c>
      <c r="F1111" t="inlineStr">
        <is>
          <t>Продажа</t>
        </is>
      </c>
      <c r="H1111">
        <f>VLOOKUP(C1111,Магазин!$A$2:$C$1000,2,0)</f>
        <v/>
      </c>
      <c r="I1111">
        <f>VLOOKUP(D1111,Товар!$A$2:$F$1000,3,0)</f>
        <v/>
      </c>
      <c r="J1111">
        <f>VLOOKUP(D1111,Товар!$A$2:$F$1000,5,0)</f>
        <v/>
      </c>
      <c r="K1111">
        <f>IF(AND(H1111="Промышленный",LEFT(I1111,18)="Порошок стиральный",F1111="Продажа",B1111=DATE(2023,6,7)),E1111*J1111/1000,0)</f>
        <v/>
      </c>
    </row>
    <row r="1112">
      <c r="A1112" t="n">
        <v>1111</v>
      </c>
      <c r="B1112" s="1" t="n">
        <v>45084</v>
      </c>
      <c r="C1112" s="5" t="inlineStr">
        <is>
          <t>M1</t>
        </is>
      </c>
      <c r="D1112" s="5" t="n">
        <v>31</v>
      </c>
      <c r="E1112" s="5" t="n">
        <v>191</v>
      </c>
      <c r="F1112" t="inlineStr">
        <is>
          <t>Продажа</t>
        </is>
      </c>
      <c r="H1112">
        <f>VLOOKUP(C1112,Магазин!$A$2:$C$1000,2,0)</f>
        <v/>
      </c>
      <c r="I1112">
        <f>VLOOKUP(D1112,Товар!$A$2:$F$1000,3,0)</f>
        <v/>
      </c>
      <c r="J1112">
        <f>VLOOKUP(D1112,Товар!$A$2:$F$1000,5,0)</f>
        <v/>
      </c>
      <c r="K1112">
        <f>IF(AND(H1112="Промышленный",LEFT(I1112,18)="Порошок стиральный",F1112="Продажа",B1112=DATE(2023,6,7)),E1112*J1112/1000,0)</f>
        <v/>
      </c>
    </row>
    <row r="1113">
      <c r="A1113" t="n">
        <v>1112</v>
      </c>
      <c r="B1113" s="1" t="n">
        <v>45084</v>
      </c>
      <c r="C1113" s="5" t="inlineStr">
        <is>
          <t>M1</t>
        </is>
      </c>
      <c r="D1113" s="5" t="n">
        <v>32</v>
      </c>
      <c r="E1113" s="5" t="n">
        <v>165</v>
      </c>
      <c r="F1113" t="inlineStr">
        <is>
          <t>Продажа</t>
        </is>
      </c>
      <c r="H1113">
        <f>VLOOKUP(C1113,Магазин!$A$2:$C$1000,2,0)</f>
        <v/>
      </c>
      <c r="I1113">
        <f>VLOOKUP(D1113,Товар!$A$2:$F$1000,3,0)</f>
        <v/>
      </c>
      <c r="J1113">
        <f>VLOOKUP(D1113,Товар!$A$2:$F$1000,5,0)</f>
        <v/>
      </c>
      <c r="K1113">
        <f>IF(AND(H1113="Промышленный",LEFT(I1113,18)="Порошок стиральный",F1113="Продажа",B1113=DATE(2023,6,7)),E1113*J1113/1000,0)</f>
        <v/>
      </c>
    </row>
    <row r="1114">
      <c r="A1114" t="n">
        <v>1113</v>
      </c>
      <c r="B1114" s="1" t="n">
        <v>45084</v>
      </c>
      <c r="C1114" s="5" t="inlineStr">
        <is>
          <t>M1</t>
        </is>
      </c>
      <c r="D1114" s="5" t="n">
        <v>33</v>
      </c>
      <c r="E1114" s="5" t="n">
        <v>167</v>
      </c>
      <c r="F1114" t="inlineStr">
        <is>
          <t>Продажа</t>
        </is>
      </c>
      <c r="H1114">
        <f>VLOOKUP(C1114,Магазин!$A$2:$C$1000,2,0)</f>
        <v/>
      </c>
      <c r="I1114">
        <f>VLOOKUP(D1114,Товар!$A$2:$F$1000,3,0)</f>
        <v/>
      </c>
      <c r="J1114">
        <f>VLOOKUP(D1114,Товар!$A$2:$F$1000,5,0)</f>
        <v/>
      </c>
      <c r="K1114">
        <f>IF(AND(H1114="Промышленный",LEFT(I1114,18)="Порошок стиральный",F1114="Продажа",B1114=DATE(2023,6,7)),E1114*J1114/1000,0)</f>
        <v/>
      </c>
    </row>
    <row r="1115">
      <c r="A1115" t="n">
        <v>1114</v>
      </c>
      <c r="B1115" s="1" t="n">
        <v>45084</v>
      </c>
      <c r="C1115" s="5" t="inlineStr">
        <is>
          <t>M1</t>
        </is>
      </c>
      <c r="D1115" s="5" t="n">
        <v>34</v>
      </c>
      <c r="E1115" s="5" t="n">
        <v>132</v>
      </c>
      <c r="F1115" t="inlineStr">
        <is>
          <t>Продажа</t>
        </is>
      </c>
      <c r="H1115">
        <f>VLOOKUP(C1115,Магазин!$A$2:$C$1000,2,0)</f>
        <v/>
      </c>
      <c r="I1115">
        <f>VLOOKUP(D1115,Товар!$A$2:$F$1000,3,0)</f>
        <v/>
      </c>
      <c r="J1115">
        <f>VLOOKUP(D1115,Товар!$A$2:$F$1000,5,0)</f>
        <v/>
      </c>
      <c r="K1115">
        <f>IF(AND(H1115="Промышленный",LEFT(I1115,18)="Порошок стиральный",F1115="Продажа",B1115=DATE(2023,6,7)),E1115*J1115/1000,0)</f>
        <v/>
      </c>
    </row>
    <row r="1116">
      <c r="A1116" t="n">
        <v>1115</v>
      </c>
      <c r="B1116" s="1" t="n">
        <v>45084</v>
      </c>
      <c r="C1116" s="5" t="inlineStr">
        <is>
          <t>M1</t>
        </is>
      </c>
      <c r="D1116" s="5" t="n">
        <v>35</v>
      </c>
      <c r="E1116" s="5" t="n">
        <v>105</v>
      </c>
      <c r="F1116" t="inlineStr">
        <is>
          <t>Продажа</t>
        </is>
      </c>
      <c r="H1116">
        <f>VLOOKUP(C1116,Магазин!$A$2:$C$1000,2,0)</f>
        <v/>
      </c>
      <c r="I1116">
        <f>VLOOKUP(D1116,Товар!$A$2:$F$1000,3,0)</f>
        <v/>
      </c>
      <c r="J1116">
        <f>VLOOKUP(D1116,Товар!$A$2:$F$1000,5,0)</f>
        <v/>
      </c>
      <c r="K1116">
        <f>IF(AND(H1116="Промышленный",LEFT(I1116,18)="Порошок стиральный",F1116="Продажа",B1116=DATE(2023,6,7)),E1116*J1116/1000,0)</f>
        <v/>
      </c>
    </row>
    <row r="1117">
      <c r="A1117" t="n">
        <v>1116</v>
      </c>
      <c r="B1117" s="1" t="n">
        <v>45084</v>
      </c>
      <c r="C1117" s="5" t="inlineStr">
        <is>
          <t>M1</t>
        </is>
      </c>
      <c r="D1117" s="5" t="n">
        <v>36</v>
      </c>
      <c r="E1117" s="5" t="n">
        <v>114</v>
      </c>
      <c r="F1117" t="inlineStr">
        <is>
          <t>Продажа</t>
        </is>
      </c>
      <c r="H1117">
        <f>VLOOKUP(C1117,Магазин!$A$2:$C$1000,2,0)</f>
        <v/>
      </c>
      <c r="I1117">
        <f>VLOOKUP(D1117,Товар!$A$2:$F$1000,3,0)</f>
        <v/>
      </c>
      <c r="J1117">
        <f>VLOOKUP(D1117,Товар!$A$2:$F$1000,5,0)</f>
        <v/>
      </c>
      <c r="K1117">
        <f>IF(AND(H1117="Промышленный",LEFT(I1117,18)="Порошок стиральный",F1117="Продажа",B1117=DATE(2023,6,7)),E1117*J1117/1000,0)</f>
        <v/>
      </c>
    </row>
    <row r="1118">
      <c r="A1118" t="n">
        <v>1117</v>
      </c>
      <c r="B1118" s="1" t="n">
        <v>45084</v>
      </c>
      <c r="C1118" s="5" t="inlineStr">
        <is>
          <t>M5</t>
        </is>
      </c>
      <c r="D1118" s="5" t="n">
        <v>1</v>
      </c>
      <c r="E1118" s="5" t="n">
        <v>192</v>
      </c>
      <c r="F1118" t="inlineStr">
        <is>
          <t>Продажа</t>
        </is>
      </c>
      <c r="H1118">
        <f>VLOOKUP(C1118,Магазин!$A$2:$C$1000,2,0)</f>
        <v/>
      </c>
      <c r="I1118">
        <f>VLOOKUP(D1118,Товар!$A$2:$F$1000,3,0)</f>
        <v/>
      </c>
      <c r="J1118">
        <f>VLOOKUP(D1118,Товар!$A$2:$F$1000,5,0)</f>
        <v/>
      </c>
      <c r="K1118">
        <f>IF(AND(H1118="Промышленный",LEFT(I1118,18)="Порошок стиральный",F1118="Продажа",B1118=DATE(2023,6,7)),E1118*J1118/1000,0)</f>
        <v/>
      </c>
    </row>
    <row r="1119">
      <c r="A1119" t="n">
        <v>1118</v>
      </c>
      <c r="B1119" s="1" t="n">
        <v>45084</v>
      </c>
      <c r="C1119" s="5" t="inlineStr">
        <is>
          <t>M5</t>
        </is>
      </c>
      <c r="D1119" s="5" t="n">
        <v>2</v>
      </c>
      <c r="E1119" s="5" t="n">
        <v>145</v>
      </c>
      <c r="F1119" t="inlineStr">
        <is>
          <t>Продажа</t>
        </is>
      </c>
      <c r="H1119">
        <f>VLOOKUP(C1119,Магазин!$A$2:$C$1000,2,0)</f>
        <v/>
      </c>
      <c r="I1119">
        <f>VLOOKUP(D1119,Товар!$A$2:$F$1000,3,0)</f>
        <v/>
      </c>
      <c r="J1119">
        <f>VLOOKUP(D1119,Товар!$A$2:$F$1000,5,0)</f>
        <v/>
      </c>
      <c r="K1119">
        <f>IF(AND(H1119="Промышленный",LEFT(I1119,18)="Порошок стиральный",F1119="Продажа",B1119=DATE(2023,6,7)),E1119*J1119/1000,0)</f>
        <v/>
      </c>
    </row>
    <row r="1120">
      <c r="A1120" t="n">
        <v>1119</v>
      </c>
      <c r="B1120" s="1" t="n">
        <v>45084</v>
      </c>
      <c r="C1120" s="5" t="inlineStr">
        <is>
          <t>M5</t>
        </is>
      </c>
      <c r="D1120" s="5" t="n">
        <v>3</v>
      </c>
      <c r="E1120" s="5" t="n">
        <v>163</v>
      </c>
      <c r="F1120" t="inlineStr">
        <is>
          <t>Продажа</t>
        </is>
      </c>
      <c r="H1120">
        <f>VLOOKUP(C1120,Магазин!$A$2:$C$1000,2,0)</f>
        <v/>
      </c>
      <c r="I1120">
        <f>VLOOKUP(D1120,Товар!$A$2:$F$1000,3,0)</f>
        <v/>
      </c>
      <c r="J1120">
        <f>VLOOKUP(D1120,Товар!$A$2:$F$1000,5,0)</f>
        <v/>
      </c>
      <c r="K1120">
        <f>IF(AND(H1120="Промышленный",LEFT(I1120,18)="Порошок стиральный",F1120="Продажа",B1120=DATE(2023,6,7)),E1120*J1120/1000,0)</f>
        <v/>
      </c>
    </row>
    <row r="1121">
      <c r="A1121" t="n">
        <v>1120</v>
      </c>
      <c r="B1121" s="1" t="n">
        <v>45084</v>
      </c>
      <c r="C1121" s="5" t="inlineStr">
        <is>
          <t>M5</t>
        </is>
      </c>
      <c r="D1121" s="5" t="n">
        <v>4</v>
      </c>
      <c r="E1121" s="5" t="n">
        <v>128</v>
      </c>
      <c r="F1121" t="inlineStr">
        <is>
          <t>Продажа</t>
        </is>
      </c>
      <c r="H1121">
        <f>VLOOKUP(C1121,Магазин!$A$2:$C$1000,2,0)</f>
        <v/>
      </c>
      <c r="I1121">
        <f>VLOOKUP(D1121,Товар!$A$2:$F$1000,3,0)</f>
        <v/>
      </c>
      <c r="J1121">
        <f>VLOOKUP(D1121,Товар!$A$2:$F$1000,5,0)</f>
        <v/>
      </c>
      <c r="K1121">
        <f>IF(AND(H1121="Промышленный",LEFT(I1121,18)="Порошок стиральный",F1121="Продажа",B1121=DATE(2023,6,7)),E1121*J1121/1000,0)</f>
        <v/>
      </c>
    </row>
    <row r="1122">
      <c r="A1122" t="n">
        <v>1121</v>
      </c>
      <c r="B1122" s="1" t="n">
        <v>45084</v>
      </c>
      <c r="C1122" s="5" t="inlineStr">
        <is>
          <t>M5</t>
        </is>
      </c>
      <c r="D1122" s="5" t="n">
        <v>5</v>
      </c>
      <c r="E1122" s="5" t="n">
        <v>145</v>
      </c>
      <c r="F1122" t="inlineStr">
        <is>
          <t>Продажа</t>
        </is>
      </c>
      <c r="H1122">
        <f>VLOOKUP(C1122,Магазин!$A$2:$C$1000,2,0)</f>
        <v/>
      </c>
      <c r="I1122">
        <f>VLOOKUP(D1122,Товар!$A$2:$F$1000,3,0)</f>
        <v/>
      </c>
      <c r="J1122">
        <f>VLOOKUP(D1122,Товар!$A$2:$F$1000,5,0)</f>
        <v/>
      </c>
      <c r="K1122">
        <f>IF(AND(H1122="Промышленный",LEFT(I1122,18)="Порошок стиральный",F1122="Продажа",B1122=DATE(2023,6,7)),E1122*J1122/1000,0)</f>
        <v/>
      </c>
    </row>
    <row r="1123">
      <c r="A1123" t="n">
        <v>1122</v>
      </c>
      <c r="B1123" s="1" t="n">
        <v>45084</v>
      </c>
      <c r="C1123" s="5" t="inlineStr">
        <is>
          <t>M5</t>
        </is>
      </c>
      <c r="D1123" s="5" t="n">
        <v>6</v>
      </c>
      <c r="E1123" s="5" t="n">
        <v>138</v>
      </c>
      <c r="F1123" t="inlineStr">
        <is>
          <t>Продажа</t>
        </is>
      </c>
      <c r="H1123">
        <f>VLOOKUP(C1123,Магазин!$A$2:$C$1000,2,0)</f>
        <v/>
      </c>
      <c r="I1123">
        <f>VLOOKUP(D1123,Товар!$A$2:$F$1000,3,0)</f>
        <v/>
      </c>
      <c r="J1123">
        <f>VLOOKUP(D1123,Товар!$A$2:$F$1000,5,0)</f>
        <v/>
      </c>
      <c r="K1123">
        <f>IF(AND(H1123="Промышленный",LEFT(I1123,18)="Порошок стиральный",F1123="Продажа",B1123=DATE(2023,6,7)),E1123*J1123/1000,0)</f>
        <v/>
      </c>
    </row>
    <row r="1124">
      <c r="A1124" t="n">
        <v>1123</v>
      </c>
      <c r="B1124" s="1" t="n">
        <v>45084</v>
      </c>
      <c r="C1124" s="5" t="inlineStr">
        <is>
          <t>M5</t>
        </is>
      </c>
      <c r="D1124" s="5" t="n">
        <v>7</v>
      </c>
      <c r="E1124" s="5" t="n">
        <v>164</v>
      </c>
      <c r="F1124" t="inlineStr">
        <is>
          <t>Продажа</t>
        </is>
      </c>
      <c r="H1124">
        <f>VLOOKUP(C1124,Магазин!$A$2:$C$1000,2,0)</f>
        <v/>
      </c>
      <c r="I1124">
        <f>VLOOKUP(D1124,Товар!$A$2:$F$1000,3,0)</f>
        <v/>
      </c>
      <c r="J1124">
        <f>VLOOKUP(D1124,Товар!$A$2:$F$1000,5,0)</f>
        <v/>
      </c>
      <c r="K1124">
        <f>IF(AND(H1124="Промышленный",LEFT(I1124,18)="Порошок стиральный",F1124="Продажа",B1124=DATE(2023,6,7)),E1124*J1124/1000,0)</f>
        <v/>
      </c>
    </row>
    <row r="1125">
      <c r="A1125" t="n">
        <v>1124</v>
      </c>
      <c r="B1125" s="1" t="n">
        <v>45084</v>
      </c>
      <c r="C1125" s="5" t="inlineStr">
        <is>
          <t>M5</t>
        </is>
      </c>
      <c r="D1125" s="5" t="n">
        <v>8</v>
      </c>
      <c r="E1125" s="5" t="n">
        <v>176</v>
      </c>
      <c r="F1125" t="inlineStr">
        <is>
          <t>Продажа</t>
        </is>
      </c>
      <c r="H1125">
        <f>VLOOKUP(C1125,Магазин!$A$2:$C$1000,2,0)</f>
        <v/>
      </c>
      <c r="I1125">
        <f>VLOOKUP(D1125,Товар!$A$2:$F$1000,3,0)</f>
        <v/>
      </c>
      <c r="J1125">
        <f>VLOOKUP(D1125,Товар!$A$2:$F$1000,5,0)</f>
        <v/>
      </c>
      <c r="K1125">
        <f>IF(AND(H1125="Промышленный",LEFT(I1125,18)="Порошок стиральный",F1125="Продажа",B1125=DATE(2023,6,7)),E1125*J1125/1000,0)</f>
        <v/>
      </c>
    </row>
    <row r="1126">
      <c r="A1126" t="n">
        <v>1125</v>
      </c>
      <c r="B1126" s="1" t="n">
        <v>45084</v>
      </c>
      <c r="C1126" s="5" t="inlineStr">
        <is>
          <t>M5</t>
        </is>
      </c>
      <c r="D1126" s="5" t="n">
        <v>9</v>
      </c>
      <c r="E1126" s="5" t="n">
        <v>128</v>
      </c>
      <c r="F1126" t="inlineStr">
        <is>
          <t>Продажа</t>
        </is>
      </c>
      <c r="H1126">
        <f>VLOOKUP(C1126,Магазин!$A$2:$C$1000,2,0)</f>
        <v/>
      </c>
      <c r="I1126">
        <f>VLOOKUP(D1126,Товар!$A$2:$F$1000,3,0)</f>
        <v/>
      </c>
      <c r="J1126">
        <f>VLOOKUP(D1126,Товар!$A$2:$F$1000,5,0)</f>
        <v/>
      </c>
      <c r="K1126">
        <f>IF(AND(H1126="Промышленный",LEFT(I1126,18)="Порошок стиральный",F1126="Продажа",B1126=DATE(2023,6,7)),E1126*J1126/1000,0)</f>
        <v/>
      </c>
    </row>
    <row r="1127">
      <c r="A1127" t="n">
        <v>1126</v>
      </c>
      <c r="B1127" s="1" t="n">
        <v>45084</v>
      </c>
      <c r="C1127" s="5" t="inlineStr">
        <is>
          <t>M5</t>
        </is>
      </c>
      <c r="D1127" s="5" t="n">
        <v>10</v>
      </c>
      <c r="E1127" s="5" t="n">
        <v>146</v>
      </c>
      <c r="F1127" t="inlineStr">
        <is>
          <t>Продажа</t>
        </is>
      </c>
      <c r="H1127">
        <f>VLOOKUP(C1127,Магазин!$A$2:$C$1000,2,0)</f>
        <v/>
      </c>
      <c r="I1127">
        <f>VLOOKUP(D1127,Товар!$A$2:$F$1000,3,0)</f>
        <v/>
      </c>
      <c r="J1127">
        <f>VLOOKUP(D1127,Товар!$A$2:$F$1000,5,0)</f>
        <v/>
      </c>
      <c r="K1127">
        <f>IF(AND(H1127="Промышленный",LEFT(I1127,18)="Порошок стиральный",F1127="Продажа",B1127=DATE(2023,6,7)),E1127*J1127/1000,0)</f>
        <v/>
      </c>
    </row>
    <row r="1128">
      <c r="A1128" t="n">
        <v>1127</v>
      </c>
      <c r="B1128" s="1" t="n">
        <v>45084</v>
      </c>
      <c r="C1128" s="5" t="inlineStr">
        <is>
          <t>M5</t>
        </is>
      </c>
      <c r="D1128" s="5" t="n">
        <v>11</v>
      </c>
      <c r="E1128" s="5" t="n">
        <v>173</v>
      </c>
      <c r="F1128" t="inlineStr">
        <is>
          <t>Продажа</t>
        </is>
      </c>
      <c r="H1128">
        <f>VLOOKUP(C1128,Магазин!$A$2:$C$1000,2,0)</f>
        <v/>
      </c>
      <c r="I1128">
        <f>VLOOKUP(D1128,Товар!$A$2:$F$1000,3,0)</f>
        <v/>
      </c>
      <c r="J1128">
        <f>VLOOKUP(D1128,Товар!$A$2:$F$1000,5,0)</f>
        <v/>
      </c>
      <c r="K1128">
        <f>IF(AND(H1128="Промышленный",LEFT(I1128,18)="Порошок стиральный",F1128="Продажа",B1128=DATE(2023,6,7)),E1128*J1128/1000,0)</f>
        <v/>
      </c>
    </row>
    <row r="1129">
      <c r="A1129" t="n">
        <v>1128</v>
      </c>
      <c r="B1129" s="1" t="n">
        <v>45084</v>
      </c>
      <c r="C1129" s="5" t="inlineStr">
        <is>
          <t>M5</t>
        </is>
      </c>
      <c r="D1129" s="5" t="n">
        <v>12</v>
      </c>
      <c r="E1129" s="5" t="n">
        <v>180</v>
      </c>
      <c r="F1129" t="inlineStr">
        <is>
          <t>Продажа</t>
        </is>
      </c>
      <c r="H1129">
        <f>VLOOKUP(C1129,Магазин!$A$2:$C$1000,2,0)</f>
        <v/>
      </c>
      <c r="I1129">
        <f>VLOOKUP(D1129,Товар!$A$2:$F$1000,3,0)</f>
        <v/>
      </c>
      <c r="J1129">
        <f>VLOOKUP(D1129,Товар!$A$2:$F$1000,5,0)</f>
        <v/>
      </c>
      <c r="K1129">
        <f>IF(AND(H1129="Промышленный",LEFT(I1129,18)="Порошок стиральный",F1129="Продажа",B1129=DATE(2023,6,7)),E1129*J1129/1000,0)</f>
        <v/>
      </c>
    </row>
    <row r="1130">
      <c r="A1130" t="n">
        <v>1129</v>
      </c>
      <c r="B1130" s="1" t="n">
        <v>45084</v>
      </c>
      <c r="C1130" s="5" t="inlineStr">
        <is>
          <t>M5</t>
        </is>
      </c>
      <c r="D1130" s="5" t="n">
        <v>13</v>
      </c>
      <c r="E1130" s="5" t="n">
        <v>142</v>
      </c>
      <c r="F1130" t="inlineStr">
        <is>
          <t>Продажа</t>
        </is>
      </c>
      <c r="H1130">
        <f>VLOOKUP(C1130,Магазин!$A$2:$C$1000,2,0)</f>
        <v/>
      </c>
      <c r="I1130">
        <f>VLOOKUP(D1130,Товар!$A$2:$F$1000,3,0)</f>
        <v/>
      </c>
      <c r="J1130">
        <f>VLOOKUP(D1130,Товар!$A$2:$F$1000,5,0)</f>
        <v/>
      </c>
      <c r="K1130">
        <f>IF(AND(H1130="Промышленный",LEFT(I1130,18)="Порошок стиральный",F1130="Продажа",B1130=DATE(2023,6,7)),E1130*J1130/1000,0)</f>
        <v/>
      </c>
    </row>
    <row r="1131">
      <c r="A1131" t="n">
        <v>1130</v>
      </c>
      <c r="B1131" s="1" t="n">
        <v>45084</v>
      </c>
      <c r="C1131" s="5" t="inlineStr">
        <is>
          <t>M5</t>
        </is>
      </c>
      <c r="D1131" s="5" t="n">
        <v>14</v>
      </c>
      <c r="E1131" s="5" t="n">
        <v>156</v>
      </c>
      <c r="F1131" t="inlineStr">
        <is>
          <t>Продажа</t>
        </is>
      </c>
      <c r="H1131">
        <f>VLOOKUP(C1131,Магазин!$A$2:$C$1000,2,0)</f>
        <v/>
      </c>
      <c r="I1131">
        <f>VLOOKUP(D1131,Товар!$A$2:$F$1000,3,0)</f>
        <v/>
      </c>
      <c r="J1131">
        <f>VLOOKUP(D1131,Товар!$A$2:$F$1000,5,0)</f>
        <v/>
      </c>
      <c r="K1131">
        <f>IF(AND(H1131="Промышленный",LEFT(I1131,18)="Порошок стиральный",F1131="Продажа",B1131=DATE(2023,6,7)),E1131*J1131/1000,0)</f>
        <v/>
      </c>
    </row>
    <row r="1132">
      <c r="A1132" t="n">
        <v>1131</v>
      </c>
      <c r="B1132" s="1" t="n">
        <v>45084</v>
      </c>
      <c r="C1132" s="5" t="inlineStr">
        <is>
          <t>M5</t>
        </is>
      </c>
      <c r="D1132" s="5" t="n">
        <v>15</v>
      </c>
      <c r="E1132" s="5" t="n">
        <v>144</v>
      </c>
      <c r="F1132" t="inlineStr">
        <is>
          <t>Продажа</t>
        </is>
      </c>
      <c r="H1132">
        <f>VLOOKUP(C1132,Магазин!$A$2:$C$1000,2,0)</f>
        <v/>
      </c>
      <c r="I1132">
        <f>VLOOKUP(D1132,Товар!$A$2:$F$1000,3,0)</f>
        <v/>
      </c>
      <c r="J1132">
        <f>VLOOKUP(D1132,Товар!$A$2:$F$1000,5,0)</f>
        <v/>
      </c>
      <c r="K1132">
        <f>IF(AND(H1132="Промышленный",LEFT(I1132,18)="Порошок стиральный",F1132="Продажа",B1132=DATE(2023,6,7)),E1132*J1132/1000,0)</f>
        <v/>
      </c>
    </row>
    <row r="1133">
      <c r="A1133" t="n">
        <v>1132</v>
      </c>
      <c r="B1133" s="1" t="n">
        <v>45084</v>
      </c>
      <c r="C1133" s="5" t="inlineStr">
        <is>
          <t>M5</t>
        </is>
      </c>
      <c r="D1133" s="5" t="n">
        <v>16</v>
      </c>
      <c r="E1133" s="5" t="n">
        <v>178</v>
      </c>
      <c r="F1133" t="inlineStr">
        <is>
          <t>Продажа</t>
        </is>
      </c>
      <c r="H1133">
        <f>VLOOKUP(C1133,Магазин!$A$2:$C$1000,2,0)</f>
        <v/>
      </c>
      <c r="I1133">
        <f>VLOOKUP(D1133,Товар!$A$2:$F$1000,3,0)</f>
        <v/>
      </c>
      <c r="J1133">
        <f>VLOOKUP(D1133,Товар!$A$2:$F$1000,5,0)</f>
        <v/>
      </c>
      <c r="K1133">
        <f>IF(AND(H1133="Промышленный",LEFT(I1133,18)="Порошок стиральный",F1133="Продажа",B1133=DATE(2023,6,7)),E1133*J1133/1000,0)</f>
        <v/>
      </c>
    </row>
    <row r="1134">
      <c r="A1134" t="n">
        <v>1133</v>
      </c>
      <c r="B1134" s="1" t="n">
        <v>45084</v>
      </c>
      <c r="C1134" s="5" t="inlineStr">
        <is>
          <t>M5</t>
        </is>
      </c>
      <c r="D1134" s="5" t="n">
        <v>17</v>
      </c>
      <c r="E1134" s="5" t="n">
        <v>169</v>
      </c>
      <c r="F1134" t="inlineStr">
        <is>
          <t>Продажа</t>
        </is>
      </c>
      <c r="H1134">
        <f>VLOOKUP(C1134,Магазин!$A$2:$C$1000,2,0)</f>
        <v/>
      </c>
      <c r="I1134">
        <f>VLOOKUP(D1134,Товар!$A$2:$F$1000,3,0)</f>
        <v/>
      </c>
      <c r="J1134">
        <f>VLOOKUP(D1134,Товар!$A$2:$F$1000,5,0)</f>
        <v/>
      </c>
      <c r="K1134">
        <f>IF(AND(H1134="Промышленный",LEFT(I1134,18)="Порошок стиральный",F1134="Продажа",B1134=DATE(2023,6,7)),E1134*J1134/1000,0)</f>
        <v/>
      </c>
    </row>
    <row r="1135">
      <c r="A1135" t="n">
        <v>1134</v>
      </c>
      <c r="B1135" s="1" t="n">
        <v>45084</v>
      </c>
      <c r="C1135" s="5" t="inlineStr">
        <is>
          <t>M5</t>
        </is>
      </c>
      <c r="D1135" s="5" t="n">
        <v>18</v>
      </c>
      <c r="E1135" s="5" t="n">
        <v>196</v>
      </c>
      <c r="F1135" t="inlineStr">
        <is>
          <t>Продажа</t>
        </is>
      </c>
      <c r="H1135">
        <f>VLOOKUP(C1135,Магазин!$A$2:$C$1000,2,0)</f>
        <v/>
      </c>
      <c r="I1135">
        <f>VLOOKUP(D1135,Товар!$A$2:$F$1000,3,0)</f>
        <v/>
      </c>
      <c r="J1135">
        <f>VLOOKUP(D1135,Товар!$A$2:$F$1000,5,0)</f>
        <v/>
      </c>
      <c r="K1135">
        <f>IF(AND(H1135="Промышленный",LEFT(I1135,18)="Порошок стиральный",F1135="Продажа",B1135=DATE(2023,6,7)),E1135*J1135/1000,0)</f>
        <v/>
      </c>
    </row>
    <row r="1136">
      <c r="A1136" t="n">
        <v>1135</v>
      </c>
      <c r="B1136" s="1" t="n">
        <v>45084</v>
      </c>
      <c r="C1136" s="5" t="inlineStr">
        <is>
          <t>M5</t>
        </is>
      </c>
      <c r="D1136" s="5" t="n">
        <v>19</v>
      </c>
      <c r="E1136" s="5" t="n">
        <v>123</v>
      </c>
      <c r="F1136" t="inlineStr">
        <is>
          <t>Продажа</t>
        </is>
      </c>
      <c r="H1136">
        <f>VLOOKUP(C1136,Магазин!$A$2:$C$1000,2,0)</f>
        <v/>
      </c>
      <c r="I1136">
        <f>VLOOKUP(D1136,Товар!$A$2:$F$1000,3,0)</f>
        <v/>
      </c>
      <c r="J1136">
        <f>VLOOKUP(D1136,Товар!$A$2:$F$1000,5,0)</f>
        <v/>
      </c>
      <c r="K1136">
        <f>IF(AND(H1136="Промышленный",LEFT(I1136,18)="Порошок стиральный",F1136="Продажа",B1136=DATE(2023,6,7)),E1136*J1136/1000,0)</f>
        <v/>
      </c>
    </row>
    <row r="1137">
      <c r="A1137" t="n">
        <v>1136</v>
      </c>
      <c r="B1137" s="1" t="n">
        <v>45084</v>
      </c>
      <c r="C1137" s="5" t="inlineStr">
        <is>
          <t>M5</t>
        </is>
      </c>
      <c r="D1137" s="5" t="n">
        <v>20</v>
      </c>
      <c r="E1137" s="5" t="n">
        <v>111</v>
      </c>
      <c r="F1137" t="inlineStr">
        <is>
          <t>Продажа</t>
        </is>
      </c>
      <c r="H1137">
        <f>VLOOKUP(C1137,Магазин!$A$2:$C$1000,2,0)</f>
        <v/>
      </c>
      <c r="I1137">
        <f>VLOOKUP(D1137,Товар!$A$2:$F$1000,3,0)</f>
        <v/>
      </c>
      <c r="J1137">
        <f>VLOOKUP(D1137,Товар!$A$2:$F$1000,5,0)</f>
        <v/>
      </c>
      <c r="K1137">
        <f>IF(AND(H1137="Промышленный",LEFT(I1137,18)="Порошок стиральный",F1137="Продажа",B1137=DATE(2023,6,7)),E1137*J1137/1000,0)</f>
        <v/>
      </c>
    </row>
    <row r="1138">
      <c r="A1138" t="n">
        <v>1137</v>
      </c>
      <c r="B1138" s="1" t="n">
        <v>45084</v>
      </c>
      <c r="C1138" s="5" t="inlineStr">
        <is>
          <t>M5</t>
        </is>
      </c>
      <c r="D1138" s="5" t="n">
        <v>21</v>
      </c>
      <c r="E1138" s="5" t="n">
        <v>158</v>
      </c>
      <c r="F1138" t="inlineStr">
        <is>
          <t>Продажа</t>
        </is>
      </c>
      <c r="H1138">
        <f>VLOOKUP(C1138,Магазин!$A$2:$C$1000,2,0)</f>
        <v/>
      </c>
      <c r="I1138">
        <f>VLOOKUP(D1138,Товар!$A$2:$F$1000,3,0)</f>
        <v/>
      </c>
      <c r="J1138">
        <f>VLOOKUP(D1138,Товар!$A$2:$F$1000,5,0)</f>
        <v/>
      </c>
      <c r="K1138">
        <f>IF(AND(H1138="Промышленный",LEFT(I1138,18)="Порошок стиральный",F1138="Продажа",B1138=DATE(2023,6,7)),E1138*J1138/1000,0)</f>
        <v/>
      </c>
    </row>
    <row r="1139">
      <c r="A1139" t="n">
        <v>1138</v>
      </c>
      <c r="B1139" s="1" t="n">
        <v>45084</v>
      </c>
      <c r="C1139" s="5" t="inlineStr">
        <is>
          <t>M5</t>
        </is>
      </c>
      <c r="D1139" s="5" t="n">
        <v>22</v>
      </c>
      <c r="E1139" s="5" t="n">
        <v>175</v>
      </c>
      <c r="F1139" t="inlineStr">
        <is>
          <t>Продажа</t>
        </is>
      </c>
      <c r="H1139">
        <f>VLOOKUP(C1139,Магазин!$A$2:$C$1000,2,0)</f>
        <v/>
      </c>
      <c r="I1139">
        <f>VLOOKUP(D1139,Товар!$A$2:$F$1000,3,0)</f>
        <v/>
      </c>
      <c r="J1139">
        <f>VLOOKUP(D1139,Товар!$A$2:$F$1000,5,0)</f>
        <v/>
      </c>
      <c r="K1139">
        <f>IF(AND(H1139="Промышленный",LEFT(I1139,18)="Порошок стиральный",F1139="Продажа",B1139=DATE(2023,6,7)),E1139*J1139/1000,0)</f>
        <v/>
      </c>
    </row>
    <row r="1140">
      <c r="A1140" t="n">
        <v>1139</v>
      </c>
      <c r="B1140" s="1" t="n">
        <v>45084</v>
      </c>
      <c r="C1140" s="5" t="inlineStr">
        <is>
          <t>M5</t>
        </is>
      </c>
      <c r="D1140" s="5" t="n">
        <v>23</v>
      </c>
      <c r="E1140" s="5" t="n">
        <v>114</v>
      </c>
      <c r="F1140" t="inlineStr">
        <is>
          <t>Продажа</t>
        </is>
      </c>
      <c r="H1140">
        <f>VLOOKUP(C1140,Магазин!$A$2:$C$1000,2,0)</f>
        <v/>
      </c>
      <c r="I1140">
        <f>VLOOKUP(D1140,Товар!$A$2:$F$1000,3,0)</f>
        <v/>
      </c>
      <c r="J1140">
        <f>VLOOKUP(D1140,Товар!$A$2:$F$1000,5,0)</f>
        <v/>
      </c>
      <c r="K1140">
        <f>IF(AND(H1140="Промышленный",LEFT(I1140,18)="Порошок стиральный",F1140="Продажа",B1140=DATE(2023,6,7)),E1140*J1140/1000,0)</f>
        <v/>
      </c>
    </row>
    <row r="1141">
      <c r="A1141" t="n">
        <v>1140</v>
      </c>
      <c r="B1141" s="1" t="n">
        <v>45084</v>
      </c>
      <c r="C1141" s="5" t="inlineStr">
        <is>
          <t>M5</t>
        </is>
      </c>
      <c r="D1141" s="5" t="n">
        <v>24</v>
      </c>
      <c r="E1141" s="5" t="n">
        <v>139</v>
      </c>
      <c r="F1141" t="inlineStr">
        <is>
          <t>Продажа</t>
        </is>
      </c>
      <c r="H1141">
        <f>VLOOKUP(C1141,Магазин!$A$2:$C$1000,2,0)</f>
        <v/>
      </c>
      <c r="I1141">
        <f>VLOOKUP(D1141,Товар!$A$2:$F$1000,3,0)</f>
        <v/>
      </c>
      <c r="J1141">
        <f>VLOOKUP(D1141,Товар!$A$2:$F$1000,5,0)</f>
        <v/>
      </c>
      <c r="K1141">
        <f>IF(AND(H1141="Промышленный",LEFT(I1141,18)="Порошок стиральный",F1141="Продажа",B1141=DATE(2023,6,7)),E1141*J1141/1000,0)</f>
        <v/>
      </c>
    </row>
    <row r="1142">
      <c r="A1142" t="n">
        <v>1141</v>
      </c>
      <c r="B1142" s="1" t="n">
        <v>45084</v>
      </c>
      <c r="C1142" s="5" t="inlineStr">
        <is>
          <t>M5</t>
        </is>
      </c>
      <c r="D1142" s="5" t="n">
        <v>25</v>
      </c>
      <c r="E1142" s="5" t="n">
        <v>141</v>
      </c>
      <c r="F1142" t="inlineStr">
        <is>
          <t>Продажа</t>
        </is>
      </c>
      <c r="H1142">
        <f>VLOOKUP(C1142,Магазин!$A$2:$C$1000,2,0)</f>
        <v/>
      </c>
      <c r="I1142">
        <f>VLOOKUP(D1142,Товар!$A$2:$F$1000,3,0)</f>
        <v/>
      </c>
      <c r="J1142">
        <f>VLOOKUP(D1142,Товар!$A$2:$F$1000,5,0)</f>
        <v/>
      </c>
      <c r="K1142">
        <f>IF(AND(H1142="Промышленный",LEFT(I1142,18)="Порошок стиральный",F1142="Продажа",B1142=DATE(2023,6,7)),E1142*J1142/1000,0)</f>
        <v/>
      </c>
    </row>
    <row r="1143">
      <c r="A1143" t="n">
        <v>1142</v>
      </c>
      <c r="B1143" s="1" t="n">
        <v>45084</v>
      </c>
      <c r="C1143" s="5" t="inlineStr">
        <is>
          <t>M5</t>
        </is>
      </c>
      <c r="D1143" s="5" t="n">
        <v>26</v>
      </c>
      <c r="E1143" s="5" t="n">
        <v>122</v>
      </c>
      <c r="F1143" t="inlineStr">
        <is>
          <t>Продажа</t>
        </is>
      </c>
      <c r="H1143">
        <f>VLOOKUP(C1143,Магазин!$A$2:$C$1000,2,0)</f>
        <v/>
      </c>
      <c r="I1143">
        <f>VLOOKUP(D1143,Товар!$A$2:$F$1000,3,0)</f>
        <v/>
      </c>
      <c r="J1143">
        <f>VLOOKUP(D1143,Товар!$A$2:$F$1000,5,0)</f>
        <v/>
      </c>
      <c r="K1143">
        <f>IF(AND(H1143="Промышленный",LEFT(I1143,18)="Порошок стиральный",F1143="Продажа",B1143=DATE(2023,6,7)),E1143*J1143/1000,0)</f>
        <v/>
      </c>
    </row>
    <row r="1144">
      <c r="A1144" t="n">
        <v>1143</v>
      </c>
      <c r="B1144" s="1" t="n">
        <v>45084</v>
      </c>
      <c r="C1144" s="5" t="inlineStr">
        <is>
          <t>M5</t>
        </is>
      </c>
      <c r="D1144" s="5" t="n">
        <v>27</v>
      </c>
      <c r="E1144" s="5" t="n">
        <v>123</v>
      </c>
      <c r="F1144" t="inlineStr">
        <is>
          <t>Продажа</t>
        </is>
      </c>
      <c r="H1144">
        <f>VLOOKUP(C1144,Магазин!$A$2:$C$1000,2,0)</f>
        <v/>
      </c>
      <c r="I1144">
        <f>VLOOKUP(D1144,Товар!$A$2:$F$1000,3,0)</f>
        <v/>
      </c>
      <c r="J1144">
        <f>VLOOKUP(D1144,Товар!$A$2:$F$1000,5,0)</f>
        <v/>
      </c>
      <c r="K1144">
        <f>IF(AND(H1144="Промышленный",LEFT(I1144,18)="Порошок стиральный",F1144="Продажа",B1144=DATE(2023,6,7)),E1144*J1144/1000,0)</f>
        <v/>
      </c>
    </row>
    <row r="1145">
      <c r="A1145" t="n">
        <v>1144</v>
      </c>
      <c r="B1145" s="1" t="n">
        <v>45084</v>
      </c>
      <c r="C1145" s="5" t="inlineStr">
        <is>
          <t>M5</t>
        </is>
      </c>
      <c r="D1145" s="5" t="n">
        <v>28</v>
      </c>
      <c r="E1145" s="5" t="n">
        <v>158</v>
      </c>
      <c r="F1145" t="inlineStr">
        <is>
          <t>Продажа</t>
        </is>
      </c>
      <c r="H1145">
        <f>VLOOKUP(C1145,Магазин!$A$2:$C$1000,2,0)</f>
        <v/>
      </c>
      <c r="I1145">
        <f>VLOOKUP(D1145,Товар!$A$2:$F$1000,3,0)</f>
        <v/>
      </c>
      <c r="J1145">
        <f>VLOOKUP(D1145,Товар!$A$2:$F$1000,5,0)</f>
        <v/>
      </c>
      <c r="K1145">
        <f>IF(AND(H1145="Промышленный",LEFT(I1145,18)="Порошок стиральный",F1145="Продажа",B1145=DATE(2023,6,7)),E1145*J1145/1000,0)</f>
        <v/>
      </c>
    </row>
    <row r="1146">
      <c r="A1146" t="n">
        <v>1145</v>
      </c>
      <c r="B1146" s="1" t="n">
        <v>45084</v>
      </c>
      <c r="C1146" s="5" t="inlineStr">
        <is>
          <t>M5</t>
        </is>
      </c>
      <c r="D1146" s="5" t="n">
        <v>29</v>
      </c>
      <c r="E1146" s="5" t="n">
        <v>146</v>
      </c>
      <c r="F1146" t="inlineStr">
        <is>
          <t>Продажа</t>
        </is>
      </c>
      <c r="H1146">
        <f>VLOOKUP(C1146,Магазин!$A$2:$C$1000,2,0)</f>
        <v/>
      </c>
      <c r="I1146">
        <f>VLOOKUP(D1146,Товар!$A$2:$F$1000,3,0)</f>
        <v/>
      </c>
      <c r="J1146">
        <f>VLOOKUP(D1146,Товар!$A$2:$F$1000,5,0)</f>
        <v/>
      </c>
      <c r="K1146">
        <f>IF(AND(H1146="Промышленный",LEFT(I1146,18)="Порошок стиральный",F1146="Продажа",B1146=DATE(2023,6,7)),E1146*J1146/1000,0)</f>
        <v/>
      </c>
    </row>
    <row r="1147">
      <c r="A1147" t="n">
        <v>1146</v>
      </c>
      <c r="B1147" s="1" t="n">
        <v>45084</v>
      </c>
      <c r="C1147" s="5" t="inlineStr">
        <is>
          <t>M5</t>
        </is>
      </c>
      <c r="D1147" s="5" t="n">
        <v>30</v>
      </c>
      <c r="E1147" s="5" t="n">
        <v>147</v>
      </c>
      <c r="F1147" t="inlineStr">
        <is>
          <t>Продажа</t>
        </is>
      </c>
      <c r="H1147">
        <f>VLOOKUP(C1147,Магазин!$A$2:$C$1000,2,0)</f>
        <v/>
      </c>
      <c r="I1147">
        <f>VLOOKUP(D1147,Товар!$A$2:$F$1000,3,0)</f>
        <v/>
      </c>
      <c r="J1147">
        <f>VLOOKUP(D1147,Товар!$A$2:$F$1000,5,0)</f>
        <v/>
      </c>
      <c r="K1147">
        <f>IF(AND(H1147="Промышленный",LEFT(I1147,18)="Порошок стиральный",F1147="Продажа",B1147=DATE(2023,6,7)),E1147*J1147/1000,0)</f>
        <v/>
      </c>
    </row>
    <row r="1148">
      <c r="A1148" t="n">
        <v>1147</v>
      </c>
      <c r="B1148" s="1" t="n">
        <v>45084</v>
      </c>
      <c r="C1148" s="5" t="inlineStr">
        <is>
          <t>M5</t>
        </is>
      </c>
      <c r="D1148" s="5" t="n">
        <v>31</v>
      </c>
      <c r="E1148" s="5" t="n">
        <v>169</v>
      </c>
      <c r="F1148" t="inlineStr">
        <is>
          <t>Продажа</t>
        </is>
      </c>
      <c r="H1148">
        <f>VLOOKUP(C1148,Магазин!$A$2:$C$1000,2,0)</f>
        <v/>
      </c>
      <c r="I1148">
        <f>VLOOKUP(D1148,Товар!$A$2:$F$1000,3,0)</f>
        <v/>
      </c>
      <c r="J1148">
        <f>VLOOKUP(D1148,Товар!$A$2:$F$1000,5,0)</f>
        <v/>
      </c>
      <c r="K1148">
        <f>IF(AND(H1148="Промышленный",LEFT(I1148,18)="Порошок стиральный",F1148="Продажа",B1148=DATE(2023,6,7)),E1148*J1148/1000,0)</f>
        <v/>
      </c>
    </row>
    <row r="1149">
      <c r="A1149" t="n">
        <v>1148</v>
      </c>
      <c r="B1149" s="1" t="n">
        <v>45084</v>
      </c>
      <c r="C1149" s="5" t="inlineStr">
        <is>
          <t>M5</t>
        </is>
      </c>
      <c r="D1149" s="5" t="n">
        <v>32</v>
      </c>
      <c r="E1149" s="5" t="n">
        <v>199</v>
      </c>
      <c r="F1149" t="inlineStr">
        <is>
          <t>Продажа</t>
        </is>
      </c>
      <c r="H1149">
        <f>VLOOKUP(C1149,Магазин!$A$2:$C$1000,2,0)</f>
        <v/>
      </c>
      <c r="I1149">
        <f>VLOOKUP(D1149,Товар!$A$2:$F$1000,3,0)</f>
        <v/>
      </c>
      <c r="J1149">
        <f>VLOOKUP(D1149,Товар!$A$2:$F$1000,5,0)</f>
        <v/>
      </c>
      <c r="K1149">
        <f>IF(AND(H1149="Промышленный",LEFT(I1149,18)="Порошок стиральный",F1149="Продажа",B1149=DATE(2023,6,7)),E1149*J1149/1000,0)</f>
        <v/>
      </c>
    </row>
    <row r="1150">
      <c r="A1150" t="n">
        <v>1149</v>
      </c>
      <c r="B1150" s="1" t="n">
        <v>45084</v>
      </c>
      <c r="C1150" s="5" t="inlineStr">
        <is>
          <t>M5</t>
        </is>
      </c>
      <c r="D1150" s="5" t="n">
        <v>33</v>
      </c>
      <c r="E1150" s="5" t="n">
        <v>147</v>
      </c>
      <c r="F1150" t="inlineStr">
        <is>
          <t>Продажа</t>
        </is>
      </c>
      <c r="H1150">
        <f>VLOOKUP(C1150,Магазин!$A$2:$C$1000,2,0)</f>
        <v/>
      </c>
      <c r="I1150">
        <f>VLOOKUP(D1150,Товар!$A$2:$F$1000,3,0)</f>
        <v/>
      </c>
      <c r="J1150">
        <f>VLOOKUP(D1150,Товар!$A$2:$F$1000,5,0)</f>
        <v/>
      </c>
      <c r="K1150">
        <f>IF(AND(H1150="Промышленный",LEFT(I1150,18)="Порошок стиральный",F1150="Продажа",B1150=DATE(2023,6,7)),E1150*J1150/1000,0)</f>
        <v/>
      </c>
    </row>
    <row r="1151">
      <c r="A1151" t="n">
        <v>1150</v>
      </c>
      <c r="B1151" s="1" t="n">
        <v>45084</v>
      </c>
      <c r="C1151" s="5" t="inlineStr">
        <is>
          <t>M5</t>
        </is>
      </c>
      <c r="D1151" s="5" t="n">
        <v>34</v>
      </c>
      <c r="E1151" s="5" t="n">
        <v>138</v>
      </c>
      <c r="F1151" t="inlineStr">
        <is>
          <t>Продажа</t>
        </is>
      </c>
      <c r="H1151">
        <f>VLOOKUP(C1151,Магазин!$A$2:$C$1000,2,0)</f>
        <v/>
      </c>
      <c r="I1151">
        <f>VLOOKUP(D1151,Товар!$A$2:$F$1000,3,0)</f>
        <v/>
      </c>
      <c r="J1151">
        <f>VLOOKUP(D1151,Товар!$A$2:$F$1000,5,0)</f>
        <v/>
      </c>
      <c r="K1151">
        <f>IF(AND(H1151="Промышленный",LEFT(I1151,18)="Порошок стиральный",F1151="Продажа",B1151=DATE(2023,6,7)),E1151*J1151/1000,0)</f>
        <v/>
      </c>
    </row>
    <row r="1152">
      <c r="A1152" t="n">
        <v>1151</v>
      </c>
      <c r="B1152" s="1" t="n">
        <v>45084</v>
      </c>
      <c r="C1152" s="5" t="inlineStr">
        <is>
          <t>M5</t>
        </is>
      </c>
      <c r="D1152" s="5" t="n">
        <v>35</v>
      </c>
      <c r="E1152" s="5" t="n">
        <v>129</v>
      </c>
      <c r="F1152" t="inlineStr">
        <is>
          <t>Продажа</t>
        </is>
      </c>
      <c r="H1152">
        <f>VLOOKUP(C1152,Магазин!$A$2:$C$1000,2,0)</f>
        <v/>
      </c>
      <c r="I1152">
        <f>VLOOKUP(D1152,Товар!$A$2:$F$1000,3,0)</f>
        <v/>
      </c>
      <c r="J1152">
        <f>VLOOKUP(D1152,Товар!$A$2:$F$1000,5,0)</f>
        <v/>
      </c>
      <c r="K1152">
        <f>IF(AND(H1152="Промышленный",LEFT(I1152,18)="Порошок стиральный",F1152="Продажа",B1152=DATE(2023,6,7)),E1152*J1152/1000,0)</f>
        <v/>
      </c>
    </row>
    <row r="1153">
      <c r="A1153" t="n">
        <v>1152</v>
      </c>
      <c r="B1153" s="1" t="n">
        <v>45084</v>
      </c>
      <c r="C1153" s="5" t="inlineStr">
        <is>
          <t>M5</t>
        </is>
      </c>
      <c r="D1153" s="5" t="n">
        <v>36</v>
      </c>
      <c r="E1153" s="5" t="n">
        <v>191</v>
      </c>
      <c r="F1153" t="inlineStr">
        <is>
          <t>Продажа</t>
        </is>
      </c>
      <c r="H1153">
        <f>VLOOKUP(C1153,Магазин!$A$2:$C$1000,2,0)</f>
        <v/>
      </c>
      <c r="I1153">
        <f>VLOOKUP(D1153,Товар!$A$2:$F$1000,3,0)</f>
        <v/>
      </c>
      <c r="J1153">
        <f>VLOOKUP(D1153,Товар!$A$2:$F$1000,5,0)</f>
        <v/>
      </c>
      <c r="K1153">
        <f>IF(AND(H1153="Промышленный",LEFT(I1153,18)="Порошок стиральный",F1153="Продажа",B1153=DATE(2023,6,7)),E1153*J1153/1000,0)</f>
        <v/>
      </c>
    </row>
    <row r="1154">
      <c r="A1154" t="n">
        <v>1153</v>
      </c>
      <c r="B1154" s="1" t="n">
        <v>45084</v>
      </c>
      <c r="C1154" s="5" t="inlineStr">
        <is>
          <t>M6</t>
        </is>
      </c>
      <c r="D1154" s="5" t="n">
        <v>1</v>
      </c>
      <c r="E1154" s="5" t="n">
        <v>155</v>
      </c>
      <c r="F1154" t="inlineStr">
        <is>
          <t>Продажа</t>
        </is>
      </c>
      <c r="H1154">
        <f>VLOOKUP(C1154,Магазин!$A$2:$C$1000,2,0)</f>
        <v/>
      </c>
      <c r="I1154">
        <f>VLOOKUP(D1154,Товар!$A$2:$F$1000,3,0)</f>
        <v/>
      </c>
      <c r="J1154">
        <f>VLOOKUP(D1154,Товар!$A$2:$F$1000,5,0)</f>
        <v/>
      </c>
      <c r="K1154">
        <f>IF(AND(H1154="Промышленный",LEFT(I1154,18)="Порошок стиральный",F1154="Продажа",B1154=DATE(2023,6,7)),E1154*J1154/1000,0)</f>
        <v/>
      </c>
    </row>
    <row r="1155">
      <c r="A1155" t="n">
        <v>1154</v>
      </c>
      <c r="B1155" s="1" t="n">
        <v>45084</v>
      </c>
      <c r="C1155" s="5" t="inlineStr">
        <is>
          <t>M6</t>
        </is>
      </c>
      <c r="D1155" s="5" t="n">
        <v>2</v>
      </c>
      <c r="E1155" s="5" t="n">
        <v>143</v>
      </c>
      <c r="F1155" t="inlineStr">
        <is>
          <t>Продажа</t>
        </is>
      </c>
      <c r="H1155">
        <f>VLOOKUP(C1155,Магазин!$A$2:$C$1000,2,0)</f>
        <v/>
      </c>
      <c r="I1155">
        <f>VLOOKUP(D1155,Товар!$A$2:$F$1000,3,0)</f>
        <v/>
      </c>
      <c r="J1155">
        <f>VLOOKUP(D1155,Товар!$A$2:$F$1000,5,0)</f>
        <v/>
      </c>
      <c r="K1155">
        <f>IF(AND(H1155="Промышленный",LEFT(I1155,18)="Порошок стиральный",F1155="Продажа",B1155=DATE(2023,6,7)),E1155*J1155/1000,0)</f>
        <v/>
      </c>
    </row>
    <row r="1156">
      <c r="A1156" t="n">
        <v>1155</v>
      </c>
      <c r="B1156" s="1" t="n">
        <v>45084</v>
      </c>
      <c r="C1156" s="5" t="inlineStr">
        <is>
          <t>M6</t>
        </is>
      </c>
      <c r="D1156" s="5" t="n">
        <v>3</v>
      </c>
      <c r="E1156" s="5" t="n">
        <v>178</v>
      </c>
      <c r="F1156" t="inlineStr">
        <is>
          <t>Продажа</t>
        </is>
      </c>
      <c r="H1156">
        <f>VLOOKUP(C1156,Магазин!$A$2:$C$1000,2,0)</f>
        <v/>
      </c>
      <c r="I1156">
        <f>VLOOKUP(D1156,Товар!$A$2:$F$1000,3,0)</f>
        <v/>
      </c>
      <c r="J1156">
        <f>VLOOKUP(D1156,Товар!$A$2:$F$1000,5,0)</f>
        <v/>
      </c>
      <c r="K1156">
        <f>IF(AND(H1156="Промышленный",LEFT(I1156,18)="Порошок стиральный",F1156="Продажа",B1156=DATE(2023,6,7)),E1156*J1156/1000,0)</f>
        <v/>
      </c>
    </row>
    <row r="1157">
      <c r="A1157" t="n">
        <v>1156</v>
      </c>
      <c r="B1157" s="1" t="n">
        <v>45084</v>
      </c>
      <c r="C1157" s="5" t="inlineStr">
        <is>
          <t>M6</t>
        </is>
      </c>
      <c r="D1157" s="5" t="n">
        <v>4</v>
      </c>
      <c r="E1157" s="5" t="n">
        <v>146</v>
      </c>
      <c r="F1157" t="inlineStr">
        <is>
          <t>Продажа</t>
        </is>
      </c>
      <c r="H1157">
        <f>VLOOKUP(C1157,Магазин!$A$2:$C$1000,2,0)</f>
        <v/>
      </c>
      <c r="I1157">
        <f>VLOOKUP(D1157,Товар!$A$2:$F$1000,3,0)</f>
        <v/>
      </c>
      <c r="J1157">
        <f>VLOOKUP(D1157,Товар!$A$2:$F$1000,5,0)</f>
        <v/>
      </c>
      <c r="K1157">
        <f>IF(AND(H1157="Промышленный",LEFT(I1157,18)="Порошок стиральный",F1157="Продажа",B1157=DATE(2023,6,7)),E1157*J1157/1000,0)</f>
        <v/>
      </c>
    </row>
    <row r="1158">
      <c r="A1158" t="n">
        <v>1157</v>
      </c>
      <c r="B1158" s="1" t="n">
        <v>45084</v>
      </c>
      <c r="C1158" s="5" t="inlineStr">
        <is>
          <t>M6</t>
        </is>
      </c>
      <c r="D1158" s="5" t="n">
        <v>5</v>
      </c>
      <c r="E1158" s="5" t="n">
        <v>128</v>
      </c>
      <c r="F1158" t="inlineStr">
        <is>
          <t>Продажа</t>
        </is>
      </c>
      <c r="H1158">
        <f>VLOOKUP(C1158,Магазин!$A$2:$C$1000,2,0)</f>
        <v/>
      </c>
      <c r="I1158">
        <f>VLOOKUP(D1158,Товар!$A$2:$F$1000,3,0)</f>
        <v/>
      </c>
      <c r="J1158">
        <f>VLOOKUP(D1158,Товар!$A$2:$F$1000,5,0)</f>
        <v/>
      </c>
      <c r="K1158">
        <f>IF(AND(H1158="Промышленный",LEFT(I1158,18)="Порошок стиральный",F1158="Продажа",B1158=DATE(2023,6,7)),E1158*J1158/1000,0)</f>
        <v/>
      </c>
    </row>
    <row r="1159">
      <c r="A1159" t="n">
        <v>1158</v>
      </c>
      <c r="B1159" s="1" t="n">
        <v>45084</v>
      </c>
      <c r="C1159" s="5" t="inlineStr">
        <is>
          <t>M6</t>
        </is>
      </c>
      <c r="D1159" s="5" t="n">
        <v>6</v>
      </c>
      <c r="E1159" s="5" t="n">
        <v>191</v>
      </c>
      <c r="F1159" t="inlineStr">
        <is>
          <t>Продажа</t>
        </is>
      </c>
      <c r="H1159">
        <f>VLOOKUP(C1159,Магазин!$A$2:$C$1000,2,0)</f>
        <v/>
      </c>
      <c r="I1159">
        <f>VLOOKUP(D1159,Товар!$A$2:$F$1000,3,0)</f>
        <v/>
      </c>
      <c r="J1159">
        <f>VLOOKUP(D1159,Товар!$A$2:$F$1000,5,0)</f>
        <v/>
      </c>
      <c r="K1159">
        <f>IF(AND(H1159="Промышленный",LEFT(I1159,18)="Порошок стиральный",F1159="Продажа",B1159=DATE(2023,6,7)),E1159*J1159/1000,0)</f>
        <v/>
      </c>
    </row>
    <row r="1160">
      <c r="A1160" t="n">
        <v>1159</v>
      </c>
      <c r="B1160" s="1" t="n">
        <v>45084</v>
      </c>
      <c r="C1160" s="5" t="inlineStr">
        <is>
          <t>M6</t>
        </is>
      </c>
      <c r="D1160" s="5" t="n">
        <v>7</v>
      </c>
      <c r="E1160" s="5" t="n">
        <v>165</v>
      </c>
      <c r="F1160" t="inlineStr">
        <is>
          <t>Продажа</t>
        </is>
      </c>
      <c r="H1160">
        <f>VLOOKUP(C1160,Магазин!$A$2:$C$1000,2,0)</f>
        <v/>
      </c>
      <c r="I1160">
        <f>VLOOKUP(D1160,Товар!$A$2:$F$1000,3,0)</f>
        <v/>
      </c>
      <c r="J1160">
        <f>VLOOKUP(D1160,Товар!$A$2:$F$1000,5,0)</f>
        <v/>
      </c>
      <c r="K1160">
        <f>IF(AND(H1160="Промышленный",LEFT(I1160,18)="Порошок стиральный",F1160="Продажа",B1160=DATE(2023,6,7)),E1160*J1160/1000,0)</f>
        <v/>
      </c>
    </row>
    <row r="1161">
      <c r="A1161" t="n">
        <v>1160</v>
      </c>
      <c r="B1161" s="1" t="n">
        <v>45084</v>
      </c>
      <c r="C1161" s="5" t="inlineStr">
        <is>
          <t>M6</t>
        </is>
      </c>
      <c r="D1161" s="5" t="n">
        <v>8</v>
      </c>
      <c r="E1161" s="5" t="n">
        <v>167</v>
      </c>
      <c r="F1161" t="inlineStr">
        <is>
          <t>Продажа</t>
        </is>
      </c>
      <c r="H1161">
        <f>VLOOKUP(C1161,Магазин!$A$2:$C$1000,2,0)</f>
        <v/>
      </c>
      <c r="I1161">
        <f>VLOOKUP(D1161,Товар!$A$2:$F$1000,3,0)</f>
        <v/>
      </c>
      <c r="J1161">
        <f>VLOOKUP(D1161,Товар!$A$2:$F$1000,5,0)</f>
        <v/>
      </c>
      <c r="K1161">
        <f>IF(AND(H1161="Промышленный",LEFT(I1161,18)="Порошок стиральный",F1161="Продажа",B1161=DATE(2023,6,7)),E1161*J1161/1000,0)</f>
        <v/>
      </c>
    </row>
    <row r="1162">
      <c r="A1162" t="n">
        <v>1161</v>
      </c>
      <c r="B1162" s="1" t="n">
        <v>45084</v>
      </c>
      <c r="C1162" s="5" t="inlineStr">
        <is>
          <t>M6</t>
        </is>
      </c>
      <c r="D1162" s="5" t="n">
        <v>9</v>
      </c>
      <c r="E1162" s="5" t="n">
        <v>132</v>
      </c>
      <c r="F1162" t="inlineStr">
        <is>
          <t>Продажа</t>
        </is>
      </c>
      <c r="H1162">
        <f>VLOOKUP(C1162,Магазин!$A$2:$C$1000,2,0)</f>
        <v/>
      </c>
      <c r="I1162">
        <f>VLOOKUP(D1162,Товар!$A$2:$F$1000,3,0)</f>
        <v/>
      </c>
      <c r="J1162">
        <f>VLOOKUP(D1162,Товар!$A$2:$F$1000,5,0)</f>
        <v/>
      </c>
      <c r="K1162">
        <f>IF(AND(H1162="Промышленный",LEFT(I1162,18)="Порошок стиральный",F1162="Продажа",B1162=DATE(2023,6,7)),E1162*J1162/1000,0)</f>
        <v/>
      </c>
    </row>
    <row r="1163">
      <c r="A1163" t="n">
        <v>1162</v>
      </c>
      <c r="B1163" s="1" t="n">
        <v>45084</v>
      </c>
      <c r="C1163" s="5" t="inlineStr">
        <is>
          <t>M6</t>
        </is>
      </c>
      <c r="D1163" s="5" t="n">
        <v>10</v>
      </c>
      <c r="E1163" s="5" t="n">
        <v>105</v>
      </c>
      <c r="F1163" t="inlineStr">
        <is>
          <t>Продажа</t>
        </is>
      </c>
      <c r="H1163">
        <f>VLOOKUP(C1163,Магазин!$A$2:$C$1000,2,0)</f>
        <v/>
      </c>
      <c r="I1163">
        <f>VLOOKUP(D1163,Товар!$A$2:$F$1000,3,0)</f>
        <v/>
      </c>
      <c r="J1163">
        <f>VLOOKUP(D1163,Товар!$A$2:$F$1000,5,0)</f>
        <v/>
      </c>
      <c r="K1163">
        <f>IF(AND(H1163="Промышленный",LEFT(I1163,18)="Порошок стиральный",F1163="Продажа",B1163=DATE(2023,6,7)),E1163*J1163/1000,0)</f>
        <v/>
      </c>
    </row>
    <row r="1164">
      <c r="A1164" t="n">
        <v>1163</v>
      </c>
      <c r="B1164" s="1" t="n">
        <v>45084</v>
      </c>
      <c r="C1164" s="5" t="inlineStr">
        <is>
          <t>M6</t>
        </is>
      </c>
      <c r="D1164" s="5" t="n">
        <v>11</v>
      </c>
      <c r="E1164" s="5" t="n">
        <v>114</v>
      </c>
      <c r="F1164" t="inlineStr">
        <is>
          <t>Продажа</t>
        </is>
      </c>
      <c r="H1164">
        <f>VLOOKUP(C1164,Магазин!$A$2:$C$1000,2,0)</f>
        <v/>
      </c>
      <c r="I1164">
        <f>VLOOKUP(D1164,Товар!$A$2:$F$1000,3,0)</f>
        <v/>
      </c>
      <c r="J1164">
        <f>VLOOKUP(D1164,Товар!$A$2:$F$1000,5,0)</f>
        <v/>
      </c>
      <c r="K1164">
        <f>IF(AND(H1164="Промышленный",LEFT(I1164,18)="Порошок стиральный",F1164="Продажа",B1164=DATE(2023,6,7)),E1164*J1164/1000,0)</f>
        <v/>
      </c>
    </row>
    <row r="1165">
      <c r="A1165" t="n">
        <v>1164</v>
      </c>
      <c r="B1165" s="1" t="n">
        <v>45084</v>
      </c>
      <c r="C1165" s="5" t="inlineStr">
        <is>
          <t>M6</t>
        </is>
      </c>
      <c r="D1165" s="5" t="n">
        <v>12</v>
      </c>
      <c r="E1165" s="5" t="n">
        <v>192</v>
      </c>
      <c r="F1165" t="inlineStr">
        <is>
          <t>Продажа</t>
        </is>
      </c>
      <c r="H1165">
        <f>VLOOKUP(C1165,Магазин!$A$2:$C$1000,2,0)</f>
        <v/>
      </c>
      <c r="I1165">
        <f>VLOOKUP(D1165,Товар!$A$2:$F$1000,3,0)</f>
        <v/>
      </c>
      <c r="J1165">
        <f>VLOOKUP(D1165,Товар!$A$2:$F$1000,5,0)</f>
        <v/>
      </c>
      <c r="K1165">
        <f>IF(AND(H1165="Промышленный",LEFT(I1165,18)="Порошок стиральный",F1165="Продажа",B1165=DATE(2023,6,7)),E1165*J1165/1000,0)</f>
        <v/>
      </c>
    </row>
    <row r="1166">
      <c r="A1166" t="n">
        <v>1165</v>
      </c>
      <c r="B1166" s="1" t="n">
        <v>45084</v>
      </c>
      <c r="C1166" s="5" t="inlineStr">
        <is>
          <t>M6</t>
        </is>
      </c>
      <c r="D1166" s="5" t="n">
        <v>13</v>
      </c>
      <c r="E1166" s="5" t="n">
        <v>145</v>
      </c>
      <c r="F1166" t="inlineStr">
        <is>
          <t>Продажа</t>
        </is>
      </c>
      <c r="H1166">
        <f>VLOOKUP(C1166,Магазин!$A$2:$C$1000,2,0)</f>
        <v/>
      </c>
      <c r="I1166">
        <f>VLOOKUP(D1166,Товар!$A$2:$F$1000,3,0)</f>
        <v/>
      </c>
      <c r="J1166">
        <f>VLOOKUP(D1166,Товар!$A$2:$F$1000,5,0)</f>
        <v/>
      </c>
      <c r="K1166">
        <f>IF(AND(H1166="Промышленный",LEFT(I1166,18)="Порошок стиральный",F1166="Продажа",B1166=DATE(2023,6,7)),E1166*J1166/1000,0)</f>
        <v/>
      </c>
    </row>
    <row r="1167">
      <c r="A1167" t="n">
        <v>1166</v>
      </c>
      <c r="B1167" s="1" t="n">
        <v>45084</v>
      </c>
      <c r="C1167" s="5" t="inlineStr">
        <is>
          <t>M6</t>
        </is>
      </c>
      <c r="D1167" s="5" t="n">
        <v>14</v>
      </c>
      <c r="E1167" s="5" t="n">
        <v>163</v>
      </c>
      <c r="F1167" t="inlineStr">
        <is>
          <t>Продажа</t>
        </is>
      </c>
      <c r="H1167">
        <f>VLOOKUP(C1167,Магазин!$A$2:$C$1000,2,0)</f>
        <v/>
      </c>
      <c r="I1167">
        <f>VLOOKUP(D1167,Товар!$A$2:$F$1000,3,0)</f>
        <v/>
      </c>
      <c r="J1167">
        <f>VLOOKUP(D1167,Товар!$A$2:$F$1000,5,0)</f>
        <v/>
      </c>
      <c r="K1167">
        <f>IF(AND(H1167="Промышленный",LEFT(I1167,18)="Порошок стиральный",F1167="Продажа",B1167=DATE(2023,6,7)),E1167*J1167/1000,0)</f>
        <v/>
      </c>
    </row>
    <row r="1168">
      <c r="A1168" t="n">
        <v>1167</v>
      </c>
      <c r="B1168" s="1" t="n">
        <v>45084</v>
      </c>
      <c r="C1168" s="5" t="inlineStr">
        <is>
          <t>M6</t>
        </is>
      </c>
      <c r="D1168" s="5" t="n">
        <v>15</v>
      </c>
      <c r="E1168" s="5" t="n">
        <v>128</v>
      </c>
      <c r="F1168" t="inlineStr">
        <is>
          <t>Продажа</t>
        </is>
      </c>
      <c r="H1168">
        <f>VLOOKUP(C1168,Магазин!$A$2:$C$1000,2,0)</f>
        <v/>
      </c>
      <c r="I1168">
        <f>VLOOKUP(D1168,Товар!$A$2:$F$1000,3,0)</f>
        <v/>
      </c>
      <c r="J1168">
        <f>VLOOKUP(D1168,Товар!$A$2:$F$1000,5,0)</f>
        <v/>
      </c>
      <c r="K1168">
        <f>IF(AND(H1168="Промышленный",LEFT(I1168,18)="Порошок стиральный",F1168="Продажа",B1168=DATE(2023,6,7)),E1168*J1168/1000,0)</f>
        <v/>
      </c>
    </row>
    <row r="1169">
      <c r="A1169" t="n">
        <v>1168</v>
      </c>
      <c r="B1169" s="1" t="n">
        <v>45084</v>
      </c>
      <c r="C1169" s="5" t="inlineStr">
        <is>
          <t>M6</t>
        </is>
      </c>
      <c r="D1169" s="5" t="n">
        <v>16</v>
      </c>
      <c r="E1169" s="5" t="n">
        <v>145</v>
      </c>
      <c r="F1169" t="inlineStr">
        <is>
          <t>Продажа</t>
        </is>
      </c>
      <c r="H1169">
        <f>VLOOKUP(C1169,Магазин!$A$2:$C$1000,2,0)</f>
        <v/>
      </c>
      <c r="I1169">
        <f>VLOOKUP(D1169,Товар!$A$2:$F$1000,3,0)</f>
        <v/>
      </c>
      <c r="J1169">
        <f>VLOOKUP(D1169,Товар!$A$2:$F$1000,5,0)</f>
        <v/>
      </c>
      <c r="K1169">
        <f>IF(AND(H1169="Промышленный",LEFT(I1169,18)="Порошок стиральный",F1169="Продажа",B1169=DATE(2023,6,7)),E1169*J1169/1000,0)</f>
        <v/>
      </c>
    </row>
    <row r="1170">
      <c r="A1170" t="n">
        <v>1169</v>
      </c>
      <c r="B1170" s="1" t="n">
        <v>45084</v>
      </c>
      <c r="C1170" s="5" t="inlineStr">
        <is>
          <t>M6</t>
        </is>
      </c>
      <c r="D1170" s="5" t="n">
        <v>17</v>
      </c>
      <c r="E1170" s="5" t="n">
        <v>138</v>
      </c>
      <c r="F1170" t="inlineStr">
        <is>
          <t>Продажа</t>
        </is>
      </c>
      <c r="H1170">
        <f>VLOOKUP(C1170,Магазин!$A$2:$C$1000,2,0)</f>
        <v/>
      </c>
      <c r="I1170">
        <f>VLOOKUP(D1170,Товар!$A$2:$F$1000,3,0)</f>
        <v/>
      </c>
      <c r="J1170">
        <f>VLOOKUP(D1170,Товар!$A$2:$F$1000,5,0)</f>
        <v/>
      </c>
      <c r="K1170">
        <f>IF(AND(H1170="Промышленный",LEFT(I1170,18)="Порошок стиральный",F1170="Продажа",B1170=DATE(2023,6,7)),E1170*J1170/1000,0)</f>
        <v/>
      </c>
    </row>
    <row r="1171">
      <c r="A1171" t="n">
        <v>1170</v>
      </c>
      <c r="B1171" s="1" t="n">
        <v>45084</v>
      </c>
      <c r="C1171" s="5" t="inlineStr">
        <is>
          <t>M6</t>
        </is>
      </c>
      <c r="D1171" s="5" t="n">
        <v>18</v>
      </c>
      <c r="E1171" s="5" t="n">
        <v>164</v>
      </c>
      <c r="F1171" t="inlineStr">
        <is>
          <t>Продажа</t>
        </is>
      </c>
      <c r="H1171">
        <f>VLOOKUP(C1171,Магазин!$A$2:$C$1000,2,0)</f>
        <v/>
      </c>
      <c r="I1171">
        <f>VLOOKUP(D1171,Товар!$A$2:$F$1000,3,0)</f>
        <v/>
      </c>
      <c r="J1171">
        <f>VLOOKUP(D1171,Товар!$A$2:$F$1000,5,0)</f>
        <v/>
      </c>
      <c r="K1171">
        <f>IF(AND(H1171="Промышленный",LEFT(I1171,18)="Порошок стиральный",F1171="Продажа",B1171=DATE(2023,6,7)),E1171*J1171/1000,0)</f>
        <v/>
      </c>
    </row>
    <row r="1172">
      <c r="A1172" t="n">
        <v>1171</v>
      </c>
      <c r="B1172" s="1" t="n">
        <v>45084</v>
      </c>
      <c r="C1172" s="5" t="inlineStr">
        <is>
          <t>M6</t>
        </is>
      </c>
      <c r="D1172" s="5" t="n">
        <v>19</v>
      </c>
      <c r="E1172" s="5" t="n">
        <v>176</v>
      </c>
      <c r="F1172" t="inlineStr">
        <is>
          <t>Продажа</t>
        </is>
      </c>
      <c r="H1172">
        <f>VLOOKUP(C1172,Магазин!$A$2:$C$1000,2,0)</f>
        <v/>
      </c>
      <c r="I1172">
        <f>VLOOKUP(D1172,Товар!$A$2:$F$1000,3,0)</f>
        <v/>
      </c>
      <c r="J1172">
        <f>VLOOKUP(D1172,Товар!$A$2:$F$1000,5,0)</f>
        <v/>
      </c>
      <c r="K1172">
        <f>IF(AND(H1172="Промышленный",LEFT(I1172,18)="Порошок стиральный",F1172="Продажа",B1172=DATE(2023,6,7)),E1172*J1172/1000,0)</f>
        <v/>
      </c>
    </row>
    <row r="1173">
      <c r="A1173" t="n">
        <v>1172</v>
      </c>
      <c r="B1173" s="1" t="n">
        <v>45084</v>
      </c>
      <c r="C1173" s="5" t="inlineStr">
        <is>
          <t>M6</t>
        </is>
      </c>
      <c r="D1173" s="5" t="n">
        <v>20</v>
      </c>
      <c r="E1173" s="5" t="n">
        <v>128</v>
      </c>
      <c r="F1173" t="inlineStr">
        <is>
          <t>Продажа</t>
        </is>
      </c>
      <c r="H1173">
        <f>VLOOKUP(C1173,Магазин!$A$2:$C$1000,2,0)</f>
        <v/>
      </c>
      <c r="I1173">
        <f>VLOOKUP(D1173,Товар!$A$2:$F$1000,3,0)</f>
        <v/>
      </c>
      <c r="J1173">
        <f>VLOOKUP(D1173,Товар!$A$2:$F$1000,5,0)</f>
        <v/>
      </c>
      <c r="K1173">
        <f>IF(AND(H1173="Промышленный",LEFT(I1173,18)="Порошок стиральный",F1173="Продажа",B1173=DATE(2023,6,7)),E1173*J1173/1000,0)</f>
        <v/>
      </c>
    </row>
    <row r="1174">
      <c r="A1174" t="n">
        <v>1173</v>
      </c>
      <c r="B1174" s="1" t="n">
        <v>45084</v>
      </c>
      <c r="C1174" s="5" t="inlineStr">
        <is>
          <t>M6</t>
        </is>
      </c>
      <c r="D1174" s="5" t="n">
        <v>21</v>
      </c>
      <c r="E1174" s="5" t="n">
        <v>146</v>
      </c>
      <c r="F1174" t="inlineStr">
        <is>
          <t>Продажа</t>
        </is>
      </c>
      <c r="H1174">
        <f>VLOOKUP(C1174,Магазин!$A$2:$C$1000,2,0)</f>
        <v/>
      </c>
      <c r="I1174">
        <f>VLOOKUP(D1174,Товар!$A$2:$F$1000,3,0)</f>
        <v/>
      </c>
      <c r="J1174">
        <f>VLOOKUP(D1174,Товар!$A$2:$F$1000,5,0)</f>
        <v/>
      </c>
      <c r="K1174">
        <f>IF(AND(H1174="Промышленный",LEFT(I1174,18)="Порошок стиральный",F1174="Продажа",B1174=DATE(2023,6,7)),E1174*J1174/1000,0)</f>
        <v/>
      </c>
    </row>
    <row r="1175">
      <c r="A1175" t="n">
        <v>1174</v>
      </c>
      <c r="B1175" s="1" t="n">
        <v>45084</v>
      </c>
      <c r="C1175" s="5" t="inlineStr">
        <is>
          <t>M6</t>
        </is>
      </c>
      <c r="D1175" s="5" t="n">
        <v>22</v>
      </c>
      <c r="E1175" s="5" t="n">
        <v>173</v>
      </c>
      <c r="F1175" t="inlineStr">
        <is>
          <t>Продажа</t>
        </is>
      </c>
      <c r="H1175">
        <f>VLOOKUP(C1175,Магазин!$A$2:$C$1000,2,0)</f>
        <v/>
      </c>
      <c r="I1175">
        <f>VLOOKUP(D1175,Товар!$A$2:$F$1000,3,0)</f>
        <v/>
      </c>
      <c r="J1175">
        <f>VLOOKUP(D1175,Товар!$A$2:$F$1000,5,0)</f>
        <v/>
      </c>
      <c r="K1175">
        <f>IF(AND(H1175="Промышленный",LEFT(I1175,18)="Порошок стиральный",F1175="Продажа",B1175=DATE(2023,6,7)),E1175*J1175/1000,0)</f>
        <v/>
      </c>
    </row>
    <row r="1176">
      <c r="A1176" t="n">
        <v>1175</v>
      </c>
      <c r="B1176" s="1" t="n">
        <v>45084</v>
      </c>
      <c r="C1176" s="5" t="inlineStr">
        <is>
          <t>M6</t>
        </is>
      </c>
      <c r="D1176" s="5" t="n">
        <v>23</v>
      </c>
      <c r="E1176" s="5" t="n">
        <v>180</v>
      </c>
      <c r="F1176" t="inlineStr">
        <is>
          <t>Продажа</t>
        </is>
      </c>
      <c r="H1176">
        <f>VLOOKUP(C1176,Магазин!$A$2:$C$1000,2,0)</f>
        <v/>
      </c>
      <c r="I1176">
        <f>VLOOKUP(D1176,Товар!$A$2:$F$1000,3,0)</f>
        <v/>
      </c>
      <c r="J1176">
        <f>VLOOKUP(D1176,Товар!$A$2:$F$1000,5,0)</f>
        <v/>
      </c>
      <c r="K1176">
        <f>IF(AND(H1176="Промышленный",LEFT(I1176,18)="Порошок стиральный",F1176="Продажа",B1176=DATE(2023,6,7)),E1176*J1176/1000,0)</f>
        <v/>
      </c>
    </row>
    <row r="1177">
      <c r="A1177" t="n">
        <v>1176</v>
      </c>
      <c r="B1177" s="1" t="n">
        <v>45084</v>
      </c>
      <c r="C1177" s="5" t="inlineStr">
        <is>
          <t>M6</t>
        </is>
      </c>
      <c r="D1177" s="5" t="n">
        <v>24</v>
      </c>
      <c r="E1177" s="5" t="n">
        <v>142</v>
      </c>
      <c r="F1177" t="inlineStr">
        <is>
          <t>Продажа</t>
        </is>
      </c>
      <c r="H1177">
        <f>VLOOKUP(C1177,Магазин!$A$2:$C$1000,2,0)</f>
        <v/>
      </c>
      <c r="I1177">
        <f>VLOOKUP(D1177,Товар!$A$2:$F$1000,3,0)</f>
        <v/>
      </c>
      <c r="J1177">
        <f>VLOOKUP(D1177,Товар!$A$2:$F$1000,5,0)</f>
        <v/>
      </c>
      <c r="K1177">
        <f>IF(AND(H1177="Промышленный",LEFT(I1177,18)="Порошок стиральный",F1177="Продажа",B1177=DATE(2023,6,7)),E1177*J1177/1000,0)</f>
        <v/>
      </c>
    </row>
    <row r="1178">
      <c r="A1178" t="n">
        <v>1177</v>
      </c>
      <c r="B1178" s="1" t="n">
        <v>45084</v>
      </c>
      <c r="C1178" s="5" t="inlineStr">
        <is>
          <t>M6</t>
        </is>
      </c>
      <c r="D1178" s="5" t="n">
        <v>25</v>
      </c>
      <c r="E1178" s="5" t="n">
        <v>156</v>
      </c>
      <c r="F1178" t="inlineStr">
        <is>
          <t>Продажа</t>
        </is>
      </c>
      <c r="H1178">
        <f>VLOOKUP(C1178,Магазин!$A$2:$C$1000,2,0)</f>
        <v/>
      </c>
      <c r="I1178">
        <f>VLOOKUP(D1178,Товар!$A$2:$F$1000,3,0)</f>
        <v/>
      </c>
      <c r="J1178">
        <f>VLOOKUP(D1178,Товар!$A$2:$F$1000,5,0)</f>
        <v/>
      </c>
      <c r="K1178">
        <f>IF(AND(H1178="Промышленный",LEFT(I1178,18)="Порошок стиральный",F1178="Продажа",B1178=DATE(2023,6,7)),E1178*J1178/1000,0)</f>
        <v/>
      </c>
    </row>
    <row r="1179">
      <c r="A1179" t="n">
        <v>1178</v>
      </c>
      <c r="B1179" s="1" t="n">
        <v>45084</v>
      </c>
      <c r="C1179" s="5" t="inlineStr">
        <is>
          <t>M6</t>
        </is>
      </c>
      <c r="D1179" s="5" t="n">
        <v>26</v>
      </c>
      <c r="E1179" s="5" t="n">
        <v>144</v>
      </c>
      <c r="F1179" t="inlineStr">
        <is>
          <t>Продажа</t>
        </is>
      </c>
      <c r="H1179">
        <f>VLOOKUP(C1179,Магазин!$A$2:$C$1000,2,0)</f>
        <v/>
      </c>
      <c r="I1179">
        <f>VLOOKUP(D1179,Товар!$A$2:$F$1000,3,0)</f>
        <v/>
      </c>
      <c r="J1179">
        <f>VLOOKUP(D1179,Товар!$A$2:$F$1000,5,0)</f>
        <v/>
      </c>
      <c r="K1179">
        <f>IF(AND(H1179="Промышленный",LEFT(I1179,18)="Порошок стиральный",F1179="Продажа",B1179=DATE(2023,6,7)),E1179*J1179/1000,0)</f>
        <v/>
      </c>
    </row>
    <row r="1180">
      <c r="A1180" t="n">
        <v>1179</v>
      </c>
      <c r="B1180" s="1" t="n">
        <v>45084</v>
      </c>
      <c r="C1180" s="5" t="inlineStr">
        <is>
          <t>M6</t>
        </is>
      </c>
      <c r="D1180" s="5" t="n">
        <v>27</v>
      </c>
      <c r="E1180" s="5" t="n">
        <v>178</v>
      </c>
      <c r="F1180" t="inlineStr">
        <is>
          <t>Продажа</t>
        </is>
      </c>
      <c r="H1180">
        <f>VLOOKUP(C1180,Магазин!$A$2:$C$1000,2,0)</f>
        <v/>
      </c>
      <c r="I1180">
        <f>VLOOKUP(D1180,Товар!$A$2:$F$1000,3,0)</f>
        <v/>
      </c>
      <c r="J1180">
        <f>VLOOKUP(D1180,Товар!$A$2:$F$1000,5,0)</f>
        <v/>
      </c>
      <c r="K1180">
        <f>IF(AND(H1180="Промышленный",LEFT(I1180,18)="Порошок стиральный",F1180="Продажа",B1180=DATE(2023,6,7)),E1180*J1180/1000,0)</f>
        <v/>
      </c>
    </row>
    <row r="1181">
      <c r="A1181" t="n">
        <v>1180</v>
      </c>
      <c r="B1181" s="1" t="n">
        <v>45084</v>
      </c>
      <c r="C1181" s="5" t="inlineStr">
        <is>
          <t>M6</t>
        </is>
      </c>
      <c r="D1181" s="5" t="n">
        <v>28</v>
      </c>
      <c r="E1181" s="5" t="n">
        <v>169</v>
      </c>
      <c r="F1181" t="inlineStr">
        <is>
          <t>Продажа</t>
        </is>
      </c>
      <c r="H1181">
        <f>VLOOKUP(C1181,Магазин!$A$2:$C$1000,2,0)</f>
        <v/>
      </c>
      <c r="I1181">
        <f>VLOOKUP(D1181,Товар!$A$2:$F$1000,3,0)</f>
        <v/>
      </c>
      <c r="J1181">
        <f>VLOOKUP(D1181,Товар!$A$2:$F$1000,5,0)</f>
        <v/>
      </c>
      <c r="K1181">
        <f>IF(AND(H1181="Промышленный",LEFT(I1181,18)="Порошок стиральный",F1181="Продажа",B1181=DATE(2023,6,7)),E1181*J1181/1000,0)</f>
        <v/>
      </c>
    </row>
    <row r="1182">
      <c r="A1182" t="n">
        <v>1181</v>
      </c>
      <c r="B1182" s="1" t="n">
        <v>45084</v>
      </c>
      <c r="C1182" s="5" t="inlineStr">
        <is>
          <t>M6</t>
        </is>
      </c>
      <c r="D1182" s="5" t="n">
        <v>29</v>
      </c>
      <c r="E1182" s="5" t="n">
        <v>196</v>
      </c>
      <c r="F1182" t="inlineStr">
        <is>
          <t>Продажа</t>
        </is>
      </c>
      <c r="H1182">
        <f>VLOOKUP(C1182,Магазин!$A$2:$C$1000,2,0)</f>
        <v/>
      </c>
      <c r="I1182">
        <f>VLOOKUP(D1182,Товар!$A$2:$F$1000,3,0)</f>
        <v/>
      </c>
      <c r="J1182">
        <f>VLOOKUP(D1182,Товар!$A$2:$F$1000,5,0)</f>
        <v/>
      </c>
      <c r="K1182">
        <f>IF(AND(H1182="Промышленный",LEFT(I1182,18)="Порошок стиральный",F1182="Продажа",B1182=DATE(2023,6,7)),E1182*J1182/1000,0)</f>
        <v/>
      </c>
    </row>
    <row r="1183">
      <c r="A1183" t="n">
        <v>1182</v>
      </c>
      <c r="B1183" s="1" t="n">
        <v>45084</v>
      </c>
      <c r="C1183" s="5" t="inlineStr">
        <is>
          <t>M6</t>
        </is>
      </c>
      <c r="D1183" s="5" t="n">
        <v>30</v>
      </c>
      <c r="E1183" s="5" t="n">
        <v>123</v>
      </c>
      <c r="F1183" t="inlineStr">
        <is>
          <t>Продажа</t>
        </is>
      </c>
      <c r="H1183">
        <f>VLOOKUP(C1183,Магазин!$A$2:$C$1000,2,0)</f>
        <v/>
      </c>
      <c r="I1183">
        <f>VLOOKUP(D1183,Товар!$A$2:$F$1000,3,0)</f>
        <v/>
      </c>
      <c r="J1183">
        <f>VLOOKUP(D1183,Товар!$A$2:$F$1000,5,0)</f>
        <v/>
      </c>
      <c r="K1183">
        <f>IF(AND(H1183="Промышленный",LEFT(I1183,18)="Порошок стиральный",F1183="Продажа",B1183=DATE(2023,6,7)),E1183*J1183/1000,0)</f>
        <v/>
      </c>
    </row>
    <row r="1184">
      <c r="A1184" t="n">
        <v>1183</v>
      </c>
      <c r="B1184" s="1" t="n">
        <v>45084</v>
      </c>
      <c r="C1184" s="5" t="inlineStr">
        <is>
          <t>M6</t>
        </is>
      </c>
      <c r="D1184" s="5" t="n">
        <v>31</v>
      </c>
      <c r="E1184" s="5" t="n">
        <v>111</v>
      </c>
      <c r="F1184" t="inlineStr">
        <is>
          <t>Продажа</t>
        </is>
      </c>
      <c r="H1184">
        <f>VLOOKUP(C1184,Магазин!$A$2:$C$1000,2,0)</f>
        <v/>
      </c>
      <c r="I1184">
        <f>VLOOKUP(D1184,Товар!$A$2:$F$1000,3,0)</f>
        <v/>
      </c>
      <c r="J1184">
        <f>VLOOKUP(D1184,Товар!$A$2:$F$1000,5,0)</f>
        <v/>
      </c>
      <c r="K1184">
        <f>IF(AND(H1184="Промышленный",LEFT(I1184,18)="Порошок стиральный",F1184="Продажа",B1184=DATE(2023,6,7)),E1184*J1184/1000,0)</f>
        <v/>
      </c>
    </row>
    <row r="1185">
      <c r="A1185" t="n">
        <v>1184</v>
      </c>
      <c r="B1185" s="1" t="n">
        <v>45084</v>
      </c>
      <c r="C1185" s="5" t="inlineStr">
        <is>
          <t>M6</t>
        </is>
      </c>
      <c r="D1185" s="5" t="n">
        <v>32</v>
      </c>
      <c r="E1185" s="5" t="n">
        <v>158</v>
      </c>
      <c r="F1185" t="inlineStr">
        <is>
          <t>Продажа</t>
        </is>
      </c>
      <c r="H1185">
        <f>VLOOKUP(C1185,Магазин!$A$2:$C$1000,2,0)</f>
        <v/>
      </c>
      <c r="I1185">
        <f>VLOOKUP(D1185,Товар!$A$2:$F$1000,3,0)</f>
        <v/>
      </c>
      <c r="J1185">
        <f>VLOOKUP(D1185,Товар!$A$2:$F$1000,5,0)</f>
        <v/>
      </c>
      <c r="K1185">
        <f>IF(AND(H1185="Промышленный",LEFT(I1185,18)="Порошок стиральный",F1185="Продажа",B1185=DATE(2023,6,7)),E1185*J1185/1000,0)</f>
        <v/>
      </c>
    </row>
    <row r="1186">
      <c r="A1186" t="n">
        <v>1185</v>
      </c>
      <c r="B1186" s="1" t="n">
        <v>45084</v>
      </c>
      <c r="C1186" s="5" t="inlineStr">
        <is>
          <t>M6</t>
        </is>
      </c>
      <c r="D1186" s="5" t="n">
        <v>33</v>
      </c>
      <c r="E1186" s="5" t="n">
        <v>175</v>
      </c>
      <c r="F1186" t="inlineStr">
        <is>
          <t>Продажа</t>
        </is>
      </c>
      <c r="H1186">
        <f>VLOOKUP(C1186,Магазин!$A$2:$C$1000,2,0)</f>
        <v/>
      </c>
      <c r="I1186">
        <f>VLOOKUP(D1186,Товар!$A$2:$F$1000,3,0)</f>
        <v/>
      </c>
      <c r="J1186">
        <f>VLOOKUP(D1186,Товар!$A$2:$F$1000,5,0)</f>
        <v/>
      </c>
      <c r="K1186">
        <f>IF(AND(H1186="Промышленный",LEFT(I1186,18)="Порошок стиральный",F1186="Продажа",B1186=DATE(2023,6,7)),E1186*J1186/1000,0)</f>
        <v/>
      </c>
    </row>
    <row r="1187">
      <c r="A1187" t="n">
        <v>1186</v>
      </c>
      <c r="B1187" s="1" t="n">
        <v>45084</v>
      </c>
      <c r="C1187" s="5" t="inlineStr">
        <is>
          <t>M6</t>
        </is>
      </c>
      <c r="D1187" s="5" t="n">
        <v>34</v>
      </c>
      <c r="E1187" s="5" t="n">
        <v>114</v>
      </c>
      <c r="F1187" t="inlineStr">
        <is>
          <t>Продажа</t>
        </is>
      </c>
      <c r="H1187">
        <f>VLOOKUP(C1187,Магазин!$A$2:$C$1000,2,0)</f>
        <v/>
      </c>
      <c r="I1187">
        <f>VLOOKUP(D1187,Товар!$A$2:$F$1000,3,0)</f>
        <v/>
      </c>
      <c r="J1187">
        <f>VLOOKUP(D1187,Товар!$A$2:$F$1000,5,0)</f>
        <v/>
      </c>
      <c r="K1187">
        <f>IF(AND(H1187="Промышленный",LEFT(I1187,18)="Порошок стиральный",F1187="Продажа",B1187=DATE(2023,6,7)),E1187*J1187/1000,0)</f>
        <v/>
      </c>
    </row>
    <row r="1188">
      <c r="A1188" t="n">
        <v>1187</v>
      </c>
      <c r="B1188" s="1" t="n">
        <v>45084</v>
      </c>
      <c r="C1188" s="5" t="inlineStr">
        <is>
          <t>M6</t>
        </is>
      </c>
      <c r="D1188" s="5" t="n">
        <v>35</v>
      </c>
      <c r="E1188" s="5" t="n">
        <v>139</v>
      </c>
      <c r="F1188" t="inlineStr">
        <is>
          <t>Продажа</t>
        </is>
      </c>
      <c r="H1188">
        <f>VLOOKUP(C1188,Магазин!$A$2:$C$1000,2,0)</f>
        <v/>
      </c>
      <c r="I1188">
        <f>VLOOKUP(D1188,Товар!$A$2:$F$1000,3,0)</f>
        <v/>
      </c>
      <c r="J1188">
        <f>VLOOKUP(D1188,Товар!$A$2:$F$1000,5,0)</f>
        <v/>
      </c>
      <c r="K1188">
        <f>IF(AND(H1188="Промышленный",LEFT(I1188,18)="Порошок стиральный",F1188="Продажа",B1188=DATE(2023,6,7)),E1188*J1188/1000,0)</f>
        <v/>
      </c>
    </row>
    <row r="1189">
      <c r="A1189" t="n">
        <v>1188</v>
      </c>
      <c r="B1189" s="1" t="n">
        <v>45084</v>
      </c>
      <c r="C1189" s="5" t="inlineStr">
        <is>
          <t>M6</t>
        </is>
      </c>
      <c r="D1189" s="5" t="n">
        <v>36</v>
      </c>
      <c r="E1189" s="5" t="n">
        <v>141</v>
      </c>
      <c r="F1189" t="inlineStr">
        <is>
          <t>Продажа</t>
        </is>
      </c>
      <c r="H1189">
        <f>VLOOKUP(C1189,Магазин!$A$2:$C$1000,2,0)</f>
        <v/>
      </c>
      <c r="I1189">
        <f>VLOOKUP(D1189,Товар!$A$2:$F$1000,3,0)</f>
        <v/>
      </c>
      <c r="J1189">
        <f>VLOOKUP(D1189,Товар!$A$2:$F$1000,5,0)</f>
        <v/>
      </c>
      <c r="K1189">
        <f>IF(AND(H1189="Промышленный",LEFT(I1189,18)="Порошок стиральный",F1189="Продажа",B1189=DATE(2023,6,7)),E1189*J1189/1000,0)</f>
        <v/>
      </c>
    </row>
    <row r="1190">
      <c r="A1190" t="n">
        <v>1189</v>
      </c>
      <c r="B1190" s="1" t="n">
        <v>45084</v>
      </c>
      <c r="C1190" s="5" t="inlineStr">
        <is>
          <t>M10</t>
        </is>
      </c>
      <c r="D1190" s="5" t="n">
        <v>1</v>
      </c>
      <c r="E1190" s="5" t="n">
        <v>122</v>
      </c>
      <c r="F1190" t="inlineStr">
        <is>
          <t>Продажа</t>
        </is>
      </c>
      <c r="H1190">
        <f>VLOOKUP(C1190,Магазин!$A$2:$C$1000,2,0)</f>
        <v/>
      </c>
      <c r="I1190">
        <f>VLOOKUP(D1190,Товар!$A$2:$F$1000,3,0)</f>
        <v/>
      </c>
      <c r="J1190">
        <f>VLOOKUP(D1190,Товар!$A$2:$F$1000,5,0)</f>
        <v/>
      </c>
      <c r="K1190">
        <f>IF(AND(H1190="Промышленный",LEFT(I1190,18)="Порошок стиральный",F1190="Продажа",B1190=DATE(2023,6,7)),E1190*J1190/1000,0)</f>
        <v/>
      </c>
    </row>
    <row r="1191">
      <c r="A1191" t="n">
        <v>1190</v>
      </c>
      <c r="B1191" s="1" t="n">
        <v>45084</v>
      </c>
      <c r="C1191" s="5" t="inlineStr">
        <is>
          <t>M10</t>
        </is>
      </c>
      <c r="D1191" s="5" t="n">
        <v>2</v>
      </c>
      <c r="E1191" s="5" t="n">
        <v>123</v>
      </c>
      <c r="F1191" t="inlineStr">
        <is>
          <t>Продажа</t>
        </is>
      </c>
      <c r="H1191">
        <f>VLOOKUP(C1191,Магазин!$A$2:$C$1000,2,0)</f>
        <v/>
      </c>
      <c r="I1191">
        <f>VLOOKUP(D1191,Товар!$A$2:$F$1000,3,0)</f>
        <v/>
      </c>
      <c r="J1191">
        <f>VLOOKUP(D1191,Товар!$A$2:$F$1000,5,0)</f>
        <v/>
      </c>
      <c r="K1191">
        <f>IF(AND(H1191="Промышленный",LEFT(I1191,18)="Порошок стиральный",F1191="Продажа",B1191=DATE(2023,6,7)),E1191*J1191/1000,0)</f>
        <v/>
      </c>
    </row>
    <row r="1192">
      <c r="A1192" t="n">
        <v>1191</v>
      </c>
      <c r="B1192" s="1" t="n">
        <v>45084</v>
      </c>
      <c r="C1192" s="5" t="inlineStr">
        <is>
          <t>M10</t>
        </is>
      </c>
      <c r="D1192" s="5" t="n">
        <v>3</v>
      </c>
      <c r="E1192" s="5" t="n">
        <v>158</v>
      </c>
      <c r="F1192" t="inlineStr">
        <is>
          <t>Продажа</t>
        </is>
      </c>
      <c r="H1192">
        <f>VLOOKUP(C1192,Магазин!$A$2:$C$1000,2,0)</f>
        <v/>
      </c>
      <c r="I1192">
        <f>VLOOKUP(D1192,Товар!$A$2:$F$1000,3,0)</f>
        <v/>
      </c>
      <c r="J1192">
        <f>VLOOKUP(D1192,Товар!$A$2:$F$1000,5,0)</f>
        <v/>
      </c>
      <c r="K1192">
        <f>IF(AND(H1192="Промышленный",LEFT(I1192,18)="Порошок стиральный",F1192="Продажа",B1192=DATE(2023,6,7)),E1192*J1192/1000,0)</f>
        <v/>
      </c>
    </row>
    <row r="1193">
      <c r="A1193" t="n">
        <v>1192</v>
      </c>
      <c r="B1193" s="1" t="n">
        <v>45084</v>
      </c>
      <c r="C1193" s="5" t="inlineStr">
        <is>
          <t>M10</t>
        </is>
      </c>
      <c r="D1193" s="5" t="n">
        <v>4</v>
      </c>
      <c r="E1193" s="5" t="n">
        <v>146</v>
      </c>
      <c r="F1193" t="inlineStr">
        <is>
          <t>Продажа</t>
        </is>
      </c>
      <c r="H1193">
        <f>VLOOKUP(C1193,Магазин!$A$2:$C$1000,2,0)</f>
        <v/>
      </c>
      <c r="I1193">
        <f>VLOOKUP(D1193,Товар!$A$2:$F$1000,3,0)</f>
        <v/>
      </c>
      <c r="J1193">
        <f>VLOOKUP(D1193,Товар!$A$2:$F$1000,5,0)</f>
        <v/>
      </c>
      <c r="K1193">
        <f>IF(AND(H1193="Промышленный",LEFT(I1193,18)="Порошок стиральный",F1193="Продажа",B1193=DATE(2023,6,7)),E1193*J1193/1000,0)</f>
        <v/>
      </c>
    </row>
    <row r="1194">
      <c r="A1194" t="n">
        <v>1193</v>
      </c>
      <c r="B1194" s="1" t="n">
        <v>45084</v>
      </c>
      <c r="C1194" s="5" t="inlineStr">
        <is>
          <t>M10</t>
        </is>
      </c>
      <c r="D1194" s="5" t="n">
        <v>5</v>
      </c>
      <c r="E1194" s="5" t="n">
        <v>147</v>
      </c>
      <c r="F1194" t="inlineStr">
        <is>
          <t>Продажа</t>
        </is>
      </c>
      <c r="H1194">
        <f>VLOOKUP(C1194,Магазин!$A$2:$C$1000,2,0)</f>
        <v/>
      </c>
      <c r="I1194">
        <f>VLOOKUP(D1194,Товар!$A$2:$F$1000,3,0)</f>
        <v/>
      </c>
      <c r="J1194">
        <f>VLOOKUP(D1194,Товар!$A$2:$F$1000,5,0)</f>
        <v/>
      </c>
      <c r="K1194">
        <f>IF(AND(H1194="Промышленный",LEFT(I1194,18)="Порошок стиральный",F1194="Продажа",B1194=DATE(2023,6,7)),E1194*J1194/1000,0)</f>
        <v/>
      </c>
    </row>
    <row r="1195">
      <c r="A1195" t="n">
        <v>1194</v>
      </c>
      <c r="B1195" s="1" t="n">
        <v>45084</v>
      </c>
      <c r="C1195" s="5" t="inlineStr">
        <is>
          <t>M10</t>
        </is>
      </c>
      <c r="D1195" s="5" t="n">
        <v>6</v>
      </c>
      <c r="E1195" s="5" t="n">
        <v>169</v>
      </c>
      <c r="F1195" t="inlineStr">
        <is>
          <t>Продажа</t>
        </is>
      </c>
      <c r="H1195">
        <f>VLOOKUP(C1195,Магазин!$A$2:$C$1000,2,0)</f>
        <v/>
      </c>
      <c r="I1195">
        <f>VLOOKUP(D1195,Товар!$A$2:$F$1000,3,0)</f>
        <v/>
      </c>
      <c r="J1195">
        <f>VLOOKUP(D1195,Товар!$A$2:$F$1000,5,0)</f>
        <v/>
      </c>
      <c r="K1195">
        <f>IF(AND(H1195="Промышленный",LEFT(I1195,18)="Порошок стиральный",F1195="Продажа",B1195=DATE(2023,6,7)),E1195*J1195/1000,0)</f>
        <v/>
      </c>
    </row>
    <row r="1196">
      <c r="A1196" t="n">
        <v>1195</v>
      </c>
      <c r="B1196" s="1" t="n">
        <v>45084</v>
      </c>
      <c r="C1196" s="5" t="inlineStr">
        <is>
          <t>M10</t>
        </is>
      </c>
      <c r="D1196" s="5" t="n">
        <v>7</v>
      </c>
      <c r="E1196" s="5" t="n">
        <v>199</v>
      </c>
      <c r="F1196" t="inlineStr">
        <is>
          <t>Продажа</t>
        </is>
      </c>
      <c r="H1196">
        <f>VLOOKUP(C1196,Магазин!$A$2:$C$1000,2,0)</f>
        <v/>
      </c>
      <c r="I1196">
        <f>VLOOKUP(D1196,Товар!$A$2:$F$1000,3,0)</f>
        <v/>
      </c>
      <c r="J1196">
        <f>VLOOKUP(D1196,Товар!$A$2:$F$1000,5,0)</f>
        <v/>
      </c>
      <c r="K1196">
        <f>IF(AND(H1196="Промышленный",LEFT(I1196,18)="Порошок стиральный",F1196="Продажа",B1196=DATE(2023,6,7)),E1196*J1196/1000,0)</f>
        <v/>
      </c>
    </row>
    <row r="1197">
      <c r="A1197" t="n">
        <v>1196</v>
      </c>
      <c r="B1197" s="1" t="n">
        <v>45084</v>
      </c>
      <c r="C1197" s="5" t="inlineStr">
        <is>
          <t>M10</t>
        </is>
      </c>
      <c r="D1197" s="5" t="n">
        <v>8</v>
      </c>
      <c r="E1197" s="5" t="n">
        <v>147</v>
      </c>
      <c r="F1197" t="inlineStr">
        <is>
          <t>Продажа</t>
        </is>
      </c>
      <c r="H1197">
        <f>VLOOKUP(C1197,Магазин!$A$2:$C$1000,2,0)</f>
        <v/>
      </c>
      <c r="I1197">
        <f>VLOOKUP(D1197,Товар!$A$2:$F$1000,3,0)</f>
        <v/>
      </c>
      <c r="J1197">
        <f>VLOOKUP(D1197,Товар!$A$2:$F$1000,5,0)</f>
        <v/>
      </c>
      <c r="K1197">
        <f>IF(AND(H1197="Промышленный",LEFT(I1197,18)="Порошок стиральный",F1197="Продажа",B1197=DATE(2023,6,7)),E1197*J1197/1000,0)</f>
        <v/>
      </c>
    </row>
    <row r="1198">
      <c r="A1198" t="n">
        <v>1197</v>
      </c>
      <c r="B1198" s="1" t="n">
        <v>45084</v>
      </c>
      <c r="C1198" s="5" t="inlineStr">
        <is>
          <t>M10</t>
        </is>
      </c>
      <c r="D1198" s="5" t="n">
        <v>9</v>
      </c>
      <c r="E1198" s="5" t="n">
        <v>138</v>
      </c>
      <c r="F1198" t="inlineStr">
        <is>
          <t>Продажа</t>
        </is>
      </c>
      <c r="H1198">
        <f>VLOOKUP(C1198,Магазин!$A$2:$C$1000,2,0)</f>
        <v/>
      </c>
      <c r="I1198">
        <f>VLOOKUP(D1198,Товар!$A$2:$F$1000,3,0)</f>
        <v/>
      </c>
      <c r="J1198">
        <f>VLOOKUP(D1198,Товар!$A$2:$F$1000,5,0)</f>
        <v/>
      </c>
      <c r="K1198">
        <f>IF(AND(H1198="Промышленный",LEFT(I1198,18)="Порошок стиральный",F1198="Продажа",B1198=DATE(2023,6,7)),E1198*J1198/1000,0)</f>
        <v/>
      </c>
    </row>
    <row r="1199">
      <c r="A1199" t="n">
        <v>1198</v>
      </c>
      <c r="B1199" s="1" t="n">
        <v>45084</v>
      </c>
      <c r="C1199" s="5" t="inlineStr">
        <is>
          <t>M10</t>
        </is>
      </c>
      <c r="D1199" s="5" t="n">
        <v>10</v>
      </c>
      <c r="E1199" s="5" t="n">
        <v>129</v>
      </c>
      <c r="F1199" t="inlineStr">
        <is>
          <t>Продажа</t>
        </is>
      </c>
      <c r="H1199">
        <f>VLOOKUP(C1199,Магазин!$A$2:$C$1000,2,0)</f>
        <v/>
      </c>
      <c r="I1199">
        <f>VLOOKUP(D1199,Товар!$A$2:$F$1000,3,0)</f>
        <v/>
      </c>
      <c r="J1199">
        <f>VLOOKUP(D1199,Товар!$A$2:$F$1000,5,0)</f>
        <v/>
      </c>
      <c r="K1199">
        <f>IF(AND(H1199="Промышленный",LEFT(I1199,18)="Порошок стиральный",F1199="Продажа",B1199=DATE(2023,6,7)),E1199*J1199/1000,0)</f>
        <v/>
      </c>
    </row>
    <row r="1200">
      <c r="A1200" t="n">
        <v>1199</v>
      </c>
      <c r="B1200" s="1" t="n">
        <v>45084</v>
      </c>
      <c r="C1200" s="5" t="inlineStr">
        <is>
          <t>M10</t>
        </is>
      </c>
      <c r="D1200" s="5" t="n">
        <v>11</v>
      </c>
      <c r="E1200" s="5" t="n">
        <v>191</v>
      </c>
      <c r="F1200" t="inlineStr">
        <is>
          <t>Продажа</t>
        </is>
      </c>
      <c r="H1200">
        <f>VLOOKUP(C1200,Магазин!$A$2:$C$1000,2,0)</f>
        <v/>
      </c>
      <c r="I1200">
        <f>VLOOKUP(D1200,Товар!$A$2:$F$1000,3,0)</f>
        <v/>
      </c>
      <c r="J1200">
        <f>VLOOKUP(D1200,Товар!$A$2:$F$1000,5,0)</f>
        <v/>
      </c>
      <c r="K1200">
        <f>IF(AND(H1200="Промышленный",LEFT(I1200,18)="Порошок стиральный",F1200="Продажа",B1200=DATE(2023,6,7)),E1200*J1200/1000,0)</f>
        <v/>
      </c>
    </row>
    <row r="1201">
      <c r="A1201" t="n">
        <v>1200</v>
      </c>
      <c r="B1201" s="1" t="n">
        <v>45084</v>
      </c>
      <c r="C1201" s="5" t="inlineStr">
        <is>
          <t>M10</t>
        </is>
      </c>
      <c r="D1201" s="5" t="n">
        <v>12</v>
      </c>
      <c r="E1201" s="5" t="n">
        <v>155</v>
      </c>
      <c r="F1201" t="inlineStr">
        <is>
          <t>Продажа</t>
        </is>
      </c>
      <c r="H1201">
        <f>VLOOKUP(C1201,Магазин!$A$2:$C$1000,2,0)</f>
        <v/>
      </c>
      <c r="I1201">
        <f>VLOOKUP(D1201,Товар!$A$2:$F$1000,3,0)</f>
        <v/>
      </c>
      <c r="J1201">
        <f>VLOOKUP(D1201,Товар!$A$2:$F$1000,5,0)</f>
        <v/>
      </c>
      <c r="K1201">
        <f>IF(AND(H1201="Промышленный",LEFT(I1201,18)="Порошок стиральный",F1201="Продажа",B1201=DATE(2023,6,7)),E1201*J1201/1000,0)</f>
        <v/>
      </c>
    </row>
    <row r="1202">
      <c r="A1202" t="n">
        <v>1201</v>
      </c>
      <c r="B1202" s="1" t="n">
        <v>45084</v>
      </c>
      <c r="C1202" s="5" t="inlineStr">
        <is>
          <t>M10</t>
        </is>
      </c>
      <c r="D1202" s="5" t="n">
        <v>13</v>
      </c>
      <c r="E1202" s="5" t="n">
        <v>143</v>
      </c>
      <c r="F1202" t="inlineStr">
        <is>
          <t>Продажа</t>
        </is>
      </c>
      <c r="H1202">
        <f>VLOOKUP(C1202,Магазин!$A$2:$C$1000,2,0)</f>
        <v/>
      </c>
      <c r="I1202">
        <f>VLOOKUP(D1202,Товар!$A$2:$F$1000,3,0)</f>
        <v/>
      </c>
      <c r="J1202">
        <f>VLOOKUP(D1202,Товар!$A$2:$F$1000,5,0)</f>
        <v/>
      </c>
      <c r="K1202">
        <f>IF(AND(H1202="Промышленный",LEFT(I1202,18)="Порошок стиральный",F1202="Продажа",B1202=DATE(2023,6,7)),E1202*J1202/1000,0)</f>
        <v/>
      </c>
    </row>
    <row r="1203">
      <c r="A1203" t="n">
        <v>1202</v>
      </c>
      <c r="B1203" s="1" t="n">
        <v>45084</v>
      </c>
      <c r="C1203" s="5" t="inlineStr">
        <is>
          <t>M10</t>
        </is>
      </c>
      <c r="D1203" s="5" t="n">
        <v>14</v>
      </c>
      <c r="E1203" s="5" t="n">
        <v>178</v>
      </c>
      <c r="F1203" t="inlineStr">
        <is>
          <t>Продажа</t>
        </is>
      </c>
      <c r="H1203">
        <f>VLOOKUP(C1203,Магазин!$A$2:$C$1000,2,0)</f>
        <v/>
      </c>
      <c r="I1203">
        <f>VLOOKUP(D1203,Товар!$A$2:$F$1000,3,0)</f>
        <v/>
      </c>
      <c r="J1203">
        <f>VLOOKUP(D1203,Товар!$A$2:$F$1000,5,0)</f>
        <v/>
      </c>
      <c r="K1203">
        <f>IF(AND(H1203="Промышленный",LEFT(I1203,18)="Порошок стиральный",F1203="Продажа",B1203=DATE(2023,6,7)),E1203*J1203/1000,0)</f>
        <v/>
      </c>
    </row>
    <row r="1204">
      <c r="A1204" t="n">
        <v>1203</v>
      </c>
      <c r="B1204" s="1" t="n">
        <v>45084</v>
      </c>
      <c r="C1204" s="5" t="inlineStr">
        <is>
          <t>M10</t>
        </is>
      </c>
      <c r="D1204" s="5" t="n">
        <v>15</v>
      </c>
      <c r="E1204" s="5" t="n">
        <v>146</v>
      </c>
      <c r="F1204" t="inlineStr">
        <is>
          <t>Продажа</t>
        </is>
      </c>
      <c r="H1204">
        <f>VLOOKUP(C1204,Магазин!$A$2:$C$1000,2,0)</f>
        <v/>
      </c>
      <c r="I1204">
        <f>VLOOKUP(D1204,Товар!$A$2:$F$1000,3,0)</f>
        <v/>
      </c>
      <c r="J1204">
        <f>VLOOKUP(D1204,Товар!$A$2:$F$1000,5,0)</f>
        <v/>
      </c>
      <c r="K1204">
        <f>IF(AND(H1204="Промышленный",LEFT(I1204,18)="Порошок стиральный",F1204="Продажа",B1204=DATE(2023,6,7)),E1204*J1204/1000,0)</f>
        <v/>
      </c>
    </row>
    <row r="1205">
      <c r="A1205" t="n">
        <v>1204</v>
      </c>
      <c r="B1205" s="1" t="n">
        <v>45084</v>
      </c>
      <c r="C1205" s="5" t="inlineStr">
        <is>
          <t>M10</t>
        </is>
      </c>
      <c r="D1205" s="5" t="n">
        <v>16</v>
      </c>
      <c r="E1205" s="5" t="n">
        <v>128</v>
      </c>
      <c r="F1205" t="inlineStr">
        <is>
          <t>Продажа</t>
        </is>
      </c>
      <c r="H1205">
        <f>VLOOKUP(C1205,Магазин!$A$2:$C$1000,2,0)</f>
        <v/>
      </c>
      <c r="I1205">
        <f>VLOOKUP(D1205,Товар!$A$2:$F$1000,3,0)</f>
        <v/>
      </c>
      <c r="J1205">
        <f>VLOOKUP(D1205,Товар!$A$2:$F$1000,5,0)</f>
        <v/>
      </c>
      <c r="K1205">
        <f>IF(AND(H1205="Промышленный",LEFT(I1205,18)="Порошок стиральный",F1205="Продажа",B1205=DATE(2023,6,7)),E1205*J1205/1000,0)</f>
        <v/>
      </c>
    </row>
    <row r="1206">
      <c r="A1206" t="n">
        <v>1205</v>
      </c>
      <c r="B1206" s="1" t="n">
        <v>45084</v>
      </c>
      <c r="C1206" s="5" t="inlineStr">
        <is>
          <t>M10</t>
        </is>
      </c>
      <c r="D1206" s="5" t="n">
        <v>17</v>
      </c>
      <c r="E1206" s="5" t="n">
        <v>191</v>
      </c>
      <c r="F1206" t="inlineStr">
        <is>
          <t>Продажа</t>
        </is>
      </c>
      <c r="H1206">
        <f>VLOOKUP(C1206,Магазин!$A$2:$C$1000,2,0)</f>
        <v/>
      </c>
      <c r="I1206">
        <f>VLOOKUP(D1206,Товар!$A$2:$F$1000,3,0)</f>
        <v/>
      </c>
      <c r="J1206">
        <f>VLOOKUP(D1206,Товар!$A$2:$F$1000,5,0)</f>
        <v/>
      </c>
      <c r="K1206">
        <f>IF(AND(H1206="Промышленный",LEFT(I1206,18)="Порошок стиральный",F1206="Продажа",B1206=DATE(2023,6,7)),E1206*J1206/1000,0)</f>
        <v/>
      </c>
    </row>
    <row r="1207">
      <c r="A1207" t="n">
        <v>1206</v>
      </c>
      <c r="B1207" s="1" t="n">
        <v>45084</v>
      </c>
      <c r="C1207" s="5" t="inlineStr">
        <is>
          <t>M10</t>
        </is>
      </c>
      <c r="D1207" s="5" t="n">
        <v>18</v>
      </c>
      <c r="E1207" s="5" t="n">
        <v>165</v>
      </c>
      <c r="F1207" t="inlineStr">
        <is>
          <t>Продажа</t>
        </is>
      </c>
      <c r="H1207">
        <f>VLOOKUP(C1207,Магазин!$A$2:$C$1000,2,0)</f>
        <v/>
      </c>
      <c r="I1207">
        <f>VLOOKUP(D1207,Товар!$A$2:$F$1000,3,0)</f>
        <v/>
      </c>
      <c r="J1207">
        <f>VLOOKUP(D1207,Товар!$A$2:$F$1000,5,0)</f>
        <v/>
      </c>
      <c r="K1207">
        <f>IF(AND(H1207="Промышленный",LEFT(I1207,18)="Порошок стиральный",F1207="Продажа",B1207=DATE(2023,6,7)),E1207*J1207/1000,0)</f>
        <v/>
      </c>
    </row>
    <row r="1208">
      <c r="A1208" t="n">
        <v>1207</v>
      </c>
      <c r="B1208" s="1" t="n">
        <v>45084</v>
      </c>
      <c r="C1208" s="5" t="inlineStr">
        <is>
          <t>M10</t>
        </is>
      </c>
      <c r="D1208" s="5" t="n">
        <v>19</v>
      </c>
      <c r="E1208" s="5" t="n">
        <v>167</v>
      </c>
      <c r="F1208" t="inlineStr">
        <is>
          <t>Продажа</t>
        </is>
      </c>
      <c r="H1208">
        <f>VLOOKUP(C1208,Магазин!$A$2:$C$1000,2,0)</f>
        <v/>
      </c>
      <c r="I1208">
        <f>VLOOKUP(D1208,Товар!$A$2:$F$1000,3,0)</f>
        <v/>
      </c>
      <c r="J1208">
        <f>VLOOKUP(D1208,Товар!$A$2:$F$1000,5,0)</f>
        <v/>
      </c>
      <c r="K1208">
        <f>IF(AND(H1208="Промышленный",LEFT(I1208,18)="Порошок стиральный",F1208="Продажа",B1208=DATE(2023,6,7)),E1208*J1208/1000,0)</f>
        <v/>
      </c>
    </row>
    <row r="1209">
      <c r="A1209" t="n">
        <v>1208</v>
      </c>
      <c r="B1209" s="1" t="n">
        <v>45084</v>
      </c>
      <c r="C1209" s="5" t="inlineStr">
        <is>
          <t>M10</t>
        </is>
      </c>
      <c r="D1209" s="5" t="n">
        <v>20</v>
      </c>
      <c r="E1209" s="5" t="n">
        <v>132</v>
      </c>
      <c r="F1209" t="inlineStr">
        <is>
          <t>Продажа</t>
        </is>
      </c>
      <c r="H1209">
        <f>VLOOKUP(C1209,Магазин!$A$2:$C$1000,2,0)</f>
        <v/>
      </c>
      <c r="I1209">
        <f>VLOOKUP(D1209,Товар!$A$2:$F$1000,3,0)</f>
        <v/>
      </c>
      <c r="J1209">
        <f>VLOOKUP(D1209,Товар!$A$2:$F$1000,5,0)</f>
        <v/>
      </c>
      <c r="K1209">
        <f>IF(AND(H1209="Промышленный",LEFT(I1209,18)="Порошок стиральный",F1209="Продажа",B1209=DATE(2023,6,7)),E1209*J1209/1000,0)</f>
        <v/>
      </c>
    </row>
    <row r="1210">
      <c r="A1210" t="n">
        <v>1209</v>
      </c>
      <c r="B1210" s="1" t="n">
        <v>45084</v>
      </c>
      <c r="C1210" s="5" t="inlineStr">
        <is>
          <t>M10</t>
        </is>
      </c>
      <c r="D1210" s="5" t="n">
        <v>21</v>
      </c>
      <c r="E1210" s="5" t="n">
        <v>105</v>
      </c>
      <c r="F1210" t="inlineStr">
        <is>
          <t>Продажа</t>
        </is>
      </c>
      <c r="H1210">
        <f>VLOOKUP(C1210,Магазин!$A$2:$C$1000,2,0)</f>
        <v/>
      </c>
      <c r="I1210">
        <f>VLOOKUP(D1210,Товар!$A$2:$F$1000,3,0)</f>
        <v/>
      </c>
      <c r="J1210">
        <f>VLOOKUP(D1210,Товар!$A$2:$F$1000,5,0)</f>
        <v/>
      </c>
      <c r="K1210">
        <f>IF(AND(H1210="Промышленный",LEFT(I1210,18)="Порошок стиральный",F1210="Продажа",B1210=DATE(2023,6,7)),E1210*J1210/1000,0)</f>
        <v/>
      </c>
    </row>
    <row r="1211">
      <c r="A1211" t="n">
        <v>1210</v>
      </c>
      <c r="B1211" s="1" t="n">
        <v>45084</v>
      </c>
      <c r="C1211" s="5" t="inlineStr">
        <is>
          <t>M10</t>
        </is>
      </c>
      <c r="D1211" s="5" t="n">
        <v>22</v>
      </c>
      <c r="E1211" s="5" t="n">
        <v>114</v>
      </c>
      <c r="F1211" t="inlineStr">
        <is>
          <t>Продажа</t>
        </is>
      </c>
      <c r="H1211">
        <f>VLOOKUP(C1211,Магазин!$A$2:$C$1000,2,0)</f>
        <v/>
      </c>
      <c r="I1211">
        <f>VLOOKUP(D1211,Товар!$A$2:$F$1000,3,0)</f>
        <v/>
      </c>
      <c r="J1211">
        <f>VLOOKUP(D1211,Товар!$A$2:$F$1000,5,0)</f>
        <v/>
      </c>
      <c r="K1211">
        <f>IF(AND(H1211="Промышленный",LEFT(I1211,18)="Порошок стиральный",F1211="Продажа",B1211=DATE(2023,6,7)),E1211*J1211/1000,0)</f>
        <v/>
      </c>
    </row>
    <row r="1212">
      <c r="A1212" t="n">
        <v>1211</v>
      </c>
      <c r="B1212" s="1" t="n">
        <v>45084</v>
      </c>
      <c r="C1212" s="5" t="inlineStr">
        <is>
          <t>M10</t>
        </is>
      </c>
      <c r="D1212" s="5" t="n">
        <v>23</v>
      </c>
      <c r="E1212" s="5" t="n">
        <v>192</v>
      </c>
      <c r="F1212" t="inlineStr">
        <is>
          <t>Продажа</t>
        </is>
      </c>
      <c r="H1212">
        <f>VLOOKUP(C1212,Магазин!$A$2:$C$1000,2,0)</f>
        <v/>
      </c>
      <c r="I1212">
        <f>VLOOKUP(D1212,Товар!$A$2:$F$1000,3,0)</f>
        <v/>
      </c>
      <c r="J1212">
        <f>VLOOKUP(D1212,Товар!$A$2:$F$1000,5,0)</f>
        <v/>
      </c>
      <c r="K1212">
        <f>IF(AND(H1212="Промышленный",LEFT(I1212,18)="Порошок стиральный",F1212="Продажа",B1212=DATE(2023,6,7)),E1212*J1212/1000,0)</f>
        <v/>
      </c>
    </row>
    <row r="1213">
      <c r="A1213" t="n">
        <v>1212</v>
      </c>
      <c r="B1213" s="1" t="n">
        <v>45084</v>
      </c>
      <c r="C1213" s="5" t="inlineStr">
        <is>
          <t>M10</t>
        </is>
      </c>
      <c r="D1213" s="5" t="n">
        <v>24</v>
      </c>
      <c r="E1213" s="5" t="n">
        <v>145</v>
      </c>
      <c r="F1213" t="inlineStr">
        <is>
          <t>Продажа</t>
        </is>
      </c>
      <c r="H1213">
        <f>VLOOKUP(C1213,Магазин!$A$2:$C$1000,2,0)</f>
        <v/>
      </c>
      <c r="I1213">
        <f>VLOOKUP(D1213,Товар!$A$2:$F$1000,3,0)</f>
        <v/>
      </c>
      <c r="J1213">
        <f>VLOOKUP(D1213,Товар!$A$2:$F$1000,5,0)</f>
        <v/>
      </c>
      <c r="K1213">
        <f>IF(AND(H1213="Промышленный",LEFT(I1213,18)="Порошок стиральный",F1213="Продажа",B1213=DATE(2023,6,7)),E1213*J1213/1000,0)</f>
        <v/>
      </c>
    </row>
    <row r="1214">
      <c r="A1214" t="n">
        <v>1213</v>
      </c>
      <c r="B1214" s="1" t="n">
        <v>45084</v>
      </c>
      <c r="C1214" s="5" t="inlineStr">
        <is>
          <t>M10</t>
        </is>
      </c>
      <c r="D1214" s="5" t="n">
        <v>25</v>
      </c>
      <c r="E1214" s="5" t="n">
        <v>163</v>
      </c>
      <c r="F1214" t="inlineStr">
        <is>
          <t>Продажа</t>
        </is>
      </c>
      <c r="H1214">
        <f>VLOOKUP(C1214,Магазин!$A$2:$C$1000,2,0)</f>
        <v/>
      </c>
      <c r="I1214">
        <f>VLOOKUP(D1214,Товар!$A$2:$F$1000,3,0)</f>
        <v/>
      </c>
      <c r="J1214">
        <f>VLOOKUP(D1214,Товар!$A$2:$F$1000,5,0)</f>
        <v/>
      </c>
      <c r="K1214">
        <f>IF(AND(H1214="Промышленный",LEFT(I1214,18)="Порошок стиральный",F1214="Продажа",B1214=DATE(2023,6,7)),E1214*J1214/1000,0)</f>
        <v/>
      </c>
    </row>
    <row r="1215">
      <c r="A1215" t="n">
        <v>1214</v>
      </c>
      <c r="B1215" s="1" t="n">
        <v>45084</v>
      </c>
      <c r="C1215" s="5" t="inlineStr">
        <is>
          <t>M10</t>
        </is>
      </c>
      <c r="D1215" s="5" t="n">
        <v>26</v>
      </c>
      <c r="E1215" s="5" t="n">
        <v>128</v>
      </c>
      <c r="F1215" t="inlineStr">
        <is>
          <t>Продажа</t>
        </is>
      </c>
      <c r="H1215">
        <f>VLOOKUP(C1215,Магазин!$A$2:$C$1000,2,0)</f>
        <v/>
      </c>
      <c r="I1215">
        <f>VLOOKUP(D1215,Товар!$A$2:$F$1000,3,0)</f>
        <v/>
      </c>
      <c r="J1215">
        <f>VLOOKUP(D1215,Товар!$A$2:$F$1000,5,0)</f>
        <v/>
      </c>
      <c r="K1215">
        <f>IF(AND(H1215="Промышленный",LEFT(I1215,18)="Порошок стиральный",F1215="Продажа",B1215=DATE(2023,6,7)),E1215*J1215/1000,0)</f>
        <v/>
      </c>
    </row>
    <row r="1216">
      <c r="A1216" t="n">
        <v>1215</v>
      </c>
      <c r="B1216" s="1" t="n">
        <v>45084</v>
      </c>
      <c r="C1216" s="5" t="inlineStr">
        <is>
          <t>M10</t>
        </is>
      </c>
      <c r="D1216" s="5" t="n">
        <v>27</v>
      </c>
      <c r="E1216" s="5" t="n">
        <v>145</v>
      </c>
      <c r="F1216" t="inlineStr">
        <is>
          <t>Продажа</t>
        </is>
      </c>
      <c r="H1216">
        <f>VLOOKUP(C1216,Магазин!$A$2:$C$1000,2,0)</f>
        <v/>
      </c>
      <c r="I1216">
        <f>VLOOKUP(D1216,Товар!$A$2:$F$1000,3,0)</f>
        <v/>
      </c>
      <c r="J1216">
        <f>VLOOKUP(D1216,Товар!$A$2:$F$1000,5,0)</f>
        <v/>
      </c>
      <c r="K1216">
        <f>IF(AND(H1216="Промышленный",LEFT(I1216,18)="Порошок стиральный",F1216="Продажа",B1216=DATE(2023,6,7)),E1216*J1216/1000,0)</f>
        <v/>
      </c>
    </row>
    <row r="1217">
      <c r="A1217" t="n">
        <v>1216</v>
      </c>
      <c r="B1217" s="1" t="n">
        <v>45084</v>
      </c>
      <c r="C1217" s="5" t="inlineStr">
        <is>
          <t>M10</t>
        </is>
      </c>
      <c r="D1217" s="5" t="n">
        <v>28</v>
      </c>
      <c r="E1217" s="5" t="n">
        <v>138</v>
      </c>
      <c r="F1217" t="inlineStr">
        <is>
          <t>Продажа</t>
        </is>
      </c>
      <c r="H1217">
        <f>VLOOKUP(C1217,Магазин!$A$2:$C$1000,2,0)</f>
        <v/>
      </c>
      <c r="I1217">
        <f>VLOOKUP(D1217,Товар!$A$2:$F$1000,3,0)</f>
        <v/>
      </c>
      <c r="J1217">
        <f>VLOOKUP(D1217,Товар!$A$2:$F$1000,5,0)</f>
        <v/>
      </c>
      <c r="K1217">
        <f>IF(AND(H1217="Промышленный",LEFT(I1217,18)="Порошок стиральный",F1217="Продажа",B1217=DATE(2023,6,7)),E1217*J1217/1000,0)</f>
        <v/>
      </c>
    </row>
    <row r="1218">
      <c r="A1218" t="n">
        <v>1217</v>
      </c>
      <c r="B1218" s="1" t="n">
        <v>45084</v>
      </c>
      <c r="C1218" s="5" t="inlineStr">
        <is>
          <t>M10</t>
        </is>
      </c>
      <c r="D1218" s="5" t="n">
        <v>29</v>
      </c>
      <c r="E1218" s="5" t="n">
        <v>164</v>
      </c>
      <c r="F1218" t="inlineStr">
        <is>
          <t>Продажа</t>
        </is>
      </c>
      <c r="H1218">
        <f>VLOOKUP(C1218,Магазин!$A$2:$C$1000,2,0)</f>
        <v/>
      </c>
      <c r="I1218">
        <f>VLOOKUP(D1218,Товар!$A$2:$F$1000,3,0)</f>
        <v/>
      </c>
      <c r="J1218">
        <f>VLOOKUP(D1218,Товар!$A$2:$F$1000,5,0)</f>
        <v/>
      </c>
      <c r="K1218">
        <f>IF(AND(H1218="Промышленный",LEFT(I1218,18)="Порошок стиральный",F1218="Продажа",B1218=DATE(2023,6,7)),E1218*J1218/1000,0)</f>
        <v/>
      </c>
    </row>
    <row r="1219">
      <c r="A1219" t="n">
        <v>1218</v>
      </c>
      <c r="B1219" s="1" t="n">
        <v>45084</v>
      </c>
      <c r="C1219" s="5" t="inlineStr">
        <is>
          <t>M10</t>
        </is>
      </c>
      <c r="D1219" s="5" t="n">
        <v>30</v>
      </c>
      <c r="E1219" s="5" t="n">
        <v>176</v>
      </c>
      <c r="F1219" t="inlineStr">
        <is>
          <t>Продажа</t>
        </is>
      </c>
      <c r="H1219">
        <f>VLOOKUP(C1219,Магазин!$A$2:$C$1000,2,0)</f>
        <v/>
      </c>
      <c r="I1219">
        <f>VLOOKUP(D1219,Товар!$A$2:$F$1000,3,0)</f>
        <v/>
      </c>
      <c r="J1219">
        <f>VLOOKUP(D1219,Товар!$A$2:$F$1000,5,0)</f>
        <v/>
      </c>
      <c r="K1219">
        <f>IF(AND(H1219="Промышленный",LEFT(I1219,18)="Порошок стиральный",F1219="Продажа",B1219=DATE(2023,6,7)),E1219*J1219/1000,0)</f>
        <v/>
      </c>
    </row>
    <row r="1220">
      <c r="A1220" t="n">
        <v>1219</v>
      </c>
      <c r="B1220" s="1" t="n">
        <v>45084</v>
      </c>
      <c r="C1220" s="5" t="inlineStr">
        <is>
          <t>M10</t>
        </is>
      </c>
      <c r="D1220" s="5" t="n">
        <v>31</v>
      </c>
      <c r="E1220" s="5" t="n">
        <v>128</v>
      </c>
      <c r="F1220" t="inlineStr">
        <is>
          <t>Продажа</t>
        </is>
      </c>
      <c r="H1220">
        <f>VLOOKUP(C1220,Магазин!$A$2:$C$1000,2,0)</f>
        <v/>
      </c>
      <c r="I1220">
        <f>VLOOKUP(D1220,Товар!$A$2:$F$1000,3,0)</f>
        <v/>
      </c>
      <c r="J1220">
        <f>VLOOKUP(D1220,Товар!$A$2:$F$1000,5,0)</f>
        <v/>
      </c>
      <c r="K1220">
        <f>IF(AND(H1220="Промышленный",LEFT(I1220,18)="Порошок стиральный",F1220="Продажа",B1220=DATE(2023,6,7)),E1220*J1220/1000,0)</f>
        <v/>
      </c>
    </row>
    <row r="1221">
      <c r="A1221" t="n">
        <v>1220</v>
      </c>
      <c r="B1221" s="1" t="n">
        <v>45084</v>
      </c>
      <c r="C1221" s="5" t="inlineStr">
        <is>
          <t>M10</t>
        </is>
      </c>
      <c r="D1221" s="5" t="n">
        <v>32</v>
      </c>
      <c r="E1221" s="5" t="n">
        <v>146</v>
      </c>
      <c r="F1221" t="inlineStr">
        <is>
          <t>Продажа</t>
        </is>
      </c>
      <c r="H1221">
        <f>VLOOKUP(C1221,Магазин!$A$2:$C$1000,2,0)</f>
        <v/>
      </c>
      <c r="I1221">
        <f>VLOOKUP(D1221,Товар!$A$2:$F$1000,3,0)</f>
        <v/>
      </c>
      <c r="J1221">
        <f>VLOOKUP(D1221,Товар!$A$2:$F$1000,5,0)</f>
        <v/>
      </c>
      <c r="K1221">
        <f>IF(AND(H1221="Промышленный",LEFT(I1221,18)="Порошок стиральный",F1221="Продажа",B1221=DATE(2023,6,7)),E1221*J1221/1000,0)</f>
        <v/>
      </c>
    </row>
    <row r="1222">
      <c r="A1222" t="n">
        <v>1221</v>
      </c>
      <c r="B1222" s="1" t="n">
        <v>45084</v>
      </c>
      <c r="C1222" s="5" t="inlineStr">
        <is>
          <t>M10</t>
        </is>
      </c>
      <c r="D1222" s="5" t="n">
        <v>33</v>
      </c>
      <c r="E1222" s="5" t="n">
        <v>173</v>
      </c>
      <c r="F1222" t="inlineStr">
        <is>
          <t>Продажа</t>
        </is>
      </c>
      <c r="H1222">
        <f>VLOOKUP(C1222,Магазин!$A$2:$C$1000,2,0)</f>
        <v/>
      </c>
      <c r="I1222">
        <f>VLOOKUP(D1222,Товар!$A$2:$F$1000,3,0)</f>
        <v/>
      </c>
      <c r="J1222">
        <f>VLOOKUP(D1222,Товар!$A$2:$F$1000,5,0)</f>
        <v/>
      </c>
      <c r="K1222">
        <f>IF(AND(H1222="Промышленный",LEFT(I1222,18)="Порошок стиральный",F1222="Продажа",B1222=DATE(2023,6,7)),E1222*J1222/1000,0)</f>
        <v/>
      </c>
    </row>
    <row r="1223">
      <c r="A1223" t="n">
        <v>1222</v>
      </c>
      <c r="B1223" s="1" t="n">
        <v>45084</v>
      </c>
      <c r="C1223" s="5" t="inlineStr">
        <is>
          <t>M10</t>
        </is>
      </c>
      <c r="D1223" s="5" t="n">
        <v>34</v>
      </c>
      <c r="E1223" s="5" t="n">
        <v>180</v>
      </c>
      <c r="F1223" t="inlineStr">
        <is>
          <t>Продажа</t>
        </is>
      </c>
      <c r="H1223">
        <f>VLOOKUP(C1223,Магазин!$A$2:$C$1000,2,0)</f>
        <v/>
      </c>
      <c r="I1223">
        <f>VLOOKUP(D1223,Товар!$A$2:$F$1000,3,0)</f>
        <v/>
      </c>
      <c r="J1223">
        <f>VLOOKUP(D1223,Товар!$A$2:$F$1000,5,0)</f>
        <v/>
      </c>
      <c r="K1223">
        <f>IF(AND(H1223="Промышленный",LEFT(I1223,18)="Порошок стиральный",F1223="Продажа",B1223=DATE(2023,6,7)),E1223*J1223/1000,0)</f>
        <v/>
      </c>
    </row>
    <row r="1224">
      <c r="A1224" t="n">
        <v>1223</v>
      </c>
      <c r="B1224" s="1" t="n">
        <v>45084</v>
      </c>
      <c r="C1224" s="5" t="inlineStr">
        <is>
          <t>M10</t>
        </is>
      </c>
      <c r="D1224" s="5" t="n">
        <v>35</v>
      </c>
      <c r="E1224" s="5" t="n">
        <v>142</v>
      </c>
      <c r="F1224" t="inlineStr">
        <is>
          <t>Продажа</t>
        </is>
      </c>
      <c r="H1224">
        <f>VLOOKUP(C1224,Магазин!$A$2:$C$1000,2,0)</f>
        <v/>
      </c>
      <c r="I1224">
        <f>VLOOKUP(D1224,Товар!$A$2:$F$1000,3,0)</f>
        <v/>
      </c>
      <c r="J1224">
        <f>VLOOKUP(D1224,Товар!$A$2:$F$1000,5,0)</f>
        <v/>
      </c>
      <c r="K1224">
        <f>IF(AND(H1224="Промышленный",LEFT(I1224,18)="Порошок стиральный",F1224="Продажа",B1224=DATE(2023,6,7)),E1224*J1224/1000,0)</f>
        <v/>
      </c>
    </row>
    <row r="1225">
      <c r="A1225" t="n">
        <v>1224</v>
      </c>
      <c r="B1225" s="1" t="n">
        <v>45084</v>
      </c>
      <c r="C1225" s="5" t="inlineStr">
        <is>
          <t>M10</t>
        </is>
      </c>
      <c r="D1225" s="5" t="n">
        <v>36</v>
      </c>
      <c r="E1225" s="5" t="n">
        <v>156</v>
      </c>
      <c r="F1225" t="inlineStr">
        <is>
          <t>Продажа</t>
        </is>
      </c>
      <c r="H1225">
        <f>VLOOKUP(C1225,Магазин!$A$2:$C$1000,2,0)</f>
        <v/>
      </c>
      <c r="I1225">
        <f>VLOOKUP(D1225,Товар!$A$2:$F$1000,3,0)</f>
        <v/>
      </c>
      <c r="J1225">
        <f>VLOOKUP(D1225,Товар!$A$2:$F$1000,5,0)</f>
        <v/>
      </c>
      <c r="K1225">
        <f>IF(AND(H1225="Промышленный",LEFT(I1225,18)="Порошок стиральный",F1225="Продажа",B1225=DATE(2023,6,7)),E1225*J1225/1000,0)</f>
        <v/>
      </c>
    </row>
    <row r="1226">
      <c r="A1226" t="n">
        <v>1225</v>
      </c>
      <c r="B1226" s="1" t="n">
        <v>45084</v>
      </c>
      <c r="C1226" s="5" t="inlineStr">
        <is>
          <t>M15</t>
        </is>
      </c>
      <c r="D1226" s="5" t="n">
        <v>1</v>
      </c>
      <c r="E1226" s="5" t="n">
        <v>144</v>
      </c>
      <c r="F1226" t="inlineStr">
        <is>
          <t>Продажа</t>
        </is>
      </c>
      <c r="H1226">
        <f>VLOOKUP(C1226,Магазин!$A$2:$C$1000,2,0)</f>
        <v/>
      </c>
      <c r="I1226">
        <f>VLOOKUP(D1226,Товар!$A$2:$F$1000,3,0)</f>
        <v/>
      </c>
      <c r="J1226">
        <f>VLOOKUP(D1226,Товар!$A$2:$F$1000,5,0)</f>
        <v/>
      </c>
      <c r="K1226">
        <f>IF(AND(H1226="Промышленный",LEFT(I1226,18)="Порошок стиральный",F1226="Продажа",B1226=DATE(2023,6,7)),E1226*J1226/1000,0)</f>
        <v/>
      </c>
    </row>
    <row r="1227">
      <c r="A1227" t="n">
        <v>1226</v>
      </c>
      <c r="B1227" s="1" t="n">
        <v>45084</v>
      </c>
      <c r="C1227" s="5" t="inlineStr">
        <is>
          <t>M15</t>
        </is>
      </c>
      <c r="D1227" s="5" t="n">
        <v>2</v>
      </c>
      <c r="E1227" s="5" t="n">
        <v>178</v>
      </c>
      <c r="F1227" t="inlineStr">
        <is>
          <t>Продажа</t>
        </is>
      </c>
      <c r="H1227">
        <f>VLOOKUP(C1227,Магазин!$A$2:$C$1000,2,0)</f>
        <v/>
      </c>
      <c r="I1227">
        <f>VLOOKUP(D1227,Товар!$A$2:$F$1000,3,0)</f>
        <v/>
      </c>
      <c r="J1227">
        <f>VLOOKUP(D1227,Товар!$A$2:$F$1000,5,0)</f>
        <v/>
      </c>
      <c r="K1227">
        <f>IF(AND(H1227="Промышленный",LEFT(I1227,18)="Порошок стиральный",F1227="Продажа",B1227=DATE(2023,6,7)),E1227*J1227/1000,0)</f>
        <v/>
      </c>
    </row>
    <row r="1228">
      <c r="A1228" t="n">
        <v>1227</v>
      </c>
      <c r="B1228" s="1" t="n">
        <v>45084</v>
      </c>
      <c r="C1228" s="5" t="inlineStr">
        <is>
          <t>M15</t>
        </is>
      </c>
      <c r="D1228" s="5" t="n">
        <v>3</v>
      </c>
      <c r="E1228" s="5" t="n">
        <v>169</v>
      </c>
      <c r="F1228" t="inlineStr">
        <is>
          <t>Продажа</t>
        </is>
      </c>
      <c r="H1228">
        <f>VLOOKUP(C1228,Магазин!$A$2:$C$1000,2,0)</f>
        <v/>
      </c>
      <c r="I1228">
        <f>VLOOKUP(D1228,Товар!$A$2:$F$1000,3,0)</f>
        <v/>
      </c>
      <c r="J1228">
        <f>VLOOKUP(D1228,Товар!$A$2:$F$1000,5,0)</f>
        <v/>
      </c>
      <c r="K1228">
        <f>IF(AND(H1228="Промышленный",LEFT(I1228,18)="Порошок стиральный",F1228="Продажа",B1228=DATE(2023,6,7)),E1228*J1228/1000,0)</f>
        <v/>
      </c>
    </row>
    <row r="1229">
      <c r="A1229" t="n">
        <v>1228</v>
      </c>
      <c r="B1229" s="1" t="n">
        <v>45084</v>
      </c>
      <c r="C1229" s="5" t="inlineStr">
        <is>
          <t>M15</t>
        </is>
      </c>
      <c r="D1229" s="5" t="n">
        <v>4</v>
      </c>
      <c r="E1229" s="5" t="n">
        <v>196</v>
      </c>
      <c r="F1229" t="inlineStr">
        <is>
          <t>Продажа</t>
        </is>
      </c>
      <c r="H1229">
        <f>VLOOKUP(C1229,Магазин!$A$2:$C$1000,2,0)</f>
        <v/>
      </c>
      <c r="I1229">
        <f>VLOOKUP(D1229,Товар!$A$2:$F$1000,3,0)</f>
        <v/>
      </c>
      <c r="J1229">
        <f>VLOOKUP(D1229,Товар!$A$2:$F$1000,5,0)</f>
        <v/>
      </c>
      <c r="K1229">
        <f>IF(AND(H1229="Промышленный",LEFT(I1229,18)="Порошок стиральный",F1229="Продажа",B1229=DATE(2023,6,7)),E1229*J1229/1000,0)</f>
        <v/>
      </c>
    </row>
    <row r="1230">
      <c r="A1230" t="n">
        <v>1229</v>
      </c>
      <c r="B1230" s="1" t="n">
        <v>45084</v>
      </c>
      <c r="C1230" s="5" t="inlineStr">
        <is>
          <t>M15</t>
        </is>
      </c>
      <c r="D1230" s="5" t="n">
        <v>5</v>
      </c>
      <c r="E1230" s="5" t="n">
        <v>123</v>
      </c>
      <c r="F1230" t="inlineStr">
        <is>
          <t>Продажа</t>
        </is>
      </c>
      <c r="H1230">
        <f>VLOOKUP(C1230,Магазин!$A$2:$C$1000,2,0)</f>
        <v/>
      </c>
      <c r="I1230">
        <f>VLOOKUP(D1230,Товар!$A$2:$F$1000,3,0)</f>
        <v/>
      </c>
      <c r="J1230">
        <f>VLOOKUP(D1230,Товар!$A$2:$F$1000,5,0)</f>
        <v/>
      </c>
      <c r="K1230">
        <f>IF(AND(H1230="Промышленный",LEFT(I1230,18)="Порошок стиральный",F1230="Продажа",B1230=DATE(2023,6,7)),E1230*J1230/1000,0)</f>
        <v/>
      </c>
    </row>
    <row r="1231">
      <c r="A1231" t="n">
        <v>1230</v>
      </c>
      <c r="B1231" s="1" t="n">
        <v>45084</v>
      </c>
      <c r="C1231" s="5" t="inlineStr">
        <is>
          <t>M15</t>
        </is>
      </c>
      <c r="D1231" s="5" t="n">
        <v>6</v>
      </c>
      <c r="E1231" s="5" t="n">
        <v>111</v>
      </c>
      <c r="F1231" t="inlineStr">
        <is>
          <t>Продажа</t>
        </is>
      </c>
      <c r="H1231">
        <f>VLOOKUP(C1231,Магазин!$A$2:$C$1000,2,0)</f>
        <v/>
      </c>
      <c r="I1231">
        <f>VLOOKUP(D1231,Товар!$A$2:$F$1000,3,0)</f>
        <v/>
      </c>
      <c r="J1231">
        <f>VLOOKUP(D1231,Товар!$A$2:$F$1000,5,0)</f>
        <v/>
      </c>
      <c r="K1231">
        <f>IF(AND(H1231="Промышленный",LEFT(I1231,18)="Порошок стиральный",F1231="Продажа",B1231=DATE(2023,6,7)),E1231*J1231/1000,0)</f>
        <v/>
      </c>
    </row>
    <row r="1232">
      <c r="A1232" t="n">
        <v>1231</v>
      </c>
      <c r="B1232" s="1" t="n">
        <v>45084</v>
      </c>
      <c r="C1232" s="5" t="inlineStr">
        <is>
          <t>M15</t>
        </is>
      </c>
      <c r="D1232" s="5" t="n">
        <v>7</v>
      </c>
      <c r="E1232" s="5" t="n">
        <v>158</v>
      </c>
      <c r="F1232" t="inlineStr">
        <is>
          <t>Продажа</t>
        </is>
      </c>
      <c r="H1232">
        <f>VLOOKUP(C1232,Магазин!$A$2:$C$1000,2,0)</f>
        <v/>
      </c>
      <c r="I1232">
        <f>VLOOKUP(D1232,Товар!$A$2:$F$1000,3,0)</f>
        <v/>
      </c>
      <c r="J1232">
        <f>VLOOKUP(D1232,Товар!$A$2:$F$1000,5,0)</f>
        <v/>
      </c>
      <c r="K1232">
        <f>IF(AND(H1232="Промышленный",LEFT(I1232,18)="Порошок стиральный",F1232="Продажа",B1232=DATE(2023,6,7)),E1232*J1232/1000,0)</f>
        <v/>
      </c>
    </row>
    <row r="1233">
      <c r="A1233" t="n">
        <v>1232</v>
      </c>
      <c r="B1233" s="1" t="n">
        <v>45084</v>
      </c>
      <c r="C1233" s="5" t="inlineStr">
        <is>
          <t>M15</t>
        </is>
      </c>
      <c r="D1233" s="5" t="n">
        <v>8</v>
      </c>
      <c r="E1233" s="5" t="n">
        <v>175</v>
      </c>
      <c r="F1233" t="inlineStr">
        <is>
          <t>Продажа</t>
        </is>
      </c>
      <c r="H1233">
        <f>VLOOKUP(C1233,Магазин!$A$2:$C$1000,2,0)</f>
        <v/>
      </c>
      <c r="I1233">
        <f>VLOOKUP(D1233,Товар!$A$2:$F$1000,3,0)</f>
        <v/>
      </c>
      <c r="J1233">
        <f>VLOOKUP(D1233,Товар!$A$2:$F$1000,5,0)</f>
        <v/>
      </c>
      <c r="K1233">
        <f>IF(AND(H1233="Промышленный",LEFT(I1233,18)="Порошок стиральный",F1233="Продажа",B1233=DATE(2023,6,7)),E1233*J1233/1000,0)</f>
        <v/>
      </c>
    </row>
    <row r="1234">
      <c r="A1234" t="n">
        <v>1233</v>
      </c>
      <c r="B1234" s="1" t="n">
        <v>45084</v>
      </c>
      <c r="C1234" s="5" t="inlineStr">
        <is>
          <t>M15</t>
        </is>
      </c>
      <c r="D1234" s="5" t="n">
        <v>9</v>
      </c>
      <c r="E1234" s="5" t="n">
        <v>114</v>
      </c>
      <c r="F1234" t="inlineStr">
        <is>
          <t>Продажа</t>
        </is>
      </c>
      <c r="H1234">
        <f>VLOOKUP(C1234,Магазин!$A$2:$C$1000,2,0)</f>
        <v/>
      </c>
      <c r="I1234">
        <f>VLOOKUP(D1234,Товар!$A$2:$F$1000,3,0)</f>
        <v/>
      </c>
      <c r="J1234">
        <f>VLOOKUP(D1234,Товар!$A$2:$F$1000,5,0)</f>
        <v/>
      </c>
      <c r="K1234">
        <f>IF(AND(H1234="Промышленный",LEFT(I1234,18)="Порошок стиральный",F1234="Продажа",B1234=DATE(2023,6,7)),E1234*J1234/1000,0)</f>
        <v/>
      </c>
    </row>
    <row r="1235">
      <c r="A1235" t="n">
        <v>1234</v>
      </c>
      <c r="B1235" s="1" t="n">
        <v>45084</v>
      </c>
      <c r="C1235" s="5" t="inlineStr">
        <is>
          <t>M15</t>
        </is>
      </c>
      <c r="D1235" s="5" t="n">
        <v>10</v>
      </c>
      <c r="E1235" s="5" t="n">
        <v>139</v>
      </c>
      <c r="F1235" t="inlineStr">
        <is>
          <t>Продажа</t>
        </is>
      </c>
      <c r="H1235">
        <f>VLOOKUP(C1235,Магазин!$A$2:$C$1000,2,0)</f>
        <v/>
      </c>
      <c r="I1235">
        <f>VLOOKUP(D1235,Товар!$A$2:$F$1000,3,0)</f>
        <v/>
      </c>
      <c r="J1235">
        <f>VLOOKUP(D1235,Товар!$A$2:$F$1000,5,0)</f>
        <v/>
      </c>
      <c r="K1235">
        <f>IF(AND(H1235="Промышленный",LEFT(I1235,18)="Порошок стиральный",F1235="Продажа",B1235=DATE(2023,6,7)),E1235*J1235/1000,0)</f>
        <v/>
      </c>
    </row>
    <row r="1236">
      <c r="A1236" t="n">
        <v>1235</v>
      </c>
      <c r="B1236" s="1" t="n">
        <v>45084</v>
      </c>
      <c r="C1236" s="5" t="inlineStr">
        <is>
          <t>M15</t>
        </is>
      </c>
      <c r="D1236" s="5" t="n">
        <v>11</v>
      </c>
      <c r="E1236" s="5" t="n">
        <v>141</v>
      </c>
      <c r="F1236" t="inlineStr">
        <is>
          <t>Продажа</t>
        </is>
      </c>
      <c r="H1236">
        <f>VLOOKUP(C1236,Магазин!$A$2:$C$1000,2,0)</f>
        <v/>
      </c>
      <c r="I1236">
        <f>VLOOKUP(D1236,Товар!$A$2:$F$1000,3,0)</f>
        <v/>
      </c>
      <c r="J1236">
        <f>VLOOKUP(D1236,Товар!$A$2:$F$1000,5,0)</f>
        <v/>
      </c>
      <c r="K1236">
        <f>IF(AND(H1236="Промышленный",LEFT(I1236,18)="Порошок стиральный",F1236="Продажа",B1236=DATE(2023,6,7)),E1236*J1236/1000,0)</f>
        <v/>
      </c>
    </row>
    <row r="1237">
      <c r="A1237" t="n">
        <v>1236</v>
      </c>
      <c r="B1237" s="1" t="n">
        <v>45084</v>
      </c>
      <c r="C1237" s="5" t="inlineStr">
        <is>
          <t>M15</t>
        </is>
      </c>
      <c r="D1237" s="5" t="n">
        <v>12</v>
      </c>
      <c r="E1237" s="5" t="n">
        <v>122</v>
      </c>
      <c r="F1237" t="inlineStr">
        <is>
          <t>Продажа</t>
        </is>
      </c>
      <c r="H1237">
        <f>VLOOKUP(C1237,Магазин!$A$2:$C$1000,2,0)</f>
        <v/>
      </c>
      <c r="I1237">
        <f>VLOOKUP(D1237,Товар!$A$2:$F$1000,3,0)</f>
        <v/>
      </c>
      <c r="J1237">
        <f>VLOOKUP(D1237,Товар!$A$2:$F$1000,5,0)</f>
        <v/>
      </c>
      <c r="K1237">
        <f>IF(AND(H1237="Промышленный",LEFT(I1237,18)="Порошок стиральный",F1237="Продажа",B1237=DATE(2023,6,7)),E1237*J1237/1000,0)</f>
        <v/>
      </c>
    </row>
    <row r="1238">
      <c r="A1238" t="n">
        <v>1237</v>
      </c>
      <c r="B1238" s="1" t="n">
        <v>45084</v>
      </c>
      <c r="C1238" s="5" t="inlineStr">
        <is>
          <t>M15</t>
        </is>
      </c>
      <c r="D1238" s="5" t="n">
        <v>13</v>
      </c>
      <c r="E1238" s="5" t="n">
        <v>123</v>
      </c>
      <c r="F1238" t="inlineStr">
        <is>
          <t>Продажа</t>
        </is>
      </c>
      <c r="H1238">
        <f>VLOOKUP(C1238,Магазин!$A$2:$C$1000,2,0)</f>
        <v/>
      </c>
      <c r="I1238">
        <f>VLOOKUP(D1238,Товар!$A$2:$F$1000,3,0)</f>
        <v/>
      </c>
      <c r="J1238">
        <f>VLOOKUP(D1238,Товар!$A$2:$F$1000,5,0)</f>
        <v/>
      </c>
      <c r="K1238">
        <f>IF(AND(H1238="Промышленный",LEFT(I1238,18)="Порошок стиральный",F1238="Продажа",B1238=DATE(2023,6,7)),E1238*J1238/1000,0)</f>
        <v/>
      </c>
    </row>
    <row r="1239">
      <c r="A1239" t="n">
        <v>1238</v>
      </c>
      <c r="B1239" s="1" t="n">
        <v>45084</v>
      </c>
      <c r="C1239" s="5" t="inlineStr">
        <is>
          <t>M15</t>
        </is>
      </c>
      <c r="D1239" s="5" t="n">
        <v>14</v>
      </c>
      <c r="E1239" s="5" t="n">
        <v>158</v>
      </c>
      <c r="F1239" t="inlineStr">
        <is>
          <t>Продажа</t>
        </is>
      </c>
      <c r="H1239">
        <f>VLOOKUP(C1239,Магазин!$A$2:$C$1000,2,0)</f>
        <v/>
      </c>
      <c r="I1239">
        <f>VLOOKUP(D1239,Товар!$A$2:$F$1000,3,0)</f>
        <v/>
      </c>
      <c r="J1239">
        <f>VLOOKUP(D1239,Товар!$A$2:$F$1000,5,0)</f>
        <v/>
      </c>
      <c r="K1239">
        <f>IF(AND(H1239="Промышленный",LEFT(I1239,18)="Порошок стиральный",F1239="Продажа",B1239=DATE(2023,6,7)),E1239*J1239/1000,0)</f>
        <v/>
      </c>
    </row>
    <row r="1240">
      <c r="A1240" t="n">
        <v>1239</v>
      </c>
      <c r="B1240" s="1" t="n">
        <v>45084</v>
      </c>
      <c r="C1240" s="5" t="inlineStr">
        <is>
          <t>M15</t>
        </is>
      </c>
      <c r="D1240" s="5" t="n">
        <v>15</v>
      </c>
      <c r="E1240" s="5" t="n">
        <v>146</v>
      </c>
      <c r="F1240" t="inlineStr">
        <is>
          <t>Продажа</t>
        </is>
      </c>
      <c r="H1240">
        <f>VLOOKUP(C1240,Магазин!$A$2:$C$1000,2,0)</f>
        <v/>
      </c>
      <c r="I1240">
        <f>VLOOKUP(D1240,Товар!$A$2:$F$1000,3,0)</f>
        <v/>
      </c>
      <c r="J1240">
        <f>VLOOKUP(D1240,Товар!$A$2:$F$1000,5,0)</f>
        <v/>
      </c>
      <c r="K1240">
        <f>IF(AND(H1240="Промышленный",LEFT(I1240,18)="Порошок стиральный",F1240="Продажа",B1240=DATE(2023,6,7)),E1240*J1240/1000,0)</f>
        <v/>
      </c>
    </row>
    <row r="1241">
      <c r="A1241" t="n">
        <v>1240</v>
      </c>
      <c r="B1241" s="1" t="n">
        <v>45084</v>
      </c>
      <c r="C1241" s="5" t="inlineStr">
        <is>
          <t>M15</t>
        </is>
      </c>
      <c r="D1241" s="5" t="n">
        <v>16</v>
      </c>
      <c r="E1241" s="5" t="n">
        <v>147</v>
      </c>
      <c r="F1241" t="inlineStr">
        <is>
          <t>Продажа</t>
        </is>
      </c>
      <c r="H1241">
        <f>VLOOKUP(C1241,Магазин!$A$2:$C$1000,2,0)</f>
        <v/>
      </c>
      <c r="I1241">
        <f>VLOOKUP(D1241,Товар!$A$2:$F$1000,3,0)</f>
        <v/>
      </c>
      <c r="J1241">
        <f>VLOOKUP(D1241,Товар!$A$2:$F$1000,5,0)</f>
        <v/>
      </c>
      <c r="K1241">
        <f>IF(AND(H1241="Промышленный",LEFT(I1241,18)="Порошок стиральный",F1241="Продажа",B1241=DATE(2023,6,7)),E1241*J1241/1000,0)</f>
        <v/>
      </c>
    </row>
    <row r="1242">
      <c r="A1242" t="n">
        <v>1241</v>
      </c>
      <c r="B1242" s="1" t="n">
        <v>45084</v>
      </c>
      <c r="C1242" s="5" t="inlineStr">
        <is>
          <t>M15</t>
        </is>
      </c>
      <c r="D1242" s="5" t="n">
        <v>17</v>
      </c>
      <c r="E1242" s="5" t="n">
        <v>169</v>
      </c>
      <c r="F1242" t="inlineStr">
        <is>
          <t>Продажа</t>
        </is>
      </c>
      <c r="H1242">
        <f>VLOOKUP(C1242,Магазин!$A$2:$C$1000,2,0)</f>
        <v/>
      </c>
      <c r="I1242">
        <f>VLOOKUP(D1242,Товар!$A$2:$F$1000,3,0)</f>
        <v/>
      </c>
      <c r="J1242">
        <f>VLOOKUP(D1242,Товар!$A$2:$F$1000,5,0)</f>
        <v/>
      </c>
      <c r="K1242">
        <f>IF(AND(H1242="Промышленный",LEFT(I1242,18)="Порошок стиральный",F1242="Продажа",B1242=DATE(2023,6,7)),E1242*J1242/1000,0)</f>
        <v/>
      </c>
    </row>
    <row r="1243">
      <c r="A1243" t="n">
        <v>1242</v>
      </c>
      <c r="B1243" s="1" t="n">
        <v>45084</v>
      </c>
      <c r="C1243" s="5" t="inlineStr">
        <is>
          <t>M15</t>
        </is>
      </c>
      <c r="D1243" s="5" t="n">
        <v>18</v>
      </c>
      <c r="E1243" s="5" t="n">
        <v>199</v>
      </c>
      <c r="F1243" t="inlineStr">
        <is>
          <t>Продажа</t>
        </is>
      </c>
      <c r="H1243">
        <f>VLOOKUP(C1243,Магазин!$A$2:$C$1000,2,0)</f>
        <v/>
      </c>
      <c r="I1243">
        <f>VLOOKUP(D1243,Товар!$A$2:$F$1000,3,0)</f>
        <v/>
      </c>
      <c r="J1243">
        <f>VLOOKUP(D1243,Товар!$A$2:$F$1000,5,0)</f>
        <v/>
      </c>
      <c r="K1243">
        <f>IF(AND(H1243="Промышленный",LEFT(I1243,18)="Порошок стиральный",F1243="Продажа",B1243=DATE(2023,6,7)),E1243*J1243/1000,0)</f>
        <v/>
      </c>
    </row>
    <row r="1244">
      <c r="A1244" t="n">
        <v>1243</v>
      </c>
      <c r="B1244" s="1" t="n">
        <v>45084</v>
      </c>
      <c r="C1244" s="5" t="inlineStr">
        <is>
          <t>M15</t>
        </is>
      </c>
      <c r="D1244" s="5" t="n">
        <v>19</v>
      </c>
      <c r="E1244" s="5" t="n">
        <v>147</v>
      </c>
      <c r="F1244" t="inlineStr">
        <is>
          <t>Продажа</t>
        </is>
      </c>
      <c r="H1244">
        <f>VLOOKUP(C1244,Магазин!$A$2:$C$1000,2,0)</f>
        <v/>
      </c>
      <c r="I1244">
        <f>VLOOKUP(D1244,Товар!$A$2:$F$1000,3,0)</f>
        <v/>
      </c>
      <c r="J1244">
        <f>VLOOKUP(D1244,Товар!$A$2:$F$1000,5,0)</f>
        <v/>
      </c>
      <c r="K1244">
        <f>IF(AND(H1244="Промышленный",LEFT(I1244,18)="Порошок стиральный",F1244="Продажа",B1244=DATE(2023,6,7)),E1244*J1244/1000,0)</f>
        <v/>
      </c>
    </row>
    <row r="1245">
      <c r="A1245" t="n">
        <v>1244</v>
      </c>
      <c r="B1245" s="1" t="n">
        <v>45084</v>
      </c>
      <c r="C1245" s="5" t="inlineStr">
        <is>
          <t>M15</t>
        </is>
      </c>
      <c r="D1245" s="5" t="n">
        <v>20</v>
      </c>
      <c r="E1245" s="5" t="n">
        <v>138</v>
      </c>
      <c r="F1245" t="inlineStr">
        <is>
          <t>Продажа</t>
        </is>
      </c>
      <c r="H1245">
        <f>VLOOKUP(C1245,Магазин!$A$2:$C$1000,2,0)</f>
        <v/>
      </c>
      <c r="I1245">
        <f>VLOOKUP(D1245,Товар!$A$2:$F$1000,3,0)</f>
        <v/>
      </c>
      <c r="J1245">
        <f>VLOOKUP(D1245,Товар!$A$2:$F$1000,5,0)</f>
        <v/>
      </c>
      <c r="K1245">
        <f>IF(AND(H1245="Промышленный",LEFT(I1245,18)="Порошок стиральный",F1245="Продажа",B1245=DATE(2023,6,7)),E1245*J1245/1000,0)</f>
        <v/>
      </c>
    </row>
    <row r="1246">
      <c r="A1246" t="n">
        <v>1245</v>
      </c>
      <c r="B1246" s="1" t="n">
        <v>45084</v>
      </c>
      <c r="C1246" s="5" t="inlineStr">
        <is>
          <t>M15</t>
        </is>
      </c>
      <c r="D1246" s="5" t="n">
        <v>21</v>
      </c>
      <c r="E1246" s="5" t="n">
        <v>129</v>
      </c>
      <c r="F1246" t="inlineStr">
        <is>
          <t>Продажа</t>
        </is>
      </c>
      <c r="H1246">
        <f>VLOOKUP(C1246,Магазин!$A$2:$C$1000,2,0)</f>
        <v/>
      </c>
      <c r="I1246">
        <f>VLOOKUP(D1246,Товар!$A$2:$F$1000,3,0)</f>
        <v/>
      </c>
      <c r="J1246">
        <f>VLOOKUP(D1246,Товар!$A$2:$F$1000,5,0)</f>
        <v/>
      </c>
      <c r="K1246">
        <f>IF(AND(H1246="Промышленный",LEFT(I1246,18)="Порошок стиральный",F1246="Продажа",B1246=DATE(2023,6,7)),E1246*J1246/1000,0)</f>
        <v/>
      </c>
    </row>
    <row r="1247">
      <c r="A1247" t="n">
        <v>1246</v>
      </c>
      <c r="B1247" s="1" t="n">
        <v>45084</v>
      </c>
      <c r="C1247" s="5" t="inlineStr">
        <is>
          <t>M15</t>
        </is>
      </c>
      <c r="D1247" s="5" t="n">
        <v>22</v>
      </c>
      <c r="E1247" s="5" t="n">
        <v>191</v>
      </c>
      <c r="F1247" t="inlineStr">
        <is>
          <t>Продажа</t>
        </is>
      </c>
      <c r="H1247">
        <f>VLOOKUP(C1247,Магазин!$A$2:$C$1000,2,0)</f>
        <v/>
      </c>
      <c r="I1247">
        <f>VLOOKUP(D1247,Товар!$A$2:$F$1000,3,0)</f>
        <v/>
      </c>
      <c r="J1247">
        <f>VLOOKUP(D1247,Товар!$A$2:$F$1000,5,0)</f>
        <v/>
      </c>
      <c r="K1247">
        <f>IF(AND(H1247="Промышленный",LEFT(I1247,18)="Порошок стиральный",F1247="Продажа",B1247=DATE(2023,6,7)),E1247*J1247/1000,0)</f>
        <v/>
      </c>
    </row>
    <row r="1248">
      <c r="A1248" t="n">
        <v>1247</v>
      </c>
      <c r="B1248" s="1" t="n">
        <v>45084</v>
      </c>
      <c r="C1248" s="5" t="inlineStr">
        <is>
          <t>M15</t>
        </is>
      </c>
      <c r="D1248" s="5" t="n">
        <v>23</v>
      </c>
      <c r="E1248" s="5" t="n">
        <v>155</v>
      </c>
      <c r="F1248" t="inlineStr">
        <is>
          <t>Продажа</t>
        </is>
      </c>
      <c r="H1248">
        <f>VLOOKUP(C1248,Магазин!$A$2:$C$1000,2,0)</f>
        <v/>
      </c>
      <c r="I1248">
        <f>VLOOKUP(D1248,Товар!$A$2:$F$1000,3,0)</f>
        <v/>
      </c>
      <c r="J1248">
        <f>VLOOKUP(D1248,Товар!$A$2:$F$1000,5,0)</f>
        <v/>
      </c>
      <c r="K1248">
        <f>IF(AND(H1248="Промышленный",LEFT(I1248,18)="Порошок стиральный",F1248="Продажа",B1248=DATE(2023,6,7)),E1248*J1248/1000,0)</f>
        <v/>
      </c>
    </row>
    <row r="1249">
      <c r="A1249" t="n">
        <v>1248</v>
      </c>
      <c r="B1249" s="1" t="n">
        <v>45084</v>
      </c>
      <c r="C1249" s="5" t="inlineStr">
        <is>
          <t>M15</t>
        </is>
      </c>
      <c r="D1249" s="5" t="n">
        <v>24</v>
      </c>
      <c r="E1249" s="5" t="n">
        <v>143</v>
      </c>
      <c r="F1249" t="inlineStr">
        <is>
          <t>Продажа</t>
        </is>
      </c>
      <c r="H1249">
        <f>VLOOKUP(C1249,Магазин!$A$2:$C$1000,2,0)</f>
        <v/>
      </c>
      <c r="I1249">
        <f>VLOOKUP(D1249,Товар!$A$2:$F$1000,3,0)</f>
        <v/>
      </c>
      <c r="J1249">
        <f>VLOOKUP(D1249,Товар!$A$2:$F$1000,5,0)</f>
        <v/>
      </c>
      <c r="K1249">
        <f>IF(AND(H1249="Промышленный",LEFT(I1249,18)="Порошок стиральный",F1249="Продажа",B1249=DATE(2023,6,7)),E1249*J1249/1000,0)</f>
        <v/>
      </c>
    </row>
    <row r="1250">
      <c r="A1250" t="n">
        <v>1249</v>
      </c>
      <c r="B1250" s="1" t="n">
        <v>45084</v>
      </c>
      <c r="C1250" s="5" t="inlineStr">
        <is>
          <t>M15</t>
        </is>
      </c>
      <c r="D1250" s="5" t="n">
        <v>25</v>
      </c>
      <c r="E1250" s="5" t="n">
        <v>178</v>
      </c>
      <c r="F1250" t="inlineStr">
        <is>
          <t>Продажа</t>
        </is>
      </c>
      <c r="H1250">
        <f>VLOOKUP(C1250,Магазин!$A$2:$C$1000,2,0)</f>
        <v/>
      </c>
      <c r="I1250">
        <f>VLOOKUP(D1250,Товар!$A$2:$F$1000,3,0)</f>
        <v/>
      </c>
      <c r="J1250">
        <f>VLOOKUP(D1250,Товар!$A$2:$F$1000,5,0)</f>
        <v/>
      </c>
      <c r="K1250">
        <f>IF(AND(H1250="Промышленный",LEFT(I1250,18)="Порошок стиральный",F1250="Продажа",B1250=DATE(2023,6,7)),E1250*J1250/1000,0)</f>
        <v/>
      </c>
    </row>
    <row r="1251">
      <c r="A1251" t="n">
        <v>1250</v>
      </c>
      <c r="B1251" s="1" t="n">
        <v>45084</v>
      </c>
      <c r="C1251" s="5" t="inlineStr">
        <is>
          <t>M15</t>
        </is>
      </c>
      <c r="D1251" s="5" t="n">
        <v>26</v>
      </c>
      <c r="E1251" s="5" t="n">
        <v>146</v>
      </c>
      <c r="F1251" t="inlineStr">
        <is>
          <t>Продажа</t>
        </is>
      </c>
      <c r="H1251">
        <f>VLOOKUP(C1251,Магазин!$A$2:$C$1000,2,0)</f>
        <v/>
      </c>
      <c r="I1251">
        <f>VLOOKUP(D1251,Товар!$A$2:$F$1000,3,0)</f>
        <v/>
      </c>
      <c r="J1251">
        <f>VLOOKUP(D1251,Товар!$A$2:$F$1000,5,0)</f>
        <v/>
      </c>
      <c r="K1251">
        <f>IF(AND(H1251="Промышленный",LEFT(I1251,18)="Порошок стиральный",F1251="Продажа",B1251=DATE(2023,6,7)),E1251*J1251/1000,0)</f>
        <v/>
      </c>
    </row>
    <row r="1252">
      <c r="A1252" t="n">
        <v>1251</v>
      </c>
      <c r="B1252" s="1" t="n">
        <v>45084</v>
      </c>
      <c r="C1252" s="5" t="inlineStr">
        <is>
          <t>M15</t>
        </is>
      </c>
      <c r="D1252" s="5" t="n">
        <v>27</v>
      </c>
      <c r="E1252" s="5" t="n">
        <v>128</v>
      </c>
      <c r="F1252" t="inlineStr">
        <is>
          <t>Продажа</t>
        </is>
      </c>
      <c r="H1252">
        <f>VLOOKUP(C1252,Магазин!$A$2:$C$1000,2,0)</f>
        <v/>
      </c>
      <c r="I1252">
        <f>VLOOKUP(D1252,Товар!$A$2:$F$1000,3,0)</f>
        <v/>
      </c>
      <c r="J1252">
        <f>VLOOKUP(D1252,Товар!$A$2:$F$1000,5,0)</f>
        <v/>
      </c>
      <c r="K1252">
        <f>IF(AND(H1252="Промышленный",LEFT(I1252,18)="Порошок стиральный",F1252="Продажа",B1252=DATE(2023,6,7)),E1252*J1252/1000,0)</f>
        <v/>
      </c>
    </row>
    <row r="1253">
      <c r="A1253" t="n">
        <v>1252</v>
      </c>
      <c r="B1253" s="1" t="n">
        <v>45084</v>
      </c>
      <c r="C1253" s="5" t="inlineStr">
        <is>
          <t>M15</t>
        </is>
      </c>
      <c r="D1253" s="5" t="n">
        <v>28</v>
      </c>
      <c r="E1253" s="5" t="n">
        <v>191</v>
      </c>
      <c r="F1253" t="inlineStr">
        <is>
          <t>Продажа</t>
        </is>
      </c>
      <c r="H1253">
        <f>VLOOKUP(C1253,Магазин!$A$2:$C$1000,2,0)</f>
        <v/>
      </c>
      <c r="I1253">
        <f>VLOOKUP(D1253,Товар!$A$2:$F$1000,3,0)</f>
        <v/>
      </c>
      <c r="J1253">
        <f>VLOOKUP(D1253,Товар!$A$2:$F$1000,5,0)</f>
        <v/>
      </c>
      <c r="K1253">
        <f>IF(AND(H1253="Промышленный",LEFT(I1253,18)="Порошок стиральный",F1253="Продажа",B1253=DATE(2023,6,7)),E1253*J1253/1000,0)</f>
        <v/>
      </c>
    </row>
    <row r="1254">
      <c r="A1254" t="n">
        <v>1253</v>
      </c>
      <c r="B1254" s="1" t="n">
        <v>45084</v>
      </c>
      <c r="C1254" s="5" t="inlineStr">
        <is>
          <t>M15</t>
        </is>
      </c>
      <c r="D1254" s="5" t="n">
        <v>29</v>
      </c>
      <c r="E1254" s="5" t="n">
        <v>165</v>
      </c>
      <c r="F1254" t="inlineStr">
        <is>
          <t>Продажа</t>
        </is>
      </c>
      <c r="H1254">
        <f>VLOOKUP(C1254,Магазин!$A$2:$C$1000,2,0)</f>
        <v/>
      </c>
      <c r="I1254">
        <f>VLOOKUP(D1254,Товар!$A$2:$F$1000,3,0)</f>
        <v/>
      </c>
      <c r="J1254">
        <f>VLOOKUP(D1254,Товар!$A$2:$F$1000,5,0)</f>
        <v/>
      </c>
      <c r="K1254">
        <f>IF(AND(H1254="Промышленный",LEFT(I1254,18)="Порошок стиральный",F1254="Продажа",B1254=DATE(2023,6,7)),E1254*J1254/1000,0)</f>
        <v/>
      </c>
    </row>
    <row r="1255">
      <c r="A1255" t="n">
        <v>1254</v>
      </c>
      <c r="B1255" s="1" t="n">
        <v>45084</v>
      </c>
      <c r="C1255" s="5" t="inlineStr">
        <is>
          <t>M15</t>
        </is>
      </c>
      <c r="D1255" s="5" t="n">
        <v>30</v>
      </c>
      <c r="E1255" s="5" t="n">
        <v>167</v>
      </c>
      <c r="F1255" t="inlineStr">
        <is>
          <t>Продажа</t>
        </is>
      </c>
      <c r="H1255">
        <f>VLOOKUP(C1255,Магазин!$A$2:$C$1000,2,0)</f>
        <v/>
      </c>
      <c r="I1255">
        <f>VLOOKUP(D1255,Товар!$A$2:$F$1000,3,0)</f>
        <v/>
      </c>
      <c r="J1255">
        <f>VLOOKUP(D1255,Товар!$A$2:$F$1000,5,0)</f>
        <v/>
      </c>
      <c r="K1255">
        <f>IF(AND(H1255="Промышленный",LEFT(I1255,18)="Порошок стиральный",F1255="Продажа",B1255=DATE(2023,6,7)),E1255*J1255/1000,0)</f>
        <v/>
      </c>
    </row>
    <row r="1256">
      <c r="A1256" t="n">
        <v>1255</v>
      </c>
      <c r="B1256" s="1" t="n">
        <v>45084</v>
      </c>
      <c r="C1256" s="5" t="inlineStr">
        <is>
          <t>M15</t>
        </is>
      </c>
      <c r="D1256" s="5" t="n">
        <v>31</v>
      </c>
      <c r="E1256" s="5" t="n">
        <v>132</v>
      </c>
      <c r="F1256" t="inlineStr">
        <is>
          <t>Продажа</t>
        </is>
      </c>
      <c r="H1256">
        <f>VLOOKUP(C1256,Магазин!$A$2:$C$1000,2,0)</f>
        <v/>
      </c>
      <c r="I1256">
        <f>VLOOKUP(D1256,Товар!$A$2:$F$1000,3,0)</f>
        <v/>
      </c>
      <c r="J1256">
        <f>VLOOKUP(D1256,Товар!$A$2:$F$1000,5,0)</f>
        <v/>
      </c>
      <c r="K1256">
        <f>IF(AND(H1256="Промышленный",LEFT(I1256,18)="Порошок стиральный",F1256="Продажа",B1256=DATE(2023,6,7)),E1256*J1256/1000,0)</f>
        <v/>
      </c>
    </row>
    <row r="1257">
      <c r="A1257" t="n">
        <v>1256</v>
      </c>
      <c r="B1257" s="1" t="n">
        <v>45084</v>
      </c>
      <c r="C1257" s="5" t="inlineStr">
        <is>
          <t>M15</t>
        </is>
      </c>
      <c r="D1257" s="5" t="n">
        <v>32</v>
      </c>
      <c r="E1257" s="5" t="n">
        <v>105</v>
      </c>
      <c r="F1257" t="inlineStr">
        <is>
          <t>Продажа</t>
        </is>
      </c>
      <c r="H1257">
        <f>VLOOKUP(C1257,Магазин!$A$2:$C$1000,2,0)</f>
        <v/>
      </c>
      <c r="I1257">
        <f>VLOOKUP(D1257,Товар!$A$2:$F$1000,3,0)</f>
        <v/>
      </c>
      <c r="J1257">
        <f>VLOOKUP(D1257,Товар!$A$2:$F$1000,5,0)</f>
        <v/>
      </c>
      <c r="K1257">
        <f>IF(AND(H1257="Промышленный",LEFT(I1257,18)="Порошок стиральный",F1257="Продажа",B1257=DATE(2023,6,7)),E1257*J1257/1000,0)</f>
        <v/>
      </c>
    </row>
    <row r="1258">
      <c r="A1258" t="n">
        <v>1257</v>
      </c>
      <c r="B1258" s="1" t="n">
        <v>45084</v>
      </c>
      <c r="C1258" s="5" t="inlineStr">
        <is>
          <t>M15</t>
        </is>
      </c>
      <c r="D1258" s="5" t="n">
        <v>33</v>
      </c>
      <c r="E1258" s="5" t="n">
        <v>114</v>
      </c>
      <c r="F1258" t="inlineStr">
        <is>
          <t>Продажа</t>
        </is>
      </c>
      <c r="H1258">
        <f>VLOOKUP(C1258,Магазин!$A$2:$C$1000,2,0)</f>
        <v/>
      </c>
      <c r="I1258">
        <f>VLOOKUP(D1258,Товар!$A$2:$F$1000,3,0)</f>
        <v/>
      </c>
      <c r="J1258">
        <f>VLOOKUP(D1258,Товар!$A$2:$F$1000,5,0)</f>
        <v/>
      </c>
      <c r="K1258">
        <f>IF(AND(H1258="Промышленный",LEFT(I1258,18)="Порошок стиральный",F1258="Продажа",B1258=DATE(2023,6,7)),E1258*J1258/1000,0)</f>
        <v/>
      </c>
    </row>
    <row r="1259">
      <c r="A1259" t="n">
        <v>1258</v>
      </c>
      <c r="B1259" s="1" t="n">
        <v>45084</v>
      </c>
      <c r="C1259" s="5" t="inlineStr">
        <is>
          <t>M15</t>
        </is>
      </c>
      <c r="D1259" s="5" t="n">
        <v>34</v>
      </c>
      <c r="E1259" s="5" t="n">
        <v>192</v>
      </c>
      <c r="F1259" t="inlineStr">
        <is>
          <t>Продажа</t>
        </is>
      </c>
      <c r="H1259">
        <f>VLOOKUP(C1259,Магазин!$A$2:$C$1000,2,0)</f>
        <v/>
      </c>
      <c r="I1259">
        <f>VLOOKUP(D1259,Товар!$A$2:$F$1000,3,0)</f>
        <v/>
      </c>
      <c r="J1259">
        <f>VLOOKUP(D1259,Товар!$A$2:$F$1000,5,0)</f>
        <v/>
      </c>
      <c r="K1259">
        <f>IF(AND(H1259="Промышленный",LEFT(I1259,18)="Порошок стиральный",F1259="Продажа",B1259=DATE(2023,6,7)),E1259*J1259/1000,0)</f>
        <v/>
      </c>
    </row>
    <row r="1260">
      <c r="A1260" t="n">
        <v>1259</v>
      </c>
      <c r="B1260" s="1" t="n">
        <v>45084</v>
      </c>
      <c r="C1260" s="5" t="inlineStr">
        <is>
          <t>M15</t>
        </is>
      </c>
      <c r="D1260" s="5" t="n">
        <v>35</v>
      </c>
      <c r="E1260" s="5" t="n">
        <v>145</v>
      </c>
      <c r="F1260" t="inlineStr">
        <is>
          <t>Продажа</t>
        </is>
      </c>
      <c r="H1260">
        <f>VLOOKUP(C1260,Магазин!$A$2:$C$1000,2,0)</f>
        <v/>
      </c>
      <c r="I1260">
        <f>VLOOKUP(D1260,Товар!$A$2:$F$1000,3,0)</f>
        <v/>
      </c>
      <c r="J1260">
        <f>VLOOKUP(D1260,Товар!$A$2:$F$1000,5,0)</f>
        <v/>
      </c>
      <c r="K1260">
        <f>IF(AND(H1260="Промышленный",LEFT(I1260,18)="Порошок стиральный",F1260="Продажа",B1260=DATE(2023,6,7)),E1260*J1260/1000,0)</f>
        <v/>
      </c>
    </row>
    <row r="1261">
      <c r="A1261" t="n">
        <v>1260</v>
      </c>
      <c r="B1261" s="1" t="n">
        <v>45084</v>
      </c>
      <c r="C1261" s="5" t="inlineStr">
        <is>
          <t>M15</t>
        </is>
      </c>
      <c r="D1261" s="5" t="n">
        <v>36</v>
      </c>
      <c r="E1261" s="5" t="n">
        <v>163</v>
      </c>
      <c r="F1261" t="inlineStr">
        <is>
          <t>Продажа</t>
        </is>
      </c>
      <c r="H1261">
        <f>VLOOKUP(C1261,Магазин!$A$2:$C$1000,2,0)</f>
        <v/>
      </c>
      <c r="I1261">
        <f>VLOOKUP(D1261,Товар!$A$2:$F$1000,3,0)</f>
        <v/>
      </c>
      <c r="J1261">
        <f>VLOOKUP(D1261,Товар!$A$2:$F$1000,5,0)</f>
        <v/>
      </c>
      <c r="K1261">
        <f>IF(AND(H1261="Промышленный",LEFT(I1261,18)="Порошок стиральный",F1261="Продажа",B1261=DATE(2023,6,7)),E1261*J1261/1000,0)</f>
        <v/>
      </c>
    </row>
    <row r="1262">
      <c r="A1262" t="n">
        <v>1261</v>
      </c>
      <c r="B1262" s="1" t="n">
        <v>45084</v>
      </c>
      <c r="C1262" s="5" t="inlineStr">
        <is>
          <t>M18</t>
        </is>
      </c>
      <c r="D1262" s="5" t="n">
        <v>1</v>
      </c>
      <c r="E1262" s="5" t="n">
        <v>128</v>
      </c>
      <c r="F1262" t="inlineStr">
        <is>
          <t>Продажа</t>
        </is>
      </c>
      <c r="H1262">
        <f>VLOOKUP(C1262,Магазин!$A$2:$C$1000,2,0)</f>
        <v/>
      </c>
      <c r="I1262">
        <f>VLOOKUP(D1262,Товар!$A$2:$F$1000,3,0)</f>
        <v/>
      </c>
      <c r="J1262">
        <f>VLOOKUP(D1262,Товар!$A$2:$F$1000,5,0)</f>
        <v/>
      </c>
      <c r="K1262">
        <f>IF(AND(H1262="Промышленный",LEFT(I1262,18)="Порошок стиральный",F1262="Продажа",B1262=DATE(2023,6,7)),E1262*J1262/1000,0)</f>
        <v/>
      </c>
    </row>
    <row r="1263">
      <c r="A1263" t="n">
        <v>1262</v>
      </c>
      <c r="B1263" s="1" t="n">
        <v>45084</v>
      </c>
      <c r="C1263" s="5" t="inlineStr">
        <is>
          <t>M18</t>
        </is>
      </c>
      <c r="D1263" s="5" t="n">
        <v>2</v>
      </c>
      <c r="E1263" s="5" t="n">
        <v>145</v>
      </c>
      <c r="F1263" t="inlineStr">
        <is>
          <t>Продажа</t>
        </is>
      </c>
      <c r="H1263">
        <f>VLOOKUP(C1263,Магазин!$A$2:$C$1000,2,0)</f>
        <v/>
      </c>
      <c r="I1263">
        <f>VLOOKUP(D1263,Товар!$A$2:$F$1000,3,0)</f>
        <v/>
      </c>
      <c r="J1263">
        <f>VLOOKUP(D1263,Товар!$A$2:$F$1000,5,0)</f>
        <v/>
      </c>
      <c r="K1263">
        <f>IF(AND(H1263="Промышленный",LEFT(I1263,18)="Порошок стиральный",F1263="Продажа",B1263=DATE(2023,6,7)),E1263*J1263/1000,0)</f>
        <v/>
      </c>
    </row>
    <row r="1264">
      <c r="A1264" t="n">
        <v>1263</v>
      </c>
      <c r="B1264" s="1" t="n">
        <v>45084</v>
      </c>
      <c r="C1264" s="5" t="inlineStr">
        <is>
          <t>M18</t>
        </is>
      </c>
      <c r="D1264" s="5" t="n">
        <v>3</v>
      </c>
      <c r="E1264" s="5" t="n">
        <v>138</v>
      </c>
      <c r="F1264" t="inlineStr">
        <is>
          <t>Продажа</t>
        </is>
      </c>
      <c r="H1264">
        <f>VLOOKUP(C1264,Магазин!$A$2:$C$1000,2,0)</f>
        <v/>
      </c>
      <c r="I1264">
        <f>VLOOKUP(D1264,Товар!$A$2:$F$1000,3,0)</f>
        <v/>
      </c>
      <c r="J1264">
        <f>VLOOKUP(D1264,Товар!$A$2:$F$1000,5,0)</f>
        <v/>
      </c>
      <c r="K1264">
        <f>IF(AND(H1264="Промышленный",LEFT(I1264,18)="Порошок стиральный",F1264="Продажа",B1264=DATE(2023,6,7)),E1264*J1264/1000,0)</f>
        <v/>
      </c>
    </row>
    <row r="1265">
      <c r="A1265" t="n">
        <v>1264</v>
      </c>
      <c r="B1265" s="1" t="n">
        <v>45084</v>
      </c>
      <c r="C1265" s="5" t="inlineStr">
        <is>
          <t>M18</t>
        </is>
      </c>
      <c r="D1265" s="5" t="n">
        <v>4</v>
      </c>
      <c r="E1265" s="5" t="n">
        <v>164</v>
      </c>
      <c r="F1265" t="inlineStr">
        <is>
          <t>Продажа</t>
        </is>
      </c>
      <c r="H1265">
        <f>VLOOKUP(C1265,Магазин!$A$2:$C$1000,2,0)</f>
        <v/>
      </c>
      <c r="I1265">
        <f>VLOOKUP(D1265,Товар!$A$2:$F$1000,3,0)</f>
        <v/>
      </c>
      <c r="J1265">
        <f>VLOOKUP(D1265,Товар!$A$2:$F$1000,5,0)</f>
        <v/>
      </c>
      <c r="K1265">
        <f>IF(AND(H1265="Промышленный",LEFT(I1265,18)="Порошок стиральный",F1265="Продажа",B1265=DATE(2023,6,7)),E1265*J1265/1000,0)</f>
        <v/>
      </c>
    </row>
    <row r="1266">
      <c r="A1266" t="n">
        <v>1265</v>
      </c>
      <c r="B1266" s="1" t="n">
        <v>45084</v>
      </c>
      <c r="C1266" s="5" t="inlineStr">
        <is>
          <t>M18</t>
        </is>
      </c>
      <c r="D1266" s="5" t="n">
        <v>5</v>
      </c>
      <c r="E1266" s="5" t="n">
        <v>176</v>
      </c>
      <c r="F1266" t="inlineStr">
        <is>
          <t>Продажа</t>
        </is>
      </c>
      <c r="H1266">
        <f>VLOOKUP(C1266,Магазин!$A$2:$C$1000,2,0)</f>
        <v/>
      </c>
      <c r="I1266">
        <f>VLOOKUP(D1266,Товар!$A$2:$F$1000,3,0)</f>
        <v/>
      </c>
      <c r="J1266">
        <f>VLOOKUP(D1266,Товар!$A$2:$F$1000,5,0)</f>
        <v/>
      </c>
      <c r="K1266">
        <f>IF(AND(H1266="Промышленный",LEFT(I1266,18)="Порошок стиральный",F1266="Продажа",B1266=DATE(2023,6,7)),E1266*J1266/1000,0)</f>
        <v/>
      </c>
    </row>
    <row r="1267">
      <c r="A1267" t="n">
        <v>1266</v>
      </c>
      <c r="B1267" s="1" t="n">
        <v>45084</v>
      </c>
      <c r="C1267" s="5" t="inlineStr">
        <is>
          <t>M18</t>
        </is>
      </c>
      <c r="D1267" s="5" t="n">
        <v>6</v>
      </c>
      <c r="E1267" s="5" t="n">
        <v>128</v>
      </c>
      <c r="F1267" t="inlineStr">
        <is>
          <t>Продажа</t>
        </is>
      </c>
      <c r="H1267">
        <f>VLOOKUP(C1267,Магазин!$A$2:$C$1000,2,0)</f>
        <v/>
      </c>
      <c r="I1267">
        <f>VLOOKUP(D1267,Товар!$A$2:$F$1000,3,0)</f>
        <v/>
      </c>
      <c r="J1267">
        <f>VLOOKUP(D1267,Товар!$A$2:$F$1000,5,0)</f>
        <v/>
      </c>
      <c r="K1267">
        <f>IF(AND(H1267="Промышленный",LEFT(I1267,18)="Порошок стиральный",F1267="Продажа",B1267=DATE(2023,6,7)),E1267*J1267/1000,0)</f>
        <v/>
      </c>
    </row>
    <row r="1268">
      <c r="A1268" t="n">
        <v>1267</v>
      </c>
      <c r="B1268" s="1" t="n">
        <v>45084</v>
      </c>
      <c r="C1268" s="5" t="inlineStr">
        <is>
          <t>M18</t>
        </is>
      </c>
      <c r="D1268" s="5" t="n">
        <v>7</v>
      </c>
      <c r="E1268" s="5" t="n">
        <v>146</v>
      </c>
      <c r="F1268" t="inlineStr">
        <is>
          <t>Продажа</t>
        </is>
      </c>
      <c r="H1268">
        <f>VLOOKUP(C1268,Магазин!$A$2:$C$1000,2,0)</f>
        <v/>
      </c>
      <c r="I1268">
        <f>VLOOKUP(D1268,Товар!$A$2:$F$1000,3,0)</f>
        <v/>
      </c>
      <c r="J1268">
        <f>VLOOKUP(D1268,Товар!$A$2:$F$1000,5,0)</f>
        <v/>
      </c>
      <c r="K1268">
        <f>IF(AND(H1268="Промышленный",LEFT(I1268,18)="Порошок стиральный",F1268="Продажа",B1268=DATE(2023,6,7)),E1268*J1268/1000,0)</f>
        <v/>
      </c>
    </row>
    <row r="1269">
      <c r="A1269" t="n">
        <v>1268</v>
      </c>
      <c r="B1269" s="1" t="n">
        <v>45084</v>
      </c>
      <c r="C1269" s="5" t="inlineStr">
        <is>
          <t>M18</t>
        </is>
      </c>
      <c r="D1269" s="5" t="n">
        <v>8</v>
      </c>
      <c r="E1269" s="5" t="n">
        <v>173</v>
      </c>
      <c r="F1269" t="inlineStr">
        <is>
          <t>Продажа</t>
        </is>
      </c>
      <c r="H1269">
        <f>VLOOKUP(C1269,Магазин!$A$2:$C$1000,2,0)</f>
        <v/>
      </c>
      <c r="I1269">
        <f>VLOOKUP(D1269,Товар!$A$2:$F$1000,3,0)</f>
        <v/>
      </c>
      <c r="J1269">
        <f>VLOOKUP(D1269,Товар!$A$2:$F$1000,5,0)</f>
        <v/>
      </c>
      <c r="K1269">
        <f>IF(AND(H1269="Промышленный",LEFT(I1269,18)="Порошок стиральный",F1269="Продажа",B1269=DATE(2023,6,7)),E1269*J1269/1000,0)</f>
        <v/>
      </c>
    </row>
    <row r="1270">
      <c r="A1270" t="n">
        <v>1269</v>
      </c>
      <c r="B1270" s="1" t="n">
        <v>45084</v>
      </c>
      <c r="C1270" s="5" t="inlineStr">
        <is>
          <t>M18</t>
        </is>
      </c>
      <c r="D1270" s="5" t="n">
        <v>9</v>
      </c>
      <c r="E1270" s="5" t="n">
        <v>164</v>
      </c>
      <c r="F1270" t="inlineStr">
        <is>
          <t>Продажа</t>
        </is>
      </c>
      <c r="H1270">
        <f>VLOOKUP(C1270,Магазин!$A$2:$C$1000,2,0)</f>
        <v/>
      </c>
      <c r="I1270">
        <f>VLOOKUP(D1270,Товар!$A$2:$F$1000,3,0)</f>
        <v/>
      </c>
      <c r="J1270">
        <f>VLOOKUP(D1270,Товар!$A$2:$F$1000,5,0)</f>
        <v/>
      </c>
      <c r="K1270">
        <f>IF(AND(H1270="Промышленный",LEFT(I1270,18)="Порошок стиральный",F1270="Продажа",B1270=DATE(2023,6,7)),E1270*J1270/1000,0)</f>
        <v/>
      </c>
    </row>
    <row r="1271">
      <c r="A1271" t="n">
        <v>1270</v>
      </c>
      <c r="B1271" s="1" t="n">
        <v>45084</v>
      </c>
      <c r="C1271" s="5" t="inlineStr">
        <is>
          <t>M18</t>
        </is>
      </c>
      <c r="D1271" s="5" t="n">
        <v>10</v>
      </c>
      <c r="E1271" s="5" t="n">
        <v>176</v>
      </c>
      <c r="F1271" t="inlineStr">
        <is>
          <t>Продажа</t>
        </is>
      </c>
      <c r="H1271">
        <f>VLOOKUP(C1271,Магазин!$A$2:$C$1000,2,0)</f>
        <v/>
      </c>
      <c r="I1271">
        <f>VLOOKUP(D1271,Товар!$A$2:$F$1000,3,0)</f>
        <v/>
      </c>
      <c r="J1271">
        <f>VLOOKUP(D1271,Товар!$A$2:$F$1000,5,0)</f>
        <v/>
      </c>
      <c r="K1271">
        <f>IF(AND(H1271="Промышленный",LEFT(I1271,18)="Порошок стиральный",F1271="Продажа",B1271=DATE(2023,6,7)),E1271*J1271/1000,0)</f>
        <v/>
      </c>
    </row>
    <row r="1272">
      <c r="A1272" t="n">
        <v>1271</v>
      </c>
      <c r="B1272" s="1" t="n">
        <v>45084</v>
      </c>
      <c r="C1272" s="5" t="inlineStr">
        <is>
          <t>M18</t>
        </is>
      </c>
      <c r="D1272" s="5" t="n">
        <v>11</v>
      </c>
      <c r="E1272" s="5" t="n">
        <v>128</v>
      </c>
      <c r="F1272" t="inlineStr">
        <is>
          <t>Продажа</t>
        </is>
      </c>
      <c r="H1272">
        <f>VLOOKUP(C1272,Магазин!$A$2:$C$1000,2,0)</f>
        <v/>
      </c>
      <c r="I1272">
        <f>VLOOKUP(D1272,Товар!$A$2:$F$1000,3,0)</f>
        <v/>
      </c>
      <c r="J1272">
        <f>VLOOKUP(D1272,Товар!$A$2:$F$1000,5,0)</f>
        <v/>
      </c>
      <c r="K1272">
        <f>IF(AND(H1272="Промышленный",LEFT(I1272,18)="Порошок стиральный",F1272="Продажа",B1272=DATE(2023,6,7)),E1272*J1272/1000,0)</f>
        <v/>
      </c>
    </row>
    <row r="1273">
      <c r="A1273" t="n">
        <v>1272</v>
      </c>
      <c r="B1273" s="1" t="n">
        <v>45084</v>
      </c>
      <c r="C1273" s="5" t="inlineStr">
        <is>
          <t>M18</t>
        </is>
      </c>
      <c r="D1273" s="5" t="n">
        <v>12</v>
      </c>
      <c r="E1273" s="5" t="n">
        <v>146</v>
      </c>
      <c r="F1273" t="inlineStr">
        <is>
          <t>Продажа</t>
        </is>
      </c>
      <c r="H1273">
        <f>VLOOKUP(C1273,Магазин!$A$2:$C$1000,2,0)</f>
        <v/>
      </c>
      <c r="I1273">
        <f>VLOOKUP(D1273,Товар!$A$2:$F$1000,3,0)</f>
        <v/>
      </c>
      <c r="J1273">
        <f>VLOOKUP(D1273,Товар!$A$2:$F$1000,5,0)</f>
        <v/>
      </c>
      <c r="K1273">
        <f>IF(AND(H1273="Промышленный",LEFT(I1273,18)="Порошок стиральный",F1273="Продажа",B1273=DATE(2023,6,7)),E1273*J1273/1000,0)</f>
        <v/>
      </c>
    </row>
    <row r="1274">
      <c r="A1274" t="n">
        <v>1273</v>
      </c>
      <c r="B1274" s="1" t="n">
        <v>45084</v>
      </c>
      <c r="C1274" s="5" t="inlineStr">
        <is>
          <t>M18</t>
        </is>
      </c>
      <c r="D1274" s="5" t="n">
        <v>13</v>
      </c>
      <c r="E1274" s="5" t="n">
        <v>173</v>
      </c>
      <c r="F1274" t="inlineStr">
        <is>
          <t>Продажа</t>
        </is>
      </c>
      <c r="H1274">
        <f>VLOOKUP(C1274,Магазин!$A$2:$C$1000,2,0)</f>
        <v/>
      </c>
      <c r="I1274">
        <f>VLOOKUP(D1274,Товар!$A$2:$F$1000,3,0)</f>
        <v/>
      </c>
      <c r="J1274">
        <f>VLOOKUP(D1274,Товар!$A$2:$F$1000,5,0)</f>
        <v/>
      </c>
      <c r="K1274">
        <f>IF(AND(H1274="Промышленный",LEFT(I1274,18)="Порошок стиральный",F1274="Продажа",B1274=DATE(2023,6,7)),E1274*J1274/1000,0)</f>
        <v/>
      </c>
    </row>
    <row r="1275">
      <c r="A1275" t="n">
        <v>1274</v>
      </c>
      <c r="B1275" s="1" t="n">
        <v>45084</v>
      </c>
      <c r="C1275" s="5" t="inlineStr">
        <is>
          <t>M18</t>
        </is>
      </c>
      <c r="D1275" s="5" t="n">
        <v>14</v>
      </c>
      <c r="E1275" s="5" t="n">
        <v>180</v>
      </c>
      <c r="F1275" t="inlineStr">
        <is>
          <t>Продажа</t>
        </is>
      </c>
      <c r="H1275">
        <f>VLOOKUP(C1275,Магазин!$A$2:$C$1000,2,0)</f>
        <v/>
      </c>
      <c r="I1275">
        <f>VLOOKUP(D1275,Товар!$A$2:$F$1000,3,0)</f>
        <v/>
      </c>
      <c r="J1275">
        <f>VLOOKUP(D1275,Товар!$A$2:$F$1000,5,0)</f>
        <v/>
      </c>
      <c r="K1275">
        <f>IF(AND(H1275="Промышленный",LEFT(I1275,18)="Порошок стиральный",F1275="Продажа",B1275=DATE(2023,6,7)),E1275*J1275/1000,0)</f>
        <v/>
      </c>
    </row>
    <row r="1276">
      <c r="A1276" t="n">
        <v>1275</v>
      </c>
      <c r="B1276" s="1" t="n">
        <v>45084</v>
      </c>
      <c r="C1276" s="5" t="inlineStr">
        <is>
          <t>M18</t>
        </is>
      </c>
      <c r="D1276" s="5" t="n">
        <v>15</v>
      </c>
      <c r="E1276" s="5" t="n">
        <v>142</v>
      </c>
      <c r="F1276" t="inlineStr">
        <is>
          <t>Продажа</t>
        </is>
      </c>
      <c r="H1276">
        <f>VLOOKUP(C1276,Магазин!$A$2:$C$1000,2,0)</f>
        <v/>
      </c>
      <c r="I1276">
        <f>VLOOKUP(D1276,Товар!$A$2:$F$1000,3,0)</f>
        <v/>
      </c>
      <c r="J1276">
        <f>VLOOKUP(D1276,Товар!$A$2:$F$1000,5,0)</f>
        <v/>
      </c>
      <c r="K1276">
        <f>IF(AND(H1276="Промышленный",LEFT(I1276,18)="Порошок стиральный",F1276="Продажа",B1276=DATE(2023,6,7)),E1276*J1276/1000,0)</f>
        <v/>
      </c>
    </row>
    <row r="1277">
      <c r="A1277" t="n">
        <v>1276</v>
      </c>
      <c r="B1277" s="1" t="n">
        <v>45084</v>
      </c>
      <c r="C1277" s="5" t="inlineStr">
        <is>
          <t>M18</t>
        </is>
      </c>
      <c r="D1277" s="5" t="n">
        <v>16</v>
      </c>
      <c r="E1277" s="5" t="n">
        <v>156</v>
      </c>
      <c r="F1277" t="inlineStr">
        <is>
          <t>Продажа</t>
        </is>
      </c>
      <c r="H1277">
        <f>VLOOKUP(C1277,Магазин!$A$2:$C$1000,2,0)</f>
        <v/>
      </c>
      <c r="I1277">
        <f>VLOOKUP(D1277,Товар!$A$2:$F$1000,3,0)</f>
        <v/>
      </c>
      <c r="J1277">
        <f>VLOOKUP(D1277,Товар!$A$2:$F$1000,5,0)</f>
        <v/>
      </c>
      <c r="K1277">
        <f>IF(AND(H1277="Промышленный",LEFT(I1277,18)="Порошок стиральный",F1277="Продажа",B1277=DATE(2023,6,7)),E1277*J1277/1000,0)</f>
        <v/>
      </c>
    </row>
    <row r="1278">
      <c r="A1278" t="n">
        <v>1277</v>
      </c>
      <c r="B1278" s="1" t="n">
        <v>45084</v>
      </c>
      <c r="C1278" s="5" t="inlineStr">
        <is>
          <t>M18</t>
        </is>
      </c>
      <c r="D1278" s="5" t="n">
        <v>17</v>
      </c>
      <c r="E1278" s="5" t="n">
        <v>144</v>
      </c>
      <c r="F1278" t="inlineStr">
        <is>
          <t>Продажа</t>
        </is>
      </c>
      <c r="H1278">
        <f>VLOOKUP(C1278,Магазин!$A$2:$C$1000,2,0)</f>
        <v/>
      </c>
      <c r="I1278">
        <f>VLOOKUP(D1278,Товар!$A$2:$F$1000,3,0)</f>
        <v/>
      </c>
      <c r="J1278">
        <f>VLOOKUP(D1278,Товар!$A$2:$F$1000,5,0)</f>
        <v/>
      </c>
      <c r="K1278">
        <f>IF(AND(H1278="Промышленный",LEFT(I1278,18)="Порошок стиральный",F1278="Продажа",B1278=DATE(2023,6,7)),E1278*J1278/1000,0)</f>
        <v/>
      </c>
    </row>
    <row r="1279">
      <c r="A1279" t="n">
        <v>1278</v>
      </c>
      <c r="B1279" s="1" t="n">
        <v>45084</v>
      </c>
      <c r="C1279" s="5" t="inlineStr">
        <is>
          <t>M18</t>
        </is>
      </c>
      <c r="D1279" s="5" t="n">
        <v>18</v>
      </c>
      <c r="E1279" s="5" t="n">
        <v>178</v>
      </c>
      <c r="F1279" t="inlineStr">
        <is>
          <t>Продажа</t>
        </is>
      </c>
      <c r="H1279">
        <f>VLOOKUP(C1279,Магазин!$A$2:$C$1000,2,0)</f>
        <v/>
      </c>
      <c r="I1279">
        <f>VLOOKUP(D1279,Товар!$A$2:$F$1000,3,0)</f>
        <v/>
      </c>
      <c r="J1279">
        <f>VLOOKUP(D1279,Товар!$A$2:$F$1000,5,0)</f>
        <v/>
      </c>
      <c r="K1279">
        <f>IF(AND(H1279="Промышленный",LEFT(I1279,18)="Порошок стиральный",F1279="Продажа",B1279=DATE(2023,6,7)),E1279*J1279/1000,0)</f>
        <v/>
      </c>
    </row>
    <row r="1280">
      <c r="A1280" t="n">
        <v>1279</v>
      </c>
      <c r="B1280" s="1" t="n">
        <v>45084</v>
      </c>
      <c r="C1280" s="5" t="inlineStr">
        <is>
          <t>M18</t>
        </is>
      </c>
      <c r="D1280" s="5" t="n">
        <v>19</v>
      </c>
      <c r="E1280" s="5" t="n">
        <v>169</v>
      </c>
      <c r="F1280" t="inlineStr">
        <is>
          <t>Продажа</t>
        </is>
      </c>
      <c r="H1280">
        <f>VLOOKUP(C1280,Магазин!$A$2:$C$1000,2,0)</f>
        <v/>
      </c>
      <c r="I1280">
        <f>VLOOKUP(D1280,Товар!$A$2:$F$1000,3,0)</f>
        <v/>
      </c>
      <c r="J1280">
        <f>VLOOKUP(D1280,Товар!$A$2:$F$1000,5,0)</f>
        <v/>
      </c>
      <c r="K1280">
        <f>IF(AND(H1280="Промышленный",LEFT(I1280,18)="Порошок стиральный",F1280="Продажа",B1280=DATE(2023,6,7)),E1280*J1280/1000,0)</f>
        <v/>
      </c>
    </row>
    <row r="1281">
      <c r="A1281" t="n">
        <v>1280</v>
      </c>
      <c r="B1281" s="1" t="n">
        <v>45084</v>
      </c>
      <c r="C1281" s="5" t="inlineStr">
        <is>
          <t>M18</t>
        </is>
      </c>
      <c r="D1281" s="5" t="n">
        <v>20</v>
      </c>
      <c r="E1281" s="5" t="n">
        <v>196</v>
      </c>
      <c r="F1281" t="inlineStr">
        <is>
          <t>Продажа</t>
        </is>
      </c>
      <c r="H1281">
        <f>VLOOKUP(C1281,Магазин!$A$2:$C$1000,2,0)</f>
        <v/>
      </c>
      <c r="I1281">
        <f>VLOOKUP(D1281,Товар!$A$2:$F$1000,3,0)</f>
        <v/>
      </c>
      <c r="J1281">
        <f>VLOOKUP(D1281,Товар!$A$2:$F$1000,5,0)</f>
        <v/>
      </c>
      <c r="K1281">
        <f>IF(AND(H1281="Промышленный",LEFT(I1281,18)="Порошок стиральный",F1281="Продажа",B1281=DATE(2023,6,7)),E1281*J1281/1000,0)</f>
        <v/>
      </c>
    </row>
    <row r="1282">
      <c r="A1282" t="n">
        <v>1281</v>
      </c>
      <c r="B1282" s="1" t="n">
        <v>45084</v>
      </c>
      <c r="C1282" s="5" t="inlineStr">
        <is>
          <t>M18</t>
        </is>
      </c>
      <c r="D1282" s="5" t="n">
        <v>21</v>
      </c>
      <c r="E1282" s="5" t="n">
        <v>123</v>
      </c>
      <c r="F1282" t="inlineStr">
        <is>
          <t>Продажа</t>
        </is>
      </c>
      <c r="H1282">
        <f>VLOOKUP(C1282,Магазин!$A$2:$C$1000,2,0)</f>
        <v/>
      </c>
      <c r="I1282">
        <f>VLOOKUP(D1282,Товар!$A$2:$F$1000,3,0)</f>
        <v/>
      </c>
      <c r="J1282">
        <f>VLOOKUP(D1282,Товар!$A$2:$F$1000,5,0)</f>
        <v/>
      </c>
      <c r="K1282">
        <f>IF(AND(H1282="Промышленный",LEFT(I1282,18)="Порошок стиральный",F1282="Продажа",B1282=DATE(2023,6,7)),E1282*J1282/1000,0)</f>
        <v/>
      </c>
    </row>
    <row r="1283" ht="15" customHeight="1" s="4">
      <c r="A1283" t="n">
        <v>1282</v>
      </c>
      <c r="B1283" s="1" t="n">
        <v>45084</v>
      </c>
      <c r="C1283" s="5" t="inlineStr">
        <is>
          <t>M18</t>
        </is>
      </c>
      <c r="D1283" s="5" t="n">
        <v>22</v>
      </c>
      <c r="E1283" s="5" t="n">
        <v>111</v>
      </c>
      <c r="F1283" t="inlineStr">
        <is>
          <t>Продажа</t>
        </is>
      </c>
      <c r="H1283">
        <f>VLOOKUP(C1283,Магазин!$A$2:$C$1000,2,0)</f>
        <v/>
      </c>
      <c r="I1283">
        <f>VLOOKUP(D1283,Товар!$A$2:$F$1000,3,0)</f>
        <v/>
      </c>
      <c r="J1283">
        <f>VLOOKUP(D1283,Товар!$A$2:$F$1000,5,0)</f>
        <v/>
      </c>
      <c r="K1283">
        <f>IF(AND(H1283="Промышленный",LEFT(I1283,18)="Порошок стиральный",F1283="Продажа",B1283=DATE(2023,6,7)),E1283*J1283/1000,0)</f>
        <v/>
      </c>
    </row>
    <row r="1284" ht="15" customHeight="1" s="4">
      <c r="A1284" t="n">
        <v>1283</v>
      </c>
      <c r="B1284" s="1" t="n">
        <v>45084</v>
      </c>
      <c r="C1284" s="5" t="inlineStr">
        <is>
          <t>M18</t>
        </is>
      </c>
      <c r="D1284" s="5" t="n">
        <v>23</v>
      </c>
      <c r="E1284" s="5" t="n">
        <v>158</v>
      </c>
      <c r="F1284" t="inlineStr">
        <is>
          <t>Продажа</t>
        </is>
      </c>
      <c r="H1284">
        <f>VLOOKUP(C1284,Магазин!$A$2:$C$1000,2,0)</f>
        <v/>
      </c>
      <c r="I1284">
        <f>VLOOKUP(D1284,Товар!$A$2:$F$1000,3,0)</f>
        <v/>
      </c>
      <c r="J1284">
        <f>VLOOKUP(D1284,Товар!$A$2:$F$1000,5,0)</f>
        <v/>
      </c>
      <c r="K1284">
        <f>IF(AND(H1284="Промышленный",LEFT(I1284,18)="Порошок стиральный",F1284="Продажа",B1284=DATE(2023,6,7)),E1284*J1284/1000,0)</f>
        <v/>
      </c>
    </row>
    <row r="1285">
      <c r="A1285" t="n">
        <v>1284</v>
      </c>
      <c r="B1285" s="1" t="n">
        <v>45084</v>
      </c>
      <c r="C1285" s="5" t="inlineStr">
        <is>
          <t>M18</t>
        </is>
      </c>
      <c r="D1285" s="5" t="n">
        <v>24</v>
      </c>
      <c r="E1285" s="5" t="n">
        <v>174</v>
      </c>
      <c r="F1285" t="inlineStr">
        <is>
          <t>Продажа</t>
        </is>
      </c>
      <c r="H1285">
        <f>VLOOKUP(C1285,Магазин!$A$2:$C$1000,2,0)</f>
        <v/>
      </c>
      <c r="I1285">
        <f>VLOOKUP(D1285,Товар!$A$2:$F$1000,3,0)</f>
        <v/>
      </c>
      <c r="J1285">
        <f>VLOOKUP(D1285,Товар!$A$2:$F$1000,5,0)</f>
        <v/>
      </c>
      <c r="K1285">
        <f>IF(AND(H1285="Промышленный",LEFT(I1285,18)="Порошок стиральный",F1285="Продажа",B1285=DATE(2023,6,7)),E1285*J1285/1000,0)</f>
        <v/>
      </c>
    </row>
    <row r="1286">
      <c r="A1286" t="n">
        <v>1285</v>
      </c>
      <c r="B1286" s="1" t="n">
        <v>45084</v>
      </c>
      <c r="C1286" s="5" t="inlineStr">
        <is>
          <t>M18</t>
        </is>
      </c>
      <c r="D1286" s="5" t="n">
        <v>25</v>
      </c>
      <c r="E1286" s="5" t="n">
        <v>121</v>
      </c>
      <c r="F1286" t="inlineStr">
        <is>
          <t>Продажа</t>
        </is>
      </c>
      <c r="H1286">
        <f>VLOOKUP(C1286,Магазин!$A$2:$C$1000,2,0)</f>
        <v/>
      </c>
      <c r="I1286">
        <f>VLOOKUP(D1286,Товар!$A$2:$F$1000,3,0)</f>
        <v/>
      </c>
      <c r="J1286">
        <f>VLOOKUP(D1286,Товар!$A$2:$F$1000,5,0)</f>
        <v/>
      </c>
      <c r="K1286">
        <f>IF(AND(H1286="Промышленный",LEFT(I1286,18)="Порошок стиральный",F1286="Продажа",B1286=DATE(2023,6,7)),E1286*J1286/1000,0)</f>
        <v/>
      </c>
    </row>
    <row r="1287">
      <c r="A1287" t="n">
        <v>1286</v>
      </c>
      <c r="B1287" s="1" t="n">
        <v>45084</v>
      </c>
      <c r="C1287" s="5" t="inlineStr">
        <is>
          <t>M18</t>
        </is>
      </c>
      <c r="D1287" s="5" t="n">
        <v>26</v>
      </c>
      <c r="E1287" s="5" t="n">
        <v>144</v>
      </c>
      <c r="F1287" t="inlineStr">
        <is>
          <t>Продажа</t>
        </is>
      </c>
      <c r="H1287">
        <f>VLOOKUP(C1287,Магазин!$A$2:$C$1000,2,0)</f>
        <v/>
      </c>
      <c r="I1287">
        <f>VLOOKUP(D1287,Товар!$A$2:$F$1000,3,0)</f>
        <v/>
      </c>
      <c r="J1287">
        <f>VLOOKUP(D1287,Товар!$A$2:$F$1000,5,0)</f>
        <v/>
      </c>
      <c r="K1287">
        <f>IF(AND(H1287="Промышленный",LEFT(I1287,18)="Порошок стиральный",F1287="Продажа",B1287=DATE(2023,6,7)),E1287*J1287/1000,0)</f>
        <v/>
      </c>
    </row>
    <row r="1288">
      <c r="A1288" t="n">
        <v>1287</v>
      </c>
      <c r="B1288" s="1" t="n">
        <v>45084</v>
      </c>
      <c r="C1288" s="5" t="inlineStr">
        <is>
          <t>M18</t>
        </is>
      </c>
      <c r="D1288" s="5" t="n">
        <v>27</v>
      </c>
      <c r="E1288" s="5" t="n">
        <v>169</v>
      </c>
      <c r="F1288" t="inlineStr">
        <is>
          <t>Продажа</t>
        </is>
      </c>
      <c r="H1288">
        <f>VLOOKUP(C1288,Магазин!$A$2:$C$1000,2,0)</f>
        <v/>
      </c>
      <c r="I1288">
        <f>VLOOKUP(D1288,Товар!$A$2:$F$1000,3,0)</f>
        <v/>
      </c>
      <c r="J1288">
        <f>VLOOKUP(D1288,Товар!$A$2:$F$1000,5,0)</f>
        <v/>
      </c>
      <c r="K1288">
        <f>IF(AND(H1288="Промышленный",LEFT(I1288,18)="Порошок стиральный",F1288="Продажа",B1288=DATE(2023,6,7)),E1288*J1288/1000,0)</f>
        <v/>
      </c>
    </row>
    <row r="1289">
      <c r="A1289" t="n">
        <v>1288</v>
      </c>
      <c r="B1289" s="1" t="n">
        <v>45084</v>
      </c>
      <c r="C1289" s="5" t="inlineStr">
        <is>
          <t>M18</t>
        </is>
      </c>
      <c r="D1289" s="5" t="n">
        <v>28</v>
      </c>
      <c r="E1289" s="5" t="n">
        <v>184</v>
      </c>
      <c r="F1289" t="inlineStr">
        <is>
          <t>Продажа</t>
        </is>
      </c>
      <c r="H1289">
        <f>VLOOKUP(C1289,Магазин!$A$2:$C$1000,2,0)</f>
        <v/>
      </c>
      <c r="I1289">
        <f>VLOOKUP(D1289,Товар!$A$2:$F$1000,3,0)</f>
        <v/>
      </c>
      <c r="J1289">
        <f>VLOOKUP(D1289,Товар!$A$2:$F$1000,5,0)</f>
        <v/>
      </c>
      <c r="K1289">
        <f>IF(AND(H1289="Промышленный",LEFT(I1289,18)="Порошок стиральный",F1289="Продажа",B1289=DATE(2023,6,7)),E1289*J1289/1000,0)</f>
        <v/>
      </c>
    </row>
    <row r="1290">
      <c r="A1290" t="n">
        <v>1289</v>
      </c>
      <c r="B1290" s="1" t="n">
        <v>45084</v>
      </c>
      <c r="C1290" s="5" t="inlineStr">
        <is>
          <t>M18</t>
        </is>
      </c>
      <c r="D1290" s="5" t="n">
        <v>29</v>
      </c>
      <c r="E1290" s="5" t="n">
        <v>136</v>
      </c>
      <c r="F1290" t="inlineStr">
        <is>
          <t>Продажа</t>
        </is>
      </c>
      <c r="H1290">
        <f>VLOOKUP(C1290,Магазин!$A$2:$C$1000,2,0)</f>
        <v/>
      </c>
      <c r="I1290">
        <f>VLOOKUP(D1290,Товар!$A$2:$F$1000,3,0)</f>
        <v/>
      </c>
      <c r="J1290">
        <f>VLOOKUP(D1290,Товар!$A$2:$F$1000,5,0)</f>
        <v/>
      </c>
      <c r="K1290">
        <f>IF(AND(H1290="Промышленный",LEFT(I1290,18)="Порошок стиральный",F1290="Продажа",B1290=DATE(2023,6,7)),E1290*J1290/1000,0)</f>
        <v/>
      </c>
    </row>
    <row r="1291">
      <c r="A1291" t="n">
        <v>1290</v>
      </c>
      <c r="B1291" s="1" t="n">
        <v>45084</v>
      </c>
      <c r="C1291" s="5" t="inlineStr">
        <is>
          <t>M18</t>
        </is>
      </c>
      <c r="D1291" s="5" t="n">
        <v>30</v>
      </c>
      <c r="E1291" s="5" t="n">
        <v>107</v>
      </c>
      <c r="F1291" t="inlineStr">
        <is>
          <t>Продажа</t>
        </is>
      </c>
      <c r="H1291">
        <f>VLOOKUP(C1291,Магазин!$A$2:$C$1000,2,0)</f>
        <v/>
      </c>
      <c r="I1291">
        <f>VLOOKUP(D1291,Товар!$A$2:$F$1000,3,0)</f>
        <v/>
      </c>
      <c r="J1291">
        <f>VLOOKUP(D1291,Товар!$A$2:$F$1000,5,0)</f>
        <v/>
      </c>
      <c r="K1291">
        <f>IF(AND(H1291="Промышленный",LEFT(I1291,18)="Порошок стиральный",F1291="Продажа",B1291=DATE(2023,6,7)),E1291*J1291/1000,0)</f>
        <v/>
      </c>
    </row>
    <row r="1292">
      <c r="A1292" t="n">
        <v>1291</v>
      </c>
      <c r="B1292" s="1" t="n">
        <v>45084</v>
      </c>
      <c r="C1292" s="5" t="inlineStr">
        <is>
          <t>M18</t>
        </is>
      </c>
      <c r="D1292" s="5" t="n">
        <v>31</v>
      </c>
      <c r="E1292" s="5" t="n">
        <v>111</v>
      </c>
      <c r="F1292" t="inlineStr">
        <is>
          <t>Продажа</t>
        </is>
      </c>
      <c r="H1292">
        <f>VLOOKUP(C1292,Магазин!$A$2:$C$1000,2,0)</f>
        <v/>
      </c>
      <c r="I1292">
        <f>VLOOKUP(D1292,Товар!$A$2:$F$1000,3,0)</f>
        <v/>
      </c>
      <c r="J1292">
        <f>VLOOKUP(D1292,Товар!$A$2:$F$1000,5,0)</f>
        <v/>
      </c>
      <c r="K1292">
        <f>IF(AND(H1292="Промышленный",LEFT(I1292,18)="Порошок стиральный",F1292="Продажа",B1292=DATE(2023,6,7)),E1292*J1292/1000,0)</f>
        <v/>
      </c>
    </row>
    <row r="1293">
      <c r="A1293" t="n">
        <v>1292</v>
      </c>
      <c r="B1293" s="1" t="n">
        <v>45084</v>
      </c>
      <c r="C1293" s="5" t="inlineStr">
        <is>
          <t>M18</t>
        </is>
      </c>
      <c r="D1293" s="5" t="n">
        <v>32</v>
      </c>
      <c r="E1293" s="5" t="n">
        <v>113</v>
      </c>
      <c r="F1293" t="inlineStr">
        <is>
          <t>Продажа</t>
        </is>
      </c>
      <c r="H1293">
        <f>VLOOKUP(C1293,Магазин!$A$2:$C$1000,2,0)</f>
        <v/>
      </c>
      <c r="I1293">
        <f>VLOOKUP(D1293,Товар!$A$2:$F$1000,3,0)</f>
        <v/>
      </c>
      <c r="J1293">
        <f>VLOOKUP(D1293,Товар!$A$2:$F$1000,5,0)</f>
        <v/>
      </c>
      <c r="K1293">
        <f>IF(AND(H1293="Промышленный",LEFT(I1293,18)="Порошок стиральный",F1293="Продажа",B1293=DATE(2023,6,7)),E1293*J1293/1000,0)</f>
        <v/>
      </c>
    </row>
    <row r="1294">
      <c r="A1294" t="n">
        <v>1293</v>
      </c>
      <c r="B1294" s="1" t="n">
        <v>45084</v>
      </c>
      <c r="C1294" s="5" t="inlineStr">
        <is>
          <t>M18</t>
        </is>
      </c>
      <c r="D1294" s="5" t="n">
        <v>33</v>
      </c>
      <c r="E1294" s="5" t="n">
        <v>133</v>
      </c>
      <c r="F1294" t="inlineStr">
        <is>
          <t>Продажа</t>
        </is>
      </c>
      <c r="H1294">
        <f>VLOOKUP(C1294,Магазин!$A$2:$C$1000,2,0)</f>
        <v/>
      </c>
      <c r="I1294">
        <f>VLOOKUP(D1294,Товар!$A$2:$F$1000,3,0)</f>
        <v/>
      </c>
      <c r="J1294">
        <f>VLOOKUP(D1294,Товар!$A$2:$F$1000,5,0)</f>
        <v/>
      </c>
      <c r="K1294">
        <f>IF(AND(H1294="Промышленный",LEFT(I1294,18)="Порошок стиральный",F1294="Продажа",B1294=DATE(2023,6,7)),E1294*J1294/1000,0)</f>
        <v/>
      </c>
    </row>
    <row r="1295">
      <c r="A1295" t="n">
        <v>1294</v>
      </c>
      <c r="B1295" s="1" t="n">
        <v>45084</v>
      </c>
      <c r="C1295" s="5" t="inlineStr">
        <is>
          <t>M18</t>
        </is>
      </c>
      <c r="D1295" s="5" t="n">
        <v>34</v>
      </c>
      <c r="E1295" s="5" t="n">
        <v>144</v>
      </c>
      <c r="F1295" t="inlineStr">
        <is>
          <t>Продажа</t>
        </is>
      </c>
      <c r="H1295">
        <f>VLOOKUP(C1295,Магазин!$A$2:$C$1000,2,0)</f>
        <v/>
      </c>
      <c r="I1295">
        <f>VLOOKUP(D1295,Товар!$A$2:$F$1000,3,0)</f>
        <v/>
      </c>
      <c r="J1295">
        <f>VLOOKUP(D1295,Товар!$A$2:$F$1000,5,0)</f>
        <v/>
      </c>
      <c r="K1295">
        <f>IF(AND(H1295="Промышленный",LEFT(I1295,18)="Порошок стиральный",F1295="Продажа",B1295=DATE(2023,6,7)),E1295*J1295/1000,0)</f>
        <v/>
      </c>
    </row>
    <row r="1296">
      <c r="A1296" t="n">
        <v>1295</v>
      </c>
      <c r="B1296" s="1" t="n">
        <v>45084</v>
      </c>
      <c r="C1296" s="5" t="inlineStr">
        <is>
          <t>M18</t>
        </is>
      </c>
      <c r="D1296" s="5" t="n">
        <v>35</v>
      </c>
      <c r="E1296" s="5" t="n">
        <v>155</v>
      </c>
      <c r="F1296" t="inlineStr">
        <is>
          <t>Продажа</t>
        </is>
      </c>
      <c r="H1296">
        <f>VLOOKUP(C1296,Магазин!$A$2:$C$1000,2,0)</f>
        <v/>
      </c>
      <c r="I1296">
        <f>VLOOKUP(D1296,Товар!$A$2:$F$1000,3,0)</f>
        <v/>
      </c>
      <c r="J1296">
        <f>VLOOKUP(D1296,Товар!$A$2:$F$1000,5,0)</f>
        <v/>
      </c>
      <c r="K1296">
        <f>IF(AND(H1296="Промышленный",LEFT(I1296,18)="Порошок стиральный",F1296="Продажа",B1296=DATE(2023,6,7)),E1296*J1296/1000,0)</f>
        <v/>
      </c>
    </row>
    <row r="1297">
      <c r="A1297" t="n">
        <v>1296</v>
      </c>
      <c r="B1297" s="1" t="n">
        <v>45084</v>
      </c>
      <c r="C1297" s="5" t="inlineStr">
        <is>
          <t>M18</t>
        </is>
      </c>
      <c r="D1297" s="5" t="n">
        <v>36</v>
      </c>
      <c r="E1297" s="5" t="n">
        <v>166</v>
      </c>
      <c r="F1297" t="inlineStr">
        <is>
          <t>Продажа</t>
        </is>
      </c>
      <c r="H1297">
        <f>VLOOKUP(C1297,Магазин!$A$2:$C$1000,2,0)</f>
        <v/>
      </c>
      <c r="I1297">
        <f>VLOOKUP(D1297,Товар!$A$2:$F$1000,3,0)</f>
        <v/>
      </c>
      <c r="J1297">
        <f>VLOOKUP(D1297,Товар!$A$2:$F$1000,5,0)</f>
        <v/>
      </c>
      <c r="K1297">
        <f>IF(AND(H1297="Промышленный",LEFT(I1297,18)="Порошок стиральный",F1297="Продажа",B1297=DATE(2023,6,7)),E1297*J1297/1000,0)</f>
        <v/>
      </c>
    </row>
    <row r="1298">
      <c r="A1298" t="n">
        <v>1297</v>
      </c>
      <c r="B1298" s="1" t="n">
        <v>45084</v>
      </c>
      <c r="C1298" s="5" t="inlineStr">
        <is>
          <t>M2</t>
        </is>
      </c>
      <c r="D1298" s="5" t="n">
        <v>1</v>
      </c>
      <c r="E1298" s="5" t="n">
        <v>275</v>
      </c>
      <c r="F1298" t="inlineStr">
        <is>
          <t>Продажа</t>
        </is>
      </c>
      <c r="H1298">
        <f>VLOOKUP(C1298,Магазин!$A$2:$C$1000,2,0)</f>
        <v/>
      </c>
      <c r="I1298">
        <f>VLOOKUP(D1298,Товар!$A$2:$F$1000,3,0)</f>
        <v/>
      </c>
      <c r="J1298">
        <f>VLOOKUP(D1298,Товар!$A$2:$F$1000,5,0)</f>
        <v/>
      </c>
      <c r="K1298">
        <f>IF(AND(H1298="Промышленный",LEFT(I1298,18)="Порошок стиральный",F1298="Продажа",B1298=DATE(2023,6,7)),E1298*J1298/1000,0)</f>
        <v/>
      </c>
    </row>
    <row r="1299">
      <c r="A1299" t="n">
        <v>1298</v>
      </c>
      <c r="B1299" s="1" t="n">
        <v>45084</v>
      </c>
      <c r="C1299" s="5" t="inlineStr">
        <is>
          <t>M2</t>
        </is>
      </c>
      <c r="D1299" s="5" t="n">
        <v>2</v>
      </c>
      <c r="E1299" s="5" t="n">
        <v>234</v>
      </c>
      <c r="F1299" t="inlineStr">
        <is>
          <t>Продажа</t>
        </is>
      </c>
      <c r="H1299">
        <f>VLOOKUP(C1299,Магазин!$A$2:$C$1000,2,0)</f>
        <v/>
      </c>
      <c r="I1299">
        <f>VLOOKUP(D1299,Товар!$A$2:$F$1000,3,0)</f>
        <v/>
      </c>
      <c r="J1299">
        <f>VLOOKUP(D1299,Товар!$A$2:$F$1000,5,0)</f>
        <v/>
      </c>
      <c r="K1299">
        <f>IF(AND(H1299="Промышленный",LEFT(I1299,18)="Порошок стиральный",F1299="Продажа",B1299=DATE(2023,6,7)),E1299*J1299/1000,0)</f>
        <v/>
      </c>
    </row>
    <row r="1300">
      <c r="A1300" t="n">
        <v>1299</v>
      </c>
      <c r="B1300" s="1" t="n">
        <v>45084</v>
      </c>
      <c r="C1300" s="5" t="inlineStr">
        <is>
          <t>M2</t>
        </is>
      </c>
      <c r="D1300" s="5" t="n">
        <v>3</v>
      </c>
      <c r="E1300" s="5" t="n">
        <v>228</v>
      </c>
      <c r="F1300" t="inlineStr">
        <is>
          <t>Продажа</t>
        </is>
      </c>
      <c r="H1300">
        <f>VLOOKUP(C1300,Магазин!$A$2:$C$1000,2,0)</f>
        <v/>
      </c>
      <c r="I1300">
        <f>VLOOKUP(D1300,Товар!$A$2:$F$1000,3,0)</f>
        <v/>
      </c>
      <c r="J1300">
        <f>VLOOKUP(D1300,Товар!$A$2:$F$1000,5,0)</f>
        <v/>
      </c>
      <c r="K1300">
        <f>IF(AND(H1300="Промышленный",LEFT(I1300,18)="Порошок стиральный",F1300="Продажа",B1300=DATE(2023,6,7)),E1300*J1300/1000,0)</f>
        <v/>
      </c>
    </row>
    <row r="1301">
      <c r="A1301" t="n">
        <v>1300</v>
      </c>
      <c r="B1301" s="1" t="n">
        <v>45084</v>
      </c>
      <c r="C1301" s="5" t="inlineStr">
        <is>
          <t>M2</t>
        </is>
      </c>
      <c r="D1301" s="5" t="n">
        <v>4</v>
      </c>
      <c r="E1301" s="5" t="n">
        <v>217</v>
      </c>
      <c r="F1301" t="inlineStr">
        <is>
          <t>Продажа</t>
        </is>
      </c>
      <c r="H1301">
        <f>VLOOKUP(C1301,Магазин!$A$2:$C$1000,2,0)</f>
        <v/>
      </c>
      <c r="I1301">
        <f>VLOOKUP(D1301,Товар!$A$2:$F$1000,3,0)</f>
        <v/>
      </c>
      <c r="J1301">
        <f>VLOOKUP(D1301,Товар!$A$2:$F$1000,5,0)</f>
        <v/>
      </c>
      <c r="K1301">
        <f>IF(AND(H1301="Промышленный",LEFT(I1301,18)="Порошок стиральный",F1301="Продажа",B1301=DATE(2023,6,7)),E1301*J1301/1000,0)</f>
        <v/>
      </c>
    </row>
    <row r="1302">
      <c r="A1302" t="n">
        <v>1301</v>
      </c>
      <c r="B1302" s="1" t="n">
        <v>45084</v>
      </c>
      <c r="C1302" s="5" t="inlineStr">
        <is>
          <t>M2</t>
        </is>
      </c>
      <c r="D1302" s="5" t="n">
        <v>5</v>
      </c>
      <c r="E1302" s="5" t="n">
        <v>258</v>
      </c>
      <c r="F1302" t="inlineStr">
        <is>
          <t>Продажа</t>
        </is>
      </c>
      <c r="H1302">
        <f>VLOOKUP(C1302,Магазин!$A$2:$C$1000,2,0)</f>
        <v/>
      </c>
      <c r="I1302">
        <f>VLOOKUP(D1302,Товар!$A$2:$F$1000,3,0)</f>
        <v/>
      </c>
      <c r="J1302">
        <f>VLOOKUP(D1302,Товар!$A$2:$F$1000,5,0)</f>
        <v/>
      </c>
      <c r="K1302">
        <f>IF(AND(H1302="Промышленный",LEFT(I1302,18)="Порошок стиральный",F1302="Продажа",B1302=DATE(2023,6,7)),E1302*J1302/1000,0)</f>
        <v/>
      </c>
    </row>
    <row r="1303">
      <c r="A1303" t="n">
        <v>1302</v>
      </c>
      <c r="B1303" s="1" t="n">
        <v>45084</v>
      </c>
      <c r="C1303" s="5" t="inlineStr">
        <is>
          <t>M2</t>
        </is>
      </c>
      <c r="D1303" s="5" t="n">
        <v>6</v>
      </c>
      <c r="E1303" s="5" t="n">
        <v>199</v>
      </c>
      <c r="F1303" t="inlineStr">
        <is>
          <t>Продажа</t>
        </is>
      </c>
      <c r="H1303">
        <f>VLOOKUP(C1303,Магазин!$A$2:$C$1000,2,0)</f>
        <v/>
      </c>
      <c r="I1303">
        <f>VLOOKUP(D1303,Товар!$A$2:$F$1000,3,0)</f>
        <v/>
      </c>
      <c r="J1303">
        <f>VLOOKUP(D1303,Товар!$A$2:$F$1000,5,0)</f>
        <v/>
      </c>
      <c r="K1303">
        <f>IF(AND(H1303="Промышленный",LEFT(I1303,18)="Порошок стиральный",F1303="Продажа",B1303=DATE(2023,6,7)),E1303*J1303/1000,0)</f>
        <v/>
      </c>
    </row>
    <row r="1304">
      <c r="A1304" t="n">
        <v>1303</v>
      </c>
      <c r="B1304" s="1" t="n">
        <v>45084</v>
      </c>
      <c r="C1304" s="5" t="inlineStr">
        <is>
          <t>M2</t>
        </is>
      </c>
      <c r="D1304" s="5" t="n">
        <v>7</v>
      </c>
      <c r="E1304" s="5" t="n">
        <v>248</v>
      </c>
      <c r="F1304" t="inlineStr">
        <is>
          <t>Продажа</t>
        </is>
      </c>
      <c r="H1304">
        <f>VLOOKUP(C1304,Магазин!$A$2:$C$1000,2,0)</f>
        <v/>
      </c>
      <c r="I1304">
        <f>VLOOKUP(D1304,Товар!$A$2:$F$1000,3,0)</f>
        <v/>
      </c>
      <c r="J1304">
        <f>VLOOKUP(D1304,Товар!$A$2:$F$1000,5,0)</f>
        <v/>
      </c>
      <c r="K1304">
        <f>IF(AND(H1304="Промышленный",LEFT(I1304,18)="Порошок стиральный",F1304="Продажа",B1304=DATE(2023,6,7)),E1304*J1304/1000,0)</f>
        <v/>
      </c>
    </row>
    <row r="1305">
      <c r="A1305" t="n">
        <v>1304</v>
      </c>
      <c r="B1305" s="1" t="n">
        <v>45084</v>
      </c>
      <c r="C1305" s="5" t="inlineStr">
        <is>
          <t>M2</t>
        </is>
      </c>
      <c r="D1305" s="5" t="n">
        <v>8</v>
      </c>
      <c r="E1305" s="5" t="n">
        <v>236</v>
      </c>
      <c r="F1305" t="inlineStr">
        <is>
          <t>Продажа</t>
        </is>
      </c>
      <c r="H1305">
        <f>VLOOKUP(C1305,Магазин!$A$2:$C$1000,2,0)</f>
        <v/>
      </c>
      <c r="I1305">
        <f>VLOOKUP(D1305,Товар!$A$2:$F$1000,3,0)</f>
        <v/>
      </c>
      <c r="J1305">
        <f>VLOOKUP(D1305,Товар!$A$2:$F$1000,5,0)</f>
        <v/>
      </c>
      <c r="K1305">
        <f>IF(AND(H1305="Промышленный",LEFT(I1305,18)="Порошок стиральный",F1305="Продажа",B1305=DATE(2023,6,7)),E1305*J1305/1000,0)</f>
        <v/>
      </c>
    </row>
    <row r="1306">
      <c r="A1306" t="n">
        <v>1305</v>
      </c>
      <c r="B1306" s="1" t="n">
        <v>45084</v>
      </c>
      <c r="C1306" s="5" t="inlineStr">
        <is>
          <t>M2</t>
        </is>
      </c>
      <c r="D1306" s="5" t="n">
        <v>9</v>
      </c>
      <c r="E1306" s="5" t="n">
        <v>287</v>
      </c>
      <c r="F1306" t="inlineStr">
        <is>
          <t>Продажа</t>
        </is>
      </c>
      <c r="H1306">
        <f>VLOOKUP(C1306,Магазин!$A$2:$C$1000,2,0)</f>
        <v/>
      </c>
      <c r="I1306">
        <f>VLOOKUP(D1306,Товар!$A$2:$F$1000,3,0)</f>
        <v/>
      </c>
      <c r="J1306">
        <f>VLOOKUP(D1306,Товар!$A$2:$F$1000,5,0)</f>
        <v/>
      </c>
      <c r="K1306">
        <f>IF(AND(H1306="Промышленный",LEFT(I1306,18)="Порошок стиральный",F1306="Продажа",B1306=DATE(2023,6,7)),E1306*J1306/1000,0)</f>
        <v/>
      </c>
    </row>
    <row r="1307">
      <c r="A1307" t="n">
        <v>1306</v>
      </c>
      <c r="B1307" s="1" t="n">
        <v>45084</v>
      </c>
      <c r="C1307" s="5" t="inlineStr">
        <is>
          <t>M2</t>
        </is>
      </c>
      <c r="D1307" s="5" t="n">
        <v>10</v>
      </c>
      <c r="E1307" s="5" t="n">
        <v>265</v>
      </c>
      <c r="F1307" t="inlineStr">
        <is>
          <t>Продажа</t>
        </is>
      </c>
      <c r="H1307">
        <f>VLOOKUP(C1307,Магазин!$A$2:$C$1000,2,0)</f>
        <v/>
      </c>
      <c r="I1307">
        <f>VLOOKUP(D1307,Товар!$A$2:$F$1000,3,0)</f>
        <v/>
      </c>
      <c r="J1307">
        <f>VLOOKUP(D1307,Товар!$A$2:$F$1000,5,0)</f>
        <v/>
      </c>
      <c r="K1307">
        <f>IF(AND(H1307="Промышленный",LEFT(I1307,18)="Порошок стиральный",F1307="Продажа",B1307=DATE(2023,6,7)),E1307*J1307/1000,0)</f>
        <v/>
      </c>
    </row>
    <row r="1308">
      <c r="A1308" t="n">
        <v>1307</v>
      </c>
      <c r="B1308" s="1" t="n">
        <v>45084</v>
      </c>
      <c r="C1308" s="5" t="inlineStr">
        <is>
          <t>M2</t>
        </is>
      </c>
      <c r="D1308" s="5" t="n">
        <v>11</v>
      </c>
      <c r="E1308" s="5" t="n">
        <v>234</v>
      </c>
      <c r="F1308" t="inlineStr">
        <is>
          <t>Продажа</t>
        </is>
      </c>
      <c r="H1308">
        <f>VLOOKUP(C1308,Магазин!$A$2:$C$1000,2,0)</f>
        <v/>
      </c>
      <c r="I1308">
        <f>VLOOKUP(D1308,Товар!$A$2:$F$1000,3,0)</f>
        <v/>
      </c>
      <c r="J1308">
        <f>VLOOKUP(D1308,Товар!$A$2:$F$1000,5,0)</f>
        <v/>
      </c>
      <c r="K1308">
        <f>IF(AND(H1308="Промышленный",LEFT(I1308,18)="Порошок стиральный",F1308="Продажа",B1308=DATE(2023,6,7)),E1308*J1308/1000,0)</f>
        <v/>
      </c>
    </row>
    <row r="1309">
      <c r="A1309" t="n">
        <v>1308</v>
      </c>
      <c r="B1309" s="1" t="n">
        <v>45084</v>
      </c>
      <c r="C1309" s="5" t="inlineStr">
        <is>
          <t>M2</t>
        </is>
      </c>
      <c r="D1309" s="5" t="n">
        <v>12</v>
      </c>
      <c r="E1309" s="5" t="n">
        <v>258</v>
      </c>
      <c r="F1309" t="inlineStr">
        <is>
          <t>Продажа</t>
        </is>
      </c>
      <c r="H1309">
        <f>VLOOKUP(C1309,Магазин!$A$2:$C$1000,2,0)</f>
        <v/>
      </c>
      <c r="I1309">
        <f>VLOOKUP(D1309,Товар!$A$2:$F$1000,3,0)</f>
        <v/>
      </c>
      <c r="J1309">
        <f>VLOOKUP(D1309,Товар!$A$2:$F$1000,5,0)</f>
        <v/>
      </c>
      <c r="K1309">
        <f>IF(AND(H1309="Промышленный",LEFT(I1309,18)="Порошок стиральный",F1309="Продажа",B1309=DATE(2023,6,7)),E1309*J1309/1000,0)</f>
        <v/>
      </c>
    </row>
    <row r="1310">
      <c r="A1310" t="n">
        <v>1309</v>
      </c>
      <c r="B1310" s="1" t="n">
        <v>45084</v>
      </c>
      <c r="C1310" s="5" t="inlineStr">
        <is>
          <t>M2</t>
        </is>
      </c>
      <c r="D1310" s="5" t="n">
        <v>13</v>
      </c>
      <c r="E1310" s="5" t="n">
        <v>264</v>
      </c>
      <c r="F1310" t="inlineStr">
        <is>
          <t>Продажа</t>
        </is>
      </c>
      <c r="H1310">
        <f>VLOOKUP(C1310,Магазин!$A$2:$C$1000,2,0)</f>
        <v/>
      </c>
      <c r="I1310">
        <f>VLOOKUP(D1310,Товар!$A$2:$F$1000,3,0)</f>
        <v/>
      </c>
      <c r="J1310">
        <f>VLOOKUP(D1310,Товар!$A$2:$F$1000,5,0)</f>
        <v/>
      </c>
      <c r="K1310">
        <f>IF(AND(H1310="Промышленный",LEFT(I1310,18)="Порошок стиральный",F1310="Продажа",B1310=DATE(2023,6,7)),E1310*J1310/1000,0)</f>
        <v/>
      </c>
    </row>
    <row r="1311">
      <c r="A1311" t="n">
        <v>1310</v>
      </c>
      <c r="B1311" s="1" t="n">
        <v>45084</v>
      </c>
      <c r="C1311" s="5" t="inlineStr">
        <is>
          <t>M2</t>
        </is>
      </c>
      <c r="D1311" s="5" t="n">
        <v>14</v>
      </c>
      <c r="E1311" s="5" t="n">
        <v>237</v>
      </c>
      <c r="F1311" t="inlineStr">
        <is>
          <t>Продажа</t>
        </is>
      </c>
      <c r="H1311">
        <f>VLOOKUP(C1311,Магазин!$A$2:$C$1000,2,0)</f>
        <v/>
      </c>
      <c r="I1311">
        <f>VLOOKUP(D1311,Товар!$A$2:$F$1000,3,0)</f>
        <v/>
      </c>
      <c r="J1311">
        <f>VLOOKUP(D1311,Товар!$A$2:$F$1000,5,0)</f>
        <v/>
      </c>
      <c r="K1311">
        <f>IF(AND(H1311="Промышленный",LEFT(I1311,18)="Порошок стиральный",F1311="Продажа",B1311=DATE(2023,6,7)),E1311*J1311/1000,0)</f>
        <v/>
      </c>
    </row>
    <row r="1312">
      <c r="A1312" t="n">
        <v>1311</v>
      </c>
      <c r="B1312" s="1" t="n">
        <v>45084</v>
      </c>
      <c r="C1312" s="5" t="inlineStr">
        <is>
          <t>M2</t>
        </is>
      </c>
      <c r="D1312" s="5" t="n">
        <v>15</v>
      </c>
      <c r="E1312" s="5" t="n">
        <v>218</v>
      </c>
      <c r="F1312" t="inlineStr">
        <is>
          <t>Продажа</t>
        </is>
      </c>
      <c r="H1312">
        <f>VLOOKUP(C1312,Магазин!$A$2:$C$1000,2,0)</f>
        <v/>
      </c>
      <c r="I1312">
        <f>VLOOKUP(D1312,Товар!$A$2:$F$1000,3,0)</f>
        <v/>
      </c>
      <c r="J1312">
        <f>VLOOKUP(D1312,Товар!$A$2:$F$1000,5,0)</f>
        <v/>
      </c>
      <c r="K1312">
        <f>IF(AND(H1312="Промышленный",LEFT(I1312,18)="Порошок стиральный",F1312="Продажа",B1312=DATE(2023,6,7)),E1312*J1312/1000,0)</f>
        <v/>
      </c>
    </row>
    <row r="1313">
      <c r="A1313" t="n">
        <v>1312</v>
      </c>
      <c r="B1313" s="1" t="n">
        <v>45084</v>
      </c>
      <c r="C1313" s="5" t="inlineStr">
        <is>
          <t>M2</t>
        </is>
      </c>
      <c r="D1313" s="5" t="n">
        <v>16</v>
      </c>
      <c r="E1313" s="5" t="n">
        <v>249</v>
      </c>
      <c r="F1313" t="inlineStr">
        <is>
          <t>Продажа</t>
        </is>
      </c>
      <c r="H1313">
        <f>VLOOKUP(C1313,Магазин!$A$2:$C$1000,2,0)</f>
        <v/>
      </c>
      <c r="I1313">
        <f>VLOOKUP(D1313,Товар!$A$2:$F$1000,3,0)</f>
        <v/>
      </c>
      <c r="J1313">
        <f>VLOOKUP(D1313,Товар!$A$2:$F$1000,5,0)</f>
        <v/>
      </c>
      <c r="K1313">
        <f>IF(AND(H1313="Промышленный",LEFT(I1313,18)="Порошок стиральный",F1313="Продажа",B1313=DATE(2023,6,7)),E1313*J1313/1000,0)</f>
        <v/>
      </c>
    </row>
    <row r="1314">
      <c r="A1314" t="n">
        <v>1313</v>
      </c>
      <c r="B1314" s="1" t="n">
        <v>45084</v>
      </c>
      <c r="C1314" s="5" t="inlineStr">
        <is>
          <t>M2</t>
        </is>
      </c>
      <c r="D1314" s="5" t="n">
        <v>17</v>
      </c>
      <c r="E1314" s="5" t="n">
        <v>273</v>
      </c>
      <c r="F1314" t="inlineStr">
        <is>
          <t>Продажа</t>
        </is>
      </c>
      <c r="H1314">
        <f>VLOOKUP(C1314,Магазин!$A$2:$C$1000,2,0)</f>
        <v/>
      </c>
      <c r="I1314">
        <f>VLOOKUP(D1314,Товар!$A$2:$F$1000,3,0)</f>
        <v/>
      </c>
      <c r="J1314">
        <f>VLOOKUP(D1314,Товар!$A$2:$F$1000,5,0)</f>
        <v/>
      </c>
      <c r="K1314">
        <f>IF(AND(H1314="Промышленный",LEFT(I1314,18)="Порошок стиральный",F1314="Продажа",B1314=DATE(2023,6,7)),E1314*J1314/1000,0)</f>
        <v/>
      </c>
    </row>
    <row r="1315">
      <c r="A1315" t="n">
        <v>1314</v>
      </c>
      <c r="B1315" s="1" t="n">
        <v>45084</v>
      </c>
      <c r="C1315" s="5" t="inlineStr">
        <is>
          <t>M2</t>
        </is>
      </c>
      <c r="D1315" s="5" t="n">
        <v>18</v>
      </c>
      <c r="E1315" s="5" t="n">
        <v>284</v>
      </c>
      <c r="F1315" t="inlineStr">
        <is>
          <t>Продажа</t>
        </is>
      </c>
      <c r="H1315">
        <f>VLOOKUP(C1315,Магазин!$A$2:$C$1000,2,0)</f>
        <v/>
      </c>
      <c r="I1315">
        <f>VLOOKUP(D1315,Товар!$A$2:$F$1000,3,0)</f>
        <v/>
      </c>
      <c r="J1315">
        <f>VLOOKUP(D1315,Товар!$A$2:$F$1000,5,0)</f>
        <v/>
      </c>
      <c r="K1315">
        <f>IF(AND(H1315="Промышленный",LEFT(I1315,18)="Порошок стиральный",F1315="Продажа",B1315=DATE(2023,6,7)),E1315*J1315/1000,0)</f>
        <v/>
      </c>
    </row>
    <row r="1316">
      <c r="A1316" t="n">
        <v>1315</v>
      </c>
      <c r="B1316" s="1" t="n">
        <v>45084</v>
      </c>
      <c r="C1316" s="5" t="inlineStr">
        <is>
          <t>M2</t>
        </is>
      </c>
      <c r="D1316" s="5" t="n">
        <v>19</v>
      </c>
      <c r="E1316" s="5" t="n">
        <v>253</v>
      </c>
      <c r="F1316" t="inlineStr">
        <is>
          <t>Продажа</t>
        </is>
      </c>
      <c r="H1316">
        <f>VLOOKUP(C1316,Магазин!$A$2:$C$1000,2,0)</f>
        <v/>
      </c>
      <c r="I1316">
        <f>VLOOKUP(D1316,Товар!$A$2:$F$1000,3,0)</f>
        <v/>
      </c>
      <c r="J1316">
        <f>VLOOKUP(D1316,Товар!$A$2:$F$1000,5,0)</f>
        <v/>
      </c>
      <c r="K1316">
        <f>IF(AND(H1316="Промышленный",LEFT(I1316,18)="Порошок стиральный",F1316="Продажа",B1316=DATE(2023,6,7)),E1316*J1316/1000,0)</f>
        <v/>
      </c>
    </row>
    <row r="1317">
      <c r="A1317" t="n">
        <v>1316</v>
      </c>
      <c r="B1317" s="1" t="n">
        <v>45084</v>
      </c>
      <c r="C1317" s="5" t="inlineStr">
        <is>
          <t>M2</t>
        </is>
      </c>
      <c r="D1317" s="5" t="n">
        <v>20</v>
      </c>
      <c r="E1317" s="5" t="n">
        <v>261</v>
      </c>
      <c r="F1317" t="inlineStr">
        <is>
          <t>Продажа</t>
        </is>
      </c>
      <c r="H1317">
        <f>VLOOKUP(C1317,Магазин!$A$2:$C$1000,2,0)</f>
        <v/>
      </c>
      <c r="I1317">
        <f>VLOOKUP(D1317,Товар!$A$2:$F$1000,3,0)</f>
        <v/>
      </c>
      <c r="J1317">
        <f>VLOOKUP(D1317,Товар!$A$2:$F$1000,5,0)</f>
        <v/>
      </c>
      <c r="K1317">
        <f>IF(AND(H1317="Промышленный",LEFT(I1317,18)="Порошок стиральный",F1317="Продажа",B1317=DATE(2023,6,7)),E1317*J1317/1000,0)</f>
        <v/>
      </c>
    </row>
    <row r="1318">
      <c r="A1318" t="n">
        <v>1317</v>
      </c>
      <c r="B1318" s="1" t="n">
        <v>45084</v>
      </c>
      <c r="C1318" s="5" t="inlineStr">
        <is>
          <t>M2</t>
        </is>
      </c>
      <c r="D1318" s="5" t="n">
        <v>21</v>
      </c>
      <c r="E1318" s="5" t="n">
        <v>276</v>
      </c>
      <c r="F1318" t="inlineStr">
        <is>
          <t>Продажа</t>
        </is>
      </c>
      <c r="H1318">
        <f>VLOOKUP(C1318,Магазин!$A$2:$C$1000,2,0)</f>
        <v/>
      </c>
      <c r="I1318">
        <f>VLOOKUP(D1318,Товар!$A$2:$F$1000,3,0)</f>
        <v/>
      </c>
      <c r="J1318">
        <f>VLOOKUP(D1318,Товар!$A$2:$F$1000,5,0)</f>
        <v/>
      </c>
      <c r="K1318">
        <f>IF(AND(H1318="Промышленный",LEFT(I1318,18)="Порошок стиральный",F1318="Продажа",B1318=DATE(2023,6,7)),E1318*J1318/1000,0)</f>
        <v/>
      </c>
    </row>
    <row r="1319">
      <c r="A1319" t="n">
        <v>1318</v>
      </c>
      <c r="B1319" s="1" t="n">
        <v>45084</v>
      </c>
      <c r="C1319" s="5" t="inlineStr">
        <is>
          <t>M2</t>
        </is>
      </c>
      <c r="D1319" s="5" t="n">
        <v>22</v>
      </c>
      <c r="E1319" s="5" t="n">
        <v>248</v>
      </c>
      <c r="F1319" t="inlineStr">
        <is>
          <t>Продажа</t>
        </is>
      </c>
      <c r="H1319">
        <f>VLOOKUP(C1319,Магазин!$A$2:$C$1000,2,0)</f>
        <v/>
      </c>
      <c r="I1319">
        <f>VLOOKUP(D1319,Товар!$A$2:$F$1000,3,0)</f>
        <v/>
      </c>
      <c r="J1319">
        <f>VLOOKUP(D1319,Товар!$A$2:$F$1000,5,0)</f>
        <v/>
      </c>
      <c r="K1319">
        <f>IF(AND(H1319="Промышленный",LEFT(I1319,18)="Порошок стиральный",F1319="Продажа",B1319=DATE(2023,6,7)),E1319*J1319/1000,0)</f>
        <v/>
      </c>
    </row>
    <row r="1320">
      <c r="A1320" t="n">
        <v>1319</v>
      </c>
      <c r="B1320" s="1" t="n">
        <v>45084</v>
      </c>
      <c r="C1320" s="5" t="inlineStr">
        <is>
          <t>M2</t>
        </is>
      </c>
      <c r="D1320" s="5" t="n">
        <v>23</v>
      </c>
      <c r="E1320" s="5" t="n">
        <v>249</v>
      </c>
      <c r="F1320" t="inlineStr">
        <is>
          <t>Продажа</t>
        </is>
      </c>
      <c r="H1320">
        <f>VLOOKUP(C1320,Магазин!$A$2:$C$1000,2,0)</f>
        <v/>
      </c>
      <c r="I1320">
        <f>VLOOKUP(D1320,Товар!$A$2:$F$1000,3,0)</f>
        <v/>
      </c>
      <c r="J1320">
        <f>VLOOKUP(D1320,Товар!$A$2:$F$1000,5,0)</f>
        <v/>
      </c>
      <c r="K1320">
        <f>IF(AND(H1320="Промышленный",LEFT(I1320,18)="Порошок стиральный",F1320="Продажа",B1320=DATE(2023,6,7)),E1320*J1320/1000,0)</f>
        <v/>
      </c>
    </row>
    <row r="1321">
      <c r="A1321" t="n">
        <v>1320</v>
      </c>
      <c r="B1321" s="1" t="n">
        <v>45084</v>
      </c>
      <c r="C1321" s="5" t="inlineStr">
        <is>
          <t>M2</t>
        </is>
      </c>
      <c r="D1321" s="5" t="n">
        <v>24</v>
      </c>
      <c r="E1321" s="5" t="n">
        <v>234</v>
      </c>
      <c r="F1321" t="inlineStr">
        <is>
          <t>Продажа</t>
        </is>
      </c>
      <c r="H1321">
        <f>VLOOKUP(C1321,Магазин!$A$2:$C$1000,2,0)</f>
        <v/>
      </c>
      <c r="I1321">
        <f>VLOOKUP(D1321,Товар!$A$2:$F$1000,3,0)</f>
        <v/>
      </c>
      <c r="J1321">
        <f>VLOOKUP(D1321,Товар!$A$2:$F$1000,5,0)</f>
        <v/>
      </c>
      <c r="K1321">
        <f>IF(AND(H1321="Промышленный",LEFT(I1321,18)="Порошок стиральный",F1321="Продажа",B1321=DATE(2023,6,7)),E1321*J1321/1000,0)</f>
        <v/>
      </c>
    </row>
    <row r="1322">
      <c r="A1322" t="n">
        <v>1321</v>
      </c>
      <c r="B1322" s="1" t="n">
        <v>45084</v>
      </c>
      <c r="C1322" s="5" t="inlineStr">
        <is>
          <t>M2</t>
        </is>
      </c>
      <c r="D1322" s="5" t="n">
        <v>25</v>
      </c>
      <c r="E1322" s="5" t="n">
        <v>238</v>
      </c>
      <c r="F1322" t="inlineStr">
        <is>
          <t>Продажа</t>
        </is>
      </c>
      <c r="H1322">
        <f>VLOOKUP(C1322,Магазин!$A$2:$C$1000,2,0)</f>
        <v/>
      </c>
      <c r="I1322">
        <f>VLOOKUP(D1322,Товар!$A$2:$F$1000,3,0)</f>
        <v/>
      </c>
      <c r="J1322">
        <f>VLOOKUP(D1322,Товар!$A$2:$F$1000,5,0)</f>
        <v/>
      </c>
      <c r="K1322">
        <f>IF(AND(H1322="Промышленный",LEFT(I1322,18)="Порошок стиральный",F1322="Продажа",B1322=DATE(2023,6,7)),E1322*J1322/1000,0)</f>
        <v/>
      </c>
    </row>
    <row r="1323">
      <c r="A1323" t="n">
        <v>1322</v>
      </c>
      <c r="B1323" s="1" t="n">
        <v>45084</v>
      </c>
      <c r="C1323" s="5" t="inlineStr">
        <is>
          <t>M2</t>
        </is>
      </c>
      <c r="D1323" s="5" t="n">
        <v>26</v>
      </c>
      <c r="E1323" s="5" t="n">
        <v>295</v>
      </c>
      <c r="F1323" t="inlineStr">
        <is>
          <t>Продажа</t>
        </is>
      </c>
      <c r="H1323">
        <f>VLOOKUP(C1323,Магазин!$A$2:$C$1000,2,0)</f>
        <v/>
      </c>
      <c r="I1323">
        <f>VLOOKUP(D1323,Товар!$A$2:$F$1000,3,0)</f>
        <v/>
      </c>
      <c r="J1323">
        <f>VLOOKUP(D1323,Товар!$A$2:$F$1000,5,0)</f>
        <v/>
      </c>
      <c r="K1323">
        <f>IF(AND(H1323="Промышленный",LEFT(I1323,18)="Порошок стиральный",F1323="Продажа",B1323=DATE(2023,6,7)),E1323*J1323/1000,0)</f>
        <v/>
      </c>
    </row>
    <row r="1324">
      <c r="A1324" t="n">
        <v>1323</v>
      </c>
      <c r="B1324" s="1" t="n">
        <v>45084</v>
      </c>
      <c r="C1324" s="5" t="inlineStr">
        <is>
          <t>M2</t>
        </is>
      </c>
      <c r="D1324" s="5" t="n">
        <v>27</v>
      </c>
      <c r="E1324" s="5" t="n">
        <v>211</v>
      </c>
      <c r="F1324" t="inlineStr">
        <is>
          <t>Продажа</t>
        </is>
      </c>
      <c r="H1324">
        <f>VLOOKUP(C1324,Магазин!$A$2:$C$1000,2,0)</f>
        <v/>
      </c>
      <c r="I1324">
        <f>VLOOKUP(D1324,Товар!$A$2:$F$1000,3,0)</f>
        <v/>
      </c>
      <c r="J1324">
        <f>VLOOKUP(D1324,Товар!$A$2:$F$1000,5,0)</f>
        <v/>
      </c>
      <c r="K1324">
        <f>IF(AND(H1324="Промышленный",LEFT(I1324,18)="Порошок стиральный",F1324="Продажа",B1324=DATE(2023,6,7)),E1324*J1324/1000,0)</f>
        <v/>
      </c>
    </row>
    <row r="1325">
      <c r="A1325" t="n">
        <v>1324</v>
      </c>
      <c r="B1325" s="1" t="n">
        <v>45084</v>
      </c>
      <c r="C1325" s="5" t="inlineStr">
        <is>
          <t>M2</t>
        </is>
      </c>
      <c r="D1325" s="5" t="n">
        <v>28</v>
      </c>
      <c r="E1325" s="5" t="n">
        <v>233</v>
      </c>
      <c r="F1325" t="inlineStr">
        <is>
          <t>Продажа</t>
        </is>
      </c>
      <c r="H1325">
        <f>VLOOKUP(C1325,Магазин!$A$2:$C$1000,2,0)</f>
        <v/>
      </c>
      <c r="I1325">
        <f>VLOOKUP(D1325,Товар!$A$2:$F$1000,3,0)</f>
        <v/>
      </c>
      <c r="J1325">
        <f>VLOOKUP(D1325,Товар!$A$2:$F$1000,5,0)</f>
        <v/>
      </c>
      <c r="K1325">
        <f>IF(AND(H1325="Промышленный",LEFT(I1325,18)="Порошок стиральный",F1325="Продажа",B1325=DATE(2023,6,7)),E1325*J1325/1000,0)</f>
        <v/>
      </c>
    </row>
    <row r="1326">
      <c r="A1326" t="n">
        <v>1325</v>
      </c>
      <c r="B1326" s="1" t="n">
        <v>45084</v>
      </c>
      <c r="C1326" s="5" t="inlineStr">
        <is>
          <t>M2</t>
        </is>
      </c>
      <c r="D1326" s="5" t="n">
        <v>29</v>
      </c>
      <c r="E1326" s="5" t="n">
        <v>244</v>
      </c>
      <c r="F1326" t="inlineStr">
        <is>
          <t>Продажа</t>
        </is>
      </c>
      <c r="H1326">
        <f>VLOOKUP(C1326,Магазин!$A$2:$C$1000,2,0)</f>
        <v/>
      </c>
      <c r="I1326">
        <f>VLOOKUP(D1326,Товар!$A$2:$F$1000,3,0)</f>
        <v/>
      </c>
      <c r="J1326">
        <f>VLOOKUP(D1326,Товар!$A$2:$F$1000,5,0)</f>
        <v/>
      </c>
      <c r="K1326">
        <f>IF(AND(H1326="Промышленный",LEFT(I1326,18)="Порошок стиральный",F1326="Продажа",B1326=DATE(2023,6,7)),E1326*J1326/1000,0)</f>
        <v/>
      </c>
    </row>
    <row r="1327">
      <c r="A1327" t="n">
        <v>1326</v>
      </c>
      <c r="B1327" s="1" t="n">
        <v>45084</v>
      </c>
      <c r="C1327" s="5" t="inlineStr">
        <is>
          <t>M2</t>
        </is>
      </c>
      <c r="D1327" s="5" t="n">
        <v>30</v>
      </c>
      <c r="E1327" s="5" t="n">
        <v>255</v>
      </c>
      <c r="F1327" t="inlineStr">
        <is>
          <t>Продажа</t>
        </is>
      </c>
      <c r="H1327">
        <f>VLOOKUP(C1327,Магазин!$A$2:$C$1000,2,0)</f>
        <v/>
      </c>
      <c r="I1327">
        <f>VLOOKUP(D1327,Товар!$A$2:$F$1000,3,0)</f>
        <v/>
      </c>
      <c r="J1327">
        <f>VLOOKUP(D1327,Товар!$A$2:$F$1000,5,0)</f>
        <v/>
      </c>
      <c r="K1327">
        <f>IF(AND(H1327="Промышленный",LEFT(I1327,18)="Порошок стиральный",F1327="Продажа",B1327=DATE(2023,6,7)),E1327*J1327/1000,0)</f>
        <v/>
      </c>
    </row>
    <row r="1328">
      <c r="A1328" t="n">
        <v>1327</v>
      </c>
      <c r="B1328" s="1" t="n">
        <v>45084</v>
      </c>
      <c r="C1328" s="5" t="inlineStr">
        <is>
          <t>M2</t>
        </is>
      </c>
      <c r="D1328" s="5" t="n">
        <v>31</v>
      </c>
      <c r="E1328" s="5" t="n">
        <v>266</v>
      </c>
      <c r="F1328" t="inlineStr">
        <is>
          <t>Продажа</t>
        </is>
      </c>
      <c r="H1328">
        <f>VLOOKUP(C1328,Магазин!$A$2:$C$1000,2,0)</f>
        <v/>
      </c>
      <c r="I1328">
        <f>VLOOKUP(D1328,Товар!$A$2:$F$1000,3,0)</f>
        <v/>
      </c>
      <c r="J1328">
        <f>VLOOKUP(D1328,Товар!$A$2:$F$1000,5,0)</f>
        <v/>
      </c>
      <c r="K1328">
        <f>IF(AND(H1328="Промышленный",LEFT(I1328,18)="Порошок стиральный",F1328="Продажа",B1328=DATE(2023,6,7)),E1328*J1328/1000,0)</f>
        <v/>
      </c>
    </row>
    <row r="1329">
      <c r="A1329" t="n">
        <v>1328</v>
      </c>
      <c r="B1329" s="1" t="n">
        <v>45084</v>
      </c>
      <c r="C1329" s="5" t="inlineStr">
        <is>
          <t>M2</t>
        </is>
      </c>
      <c r="D1329" s="5" t="n">
        <v>32</v>
      </c>
      <c r="E1329" s="5" t="n">
        <v>277</v>
      </c>
      <c r="F1329" t="inlineStr">
        <is>
          <t>Продажа</t>
        </is>
      </c>
      <c r="H1329">
        <f>VLOOKUP(C1329,Магазин!$A$2:$C$1000,2,0)</f>
        <v/>
      </c>
      <c r="I1329">
        <f>VLOOKUP(D1329,Товар!$A$2:$F$1000,3,0)</f>
        <v/>
      </c>
      <c r="J1329">
        <f>VLOOKUP(D1329,Товар!$A$2:$F$1000,5,0)</f>
        <v/>
      </c>
      <c r="K1329">
        <f>IF(AND(H1329="Промышленный",LEFT(I1329,18)="Порошок стиральный",F1329="Продажа",B1329=DATE(2023,6,7)),E1329*J1329/1000,0)</f>
        <v/>
      </c>
    </row>
    <row r="1330">
      <c r="A1330" t="n">
        <v>1329</v>
      </c>
      <c r="B1330" s="1" t="n">
        <v>45084</v>
      </c>
      <c r="C1330" s="5" t="inlineStr">
        <is>
          <t>M2</t>
        </is>
      </c>
      <c r="D1330" s="5" t="n">
        <v>33</v>
      </c>
      <c r="E1330" s="5" t="n">
        <v>288</v>
      </c>
      <c r="F1330" t="inlineStr">
        <is>
          <t>Продажа</t>
        </is>
      </c>
      <c r="H1330">
        <f>VLOOKUP(C1330,Магазин!$A$2:$C$1000,2,0)</f>
        <v/>
      </c>
      <c r="I1330">
        <f>VLOOKUP(D1330,Товар!$A$2:$F$1000,3,0)</f>
        <v/>
      </c>
      <c r="J1330">
        <f>VLOOKUP(D1330,Товар!$A$2:$F$1000,5,0)</f>
        <v/>
      </c>
      <c r="K1330">
        <f>IF(AND(H1330="Промышленный",LEFT(I1330,18)="Порошок стиральный",F1330="Продажа",B1330=DATE(2023,6,7)),E1330*J1330/1000,0)</f>
        <v/>
      </c>
    </row>
    <row r="1331">
      <c r="A1331" t="n">
        <v>1330</v>
      </c>
      <c r="B1331" s="1" t="n">
        <v>45084</v>
      </c>
      <c r="C1331" s="5" t="inlineStr">
        <is>
          <t>M2</t>
        </is>
      </c>
      <c r="D1331" s="5" t="n">
        <v>34</v>
      </c>
      <c r="E1331" s="5" t="n">
        <v>299</v>
      </c>
      <c r="F1331" t="inlineStr">
        <is>
          <t>Продажа</t>
        </is>
      </c>
      <c r="H1331">
        <f>VLOOKUP(C1331,Магазин!$A$2:$C$1000,2,0)</f>
        <v/>
      </c>
      <c r="I1331">
        <f>VLOOKUP(D1331,Товар!$A$2:$F$1000,3,0)</f>
        <v/>
      </c>
      <c r="J1331">
        <f>VLOOKUP(D1331,Товар!$A$2:$F$1000,5,0)</f>
        <v/>
      </c>
      <c r="K1331">
        <f>IF(AND(H1331="Промышленный",LEFT(I1331,18)="Порошок стиральный",F1331="Продажа",B1331=DATE(2023,6,7)),E1331*J1331/1000,0)</f>
        <v/>
      </c>
    </row>
    <row r="1332">
      <c r="A1332" t="n">
        <v>1331</v>
      </c>
      <c r="B1332" s="1" t="n">
        <v>45084</v>
      </c>
      <c r="C1332" s="5" t="inlineStr">
        <is>
          <t>M2</t>
        </is>
      </c>
      <c r="D1332" s="5" t="n">
        <v>35</v>
      </c>
      <c r="E1332" s="5" t="n">
        <v>201</v>
      </c>
      <c r="F1332" t="inlineStr">
        <is>
          <t>Продажа</t>
        </is>
      </c>
      <c r="H1332">
        <f>VLOOKUP(C1332,Магазин!$A$2:$C$1000,2,0)</f>
        <v/>
      </c>
      <c r="I1332">
        <f>VLOOKUP(D1332,Товар!$A$2:$F$1000,3,0)</f>
        <v/>
      </c>
      <c r="J1332">
        <f>VLOOKUP(D1332,Товар!$A$2:$F$1000,5,0)</f>
        <v/>
      </c>
      <c r="K1332">
        <f>IF(AND(H1332="Промышленный",LEFT(I1332,18)="Порошок стиральный",F1332="Продажа",B1332=DATE(2023,6,7)),E1332*J1332/1000,0)</f>
        <v/>
      </c>
    </row>
    <row r="1333">
      <c r="A1333" t="n">
        <v>1332</v>
      </c>
      <c r="B1333" s="1" t="n">
        <v>45084</v>
      </c>
      <c r="C1333" s="5" t="inlineStr">
        <is>
          <t>M2</t>
        </is>
      </c>
      <c r="D1333" s="5" t="n">
        <v>36</v>
      </c>
      <c r="E1333" s="5" t="n">
        <v>205</v>
      </c>
      <c r="F1333" t="inlineStr">
        <is>
          <t>Продажа</t>
        </is>
      </c>
      <c r="H1333">
        <f>VLOOKUP(C1333,Магазин!$A$2:$C$1000,2,0)</f>
        <v/>
      </c>
      <c r="I1333">
        <f>VLOOKUP(D1333,Товар!$A$2:$F$1000,3,0)</f>
        <v/>
      </c>
      <c r="J1333">
        <f>VLOOKUP(D1333,Товар!$A$2:$F$1000,5,0)</f>
        <v/>
      </c>
      <c r="K1333">
        <f>IF(AND(H1333="Промышленный",LEFT(I1333,18)="Порошок стиральный",F1333="Продажа",B1333=DATE(2023,6,7)),E1333*J1333/1000,0)</f>
        <v/>
      </c>
    </row>
    <row r="1334">
      <c r="A1334" t="n">
        <v>1333</v>
      </c>
      <c r="B1334" s="1" t="n">
        <v>45084</v>
      </c>
      <c r="C1334" s="5" t="inlineStr">
        <is>
          <t>M4</t>
        </is>
      </c>
      <c r="D1334" s="5" t="n">
        <v>1</v>
      </c>
      <c r="E1334" s="5" t="n">
        <v>357</v>
      </c>
      <c r="F1334" t="inlineStr">
        <is>
          <t>Продажа</t>
        </is>
      </c>
      <c r="H1334">
        <f>VLOOKUP(C1334,Магазин!$A$2:$C$1000,2,0)</f>
        <v/>
      </c>
      <c r="I1334">
        <f>VLOOKUP(D1334,Товар!$A$2:$F$1000,3,0)</f>
        <v/>
      </c>
      <c r="J1334">
        <f>VLOOKUP(D1334,Товар!$A$2:$F$1000,5,0)</f>
        <v/>
      </c>
      <c r="K1334">
        <f>IF(AND(H1334="Промышленный",LEFT(I1334,18)="Порошок стиральный",F1334="Продажа",B1334=DATE(2023,6,7)),E1334*J1334/1000,0)</f>
        <v/>
      </c>
    </row>
    <row r="1335">
      <c r="A1335" t="n">
        <v>1334</v>
      </c>
      <c r="B1335" s="1" t="n">
        <v>45084</v>
      </c>
      <c r="C1335" s="5" t="inlineStr">
        <is>
          <t>M4</t>
        </is>
      </c>
      <c r="D1335" s="5" t="n">
        <v>2</v>
      </c>
      <c r="E1335" s="5" t="n">
        <v>268</v>
      </c>
      <c r="F1335" t="inlineStr">
        <is>
          <t>Продажа</t>
        </is>
      </c>
      <c r="H1335">
        <f>VLOOKUP(C1335,Магазин!$A$2:$C$1000,2,0)</f>
        <v/>
      </c>
      <c r="I1335">
        <f>VLOOKUP(D1335,Товар!$A$2:$F$1000,3,0)</f>
        <v/>
      </c>
      <c r="J1335">
        <f>VLOOKUP(D1335,Товар!$A$2:$F$1000,5,0)</f>
        <v/>
      </c>
      <c r="K1335">
        <f>IF(AND(H1335="Промышленный",LEFT(I1335,18)="Порошок стиральный",F1335="Продажа",B1335=DATE(2023,6,7)),E1335*J1335/1000,0)</f>
        <v/>
      </c>
    </row>
    <row r="1336">
      <c r="A1336" t="n">
        <v>1335</v>
      </c>
      <c r="B1336" s="1" t="n">
        <v>45084</v>
      </c>
      <c r="C1336" s="5" t="inlineStr">
        <is>
          <t>M4</t>
        </is>
      </c>
      <c r="D1336" s="5" t="n">
        <v>3</v>
      </c>
      <c r="E1336" s="5" t="n">
        <v>279</v>
      </c>
      <c r="F1336" t="inlineStr">
        <is>
          <t>Продажа</t>
        </is>
      </c>
      <c r="H1336">
        <f>VLOOKUP(C1336,Магазин!$A$2:$C$1000,2,0)</f>
        <v/>
      </c>
      <c r="I1336">
        <f>VLOOKUP(D1336,Товар!$A$2:$F$1000,3,0)</f>
        <v/>
      </c>
      <c r="J1336">
        <f>VLOOKUP(D1336,Товар!$A$2:$F$1000,5,0)</f>
        <v/>
      </c>
      <c r="K1336">
        <f>IF(AND(H1336="Промышленный",LEFT(I1336,18)="Порошок стиральный",F1336="Продажа",B1336=DATE(2023,6,7)),E1336*J1336/1000,0)</f>
        <v/>
      </c>
    </row>
    <row r="1337">
      <c r="A1337" t="n">
        <v>1336</v>
      </c>
      <c r="B1337" s="1" t="n">
        <v>45084</v>
      </c>
      <c r="C1337" s="5" t="inlineStr">
        <is>
          <t>M4</t>
        </is>
      </c>
      <c r="D1337" s="5" t="n">
        <v>4</v>
      </c>
      <c r="E1337" s="5" t="n">
        <v>281</v>
      </c>
      <c r="F1337" t="inlineStr">
        <is>
          <t>Продажа</t>
        </is>
      </c>
      <c r="H1337">
        <f>VLOOKUP(C1337,Магазин!$A$2:$C$1000,2,0)</f>
        <v/>
      </c>
      <c r="I1337">
        <f>VLOOKUP(D1337,Товар!$A$2:$F$1000,3,0)</f>
        <v/>
      </c>
      <c r="J1337">
        <f>VLOOKUP(D1337,Товар!$A$2:$F$1000,5,0)</f>
        <v/>
      </c>
      <c r="K1337">
        <f>IF(AND(H1337="Промышленный",LEFT(I1337,18)="Порошок стиральный",F1337="Продажа",B1337=DATE(2023,6,7)),E1337*J1337/1000,0)</f>
        <v/>
      </c>
    </row>
    <row r="1338">
      <c r="A1338" t="n">
        <v>1337</v>
      </c>
      <c r="B1338" s="1" t="n">
        <v>45084</v>
      </c>
      <c r="C1338" s="5" t="inlineStr">
        <is>
          <t>M4</t>
        </is>
      </c>
      <c r="D1338" s="5" t="n">
        <v>5</v>
      </c>
      <c r="E1338" s="5" t="n">
        <v>292</v>
      </c>
      <c r="F1338" t="inlineStr">
        <is>
          <t>Продажа</t>
        </is>
      </c>
      <c r="H1338">
        <f>VLOOKUP(C1338,Магазин!$A$2:$C$1000,2,0)</f>
        <v/>
      </c>
      <c r="I1338">
        <f>VLOOKUP(D1338,Товар!$A$2:$F$1000,3,0)</f>
        <v/>
      </c>
      <c r="J1338">
        <f>VLOOKUP(D1338,Товар!$A$2:$F$1000,5,0)</f>
        <v/>
      </c>
      <c r="K1338">
        <f>IF(AND(H1338="Промышленный",LEFT(I1338,18)="Порошок стиральный",F1338="Продажа",B1338=DATE(2023,6,7)),E1338*J1338/1000,0)</f>
        <v/>
      </c>
    </row>
    <row r="1339">
      <c r="A1339" t="n">
        <v>1338</v>
      </c>
      <c r="B1339" s="1" t="n">
        <v>45084</v>
      </c>
      <c r="C1339" s="5" t="inlineStr">
        <is>
          <t>M4</t>
        </is>
      </c>
      <c r="D1339" s="5" t="n">
        <v>6</v>
      </c>
      <c r="E1339" s="5" t="n">
        <v>203</v>
      </c>
      <c r="F1339" t="inlineStr">
        <is>
          <t>Продажа</t>
        </is>
      </c>
      <c r="H1339">
        <f>VLOOKUP(C1339,Магазин!$A$2:$C$1000,2,0)</f>
        <v/>
      </c>
      <c r="I1339">
        <f>VLOOKUP(D1339,Товар!$A$2:$F$1000,3,0)</f>
        <v/>
      </c>
      <c r="J1339">
        <f>VLOOKUP(D1339,Товар!$A$2:$F$1000,5,0)</f>
        <v/>
      </c>
      <c r="K1339">
        <f>IF(AND(H1339="Промышленный",LEFT(I1339,18)="Порошок стиральный",F1339="Продажа",B1339=DATE(2023,6,7)),E1339*J1339/1000,0)</f>
        <v/>
      </c>
    </row>
    <row r="1340">
      <c r="A1340" t="n">
        <v>1339</v>
      </c>
      <c r="B1340" s="1" t="n">
        <v>45084</v>
      </c>
      <c r="C1340" s="5" t="inlineStr">
        <is>
          <t>M4</t>
        </is>
      </c>
      <c r="D1340" s="5" t="n">
        <v>7</v>
      </c>
      <c r="E1340" s="5" t="n">
        <v>214</v>
      </c>
      <c r="F1340" t="inlineStr">
        <is>
          <t>Продажа</t>
        </is>
      </c>
      <c r="H1340">
        <f>VLOOKUP(C1340,Магазин!$A$2:$C$1000,2,0)</f>
        <v/>
      </c>
      <c r="I1340">
        <f>VLOOKUP(D1340,Товар!$A$2:$F$1000,3,0)</f>
        <v/>
      </c>
      <c r="J1340">
        <f>VLOOKUP(D1340,Товар!$A$2:$F$1000,5,0)</f>
        <v/>
      </c>
      <c r="K1340">
        <f>IF(AND(H1340="Промышленный",LEFT(I1340,18)="Порошок стиральный",F1340="Продажа",B1340=DATE(2023,6,7)),E1340*J1340/1000,0)</f>
        <v/>
      </c>
    </row>
    <row r="1341">
      <c r="A1341" t="n">
        <v>1340</v>
      </c>
      <c r="B1341" s="1" t="n">
        <v>45084</v>
      </c>
      <c r="C1341" s="5" t="inlineStr">
        <is>
          <t>M4</t>
        </is>
      </c>
      <c r="D1341" s="5" t="n">
        <v>8</v>
      </c>
      <c r="E1341" s="5" t="n">
        <v>225</v>
      </c>
      <c r="F1341" t="inlineStr">
        <is>
          <t>Продажа</t>
        </is>
      </c>
      <c r="H1341">
        <f>VLOOKUP(C1341,Магазин!$A$2:$C$1000,2,0)</f>
        <v/>
      </c>
      <c r="I1341">
        <f>VLOOKUP(D1341,Товар!$A$2:$F$1000,3,0)</f>
        <v/>
      </c>
      <c r="J1341">
        <f>VLOOKUP(D1341,Товар!$A$2:$F$1000,5,0)</f>
        <v/>
      </c>
      <c r="K1341">
        <f>IF(AND(H1341="Промышленный",LEFT(I1341,18)="Порошок стиральный",F1341="Продажа",B1341=DATE(2023,6,7)),E1341*J1341/1000,0)</f>
        <v/>
      </c>
    </row>
    <row r="1342">
      <c r="A1342" t="n">
        <v>1341</v>
      </c>
      <c r="B1342" s="1" t="n">
        <v>45084</v>
      </c>
      <c r="C1342" s="5" t="inlineStr">
        <is>
          <t>M4</t>
        </is>
      </c>
      <c r="D1342" s="5" t="n">
        <v>9</v>
      </c>
      <c r="E1342" s="5" t="n">
        <v>236</v>
      </c>
      <c r="F1342" t="inlineStr">
        <is>
          <t>Продажа</t>
        </is>
      </c>
      <c r="H1342">
        <f>VLOOKUP(C1342,Магазин!$A$2:$C$1000,2,0)</f>
        <v/>
      </c>
      <c r="I1342">
        <f>VLOOKUP(D1342,Товар!$A$2:$F$1000,3,0)</f>
        <v/>
      </c>
      <c r="J1342">
        <f>VLOOKUP(D1342,Товар!$A$2:$F$1000,5,0)</f>
        <v/>
      </c>
      <c r="K1342">
        <f>IF(AND(H1342="Промышленный",LEFT(I1342,18)="Порошок стиральный",F1342="Продажа",B1342=DATE(2023,6,7)),E1342*J1342/1000,0)</f>
        <v/>
      </c>
    </row>
    <row r="1343">
      <c r="A1343" t="n">
        <v>1342</v>
      </c>
      <c r="B1343" s="1" t="n">
        <v>45084</v>
      </c>
      <c r="C1343" s="5" t="inlineStr">
        <is>
          <t>M4</t>
        </is>
      </c>
      <c r="D1343" s="5" t="n">
        <v>10</v>
      </c>
      <c r="E1343" s="5" t="n">
        <v>247</v>
      </c>
      <c r="F1343" t="inlineStr">
        <is>
          <t>Продажа</t>
        </is>
      </c>
      <c r="H1343">
        <f>VLOOKUP(C1343,Магазин!$A$2:$C$1000,2,0)</f>
        <v/>
      </c>
      <c r="I1343">
        <f>VLOOKUP(D1343,Товар!$A$2:$F$1000,3,0)</f>
        <v/>
      </c>
      <c r="J1343">
        <f>VLOOKUP(D1343,Товар!$A$2:$F$1000,5,0)</f>
        <v/>
      </c>
      <c r="K1343">
        <f>IF(AND(H1343="Промышленный",LEFT(I1343,18)="Порошок стиральный",F1343="Продажа",B1343=DATE(2023,6,7)),E1343*J1343/1000,0)</f>
        <v/>
      </c>
    </row>
    <row r="1344">
      <c r="A1344" t="n">
        <v>1343</v>
      </c>
      <c r="B1344" s="1" t="n">
        <v>45084</v>
      </c>
      <c r="C1344" s="5" t="inlineStr">
        <is>
          <t>M4</t>
        </is>
      </c>
      <c r="D1344" s="5" t="n">
        <v>11</v>
      </c>
      <c r="E1344" s="5" t="n">
        <v>258</v>
      </c>
      <c r="F1344" t="inlineStr">
        <is>
          <t>Продажа</t>
        </is>
      </c>
      <c r="H1344">
        <f>VLOOKUP(C1344,Магазин!$A$2:$C$1000,2,0)</f>
        <v/>
      </c>
      <c r="I1344">
        <f>VLOOKUP(D1344,Товар!$A$2:$F$1000,3,0)</f>
        <v/>
      </c>
      <c r="J1344">
        <f>VLOOKUP(D1344,Товар!$A$2:$F$1000,5,0)</f>
        <v/>
      </c>
      <c r="K1344">
        <f>IF(AND(H1344="Промышленный",LEFT(I1344,18)="Порошок стиральный",F1344="Продажа",B1344=DATE(2023,6,7)),E1344*J1344/1000,0)</f>
        <v/>
      </c>
    </row>
    <row r="1345">
      <c r="A1345" t="n">
        <v>1344</v>
      </c>
      <c r="B1345" s="1" t="n">
        <v>45084</v>
      </c>
      <c r="C1345" s="5" t="inlineStr">
        <is>
          <t>M4</t>
        </is>
      </c>
      <c r="D1345" s="5" t="n">
        <v>12</v>
      </c>
      <c r="E1345" s="5" t="n">
        <v>256</v>
      </c>
      <c r="F1345" t="inlineStr">
        <is>
          <t>Продажа</t>
        </is>
      </c>
      <c r="H1345">
        <f>VLOOKUP(C1345,Магазин!$A$2:$C$1000,2,0)</f>
        <v/>
      </c>
      <c r="I1345">
        <f>VLOOKUP(D1345,Товар!$A$2:$F$1000,3,0)</f>
        <v/>
      </c>
      <c r="J1345">
        <f>VLOOKUP(D1345,Товар!$A$2:$F$1000,5,0)</f>
        <v/>
      </c>
      <c r="K1345">
        <f>IF(AND(H1345="Промышленный",LEFT(I1345,18)="Порошок стиральный",F1345="Продажа",B1345=DATE(2023,6,7)),E1345*J1345/1000,0)</f>
        <v/>
      </c>
    </row>
    <row r="1346">
      <c r="A1346" t="n">
        <v>1345</v>
      </c>
      <c r="B1346" s="1" t="n">
        <v>45084</v>
      </c>
      <c r="C1346" s="5" t="inlineStr">
        <is>
          <t>M4</t>
        </is>
      </c>
      <c r="D1346" s="5" t="n">
        <v>13</v>
      </c>
      <c r="E1346" s="5" t="n">
        <v>269</v>
      </c>
      <c r="F1346" t="inlineStr">
        <is>
          <t>Продажа</t>
        </is>
      </c>
      <c r="H1346">
        <f>VLOOKUP(C1346,Магазин!$A$2:$C$1000,2,0)</f>
        <v/>
      </c>
      <c r="I1346">
        <f>VLOOKUP(D1346,Товар!$A$2:$F$1000,3,0)</f>
        <v/>
      </c>
      <c r="J1346">
        <f>VLOOKUP(D1346,Товар!$A$2:$F$1000,5,0)</f>
        <v/>
      </c>
      <c r="K1346">
        <f>IF(AND(H1346="Промышленный",LEFT(I1346,18)="Порошок стиральный",F1346="Продажа",B1346=DATE(2023,6,7)),E1346*J1346/1000,0)</f>
        <v/>
      </c>
    </row>
    <row r="1347">
      <c r="A1347" t="n">
        <v>1346</v>
      </c>
      <c r="B1347" s="1" t="n">
        <v>45084</v>
      </c>
      <c r="C1347" s="5" t="inlineStr">
        <is>
          <t>M4</t>
        </is>
      </c>
      <c r="D1347" s="5" t="n">
        <v>14</v>
      </c>
      <c r="E1347" s="5" t="n">
        <v>204</v>
      </c>
      <c r="F1347" t="inlineStr">
        <is>
          <t>Продажа</t>
        </is>
      </c>
      <c r="H1347">
        <f>VLOOKUP(C1347,Магазин!$A$2:$C$1000,2,0)</f>
        <v/>
      </c>
      <c r="I1347">
        <f>VLOOKUP(D1347,Товар!$A$2:$F$1000,3,0)</f>
        <v/>
      </c>
      <c r="J1347">
        <f>VLOOKUP(D1347,Товар!$A$2:$F$1000,5,0)</f>
        <v/>
      </c>
      <c r="K1347">
        <f>IF(AND(H1347="Промышленный",LEFT(I1347,18)="Порошок стиральный",F1347="Продажа",B1347=DATE(2023,6,7)),E1347*J1347/1000,0)</f>
        <v/>
      </c>
    </row>
    <row r="1348">
      <c r="A1348" t="n">
        <v>1347</v>
      </c>
      <c r="B1348" s="1" t="n">
        <v>45084</v>
      </c>
      <c r="C1348" s="5" t="inlineStr">
        <is>
          <t>M4</t>
        </is>
      </c>
      <c r="D1348" s="5" t="n">
        <v>15</v>
      </c>
      <c r="E1348" s="5" t="n">
        <v>206</v>
      </c>
      <c r="F1348" t="inlineStr">
        <is>
          <t>Продажа</t>
        </is>
      </c>
      <c r="H1348">
        <f>VLOOKUP(C1348,Магазин!$A$2:$C$1000,2,0)</f>
        <v/>
      </c>
      <c r="I1348">
        <f>VLOOKUP(D1348,Товар!$A$2:$F$1000,3,0)</f>
        <v/>
      </c>
      <c r="J1348">
        <f>VLOOKUP(D1348,Товар!$A$2:$F$1000,5,0)</f>
        <v/>
      </c>
      <c r="K1348">
        <f>IF(AND(H1348="Промышленный",LEFT(I1348,18)="Порошок стиральный",F1348="Продажа",B1348=DATE(2023,6,7)),E1348*J1348/1000,0)</f>
        <v/>
      </c>
    </row>
    <row r="1349">
      <c r="A1349" t="n">
        <v>1348</v>
      </c>
      <c r="B1349" s="1" t="n">
        <v>45084</v>
      </c>
      <c r="C1349" s="5" t="inlineStr">
        <is>
          <t>M4</t>
        </is>
      </c>
      <c r="D1349" s="5" t="n">
        <v>16</v>
      </c>
      <c r="E1349" s="5" t="n">
        <v>208</v>
      </c>
      <c r="F1349" t="inlineStr">
        <is>
          <t>Продажа</t>
        </is>
      </c>
      <c r="H1349">
        <f>VLOOKUP(C1349,Магазин!$A$2:$C$1000,2,0)</f>
        <v/>
      </c>
      <c r="I1349">
        <f>VLOOKUP(D1349,Товар!$A$2:$F$1000,3,0)</f>
        <v/>
      </c>
      <c r="J1349">
        <f>VLOOKUP(D1349,Товар!$A$2:$F$1000,5,0)</f>
        <v/>
      </c>
      <c r="K1349">
        <f>IF(AND(H1349="Промышленный",LEFT(I1349,18)="Порошок стиральный",F1349="Продажа",B1349=DATE(2023,6,7)),E1349*J1349/1000,0)</f>
        <v/>
      </c>
    </row>
    <row r="1350">
      <c r="A1350" t="n">
        <v>1349</v>
      </c>
      <c r="B1350" s="1" t="n">
        <v>45084</v>
      </c>
      <c r="C1350" s="5" t="inlineStr">
        <is>
          <t>M4</t>
        </is>
      </c>
      <c r="D1350" s="5" t="n">
        <v>17</v>
      </c>
      <c r="E1350" s="5" t="n">
        <v>209</v>
      </c>
      <c r="F1350" t="inlineStr">
        <is>
          <t>Продажа</t>
        </is>
      </c>
      <c r="H1350">
        <f>VLOOKUP(C1350,Магазин!$A$2:$C$1000,2,0)</f>
        <v/>
      </c>
      <c r="I1350">
        <f>VLOOKUP(D1350,Товар!$A$2:$F$1000,3,0)</f>
        <v/>
      </c>
      <c r="J1350">
        <f>VLOOKUP(D1350,Товар!$A$2:$F$1000,5,0)</f>
        <v/>
      </c>
      <c r="K1350">
        <f>IF(AND(H1350="Промышленный",LEFT(I1350,18)="Порошок стиральный",F1350="Продажа",B1350=DATE(2023,6,7)),E1350*J1350/1000,0)</f>
        <v/>
      </c>
    </row>
    <row r="1351">
      <c r="A1351" t="n">
        <v>1350</v>
      </c>
      <c r="B1351" s="1" t="n">
        <v>45084</v>
      </c>
      <c r="C1351" s="5" t="inlineStr">
        <is>
          <t>M4</t>
        </is>
      </c>
      <c r="D1351" s="5" t="n">
        <v>18</v>
      </c>
      <c r="E1351" s="5" t="n">
        <v>299</v>
      </c>
      <c r="F1351" t="inlineStr">
        <is>
          <t>Продажа</t>
        </is>
      </c>
      <c r="H1351">
        <f>VLOOKUP(C1351,Магазин!$A$2:$C$1000,2,0)</f>
        <v/>
      </c>
      <c r="I1351">
        <f>VLOOKUP(D1351,Товар!$A$2:$F$1000,3,0)</f>
        <v/>
      </c>
      <c r="J1351">
        <f>VLOOKUP(D1351,Товар!$A$2:$F$1000,5,0)</f>
        <v/>
      </c>
      <c r="K1351">
        <f>IF(AND(H1351="Промышленный",LEFT(I1351,18)="Порошок стиральный",F1351="Продажа",B1351=DATE(2023,6,7)),E1351*J1351/1000,0)</f>
        <v/>
      </c>
    </row>
    <row r="1352">
      <c r="A1352" t="n">
        <v>1351</v>
      </c>
      <c r="B1352" s="1" t="n">
        <v>45084</v>
      </c>
      <c r="C1352" s="5" t="inlineStr">
        <is>
          <t>M4</t>
        </is>
      </c>
      <c r="D1352" s="5" t="n">
        <v>19</v>
      </c>
      <c r="E1352" s="5" t="n">
        <v>275</v>
      </c>
      <c r="F1352" t="inlineStr">
        <is>
          <t>Продажа</t>
        </is>
      </c>
      <c r="H1352">
        <f>VLOOKUP(C1352,Магазин!$A$2:$C$1000,2,0)</f>
        <v/>
      </c>
      <c r="I1352">
        <f>VLOOKUP(D1352,Товар!$A$2:$F$1000,3,0)</f>
        <v/>
      </c>
      <c r="J1352">
        <f>VLOOKUP(D1352,Товар!$A$2:$F$1000,5,0)</f>
        <v/>
      </c>
      <c r="K1352">
        <f>IF(AND(H1352="Промышленный",LEFT(I1352,18)="Порошок стиральный",F1352="Продажа",B1352=DATE(2023,6,7)),E1352*J1352/1000,0)</f>
        <v/>
      </c>
    </row>
    <row r="1353">
      <c r="A1353" t="n">
        <v>1352</v>
      </c>
      <c r="B1353" s="1" t="n">
        <v>45084</v>
      </c>
      <c r="C1353" s="5" t="inlineStr">
        <is>
          <t>M4</t>
        </is>
      </c>
      <c r="D1353" s="5" t="n">
        <v>20</v>
      </c>
      <c r="E1353" s="5" t="n">
        <v>234</v>
      </c>
      <c r="F1353" t="inlineStr">
        <is>
          <t>Продажа</t>
        </is>
      </c>
      <c r="H1353">
        <f>VLOOKUP(C1353,Магазин!$A$2:$C$1000,2,0)</f>
        <v/>
      </c>
      <c r="I1353">
        <f>VLOOKUP(D1353,Товар!$A$2:$F$1000,3,0)</f>
        <v/>
      </c>
      <c r="J1353">
        <f>VLOOKUP(D1353,Товар!$A$2:$F$1000,5,0)</f>
        <v/>
      </c>
      <c r="K1353">
        <f>IF(AND(H1353="Промышленный",LEFT(I1353,18)="Порошок стиральный",F1353="Продажа",B1353=DATE(2023,6,7)),E1353*J1353/1000,0)</f>
        <v/>
      </c>
    </row>
    <row r="1354">
      <c r="A1354" t="n">
        <v>1353</v>
      </c>
      <c r="B1354" s="1" t="n">
        <v>45084</v>
      </c>
      <c r="C1354" s="5" t="inlineStr">
        <is>
          <t>M4</t>
        </is>
      </c>
      <c r="D1354" s="5" t="n">
        <v>21</v>
      </c>
      <c r="E1354" s="5" t="n">
        <v>228</v>
      </c>
      <c r="F1354" t="inlineStr">
        <is>
          <t>Продажа</t>
        </is>
      </c>
      <c r="H1354">
        <f>VLOOKUP(C1354,Магазин!$A$2:$C$1000,2,0)</f>
        <v/>
      </c>
      <c r="I1354">
        <f>VLOOKUP(D1354,Товар!$A$2:$F$1000,3,0)</f>
        <v/>
      </c>
      <c r="J1354">
        <f>VLOOKUP(D1354,Товар!$A$2:$F$1000,5,0)</f>
        <v/>
      </c>
      <c r="K1354">
        <f>IF(AND(H1354="Промышленный",LEFT(I1354,18)="Порошок стиральный",F1354="Продажа",B1354=DATE(2023,6,7)),E1354*J1354/1000,0)</f>
        <v/>
      </c>
    </row>
    <row r="1355">
      <c r="A1355" t="n">
        <v>1354</v>
      </c>
      <c r="B1355" s="1" t="n">
        <v>45084</v>
      </c>
      <c r="C1355" s="5" t="inlineStr">
        <is>
          <t>M4</t>
        </is>
      </c>
      <c r="D1355" s="5" t="n">
        <v>22</v>
      </c>
      <c r="E1355" s="5" t="n">
        <v>217</v>
      </c>
      <c r="F1355" t="inlineStr">
        <is>
          <t>Продажа</t>
        </is>
      </c>
      <c r="H1355">
        <f>VLOOKUP(C1355,Магазин!$A$2:$C$1000,2,0)</f>
        <v/>
      </c>
      <c r="I1355">
        <f>VLOOKUP(D1355,Товар!$A$2:$F$1000,3,0)</f>
        <v/>
      </c>
      <c r="J1355">
        <f>VLOOKUP(D1355,Товар!$A$2:$F$1000,5,0)</f>
        <v/>
      </c>
      <c r="K1355">
        <f>IF(AND(H1355="Промышленный",LEFT(I1355,18)="Порошок стиральный",F1355="Продажа",B1355=DATE(2023,6,7)),E1355*J1355/1000,0)</f>
        <v/>
      </c>
    </row>
    <row r="1356">
      <c r="A1356" t="n">
        <v>1355</v>
      </c>
      <c r="B1356" s="1" t="n">
        <v>45084</v>
      </c>
      <c r="C1356" s="5" t="inlineStr">
        <is>
          <t>M4</t>
        </is>
      </c>
      <c r="D1356" s="5" t="n">
        <v>23</v>
      </c>
      <c r="E1356" s="5" t="n">
        <v>258</v>
      </c>
      <c r="F1356" t="inlineStr">
        <is>
          <t>Продажа</t>
        </is>
      </c>
      <c r="H1356">
        <f>VLOOKUP(C1356,Магазин!$A$2:$C$1000,2,0)</f>
        <v/>
      </c>
      <c r="I1356">
        <f>VLOOKUP(D1356,Товар!$A$2:$F$1000,3,0)</f>
        <v/>
      </c>
      <c r="J1356">
        <f>VLOOKUP(D1356,Товар!$A$2:$F$1000,5,0)</f>
        <v/>
      </c>
      <c r="K1356">
        <f>IF(AND(H1356="Промышленный",LEFT(I1356,18)="Порошок стиральный",F1356="Продажа",B1356=DATE(2023,6,7)),E1356*J1356/1000,0)</f>
        <v/>
      </c>
    </row>
    <row r="1357">
      <c r="A1357" t="n">
        <v>1356</v>
      </c>
      <c r="B1357" s="1" t="n">
        <v>45084</v>
      </c>
      <c r="C1357" s="5" t="inlineStr">
        <is>
          <t>M4</t>
        </is>
      </c>
      <c r="D1357" s="5" t="n">
        <v>24</v>
      </c>
      <c r="E1357" s="5" t="n">
        <v>199</v>
      </c>
      <c r="F1357" t="inlineStr">
        <is>
          <t>Продажа</t>
        </is>
      </c>
      <c r="H1357">
        <f>VLOOKUP(C1357,Магазин!$A$2:$C$1000,2,0)</f>
        <v/>
      </c>
      <c r="I1357">
        <f>VLOOKUP(D1357,Товар!$A$2:$F$1000,3,0)</f>
        <v/>
      </c>
      <c r="J1357">
        <f>VLOOKUP(D1357,Товар!$A$2:$F$1000,5,0)</f>
        <v/>
      </c>
      <c r="K1357">
        <f>IF(AND(H1357="Промышленный",LEFT(I1357,18)="Порошок стиральный",F1357="Продажа",B1357=DATE(2023,6,7)),E1357*J1357/1000,0)</f>
        <v/>
      </c>
    </row>
    <row r="1358">
      <c r="A1358" t="n">
        <v>1357</v>
      </c>
      <c r="B1358" s="1" t="n">
        <v>45084</v>
      </c>
      <c r="C1358" s="5" t="inlineStr">
        <is>
          <t>M4</t>
        </is>
      </c>
      <c r="D1358" s="5" t="n">
        <v>25</v>
      </c>
      <c r="E1358" s="5" t="n">
        <v>248</v>
      </c>
      <c r="F1358" t="inlineStr">
        <is>
          <t>Продажа</t>
        </is>
      </c>
      <c r="H1358">
        <f>VLOOKUP(C1358,Магазин!$A$2:$C$1000,2,0)</f>
        <v/>
      </c>
      <c r="I1358">
        <f>VLOOKUP(D1358,Товар!$A$2:$F$1000,3,0)</f>
        <v/>
      </c>
      <c r="J1358">
        <f>VLOOKUP(D1358,Товар!$A$2:$F$1000,5,0)</f>
        <v/>
      </c>
      <c r="K1358">
        <f>IF(AND(H1358="Промышленный",LEFT(I1358,18)="Порошок стиральный",F1358="Продажа",B1358=DATE(2023,6,7)),E1358*J1358/1000,0)</f>
        <v/>
      </c>
    </row>
    <row r="1359">
      <c r="A1359" t="n">
        <v>1358</v>
      </c>
      <c r="B1359" s="1" t="n">
        <v>45084</v>
      </c>
      <c r="C1359" s="5" t="inlineStr">
        <is>
          <t>M4</t>
        </is>
      </c>
      <c r="D1359" s="5" t="n">
        <v>26</v>
      </c>
      <c r="E1359" s="5" t="n">
        <v>236</v>
      </c>
      <c r="F1359" t="inlineStr">
        <is>
          <t>Продажа</t>
        </is>
      </c>
      <c r="H1359">
        <f>VLOOKUP(C1359,Магазин!$A$2:$C$1000,2,0)</f>
        <v/>
      </c>
      <c r="I1359">
        <f>VLOOKUP(D1359,Товар!$A$2:$F$1000,3,0)</f>
        <v/>
      </c>
      <c r="J1359">
        <f>VLOOKUP(D1359,Товар!$A$2:$F$1000,5,0)</f>
        <v/>
      </c>
      <c r="K1359">
        <f>IF(AND(H1359="Промышленный",LEFT(I1359,18)="Порошок стиральный",F1359="Продажа",B1359=DATE(2023,6,7)),E1359*J1359/1000,0)</f>
        <v/>
      </c>
    </row>
    <row r="1360">
      <c r="A1360" t="n">
        <v>1359</v>
      </c>
      <c r="B1360" s="1" t="n">
        <v>45084</v>
      </c>
      <c r="C1360" s="5" t="inlineStr">
        <is>
          <t>M4</t>
        </is>
      </c>
      <c r="D1360" s="5" t="n">
        <v>27</v>
      </c>
      <c r="E1360" s="5" t="n">
        <v>287</v>
      </c>
      <c r="F1360" t="inlineStr">
        <is>
          <t>Продажа</t>
        </is>
      </c>
      <c r="H1360">
        <f>VLOOKUP(C1360,Магазин!$A$2:$C$1000,2,0)</f>
        <v/>
      </c>
      <c r="I1360">
        <f>VLOOKUP(D1360,Товар!$A$2:$F$1000,3,0)</f>
        <v/>
      </c>
      <c r="J1360">
        <f>VLOOKUP(D1360,Товар!$A$2:$F$1000,5,0)</f>
        <v/>
      </c>
      <c r="K1360">
        <f>IF(AND(H1360="Промышленный",LEFT(I1360,18)="Порошок стиральный",F1360="Продажа",B1360=DATE(2023,6,7)),E1360*J1360/1000,0)</f>
        <v/>
      </c>
    </row>
    <row r="1361">
      <c r="A1361" t="n">
        <v>1360</v>
      </c>
      <c r="B1361" s="1" t="n">
        <v>45084</v>
      </c>
      <c r="C1361" s="5" t="inlineStr">
        <is>
          <t>M4</t>
        </is>
      </c>
      <c r="D1361" s="5" t="n">
        <v>28</v>
      </c>
      <c r="E1361" s="5" t="n">
        <v>265</v>
      </c>
      <c r="F1361" t="inlineStr">
        <is>
          <t>Продажа</t>
        </is>
      </c>
      <c r="H1361">
        <f>VLOOKUP(C1361,Магазин!$A$2:$C$1000,2,0)</f>
        <v/>
      </c>
      <c r="I1361">
        <f>VLOOKUP(D1361,Товар!$A$2:$F$1000,3,0)</f>
        <v/>
      </c>
      <c r="J1361">
        <f>VLOOKUP(D1361,Товар!$A$2:$F$1000,5,0)</f>
        <v/>
      </c>
      <c r="K1361">
        <f>IF(AND(H1361="Промышленный",LEFT(I1361,18)="Порошок стиральный",F1361="Продажа",B1361=DATE(2023,6,7)),E1361*J1361/1000,0)</f>
        <v/>
      </c>
    </row>
    <row r="1362">
      <c r="A1362" t="n">
        <v>1361</v>
      </c>
      <c r="B1362" s="1" t="n">
        <v>45084</v>
      </c>
      <c r="C1362" s="5" t="inlineStr">
        <is>
          <t>M4</t>
        </is>
      </c>
      <c r="D1362" s="5" t="n">
        <v>29</v>
      </c>
      <c r="E1362" s="5" t="n">
        <v>234</v>
      </c>
      <c r="F1362" t="inlineStr">
        <is>
          <t>Продажа</t>
        </is>
      </c>
      <c r="H1362">
        <f>VLOOKUP(C1362,Магазин!$A$2:$C$1000,2,0)</f>
        <v/>
      </c>
      <c r="I1362">
        <f>VLOOKUP(D1362,Товар!$A$2:$F$1000,3,0)</f>
        <v/>
      </c>
      <c r="J1362">
        <f>VLOOKUP(D1362,Товар!$A$2:$F$1000,5,0)</f>
        <v/>
      </c>
      <c r="K1362">
        <f>IF(AND(H1362="Промышленный",LEFT(I1362,18)="Порошок стиральный",F1362="Продажа",B1362=DATE(2023,6,7)),E1362*J1362/1000,0)</f>
        <v/>
      </c>
    </row>
    <row r="1363">
      <c r="A1363" t="n">
        <v>1362</v>
      </c>
      <c r="B1363" s="1" t="n">
        <v>45084</v>
      </c>
      <c r="C1363" s="5" t="inlineStr">
        <is>
          <t>M4</t>
        </is>
      </c>
      <c r="D1363" s="5" t="n">
        <v>30</v>
      </c>
      <c r="E1363" s="5" t="n">
        <v>258</v>
      </c>
      <c r="F1363" t="inlineStr">
        <is>
          <t>Продажа</t>
        </is>
      </c>
      <c r="H1363">
        <f>VLOOKUP(C1363,Магазин!$A$2:$C$1000,2,0)</f>
        <v/>
      </c>
      <c r="I1363">
        <f>VLOOKUP(D1363,Товар!$A$2:$F$1000,3,0)</f>
        <v/>
      </c>
      <c r="J1363">
        <f>VLOOKUP(D1363,Товар!$A$2:$F$1000,5,0)</f>
        <v/>
      </c>
      <c r="K1363">
        <f>IF(AND(H1363="Промышленный",LEFT(I1363,18)="Порошок стиральный",F1363="Продажа",B1363=DATE(2023,6,7)),E1363*J1363/1000,0)</f>
        <v/>
      </c>
    </row>
    <row r="1364">
      <c r="A1364" t="n">
        <v>1363</v>
      </c>
      <c r="B1364" s="1" t="n">
        <v>45084</v>
      </c>
      <c r="C1364" s="5" t="inlineStr">
        <is>
          <t>M4</t>
        </is>
      </c>
      <c r="D1364" s="5" t="n">
        <v>31</v>
      </c>
      <c r="E1364" s="5" t="n">
        <v>264</v>
      </c>
      <c r="F1364" t="inlineStr">
        <is>
          <t>Продажа</t>
        </is>
      </c>
      <c r="H1364">
        <f>VLOOKUP(C1364,Магазин!$A$2:$C$1000,2,0)</f>
        <v/>
      </c>
      <c r="I1364">
        <f>VLOOKUP(D1364,Товар!$A$2:$F$1000,3,0)</f>
        <v/>
      </c>
      <c r="J1364">
        <f>VLOOKUP(D1364,Товар!$A$2:$F$1000,5,0)</f>
        <v/>
      </c>
      <c r="K1364">
        <f>IF(AND(H1364="Промышленный",LEFT(I1364,18)="Порошок стиральный",F1364="Продажа",B1364=DATE(2023,6,7)),E1364*J1364/1000,0)</f>
        <v/>
      </c>
    </row>
    <row r="1365">
      <c r="A1365" t="n">
        <v>1364</v>
      </c>
      <c r="B1365" s="1" t="n">
        <v>45084</v>
      </c>
      <c r="C1365" s="5" t="inlineStr">
        <is>
          <t>M4</t>
        </is>
      </c>
      <c r="D1365" s="5" t="n">
        <v>32</v>
      </c>
      <c r="E1365" s="5" t="n">
        <v>237</v>
      </c>
      <c r="F1365" t="inlineStr">
        <is>
          <t>Продажа</t>
        </is>
      </c>
      <c r="H1365">
        <f>VLOOKUP(C1365,Магазин!$A$2:$C$1000,2,0)</f>
        <v/>
      </c>
      <c r="I1365">
        <f>VLOOKUP(D1365,Товар!$A$2:$F$1000,3,0)</f>
        <v/>
      </c>
      <c r="J1365">
        <f>VLOOKUP(D1365,Товар!$A$2:$F$1000,5,0)</f>
        <v/>
      </c>
      <c r="K1365">
        <f>IF(AND(H1365="Промышленный",LEFT(I1365,18)="Порошок стиральный",F1365="Продажа",B1365=DATE(2023,6,7)),E1365*J1365/1000,0)</f>
        <v/>
      </c>
    </row>
    <row r="1366">
      <c r="A1366" t="n">
        <v>1365</v>
      </c>
      <c r="B1366" s="1" t="n">
        <v>45084</v>
      </c>
      <c r="C1366" s="5" t="inlineStr">
        <is>
          <t>M4</t>
        </is>
      </c>
      <c r="D1366" s="5" t="n">
        <v>33</v>
      </c>
      <c r="E1366" s="5" t="n">
        <v>218</v>
      </c>
      <c r="F1366" t="inlineStr">
        <is>
          <t>Продажа</t>
        </is>
      </c>
      <c r="H1366">
        <f>VLOOKUP(C1366,Магазин!$A$2:$C$1000,2,0)</f>
        <v/>
      </c>
      <c r="I1366">
        <f>VLOOKUP(D1366,Товар!$A$2:$F$1000,3,0)</f>
        <v/>
      </c>
      <c r="J1366">
        <f>VLOOKUP(D1366,Товар!$A$2:$F$1000,5,0)</f>
        <v/>
      </c>
      <c r="K1366">
        <f>IF(AND(H1366="Промышленный",LEFT(I1366,18)="Порошок стиральный",F1366="Продажа",B1366=DATE(2023,6,7)),E1366*J1366/1000,0)</f>
        <v/>
      </c>
    </row>
    <row r="1367">
      <c r="A1367" t="n">
        <v>1366</v>
      </c>
      <c r="B1367" s="1" t="n">
        <v>45084</v>
      </c>
      <c r="C1367" s="5" t="inlineStr">
        <is>
          <t>M4</t>
        </is>
      </c>
      <c r="D1367" s="5" t="n">
        <v>34</v>
      </c>
      <c r="E1367" s="5" t="n">
        <v>249</v>
      </c>
      <c r="F1367" t="inlineStr">
        <is>
          <t>Продажа</t>
        </is>
      </c>
      <c r="H1367">
        <f>VLOOKUP(C1367,Магазин!$A$2:$C$1000,2,0)</f>
        <v/>
      </c>
      <c r="I1367">
        <f>VLOOKUP(D1367,Товар!$A$2:$F$1000,3,0)</f>
        <v/>
      </c>
      <c r="J1367">
        <f>VLOOKUP(D1367,Товар!$A$2:$F$1000,5,0)</f>
        <v/>
      </c>
      <c r="K1367">
        <f>IF(AND(H1367="Промышленный",LEFT(I1367,18)="Порошок стиральный",F1367="Продажа",B1367=DATE(2023,6,7)),E1367*J1367/1000,0)</f>
        <v/>
      </c>
    </row>
    <row r="1368">
      <c r="A1368" t="n">
        <v>1367</v>
      </c>
      <c r="B1368" s="1" t="n">
        <v>45084</v>
      </c>
      <c r="C1368" s="5" t="inlineStr">
        <is>
          <t>M4</t>
        </is>
      </c>
      <c r="D1368" s="5" t="n">
        <v>35</v>
      </c>
      <c r="E1368" s="5" t="n">
        <v>273</v>
      </c>
      <c r="F1368" t="inlineStr">
        <is>
          <t>Продажа</t>
        </is>
      </c>
      <c r="H1368">
        <f>VLOOKUP(C1368,Магазин!$A$2:$C$1000,2,0)</f>
        <v/>
      </c>
      <c r="I1368">
        <f>VLOOKUP(D1368,Товар!$A$2:$F$1000,3,0)</f>
        <v/>
      </c>
      <c r="J1368">
        <f>VLOOKUP(D1368,Товар!$A$2:$F$1000,5,0)</f>
        <v/>
      </c>
      <c r="K1368">
        <f>IF(AND(H1368="Промышленный",LEFT(I1368,18)="Порошок стиральный",F1368="Продажа",B1368=DATE(2023,6,7)),E1368*J1368/1000,0)</f>
        <v/>
      </c>
    </row>
    <row r="1369">
      <c r="A1369" t="n">
        <v>1368</v>
      </c>
      <c r="B1369" s="1" t="n">
        <v>45084</v>
      </c>
      <c r="C1369" s="5" t="inlineStr">
        <is>
          <t>M4</t>
        </is>
      </c>
      <c r="D1369" s="5" t="n">
        <v>36</v>
      </c>
      <c r="E1369" s="5" t="n">
        <v>284</v>
      </c>
      <c r="F1369" t="inlineStr">
        <is>
          <t>Продажа</t>
        </is>
      </c>
      <c r="H1369">
        <f>VLOOKUP(C1369,Магазин!$A$2:$C$1000,2,0)</f>
        <v/>
      </c>
      <c r="I1369">
        <f>VLOOKUP(D1369,Товар!$A$2:$F$1000,3,0)</f>
        <v/>
      </c>
      <c r="J1369">
        <f>VLOOKUP(D1369,Товар!$A$2:$F$1000,5,0)</f>
        <v/>
      </c>
      <c r="K1369">
        <f>IF(AND(H1369="Промышленный",LEFT(I1369,18)="Порошок стиральный",F1369="Продажа",B1369=DATE(2023,6,7)),E1369*J1369/1000,0)</f>
        <v/>
      </c>
    </row>
    <row r="1370">
      <c r="A1370" t="n">
        <v>1369</v>
      </c>
      <c r="B1370" s="1" t="n">
        <v>45084</v>
      </c>
      <c r="C1370" s="5" t="inlineStr">
        <is>
          <t>M7</t>
        </is>
      </c>
      <c r="D1370" s="5" t="n">
        <v>1</v>
      </c>
      <c r="E1370" s="5" t="n">
        <v>253</v>
      </c>
      <c r="F1370" t="inlineStr">
        <is>
          <t>Продажа</t>
        </is>
      </c>
      <c r="H1370">
        <f>VLOOKUP(C1370,Магазин!$A$2:$C$1000,2,0)</f>
        <v/>
      </c>
      <c r="I1370">
        <f>VLOOKUP(D1370,Товар!$A$2:$F$1000,3,0)</f>
        <v/>
      </c>
      <c r="J1370">
        <f>VLOOKUP(D1370,Товар!$A$2:$F$1000,5,0)</f>
        <v/>
      </c>
      <c r="K1370">
        <f>IF(AND(H1370="Промышленный",LEFT(I1370,18)="Порошок стиральный",F1370="Продажа",B1370=DATE(2023,6,7)),E1370*J1370/1000,0)</f>
        <v/>
      </c>
    </row>
    <row r="1371">
      <c r="A1371" t="n">
        <v>1370</v>
      </c>
      <c r="B1371" s="1" t="n">
        <v>45084</v>
      </c>
      <c r="C1371" s="5" t="inlineStr">
        <is>
          <t>M7</t>
        </is>
      </c>
      <c r="D1371" s="5" t="n">
        <v>2</v>
      </c>
      <c r="E1371" s="5" t="n">
        <v>261</v>
      </c>
      <c r="F1371" t="inlineStr">
        <is>
          <t>Продажа</t>
        </is>
      </c>
      <c r="H1371">
        <f>VLOOKUP(C1371,Магазин!$A$2:$C$1000,2,0)</f>
        <v/>
      </c>
      <c r="I1371">
        <f>VLOOKUP(D1371,Товар!$A$2:$F$1000,3,0)</f>
        <v/>
      </c>
      <c r="J1371">
        <f>VLOOKUP(D1371,Товар!$A$2:$F$1000,5,0)</f>
        <v/>
      </c>
      <c r="K1371">
        <f>IF(AND(H1371="Промышленный",LEFT(I1371,18)="Порошок стиральный",F1371="Продажа",B1371=DATE(2023,6,7)),E1371*J1371/1000,0)</f>
        <v/>
      </c>
    </row>
    <row r="1372">
      <c r="A1372" t="n">
        <v>1371</v>
      </c>
      <c r="B1372" s="1" t="n">
        <v>45084</v>
      </c>
      <c r="C1372" s="5" t="inlineStr">
        <is>
          <t>M7</t>
        </is>
      </c>
      <c r="D1372" s="5" t="n">
        <v>3</v>
      </c>
      <c r="E1372" s="5" t="n">
        <v>276</v>
      </c>
      <c r="F1372" t="inlineStr">
        <is>
          <t>Продажа</t>
        </is>
      </c>
      <c r="H1372">
        <f>VLOOKUP(C1372,Магазин!$A$2:$C$1000,2,0)</f>
        <v/>
      </c>
      <c r="I1372">
        <f>VLOOKUP(D1372,Товар!$A$2:$F$1000,3,0)</f>
        <v/>
      </c>
      <c r="J1372">
        <f>VLOOKUP(D1372,Товар!$A$2:$F$1000,5,0)</f>
        <v/>
      </c>
      <c r="K1372">
        <f>IF(AND(H1372="Промышленный",LEFT(I1372,18)="Порошок стиральный",F1372="Продажа",B1372=DATE(2023,6,7)),E1372*J1372/1000,0)</f>
        <v/>
      </c>
    </row>
    <row r="1373">
      <c r="A1373" t="n">
        <v>1372</v>
      </c>
      <c r="B1373" s="1" t="n">
        <v>45084</v>
      </c>
      <c r="C1373" s="5" t="inlineStr">
        <is>
          <t>M7</t>
        </is>
      </c>
      <c r="D1373" s="5" t="n">
        <v>4</v>
      </c>
      <c r="E1373" s="5" t="n">
        <v>248</v>
      </c>
      <c r="F1373" t="inlineStr">
        <is>
          <t>Продажа</t>
        </is>
      </c>
      <c r="H1373">
        <f>VLOOKUP(C1373,Магазин!$A$2:$C$1000,2,0)</f>
        <v/>
      </c>
      <c r="I1373">
        <f>VLOOKUP(D1373,Товар!$A$2:$F$1000,3,0)</f>
        <v/>
      </c>
      <c r="J1373">
        <f>VLOOKUP(D1373,Товар!$A$2:$F$1000,5,0)</f>
        <v/>
      </c>
      <c r="K1373">
        <f>IF(AND(H1373="Промышленный",LEFT(I1373,18)="Порошок стиральный",F1373="Продажа",B1373=DATE(2023,6,7)),E1373*J1373/1000,0)</f>
        <v/>
      </c>
    </row>
    <row r="1374">
      <c r="A1374" t="n">
        <v>1373</v>
      </c>
      <c r="B1374" s="1" t="n">
        <v>45084</v>
      </c>
      <c r="C1374" s="5" t="inlineStr">
        <is>
          <t>M7</t>
        </is>
      </c>
      <c r="D1374" s="5" t="n">
        <v>5</v>
      </c>
      <c r="E1374" s="5" t="n">
        <v>249</v>
      </c>
      <c r="F1374" t="inlineStr">
        <is>
          <t>Продажа</t>
        </is>
      </c>
      <c r="H1374">
        <f>VLOOKUP(C1374,Магазин!$A$2:$C$1000,2,0)</f>
        <v/>
      </c>
      <c r="I1374">
        <f>VLOOKUP(D1374,Товар!$A$2:$F$1000,3,0)</f>
        <v/>
      </c>
      <c r="J1374">
        <f>VLOOKUP(D1374,Товар!$A$2:$F$1000,5,0)</f>
        <v/>
      </c>
      <c r="K1374">
        <f>IF(AND(H1374="Промышленный",LEFT(I1374,18)="Порошок стиральный",F1374="Продажа",B1374=DATE(2023,6,7)),E1374*J1374/1000,0)</f>
        <v/>
      </c>
    </row>
    <row r="1375">
      <c r="A1375" t="n">
        <v>1374</v>
      </c>
      <c r="B1375" s="1" t="n">
        <v>45084</v>
      </c>
      <c r="C1375" s="5" t="inlineStr">
        <is>
          <t>M7</t>
        </is>
      </c>
      <c r="D1375" s="5" t="n">
        <v>6</v>
      </c>
      <c r="E1375" s="5" t="n">
        <v>234</v>
      </c>
      <c r="F1375" t="inlineStr">
        <is>
          <t>Продажа</t>
        </is>
      </c>
      <c r="H1375">
        <f>VLOOKUP(C1375,Магазин!$A$2:$C$1000,2,0)</f>
        <v/>
      </c>
      <c r="I1375">
        <f>VLOOKUP(D1375,Товар!$A$2:$F$1000,3,0)</f>
        <v/>
      </c>
      <c r="J1375">
        <f>VLOOKUP(D1375,Товар!$A$2:$F$1000,5,0)</f>
        <v/>
      </c>
      <c r="K1375">
        <f>IF(AND(H1375="Промышленный",LEFT(I1375,18)="Порошок стиральный",F1375="Продажа",B1375=DATE(2023,6,7)),E1375*J1375/1000,0)</f>
        <v/>
      </c>
    </row>
    <row r="1376">
      <c r="A1376" t="n">
        <v>1375</v>
      </c>
      <c r="B1376" s="1" t="n">
        <v>45084</v>
      </c>
      <c r="C1376" s="5" t="inlineStr">
        <is>
          <t>M7</t>
        </is>
      </c>
      <c r="D1376" s="5" t="n">
        <v>7</v>
      </c>
      <c r="E1376" s="5" t="n">
        <v>238</v>
      </c>
      <c r="F1376" t="inlineStr">
        <is>
          <t>Продажа</t>
        </is>
      </c>
      <c r="H1376">
        <f>VLOOKUP(C1376,Магазин!$A$2:$C$1000,2,0)</f>
        <v/>
      </c>
      <c r="I1376">
        <f>VLOOKUP(D1376,Товар!$A$2:$F$1000,3,0)</f>
        <v/>
      </c>
      <c r="J1376">
        <f>VLOOKUP(D1376,Товар!$A$2:$F$1000,5,0)</f>
        <v/>
      </c>
      <c r="K1376">
        <f>IF(AND(H1376="Промышленный",LEFT(I1376,18)="Порошок стиральный",F1376="Продажа",B1376=DATE(2023,6,7)),E1376*J1376/1000,0)</f>
        <v/>
      </c>
    </row>
    <row r="1377">
      <c r="A1377" t="n">
        <v>1376</v>
      </c>
      <c r="B1377" s="1" t="n">
        <v>45084</v>
      </c>
      <c r="C1377" s="5" t="inlineStr">
        <is>
          <t>M7</t>
        </is>
      </c>
      <c r="D1377" s="5" t="n">
        <v>8</v>
      </c>
      <c r="E1377" s="5" t="n">
        <v>295</v>
      </c>
      <c r="F1377" t="inlineStr">
        <is>
          <t>Продажа</t>
        </is>
      </c>
      <c r="H1377">
        <f>VLOOKUP(C1377,Магазин!$A$2:$C$1000,2,0)</f>
        <v/>
      </c>
      <c r="I1377">
        <f>VLOOKUP(D1377,Товар!$A$2:$F$1000,3,0)</f>
        <v/>
      </c>
      <c r="J1377">
        <f>VLOOKUP(D1377,Товар!$A$2:$F$1000,5,0)</f>
        <v/>
      </c>
      <c r="K1377">
        <f>IF(AND(H1377="Промышленный",LEFT(I1377,18)="Порошок стиральный",F1377="Продажа",B1377=DATE(2023,6,7)),E1377*J1377/1000,0)</f>
        <v/>
      </c>
    </row>
    <row r="1378">
      <c r="A1378" t="n">
        <v>1377</v>
      </c>
      <c r="B1378" s="1" t="n">
        <v>45084</v>
      </c>
      <c r="C1378" s="5" t="inlineStr">
        <is>
          <t>M7</t>
        </is>
      </c>
      <c r="D1378" s="5" t="n">
        <v>9</v>
      </c>
      <c r="E1378" s="5" t="n">
        <v>211</v>
      </c>
      <c r="F1378" t="inlineStr">
        <is>
          <t>Продажа</t>
        </is>
      </c>
      <c r="H1378">
        <f>VLOOKUP(C1378,Магазин!$A$2:$C$1000,2,0)</f>
        <v/>
      </c>
      <c r="I1378">
        <f>VLOOKUP(D1378,Товар!$A$2:$F$1000,3,0)</f>
        <v/>
      </c>
      <c r="J1378">
        <f>VLOOKUP(D1378,Товар!$A$2:$F$1000,5,0)</f>
        <v/>
      </c>
      <c r="K1378">
        <f>IF(AND(H1378="Промышленный",LEFT(I1378,18)="Порошок стиральный",F1378="Продажа",B1378=DATE(2023,6,7)),E1378*J1378/1000,0)</f>
        <v/>
      </c>
    </row>
    <row r="1379">
      <c r="A1379" t="n">
        <v>1378</v>
      </c>
      <c r="B1379" s="1" t="n">
        <v>45084</v>
      </c>
      <c r="C1379" s="5" t="inlineStr">
        <is>
          <t>M7</t>
        </is>
      </c>
      <c r="D1379" s="5" t="n">
        <v>10</v>
      </c>
      <c r="E1379" s="5" t="n">
        <v>233</v>
      </c>
      <c r="F1379" t="inlineStr">
        <is>
          <t>Продажа</t>
        </is>
      </c>
      <c r="H1379">
        <f>VLOOKUP(C1379,Магазин!$A$2:$C$1000,2,0)</f>
        <v/>
      </c>
      <c r="I1379">
        <f>VLOOKUP(D1379,Товар!$A$2:$F$1000,3,0)</f>
        <v/>
      </c>
      <c r="J1379">
        <f>VLOOKUP(D1379,Товар!$A$2:$F$1000,5,0)</f>
        <v/>
      </c>
      <c r="K1379">
        <f>IF(AND(H1379="Промышленный",LEFT(I1379,18)="Порошок стиральный",F1379="Продажа",B1379=DATE(2023,6,7)),E1379*J1379/1000,0)</f>
        <v/>
      </c>
    </row>
    <row r="1380">
      <c r="A1380" t="n">
        <v>1379</v>
      </c>
      <c r="B1380" s="1" t="n">
        <v>45084</v>
      </c>
      <c r="C1380" s="5" t="inlineStr">
        <is>
          <t>M7</t>
        </is>
      </c>
      <c r="D1380" s="5" t="n">
        <v>11</v>
      </c>
      <c r="E1380" s="5" t="n">
        <v>244</v>
      </c>
      <c r="F1380" t="inlineStr">
        <is>
          <t>Продажа</t>
        </is>
      </c>
      <c r="H1380">
        <f>VLOOKUP(C1380,Магазин!$A$2:$C$1000,2,0)</f>
        <v/>
      </c>
      <c r="I1380">
        <f>VLOOKUP(D1380,Товар!$A$2:$F$1000,3,0)</f>
        <v/>
      </c>
      <c r="J1380">
        <f>VLOOKUP(D1380,Товар!$A$2:$F$1000,5,0)</f>
        <v/>
      </c>
      <c r="K1380">
        <f>IF(AND(H1380="Промышленный",LEFT(I1380,18)="Порошок стиральный",F1380="Продажа",B1380=DATE(2023,6,7)),E1380*J1380/1000,0)</f>
        <v/>
      </c>
    </row>
    <row r="1381">
      <c r="A1381" t="n">
        <v>1380</v>
      </c>
      <c r="B1381" s="1" t="n">
        <v>45084</v>
      </c>
      <c r="C1381" s="5" t="inlineStr">
        <is>
          <t>M7</t>
        </is>
      </c>
      <c r="D1381" s="5" t="n">
        <v>12</v>
      </c>
      <c r="E1381" s="5" t="n">
        <v>255</v>
      </c>
      <c r="F1381" t="inlineStr">
        <is>
          <t>Продажа</t>
        </is>
      </c>
      <c r="H1381">
        <f>VLOOKUP(C1381,Магазин!$A$2:$C$1000,2,0)</f>
        <v/>
      </c>
      <c r="I1381">
        <f>VLOOKUP(D1381,Товар!$A$2:$F$1000,3,0)</f>
        <v/>
      </c>
      <c r="J1381">
        <f>VLOOKUP(D1381,Товар!$A$2:$F$1000,5,0)</f>
        <v/>
      </c>
      <c r="K1381">
        <f>IF(AND(H1381="Промышленный",LEFT(I1381,18)="Порошок стиральный",F1381="Продажа",B1381=DATE(2023,6,7)),E1381*J1381/1000,0)</f>
        <v/>
      </c>
    </row>
    <row r="1382">
      <c r="A1382" t="n">
        <v>1381</v>
      </c>
      <c r="B1382" s="1" t="n">
        <v>45084</v>
      </c>
      <c r="C1382" s="5" t="inlineStr">
        <is>
          <t>M7</t>
        </is>
      </c>
      <c r="D1382" s="5" t="n">
        <v>13</v>
      </c>
      <c r="E1382" s="5" t="n">
        <v>266</v>
      </c>
      <c r="F1382" t="inlineStr">
        <is>
          <t>Продажа</t>
        </is>
      </c>
      <c r="H1382">
        <f>VLOOKUP(C1382,Магазин!$A$2:$C$1000,2,0)</f>
        <v/>
      </c>
      <c r="I1382">
        <f>VLOOKUP(D1382,Товар!$A$2:$F$1000,3,0)</f>
        <v/>
      </c>
      <c r="J1382">
        <f>VLOOKUP(D1382,Товар!$A$2:$F$1000,5,0)</f>
        <v/>
      </c>
      <c r="K1382">
        <f>IF(AND(H1382="Промышленный",LEFT(I1382,18)="Порошок стиральный",F1382="Продажа",B1382=DATE(2023,6,7)),E1382*J1382/1000,0)</f>
        <v/>
      </c>
    </row>
    <row r="1383">
      <c r="A1383" t="n">
        <v>1382</v>
      </c>
      <c r="B1383" s="1" t="n">
        <v>45084</v>
      </c>
      <c r="C1383" s="5" t="inlineStr">
        <is>
          <t>M7</t>
        </is>
      </c>
      <c r="D1383" s="5" t="n">
        <v>14</v>
      </c>
      <c r="E1383" s="5" t="n">
        <v>277</v>
      </c>
      <c r="F1383" t="inlineStr">
        <is>
          <t>Продажа</t>
        </is>
      </c>
      <c r="H1383">
        <f>VLOOKUP(C1383,Магазин!$A$2:$C$1000,2,0)</f>
        <v/>
      </c>
      <c r="I1383">
        <f>VLOOKUP(D1383,Товар!$A$2:$F$1000,3,0)</f>
        <v/>
      </c>
      <c r="J1383">
        <f>VLOOKUP(D1383,Товар!$A$2:$F$1000,5,0)</f>
        <v/>
      </c>
      <c r="K1383">
        <f>IF(AND(H1383="Промышленный",LEFT(I1383,18)="Порошок стиральный",F1383="Продажа",B1383=DATE(2023,6,7)),E1383*J1383/1000,0)</f>
        <v/>
      </c>
    </row>
    <row r="1384">
      <c r="A1384" t="n">
        <v>1383</v>
      </c>
      <c r="B1384" s="1" t="n">
        <v>45084</v>
      </c>
      <c r="C1384" s="5" t="inlineStr">
        <is>
          <t>M7</t>
        </is>
      </c>
      <c r="D1384" s="5" t="n">
        <v>15</v>
      </c>
      <c r="E1384" s="5" t="n">
        <v>288</v>
      </c>
      <c r="F1384" t="inlineStr">
        <is>
          <t>Продажа</t>
        </is>
      </c>
      <c r="H1384">
        <f>VLOOKUP(C1384,Магазин!$A$2:$C$1000,2,0)</f>
        <v/>
      </c>
      <c r="I1384">
        <f>VLOOKUP(D1384,Товар!$A$2:$F$1000,3,0)</f>
        <v/>
      </c>
      <c r="J1384">
        <f>VLOOKUP(D1384,Товар!$A$2:$F$1000,5,0)</f>
        <v/>
      </c>
      <c r="K1384">
        <f>IF(AND(H1384="Промышленный",LEFT(I1384,18)="Порошок стиральный",F1384="Продажа",B1384=DATE(2023,6,7)),E1384*J1384/1000,0)</f>
        <v/>
      </c>
    </row>
    <row r="1385">
      <c r="A1385" t="n">
        <v>1384</v>
      </c>
      <c r="B1385" s="1" t="n">
        <v>45084</v>
      </c>
      <c r="C1385" s="5" t="inlineStr">
        <is>
          <t>M7</t>
        </is>
      </c>
      <c r="D1385" s="5" t="n">
        <v>16</v>
      </c>
      <c r="E1385" s="5" t="n">
        <v>299</v>
      </c>
      <c r="F1385" t="inlineStr">
        <is>
          <t>Продажа</t>
        </is>
      </c>
      <c r="H1385">
        <f>VLOOKUP(C1385,Магазин!$A$2:$C$1000,2,0)</f>
        <v/>
      </c>
      <c r="I1385">
        <f>VLOOKUP(D1385,Товар!$A$2:$F$1000,3,0)</f>
        <v/>
      </c>
      <c r="J1385">
        <f>VLOOKUP(D1385,Товар!$A$2:$F$1000,5,0)</f>
        <v/>
      </c>
      <c r="K1385">
        <f>IF(AND(H1385="Промышленный",LEFT(I1385,18)="Порошок стиральный",F1385="Продажа",B1385=DATE(2023,6,7)),E1385*J1385/1000,0)</f>
        <v/>
      </c>
    </row>
    <row r="1386">
      <c r="A1386" t="n">
        <v>1385</v>
      </c>
      <c r="B1386" s="1" t="n">
        <v>45084</v>
      </c>
      <c r="C1386" s="5" t="inlineStr">
        <is>
          <t>M7</t>
        </is>
      </c>
      <c r="D1386" s="5" t="n">
        <v>17</v>
      </c>
      <c r="E1386" s="5" t="n">
        <v>201</v>
      </c>
      <c r="F1386" t="inlineStr">
        <is>
          <t>Продажа</t>
        </is>
      </c>
      <c r="H1386">
        <f>VLOOKUP(C1386,Магазин!$A$2:$C$1000,2,0)</f>
        <v/>
      </c>
      <c r="I1386">
        <f>VLOOKUP(D1386,Товар!$A$2:$F$1000,3,0)</f>
        <v/>
      </c>
      <c r="J1386">
        <f>VLOOKUP(D1386,Товар!$A$2:$F$1000,5,0)</f>
        <v/>
      </c>
      <c r="K1386">
        <f>IF(AND(H1386="Промышленный",LEFT(I1386,18)="Порошок стиральный",F1386="Продажа",B1386=DATE(2023,6,7)),E1386*J1386/1000,0)</f>
        <v/>
      </c>
    </row>
    <row r="1387">
      <c r="A1387" t="n">
        <v>1386</v>
      </c>
      <c r="B1387" s="1" t="n">
        <v>45084</v>
      </c>
      <c r="C1387" s="5" t="inlineStr">
        <is>
          <t>M7</t>
        </is>
      </c>
      <c r="D1387" s="5" t="n">
        <v>18</v>
      </c>
      <c r="E1387" s="5" t="n">
        <v>205</v>
      </c>
      <c r="F1387" t="inlineStr">
        <is>
          <t>Продажа</t>
        </is>
      </c>
      <c r="H1387">
        <f>VLOOKUP(C1387,Магазин!$A$2:$C$1000,2,0)</f>
        <v/>
      </c>
      <c r="I1387">
        <f>VLOOKUP(D1387,Товар!$A$2:$F$1000,3,0)</f>
        <v/>
      </c>
      <c r="J1387">
        <f>VLOOKUP(D1387,Товар!$A$2:$F$1000,5,0)</f>
        <v/>
      </c>
      <c r="K1387">
        <f>IF(AND(H1387="Промышленный",LEFT(I1387,18)="Порошок стиральный",F1387="Продажа",B1387=DATE(2023,6,7)),E1387*J1387/1000,0)</f>
        <v/>
      </c>
    </row>
    <row r="1388">
      <c r="A1388" t="n">
        <v>1387</v>
      </c>
      <c r="B1388" s="1" t="n">
        <v>45084</v>
      </c>
      <c r="C1388" s="5" t="inlineStr">
        <is>
          <t>M7</t>
        </is>
      </c>
      <c r="D1388" s="5" t="n">
        <v>19</v>
      </c>
      <c r="E1388" s="5" t="n">
        <v>357</v>
      </c>
      <c r="F1388" t="inlineStr">
        <is>
          <t>Продажа</t>
        </is>
      </c>
      <c r="H1388">
        <f>VLOOKUP(C1388,Магазин!$A$2:$C$1000,2,0)</f>
        <v/>
      </c>
      <c r="I1388">
        <f>VLOOKUP(D1388,Товар!$A$2:$F$1000,3,0)</f>
        <v/>
      </c>
      <c r="J1388">
        <f>VLOOKUP(D1388,Товар!$A$2:$F$1000,5,0)</f>
        <v/>
      </c>
      <c r="K1388">
        <f>IF(AND(H1388="Промышленный",LEFT(I1388,18)="Порошок стиральный",F1388="Продажа",B1388=DATE(2023,6,7)),E1388*J1388/1000,0)</f>
        <v/>
      </c>
    </row>
    <row r="1389">
      <c r="A1389" t="n">
        <v>1388</v>
      </c>
      <c r="B1389" s="1" t="n">
        <v>45084</v>
      </c>
      <c r="C1389" s="5" t="inlineStr">
        <is>
          <t>M7</t>
        </is>
      </c>
      <c r="D1389" s="5" t="n">
        <v>20</v>
      </c>
      <c r="E1389" s="5" t="n">
        <v>268</v>
      </c>
      <c r="F1389" t="inlineStr">
        <is>
          <t>Продажа</t>
        </is>
      </c>
      <c r="H1389">
        <f>VLOOKUP(C1389,Магазин!$A$2:$C$1000,2,0)</f>
        <v/>
      </c>
      <c r="I1389">
        <f>VLOOKUP(D1389,Товар!$A$2:$F$1000,3,0)</f>
        <v/>
      </c>
      <c r="J1389">
        <f>VLOOKUP(D1389,Товар!$A$2:$F$1000,5,0)</f>
        <v/>
      </c>
      <c r="K1389">
        <f>IF(AND(H1389="Промышленный",LEFT(I1389,18)="Порошок стиральный",F1389="Продажа",B1389=DATE(2023,6,7)),E1389*J1389/1000,0)</f>
        <v/>
      </c>
    </row>
    <row r="1390">
      <c r="A1390" t="n">
        <v>1389</v>
      </c>
      <c r="B1390" s="1" t="n">
        <v>45084</v>
      </c>
      <c r="C1390" s="5" t="inlineStr">
        <is>
          <t>M7</t>
        </is>
      </c>
      <c r="D1390" s="5" t="n">
        <v>21</v>
      </c>
      <c r="E1390" s="5" t="n">
        <v>279</v>
      </c>
      <c r="F1390" t="inlineStr">
        <is>
          <t>Продажа</t>
        </is>
      </c>
      <c r="H1390">
        <f>VLOOKUP(C1390,Магазин!$A$2:$C$1000,2,0)</f>
        <v/>
      </c>
      <c r="I1390">
        <f>VLOOKUP(D1390,Товар!$A$2:$F$1000,3,0)</f>
        <v/>
      </c>
      <c r="J1390">
        <f>VLOOKUP(D1390,Товар!$A$2:$F$1000,5,0)</f>
        <v/>
      </c>
      <c r="K1390">
        <f>IF(AND(H1390="Промышленный",LEFT(I1390,18)="Порошок стиральный",F1390="Продажа",B1390=DATE(2023,6,7)),E1390*J1390/1000,0)</f>
        <v/>
      </c>
    </row>
    <row r="1391">
      <c r="A1391" t="n">
        <v>1390</v>
      </c>
      <c r="B1391" s="1" t="n">
        <v>45084</v>
      </c>
      <c r="C1391" s="5" t="inlineStr">
        <is>
          <t>M7</t>
        </is>
      </c>
      <c r="D1391" s="5" t="n">
        <v>22</v>
      </c>
      <c r="E1391" s="5" t="n">
        <v>281</v>
      </c>
      <c r="F1391" t="inlineStr">
        <is>
          <t>Продажа</t>
        </is>
      </c>
      <c r="H1391">
        <f>VLOOKUP(C1391,Магазин!$A$2:$C$1000,2,0)</f>
        <v/>
      </c>
      <c r="I1391">
        <f>VLOOKUP(D1391,Товар!$A$2:$F$1000,3,0)</f>
        <v/>
      </c>
      <c r="J1391">
        <f>VLOOKUP(D1391,Товар!$A$2:$F$1000,5,0)</f>
        <v/>
      </c>
      <c r="K1391">
        <f>IF(AND(H1391="Промышленный",LEFT(I1391,18)="Порошок стиральный",F1391="Продажа",B1391=DATE(2023,6,7)),E1391*J1391/1000,0)</f>
        <v/>
      </c>
    </row>
    <row r="1392">
      <c r="A1392" t="n">
        <v>1391</v>
      </c>
      <c r="B1392" s="1" t="n">
        <v>45084</v>
      </c>
      <c r="C1392" s="5" t="inlineStr">
        <is>
          <t>M7</t>
        </is>
      </c>
      <c r="D1392" s="5" t="n">
        <v>23</v>
      </c>
      <c r="E1392" s="5" t="n">
        <v>292</v>
      </c>
      <c r="F1392" t="inlineStr">
        <is>
          <t>Продажа</t>
        </is>
      </c>
      <c r="H1392">
        <f>VLOOKUP(C1392,Магазин!$A$2:$C$1000,2,0)</f>
        <v/>
      </c>
      <c r="I1392">
        <f>VLOOKUP(D1392,Товар!$A$2:$F$1000,3,0)</f>
        <v/>
      </c>
      <c r="J1392">
        <f>VLOOKUP(D1392,Товар!$A$2:$F$1000,5,0)</f>
        <v/>
      </c>
      <c r="K1392">
        <f>IF(AND(H1392="Промышленный",LEFT(I1392,18)="Порошок стиральный",F1392="Продажа",B1392=DATE(2023,6,7)),E1392*J1392/1000,0)</f>
        <v/>
      </c>
    </row>
    <row r="1393">
      <c r="A1393" t="n">
        <v>1392</v>
      </c>
      <c r="B1393" s="1" t="n">
        <v>45084</v>
      </c>
      <c r="C1393" s="5" t="inlineStr">
        <is>
          <t>M7</t>
        </is>
      </c>
      <c r="D1393" s="5" t="n">
        <v>24</v>
      </c>
      <c r="E1393" s="5" t="n">
        <v>203</v>
      </c>
      <c r="F1393" t="inlineStr">
        <is>
          <t>Продажа</t>
        </is>
      </c>
      <c r="H1393">
        <f>VLOOKUP(C1393,Магазин!$A$2:$C$1000,2,0)</f>
        <v/>
      </c>
      <c r="I1393">
        <f>VLOOKUP(D1393,Товар!$A$2:$F$1000,3,0)</f>
        <v/>
      </c>
      <c r="J1393">
        <f>VLOOKUP(D1393,Товар!$A$2:$F$1000,5,0)</f>
        <v/>
      </c>
      <c r="K1393">
        <f>IF(AND(H1393="Промышленный",LEFT(I1393,18)="Порошок стиральный",F1393="Продажа",B1393=DATE(2023,6,7)),E1393*J1393/1000,0)</f>
        <v/>
      </c>
    </row>
    <row r="1394">
      <c r="A1394" t="n">
        <v>1393</v>
      </c>
      <c r="B1394" s="1" t="n">
        <v>45084</v>
      </c>
      <c r="C1394" s="5" t="inlineStr">
        <is>
          <t>M7</t>
        </is>
      </c>
      <c r="D1394" s="5" t="n">
        <v>25</v>
      </c>
      <c r="E1394" s="5" t="n">
        <v>214</v>
      </c>
      <c r="F1394" t="inlineStr">
        <is>
          <t>Продажа</t>
        </is>
      </c>
      <c r="H1394">
        <f>VLOOKUP(C1394,Магазин!$A$2:$C$1000,2,0)</f>
        <v/>
      </c>
      <c r="I1394">
        <f>VLOOKUP(D1394,Товар!$A$2:$F$1000,3,0)</f>
        <v/>
      </c>
      <c r="J1394">
        <f>VLOOKUP(D1394,Товар!$A$2:$F$1000,5,0)</f>
        <v/>
      </c>
      <c r="K1394">
        <f>IF(AND(H1394="Промышленный",LEFT(I1394,18)="Порошок стиральный",F1394="Продажа",B1394=DATE(2023,6,7)),E1394*J1394/1000,0)</f>
        <v/>
      </c>
    </row>
    <row r="1395">
      <c r="A1395" t="n">
        <v>1394</v>
      </c>
      <c r="B1395" s="1" t="n">
        <v>45084</v>
      </c>
      <c r="C1395" s="5" t="inlineStr">
        <is>
          <t>M7</t>
        </is>
      </c>
      <c r="D1395" s="5" t="n">
        <v>26</v>
      </c>
      <c r="E1395" s="5" t="n">
        <v>225</v>
      </c>
      <c r="F1395" t="inlineStr">
        <is>
          <t>Продажа</t>
        </is>
      </c>
      <c r="H1395">
        <f>VLOOKUP(C1395,Магазин!$A$2:$C$1000,2,0)</f>
        <v/>
      </c>
      <c r="I1395">
        <f>VLOOKUP(D1395,Товар!$A$2:$F$1000,3,0)</f>
        <v/>
      </c>
      <c r="J1395">
        <f>VLOOKUP(D1395,Товар!$A$2:$F$1000,5,0)</f>
        <v/>
      </c>
      <c r="K1395">
        <f>IF(AND(H1395="Промышленный",LEFT(I1395,18)="Порошок стиральный",F1395="Продажа",B1395=DATE(2023,6,7)),E1395*J1395/1000,0)</f>
        <v/>
      </c>
    </row>
    <row r="1396">
      <c r="A1396" t="n">
        <v>1395</v>
      </c>
      <c r="B1396" s="1" t="n">
        <v>45084</v>
      </c>
      <c r="C1396" s="5" t="inlineStr">
        <is>
          <t>M7</t>
        </is>
      </c>
      <c r="D1396" s="5" t="n">
        <v>27</v>
      </c>
      <c r="E1396" s="5" t="n">
        <v>236</v>
      </c>
      <c r="F1396" t="inlineStr">
        <is>
          <t>Продажа</t>
        </is>
      </c>
      <c r="H1396">
        <f>VLOOKUP(C1396,Магазин!$A$2:$C$1000,2,0)</f>
        <v/>
      </c>
      <c r="I1396">
        <f>VLOOKUP(D1396,Товар!$A$2:$F$1000,3,0)</f>
        <v/>
      </c>
      <c r="J1396">
        <f>VLOOKUP(D1396,Товар!$A$2:$F$1000,5,0)</f>
        <v/>
      </c>
      <c r="K1396">
        <f>IF(AND(H1396="Промышленный",LEFT(I1396,18)="Порошок стиральный",F1396="Продажа",B1396=DATE(2023,6,7)),E1396*J1396/1000,0)</f>
        <v/>
      </c>
    </row>
    <row r="1397">
      <c r="A1397" t="n">
        <v>1396</v>
      </c>
      <c r="B1397" s="1" t="n">
        <v>45084</v>
      </c>
      <c r="C1397" s="5" t="inlineStr">
        <is>
          <t>M7</t>
        </is>
      </c>
      <c r="D1397" s="5" t="n">
        <v>28</v>
      </c>
      <c r="E1397" s="5" t="n">
        <v>247</v>
      </c>
      <c r="F1397" t="inlineStr">
        <is>
          <t>Продажа</t>
        </is>
      </c>
      <c r="H1397">
        <f>VLOOKUP(C1397,Магазин!$A$2:$C$1000,2,0)</f>
        <v/>
      </c>
      <c r="I1397">
        <f>VLOOKUP(D1397,Товар!$A$2:$F$1000,3,0)</f>
        <v/>
      </c>
      <c r="J1397">
        <f>VLOOKUP(D1397,Товар!$A$2:$F$1000,5,0)</f>
        <v/>
      </c>
      <c r="K1397">
        <f>IF(AND(H1397="Промышленный",LEFT(I1397,18)="Порошок стиральный",F1397="Продажа",B1397=DATE(2023,6,7)),E1397*J1397/1000,0)</f>
        <v/>
      </c>
    </row>
    <row r="1398">
      <c r="A1398" t="n">
        <v>1397</v>
      </c>
      <c r="B1398" s="1" t="n">
        <v>45084</v>
      </c>
      <c r="C1398" s="5" t="inlineStr">
        <is>
          <t>M7</t>
        </is>
      </c>
      <c r="D1398" s="5" t="n">
        <v>29</v>
      </c>
      <c r="E1398" s="5" t="n">
        <v>258</v>
      </c>
      <c r="F1398" t="inlineStr">
        <is>
          <t>Продажа</t>
        </is>
      </c>
      <c r="H1398">
        <f>VLOOKUP(C1398,Магазин!$A$2:$C$1000,2,0)</f>
        <v/>
      </c>
      <c r="I1398">
        <f>VLOOKUP(D1398,Товар!$A$2:$F$1000,3,0)</f>
        <v/>
      </c>
      <c r="J1398">
        <f>VLOOKUP(D1398,Товар!$A$2:$F$1000,5,0)</f>
        <v/>
      </c>
      <c r="K1398">
        <f>IF(AND(H1398="Промышленный",LEFT(I1398,18)="Порошок стиральный",F1398="Продажа",B1398=DATE(2023,6,7)),E1398*J1398/1000,0)</f>
        <v/>
      </c>
    </row>
    <row r="1399">
      <c r="A1399" t="n">
        <v>1398</v>
      </c>
      <c r="B1399" s="1" t="n">
        <v>45084</v>
      </c>
      <c r="C1399" s="5" t="inlineStr">
        <is>
          <t>M7</t>
        </is>
      </c>
      <c r="D1399" s="5" t="n">
        <v>30</v>
      </c>
      <c r="E1399" s="5" t="n">
        <v>256</v>
      </c>
      <c r="F1399" t="inlineStr">
        <is>
          <t>Продажа</t>
        </is>
      </c>
      <c r="H1399">
        <f>VLOOKUP(C1399,Магазин!$A$2:$C$1000,2,0)</f>
        <v/>
      </c>
      <c r="I1399">
        <f>VLOOKUP(D1399,Товар!$A$2:$F$1000,3,0)</f>
        <v/>
      </c>
      <c r="J1399">
        <f>VLOOKUP(D1399,Товар!$A$2:$F$1000,5,0)</f>
        <v/>
      </c>
      <c r="K1399">
        <f>IF(AND(H1399="Промышленный",LEFT(I1399,18)="Порошок стиральный",F1399="Продажа",B1399=DATE(2023,6,7)),E1399*J1399/1000,0)</f>
        <v/>
      </c>
    </row>
    <row r="1400">
      <c r="A1400" t="n">
        <v>1399</v>
      </c>
      <c r="B1400" s="1" t="n">
        <v>45084</v>
      </c>
      <c r="C1400" s="5" t="inlineStr">
        <is>
          <t>M7</t>
        </is>
      </c>
      <c r="D1400" s="5" t="n">
        <v>31</v>
      </c>
      <c r="E1400" s="5" t="n">
        <v>269</v>
      </c>
      <c r="F1400" t="inlineStr">
        <is>
          <t>Продажа</t>
        </is>
      </c>
      <c r="H1400">
        <f>VLOOKUP(C1400,Магазин!$A$2:$C$1000,2,0)</f>
        <v/>
      </c>
      <c r="I1400">
        <f>VLOOKUP(D1400,Товар!$A$2:$F$1000,3,0)</f>
        <v/>
      </c>
      <c r="J1400">
        <f>VLOOKUP(D1400,Товар!$A$2:$F$1000,5,0)</f>
        <v/>
      </c>
      <c r="K1400">
        <f>IF(AND(H1400="Промышленный",LEFT(I1400,18)="Порошок стиральный",F1400="Продажа",B1400=DATE(2023,6,7)),E1400*J1400/1000,0)</f>
        <v/>
      </c>
    </row>
    <row r="1401">
      <c r="A1401" t="n">
        <v>1400</v>
      </c>
      <c r="B1401" s="1" t="n">
        <v>45084</v>
      </c>
      <c r="C1401" s="5" t="inlineStr">
        <is>
          <t>M7</t>
        </is>
      </c>
      <c r="D1401" s="5" t="n">
        <v>32</v>
      </c>
      <c r="E1401" s="5" t="n">
        <v>204</v>
      </c>
      <c r="F1401" t="inlineStr">
        <is>
          <t>Продажа</t>
        </is>
      </c>
      <c r="H1401">
        <f>VLOOKUP(C1401,Магазин!$A$2:$C$1000,2,0)</f>
        <v/>
      </c>
      <c r="I1401">
        <f>VLOOKUP(D1401,Товар!$A$2:$F$1000,3,0)</f>
        <v/>
      </c>
      <c r="J1401">
        <f>VLOOKUP(D1401,Товар!$A$2:$F$1000,5,0)</f>
        <v/>
      </c>
      <c r="K1401">
        <f>IF(AND(H1401="Промышленный",LEFT(I1401,18)="Порошок стиральный",F1401="Продажа",B1401=DATE(2023,6,7)),E1401*J1401/1000,0)</f>
        <v/>
      </c>
    </row>
    <row r="1402">
      <c r="A1402" t="n">
        <v>1401</v>
      </c>
      <c r="B1402" s="1" t="n">
        <v>45084</v>
      </c>
      <c r="C1402" s="5" t="inlineStr">
        <is>
          <t>M7</t>
        </is>
      </c>
      <c r="D1402" s="5" t="n">
        <v>33</v>
      </c>
      <c r="E1402" s="5" t="n">
        <v>206</v>
      </c>
      <c r="F1402" t="inlineStr">
        <is>
          <t>Продажа</t>
        </is>
      </c>
      <c r="H1402">
        <f>VLOOKUP(C1402,Магазин!$A$2:$C$1000,2,0)</f>
        <v/>
      </c>
      <c r="I1402">
        <f>VLOOKUP(D1402,Товар!$A$2:$F$1000,3,0)</f>
        <v/>
      </c>
      <c r="J1402">
        <f>VLOOKUP(D1402,Товар!$A$2:$F$1000,5,0)</f>
        <v/>
      </c>
      <c r="K1402">
        <f>IF(AND(H1402="Промышленный",LEFT(I1402,18)="Порошок стиральный",F1402="Продажа",B1402=DATE(2023,6,7)),E1402*J1402/1000,0)</f>
        <v/>
      </c>
    </row>
    <row r="1403">
      <c r="A1403" t="n">
        <v>1402</v>
      </c>
      <c r="B1403" s="1" t="n">
        <v>45084</v>
      </c>
      <c r="C1403" s="5" t="inlineStr">
        <is>
          <t>M7</t>
        </is>
      </c>
      <c r="D1403" s="5" t="n">
        <v>34</v>
      </c>
      <c r="E1403" s="5" t="n">
        <v>208</v>
      </c>
      <c r="F1403" t="inlineStr">
        <is>
          <t>Продажа</t>
        </is>
      </c>
      <c r="H1403">
        <f>VLOOKUP(C1403,Магазин!$A$2:$C$1000,2,0)</f>
        <v/>
      </c>
      <c r="I1403">
        <f>VLOOKUP(D1403,Товар!$A$2:$F$1000,3,0)</f>
        <v/>
      </c>
      <c r="J1403">
        <f>VLOOKUP(D1403,Товар!$A$2:$F$1000,5,0)</f>
        <v/>
      </c>
      <c r="K1403">
        <f>IF(AND(H1403="Промышленный",LEFT(I1403,18)="Порошок стиральный",F1403="Продажа",B1403=DATE(2023,6,7)),E1403*J1403/1000,0)</f>
        <v/>
      </c>
    </row>
    <row r="1404">
      <c r="A1404" t="n">
        <v>1403</v>
      </c>
      <c r="B1404" s="1" t="n">
        <v>45084</v>
      </c>
      <c r="C1404" s="5" t="inlineStr">
        <is>
          <t>M7</t>
        </is>
      </c>
      <c r="D1404" s="5" t="n">
        <v>35</v>
      </c>
      <c r="E1404" s="5" t="n">
        <v>209</v>
      </c>
      <c r="F1404" t="inlineStr">
        <is>
          <t>Продажа</t>
        </is>
      </c>
      <c r="H1404">
        <f>VLOOKUP(C1404,Магазин!$A$2:$C$1000,2,0)</f>
        <v/>
      </c>
      <c r="I1404">
        <f>VLOOKUP(D1404,Товар!$A$2:$F$1000,3,0)</f>
        <v/>
      </c>
      <c r="J1404">
        <f>VLOOKUP(D1404,Товар!$A$2:$F$1000,5,0)</f>
        <v/>
      </c>
      <c r="K1404">
        <f>IF(AND(H1404="Промышленный",LEFT(I1404,18)="Порошок стиральный",F1404="Продажа",B1404=DATE(2023,6,7)),E1404*J1404/1000,0)</f>
        <v/>
      </c>
    </row>
    <row r="1405">
      <c r="A1405" t="n">
        <v>1404</v>
      </c>
      <c r="B1405" s="1" t="n">
        <v>45084</v>
      </c>
      <c r="C1405" s="5" t="inlineStr">
        <is>
          <t>M7</t>
        </is>
      </c>
      <c r="D1405" s="5" t="n">
        <v>36</v>
      </c>
      <c r="E1405" s="5" t="n">
        <v>299</v>
      </c>
      <c r="F1405" t="inlineStr">
        <is>
          <t>Продажа</t>
        </is>
      </c>
      <c r="H1405">
        <f>VLOOKUP(C1405,Магазин!$A$2:$C$1000,2,0)</f>
        <v/>
      </c>
      <c r="I1405">
        <f>VLOOKUP(D1405,Товар!$A$2:$F$1000,3,0)</f>
        <v/>
      </c>
      <c r="J1405">
        <f>VLOOKUP(D1405,Товар!$A$2:$F$1000,5,0)</f>
        <v/>
      </c>
      <c r="K1405">
        <f>IF(AND(H1405="Промышленный",LEFT(I1405,18)="Порошок стиральный",F1405="Продажа",B1405=DATE(2023,6,7)),E1405*J1405/1000,0)</f>
        <v/>
      </c>
    </row>
    <row r="1406">
      <c r="A1406" t="n">
        <v>1405</v>
      </c>
      <c r="B1406" s="1" t="n">
        <v>45084</v>
      </c>
      <c r="C1406" s="5" t="inlineStr">
        <is>
          <t>M8</t>
        </is>
      </c>
      <c r="D1406" s="5" t="n">
        <v>1</v>
      </c>
      <c r="E1406" s="5" t="n">
        <v>275</v>
      </c>
      <c r="F1406" t="inlineStr">
        <is>
          <t>Продажа</t>
        </is>
      </c>
      <c r="H1406">
        <f>VLOOKUP(C1406,Магазин!$A$2:$C$1000,2,0)</f>
        <v/>
      </c>
      <c r="I1406">
        <f>VLOOKUP(D1406,Товар!$A$2:$F$1000,3,0)</f>
        <v/>
      </c>
      <c r="J1406">
        <f>VLOOKUP(D1406,Товар!$A$2:$F$1000,5,0)</f>
        <v/>
      </c>
      <c r="K1406">
        <f>IF(AND(H1406="Промышленный",LEFT(I1406,18)="Порошок стиральный",F1406="Продажа",B1406=DATE(2023,6,7)),E1406*J1406/1000,0)</f>
        <v/>
      </c>
    </row>
    <row r="1407">
      <c r="A1407" t="n">
        <v>1406</v>
      </c>
      <c r="B1407" s="1" t="n">
        <v>45084</v>
      </c>
      <c r="C1407" s="5" t="inlineStr">
        <is>
          <t>M8</t>
        </is>
      </c>
      <c r="D1407" s="5" t="n">
        <v>2</v>
      </c>
      <c r="E1407" s="5" t="n">
        <v>234</v>
      </c>
      <c r="F1407" t="inlineStr">
        <is>
          <t>Продажа</t>
        </is>
      </c>
      <c r="H1407">
        <f>VLOOKUP(C1407,Магазин!$A$2:$C$1000,2,0)</f>
        <v/>
      </c>
      <c r="I1407">
        <f>VLOOKUP(D1407,Товар!$A$2:$F$1000,3,0)</f>
        <v/>
      </c>
      <c r="J1407">
        <f>VLOOKUP(D1407,Товар!$A$2:$F$1000,5,0)</f>
        <v/>
      </c>
      <c r="K1407">
        <f>IF(AND(H1407="Промышленный",LEFT(I1407,18)="Порошок стиральный",F1407="Продажа",B1407=DATE(2023,6,7)),E1407*J1407/1000,0)</f>
        <v/>
      </c>
    </row>
    <row r="1408">
      <c r="A1408" t="n">
        <v>1407</v>
      </c>
      <c r="B1408" s="1" t="n">
        <v>45084</v>
      </c>
      <c r="C1408" s="5" t="inlineStr">
        <is>
          <t>M8</t>
        </is>
      </c>
      <c r="D1408" s="5" t="n">
        <v>3</v>
      </c>
      <c r="E1408" s="5" t="n">
        <v>228</v>
      </c>
      <c r="F1408" t="inlineStr">
        <is>
          <t>Продажа</t>
        </is>
      </c>
      <c r="H1408">
        <f>VLOOKUP(C1408,Магазин!$A$2:$C$1000,2,0)</f>
        <v/>
      </c>
      <c r="I1408">
        <f>VLOOKUP(D1408,Товар!$A$2:$F$1000,3,0)</f>
        <v/>
      </c>
      <c r="J1408">
        <f>VLOOKUP(D1408,Товар!$A$2:$F$1000,5,0)</f>
        <v/>
      </c>
      <c r="K1408">
        <f>IF(AND(H1408="Промышленный",LEFT(I1408,18)="Порошок стиральный",F1408="Продажа",B1408=DATE(2023,6,7)),E1408*J1408/1000,0)</f>
        <v/>
      </c>
    </row>
    <row r="1409">
      <c r="A1409" t="n">
        <v>1408</v>
      </c>
      <c r="B1409" s="1" t="n">
        <v>45084</v>
      </c>
      <c r="C1409" s="5" t="inlineStr">
        <is>
          <t>M8</t>
        </is>
      </c>
      <c r="D1409" s="5" t="n">
        <v>4</v>
      </c>
      <c r="E1409" s="5" t="n">
        <v>217</v>
      </c>
      <c r="F1409" t="inlineStr">
        <is>
          <t>Продажа</t>
        </is>
      </c>
      <c r="H1409">
        <f>VLOOKUP(C1409,Магазин!$A$2:$C$1000,2,0)</f>
        <v/>
      </c>
      <c r="I1409">
        <f>VLOOKUP(D1409,Товар!$A$2:$F$1000,3,0)</f>
        <v/>
      </c>
      <c r="J1409">
        <f>VLOOKUP(D1409,Товар!$A$2:$F$1000,5,0)</f>
        <v/>
      </c>
      <c r="K1409">
        <f>IF(AND(H1409="Промышленный",LEFT(I1409,18)="Порошок стиральный",F1409="Продажа",B1409=DATE(2023,6,7)),E1409*J1409/1000,0)</f>
        <v/>
      </c>
    </row>
    <row r="1410">
      <c r="A1410" t="n">
        <v>1409</v>
      </c>
      <c r="B1410" s="1" t="n">
        <v>45084</v>
      </c>
      <c r="C1410" s="5" t="inlineStr">
        <is>
          <t>M8</t>
        </is>
      </c>
      <c r="D1410" s="5" t="n">
        <v>5</v>
      </c>
      <c r="E1410" s="5" t="n">
        <v>258</v>
      </c>
      <c r="F1410" t="inlineStr">
        <is>
          <t>Продажа</t>
        </is>
      </c>
      <c r="H1410">
        <f>VLOOKUP(C1410,Магазин!$A$2:$C$1000,2,0)</f>
        <v/>
      </c>
      <c r="I1410">
        <f>VLOOKUP(D1410,Товар!$A$2:$F$1000,3,0)</f>
        <v/>
      </c>
      <c r="J1410">
        <f>VLOOKUP(D1410,Товар!$A$2:$F$1000,5,0)</f>
        <v/>
      </c>
      <c r="K1410">
        <f>IF(AND(H1410="Промышленный",LEFT(I1410,18)="Порошок стиральный",F1410="Продажа",B1410=DATE(2023,6,7)),E1410*J1410/1000,0)</f>
        <v/>
      </c>
    </row>
    <row r="1411">
      <c r="A1411" t="n">
        <v>1410</v>
      </c>
      <c r="B1411" s="1" t="n">
        <v>45084</v>
      </c>
      <c r="C1411" s="5" t="inlineStr">
        <is>
          <t>M8</t>
        </is>
      </c>
      <c r="D1411" s="5" t="n">
        <v>6</v>
      </c>
      <c r="E1411" s="5" t="n">
        <v>199</v>
      </c>
      <c r="F1411" t="inlineStr">
        <is>
          <t>Продажа</t>
        </is>
      </c>
      <c r="H1411">
        <f>VLOOKUP(C1411,Магазин!$A$2:$C$1000,2,0)</f>
        <v/>
      </c>
      <c r="I1411">
        <f>VLOOKUP(D1411,Товар!$A$2:$F$1000,3,0)</f>
        <v/>
      </c>
      <c r="J1411">
        <f>VLOOKUP(D1411,Товар!$A$2:$F$1000,5,0)</f>
        <v/>
      </c>
      <c r="K1411">
        <f>IF(AND(H1411="Промышленный",LEFT(I1411,18)="Порошок стиральный",F1411="Продажа",B1411=DATE(2023,6,7)),E1411*J1411/1000,0)</f>
        <v/>
      </c>
    </row>
    <row r="1412">
      <c r="A1412" t="n">
        <v>1411</v>
      </c>
      <c r="B1412" s="1" t="n">
        <v>45084</v>
      </c>
      <c r="C1412" s="5" t="inlineStr">
        <is>
          <t>M8</t>
        </is>
      </c>
      <c r="D1412" s="5" t="n">
        <v>7</v>
      </c>
      <c r="E1412" s="5" t="n">
        <v>248</v>
      </c>
      <c r="F1412" t="inlineStr">
        <is>
          <t>Продажа</t>
        </is>
      </c>
      <c r="H1412">
        <f>VLOOKUP(C1412,Магазин!$A$2:$C$1000,2,0)</f>
        <v/>
      </c>
      <c r="I1412">
        <f>VLOOKUP(D1412,Товар!$A$2:$F$1000,3,0)</f>
        <v/>
      </c>
      <c r="J1412">
        <f>VLOOKUP(D1412,Товар!$A$2:$F$1000,5,0)</f>
        <v/>
      </c>
      <c r="K1412">
        <f>IF(AND(H1412="Промышленный",LEFT(I1412,18)="Порошок стиральный",F1412="Продажа",B1412=DATE(2023,6,7)),E1412*J1412/1000,0)</f>
        <v/>
      </c>
    </row>
    <row r="1413">
      <c r="A1413" t="n">
        <v>1412</v>
      </c>
      <c r="B1413" s="1" t="n">
        <v>45084</v>
      </c>
      <c r="C1413" s="5" t="inlineStr">
        <is>
          <t>M8</t>
        </is>
      </c>
      <c r="D1413" s="5" t="n">
        <v>8</v>
      </c>
      <c r="E1413" s="5" t="n">
        <v>236</v>
      </c>
      <c r="F1413" t="inlineStr">
        <is>
          <t>Продажа</t>
        </is>
      </c>
      <c r="H1413">
        <f>VLOOKUP(C1413,Магазин!$A$2:$C$1000,2,0)</f>
        <v/>
      </c>
      <c r="I1413">
        <f>VLOOKUP(D1413,Товар!$A$2:$F$1000,3,0)</f>
        <v/>
      </c>
      <c r="J1413">
        <f>VLOOKUP(D1413,Товар!$A$2:$F$1000,5,0)</f>
        <v/>
      </c>
      <c r="K1413">
        <f>IF(AND(H1413="Промышленный",LEFT(I1413,18)="Порошок стиральный",F1413="Продажа",B1413=DATE(2023,6,7)),E1413*J1413/1000,0)</f>
        <v/>
      </c>
    </row>
    <row r="1414">
      <c r="A1414" t="n">
        <v>1413</v>
      </c>
      <c r="B1414" s="1" t="n">
        <v>45084</v>
      </c>
      <c r="C1414" s="5" t="inlineStr">
        <is>
          <t>M8</t>
        </is>
      </c>
      <c r="D1414" s="5" t="n">
        <v>9</v>
      </c>
      <c r="E1414" s="5" t="n">
        <v>287</v>
      </c>
      <c r="F1414" t="inlineStr">
        <is>
          <t>Продажа</t>
        </is>
      </c>
      <c r="H1414">
        <f>VLOOKUP(C1414,Магазин!$A$2:$C$1000,2,0)</f>
        <v/>
      </c>
      <c r="I1414">
        <f>VLOOKUP(D1414,Товар!$A$2:$F$1000,3,0)</f>
        <v/>
      </c>
      <c r="J1414">
        <f>VLOOKUP(D1414,Товар!$A$2:$F$1000,5,0)</f>
        <v/>
      </c>
      <c r="K1414">
        <f>IF(AND(H1414="Промышленный",LEFT(I1414,18)="Порошок стиральный",F1414="Продажа",B1414=DATE(2023,6,7)),E1414*J1414/1000,0)</f>
        <v/>
      </c>
    </row>
    <row r="1415">
      <c r="A1415" t="n">
        <v>1414</v>
      </c>
      <c r="B1415" s="1" t="n">
        <v>45084</v>
      </c>
      <c r="C1415" s="5" t="inlineStr">
        <is>
          <t>M8</t>
        </is>
      </c>
      <c r="D1415" s="5" t="n">
        <v>10</v>
      </c>
      <c r="E1415" s="5" t="n">
        <v>265</v>
      </c>
      <c r="F1415" t="inlineStr">
        <is>
          <t>Продажа</t>
        </is>
      </c>
      <c r="H1415">
        <f>VLOOKUP(C1415,Магазин!$A$2:$C$1000,2,0)</f>
        <v/>
      </c>
      <c r="I1415">
        <f>VLOOKUP(D1415,Товар!$A$2:$F$1000,3,0)</f>
        <v/>
      </c>
      <c r="J1415">
        <f>VLOOKUP(D1415,Товар!$A$2:$F$1000,5,0)</f>
        <v/>
      </c>
      <c r="K1415">
        <f>IF(AND(H1415="Промышленный",LEFT(I1415,18)="Порошок стиральный",F1415="Продажа",B1415=DATE(2023,6,7)),E1415*J1415/1000,0)</f>
        <v/>
      </c>
    </row>
    <row r="1416">
      <c r="A1416" t="n">
        <v>1415</v>
      </c>
      <c r="B1416" s="1" t="n">
        <v>45084</v>
      </c>
      <c r="C1416" s="5" t="inlineStr">
        <is>
          <t>M8</t>
        </is>
      </c>
      <c r="D1416" s="5" t="n">
        <v>11</v>
      </c>
      <c r="E1416" s="5" t="n">
        <v>234</v>
      </c>
      <c r="F1416" t="inlineStr">
        <is>
          <t>Продажа</t>
        </is>
      </c>
      <c r="H1416">
        <f>VLOOKUP(C1416,Магазин!$A$2:$C$1000,2,0)</f>
        <v/>
      </c>
      <c r="I1416">
        <f>VLOOKUP(D1416,Товар!$A$2:$F$1000,3,0)</f>
        <v/>
      </c>
      <c r="J1416">
        <f>VLOOKUP(D1416,Товар!$A$2:$F$1000,5,0)</f>
        <v/>
      </c>
      <c r="K1416">
        <f>IF(AND(H1416="Промышленный",LEFT(I1416,18)="Порошок стиральный",F1416="Продажа",B1416=DATE(2023,6,7)),E1416*J1416/1000,0)</f>
        <v/>
      </c>
    </row>
    <row r="1417">
      <c r="A1417" t="n">
        <v>1416</v>
      </c>
      <c r="B1417" s="1" t="n">
        <v>45084</v>
      </c>
      <c r="C1417" s="5" t="inlineStr">
        <is>
          <t>M8</t>
        </is>
      </c>
      <c r="D1417" s="5" t="n">
        <v>12</v>
      </c>
      <c r="E1417" s="5" t="n">
        <v>258</v>
      </c>
      <c r="F1417" t="inlineStr">
        <is>
          <t>Продажа</t>
        </is>
      </c>
      <c r="H1417">
        <f>VLOOKUP(C1417,Магазин!$A$2:$C$1000,2,0)</f>
        <v/>
      </c>
      <c r="I1417">
        <f>VLOOKUP(D1417,Товар!$A$2:$F$1000,3,0)</f>
        <v/>
      </c>
      <c r="J1417">
        <f>VLOOKUP(D1417,Товар!$A$2:$F$1000,5,0)</f>
        <v/>
      </c>
      <c r="K1417">
        <f>IF(AND(H1417="Промышленный",LEFT(I1417,18)="Порошок стиральный",F1417="Продажа",B1417=DATE(2023,6,7)),E1417*J1417/1000,0)</f>
        <v/>
      </c>
    </row>
    <row r="1418">
      <c r="A1418" t="n">
        <v>1417</v>
      </c>
      <c r="B1418" s="1" t="n">
        <v>45084</v>
      </c>
      <c r="C1418" s="5" t="inlineStr">
        <is>
          <t>M8</t>
        </is>
      </c>
      <c r="D1418" s="5" t="n">
        <v>13</v>
      </c>
      <c r="E1418" s="5" t="n">
        <v>264</v>
      </c>
      <c r="F1418" t="inlineStr">
        <is>
          <t>Продажа</t>
        </is>
      </c>
      <c r="H1418">
        <f>VLOOKUP(C1418,Магазин!$A$2:$C$1000,2,0)</f>
        <v/>
      </c>
      <c r="I1418">
        <f>VLOOKUP(D1418,Товар!$A$2:$F$1000,3,0)</f>
        <v/>
      </c>
      <c r="J1418">
        <f>VLOOKUP(D1418,Товар!$A$2:$F$1000,5,0)</f>
        <v/>
      </c>
      <c r="K1418">
        <f>IF(AND(H1418="Промышленный",LEFT(I1418,18)="Порошок стиральный",F1418="Продажа",B1418=DATE(2023,6,7)),E1418*J1418/1000,0)</f>
        <v/>
      </c>
    </row>
    <row r="1419">
      <c r="A1419" t="n">
        <v>1418</v>
      </c>
      <c r="B1419" s="1" t="n">
        <v>45084</v>
      </c>
      <c r="C1419" s="5" t="inlineStr">
        <is>
          <t>M8</t>
        </is>
      </c>
      <c r="D1419" s="5" t="n">
        <v>14</v>
      </c>
      <c r="E1419" s="5" t="n">
        <v>237</v>
      </c>
      <c r="F1419" t="inlineStr">
        <is>
          <t>Продажа</t>
        </is>
      </c>
      <c r="H1419">
        <f>VLOOKUP(C1419,Магазин!$A$2:$C$1000,2,0)</f>
        <v/>
      </c>
      <c r="I1419">
        <f>VLOOKUP(D1419,Товар!$A$2:$F$1000,3,0)</f>
        <v/>
      </c>
      <c r="J1419">
        <f>VLOOKUP(D1419,Товар!$A$2:$F$1000,5,0)</f>
        <v/>
      </c>
      <c r="K1419">
        <f>IF(AND(H1419="Промышленный",LEFT(I1419,18)="Порошок стиральный",F1419="Продажа",B1419=DATE(2023,6,7)),E1419*J1419/1000,0)</f>
        <v/>
      </c>
    </row>
    <row r="1420">
      <c r="A1420" t="n">
        <v>1419</v>
      </c>
      <c r="B1420" s="1" t="n">
        <v>45084</v>
      </c>
      <c r="C1420" s="5" t="inlineStr">
        <is>
          <t>M8</t>
        </is>
      </c>
      <c r="D1420" s="5" t="n">
        <v>15</v>
      </c>
      <c r="E1420" s="5" t="n">
        <v>218</v>
      </c>
      <c r="F1420" t="inlineStr">
        <is>
          <t>Продажа</t>
        </is>
      </c>
      <c r="H1420">
        <f>VLOOKUP(C1420,Магазин!$A$2:$C$1000,2,0)</f>
        <v/>
      </c>
      <c r="I1420">
        <f>VLOOKUP(D1420,Товар!$A$2:$F$1000,3,0)</f>
        <v/>
      </c>
      <c r="J1420">
        <f>VLOOKUP(D1420,Товар!$A$2:$F$1000,5,0)</f>
        <v/>
      </c>
      <c r="K1420">
        <f>IF(AND(H1420="Промышленный",LEFT(I1420,18)="Порошок стиральный",F1420="Продажа",B1420=DATE(2023,6,7)),E1420*J1420/1000,0)</f>
        <v/>
      </c>
    </row>
    <row r="1421">
      <c r="A1421" t="n">
        <v>1420</v>
      </c>
      <c r="B1421" s="1" t="n">
        <v>45084</v>
      </c>
      <c r="C1421" s="5" t="inlineStr">
        <is>
          <t>M8</t>
        </is>
      </c>
      <c r="D1421" s="5" t="n">
        <v>16</v>
      </c>
      <c r="E1421" s="5" t="n">
        <v>249</v>
      </c>
      <c r="F1421" t="inlineStr">
        <is>
          <t>Продажа</t>
        </is>
      </c>
      <c r="H1421">
        <f>VLOOKUP(C1421,Магазин!$A$2:$C$1000,2,0)</f>
        <v/>
      </c>
      <c r="I1421">
        <f>VLOOKUP(D1421,Товар!$A$2:$F$1000,3,0)</f>
        <v/>
      </c>
      <c r="J1421">
        <f>VLOOKUP(D1421,Товар!$A$2:$F$1000,5,0)</f>
        <v/>
      </c>
      <c r="K1421">
        <f>IF(AND(H1421="Промышленный",LEFT(I1421,18)="Порошок стиральный",F1421="Продажа",B1421=DATE(2023,6,7)),E1421*J1421/1000,0)</f>
        <v/>
      </c>
    </row>
    <row r="1422">
      <c r="A1422" t="n">
        <v>1421</v>
      </c>
      <c r="B1422" s="1" t="n">
        <v>45084</v>
      </c>
      <c r="C1422" s="5" t="inlineStr">
        <is>
          <t>M8</t>
        </is>
      </c>
      <c r="D1422" s="5" t="n">
        <v>17</v>
      </c>
      <c r="E1422" s="5" t="n">
        <v>273</v>
      </c>
      <c r="F1422" t="inlineStr">
        <is>
          <t>Продажа</t>
        </is>
      </c>
      <c r="H1422">
        <f>VLOOKUP(C1422,Магазин!$A$2:$C$1000,2,0)</f>
        <v/>
      </c>
      <c r="I1422">
        <f>VLOOKUP(D1422,Товар!$A$2:$F$1000,3,0)</f>
        <v/>
      </c>
      <c r="J1422">
        <f>VLOOKUP(D1422,Товар!$A$2:$F$1000,5,0)</f>
        <v/>
      </c>
      <c r="K1422">
        <f>IF(AND(H1422="Промышленный",LEFT(I1422,18)="Порошок стиральный",F1422="Продажа",B1422=DATE(2023,6,7)),E1422*J1422/1000,0)</f>
        <v/>
      </c>
    </row>
    <row r="1423">
      <c r="A1423" t="n">
        <v>1422</v>
      </c>
      <c r="B1423" s="1" t="n">
        <v>45084</v>
      </c>
      <c r="C1423" s="5" t="inlineStr">
        <is>
          <t>M8</t>
        </is>
      </c>
      <c r="D1423" s="5" t="n">
        <v>18</v>
      </c>
      <c r="E1423" s="5" t="n">
        <v>284</v>
      </c>
      <c r="F1423" t="inlineStr">
        <is>
          <t>Продажа</t>
        </is>
      </c>
      <c r="H1423">
        <f>VLOOKUP(C1423,Магазин!$A$2:$C$1000,2,0)</f>
        <v/>
      </c>
      <c r="I1423">
        <f>VLOOKUP(D1423,Товар!$A$2:$F$1000,3,0)</f>
        <v/>
      </c>
      <c r="J1423">
        <f>VLOOKUP(D1423,Товар!$A$2:$F$1000,5,0)</f>
        <v/>
      </c>
      <c r="K1423">
        <f>IF(AND(H1423="Промышленный",LEFT(I1423,18)="Порошок стиральный",F1423="Продажа",B1423=DATE(2023,6,7)),E1423*J1423/1000,0)</f>
        <v/>
      </c>
    </row>
    <row r="1424">
      <c r="A1424" t="n">
        <v>1423</v>
      </c>
      <c r="B1424" s="1" t="n">
        <v>45084</v>
      </c>
      <c r="C1424" s="5" t="inlineStr">
        <is>
          <t>M8</t>
        </is>
      </c>
      <c r="D1424" s="5" t="n">
        <v>19</v>
      </c>
      <c r="E1424" s="5" t="n">
        <v>253</v>
      </c>
      <c r="F1424" t="inlineStr">
        <is>
          <t>Продажа</t>
        </is>
      </c>
      <c r="H1424">
        <f>VLOOKUP(C1424,Магазин!$A$2:$C$1000,2,0)</f>
        <v/>
      </c>
      <c r="I1424">
        <f>VLOOKUP(D1424,Товар!$A$2:$F$1000,3,0)</f>
        <v/>
      </c>
      <c r="J1424">
        <f>VLOOKUP(D1424,Товар!$A$2:$F$1000,5,0)</f>
        <v/>
      </c>
      <c r="K1424">
        <f>IF(AND(H1424="Промышленный",LEFT(I1424,18)="Порошок стиральный",F1424="Продажа",B1424=DATE(2023,6,7)),E1424*J1424/1000,0)</f>
        <v/>
      </c>
    </row>
    <row r="1425">
      <c r="A1425" t="n">
        <v>1424</v>
      </c>
      <c r="B1425" s="1" t="n">
        <v>45084</v>
      </c>
      <c r="C1425" s="5" t="inlineStr">
        <is>
          <t>M8</t>
        </is>
      </c>
      <c r="D1425" s="5" t="n">
        <v>20</v>
      </c>
      <c r="E1425" s="5" t="n">
        <v>261</v>
      </c>
      <c r="F1425" t="inlineStr">
        <is>
          <t>Продажа</t>
        </is>
      </c>
      <c r="H1425">
        <f>VLOOKUP(C1425,Магазин!$A$2:$C$1000,2,0)</f>
        <v/>
      </c>
      <c r="I1425">
        <f>VLOOKUP(D1425,Товар!$A$2:$F$1000,3,0)</f>
        <v/>
      </c>
      <c r="J1425">
        <f>VLOOKUP(D1425,Товар!$A$2:$F$1000,5,0)</f>
        <v/>
      </c>
      <c r="K1425">
        <f>IF(AND(H1425="Промышленный",LEFT(I1425,18)="Порошок стиральный",F1425="Продажа",B1425=DATE(2023,6,7)),E1425*J1425/1000,0)</f>
        <v/>
      </c>
    </row>
    <row r="1426">
      <c r="A1426" t="n">
        <v>1425</v>
      </c>
      <c r="B1426" s="1" t="n">
        <v>45084</v>
      </c>
      <c r="C1426" s="5" t="inlineStr">
        <is>
          <t>M8</t>
        </is>
      </c>
      <c r="D1426" s="5" t="n">
        <v>21</v>
      </c>
      <c r="E1426" s="5" t="n">
        <v>276</v>
      </c>
      <c r="F1426" t="inlineStr">
        <is>
          <t>Продажа</t>
        </is>
      </c>
      <c r="H1426">
        <f>VLOOKUP(C1426,Магазин!$A$2:$C$1000,2,0)</f>
        <v/>
      </c>
      <c r="I1426">
        <f>VLOOKUP(D1426,Товар!$A$2:$F$1000,3,0)</f>
        <v/>
      </c>
      <c r="J1426">
        <f>VLOOKUP(D1426,Товар!$A$2:$F$1000,5,0)</f>
        <v/>
      </c>
      <c r="K1426">
        <f>IF(AND(H1426="Промышленный",LEFT(I1426,18)="Порошок стиральный",F1426="Продажа",B1426=DATE(2023,6,7)),E1426*J1426/1000,0)</f>
        <v/>
      </c>
    </row>
    <row r="1427">
      <c r="A1427" t="n">
        <v>1426</v>
      </c>
      <c r="B1427" s="1" t="n">
        <v>45084</v>
      </c>
      <c r="C1427" s="5" t="inlineStr">
        <is>
          <t>M8</t>
        </is>
      </c>
      <c r="D1427" s="5" t="n">
        <v>22</v>
      </c>
      <c r="E1427" s="5" t="n">
        <v>248</v>
      </c>
      <c r="F1427" t="inlineStr">
        <is>
          <t>Продажа</t>
        </is>
      </c>
      <c r="H1427">
        <f>VLOOKUP(C1427,Магазин!$A$2:$C$1000,2,0)</f>
        <v/>
      </c>
      <c r="I1427">
        <f>VLOOKUP(D1427,Товар!$A$2:$F$1000,3,0)</f>
        <v/>
      </c>
      <c r="J1427">
        <f>VLOOKUP(D1427,Товар!$A$2:$F$1000,5,0)</f>
        <v/>
      </c>
      <c r="K1427">
        <f>IF(AND(H1427="Промышленный",LEFT(I1427,18)="Порошок стиральный",F1427="Продажа",B1427=DATE(2023,6,7)),E1427*J1427/1000,0)</f>
        <v/>
      </c>
    </row>
    <row r="1428">
      <c r="A1428" t="n">
        <v>1427</v>
      </c>
      <c r="B1428" s="1" t="n">
        <v>45084</v>
      </c>
      <c r="C1428" s="5" t="inlineStr">
        <is>
          <t>M8</t>
        </is>
      </c>
      <c r="D1428" s="5" t="n">
        <v>23</v>
      </c>
      <c r="E1428" s="5" t="n">
        <v>249</v>
      </c>
      <c r="F1428" t="inlineStr">
        <is>
          <t>Продажа</t>
        </is>
      </c>
      <c r="H1428">
        <f>VLOOKUP(C1428,Магазин!$A$2:$C$1000,2,0)</f>
        <v/>
      </c>
      <c r="I1428">
        <f>VLOOKUP(D1428,Товар!$A$2:$F$1000,3,0)</f>
        <v/>
      </c>
      <c r="J1428">
        <f>VLOOKUP(D1428,Товар!$A$2:$F$1000,5,0)</f>
        <v/>
      </c>
      <c r="K1428">
        <f>IF(AND(H1428="Промышленный",LEFT(I1428,18)="Порошок стиральный",F1428="Продажа",B1428=DATE(2023,6,7)),E1428*J1428/1000,0)</f>
        <v/>
      </c>
    </row>
    <row r="1429">
      <c r="A1429" t="n">
        <v>1428</v>
      </c>
      <c r="B1429" s="1" t="n">
        <v>45084</v>
      </c>
      <c r="C1429" s="5" t="inlineStr">
        <is>
          <t>M8</t>
        </is>
      </c>
      <c r="D1429" s="5" t="n">
        <v>24</v>
      </c>
      <c r="E1429" s="5" t="n">
        <v>234</v>
      </c>
      <c r="F1429" t="inlineStr">
        <is>
          <t>Продажа</t>
        </is>
      </c>
      <c r="H1429">
        <f>VLOOKUP(C1429,Магазин!$A$2:$C$1000,2,0)</f>
        <v/>
      </c>
      <c r="I1429">
        <f>VLOOKUP(D1429,Товар!$A$2:$F$1000,3,0)</f>
        <v/>
      </c>
      <c r="J1429">
        <f>VLOOKUP(D1429,Товар!$A$2:$F$1000,5,0)</f>
        <v/>
      </c>
      <c r="K1429">
        <f>IF(AND(H1429="Промышленный",LEFT(I1429,18)="Порошок стиральный",F1429="Продажа",B1429=DATE(2023,6,7)),E1429*J1429/1000,0)</f>
        <v/>
      </c>
    </row>
    <row r="1430">
      <c r="A1430" t="n">
        <v>1429</v>
      </c>
      <c r="B1430" s="1" t="n">
        <v>45084</v>
      </c>
      <c r="C1430" s="5" t="inlineStr">
        <is>
          <t>M8</t>
        </is>
      </c>
      <c r="D1430" s="5" t="n">
        <v>25</v>
      </c>
      <c r="E1430" s="5" t="n">
        <v>238</v>
      </c>
      <c r="F1430" t="inlineStr">
        <is>
          <t>Продажа</t>
        </is>
      </c>
      <c r="H1430">
        <f>VLOOKUP(C1430,Магазин!$A$2:$C$1000,2,0)</f>
        <v/>
      </c>
      <c r="I1430">
        <f>VLOOKUP(D1430,Товар!$A$2:$F$1000,3,0)</f>
        <v/>
      </c>
      <c r="J1430">
        <f>VLOOKUP(D1430,Товар!$A$2:$F$1000,5,0)</f>
        <v/>
      </c>
      <c r="K1430">
        <f>IF(AND(H1430="Промышленный",LEFT(I1430,18)="Порошок стиральный",F1430="Продажа",B1430=DATE(2023,6,7)),E1430*J1430/1000,0)</f>
        <v/>
      </c>
    </row>
    <row r="1431">
      <c r="A1431" t="n">
        <v>1430</v>
      </c>
      <c r="B1431" s="1" t="n">
        <v>45084</v>
      </c>
      <c r="C1431" s="5" t="inlineStr">
        <is>
          <t>M8</t>
        </is>
      </c>
      <c r="D1431" s="5" t="n">
        <v>26</v>
      </c>
      <c r="E1431" s="5" t="n">
        <v>295</v>
      </c>
      <c r="F1431" t="inlineStr">
        <is>
          <t>Продажа</t>
        </is>
      </c>
      <c r="H1431">
        <f>VLOOKUP(C1431,Магазин!$A$2:$C$1000,2,0)</f>
        <v/>
      </c>
      <c r="I1431">
        <f>VLOOKUP(D1431,Товар!$A$2:$F$1000,3,0)</f>
        <v/>
      </c>
      <c r="J1431">
        <f>VLOOKUP(D1431,Товар!$A$2:$F$1000,5,0)</f>
        <v/>
      </c>
      <c r="K1431">
        <f>IF(AND(H1431="Промышленный",LEFT(I1431,18)="Порошок стиральный",F1431="Продажа",B1431=DATE(2023,6,7)),E1431*J1431/1000,0)</f>
        <v/>
      </c>
    </row>
    <row r="1432">
      <c r="A1432" t="n">
        <v>1431</v>
      </c>
      <c r="B1432" s="1" t="n">
        <v>45084</v>
      </c>
      <c r="C1432" s="5" t="inlineStr">
        <is>
          <t>M8</t>
        </is>
      </c>
      <c r="D1432" s="5" t="n">
        <v>27</v>
      </c>
      <c r="E1432" s="5" t="n">
        <v>211</v>
      </c>
      <c r="F1432" t="inlineStr">
        <is>
          <t>Продажа</t>
        </is>
      </c>
      <c r="H1432">
        <f>VLOOKUP(C1432,Магазин!$A$2:$C$1000,2,0)</f>
        <v/>
      </c>
      <c r="I1432">
        <f>VLOOKUP(D1432,Товар!$A$2:$F$1000,3,0)</f>
        <v/>
      </c>
      <c r="J1432">
        <f>VLOOKUP(D1432,Товар!$A$2:$F$1000,5,0)</f>
        <v/>
      </c>
      <c r="K1432">
        <f>IF(AND(H1432="Промышленный",LEFT(I1432,18)="Порошок стиральный",F1432="Продажа",B1432=DATE(2023,6,7)),E1432*J1432/1000,0)</f>
        <v/>
      </c>
    </row>
    <row r="1433">
      <c r="A1433" t="n">
        <v>1432</v>
      </c>
      <c r="B1433" s="1" t="n">
        <v>45084</v>
      </c>
      <c r="C1433" s="5" t="inlineStr">
        <is>
          <t>M8</t>
        </is>
      </c>
      <c r="D1433" s="5" t="n">
        <v>28</v>
      </c>
      <c r="E1433" s="5" t="n">
        <v>233</v>
      </c>
      <c r="F1433" t="inlineStr">
        <is>
          <t>Продажа</t>
        </is>
      </c>
      <c r="H1433">
        <f>VLOOKUP(C1433,Магазин!$A$2:$C$1000,2,0)</f>
        <v/>
      </c>
      <c r="I1433">
        <f>VLOOKUP(D1433,Товар!$A$2:$F$1000,3,0)</f>
        <v/>
      </c>
      <c r="J1433">
        <f>VLOOKUP(D1433,Товар!$A$2:$F$1000,5,0)</f>
        <v/>
      </c>
      <c r="K1433">
        <f>IF(AND(H1433="Промышленный",LEFT(I1433,18)="Порошок стиральный",F1433="Продажа",B1433=DATE(2023,6,7)),E1433*J1433/1000,0)</f>
        <v/>
      </c>
    </row>
    <row r="1434">
      <c r="A1434" t="n">
        <v>1433</v>
      </c>
      <c r="B1434" s="1" t="n">
        <v>45084</v>
      </c>
      <c r="C1434" s="5" t="inlineStr">
        <is>
          <t>M8</t>
        </is>
      </c>
      <c r="D1434" s="5" t="n">
        <v>29</v>
      </c>
      <c r="E1434" s="5" t="n">
        <v>244</v>
      </c>
      <c r="F1434" t="inlineStr">
        <is>
          <t>Продажа</t>
        </is>
      </c>
      <c r="H1434">
        <f>VLOOKUP(C1434,Магазин!$A$2:$C$1000,2,0)</f>
        <v/>
      </c>
      <c r="I1434">
        <f>VLOOKUP(D1434,Товар!$A$2:$F$1000,3,0)</f>
        <v/>
      </c>
      <c r="J1434">
        <f>VLOOKUP(D1434,Товар!$A$2:$F$1000,5,0)</f>
        <v/>
      </c>
      <c r="K1434">
        <f>IF(AND(H1434="Промышленный",LEFT(I1434,18)="Порошок стиральный",F1434="Продажа",B1434=DATE(2023,6,7)),E1434*J1434/1000,0)</f>
        <v/>
      </c>
    </row>
    <row r="1435">
      <c r="A1435" t="n">
        <v>1434</v>
      </c>
      <c r="B1435" s="1" t="n">
        <v>45084</v>
      </c>
      <c r="C1435" s="5" t="inlineStr">
        <is>
          <t>M8</t>
        </is>
      </c>
      <c r="D1435" s="5" t="n">
        <v>30</v>
      </c>
      <c r="E1435" s="5" t="n">
        <v>255</v>
      </c>
      <c r="F1435" t="inlineStr">
        <is>
          <t>Продажа</t>
        </is>
      </c>
      <c r="H1435">
        <f>VLOOKUP(C1435,Магазин!$A$2:$C$1000,2,0)</f>
        <v/>
      </c>
      <c r="I1435">
        <f>VLOOKUP(D1435,Товар!$A$2:$F$1000,3,0)</f>
        <v/>
      </c>
      <c r="J1435">
        <f>VLOOKUP(D1435,Товар!$A$2:$F$1000,5,0)</f>
        <v/>
      </c>
      <c r="K1435">
        <f>IF(AND(H1435="Промышленный",LEFT(I1435,18)="Порошок стиральный",F1435="Продажа",B1435=DATE(2023,6,7)),E1435*J1435/1000,0)</f>
        <v/>
      </c>
    </row>
    <row r="1436">
      <c r="A1436" t="n">
        <v>1435</v>
      </c>
      <c r="B1436" s="1" t="n">
        <v>45084</v>
      </c>
      <c r="C1436" s="5" t="inlineStr">
        <is>
          <t>M8</t>
        </is>
      </c>
      <c r="D1436" s="5" t="n">
        <v>31</v>
      </c>
      <c r="E1436" s="5" t="n">
        <v>266</v>
      </c>
      <c r="F1436" t="inlineStr">
        <is>
          <t>Продажа</t>
        </is>
      </c>
      <c r="H1436">
        <f>VLOOKUP(C1436,Магазин!$A$2:$C$1000,2,0)</f>
        <v/>
      </c>
      <c r="I1436">
        <f>VLOOKUP(D1436,Товар!$A$2:$F$1000,3,0)</f>
        <v/>
      </c>
      <c r="J1436">
        <f>VLOOKUP(D1436,Товар!$A$2:$F$1000,5,0)</f>
        <v/>
      </c>
      <c r="K1436">
        <f>IF(AND(H1436="Промышленный",LEFT(I1436,18)="Порошок стиральный",F1436="Продажа",B1436=DATE(2023,6,7)),E1436*J1436/1000,0)</f>
        <v/>
      </c>
    </row>
    <row r="1437">
      <c r="A1437" t="n">
        <v>1436</v>
      </c>
      <c r="B1437" s="1" t="n">
        <v>45084</v>
      </c>
      <c r="C1437" s="5" t="inlineStr">
        <is>
          <t>M8</t>
        </is>
      </c>
      <c r="D1437" s="5" t="n">
        <v>32</v>
      </c>
      <c r="E1437" s="5" t="n">
        <v>277</v>
      </c>
      <c r="F1437" t="inlineStr">
        <is>
          <t>Продажа</t>
        </is>
      </c>
      <c r="H1437">
        <f>VLOOKUP(C1437,Магазин!$A$2:$C$1000,2,0)</f>
        <v/>
      </c>
      <c r="I1437">
        <f>VLOOKUP(D1437,Товар!$A$2:$F$1000,3,0)</f>
        <v/>
      </c>
      <c r="J1437">
        <f>VLOOKUP(D1437,Товар!$A$2:$F$1000,5,0)</f>
        <v/>
      </c>
      <c r="K1437">
        <f>IF(AND(H1437="Промышленный",LEFT(I1437,18)="Порошок стиральный",F1437="Продажа",B1437=DATE(2023,6,7)),E1437*J1437/1000,0)</f>
        <v/>
      </c>
    </row>
    <row r="1438">
      <c r="A1438" t="n">
        <v>1437</v>
      </c>
      <c r="B1438" s="1" t="n">
        <v>45084</v>
      </c>
      <c r="C1438" s="5" t="inlineStr">
        <is>
          <t>M8</t>
        </is>
      </c>
      <c r="D1438" s="5" t="n">
        <v>33</v>
      </c>
      <c r="E1438" s="5" t="n">
        <v>288</v>
      </c>
      <c r="F1438" t="inlineStr">
        <is>
          <t>Продажа</t>
        </is>
      </c>
      <c r="H1438">
        <f>VLOOKUP(C1438,Магазин!$A$2:$C$1000,2,0)</f>
        <v/>
      </c>
      <c r="I1438">
        <f>VLOOKUP(D1438,Товар!$A$2:$F$1000,3,0)</f>
        <v/>
      </c>
      <c r="J1438">
        <f>VLOOKUP(D1438,Товар!$A$2:$F$1000,5,0)</f>
        <v/>
      </c>
      <c r="K1438">
        <f>IF(AND(H1438="Промышленный",LEFT(I1438,18)="Порошок стиральный",F1438="Продажа",B1438=DATE(2023,6,7)),E1438*J1438/1000,0)</f>
        <v/>
      </c>
    </row>
    <row r="1439">
      <c r="A1439" t="n">
        <v>1438</v>
      </c>
      <c r="B1439" s="1" t="n">
        <v>45084</v>
      </c>
      <c r="C1439" s="5" t="inlineStr">
        <is>
          <t>M8</t>
        </is>
      </c>
      <c r="D1439" s="5" t="n">
        <v>34</v>
      </c>
      <c r="E1439" s="5" t="n">
        <v>299</v>
      </c>
      <c r="F1439" t="inlineStr">
        <is>
          <t>Продажа</t>
        </is>
      </c>
      <c r="H1439">
        <f>VLOOKUP(C1439,Магазин!$A$2:$C$1000,2,0)</f>
        <v/>
      </c>
      <c r="I1439">
        <f>VLOOKUP(D1439,Товар!$A$2:$F$1000,3,0)</f>
        <v/>
      </c>
      <c r="J1439">
        <f>VLOOKUP(D1439,Товар!$A$2:$F$1000,5,0)</f>
        <v/>
      </c>
      <c r="K1439">
        <f>IF(AND(H1439="Промышленный",LEFT(I1439,18)="Порошок стиральный",F1439="Продажа",B1439=DATE(2023,6,7)),E1439*J1439/1000,0)</f>
        <v/>
      </c>
    </row>
    <row r="1440">
      <c r="A1440" t="n">
        <v>1439</v>
      </c>
      <c r="B1440" s="1" t="n">
        <v>45084</v>
      </c>
      <c r="C1440" s="5" t="inlineStr">
        <is>
          <t>M8</t>
        </is>
      </c>
      <c r="D1440" s="5" t="n">
        <v>35</v>
      </c>
      <c r="E1440" s="5" t="n">
        <v>201</v>
      </c>
      <c r="F1440" t="inlineStr">
        <is>
          <t>Продажа</t>
        </is>
      </c>
      <c r="H1440">
        <f>VLOOKUP(C1440,Магазин!$A$2:$C$1000,2,0)</f>
        <v/>
      </c>
      <c r="I1440">
        <f>VLOOKUP(D1440,Товар!$A$2:$F$1000,3,0)</f>
        <v/>
      </c>
      <c r="J1440">
        <f>VLOOKUP(D1440,Товар!$A$2:$F$1000,5,0)</f>
        <v/>
      </c>
      <c r="K1440">
        <f>IF(AND(H1440="Промышленный",LEFT(I1440,18)="Порошок стиральный",F1440="Продажа",B1440=DATE(2023,6,7)),E1440*J1440/1000,0)</f>
        <v/>
      </c>
    </row>
    <row r="1441">
      <c r="A1441" t="n">
        <v>1440</v>
      </c>
      <c r="B1441" s="1" t="n">
        <v>45084</v>
      </c>
      <c r="C1441" s="5" t="inlineStr">
        <is>
          <t>M8</t>
        </is>
      </c>
      <c r="D1441" s="5" t="n">
        <v>36</v>
      </c>
      <c r="E1441" s="5" t="n">
        <v>205</v>
      </c>
      <c r="F1441" t="inlineStr">
        <is>
          <t>Продажа</t>
        </is>
      </c>
      <c r="H1441">
        <f>VLOOKUP(C1441,Магазин!$A$2:$C$1000,2,0)</f>
        <v/>
      </c>
      <c r="I1441">
        <f>VLOOKUP(D1441,Товар!$A$2:$F$1000,3,0)</f>
        <v/>
      </c>
      <c r="J1441">
        <f>VLOOKUP(D1441,Товар!$A$2:$F$1000,5,0)</f>
        <v/>
      </c>
      <c r="K1441">
        <f>IF(AND(H1441="Промышленный",LEFT(I1441,18)="Порошок стиральный",F1441="Продажа",B1441=DATE(2023,6,7)),E1441*J1441/1000,0)</f>
        <v/>
      </c>
    </row>
    <row r="1442">
      <c r="A1442" t="n">
        <v>1441</v>
      </c>
      <c r="B1442" s="1" t="n">
        <v>45084</v>
      </c>
      <c r="C1442" s="5" t="inlineStr">
        <is>
          <t>M12</t>
        </is>
      </c>
      <c r="D1442" s="5" t="n">
        <v>1</v>
      </c>
      <c r="E1442" s="5" t="n">
        <v>357</v>
      </c>
      <c r="F1442" t="inlineStr">
        <is>
          <t>Продажа</t>
        </is>
      </c>
      <c r="H1442">
        <f>VLOOKUP(C1442,Магазин!$A$2:$C$1000,2,0)</f>
        <v/>
      </c>
      <c r="I1442">
        <f>VLOOKUP(D1442,Товар!$A$2:$F$1000,3,0)</f>
        <v/>
      </c>
      <c r="J1442">
        <f>VLOOKUP(D1442,Товар!$A$2:$F$1000,5,0)</f>
        <v/>
      </c>
      <c r="K1442">
        <f>IF(AND(H1442="Промышленный",LEFT(I1442,18)="Порошок стиральный",F1442="Продажа",B1442=DATE(2023,6,7)),E1442*J1442/1000,0)</f>
        <v/>
      </c>
    </row>
    <row r="1443">
      <c r="A1443" t="n">
        <v>1442</v>
      </c>
      <c r="B1443" s="1" t="n">
        <v>45084</v>
      </c>
      <c r="C1443" s="5" t="inlineStr">
        <is>
          <t>M12</t>
        </is>
      </c>
      <c r="D1443" s="5" t="n">
        <v>2</v>
      </c>
      <c r="E1443" s="5" t="n">
        <v>268</v>
      </c>
      <c r="F1443" t="inlineStr">
        <is>
          <t>Продажа</t>
        </is>
      </c>
      <c r="H1443">
        <f>VLOOKUP(C1443,Магазин!$A$2:$C$1000,2,0)</f>
        <v/>
      </c>
      <c r="I1443">
        <f>VLOOKUP(D1443,Товар!$A$2:$F$1000,3,0)</f>
        <v/>
      </c>
      <c r="J1443">
        <f>VLOOKUP(D1443,Товар!$A$2:$F$1000,5,0)</f>
        <v/>
      </c>
      <c r="K1443">
        <f>IF(AND(H1443="Промышленный",LEFT(I1443,18)="Порошок стиральный",F1443="Продажа",B1443=DATE(2023,6,7)),E1443*J1443/1000,0)</f>
        <v/>
      </c>
    </row>
    <row r="1444">
      <c r="A1444" t="n">
        <v>1443</v>
      </c>
      <c r="B1444" s="1" t="n">
        <v>45084</v>
      </c>
      <c r="C1444" s="5" t="inlineStr">
        <is>
          <t>M12</t>
        </is>
      </c>
      <c r="D1444" s="5" t="n">
        <v>3</v>
      </c>
      <c r="E1444" s="5" t="n">
        <v>279</v>
      </c>
      <c r="F1444" t="inlineStr">
        <is>
          <t>Продажа</t>
        </is>
      </c>
      <c r="H1444">
        <f>VLOOKUP(C1444,Магазин!$A$2:$C$1000,2,0)</f>
        <v/>
      </c>
      <c r="I1444">
        <f>VLOOKUP(D1444,Товар!$A$2:$F$1000,3,0)</f>
        <v/>
      </c>
      <c r="J1444">
        <f>VLOOKUP(D1444,Товар!$A$2:$F$1000,5,0)</f>
        <v/>
      </c>
      <c r="K1444">
        <f>IF(AND(H1444="Промышленный",LEFT(I1444,18)="Порошок стиральный",F1444="Продажа",B1444=DATE(2023,6,7)),E1444*J1444/1000,0)</f>
        <v/>
      </c>
    </row>
    <row r="1445">
      <c r="A1445" t="n">
        <v>1444</v>
      </c>
      <c r="B1445" s="1" t="n">
        <v>45084</v>
      </c>
      <c r="C1445" s="5" t="inlineStr">
        <is>
          <t>M12</t>
        </is>
      </c>
      <c r="D1445" s="5" t="n">
        <v>4</v>
      </c>
      <c r="E1445" s="5" t="n">
        <v>281</v>
      </c>
      <c r="F1445" t="inlineStr">
        <is>
          <t>Продажа</t>
        </is>
      </c>
      <c r="H1445">
        <f>VLOOKUP(C1445,Магазин!$A$2:$C$1000,2,0)</f>
        <v/>
      </c>
      <c r="I1445">
        <f>VLOOKUP(D1445,Товар!$A$2:$F$1000,3,0)</f>
        <v/>
      </c>
      <c r="J1445">
        <f>VLOOKUP(D1445,Товар!$A$2:$F$1000,5,0)</f>
        <v/>
      </c>
      <c r="K1445">
        <f>IF(AND(H1445="Промышленный",LEFT(I1445,18)="Порошок стиральный",F1445="Продажа",B1445=DATE(2023,6,7)),E1445*J1445/1000,0)</f>
        <v/>
      </c>
    </row>
    <row r="1446">
      <c r="A1446" t="n">
        <v>1445</v>
      </c>
      <c r="B1446" s="1" t="n">
        <v>45084</v>
      </c>
      <c r="C1446" s="5" t="inlineStr">
        <is>
          <t>M12</t>
        </is>
      </c>
      <c r="D1446" s="5" t="n">
        <v>5</v>
      </c>
      <c r="E1446" s="5" t="n">
        <v>292</v>
      </c>
      <c r="F1446" t="inlineStr">
        <is>
          <t>Продажа</t>
        </is>
      </c>
      <c r="H1446">
        <f>VLOOKUP(C1446,Магазин!$A$2:$C$1000,2,0)</f>
        <v/>
      </c>
      <c r="I1446">
        <f>VLOOKUP(D1446,Товар!$A$2:$F$1000,3,0)</f>
        <v/>
      </c>
      <c r="J1446">
        <f>VLOOKUP(D1446,Товар!$A$2:$F$1000,5,0)</f>
        <v/>
      </c>
      <c r="K1446">
        <f>IF(AND(H1446="Промышленный",LEFT(I1446,18)="Порошок стиральный",F1446="Продажа",B1446=DATE(2023,6,7)),E1446*J1446/1000,0)</f>
        <v/>
      </c>
    </row>
    <row r="1447">
      <c r="A1447" t="n">
        <v>1446</v>
      </c>
      <c r="B1447" s="1" t="n">
        <v>45084</v>
      </c>
      <c r="C1447" s="5" t="inlineStr">
        <is>
          <t>M12</t>
        </is>
      </c>
      <c r="D1447" s="5" t="n">
        <v>6</v>
      </c>
      <c r="E1447" s="5" t="n">
        <v>203</v>
      </c>
      <c r="F1447" t="inlineStr">
        <is>
          <t>Продажа</t>
        </is>
      </c>
      <c r="H1447">
        <f>VLOOKUP(C1447,Магазин!$A$2:$C$1000,2,0)</f>
        <v/>
      </c>
      <c r="I1447">
        <f>VLOOKUP(D1447,Товар!$A$2:$F$1000,3,0)</f>
        <v/>
      </c>
      <c r="J1447">
        <f>VLOOKUP(D1447,Товар!$A$2:$F$1000,5,0)</f>
        <v/>
      </c>
      <c r="K1447">
        <f>IF(AND(H1447="Промышленный",LEFT(I1447,18)="Порошок стиральный",F1447="Продажа",B1447=DATE(2023,6,7)),E1447*J1447/1000,0)</f>
        <v/>
      </c>
    </row>
    <row r="1448">
      <c r="A1448" t="n">
        <v>1447</v>
      </c>
      <c r="B1448" s="1" t="n">
        <v>45084</v>
      </c>
      <c r="C1448" s="5" t="inlineStr">
        <is>
          <t>M12</t>
        </is>
      </c>
      <c r="D1448" s="5" t="n">
        <v>7</v>
      </c>
      <c r="E1448" s="5" t="n">
        <v>214</v>
      </c>
      <c r="F1448" t="inlineStr">
        <is>
          <t>Продажа</t>
        </is>
      </c>
      <c r="H1448">
        <f>VLOOKUP(C1448,Магазин!$A$2:$C$1000,2,0)</f>
        <v/>
      </c>
      <c r="I1448">
        <f>VLOOKUP(D1448,Товар!$A$2:$F$1000,3,0)</f>
        <v/>
      </c>
      <c r="J1448">
        <f>VLOOKUP(D1448,Товар!$A$2:$F$1000,5,0)</f>
        <v/>
      </c>
      <c r="K1448">
        <f>IF(AND(H1448="Промышленный",LEFT(I1448,18)="Порошок стиральный",F1448="Продажа",B1448=DATE(2023,6,7)),E1448*J1448/1000,0)</f>
        <v/>
      </c>
    </row>
    <row r="1449">
      <c r="A1449" t="n">
        <v>1448</v>
      </c>
      <c r="B1449" s="1" t="n">
        <v>45084</v>
      </c>
      <c r="C1449" s="5" t="inlineStr">
        <is>
          <t>M12</t>
        </is>
      </c>
      <c r="D1449" s="5" t="n">
        <v>8</v>
      </c>
      <c r="E1449" s="5" t="n">
        <v>225</v>
      </c>
      <c r="F1449" t="inlineStr">
        <is>
          <t>Продажа</t>
        </is>
      </c>
      <c r="H1449">
        <f>VLOOKUP(C1449,Магазин!$A$2:$C$1000,2,0)</f>
        <v/>
      </c>
      <c r="I1449">
        <f>VLOOKUP(D1449,Товар!$A$2:$F$1000,3,0)</f>
        <v/>
      </c>
      <c r="J1449">
        <f>VLOOKUP(D1449,Товар!$A$2:$F$1000,5,0)</f>
        <v/>
      </c>
      <c r="K1449">
        <f>IF(AND(H1449="Промышленный",LEFT(I1449,18)="Порошок стиральный",F1449="Продажа",B1449=DATE(2023,6,7)),E1449*J1449/1000,0)</f>
        <v/>
      </c>
    </row>
    <row r="1450">
      <c r="A1450" t="n">
        <v>1449</v>
      </c>
      <c r="B1450" s="1" t="n">
        <v>45084</v>
      </c>
      <c r="C1450" s="5" t="inlineStr">
        <is>
          <t>M12</t>
        </is>
      </c>
      <c r="D1450" s="5" t="n">
        <v>9</v>
      </c>
      <c r="E1450" s="5" t="n">
        <v>236</v>
      </c>
      <c r="F1450" t="inlineStr">
        <is>
          <t>Продажа</t>
        </is>
      </c>
      <c r="H1450">
        <f>VLOOKUP(C1450,Магазин!$A$2:$C$1000,2,0)</f>
        <v/>
      </c>
      <c r="I1450">
        <f>VLOOKUP(D1450,Товар!$A$2:$F$1000,3,0)</f>
        <v/>
      </c>
      <c r="J1450">
        <f>VLOOKUP(D1450,Товар!$A$2:$F$1000,5,0)</f>
        <v/>
      </c>
      <c r="K1450">
        <f>IF(AND(H1450="Промышленный",LEFT(I1450,18)="Порошок стиральный",F1450="Продажа",B1450=DATE(2023,6,7)),E1450*J1450/1000,0)</f>
        <v/>
      </c>
    </row>
    <row r="1451">
      <c r="A1451" t="n">
        <v>1450</v>
      </c>
      <c r="B1451" s="1" t="n">
        <v>45084</v>
      </c>
      <c r="C1451" s="5" t="inlineStr">
        <is>
          <t>M12</t>
        </is>
      </c>
      <c r="D1451" s="5" t="n">
        <v>10</v>
      </c>
      <c r="E1451" s="5" t="n">
        <v>247</v>
      </c>
      <c r="F1451" t="inlineStr">
        <is>
          <t>Продажа</t>
        </is>
      </c>
      <c r="H1451">
        <f>VLOOKUP(C1451,Магазин!$A$2:$C$1000,2,0)</f>
        <v/>
      </c>
      <c r="I1451">
        <f>VLOOKUP(D1451,Товар!$A$2:$F$1000,3,0)</f>
        <v/>
      </c>
      <c r="J1451">
        <f>VLOOKUP(D1451,Товар!$A$2:$F$1000,5,0)</f>
        <v/>
      </c>
      <c r="K1451">
        <f>IF(AND(H1451="Промышленный",LEFT(I1451,18)="Порошок стиральный",F1451="Продажа",B1451=DATE(2023,6,7)),E1451*J1451/1000,0)</f>
        <v/>
      </c>
    </row>
    <row r="1452">
      <c r="A1452" t="n">
        <v>1451</v>
      </c>
      <c r="B1452" s="1" t="n">
        <v>45084</v>
      </c>
      <c r="C1452" s="5" t="inlineStr">
        <is>
          <t>M12</t>
        </is>
      </c>
      <c r="D1452" s="5" t="n">
        <v>11</v>
      </c>
      <c r="E1452" s="5" t="n">
        <v>258</v>
      </c>
      <c r="F1452" t="inlineStr">
        <is>
          <t>Продажа</t>
        </is>
      </c>
      <c r="H1452">
        <f>VLOOKUP(C1452,Магазин!$A$2:$C$1000,2,0)</f>
        <v/>
      </c>
      <c r="I1452">
        <f>VLOOKUP(D1452,Товар!$A$2:$F$1000,3,0)</f>
        <v/>
      </c>
      <c r="J1452">
        <f>VLOOKUP(D1452,Товар!$A$2:$F$1000,5,0)</f>
        <v/>
      </c>
      <c r="K1452">
        <f>IF(AND(H1452="Промышленный",LEFT(I1452,18)="Порошок стиральный",F1452="Продажа",B1452=DATE(2023,6,7)),E1452*J1452/1000,0)</f>
        <v/>
      </c>
    </row>
    <row r="1453">
      <c r="A1453" t="n">
        <v>1452</v>
      </c>
      <c r="B1453" s="1" t="n">
        <v>45084</v>
      </c>
      <c r="C1453" s="5" t="inlineStr">
        <is>
          <t>M12</t>
        </is>
      </c>
      <c r="D1453" s="5" t="n">
        <v>12</v>
      </c>
      <c r="E1453" s="5" t="n">
        <v>256</v>
      </c>
      <c r="F1453" t="inlineStr">
        <is>
          <t>Продажа</t>
        </is>
      </c>
      <c r="H1453">
        <f>VLOOKUP(C1453,Магазин!$A$2:$C$1000,2,0)</f>
        <v/>
      </c>
      <c r="I1453">
        <f>VLOOKUP(D1453,Товар!$A$2:$F$1000,3,0)</f>
        <v/>
      </c>
      <c r="J1453">
        <f>VLOOKUP(D1453,Товар!$A$2:$F$1000,5,0)</f>
        <v/>
      </c>
      <c r="K1453">
        <f>IF(AND(H1453="Промышленный",LEFT(I1453,18)="Порошок стиральный",F1453="Продажа",B1453=DATE(2023,6,7)),E1453*J1453/1000,0)</f>
        <v/>
      </c>
    </row>
    <row r="1454">
      <c r="A1454" t="n">
        <v>1453</v>
      </c>
      <c r="B1454" s="1" t="n">
        <v>45084</v>
      </c>
      <c r="C1454" s="5" t="inlineStr">
        <is>
          <t>M12</t>
        </is>
      </c>
      <c r="D1454" s="5" t="n">
        <v>13</v>
      </c>
      <c r="E1454" s="5" t="n">
        <v>269</v>
      </c>
      <c r="F1454" t="inlineStr">
        <is>
          <t>Продажа</t>
        </is>
      </c>
      <c r="H1454">
        <f>VLOOKUP(C1454,Магазин!$A$2:$C$1000,2,0)</f>
        <v/>
      </c>
      <c r="I1454">
        <f>VLOOKUP(D1454,Товар!$A$2:$F$1000,3,0)</f>
        <v/>
      </c>
      <c r="J1454">
        <f>VLOOKUP(D1454,Товар!$A$2:$F$1000,5,0)</f>
        <v/>
      </c>
      <c r="K1454">
        <f>IF(AND(H1454="Промышленный",LEFT(I1454,18)="Порошок стиральный",F1454="Продажа",B1454=DATE(2023,6,7)),E1454*J1454/1000,0)</f>
        <v/>
      </c>
    </row>
    <row r="1455">
      <c r="A1455" t="n">
        <v>1454</v>
      </c>
      <c r="B1455" s="1" t="n">
        <v>45084</v>
      </c>
      <c r="C1455" s="5" t="inlineStr">
        <is>
          <t>M12</t>
        </is>
      </c>
      <c r="D1455" s="5" t="n">
        <v>14</v>
      </c>
      <c r="E1455" s="5" t="n">
        <v>204</v>
      </c>
      <c r="F1455" t="inlineStr">
        <is>
          <t>Продажа</t>
        </is>
      </c>
      <c r="H1455">
        <f>VLOOKUP(C1455,Магазин!$A$2:$C$1000,2,0)</f>
        <v/>
      </c>
      <c r="I1455">
        <f>VLOOKUP(D1455,Товар!$A$2:$F$1000,3,0)</f>
        <v/>
      </c>
      <c r="J1455">
        <f>VLOOKUP(D1455,Товар!$A$2:$F$1000,5,0)</f>
        <v/>
      </c>
      <c r="K1455">
        <f>IF(AND(H1455="Промышленный",LEFT(I1455,18)="Порошок стиральный",F1455="Продажа",B1455=DATE(2023,6,7)),E1455*J1455/1000,0)</f>
        <v/>
      </c>
    </row>
    <row r="1456">
      <c r="A1456" t="n">
        <v>1455</v>
      </c>
      <c r="B1456" s="1" t="n">
        <v>45084</v>
      </c>
      <c r="C1456" s="5" t="inlineStr">
        <is>
          <t>M12</t>
        </is>
      </c>
      <c r="D1456" s="5" t="n">
        <v>15</v>
      </c>
      <c r="E1456" s="5" t="n">
        <v>206</v>
      </c>
      <c r="F1456" t="inlineStr">
        <is>
          <t>Продажа</t>
        </is>
      </c>
      <c r="H1456">
        <f>VLOOKUP(C1456,Магазин!$A$2:$C$1000,2,0)</f>
        <v/>
      </c>
      <c r="I1456">
        <f>VLOOKUP(D1456,Товар!$A$2:$F$1000,3,0)</f>
        <v/>
      </c>
      <c r="J1456">
        <f>VLOOKUP(D1456,Товар!$A$2:$F$1000,5,0)</f>
        <v/>
      </c>
      <c r="K1456">
        <f>IF(AND(H1456="Промышленный",LEFT(I1456,18)="Порошок стиральный",F1456="Продажа",B1456=DATE(2023,6,7)),E1456*J1456/1000,0)</f>
        <v/>
      </c>
    </row>
    <row r="1457">
      <c r="A1457" t="n">
        <v>1456</v>
      </c>
      <c r="B1457" s="1" t="n">
        <v>45084</v>
      </c>
      <c r="C1457" s="5" t="inlineStr">
        <is>
          <t>M12</t>
        </is>
      </c>
      <c r="D1457" s="5" t="n">
        <v>16</v>
      </c>
      <c r="E1457" s="5" t="n">
        <v>208</v>
      </c>
      <c r="F1457" t="inlineStr">
        <is>
          <t>Продажа</t>
        </is>
      </c>
      <c r="H1457">
        <f>VLOOKUP(C1457,Магазин!$A$2:$C$1000,2,0)</f>
        <v/>
      </c>
      <c r="I1457">
        <f>VLOOKUP(D1457,Товар!$A$2:$F$1000,3,0)</f>
        <v/>
      </c>
      <c r="J1457">
        <f>VLOOKUP(D1457,Товар!$A$2:$F$1000,5,0)</f>
        <v/>
      </c>
      <c r="K1457">
        <f>IF(AND(H1457="Промышленный",LEFT(I1457,18)="Порошок стиральный",F1457="Продажа",B1457=DATE(2023,6,7)),E1457*J1457/1000,0)</f>
        <v/>
      </c>
    </row>
    <row r="1458">
      <c r="A1458" t="n">
        <v>1457</v>
      </c>
      <c r="B1458" s="1" t="n">
        <v>45084</v>
      </c>
      <c r="C1458" s="5" t="inlineStr">
        <is>
          <t>M12</t>
        </is>
      </c>
      <c r="D1458" s="5" t="n">
        <v>17</v>
      </c>
      <c r="E1458" s="5" t="n">
        <v>209</v>
      </c>
      <c r="F1458" t="inlineStr">
        <is>
          <t>Продажа</t>
        </is>
      </c>
      <c r="H1458">
        <f>VLOOKUP(C1458,Магазин!$A$2:$C$1000,2,0)</f>
        <v/>
      </c>
      <c r="I1458">
        <f>VLOOKUP(D1458,Товар!$A$2:$F$1000,3,0)</f>
        <v/>
      </c>
      <c r="J1458">
        <f>VLOOKUP(D1458,Товар!$A$2:$F$1000,5,0)</f>
        <v/>
      </c>
      <c r="K1458">
        <f>IF(AND(H1458="Промышленный",LEFT(I1458,18)="Порошок стиральный",F1458="Продажа",B1458=DATE(2023,6,7)),E1458*J1458/1000,0)</f>
        <v/>
      </c>
    </row>
    <row r="1459">
      <c r="A1459" t="n">
        <v>1458</v>
      </c>
      <c r="B1459" s="1" t="n">
        <v>45084</v>
      </c>
      <c r="C1459" s="5" t="inlineStr">
        <is>
          <t>M12</t>
        </is>
      </c>
      <c r="D1459" s="5" t="n">
        <v>18</v>
      </c>
      <c r="E1459" s="5" t="n">
        <v>299</v>
      </c>
      <c r="F1459" t="inlineStr">
        <is>
          <t>Продажа</t>
        </is>
      </c>
      <c r="H1459">
        <f>VLOOKUP(C1459,Магазин!$A$2:$C$1000,2,0)</f>
        <v/>
      </c>
      <c r="I1459">
        <f>VLOOKUP(D1459,Товар!$A$2:$F$1000,3,0)</f>
        <v/>
      </c>
      <c r="J1459">
        <f>VLOOKUP(D1459,Товар!$A$2:$F$1000,5,0)</f>
        <v/>
      </c>
      <c r="K1459">
        <f>IF(AND(H1459="Промышленный",LEFT(I1459,18)="Порошок стиральный",F1459="Продажа",B1459=DATE(2023,6,7)),E1459*J1459/1000,0)</f>
        <v/>
      </c>
    </row>
    <row r="1460">
      <c r="A1460" t="n">
        <v>1459</v>
      </c>
      <c r="B1460" s="1" t="n">
        <v>45084</v>
      </c>
      <c r="C1460" s="5" t="inlineStr">
        <is>
          <t>M12</t>
        </is>
      </c>
      <c r="D1460" s="5" t="n">
        <v>19</v>
      </c>
      <c r="E1460" s="5" t="n">
        <v>275</v>
      </c>
      <c r="F1460" t="inlineStr">
        <is>
          <t>Продажа</t>
        </is>
      </c>
      <c r="H1460">
        <f>VLOOKUP(C1460,Магазин!$A$2:$C$1000,2,0)</f>
        <v/>
      </c>
      <c r="I1460">
        <f>VLOOKUP(D1460,Товар!$A$2:$F$1000,3,0)</f>
        <v/>
      </c>
      <c r="J1460">
        <f>VLOOKUP(D1460,Товар!$A$2:$F$1000,5,0)</f>
        <v/>
      </c>
      <c r="K1460">
        <f>IF(AND(H1460="Промышленный",LEFT(I1460,18)="Порошок стиральный",F1460="Продажа",B1460=DATE(2023,6,7)),E1460*J1460/1000,0)</f>
        <v/>
      </c>
    </row>
    <row r="1461">
      <c r="A1461" t="n">
        <v>1460</v>
      </c>
      <c r="B1461" s="1" t="n">
        <v>45084</v>
      </c>
      <c r="C1461" s="5" t="inlineStr">
        <is>
          <t>M12</t>
        </is>
      </c>
      <c r="D1461" s="5" t="n">
        <v>20</v>
      </c>
      <c r="E1461" s="5" t="n">
        <v>234</v>
      </c>
      <c r="F1461" t="inlineStr">
        <is>
          <t>Продажа</t>
        </is>
      </c>
      <c r="H1461">
        <f>VLOOKUP(C1461,Магазин!$A$2:$C$1000,2,0)</f>
        <v/>
      </c>
      <c r="I1461">
        <f>VLOOKUP(D1461,Товар!$A$2:$F$1000,3,0)</f>
        <v/>
      </c>
      <c r="J1461">
        <f>VLOOKUP(D1461,Товар!$A$2:$F$1000,5,0)</f>
        <v/>
      </c>
      <c r="K1461">
        <f>IF(AND(H1461="Промышленный",LEFT(I1461,18)="Порошок стиральный",F1461="Продажа",B1461=DATE(2023,6,7)),E1461*J1461/1000,0)</f>
        <v/>
      </c>
    </row>
    <row r="1462">
      <c r="A1462" t="n">
        <v>1461</v>
      </c>
      <c r="B1462" s="1" t="n">
        <v>45084</v>
      </c>
      <c r="C1462" s="5" t="inlineStr">
        <is>
          <t>M12</t>
        </is>
      </c>
      <c r="D1462" s="5" t="n">
        <v>21</v>
      </c>
      <c r="E1462" s="5" t="n">
        <v>228</v>
      </c>
      <c r="F1462" t="inlineStr">
        <is>
          <t>Продажа</t>
        </is>
      </c>
      <c r="H1462">
        <f>VLOOKUP(C1462,Магазин!$A$2:$C$1000,2,0)</f>
        <v/>
      </c>
      <c r="I1462">
        <f>VLOOKUP(D1462,Товар!$A$2:$F$1000,3,0)</f>
        <v/>
      </c>
      <c r="J1462">
        <f>VLOOKUP(D1462,Товар!$A$2:$F$1000,5,0)</f>
        <v/>
      </c>
      <c r="K1462">
        <f>IF(AND(H1462="Промышленный",LEFT(I1462,18)="Порошок стиральный",F1462="Продажа",B1462=DATE(2023,6,7)),E1462*J1462/1000,0)</f>
        <v/>
      </c>
    </row>
    <row r="1463">
      <c r="A1463" t="n">
        <v>1462</v>
      </c>
      <c r="B1463" s="1" t="n">
        <v>45084</v>
      </c>
      <c r="C1463" s="5" t="inlineStr">
        <is>
          <t>M12</t>
        </is>
      </c>
      <c r="D1463" s="5" t="n">
        <v>22</v>
      </c>
      <c r="E1463" s="5" t="n">
        <v>217</v>
      </c>
      <c r="F1463" t="inlineStr">
        <is>
          <t>Продажа</t>
        </is>
      </c>
      <c r="H1463">
        <f>VLOOKUP(C1463,Магазин!$A$2:$C$1000,2,0)</f>
        <v/>
      </c>
      <c r="I1463">
        <f>VLOOKUP(D1463,Товар!$A$2:$F$1000,3,0)</f>
        <v/>
      </c>
      <c r="J1463">
        <f>VLOOKUP(D1463,Товар!$A$2:$F$1000,5,0)</f>
        <v/>
      </c>
      <c r="K1463">
        <f>IF(AND(H1463="Промышленный",LEFT(I1463,18)="Порошок стиральный",F1463="Продажа",B1463=DATE(2023,6,7)),E1463*J1463/1000,0)</f>
        <v/>
      </c>
    </row>
    <row r="1464">
      <c r="A1464" t="n">
        <v>1463</v>
      </c>
      <c r="B1464" s="1" t="n">
        <v>45084</v>
      </c>
      <c r="C1464" s="5" t="inlineStr">
        <is>
          <t>M12</t>
        </is>
      </c>
      <c r="D1464" s="5" t="n">
        <v>23</v>
      </c>
      <c r="E1464" s="5" t="n">
        <v>258</v>
      </c>
      <c r="F1464" t="inlineStr">
        <is>
          <t>Продажа</t>
        </is>
      </c>
      <c r="H1464">
        <f>VLOOKUP(C1464,Магазин!$A$2:$C$1000,2,0)</f>
        <v/>
      </c>
      <c r="I1464">
        <f>VLOOKUP(D1464,Товар!$A$2:$F$1000,3,0)</f>
        <v/>
      </c>
      <c r="J1464">
        <f>VLOOKUP(D1464,Товар!$A$2:$F$1000,5,0)</f>
        <v/>
      </c>
      <c r="K1464">
        <f>IF(AND(H1464="Промышленный",LEFT(I1464,18)="Порошок стиральный",F1464="Продажа",B1464=DATE(2023,6,7)),E1464*J1464/1000,0)</f>
        <v/>
      </c>
    </row>
    <row r="1465">
      <c r="A1465" t="n">
        <v>1464</v>
      </c>
      <c r="B1465" s="1" t="n">
        <v>45084</v>
      </c>
      <c r="C1465" s="5" t="inlineStr">
        <is>
          <t>M12</t>
        </is>
      </c>
      <c r="D1465" s="5" t="n">
        <v>24</v>
      </c>
      <c r="E1465" s="5" t="n">
        <v>199</v>
      </c>
      <c r="F1465" t="inlineStr">
        <is>
          <t>Продажа</t>
        </is>
      </c>
      <c r="H1465">
        <f>VLOOKUP(C1465,Магазин!$A$2:$C$1000,2,0)</f>
        <v/>
      </c>
      <c r="I1465">
        <f>VLOOKUP(D1465,Товар!$A$2:$F$1000,3,0)</f>
        <v/>
      </c>
      <c r="J1465">
        <f>VLOOKUP(D1465,Товар!$A$2:$F$1000,5,0)</f>
        <v/>
      </c>
      <c r="K1465">
        <f>IF(AND(H1465="Промышленный",LEFT(I1465,18)="Порошок стиральный",F1465="Продажа",B1465=DATE(2023,6,7)),E1465*J1465/1000,0)</f>
        <v/>
      </c>
    </row>
    <row r="1466">
      <c r="A1466" t="n">
        <v>1465</v>
      </c>
      <c r="B1466" s="1" t="n">
        <v>45084</v>
      </c>
      <c r="C1466" s="5" t="inlineStr">
        <is>
          <t>M12</t>
        </is>
      </c>
      <c r="D1466" s="5" t="n">
        <v>25</v>
      </c>
      <c r="E1466" s="5" t="n">
        <v>248</v>
      </c>
      <c r="F1466" t="inlineStr">
        <is>
          <t>Продажа</t>
        </is>
      </c>
      <c r="H1466">
        <f>VLOOKUP(C1466,Магазин!$A$2:$C$1000,2,0)</f>
        <v/>
      </c>
      <c r="I1466">
        <f>VLOOKUP(D1466,Товар!$A$2:$F$1000,3,0)</f>
        <v/>
      </c>
      <c r="J1466">
        <f>VLOOKUP(D1466,Товар!$A$2:$F$1000,5,0)</f>
        <v/>
      </c>
      <c r="K1466">
        <f>IF(AND(H1466="Промышленный",LEFT(I1466,18)="Порошок стиральный",F1466="Продажа",B1466=DATE(2023,6,7)),E1466*J1466/1000,0)</f>
        <v/>
      </c>
    </row>
    <row r="1467">
      <c r="A1467" t="n">
        <v>1466</v>
      </c>
      <c r="B1467" s="1" t="n">
        <v>45084</v>
      </c>
      <c r="C1467" s="5" t="inlineStr">
        <is>
          <t>M12</t>
        </is>
      </c>
      <c r="D1467" s="5" t="n">
        <v>26</v>
      </c>
      <c r="E1467" s="5" t="n">
        <v>236</v>
      </c>
      <c r="F1467" t="inlineStr">
        <is>
          <t>Продажа</t>
        </is>
      </c>
      <c r="H1467">
        <f>VLOOKUP(C1467,Магазин!$A$2:$C$1000,2,0)</f>
        <v/>
      </c>
      <c r="I1467">
        <f>VLOOKUP(D1467,Товар!$A$2:$F$1000,3,0)</f>
        <v/>
      </c>
      <c r="J1467">
        <f>VLOOKUP(D1467,Товар!$A$2:$F$1000,5,0)</f>
        <v/>
      </c>
      <c r="K1467">
        <f>IF(AND(H1467="Промышленный",LEFT(I1467,18)="Порошок стиральный",F1467="Продажа",B1467=DATE(2023,6,7)),E1467*J1467/1000,0)</f>
        <v/>
      </c>
    </row>
    <row r="1468">
      <c r="A1468" t="n">
        <v>1467</v>
      </c>
      <c r="B1468" s="1" t="n">
        <v>45084</v>
      </c>
      <c r="C1468" s="5" t="inlineStr">
        <is>
          <t>M12</t>
        </is>
      </c>
      <c r="D1468" s="5" t="n">
        <v>27</v>
      </c>
      <c r="E1468" s="5" t="n">
        <v>287</v>
      </c>
      <c r="F1468" t="inlineStr">
        <is>
          <t>Продажа</t>
        </is>
      </c>
      <c r="H1468">
        <f>VLOOKUP(C1468,Магазин!$A$2:$C$1000,2,0)</f>
        <v/>
      </c>
      <c r="I1468">
        <f>VLOOKUP(D1468,Товар!$A$2:$F$1000,3,0)</f>
        <v/>
      </c>
      <c r="J1468">
        <f>VLOOKUP(D1468,Товар!$A$2:$F$1000,5,0)</f>
        <v/>
      </c>
      <c r="K1468">
        <f>IF(AND(H1468="Промышленный",LEFT(I1468,18)="Порошок стиральный",F1468="Продажа",B1468=DATE(2023,6,7)),E1468*J1468/1000,0)</f>
        <v/>
      </c>
    </row>
    <row r="1469">
      <c r="A1469" t="n">
        <v>1468</v>
      </c>
      <c r="B1469" s="1" t="n">
        <v>45084</v>
      </c>
      <c r="C1469" s="5" t="inlineStr">
        <is>
          <t>M12</t>
        </is>
      </c>
      <c r="D1469" s="5" t="n">
        <v>28</v>
      </c>
      <c r="E1469" s="5" t="n">
        <v>265</v>
      </c>
      <c r="F1469" t="inlineStr">
        <is>
          <t>Продажа</t>
        </is>
      </c>
      <c r="H1469">
        <f>VLOOKUP(C1469,Магазин!$A$2:$C$1000,2,0)</f>
        <v/>
      </c>
      <c r="I1469">
        <f>VLOOKUP(D1469,Товар!$A$2:$F$1000,3,0)</f>
        <v/>
      </c>
      <c r="J1469">
        <f>VLOOKUP(D1469,Товар!$A$2:$F$1000,5,0)</f>
        <v/>
      </c>
      <c r="K1469">
        <f>IF(AND(H1469="Промышленный",LEFT(I1469,18)="Порошок стиральный",F1469="Продажа",B1469=DATE(2023,6,7)),E1469*J1469/1000,0)</f>
        <v/>
      </c>
    </row>
    <row r="1470">
      <c r="A1470" t="n">
        <v>1469</v>
      </c>
      <c r="B1470" s="1" t="n">
        <v>45084</v>
      </c>
      <c r="C1470" s="5" t="inlineStr">
        <is>
          <t>M12</t>
        </is>
      </c>
      <c r="D1470" s="5" t="n">
        <v>29</v>
      </c>
      <c r="E1470" s="5" t="n">
        <v>234</v>
      </c>
      <c r="F1470" t="inlineStr">
        <is>
          <t>Продажа</t>
        </is>
      </c>
      <c r="H1470">
        <f>VLOOKUP(C1470,Магазин!$A$2:$C$1000,2,0)</f>
        <v/>
      </c>
      <c r="I1470">
        <f>VLOOKUP(D1470,Товар!$A$2:$F$1000,3,0)</f>
        <v/>
      </c>
      <c r="J1470">
        <f>VLOOKUP(D1470,Товар!$A$2:$F$1000,5,0)</f>
        <v/>
      </c>
      <c r="K1470">
        <f>IF(AND(H1470="Промышленный",LEFT(I1470,18)="Порошок стиральный",F1470="Продажа",B1470=DATE(2023,6,7)),E1470*J1470/1000,0)</f>
        <v/>
      </c>
    </row>
    <row r="1471">
      <c r="A1471" t="n">
        <v>1470</v>
      </c>
      <c r="B1471" s="1" t="n">
        <v>45084</v>
      </c>
      <c r="C1471" s="5" t="inlineStr">
        <is>
          <t>M12</t>
        </is>
      </c>
      <c r="D1471" s="5" t="n">
        <v>30</v>
      </c>
      <c r="E1471" s="5" t="n">
        <v>258</v>
      </c>
      <c r="F1471" t="inlineStr">
        <is>
          <t>Продажа</t>
        </is>
      </c>
      <c r="H1471">
        <f>VLOOKUP(C1471,Магазин!$A$2:$C$1000,2,0)</f>
        <v/>
      </c>
      <c r="I1471">
        <f>VLOOKUP(D1471,Товар!$A$2:$F$1000,3,0)</f>
        <v/>
      </c>
      <c r="J1471">
        <f>VLOOKUP(D1471,Товар!$A$2:$F$1000,5,0)</f>
        <v/>
      </c>
      <c r="K1471">
        <f>IF(AND(H1471="Промышленный",LEFT(I1471,18)="Порошок стиральный",F1471="Продажа",B1471=DATE(2023,6,7)),E1471*J1471/1000,0)</f>
        <v/>
      </c>
    </row>
    <row r="1472">
      <c r="A1472" t="n">
        <v>1471</v>
      </c>
      <c r="B1472" s="1" t="n">
        <v>45084</v>
      </c>
      <c r="C1472" s="5" t="inlineStr">
        <is>
          <t>M12</t>
        </is>
      </c>
      <c r="D1472" s="5" t="n">
        <v>31</v>
      </c>
      <c r="E1472" s="5" t="n">
        <v>264</v>
      </c>
      <c r="F1472" t="inlineStr">
        <is>
          <t>Продажа</t>
        </is>
      </c>
      <c r="H1472">
        <f>VLOOKUP(C1472,Магазин!$A$2:$C$1000,2,0)</f>
        <v/>
      </c>
      <c r="I1472">
        <f>VLOOKUP(D1472,Товар!$A$2:$F$1000,3,0)</f>
        <v/>
      </c>
      <c r="J1472">
        <f>VLOOKUP(D1472,Товар!$A$2:$F$1000,5,0)</f>
        <v/>
      </c>
      <c r="K1472">
        <f>IF(AND(H1472="Промышленный",LEFT(I1472,18)="Порошок стиральный",F1472="Продажа",B1472=DATE(2023,6,7)),E1472*J1472/1000,0)</f>
        <v/>
      </c>
    </row>
    <row r="1473">
      <c r="A1473" t="n">
        <v>1472</v>
      </c>
      <c r="B1473" s="1" t="n">
        <v>45084</v>
      </c>
      <c r="C1473" s="5" t="inlineStr">
        <is>
          <t>M12</t>
        </is>
      </c>
      <c r="D1473" s="5" t="n">
        <v>32</v>
      </c>
      <c r="E1473" s="5" t="n">
        <v>237</v>
      </c>
      <c r="F1473" t="inlineStr">
        <is>
          <t>Продажа</t>
        </is>
      </c>
      <c r="H1473">
        <f>VLOOKUP(C1473,Магазин!$A$2:$C$1000,2,0)</f>
        <v/>
      </c>
      <c r="I1473">
        <f>VLOOKUP(D1473,Товар!$A$2:$F$1000,3,0)</f>
        <v/>
      </c>
      <c r="J1473">
        <f>VLOOKUP(D1473,Товар!$A$2:$F$1000,5,0)</f>
        <v/>
      </c>
      <c r="K1473">
        <f>IF(AND(H1473="Промышленный",LEFT(I1473,18)="Порошок стиральный",F1473="Продажа",B1473=DATE(2023,6,7)),E1473*J1473/1000,0)</f>
        <v/>
      </c>
    </row>
    <row r="1474">
      <c r="A1474" t="n">
        <v>1473</v>
      </c>
      <c r="B1474" s="1" t="n">
        <v>45084</v>
      </c>
      <c r="C1474" s="5" t="inlineStr">
        <is>
          <t>M12</t>
        </is>
      </c>
      <c r="D1474" s="5" t="n">
        <v>33</v>
      </c>
      <c r="E1474" s="5" t="n">
        <v>218</v>
      </c>
      <c r="F1474" t="inlineStr">
        <is>
          <t>Продажа</t>
        </is>
      </c>
      <c r="H1474">
        <f>VLOOKUP(C1474,Магазин!$A$2:$C$1000,2,0)</f>
        <v/>
      </c>
      <c r="I1474">
        <f>VLOOKUP(D1474,Товар!$A$2:$F$1000,3,0)</f>
        <v/>
      </c>
      <c r="J1474">
        <f>VLOOKUP(D1474,Товар!$A$2:$F$1000,5,0)</f>
        <v/>
      </c>
      <c r="K1474">
        <f>IF(AND(H1474="Промышленный",LEFT(I1474,18)="Порошок стиральный",F1474="Продажа",B1474=DATE(2023,6,7)),E1474*J1474/1000,0)</f>
        <v/>
      </c>
    </row>
    <row r="1475">
      <c r="A1475" t="n">
        <v>1474</v>
      </c>
      <c r="B1475" s="1" t="n">
        <v>45084</v>
      </c>
      <c r="C1475" s="5" t="inlineStr">
        <is>
          <t>M12</t>
        </is>
      </c>
      <c r="D1475" s="5" t="n">
        <v>34</v>
      </c>
      <c r="E1475" s="5" t="n">
        <v>249</v>
      </c>
      <c r="F1475" t="inlineStr">
        <is>
          <t>Продажа</t>
        </is>
      </c>
      <c r="H1475">
        <f>VLOOKUP(C1475,Магазин!$A$2:$C$1000,2,0)</f>
        <v/>
      </c>
      <c r="I1475">
        <f>VLOOKUP(D1475,Товар!$A$2:$F$1000,3,0)</f>
        <v/>
      </c>
      <c r="J1475">
        <f>VLOOKUP(D1475,Товар!$A$2:$F$1000,5,0)</f>
        <v/>
      </c>
      <c r="K1475">
        <f>IF(AND(H1475="Промышленный",LEFT(I1475,18)="Порошок стиральный",F1475="Продажа",B1475=DATE(2023,6,7)),E1475*J1475/1000,0)</f>
        <v/>
      </c>
    </row>
    <row r="1476">
      <c r="A1476" t="n">
        <v>1475</v>
      </c>
      <c r="B1476" s="1" t="n">
        <v>45084</v>
      </c>
      <c r="C1476" s="5" t="inlineStr">
        <is>
          <t>M12</t>
        </is>
      </c>
      <c r="D1476" s="5" t="n">
        <v>35</v>
      </c>
      <c r="E1476" s="5" t="n">
        <v>273</v>
      </c>
      <c r="F1476" t="inlineStr">
        <is>
          <t>Продажа</t>
        </is>
      </c>
      <c r="H1476">
        <f>VLOOKUP(C1476,Магазин!$A$2:$C$1000,2,0)</f>
        <v/>
      </c>
      <c r="I1476">
        <f>VLOOKUP(D1476,Товар!$A$2:$F$1000,3,0)</f>
        <v/>
      </c>
      <c r="J1476">
        <f>VLOOKUP(D1476,Товар!$A$2:$F$1000,5,0)</f>
        <v/>
      </c>
      <c r="K1476">
        <f>IF(AND(H1476="Промышленный",LEFT(I1476,18)="Порошок стиральный",F1476="Продажа",B1476=DATE(2023,6,7)),E1476*J1476/1000,0)</f>
        <v/>
      </c>
    </row>
    <row r="1477">
      <c r="A1477" t="n">
        <v>1476</v>
      </c>
      <c r="B1477" s="1" t="n">
        <v>45084</v>
      </c>
      <c r="C1477" s="5" t="inlineStr">
        <is>
          <t>M12</t>
        </is>
      </c>
      <c r="D1477" s="5" t="n">
        <v>36</v>
      </c>
      <c r="E1477" s="5" t="n">
        <v>284</v>
      </c>
      <c r="F1477" t="inlineStr">
        <is>
          <t>Продажа</t>
        </is>
      </c>
      <c r="H1477">
        <f>VLOOKUP(C1477,Магазин!$A$2:$C$1000,2,0)</f>
        <v/>
      </c>
      <c r="I1477">
        <f>VLOOKUP(D1477,Товар!$A$2:$F$1000,3,0)</f>
        <v/>
      </c>
      <c r="J1477">
        <f>VLOOKUP(D1477,Товар!$A$2:$F$1000,5,0)</f>
        <v/>
      </c>
      <c r="K1477">
        <f>IF(AND(H1477="Промышленный",LEFT(I1477,18)="Порошок стиральный",F1477="Продажа",B1477=DATE(2023,6,7)),E1477*J1477/1000,0)</f>
        <v/>
      </c>
    </row>
    <row r="1478">
      <c r="A1478" t="n">
        <v>1477</v>
      </c>
      <c r="B1478" s="1" t="n">
        <v>45084</v>
      </c>
      <c r="C1478" s="5" t="inlineStr">
        <is>
          <t>M13</t>
        </is>
      </c>
      <c r="D1478" s="5" t="n">
        <v>1</v>
      </c>
      <c r="E1478" s="5" t="n">
        <v>253</v>
      </c>
      <c r="F1478" t="inlineStr">
        <is>
          <t>Продажа</t>
        </is>
      </c>
      <c r="H1478">
        <f>VLOOKUP(C1478,Магазин!$A$2:$C$1000,2,0)</f>
        <v/>
      </c>
      <c r="I1478">
        <f>VLOOKUP(D1478,Товар!$A$2:$F$1000,3,0)</f>
        <v/>
      </c>
      <c r="J1478">
        <f>VLOOKUP(D1478,Товар!$A$2:$F$1000,5,0)</f>
        <v/>
      </c>
      <c r="K1478">
        <f>IF(AND(H1478="Промышленный",LEFT(I1478,18)="Порошок стиральный",F1478="Продажа",B1478=DATE(2023,6,7)),E1478*J1478/1000,0)</f>
        <v/>
      </c>
    </row>
    <row r="1479">
      <c r="A1479" t="n">
        <v>1478</v>
      </c>
      <c r="B1479" s="1" t="n">
        <v>45084</v>
      </c>
      <c r="C1479" s="5" t="inlineStr">
        <is>
          <t>M13</t>
        </is>
      </c>
      <c r="D1479" s="5" t="n">
        <v>2</v>
      </c>
      <c r="E1479" s="5" t="n">
        <v>261</v>
      </c>
      <c r="F1479" t="inlineStr">
        <is>
          <t>Продажа</t>
        </is>
      </c>
      <c r="H1479">
        <f>VLOOKUP(C1479,Магазин!$A$2:$C$1000,2,0)</f>
        <v/>
      </c>
      <c r="I1479">
        <f>VLOOKUP(D1479,Товар!$A$2:$F$1000,3,0)</f>
        <v/>
      </c>
      <c r="J1479">
        <f>VLOOKUP(D1479,Товар!$A$2:$F$1000,5,0)</f>
        <v/>
      </c>
      <c r="K1479">
        <f>IF(AND(H1479="Промышленный",LEFT(I1479,18)="Порошок стиральный",F1479="Продажа",B1479=DATE(2023,6,7)),E1479*J1479/1000,0)</f>
        <v/>
      </c>
    </row>
    <row r="1480">
      <c r="A1480" t="n">
        <v>1479</v>
      </c>
      <c r="B1480" s="1" t="n">
        <v>45084</v>
      </c>
      <c r="C1480" s="5" t="inlineStr">
        <is>
          <t>M13</t>
        </is>
      </c>
      <c r="D1480" s="5" t="n">
        <v>3</v>
      </c>
      <c r="E1480" s="5" t="n">
        <v>276</v>
      </c>
      <c r="F1480" t="inlineStr">
        <is>
          <t>Продажа</t>
        </is>
      </c>
      <c r="H1480">
        <f>VLOOKUP(C1480,Магазин!$A$2:$C$1000,2,0)</f>
        <v/>
      </c>
      <c r="I1480">
        <f>VLOOKUP(D1480,Товар!$A$2:$F$1000,3,0)</f>
        <v/>
      </c>
      <c r="J1480">
        <f>VLOOKUP(D1480,Товар!$A$2:$F$1000,5,0)</f>
        <v/>
      </c>
      <c r="K1480">
        <f>IF(AND(H1480="Промышленный",LEFT(I1480,18)="Порошок стиральный",F1480="Продажа",B1480=DATE(2023,6,7)),E1480*J1480/1000,0)</f>
        <v/>
      </c>
    </row>
    <row r="1481">
      <c r="A1481" t="n">
        <v>1480</v>
      </c>
      <c r="B1481" s="1" t="n">
        <v>45084</v>
      </c>
      <c r="C1481" s="5" t="inlineStr">
        <is>
          <t>M13</t>
        </is>
      </c>
      <c r="D1481" s="5" t="n">
        <v>4</v>
      </c>
      <c r="E1481" s="5" t="n">
        <v>248</v>
      </c>
      <c r="F1481" t="inlineStr">
        <is>
          <t>Продажа</t>
        </is>
      </c>
      <c r="H1481">
        <f>VLOOKUP(C1481,Магазин!$A$2:$C$1000,2,0)</f>
        <v/>
      </c>
      <c r="I1481">
        <f>VLOOKUP(D1481,Товар!$A$2:$F$1000,3,0)</f>
        <v/>
      </c>
      <c r="J1481">
        <f>VLOOKUP(D1481,Товар!$A$2:$F$1000,5,0)</f>
        <v/>
      </c>
      <c r="K1481">
        <f>IF(AND(H1481="Промышленный",LEFT(I1481,18)="Порошок стиральный",F1481="Продажа",B1481=DATE(2023,6,7)),E1481*J1481/1000,0)</f>
        <v/>
      </c>
    </row>
    <row r="1482">
      <c r="A1482" t="n">
        <v>1481</v>
      </c>
      <c r="B1482" s="1" t="n">
        <v>45084</v>
      </c>
      <c r="C1482" s="5" t="inlineStr">
        <is>
          <t>M13</t>
        </is>
      </c>
      <c r="D1482" s="5" t="n">
        <v>5</v>
      </c>
      <c r="E1482" s="5" t="n">
        <v>249</v>
      </c>
      <c r="F1482" t="inlineStr">
        <is>
          <t>Продажа</t>
        </is>
      </c>
      <c r="H1482">
        <f>VLOOKUP(C1482,Магазин!$A$2:$C$1000,2,0)</f>
        <v/>
      </c>
      <c r="I1482">
        <f>VLOOKUP(D1482,Товар!$A$2:$F$1000,3,0)</f>
        <v/>
      </c>
      <c r="J1482">
        <f>VLOOKUP(D1482,Товар!$A$2:$F$1000,5,0)</f>
        <v/>
      </c>
      <c r="K1482">
        <f>IF(AND(H1482="Промышленный",LEFT(I1482,18)="Порошок стиральный",F1482="Продажа",B1482=DATE(2023,6,7)),E1482*J1482/1000,0)</f>
        <v/>
      </c>
    </row>
    <row r="1483">
      <c r="A1483" t="n">
        <v>1482</v>
      </c>
      <c r="B1483" s="1" t="n">
        <v>45084</v>
      </c>
      <c r="C1483" s="5" t="inlineStr">
        <is>
          <t>M13</t>
        </is>
      </c>
      <c r="D1483" s="5" t="n">
        <v>6</v>
      </c>
      <c r="E1483" s="5" t="n">
        <v>234</v>
      </c>
      <c r="F1483" t="inlineStr">
        <is>
          <t>Продажа</t>
        </is>
      </c>
      <c r="H1483">
        <f>VLOOKUP(C1483,Магазин!$A$2:$C$1000,2,0)</f>
        <v/>
      </c>
      <c r="I1483">
        <f>VLOOKUP(D1483,Товар!$A$2:$F$1000,3,0)</f>
        <v/>
      </c>
      <c r="J1483">
        <f>VLOOKUP(D1483,Товар!$A$2:$F$1000,5,0)</f>
        <v/>
      </c>
      <c r="K1483">
        <f>IF(AND(H1483="Промышленный",LEFT(I1483,18)="Порошок стиральный",F1483="Продажа",B1483=DATE(2023,6,7)),E1483*J1483/1000,0)</f>
        <v/>
      </c>
    </row>
    <row r="1484">
      <c r="A1484" t="n">
        <v>1483</v>
      </c>
      <c r="B1484" s="1" t="n">
        <v>45084</v>
      </c>
      <c r="C1484" s="5" t="inlineStr">
        <is>
          <t>M13</t>
        </is>
      </c>
      <c r="D1484" s="5" t="n">
        <v>7</v>
      </c>
      <c r="E1484" s="5" t="n">
        <v>238</v>
      </c>
      <c r="F1484" t="inlineStr">
        <is>
          <t>Продажа</t>
        </is>
      </c>
      <c r="H1484">
        <f>VLOOKUP(C1484,Магазин!$A$2:$C$1000,2,0)</f>
        <v/>
      </c>
      <c r="I1484">
        <f>VLOOKUP(D1484,Товар!$A$2:$F$1000,3,0)</f>
        <v/>
      </c>
      <c r="J1484">
        <f>VLOOKUP(D1484,Товар!$A$2:$F$1000,5,0)</f>
        <v/>
      </c>
      <c r="K1484">
        <f>IF(AND(H1484="Промышленный",LEFT(I1484,18)="Порошок стиральный",F1484="Продажа",B1484=DATE(2023,6,7)),E1484*J1484/1000,0)</f>
        <v/>
      </c>
    </row>
    <row r="1485">
      <c r="A1485" t="n">
        <v>1484</v>
      </c>
      <c r="B1485" s="1" t="n">
        <v>45084</v>
      </c>
      <c r="C1485" s="5" t="inlineStr">
        <is>
          <t>M13</t>
        </is>
      </c>
      <c r="D1485" s="5" t="n">
        <v>8</v>
      </c>
      <c r="E1485" s="5" t="n">
        <v>295</v>
      </c>
      <c r="F1485" t="inlineStr">
        <is>
          <t>Продажа</t>
        </is>
      </c>
      <c r="H1485">
        <f>VLOOKUP(C1485,Магазин!$A$2:$C$1000,2,0)</f>
        <v/>
      </c>
      <c r="I1485">
        <f>VLOOKUP(D1485,Товар!$A$2:$F$1000,3,0)</f>
        <v/>
      </c>
      <c r="J1485">
        <f>VLOOKUP(D1485,Товар!$A$2:$F$1000,5,0)</f>
        <v/>
      </c>
      <c r="K1485">
        <f>IF(AND(H1485="Промышленный",LEFT(I1485,18)="Порошок стиральный",F1485="Продажа",B1485=DATE(2023,6,7)),E1485*J1485/1000,0)</f>
        <v/>
      </c>
    </row>
    <row r="1486">
      <c r="A1486" t="n">
        <v>1485</v>
      </c>
      <c r="B1486" s="1" t="n">
        <v>45084</v>
      </c>
      <c r="C1486" s="5" t="inlineStr">
        <is>
          <t>M13</t>
        </is>
      </c>
      <c r="D1486" s="5" t="n">
        <v>9</v>
      </c>
      <c r="E1486" s="5" t="n">
        <v>211</v>
      </c>
      <c r="F1486" t="inlineStr">
        <is>
          <t>Продажа</t>
        </is>
      </c>
      <c r="H1486">
        <f>VLOOKUP(C1486,Магазин!$A$2:$C$1000,2,0)</f>
        <v/>
      </c>
      <c r="I1486">
        <f>VLOOKUP(D1486,Товар!$A$2:$F$1000,3,0)</f>
        <v/>
      </c>
      <c r="J1486">
        <f>VLOOKUP(D1486,Товар!$A$2:$F$1000,5,0)</f>
        <v/>
      </c>
      <c r="K1486">
        <f>IF(AND(H1486="Промышленный",LEFT(I1486,18)="Порошок стиральный",F1486="Продажа",B1486=DATE(2023,6,7)),E1486*J1486/1000,0)</f>
        <v/>
      </c>
    </row>
    <row r="1487">
      <c r="A1487" t="n">
        <v>1486</v>
      </c>
      <c r="B1487" s="1" t="n">
        <v>45084</v>
      </c>
      <c r="C1487" s="5" t="inlineStr">
        <is>
          <t>M13</t>
        </is>
      </c>
      <c r="D1487" s="5" t="n">
        <v>10</v>
      </c>
      <c r="E1487" s="5" t="n">
        <v>233</v>
      </c>
      <c r="F1487" t="inlineStr">
        <is>
          <t>Продажа</t>
        </is>
      </c>
      <c r="H1487">
        <f>VLOOKUP(C1487,Магазин!$A$2:$C$1000,2,0)</f>
        <v/>
      </c>
      <c r="I1487">
        <f>VLOOKUP(D1487,Товар!$A$2:$F$1000,3,0)</f>
        <v/>
      </c>
      <c r="J1487">
        <f>VLOOKUP(D1487,Товар!$A$2:$F$1000,5,0)</f>
        <v/>
      </c>
      <c r="K1487">
        <f>IF(AND(H1487="Промышленный",LEFT(I1487,18)="Порошок стиральный",F1487="Продажа",B1487=DATE(2023,6,7)),E1487*J1487/1000,0)</f>
        <v/>
      </c>
    </row>
    <row r="1488">
      <c r="A1488" t="n">
        <v>1487</v>
      </c>
      <c r="B1488" s="1" t="n">
        <v>45084</v>
      </c>
      <c r="C1488" s="5" t="inlineStr">
        <is>
          <t>M13</t>
        </is>
      </c>
      <c r="D1488" s="5" t="n">
        <v>11</v>
      </c>
      <c r="E1488" s="5" t="n">
        <v>244</v>
      </c>
      <c r="F1488" t="inlineStr">
        <is>
          <t>Продажа</t>
        </is>
      </c>
      <c r="H1488">
        <f>VLOOKUP(C1488,Магазин!$A$2:$C$1000,2,0)</f>
        <v/>
      </c>
      <c r="I1488">
        <f>VLOOKUP(D1488,Товар!$A$2:$F$1000,3,0)</f>
        <v/>
      </c>
      <c r="J1488">
        <f>VLOOKUP(D1488,Товар!$A$2:$F$1000,5,0)</f>
        <v/>
      </c>
      <c r="K1488">
        <f>IF(AND(H1488="Промышленный",LEFT(I1488,18)="Порошок стиральный",F1488="Продажа",B1488=DATE(2023,6,7)),E1488*J1488/1000,0)</f>
        <v/>
      </c>
    </row>
    <row r="1489">
      <c r="A1489" t="n">
        <v>1488</v>
      </c>
      <c r="B1489" s="1" t="n">
        <v>45084</v>
      </c>
      <c r="C1489" s="5" t="inlineStr">
        <is>
          <t>M13</t>
        </is>
      </c>
      <c r="D1489" s="5" t="n">
        <v>12</v>
      </c>
      <c r="E1489" s="5" t="n">
        <v>255</v>
      </c>
      <c r="F1489" t="inlineStr">
        <is>
          <t>Продажа</t>
        </is>
      </c>
      <c r="H1489">
        <f>VLOOKUP(C1489,Магазин!$A$2:$C$1000,2,0)</f>
        <v/>
      </c>
      <c r="I1489">
        <f>VLOOKUP(D1489,Товар!$A$2:$F$1000,3,0)</f>
        <v/>
      </c>
      <c r="J1489">
        <f>VLOOKUP(D1489,Товар!$A$2:$F$1000,5,0)</f>
        <v/>
      </c>
      <c r="K1489">
        <f>IF(AND(H1489="Промышленный",LEFT(I1489,18)="Порошок стиральный",F1489="Продажа",B1489=DATE(2023,6,7)),E1489*J1489/1000,0)</f>
        <v/>
      </c>
    </row>
    <row r="1490">
      <c r="A1490" t="n">
        <v>1489</v>
      </c>
      <c r="B1490" s="1" t="n">
        <v>45084</v>
      </c>
      <c r="C1490" s="5" t="inlineStr">
        <is>
          <t>M13</t>
        </is>
      </c>
      <c r="D1490" s="5" t="n">
        <v>13</v>
      </c>
      <c r="E1490" s="5" t="n">
        <v>266</v>
      </c>
      <c r="F1490" t="inlineStr">
        <is>
          <t>Продажа</t>
        </is>
      </c>
      <c r="H1490">
        <f>VLOOKUP(C1490,Магазин!$A$2:$C$1000,2,0)</f>
        <v/>
      </c>
      <c r="I1490">
        <f>VLOOKUP(D1490,Товар!$A$2:$F$1000,3,0)</f>
        <v/>
      </c>
      <c r="J1490">
        <f>VLOOKUP(D1490,Товар!$A$2:$F$1000,5,0)</f>
        <v/>
      </c>
      <c r="K1490">
        <f>IF(AND(H1490="Промышленный",LEFT(I1490,18)="Порошок стиральный",F1490="Продажа",B1490=DATE(2023,6,7)),E1490*J1490/1000,0)</f>
        <v/>
      </c>
    </row>
    <row r="1491">
      <c r="A1491" t="n">
        <v>1490</v>
      </c>
      <c r="B1491" s="1" t="n">
        <v>45084</v>
      </c>
      <c r="C1491" s="5" t="inlineStr">
        <is>
          <t>M13</t>
        </is>
      </c>
      <c r="D1491" s="5" t="n">
        <v>14</v>
      </c>
      <c r="E1491" s="5" t="n">
        <v>277</v>
      </c>
      <c r="F1491" t="inlineStr">
        <is>
          <t>Продажа</t>
        </is>
      </c>
      <c r="H1491">
        <f>VLOOKUP(C1491,Магазин!$A$2:$C$1000,2,0)</f>
        <v/>
      </c>
      <c r="I1491">
        <f>VLOOKUP(D1491,Товар!$A$2:$F$1000,3,0)</f>
        <v/>
      </c>
      <c r="J1491">
        <f>VLOOKUP(D1491,Товар!$A$2:$F$1000,5,0)</f>
        <v/>
      </c>
      <c r="K1491">
        <f>IF(AND(H1491="Промышленный",LEFT(I1491,18)="Порошок стиральный",F1491="Продажа",B1491=DATE(2023,6,7)),E1491*J1491/1000,0)</f>
        <v/>
      </c>
    </row>
    <row r="1492">
      <c r="A1492" t="n">
        <v>1491</v>
      </c>
      <c r="B1492" s="1" t="n">
        <v>45084</v>
      </c>
      <c r="C1492" s="5" t="inlineStr">
        <is>
          <t>M13</t>
        </is>
      </c>
      <c r="D1492" s="5" t="n">
        <v>15</v>
      </c>
      <c r="E1492" s="5" t="n">
        <v>288</v>
      </c>
      <c r="F1492" t="inlineStr">
        <is>
          <t>Продажа</t>
        </is>
      </c>
      <c r="H1492">
        <f>VLOOKUP(C1492,Магазин!$A$2:$C$1000,2,0)</f>
        <v/>
      </c>
      <c r="I1492">
        <f>VLOOKUP(D1492,Товар!$A$2:$F$1000,3,0)</f>
        <v/>
      </c>
      <c r="J1492">
        <f>VLOOKUP(D1492,Товар!$A$2:$F$1000,5,0)</f>
        <v/>
      </c>
      <c r="K1492">
        <f>IF(AND(H1492="Промышленный",LEFT(I1492,18)="Порошок стиральный",F1492="Продажа",B1492=DATE(2023,6,7)),E1492*J1492/1000,0)</f>
        <v/>
      </c>
    </row>
    <row r="1493">
      <c r="A1493" t="n">
        <v>1492</v>
      </c>
      <c r="B1493" s="1" t="n">
        <v>45084</v>
      </c>
      <c r="C1493" s="5" t="inlineStr">
        <is>
          <t>M13</t>
        </is>
      </c>
      <c r="D1493" s="5" t="n">
        <v>16</v>
      </c>
      <c r="E1493" s="5" t="n">
        <v>299</v>
      </c>
      <c r="F1493" t="inlineStr">
        <is>
          <t>Продажа</t>
        </is>
      </c>
      <c r="H1493">
        <f>VLOOKUP(C1493,Магазин!$A$2:$C$1000,2,0)</f>
        <v/>
      </c>
      <c r="I1493">
        <f>VLOOKUP(D1493,Товар!$A$2:$F$1000,3,0)</f>
        <v/>
      </c>
      <c r="J1493">
        <f>VLOOKUP(D1493,Товар!$A$2:$F$1000,5,0)</f>
        <v/>
      </c>
      <c r="K1493">
        <f>IF(AND(H1493="Промышленный",LEFT(I1493,18)="Порошок стиральный",F1493="Продажа",B1493=DATE(2023,6,7)),E1493*J1493/1000,0)</f>
        <v/>
      </c>
    </row>
    <row r="1494">
      <c r="A1494" t="n">
        <v>1493</v>
      </c>
      <c r="B1494" s="1" t="n">
        <v>45084</v>
      </c>
      <c r="C1494" s="5" t="inlineStr">
        <is>
          <t>M13</t>
        </is>
      </c>
      <c r="D1494" s="5" t="n">
        <v>17</v>
      </c>
      <c r="E1494" s="5" t="n">
        <v>201</v>
      </c>
      <c r="F1494" t="inlineStr">
        <is>
          <t>Продажа</t>
        </is>
      </c>
      <c r="H1494">
        <f>VLOOKUP(C1494,Магазин!$A$2:$C$1000,2,0)</f>
        <v/>
      </c>
      <c r="I1494">
        <f>VLOOKUP(D1494,Товар!$A$2:$F$1000,3,0)</f>
        <v/>
      </c>
      <c r="J1494">
        <f>VLOOKUP(D1494,Товар!$A$2:$F$1000,5,0)</f>
        <v/>
      </c>
      <c r="K1494">
        <f>IF(AND(H1494="Промышленный",LEFT(I1494,18)="Порошок стиральный",F1494="Продажа",B1494=DATE(2023,6,7)),E1494*J1494/1000,0)</f>
        <v/>
      </c>
    </row>
    <row r="1495">
      <c r="A1495" t="n">
        <v>1494</v>
      </c>
      <c r="B1495" s="1" t="n">
        <v>45084</v>
      </c>
      <c r="C1495" s="5" t="inlineStr">
        <is>
          <t>M13</t>
        </is>
      </c>
      <c r="D1495" s="5" t="n">
        <v>18</v>
      </c>
      <c r="E1495" s="5" t="n">
        <v>205</v>
      </c>
      <c r="F1495" t="inlineStr">
        <is>
          <t>Продажа</t>
        </is>
      </c>
      <c r="H1495">
        <f>VLOOKUP(C1495,Магазин!$A$2:$C$1000,2,0)</f>
        <v/>
      </c>
      <c r="I1495">
        <f>VLOOKUP(D1495,Товар!$A$2:$F$1000,3,0)</f>
        <v/>
      </c>
      <c r="J1495">
        <f>VLOOKUP(D1495,Товар!$A$2:$F$1000,5,0)</f>
        <v/>
      </c>
      <c r="K1495">
        <f>IF(AND(H1495="Промышленный",LEFT(I1495,18)="Порошок стиральный",F1495="Продажа",B1495=DATE(2023,6,7)),E1495*J1495/1000,0)</f>
        <v/>
      </c>
    </row>
    <row r="1496">
      <c r="A1496" t="n">
        <v>1495</v>
      </c>
      <c r="B1496" s="1" t="n">
        <v>45084</v>
      </c>
      <c r="C1496" s="5" t="inlineStr">
        <is>
          <t>M13</t>
        </is>
      </c>
      <c r="D1496" s="5" t="n">
        <v>19</v>
      </c>
      <c r="E1496" s="5" t="n">
        <v>357</v>
      </c>
      <c r="F1496" t="inlineStr">
        <is>
          <t>Продажа</t>
        </is>
      </c>
      <c r="H1496">
        <f>VLOOKUP(C1496,Магазин!$A$2:$C$1000,2,0)</f>
        <v/>
      </c>
      <c r="I1496">
        <f>VLOOKUP(D1496,Товар!$A$2:$F$1000,3,0)</f>
        <v/>
      </c>
      <c r="J1496">
        <f>VLOOKUP(D1496,Товар!$A$2:$F$1000,5,0)</f>
        <v/>
      </c>
      <c r="K1496">
        <f>IF(AND(H1496="Промышленный",LEFT(I1496,18)="Порошок стиральный",F1496="Продажа",B1496=DATE(2023,6,7)),E1496*J1496/1000,0)</f>
        <v/>
      </c>
    </row>
    <row r="1497">
      <c r="A1497" t="n">
        <v>1496</v>
      </c>
      <c r="B1497" s="1" t="n">
        <v>45084</v>
      </c>
      <c r="C1497" s="5" t="inlineStr">
        <is>
          <t>M13</t>
        </is>
      </c>
      <c r="D1497" s="5" t="n">
        <v>20</v>
      </c>
      <c r="E1497" s="5" t="n">
        <v>268</v>
      </c>
      <c r="F1497" t="inlineStr">
        <is>
          <t>Продажа</t>
        </is>
      </c>
      <c r="H1497">
        <f>VLOOKUP(C1497,Магазин!$A$2:$C$1000,2,0)</f>
        <v/>
      </c>
      <c r="I1497">
        <f>VLOOKUP(D1497,Товар!$A$2:$F$1000,3,0)</f>
        <v/>
      </c>
      <c r="J1497">
        <f>VLOOKUP(D1497,Товар!$A$2:$F$1000,5,0)</f>
        <v/>
      </c>
      <c r="K1497">
        <f>IF(AND(H1497="Промышленный",LEFT(I1497,18)="Порошок стиральный",F1497="Продажа",B1497=DATE(2023,6,7)),E1497*J1497/1000,0)</f>
        <v/>
      </c>
    </row>
    <row r="1498">
      <c r="A1498" t="n">
        <v>1497</v>
      </c>
      <c r="B1498" s="1" t="n">
        <v>45084</v>
      </c>
      <c r="C1498" s="5" t="inlineStr">
        <is>
          <t>M13</t>
        </is>
      </c>
      <c r="D1498" s="5" t="n">
        <v>21</v>
      </c>
      <c r="E1498" s="5" t="n">
        <v>279</v>
      </c>
      <c r="F1498" t="inlineStr">
        <is>
          <t>Продажа</t>
        </is>
      </c>
      <c r="H1498">
        <f>VLOOKUP(C1498,Магазин!$A$2:$C$1000,2,0)</f>
        <v/>
      </c>
      <c r="I1498">
        <f>VLOOKUP(D1498,Товар!$A$2:$F$1000,3,0)</f>
        <v/>
      </c>
      <c r="J1498">
        <f>VLOOKUP(D1498,Товар!$A$2:$F$1000,5,0)</f>
        <v/>
      </c>
      <c r="K1498">
        <f>IF(AND(H1498="Промышленный",LEFT(I1498,18)="Порошок стиральный",F1498="Продажа",B1498=DATE(2023,6,7)),E1498*J1498/1000,0)</f>
        <v/>
      </c>
    </row>
    <row r="1499">
      <c r="A1499" t="n">
        <v>1498</v>
      </c>
      <c r="B1499" s="1" t="n">
        <v>45084</v>
      </c>
      <c r="C1499" s="5" t="inlineStr">
        <is>
          <t>M13</t>
        </is>
      </c>
      <c r="D1499" s="5" t="n">
        <v>22</v>
      </c>
      <c r="E1499" s="5" t="n">
        <v>281</v>
      </c>
      <c r="F1499" t="inlineStr">
        <is>
          <t>Продажа</t>
        </is>
      </c>
      <c r="H1499">
        <f>VLOOKUP(C1499,Магазин!$A$2:$C$1000,2,0)</f>
        <v/>
      </c>
      <c r="I1499">
        <f>VLOOKUP(D1499,Товар!$A$2:$F$1000,3,0)</f>
        <v/>
      </c>
      <c r="J1499">
        <f>VLOOKUP(D1499,Товар!$A$2:$F$1000,5,0)</f>
        <v/>
      </c>
      <c r="K1499">
        <f>IF(AND(H1499="Промышленный",LEFT(I1499,18)="Порошок стиральный",F1499="Продажа",B1499=DATE(2023,6,7)),E1499*J1499/1000,0)</f>
        <v/>
      </c>
    </row>
    <row r="1500">
      <c r="A1500" t="n">
        <v>1499</v>
      </c>
      <c r="B1500" s="1" t="n">
        <v>45084</v>
      </c>
      <c r="C1500" s="5" t="inlineStr">
        <is>
          <t>M13</t>
        </is>
      </c>
      <c r="D1500" s="5" t="n">
        <v>23</v>
      </c>
      <c r="E1500" s="5" t="n">
        <v>292</v>
      </c>
      <c r="F1500" t="inlineStr">
        <is>
          <t>Продажа</t>
        </is>
      </c>
      <c r="H1500">
        <f>VLOOKUP(C1500,Магазин!$A$2:$C$1000,2,0)</f>
        <v/>
      </c>
      <c r="I1500">
        <f>VLOOKUP(D1500,Товар!$A$2:$F$1000,3,0)</f>
        <v/>
      </c>
      <c r="J1500">
        <f>VLOOKUP(D1500,Товар!$A$2:$F$1000,5,0)</f>
        <v/>
      </c>
      <c r="K1500">
        <f>IF(AND(H1500="Промышленный",LEFT(I1500,18)="Порошок стиральный",F1500="Продажа",B1500=DATE(2023,6,7)),E1500*J1500/1000,0)</f>
        <v/>
      </c>
    </row>
    <row r="1501">
      <c r="A1501" t="n">
        <v>1500</v>
      </c>
      <c r="B1501" s="1" t="n">
        <v>45084</v>
      </c>
      <c r="C1501" s="5" t="inlineStr">
        <is>
          <t>M13</t>
        </is>
      </c>
      <c r="D1501" s="5" t="n">
        <v>24</v>
      </c>
      <c r="E1501" s="5" t="n">
        <v>203</v>
      </c>
      <c r="F1501" t="inlineStr">
        <is>
          <t>Продажа</t>
        </is>
      </c>
      <c r="H1501">
        <f>VLOOKUP(C1501,Магазин!$A$2:$C$1000,2,0)</f>
        <v/>
      </c>
      <c r="I1501">
        <f>VLOOKUP(D1501,Товар!$A$2:$F$1000,3,0)</f>
        <v/>
      </c>
      <c r="J1501">
        <f>VLOOKUP(D1501,Товар!$A$2:$F$1000,5,0)</f>
        <v/>
      </c>
      <c r="K1501">
        <f>IF(AND(H1501="Промышленный",LEFT(I1501,18)="Порошок стиральный",F1501="Продажа",B1501=DATE(2023,6,7)),E1501*J1501/1000,0)</f>
        <v/>
      </c>
    </row>
    <row r="1502">
      <c r="A1502" t="n">
        <v>1501</v>
      </c>
      <c r="B1502" s="1" t="n">
        <v>45084</v>
      </c>
      <c r="C1502" s="5" t="inlineStr">
        <is>
          <t>M13</t>
        </is>
      </c>
      <c r="D1502" s="5" t="n">
        <v>25</v>
      </c>
      <c r="E1502" s="5" t="n">
        <v>214</v>
      </c>
      <c r="F1502" t="inlineStr">
        <is>
          <t>Продажа</t>
        </is>
      </c>
      <c r="H1502">
        <f>VLOOKUP(C1502,Магазин!$A$2:$C$1000,2,0)</f>
        <v/>
      </c>
      <c r="I1502">
        <f>VLOOKUP(D1502,Товар!$A$2:$F$1000,3,0)</f>
        <v/>
      </c>
      <c r="J1502">
        <f>VLOOKUP(D1502,Товар!$A$2:$F$1000,5,0)</f>
        <v/>
      </c>
      <c r="K1502">
        <f>IF(AND(H1502="Промышленный",LEFT(I1502,18)="Порошок стиральный",F1502="Продажа",B1502=DATE(2023,6,7)),E1502*J1502/1000,0)</f>
        <v/>
      </c>
    </row>
    <row r="1503">
      <c r="A1503" t="n">
        <v>1502</v>
      </c>
      <c r="B1503" s="1" t="n">
        <v>45084</v>
      </c>
      <c r="C1503" s="5" t="inlineStr">
        <is>
          <t>M13</t>
        </is>
      </c>
      <c r="D1503" s="5" t="n">
        <v>26</v>
      </c>
      <c r="E1503" s="5" t="n">
        <v>225</v>
      </c>
      <c r="F1503" t="inlineStr">
        <is>
          <t>Продажа</t>
        </is>
      </c>
      <c r="H1503">
        <f>VLOOKUP(C1503,Магазин!$A$2:$C$1000,2,0)</f>
        <v/>
      </c>
      <c r="I1503">
        <f>VLOOKUP(D1503,Товар!$A$2:$F$1000,3,0)</f>
        <v/>
      </c>
      <c r="J1503">
        <f>VLOOKUP(D1503,Товар!$A$2:$F$1000,5,0)</f>
        <v/>
      </c>
      <c r="K1503">
        <f>IF(AND(H1503="Промышленный",LEFT(I1503,18)="Порошок стиральный",F1503="Продажа",B1503=DATE(2023,6,7)),E1503*J1503/1000,0)</f>
        <v/>
      </c>
    </row>
    <row r="1504">
      <c r="A1504" t="n">
        <v>1503</v>
      </c>
      <c r="B1504" s="1" t="n">
        <v>45084</v>
      </c>
      <c r="C1504" s="5" t="inlineStr">
        <is>
          <t>M13</t>
        </is>
      </c>
      <c r="D1504" s="5" t="n">
        <v>27</v>
      </c>
      <c r="E1504" s="5" t="n">
        <v>236</v>
      </c>
      <c r="F1504" t="inlineStr">
        <is>
          <t>Продажа</t>
        </is>
      </c>
      <c r="H1504">
        <f>VLOOKUP(C1504,Магазин!$A$2:$C$1000,2,0)</f>
        <v/>
      </c>
      <c r="I1504">
        <f>VLOOKUP(D1504,Товар!$A$2:$F$1000,3,0)</f>
        <v/>
      </c>
      <c r="J1504">
        <f>VLOOKUP(D1504,Товар!$A$2:$F$1000,5,0)</f>
        <v/>
      </c>
      <c r="K1504">
        <f>IF(AND(H1504="Промышленный",LEFT(I1504,18)="Порошок стиральный",F1504="Продажа",B1504=DATE(2023,6,7)),E1504*J1504/1000,0)</f>
        <v/>
      </c>
    </row>
    <row r="1505">
      <c r="A1505" t="n">
        <v>1504</v>
      </c>
      <c r="B1505" s="1" t="n">
        <v>45084</v>
      </c>
      <c r="C1505" s="5" t="inlineStr">
        <is>
          <t>M13</t>
        </is>
      </c>
      <c r="D1505" s="5" t="n">
        <v>28</v>
      </c>
      <c r="E1505" s="5" t="n">
        <v>247</v>
      </c>
      <c r="F1505" t="inlineStr">
        <is>
          <t>Продажа</t>
        </is>
      </c>
      <c r="H1505">
        <f>VLOOKUP(C1505,Магазин!$A$2:$C$1000,2,0)</f>
        <v/>
      </c>
      <c r="I1505">
        <f>VLOOKUP(D1505,Товар!$A$2:$F$1000,3,0)</f>
        <v/>
      </c>
      <c r="J1505">
        <f>VLOOKUP(D1505,Товар!$A$2:$F$1000,5,0)</f>
        <v/>
      </c>
      <c r="K1505">
        <f>IF(AND(H1505="Промышленный",LEFT(I1505,18)="Порошок стиральный",F1505="Продажа",B1505=DATE(2023,6,7)),E1505*J1505/1000,0)</f>
        <v/>
      </c>
    </row>
    <row r="1506">
      <c r="A1506" t="n">
        <v>1505</v>
      </c>
      <c r="B1506" s="1" t="n">
        <v>45084</v>
      </c>
      <c r="C1506" s="5" t="inlineStr">
        <is>
          <t>M13</t>
        </is>
      </c>
      <c r="D1506" s="5" t="n">
        <v>29</v>
      </c>
      <c r="E1506" s="5" t="n">
        <v>258</v>
      </c>
      <c r="F1506" t="inlineStr">
        <is>
          <t>Продажа</t>
        </is>
      </c>
      <c r="H1506">
        <f>VLOOKUP(C1506,Магазин!$A$2:$C$1000,2,0)</f>
        <v/>
      </c>
      <c r="I1506">
        <f>VLOOKUP(D1506,Товар!$A$2:$F$1000,3,0)</f>
        <v/>
      </c>
      <c r="J1506">
        <f>VLOOKUP(D1506,Товар!$A$2:$F$1000,5,0)</f>
        <v/>
      </c>
      <c r="K1506">
        <f>IF(AND(H1506="Промышленный",LEFT(I1506,18)="Порошок стиральный",F1506="Продажа",B1506=DATE(2023,6,7)),E1506*J1506/1000,0)</f>
        <v/>
      </c>
    </row>
    <row r="1507">
      <c r="A1507" t="n">
        <v>1506</v>
      </c>
      <c r="B1507" s="1" t="n">
        <v>45084</v>
      </c>
      <c r="C1507" s="5" t="inlineStr">
        <is>
          <t>M13</t>
        </is>
      </c>
      <c r="D1507" s="5" t="n">
        <v>30</v>
      </c>
      <c r="E1507" s="5" t="n">
        <v>256</v>
      </c>
      <c r="F1507" t="inlineStr">
        <is>
          <t>Продажа</t>
        </is>
      </c>
      <c r="H1507">
        <f>VLOOKUP(C1507,Магазин!$A$2:$C$1000,2,0)</f>
        <v/>
      </c>
      <c r="I1507">
        <f>VLOOKUP(D1507,Товар!$A$2:$F$1000,3,0)</f>
        <v/>
      </c>
      <c r="J1507">
        <f>VLOOKUP(D1507,Товар!$A$2:$F$1000,5,0)</f>
        <v/>
      </c>
      <c r="K1507">
        <f>IF(AND(H1507="Промышленный",LEFT(I1507,18)="Порошок стиральный",F1507="Продажа",B1507=DATE(2023,6,7)),E1507*J1507/1000,0)</f>
        <v/>
      </c>
    </row>
    <row r="1508">
      <c r="A1508" t="n">
        <v>1507</v>
      </c>
      <c r="B1508" s="1" t="n">
        <v>45084</v>
      </c>
      <c r="C1508" s="5" t="inlineStr">
        <is>
          <t>M13</t>
        </is>
      </c>
      <c r="D1508" s="5" t="n">
        <v>31</v>
      </c>
      <c r="E1508" s="5" t="n">
        <v>269</v>
      </c>
      <c r="F1508" t="inlineStr">
        <is>
          <t>Продажа</t>
        </is>
      </c>
      <c r="H1508">
        <f>VLOOKUP(C1508,Магазин!$A$2:$C$1000,2,0)</f>
        <v/>
      </c>
      <c r="I1508">
        <f>VLOOKUP(D1508,Товар!$A$2:$F$1000,3,0)</f>
        <v/>
      </c>
      <c r="J1508">
        <f>VLOOKUP(D1508,Товар!$A$2:$F$1000,5,0)</f>
        <v/>
      </c>
      <c r="K1508">
        <f>IF(AND(H1508="Промышленный",LEFT(I1508,18)="Порошок стиральный",F1508="Продажа",B1508=DATE(2023,6,7)),E1508*J1508/1000,0)</f>
        <v/>
      </c>
    </row>
    <row r="1509">
      <c r="A1509" t="n">
        <v>1508</v>
      </c>
      <c r="B1509" s="1" t="n">
        <v>45084</v>
      </c>
      <c r="C1509" s="5" t="inlineStr">
        <is>
          <t>M13</t>
        </is>
      </c>
      <c r="D1509" s="5" t="n">
        <v>32</v>
      </c>
      <c r="E1509" s="5" t="n">
        <v>204</v>
      </c>
      <c r="F1509" t="inlineStr">
        <is>
          <t>Продажа</t>
        </is>
      </c>
      <c r="H1509">
        <f>VLOOKUP(C1509,Магазин!$A$2:$C$1000,2,0)</f>
        <v/>
      </c>
      <c r="I1509">
        <f>VLOOKUP(D1509,Товар!$A$2:$F$1000,3,0)</f>
        <v/>
      </c>
      <c r="J1509">
        <f>VLOOKUP(D1509,Товар!$A$2:$F$1000,5,0)</f>
        <v/>
      </c>
      <c r="K1509">
        <f>IF(AND(H1509="Промышленный",LEFT(I1509,18)="Порошок стиральный",F1509="Продажа",B1509=DATE(2023,6,7)),E1509*J1509/1000,0)</f>
        <v/>
      </c>
    </row>
    <row r="1510">
      <c r="A1510" t="n">
        <v>1509</v>
      </c>
      <c r="B1510" s="1" t="n">
        <v>45084</v>
      </c>
      <c r="C1510" s="5" t="inlineStr">
        <is>
          <t>M13</t>
        </is>
      </c>
      <c r="D1510" s="5" t="n">
        <v>33</v>
      </c>
      <c r="E1510" s="5" t="n">
        <v>206</v>
      </c>
      <c r="F1510" t="inlineStr">
        <is>
          <t>Продажа</t>
        </is>
      </c>
      <c r="H1510">
        <f>VLOOKUP(C1510,Магазин!$A$2:$C$1000,2,0)</f>
        <v/>
      </c>
      <c r="I1510">
        <f>VLOOKUP(D1510,Товар!$A$2:$F$1000,3,0)</f>
        <v/>
      </c>
      <c r="J1510">
        <f>VLOOKUP(D1510,Товар!$A$2:$F$1000,5,0)</f>
        <v/>
      </c>
      <c r="K1510">
        <f>IF(AND(H1510="Промышленный",LEFT(I1510,18)="Порошок стиральный",F1510="Продажа",B1510=DATE(2023,6,7)),E1510*J1510/1000,0)</f>
        <v/>
      </c>
    </row>
    <row r="1511">
      <c r="A1511" t="n">
        <v>1510</v>
      </c>
      <c r="B1511" s="1" t="n">
        <v>45084</v>
      </c>
      <c r="C1511" s="5" t="inlineStr">
        <is>
          <t>M13</t>
        </is>
      </c>
      <c r="D1511" s="5" t="n">
        <v>34</v>
      </c>
      <c r="E1511" s="5" t="n">
        <v>208</v>
      </c>
      <c r="F1511" t="inlineStr">
        <is>
          <t>Продажа</t>
        </is>
      </c>
      <c r="H1511">
        <f>VLOOKUP(C1511,Магазин!$A$2:$C$1000,2,0)</f>
        <v/>
      </c>
      <c r="I1511">
        <f>VLOOKUP(D1511,Товар!$A$2:$F$1000,3,0)</f>
        <v/>
      </c>
      <c r="J1511">
        <f>VLOOKUP(D1511,Товар!$A$2:$F$1000,5,0)</f>
        <v/>
      </c>
      <c r="K1511">
        <f>IF(AND(H1511="Промышленный",LEFT(I1511,18)="Порошок стиральный",F1511="Продажа",B1511=DATE(2023,6,7)),E1511*J1511/1000,0)</f>
        <v/>
      </c>
    </row>
    <row r="1512">
      <c r="A1512" t="n">
        <v>1511</v>
      </c>
      <c r="B1512" s="1" t="n">
        <v>45084</v>
      </c>
      <c r="C1512" s="5" t="inlineStr">
        <is>
          <t>M13</t>
        </is>
      </c>
      <c r="D1512" s="5" t="n">
        <v>35</v>
      </c>
      <c r="E1512" s="5" t="n">
        <v>209</v>
      </c>
      <c r="F1512" t="inlineStr">
        <is>
          <t>Продажа</t>
        </is>
      </c>
      <c r="H1512">
        <f>VLOOKUP(C1512,Магазин!$A$2:$C$1000,2,0)</f>
        <v/>
      </c>
      <c r="I1512">
        <f>VLOOKUP(D1512,Товар!$A$2:$F$1000,3,0)</f>
        <v/>
      </c>
      <c r="J1512">
        <f>VLOOKUP(D1512,Товар!$A$2:$F$1000,5,0)</f>
        <v/>
      </c>
      <c r="K1512">
        <f>IF(AND(H1512="Промышленный",LEFT(I1512,18)="Порошок стиральный",F1512="Продажа",B1512=DATE(2023,6,7)),E1512*J1512/1000,0)</f>
        <v/>
      </c>
    </row>
    <row r="1513">
      <c r="A1513" t="n">
        <v>1512</v>
      </c>
      <c r="B1513" s="1" t="n">
        <v>45084</v>
      </c>
      <c r="C1513" s="5" t="inlineStr">
        <is>
          <t>M13</t>
        </is>
      </c>
      <c r="D1513" s="5" t="n">
        <v>36</v>
      </c>
      <c r="E1513" s="5" t="n">
        <v>299</v>
      </c>
      <c r="F1513" t="inlineStr">
        <is>
          <t>Продажа</t>
        </is>
      </c>
      <c r="H1513">
        <f>VLOOKUP(C1513,Магазин!$A$2:$C$1000,2,0)</f>
        <v/>
      </c>
      <c r="I1513">
        <f>VLOOKUP(D1513,Товар!$A$2:$F$1000,3,0)</f>
        <v/>
      </c>
      <c r="J1513">
        <f>VLOOKUP(D1513,Товар!$A$2:$F$1000,5,0)</f>
        <v/>
      </c>
      <c r="K1513">
        <f>IF(AND(H1513="Промышленный",LEFT(I1513,18)="Порошок стиральный",F1513="Продажа",B1513=DATE(2023,6,7)),E1513*J1513/1000,0)</f>
        <v/>
      </c>
    </row>
    <row r="1514">
      <c r="A1514" t="n">
        <v>1513</v>
      </c>
      <c r="B1514" s="1" t="n">
        <v>45084</v>
      </c>
      <c r="C1514" s="5" t="inlineStr">
        <is>
          <t>M16</t>
        </is>
      </c>
      <c r="D1514" s="5" t="n">
        <v>1</v>
      </c>
      <c r="E1514" s="5" t="n">
        <v>275</v>
      </c>
      <c r="F1514" t="inlineStr">
        <is>
          <t>Продажа</t>
        </is>
      </c>
      <c r="H1514">
        <f>VLOOKUP(C1514,Магазин!$A$2:$C$1000,2,0)</f>
        <v/>
      </c>
      <c r="I1514">
        <f>VLOOKUP(D1514,Товар!$A$2:$F$1000,3,0)</f>
        <v/>
      </c>
      <c r="J1514">
        <f>VLOOKUP(D1514,Товар!$A$2:$F$1000,5,0)</f>
        <v/>
      </c>
      <c r="K1514">
        <f>IF(AND(H1514="Промышленный",LEFT(I1514,18)="Порошок стиральный",F1514="Продажа",B1514=DATE(2023,6,7)),E1514*J1514/1000,0)</f>
        <v/>
      </c>
    </row>
    <row r="1515">
      <c r="A1515" t="n">
        <v>1514</v>
      </c>
      <c r="B1515" s="1" t="n">
        <v>45084</v>
      </c>
      <c r="C1515" s="5" t="inlineStr">
        <is>
          <t>M16</t>
        </is>
      </c>
      <c r="D1515" s="5" t="n">
        <v>2</v>
      </c>
      <c r="E1515" s="5" t="n">
        <v>234</v>
      </c>
      <c r="F1515" t="inlineStr">
        <is>
          <t>Продажа</t>
        </is>
      </c>
      <c r="H1515">
        <f>VLOOKUP(C1515,Магазин!$A$2:$C$1000,2,0)</f>
        <v/>
      </c>
      <c r="I1515">
        <f>VLOOKUP(D1515,Товар!$A$2:$F$1000,3,0)</f>
        <v/>
      </c>
      <c r="J1515">
        <f>VLOOKUP(D1515,Товар!$A$2:$F$1000,5,0)</f>
        <v/>
      </c>
      <c r="K1515">
        <f>IF(AND(H1515="Промышленный",LEFT(I1515,18)="Порошок стиральный",F1515="Продажа",B1515=DATE(2023,6,7)),E1515*J1515/1000,0)</f>
        <v/>
      </c>
    </row>
    <row r="1516">
      <c r="A1516" t="n">
        <v>1515</v>
      </c>
      <c r="B1516" s="1" t="n">
        <v>45084</v>
      </c>
      <c r="C1516" s="5" t="inlineStr">
        <is>
          <t>M16</t>
        </is>
      </c>
      <c r="D1516" s="5" t="n">
        <v>3</v>
      </c>
      <c r="E1516" s="5" t="n">
        <v>228</v>
      </c>
      <c r="F1516" t="inlineStr">
        <is>
          <t>Продажа</t>
        </is>
      </c>
      <c r="H1516">
        <f>VLOOKUP(C1516,Магазин!$A$2:$C$1000,2,0)</f>
        <v/>
      </c>
      <c r="I1516">
        <f>VLOOKUP(D1516,Товар!$A$2:$F$1000,3,0)</f>
        <v/>
      </c>
      <c r="J1516">
        <f>VLOOKUP(D1516,Товар!$A$2:$F$1000,5,0)</f>
        <v/>
      </c>
      <c r="K1516">
        <f>IF(AND(H1516="Промышленный",LEFT(I1516,18)="Порошок стиральный",F1516="Продажа",B1516=DATE(2023,6,7)),E1516*J1516/1000,0)</f>
        <v/>
      </c>
    </row>
    <row r="1517">
      <c r="A1517" t="n">
        <v>1516</v>
      </c>
      <c r="B1517" s="1" t="n">
        <v>45084</v>
      </c>
      <c r="C1517" s="5" t="inlineStr">
        <is>
          <t>M16</t>
        </is>
      </c>
      <c r="D1517" s="5" t="n">
        <v>4</v>
      </c>
      <c r="E1517" s="5" t="n">
        <v>217</v>
      </c>
      <c r="F1517" t="inlineStr">
        <is>
          <t>Продажа</t>
        </is>
      </c>
      <c r="H1517">
        <f>VLOOKUP(C1517,Магазин!$A$2:$C$1000,2,0)</f>
        <v/>
      </c>
      <c r="I1517">
        <f>VLOOKUP(D1517,Товар!$A$2:$F$1000,3,0)</f>
        <v/>
      </c>
      <c r="J1517">
        <f>VLOOKUP(D1517,Товар!$A$2:$F$1000,5,0)</f>
        <v/>
      </c>
      <c r="K1517">
        <f>IF(AND(H1517="Промышленный",LEFT(I1517,18)="Порошок стиральный",F1517="Продажа",B1517=DATE(2023,6,7)),E1517*J1517/1000,0)</f>
        <v/>
      </c>
    </row>
    <row r="1518">
      <c r="A1518" t="n">
        <v>1517</v>
      </c>
      <c r="B1518" s="1" t="n">
        <v>45084</v>
      </c>
      <c r="C1518" s="5" t="inlineStr">
        <is>
          <t>M16</t>
        </is>
      </c>
      <c r="D1518" s="5" t="n">
        <v>5</v>
      </c>
      <c r="E1518" s="5" t="n">
        <v>258</v>
      </c>
      <c r="F1518" t="inlineStr">
        <is>
          <t>Продажа</t>
        </is>
      </c>
      <c r="H1518">
        <f>VLOOKUP(C1518,Магазин!$A$2:$C$1000,2,0)</f>
        <v/>
      </c>
      <c r="I1518">
        <f>VLOOKUP(D1518,Товар!$A$2:$F$1000,3,0)</f>
        <v/>
      </c>
      <c r="J1518">
        <f>VLOOKUP(D1518,Товар!$A$2:$F$1000,5,0)</f>
        <v/>
      </c>
      <c r="K1518">
        <f>IF(AND(H1518="Промышленный",LEFT(I1518,18)="Порошок стиральный",F1518="Продажа",B1518=DATE(2023,6,7)),E1518*J1518/1000,0)</f>
        <v/>
      </c>
    </row>
    <row r="1519">
      <c r="A1519" t="n">
        <v>1518</v>
      </c>
      <c r="B1519" s="1" t="n">
        <v>45084</v>
      </c>
      <c r="C1519" s="5" t="inlineStr">
        <is>
          <t>M16</t>
        </is>
      </c>
      <c r="D1519" s="5" t="n">
        <v>6</v>
      </c>
      <c r="E1519" s="5" t="n">
        <v>199</v>
      </c>
      <c r="F1519" t="inlineStr">
        <is>
          <t>Продажа</t>
        </is>
      </c>
      <c r="H1519">
        <f>VLOOKUP(C1519,Магазин!$A$2:$C$1000,2,0)</f>
        <v/>
      </c>
      <c r="I1519">
        <f>VLOOKUP(D1519,Товар!$A$2:$F$1000,3,0)</f>
        <v/>
      </c>
      <c r="J1519">
        <f>VLOOKUP(D1519,Товар!$A$2:$F$1000,5,0)</f>
        <v/>
      </c>
      <c r="K1519">
        <f>IF(AND(H1519="Промышленный",LEFT(I1519,18)="Порошок стиральный",F1519="Продажа",B1519=DATE(2023,6,7)),E1519*J1519/1000,0)</f>
        <v/>
      </c>
    </row>
    <row r="1520">
      <c r="A1520" t="n">
        <v>1519</v>
      </c>
      <c r="B1520" s="1" t="n">
        <v>45084</v>
      </c>
      <c r="C1520" s="5" t="inlineStr">
        <is>
          <t>M16</t>
        </is>
      </c>
      <c r="D1520" s="5" t="n">
        <v>7</v>
      </c>
      <c r="E1520" s="5" t="n">
        <v>248</v>
      </c>
      <c r="F1520" t="inlineStr">
        <is>
          <t>Продажа</t>
        </is>
      </c>
      <c r="H1520">
        <f>VLOOKUP(C1520,Магазин!$A$2:$C$1000,2,0)</f>
        <v/>
      </c>
      <c r="I1520">
        <f>VLOOKUP(D1520,Товар!$A$2:$F$1000,3,0)</f>
        <v/>
      </c>
      <c r="J1520">
        <f>VLOOKUP(D1520,Товар!$A$2:$F$1000,5,0)</f>
        <v/>
      </c>
      <c r="K1520">
        <f>IF(AND(H1520="Промышленный",LEFT(I1520,18)="Порошок стиральный",F1520="Продажа",B1520=DATE(2023,6,7)),E1520*J1520/1000,0)</f>
        <v/>
      </c>
    </row>
    <row r="1521">
      <c r="A1521" t="n">
        <v>1520</v>
      </c>
      <c r="B1521" s="1" t="n">
        <v>45084</v>
      </c>
      <c r="C1521" s="5" t="inlineStr">
        <is>
          <t>M16</t>
        </is>
      </c>
      <c r="D1521" s="5" t="n">
        <v>8</v>
      </c>
      <c r="E1521" s="5" t="n">
        <v>236</v>
      </c>
      <c r="F1521" t="inlineStr">
        <is>
          <t>Продажа</t>
        </is>
      </c>
      <c r="H1521">
        <f>VLOOKUP(C1521,Магазин!$A$2:$C$1000,2,0)</f>
        <v/>
      </c>
      <c r="I1521">
        <f>VLOOKUP(D1521,Товар!$A$2:$F$1000,3,0)</f>
        <v/>
      </c>
      <c r="J1521">
        <f>VLOOKUP(D1521,Товар!$A$2:$F$1000,5,0)</f>
        <v/>
      </c>
      <c r="K1521">
        <f>IF(AND(H1521="Промышленный",LEFT(I1521,18)="Порошок стиральный",F1521="Продажа",B1521=DATE(2023,6,7)),E1521*J1521/1000,0)</f>
        <v/>
      </c>
    </row>
    <row r="1522">
      <c r="A1522" t="n">
        <v>1521</v>
      </c>
      <c r="B1522" s="1" t="n">
        <v>45084</v>
      </c>
      <c r="C1522" s="5" t="inlineStr">
        <is>
          <t>M16</t>
        </is>
      </c>
      <c r="D1522" s="5" t="n">
        <v>9</v>
      </c>
      <c r="E1522" s="5" t="n">
        <v>287</v>
      </c>
      <c r="F1522" t="inlineStr">
        <is>
          <t>Продажа</t>
        </is>
      </c>
      <c r="H1522">
        <f>VLOOKUP(C1522,Магазин!$A$2:$C$1000,2,0)</f>
        <v/>
      </c>
      <c r="I1522">
        <f>VLOOKUP(D1522,Товар!$A$2:$F$1000,3,0)</f>
        <v/>
      </c>
      <c r="J1522">
        <f>VLOOKUP(D1522,Товар!$A$2:$F$1000,5,0)</f>
        <v/>
      </c>
      <c r="K1522">
        <f>IF(AND(H1522="Промышленный",LEFT(I1522,18)="Порошок стиральный",F1522="Продажа",B1522=DATE(2023,6,7)),E1522*J1522/1000,0)</f>
        <v/>
      </c>
    </row>
    <row r="1523">
      <c r="A1523" t="n">
        <v>1522</v>
      </c>
      <c r="B1523" s="1" t="n">
        <v>45084</v>
      </c>
      <c r="C1523" s="5" t="inlineStr">
        <is>
          <t>M16</t>
        </is>
      </c>
      <c r="D1523" s="5" t="n">
        <v>10</v>
      </c>
      <c r="E1523" s="5" t="n">
        <v>265</v>
      </c>
      <c r="F1523" t="inlineStr">
        <is>
          <t>Продажа</t>
        </is>
      </c>
      <c r="H1523">
        <f>VLOOKUP(C1523,Магазин!$A$2:$C$1000,2,0)</f>
        <v/>
      </c>
      <c r="I1523">
        <f>VLOOKUP(D1523,Товар!$A$2:$F$1000,3,0)</f>
        <v/>
      </c>
      <c r="J1523">
        <f>VLOOKUP(D1523,Товар!$A$2:$F$1000,5,0)</f>
        <v/>
      </c>
      <c r="K1523">
        <f>IF(AND(H1523="Промышленный",LEFT(I1523,18)="Порошок стиральный",F1523="Продажа",B1523=DATE(2023,6,7)),E1523*J1523/1000,0)</f>
        <v/>
      </c>
    </row>
    <row r="1524">
      <c r="A1524" t="n">
        <v>1523</v>
      </c>
      <c r="B1524" s="1" t="n">
        <v>45084</v>
      </c>
      <c r="C1524" s="5" t="inlineStr">
        <is>
          <t>M16</t>
        </is>
      </c>
      <c r="D1524" s="5" t="n">
        <v>10</v>
      </c>
      <c r="E1524" s="5" t="n">
        <v>234</v>
      </c>
      <c r="F1524" t="inlineStr">
        <is>
          <t>Поступление</t>
        </is>
      </c>
      <c r="H1524">
        <f>VLOOKUP(C1524,Магазин!$A$2:$C$1000,2,0)</f>
        <v/>
      </c>
      <c r="I1524">
        <f>VLOOKUP(D1524,Товар!$A$2:$F$1000,3,0)</f>
        <v/>
      </c>
      <c r="J1524">
        <f>VLOOKUP(D1524,Товар!$A$2:$F$1000,5,0)</f>
        <v/>
      </c>
      <c r="K1524">
        <f>IF(AND(H1524="Промышленный",LEFT(I1524,18)="Порошок стиральный",F1524="Продажа",B1524=DATE(2023,6,7)),E1524*J1524/1000,0)</f>
        <v/>
      </c>
    </row>
    <row r="1525">
      <c r="A1525" t="n">
        <v>1524</v>
      </c>
      <c r="B1525" s="1" t="n">
        <v>45084</v>
      </c>
      <c r="C1525" s="5" t="inlineStr">
        <is>
          <t>M16</t>
        </is>
      </c>
      <c r="D1525" s="5" t="n">
        <v>9</v>
      </c>
      <c r="E1525" s="5" t="n">
        <v>258</v>
      </c>
      <c r="F1525" t="inlineStr">
        <is>
          <t>Поступление</t>
        </is>
      </c>
      <c r="H1525">
        <f>VLOOKUP(C1525,Магазин!$A$2:$C$1000,2,0)</f>
        <v/>
      </c>
      <c r="I1525">
        <f>VLOOKUP(D1525,Товар!$A$2:$F$1000,3,0)</f>
        <v/>
      </c>
      <c r="J1525">
        <f>VLOOKUP(D1525,Товар!$A$2:$F$1000,5,0)</f>
        <v/>
      </c>
      <c r="K1525">
        <f>IF(AND(H1525="Промышленный",LEFT(I1525,18)="Порошок стиральный",F1525="Продажа",B1525=DATE(2023,6,7)),E1525*J1525/1000,0)</f>
        <v/>
      </c>
    </row>
    <row r="1526">
      <c r="A1526" t="n">
        <v>1525</v>
      </c>
      <c r="B1526" s="1" t="n">
        <v>45084</v>
      </c>
      <c r="C1526" s="5" t="inlineStr">
        <is>
          <t>M16</t>
        </is>
      </c>
      <c r="D1526" s="5" t="n">
        <v>13</v>
      </c>
      <c r="E1526" s="5" t="n">
        <v>264</v>
      </c>
      <c r="F1526" t="inlineStr">
        <is>
          <t>Продажа</t>
        </is>
      </c>
      <c r="H1526">
        <f>VLOOKUP(C1526,Магазин!$A$2:$C$1000,2,0)</f>
        <v/>
      </c>
      <c r="I1526">
        <f>VLOOKUP(D1526,Товар!$A$2:$F$1000,3,0)</f>
        <v/>
      </c>
      <c r="J1526">
        <f>VLOOKUP(D1526,Товар!$A$2:$F$1000,5,0)</f>
        <v/>
      </c>
      <c r="K1526">
        <f>IF(AND(H1526="Промышленный",LEFT(I1526,18)="Порошок стиральный",F1526="Продажа",B1526=DATE(2023,6,7)),E1526*J1526/1000,0)</f>
        <v/>
      </c>
    </row>
    <row r="1527">
      <c r="A1527" t="n">
        <v>1526</v>
      </c>
      <c r="B1527" s="1" t="n">
        <v>45084</v>
      </c>
      <c r="C1527" s="5" t="inlineStr">
        <is>
          <t>M16</t>
        </is>
      </c>
      <c r="D1527" s="5" t="n">
        <v>14</v>
      </c>
      <c r="E1527" s="5" t="n">
        <v>237</v>
      </c>
      <c r="F1527" t="inlineStr">
        <is>
          <t>Продажа</t>
        </is>
      </c>
      <c r="H1527">
        <f>VLOOKUP(C1527,Магазин!$A$2:$C$1000,2,0)</f>
        <v/>
      </c>
      <c r="I1527">
        <f>VLOOKUP(D1527,Товар!$A$2:$F$1000,3,0)</f>
        <v/>
      </c>
      <c r="J1527">
        <f>VLOOKUP(D1527,Товар!$A$2:$F$1000,5,0)</f>
        <v/>
      </c>
      <c r="K1527">
        <f>IF(AND(H1527="Промышленный",LEFT(I1527,18)="Порошок стиральный",F1527="Продажа",B1527=DATE(2023,6,7)),E1527*J1527/1000,0)</f>
        <v/>
      </c>
    </row>
    <row r="1528">
      <c r="A1528" t="n">
        <v>1527</v>
      </c>
      <c r="B1528" s="1" t="n">
        <v>45084</v>
      </c>
      <c r="C1528" s="5" t="inlineStr">
        <is>
          <t>M16</t>
        </is>
      </c>
      <c r="D1528" s="5" t="n">
        <v>15</v>
      </c>
      <c r="E1528" s="5" t="n">
        <v>218</v>
      </c>
      <c r="F1528" t="inlineStr">
        <is>
          <t>Продажа</t>
        </is>
      </c>
      <c r="H1528">
        <f>VLOOKUP(C1528,Магазин!$A$2:$C$1000,2,0)</f>
        <v/>
      </c>
      <c r="I1528">
        <f>VLOOKUP(D1528,Товар!$A$2:$F$1000,3,0)</f>
        <v/>
      </c>
      <c r="J1528">
        <f>VLOOKUP(D1528,Товар!$A$2:$F$1000,5,0)</f>
        <v/>
      </c>
      <c r="K1528">
        <f>IF(AND(H1528="Промышленный",LEFT(I1528,18)="Порошок стиральный",F1528="Продажа",B1528=DATE(2023,6,7)),E1528*J1528/1000,0)</f>
        <v/>
      </c>
    </row>
    <row r="1529">
      <c r="A1529" t="n">
        <v>1528</v>
      </c>
      <c r="B1529" s="1" t="n">
        <v>45084</v>
      </c>
      <c r="C1529" s="5" t="inlineStr">
        <is>
          <t>M16</t>
        </is>
      </c>
      <c r="D1529" s="5" t="n">
        <v>16</v>
      </c>
      <c r="E1529" s="5" t="n">
        <v>249</v>
      </c>
      <c r="F1529" t="inlineStr">
        <is>
          <t>Продажа</t>
        </is>
      </c>
      <c r="H1529">
        <f>VLOOKUP(C1529,Магазин!$A$2:$C$1000,2,0)</f>
        <v/>
      </c>
      <c r="I1529">
        <f>VLOOKUP(D1529,Товар!$A$2:$F$1000,3,0)</f>
        <v/>
      </c>
      <c r="J1529">
        <f>VLOOKUP(D1529,Товар!$A$2:$F$1000,5,0)</f>
        <v/>
      </c>
      <c r="K1529">
        <f>IF(AND(H1529="Промышленный",LEFT(I1529,18)="Порошок стиральный",F1529="Продажа",B1529=DATE(2023,6,7)),E1529*J1529/1000,0)</f>
        <v/>
      </c>
    </row>
    <row r="1530">
      <c r="A1530" t="n">
        <v>1529</v>
      </c>
      <c r="B1530" s="1" t="n">
        <v>45084</v>
      </c>
      <c r="C1530" s="5" t="inlineStr">
        <is>
          <t>M16</t>
        </is>
      </c>
      <c r="D1530" s="5" t="n">
        <v>17</v>
      </c>
      <c r="E1530" s="5" t="n">
        <v>273</v>
      </c>
      <c r="F1530" t="inlineStr">
        <is>
          <t>Продажа</t>
        </is>
      </c>
      <c r="H1530">
        <f>VLOOKUP(C1530,Магазин!$A$2:$C$1000,2,0)</f>
        <v/>
      </c>
      <c r="I1530">
        <f>VLOOKUP(D1530,Товар!$A$2:$F$1000,3,0)</f>
        <v/>
      </c>
      <c r="J1530">
        <f>VLOOKUP(D1530,Товар!$A$2:$F$1000,5,0)</f>
        <v/>
      </c>
      <c r="K1530">
        <f>IF(AND(H1530="Промышленный",LEFT(I1530,18)="Порошок стиральный",F1530="Продажа",B1530=DATE(2023,6,7)),E1530*J1530/1000,0)</f>
        <v/>
      </c>
    </row>
    <row r="1531">
      <c r="A1531" t="n">
        <v>1530</v>
      </c>
      <c r="B1531" s="1" t="n">
        <v>45084</v>
      </c>
      <c r="C1531" s="5" t="inlineStr">
        <is>
          <t>M16</t>
        </is>
      </c>
      <c r="D1531" s="5" t="n">
        <v>18</v>
      </c>
      <c r="E1531" s="5" t="n">
        <v>284</v>
      </c>
      <c r="F1531" t="inlineStr">
        <is>
          <t>Продажа</t>
        </is>
      </c>
      <c r="H1531">
        <f>VLOOKUP(C1531,Магазин!$A$2:$C$1000,2,0)</f>
        <v/>
      </c>
      <c r="I1531">
        <f>VLOOKUP(D1531,Товар!$A$2:$F$1000,3,0)</f>
        <v/>
      </c>
      <c r="J1531">
        <f>VLOOKUP(D1531,Товар!$A$2:$F$1000,5,0)</f>
        <v/>
      </c>
      <c r="K1531">
        <f>IF(AND(H1531="Промышленный",LEFT(I1531,18)="Порошок стиральный",F1531="Продажа",B1531=DATE(2023,6,7)),E1531*J1531/1000,0)</f>
        <v/>
      </c>
    </row>
    <row r="1532">
      <c r="A1532" t="n">
        <v>1531</v>
      </c>
      <c r="B1532" s="1" t="n">
        <v>45084</v>
      </c>
      <c r="C1532" s="5" t="inlineStr">
        <is>
          <t>M16</t>
        </is>
      </c>
      <c r="D1532" s="5" t="n">
        <v>19</v>
      </c>
      <c r="E1532" s="5" t="n">
        <v>253</v>
      </c>
      <c r="F1532" t="inlineStr">
        <is>
          <t>Продажа</t>
        </is>
      </c>
      <c r="H1532">
        <f>VLOOKUP(C1532,Магазин!$A$2:$C$1000,2,0)</f>
        <v/>
      </c>
      <c r="I1532">
        <f>VLOOKUP(D1532,Товар!$A$2:$F$1000,3,0)</f>
        <v/>
      </c>
      <c r="J1532">
        <f>VLOOKUP(D1532,Товар!$A$2:$F$1000,5,0)</f>
        <v/>
      </c>
      <c r="K1532">
        <f>IF(AND(H1532="Промышленный",LEFT(I1532,18)="Порошок стиральный",F1532="Продажа",B1532=DATE(2023,6,7)),E1532*J1532/1000,0)</f>
        <v/>
      </c>
    </row>
    <row r="1533">
      <c r="A1533" t="n">
        <v>1532</v>
      </c>
      <c r="B1533" s="1" t="n">
        <v>45084</v>
      </c>
      <c r="C1533" s="5" t="inlineStr">
        <is>
          <t>M16</t>
        </is>
      </c>
      <c r="D1533" s="5" t="n">
        <v>20</v>
      </c>
      <c r="E1533" s="5" t="n">
        <v>261</v>
      </c>
      <c r="F1533" t="inlineStr">
        <is>
          <t>Продажа</t>
        </is>
      </c>
      <c r="H1533">
        <f>VLOOKUP(C1533,Магазин!$A$2:$C$1000,2,0)</f>
        <v/>
      </c>
      <c r="I1533">
        <f>VLOOKUP(D1533,Товар!$A$2:$F$1000,3,0)</f>
        <v/>
      </c>
      <c r="J1533">
        <f>VLOOKUP(D1533,Товар!$A$2:$F$1000,5,0)</f>
        <v/>
      </c>
      <c r="K1533">
        <f>IF(AND(H1533="Промышленный",LEFT(I1533,18)="Порошок стиральный",F1533="Продажа",B1533=DATE(2023,6,7)),E1533*J1533/1000,0)</f>
        <v/>
      </c>
    </row>
    <row r="1534">
      <c r="A1534" t="n">
        <v>1533</v>
      </c>
      <c r="B1534" s="1" t="n">
        <v>45084</v>
      </c>
      <c r="C1534" s="5" t="inlineStr">
        <is>
          <t>M16</t>
        </is>
      </c>
      <c r="D1534" s="5" t="n">
        <v>21</v>
      </c>
      <c r="E1534" s="5" t="n">
        <v>276</v>
      </c>
      <c r="F1534" t="inlineStr">
        <is>
          <t>Продажа</t>
        </is>
      </c>
      <c r="H1534">
        <f>VLOOKUP(C1534,Магазин!$A$2:$C$1000,2,0)</f>
        <v/>
      </c>
      <c r="I1534">
        <f>VLOOKUP(D1534,Товар!$A$2:$F$1000,3,0)</f>
        <v/>
      </c>
      <c r="J1534">
        <f>VLOOKUP(D1534,Товар!$A$2:$F$1000,5,0)</f>
        <v/>
      </c>
      <c r="K1534">
        <f>IF(AND(H1534="Промышленный",LEFT(I1534,18)="Порошок стиральный",F1534="Продажа",B1534=DATE(2023,6,7)),E1534*J1534/1000,0)</f>
        <v/>
      </c>
    </row>
    <row r="1535">
      <c r="A1535" t="n">
        <v>1534</v>
      </c>
      <c r="B1535" s="1" t="n">
        <v>45084</v>
      </c>
      <c r="C1535" s="5" t="inlineStr">
        <is>
          <t>M16</t>
        </is>
      </c>
      <c r="D1535" s="5" t="n">
        <v>22</v>
      </c>
      <c r="E1535" s="5" t="n">
        <v>248</v>
      </c>
      <c r="F1535" t="inlineStr">
        <is>
          <t>Продажа</t>
        </is>
      </c>
      <c r="H1535">
        <f>VLOOKUP(C1535,Магазин!$A$2:$C$1000,2,0)</f>
        <v/>
      </c>
      <c r="I1535">
        <f>VLOOKUP(D1535,Товар!$A$2:$F$1000,3,0)</f>
        <v/>
      </c>
      <c r="J1535">
        <f>VLOOKUP(D1535,Товар!$A$2:$F$1000,5,0)</f>
        <v/>
      </c>
      <c r="K1535">
        <f>IF(AND(H1535="Промышленный",LEFT(I1535,18)="Порошок стиральный",F1535="Продажа",B1535=DATE(2023,6,7)),E1535*J1535/1000,0)</f>
        <v/>
      </c>
    </row>
    <row r="1536">
      <c r="A1536" t="n">
        <v>1535</v>
      </c>
      <c r="B1536" s="1" t="n">
        <v>45084</v>
      </c>
      <c r="C1536" s="5" t="inlineStr">
        <is>
          <t>M16</t>
        </is>
      </c>
      <c r="D1536" s="5" t="n">
        <v>23</v>
      </c>
      <c r="E1536" s="5" t="n">
        <v>249</v>
      </c>
      <c r="F1536" t="inlineStr">
        <is>
          <t>Продажа</t>
        </is>
      </c>
      <c r="H1536">
        <f>VLOOKUP(C1536,Магазин!$A$2:$C$1000,2,0)</f>
        <v/>
      </c>
      <c r="I1536">
        <f>VLOOKUP(D1536,Товар!$A$2:$F$1000,3,0)</f>
        <v/>
      </c>
      <c r="J1536">
        <f>VLOOKUP(D1536,Товар!$A$2:$F$1000,5,0)</f>
        <v/>
      </c>
      <c r="K1536">
        <f>IF(AND(H1536="Промышленный",LEFT(I1536,18)="Порошок стиральный",F1536="Продажа",B1536=DATE(2023,6,7)),E1536*J1536/1000,0)</f>
        <v/>
      </c>
    </row>
    <row r="1537">
      <c r="A1537" t="n">
        <v>1536</v>
      </c>
      <c r="B1537" s="1" t="n">
        <v>45084</v>
      </c>
      <c r="C1537" s="5" t="inlineStr">
        <is>
          <t>M16</t>
        </is>
      </c>
      <c r="D1537" s="5" t="n">
        <v>24</v>
      </c>
      <c r="E1537" s="5" t="n">
        <v>234</v>
      </c>
      <c r="F1537" t="inlineStr">
        <is>
          <t>Продажа</t>
        </is>
      </c>
      <c r="H1537">
        <f>VLOOKUP(C1537,Магазин!$A$2:$C$1000,2,0)</f>
        <v/>
      </c>
      <c r="I1537">
        <f>VLOOKUP(D1537,Товар!$A$2:$F$1000,3,0)</f>
        <v/>
      </c>
      <c r="J1537">
        <f>VLOOKUP(D1537,Товар!$A$2:$F$1000,5,0)</f>
        <v/>
      </c>
      <c r="K1537">
        <f>IF(AND(H1537="Промышленный",LEFT(I1537,18)="Порошок стиральный",F1537="Продажа",B1537=DATE(2023,6,7)),E1537*J1537/1000,0)</f>
        <v/>
      </c>
    </row>
    <row r="1538">
      <c r="A1538" t="n">
        <v>1537</v>
      </c>
      <c r="B1538" s="1" t="n">
        <v>45084</v>
      </c>
      <c r="C1538" s="5" t="inlineStr">
        <is>
          <t>M16</t>
        </is>
      </c>
      <c r="D1538" s="5" t="n">
        <v>25</v>
      </c>
      <c r="E1538" s="5" t="n">
        <v>238</v>
      </c>
      <c r="F1538" t="inlineStr">
        <is>
          <t>Продажа</t>
        </is>
      </c>
      <c r="H1538">
        <f>VLOOKUP(C1538,Магазин!$A$2:$C$1000,2,0)</f>
        <v/>
      </c>
      <c r="I1538">
        <f>VLOOKUP(D1538,Товар!$A$2:$F$1000,3,0)</f>
        <v/>
      </c>
      <c r="J1538">
        <f>VLOOKUP(D1538,Товар!$A$2:$F$1000,5,0)</f>
        <v/>
      </c>
      <c r="K1538">
        <f>IF(AND(H1538="Промышленный",LEFT(I1538,18)="Порошок стиральный",F1538="Продажа",B1538=DATE(2023,6,7)),E1538*J1538/1000,0)</f>
        <v/>
      </c>
    </row>
    <row r="1539">
      <c r="A1539" t="n">
        <v>1538</v>
      </c>
      <c r="B1539" s="1" t="n">
        <v>45084</v>
      </c>
      <c r="C1539" s="5" t="inlineStr">
        <is>
          <t>M16</t>
        </is>
      </c>
      <c r="D1539" s="5" t="n">
        <v>26</v>
      </c>
      <c r="E1539" s="5" t="n">
        <v>295</v>
      </c>
      <c r="F1539" t="inlineStr">
        <is>
          <t>Продажа</t>
        </is>
      </c>
      <c r="H1539">
        <f>VLOOKUP(C1539,Магазин!$A$2:$C$1000,2,0)</f>
        <v/>
      </c>
      <c r="I1539">
        <f>VLOOKUP(D1539,Товар!$A$2:$F$1000,3,0)</f>
        <v/>
      </c>
      <c r="J1539">
        <f>VLOOKUP(D1539,Товар!$A$2:$F$1000,5,0)</f>
        <v/>
      </c>
      <c r="K1539">
        <f>IF(AND(H1539="Промышленный",LEFT(I1539,18)="Порошок стиральный",F1539="Продажа",B1539=DATE(2023,6,7)),E1539*J1539/1000,0)</f>
        <v/>
      </c>
    </row>
    <row r="1540">
      <c r="A1540" t="n">
        <v>1539</v>
      </c>
      <c r="B1540" s="1" t="n">
        <v>45084</v>
      </c>
      <c r="C1540" s="5" t="inlineStr">
        <is>
          <t>M16</t>
        </is>
      </c>
      <c r="D1540" s="5" t="n">
        <v>27</v>
      </c>
      <c r="E1540" s="5" t="n">
        <v>211</v>
      </c>
      <c r="F1540" t="inlineStr">
        <is>
          <t>Продажа</t>
        </is>
      </c>
      <c r="H1540">
        <f>VLOOKUP(C1540,Магазин!$A$2:$C$1000,2,0)</f>
        <v/>
      </c>
      <c r="I1540">
        <f>VLOOKUP(D1540,Товар!$A$2:$F$1000,3,0)</f>
        <v/>
      </c>
      <c r="J1540">
        <f>VLOOKUP(D1540,Товар!$A$2:$F$1000,5,0)</f>
        <v/>
      </c>
      <c r="K1540">
        <f>IF(AND(H1540="Промышленный",LEFT(I1540,18)="Порошок стиральный",F1540="Продажа",B1540=DATE(2023,6,7)),E1540*J1540/1000,0)</f>
        <v/>
      </c>
    </row>
    <row r="1541">
      <c r="A1541" t="n">
        <v>1540</v>
      </c>
      <c r="B1541" s="1" t="n">
        <v>45084</v>
      </c>
      <c r="C1541" s="5" t="inlineStr">
        <is>
          <t>M16</t>
        </is>
      </c>
      <c r="D1541" s="5" t="n">
        <v>28</v>
      </c>
      <c r="E1541" s="5" t="n">
        <v>233</v>
      </c>
      <c r="F1541" t="inlineStr">
        <is>
          <t>Продажа</t>
        </is>
      </c>
      <c r="H1541">
        <f>VLOOKUP(C1541,Магазин!$A$2:$C$1000,2,0)</f>
        <v/>
      </c>
      <c r="I1541">
        <f>VLOOKUP(D1541,Товар!$A$2:$F$1000,3,0)</f>
        <v/>
      </c>
      <c r="J1541">
        <f>VLOOKUP(D1541,Товар!$A$2:$F$1000,5,0)</f>
        <v/>
      </c>
      <c r="K1541">
        <f>IF(AND(H1541="Промышленный",LEFT(I1541,18)="Порошок стиральный",F1541="Продажа",B1541=DATE(2023,6,7)),E1541*J1541/1000,0)</f>
        <v/>
      </c>
    </row>
    <row r="1542">
      <c r="A1542" t="n">
        <v>1541</v>
      </c>
      <c r="B1542" s="1" t="n">
        <v>45084</v>
      </c>
      <c r="C1542" s="5" t="inlineStr">
        <is>
          <t>M16</t>
        </is>
      </c>
      <c r="D1542" s="5" t="n">
        <v>29</v>
      </c>
      <c r="E1542" s="5" t="n">
        <v>244</v>
      </c>
      <c r="F1542" t="inlineStr">
        <is>
          <t>Продажа</t>
        </is>
      </c>
      <c r="H1542">
        <f>VLOOKUP(C1542,Магазин!$A$2:$C$1000,2,0)</f>
        <v/>
      </c>
      <c r="I1542">
        <f>VLOOKUP(D1542,Товар!$A$2:$F$1000,3,0)</f>
        <v/>
      </c>
      <c r="J1542">
        <f>VLOOKUP(D1542,Товар!$A$2:$F$1000,5,0)</f>
        <v/>
      </c>
      <c r="K1542">
        <f>IF(AND(H1542="Промышленный",LEFT(I1542,18)="Порошок стиральный",F1542="Продажа",B1542=DATE(2023,6,7)),E1542*J1542/1000,0)</f>
        <v/>
      </c>
    </row>
    <row r="1543">
      <c r="A1543" t="n">
        <v>1542</v>
      </c>
      <c r="B1543" s="1" t="n">
        <v>45084</v>
      </c>
      <c r="C1543" s="5" t="inlineStr">
        <is>
          <t>M16</t>
        </is>
      </c>
      <c r="D1543" s="5" t="n">
        <v>30</v>
      </c>
      <c r="E1543" s="5" t="n">
        <v>255</v>
      </c>
      <c r="F1543" t="inlineStr">
        <is>
          <t>Продажа</t>
        </is>
      </c>
      <c r="H1543">
        <f>VLOOKUP(C1543,Магазин!$A$2:$C$1000,2,0)</f>
        <v/>
      </c>
      <c r="I1543">
        <f>VLOOKUP(D1543,Товар!$A$2:$F$1000,3,0)</f>
        <v/>
      </c>
      <c r="J1543">
        <f>VLOOKUP(D1543,Товар!$A$2:$F$1000,5,0)</f>
        <v/>
      </c>
      <c r="K1543">
        <f>IF(AND(H1543="Промышленный",LEFT(I1543,18)="Порошок стиральный",F1543="Продажа",B1543=DATE(2023,6,7)),E1543*J1543/1000,0)</f>
        <v/>
      </c>
    </row>
    <row r="1544">
      <c r="A1544" t="n">
        <v>1543</v>
      </c>
      <c r="B1544" s="1" t="n">
        <v>45084</v>
      </c>
      <c r="C1544" s="5" t="inlineStr">
        <is>
          <t>M16</t>
        </is>
      </c>
      <c r="D1544" s="5" t="n">
        <v>31</v>
      </c>
      <c r="E1544" s="5" t="n">
        <v>266</v>
      </c>
      <c r="F1544" t="inlineStr">
        <is>
          <t>Продажа</t>
        </is>
      </c>
      <c r="H1544">
        <f>VLOOKUP(C1544,Магазин!$A$2:$C$1000,2,0)</f>
        <v/>
      </c>
      <c r="I1544">
        <f>VLOOKUP(D1544,Товар!$A$2:$F$1000,3,0)</f>
        <v/>
      </c>
      <c r="J1544">
        <f>VLOOKUP(D1544,Товар!$A$2:$F$1000,5,0)</f>
        <v/>
      </c>
      <c r="K1544">
        <f>IF(AND(H1544="Промышленный",LEFT(I1544,18)="Порошок стиральный",F1544="Продажа",B1544=DATE(2023,6,7)),E1544*J1544/1000,0)</f>
        <v/>
      </c>
    </row>
    <row r="1545">
      <c r="A1545" t="n">
        <v>1544</v>
      </c>
      <c r="B1545" s="1" t="n">
        <v>45084</v>
      </c>
      <c r="C1545" s="5" t="inlineStr">
        <is>
          <t>M16</t>
        </is>
      </c>
      <c r="D1545" s="5" t="n">
        <v>32</v>
      </c>
      <c r="E1545" s="5" t="n">
        <v>277</v>
      </c>
      <c r="F1545" t="inlineStr">
        <is>
          <t>Продажа</t>
        </is>
      </c>
      <c r="H1545">
        <f>VLOOKUP(C1545,Магазин!$A$2:$C$1000,2,0)</f>
        <v/>
      </c>
      <c r="I1545">
        <f>VLOOKUP(D1545,Товар!$A$2:$F$1000,3,0)</f>
        <v/>
      </c>
      <c r="J1545">
        <f>VLOOKUP(D1545,Товар!$A$2:$F$1000,5,0)</f>
        <v/>
      </c>
      <c r="K1545">
        <f>IF(AND(H1545="Промышленный",LEFT(I1545,18)="Порошок стиральный",F1545="Продажа",B1545=DATE(2023,6,7)),E1545*J1545/1000,0)</f>
        <v/>
      </c>
    </row>
    <row r="1546">
      <c r="A1546" t="n">
        <v>1545</v>
      </c>
      <c r="B1546" s="1" t="n">
        <v>45084</v>
      </c>
      <c r="C1546" s="5" t="inlineStr">
        <is>
          <t>M16</t>
        </is>
      </c>
      <c r="D1546" s="5" t="n">
        <v>33</v>
      </c>
      <c r="E1546" s="5" t="n">
        <v>288</v>
      </c>
      <c r="F1546" t="inlineStr">
        <is>
          <t>Продажа</t>
        </is>
      </c>
      <c r="H1546">
        <f>VLOOKUP(C1546,Магазин!$A$2:$C$1000,2,0)</f>
        <v/>
      </c>
      <c r="I1546">
        <f>VLOOKUP(D1546,Товар!$A$2:$F$1000,3,0)</f>
        <v/>
      </c>
      <c r="J1546">
        <f>VLOOKUP(D1546,Товар!$A$2:$F$1000,5,0)</f>
        <v/>
      </c>
      <c r="K1546">
        <f>IF(AND(H1546="Промышленный",LEFT(I1546,18)="Порошок стиральный",F1546="Продажа",B1546=DATE(2023,6,7)),E1546*J1546/1000,0)</f>
        <v/>
      </c>
    </row>
    <row r="1547">
      <c r="A1547" t="n">
        <v>1546</v>
      </c>
      <c r="B1547" s="1" t="n">
        <v>45084</v>
      </c>
      <c r="C1547" s="5" t="inlineStr">
        <is>
          <t>M16</t>
        </is>
      </c>
      <c r="D1547" s="5" t="n">
        <v>34</v>
      </c>
      <c r="E1547" s="5" t="n">
        <v>299</v>
      </c>
      <c r="F1547" t="inlineStr">
        <is>
          <t>Продажа</t>
        </is>
      </c>
      <c r="H1547">
        <f>VLOOKUP(C1547,Магазин!$A$2:$C$1000,2,0)</f>
        <v/>
      </c>
      <c r="I1547">
        <f>VLOOKUP(D1547,Товар!$A$2:$F$1000,3,0)</f>
        <v/>
      </c>
      <c r="J1547">
        <f>VLOOKUP(D1547,Товар!$A$2:$F$1000,5,0)</f>
        <v/>
      </c>
      <c r="K1547">
        <f>IF(AND(H1547="Промышленный",LEFT(I1547,18)="Порошок стиральный",F1547="Продажа",B1547=DATE(2023,6,7)),E1547*J1547/1000,0)</f>
        <v/>
      </c>
    </row>
    <row r="1548">
      <c r="A1548" t="n">
        <v>1547</v>
      </c>
      <c r="B1548" s="1" t="n">
        <v>45084</v>
      </c>
      <c r="C1548" s="5" t="inlineStr">
        <is>
          <t>M16</t>
        </is>
      </c>
      <c r="D1548" s="5" t="n">
        <v>35</v>
      </c>
      <c r="E1548" s="5" t="n">
        <v>201</v>
      </c>
      <c r="F1548" t="inlineStr">
        <is>
          <t>Продажа</t>
        </is>
      </c>
      <c r="H1548">
        <f>VLOOKUP(C1548,Магазин!$A$2:$C$1000,2,0)</f>
        <v/>
      </c>
      <c r="I1548">
        <f>VLOOKUP(D1548,Товар!$A$2:$F$1000,3,0)</f>
        <v/>
      </c>
      <c r="J1548">
        <f>VLOOKUP(D1548,Товар!$A$2:$F$1000,5,0)</f>
        <v/>
      </c>
      <c r="K1548">
        <f>IF(AND(H1548="Промышленный",LEFT(I1548,18)="Порошок стиральный",F1548="Продажа",B1548=DATE(2023,6,7)),E1548*J1548/1000,0)</f>
        <v/>
      </c>
    </row>
    <row r="1549">
      <c r="A1549" t="n">
        <v>1548</v>
      </c>
      <c r="B1549" s="1" t="n">
        <v>45084</v>
      </c>
      <c r="C1549" s="5" t="inlineStr">
        <is>
          <t>M16</t>
        </is>
      </c>
      <c r="D1549" s="5" t="n">
        <v>36</v>
      </c>
      <c r="E1549" s="5" t="n">
        <v>205</v>
      </c>
      <c r="F1549" t="inlineStr">
        <is>
          <t>Продажа</t>
        </is>
      </c>
      <c r="H1549">
        <f>VLOOKUP(C1549,Магазин!$A$2:$C$1000,2,0)</f>
        <v/>
      </c>
      <c r="I1549">
        <f>VLOOKUP(D1549,Товар!$A$2:$F$1000,3,0)</f>
        <v/>
      </c>
      <c r="J1549">
        <f>VLOOKUP(D1549,Товар!$A$2:$F$1000,5,0)</f>
        <v/>
      </c>
      <c r="K1549">
        <f>IF(AND(H1549="Промышленный",LEFT(I1549,18)="Порошок стиральный",F1549="Продажа",B1549=DATE(2023,6,7)),E1549*J1549/1000,0)</f>
        <v/>
      </c>
    </row>
    <row r="1550">
      <c r="A1550" t="n">
        <v>1549</v>
      </c>
      <c r="B1550" s="1" t="n">
        <v>45084</v>
      </c>
      <c r="C1550" s="5" t="inlineStr">
        <is>
          <t>M3</t>
        </is>
      </c>
      <c r="D1550" s="5" t="n">
        <v>1</v>
      </c>
      <c r="E1550" s="5" t="n">
        <v>98</v>
      </c>
      <c r="F1550" t="inlineStr">
        <is>
          <t>Продажа</t>
        </is>
      </c>
      <c r="H1550">
        <f>VLOOKUP(C1550,Магазин!$A$2:$C$1000,2,0)</f>
        <v/>
      </c>
      <c r="I1550">
        <f>VLOOKUP(D1550,Товар!$A$2:$F$1000,3,0)</f>
        <v/>
      </c>
      <c r="J1550">
        <f>VLOOKUP(D1550,Товар!$A$2:$F$1000,5,0)</f>
        <v/>
      </c>
      <c r="K1550">
        <f>IF(AND(H1550="Промышленный",LEFT(I1550,18)="Порошок стиральный",F1550="Продажа",B1550=DATE(2023,6,7)),E1550*J1550/1000,0)</f>
        <v/>
      </c>
    </row>
    <row r="1551">
      <c r="A1551" t="n">
        <v>1550</v>
      </c>
      <c r="B1551" s="1" t="n">
        <v>45084</v>
      </c>
      <c r="C1551" s="5" t="inlineStr">
        <is>
          <t>M3</t>
        </is>
      </c>
      <c r="D1551" s="5" t="n">
        <v>2</v>
      </c>
      <c r="E1551" s="5" t="n">
        <v>95</v>
      </c>
      <c r="F1551" t="inlineStr">
        <is>
          <t>Продажа</t>
        </is>
      </c>
      <c r="H1551">
        <f>VLOOKUP(C1551,Магазин!$A$2:$C$1000,2,0)</f>
        <v/>
      </c>
      <c r="I1551">
        <f>VLOOKUP(D1551,Товар!$A$2:$F$1000,3,0)</f>
        <v/>
      </c>
      <c r="J1551">
        <f>VLOOKUP(D1551,Товар!$A$2:$F$1000,5,0)</f>
        <v/>
      </c>
      <c r="K1551">
        <f>IF(AND(H1551="Промышленный",LEFT(I1551,18)="Порошок стиральный",F1551="Продажа",B1551=DATE(2023,6,7)),E1551*J1551/1000,0)</f>
        <v/>
      </c>
    </row>
    <row r="1552">
      <c r="A1552" t="n">
        <v>1551</v>
      </c>
      <c r="B1552" s="1" t="n">
        <v>45084</v>
      </c>
      <c r="C1552" s="5" t="inlineStr">
        <is>
          <t>M3</t>
        </is>
      </c>
      <c r="D1552" s="5" t="n">
        <v>3</v>
      </c>
      <c r="E1552" s="5" t="n">
        <v>68</v>
      </c>
      <c r="F1552" t="inlineStr">
        <is>
          <t>Продажа</t>
        </is>
      </c>
      <c r="H1552">
        <f>VLOOKUP(C1552,Магазин!$A$2:$C$1000,2,0)</f>
        <v/>
      </c>
      <c r="I1552">
        <f>VLOOKUP(D1552,Товар!$A$2:$F$1000,3,0)</f>
        <v/>
      </c>
      <c r="J1552">
        <f>VLOOKUP(D1552,Товар!$A$2:$F$1000,5,0)</f>
        <v/>
      </c>
      <c r="K1552">
        <f>IF(AND(H1552="Промышленный",LEFT(I1552,18)="Порошок стиральный",F1552="Продажа",B1552=DATE(2023,6,7)),E1552*J1552/1000,0)</f>
        <v/>
      </c>
    </row>
    <row r="1553">
      <c r="A1553" t="n">
        <v>1552</v>
      </c>
      <c r="B1553" s="1" t="n">
        <v>45084</v>
      </c>
      <c r="C1553" s="5" t="inlineStr">
        <is>
          <t>M3</t>
        </is>
      </c>
      <c r="D1553" s="5" t="n">
        <v>4</v>
      </c>
      <c r="E1553" s="5" t="n">
        <v>79</v>
      </c>
      <c r="F1553" t="inlineStr">
        <is>
          <t>Продажа</t>
        </is>
      </c>
      <c r="H1553">
        <f>VLOOKUP(C1553,Магазин!$A$2:$C$1000,2,0)</f>
        <v/>
      </c>
      <c r="I1553">
        <f>VLOOKUP(D1553,Товар!$A$2:$F$1000,3,0)</f>
        <v/>
      </c>
      <c r="J1553">
        <f>VLOOKUP(D1553,Товар!$A$2:$F$1000,5,0)</f>
        <v/>
      </c>
      <c r="K1553">
        <f>IF(AND(H1553="Промышленный",LEFT(I1553,18)="Порошок стиральный",F1553="Продажа",B1553=DATE(2023,6,7)),E1553*J1553/1000,0)</f>
        <v/>
      </c>
    </row>
    <row r="1554">
      <c r="A1554" t="n">
        <v>1553</v>
      </c>
      <c r="B1554" s="1" t="n">
        <v>45084</v>
      </c>
      <c r="C1554" s="5" t="inlineStr">
        <is>
          <t>M3</t>
        </is>
      </c>
      <c r="D1554" s="5" t="n">
        <v>5</v>
      </c>
      <c r="E1554" s="5" t="n">
        <v>97</v>
      </c>
      <c r="F1554" t="inlineStr">
        <is>
          <t>Продажа</t>
        </is>
      </c>
      <c r="H1554">
        <f>VLOOKUP(C1554,Магазин!$A$2:$C$1000,2,0)</f>
        <v/>
      </c>
      <c r="I1554">
        <f>VLOOKUP(D1554,Товар!$A$2:$F$1000,3,0)</f>
        <v/>
      </c>
      <c r="J1554">
        <f>VLOOKUP(D1554,Товар!$A$2:$F$1000,5,0)</f>
        <v/>
      </c>
      <c r="K1554">
        <f>IF(AND(H1554="Промышленный",LEFT(I1554,18)="Порошок стиральный",F1554="Продажа",B1554=DATE(2023,6,7)),E1554*J1554/1000,0)</f>
        <v/>
      </c>
    </row>
    <row r="1555">
      <c r="A1555" t="n">
        <v>1554</v>
      </c>
      <c r="B1555" s="1" t="n">
        <v>45084</v>
      </c>
      <c r="C1555" s="5" t="inlineStr">
        <is>
          <t>M3</t>
        </is>
      </c>
      <c r="D1555" s="5" t="n">
        <v>6</v>
      </c>
      <c r="E1555" s="5" t="n">
        <v>95</v>
      </c>
      <c r="F1555" t="inlineStr">
        <is>
          <t>Продажа</t>
        </is>
      </c>
      <c r="H1555">
        <f>VLOOKUP(C1555,Магазин!$A$2:$C$1000,2,0)</f>
        <v/>
      </c>
      <c r="I1555">
        <f>VLOOKUP(D1555,Товар!$A$2:$F$1000,3,0)</f>
        <v/>
      </c>
      <c r="J1555">
        <f>VLOOKUP(D1555,Товар!$A$2:$F$1000,5,0)</f>
        <v/>
      </c>
      <c r="K1555">
        <f>IF(AND(H1555="Промышленный",LEFT(I1555,18)="Порошок стиральный",F1555="Продажа",B1555=DATE(2023,6,7)),E1555*J1555/1000,0)</f>
        <v/>
      </c>
    </row>
    <row r="1556">
      <c r="A1556" t="n">
        <v>1555</v>
      </c>
      <c r="B1556" s="1" t="n">
        <v>45084</v>
      </c>
      <c r="C1556" s="5" t="inlineStr">
        <is>
          <t>M3</t>
        </is>
      </c>
      <c r="D1556" s="5" t="n">
        <v>7</v>
      </c>
      <c r="E1556" s="5" t="n">
        <v>94</v>
      </c>
      <c r="F1556" t="inlineStr">
        <is>
          <t>Продажа</t>
        </is>
      </c>
      <c r="H1556">
        <f>VLOOKUP(C1556,Магазин!$A$2:$C$1000,2,0)</f>
        <v/>
      </c>
      <c r="I1556">
        <f>VLOOKUP(D1556,Товар!$A$2:$F$1000,3,0)</f>
        <v/>
      </c>
      <c r="J1556">
        <f>VLOOKUP(D1556,Товар!$A$2:$F$1000,5,0)</f>
        <v/>
      </c>
      <c r="K1556">
        <f>IF(AND(H1556="Промышленный",LEFT(I1556,18)="Порошок стиральный",F1556="Продажа",B1556=DATE(2023,6,7)),E1556*J1556/1000,0)</f>
        <v/>
      </c>
    </row>
    <row r="1557">
      <c r="A1557" t="n">
        <v>1556</v>
      </c>
      <c r="B1557" s="1" t="n">
        <v>45084</v>
      </c>
      <c r="C1557" s="5" t="inlineStr">
        <is>
          <t>M3</t>
        </is>
      </c>
      <c r="D1557" s="5" t="n">
        <v>8</v>
      </c>
      <c r="E1557" s="5" t="n">
        <v>86</v>
      </c>
      <c r="F1557" t="inlineStr">
        <is>
          <t>Продажа</t>
        </is>
      </c>
      <c r="H1557">
        <f>VLOOKUP(C1557,Магазин!$A$2:$C$1000,2,0)</f>
        <v/>
      </c>
      <c r="I1557">
        <f>VLOOKUP(D1557,Товар!$A$2:$F$1000,3,0)</f>
        <v/>
      </c>
      <c r="J1557">
        <f>VLOOKUP(D1557,Товар!$A$2:$F$1000,5,0)</f>
        <v/>
      </c>
      <c r="K1557">
        <f>IF(AND(H1557="Промышленный",LEFT(I1557,18)="Порошок стиральный",F1557="Продажа",B1557=DATE(2023,6,7)),E1557*J1557/1000,0)</f>
        <v/>
      </c>
    </row>
    <row r="1558">
      <c r="A1558" t="n">
        <v>1557</v>
      </c>
      <c r="B1558" s="1" t="n">
        <v>45084</v>
      </c>
      <c r="C1558" s="5" t="inlineStr">
        <is>
          <t>M3</t>
        </is>
      </c>
      <c r="D1558" s="5" t="n">
        <v>9</v>
      </c>
      <c r="E1558" s="5" t="n">
        <v>84</v>
      </c>
      <c r="F1558" t="inlineStr">
        <is>
          <t>Продажа</t>
        </is>
      </c>
      <c r="H1558">
        <f>VLOOKUP(C1558,Магазин!$A$2:$C$1000,2,0)</f>
        <v/>
      </c>
      <c r="I1558">
        <f>VLOOKUP(D1558,Товар!$A$2:$F$1000,3,0)</f>
        <v/>
      </c>
      <c r="J1558">
        <f>VLOOKUP(D1558,Товар!$A$2:$F$1000,5,0)</f>
        <v/>
      </c>
      <c r="K1558">
        <f>IF(AND(H1558="Промышленный",LEFT(I1558,18)="Порошок стиральный",F1558="Продажа",B1558=DATE(2023,6,7)),E1558*J1558/1000,0)</f>
        <v/>
      </c>
    </row>
    <row r="1559">
      <c r="A1559" t="n">
        <v>1558</v>
      </c>
      <c r="B1559" s="1" t="n">
        <v>45084</v>
      </c>
      <c r="C1559" s="5" t="inlineStr">
        <is>
          <t>M3</t>
        </is>
      </c>
      <c r="D1559" s="5" t="n">
        <v>10</v>
      </c>
      <c r="E1559" s="5" t="n">
        <v>81</v>
      </c>
      <c r="F1559" t="inlineStr">
        <is>
          <t>Продажа</t>
        </is>
      </c>
      <c r="H1559">
        <f>VLOOKUP(C1559,Магазин!$A$2:$C$1000,2,0)</f>
        <v/>
      </c>
      <c r="I1559">
        <f>VLOOKUP(D1559,Товар!$A$2:$F$1000,3,0)</f>
        <v/>
      </c>
      <c r="J1559">
        <f>VLOOKUP(D1559,Товар!$A$2:$F$1000,5,0)</f>
        <v/>
      </c>
      <c r="K1559">
        <f>IF(AND(H1559="Промышленный",LEFT(I1559,18)="Порошок стиральный",F1559="Продажа",B1559=DATE(2023,6,7)),E1559*J1559/1000,0)</f>
        <v/>
      </c>
    </row>
    <row r="1560">
      <c r="A1560" t="n">
        <v>1559</v>
      </c>
      <c r="B1560" s="1" t="n">
        <v>45084</v>
      </c>
      <c r="C1560" s="5" t="inlineStr">
        <is>
          <t>M3</t>
        </is>
      </c>
      <c r="D1560" s="5" t="n">
        <v>11</v>
      </c>
      <c r="E1560" s="5" t="n">
        <v>83</v>
      </c>
      <c r="F1560" t="inlineStr">
        <is>
          <t>Продажа</t>
        </is>
      </c>
      <c r="H1560">
        <f>VLOOKUP(C1560,Магазин!$A$2:$C$1000,2,0)</f>
        <v/>
      </c>
      <c r="I1560">
        <f>VLOOKUP(D1560,Товар!$A$2:$F$1000,3,0)</f>
        <v/>
      </c>
      <c r="J1560">
        <f>VLOOKUP(D1560,Товар!$A$2:$F$1000,5,0)</f>
        <v/>
      </c>
      <c r="K1560">
        <f>IF(AND(H1560="Промышленный",LEFT(I1560,18)="Порошок стиральный",F1560="Продажа",B1560=DATE(2023,6,7)),E1560*J1560/1000,0)</f>
        <v/>
      </c>
    </row>
    <row r="1561">
      <c r="A1561" t="n">
        <v>1560</v>
      </c>
      <c r="B1561" s="1" t="n">
        <v>45084</v>
      </c>
      <c r="C1561" s="5" t="inlineStr">
        <is>
          <t>M3</t>
        </is>
      </c>
      <c r="D1561" s="5" t="n">
        <v>12</v>
      </c>
      <c r="E1561" s="5" t="n">
        <v>82</v>
      </c>
      <c r="F1561" t="inlineStr">
        <is>
          <t>Продажа</t>
        </is>
      </c>
      <c r="H1561">
        <f>VLOOKUP(C1561,Магазин!$A$2:$C$1000,2,0)</f>
        <v/>
      </c>
      <c r="I1561">
        <f>VLOOKUP(D1561,Товар!$A$2:$F$1000,3,0)</f>
        <v/>
      </c>
      <c r="J1561">
        <f>VLOOKUP(D1561,Товар!$A$2:$F$1000,5,0)</f>
        <v/>
      </c>
      <c r="K1561">
        <f>IF(AND(H1561="Промышленный",LEFT(I1561,18)="Порошок стиральный",F1561="Продажа",B1561=DATE(2023,6,7)),E1561*J1561/1000,0)</f>
        <v/>
      </c>
    </row>
    <row r="1562">
      <c r="A1562" t="n">
        <v>1561</v>
      </c>
      <c r="B1562" s="1" t="n">
        <v>45084</v>
      </c>
      <c r="C1562" s="5" t="inlineStr">
        <is>
          <t>M3</t>
        </is>
      </c>
      <c r="D1562" s="5" t="n">
        <v>13</v>
      </c>
      <c r="E1562" s="5" t="n">
        <v>87</v>
      </c>
      <c r="F1562" t="inlineStr">
        <is>
          <t>Продажа</t>
        </is>
      </c>
      <c r="H1562">
        <f>VLOOKUP(C1562,Магазин!$A$2:$C$1000,2,0)</f>
        <v/>
      </c>
      <c r="I1562">
        <f>VLOOKUP(D1562,Товар!$A$2:$F$1000,3,0)</f>
        <v/>
      </c>
      <c r="J1562">
        <f>VLOOKUP(D1562,Товар!$A$2:$F$1000,5,0)</f>
        <v/>
      </c>
      <c r="K1562">
        <f>IF(AND(H1562="Промышленный",LEFT(I1562,18)="Порошок стиральный",F1562="Продажа",B1562=DATE(2023,6,7)),E1562*J1562/1000,0)</f>
        <v/>
      </c>
    </row>
    <row r="1563">
      <c r="A1563" t="n">
        <v>1562</v>
      </c>
      <c r="B1563" s="1" t="n">
        <v>45084</v>
      </c>
      <c r="C1563" s="5" t="inlineStr">
        <is>
          <t>M3</t>
        </is>
      </c>
      <c r="D1563" s="5" t="n">
        <v>14</v>
      </c>
      <c r="E1563" s="5" t="n">
        <v>94</v>
      </c>
      <c r="F1563" t="inlineStr">
        <is>
          <t>Продажа</t>
        </is>
      </c>
      <c r="H1563">
        <f>VLOOKUP(C1563,Магазин!$A$2:$C$1000,2,0)</f>
        <v/>
      </c>
      <c r="I1563">
        <f>VLOOKUP(D1563,Товар!$A$2:$F$1000,3,0)</f>
        <v/>
      </c>
      <c r="J1563">
        <f>VLOOKUP(D1563,Товар!$A$2:$F$1000,5,0)</f>
        <v/>
      </c>
      <c r="K1563">
        <f>IF(AND(H1563="Промышленный",LEFT(I1563,18)="Порошок стиральный",F1563="Продажа",B1563=DATE(2023,6,7)),E1563*J1563/1000,0)</f>
        <v/>
      </c>
    </row>
    <row r="1564">
      <c r="A1564" t="n">
        <v>1563</v>
      </c>
      <c r="B1564" s="1" t="n">
        <v>45084</v>
      </c>
      <c r="C1564" s="5" t="inlineStr">
        <is>
          <t>M3</t>
        </is>
      </c>
      <c r="D1564" s="5" t="n">
        <v>15</v>
      </c>
      <c r="E1564" s="5" t="n">
        <v>96</v>
      </c>
      <c r="F1564" t="inlineStr">
        <is>
          <t>Продажа</t>
        </is>
      </c>
      <c r="H1564">
        <f>VLOOKUP(C1564,Магазин!$A$2:$C$1000,2,0)</f>
        <v/>
      </c>
      <c r="I1564">
        <f>VLOOKUP(D1564,Товар!$A$2:$F$1000,3,0)</f>
        <v/>
      </c>
      <c r="J1564">
        <f>VLOOKUP(D1564,Товар!$A$2:$F$1000,5,0)</f>
        <v/>
      </c>
      <c r="K1564">
        <f>IF(AND(H1564="Промышленный",LEFT(I1564,18)="Порошок стиральный",F1564="Продажа",B1564=DATE(2023,6,7)),E1564*J1564/1000,0)</f>
        <v/>
      </c>
    </row>
    <row r="1565">
      <c r="A1565" t="n">
        <v>1564</v>
      </c>
      <c r="B1565" s="1" t="n">
        <v>45084</v>
      </c>
      <c r="C1565" s="5" t="inlineStr">
        <is>
          <t>M3</t>
        </is>
      </c>
      <c r="D1565" s="5" t="n">
        <v>16</v>
      </c>
      <c r="E1565" s="5" t="n">
        <v>93</v>
      </c>
      <c r="F1565" t="inlineStr">
        <is>
          <t>Продажа</t>
        </is>
      </c>
      <c r="H1565">
        <f>VLOOKUP(C1565,Магазин!$A$2:$C$1000,2,0)</f>
        <v/>
      </c>
      <c r="I1565">
        <f>VLOOKUP(D1565,Товар!$A$2:$F$1000,3,0)</f>
        <v/>
      </c>
      <c r="J1565">
        <f>VLOOKUP(D1565,Товар!$A$2:$F$1000,5,0)</f>
        <v/>
      </c>
      <c r="K1565">
        <f>IF(AND(H1565="Промышленный",LEFT(I1565,18)="Порошок стиральный",F1565="Продажа",B1565=DATE(2023,6,7)),E1565*J1565/1000,0)</f>
        <v/>
      </c>
    </row>
    <row r="1566">
      <c r="A1566" t="n">
        <v>1565</v>
      </c>
      <c r="B1566" s="1" t="n">
        <v>45084</v>
      </c>
      <c r="C1566" s="5" t="inlineStr">
        <is>
          <t>M3</t>
        </is>
      </c>
      <c r="D1566" s="5" t="n">
        <v>17</v>
      </c>
      <c r="E1566" s="5" t="n">
        <v>91</v>
      </c>
      <c r="F1566" t="inlineStr">
        <is>
          <t>Продажа</t>
        </is>
      </c>
      <c r="H1566">
        <f>VLOOKUP(C1566,Магазин!$A$2:$C$1000,2,0)</f>
        <v/>
      </c>
      <c r="I1566">
        <f>VLOOKUP(D1566,Товар!$A$2:$F$1000,3,0)</f>
        <v/>
      </c>
      <c r="J1566">
        <f>VLOOKUP(D1566,Товар!$A$2:$F$1000,5,0)</f>
        <v/>
      </c>
      <c r="K1566">
        <f>IF(AND(H1566="Промышленный",LEFT(I1566,18)="Порошок стиральный",F1566="Продажа",B1566=DATE(2023,6,7)),E1566*J1566/1000,0)</f>
        <v/>
      </c>
    </row>
    <row r="1567">
      <c r="A1567" t="n">
        <v>1566</v>
      </c>
      <c r="B1567" s="1" t="n">
        <v>45084</v>
      </c>
      <c r="C1567" s="5" t="inlineStr">
        <is>
          <t>M3</t>
        </is>
      </c>
      <c r="D1567" s="5" t="n">
        <v>18</v>
      </c>
      <c r="E1567" s="5" t="n">
        <v>73</v>
      </c>
      <c r="F1567" t="inlineStr">
        <is>
          <t>Продажа</t>
        </is>
      </c>
      <c r="H1567">
        <f>VLOOKUP(C1567,Магазин!$A$2:$C$1000,2,0)</f>
        <v/>
      </c>
      <c r="I1567">
        <f>VLOOKUP(D1567,Товар!$A$2:$F$1000,3,0)</f>
        <v/>
      </c>
      <c r="J1567">
        <f>VLOOKUP(D1567,Товар!$A$2:$F$1000,5,0)</f>
        <v/>
      </c>
      <c r="K1567">
        <f>IF(AND(H1567="Промышленный",LEFT(I1567,18)="Порошок стиральный",F1567="Продажа",B1567=DATE(2023,6,7)),E1567*J1567/1000,0)</f>
        <v/>
      </c>
    </row>
    <row r="1568">
      <c r="A1568" t="n">
        <v>1567</v>
      </c>
      <c r="B1568" s="1" t="n">
        <v>45084</v>
      </c>
      <c r="C1568" s="5" t="inlineStr">
        <is>
          <t>M3</t>
        </is>
      </c>
      <c r="D1568" s="5" t="n">
        <v>19</v>
      </c>
      <c r="E1568" s="5" t="n">
        <v>94</v>
      </c>
      <c r="F1568" t="inlineStr">
        <is>
          <t>Продажа</t>
        </is>
      </c>
      <c r="H1568">
        <f>VLOOKUP(C1568,Магазин!$A$2:$C$1000,2,0)</f>
        <v/>
      </c>
      <c r="I1568">
        <f>VLOOKUP(D1568,Товар!$A$2:$F$1000,3,0)</f>
        <v/>
      </c>
      <c r="J1568">
        <f>VLOOKUP(D1568,Товар!$A$2:$F$1000,5,0)</f>
        <v/>
      </c>
      <c r="K1568">
        <f>IF(AND(H1568="Промышленный",LEFT(I1568,18)="Порошок стиральный",F1568="Продажа",B1568=DATE(2023,6,7)),E1568*J1568/1000,0)</f>
        <v/>
      </c>
    </row>
    <row r="1569">
      <c r="A1569" t="n">
        <v>1568</v>
      </c>
      <c r="B1569" s="1" t="n">
        <v>45084</v>
      </c>
      <c r="C1569" s="5" t="inlineStr">
        <is>
          <t>M3</t>
        </is>
      </c>
      <c r="D1569" s="5" t="n">
        <v>20</v>
      </c>
      <c r="E1569" s="5" t="n">
        <v>96</v>
      </c>
      <c r="F1569" t="inlineStr">
        <is>
          <t>Продажа</t>
        </is>
      </c>
      <c r="H1569">
        <f>VLOOKUP(C1569,Магазин!$A$2:$C$1000,2,0)</f>
        <v/>
      </c>
      <c r="I1569">
        <f>VLOOKUP(D1569,Товар!$A$2:$F$1000,3,0)</f>
        <v/>
      </c>
      <c r="J1569">
        <f>VLOOKUP(D1569,Товар!$A$2:$F$1000,5,0)</f>
        <v/>
      </c>
      <c r="K1569">
        <f>IF(AND(H1569="Промышленный",LEFT(I1569,18)="Порошок стиральный",F1569="Продажа",B1569=DATE(2023,6,7)),E1569*J1569/1000,0)</f>
        <v/>
      </c>
    </row>
    <row r="1570">
      <c r="A1570" t="n">
        <v>1569</v>
      </c>
      <c r="B1570" s="1" t="n">
        <v>45084</v>
      </c>
      <c r="C1570" s="5" t="inlineStr">
        <is>
          <t>M3</t>
        </is>
      </c>
      <c r="D1570" s="5" t="n">
        <v>21</v>
      </c>
      <c r="E1570" s="5" t="n">
        <v>95</v>
      </c>
      <c r="F1570" t="inlineStr">
        <is>
          <t>Продажа</t>
        </is>
      </c>
      <c r="H1570">
        <f>VLOOKUP(C1570,Магазин!$A$2:$C$1000,2,0)</f>
        <v/>
      </c>
      <c r="I1570">
        <f>VLOOKUP(D1570,Товар!$A$2:$F$1000,3,0)</f>
        <v/>
      </c>
      <c r="J1570">
        <f>VLOOKUP(D1570,Товар!$A$2:$F$1000,5,0)</f>
        <v/>
      </c>
      <c r="K1570">
        <f>IF(AND(H1570="Промышленный",LEFT(I1570,18)="Порошок стиральный",F1570="Продажа",B1570=DATE(2023,6,7)),E1570*J1570/1000,0)</f>
        <v/>
      </c>
    </row>
    <row r="1571">
      <c r="A1571" t="n">
        <v>1570</v>
      </c>
      <c r="B1571" s="1" t="n">
        <v>45084</v>
      </c>
      <c r="C1571" s="5" t="inlineStr">
        <is>
          <t>M3</t>
        </is>
      </c>
      <c r="D1571" s="5" t="n">
        <v>22</v>
      </c>
      <c r="E1571" s="5" t="n">
        <v>97</v>
      </c>
      <c r="F1571" t="inlineStr">
        <is>
          <t>Продажа</t>
        </is>
      </c>
      <c r="H1571">
        <f>VLOOKUP(C1571,Магазин!$A$2:$C$1000,2,0)</f>
        <v/>
      </c>
      <c r="I1571">
        <f>VLOOKUP(D1571,Товар!$A$2:$F$1000,3,0)</f>
        <v/>
      </c>
      <c r="J1571">
        <f>VLOOKUP(D1571,Товар!$A$2:$F$1000,5,0)</f>
        <v/>
      </c>
      <c r="K1571">
        <f>IF(AND(H1571="Промышленный",LEFT(I1571,18)="Порошок стиральный",F1571="Продажа",B1571=DATE(2023,6,7)),E1571*J1571/1000,0)</f>
        <v/>
      </c>
    </row>
    <row r="1572">
      <c r="A1572" t="n">
        <v>1571</v>
      </c>
      <c r="B1572" s="1" t="n">
        <v>45084</v>
      </c>
      <c r="C1572" s="5" t="inlineStr">
        <is>
          <t>M3</t>
        </is>
      </c>
      <c r="D1572" s="5" t="n">
        <v>23</v>
      </c>
      <c r="E1572" s="5" t="n">
        <v>84</v>
      </c>
      <c r="F1572" t="inlineStr">
        <is>
          <t>Продажа</t>
        </is>
      </c>
      <c r="H1572">
        <f>VLOOKUP(C1572,Магазин!$A$2:$C$1000,2,0)</f>
        <v/>
      </c>
      <c r="I1572">
        <f>VLOOKUP(D1572,Товар!$A$2:$F$1000,3,0)</f>
        <v/>
      </c>
      <c r="J1572">
        <f>VLOOKUP(D1572,Товар!$A$2:$F$1000,5,0)</f>
        <v/>
      </c>
      <c r="K1572">
        <f>IF(AND(H1572="Промышленный",LEFT(I1572,18)="Порошок стиральный",F1572="Продажа",B1572=DATE(2023,6,7)),E1572*J1572/1000,0)</f>
        <v/>
      </c>
    </row>
    <row r="1573">
      <c r="A1573" t="n">
        <v>1572</v>
      </c>
      <c r="B1573" s="1" t="n">
        <v>45084</v>
      </c>
      <c r="C1573" s="5" t="inlineStr">
        <is>
          <t>M3</t>
        </is>
      </c>
      <c r="D1573" s="5" t="n">
        <v>24</v>
      </c>
      <c r="E1573" s="5" t="n">
        <v>83</v>
      </c>
      <c r="F1573" t="inlineStr">
        <is>
          <t>Продажа</t>
        </is>
      </c>
      <c r="H1573">
        <f>VLOOKUP(C1573,Магазин!$A$2:$C$1000,2,0)</f>
        <v/>
      </c>
      <c r="I1573">
        <f>VLOOKUP(D1573,Товар!$A$2:$F$1000,3,0)</f>
        <v/>
      </c>
      <c r="J1573">
        <f>VLOOKUP(D1573,Товар!$A$2:$F$1000,5,0)</f>
        <v/>
      </c>
      <c r="K1573">
        <f>IF(AND(H1573="Промышленный",LEFT(I1573,18)="Порошок стиральный",F1573="Продажа",B1573=DATE(2023,6,7)),E1573*J1573/1000,0)</f>
        <v/>
      </c>
    </row>
    <row r="1574">
      <c r="A1574" t="n">
        <v>1573</v>
      </c>
      <c r="B1574" s="1" t="n">
        <v>45084</v>
      </c>
      <c r="C1574" s="5" t="inlineStr">
        <is>
          <t>M3</t>
        </is>
      </c>
      <c r="D1574" s="5" t="n">
        <v>25</v>
      </c>
      <c r="E1574" s="5" t="n">
        <v>81</v>
      </c>
      <c r="F1574" t="inlineStr">
        <is>
          <t>Продажа</t>
        </is>
      </c>
      <c r="H1574">
        <f>VLOOKUP(C1574,Магазин!$A$2:$C$1000,2,0)</f>
        <v/>
      </c>
      <c r="I1574">
        <f>VLOOKUP(D1574,Товар!$A$2:$F$1000,3,0)</f>
        <v/>
      </c>
      <c r="J1574">
        <f>VLOOKUP(D1574,Товар!$A$2:$F$1000,5,0)</f>
        <v/>
      </c>
      <c r="K1574">
        <f>IF(AND(H1574="Промышленный",LEFT(I1574,18)="Порошок стиральный",F1574="Продажа",B1574=DATE(2023,6,7)),E1574*J1574/1000,0)</f>
        <v/>
      </c>
    </row>
    <row r="1575">
      <c r="A1575" t="n">
        <v>1574</v>
      </c>
      <c r="B1575" s="1" t="n">
        <v>45084</v>
      </c>
      <c r="C1575" s="5" t="inlineStr">
        <is>
          <t>M3</t>
        </is>
      </c>
      <c r="D1575" s="5" t="n">
        <v>26</v>
      </c>
      <c r="E1575" s="5" t="n">
        <v>87</v>
      </c>
      <c r="F1575" t="inlineStr">
        <is>
          <t>Продажа</t>
        </is>
      </c>
      <c r="H1575">
        <f>VLOOKUP(C1575,Магазин!$A$2:$C$1000,2,0)</f>
        <v/>
      </c>
      <c r="I1575">
        <f>VLOOKUP(D1575,Товар!$A$2:$F$1000,3,0)</f>
        <v/>
      </c>
      <c r="J1575">
        <f>VLOOKUP(D1575,Товар!$A$2:$F$1000,5,0)</f>
        <v/>
      </c>
      <c r="K1575">
        <f>IF(AND(H1575="Промышленный",LEFT(I1575,18)="Порошок стиральный",F1575="Продажа",B1575=DATE(2023,6,7)),E1575*J1575/1000,0)</f>
        <v/>
      </c>
    </row>
    <row r="1576">
      <c r="A1576" t="n">
        <v>1575</v>
      </c>
      <c r="B1576" s="1" t="n">
        <v>45084</v>
      </c>
      <c r="C1576" s="5" t="inlineStr">
        <is>
          <t>M3</t>
        </is>
      </c>
      <c r="D1576" s="5" t="n">
        <v>27</v>
      </c>
      <c r="E1576" s="5" t="n">
        <v>73</v>
      </c>
      <c r="F1576" t="inlineStr">
        <is>
          <t>Продажа</t>
        </is>
      </c>
      <c r="H1576">
        <f>VLOOKUP(C1576,Магазин!$A$2:$C$1000,2,0)</f>
        <v/>
      </c>
      <c r="I1576">
        <f>VLOOKUP(D1576,Товар!$A$2:$F$1000,3,0)</f>
        <v/>
      </c>
      <c r="J1576">
        <f>VLOOKUP(D1576,Товар!$A$2:$F$1000,5,0)</f>
        <v/>
      </c>
      <c r="K1576">
        <f>IF(AND(H1576="Промышленный",LEFT(I1576,18)="Порошок стиральный",F1576="Продажа",B1576=DATE(2023,6,7)),E1576*J1576/1000,0)</f>
        <v/>
      </c>
    </row>
    <row r="1577">
      <c r="A1577" t="n">
        <v>1576</v>
      </c>
      <c r="B1577" s="1" t="n">
        <v>45084</v>
      </c>
      <c r="C1577" s="5" t="inlineStr">
        <is>
          <t>M3</t>
        </is>
      </c>
      <c r="D1577" s="5" t="n">
        <v>28</v>
      </c>
      <c r="E1577" s="5" t="n">
        <v>71</v>
      </c>
      <c r="F1577" t="inlineStr">
        <is>
          <t>Продажа</t>
        </is>
      </c>
      <c r="H1577">
        <f>VLOOKUP(C1577,Магазин!$A$2:$C$1000,2,0)</f>
        <v/>
      </c>
      <c r="I1577">
        <f>VLOOKUP(D1577,Товар!$A$2:$F$1000,3,0)</f>
        <v/>
      </c>
      <c r="J1577">
        <f>VLOOKUP(D1577,Товар!$A$2:$F$1000,5,0)</f>
        <v/>
      </c>
      <c r="K1577">
        <f>IF(AND(H1577="Промышленный",LEFT(I1577,18)="Порошок стиральный",F1577="Продажа",B1577=DATE(2023,6,7)),E1577*J1577/1000,0)</f>
        <v/>
      </c>
    </row>
    <row r="1578">
      <c r="A1578" t="n">
        <v>1577</v>
      </c>
      <c r="B1578" s="1" t="n">
        <v>45084</v>
      </c>
      <c r="C1578" s="5" t="inlineStr">
        <is>
          <t>M3</t>
        </is>
      </c>
      <c r="D1578" s="5" t="n">
        <v>29</v>
      </c>
      <c r="E1578" s="5" t="n">
        <v>85</v>
      </c>
      <c r="F1578" t="inlineStr">
        <is>
          <t>Продажа</t>
        </is>
      </c>
      <c r="H1578">
        <f>VLOOKUP(C1578,Магазин!$A$2:$C$1000,2,0)</f>
        <v/>
      </c>
      <c r="I1578">
        <f>VLOOKUP(D1578,Товар!$A$2:$F$1000,3,0)</f>
        <v/>
      </c>
      <c r="J1578">
        <f>VLOOKUP(D1578,Товар!$A$2:$F$1000,5,0)</f>
        <v/>
      </c>
      <c r="K1578">
        <f>IF(AND(H1578="Промышленный",LEFT(I1578,18)="Порошок стиральный",F1578="Продажа",B1578=DATE(2023,6,7)),E1578*J1578/1000,0)</f>
        <v/>
      </c>
    </row>
    <row r="1579">
      <c r="A1579" t="n">
        <v>1578</v>
      </c>
      <c r="B1579" s="1" t="n">
        <v>45084</v>
      </c>
      <c r="C1579" s="5" t="inlineStr">
        <is>
          <t>M3</t>
        </is>
      </c>
      <c r="D1579" s="5" t="n">
        <v>30</v>
      </c>
      <c r="E1579" s="5" t="n">
        <v>67</v>
      </c>
      <c r="F1579" t="inlineStr">
        <is>
          <t>Продажа</t>
        </is>
      </c>
      <c r="H1579">
        <f>VLOOKUP(C1579,Магазин!$A$2:$C$1000,2,0)</f>
        <v/>
      </c>
      <c r="I1579">
        <f>VLOOKUP(D1579,Товар!$A$2:$F$1000,3,0)</f>
        <v/>
      </c>
      <c r="J1579">
        <f>VLOOKUP(D1579,Товар!$A$2:$F$1000,5,0)</f>
        <v/>
      </c>
      <c r="K1579">
        <f>IF(AND(H1579="Промышленный",LEFT(I1579,18)="Порошок стиральный",F1579="Продажа",B1579=DATE(2023,6,7)),E1579*J1579/1000,0)</f>
        <v/>
      </c>
    </row>
    <row r="1580">
      <c r="A1580" t="n">
        <v>1579</v>
      </c>
      <c r="B1580" s="1" t="n">
        <v>45084</v>
      </c>
      <c r="C1580" s="5" t="inlineStr">
        <is>
          <t>M3</t>
        </is>
      </c>
      <c r="D1580" s="5" t="n">
        <v>31</v>
      </c>
      <c r="E1580" s="5" t="n">
        <v>85</v>
      </c>
      <c r="F1580" t="inlineStr">
        <is>
          <t>Продажа</t>
        </is>
      </c>
      <c r="H1580">
        <f>VLOOKUP(C1580,Магазин!$A$2:$C$1000,2,0)</f>
        <v/>
      </c>
      <c r="I1580">
        <f>VLOOKUP(D1580,Товар!$A$2:$F$1000,3,0)</f>
        <v/>
      </c>
      <c r="J1580">
        <f>VLOOKUP(D1580,Товар!$A$2:$F$1000,5,0)</f>
        <v/>
      </c>
      <c r="K1580">
        <f>IF(AND(H1580="Промышленный",LEFT(I1580,18)="Порошок стиральный",F1580="Продажа",B1580=DATE(2023,6,7)),E1580*J1580/1000,0)</f>
        <v/>
      </c>
    </row>
    <row r="1581">
      <c r="A1581" t="n">
        <v>1580</v>
      </c>
      <c r="B1581" s="1" t="n">
        <v>45084</v>
      </c>
      <c r="C1581" s="5" t="inlineStr">
        <is>
          <t>M3</t>
        </is>
      </c>
      <c r="D1581" s="5" t="n">
        <v>32</v>
      </c>
      <c r="E1581" s="5" t="n">
        <v>83</v>
      </c>
      <c r="F1581" t="inlineStr">
        <is>
          <t>Продажа</t>
        </is>
      </c>
      <c r="H1581">
        <f>VLOOKUP(C1581,Магазин!$A$2:$C$1000,2,0)</f>
        <v/>
      </c>
      <c r="I1581">
        <f>VLOOKUP(D1581,Товар!$A$2:$F$1000,3,0)</f>
        <v/>
      </c>
      <c r="J1581">
        <f>VLOOKUP(D1581,Товар!$A$2:$F$1000,5,0)</f>
        <v/>
      </c>
      <c r="K1581">
        <f>IF(AND(H1581="Промышленный",LEFT(I1581,18)="Порошок стиральный",F1581="Продажа",B1581=DATE(2023,6,7)),E1581*J1581/1000,0)</f>
        <v/>
      </c>
    </row>
    <row r="1582">
      <c r="A1582" t="n">
        <v>1581</v>
      </c>
      <c r="B1582" s="1" t="n">
        <v>45084</v>
      </c>
      <c r="C1582" s="5" t="inlineStr">
        <is>
          <t>M3</t>
        </is>
      </c>
      <c r="D1582" s="5" t="n">
        <v>33</v>
      </c>
      <c r="E1582" s="5" t="n">
        <v>89</v>
      </c>
      <c r="F1582" t="inlineStr">
        <is>
          <t>Продажа</t>
        </is>
      </c>
      <c r="H1582">
        <f>VLOOKUP(C1582,Магазин!$A$2:$C$1000,2,0)</f>
        <v/>
      </c>
      <c r="I1582">
        <f>VLOOKUP(D1582,Товар!$A$2:$F$1000,3,0)</f>
        <v/>
      </c>
      <c r="J1582">
        <f>VLOOKUP(D1582,Товар!$A$2:$F$1000,5,0)</f>
        <v/>
      </c>
      <c r="K1582">
        <f>IF(AND(H1582="Промышленный",LEFT(I1582,18)="Порошок стиральный",F1582="Продажа",B1582=DATE(2023,6,7)),E1582*J1582/1000,0)</f>
        <v/>
      </c>
    </row>
    <row r="1583">
      <c r="A1583" t="n">
        <v>1582</v>
      </c>
      <c r="B1583" s="1" t="n">
        <v>45084</v>
      </c>
      <c r="C1583" s="5" t="inlineStr">
        <is>
          <t>M3</t>
        </is>
      </c>
      <c r="D1583" s="5" t="n">
        <v>34</v>
      </c>
      <c r="E1583" s="5" t="n">
        <v>94</v>
      </c>
      <c r="F1583" t="inlineStr">
        <is>
          <t>Продажа</t>
        </is>
      </c>
      <c r="H1583">
        <f>VLOOKUP(C1583,Магазин!$A$2:$C$1000,2,0)</f>
        <v/>
      </c>
      <c r="I1583">
        <f>VLOOKUP(D1583,Товар!$A$2:$F$1000,3,0)</f>
        <v/>
      </c>
      <c r="J1583">
        <f>VLOOKUP(D1583,Товар!$A$2:$F$1000,5,0)</f>
        <v/>
      </c>
      <c r="K1583">
        <f>IF(AND(H1583="Промышленный",LEFT(I1583,18)="Порошок стиральный",F1583="Продажа",B1583=DATE(2023,6,7)),E1583*J1583/1000,0)</f>
        <v/>
      </c>
    </row>
    <row r="1584">
      <c r="A1584" t="n">
        <v>1583</v>
      </c>
      <c r="B1584" s="1" t="n">
        <v>45084</v>
      </c>
      <c r="C1584" s="5" t="inlineStr">
        <is>
          <t>M3</t>
        </is>
      </c>
      <c r="D1584" s="5" t="n">
        <v>35</v>
      </c>
      <c r="E1584" s="5" t="n">
        <v>95</v>
      </c>
      <c r="F1584" t="inlineStr">
        <is>
          <t>Продажа</t>
        </is>
      </c>
      <c r="H1584">
        <f>VLOOKUP(C1584,Магазин!$A$2:$C$1000,2,0)</f>
        <v/>
      </c>
      <c r="I1584">
        <f>VLOOKUP(D1584,Товар!$A$2:$F$1000,3,0)</f>
        <v/>
      </c>
      <c r="J1584">
        <f>VLOOKUP(D1584,Товар!$A$2:$F$1000,5,0)</f>
        <v/>
      </c>
      <c r="K1584">
        <f>IF(AND(H1584="Промышленный",LEFT(I1584,18)="Порошок стиральный",F1584="Продажа",B1584=DATE(2023,6,7)),E1584*J1584/1000,0)</f>
        <v/>
      </c>
    </row>
    <row r="1585">
      <c r="A1585" t="n">
        <v>1584</v>
      </c>
      <c r="B1585" s="1" t="n">
        <v>45084</v>
      </c>
      <c r="C1585" s="5" t="inlineStr">
        <is>
          <t>M3</t>
        </is>
      </c>
      <c r="D1585" s="5" t="n">
        <v>36</v>
      </c>
      <c r="E1585" s="5" t="n">
        <v>92</v>
      </c>
      <c r="F1585" t="inlineStr">
        <is>
          <t>Продажа</t>
        </is>
      </c>
      <c r="H1585">
        <f>VLOOKUP(C1585,Магазин!$A$2:$C$1000,2,0)</f>
        <v/>
      </c>
      <c r="I1585">
        <f>VLOOKUP(D1585,Товар!$A$2:$F$1000,3,0)</f>
        <v/>
      </c>
      <c r="J1585">
        <f>VLOOKUP(D1585,Товар!$A$2:$F$1000,5,0)</f>
        <v/>
      </c>
      <c r="K1585">
        <f>IF(AND(H1585="Промышленный",LEFT(I1585,18)="Порошок стиральный",F1585="Продажа",B1585=DATE(2023,6,7)),E1585*J1585/1000,0)</f>
        <v/>
      </c>
    </row>
    <row r="1586">
      <c r="A1586" t="n">
        <v>1585</v>
      </c>
      <c r="B1586" s="1" t="n">
        <v>45084</v>
      </c>
      <c r="C1586" s="5" t="inlineStr">
        <is>
          <t>M9</t>
        </is>
      </c>
      <c r="D1586" s="5" t="n">
        <v>1</v>
      </c>
      <c r="E1586" s="5" t="n">
        <v>42</v>
      </c>
      <c r="F1586" t="inlineStr">
        <is>
          <t>Продажа</t>
        </is>
      </c>
      <c r="H1586">
        <f>VLOOKUP(C1586,Магазин!$A$2:$C$1000,2,0)</f>
        <v/>
      </c>
      <c r="I1586">
        <f>VLOOKUP(D1586,Товар!$A$2:$F$1000,3,0)</f>
        <v/>
      </c>
      <c r="J1586">
        <f>VLOOKUP(D1586,Товар!$A$2:$F$1000,5,0)</f>
        <v/>
      </c>
      <c r="K1586">
        <f>IF(AND(H1586="Промышленный",LEFT(I1586,18)="Порошок стиральный",F1586="Продажа",B1586=DATE(2023,6,7)),E1586*J1586/1000,0)</f>
        <v/>
      </c>
    </row>
    <row r="1587">
      <c r="A1587" t="n">
        <v>1586</v>
      </c>
      <c r="B1587" s="1" t="n">
        <v>45084</v>
      </c>
      <c r="C1587" s="5" t="inlineStr">
        <is>
          <t>M9</t>
        </is>
      </c>
      <c r="D1587" s="5" t="n">
        <v>2</v>
      </c>
      <c r="E1587" s="5" t="n">
        <v>56</v>
      </c>
      <c r="F1587" t="inlineStr">
        <is>
          <t>Продажа</t>
        </is>
      </c>
      <c r="H1587">
        <f>VLOOKUP(C1587,Магазин!$A$2:$C$1000,2,0)</f>
        <v/>
      </c>
      <c r="I1587">
        <f>VLOOKUP(D1587,Товар!$A$2:$F$1000,3,0)</f>
        <v/>
      </c>
      <c r="J1587">
        <f>VLOOKUP(D1587,Товар!$A$2:$F$1000,5,0)</f>
        <v/>
      </c>
      <c r="K1587">
        <f>IF(AND(H1587="Промышленный",LEFT(I1587,18)="Порошок стиральный",F1587="Продажа",B1587=DATE(2023,6,7)),E1587*J1587/1000,0)</f>
        <v/>
      </c>
    </row>
    <row r="1588">
      <c r="A1588" t="n">
        <v>1587</v>
      </c>
      <c r="B1588" s="1" t="n">
        <v>45084</v>
      </c>
      <c r="C1588" s="5" t="inlineStr">
        <is>
          <t>M9</t>
        </is>
      </c>
      <c r="D1588" s="5" t="n">
        <v>3</v>
      </c>
      <c r="E1588" s="5" t="n">
        <v>75</v>
      </c>
      <c r="F1588" t="inlineStr">
        <is>
          <t>Продажа</t>
        </is>
      </c>
      <c r="H1588">
        <f>VLOOKUP(C1588,Магазин!$A$2:$C$1000,2,0)</f>
        <v/>
      </c>
      <c r="I1588">
        <f>VLOOKUP(D1588,Товар!$A$2:$F$1000,3,0)</f>
        <v/>
      </c>
      <c r="J1588">
        <f>VLOOKUP(D1588,Товар!$A$2:$F$1000,5,0)</f>
        <v/>
      </c>
      <c r="K1588">
        <f>IF(AND(H1588="Промышленный",LEFT(I1588,18)="Порошок стиральный",F1588="Продажа",B1588=DATE(2023,6,7)),E1588*J1588/1000,0)</f>
        <v/>
      </c>
    </row>
    <row r="1589">
      <c r="A1589" t="n">
        <v>1588</v>
      </c>
      <c r="B1589" s="1" t="n">
        <v>45084</v>
      </c>
      <c r="C1589" s="5" t="inlineStr">
        <is>
          <t>M9</t>
        </is>
      </c>
      <c r="D1589" s="5" t="n">
        <v>4</v>
      </c>
      <c r="E1589" s="5" t="n">
        <v>64</v>
      </c>
      <c r="F1589" t="inlineStr">
        <is>
          <t>Продажа</t>
        </is>
      </c>
      <c r="H1589">
        <f>VLOOKUP(C1589,Магазин!$A$2:$C$1000,2,0)</f>
        <v/>
      </c>
      <c r="I1589">
        <f>VLOOKUP(D1589,Товар!$A$2:$F$1000,3,0)</f>
        <v/>
      </c>
      <c r="J1589">
        <f>VLOOKUP(D1589,Товар!$A$2:$F$1000,5,0)</f>
        <v/>
      </c>
      <c r="K1589">
        <f>IF(AND(H1589="Промышленный",LEFT(I1589,18)="Порошок стиральный",F1589="Продажа",B1589=DATE(2023,6,7)),E1589*J1589/1000,0)</f>
        <v/>
      </c>
    </row>
    <row r="1590">
      <c r="A1590" t="n">
        <v>1589</v>
      </c>
      <c r="B1590" s="1" t="n">
        <v>45084</v>
      </c>
      <c r="C1590" s="5" t="inlineStr">
        <is>
          <t>M9</t>
        </is>
      </c>
      <c r="D1590" s="5" t="n">
        <v>5</v>
      </c>
      <c r="E1590" s="5" t="n">
        <v>36</v>
      </c>
      <c r="F1590" t="inlineStr">
        <is>
          <t>Продажа</t>
        </is>
      </c>
      <c r="H1590">
        <f>VLOOKUP(C1590,Магазин!$A$2:$C$1000,2,0)</f>
        <v/>
      </c>
      <c r="I1590">
        <f>VLOOKUP(D1590,Товар!$A$2:$F$1000,3,0)</f>
        <v/>
      </c>
      <c r="J1590">
        <f>VLOOKUP(D1590,Товар!$A$2:$F$1000,5,0)</f>
        <v/>
      </c>
      <c r="K1590">
        <f>IF(AND(H1590="Промышленный",LEFT(I1590,18)="Порошок стиральный",F1590="Продажа",B1590=DATE(2023,6,7)),E1590*J1590/1000,0)</f>
        <v/>
      </c>
    </row>
    <row r="1591">
      <c r="A1591" t="n">
        <v>1590</v>
      </c>
      <c r="B1591" s="1" t="n">
        <v>45084</v>
      </c>
      <c r="C1591" s="5" t="inlineStr">
        <is>
          <t>M9</t>
        </is>
      </c>
      <c r="D1591" s="5" t="n">
        <v>6</v>
      </c>
      <c r="E1591" s="5" t="n">
        <v>48</v>
      </c>
      <c r="F1591" t="inlineStr">
        <is>
          <t>Продажа</t>
        </is>
      </c>
      <c r="H1591">
        <f>VLOOKUP(C1591,Магазин!$A$2:$C$1000,2,0)</f>
        <v/>
      </c>
      <c r="I1591">
        <f>VLOOKUP(D1591,Товар!$A$2:$F$1000,3,0)</f>
        <v/>
      </c>
      <c r="J1591">
        <f>VLOOKUP(D1591,Товар!$A$2:$F$1000,5,0)</f>
        <v/>
      </c>
      <c r="K1591">
        <f>IF(AND(H1591="Промышленный",LEFT(I1591,18)="Порошок стиральный",F1591="Продажа",B1591=DATE(2023,6,7)),E1591*J1591/1000,0)</f>
        <v/>
      </c>
    </row>
    <row r="1592">
      <c r="A1592" t="n">
        <v>1591</v>
      </c>
      <c r="B1592" s="1" t="n">
        <v>45084</v>
      </c>
      <c r="C1592" s="5" t="inlineStr">
        <is>
          <t>M9</t>
        </is>
      </c>
      <c r="D1592" s="5" t="n">
        <v>7</v>
      </c>
      <c r="E1592" s="5" t="n">
        <v>29</v>
      </c>
      <c r="F1592" t="inlineStr">
        <is>
          <t>Продажа</t>
        </is>
      </c>
      <c r="H1592">
        <f>VLOOKUP(C1592,Магазин!$A$2:$C$1000,2,0)</f>
        <v/>
      </c>
      <c r="I1592">
        <f>VLOOKUP(D1592,Товар!$A$2:$F$1000,3,0)</f>
        <v/>
      </c>
      <c r="J1592">
        <f>VLOOKUP(D1592,Товар!$A$2:$F$1000,5,0)</f>
        <v/>
      </c>
      <c r="K1592">
        <f>IF(AND(H1592="Промышленный",LEFT(I1592,18)="Порошок стиральный",F1592="Продажа",B1592=DATE(2023,6,7)),E1592*J1592/1000,0)</f>
        <v/>
      </c>
    </row>
    <row r="1593">
      <c r="A1593" t="n">
        <v>1592</v>
      </c>
      <c r="B1593" s="1" t="n">
        <v>45084</v>
      </c>
      <c r="C1593" s="5" t="inlineStr">
        <is>
          <t>M9</t>
        </is>
      </c>
      <c r="D1593" s="5" t="n">
        <v>8</v>
      </c>
      <c r="E1593" s="5" t="n">
        <v>97</v>
      </c>
      <c r="F1593" t="inlineStr">
        <is>
          <t>Продажа</t>
        </is>
      </c>
      <c r="H1593">
        <f>VLOOKUP(C1593,Магазин!$A$2:$C$1000,2,0)</f>
        <v/>
      </c>
      <c r="I1593">
        <f>VLOOKUP(D1593,Товар!$A$2:$F$1000,3,0)</f>
        <v/>
      </c>
      <c r="J1593">
        <f>VLOOKUP(D1593,Товар!$A$2:$F$1000,5,0)</f>
        <v/>
      </c>
      <c r="K1593">
        <f>IF(AND(H1593="Промышленный",LEFT(I1593,18)="Порошок стиральный",F1593="Продажа",B1593=DATE(2023,6,7)),E1593*J1593/1000,0)</f>
        <v/>
      </c>
    </row>
    <row r="1594">
      <c r="A1594" t="n">
        <v>1593</v>
      </c>
      <c r="B1594" s="1" t="n">
        <v>45084</v>
      </c>
      <c r="C1594" s="5" t="inlineStr">
        <is>
          <t>M9</t>
        </is>
      </c>
      <c r="D1594" s="5" t="n">
        <v>9</v>
      </c>
      <c r="E1594" s="5" t="n">
        <v>24</v>
      </c>
      <c r="F1594" t="inlineStr">
        <is>
          <t>Продажа</t>
        </is>
      </c>
      <c r="H1594">
        <f>VLOOKUP(C1594,Магазин!$A$2:$C$1000,2,0)</f>
        <v/>
      </c>
      <c r="I1594">
        <f>VLOOKUP(D1594,Товар!$A$2:$F$1000,3,0)</f>
        <v/>
      </c>
      <c r="J1594">
        <f>VLOOKUP(D1594,Товар!$A$2:$F$1000,5,0)</f>
        <v/>
      </c>
      <c r="K1594">
        <f>IF(AND(H1594="Промышленный",LEFT(I1594,18)="Порошок стиральный",F1594="Продажа",B1594=DATE(2023,6,7)),E1594*J1594/1000,0)</f>
        <v/>
      </c>
    </row>
    <row r="1595">
      <c r="A1595" t="n">
        <v>1594</v>
      </c>
      <c r="B1595" s="1" t="n">
        <v>45084</v>
      </c>
      <c r="C1595" s="5" t="inlineStr">
        <is>
          <t>M9</t>
        </is>
      </c>
      <c r="D1595" s="5" t="n">
        <v>10</v>
      </c>
      <c r="E1595" s="5" t="n">
        <v>84</v>
      </c>
      <c r="F1595" t="inlineStr">
        <is>
          <t>Продажа</t>
        </is>
      </c>
      <c r="H1595">
        <f>VLOOKUP(C1595,Магазин!$A$2:$C$1000,2,0)</f>
        <v/>
      </c>
      <c r="I1595">
        <f>VLOOKUP(D1595,Товар!$A$2:$F$1000,3,0)</f>
        <v/>
      </c>
      <c r="J1595">
        <f>VLOOKUP(D1595,Товар!$A$2:$F$1000,5,0)</f>
        <v/>
      </c>
      <c r="K1595">
        <f>IF(AND(H1595="Промышленный",LEFT(I1595,18)="Порошок стиральный",F1595="Продажа",B1595=DATE(2023,6,7)),E1595*J1595/1000,0)</f>
        <v/>
      </c>
    </row>
    <row r="1596">
      <c r="A1596" t="n">
        <v>1595</v>
      </c>
      <c r="B1596" s="1" t="n">
        <v>45084</v>
      </c>
      <c r="C1596" s="5" t="inlineStr">
        <is>
          <t>M9</t>
        </is>
      </c>
      <c r="D1596" s="5" t="n">
        <v>11</v>
      </c>
      <c r="E1596" s="5" t="n">
        <v>84</v>
      </c>
      <c r="F1596" t="inlineStr">
        <is>
          <t>Продажа</t>
        </is>
      </c>
      <c r="H1596">
        <f>VLOOKUP(C1596,Магазин!$A$2:$C$1000,2,0)</f>
        <v/>
      </c>
      <c r="I1596">
        <f>VLOOKUP(D1596,Товар!$A$2:$F$1000,3,0)</f>
        <v/>
      </c>
      <c r="J1596">
        <f>VLOOKUP(D1596,Товар!$A$2:$F$1000,5,0)</f>
        <v/>
      </c>
      <c r="K1596">
        <f>IF(AND(H1596="Промышленный",LEFT(I1596,18)="Порошок стиральный",F1596="Продажа",B1596=DATE(2023,6,7)),E1596*J1596/1000,0)</f>
        <v/>
      </c>
    </row>
    <row r="1597">
      <c r="A1597" t="n">
        <v>1596</v>
      </c>
      <c r="B1597" s="1" t="n">
        <v>45084</v>
      </c>
      <c r="C1597" s="5" t="inlineStr">
        <is>
          <t>M9</t>
        </is>
      </c>
      <c r="D1597" s="5" t="n">
        <v>12</v>
      </c>
      <c r="E1597" s="5" t="n">
        <v>85</v>
      </c>
      <c r="F1597" t="inlineStr">
        <is>
          <t>Продажа</t>
        </is>
      </c>
      <c r="H1597">
        <f>VLOOKUP(C1597,Магазин!$A$2:$C$1000,2,0)</f>
        <v/>
      </c>
      <c r="I1597">
        <f>VLOOKUP(D1597,Товар!$A$2:$F$1000,3,0)</f>
        <v/>
      </c>
      <c r="J1597">
        <f>VLOOKUP(D1597,Товар!$A$2:$F$1000,5,0)</f>
        <v/>
      </c>
      <c r="K1597">
        <f>IF(AND(H1597="Промышленный",LEFT(I1597,18)="Порошок стиральный",F1597="Продажа",B1597=DATE(2023,6,7)),E1597*J1597/1000,0)</f>
        <v/>
      </c>
    </row>
    <row r="1598">
      <c r="A1598" t="n">
        <v>1597</v>
      </c>
      <c r="B1598" s="1" t="n">
        <v>45084</v>
      </c>
      <c r="C1598" s="5" t="inlineStr">
        <is>
          <t>M9</t>
        </is>
      </c>
      <c r="D1598" s="5" t="n">
        <v>13</v>
      </c>
      <c r="E1598" s="5" t="n">
        <v>47</v>
      </c>
      <c r="F1598" t="inlineStr">
        <is>
          <t>Продажа</t>
        </is>
      </c>
      <c r="H1598">
        <f>VLOOKUP(C1598,Магазин!$A$2:$C$1000,2,0)</f>
        <v/>
      </c>
      <c r="I1598">
        <f>VLOOKUP(D1598,Товар!$A$2:$F$1000,3,0)</f>
        <v/>
      </c>
      <c r="J1598">
        <f>VLOOKUP(D1598,Товар!$A$2:$F$1000,5,0)</f>
        <v/>
      </c>
      <c r="K1598">
        <f>IF(AND(H1598="Промышленный",LEFT(I1598,18)="Порошок стиральный",F1598="Продажа",B1598=DATE(2023,6,7)),E1598*J1598/1000,0)</f>
        <v/>
      </c>
    </row>
    <row r="1599">
      <c r="A1599" t="n">
        <v>1598</v>
      </c>
      <c r="B1599" s="1" t="n">
        <v>45084</v>
      </c>
      <c r="C1599" s="5" t="inlineStr">
        <is>
          <t>M9</t>
        </is>
      </c>
      <c r="D1599" s="5" t="n">
        <v>14</v>
      </c>
      <c r="E1599" s="5" t="n">
        <v>74</v>
      </c>
      <c r="F1599" t="inlineStr">
        <is>
          <t>Продажа</t>
        </is>
      </c>
      <c r="H1599">
        <f>VLOOKUP(C1599,Магазин!$A$2:$C$1000,2,0)</f>
        <v/>
      </c>
      <c r="I1599">
        <f>VLOOKUP(D1599,Товар!$A$2:$F$1000,3,0)</f>
        <v/>
      </c>
      <c r="J1599">
        <f>VLOOKUP(D1599,Товар!$A$2:$F$1000,5,0)</f>
        <v/>
      </c>
      <c r="K1599">
        <f>IF(AND(H1599="Промышленный",LEFT(I1599,18)="Порошок стиральный",F1599="Продажа",B1599=DATE(2023,6,7)),E1599*J1599/1000,0)</f>
        <v/>
      </c>
    </row>
    <row r="1600">
      <c r="A1600" t="n">
        <v>1599</v>
      </c>
      <c r="B1600" s="1" t="n">
        <v>45084</v>
      </c>
      <c r="C1600" s="5" t="inlineStr">
        <is>
          <t>M9</t>
        </is>
      </c>
      <c r="D1600" s="5" t="n">
        <v>15</v>
      </c>
      <c r="E1600" s="5" t="n">
        <v>86</v>
      </c>
      <c r="F1600" t="inlineStr">
        <is>
          <t>Продажа</t>
        </is>
      </c>
      <c r="H1600">
        <f>VLOOKUP(C1600,Магазин!$A$2:$C$1000,2,0)</f>
        <v/>
      </c>
      <c r="I1600">
        <f>VLOOKUP(D1600,Товар!$A$2:$F$1000,3,0)</f>
        <v/>
      </c>
      <c r="J1600">
        <f>VLOOKUP(D1600,Товар!$A$2:$F$1000,5,0)</f>
        <v/>
      </c>
      <c r="K1600">
        <f>IF(AND(H1600="Промышленный",LEFT(I1600,18)="Порошок стиральный",F1600="Продажа",B1600=DATE(2023,6,7)),E1600*J1600/1000,0)</f>
        <v/>
      </c>
    </row>
    <row r="1601">
      <c r="A1601" t="n">
        <v>1600</v>
      </c>
      <c r="B1601" s="1" t="n">
        <v>45084</v>
      </c>
      <c r="C1601" s="5" t="inlineStr">
        <is>
          <t>M9</t>
        </is>
      </c>
      <c r="D1601" s="5" t="n">
        <v>16</v>
      </c>
      <c r="E1601" s="5" t="n">
        <v>68</v>
      </c>
      <c r="F1601" t="inlineStr">
        <is>
          <t>Продажа</t>
        </is>
      </c>
      <c r="H1601">
        <f>VLOOKUP(C1601,Магазин!$A$2:$C$1000,2,0)</f>
        <v/>
      </c>
      <c r="I1601">
        <f>VLOOKUP(D1601,Товар!$A$2:$F$1000,3,0)</f>
        <v/>
      </c>
      <c r="J1601">
        <f>VLOOKUP(D1601,Товар!$A$2:$F$1000,5,0)</f>
        <v/>
      </c>
      <c r="K1601">
        <f>IF(AND(H1601="Промышленный",LEFT(I1601,18)="Порошок стиральный",F1601="Продажа",B1601=DATE(2023,6,7)),E1601*J1601/1000,0)</f>
        <v/>
      </c>
    </row>
    <row r="1602">
      <c r="A1602" t="n">
        <v>1601</v>
      </c>
      <c r="B1602" s="1" t="n">
        <v>45084</v>
      </c>
      <c r="C1602" s="5" t="inlineStr">
        <is>
          <t>M9</t>
        </is>
      </c>
      <c r="D1602" s="5" t="n">
        <v>17</v>
      </c>
      <c r="E1602" s="5" t="n">
        <v>43</v>
      </c>
      <c r="F1602" t="inlineStr">
        <is>
          <t>Продажа</t>
        </is>
      </c>
      <c r="H1602">
        <f>VLOOKUP(C1602,Магазин!$A$2:$C$1000,2,0)</f>
        <v/>
      </c>
      <c r="I1602">
        <f>VLOOKUP(D1602,Товар!$A$2:$F$1000,3,0)</f>
        <v/>
      </c>
      <c r="J1602">
        <f>VLOOKUP(D1602,Товар!$A$2:$F$1000,5,0)</f>
        <v/>
      </c>
      <c r="K1602">
        <f>IF(AND(H1602="Промышленный",LEFT(I1602,18)="Порошок стиральный",F1602="Продажа",B1602=DATE(2023,6,7)),E1602*J1602/1000,0)</f>
        <v/>
      </c>
    </row>
    <row r="1603">
      <c r="A1603" t="n">
        <v>1602</v>
      </c>
      <c r="B1603" s="1" t="n">
        <v>45084</v>
      </c>
      <c r="C1603" s="5" t="inlineStr">
        <is>
          <t>M9</t>
        </is>
      </c>
      <c r="D1603" s="5" t="n">
        <v>18</v>
      </c>
      <c r="E1603" s="5" t="n">
        <v>48</v>
      </c>
      <c r="F1603" t="inlineStr">
        <is>
          <t>Продажа</t>
        </is>
      </c>
      <c r="H1603">
        <f>VLOOKUP(C1603,Магазин!$A$2:$C$1000,2,0)</f>
        <v/>
      </c>
      <c r="I1603">
        <f>VLOOKUP(D1603,Товар!$A$2:$F$1000,3,0)</f>
        <v/>
      </c>
      <c r="J1603">
        <f>VLOOKUP(D1603,Товар!$A$2:$F$1000,5,0)</f>
        <v/>
      </c>
      <c r="K1603">
        <f>IF(AND(H1603="Промышленный",LEFT(I1603,18)="Порошок стиральный",F1603="Продажа",B1603=DATE(2023,6,7)),E1603*J1603/1000,0)</f>
        <v/>
      </c>
    </row>
    <row r="1604">
      <c r="A1604" t="n">
        <v>1603</v>
      </c>
      <c r="B1604" s="1" t="n">
        <v>45084</v>
      </c>
      <c r="C1604" s="5" t="inlineStr">
        <is>
          <t>M9</t>
        </is>
      </c>
      <c r="D1604" s="5" t="n">
        <v>19</v>
      </c>
      <c r="E1604" s="5" t="n">
        <v>73</v>
      </c>
      <c r="F1604" t="inlineStr">
        <is>
          <t>Продажа</t>
        </is>
      </c>
      <c r="H1604">
        <f>VLOOKUP(C1604,Магазин!$A$2:$C$1000,2,0)</f>
        <v/>
      </c>
      <c r="I1604">
        <f>VLOOKUP(D1604,Товар!$A$2:$F$1000,3,0)</f>
        <v/>
      </c>
      <c r="J1604">
        <f>VLOOKUP(D1604,Товар!$A$2:$F$1000,5,0)</f>
        <v/>
      </c>
      <c r="K1604">
        <f>IF(AND(H1604="Промышленный",LEFT(I1604,18)="Порошок стиральный",F1604="Продажа",B1604=DATE(2023,6,7)),E1604*J1604/1000,0)</f>
        <v/>
      </c>
    </row>
    <row r="1605">
      <c r="A1605" t="n">
        <v>1604</v>
      </c>
      <c r="B1605" s="1" t="n">
        <v>45084</v>
      </c>
      <c r="C1605" s="5" t="inlineStr">
        <is>
          <t>M9</t>
        </is>
      </c>
      <c r="D1605" s="5" t="n">
        <v>20</v>
      </c>
      <c r="E1605" s="5" t="n">
        <v>61</v>
      </c>
      <c r="F1605" t="inlineStr">
        <is>
          <t>Продажа</t>
        </is>
      </c>
      <c r="H1605">
        <f>VLOOKUP(C1605,Магазин!$A$2:$C$1000,2,0)</f>
        <v/>
      </c>
      <c r="I1605">
        <f>VLOOKUP(D1605,Товар!$A$2:$F$1000,3,0)</f>
        <v/>
      </c>
      <c r="J1605">
        <f>VLOOKUP(D1605,Товар!$A$2:$F$1000,5,0)</f>
        <v/>
      </c>
      <c r="K1605">
        <f>IF(AND(H1605="Промышленный",LEFT(I1605,18)="Порошок стиральный",F1605="Продажа",B1605=DATE(2023,6,7)),E1605*J1605/1000,0)</f>
        <v/>
      </c>
    </row>
    <row r="1606">
      <c r="A1606" t="n">
        <v>1605</v>
      </c>
      <c r="B1606" s="1" t="n">
        <v>45084</v>
      </c>
      <c r="C1606" s="5" t="inlineStr">
        <is>
          <t>M9</t>
        </is>
      </c>
      <c r="D1606" s="5" t="n">
        <v>21</v>
      </c>
      <c r="E1606" s="5" t="n">
        <v>63</v>
      </c>
      <c r="F1606" t="inlineStr">
        <is>
          <t>Продажа</t>
        </is>
      </c>
      <c r="H1606">
        <f>VLOOKUP(C1606,Магазин!$A$2:$C$1000,2,0)</f>
        <v/>
      </c>
      <c r="I1606">
        <f>VLOOKUP(D1606,Товар!$A$2:$F$1000,3,0)</f>
        <v/>
      </c>
      <c r="J1606">
        <f>VLOOKUP(D1606,Товар!$A$2:$F$1000,5,0)</f>
        <v/>
      </c>
      <c r="K1606">
        <f>IF(AND(H1606="Промышленный",LEFT(I1606,18)="Порошок стиральный",F1606="Продажа",B1606=DATE(2023,6,7)),E1606*J1606/1000,0)</f>
        <v/>
      </c>
    </row>
    <row r="1607">
      <c r="A1607" t="n">
        <v>1606</v>
      </c>
      <c r="B1607" s="1" t="n">
        <v>45084</v>
      </c>
      <c r="C1607" s="5" t="inlineStr">
        <is>
          <t>M9</t>
        </is>
      </c>
      <c r="D1607" s="5" t="n">
        <v>22</v>
      </c>
      <c r="E1607" s="5" t="n">
        <v>66</v>
      </c>
      <c r="F1607" t="inlineStr">
        <is>
          <t>Продажа</t>
        </is>
      </c>
      <c r="H1607">
        <f>VLOOKUP(C1607,Магазин!$A$2:$C$1000,2,0)</f>
        <v/>
      </c>
      <c r="I1607">
        <f>VLOOKUP(D1607,Товар!$A$2:$F$1000,3,0)</f>
        <v/>
      </c>
      <c r="J1607">
        <f>VLOOKUP(D1607,Товар!$A$2:$F$1000,5,0)</f>
        <v/>
      </c>
      <c r="K1607">
        <f>IF(AND(H1607="Промышленный",LEFT(I1607,18)="Порошок стиральный",F1607="Продажа",B1607=DATE(2023,6,7)),E1607*J1607/1000,0)</f>
        <v/>
      </c>
    </row>
    <row r="1608">
      <c r="A1608" t="n">
        <v>1607</v>
      </c>
      <c r="B1608" s="1" t="n">
        <v>45084</v>
      </c>
      <c r="C1608" s="5" t="inlineStr">
        <is>
          <t>M9</t>
        </is>
      </c>
      <c r="D1608" s="5" t="n">
        <v>23</v>
      </c>
      <c r="E1608" s="5" t="n">
        <v>74</v>
      </c>
      <c r="F1608" t="inlineStr">
        <is>
          <t>Продажа</t>
        </is>
      </c>
      <c r="H1608">
        <f>VLOOKUP(C1608,Магазин!$A$2:$C$1000,2,0)</f>
        <v/>
      </c>
      <c r="I1608">
        <f>VLOOKUP(D1608,Товар!$A$2:$F$1000,3,0)</f>
        <v/>
      </c>
      <c r="J1608">
        <f>VLOOKUP(D1608,Товар!$A$2:$F$1000,5,0)</f>
        <v/>
      </c>
      <c r="K1608">
        <f>IF(AND(H1608="Промышленный",LEFT(I1608,18)="Порошок стиральный",F1608="Продажа",B1608=DATE(2023,6,7)),E1608*J1608/1000,0)</f>
        <v/>
      </c>
    </row>
    <row r="1609">
      <c r="A1609" t="n">
        <v>1608</v>
      </c>
      <c r="B1609" s="1" t="n">
        <v>45084</v>
      </c>
      <c r="C1609" s="5" t="inlineStr">
        <is>
          <t>M9</t>
        </is>
      </c>
      <c r="D1609" s="5" t="n">
        <v>24</v>
      </c>
      <c r="E1609" s="5" t="n">
        <v>38</v>
      </c>
      <c r="F1609" t="inlineStr">
        <is>
          <t>Продажа</t>
        </is>
      </c>
      <c r="H1609">
        <f>VLOOKUP(C1609,Магазин!$A$2:$C$1000,2,0)</f>
        <v/>
      </c>
      <c r="I1609">
        <f>VLOOKUP(D1609,Товар!$A$2:$F$1000,3,0)</f>
        <v/>
      </c>
      <c r="J1609">
        <f>VLOOKUP(D1609,Товар!$A$2:$F$1000,5,0)</f>
        <v/>
      </c>
      <c r="K1609">
        <f>IF(AND(H1609="Промышленный",LEFT(I1609,18)="Порошок стиральный",F1609="Продажа",B1609=DATE(2023,6,7)),E1609*J1609/1000,0)</f>
        <v/>
      </c>
    </row>
    <row r="1610">
      <c r="A1610" t="n">
        <v>1609</v>
      </c>
      <c r="B1610" s="1" t="n">
        <v>45084</v>
      </c>
      <c r="C1610" s="5" t="inlineStr">
        <is>
          <t>M9</t>
        </is>
      </c>
      <c r="D1610" s="5" t="n">
        <v>25</v>
      </c>
      <c r="E1610" s="5" t="n">
        <v>42</v>
      </c>
      <c r="F1610" t="inlineStr">
        <is>
          <t>Продажа</t>
        </is>
      </c>
      <c r="H1610">
        <f>VLOOKUP(C1610,Магазин!$A$2:$C$1000,2,0)</f>
        <v/>
      </c>
      <c r="I1610">
        <f>VLOOKUP(D1610,Товар!$A$2:$F$1000,3,0)</f>
        <v/>
      </c>
      <c r="J1610">
        <f>VLOOKUP(D1610,Товар!$A$2:$F$1000,5,0)</f>
        <v/>
      </c>
      <c r="K1610">
        <f>IF(AND(H1610="Промышленный",LEFT(I1610,18)="Порошок стиральный",F1610="Продажа",B1610=DATE(2023,6,7)),E1610*J1610/1000,0)</f>
        <v/>
      </c>
    </row>
    <row r="1611">
      <c r="A1611" t="n">
        <v>1610</v>
      </c>
      <c r="B1611" s="1" t="n">
        <v>45084</v>
      </c>
      <c r="C1611" s="5" t="inlineStr">
        <is>
          <t>M9</t>
        </is>
      </c>
      <c r="D1611" s="5" t="n">
        <v>26</v>
      </c>
      <c r="E1611" s="5" t="n">
        <v>57</v>
      </c>
      <c r="F1611" t="inlineStr">
        <is>
          <t>Продажа</t>
        </is>
      </c>
      <c r="H1611">
        <f>VLOOKUP(C1611,Магазин!$A$2:$C$1000,2,0)</f>
        <v/>
      </c>
      <c r="I1611">
        <f>VLOOKUP(D1611,Товар!$A$2:$F$1000,3,0)</f>
        <v/>
      </c>
      <c r="J1611">
        <f>VLOOKUP(D1611,Товар!$A$2:$F$1000,5,0)</f>
        <v/>
      </c>
      <c r="K1611">
        <f>IF(AND(H1611="Промышленный",LEFT(I1611,18)="Порошок стиральный",F1611="Продажа",B1611=DATE(2023,6,7)),E1611*J1611/1000,0)</f>
        <v/>
      </c>
    </row>
    <row r="1612">
      <c r="A1612" t="n">
        <v>1611</v>
      </c>
      <c r="B1612" s="1" t="n">
        <v>45084</v>
      </c>
      <c r="C1612" s="5" t="inlineStr">
        <is>
          <t>M9</t>
        </is>
      </c>
      <c r="D1612" s="5" t="n">
        <v>27</v>
      </c>
      <c r="E1612" s="5" t="n">
        <v>59</v>
      </c>
      <c r="F1612" t="inlineStr">
        <is>
          <t>Продажа</t>
        </is>
      </c>
      <c r="H1612">
        <f>VLOOKUP(C1612,Магазин!$A$2:$C$1000,2,0)</f>
        <v/>
      </c>
      <c r="I1612">
        <f>VLOOKUP(D1612,Товар!$A$2:$F$1000,3,0)</f>
        <v/>
      </c>
      <c r="J1612">
        <f>VLOOKUP(D1612,Товар!$A$2:$F$1000,5,0)</f>
        <v/>
      </c>
      <c r="K1612">
        <f>IF(AND(H1612="Промышленный",LEFT(I1612,18)="Порошок стиральный",F1612="Продажа",B1612=DATE(2023,6,7)),E1612*J1612/1000,0)</f>
        <v/>
      </c>
    </row>
    <row r="1613">
      <c r="A1613" t="n">
        <v>1612</v>
      </c>
      <c r="B1613" s="1" t="n">
        <v>45084</v>
      </c>
      <c r="C1613" s="5" t="inlineStr">
        <is>
          <t>M9</t>
        </is>
      </c>
      <c r="D1613" s="5" t="n">
        <v>28</v>
      </c>
      <c r="E1613" s="5" t="n">
        <v>57</v>
      </c>
      <c r="F1613" t="inlineStr">
        <is>
          <t>Продажа</t>
        </is>
      </c>
      <c r="H1613">
        <f>VLOOKUP(C1613,Магазин!$A$2:$C$1000,2,0)</f>
        <v/>
      </c>
      <c r="I1613">
        <f>VLOOKUP(D1613,Товар!$A$2:$F$1000,3,0)</f>
        <v/>
      </c>
      <c r="J1613">
        <f>VLOOKUP(D1613,Товар!$A$2:$F$1000,5,0)</f>
        <v/>
      </c>
      <c r="K1613">
        <f>IF(AND(H1613="Промышленный",LEFT(I1613,18)="Порошок стиральный",F1613="Продажа",B1613=DATE(2023,6,7)),E1613*J1613/1000,0)</f>
        <v/>
      </c>
    </row>
    <row r="1614">
      <c r="A1614" t="n">
        <v>1613</v>
      </c>
      <c r="B1614" s="1" t="n">
        <v>45084</v>
      </c>
      <c r="C1614" s="5" t="inlineStr">
        <is>
          <t>M9</t>
        </is>
      </c>
      <c r="D1614" s="5" t="n">
        <v>29</v>
      </c>
      <c r="E1614" s="5" t="n">
        <v>47</v>
      </c>
      <c r="F1614" t="inlineStr">
        <is>
          <t>Продажа</t>
        </is>
      </c>
      <c r="H1614">
        <f>VLOOKUP(C1614,Магазин!$A$2:$C$1000,2,0)</f>
        <v/>
      </c>
      <c r="I1614">
        <f>VLOOKUP(D1614,Товар!$A$2:$F$1000,3,0)</f>
        <v/>
      </c>
      <c r="J1614">
        <f>VLOOKUP(D1614,Товар!$A$2:$F$1000,5,0)</f>
        <v/>
      </c>
      <c r="K1614">
        <f>IF(AND(H1614="Промышленный",LEFT(I1614,18)="Порошок стиральный",F1614="Продажа",B1614=DATE(2023,6,7)),E1614*J1614/1000,0)</f>
        <v/>
      </c>
    </row>
    <row r="1615">
      <c r="A1615" t="n">
        <v>1614</v>
      </c>
      <c r="B1615" s="1" t="n">
        <v>45084</v>
      </c>
      <c r="C1615" s="5" t="inlineStr">
        <is>
          <t>M9</t>
        </is>
      </c>
      <c r="D1615" s="5" t="n">
        <v>30</v>
      </c>
      <c r="E1615" s="5" t="n">
        <v>44</v>
      </c>
      <c r="F1615" t="inlineStr">
        <is>
          <t>Продажа</t>
        </is>
      </c>
      <c r="H1615">
        <f>VLOOKUP(C1615,Магазин!$A$2:$C$1000,2,0)</f>
        <v/>
      </c>
      <c r="I1615">
        <f>VLOOKUP(D1615,Товар!$A$2:$F$1000,3,0)</f>
        <v/>
      </c>
      <c r="J1615">
        <f>VLOOKUP(D1615,Товар!$A$2:$F$1000,5,0)</f>
        <v/>
      </c>
      <c r="K1615">
        <f>IF(AND(H1615="Промышленный",LEFT(I1615,18)="Порошок стиральный",F1615="Продажа",B1615=DATE(2023,6,7)),E1615*J1615/1000,0)</f>
        <v/>
      </c>
    </row>
    <row r="1616">
      <c r="A1616" t="n">
        <v>1615</v>
      </c>
      <c r="B1616" s="1" t="n">
        <v>45084</v>
      </c>
      <c r="C1616" s="5" t="inlineStr">
        <is>
          <t>M9</t>
        </is>
      </c>
      <c r="D1616" s="5" t="n">
        <v>31</v>
      </c>
      <c r="E1616" s="5" t="n">
        <v>55</v>
      </c>
      <c r="F1616" t="inlineStr">
        <is>
          <t>Продажа</t>
        </is>
      </c>
      <c r="H1616">
        <f>VLOOKUP(C1616,Магазин!$A$2:$C$1000,2,0)</f>
        <v/>
      </c>
      <c r="I1616">
        <f>VLOOKUP(D1616,Товар!$A$2:$F$1000,3,0)</f>
        <v/>
      </c>
      <c r="J1616">
        <f>VLOOKUP(D1616,Товар!$A$2:$F$1000,5,0)</f>
        <v/>
      </c>
      <c r="K1616">
        <f>IF(AND(H1616="Промышленный",LEFT(I1616,18)="Порошок стиральный",F1616="Продажа",B1616=DATE(2023,6,7)),E1616*J1616/1000,0)</f>
        <v/>
      </c>
    </row>
    <row r="1617">
      <c r="A1617" t="n">
        <v>1616</v>
      </c>
      <c r="B1617" s="1" t="n">
        <v>45084</v>
      </c>
      <c r="C1617" s="5" t="inlineStr">
        <is>
          <t>M9</t>
        </is>
      </c>
      <c r="D1617" s="5" t="n">
        <v>32</v>
      </c>
      <c r="E1617" s="5" t="n">
        <v>66</v>
      </c>
      <c r="F1617" t="inlineStr">
        <is>
          <t>Продажа</t>
        </is>
      </c>
      <c r="H1617">
        <f>VLOOKUP(C1617,Магазин!$A$2:$C$1000,2,0)</f>
        <v/>
      </c>
      <c r="I1617">
        <f>VLOOKUP(D1617,Товар!$A$2:$F$1000,3,0)</f>
        <v/>
      </c>
      <c r="J1617">
        <f>VLOOKUP(D1617,Товар!$A$2:$F$1000,5,0)</f>
        <v/>
      </c>
      <c r="K1617">
        <f>IF(AND(H1617="Промышленный",LEFT(I1617,18)="Порошок стиральный",F1617="Продажа",B1617=DATE(2023,6,7)),E1617*J1617/1000,0)</f>
        <v/>
      </c>
    </row>
    <row r="1618">
      <c r="A1618" t="n">
        <v>1617</v>
      </c>
      <c r="B1618" s="1" t="n">
        <v>45084</v>
      </c>
      <c r="C1618" s="5" t="inlineStr">
        <is>
          <t>M9</t>
        </is>
      </c>
      <c r="D1618" s="5" t="n">
        <v>33</v>
      </c>
      <c r="E1618" s="5" t="n">
        <v>39</v>
      </c>
      <c r="F1618" t="inlineStr">
        <is>
          <t>Продажа</t>
        </is>
      </c>
      <c r="H1618">
        <f>VLOOKUP(C1618,Магазин!$A$2:$C$1000,2,0)</f>
        <v/>
      </c>
      <c r="I1618">
        <f>VLOOKUP(D1618,Товар!$A$2:$F$1000,3,0)</f>
        <v/>
      </c>
      <c r="J1618">
        <f>VLOOKUP(D1618,Товар!$A$2:$F$1000,5,0)</f>
        <v/>
      </c>
      <c r="K1618">
        <f>IF(AND(H1618="Промышленный",LEFT(I1618,18)="Порошок стиральный",F1618="Продажа",B1618=DATE(2023,6,7)),E1618*J1618/1000,0)</f>
        <v/>
      </c>
    </row>
    <row r="1619">
      <c r="A1619" t="n">
        <v>1618</v>
      </c>
      <c r="B1619" s="1" t="n">
        <v>45084</v>
      </c>
      <c r="C1619" s="5" t="inlineStr">
        <is>
          <t>M9</t>
        </is>
      </c>
      <c r="D1619" s="5" t="n">
        <v>34</v>
      </c>
      <c r="E1619" s="5" t="n">
        <v>36</v>
      </c>
      <c r="F1619" t="inlineStr">
        <is>
          <t>Продажа</t>
        </is>
      </c>
      <c r="H1619">
        <f>VLOOKUP(C1619,Магазин!$A$2:$C$1000,2,0)</f>
        <v/>
      </c>
      <c r="I1619">
        <f>VLOOKUP(D1619,Товар!$A$2:$F$1000,3,0)</f>
        <v/>
      </c>
      <c r="J1619">
        <f>VLOOKUP(D1619,Товар!$A$2:$F$1000,5,0)</f>
        <v/>
      </c>
      <c r="K1619">
        <f>IF(AND(H1619="Промышленный",LEFT(I1619,18)="Порошок стиральный",F1619="Продажа",B1619=DATE(2023,6,7)),E1619*J1619/1000,0)</f>
        <v/>
      </c>
    </row>
    <row r="1620">
      <c r="A1620" t="n">
        <v>1619</v>
      </c>
      <c r="B1620" s="1" t="n">
        <v>45084</v>
      </c>
      <c r="C1620" s="5" t="inlineStr">
        <is>
          <t>M9</t>
        </is>
      </c>
      <c r="D1620" s="5" t="n">
        <v>35</v>
      </c>
      <c r="E1620" s="5" t="n">
        <v>42</v>
      </c>
      <c r="F1620" t="inlineStr">
        <is>
          <t>Продажа</t>
        </is>
      </c>
      <c r="H1620">
        <f>VLOOKUP(C1620,Магазин!$A$2:$C$1000,2,0)</f>
        <v/>
      </c>
      <c r="I1620">
        <f>VLOOKUP(D1620,Товар!$A$2:$F$1000,3,0)</f>
        <v/>
      </c>
      <c r="J1620">
        <f>VLOOKUP(D1620,Товар!$A$2:$F$1000,5,0)</f>
        <v/>
      </c>
      <c r="K1620">
        <f>IF(AND(H1620="Промышленный",LEFT(I1620,18)="Порошок стиральный",F1620="Продажа",B1620=DATE(2023,6,7)),E1620*J1620/1000,0)</f>
        <v/>
      </c>
    </row>
    <row r="1621">
      <c r="A1621" t="n">
        <v>1620</v>
      </c>
      <c r="B1621" s="1" t="n">
        <v>45084</v>
      </c>
      <c r="C1621" s="5" t="inlineStr">
        <is>
          <t>M9</t>
        </is>
      </c>
      <c r="D1621" s="5" t="n">
        <v>36</v>
      </c>
      <c r="E1621" s="5" t="n">
        <v>68</v>
      </c>
      <c r="F1621" t="inlineStr">
        <is>
          <t>Продажа</t>
        </is>
      </c>
      <c r="H1621">
        <f>VLOOKUP(C1621,Магазин!$A$2:$C$1000,2,0)</f>
        <v/>
      </c>
      <c r="I1621">
        <f>VLOOKUP(D1621,Товар!$A$2:$F$1000,3,0)</f>
        <v/>
      </c>
      <c r="J1621">
        <f>VLOOKUP(D1621,Товар!$A$2:$F$1000,5,0)</f>
        <v/>
      </c>
      <c r="K1621">
        <f>IF(AND(H1621="Промышленный",LEFT(I1621,18)="Порошок стиральный",F1621="Продажа",B1621=DATE(2023,6,7)),E1621*J1621/1000,0)</f>
        <v/>
      </c>
    </row>
    <row r="1622">
      <c r="A1622" t="n">
        <v>1621</v>
      </c>
      <c r="B1622" s="1" t="n">
        <v>45084</v>
      </c>
      <c r="C1622" s="5" t="inlineStr">
        <is>
          <t>M11</t>
        </is>
      </c>
      <c r="D1622" s="5" t="n">
        <v>1</v>
      </c>
      <c r="E1622" s="5" t="n">
        <v>83</v>
      </c>
      <c r="F1622" t="inlineStr">
        <is>
          <t>Продажа</t>
        </is>
      </c>
      <c r="H1622">
        <f>VLOOKUP(C1622,Магазин!$A$2:$C$1000,2,0)</f>
        <v/>
      </c>
      <c r="I1622">
        <f>VLOOKUP(D1622,Товар!$A$2:$F$1000,3,0)</f>
        <v/>
      </c>
      <c r="J1622">
        <f>VLOOKUP(D1622,Товар!$A$2:$F$1000,5,0)</f>
        <v/>
      </c>
      <c r="K1622">
        <f>IF(AND(H1622="Промышленный",LEFT(I1622,18)="Порошок стиральный",F1622="Продажа",B1622=DATE(2023,6,7)),E1622*J1622/1000,0)</f>
        <v/>
      </c>
    </row>
    <row r="1623">
      <c r="A1623" t="n">
        <v>1622</v>
      </c>
      <c r="B1623" s="1" t="n">
        <v>45084</v>
      </c>
      <c r="C1623" s="5" t="inlineStr">
        <is>
          <t>M11</t>
        </is>
      </c>
      <c r="D1623" s="5" t="n">
        <v>2</v>
      </c>
      <c r="E1623" s="5" t="n">
        <v>85</v>
      </c>
      <c r="F1623" t="inlineStr">
        <is>
          <t>Продажа</t>
        </is>
      </c>
      <c r="H1623">
        <f>VLOOKUP(C1623,Магазин!$A$2:$C$1000,2,0)</f>
        <v/>
      </c>
      <c r="I1623">
        <f>VLOOKUP(D1623,Товар!$A$2:$F$1000,3,0)</f>
        <v/>
      </c>
      <c r="J1623">
        <f>VLOOKUP(D1623,Товар!$A$2:$F$1000,5,0)</f>
        <v/>
      </c>
      <c r="K1623">
        <f>IF(AND(H1623="Промышленный",LEFT(I1623,18)="Порошок стиральный",F1623="Продажа",B1623=DATE(2023,6,7)),E1623*J1623/1000,0)</f>
        <v/>
      </c>
    </row>
    <row r="1624">
      <c r="A1624" t="n">
        <v>1623</v>
      </c>
      <c r="B1624" s="1" t="n">
        <v>45084</v>
      </c>
      <c r="C1624" s="5" t="inlineStr">
        <is>
          <t>M11</t>
        </is>
      </c>
      <c r="D1624" s="5" t="n">
        <v>3</v>
      </c>
      <c r="E1624" s="5" t="n">
        <v>87</v>
      </c>
      <c r="F1624" t="inlineStr">
        <is>
          <t>Продажа</t>
        </is>
      </c>
      <c r="H1624">
        <f>VLOOKUP(C1624,Магазин!$A$2:$C$1000,2,0)</f>
        <v/>
      </c>
      <c r="I1624">
        <f>VLOOKUP(D1624,Товар!$A$2:$F$1000,3,0)</f>
        <v/>
      </c>
      <c r="J1624">
        <f>VLOOKUP(D1624,Товар!$A$2:$F$1000,5,0)</f>
        <v/>
      </c>
      <c r="K1624">
        <f>IF(AND(H1624="Промышленный",LEFT(I1624,18)="Порошок стиральный",F1624="Продажа",B1624=DATE(2023,6,7)),E1624*J1624/1000,0)</f>
        <v/>
      </c>
    </row>
    <row r="1625">
      <c r="A1625" t="n">
        <v>1624</v>
      </c>
      <c r="B1625" s="1" t="n">
        <v>45084</v>
      </c>
      <c r="C1625" s="5" t="inlineStr">
        <is>
          <t>M11</t>
        </is>
      </c>
      <c r="D1625" s="5" t="n">
        <v>4</v>
      </c>
      <c r="E1625" s="5" t="n">
        <v>98</v>
      </c>
      <c r="F1625" t="inlineStr">
        <is>
          <t>Продажа</t>
        </is>
      </c>
      <c r="H1625">
        <f>VLOOKUP(C1625,Магазин!$A$2:$C$1000,2,0)</f>
        <v/>
      </c>
      <c r="I1625">
        <f>VLOOKUP(D1625,Товар!$A$2:$F$1000,3,0)</f>
        <v/>
      </c>
      <c r="J1625">
        <f>VLOOKUP(D1625,Товар!$A$2:$F$1000,5,0)</f>
        <v/>
      </c>
      <c r="K1625">
        <f>IF(AND(H1625="Промышленный",LEFT(I1625,18)="Порошок стиральный",F1625="Продажа",B1625=DATE(2023,6,7)),E1625*J1625/1000,0)</f>
        <v/>
      </c>
    </row>
    <row r="1626">
      <c r="A1626" t="n">
        <v>1625</v>
      </c>
      <c r="B1626" s="1" t="n">
        <v>45084</v>
      </c>
      <c r="C1626" s="5" t="inlineStr">
        <is>
          <t>M11</t>
        </is>
      </c>
      <c r="D1626" s="5" t="n">
        <v>5</v>
      </c>
      <c r="E1626" s="5" t="n">
        <v>95</v>
      </c>
      <c r="F1626" t="inlineStr">
        <is>
          <t>Продажа</t>
        </is>
      </c>
      <c r="H1626">
        <f>VLOOKUP(C1626,Магазин!$A$2:$C$1000,2,0)</f>
        <v/>
      </c>
      <c r="I1626">
        <f>VLOOKUP(D1626,Товар!$A$2:$F$1000,3,0)</f>
        <v/>
      </c>
      <c r="J1626">
        <f>VLOOKUP(D1626,Товар!$A$2:$F$1000,5,0)</f>
        <v/>
      </c>
      <c r="K1626">
        <f>IF(AND(H1626="Промышленный",LEFT(I1626,18)="Порошок стиральный",F1626="Продажа",B1626=DATE(2023,6,7)),E1626*J1626/1000,0)</f>
        <v/>
      </c>
    </row>
    <row r="1627">
      <c r="A1627" t="n">
        <v>1626</v>
      </c>
      <c r="B1627" s="1" t="n">
        <v>45084</v>
      </c>
      <c r="C1627" s="5" t="inlineStr">
        <is>
          <t>M11</t>
        </is>
      </c>
      <c r="D1627" s="5" t="n">
        <v>6</v>
      </c>
      <c r="E1627" s="5" t="n">
        <v>68</v>
      </c>
      <c r="F1627" t="inlineStr">
        <is>
          <t>Продажа</t>
        </is>
      </c>
      <c r="H1627">
        <f>VLOOKUP(C1627,Магазин!$A$2:$C$1000,2,0)</f>
        <v/>
      </c>
      <c r="I1627">
        <f>VLOOKUP(D1627,Товар!$A$2:$F$1000,3,0)</f>
        <v/>
      </c>
      <c r="J1627">
        <f>VLOOKUP(D1627,Товар!$A$2:$F$1000,5,0)</f>
        <v/>
      </c>
      <c r="K1627">
        <f>IF(AND(H1627="Промышленный",LEFT(I1627,18)="Порошок стиральный",F1627="Продажа",B1627=DATE(2023,6,7)),E1627*J1627/1000,0)</f>
        <v/>
      </c>
    </row>
    <row r="1628">
      <c r="A1628" t="n">
        <v>1627</v>
      </c>
      <c r="B1628" s="1" t="n">
        <v>45084</v>
      </c>
      <c r="C1628" s="5" t="inlineStr">
        <is>
          <t>M11</t>
        </is>
      </c>
      <c r="D1628" s="5" t="n">
        <v>7</v>
      </c>
      <c r="E1628" s="5" t="n">
        <v>79</v>
      </c>
      <c r="F1628" t="inlineStr">
        <is>
          <t>Продажа</t>
        </is>
      </c>
      <c r="H1628">
        <f>VLOOKUP(C1628,Магазин!$A$2:$C$1000,2,0)</f>
        <v/>
      </c>
      <c r="I1628">
        <f>VLOOKUP(D1628,Товар!$A$2:$F$1000,3,0)</f>
        <v/>
      </c>
      <c r="J1628">
        <f>VLOOKUP(D1628,Товар!$A$2:$F$1000,5,0)</f>
        <v/>
      </c>
      <c r="K1628">
        <f>IF(AND(H1628="Промышленный",LEFT(I1628,18)="Порошок стиральный",F1628="Продажа",B1628=DATE(2023,6,7)),E1628*J1628/1000,0)</f>
        <v/>
      </c>
    </row>
    <row r="1629">
      <c r="A1629" t="n">
        <v>1628</v>
      </c>
      <c r="B1629" s="1" t="n">
        <v>45084</v>
      </c>
      <c r="C1629" s="5" t="inlineStr">
        <is>
          <t>M11</t>
        </is>
      </c>
      <c r="D1629" s="5" t="n">
        <v>8</v>
      </c>
      <c r="E1629" s="5" t="n">
        <v>97</v>
      </c>
      <c r="F1629" t="inlineStr">
        <is>
          <t>Продажа</t>
        </is>
      </c>
      <c r="H1629">
        <f>VLOOKUP(C1629,Магазин!$A$2:$C$1000,2,0)</f>
        <v/>
      </c>
      <c r="I1629">
        <f>VLOOKUP(D1629,Товар!$A$2:$F$1000,3,0)</f>
        <v/>
      </c>
      <c r="J1629">
        <f>VLOOKUP(D1629,Товар!$A$2:$F$1000,5,0)</f>
        <v/>
      </c>
      <c r="K1629">
        <f>IF(AND(H1629="Промышленный",LEFT(I1629,18)="Порошок стиральный",F1629="Продажа",B1629=DATE(2023,6,7)),E1629*J1629/1000,0)</f>
        <v/>
      </c>
    </row>
    <row r="1630">
      <c r="A1630" t="n">
        <v>1629</v>
      </c>
      <c r="B1630" s="1" t="n">
        <v>45084</v>
      </c>
      <c r="C1630" s="5" t="inlineStr">
        <is>
          <t>M11</t>
        </is>
      </c>
      <c r="D1630" s="5" t="n">
        <v>9</v>
      </c>
      <c r="E1630" s="5" t="n">
        <v>95</v>
      </c>
      <c r="F1630" t="inlineStr">
        <is>
          <t>Продажа</t>
        </is>
      </c>
      <c r="H1630">
        <f>VLOOKUP(C1630,Магазин!$A$2:$C$1000,2,0)</f>
        <v/>
      </c>
      <c r="I1630">
        <f>VLOOKUP(D1630,Товар!$A$2:$F$1000,3,0)</f>
        <v/>
      </c>
      <c r="J1630">
        <f>VLOOKUP(D1630,Товар!$A$2:$F$1000,5,0)</f>
        <v/>
      </c>
      <c r="K1630">
        <f>IF(AND(H1630="Промышленный",LEFT(I1630,18)="Порошок стиральный",F1630="Продажа",B1630=DATE(2023,6,7)),E1630*J1630/1000,0)</f>
        <v/>
      </c>
    </row>
    <row r="1631">
      <c r="A1631" t="n">
        <v>1630</v>
      </c>
      <c r="B1631" s="1" t="n">
        <v>45084</v>
      </c>
      <c r="C1631" s="5" t="inlineStr">
        <is>
          <t>M11</t>
        </is>
      </c>
      <c r="D1631" s="5" t="n">
        <v>10</v>
      </c>
      <c r="E1631" s="5" t="n">
        <v>94</v>
      </c>
      <c r="F1631" t="inlineStr">
        <is>
          <t>Продажа</t>
        </is>
      </c>
      <c r="H1631">
        <f>VLOOKUP(C1631,Магазин!$A$2:$C$1000,2,0)</f>
        <v/>
      </c>
      <c r="I1631">
        <f>VLOOKUP(D1631,Товар!$A$2:$F$1000,3,0)</f>
        <v/>
      </c>
      <c r="J1631">
        <f>VLOOKUP(D1631,Товар!$A$2:$F$1000,5,0)</f>
        <v/>
      </c>
      <c r="K1631">
        <f>IF(AND(H1631="Промышленный",LEFT(I1631,18)="Порошок стиральный",F1631="Продажа",B1631=DATE(2023,6,7)),E1631*J1631/1000,0)</f>
        <v/>
      </c>
    </row>
    <row r="1632">
      <c r="A1632" t="n">
        <v>1631</v>
      </c>
      <c r="B1632" s="1" t="n">
        <v>45084</v>
      </c>
      <c r="C1632" s="5" t="inlineStr">
        <is>
          <t>M11</t>
        </is>
      </c>
      <c r="D1632" s="5" t="n">
        <v>11</v>
      </c>
      <c r="E1632" s="5" t="n">
        <v>86</v>
      </c>
      <c r="F1632" t="inlineStr">
        <is>
          <t>Продажа</t>
        </is>
      </c>
      <c r="H1632">
        <f>VLOOKUP(C1632,Магазин!$A$2:$C$1000,2,0)</f>
        <v/>
      </c>
      <c r="I1632">
        <f>VLOOKUP(D1632,Товар!$A$2:$F$1000,3,0)</f>
        <v/>
      </c>
      <c r="J1632">
        <f>VLOOKUP(D1632,Товар!$A$2:$F$1000,5,0)</f>
        <v/>
      </c>
      <c r="K1632">
        <f>IF(AND(H1632="Промышленный",LEFT(I1632,18)="Порошок стиральный",F1632="Продажа",B1632=DATE(2023,6,7)),E1632*J1632/1000,0)</f>
        <v/>
      </c>
    </row>
    <row r="1633">
      <c r="A1633" t="n">
        <v>1632</v>
      </c>
      <c r="B1633" s="1" t="n">
        <v>45084</v>
      </c>
      <c r="C1633" s="5" t="inlineStr">
        <is>
          <t>M11</t>
        </is>
      </c>
      <c r="D1633" s="5" t="n">
        <v>12</v>
      </c>
      <c r="E1633" s="5" t="n">
        <v>84</v>
      </c>
      <c r="F1633" t="inlineStr">
        <is>
          <t>Продажа</t>
        </is>
      </c>
      <c r="H1633">
        <f>VLOOKUP(C1633,Магазин!$A$2:$C$1000,2,0)</f>
        <v/>
      </c>
      <c r="I1633">
        <f>VLOOKUP(D1633,Товар!$A$2:$F$1000,3,0)</f>
        <v/>
      </c>
      <c r="J1633">
        <f>VLOOKUP(D1633,Товар!$A$2:$F$1000,5,0)</f>
        <v/>
      </c>
      <c r="K1633">
        <f>IF(AND(H1633="Промышленный",LEFT(I1633,18)="Порошок стиральный",F1633="Продажа",B1633=DATE(2023,6,7)),E1633*J1633/1000,0)</f>
        <v/>
      </c>
    </row>
    <row r="1634">
      <c r="A1634" t="n">
        <v>1633</v>
      </c>
      <c r="B1634" s="1" t="n">
        <v>45084</v>
      </c>
      <c r="C1634" s="5" t="inlineStr">
        <is>
          <t>M11</t>
        </is>
      </c>
      <c r="D1634" s="5" t="n">
        <v>13</v>
      </c>
      <c r="E1634" s="5" t="n">
        <v>81</v>
      </c>
      <c r="F1634" t="inlineStr">
        <is>
          <t>Продажа</t>
        </is>
      </c>
      <c r="H1634">
        <f>VLOOKUP(C1634,Магазин!$A$2:$C$1000,2,0)</f>
        <v/>
      </c>
      <c r="I1634">
        <f>VLOOKUP(D1634,Товар!$A$2:$F$1000,3,0)</f>
        <v/>
      </c>
      <c r="J1634">
        <f>VLOOKUP(D1634,Товар!$A$2:$F$1000,5,0)</f>
        <v/>
      </c>
      <c r="K1634">
        <f>IF(AND(H1634="Промышленный",LEFT(I1634,18)="Порошок стиральный",F1634="Продажа",B1634=DATE(2023,6,7)),E1634*J1634/1000,0)</f>
        <v/>
      </c>
    </row>
    <row r="1635">
      <c r="A1635" t="n">
        <v>1634</v>
      </c>
      <c r="B1635" s="1" t="n">
        <v>45084</v>
      </c>
      <c r="C1635" s="5" t="inlineStr">
        <is>
          <t>M11</t>
        </is>
      </c>
      <c r="D1635" s="5" t="n">
        <v>14</v>
      </c>
      <c r="E1635" s="5" t="n">
        <v>83</v>
      </c>
      <c r="F1635" t="inlineStr">
        <is>
          <t>Продажа</t>
        </is>
      </c>
      <c r="H1635">
        <f>VLOOKUP(C1635,Магазин!$A$2:$C$1000,2,0)</f>
        <v/>
      </c>
      <c r="I1635">
        <f>VLOOKUP(D1635,Товар!$A$2:$F$1000,3,0)</f>
        <v/>
      </c>
      <c r="J1635">
        <f>VLOOKUP(D1635,Товар!$A$2:$F$1000,5,0)</f>
        <v/>
      </c>
      <c r="K1635">
        <f>IF(AND(H1635="Промышленный",LEFT(I1635,18)="Порошок стиральный",F1635="Продажа",B1635=DATE(2023,6,7)),E1635*J1635/1000,0)</f>
        <v/>
      </c>
    </row>
    <row r="1636">
      <c r="A1636" t="n">
        <v>1635</v>
      </c>
      <c r="B1636" s="1" t="n">
        <v>45084</v>
      </c>
      <c r="C1636" s="5" t="inlineStr">
        <is>
          <t>M11</t>
        </is>
      </c>
      <c r="D1636" s="5" t="n">
        <v>15</v>
      </c>
      <c r="E1636" s="5" t="n">
        <v>82</v>
      </c>
      <c r="F1636" t="inlineStr">
        <is>
          <t>Продажа</t>
        </is>
      </c>
      <c r="H1636">
        <f>VLOOKUP(C1636,Магазин!$A$2:$C$1000,2,0)</f>
        <v/>
      </c>
      <c r="I1636">
        <f>VLOOKUP(D1636,Товар!$A$2:$F$1000,3,0)</f>
        <v/>
      </c>
      <c r="J1636">
        <f>VLOOKUP(D1636,Товар!$A$2:$F$1000,5,0)</f>
        <v/>
      </c>
      <c r="K1636">
        <f>IF(AND(H1636="Промышленный",LEFT(I1636,18)="Порошок стиральный",F1636="Продажа",B1636=DATE(2023,6,7)),E1636*J1636/1000,0)</f>
        <v/>
      </c>
    </row>
    <row r="1637">
      <c r="A1637" t="n">
        <v>1636</v>
      </c>
      <c r="B1637" s="1" t="n">
        <v>45084</v>
      </c>
      <c r="C1637" s="5" t="inlineStr">
        <is>
          <t>M11</t>
        </is>
      </c>
      <c r="D1637" s="5" t="n">
        <v>16</v>
      </c>
      <c r="E1637" s="5" t="n">
        <v>87</v>
      </c>
      <c r="F1637" t="inlineStr">
        <is>
          <t>Продажа</t>
        </is>
      </c>
      <c r="H1637">
        <f>VLOOKUP(C1637,Магазин!$A$2:$C$1000,2,0)</f>
        <v/>
      </c>
      <c r="I1637">
        <f>VLOOKUP(D1637,Товар!$A$2:$F$1000,3,0)</f>
        <v/>
      </c>
      <c r="J1637">
        <f>VLOOKUP(D1637,Товар!$A$2:$F$1000,5,0)</f>
        <v/>
      </c>
      <c r="K1637">
        <f>IF(AND(H1637="Промышленный",LEFT(I1637,18)="Порошок стиральный",F1637="Продажа",B1637=DATE(2023,6,7)),E1637*J1637/1000,0)</f>
        <v/>
      </c>
    </row>
    <row r="1638">
      <c r="A1638" t="n">
        <v>1637</v>
      </c>
      <c r="B1638" s="1" t="n">
        <v>45084</v>
      </c>
      <c r="C1638" s="5" t="inlineStr">
        <is>
          <t>M11</t>
        </is>
      </c>
      <c r="D1638" s="5" t="n">
        <v>17</v>
      </c>
      <c r="E1638" s="5" t="n">
        <v>94</v>
      </c>
      <c r="F1638" t="inlineStr">
        <is>
          <t>Продажа</t>
        </is>
      </c>
      <c r="H1638">
        <f>VLOOKUP(C1638,Магазин!$A$2:$C$1000,2,0)</f>
        <v/>
      </c>
      <c r="I1638">
        <f>VLOOKUP(D1638,Товар!$A$2:$F$1000,3,0)</f>
        <v/>
      </c>
      <c r="J1638">
        <f>VLOOKUP(D1638,Товар!$A$2:$F$1000,5,0)</f>
        <v/>
      </c>
      <c r="K1638">
        <f>IF(AND(H1638="Промышленный",LEFT(I1638,18)="Порошок стиральный",F1638="Продажа",B1638=DATE(2023,6,7)),E1638*J1638/1000,0)</f>
        <v/>
      </c>
    </row>
    <row r="1639">
      <c r="A1639" t="n">
        <v>1638</v>
      </c>
      <c r="B1639" s="1" t="n">
        <v>45084</v>
      </c>
      <c r="C1639" s="5" t="inlineStr">
        <is>
          <t>M11</t>
        </is>
      </c>
      <c r="D1639" s="5" t="n">
        <v>18</v>
      </c>
      <c r="E1639" s="5" t="n">
        <v>96</v>
      </c>
      <c r="F1639" t="inlineStr">
        <is>
          <t>Продажа</t>
        </is>
      </c>
      <c r="H1639">
        <f>VLOOKUP(C1639,Магазин!$A$2:$C$1000,2,0)</f>
        <v/>
      </c>
      <c r="I1639">
        <f>VLOOKUP(D1639,Товар!$A$2:$F$1000,3,0)</f>
        <v/>
      </c>
      <c r="J1639">
        <f>VLOOKUP(D1639,Товар!$A$2:$F$1000,5,0)</f>
        <v/>
      </c>
      <c r="K1639">
        <f>IF(AND(H1639="Промышленный",LEFT(I1639,18)="Порошок стиральный",F1639="Продажа",B1639=DATE(2023,6,7)),E1639*J1639/1000,0)</f>
        <v/>
      </c>
    </row>
    <row r="1640">
      <c r="A1640" t="n">
        <v>1639</v>
      </c>
      <c r="B1640" s="1" t="n">
        <v>45084</v>
      </c>
      <c r="C1640" s="5" t="inlineStr">
        <is>
          <t>M11</t>
        </is>
      </c>
      <c r="D1640" s="5" t="n">
        <v>19</v>
      </c>
      <c r="E1640" s="5" t="n">
        <v>93</v>
      </c>
      <c r="F1640" t="inlineStr">
        <is>
          <t>Продажа</t>
        </is>
      </c>
      <c r="H1640">
        <f>VLOOKUP(C1640,Магазин!$A$2:$C$1000,2,0)</f>
        <v/>
      </c>
      <c r="I1640">
        <f>VLOOKUP(D1640,Товар!$A$2:$F$1000,3,0)</f>
        <v/>
      </c>
      <c r="J1640">
        <f>VLOOKUP(D1640,Товар!$A$2:$F$1000,5,0)</f>
        <v/>
      </c>
      <c r="K1640">
        <f>IF(AND(H1640="Промышленный",LEFT(I1640,18)="Порошок стиральный",F1640="Продажа",B1640=DATE(2023,6,7)),E1640*J1640/1000,0)</f>
        <v/>
      </c>
    </row>
    <row r="1641">
      <c r="A1641" t="n">
        <v>1640</v>
      </c>
      <c r="B1641" s="1" t="n">
        <v>45084</v>
      </c>
      <c r="C1641" s="5" t="inlineStr">
        <is>
          <t>M11</t>
        </is>
      </c>
      <c r="D1641" s="5" t="n">
        <v>20</v>
      </c>
      <c r="E1641" s="5" t="n">
        <v>91</v>
      </c>
      <c r="F1641" t="inlineStr">
        <is>
          <t>Продажа</t>
        </is>
      </c>
      <c r="H1641">
        <f>VLOOKUP(C1641,Магазин!$A$2:$C$1000,2,0)</f>
        <v/>
      </c>
      <c r="I1641">
        <f>VLOOKUP(D1641,Товар!$A$2:$F$1000,3,0)</f>
        <v/>
      </c>
      <c r="J1641">
        <f>VLOOKUP(D1641,Товар!$A$2:$F$1000,5,0)</f>
        <v/>
      </c>
      <c r="K1641">
        <f>IF(AND(H1641="Промышленный",LEFT(I1641,18)="Порошок стиральный",F1641="Продажа",B1641=DATE(2023,6,7)),E1641*J1641/1000,0)</f>
        <v/>
      </c>
    </row>
    <row r="1642">
      <c r="A1642" t="n">
        <v>1641</v>
      </c>
      <c r="B1642" s="1" t="n">
        <v>45084</v>
      </c>
      <c r="C1642" s="5" t="inlineStr">
        <is>
          <t>M11</t>
        </is>
      </c>
      <c r="D1642" s="5" t="n">
        <v>21</v>
      </c>
      <c r="E1642" s="5" t="n">
        <v>73</v>
      </c>
      <c r="F1642" t="inlineStr">
        <is>
          <t>Продажа</t>
        </is>
      </c>
      <c r="H1642">
        <f>VLOOKUP(C1642,Магазин!$A$2:$C$1000,2,0)</f>
        <v/>
      </c>
      <c r="I1642">
        <f>VLOOKUP(D1642,Товар!$A$2:$F$1000,3,0)</f>
        <v/>
      </c>
      <c r="J1642">
        <f>VLOOKUP(D1642,Товар!$A$2:$F$1000,5,0)</f>
        <v/>
      </c>
      <c r="K1642">
        <f>IF(AND(H1642="Промышленный",LEFT(I1642,18)="Порошок стиральный",F1642="Продажа",B1642=DATE(2023,6,7)),E1642*J1642/1000,0)</f>
        <v/>
      </c>
    </row>
    <row r="1643">
      <c r="A1643" t="n">
        <v>1642</v>
      </c>
      <c r="B1643" s="1" t="n">
        <v>45084</v>
      </c>
      <c r="C1643" s="5" t="inlineStr">
        <is>
          <t>M11</t>
        </is>
      </c>
      <c r="D1643" s="5" t="n">
        <v>22</v>
      </c>
      <c r="E1643" s="5" t="n">
        <v>94</v>
      </c>
      <c r="F1643" t="inlineStr">
        <is>
          <t>Продажа</t>
        </is>
      </c>
      <c r="H1643">
        <f>VLOOKUP(C1643,Магазин!$A$2:$C$1000,2,0)</f>
        <v/>
      </c>
      <c r="I1643">
        <f>VLOOKUP(D1643,Товар!$A$2:$F$1000,3,0)</f>
        <v/>
      </c>
      <c r="J1643">
        <f>VLOOKUP(D1643,Товар!$A$2:$F$1000,5,0)</f>
        <v/>
      </c>
      <c r="K1643">
        <f>IF(AND(H1643="Промышленный",LEFT(I1643,18)="Порошок стиральный",F1643="Продажа",B1643=DATE(2023,6,7)),E1643*J1643/1000,0)</f>
        <v/>
      </c>
    </row>
    <row r="1644">
      <c r="A1644" t="n">
        <v>1643</v>
      </c>
      <c r="B1644" s="1" t="n">
        <v>45084</v>
      </c>
      <c r="C1644" s="5" t="inlineStr">
        <is>
          <t>M11</t>
        </is>
      </c>
      <c r="D1644" s="5" t="n">
        <v>23</v>
      </c>
      <c r="E1644" s="5" t="n">
        <v>96</v>
      </c>
      <c r="F1644" t="inlineStr">
        <is>
          <t>Продажа</t>
        </is>
      </c>
      <c r="H1644">
        <f>VLOOKUP(C1644,Магазин!$A$2:$C$1000,2,0)</f>
        <v/>
      </c>
      <c r="I1644">
        <f>VLOOKUP(D1644,Товар!$A$2:$F$1000,3,0)</f>
        <v/>
      </c>
      <c r="J1644">
        <f>VLOOKUP(D1644,Товар!$A$2:$F$1000,5,0)</f>
        <v/>
      </c>
      <c r="K1644">
        <f>IF(AND(H1644="Промышленный",LEFT(I1644,18)="Порошок стиральный",F1644="Продажа",B1644=DATE(2023,6,7)),E1644*J1644/1000,0)</f>
        <v/>
      </c>
    </row>
    <row r="1645">
      <c r="A1645" t="n">
        <v>1644</v>
      </c>
      <c r="B1645" s="1" t="n">
        <v>45084</v>
      </c>
      <c r="C1645" s="5" t="inlineStr">
        <is>
          <t>M11</t>
        </is>
      </c>
      <c r="D1645" s="5" t="n">
        <v>24</v>
      </c>
      <c r="E1645" s="5" t="n">
        <v>95</v>
      </c>
      <c r="F1645" t="inlineStr">
        <is>
          <t>Продажа</t>
        </is>
      </c>
      <c r="H1645">
        <f>VLOOKUP(C1645,Магазин!$A$2:$C$1000,2,0)</f>
        <v/>
      </c>
      <c r="I1645">
        <f>VLOOKUP(D1645,Товар!$A$2:$F$1000,3,0)</f>
        <v/>
      </c>
      <c r="J1645">
        <f>VLOOKUP(D1645,Товар!$A$2:$F$1000,5,0)</f>
        <v/>
      </c>
      <c r="K1645">
        <f>IF(AND(H1645="Промышленный",LEFT(I1645,18)="Порошок стиральный",F1645="Продажа",B1645=DATE(2023,6,7)),E1645*J1645/1000,0)</f>
        <v/>
      </c>
    </row>
    <row r="1646">
      <c r="A1646" t="n">
        <v>1645</v>
      </c>
      <c r="B1646" s="1" t="n">
        <v>45084</v>
      </c>
      <c r="C1646" s="5" t="inlineStr">
        <is>
          <t>M11</t>
        </is>
      </c>
      <c r="D1646" s="5" t="n">
        <v>25</v>
      </c>
      <c r="E1646" s="5" t="n">
        <v>97</v>
      </c>
      <c r="F1646" t="inlineStr">
        <is>
          <t>Продажа</t>
        </is>
      </c>
      <c r="H1646">
        <f>VLOOKUP(C1646,Магазин!$A$2:$C$1000,2,0)</f>
        <v/>
      </c>
      <c r="I1646">
        <f>VLOOKUP(D1646,Товар!$A$2:$F$1000,3,0)</f>
        <v/>
      </c>
      <c r="J1646">
        <f>VLOOKUP(D1646,Товар!$A$2:$F$1000,5,0)</f>
        <v/>
      </c>
      <c r="K1646">
        <f>IF(AND(H1646="Промышленный",LEFT(I1646,18)="Порошок стиральный",F1646="Продажа",B1646=DATE(2023,6,7)),E1646*J1646/1000,0)</f>
        <v/>
      </c>
    </row>
    <row r="1647">
      <c r="A1647" t="n">
        <v>1646</v>
      </c>
      <c r="B1647" s="1" t="n">
        <v>45084</v>
      </c>
      <c r="C1647" s="5" t="inlineStr">
        <is>
          <t>M11</t>
        </is>
      </c>
      <c r="D1647" s="5" t="n">
        <v>26</v>
      </c>
      <c r="E1647" s="5" t="n">
        <v>84</v>
      </c>
      <c r="F1647" t="inlineStr">
        <is>
          <t>Продажа</t>
        </is>
      </c>
      <c r="H1647">
        <f>VLOOKUP(C1647,Магазин!$A$2:$C$1000,2,0)</f>
        <v/>
      </c>
      <c r="I1647">
        <f>VLOOKUP(D1647,Товар!$A$2:$F$1000,3,0)</f>
        <v/>
      </c>
      <c r="J1647">
        <f>VLOOKUP(D1647,Товар!$A$2:$F$1000,5,0)</f>
        <v/>
      </c>
      <c r="K1647">
        <f>IF(AND(H1647="Промышленный",LEFT(I1647,18)="Порошок стиральный",F1647="Продажа",B1647=DATE(2023,6,7)),E1647*J1647/1000,0)</f>
        <v/>
      </c>
    </row>
    <row r="1648">
      <c r="A1648" t="n">
        <v>1647</v>
      </c>
      <c r="B1648" s="1" t="n">
        <v>45084</v>
      </c>
      <c r="C1648" s="5" t="inlineStr">
        <is>
          <t>M11</t>
        </is>
      </c>
      <c r="D1648" s="5" t="n">
        <v>27</v>
      </c>
      <c r="E1648" s="5" t="n">
        <v>83</v>
      </c>
      <c r="F1648" t="inlineStr">
        <is>
          <t>Продажа</t>
        </is>
      </c>
      <c r="H1648">
        <f>VLOOKUP(C1648,Магазин!$A$2:$C$1000,2,0)</f>
        <v/>
      </c>
      <c r="I1648">
        <f>VLOOKUP(D1648,Товар!$A$2:$F$1000,3,0)</f>
        <v/>
      </c>
      <c r="J1648">
        <f>VLOOKUP(D1648,Товар!$A$2:$F$1000,5,0)</f>
        <v/>
      </c>
      <c r="K1648">
        <f>IF(AND(H1648="Промышленный",LEFT(I1648,18)="Порошок стиральный",F1648="Продажа",B1648=DATE(2023,6,7)),E1648*J1648/1000,0)</f>
        <v/>
      </c>
    </row>
    <row r="1649">
      <c r="A1649" t="n">
        <v>1648</v>
      </c>
      <c r="B1649" s="1" t="n">
        <v>45084</v>
      </c>
      <c r="C1649" s="5" t="inlineStr">
        <is>
          <t>M11</t>
        </is>
      </c>
      <c r="D1649" s="5" t="n">
        <v>28</v>
      </c>
      <c r="E1649" s="5" t="n">
        <v>81</v>
      </c>
      <c r="F1649" t="inlineStr">
        <is>
          <t>Продажа</t>
        </is>
      </c>
      <c r="H1649">
        <f>VLOOKUP(C1649,Магазин!$A$2:$C$1000,2,0)</f>
        <v/>
      </c>
      <c r="I1649">
        <f>VLOOKUP(D1649,Товар!$A$2:$F$1000,3,0)</f>
        <v/>
      </c>
      <c r="J1649">
        <f>VLOOKUP(D1649,Товар!$A$2:$F$1000,5,0)</f>
        <v/>
      </c>
      <c r="K1649">
        <f>IF(AND(H1649="Промышленный",LEFT(I1649,18)="Порошок стиральный",F1649="Продажа",B1649=DATE(2023,6,7)),E1649*J1649/1000,0)</f>
        <v/>
      </c>
    </row>
    <row r="1650">
      <c r="A1650" t="n">
        <v>1649</v>
      </c>
      <c r="B1650" s="1" t="n">
        <v>45084</v>
      </c>
      <c r="C1650" s="5" t="inlineStr">
        <is>
          <t>M11</t>
        </is>
      </c>
      <c r="D1650" s="5" t="n">
        <v>29</v>
      </c>
      <c r="E1650" s="5" t="n">
        <v>87</v>
      </c>
      <c r="F1650" t="inlineStr">
        <is>
          <t>Продажа</t>
        </is>
      </c>
      <c r="H1650">
        <f>VLOOKUP(C1650,Магазин!$A$2:$C$1000,2,0)</f>
        <v/>
      </c>
      <c r="I1650">
        <f>VLOOKUP(D1650,Товар!$A$2:$F$1000,3,0)</f>
        <v/>
      </c>
      <c r="J1650">
        <f>VLOOKUP(D1650,Товар!$A$2:$F$1000,5,0)</f>
        <v/>
      </c>
      <c r="K1650">
        <f>IF(AND(H1650="Промышленный",LEFT(I1650,18)="Порошок стиральный",F1650="Продажа",B1650=DATE(2023,6,7)),E1650*J1650/1000,0)</f>
        <v/>
      </c>
    </row>
    <row r="1651">
      <c r="A1651" t="n">
        <v>1650</v>
      </c>
      <c r="B1651" s="1" t="n">
        <v>45084</v>
      </c>
      <c r="C1651" s="5" t="inlineStr">
        <is>
          <t>M11</t>
        </is>
      </c>
      <c r="D1651" s="5" t="n">
        <v>30</v>
      </c>
      <c r="E1651" s="5" t="n">
        <v>73</v>
      </c>
      <c r="F1651" t="inlineStr">
        <is>
          <t>Продажа</t>
        </is>
      </c>
      <c r="H1651">
        <f>VLOOKUP(C1651,Магазин!$A$2:$C$1000,2,0)</f>
        <v/>
      </c>
      <c r="I1651">
        <f>VLOOKUP(D1651,Товар!$A$2:$F$1000,3,0)</f>
        <v/>
      </c>
      <c r="J1651">
        <f>VLOOKUP(D1651,Товар!$A$2:$F$1000,5,0)</f>
        <v/>
      </c>
      <c r="K1651">
        <f>IF(AND(H1651="Промышленный",LEFT(I1651,18)="Порошок стиральный",F1651="Продажа",B1651=DATE(2023,6,7)),E1651*J1651/1000,0)</f>
        <v/>
      </c>
    </row>
    <row r="1652">
      <c r="A1652" t="n">
        <v>1651</v>
      </c>
      <c r="B1652" s="1" t="n">
        <v>45084</v>
      </c>
      <c r="C1652" s="5" t="inlineStr">
        <is>
          <t>M11</t>
        </is>
      </c>
      <c r="D1652" s="5" t="n">
        <v>31</v>
      </c>
      <c r="E1652" s="5" t="n">
        <v>71</v>
      </c>
      <c r="F1652" t="inlineStr">
        <is>
          <t>Продажа</t>
        </is>
      </c>
      <c r="H1652">
        <f>VLOOKUP(C1652,Магазин!$A$2:$C$1000,2,0)</f>
        <v/>
      </c>
      <c r="I1652">
        <f>VLOOKUP(D1652,Товар!$A$2:$F$1000,3,0)</f>
        <v/>
      </c>
      <c r="J1652">
        <f>VLOOKUP(D1652,Товар!$A$2:$F$1000,5,0)</f>
        <v/>
      </c>
      <c r="K1652">
        <f>IF(AND(H1652="Промышленный",LEFT(I1652,18)="Порошок стиральный",F1652="Продажа",B1652=DATE(2023,6,7)),E1652*J1652/1000,0)</f>
        <v/>
      </c>
    </row>
    <row r="1653">
      <c r="A1653" t="n">
        <v>1652</v>
      </c>
      <c r="B1653" s="1" t="n">
        <v>45084</v>
      </c>
      <c r="C1653" s="5" t="inlineStr">
        <is>
          <t>M11</t>
        </is>
      </c>
      <c r="D1653" s="5" t="n">
        <v>32</v>
      </c>
      <c r="E1653" s="5" t="n">
        <v>85</v>
      </c>
      <c r="F1653" t="inlineStr">
        <is>
          <t>Продажа</t>
        </is>
      </c>
      <c r="H1653">
        <f>VLOOKUP(C1653,Магазин!$A$2:$C$1000,2,0)</f>
        <v/>
      </c>
      <c r="I1653">
        <f>VLOOKUP(D1653,Товар!$A$2:$F$1000,3,0)</f>
        <v/>
      </c>
      <c r="J1653">
        <f>VLOOKUP(D1653,Товар!$A$2:$F$1000,5,0)</f>
        <v/>
      </c>
      <c r="K1653">
        <f>IF(AND(H1653="Промышленный",LEFT(I1653,18)="Порошок стиральный",F1653="Продажа",B1653=DATE(2023,6,7)),E1653*J1653/1000,0)</f>
        <v/>
      </c>
    </row>
    <row r="1654">
      <c r="A1654" t="n">
        <v>1653</v>
      </c>
      <c r="B1654" s="1" t="n">
        <v>45084</v>
      </c>
      <c r="C1654" s="5" t="inlineStr">
        <is>
          <t>M11</t>
        </is>
      </c>
      <c r="D1654" s="5" t="n">
        <v>33</v>
      </c>
      <c r="E1654" s="5" t="n">
        <v>67</v>
      </c>
      <c r="F1654" t="inlineStr">
        <is>
          <t>Продажа</t>
        </is>
      </c>
      <c r="H1654">
        <f>VLOOKUP(C1654,Магазин!$A$2:$C$1000,2,0)</f>
        <v/>
      </c>
      <c r="I1654">
        <f>VLOOKUP(D1654,Товар!$A$2:$F$1000,3,0)</f>
        <v/>
      </c>
      <c r="J1654">
        <f>VLOOKUP(D1654,Товар!$A$2:$F$1000,5,0)</f>
        <v/>
      </c>
      <c r="K1654">
        <f>IF(AND(H1654="Промышленный",LEFT(I1654,18)="Порошок стиральный",F1654="Продажа",B1654=DATE(2023,6,7)),E1654*J1654/1000,0)</f>
        <v/>
      </c>
    </row>
    <row r="1655">
      <c r="A1655" t="n">
        <v>1654</v>
      </c>
      <c r="B1655" s="1" t="n">
        <v>45084</v>
      </c>
      <c r="C1655" s="5" t="inlineStr">
        <is>
          <t>M11</t>
        </is>
      </c>
      <c r="D1655" s="5" t="n">
        <v>34</v>
      </c>
      <c r="E1655" s="5" t="n">
        <v>85</v>
      </c>
      <c r="F1655" t="inlineStr">
        <is>
          <t>Продажа</t>
        </is>
      </c>
      <c r="H1655">
        <f>VLOOKUP(C1655,Магазин!$A$2:$C$1000,2,0)</f>
        <v/>
      </c>
      <c r="I1655">
        <f>VLOOKUP(D1655,Товар!$A$2:$F$1000,3,0)</f>
        <v/>
      </c>
      <c r="J1655">
        <f>VLOOKUP(D1655,Товар!$A$2:$F$1000,5,0)</f>
        <v/>
      </c>
      <c r="K1655">
        <f>IF(AND(H1655="Промышленный",LEFT(I1655,18)="Порошок стиральный",F1655="Продажа",B1655=DATE(2023,6,7)),E1655*J1655/1000,0)</f>
        <v/>
      </c>
    </row>
    <row r="1656">
      <c r="A1656" t="n">
        <v>1655</v>
      </c>
      <c r="B1656" s="1" t="n">
        <v>45084</v>
      </c>
      <c r="C1656" s="5" t="inlineStr">
        <is>
          <t>M11</t>
        </is>
      </c>
      <c r="D1656" s="5" t="n">
        <v>35</v>
      </c>
      <c r="E1656" s="5" t="n">
        <v>83</v>
      </c>
      <c r="F1656" t="inlineStr">
        <is>
          <t>Продажа</t>
        </is>
      </c>
      <c r="H1656">
        <f>VLOOKUP(C1656,Магазин!$A$2:$C$1000,2,0)</f>
        <v/>
      </c>
      <c r="I1656">
        <f>VLOOKUP(D1656,Товар!$A$2:$F$1000,3,0)</f>
        <v/>
      </c>
      <c r="J1656">
        <f>VLOOKUP(D1656,Товар!$A$2:$F$1000,5,0)</f>
        <v/>
      </c>
      <c r="K1656">
        <f>IF(AND(H1656="Промышленный",LEFT(I1656,18)="Порошок стиральный",F1656="Продажа",B1656=DATE(2023,6,7)),E1656*J1656/1000,0)</f>
        <v/>
      </c>
    </row>
    <row r="1657">
      <c r="A1657" t="n">
        <v>1656</v>
      </c>
      <c r="B1657" s="1" t="n">
        <v>45084</v>
      </c>
      <c r="C1657" s="5" t="inlineStr">
        <is>
          <t>M11</t>
        </is>
      </c>
      <c r="D1657" s="5" t="n">
        <v>36</v>
      </c>
      <c r="E1657" s="5" t="n">
        <v>89</v>
      </c>
      <c r="F1657" t="inlineStr">
        <is>
          <t>Продажа</t>
        </is>
      </c>
      <c r="H1657">
        <f>VLOOKUP(C1657,Магазин!$A$2:$C$1000,2,0)</f>
        <v/>
      </c>
      <c r="I1657">
        <f>VLOOKUP(D1657,Товар!$A$2:$F$1000,3,0)</f>
        <v/>
      </c>
      <c r="J1657">
        <f>VLOOKUP(D1657,Товар!$A$2:$F$1000,5,0)</f>
        <v/>
      </c>
      <c r="K1657">
        <f>IF(AND(H1657="Промышленный",LEFT(I1657,18)="Порошок стиральный",F1657="Продажа",B1657=DATE(2023,6,7)),E1657*J1657/1000,0)</f>
        <v/>
      </c>
    </row>
    <row r="1658">
      <c r="A1658" t="n">
        <v>1657</v>
      </c>
      <c r="B1658" s="1" t="n">
        <v>45084</v>
      </c>
      <c r="C1658" s="5" t="inlineStr">
        <is>
          <t>M14</t>
        </is>
      </c>
      <c r="D1658" s="5" t="n">
        <v>1</v>
      </c>
      <c r="E1658" s="5" t="n">
        <v>94</v>
      </c>
      <c r="F1658" t="inlineStr">
        <is>
          <t>Продажа</t>
        </is>
      </c>
      <c r="H1658">
        <f>VLOOKUP(C1658,Магазин!$A$2:$C$1000,2,0)</f>
        <v/>
      </c>
      <c r="I1658">
        <f>VLOOKUP(D1658,Товар!$A$2:$F$1000,3,0)</f>
        <v/>
      </c>
      <c r="J1658">
        <f>VLOOKUP(D1658,Товар!$A$2:$F$1000,5,0)</f>
        <v/>
      </c>
      <c r="K1658">
        <f>IF(AND(H1658="Промышленный",LEFT(I1658,18)="Порошок стиральный",F1658="Продажа",B1658=DATE(2023,6,7)),E1658*J1658/1000,0)</f>
        <v/>
      </c>
    </row>
    <row r="1659">
      <c r="A1659" t="n">
        <v>1658</v>
      </c>
      <c r="B1659" s="1" t="n">
        <v>45084</v>
      </c>
      <c r="C1659" s="5" t="inlineStr">
        <is>
          <t>M14</t>
        </is>
      </c>
      <c r="D1659" s="5" t="n">
        <v>2</v>
      </c>
      <c r="E1659" s="5" t="n">
        <v>95</v>
      </c>
      <c r="F1659" t="inlineStr">
        <is>
          <t>Продажа</t>
        </is>
      </c>
      <c r="H1659">
        <f>VLOOKUP(C1659,Магазин!$A$2:$C$1000,2,0)</f>
        <v/>
      </c>
      <c r="I1659">
        <f>VLOOKUP(D1659,Товар!$A$2:$F$1000,3,0)</f>
        <v/>
      </c>
      <c r="J1659">
        <f>VLOOKUP(D1659,Товар!$A$2:$F$1000,5,0)</f>
        <v/>
      </c>
      <c r="K1659">
        <f>IF(AND(H1659="Промышленный",LEFT(I1659,18)="Порошок стиральный",F1659="Продажа",B1659=DATE(2023,6,7)),E1659*J1659/1000,0)</f>
        <v/>
      </c>
    </row>
    <row r="1660">
      <c r="A1660" t="n">
        <v>1659</v>
      </c>
      <c r="B1660" s="1" t="n">
        <v>45084</v>
      </c>
      <c r="C1660" s="5" t="inlineStr">
        <is>
          <t>M14</t>
        </is>
      </c>
      <c r="D1660" s="5" t="n">
        <v>3</v>
      </c>
      <c r="E1660" s="5" t="n">
        <v>92</v>
      </c>
      <c r="F1660" t="inlineStr">
        <is>
          <t>Продажа</t>
        </is>
      </c>
      <c r="H1660">
        <f>VLOOKUP(C1660,Магазин!$A$2:$C$1000,2,0)</f>
        <v/>
      </c>
      <c r="I1660">
        <f>VLOOKUP(D1660,Товар!$A$2:$F$1000,3,0)</f>
        <v/>
      </c>
      <c r="J1660">
        <f>VLOOKUP(D1660,Товар!$A$2:$F$1000,5,0)</f>
        <v/>
      </c>
      <c r="K1660">
        <f>IF(AND(H1660="Промышленный",LEFT(I1660,18)="Порошок стиральный",F1660="Продажа",B1660=DATE(2023,6,7)),E1660*J1660/1000,0)</f>
        <v/>
      </c>
    </row>
    <row r="1661">
      <c r="A1661" t="n">
        <v>1660</v>
      </c>
      <c r="B1661" s="1" t="n">
        <v>45084</v>
      </c>
      <c r="C1661" s="5" t="inlineStr">
        <is>
          <t>M14</t>
        </is>
      </c>
      <c r="D1661" s="5" t="n">
        <v>4</v>
      </c>
      <c r="E1661" s="5" t="n">
        <v>42</v>
      </c>
      <c r="F1661" t="inlineStr">
        <is>
          <t>Продажа</t>
        </is>
      </c>
      <c r="H1661">
        <f>VLOOKUP(C1661,Магазин!$A$2:$C$1000,2,0)</f>
        <v/>
      </c>
      <c r="I1661">
        <f>VLOOKUP(D1661,Товар!$A$2:$F$1000,3,0)</f>
        <v/>
      </c>
      <c r="J1661">
        <f>VLOOKUP(D1661,Товар!$A$2:$F$1000,5,0)</f>
        <v/>
      </c>
      <c r="K1661">
        <f>IF(AND(H1661="Промышленный",LEFT(I1661,18)="Порошок стиральный",F1661="Продажа",B1661=DATE(2023,6,7)),E1661*J1661/1000,0)</f>
        <v/>
      </c>
    </row>
    <row r="1662">
      <c r="A1662" t="n">
        <v>1661</v>
      </c>
      <c r="B1662" s="1" t="n">
        <v>45084</v>
      </c>
      <c r="C1662" s="5" t="inlineStr">
        <is>
          <t>M14</t>
        </is>
      </c>
      <c r="D1662" s="5" t="n">
        <v>5</v>
      </c>
      <c r="E1662" s="5" t="n">
        <v>56</v>
      </c>
      <c r="F1662" t="inlineStr">
        <is>
          <t>Продажа</t>
        </is>
      </c>
      <c r="H1662">
        <f>VLOOKUP(C1662,Магазин!$A$2:$C$1000,2,0)</f>
        <v/>
      </c>
      <c r="I1662">
        <f>VLOOKUP(D1662,Товар!$A$2:$F$1000,3,0)</f>
        <v/>
      </c>
      <c r="J1662">
        <f>VLOOKUP(D1662,Товар!$A$2:$F$1000,5,0)</f>
        <v/>
      </c>
      <c r="K1662">
        <f>IF(AND(H1662="Промышленный",LEFT(I1662,18)="Порошок стиральный",F1662="Продажа",B1662=DATE(2023,6,7)),E1662*J1662/1000,0)</f>
        <v/>
      </c>
    </row>
    <row r="1663">
      <c r="A1663" t="n">
        <v>1662</v>
      </c>
      <c r="B1663" s="1" t="n">
        <v>45084</v>
      </c>
      <c r="C1663" s="5" t="inlineStr">
        <is>
          <t>M14</t>
        </is>
      </c>
      <c r="D1663" s="5" t="n">
        <v>6</v>
      </c>
      <c r="E1663" s="5" t="n">
        <v>75</v>
      </c>
      <c r="F1663" t="inlineStr">
        <is>
          <t>Продажа</t>
        </is>
      </c>
      <c r="H1663">
        <f>VLOOKUP(C1663,Магазин!$A$2:$C$1000,2,0)</f>
        <v/>
      </c>
      <c r="I1663">
        <f>VLOOKUP(D1663,Товар!$A$2:$F$1000,3,0)</f>
        <v/>
      </c>
      <c r="J1663">
        <f>VLOOKUP(D1663,Товар!$A$2:$F$1000,5,0)</f>
        <v/>
      </c>
      <c r="K1663">
        <f>IF(AND(H1663="Промышленный",LEFT(I1663,18)="Порошок стиральный",F1663="Продажа",B1663=DATE(2023,6,7)),E1663*J1663/1000,0)</f>
        <v/>
      </c>
    </row>
    <row r="1664">
      <c r="A1664" t="n">
        <v>1663</v>
      </c>
      <c r="B1664" s="1" t="n">
        <v>45084</v>
      </c>
      <c r="C1664" s="5" t="inlineStr">
        <is>
          <t>M14</t>
        </is>
      </c>
      <c r="D1664" s="5" t="n">
        <v>7</v>
      </c>
      <c r="E1664" s="5" t="n">
        <v>64</v>
      </c>
      <c r="F1664" t="inlineStr">
        <is>
          <t>Продажа</t>
        </is>
      </c>
      <c r="H1664">
        <f>VLOOKUP(C1664,Магазин!$A$2:$C$1000,2,0)</f>
        <v/>
      </c>
      <c r="I1664">
        <f>VLOOKUP(D1664,Товар!$A$2:$F$1000,3,0)</f>
        <v/>
      </c>
      <c r="J1664">
        <f>VLOOKUP(D1664,Товар!$A$2:$F$1000,5,0)</f>
        <v/>
      </c>
      <c r="K1664">
        <f>IF(AND(H1664="Промышленный",LEFT(I1664,18)="Порошок стиральный",F1664="Продажа",B1664=DATE(2023,6,7)),E1664*J1664/1000,0)</f>
        <v/>
      </c>
    </row>
    <row r="1665">
      <c r="A1665" t="n">
        <v>1664</v>
      </c>
      <c r="B1665" s="1" t="n">
        <v>45084</v>
      </c>
      <c r="C1665" s="5" t="inlineStr">
        <is>
          <t>M14</t>
        </is>
      </c>
      <c r="D1665" s="5" t="n">
        <v>8</v>
      </c>
      <c r="E1665" s="5" t="n">
        <v>36</v>
      </c>
      <c r="F1665" t="inlineStr">
        <is>
          <t>Продажа</t>
        </is>
      </c>
      <c r="H1665">
        <f>VLOOKUP(C1665,Магазин!$A$2:$C$1000,2,0)</f>
        <v/>
      </c>
      <c r="I1665">
        <f>VLOOKUP(D1665,Товар!$A$2:$F$1000,3,0)</f>
        <v/>
      </c>
      <c r="J1665">
        <f>VLOOKUP(D1665,Товар!$A$2:$F$1000,5,0)</f>
        <v/>
      </c>
      <c r="K1665">
        <f>IF(AND(H1665="Промышленный",LEFT(I1665,18)="Порошок стиральный",F1665="Продажа",B1665=DATE(2023,6,7)),E1665*J1665/1000,0)</f>
        <v/>
      </c>
    </row>
    <row r="1666">
      <c r="A1666" t="n">
        <v>1665</v>
      </c>
      <c r="B1666" s="1" t="n">
        <v>45084</v>
      </c>
      <c r="C1666" s="5" t="inlineStr">
        <is>
          <t>M14</t>
        </is>
      </c>
      <c r="D1666" s="5" t="n">
        <v>9</v>
      </c>
      <c r="E1666" s="5" t="n">
        <v>48</v>
      </c>
      <c r="F1666" t="inlineStr">
        <is>
          <t>Продажа</t>
        </is>
      </c>
      <c r="H1666">
        <f>VLOOKUP(C1666,Магазин!$A$2:$C$1000,2,0)</f>
        <v/>
      </c>
      <c r="I1666">
        <f>VLOOKUP(D1666,Товар!$A$2:$F$1000,3,0)</f>
        <v/>
      </c>
      <c r="J1666">
        <f>VLOOKUP(D1666,Товар!$A$2:$F$1000,5,0)</f>
        <v/>
      </c>
      <c r="K1666">
        <f>IF(AND(H1666="Промышленный",LEFT(I1666,18)="Порошок стиральный",F1666="Продажа",B1666=DATE(2023,6,7)),E1666*J1666/1000,0)</f>
        <v/>
      </c>
    </row>
    <row r="1667">
      <c r="A1667" t="n">
        <v>1666</v>
      </c>
      <c r="B1667" s="1" t="n">
        <v>45084</v>
      </c>
      <c r="C1667" s="5" t="inlineStr">
        <is>
          <t>M14</t>
        </is>
      </c>
      <c r="D1667" s="5" t="n">
        <v>10</v>
      </c>
      <c r="E1667" s="5" t="n">
        <v>29</v>
      </c>
      <c r="F1667" t="inlineStr">
        <is>
          <t>Продажа</t>
        </is>
      </c>
      <c r="H1667">
        <f>VLOOKUP(C1667,Магазин!$A$2:$C$1000,2,0)</f>
        <v/>
      </c>
      <c r="I1667">
        <f>VLOOKUP(D1667,Товар!$A$2:$F$1000,3,0)</f>
        <v/>
      </c>
      <c r="J1667">
        <f>VLOOKUP(D1667,Товар!$A$2:$F$1000,5,0)</f>
        <v/>
      </c>
      <c r="K1667">
        <f>IF(AND(H1667="Промышленный",LEFT(I1667,18)="Порошок стиральный",F1667="Продажа",B1667=DATE(2023,6,7)),E1667*J1667/1000,0)</f>
        <v/>
      </c>
    </row>
    <row r="1668">
      <c r="A1668" t="n">
        <v>1667</v>
      </c>
      <c r="B1668" s="1" t="n">
        <v>45084</v>
      </c>
      <c r="C1668" s="5" t="inlineStr">
        <is>
          <t>M14</t>
        </is>
      </c>
      <c r="D1668" s="5" t="n">
        <v>11</v>
      </c>
      <c r="E1668" s="5" t="n">
        <v>97</v>
      </c>
      <c r="F1668" t="inlineStr">
        <is>
          <t>Продажа</t>
        </is>
      </c>
      <c r="H1668">
        <f>VLOOKUP(C1668,Магазин!$A$2:$C$1000,2,0)</f>
        <v/>
      </c>
      <c r="I1668">
        <f>VLOOKUP(D1668,Товар!$A$2:$F$1000,3,0)</f>
        <v/>
      </c>
      <c r="J1668">
        <f>VLOOKUP(D1668,Товар!$A$2:$F$1000,5,0)</f>
        <v/>
      </c>
      <c r="K1668">
        <f>IF(AND(H1668="Промышленный",LEFT(I1668,18)="Порошок стиральный",F1668="Продажа",B1668=DATE(2023,6,7)),E1668*J1668/1000,0)</f>
        <v/>
      </c>
    </row>
    <row r="1669">
      <c r="A1669" t="n">
        <v>1668</v>
      </c>
      <c r="B1669" s="1" t="n">
        <v>45084</v>
      </c>
      <c r="C1669" s="5" t="inlineStr">
        <is>
          <t>M14</t>
        </is>
      </c>
      <c r="D1669" s="5" t="n">
        <v>12</v>
      </c>
      <c r="E1669" s="5" t="n">
        <v>24</v>
      </c>
      <c r="F1669" t="inlineStr">
        <is>
          <t>Продажа</t>
        </is>
      </c>
      <c r="H1669">
        <f>VLOOKUP(C1669,Магазин!$A$2:$C$1000,2,0)</f>
        <v/>
      </c>
      <c r="I1669">
        <f>VLOOKUP(D1669,Товар!$A$2:$F$1000,3,0)</f>
        <v/>
      </c>
      <c r="J1669">
        <f>VLOOKUP(D1669,Товар!$A$2:$F$1000,5,0)</f>
        <v/>
      </c>
      <c r="K1669">
        <f>IF(AND(H1669="Промышленный",LEFT(I1669,18)="Порошок стиральный",F1669="Продажа",B1669=DATE(2023,6,7)),E1669*J1669/1000,0)</f>
        <v/>
      </c>
    </row>
    <row r="1670">
      <c r="A1670" t="n">
        <v>1669</v>
      </c>
      <c r="B1670" s="1" t="n">
        <v>45084</v>
      </c>
      <c r="C1670" s="5" t="inlineStr">
        <is>
          <t>M14</t>
        </is>
      </c>
      <c r="D1670" s="5" t="n">
        <v>13</v>
      </c>
      <c r="E1670" s="5" t="n">
        <v>84</v>
      </c>
      <c r="F1670" t="inlineStr">
        <is>
          <t>Продажа</t>
        </is>
      </c>
      <c r="H1670">
        <f>VLOOKUP(C1670,Магазин!$A$2:$C$1000,2,0)</f>
        <v/>
      </c>
      <c r="I1670">
        <f>VLOOKUP(D1670,Товар!$A$2:$F$1000,3,0)</f>
        <v/>
      </c>
      <c r="J1670">
        <f>VLOOKUP(D1670,Товар!$A$2:$F$1000,5,0)</f>
        <v/>
      </c>
      <c r="K1670">
        <f>IF(AND(H1670="Промышленный",LEFT(I1670,18)="Порошок стиральный",F1670="Продажа",B1670=DATE(2023,6,7)),E1670*J1670/1000,0)</f>
        <v/>
      </c>
    </row>
    <row r="1671">
      <c r="A1671" t="n">
        <v>1670</v>
      </c>
      <c r="B1671" s="1" t="n">
        <v>45084</v>
      </c>
      <c r="C1671" s="5" t="inlineStr">
        <is>
          <t>M14</t>
        </is>
      </c>
      <c r="D1671" s="5" t="n">
        <v>14</v>
      </c>
      <c r="E1671" s="5" t="n">
        <v>84</v>
      </c>
      <c r="F1671" t="inlineStr">
        <is>
          <t>Продажа</t>
        </is>
      </c>
      <c r="H1671">
        <f>VLOOKUP(C1671,Магазин!$A$2:$C$1000,2,0)</f>
        <v/>
      </c>
      <c r="I1671">
        <f>VLOOKUP(D1671,Товар!$A$2:$F$1000,3,0)</f>
        <v/>
      </c>
      <c r="J1671">
        <f>VLOOKUP(D1671,Товар!$A$2:$F$1000,5,0)</f>
        <v/>
      </c>
      <c r="K1671">
        <f>IF(AND(H1671="Промышленный",LEFT(I1671,18)="Порошок стиральный",F1671="Продажа",B1671=DATE(2023,6,7)),E1671*J1671/1000,0)</f>
        <v/>
      </c>
    </row>
    <row r="1672">
      <c r="A1672" t="n">
        <v>1671</v>
      </c>
      <c r="B1672" s="1" t="n">
        <v>45084</v>
      </c>
      <c r="C1672" s="5" t="inlineStr">
        <is>
          <t>M14</t>
        </is>
      </c>
      <c r="D1672" s="5" t="n">
        <v>15</v>
      </c>
      <c r="E1672" s="5" t="n">
        <v>85</v>
      </c>
      <c r="F1672" t="inlineStr">
        <is>
          <t>Продажа</t>
        </is>
      </c>
      <c r="H1672">
        <f>VLOOKUP(C1672,Магазин!$A$2:$C$1000,2,0)</f>
        <v/>
      </c>
      <c r="I1672">
        <f>VLOOKUP(D1672,Товар!$A$2:$F$1000,3,0)</f>
        <v/>
      </c>
      <c r="J1672">
        <f>VLOOKUP(D1672,Товар!$A$2:$F$1000,5,0)</f>
        <v/>
      </c>
      <c r="K1672">
        <f>IF(AND(H1672="Промышленный",LEFT(I1672,18)="Порошок стиральный",F1672="Продажа",B1672=DATE(2023,6,7)),E1672*J1672/1000,0)</f>
        <v/>
      </c>
    </row>
    <row r="1673">
      <c r="A1673" t="n">
        <v>1672</v>
      </c>
      <c r="B1673" s="1" t="n">
        <v>45084</v>
      </c>
      <c r="C1673" s="5" t="inlineStr">
        <is>
          <t>M14</t>
        </is>
      </c>
      <c r="D1673" s="5" t="n">
        <v>16</v>
      </c>
      <c r="E1673" s="5" t="n">
        <v>47</v>
      </c>
      <c r="F1673" t="inlineStr">
        <is>
          <t>Продажа</t>
        </is>
      </c>
      <c r="H1673">
        <f>VLOOKUP(C1673,Магазин!$A$2:$C$1000,2,0)</f>
        <v/>
      </c>
      <c r="I1673">
        <f>VLOOKUP(D1673,Товар!$A$2:$F$1000,3,0)</f>
        <v/>
      </c>
      <c r="J1673">
        <f>VLOOKUP(D1673,Товар!$A$2:$F$1000,5,0)</f>
        <v/>
      </c>
      <c r="K1673">
        <f>IF(AND(H1673="Промышленный",LEFT(I1673,18)="Порошок стиральный",F1673="Продажа",B1673=DATE(2023,6,7)),E1673*J1673/1000,0)</f>
        <v/>
      </c>
    </row>
    <row r="1674">
      <c r="A1674" t="n">
        <v>1673</v>
      </c>
      <c r="B1674" s="1" t="n">
        <v>45084</v>
      </c>
      <c r="C1674" s="5" t="inlineStr">
        <is>
          <t>M14</t>
        </is>
      </c>
      <c r="D1674" s="5" t="n">
        <v>17</v>
      </c>
      <c r="E1674" s="5" t="n">
        <v>74</v>
      </c>
      <c r="F1674" t="inlineStr">
        <is>
          <t>Продажа</t>
        </is>
      </c>
      <c r="H1674">
        <f>VLOOKUP(C1674,Магазин!$A$2:$C$1000,2,0)</f>
        <v/>
      </c>
      <c r="I1674">
        <f>VLOOKUP(D1674,Товар!$A$2:$F$1000,3,0)</f>
        <v/>
      </c>
      <c r="J1674">
        <f>VLOOKUP(D1674,Товар!$A$2:$F$1000,5,0)</f>
        <v/>
      </c>
      <c r="K1674">
        <f>IF(AND(H1674="Промышленный",LEFT(I1674,18)="Порошок стиральный",F1674="Продажа",B1674=DATE(2023,6,7)),E1674*J1674/1000,0)</f>
        <v/>
      </c>
    </row>
    <row r="1675">
      <c r="A1675" t="n">
        <v>1674</v>
      </c>
      <c r="B1675" s="1" t="n">
        <v>45084</v>
      </c>
      <c r="C1675" s="5" t="inlineStr">
        <is>
          <t>M14</t>
        </is>
      </c>
      <c r="D1675" s="5" t="n">
        <v>18</v>
      </c>
      <c r="E1675" s="5" t="n">
        <v>86</v>
      </c>
      <c r="F1675" t="inlineStr">
        <is>
          <t>Продажа</t>
        </is>
      </c>
      <c r="H1675">
        <f>VLOOKUP(C1675,Магазин!$A$2:$C$1000,2,0)</f>
        <v/>
      </c>
      <c r="I1675">
        <f>VLOOKUP(D1675,Товар!$A$2:$F$1000,3,0)</f>
        <v/>
      </c>
      <c r="J1675">
        <f>VLOOKUP(D1675,Товар!$A$2:$F$1000,5,0)</f>
        <v/>
      </c>
      <c r="K1675">
        <f>IF(AND(H1675="Промышленный",LEFT(I1675,18)="Порошок стиральный",F1675="Продажа",B1675=DATE(2023,6,7)),E1675*J1675/1000,0)</f>
        <v/>
      </c>
    </row>
    <row r="1676">
      <c r="A1676" t="n">
        <v>1675</v>
      </c>
      <c r="B1676" s="1" t="n">
        <v>45084</v>
      </c>
      <c r="C1676" s="5" t="inlineStr">
        <is>
          <t>M14</t>
        </is>
      </c>
      <c r="D1676" s="5" t="n">
        <v>19</v>
      </c>
      <c r="E1676" s="5" t="n">
        <v>68</v>
      </c>
      <c r="F1676" t="inlineStr">
        <is>
          <t>Продажа</t>
        </is>
      </c>
      <c r="H1676">
        <f>VLOOKUP(C1676,Магазин!$A$2:$C$1000,2,0)</f>
        <v/>
      </c>
      <c r="I1676">
        <f>VLOOKUP(D1676,Товар!$A$2:$F$1000,3,0)</f>
        <v/>
      </c>
      <c r="J1676">
        <f>VLOOKUP(D1676,Товар!$A$2:$F$1000,5,0)</f>
        <v/>
      </c>
      <c r="K1676">
        <f>IF(AND(H1676="Промышленный",LEFT(I1676,18)="Порошок стиральный",F1676="Продажа",B1676=DATE(2023,6,7)),E1676*J1676/1000,0)</f>
        <v/>
      </c>
    </row>
    <row r="1677">
      <c r="A1677" t="n">
        <v>1676</v>
      </c>
      <c r="B1677" s="1" t="n">
        <v>45084</v>
      </c>
      <c r="C1677" s="5" t="inlineStr">
        <is>
          <t>M14</t>
        </is>
      </c>
      <c r="D1677" s="5" t="n">
        <v>20</v>
      </c>
      <c r="E1677" s="5" t="n">
        <v>43</v>
      </c>
      <c r="F1677" t="inlineStr">
        <is>
          <t>Продажа</t>
        </is>
      </c>
      <c r="H1677">
        <f>VLOOKUP(C1677,Магазин!$A$2:$C$1000,2,0)</f>
        <v/>
      </c>
      <c r="I1677">
        <f>VLOOKUP(D1677,Товар!$A$2:$F$1000,3,0)</f>
        <v/>
      </c>
      <c r="J1677">
        <f>VLOOKUP(D1677,Товар!$A$2:$F$1000,5,0)</f>
        <v/>
      </c>
      <c r="K1677">
        <f>IF(AND(H1677="Промышленный",LEFT(I1677,18)="Порошок стиральный",F1677="Продажа",B1677=DATE(2023,6,7)),E1677*J1677/1000,0)</f>
        <v/>
      </c>
    </row>
    <row r="1678">
      <c r="A1678" t="n">
        <v>1677</v>
      </c>
      <c r="B1678" s="1" t="n">
        <v>45084</v>
      </c>
      <c r="C1678" s="5" t="inlineStr">
        <is>
          <t>M14</t>
        </is>
      </c>
      <c r="D1678" s="5" t="n">
        <v>21</v>
      </c>
      <c r="E1678" s="5" t="n">
        <v>48</v>
      </c>
      <c r="F1678" t="inlineStr">
        <is>
          <t>Продажа</t>
        </is>
      </c>
      <c r="H1678">
        <f>VLOOKUP(C1678,Магазин!$A$2:$C$1000,2,0)</f>
        <v/>
      </c>
      <c r="I1678">
        <f>VLOOKUP(D1678,Товар!$A$2:$F$1000,3,0)</f>
        <v/>
      </c>
      <c r="J1678">
        <f>VLOOKUP(D1678,Товар!$A$2:$F$1000,5,0)</f>
        <v/>
      </c>
      <c r="K1678">
        <f>IF(AND(H1678="Промышленный",LEFT(I1678,18)="Порошок стиральный",F1678="Продажа",B1678=DATE(2023,6,7)),E1678*J1678/1000,0)</f>
        <v/>
      </c>
    </row>
    <row r="1679">
      <c r="A1679" t="n">
        <v>1678</v>
      </c>
      <c r="B1679" s="1" t="n">
        <v>45084</v>
      </c>
      <c r="C1679" s="5" t="inlineStr">
        <is>
          <t>M14</t>
        </is>
      </c>
      <c r="D1679" s="5" t="n">
        <v>22</v>
      </c>
      <c r="E1679" s="5" t="n">
        <v>73</v>
      </c>
      <c r="F1679" t="inlineStr">
        <is>
          <t>Продажа</t>
        </is>
      </c>
      <c r="H1679">
        <f>VLOOKUP(C1679,Магазин!$A$2:$C$1000,2,0)</f>
        <v/>
      </c>
      <c r="I1679">
        <f>VLOOKUP(D1679,Товар!$A$2:$F$1000,3,0)</f>
        <v/>
      </c>
      <c r="J1679">
        <f>VLOOKUP(D1679,Товар!$A$2:$F$1000,5,0)</f>
        <v/>
      </c>
      <c r="K1679">
        <f>IF(AND(H1679="Промышленный",LEFT(I1679,18)="Порошок стиральный",F1679="Продажа",B1679=DATE(2023,6,7)),E1679*J1679/1000,0)</f>
        <v/>
      </c>
    </row>
    <row r="1680">
      <c r="A1680" t="n">
        <v>1679</v>
      </c>
      <c r="B1680" s="1" t="n">
        <v>45084</v>
      </c>
      <c r="C1680" s="5" t="inlineStr">
        <is>
          <t>M14</t>
        </is>
      </c>
      <c r="D1680" s="5" t="n">
        <v>23</v>
      </c>
      <c r="E1680" s="5" t="n">
        <v>61</v>
      </c>
      <c r="F1680" t="inlineStr">
        <is>
          <t>Продажа</t>
        </is>
      </c>
      <c r="H1680">
        <f>VLOOKUP(C1680,Магазин!$A$2:$C$1000,2,0)</f>
        <v/>
      </c>
      <c r="I1680">
        <f>VLOOKUP(D1680,Товар!$A$2:$F$1000,3,0)</f>
        <v/>
      </c>
      <c r="J1680">
        <f>VLOOKUP(D1680,Товар!$A$2:$F$1000,5,0)</f>
        <v/>
      </c>
      <c r="K1680">
        <f>IF(AND(H1680="Промышленный",LEFT(I1680,18)="Порошок стиральный",F1680="Продажа",B1680=DATE(2023,6,7)),E1680*J1680/1000,0)</f>
        <v/>
      </c>
    </row>
    <row r="1681">
      <c r="A1681" t="n">
        <v>1680</v>
      </c>
      <c r="B1681" s="1" t="n">
        <v>45084</v>
      </c>
      <c r="C1681" s="5" t="inlineStr">
        <is>
          <t>M14</t>
        </is>
      </c>
      <c r="D1681" s="5" t="n">
        <v>24</v>
      </c>
      <c r="E1681" s="5" t="n">
        <v>63</v>
      </c>
      <c r="F1681" t="inlineStr">
        <is>
          <t>Продажа</t>
        </is>
      </c>
      <c r="H1681">
        <f>VLOOKUP(C1681,Магазин!$A$2:$C$1000,2,0)</f>
        <v/>
      </c>
      <c r="I1681">
        <f>VLOOKUP(D1681,Товар!$A$2:$F$1000,3,0)</f>
        <v/>
      </c>
      <c r="J1681">
        <f>VLOOKUP(D1681,Товар!$A$2:$F$1000,5,0)</f>
        <v/>
      </c>
      <c r="K1681">
        <f>IF(AND(H1681="Промышленный",LEFT(I1681,18)="Порошок стиральный",F1681="Продажа",B1681=DATE(2023,6,7)),E1681*J1681/1000,0)</f>
        <v/>
      </c>
    </row>
    <row r="1682">
      <c r="A1682" t="n">
        <v>1681</v>
      </c>
      <c r="B1682" s="1" t="n">
        <v>45084</v>
      </c>
      <c r="C1682" s="5" t="inlineStr">
        <is>
          <t>M14</t>
        </is>
      </c>
      <c r="D1682" s="5" t="n">
        <v>25</v>
      </c>
      <c r="E1682" s="5" t="n">
        <v>66</v>
      </c>
      <c r="F1682" t="inlineStr">
        <is>
          <t>Продажа</t>
        </is>
      </c>
      <c r="H1682">
        <f>VLOOKUP(C1682,Магазин!$A$2:$C$1000,2,0)</f>
        <v/>
      </c>
      <c r="I1682">
        <f>VLOOKUP(D1682,Товар!$A$2:$F$1000,3,0)</f>
        <v/>
      </c>
      <c r="J1682">
        <f>VLOOKUP(D1682,Товар!$A$2:$F$1000,5,0)</f>
        <v/>
      </c>
      <c r="K1682">
        <f>IF(AND(H1682="Промышленный",LEFT(I1682,18)="Порошок стиральный",F1682="Продажа",B1682=DATE(2023,6,7)),E1682*J1682/1000,0)</f>
        <v/>
      </c>
    </row>
    <row r="1683">
      <c r="A1683" t="n">
        <v>1682</v>
      </c>
      <c r="B1683" s="1" t="n">
        <v>45084</v>
      </c>
      <c r="C1683" s="5" t="inlineStr">
        <is>
          <t>M14</t>
        </is>
      </c>
      <c r="D1683" s="5" t="n">
        <v>26</v>
      </c>
      <c r="E1683" s="5" t="n">
        <v>74</v>
      </c>
      <c r="F1683" t="inlineStr">
        <is>
          <t>Продажа</t>
        </is>
      </c>
      <c r="H1683">
        <f>VLOOKUP(C1683,Магазин!$A$2:$C$1000,2,0)</f>
        <v/>
      </c>
      <c r="I1683">
        <f>VLOOKUP(D1683,Товар!$A$2:$F$1000,3,0)</f>
        <v/>
      </c>
      <c r="J1683">
        <f>VLOOKUP(D1683,Товар!$A$2:$F$1000,5,0)</f>
        <v/>
      </c>
      <c r="K1683">
        <f>IF(AND(H1683="Промышленный",LEFT(I1683,18)="Порошок стиральный",F1683="Продажа",B1683=DATE(2023,6,7)),E1683*J1683/1000,0)</f>
        <v/>
      </c>
    </row>
    <row r="1684">
      <c r="A1684" t="n">
        <v>1683</v>
      </c>
      <c r="B1684" s="1" t="n">
        <v>45084</v>
      </c>
      <c r="C1684" s="5" t="inlineStr">
        <is>
          <t>M14</t>
        </is>
      </c>
      <c r="D1684" s="5" t="n">
        <v>27</v>
      </c>
      <c r="E1684" s="5" t="n">
        <v>38</v>
      </c>
      <c r="F1684" t="inlineStr">
        <is>
          <t>Продажа</t>
        </is>
      </c>
      <c r="H1684">
        <f>VLOOKUP(C1684,Магазин!$A$2:$C$1000,2,0)</f>
        <v/>
      </c>
      <c r="I1684">
        <f>VLOOKUP(D1684,Товар!$A$2:$F$1000,3,0)</f>
        <v/>
      </c>
      <c r="J1684">
        <f>VLOOKUP(D1684,Товар!$A$2:$F$1000,5,0)</f>
        <v/>
      </c>
      <c r="K1684">
        <f>IF(AND(H1684="Промышленный",LEFT(I1684,18)="Порошок стиральный",F1684="Продажа",B1684=DATE(2023,6,7)),E1684*J1684/1000,0)</f>
        <v/>
      </c>
    </row>
    <row r="1685">
      <c r="A1685" t="n">
        <v>1684</v>
      </c>
      <c r="B1685" s="1" t="n">
        <v>45084</v>
      </c>
      <c r="C1685" s="5" t="inlineStr">
        <is>
          <t>M14</t>
        </is>
      </c>
      <c r="D1685" s="5" t="n">
        <v>28</v>
      </c>
      <c r="E1685" s="5" t="n">
        <v>42</v>
      </c>
      <c r="F1685" t="inlineStr">
        <is>
          <t>Продажа</t>
        </is>
      </c>
      <c r="H1685">
        <f>VLOOKUP(C1685,Магазин!$A$2:$C$1000,2,0)</f>
        <v/>
      </c>
      <c r="I1685">
        <f>VLOOKUP(D1685,Товар!$A$2:$F$1000,3,0)</f>
        <v/>
      </c>
      <c r="J1685">
        <f>VLOOKUP(D1685,Товар!$A$2:$F$1000,5,0)</f>
        <v/>
      </c>
      <c r="K1685">
        <f>IF(AND(H1685="Промышленный",LEFT(I1685,18)="Порошок стиральный",F1685="Продажа",B1685=DATE(2023,6,7)),E1685*J1685/1000,0)</f>
        <v/>
      </c>
    </row>
    <row r="1686">
      <c r="A1686" t="n">
        <v>1685</v>
      </c>
      <c r="B1686" s="1" t="n">
        <v>45084</v>
      </c>
      <c r="C1686" s="5" t="inlineStr">
        <is>
          <t>M14</t>
        </is>
      </c>
      <c r="D1686" s="5" t="n">
        <v>29</v>
      </c>
      <c r="E1686" s="5" t="n">
        <v>57</v>
      </c>
      <c r="F1686" t="inlineStr">
        <is>
          <t>Продажа</t>
        </is>
      </c>
      <c r="H1686">
        <f>VLOOKUP(C1686,Магазин!$A$2:$C$1000,2,0)</f>
        <v/>
      </c>
      <c r="I1686">
        <f>VLOOKUP(D1686,Товар!$A$2:$F$1000,3,0)</f>
        <v/>
      </c>
      <c r="J1686">
        <f>VLOOKUP(D1686,Товар!$A$2:$F$1000,5,0)</f>
        <v/>
      </c>
      <c r="K1686">
        <f>IF(AND(H1686="Промышленный",LEFT(I1686,18)="Порошок стиральный",F1686="Продажа",B1686=DATE(2023,6,7)),E1686*J1686/1000,0)</f>
        <v/>
      </c>
    </row>
    <row r="1687">
      <c r="A1687" t="n">
        <v>1686</v>
      </c>
      <c r="B1687" s="1" t="n">
        <v>45084</v>
      </c>
      <c r="C1687" s="5" t="inlineStr">
        <is>
          <t>M14</t>
        </is>
      </c>
      <c r="D1687" s="5" t="n">
        <v>30</v>
      </c>
      <c r="E1687" s="5" t="n">
        <v>59</v>
      </c>
      <c r="F1687" t="inlineStr">
        <is>
          <t>Продажа</t>
        </is>
      </c>
      <c r="H1687">
        <f>VLOOKUP(C1687,Магазин!$A$2:$C$1000,2,0)</f>
        <v/>
      </c>
      <c r="I1687">
        <f>VLOOKUP(D1687,Товар!$A$2:$F$1000,3,0)</f>
        <v/>
      </c>
      <c r="J1687">
        <f>VLOOKUP(D1687,Товар!$A$2:$F$1000,5,0)</f>
        <v/>
      </c>
      <c r="K1687">
        <f>IF(AND(H1687="Промышленный",LEFT(I1687,18)="Порошок стиральный",F1687="Продажа",B1687=DATE(2023,6,7)),E1687*J1687/1000,0)</f>
        <v/>
      </c>
    </row>
    <row r="1688">
      <c r="A1688" t="n">
        <v>1687</v>
      </c>
      <c r="B1688" s="1" t="n">
        <v>45084</v>
      </c>
      <c r="C1688" s="5" t="inlineStr">
        <is>
          <t>M14</t>
        </is>
      </c>
      <c r="D1688" s="5" t="n">
        <v>31</v>
      </c>
      <c r="E1688" s="5" t="n">
        <v>57</v>
      </c>
      <c r="F1688" t="inlineStr">
        <is>
          <t>Продажа</t>
        </is>
      </c>
      <c r="H1688">
        <f>VLOOKUP(C1688,Магазин!$A$2:$C$1000,2,0)</f>
        <v/>
      </c>
      <c r="I1688">
        <f>VLOOKUP(D1688,Товар!$A$2:$F$1000,3,0)</f>
        <v/>
      </c>
      <c r="J1688">
        <f>VLOOKUP(D1688,Товар!$A$2:$F$1000,5,0)</f>
        <v/>
      </c>
      <c r="K1688">
        <f>IF(AND(H1688="Промышленный",LEFT(I1688,18)="Порошок стиральный",F1688="Продажа",B1688=DATE(2023,6,7)),E1688*J1688/1000,0)</f>
        <v/>
      </c>
    </row>
    <row r="1689">
      <c r="A1689" t="n">
        <v>1688</v>
      </c>
      <c r="B1689" s="1" t="n">
        <v>45084</v>
      </c>
      <c r="C1689" s="5" t="inlineStr">
        <is>
          <t>M14</t>
        </is>
      </c>
      <c r="D1689" s="5" t="n">
        <v>32</v>
      </c>
      <c r="E1689" s="5" t="n">
        <v>47</v>
      </c>
      <c r="F1689" t="inlineStr">
        <is>
          <t>Продажа</t>
        </is>
      </c>
      <c r="H1689">
        <f>VLOOKUP(C1689,Магазин!$A$2:$C$1000,2,0)</f>
        <v/>
      </c>
      <c r="I1689">
        <f>VLOOKUP(D1689,Товар!$A$2:$F$1000,3,0)</f>
        <v/>
      </c>
      <c r="J1689">
        <f>VLOOKUP(D1689,Товар!$A$2:$F$1000,5,0)</f>
        <v/>
      </c>
      <c r="K1689">
        <f>IF(AND(H1689="Промышленный",LEFT(I1689,18)="Порошок стиральный",F1689="Продажа",B1689=DATE(2023,6,7)),E1689*J1689/1000,0)</f>
        <v/>
      </c>
    </row>
    <row r="1690">
      <c r="A1690" t="n">
        <v>1689</v>
      </c>
      <c r="B1690" s="1" t="n">
        <v>45084</v>
      </c>
      <c r="C1690" s="5" t="inlineStr">
        <is>
          <t>M14</t>
        </is>
      </c>
      <c r="D1690" s="5" t="n">
        <v>33</v>
      </c>
      <c r="E1690" s="5" t="n">
        <v>44</v>
      </c>
      <c r="F1690" t="inlineStr">
        <is>
          <t>Продажа</t>
        </is>
      </c>
      <c r="H1690">
        <f>VLOOKUP(C1690,Магазин!$A$2:$C$1000,2,0)</f>
        <v/>
      </c>
      <c r="I1690">
        <f>VLOOKUP(D1690,Товар!$A$2:$F$1000,3,0)</f>
        <v/>
      </c>
      <c r="J1690">
        <f>VLOOKUP(D1690,Товар!$A$2:$F$1000,5,0)</f>
        <v/>
      </c>
      <c r="K1690">
        <f>IF(AND(H1690="Промышленный",LEFT(I1690,18)="Порошок стиральный",F1690="Продажа",B1690=DATE(2023,6,7)),E1690*J1690/1000,0)</f>
        <v/>
      </c>
    </row>
    <row r="1691">
      <c r="A1691" t="n">
        <v>1690</v>
      </c>
      <c r="B1691" s="1" t="n">
        <v>45084</v>
      </c>
      <c r="C1691" s="5" t="inlineStr">
        <is>
          <t>M14</t>
        </is>
      </c>
      <c r="D1691" s="5" t="n">
        <v>34</v>
      </c>
      <c r="E1691" s="5" t="n">
        <v>55</v>
      </c>
      <c r="F1691" t="inlineStr">
        <is>
          <t>Продажа</t>
        </is>
      </c>
      <c r="H1691">
        <f>VLOOKUP(C1691,Магазин!$A$2:$C$1000,2,0)</f>
        <v/>
      </c>
      <c r="I1691">
        <f>VLOOKUP(D1691,Товар!$A$2:$F$1000,3,0)</f>
        <v/>
      </c>
      <c r="J1691">
        <f>VLOOKUP(D1691,Товар!$A$2:$F$1000,5,0)</f>
        <v/>
      </c>
      <c r="K1691">
        <f>IF(AND(H1691="Промышленный",LEFT(I1691,18)="Порошок стиральный",F1691="Продажа",B1691=DATE(2023,6,7)),E1691*J1691/1000,0)</f>
        <v/>
      </c>
    </row>
    <row r="1692">
      <c r="A1692" t="n">
        <v>1691</v>
      </c>
      <c r="B1692" s="1" t="n">
        <v>45084</v>
      </c>
      <c r="C1692" s="5" t="inlineStr">
        <is>
          <t>M14</t>
        </is>
      </c>
      <c r="D1692" s="5" t="n">
        <v>35</v>
      </c>
      <c r="E1692" s="5" t="n">
        <v>66</v>
      </c>
      <c r="F1692" t="inlineStr">
        <is>
          <t>Продажа</t>
        </is>
      </c>
      <c r="H1692">
        <f>VLOOKUP(C1692,Магазин!$A$2:$C$1000,2,0)</f>
        <v/>
      </c>
      <c r="I1692">
        <f>VLOOKUP(D1692,Товар!$A$2:$F$1000,3,0)</f>
        <v/>
      </c>
      <c r="J1692">
        <f>VLOOKUP(D1692,Товар!$A$2:$F$1000,5,0)</f>
        <v/>
      </c>
      <c r="K1692">
        <f>IF(AND(H1692="Промышленный",LEFT(I1692,18)="Порошок стиральный",F1692="Продажа",B1692=DATE(2023,6,7)),E1692*J1692/1000,0)</f>
        <v/>
      </c>
    </row>
    <row r="1693">
      <c r="A1693" t="n">
        <v>1692</v>
      </c>
      <c r="B1693" s="1" t="n">
        <v>45084</v>
      </c>
      <c r="C1693" s="5" t="inlineStr">
        <is>
          <t>M14</t>
        </is>
      </c>
      <c r="D1693" s="5" t="n">
        <v>36</v>
      </c>
      <c r="E1693" s="5" t="n">
        <v>39</v>
      </c>
      <c r="F1693" t="inlineStr">
        <is>
          <t>Продажа</t>
        </is>
      </c>
      <c r="H1693">
        <f>VLOOKUP(C1693,Магазин!$A$2:$C$1000,2,0)</f>
        <v/>
      </c>
      <c r="I1693">
        <f>VLOOKUP(D1693,Товар!$A$2:$F$1000,3,0)</f>
        <v/>
      </c>
      <c r="J1693">
        <f>VLOOKUP(D1693,Товар!$A$2:$F$1000,5,0)</f>
        <v/>
      </c>
      <c r="K1693">
        <f>IF(AND(H1693="Промышленный",LEFT(I1693,18)="Порошок стиральный",F1693="Продажа",B1693=DATE(2023,6,7)),E1693*J1693/1000,0)</f>
        <v/>
      </c>
    </row>
    <row r="1694">
      <c r="A1694" t="n">
        <v>1693</v>
      </c>
      <c r="B1694" s="1" t="n">
        <v>45084</v>
      </c>
      <c r="C1694" s="5" t="inlineStr">
        <is>
          <t>M17</t>
        </is>
      </c>
      <c r="D1694" s="5" t="n">
        <v>1</v>
      </c>
      <c r="E1694" s="5" t="n">
        <v>36</v>
      </c>
      <c r="F1694" t="inlineStr">
        <is>
          <t>Продажа</t>
        </is>
      </c>
      <c r="H1694">
        <f>VLOOKUP(C1694,Магазин!$A$2:$C$1000,2,0)</f>
        <v/>
      </c>
      <c r="I1694">
        <f>VLOOKUP(D1694,Товар!$A$2:$F$1000,3,0)</f>
        <v/>
      </c>
      <c r="J1694">
        <f>VLOOKUP(D1694,Товар!$A$2:$F$1000,5,0)</f>
        <v/>
      </c>
      <c r="K1694">
        <f>IF(AND(H1694="Промышленный",LEFT(I1694,18)="Порошок стиральный",F1694="Продажа",B1694=DATE(2023,6,7)),E1694*J1694/1000,0)</f>
        <v/>
      </c>
    </row>
    <row r="1695">
      <c r="A1695" t="n">
        <v>1694</v>
      </c>
      <c r="B1695" s="1" t="n">
        <v>45084</v>
      </c>
      <c r="C1695" s="5" t="inlineStr">
        <is>
          <t>M17</t>
        </is>
      </c>
      <c r="D1695" s="5" t="n">
        <v>2</v>
      </c>
      <c r="E1695" s="5" t="n">
        <v>42</v>
      </c>
      <c r="F1695" t="inlineStr">
        <is>
          <t>Продажа</t>
        </is>
      </c>
      <c r="H1695">
        <f>VLOOKUP(C1695,Магазин!$A$2:$C$1000,2,0)</f>
        <v/>
      </c>
      <c r="I1695">
        <f>VLOOKUP(D1695,Товар!$A$2:$F$1000,3,0)</f>
        <v/>
      </c>
      <c r="J1695">
        <f>VLOOKUP(D1695,Товар!$A$2:$F$1000,5,0)</f>
        <v/>
      </c>
      <c r="K1695">
        <f>IF(AND(H1695="Промышленный",LEFT(I1695,18)="Порошок стиральный",F1695="Продажа",B1695=DATE(2023,6,7)),E1695*J1695/1000,0)</f>
        <v/>
      </c>
    </row>
    <row r="1696">
      <c r="A1696" t="n">
        <v>1695</v>
      </c>
      <c r="B1696" s="1" t="n">
        <v>45084</v>
      </c>
      <c r="C1696" s="5" t="inlineStr">
        <is>
          <t>M17</t>
        </is>
      </c>
      <c r="D1696" s="5" t="n">
        <v>3</v>
      </c>
      <c r="E1696" s="5" t="n">
        <v>68</v>
      </c>
      <c r="F1696" t="inlineStr">
        <is>
          <t>Продажа</t>
        </is>
      </c>
      <c r="H1696">
        <f>VLOOKUP(C1696,Магазин!$A$2:$C$1000,2,0)</f>
        <v/>
      </c>
      <c r="I1696">
        <f>VLOOKUP(D1696,Товар!$A$2:$F$1000,3,0)</f>
        <v/>
      </c>
      <c r="J1696">
        <f>VLOOKUP(D1696,Товар!$A$2:$F$1000,5,0)</f>
        <v/>
      </c>
      <c r="K1696">
        <f>IF(AND(H1696="Промышленный",LEFT(I1696,18)="Порошок стиральный",F1696="Продажа",B1696=DATE(2023,6,7)),E1696*J1696/1000,0)</f>
        <v/>
      </c>
    </row>
    <row r="1697">
      <c r="A1697" t="n">
        <v>1696</v>
      </c>
      <c r="B1697" s="1" t="n">
        <v>45084</v>
      </c>
      <c r="C1697" s="5" t="inlineStr">
        <is>
          <t>M17</t>
        </is>
      </c>
      <c r="D1697" s="5" t="n">
        <v>4</v>
      </c>
      <c r="E1697" s="5" t="n">
        <v>83</v>
      </c>
      <c r="F1697" t="inlineStr">
        <is>
          <t>Продажа</t>
        </is>
      </c>
      <c r="H1697">
        <f>VLOOKUP(C1697,Магазин!$A$2:$C$1000,2,0)</f>
        <v/>
      </c>
      <c r="I1697">
        <f>VLOOKUP(D1697,Товар!$A$2:$F$1000,3,0)</f>
        <v/>
      </c>
      <c r="J1697">
        <f>VLOOKUP(D1697,Товар!$A$2:$F$1000,5,0)</f>
        <v/>
      </c>
      <c r="K1697">
        <f>IF(AND(H1697="Промышленный",LEFT(I1697,18)="Порошок стиральный",F1697="Продажа",B1697=DATE(2023,6,7)),E1697*J1697/1000,0)</f>
        <v/>
      </c>
    </row>
    <row r="1698">
      <c r="A1698" t="n">
        <v>1697</v>
      </c>
      <c r="B1698" s="1" t="n">
        <v>45084</v>
      </c>
      <c r="C1698" s="5" t="inlineStr">
        <is>
          <t>M17</t>
        </is>
      </c>
      <c r="D1698" s="5" t="n">
        <v>5</v>
      </c>
      <c r="E1698" s="5" t="n">
        <v>85</v>
      </c>
      <c r="F1698" t="inlineStr">
        <is>
          <t>Продажа</t>
        </is>
      </c>
      <c r="H1698">
        <f>VLOOKUP(C1698,Магазин!$A$2:$C$1000,2,0)</f>
        <v/>
      </c>
      <c r="I1698">
        <f>VLOOKUP(D1698,Товар!$A$2:$F$1000,3,0)</f>
        <v/>
      </c>
      <c r="J1698">
        <f>VLOOKUP(D1698,Товар!$A$2:$F$1000,5,0)</f>
        <v/>
      </c>
      <c r="K1698">
        <f>IF(AND(H1698="Промышленный",LEFT(I1698,18)="Порошок стиральный",F1698="Продажа",B1698=DATE(2023,6,7)),E1698*J1698/1000,0)</f>
        <v/>
      </c>
    </row>
    <row r="1699">
      <c r="A1699" t="n">
        <v>1698</v>
      </c>
      <c r="B1699" s="1" t="n">
        <v>45084</v>
      </c>
      <c r="C1699" s="5" t="inlineStr">
        <is>
          <t>M17</t>
        </is>
      </c>
      <c r="D1699" s="5" t="n">
        <v>6</v>
      </c>
      <c r="E1699" s="5" t="n">
        <v>87</v>
      </c>
      <c r="F1699" t="inlineStr">
        <is>
          <t>Продажа</t>
        </is>
      </c>
      <c r="H1699">
        <f>VLOOKUP(C1699,Магазин!$A$2:$C$1000,2,0)</f>
        <v/>
      </c>
      <c r="I1699">
        <f>VLOOKUP(D1699,Товар!$A$2:$F$1000,3,0)</f>
        <v/>
      </c>
      <c r="J1699">
        <f>VLOOKUP(D1699,Товар!$A$2:$F$1000,5,0)</f>
        <v/>
      </c>
      <c r="K1699">
        <f>IF(AND(H1699="Промышленный",LEFT(I1699,18)="Порошок стиральный",F1699="Продажа",B1699=DATE(2023,6,7)),E1699*J1699/1000,0)</f>
        <v/>
      </c>
    </row>
    <row r="1700">
      <c r="A1700" t="n">
        <v>1699</v>
      </c>
      <c r="B1700" s="1" t="n">
        <v>45084</v>
      </c>
      <c r="C1700" s="5" t="inlineStr">
        <is>
          <t>M17</t>
        </is>
      </c>
      <c r="D1700" s="5" t="n">
        <v>7</v>
      </c>
      <c r="E1700" s="5" t="n">
        <v>98</v>
      </c>
      <c r="F1700" t="inlineStr">
        <is>
          <t>Продажа</t>
        </is>
      </c>
      <c r="H1700">
        <f>VLOOKUP(C1700,Магазин!$A$2:$C$1000,2,0)</f>
        <v/>
      </c>
      <c r="I1700">
        <f>VLOOKUP(D1700,Товар!$A$2:$F$1000,3,0)</f>
        <v/>
      </c>
      <c r="J1700">
        <f>VLOOKUP(D1700,Товар!$A$2:$F$1000,5,0)</f>
        <v/>
      </c>
      <c r="K1700">
        <f>IF(AND(H1700="Промышленный",LEFT(I1700,18)="Порошок стиральный",F1700="Продажа",B1700=DATE(2023,6,7)),E1700*J1700/1000,0)</f>
        <v/>
      </c>
    </row>
    <row r="1701">
      <c r="A1701" t="n">
        <v>1700</v>
      </c>
      <c r="B1701" s="1" t="n">
        <v>45084</v>
      </c>
      <c r="C1701" s="5" t="inlineStr">
        <is>
          <t>M17</t>
        </is>
      </c>
      <c r="D1701" s="5" t="n">
        <v>8</v>
      </c>
      <c r="E1701" s="5" t="n">
        <v>95</v>
      </c>
      <c r="F1701" t="inlineStr">
        <is>
          <t>Продажа</t>
        </is>
      </c>
      <c r="H1701">
        <f>VLOOKUP(C1701,Магазин!$A$2:$C$1000,2,0)</f>
        <v/>
      </c>
      <c r="I1701">
        <f>VLOOKUP(D1701,Товар!$A$2:$F$1000,3,0)</f>
        <v/>
      </c>
      <c r="J1701">
        <f>VLOOKUP(D1701,Товар!$A$2:$F$1000,5,0)</f>
        <v/>
      </c>
      <c r="K1701">
        <f>IF(AND(H1701="Промышленный",LEFT(I1701,18)="Порошок стиральный",F1701="Продажа",B1701=DATE(2023,6,7)),E1701*J1701/1000,0)</f>
        <v/>
      </c>
    </row>
    <row r="1702">
      <c r="A1702" t="n">
        <v>1701</v>
      </c>
      <c r="B1702" s="1" t="n">
        <v>45084</v>
      </c>
      <c r="C1702" s="5" t="inlineStr">
        <is>
          <t>M17</t>
        </is>
      </c>
      <c r="D1702" s="5" t="n">
        <v>9</v>
      </c>
      <c r="E1702" s="5" t="n">
        <v>68</v>
      </c>
      <c r="F1702" t="inlineStr">
        <is>
          <t>Продажа</t>
        </is>
      </c>
      <c r="H1702">
        <f>VLOOKUP(C1702,Магазин!$A$2:$C$1000,2,0)</f>
        <v/>
      </c>
      <c r="I1702">
        <f>VLOOKUP(D1702,Товар!$A$2:$F$1000,3,0)</f>
        <v/>
      </c>
      <c r="J1702">
        <f>VLOOKUP(D1702,Товар!$A$2:$F$1000,5,0)</f>
        <v/>
      </c>
      <c r="K1702">
        <f>IF(AND(H1702="Промышленный",LEFT(I1702,18)="Порошок стиральный",F1702="Продажа",B1702=DATE(2023,6,7)),E1702*J1702/1000,0)</f>
        <v/>
      </c>
    </row>
    <row r="1703">
      <c r="A1703" t="n">
        <v>1702</v>
      </c>
      <c r="B1703" s="1" t="n">
        <v>45084</v>
      </c>
      <c r="C1703" s="5" t="inlineStr">
        <is>
          <t>M17</t>
        </is>
      </c>
      <c r="D1703" s="5" t="n">
        <v>10</v>
      </c>
      <c r="E1703" s="5" t="n">
        <v>79</v>
      </c>
      <c r="F1703" t="inlineStr">
        <is>
          <t>Продажа</t>
        </is>
      </c>
      <c r="H1703">
        <f>VLOOKUP(C1703,Магазин!$A$2:$C$1000,2,0)</f>
        <v/>
      </c>
      <c r="I1703">
        <f>VLOOKUP(D1703,Товар!$A$2:$F$1000,3,0)</f>
        <v/>
      </c>
      <c r="J1703">
        <f>VLOOKUP(D1703,Товар!$A$2:$F$1000,5,0)</f>
        <v/>
      </c>
      <c r="K1703">
        <f>IF(AND(H1703="Промышленный",LEFT(I1703,18)="Порошок стиральный",F1703="Продажа",B1703=DATE(2023,6,7)),E1703*J1703/1000,0)</f>
        <v/>
      </c>
    </row>
    <row r="1704">
      <c r="A1704" t="n">
        <v>1703</v>
      </c>
      <c r="B1704" s="1" t="n">
        <v>45084</v>
      </c>
      <c r="C1704" s="5" t="inlineStr">
        <is>
          <t>M17</t>
        </is>
      </c>
      <c r="D1704" s="5" t="n">
        <v>11</v>
      </c>
      <c r="E1704" s="5" t="n">
        <v>97</v>
      </c>
      <c r="F1704" t="inlineStr">
        <is>
          <t>Продажа</t>
        </is>
      </c>
      <c r="H1704">
        <f>VLOOKUP(C1704,Магазин!$A$2:$C$1000,2,0)</f>
        <v/>
      </c>
      <c r="I1704">
        <f>VLOOKUP(D1704,Товар!$A$2:$F$1000,3,0)</f>
        <v/>
      </c>
      <c r="J1704">
        <f>VLOOKUP(D1704,Товар!$A$2:$F$1000,5,0)</f>
        <v/>
      </c>
      <c r="K1704">
        <f>IF(AND(H1704="Промышленный",LEFT(I1704,18)="Порошок стиральный",F1704="Продажа",B1704=DATE(2023,6,7)),E1704*J1704/1000,0)</f>
        <v/>
      </c>
    </row>
    <row r="1705">
      <c r="A1705" t="n">
        <v>1704</v>
      </c>
      <c r="B1705" s="1" t="n">
        <v>45084</v>
      </c>
      <c r="C1705" s="5" t="inlineStr">
        <is>
          <t>M17</t>
        </is>
      </c>
      <c r="D1705" s="5" t="n">
        <v>12</v>
      </c>
      <c r="E1705" s="5" t="n">
        <v>95</v>
      </c>
      <c r="F1705" t="inlineStr">
        <is>
          <t>Продажа</t>
        </is>
      </c>
      <c r="H1705">
        <f>VLOOKUP(C1705,Магазин!$A$2:$C$1000,2,0)</f>
        <v/>
      </c>
      <c r="I1705">
        <f>VLOOKUP(D1705,Товар!$A$2:$F$1000,3,0)</f>
        <v/>
      </c>
      <c r="J1705">
        <f>VLOOKUP(D1705,Товар!$A$2:$F$1000,5,0)</f>
        <v/>
      </c>
      <c r="K1705">
        <f>IF(AND(H1705="Промышленный",LEFT(I1705,18)="Порошок стиральный",F1705="Продажа",B1705=DATE(2023,6,7)),E1705*J1705/1000,0)</f>
        <v/>
      </c>
    </row>
    <row r="1706">
      <c r="A1706" t="n">
        <v>1705</v>
      </c>
      <c r="B1706" s="1" t="n">
        <v>45084</v>
      </c>
      <c r="C1706" s="5" t="inlineStr">
        <is>
          <t>M17</t>
        </is>
      </c>
      <c r="D1706" s="5" t="n">
        <v>13</v>
      </c>
      <c r="E1706" s="5" t="n">
        <v>94</v>
      </c>
      <c r="F1706" t="inlineStr">
        <is>
          <t>Продажа</t>
        </is>
      </c>
      <c r="H1706">
        <f>VLOOKUP(C1706,Магазин!$A$2:$C$1000,2,0)</f>
        <v/>
      </c>
      <c r="I1706">
        <f>VLOOKUP(D1706,Товар!$A$2:$F$1000,3,0)</f>
        <v/>
      </c>
      <c r="J1706">
        <f>VLOOKUP(D1706,Товар!$A$2:$F$1000,5,0)</f>
        <v/>
      </c>
      <c r="K1706">
        <f>IF(AND(H1706="Промышленный",LEFT(I1706,18)="Порошок стиральный",F1706="Продажа",B1706=DATE(2023,6,7)),E1706*J1706/1000,0)</f>
        <v/>
      </c>
    </row>
    <row r="1707">
      <c r="A1707" t="n">
        <v>1706</v>
      </c>
      <c r="B1707" s="1" t="n">
        <v>45084</v>
      </c>
      <c r="C1707" s="5" t="inlineStr">
        <is>
          <t>M17</t>
        </is>
      </c>
      <c r="D1707" s="5" t="n">
        <v>14</v>
      </c>
      <c r="E1707" s="5" t="n">
        <v>86</v>
      </c>
      <c r="F1707" t="inlineStr">
        <is>
          <t>Продажа</t>
        </is>
      </c>
      <c r="H1707">
        <f>VLOOKUP(C1707,Магазин!$A$2:$C$1000,2,0)</f>
        <v/>
      </c>
      <c r="I1707">
        <f>VLOOKUP(D1707,Товар!$A$2:$F$1000,3,0)</f>
        <v/>
      </c>
      <c r="J1707">
        <f>VLOOKUP(D1707,Товар!$A$2:$F$1000,5,0)</f>
        <v/>
      </c>
      <c r="K1707">
        <f>IF(AND(H1707="Промышленный",LEFT(I1707,18)="Порошок стиральный",F1707="Продажа",B1707=DATE(2023,6,7)),E1707*J1707/1000,0)</f>
        <v/>
      </c>
    </row>
    <row r="1708">
      <c r="A1708" t="n">
        <v>1707</v>
      </c>
      <c r="B1708" s="1" t="n">
        <v>45084</v>
      </c>
      <c r="C1708" s="5" t="inlineStr">
        <is>
          <t>M17</t>
        </is>
      </c>
      <c r="D1708" s="5" t="n">
        <v>15</v>
      </c>
      <c r="E1708" s="5" t="n">
        <v>84</v>
      </c>
      <c r="F1708" t="inlineStr">
        <is>
          <t>Продажа</t>
        </is>
      </c>
      <c r="H1708">
        <f>VLOOKUP(C1708,Магазин!$A$2:$C$1000,2,0)</f>
        <v/>
      </c>
      <c r="I1708">
        <f>VLOOKUP(D1708,Товар!$A$2:$F$1000,3,0)</f>
        <v/>
      </c>
      <c r="J1708">
        <f>VLOOKUP(D1708,Товар!$A$2:$F$1000,5,0)</f>
        <v/>
      </c>
      <c r="K1708">
        <f>IF(AND(H1708="Промышленный",LEFT(I1708,18)="Порошок стиральный",F1708="Продажа",B1708=DATE(2023,6,7)),E1708*J1708/1000,0)</f>
        <v/>
      </c>
    </row>
    <row r="1709">
      <c r="A1709" t="n">
        <v>1708</v>
      </c>
      <c r="B1709" s="1" t="n">
        <v>45084</v>
      </c>
      <c r="C1709" s="5" t="inlineStr">
        <is>
          <t>M17</t>
        </is>
      </c>
      <c r="D1709" s="5" t="n">
        <v>16</v>
      </c>
      <c r="E1709" s="5" t="n">
        <v>81</v>
      </c>
      <c r="F1709" t="inlineStr">
        <is>
          <t>Продажа</t>
        </is>
      </c>
      <c r="H1709">
        <f>VLOOKUP(C1709,Магазин!$A$2:$C$1000,2,0)</f>
        <v/>
      </c>
      <c r="I1709">
        <f>VLOOKUP(D1709,Товар!$A$2:$F$1000,3,0)</f>
        <v/>
      </c>
      <c r="J1709">
        <f>VLOOKUP(D1709,Товар!$A$2:$F$1000,5,0)</f>
        <v/>
      </c>
      <c r="K1709">
        <f>IF(AND(H1709="Промышленный",LEFT(I1709,18)="Порошок стиральный",F1709="Продажа",B1709=DATE(2023,6,7)),E1709*J1709/1000,0)</f>
        <v/>
      </c>
    </row>
    <row r="1710">
      <c r="A1710" t="n">
        <v>1709</v>
      </c>
      <c r="B1710" s="1" t="n">
        <v>45084</v>
      </c>
      <c r="C1710" s="5" t="inlineStr">
        <is>
          <t>M17</t>
        </is>
      </c>
      <c r="D1710" s="5" t="n">
        <v>17</v>
      </c>
      <c r="E1710" s="5" t="n">
        <v>83</v>
      </c>
      <c r="F1710" t="inlineStr">
        <is>
          <t>Продажа</t>
        </is>
      </c>
      <c r="H1710">
        <f>VLOOKUP(C1710,Магазин!$A$2:$C$1000,2,0)</f>
        <v/>
      </c>
      <c r="I1710">
        <f>VLOOKUP(D1710,Товар!$A$2:$F$1000,3,0)</f>
        <v/>
      </c>
      <c r="J1710">
        <f>VLOOKUP(D1710,Товар!$A$2:$F$1000,5,0)</f>
        <v/>
      </c>
      <c r="K1710">
        <f>IF(AND(H1710="Промышленный",LEFT(I1710,18)="Порошок стиральный",F1710="Продажа",B1710=DATE(2023,6,7)),E1710*J1710/1000,0)</f>
        <v/>
      </c>
    </row>
    <row r="1711">
      <c r="A1711" t="n">
        <v>1710</v>
      </c>
      <c r="B1711" s="1" t="n">
        <v>45084</v>
      </c>
      <c r="C1711" s="5" t="inlineStr">
        <is>
          <t>M17</t>
        </is>
      </c>
      <c r="D1711" s="5" t="n">
        <v>18</v>
      </c>
      <c r="E1711" s="5" t="n">
        <v>82</v>
      </c>
      <c r="F1711" t="inlineStr">
        <is>
          <t>Продажа</t>
        </is>
      </c>
      <c r="H1711">
        <f>VLOOKUP(C1711,Магазин!$A$2:$C$1000,2,0)</f>
        <v/>
      </c>
      <c r="I1711">
        <f>VLOOKUP(D1711,Товар!$A$2:$F$1000,3,0)</f>
        <v/>
      </c>
      <c r="J1711">
        <f>VLOOKUP(D1711,Товар!$A$2:$F$1000,5,0)</f>
        <v/>
      </c>
      <c r="K1711">
        <f>IF(AND(H1711="Промышленный",LEFT(I1711,18)="Порошок стиральный",F1711="Продажа",B1711=DATE(2023,6,7)),E1711*J1711/1000,0)</f>
        <v/>
      </c>
    </row>
    <row r="1712">
      <c r="A1712" t="n">
        <v>1711</v>
      </c>
      <c r="B1712" s="1" t="n">
        <v>45084</v>
      </c>
      <c r="C1712" s="5" t="inlineStr">
        <is>
          <t>M17</t>
        </is>
      </c>
      <c r="D1712" s="5" t="n">
        <v>19</v>
      </c>
      <c r="E1712" s="5" t="n">
        <v>87</v>
      </c>
      <c r="F1712" t="inlineStr">
        <is>
          <t>Продажа</t>
        </is>
      </c>
      <c r="H1712">
        <f>VLOOKUP(C1712,Магазин!$A$2:$C$1000,2,0)</f>
        <v/>
      </c>
      <c r="I1712">
        <f>VLOOKUP(D1712,Товар!$A$2:$F$1000,3,0)</f>
        <v/>
      </c>
      <c r="J1712">
        <f>VLOOKUP(D1712,Товар!$A$2:$F$1000,5,0)</f>
        <v/>
      </c>
      <c r="K1712">
        <f>IF(AND(H1712="Промышленный",LEFT(I1712,18)="Порошок стиральный",F1712="Продажа",B1712=DATE(2023,6,7)),E1712*J1712/1000,0)</f>
        <v/>
      </c>
    </row>
    <row r="1713">
      <c r="A1713" t="n">
        <v>1712</v>
      </c>
      <c r="B1713" s="1" t="n">
        <v>45084</v>
      </c>
      <c r="C1713" s="5" t="inlineStr">
        <is>
          <t>M17</t>
        </is>
      </c>
      <c r="D1713" s="5" t="n">
        <v>20</v>
      </c>
      <c r="E1713" s="5" t="n">
        <v>94</v>
      </c>
      <c r="F1713" t="inlineStr">
        <is>
          <t>Продажа</t>
        </is>
      </c>
      <c r="H1713">
        <f>VLOOKUP(C1713,Магазин!$A$2:$C$1000,2,0)</f>
        <v/>
      </c>
      <c r="I1713">
        <f>VLOOKUP(D1713,Товар!$A$2:$F$1000,3,0)</f>
        <v/>
      </c>
      <c r="J1713">
        <f>VLOOKUP(D1713,Товар!$A$2:$F$1000,5,0)</f>
        <v/>
      </c>
      <c r="K1713">
        <f>IF(AND(H1713="Промышленный",LEFT(I1713,18)="Порошок стиральный",F1713="Продажа",B1713=DATE(2023,6,7)),E1713*J1713/1000,0)</f>
        <v/>
      </c>
    </row>
    <row r="1714">
      <c r="A1714" t="n">
        <v>1713</v>
      </c>
      <c r="B1714" s="1" t="n">
        <v>45084</v>
      </c>
      <c r="C1714" s="5" t="inlineStr">
        <is>
          <t>M17</t>
        </is>
      </c>
      <c r="D1714" s="5" t="n">
        <v>21</v>
      </c>
      <c r="E1714" s="5" t="n">
        <v>96</v>
      </c>
      <c r="F1714" t="inlineStr">
        <is>
          <t>Продажа</t>
        </is>
      </c>
      <c r="H1714">
        <f>VLOOKUP(C1714,Магазин!$A$2:$C$1000,2,0)</f>
        <v/>
      </c>
      <c r="I1714">
        <f>VLOOKUP(D1714,Товар!$A$2:$F$1000,3,0)</f>
        <v/>
      </c>
      <c r="J1714">
        <f>VLOOKUP(D1714,Товар!$A$2:$F$1000,5,0)</f>
        <v/>
      </c>
      <c r="K1714">
        <f>IF(AND(H1714="Промышленный",LEFT(I1714,18)="Порошок стиральный",F1714="Продажа",B1714=DATE(2023,6,7)),E1714*J1714/1000,0)</f>
        <v/>
      </c>
    </row>
    <row r="1715">
      <c r="A1715" t="n">
        <v>1714</v>
      </c>
      <c r="B1715" s="1" t="n">
        <v>45084</v>
      </c>
      <c r="C1715" s="5" t="inlineStr">
        <is>
          <t>M17</t>
        </is>
      </c>
      <c r="D1715" s="5" t="n">
        <v>22</v>
      </c>
      <c r="E1715" s="5" t="n">
        <v>93</v>
      </c>
      <c r="F1715" t="inlineStr">
        <is>
          <t>Продажа</t>
        </is>
      </c>
      <c r="H1715">
        <f>VLOOKUP(C1715,Магазин!$A$2:$C$1000,2,0)</f>
        <v/>
      </c>
      <c r="I1715">
        <f>VLOOKUP(D1715,Товар!$A$2:$F$1000,3,0)</f>
        <v/>
      </c>
      <c r="J1715">
        <f>VLOOKUP(D1715,Товар!$A$2:$F$1000,5,0)</f>
        <v/>
      </c>
      <c r="K1715">
        <f>IF(AND(H1715="Промышленный",LEFT(I1715,18)="Порошок стиральный",F1715="Продажа",B1715=DATE(2023,6,7)),E1715*J1715/1000,0)</f>
        <v/>
      </c>
    </row>
    <row r="1716">
      <c r="A1716" t="n">
        <v>1715</v>
      </c>
      <c r="B1716" s="1" t="n">
        <v>45084</v>
      </c>
      <c r="C1716" s="5" t="inlineStr">
        <is>
          <t>M17</t>
        </is>
      </c>
      <c r="D1716" s="5" t="n">
        <v>23</v>
      </c>
      <c r="E1716" s="5" t="n">
        <v>91</v>
      </c>
      <c r="F1716" t="inlineStr">
        <is>
          <t>Продажа</t>
        </is>
      </c>
      <c r="H1716">
        <f>VLOOKUP(C1716,Магазин!$A$2:$C$1000,2,0)</f>
        <v/>
      </c>
      <c r="I1716">
        <f>VLOOKUP(D1716,Товар!$A$2:$F$1000,3,0)</f>
        <v/>
      </c>
      <c r="J1716">
        <f>VLOOKUP(D1716,Товар!$A$2:$F$1000,5,0)</f>
        <v/>
      </c>
      <c r="K1716">
        <f>IF(AND(H1716="Промышленный",LEFT(I1716,18)="Порошок стиральный",F1716="Продажа",B1716=DATE(2023,6,7)),E1716*J1716/1000,0)</f>
        <v/>
      </c>
    </row>
    <row r="1717">
      <c r="A1717" t="n">
        <v>1716</v>
      </c>
      <c r="B1717" s="1" t="n">
        <v>45084</v>
      </c>
      <c r="C1717" s="5" t="inlineStr">
        <is>
          <t>M17</t>
        </is>
      </c>
      <c r="D1717" s="5" t="n">
        <v>24</v>
      </c>
      <c r="E1717" s="5" t="n">
        <v>73</v>
      </c>
      <c r="F1717" t="inlineStr">
        <is>
          <t>Продажа</t>
        </is>
      </c>
      <c r="H1717">
        <f>VLOOKUP(C1717,Магазин!$A$2:$C$1000,2,0)</f>
        <v/>
      </c>
      <c r="I1717">
        <f>VLOOKUP(D1717,Товар!$A$2:$F$1000,3,0)</f>
        <v/>
      </c>
      <c r="J1717">
        <f>VLOOKUP(D1717,Товар!$A$2:$F$1000,5,0)</f>
        <v/>
      </c>
      <c r="K1717">
        <f>IF(AND(H1717="Промышленный",LEFT(I1717,18)="Порошок стиральный",F1717="Продажа",B1717=DATE(2023,6,7)),E1717*J1717/1000,0)</f>
        <v/>
      </c>
    </row>
    <row r="1718">
      <c r="A1718" t="n">
        <v>1717</v>
      </c>
      <c r="B1718" s="1" t="n">
        <v>45084</v>
      </c>
      <c r="C1718" s="5" t="inlineStr">
        <is>
          <t>M17</t>
        </is>
      </c>
      <c r="D1718" s="5" t="n">
        <v>25</v>
      </c>
      <c r="E1718" s="5" t="n">
        <v>94</v>
      </c>
      <c r="F1718" t="inlineStr">
        <is>
          <t>Продажа</t>
        </is>
      </c>
      <c r="H1718">
        <f>VLOOKUP(C1718,Магазин!$A$2:$C$1000,2,0)</f>
        <v/>
      </c>
      <c r="I1718">
        <f>VLOOKUP(D1718,Товар!$A$2:$F$1000,3,0)</f>
        <v/>
      </c>
      <c r="J1718">
        <f>VLOOKUP(D1718,Товар!$A$2:$F$1000,5,0)</f>
        <v/>
      </c>
      <c r="K1718">
        <f>IF(AND(H1718="Промышленный",LEFT(I1718,18)="Порошок стиральный",F1718="Продажа",B1718=DATE(2023,6,7)),E1718*J1718/1000,0)</f>
        <v/>
      </c>
    </row>
    <row r="1719">
      <c r="A1719" t="n">
        <v>1718</v>
      </c>
      <c r="B1719" s="1" t="n">
        <v>45084</v>
      </c>
      <c r="C1719" s="5" t="inlineStr">
        <is>
          <t>M17</t>
        </is>
      </c>
      <c r="D1719" s="5" t="n">
        <v>26</v>
      </c>
      <c r="E1719" s="5" t="n">
        <v>96</v>
      </c>
      <c r="F1719" t="inlineStr">
        <is>
          <t>Продажа</t>
        </is>
      </c>
      <c r="H1719">
        <f>VLOOKUP(C1719,Магазин!$A$2:$C$1000,2,0)</f>
        <v/>
      </c>
      <c r="I1719">
        <f>VLOOKUP(D1719,Товар!$A$2:$F$1000,3,0)</f>
        <v/>
      </c>
      <c r="J1719">
        <f>VLOOKUP(D1719,Товар!$A$2:$F$1000,5,0)</f>
        <v/>
      </c>
      <c r="K1719">
        <f>IF(AND(H1719="Промышленный",LEFT(I1719,18)="Порошок стиральный",F1719="Продажа",B1719=DATE(2023,6,7)),E1719*J1719/1000,0)</f>
        <v/>
      </c>
    </row>
    <row r="1720">
      <c r="A1720" t="n">
        <v>1719</v>
      </c>
      <c r="B1720" s="1" t="n">
        <v>45084</v>
      </c>
      <c r="C1720" s="5" t="inlineStr">
        <is>
          <t>M17</t>
        </is>
      </c>
      <c r="D1720" s="5" t="n">
        <v>27</v>
      </c>
      <c r="E1720" s="5" t="n">
        <v>95</v>
      </c>
      <c r="F1720" t="inlineStr">
        <is>
          <t>Продажа</t>
        </is>
      </c>
      <c r="H1720">
        <f>VLOOKUP(C1720,Магазин!$A$2:$C$1000,2,0)</f>
        <v/>
      </c>
      <c r="I1720">
        <f>VLOOKUP(D1720,Товар!$A$2:$F$1000,3,0)</f>
        <v/>
      </c>
      <c r="J1720">
        <f>VLOOKUP(D1720,Товар!$A$2:$F$1000,5,0)</f>
        <v/>
      </c>
      <c r="K1720">
        <f>IF(AND(H1720="Промышленный",LEFT(I1720,18)="Порошок стиральный",F1720="Продажа",B1720=DATE(2023,6,7)),E1720*J1720/1000,0)</f>
        <v/>
      </c>
    </row>
    <row r="1721">
      <c r="A1721" t="n">
        <v>1720</v>
      </c>
      <c r="B1721" s="1" t="n">
        <v>45084</v>
      </c>
      <c r="C1721" s="5" t="inlineStr">
        <is>
          <t>M17</t>
        </is>
      </c>
      <c r="D1721" s="5" t="n">
        <v>28</v>
      </c>
      <c r="E1721" s="5" t="n">
        <v>97</v>
      </c>
      <c r="F1721" t="inlineStr">
        <is>
          <t>Продажа</t>
        </is>
      </c>
      <c r="H1721">
        <f>VLOOKUP(C1721,Магазин!$A$2:$C$1000,2,0)</f>
        <v/>
      </c>
      <c r="I1721">
        <f>VLOOKUP(D1721,Товар!$A$2:$F$1000,3,0)</f>
        <v/>
      </c>
      <c r="J1721">
        <f>VLOOKUP(D1721,Товар!$A$2:$F$1000,5,0)</f>
        <v/>
      </c>
      <c r="K1721">
        <f>IF(AND(H1721="Промышленный",LEFT(I1721,18)="Порошок стиральный",F1721="Продажа",B1721=DATE(2023,6,7)),E1721*J1721/1000,0)</f>
        <v/>
      </c>
    </row>
    <row r="1722">
      <c r="A1722" t="n">
        <v>1721</v>
      </c>
      <c r="B1722" s="1" t="n">
        <v>45084</v>
      </c>
      <c r="C1722" s="5" t="inlineStr">
        <is>
          <t>M17</t>
        </is>
      </c>
      <c r="D1722" s="5" t="n">
        <v>29</v>
      </c>
      <c r="E1722" s="5" t="n">
        <v>84</v>
      </c>
      <c r="F1722" t="inlineStr">
        <is>
          <t>Продажа</t>
        </is>
      </c>
      <c r="H1722">
        <f>VLOOKUP(C1722,Магазин!$A$2:$C$1000,2,0)</f>
        <v/>
      </c>
      <c r="I1722">
        <f>VLOOKUP(D1722,Товар!$A$2:$F$1000,3,0)</f>
        <v/>
      </c>
      <c r="J1722">
        <f>VLOOKUP(D1722,Товар!$A$2:$F$1000,5,0)</f>
        <v/>
      </c>
      <c r="K1722">
        <f>IF(AND(H1722="Промышленный",LEFT(I1722,18)="Порошок стиральный",F1722="Продажа",B1722=DATE(2023,6,7)),E1722*J1722/1000,0)</f>
        <v/>
      </c>
    </row>
    <row r="1723">
      <c r="A1723" t="n">
        <v>1722</v>
      </c>
      <c r="B1723" s="1" t="n">
        <v>45084</v>
      </c>
      <c r="C1723" s="5" t="inlineStr">
        <is>
          <t>M17</t>
        </is>
      </c>
      <c r="D1723" s="5" t="n">
        <v>30</v>
      </c>
      <c r="E1723" s="5" t="n">
        <v>83</v>
      </c>
      <c r="F1723" t="inlineStr">
        <is>
          <t>Продажа</t>
        </is>
      </c>
      <c r="H1723">
        <f>VLOOKUP(C1723,Магазин!$A$2:$C$1000,2,0)</f>
        <v/>
      </c>
      <c r="I1723">
        <f>VLOOKUP(D1723,Товар!$A$2:$F$1000,3,0)</f>
        <v/>
      </c>
      <c r="J1723">
        <f>VLOOKUP(D1723,Товар!$A$2:$F$1000,5,0)</f>
        <v/>
      </c>
      <c r="K1723">
        <f>IF(AND(H1723="Промышленный",LEFT(I1723,18)="Порошок стиральный",F1723="Продажа",B1723=DATE(2023,6,7)),E1723*J1723/1000,0)</f>
        <v/>
      </c>
    </row>
    <row r="1724">
      <c r="A1724" t="n">
        <v>1723</v>
      </c>
      <c r="B1724" s="1" t="n">
        <v>45084</v>
      </c>
      <c r="C1724" s="5" t="inlineStr">
        <is>
          <t>M17</t>
        </is>
      </c>
      <c r="D1724" s="5" t="n">
        <v>31</v>
      </c>
      <c r="E1724" s="5" t="n">
        <v>81</v>
      </c>
      <c r="F1724" t="inlineStr">
        <is>
          <t>Продажа</t>
        </is>
      </c>
      <c r="H1724">
        <f>VLOOKUP(C1724,Магазин!$A$2:$C$1000,2,0)</f>
        <v/>
      </c>
      <c r="I1724">
        <f>VLOOKUP(D1724,Товар!$A$2:$F$1000,3,0)</f>
        <v/>
      </c>
      <c r="J1724">
        <f>VLOOKUP(D1724,Товар!$A$2:$F$1000,5,0)</f>
        <v/>
      </c>
      <c r="K1724">
        <f>IF(AND(H1724="Промышленный",LEFT(I1724,18)="Порошок стиральный",F1724="Продажа",B1724=DATE(2023,6,7)),E1724*J1724/1000,0)</f>
        <v/>
      </c>
    </row>
    <row r="1725">
      <c r="A1725" t="n">
        <v>1724</v>
      </c>
      <c r="B1725" s="1" t="n">
        <v>45084</v>
      </c>
      <c r="C1725" s="5" t="inlineStr">
        <is>
          <t>M17</t>
        </is>
      </c>
      <c r="D1725" s="5" t="n">
        <v>32</v>
      </c>
      <c r="E1725" s="5" t="n">
        <v>87</v>
      </c>
      <c r="F1725" t="inlineStr">
        <is>
          <t>Продажа</t>
        </is>
      </c>
      <c r="H1725">
        <f>VLOOKUP(C1725,Магазин!$A$2:$C$1000,2,0)</f>
        <v/>
      </c>
      <c r="I1725">
        <f>VLOOKUP(D1725,Товар!$A$2:$F$1000,3,0)</f>
        <v/>
      </c>
      <c r="J1725">
        <f>VLOOKUP(D1725,Товар!$A$2:$F$1000,5,0)</f>
        <v/>
      </c>
      <c r="K1725">
        <f>IF(AND(H1725="Промышленный",LEFT(I1725,18)="Порошок стиральный",F1725="Продажа",B1725=DATE(2023,6,7)),E1725*J1725/1000,0)</f>
        <v/>
      </c>
    </row>
    <row r="1726">
      <c r="A1726" t="n">
        <v>1725</v>
      </c>
      <c r="B1726" s="1" t="n">
        <v>45084</v>
      </c>
      <c r="C1726" s="5" t="inlineStr">
        <is>
          <t>M17</t>
        </is>
      </c>
      <c r="D1726" s="5" t="n">
        <v>33</v>
      </c>
      <c r="E1726" s="5" t="n">
        <v>73</v>
      </c>
      <c r="F1726" t="inlineStr">
        <is>
          <t>Продажа</t>
        </is>
      </c>
      <c r="H1726">
        <f>VLOOKUP(C1726,Магазин!$A$2:$C$1000,2,0)</f>
        <v/>
      </c>
      <c r="I1726">
        <f>VLOOKUP(D1726,Товар!$A$2:$F$1000,3,0)</f>
        <v/>
      </c>
      <c r="J1726">
        <f>VLOOKUP(D1726,Товар!$A$2:$F$1000,5,0)</f>
        <v/>
      </c>
      <c r="K1726">
        <f>IF(AND(H1726="Промышленный",LEFT(I1726,18)="Порошок стиральный",F1726="Продажа",B1726=DATE(2023,6,7)),E1726*J1726/1000,0)</f>
        <v/>
      </c>
    </row>
    <row r="1727">
      <c r="A1727" t="n">
        <v>1726</v>
      </c>
      <c r="B1727" s="1" t="n">
        <v>45084</v>
      </c>
      <c r="C1727" s="5" t="inlineStr">
        <is>
          <t>M17</t>
        </is>
      </c>
      <c r="D1727" s="5" t="n">
        <v>34</v>
      </c>
      <c r="E1727" s="5" t="n">
        <v>71</v>
      </c>
      <c r="F1727" t="inlineStr">
        <is>
          <t>Продажа</t>
        </is>
      </c>
      <c r="H1727">
        <f>VLOOKUP(C1727,Магазин!$A$2:$C$1000,2,0)</f>
        <v/>
      </c>
      <c r="I1727">
        <f>VLOOKUP(D1727,Товар!$A$2:$F$1000,3,0)</f>
        <v/>
      </c>
      <c r="J1727">
        <f>VLOOKUP(D1727,Товар!$A$2:$F$1000,5,0)</f>
        <v/>
      </c>
      <c r="K1727">
        <f>IF(AND(H1727="Промышленный",LEFT(I1727,18)="Порошок стиральный",F1727="Продажа",B1727=DATE(2023,6,7)),E1727*J1727/1000,0)</f>
        <v/>
      </c>
    </row>
    <row r="1728">
      <c r="A1728" t="n">
        <v>1727</v>
      </c>
      <c r="B1728" s="1" t="n">
        <v>45084</v>
      </c>
      <c r="C1728" s="5" t="inlineStr">
        <is>
          <t>M17</t>
        </is>
      </c>
      <c r="D1728" s="5" t="n">
        <v>35</v>
      </c>
      <c r="E1728" s="5" t="n">
        <v>85</v>
      </c>
      <c r="F1728" t="inlineStr">
        <is>
          <t>Продажа</t>
        </is>
      </c>
      <c r="H1728">
        <f>VLOOKUP(C1728,Магазин!$A$2:$C$1000,2,0)</f>
        <v/>
      </c>
      <c r="I1728">
        <f>VLOOKUP(D1728,Товар!$A$2:$F$1000,3,0)</f>
        <v/>
      </c>
      <c r="J1728">
        <f>VLOOKUP(D1728,Товар!$A$2:$F$1000,5,0)</f>
        <v/>
      </c>
      <c r="K1728">
        <f>IF(AND(H1728="Промышленный",LEFT(I1728,18)="Порошок стиральный",F1728="Продажа",B1728=DATE(2023,6,7)),E1728*J1728/1000,0)</f>
        <v/>
      </c>
    </row>
    <row r="1729">
      <c r="A1729" t="n">
        <v>1728</v>
      </c>
      <c r="B1729" s="1" t="n">
        <v>45084</v>
      </c>
      <c r="C1729" s="5" t="inlineStr">
        <is>
          <t>M17</t>
        </is>
      </c>
      <c r="D1729" s="5" t="n">
        <v>36</v>
      </c>
      <c r="E1729" s="5" t="n">
        <v>67</v>
      </c>
      <c r="F1729" t="inlineStr">
        <is>
          <t>Продажа</t>
        </is>
      </c>
      <c r="H1729">
        <f>VLOOKUP(C1729,Магазин!$A$2:$C$1000,2,0)</f>
        <v/>
      </c>
      <c r="I1729">
        <f>VLOOKUP(D1729,Товар!$A$2:$F$1000,3,0)</f>
        <v/>
      </c>
      <c r="J1729">
        <f>VLOOKUP(D1729,Товар!$A$2:$F$1000,5,0)</f>
        <v/>
      </c>
      <c r="K1729">
        <f>IF(AND(H1729="Промышленный",LEFT(I1729,18)="Порошок стиральный",F1729="Продажа",B1729=DATE(2023,6,7)),E1729*J1729/1000,0)</f>
        <v/>
      </c>
    </row>
    <row r="1730">
      <c r="A1730" t="n">
        <v>1729</v>
      </c>
      <c r="B1730" s="1" t="n">
        <v>45084</v>
      </c>
      <c r="C1730" s="5" t="inlineStr">
        <is>
          <t>M1</t>
        </is>
      </c>
      <c r="D1730" s="5" t="n">
        <v>37</v>
      </c>
      <c r="E1730" s="5" t="n">
        <v>205</v>
      </c>
      <c r="F1730" t="inlineStr">
        <is>
          <t>Продажа</t>
        </is>
      </c>
      <c r="H1730">
        <f>VLOOKUP(C1730,Магазин!$A$2:$C$1000,2,0)</f>
        <v/>
      </c>
      <c r="I1730">
        <f>VLOOKUP(D1730,Товар!$A$2:$F$1000,3,0)</f>
        <v/>
      </c>
      <c r="J1730">
        <f>VLOOKUP(D1730,Товар!$A$2:$F$1000,5,0)</f>
        <v/>
      </c>
      <c r="K1730">
        <f>IF(AND(H1730="Промышленный",LEFT(I1730,18)="Порошок стиральный",F1730="Продажа",B1730=DATE(2023,6,7)),E1730*J1730/1000,0)</f>
        <v/>
      </c>
    </row>
    <row r="1731">
      <c r="A1731" t="n">
        <v>1730</v>
      </c>
      <c r="B1731" s="1" t="n">
        <v>45084</v>
      </c>
      <c r="C1731" s="5" t="inlineStr">
        <is>
          <t>M1</t>
        </is>
      </c>
      <c r="D1731" s="5" t="n">
        <v>38</v>
      </c>
      <c r="E1731" s="5" t="n">
        <v>357</v>
      </c>
      <c r="F1731" t="inlineStr">
        <is>
          <t>Продажа</t>
        </is>
      </c>
      <c r="H1731">
        <f>VLOOKUP(C1731,Магазин!$A$2:$C$1000,2,0)</f>
        <v/>
      </c>
      <c r="I1731">
        <f>VLOOKUP(D1731,Товар!$A$2:$F$1000,3,0)</f>
        <v/>
      </c>
      <c r="J1731">
        <f>VLOOKUP(D1731,Товар!$A$2:$F$1000,5,0)</f>
        <v/>
      </c>
      <c r="K1731">
        <f>IF(AND(H1731="Промышленный",LEFT(I1731,18)="Порошок стиральный",F1731="Продажа",B1731=DATE(2023,6,7)),E1731*J1731/1000,0)</f>
        <v/>
      </c>
    </row>
    <row r="1732">
      <c r="A1732" t="n">
        <v>1731</v>
      </c>
      <c r="B1732" s="1" t="n">
        <v>45084</v>
      </c>
      <c r="C1732" s="5" t="inlineStr">
        <is>
          <t>M1</t>
        </is>
      </c>
      <c r="D1732" s="5" t="n">
        <v>39</v>
      </c>
      <c r="E1732" s="5" t="n">
        <v>268</v>
      </c>
      <c r="F1732" t="inlineStr">
        <is>
          <t>Продажа</t>
        </is>
      </c>
      <c r="H1732">
        <f>VLOOKUP(C1732,Магазин!$A$2:$C$1000,2,0)</f>
        <v/>
      </c>
      <c r="I1732">
        <f>VLOOKUP(D1732,Товар!$A$2:$F$1000,3,0)</f>
        <v/>
      </c>
      <c r="J1732">
        <f>VLOOKUP(D1732,Товар!$A$2:$F$1000,5,0)</f>
        <v/>
      </c>
      <c r="K1732">
        <f>IF(AND(H1732="Промышленный",LEFT(I1732,18)="Порошок стиральный",F1732="Продажа",B1732=DATE(2023,6,7)),E1732*J1732/1000,0)</f>
        <v/>
      </c>
    </row>
    <row r="1733">
      <c r="A1733" t="n">
        <v>1732</v>
      </c>
      <c r="B1733" s="1" t="n">
        <v>45084</v>
      </c>
      <c r="C1733" s="5" t="inlineStr">
        <is>
          <t>M1</t>
        </is>
      </c>
      <c r="D1733" s="5" t="n">
        <v>40</v>
      </c>
      <c r="E1733" s="5" t="n">
        <v>279</v>
      </c>
      <c r="F1733" t="inlineStr">
        <is>
          <t>Продажа</t>
        </is>
      </c>
      <c r="H1733">
        <f>VLOOKUP(C1733,Магазин!$A$2:$C$1000,2,0)</f>
        <v/>
      </c>
      <c r="I1733">
        <f>VLOOKUP(D1733,Товар!$A$2:$F$1000,3,0)</f>
        <v/>
      </c>
      <c r="J1733">
        <f>VLOOKUP(D1733,Товар!$A$2:$F$1000,5,0)</f>
        <v/>
      </c>
      <c r="K1733">
        <f>IF(AND(H1733="Промышленный",LEFT(I1733,18)="Порошок стиральный",F1733="Продажа",B1733=DATE(2023,6,7)),E1733*J1733/1000,0)</f>
        <v/>
      </c>
    </row>
    <row r="1734">
      <c r="A1734" t="n">
        <v>1733</v>
      </c>
      <c r="B1734" s="1" t="n">
        <v>45084</v>
      </c>
      <c r="C1734" s="5" t="inlineStr">
        <is>
          <t>M1</t>
        </is>
      </c>
      <c r="D1734" s="5" t="n">
        <v>41</v>
      </c>
      <c r="E1734" s="5" t="n">
        <v>281</v>
      </c>
      <c r="F1734" t="inlineStr">
        <is>
          <t>Продажа</t>
        </is>
      </c>
      <c r="H1734">
        <f>VLOOKUP(C1734,Магазин!$A$2:$C$1000,2,0)</f>
        <v/>
      </c>
      <c r="I1734">
        <f>VLOOKUP(D1734,Товар!$A$2:$F$1000,3,0)</f>
        <v/>
      </c>
      <c r="J1734">
        <f>VLOOKUP(D1734,Товар!$A$2:$F$1000,5,0)</f>
        <v/>
      </c>
      <c r="K1734">
        <f>IF(AND(H1734="Промышленный",LEFT(I1734,18)="Порошок стиральный",F1734="Продажа",B1734=DATE(2023,6,7)),E1734*J1734/1000,0)</f>
        <v/>
      </c>
    </row>
    <row r="1735">
      <c r="A1735" t="n">
        <v>1734</v>
      </c>
      <c r="B1735" s="1" t="n">
        <v>45084</v>
      </c>
      <c r="C1735" s="5" t="inlineStr">
        <is>
          <t>M1</t>
        </is>
      </c>
      <c r="D1735" s="5" t="n">
        <v>42</v>
      </c>
      <c r="E1735" s="5" t="n">
        <v>292</v>
      </c>
      <c r="F1735" t="inlineStr">
        <is>
          <t>Продажа</t>
        </is>
      </c>
      <c r="H1735">
        <f>VLOOKUP(C1735,Магазин!$A$2:$C$1000,2,0)</f>
        <v/>
      </c>
      <c r="I1735">
        <f>VLOOKUP(D1735,Товар!$A$2:$F$1000,3,0)</f>
        <v/>
      </c>
      <c r="J1735">
        <f>VLOOKUP(D1735,Товар!$A$2:$F$1000,5,0)</f>
        <v/>
      </c>
      <c r="K1735">
        <f>IF(AND(H1735="Промышленный",LEFT(I1735,18)="Порошок стиральный",F1735="Продажа",B1735=DATE(2023,6,7)),E1735*J1735/1000,0)</f>
        <v/>
      </c>
    </row>
    <row r="1736">
      <c r="A1736" t="n">
        <v>1735</v>
      </c>
      <c r="B1736" s="1" t="n">
        <v>45084</v>
      </c>
      <c r="C1736" s="5" t="inlineStr">
        <is>
          <t>M1</t>
        </is>
      </c>
      <c r="D1736" s="5" t="n">
        <v>43</v>
      </c>
      <c r="E1736" s="5" t="n">
        <v>203</v>
      </c>
      <c r="F1736" t="inlineStr">
        <is>
          <t>Продажа</t>
        </is>
      </c>
      <c r="H1736">
        <f>VLOOKUP(C1736,Магазин!$A$2:$C$1000,2,0)</f>
        <v/>
      </c>
      <c r="I1736">
        <f>VLOOKUP(D1736,Товар!$A$2:$F$1000,3,0)</f>
        <v/>
      </c>
      <c r="J1736">
        <f>VLOOKUP(D1736,Товар!$A$2:$F$1000,5,0)</f>
        <v/>
      </c>
      <c r="K1736">
        <f>IF(AND(H1736="Промышленный",LEFT(I1736,18)="Порошок стиральный",F1736="Продажа",B1736=DATE(2023,6,7)),E1736*J1736/1000,0)</f>
        <v/>
      </c>
    </row>
    <row r="1737">
      <c r="A1737" t="n">
        <v>1736</v>
      </c>
      <c r="B1737" s="1" t="n">
        <v>45084</v>
      </c>
      <c r="C1737" s="5" t="inlineStr">
        <is>
          <t>M1</t>
        </is>
      </c>
      <c r="D1737" s="5" t="n">
        <v>44</v>
      </c>
      <c r="E1737" s="5" t="n">
        <v>214</v>
      </c>
      <c r="F1737" t="inlineStr">
        <is>
          <t>Продажа</t>
        </is>
      </c>
      <c r="H1737">
        <f>VLOOKUP(C1737,Магазин!$A$2:$C$1000,2,0)</f>
        <v/>
      </c>
      <c r="I1737">
        <f>VLOOKUP(D1737,Товар!$A$2:$F$1000,3,0)</f>
        <v/>
      </c>
      <c r="J1737">
        <f>VLOOKUP(D1737,Товар!$A$2:$F$1000,5,0)</f>
        <v/>
      </c>
      <c r="K1737">
        <f>IF(AND(H1737="Промышленный",LEFT(I1737,18)="Порошок стиральный",F1737="Продажа",B1737=DATE(2023,6,7)),E1737*J1737/1000,0)</f>
        <v/>
      </c>
    </row>
    <row r="1738">
      <c r="A1738" t="n">
        <v>1737</v>
      </c>
      <c r="B1738" s="1" t="n">
        <v>45084</v>
      </c>
      <c r="C1738" s="5" t="inlineStr">
        <is>
          <t>M1</t>
        </is>
      </c>
      <c r="D1738" s="5" t="n">
        <v>45</v>
      </c>
      <c r="E1738" s="5" t="n">
        <v>225</v>
      </c>
      <c r="F1738" t="inlineStr">
        <is>
          <t>Продажа</t>
        </is>
      </c>
      <c r="H1738">
        <f>VLOOKUP(C1738,Магазин!$A$2:$C$1000,2,0)</f>
        <v/>
      </c>
      <c r="I1738">
        <f>VLOOKUP(D1738,Товар!$A$2:$F$1000,3,0)</f>
        <v/>
      </c>
      <c r="J1738">
        <f>VLOOKUP(D1738,Товар!$A$2:$F$1000,5,0)</f>
        <v/>
      </c>
      <c r="K1738">
        <f>IF(AND(H1738="Промышленный",LEFT(I1738,18)="Порошок стиральный",F1738="Продажа",B1738=DATE(2023,6,7)),E1738*J1738/1000,0)</f>
        <v/>
      </c>
    </row>
    <row r="1739">
      <c r="A1739" t="n">
        <v>1738</v>
      </c>
      <c r="B1739" s="1" t="n">
        <v>45084</v>
      </c>
      <c r="C1739" s="5" t="inlineStr">
        <is>
          <t>M1</t>
        </is>
      </c>
      <c r="D1739" s="5" t="n">
        <v>46</v>
      </c>
      <c r="E1739" s="5" t="n">
        <v>236</v>
      </c>
      <c r="F1739" t="inlineStr">
        <is>
          <t>Продажа</t>
        </is>
      </c>
      <c r="H1739">
        <f>VLOOKUP(C1739,Магазин!$A$2:$C$1000,2,0)</f>
        <v/>
      </c>
      <c r="I1739">
        <f>VLOOKUP(D1739,Товар!$A$2:$F$1000,3,0)</f>
        <v/>
      </c>
      <c r="J1739">
        <f>VLOOKUP(D1739,Товар!$A$2:$F$1000,5,0)</f>
        <v/>
      </c>
      <c r="K1739">
        <f>IF(AND(H1739="Промышленный",LEFT(I1739,18)="Порошок стиральный",F1739="Продажа",B1739=DATE(2023,6,7)),E1739*J1739/1000,0)</f>
        <v/>
      </c>
    </row>
    <row r="1740">
      <c r="A1740" t="n">
        <v>1739</v>
      </c>
      <c r="B1740" s="1" t="n">
        <v>45084</v>
      </c>
      <c r="C1740" s="5" t="inlineStr">
        <is>
          <t>M1</t>
        </is>
      </c>
      <c r="D1740" s="5" t="n">
        <v>47</v>
      </c>
      <c r="E1740" s="5" t="n">
        <v>247</v>
      </c>
      <c r="F1740" t="inlineStr">
        <is>
          <t>Продажа</t>
        </is>
      </c>
      <c r="H1740">
        <f>VLOOKUP(C1740,Магазин!$A$2:$C$1000,2,0)</f>
        <v/>
      </c>
      <c r="I1740">
        <f>VLOOKUP(D1740,Товар!$A$2:$F$1000,3,0)</f>
        <v/>
      </c>
      <c r="J1740">
        <f>VLOOKUP(D1740,Товар!$A$2:$F$1000,5,0)</f>
        <v/>
      </c>
      <c r="K1740">
        <f>IF(AND(H1740="Промышленный",LEFT(I1740,18)="Порошок стиральный",F1740="Продажа",B1740=DATE(2023,6,7)),E1740*J1740/1000,0)</f>
        <v/>
      </c>
    </row>
    <row r="1741">
      <c r="A1741" t="n">
        <v>1740</v>
      </c>
      <c r="B1741" s="1" t="n">
        <v>45084</v>
      </c>
      <c r="C1741" s="5" t="inlineStr">
        <is>
          <t>M1</t>
        </is>
      </c>
      <c r="D1741" s="5" t="n">
        <v>48</v>
      </c>
      <c r="E1741" s="5" t="n">
        <v>258</v>
      </c>
      <c r="F1741" t="inlineStr">
        <is>
          <t>Продажа</t>
        </is>
      </c>
      <c r="H1741">
        <f>VLOOKUP(C1741,Магазин!$A$2:$C$1000,2,0)</f>
        <v/>
      </c>
      <c r="I1741">
        <f>VLOOKUP(D1741,Товар!$A$2:$F$1000,3,0)</f>
        <v/>
      </c>
      <c r="J1741">
        <f>VLOOKUP(D1741,Товар!$A$2:$F$1000,5,0)</f>
        <v/>
      </c>
      <c r="K1741">
        <f>IF(AND(H1741="Промышленный",LEFT(I1741,18)="Порошок стиральный",F1741="Продажа",B1741=DATE(2023,6,7)),E1741*J1741/1000,0)</f>
        <v/>
      </c>
    </row>
    <row r="1742">
      <c r="A1742" t="n">
        <v>1741</v>
      </c>
      <c r="B1742" s="1" t="n">
        <v>45084</v>
      </c>
      <c r="C1742" s="5" t="inlineStr">
        <is>
          <t>M1</t>
        </is>
      </c>
      <c r="D1742" s="5" t="n">
        <v>49</v>
      </c>
      <c r="E1742" s="5" t="n">
        <v>256</v>
      </c>
      <c r="F1742" t="inlineStr">
        <is>
          <t>Продажа</t>
        </is>
      </c>
      <c r="H1742">
        <f>VLOOKUP(C1742,Магазин!$A$2:$C$1000,2,0)</f>
        <v/>
      </c>
      <c r="I1742">
        <f>VLOOKUP(D1742,Товар!$A$2:$F$1000,3,0)</f>
        <v/>
      </c>
      <c r="J1742">
        <f>VLOOKUP(D1742,Товар!$A$2:$F$1000,5,0)</f>
        <v/>
      </c>
      <c r="K1742">
        <f>IF(AND(H1742="Промышленный",LEFT(I1742,18)="Порошок стиральный",F1742="Продажа",B1742=DATE(2023,6,7)),E1742*J1742/1000,0)</f>
        <v/>
      </c>
    </row>
    <row r="1743">
      <c r="A1743" t="n">
        <v>1742</v>
      </c>
      <c r="B1743" s="1" t="n">
        <v>45084</v>
      </c>
      <c r="C1743" s="5" t="inlineStr">
        <is>
          <t>M1</t>
        </is>
      </c>
      <c r="D1743" s="5" t="n">
        <v>50</v>
      </c>
      <c r="E1743" s="5" t="n">
        <v>269</v>
      </c>
      <c r="F1743" t="inlineStr">
        <is>
          <t>Продажа</t>
        </is>
      </c>
      <c r="H1743">
        <f>VLOOKUP(C1743,Магазин!$A$2:$C$1000,2,0)</f>
        <v/>
      </c>
      <c r="I1743">
        <f>VLOOKUP(D1743,Товар!$A$2:$F$1000,3,0)</f>
        <v/>
      </c>
      <c r="J1743">
        <f>VLOOKUP(D1743,Товар!$A$2:$F$1000,5,0)</f>
        <v/>
      </c>
      <c r="K1743">
        <f>IF(AND(H1743="Промышленный",LEFT(I1743,18)="Порошок стиральный",F1743="Продажа",B1743=DATE(2023,6,7)),E1743*J1743/1000,0)</f>
        <v/>
      </c>
    </row>
    <row r="1744">
      <c r="A1744" t="n">
        <v>1743</v>
      </c>
      <c r="B1744" s="1" t="n">
        <v>45084</v>
      </c>
      <c r="C1744" s="5" t="inlineStr">
        <is>
          <t>M1</t>
        </is>
      </c>
      <c r="D1744" s="5" t="n">
        <v>51</v>
      </c>
      <c r="E1744" s="5" t="n">
        <v>204</v>
      </c>
      <c r="F1744" t="inlineStr">
        <is>
          <t>Продажа</t>
        </is>
      </c>
      <c r="H1744">
        <f>VLOOKUP(C1744,Магазин!$A$2:$C$1000,2,0)</f>
        <v/>
      </c>
      <c r="I1744">
        <f>VLOOKUP(D1744,Товар!$A$2:$F$1000,3,0)</f>
        <v/>
      </c>
      <c r="J1744">
        <f>VLOOKUP(D1744,Товар!$A$2:$F$1000,5,0)</f>
        <v/>
      </c>
      <c r="K1744">
        <f>IF(AND(H1744="Промышленный",LEFT(I1744,18)="Порошок стиральный",F1744="Продажа",B1744=DATE(2023,6,7)),E1744*J1744/1000,0)</f>
        <v/>
      </c>
    </row>
    <row r="1745">
      <c r="A1745" t="n">
        <v>1744</v>
      </c>
      <c r="B1745" s="1" t="n">
        <v>45084</v>
      </c>
      <c r="C1745" s="5" t="inlineStr">
        <is>
          <t>M1</t>
        </is>
      </c>
      <c r="D1745" s="5" t="n">
        <v>52</v>
      </c>
      <c r="E1745" s="5" t="n">
        <v>206</v>
      </c>
      <c r="F1745" t="inlineStr">
        <is>
          <t>Продажа</t>
        </is>
      </c>
      <c r="H1745">
        <f>VLOOKUP(C1745,Магазин!$A$2:$C$1000,2,0)</f>
        <v/>
      </c>
      <c r="I1745">
        <f>VLOOKUP(D1745,Товар!$A$2:$F$1000,3,0)</f>
        <v/>
      </c>
      <c r="J1745">
        <f>VLOOKUP(D1745,Товар!$A$2:$F$1000,5,0)</f>
        <v/>
      </c>
      <c r="K1745">
        <f>IF(AND(H1745="Промышленный",LEFT(I1745,18)="Порошок стиральный",F1745="Продажа",B1745=DATE(2023,6,7)),E1745*J1745/1000,0)</f>
        <v/>
      </c>
    </row>
    <row r="1746">
      <c r="A1746" t="n">
        <v>1745</v>
      </c>
      <c r="B1746" s="1" t="n">
        <v>45084</v>
      </c>
      <c r="C1746" s="5" t="inlineStr">
        <is>
          <t>M1</t>
        </is>
      </c>
      <c r="D1746" s="5" t="n">
        <v>53</v>
      </c>
      <c r="E1746" s="5" t="n">
        <v>208</v>
      </c>
      <c r="F1746" t="inlineStr">
        <is>
          <t>Продажа</t>
        </is>
      </c>
      <c r="H1746">
        <f>VLOOKUP(C1746,Магазин!$A$2:$C$1000,2,0)</f>
        <v/>
      </c>
      <c r="I1746">
        <f>VLOOKUP(D1746,Товар!$A$2:$F$1000,3,0)</f>
        <v/>
      </c>
      <c r="J1746">
        <f>VLOOKUP(D1746,Товар!$A$2:$F$1000,5,0)</f>
        <v/>
      </c>
      <c r="K1746">
        <f>IF(AND(H1746="Промышленный",LEFT(I1746,18)="Порошок стиральный",F1746="Продажа",B1746=DATE(2023,6,7)),E1746*J1746/1000,0)</f>
        <v/>
      </c>
    </row>
    <row r="1747">
      <c r="A1747" t="n">
        <v>1746</v>
      </c>
      <c r="B1747" s="1" t="n">
        <v>45084</v>
      </c>
      <c r="C1747" s="5" t="inlineStr">
        <is>
          <t>M1</t>
        </is>
      </c>
      <c r="D1747" s="5" t="n">
        <v>54</v>
      </c>
      <c r="E1747" s="5" t="n">
        <v>209</v>
      </c>
      <c r="F1747" t="inlineStr">
        <is>
          <t>Продажа</t>
        </is>
      </c>
      <c r="H1747">
        <f>VLOOKUP(C1747,Магазин!$A$2:$C$1000,2,0)</f>
        <v/>
      </c>
      <c r="I1747">
        <f>VLOOKUP(D1747,Товар!$A$2:$F$1000,3,0)</f>
        <v/>
      </c>
      <c r="J1747">
        <f>VLOOKUP(D1747,Товар!$A$2:$F$1000,5,0)</f>
        <v/>
      </c>
      <c r="K1747">
        <f>IF(AND(H1747="Промышленный",LEFT(I1747,18)="Порошок стиральный",F1747="Продажа",B1747=DATE(2023,6,7)),E1747*J1747/1000,0)</f>
        <v/>
      </c>
    </row>
    <row r="1748">
      <c r="A1748" t="n">
        <v>1747</v>
      </c>
      <c r="B1748" s="1" t="n">
        <v>45084</v>
      </c>
      <c r="C1748" s="5" t="inlineStr">
        <is>
          <t>M1</t>
        </is>
      </c>
      <c r="D1748" s="5" t="n">
        <v>55</v>
      </c>
      <c r="E1748" s="5" t="n">
        <v>299</v>
      </c>
      <c r="F1748" t="inlineStr">
        <is>
          <t>Продажа</t>
        </is>
      </c>
      <c r="H1748">
        <f>VLOOKUP(C1748,Магазин!$A$2:$C$1000,2,0)</f>
        <v/>
      </c>
      <c r="I1748">
        <f>VLOOKUP(D1748,Товар!$A$2:$F$1000,3,0)</f>
        <v/>
      </c>
      <c r="J1748">
        <f>VLOOKUP(D1748,Товар!$A$2:$F$1000,5,0)</f>
        <v/>
      </c>
      <c r="K1748">
        <f>IF(AND(H1748="Промышленный",LEFT(I1748,18)="Порошок стиральный",F1748="Продажа",B1748=DATE(2023,6,7)),E1748*J1748/1000,0)</f>
        <v/>
      </c>
    </row>
    <row r="1749">
      <c r="A1749" t="n">
        <v>1748</v>
      </c>
      <c r="B1749" s="1" t="n">
        <v>45084</v>
      </c>
      <c r="C1749" s="5" t="inlineStr">
        <is>
          <t>M1</t>
        </is>
      </c>
      <c r="D1749" s="5" t="n">
        <v>56</v>
      </c>
      <c r="E1749" s="5" t="n">
        <v>275</v>
      </c>
      <c r="F1749" t="inlineStr">
        <is>
          <t>Продажа</t>
        </is>
      </c>
      <c r="H1749">
        <f>VLOOKUP(C1749,Магазин!$A$2:$C$1000,2,0)</f>
        <v/>
      </c>
      <c r="I1749">
        <f>VLOOKUP(D1749,Товар!$A$2:$F$1000,3,0)</f>
        <v/>
      </c>
      <c r="J1749">
        <f>VLOOKUP(D1749,Товар!$A$2:$F$1000,5,0)</f>
        <v/>
      </c>
      <c r="K1749">
        <f>IF(AND(H1749="Промышленный",LEFT(I1749,18)="Порошок стиральный",F1749="Продажа",B1749=DATE(2023,6,7)),E1749*J1749/1000,0)</f>
        <v/>
      </c>
    </row>
    <row r="1750">
      <c r="A1750" t="n">
        <v>1749</v>
      </c>
      <c r="B1750" s="1" t="n">
        <v>45084</v>
      </c>
      <c r="C1750" s="5" t="inlineStr">
        <is>
          <t>M1</t>
        </is>
      </c>
      <c r="D1750" s="5" t="n">
        <v>57</v>
      </c>
      <c r="E1750" s="5" t="n">
        <v>234</v>
      </c>
      <c r="F1750" t="inlineStr">
        <is>
          <t>Продажа</t>
        </is>
      </c>
      <c r="H1750">
        <f>VLOOKUP(C1750,Магазин!$A$2:$C$1000,2,0)</f>
        <v/>
      </c>
      <c r="I1750">
        <f>VLOOKUP(D1750,Товар!$A$2:$F$1000,3,0)</f>
        <v/>
      </c>
      <c r="J1750">
        <f>VLOOKUP(D1750,Товар!$A$2:$F$1000,5,0)</f>
        <v/>
      </c>
      <c r="K1750">
        <f>IF(AND(H1750="Промышленный",LEFT(I1750,18)="Порошок стиральный",F1750="Продажа",B1750=DATE(2023,6,7)),E1750*J1750/1000,0)</f>
        <v/>
      </c>
    </row>
    <row r="1751">
      <c r="A1751" t="n">
        <v>1750</v>
      </c>
      <c r="B1751" s="1" t="n">
        <v>45084</v>
      </c>
      <c r="C1751" s="5" t="inlineStr">
        <is>
          <t>M1</t>
        </is>
      </c>
      <c r="D1751" s="5" t="n">
        <v>58</v>
      </c>
      <c r="E1751" s="5" t="n">
        <v>228</v>
      </c>
      <c r="F1751" t="inlineStr">
        <is>
          <t>Продажа</t>
        </is>
      </c>
      <c r="H1751">
        <f>VLOOKUP(C1751,Магазин!$A$2:$C$1000,2,0)</f>
        <v/>
      </c>
      <c r="I1751">
        <f>VLOOKUP(D1751,Товар!$A$2:$F$1000,3,0)</f>
        <v/>
      </c>
      <c r="J1751">
        <f>VLOOKUP(D1751,Товар!$A$2:$F$1000,5,0)</f>
        <v/>
      </c>
      <c r="K1751">
        <f>IF(AND(H1751="Промышленный",LEFT(I1751,18)="Порошок стиральный",F1751="Продажа",B1751=DATE(2023,6,7)),E1751*J1751/1000,0)</f>
        <v/>
      </c>
    </row>
    <row r="1752">
      <c r="A1752" t="n">
        <v>1751</v>
      </c>
      <c r="B1752" s="1" t="n">
        <v>45084</v>
      </c>
      <c r="C1752" s="5" t="inlineStr">
        <is>
          <t>M1</t>
        </is>
      </c>
      <c r="D1752" s="5" t="n">
        <v>59</v>
      </c>
      <c r="E1752" s="5" t="n">
        <v>217</v>
      </c>
      <c r="F1752" t="inlineStr">
        <is>
          <t>Продажа</t>
        </is>
      </c>
      <c r="H1752">
        <f>VLOOKUP(C1752,Магазин!$A$2:$C$1000,2,0)</f>
        <v/>
      </c>
      <c r="I1752">
        <f>VLOOKUP(D1752,Товар!$A$2:$F$1000,3,0)</f>
        <v/>
      </c>
      <c r="J1752">
        <f>VLOOKUP(D1752,Товар!$A$2:$F$1000,5,0)</f>
        <v/>
      </c>
      <c r="K1752">
        <f>IF(AND(H1752="Промышленный",LEFT(I1752,18)="Порошок стиральный",F1752="Продажа",B1752=DATE(2023,6,7)),E1752*J1752/1000,0)</f>
        <v/>
      </c>
    </row>
    <row r="1753">
      <c r="A1753" t="n">
        <v>1752</v>
      </c>
      <c r="B1753" s="1" t="n">
        <v>45084</v>
      </c>
      <c r="C1753" s="5" t="inlineStr">
        <is>
          <t>M1</t>
        </is>
      </c>
      <c r="D1753" s="5" t="n">
        <v>60</v>
      </c>
      <c r="E1753" s="5" t="n">
        <v>258</v>
      </c>
      <c r="F1753" t="inlineStr">
        <is>
          <t>Продажа</t>
        </is>
      </c>
      <c r="H1753">
        <f>VLOOKUP(C1753,Магазин!$A$2:$C$1000,2,0)</f>
        <v/>
      </c>
      <c r="I1753">
        <f>VLOOKUP(D1753,Товар!$A$2:$F$1000,3,0)</f>
        <v/>
      </c>
      <c r="J1753">
        <f>VLOOKUP(D1753,Товар!$A$2:$F$1000,5,0)</f>
        <v/>
      </c>
      <c r="K1753">
        <f>IF(AND(H1753="Промышленный",LEFT(I1753,18)="Порошок стиральный",F1753="Продажа",B1753=DATE(2023,6,7)),E1753*J1753/1000,0)</f>
        <v/>
      </c>
    </row>
    <row r="1754">
      <c r="A1754" t="n">
        <v>1753</v>
      </c>
      <c r="B1754" s="1" t="n">
        <v>45084</v>
      </c>
      <c r="C1754" s="5" t="inlineStr">
        <is>
          <t>M5</t>
        </is>
      </c>
      <c r="D1754" s="5" t="n">
        <v>37</v>
      </c>
      <c r="E1754" s="5" t="n">
        <v>199</v>
      </c>
      <c r="F1754" t="inlineStr">
        <is>
          <t>Продажа</t>
        </is>
      </c>
      <c r="H1754">
        <f>VLOOKUP(C1754,Магазин!$A$2:$C$1000,2,0)</f>
        <v/>
      </c>
      <c r="I1754">
        <f>VLOOKUP(D1754,Товар!$A$2:$F$1000,3,0)</f>
        <v/>
      </c>
      <c r="J1754">
        <f>VLOOKUP(D1754,Товар!$A$2:$F$1000,5,0)</f>
        <v/>
      </c>
      <c r="K1754">
        <f>IF(AND(H1754="Промышленный",LEFT(I1754,18)="Порошок стиральный",F1754="Продажа",B1754=DATE(2023,6,7)),E1754*J1754/1000,0)</f>
        <v/>
      </c>
    </row>
    <row r="1755">
      <c r="A1755" t="n">
        <v>1754</v>
      </c>
      <c r="B1755" s="1" t="n">
        <v>45084</v>
      </c>
      <c r="C1755" s="5" t="inlineStr">
        <is>
          <t>M5</t>
        </is>
      </c>
      <c r="D1755" s="5" t="n">
        <v>38</v>
      </c>
      <c r="E1755" s="5" t="n">
        <v>248</v>
      </c>
      <c r="F1755" t="inlineStr">
        <is>
          <t>Продажа</t>
        </is>
      </c>
      <c r="H1755">
        <f>VLOOKUP(C1755,Магазин!$A$2:$C$1000,2,0)</f>
        <v/>
      </c>
      <c r="I1755">
        <f>VLOOKUP(D1755,Товар!$A$2:$F$1000,3,0)</f>
        <v/>
      </c>
      <c r="J1755">
        <f>VLOOKUP(D1755,Товар!$A$2:$F$1000,5,0)</f>
        <v/>
      </c>
      <c r="K1755">
        <f>IF(AND(H1755="Промышленный",LEFT(I1755,18)="Порошок стиральный",F1755="Продажа",B1755=DATE(2023,6,7)),E1755*J1755/1000,0)</f>
        <v/>
      </c>
    </row>
    <row r="1756">
      <c r="A1756" t="n">
        <v>1755</v>
      </c>
      <c r="B1756" s="1" t="n">
        <v>45084</v>
      </c>
      <c r="C1756" s="5" t="inlineStr">
        <is>
          <t>M5</t>
        </is>
      </c>
      <c r="D1756" s="5" t="n">
        <v>39</v>
      </c>
      <c r="E1756" s="5" t="n">
        <v>236</v>
      </c>
      <c r="F1756" t="inlineStr">
        <is>
          <t>Продажа</t>
        </is>
      </c>
      <c r="H1756">
        <f>VLOOKUP(C1756,Магазин!$A$2:$C$1000,2,0)</f>
        <v/>
      </c>
      <c r="I1756">
        <f>VLOOKUP(D1756,Товар!$A$2:$F$1000,3,0)</f>
        <v/>
      </c>
      <c r="J1756">
        <f>VLOOKUP(D1756,Товар!$A$2:$F$1000,5,0)</f>
        <v/>
      </c>
      <c r="K1756">
        <f>IF(AND(H1756="Промышленный",LEFT(I1756,18)="Порошок стиральный",F1756="Продажа",B1756=DATE(2023,6,7)),E1756*J1756/1000,0)</f>
        <v/>
      </c>
    </row>
    <row r="1757">
      <c r="A1757" t="n">
        <v>1756</v>
      </c>
      <c r="B1757" s="1" t="n">
        <v>45084</v>
      </c>
      <c r="C1757" s="5" t="inlineStr">
        <is>
          <t>M5</t>
        </is>
      </c>
      <c r="D1757" s="5" t="n">
        <v>40</v>
      </c>
      <c r="E1757" s="5" t="n">
        <v>287</v>
      </c>
      <c r="F1757" t="inlineStr">
        <is>
          <t>Продажа</t>
        </is>
      </c>
      <c r="H1757">
        <f>VLOOKUP(C1757,Магазин!$A$2:$C$1000,2,0)</f>
        <v/>
      </c>
      <c r="I1757">
        <f>VLOOKUP(D1757,Товар!$A$2:$F$1000,3,0)</f>
        <v/>
      </c>
      <c r="J1757">
        <f>VLOOKUP(D1757,Товар!$A$2:$F$1000,5,0)</f>
        <v/>
      </c>
      <c r="K1757">
        <f>IF(AND(H1757="Промышленный",LEFT(I1757,18)="Порошок стиральный",F1757="Продажа",B1757=DATE(2023,6,7)),E1757*J1757/1000,0)</f>
        <v/>
      </c>
    </row>
    <row r="1758">
      <c r="A1758" t="n">
        <v>1757</v>
      </c>
      <c r="B1758" s="1" t="n">
        <v>45084</v>
      </c>
      <c r="C1758" s="5" t="inlineStr">
        <is>
          <t>M5</t>
        </is>
      </c>
      <c r="D1758" s="5" t="n">
        <v>41</v>
      </c>
      <c r="E1758" s="5" t="n">
        <v>265</v>
      </c>
      <c r="F1758" t="inlineStr">
        <is>
          <t>Продажа</t>
        </is>
      </c>
      <c r="H1758">
        <f>VLOOKUP(C1758,Магазин!$A$2:$C$1000,2,0)</f>
        <v/>
      </c>
      <c r="I1758">
        <f>VLOOKUP(D1758,Товар!$A$2:$F$1000,3,0)</f>
        <v/>
      </c>
      <c r="J1758">
        <f>VLOOKUP(D1758,Товар!$A$2:$F$1000,5,0)</f>
        <v/>
      </c>
      <c r="K1758">
        <f>IF(AND(H1758="Промышленный",LEFT(I1758,18)="Порошок стиральный",F1758="Продажа",B1758=DATE(2023,6,7)),E1758*J1758/1000,0)</f>
        <v/>
      </c>
    </row>
    <row r="1759">
      <c r="A1759" t="n">
        <v>1758</v>
      </c>
      <c r="B1759" s="1" t="n">
        <v>45084</v>
      </c>
      <c r="C1759" s="5" t="inlineStr">
        <is>
          <t>M5</t>
        </is>
      </c>
      <c r="D1759" s="5" t="n">
        <v>42</v>
      </c>
      <c r="E1759" s="5" t="n">
        <v>234</v>
      </c>
      <c r="F1759" t="inlineStr">
        <is>
          <t>Продажа</t>
        </is>
      </c>
      <c r="H1759">
        <f>VLOOKUP(C1759,Магазин!$A$2:$C$1000,2,0)</f>
        <v/>
      </c>
      <c r="I1759">
        <f>VLOOKUP(D1759,Товар!$A$2:$F$1000,3,0)</f>
        <v/>
      </c>
      <c r="J1759">
        <f>VLOOKUP(D1759,Товар!$A$2:$F$1000,5,0)</f>
        <v/>
      </c>
      <c r="K1759">
        <f>IF(AND(H1759="Промышленный",LEFT(I1759,18)="Порошок стиральный",F1759="Продажа",B1759=DATE(2023,6,7)),E1759*J1759/1000,0)</f>
        <v/>
      </c>
    </row>
    <row r="1760">
      <c r="A1760" t="n">
        <v>1759</v>
      </c>
      <c r="B1760" s="1" t="n">
        <v>45084</v>
      </c>
      <c r="C1760" s="5" t="inlineStr">
        <is>
          <t>M5</t>
        </is>
      </c>
      <c r="D1760" s="5" t="n">
        <v>43</v>
      </c>
      <c r="E1760" s="5" t="n">
        <v>258</v>
      </c>
      <c r="F1760" t="inlineStr">
        <is>
          <t>Продажа</t>
        </is>
      </c>
      <c r="H1760">
        <f>VLOOKUP(C1760,Магазин!$A$2:$C$1000,2,0)</f>
        <v/>
      </c>
      <c r="I1760">
        <f>VLOOKUP(D1760,Товар!$A$2:$F$1000,3,0)</f>
        <v/>
      </c>
      <c r="J1760">
        <f>VLOOKUP(D1760,Товар!$A$2:$F$1000,5,0)</f>
        <v/>
      </c>
      <c r="K1760">
        <f>IF(AND(H1760="Промышленный",LEFT(I1760,18)="Порошок стиральный",F1760="Продажа",B1760=DATE(2023,6,7)),E1760*J1760/1000,0)</f>
        <v/>
      </c>
    </row>
    <row r="1761">
      <c r="A1761" t="n">
        <v>1760</v>
      </c>
      <c r="B1761" s="1" t="n">
        <v>45084</v>
      </c>
      <c r="C1761" s="5" t="inlineStr">
        <is>
          <t>M5</t>
        </is>
      </c>
      <c r="D1761" s="5" t="n">
        <v>44</v>
      </c>
      <c r="E1761" s="5" t="n">
        <v>264</v>
      </c>
      <c r="F1761" t="inlineStr">
        <is>
          <t>Продажа</t>
        </is>
      </c>
      <c r="H1761">
        <f>VLOOKUP(C1761,Магазин!$A$2:$C$1000,2,0)</f>
        <v/>
      </c>
      <c r="I1761">
        <f>VLOOKUP(D1761,Товар!$A$2:$F$1000,3,0)</f>
        <v/>
      </c>
      <c r="J1761">
        <f>VLOOKUP(D1761,Товар!$A$2:$F$1000,5,0)</f>
        <v/>
      </c>
      <c r="K1761">
        <f>IF(AND(H1761="Промышленный",LEFT(I1761,18)="Порошок стиральный",F1761="Продажа",B1761=DATE(2023,6,7)),E1761*J1761/1000,0)</f>
        <v/>
      </c>
    </row>
    <row r="1762">
      <c r="A1762" t="n">
        <v>1761</v>
      </c>
      <c r="B1762" s="1" t="n">
        <v>45084</v>
      </c>
      <c r="C1762" s="5" t="inlineStr">
        <is>
          <t>M5</t>
        </is>
      </c>
      <c r="D1762" s="5" t="n">
        <v>45</v>
      </c>
      <c r="E1762" s="5" t="n">
        <v>237</v>
      </c>
      <c r="F1762" t="inlineStr">
        <is>
          <t>Продажа</t>
        </is>
      </c>
      <c r="H1762">
        <f>VLOOKUP(C1762,Магазин!$A$2:$C$1000,2,0)</f>
        <v/>
      </c>
      <c r="I1762">
        <f>VLOOKUP(D1762,Товар!$A$2:$F$1000,3,0)</f>
        <v/>
      </c>
      <c r="J1762">
        <f>VLOOKUP(D1762,Товар!$A$2:$F$1000,5,0)</f>
        <v/>
      </c>
      <c r="K1762">
        <f>IF(AND(H1762="Промышленный",LEFT(I1762,18)="Порошок стиральный",F1762="Продажа",B1762=DATE(2023,6,7)),E1762*J1762/1000,0)</f>
        <v/>
      </c>
    </row>
    <row r="1763">
      <c r="A1763" t="n">
        <v>1762</v>
      </c>
      <c r="B1763" s="1" t="n">
        <v>45084</v>
      </c>
      <c r="C1763" s="5" t="inlineStr">
        <is>
          <t>M5</t>
        </is>
      </c>
      <c r="D1763" s="5" t="n">
        <v>46</v>
      </c>
      <c r="E1763" s="5" t="n">
        <v>218</v>
      </c>
      <c r="F1763" t="inlineStr">
        <is>
          <t>Продажа</t>
        </is>
      </c>
      <c r="H1763">
        <f>VLOOKUP(C1763,Магазин!$A$2:$C$1000,2,0)</f>
        <v/>
      </c>
      <c r="I1763">
        <f>VLOOKUP(D1763,Товар!$A$2:$F$1000,3,0)</f>
        <v/>
      </c>
      <c r="J1763">
        <f>VLOOKUP(D1763,Товар!$A$2:$F$1000,5,0)</f>
        <v/>
      </c>
      <c r="K1763">
        <f>IF(AND(H1763="Промышленный",LEFT(I1763,18)="Порошок стиральный",F1763="Продажа",B1763=DATE(2023,6,7)),E1763*J1763/1000,0)</f>
        <v/>
      </c>
    </row>
    <row r="1764">
      <c r="A1764" t="n">
        <v>1763</v>
      </c>
      <c r="B1764" s="1" t="n">
        <v>45084</v>
      </c>
      <c r="C1764" s="5" t="inlineStr">
        <is>
          <t>M5</t>
        </is>
      </c>
      <c r="D1764" s="5" t="n">
        <v>47</v>
      </c>
      <c r="E1764" s="5" t="n">
        <v>249</v>
      </c>
      <c r="F1764" t="inlineStr">
        <is>
          <t>Продажа</t>
        </is>
      </c>
      <c r="H1764">
        <f>VLOOKUP(C1764,Магазин!$A$2:$C$1000,2,0)</f>
        <v/>
      </c>
      <c r="I1764">
        <f>VLOOKUP(D1764,Товар!$A$2:$F$1000,3,0)</f>
        <v/>
      </c>
      <c r="J1764">
        <f>VLOOKUP(D1764,Товар!$A$2:$F$1000,5,0)</f>
        <v/>
      </c>
      <c r="K1764">
        <f>IF(AND(H1764="Промышленный",LEFT(I1764,18)="Порошок стиральный",F1764="Продажа",B1764=DATE(2023,6,7)),E1764*J1764/1000,0)</f>
        <v/>
      </c>
    </row>
    <row r="1765">
      <c r="A1765" t="n">
        <v>1764</v>
      </c>
      <c r="B1765" s="1" t="n">
        <v>45084</v>
      </c>
      <c r="C1765" s="5" t="inlineStr">
        <is>
          <t>M5</t>
        </is>
      </c>
      <c r="D1765" s="5" t="n">
        <v>48</v>
      </c>
      <c r="E1765" s="5" t="n">
        <v>273</v>
      </c>
      <c r="F1765" t="inlineStr">
        <is>
          <t>Продажа</t>
        </is>
      </c>
      <c r="H1765">
        <f>VLOOKUP(C1765,Магазин!$A$2:$C$1000,2,0)</f>
        <v/>
      </c>
      <c r="I1765">
        <f>VLOOKUP(D1765,Товар!$A$2:$F$1000,3,0)</f>
        <v/>
      </c>
      <c r="J1765">
        <f>VLOOKUP(D1765,Товар!$A$2:$F$1000,5,0)</f>
        <v/>
      </c>
      <c r="K1765">
        <f>IF(AND(H1765="Промышленный",LEFT(I1765,18)="Порошок стиральный",F1765="Продажа",B1765=DATE(2023,6,7)),E1765*J1765/1000,0)</f>
        <v/>
      </c>
    </row>
    <row r="1766">
      <c r="A1766" t="n">
        <v>1765</v>
      </c>
      <c r="B1766" s="1" t="n">
        <v>45084</v>
      </c>
      <c r="C1766" s="5" t="inlineStr">
        <is>
          <t>M5</t>
        </is>
      </c>
      <c r="D1766" s="5" t="n">
        <v>49</v>
      </c>
      <c r="E1766" s="5" t="n">
        <v>284</v>
      </c>
      <c r="F1766" t="inlineStr">
        <is>
          <t>Продажа</t>
        </is>
      </c>
      <c r="H1766">
        <f>VLOOKUP(C1766,Магазин!$A$2:$C$1000,2,0)</f>
        <v/>
      </c>
      <c r="I1766">
        <f>VLOOKUP(D1766,Товар!$A$2:$F$1000,3,0)</f>
        <v/>
      </c>
      <c r="J1766">
        <f>VLOOKUP(D1766,Товар!$A$2:$F$1000,5,0)</f>
        <v/>
      </c>
      <c r="K1766">
        <f>IF(AND(H1766="Промышленный",LEFT(I1766,18)="Порошок стиральный",F1766="Продажа",B1766=DATE(2023,6,7)),E1766*J1766/1000,0)</f>
        <v/>
      </c>
    </row>
    <row r="1767">
      <c r="A1767" t="n">
        <v>1766</v>
      </c>
      <c r="B1767" s="1" t="n">
        <v>45084</v>
      </c>
      <c r="C1767" s="5" t="inlineStr">
        <is>
          <t>M5</t>
        </is>
      </c>
      <c r="D1767" s="5" t="n">
        <v>50</v>
      </c>
      <c r="E1767" s="5" t="n">
        <v>253</v>
      </c>
      <c r="F1767" t="inlineStr">
        <is>
          <t>Продажа</t>
        </is>
      </c>
      <c r="H1767">
        <f>VLOOKUP(C1767,Магазин!$A$2:$C$1000,2,0)</f>
        <v/>
      </c>
      <c r="I1767">
        <f>VLOOKUP(D1767,Товар!$A$2:$F$1000,3,0)</f>
        <v/>
      </c>
      <c r="J1767">
        <f>VLOOKUP(D1767,Товар!$A$2:$F$1000,5,0)</f>
        <v/>
      </c>
      <c r="K1767">
        <f>IF(AND(H1767="Промышленный",LEFT(I1767,18)="Порошок стиральный",F1767="Продажа",B1767=DATE(2023,6,7)),E1767*J1767/1000,0)</f>
        <v/>
      </c>
    </row>
    <row r="1768">
      <c r="A1768" t="n">
        <v>1767</v>
      </c>
      <c r="B1768" s="1" t="n">
        <v>45084</v>
      </c>
      <c r="C1768" s="5" t="inlineStr">
        <is>
          <t>M5</t>
        </is>
      </c>
      <c r="D1768" s="5" t="n">
        <v>51</v>
      </c>
      <c r="E1768" s="5" t="n">
        <v>261</v>
      </c>
      <c r="F1768" t="inlineStr">
        <is>
          <t>Продажа</t>
        </is>
      </c>
      <c r="H1768">
        <f>VLOOKUP(C1768,Магазин!$A$2:$C$1000,2,0)</f>
        <v/>
      </c>
      <c r="I1768">
        <f>VLOOKUP(D1768,Товар!$A$2:$F$1000,3,0)</f>
        <v/>
      </c>
      <c r="J1768">
        <f>VLOOKUP(D1768,Товар!$A$2:$F$1000,5,0)</f>
        <v/>
      </c>
      <c r="K1768">
        <f>IF(AND(H1768="Промышленный",LEFT(I1768,18)="Порошок стиральный",F1768="Продажа",B1768=DATE(2023,6,7)),E1768*J1768/1000,0)</f>
        <v/>
      </c>
    </row>
    <row r="1769">
      <c r="A1769" t="n">
        <v>1768</v>
      </c>
      <c r="B1769" s="1" t="n">
        <v>45084</v>
      </c>
      <c r="C1769" s="5" t="inlineStr">
        <is>
          <t>M5</t>
        </is>
      </c>
      <c r="D1769" s="5" t="n">
        <v>52</v>
      </c>
      <c r="E1769" s="5" t="n">
        <v>276</v>
      </c>
      <c r="F1769" t="inlineStr">
        <is>
          <t>Продажа</t>
        </is>
      </c>
      <c r="H1769">
        <f>VLOOKUP(C1769,Магазин!$A$2:$C$1000,2,0)</f>
        <v/>
      </c>
      <c r="I1769">
        <f>VLOOKUP(D1769,Товар!$A$2:$F$1000,3,0)</f>
        <v/>
      </c>
      <c r="J1769">
        <f>VLOOKUP(D1769,Товар!$A$2:$F$1000,5,0)</f>
        <v/>
      </c>
      <c r="K1769">
        <f>IF(AND(H1769="Промышленный",LEFT(I1769,18)="Порошок стиральный",F1769="Продажа",B1769=DATE(2023,6,7)),E1769*J1769/1000,0)</f>
        <v/>
      </c>
    </row>
    <row r="1770">
      <c r="A1770" t="n">
        <v>1769</v>
      </c>
      <c r="B1770" s="1" t="n">
        <v>45084</v>
      </c>
      <c r="C1770" s="5" t="inlineStr">
        <is>
          <t>M5</t>
        </is>
      </c>
      <c r="D1770" s="5" t="n">
        <v>53</v>
      </c>
      <c r="E1770" s="5" t="n">
        <v>205</v>
      </c>
      <c r="F1770" t="inlineStr">
        <is>
          <t>Продажа</t>
        </is>
      </c>
      <c r="H1770">
        <f>VLOOKUP(C1770,Магазин!$A$2:$C$1000,2,0)</f>
        <v/>
      </c>
      <c r="I1770">
        <f>VLOOKUP(D1770,Товар!$A$2:$F$1000,3,0)</f>
        <v/>
      </c>
      <c r="J1770">
        <f>VLOOKUP(D1770,Товар!$A$2:$F$1000,5,0)</f>
        <v/>
      </c>
      <c r="K1770">
        <f>IF(AND(H1770="Промышленный",LEFT(I1770,18)="Порошок стиральный",F1770="Продажа",B1770=DATE(2023,6,7)),E1770*J1770/1000,0)</f>
        <v/>
      </c>
    </row>
    <row r="1771">
      <c r="A1771" t="n">
        <v>1770</v>
      </c>
      <c r="B1771" s="1" t="n">
        <v>45084</v>
      </c>
      <c r="C1771" s="5" t="inlineStr">
        <is>
          <t>M5</t>
        </is>
      </c>
      <c r="D1771" s="5" t="n">
        <v>54</v>
      </c>
      <c r="E1771" s="5" t="n">
        <v>357</v>
      </c>
      <c r="F1771" t="inlineStr">
        <is>
          <t>Продажа</t>
        </is>
      </c>
      <c r="H1771">
        <f>VLOOKUP(C1771,Магазин!$A$2:$C$1000,2,0)</f>
        <v/>
      </c>
      <c r="I1771">
        <f>VLOOKUP(D1771,Товар!$A$2:$F$1000,3,0)</f>
        <v/>
      </c>
      <c r="J1771">
        <f>VLOOKUP(D1771,Товар!$A$2:$F$1000,5,0)</f>
        <v/>
      </c>
      <c r="K1771">
        <f>IF(AND(H1771="Промышленный",LEFT(I1771,18)="Порошок стиральный",F1771="Продажа",B1771=DATE(2023,6,7)),E1771*J1771/1000,0)</f>
        <v/>
      </c>
    </row>
    <row r="1772">
      <c r="A1772" t="n">
        <v>1771</v>
      </c>
      <c r="B1772" s="1" t="n">
        <v>45084</v>
      </c>
      <c r="C1772" s="5" t="inlineStr">
        <is>
          <t>M5</t>
        </is>
      </c>
      <c r="D1772" s="5" t="n">
        <v>55</v>
      </c>
      <c r="E1772" s="5" t="n">
        <v>268</v>
      </c>
      <c r="F1772" t="inlineStr">
        <is>
          <t>Продажа</t>
        </is>
      </c>
      <c r="H1772">
        <f>VLOOKUP(C1772,Магазин!$A$2:$C$1000,2,0)</f>
        <v/>
      </c>
      <c r="I1772">
        <f>VLOOKUP(D1772,Товар!$A$2:$F$1000,3,0)</f>
        <v/>
      </c>
      <c r="J1772">
        <f>VLOOKUP(D1772,Товар!$A$2:$F$1000,5,0)</f>
        <v/>
      </c>
      <c r="K1772">
        <f>IF(AND(H1772="Промышленный",LEFT(I1772,18)="Порошок стиральный",F1772="Продажа",B1772=DATE(2023,6,7)),E1772*J1772/1000,0)</f>
        <v/>
      </c>
    </row>
    <row r="1773">
      <c r="A1773" t="n">
        <v>1772</v>
      </c>
      <c r="B1773" s="1" t="n">
        <v>45084</v>
      </c>
      <c r="C1773" s="5" t="inlineStr">
        <is>
          <t>M5</t>
        </is>
      </c>
      <c r="D1773" s="5" t="n">
        <v>56</v>
      </c>
      <c r="E1773" s="5" t="n">
        <v>279</v>
      </c>
      <c r="F1773" t="inlineStr">
        <is>
          <t>Продажа</t>
        </is>
      </c>
      <c r="H1773">
        <f>VLOOKUP(C1773,Магазин!$A$2:$C$1000,2,0)</f>
        <v/>
      </c>
      <c r="I1773">
        <f>VLOOKUP(D1773,Товар!$A$2:$F$1000,3,0)</f>
        <v/>
      </c>
      <c r="J1773">
        <f>VLOOKUP(D1773,Товар!$A$2:$F$1000,5,0)</f>
        <v/>
      </c>
      <c r="K1773">
        <f>IF(AND(H1773="Промышленный",LEFT(I1773,18)="Порошок стиральный",F1773="Продажа",B1773=DATE(2023,6,7)),E1773*J1773/1000,0)</f>
        <v/>
      </c>
    </row>
    <row r="1774">
      <c r="A1774" t="n">
        <v>1773</v>
      </c>
      <c r="B1774" s="1" t="n">
        <v>45084</v>
      </c>
      <c r="C1774" s="5" t="inlineStr">
        <is>
          <t>M5</t>
        </is>
      </c>
      <c r="D1774" s="5" t="n">
        <v>57</v>
      </c>
      <c r="E1774" s="5" t="n">
        <v>281</v>
      </c>
      <c r="F1774" t="inlineStr">
        <is>
          <t>Продажа</t>
        </is>
      </c>
      <c r="H1774">
        <f>VLOOKUP(C1774,Магазин!$A$2:$C$1000,2,0)</f>
        <v/>
      </c>
      <c r="I1774">
        <f>VLOOKUP(D1774,Товар!$A$2:$F$1000,3,0)</f>
        <v/>
      </c>
      <c r="J1774">
        <f>VLOOKUP(D1774,Товар!$A$2:$F$1000,5,0)</f>
        <v/>
      </c>
      <c r="K1774">
        <f>IF(AND(H1774="Промышленный",LEFT(I1774,18)="Порошок стиральный",F1774="Продажа",B1774=DATE(2023,6,7)),E1774*J1774/1000,0)</f>
        <v/>
      </c>
    </row>
    <row r="1775">
      <c r="A1775" t="n">
        <v>1774</v>
      </c>
      <c r="B1775" s="1" t="n">
        <v>45084</v>
      </c>
      <c r="C1775" s="5" t="inlineStr">
        <is>
          <t>M5</t>
        </is>
      </c>
      <c r="D1775" s="5" t="n">
        <v>58</v>
      </c>
      <c r="E1775" s="5" t="n">
        <v>292</v>
      </c>
      <c r="F1775" t="inlineStr">
        <is>
          <t>Продажа</t>
        </is>
      </c>
      <c r="H1775">
        <f>VLOOKUP(C1775,Магазин!$A$2:$C$1000,2,0)</f>
        <v/>
      </c>
      <c r="I1775">
        <f>VLOOKUP(D1775,Товар!$A$2:$F$1000,3,0)</f>
        <v/>
      </c>
      <c r="J1775">
        <f>VLOOKUP(D1775,Товар!$A$2:$F$1000,5,0)</f>
        <v/>
      </c>
      <c r="K1775">
        <f>IF(AND(H1775="Промышленный",LEFT(I1775,18)="Порошок стиральный",F1775="Продажа",B1775=DATE(2023,6,7)),E1775*J1775/1000,0)</f>
        <v/>
      </c>
    </row>
    <row r="1776">
      <c r="A1776" t="n">
        <v>1775</v>
      </c>
      <c r="B1776" s="1" t="n">
        <v>45084</v>
      </c>
      <c r="C1776" s="5" t="inlineStr">
        <is>
          <t>M5</t>
        </is>
      </c>
      <c r="D1776" s="5" t="n">
        <v>59</v>
      </c>
      <c r="E1776" s="5" t="n">
        <v>203</v>
      </c>
      <c r="F1776" t="inlineStr">
        <is>
          <t>Продажа</t>
        </is>
      </c>
      <c r="H1776">
        <f>VLOOKUP(C1776,Магазин!$A$2:$C$1000,2,0)</f>
        <v/>
      </c>
      <c r="I1776">
        <f>VLOOKUP(D1776,Товар!$A$2:$F$1000,3,0)</f>
        <v/>
      </c>
      <c r="J1776">
        <f>VLOOKUP(D1776,Товар!$A$2:$F$1000,5,0)</f>
        <v/>
      </c>
      <c r="K1776">
        <f>IF(AND(H1776="Промышленный",LEFT(I1776,18)="Порошок стиральный",F1776="Продажа",B1776=DATE(2023,6,7)),E1776*J1776/1000,0)</f>
        <v/>
      </c>
    </row>
    <row r="1777">
      <c r="A1777" t="n">
        <v>1776</v>
      </c>
      <c r="B1777" s="1" t="n">
        <v>45084</v>
      </c>
      <c r="C1777" s="5" t="inlineStr">
        <is>
          <t>M5</t>
        </is>
      </c>
      <c r="D1777" s="5" t="n">
        <v>60</v>
      </c>
      <c r="E1777" s="5" t="n">
        <v>214</v>
      </c>
      <c r="F1777" t="inlineStr">
        <is>
          <t>Продажа</t>
        </is>
      </c>
      <c r="H1777">
        <f>VLOOKUP(C1777,Магазин!$A$2:$C$1000,2,0)</f>
        <v/>
      </c>
      <c r="I1777">
        <f>VLOOKUP(D1777,Товар!$A$2:$F$1000,3,0)</f>
        <v/>
      </c>
      <c r="J1777">
        <f>VLOOKUP(D1777,Товар!$A$2:$F$1000,5,0)</f>
        <v/>
      </c>
      <c r="K1777">
        <f>IF(AND(H1777="Промышленный",LEFT(I1777,18)="Порошок стиральный",F1777="Продажа",B1777=DATE(2023,6,7)),E1777*J1777/1000,0)</f>
        <v/>
      </c>
    </row>
    <row r="1778">
      <c r="A1778" t="n">
        <v>1777</v>
      </c>
      <c r="B1778" s="1" t="n">
        <v>45084</v>
      </c>
      <c r="C1778" s="5" t="inlineStr">
        <is>
          <t>M6</t>
        </is>
      </c>
      <c r="D1778" s="5" t="n">
        <v>37</v>
      </c>
      <c r="E1778" s="5" t="n">
        <v>225</v>
      </c>
      <c r="F1778" t="inlineStr">
        <is>
          <t>Продажа</t>
        </is>
      </c>
      <c r="H1778">
        <f>VLOOKUP(C1778,Магазин!$A$2:$C$1000,2,0)</f>
        <v/>
      </c>
      <c r="I1778">
        <f>VLOOKUP(D1778,Товар!$A$2:$F$1000,3,0)</f>
        <v/>
      </c>
      <c r="J1778">
        <f>VLOOKUP(D1778,Товар!$A$2:$F$1000,5,0)</f>
        <v/>
      </c>
      <c r="K1778">
        <f>IF(AND(H1778="Промышленный",LEFT(I1778,18)="Порошок стиральный",F1778="Продажа",B1778=DATE(2023,6,7)),E1778*J1778/1000,0)</f>
        <v/>
      </c>
    </row>
    <row r="1779">
      <c r="A1779" t="n">
        <v>1778</v>
      </c>
      <c r="B1779" s="1" t="n">
        <v>45084</v>
      </c>
      <c r="C1779" s="5" t="inlineStr">
        <is>
          <t>M6</t>
        </is>
      </c>
      <c r="D1779" s="5" t="n">
        <v>38</v>
      </c>
      <c r="E1779" s="5" t="n">
        <v>236</v>
      </c>
      <c r="F1779" t="inlineStr">
        <is>
          <t>Продажа</t>
        </is>
      </c>
      <c r="H1779">
        <f>VLOOKUP(C1779,Магазин!$A$2:$C$1000,2,0)</f>
        <v/>
      </c>
      <c r="I1779">
        <f>VLOOKUP(D1779,Товар!$A$2:$F$1000,3,0)</f>
        <v/>
      </c>
      <c r="J1779">
        <f>VLOOKUP(D1779,Товар!$A$2:$F$1000,5,0)</f>
        <v/>
      </c>
      <c r="K1779">
        <f>IF(AND(H1779="Промышленный",LEFT(I1779,18)="Порошок стиральный",F1779="Продажа",B1779=DATE(2023,6,7)),E1779*J1779/1000,0)</f>
        <v/>
      </c>
    </row>
    <row r="1780">
      <c r="A1780" t="n">
        <v>1779</v>
      </c>
      <c r="B1780" s="1" t="n">
        <v>45084</v>
      </c>
      <c r="C1780" s="5" t="inlineStr">
        <is>
          <t>M6</t>
        </is>
      </c>
      <c r="D1780" s="5" t="n">
        <v>39</v>
      </c>
      <c r="E1780" s="5" t="n">
        <v>247</v>
      </c>
      <c r="F1780" t="inlineStr">
        <is>
          <t>Продажа</t>
        </is>
      </c>
      <c r="H1780">
        <f>VLOOKUP(C1780,Магазин!$A$2:$C$1000,2,0)</f>
        <v/>
      </c>
      <c r="I1780">
        <f>VLOOKUP(D1780,Товар!$A$2:$F$1000,3,0)</f>
        <v/>
      </c>
      <c r="J1780">
        <f>VLOOKUP(D1780,Товар!$A$2:$F$1000,5,0)</f>
        <v/>
      </c>
      <c r="K1780">
        <f>IF(AND(H1780="Промышленный",LEFT(I1780,18)="Порошок стиральный",F1780="Продажа",B1780=DATE(2023,6,7)),E1780*J1780/1000,0)</f>
        <v/>
      </c>
    </row>
    <row r="1781">
      <c r="A1781" t="n">
        <v>1780</v>
      </c>
      <c r="B1781" s="1" t="n">
        <v>45084</v>
      </c>
      <c r="C1781" s="5" t="inlineStr">
        <is>
          <t>M6</t>
        </is>
      </c>
      <c r="D1781" s="5" t="n">
        <v>40</v>
      </c>
      <c r="E1781" s="5" t="n">
        <v>258</v>
      </c>
      <c r="F1781" t="inlineStr">
        <is>
          <t>Продажа</t>
        </is>
      </c>
      <c r="H1781">
        <f>VLOOKUP(C1781,Магазин!$A$2:$C$1000,2,0)</f>
        <v/>
      </c>
      <c r="I1781">
        <f>VLOOKUP(D1781,Товар!$A$2:$F$1000,3,0)</f>
        <v/>
      </c>
      <c r="J1781">
        <f>VLOOKUP(D1781,Товар!$A$2:$F$1000,5,0)</f>
        <v/>
      </c>
      <c r="K1781">
        <f>IF(AND(H1781="Промышленный",LEFT(I1781,18)="Порошок стиральный",F1781="Продажа",B1781=DATE(2023,6,7)),E1781*J1781/1000,0)</f>
        <v/>
      </c>
    </row>
    <row r="1782">
      <c r="A1782" t="n">
        <v>1781</v>
      </c>
      <c r="B1782" s="1" t="n">
        <v>45084</v>
      </c>
      <c r="C1782" s="5" t="inlineStr">
        <is>
          <t>M6</t>
        </is>
      </c>
      <c r="D1782" s="5" t="n">
        <v>41</v>
      </c>
      <c r="E1782" s="5" t="n">
        <v>256</v>
      </c>
      <c r="F1782" t="inlineStr">
        <is>
          <t>Продажа</t>
        </is>
      </c>
      <c r="H1782">
        <f>VLOOKUP(C1782,Магазин!$A$2:$C$1000,2,0)</f>
        <v/>
      </c>
      <c r="I1782">
        <f>VLOOKUP(D1782,Товар!$A$2:$F$1000,3,0)</f>
        <v/>
      </c>
      <c r="J1782">
        <f>VLOOKUP(D1782,Товар!$A$2:$F$1000,5,0)</f>
        <v/>
      </c>
      <c r="K1782">
        <f>IF(AND(H1782="Промышленный",LEFT(I1782,18)="Порошок стиральный",F1782="Продажа",B1782=DATE(2023,6,7)),E1782*J1782/1000,0)</f>
        <v/>
      </c>
    </row>
    <row r="1783">
      <c r="A1783" t="n">
        <v>1782</v>
      </c>
      <c r="B1783" s="1" t="n">
        <v>45084</v>
      </c>
      <c r="C1783" s="5" t="inlineStr">
        <is>
          <t>M6</t>
        </is>
      </c>
      <c r="D1783" s="5" t="n">
        <v>42</v>
      </c>
      <c r="E1783" s="5" t="n">
        <v>269</v>
      </c>
      <c r="F1783" t="inlineStr">
        <is>
          <t>Продажа</t>
        </is>
      </c>
      <c r="H1783">
        <f>VLOOKUP(C1783,Магазин!$A$2:$C$1000,2,0)</f>
        <v/>
      </c>
      <c r="I1783">
        <f>VLOOKUP(D1783,Товар!$A$2:$F$1000,3,0)</f>
        <v/>
      </c>
      <c r="J1783">
        <f>VLOOKUP(D1783,Товар!$A$2:$F$1000,5,0)</f>
        <v/>
      </c>
      <c r="K1783">
        <f>IF(AND(H1783="Промышленный",LEFT(I1783,18)="Порошок стиральный",F1783="Продажа",B1783=DATE(2023,6,7)),E1783*J1783/1000,0)</f>
        <v/>
      </c>
    </row>
    <row r="1784">
      <c r="A1784" t="n">
        <v>1783</v>
      </c>
      <c r="B1784" s="1" t="n">
        <v>45084</v>
      </c>
      <c r="C1784" s="5" t="inlineStr">
        <is>
          <t>M6</t>
        </is>
      </c>
      <c r="D1784" s="5" t="n">
        <v>43</v>
      </c>
      <c r="E1784" s="5" t="n">
        <v>204</v>
      </c>
      <c r="F1784" t="inlineStr">
        <is>
          <t>Продажа</t>
        </is>
      </c>
      <c r="H1784">
        <f>VLOOKUP(C1784,Магазин!$A$2:$C$1000,2,0)</f>
        <v/>
      </c>
      <c r="I1784">
        <f>VLOOKUP(D1784,Товар!$A$2:$F$1000,3,0)</f>
        <v/>
      </c>
      <c r="J1784">
        <f>VLOOKUP(D1784,Товар!$A$2:$F$1000,5,0)</f>
        <v/>
      </c>
      <c r="K1784">
        <f>IF(AND(H1784="Промышленный",LEFT(I1784,18)="Порошок стиральный",F1784="Продажа",B1784=DATE(2023,6,7)),E1784*J1784/1000,0)</f>
        <v/>
      </c>
    </row>
    <row r="1785">
      <c r="A1785" t="n">
        <v>1784</v>
      </c>
      <c r="B1785" s="1" t="n">
        <v>45084</v>
      </c>
      <c r="C1785" s="5" t="inlineStr">
        <is>
          <t>M6</t>
        </is>
      </c>
      <c r="D1785" s="5" t="n">
        <v>44</v>
      </c>
      <c r="E1785" s="5" t="n">
        <v>206</v>
      </c>
      <c r="F1785" t="inlineStr">
        <is>
          <t>Продажа</t>
        </is>
      </c>
      <c r="H1785">
        <f>VLOOKUP(C1785,Магазин!$A$2:$C$1000,2,0)</f>
        <v/>
      </c>
      <c r="I1785">
        <f>VLOOKUP(D1785,Товар!$A$2:$F$1000,3,0)</f>
        <v/>
      </c>
      <c r="J1785">
        <f>VLOOKUP(D1785,Товар!$A$2:$F$1000,5,0)</f>
        <v/>
      </c>
      <c r="K1785">
        <f>IF(AND(H1785="Промышленный",LEFT(I1785,18)="Порошок стиральный",F1785="Продажа",B1785=DATE(2023,6,7)),E1785*J1785/1000,0)</f>
        <v/>
      </c>
    </row>
    <row r="1786">
      <c r="A1786" t="n">
        <v>1785</v>
      </c>
      <c r="B1786" s="1" t="n">
        <v>45084</v>
      </c>
      <c r="C1786" s="5" t="inlineStr">
        <is>
          <t>M6</t>
        </is>
      </c>
      <c r="D1786" s="5" t="n">
        <v>45</v>
      </c>
      <c r="E1786" s="5" t="n">
        <v>208</v>
      </c>
      <c r="F1786" t="inlineStr">
        <is>
          <t>Продажа</t>
        </is>
      </c>
      <c r="H1786">
        <f>VLOOKUP(C1786,Магазин!$A$2:$C$1000,2,0)</f>
        <v/>
      </c>
      <c r="I1786">
        <f>VLOOKUP(D1786,Товар!$A$2:$F$1000,3,0)</f>
        <v/>
      </c>
      <c r="J1786">
        <f>VLOOKUP(D1786,Товар!$A$2:$F$1000,5,0)</f>
        <v/>
      </c>
      <c r="K1786">
        <f>IF(AND(H1786="Промышленный",LEFT(I1786,18)="Порошок стиральный",F1786="Продажа",B1786=DATE(2023,6,7)),E1786*J1786/1000,0)</f>
        <v/>
      </c>
    </row>
    <row r="1787">
      <c r="A1787" t="n">
        <v>1786</v>
      </c>
      <c r="B1787" s="1" t="n">
        <v>45084</v>
      </c>
      <c r="C1787" s="5" t="inlineStr">
        <is>
          <t>M6</t>
        </is>
      </c>
      <c r="D1787" s="5" t="n">
        <v>46</v>
      </c>
      <c r="E1787" s="5" t="n">
        <v>209</v>
      </c>
      <c r="F1787" t="inlineStr">
        <is>
          <t>Продажа</t>
        </is>
      </c>
      <c r="H1787">
        <f>VLOOKUP(C1787,Магазин!$A$2:$C$1000,2,0)</f>
        <v/>
      </c>
      <c r="I1787">
        <f>VLOOKUP(D1787,Товар!$A$2:$F$1000,3,0)</f>
        <v/>
      </c>
      <c r="J1787">
        <f>VLOOKUP(D1787,Товар!$A$2:$F$1000,5,0)</f>
        <v/>
      </c>
      <c r="K1787">
        <f>IF(AND(H1787="Промышленный",LEFT(I1787,18)="Порошок стиральный",F1787="Продажа",B1787=DATE(2023,6,7)),E1787*J1787/1000,0)</f>
        <v/>
      </c>
    </row>
    <row r="1788">
      <c r="A1788" t="n">
        <v>1787</v>
      </c>
      <c r="B1788" s="1" t="n">
        <v>45084</v>
      </c>
      <c r="C1788" s="5" t="inlineStr">
        <is>
          <t>M6</t>
        </is>
      </c>
      <c r="D1788" s="5" t="n">
        <v>47</v>
      </c>
      <c r="E1788" s="5" t="n">
        <v>299</v>
      </c>
      <c r="F1788" t="inlineStr">
        <is>
          <t>Продажа</t>
        </is>
      </c>
      <c r="H1788">
        <f>VLOOKUP(C1788,Магазин!$A$2:$C$1000,2,0)</f>
        <v/>
      </c>
      <c r="I1788">
        <f>VLOOKUP(D1788,Товар!$A$2:$F$1000,3,0)</f>
        <v/>
      </c>
      <c r="J1788">
        <f>VLOOKUP(D1788,Товар!$A$2:$F$1000,5,0)</f>
        <v/>
      </c>
      <c r="K1788">
        <f>IF(AND(H1788="Промышленный",LEFT(I1788,18)="Порошок стиральный",F1788="Продажа",B1788=DATE(2023,6,7)),E1788*J1788/1000,0)</f>
        <v/>
      </c>
    </row>
    <row r="1789">
      <c r="A1789" t="n">
        <v>1788</v>
      </c>
      <c r="B1789" s="1" t="n">
        <v>45084</v>
      </c>
      <c r="C1789" s="5" t="inlineStr">
        <is>
          <t>M6</t>
        </is>
      </c>
      <c r="D1789" s="5" t="n">
        <v>48</v>
      </c>
      <c r="E1789" s="5" t="n">
        <v>275</v>
      </c>
      <c r="F1789" t="inlineStr">
        <is>
          <t>Продажа</t>
        </is>
      </c>
      <c r="H1789">
        <f>VLOOKUP(C1789,Магазин!$A$2:$C$1000,2,0)</f>
        <v/>
      </c>
      <c r="I1789">
        <f>VLOOKUP(D1789,Товар!$A$2:$F$1000,3,0)</f>
        <v/>
      </c>
      <c r="J1789">
        <f>VLOOKUP(D1789,Товар!$A$2:$F$1000,5,0)</f>
        <v/>
      </c>
      <c r="K1789">
        <f>IF(AND(H1789="Промышленный",LEFT(I1789,18)="Порошок стиральный",F1789="Продажа",B1789=DATE(2023,6,7)),E1789*J1789/1000,0)</f>
        <v/>
      </c>
    </row>
    <row r="1790">
      <c r="A1790" t="n">
        <v>1789</v>
      </c>
      <c r="B1790" s="1" t="n">
        <v>45084</v>
      </c>
      <c r="C1790" s="5" t="inlineStr">
        <is>
          <t>M6</t>
        </is>
      </c>
      <c r="D1790" s="5" t="n">
        <v>49</v>
      </c>
      <c r="E1790" s="5" t="n">
        <v>234</v>
      </c>
      <c r="F1790" t="inlineStr">
        <is>
          <t>Продажа</t>
        </is>
      </c>
      <c r="H1790">
        <f>VLOOKUP(C1790,Магазин!$A$2:$C$1000,2,0)</f>
        <v/>
      </c>
      <c r="I1790">
        <f>VLOOKUP(D1790,Товар!$A$2:$F$1000,3,0)</f>
        <v/>
      </c>
      <c r="J1790">
        <f>VLOOKUP(D1790,Товар!$A$2:$F$1000,5,0)</f>
        <v/>
      </c>
      <c r="K1790">
        <f>IF(AND(H1790="Промышленный",LEFT(I1790,18)="Порошок стиральный",F1790="Продажа",B1790=DATE(2023,6,7)),E1790*J1790/1000,0)</f>
        <v/>
      </c>
    </row>
    <row r="1791">
      <c r="A1791" t="n">
        <v>1790</v>
      </c>
      <c r="B1791" s="1" t="n">
        <v>45084</v>
      </c>
      <c r="C1791" s="5" t="inlineStr">
        <is>
          <t>M6</t>
        </is>
      </c>
      <c r="D1791" s="5" t="n">
        <v>50</v>
      </c>
      <c r="E1791" s="5" t="n">
        <v>228</v>
      </c>
      <c r="F1791" t="inlineStr">
        <is>
          <t>Продажа</t>
        </is>
      </c>
      <c r="H1791">
        <f>VLOOKUP(C1791,Магазин!$A$2:$C$1000,2,0)</f>
        <v/>
      </c>
      <c r="I1791">
        <f>VLOOKUP(D1791,Товар!$A$2:$F$1000,3,0)</f>
        <v/>
      </c>
      <c r="J1791">
        <f>VLOOKUP(D1791,Товар!$A$2:$F$1000,5,0)</f>
        <v/>
      </c>
      <c r="K1791">
        <f>IF(AND(H1791="Промышленный",LEFT(I1791,18)="Порошок стиральный",F1791="Продажа",B1791=DATE(2023,6,7)),E1791*J1791/1000,0)</f>
        <v/>
      </c>
    </row>
    <row r="1792">
      <c r="A1792" t="n">
        <v>1791</v>
      </c>
      <c r="B1792" s="1" t="n">
        <v>45084</v>
      </c>
      <c r="C1792" s="5" t="inlineStr">
        <is>
          <t>M6</t>
        </is>
      </c>
      <c r="D1792" s="5" t="n">
        <v>51</v>
      </c>
      <c r="E1792" s="5" t="n">
        <v>217</v>
      </c>
      <c r="F1792" t="inlineStr">
        <is>
          <t>Продажа</t>
        </is>
      </c>
      <c r="H1792">
        <f>VLOOKUP(C1792,Магазин!$A$2:$C$1000,2,0)</f>
        <v/>
      </c>
      <c r="I1792">
        <f>VLOOKUP(D1792,Товар!$A$2:$F$1000,3,0)</f>
        <v/>
      </c>
      <c r="J1792">
        <f>VLOOKUP(D1792,Товар!$A$2:$F$1000,5,0)</f>
        <v/>
      </c>
      <c r="K1792">
        <f>IF(AND(H1792="Промышленный",LEFT(I1792,18)="Порошок стиральный",F1792="Продажа",B1792=DATE(2023,6,7)),E1792*J1792/1000,0)</f>
        <v/>
      </c>
    </row>
    <row r="1793">
      <c r="A1793" t="n">
        <v>1792</v>
      </c>
      <c r="B1793" s="1" t="n">
        <v>45084</v>
      </c>
      <c r="C1793" s="5" t="inlineStr">
        <is>
          <t>M6</t>
        </is>
      </c>
      <c r="D1793" s="5" t="n">
        <v>52</v>
      </c>
      <c r="E1793" s="5" t="n">
        <v>258</v>
      </c>
      <c r="F1793" t="inlineStr">
        <is>
          <t>Продажа</t>
        </is>
      </c>
      <c r="H1793">
        <f>VLOOKUP(C1793,Магазин!$A$2:$C$1000,2,0)</f>
        <v/>
      </c>
      <c r="I1793">
        <f>VLOOKUP(D1793,Товар!$A$2:$F$1000,3,0)</f>
        <v/>
      </c>
      <c r="J1793">
        <f>VLOOKUP(D1793,Товар!$A$2:$F$1000,5,0)</f>
        <v/>
      </c>
      <c r="K1793">
        <f>IF(AND(H1793="Промышленный",LEFT(I1793,18)="Порошок стиральный",F1793="Продажа",B1793=DATE(2023,6,7)),E1793*J1793/1000,0)</f>
        <v/>
      </c>
    </row>
    <row r="1794">
      <c r="A1794" t="n">
        <v>1793</v>
      </c>
      <c r="B1794" s="1" t="n">
        <v>45084</v>
      </c>
      <c r="C1794" s="5" t="inlineStr">
        <is>
          <t>M6</t>
        </is>
      </c>
      <c r="D1794" s="5" t="n">
        <v>53</v>
      </c>
      <c r="E1794" s="5" t="n">
        <v>199</v>
      </c>
      <c r="F1794" t="inlineStr">
        <is>
          <t>Продажа</t>
        </is>
      </c>
      <c r="H1794">
        <f>VLOOKUP(C1794,Магазин!$A$2:$C$1000,2,0)</f>
        <v/>
      </c>
      <c r="I1794">
        <f>VLOOKUP(D1794,Товар!$A$2:$F$1000,3,0)</f>
        <v/>
      </c>
      <c r="J1794">
        <f>VLOOKUP(D1794,Товар!$A$2:$F$1000,5,0)</f>
        <v/>
      </c>
      <c r="K1794">
        <f>IF(AND(H1794="Промышленный",LEFT(I1794,18)="Порошок стиральный",F1794="Продажа",B1794=DATE(2023,6,7)),E1794*J1794/1000,0)</f>
        <v/>
      </c>
    </row>
    <row r="1795">
      <c r="A1795" t="n">
        <v>1794</v>
      </c>
      <c r="B1795" s="1" t="n">
        <v>45084</v>
      </c>
      <c r="C1795" s="5" t="inlineStr">
        <is>
          <t>M6</t>
        </is>
      </c>
      <c r="D1795" s="5" t="n">
        <v>54</v>
      </c>
      <c r="E1795" s="5" t="n">
        <v>248</v>
      </c>
      <c r="F1795" t="inlineStr">
        <is>
          <t>Продажа</t>
        </is>
      </c>
      <c r="H1795">
        <f>VLOOKUP(C1795,Магазин!$A$2:$C$1000,2,0)</f>
        <v/>
      </c>
      <c r="I1795">
        <f>VLOOKUP(D1795,Товар!$A$2:$F$1000,3,0)</f>
        <v/>
      </c>
      <c r="J1795">
        <f>VLOOKUP(D1795,Товар!$A$2:$F$1000,5,0)</f>
        <v/>
      </c>
      <c r="K1795">
        <f>IF(AND(H1795="Промышленный",LEFT(I1795,18)="Порошок стиральный",F1795="Продажа",B1795=DATE(2023,6,7)),E1795*J1795/1000,0)</f>
        <v/>
      </c>
    </row>
    <row r="1796">
      <c r="A1796" t="n">
        <v>1795</v>
      </c>
      <c r="B1796" s="1" t="n">
        <v>45084</v>
      </c>
      <c r="C1796" s="5" t="inlineStr">
        <is>
          <t>M6</t>
        </is>
      </c>
      <c r="D1796" s="5" t="n">
        <v>55</v>
      </c>
      <c r="E1796" s="5" t="n">
        <v>236</v>
      </c>
      <c r="F1796" t="inlineStr">
        <is>
          <t>Продажа</t>
        </is>
      </c>
      <c r="H1796">
        <f>VLOOKUP(C1796,Магазин!$A$2:$C$1000,2,0)</f>
        <v/>
      </c>
      <c r="I1796">
        <f>VLOOKUP(D1796,Товар!$A$2:$F$1000,3,0)</f>
        <v/>
      </c>
      <c r="J1796">
        <f>VLOOKUP(D1796,Товар!$A$2:$F$1000,5,0)</f>
        <v/>
      </c>
      <c r="K1796">
        <f>IF(AND(H1796="Промышленный",LEFT(I1796,18)="Порошок стиральный",F1796="Продажа",B1796=DATE(2023,6,7)),E1796*J1796/1000,0)</f>
        <v/>
      </c>
    </row>
    <row r="1797">
      <c r="A1797" t="n">
        <v>1796</v>
      </c>
      <c r="B1797" s="1" t="n">
        <v>45084</v>
      </c>
      <c r="C1797" s="5" t="inlineStr">
        <is>
          <t>M6</t>
        </is>
      </c>
      <c r="D1797" s="5" t="n">
        <v>56</v>
      </c>
      <c r="E1797" s="5" t="n">
        <v>287</v>
      </c>
      <c r="F1797" t="inlineStr">
        <is>
          <t>Продажа</t>
        </is>
      </c>
      <c r="H1797">
        <f>VLOOKUP(C1797,Магазин!$A$2:$C$1000,2,0)</f>
        <v/>
      </c>
      <c r="I1797">
        <f>VLOOKUP(D1797,Товар!$A$2:$F$1000,3,0)</f>
        <v/>
      </c>
      <c r="J1797">
        <f>VLOOKUP(D1797,Товар!$A$2:$F$1000,5,0)</f>
        <v/>
      </c>
      <c r="K1797">
        <f>IF(AND(H1797="Промышленный",LEFT(I1797,18)="Порошок стиральный",F1797="Продажа",B1797=DATE(2023,6,7)),E1797*J1797/1000,0)</f>
        <v/>
      </c>
    </row>
    <row r="1798">
      <c r="A1798" t="n">
        <v>1797</v>
      </c>
      <c r="B1798" s="1" t="n">
        <v>45084</v>
      </c>
      <c r="C1798" s="5" t="inlineStr">
        <is>
          <t>M6</t>
        </is>
      </c>
      <c r="D1798" s="5" t="n">
        <v>57</v>
      </c>
      <c r="E1798" s="5" t="n">
        <v>265</v>
      </c>
      <c r="F1798" t="inlineStr">
        <is>
          <t>Продажа</t>
        </is>
      </c>
      <c r="H1798">
        <f>VLOOKUP(C1798,Магазин!$A$2:$C$1000,2,0)</f>
        <v/>
      </c>
      <c r="I1798">
        <f>VLOOKUP(D1798,Товар!$A$2:$F$1000,3,0)</f>
        <v/>
      </c>
      <c r="J1798">
        <f>VLOOKUP(D1798,Товар!$A$2:$F$1000,5,0)</f>
        <v/>
      </c>
      <c r="K1798">
        <f>IF(AND(H1798="Промышленный",LEFT(I1798,18)="Порошок стиральный",F1798="Продажа",B1798=DATE(2023,6,7)),E1798*J1798/1000,0)</f>
        <v/>
      </c>
    </row>
    <row r="1799">
      <c r="A1799" t="n">
        <v>1798</v>
      </c>
      <c r="B1799" s="1" t="n">
        <v>45084</v>
      </c>
      <c r="C1799" s="5" t="inlineStr">
        <is>
          <t>M6</t>
        </is>
      </c>
      <c r="D1799" s="5" t="n">
        <v>58</v>
      </c>
      <c r="E1799" s="5" t="n">
        <v>234</v>
      </c>
      <c r="F1799" t="inlineStr">
        <is>
          <t>Продажа</t>
        </is>
      </c>
      <c r="H1799">
        <f>VLOOKUP(C1799,Магазин!$A$2:$C$1000,2,0)</f>
        <v/>
      </c>
      <c r="I1799">
        <f>VLOOKUP(D1799,Товар!$A$2:$F$1000,3,0)</f>
        <v/>
      </c>
      <c r="J1799">
        <f>VLOOKUP(D1799,Товар!$A$2:$F$1000,5,0)</f>
        <v/>
      </c>
      <c r="K1799">
        <f>IF(AND(H1799="Промышленный",LEFT(I1799,18)="Порошок стиральный",F1799="Продажа",B1799=DATE(2023,6,7)),E1799*J1799/1000,0)</f>
        <v/>
      </c>
    </row>
    <row r="1800">
      <c r="A1800" t="n">
        <v>1799</v>
      </c>
      <c r="B1800" s="1" t="n">
        <v>45084</v>
      </c>
      <c r="C1800" s="5" t="inlineStr">
        <is>
          <t>M6</t>
        </is>
      </c>
      <c r="D1800" s="5" t="n">
        <v>59</v>
      </c>
      <c r="E1800" s="5" t="n">
        <v>258</v>
      </c>
      <c r="F1800" t="inlineStr">
        <is>
          <t>Продажа</t>
        </is>
      </c>
      <c r="H1800">
        <f>VLOOKUP(C1800,Магазин!$A$2:$C$1000,2,0)</f>
        <v/>
      </c>
      <c r="I1800">
        <f>VLOOKUP(D1800,Товар!$A$2:$F$1000,3,0)</f>
        <v/>
      </c>
      <c r="J1800">
        <f>VLOOKUP(D1800,Товар!$A$2:$F$1000,5,0)</f>
        <v/>
      </c>
      <c r="K1800">
        <f>IF(AND(H1800="Промышленный",LEFT(I1800,18)="Порошок стиральный",F1800="Продажа",B1800=DATE(2023,6,7)),E1800*J1800/1000,0)</f>
        <v/>
      </c>
    </row>
    <row r="1801">
      <c r="A1801" t="n">
        <v>1800</v>
      </c>
      <c r="B1801" s="1" t="n">
        <v>45084</v>
      </c>
      <c r="C1801" s="5" t="inlineStr">
        <is>
          <t>M6</t>
        </is>
      </c>
      <c r="D1801" s="5" t="n">
        <v>60</v>
      </c>
      <c r="E1801" s="5" t="n">
        <v>264</v>
      </c>
      <c r="F1801" t="inlineStr">
        <is>
          <t>Продажа</t>
        </is>
      </c>
      <c r="H1801">
        <f>VLOOKUP(C1801,Магазин!$A$2:$C$1000,2,0)</f>
        <v/>
      </c>
      <c r="I1801">
        <f>VLOOKUP(D1801,Товар!$A$2:$F$1000,3,0)</f>
        <v/>
      </c>
      <c r="J1801">
        <f>VLOOKUP(D1801,Товар!$A$2:$F$1000,5,0)</f>
        <v/>
      </c>
      <c r="K1801">
        <f>IF(AND(H1801="Промышленный",LEFT(I1801,18)="Порошок стиральный",F1801="Продажа",B1801=DATE(2023,6,7)),E1801*J1801/1000,0)</f>
        <v/>
      </c>
    </row>
    <row r="1802">
      <c r="A1802" t="n">
        <v>1801</v>
      </c>
      <c r="B1802" s="1" t="n">
        <v>45084</v>
      </c>
      <c r="C1802" s="5" t="inlineStr">
        <is>
          <t>M10</t>
        </is>
      </c>
      <c r="D1802" s="5" t="n">
        <v>37</v>
      </c>
      <c r="E1802" s="5" t="n">
        <v>237</v>
      </c>
      <c r="F1802" t="inlineStr">
        <is>
          <t>Продажа</t>
        </is>
      </c>
      <c r="H1802">
        <f>VLOOKUP(C1802,Магазин!$A$2:$C$1000,2,0)</f>
        <v/>
      </c>
      <c r="I1802">
        <f>VLOOKUP(D1802,Товар!$A$2:$F$1000,3,0)</f>
        <v/>
      </c>
      <c r="J1802">
        <f>VLOOKUP(D1802,Товар!$A$2:$F$1000,5,0)</f>
        <v/>
      </c>
      <c r="K1802">
        <f>IF(AND(H1802="Промышленный",LEFT(I1802,18)="Порошок стиральный",F1802="Продажа",B1802=DATE(2023,6,7)),E1802*J1802/1000,0)</f>
        <v/>
      </c>
    </row>
    <row r="1803">
      <c r="A1803" t="n">
        <v>1802</v>
      </c>
      <c r="B1803" s="1" t="n">
        <v>45084</v>
      </c>
      <c r="C1803" s="5" t="inlineStr">
        <is>
          <t>M10</t>
        </is>
      </c>
      <c r="D1803" s="5" t="n">
        <v>38</v>
      </c>
      <c r="E1803" s="5" t="n">
        <v>218</v>
      </c>
      <c r="F1803" t="inlineStr">
        <is>
          <t>Продажа</t>
        </is>
      </c>
      <c r="H1803">
        <f>VLOOKUP(C1803,Магазин!$A$2:$C$1000,2,0)</f>
        <v/>
      </c>
      <c r="I1803">
        <f>VLOOKUP(D1803,Товар!$A$2:$F$1000,3,0)</f>
        <v/>
      </c>
      <c r="J1803">
        <f>VLOOKUP(D1803,Товар!$A$2:$F$1000,5,0)</f>
        <v/>
      </c>
      <c r="K1803">
        <f>IF(AND(H1803="Промышленный",LEFT(I1803,18)="Порошок стиральный",F1803="Продажа",B1803=DATE(2023,6,7)),E1803*J1803/1000,0)</f>
        <v/>
      </c>
    </row>
    <row r="1804">
      <c r="A1804" t="n">
        <v>1803</v>
      </c>
      <c r="B1804" s="1" t="n">
        <v>45084</v>
      </c>
      <c r="C1804" s="5" t="inlineStr">
        <is>
          <t>M10</t>
        </is>
      </c>
      <c r="D1804" s="5" t="n">
        <v>39</v>
      </c>
      <c r="E1804" s="5" t="n">
        <v>249</v>
      </c>
      <c r="F1804" t="inlineStr">
        <is>
          <t>Продажа</t>
        </is>
      </c>
      <c r="H1804">
        <f>VLOOKUP(C1804,Магазин!$A$2:$C$1000,2,0)</f>
        <v/>
      </c>
      <c r="I1804">
        <f>VLOOKUP(D1804,Товар!$A$2:$F$1000,3,0)</f>
        <v/>
      </c>
      <c r="J1804">
        <f>VLOOKUP(D1804,Товар!$A$2:$F$1000,5,0)</f>
        <v/>
      </c>
      <c r="K1804">
        <f>IF(AND(H1804="Промышленный",LEFT(I1804,18)="Порошок стиральный",F1804="Продажа",B1804=DATE(2023,6,7)),E1804*J1804/1000,0)</f>
        <v/>
      </c>
    </row>
    <row r="1805">
      <c r="A1805" t="n">
        <v>1804</v>
      </c>
      <c r="B1805" s="1" t="n">
        <v>45084</v>
      </c>
      <c r="C1805" s="5" t="inlineStr">
        <is>
          <t>M10</t>
        </is>
      </c>
      <c r="D1805" s="5" t="n">
        <v>40</v>
      </c>
      <c r="E1805" s="5" t="n">
        <v>273</v>
      </c>
      <c r="F1805" t="inlineStr">
        <is>
          <t>Продажа</t>
        </is>
      </c>
      <c r="H1805">
        <f>VLOOKUP(C1805,Магазин!$A$2:$C$1000,2,0)</f>
        <v/>
      </c>
      <c r="I1805">
        <f>VLOOKUP(D1805,Товар!$A$2:$F$1000,3,0)</f>
        <v/>
      </c>
      <c r="J1805">
        <f>VLOOKUP(D1805,Товар!$A$2:$F$1000,5,0)</f>
        <v/>
      </c>
      <c r="K1805">
        <f>IF(AND(H1805="Промышленный",LEFT(I1805,18)="Порошок стиральный",F1805="Продажа",B1805=DATE(2023,6,7)),E1805*J1805/1000,0)</f>
        <v/>
      </c>
    </row>
    <row r="1806">
      <c r="A1806" t="n">
        <v>1805</v>
      </c>
      <c r="B1806" s="1" t="n">
        <v>45084</v>
      </c>
      <c r="C1806" s="5" t="inlineStr">
        <is>
          <t>M10</t>
        </is>
      </c>
      <c r="D1806" s="5" t="n">
        <v>41</v>
      </c>
      <c r="E1806" s="5" t="n">
        <v>284</v>
      </c>
      <c r="F1806" t="inlineStr">
        <is>
          <t>Продажа</t>
        </is>
      </c>
      <c r="H1806">
        <f>VLOOKUP(C1806,Магазин!$A$2:$C$1000,2,0)</f>
        <v/>
      </c>
      <c r="I1806">
        <f>VLOOKUP(D1806,Товар!$A$2:$F$1000,3,0)</f>
        <v/>
      </c>
      <c r="J1806">
        <f>VLOOKUP(D1806,Товар!$A$2:$F$1000,5,0)</f>
        <v/>
      </c>
      <c r="K1806">
        <f>IF(AND(H1806="Промышленный",LEFT(I1806,18)="Порошок стиральный",F1806="Продажа",B1806=DATE(2023,6,7)),E1806*J1806/1000,0)</f>
        <v/>
      </c>
    </row>
    <row r="1807">
      <c r="A1807" t="n">
        <v>1806</v>
      </c>
      <c r="B1807" s="1" t="n">
        <v>45084</v>
      </c>
      <c r="C1807" s="5" t="inlineStr">
        <is>
          <t>M10</t>
        </is>
      </c>
      <c r="D1807" s="5" t="n">
        <v>42</v>
      </c>
      <c r="E1807" s="5" t="n">
        <v>253</v>
      </c>
      <c r="F1807" t="inlineStr">
        <is>
          <t>Продажа</t>
        </is>
      </c>
      <c r="H1807">
        <f>VLOOKUP(C1807,Магазин!$A$2:$C$1000,2,0)</f>
        <v/>
      </c>
      <c r="I1807">
        <f>VLOOKUP(D1807,Товар!$A$2:$F$1000,3,0)</f>
        <v/>
      </c>
      <c r="J1807">
        <f>VLOOKUP(D1807,Товар!$A$2:$F$1000,5,0)</f>
        <v/>
      </c>
      <c r="K1807">
        <f>IF(AND(H1807="Промышленный",LEFT(I1807,18)="Порошок стиральный",F1807="Продажа",B1807=DATE(2023,6,7)),E1807*J1807/1000,0)</f>
        <v/>
      </c>
    </row>
    <row r="1808">
      <c r="A1808" t="n">
        <v>1807</v>
      </c>
      <c r="B1808" s="1" t="n">
        <v>45084</v>
      </c>
      <c r="C1808" s="5" t="inlineStr">
        <is>
          <t>M10</t>
        </is>
      </c>
      <c r="D1808" s="5" t="n">
        <v>43</v>
      </c>
      <c r="E1808" s="5" t="n">
        <v>261</v>
      </c>
      <c r="F1808" t="inlineStr">
        <is>
          <t>Продажа</t>
        </is>
      </c>
      <c r="H1808">
        <f>VLOOKUP(C1808,Магазин!$A$2:$C$1000,2,0)</f>
        <v/>
      </c>
      <c r="I1808">
        <f>VLOOKUP(D1808,Товар!$A$2:$F$1000,3,0)</f>
        <v/>
      </c>
      <c r="J1808">
        <f>VLOOKUP(D1808,Товар!$A$2:$F$1000,5,0)</f>
        <v/>
      </c>
      <c r="K1808">
        <f>IF(AND(H1808="Промышленный",LEFT(I1808,18)="Порошок стиральный",F1808="Продажа",B1808=DATE(2023,6,7)),E1808*J1808/1000,0)</f>
        <v/>
      </c>
    </row>
    <row r="1809">
      <c r="A1809" t="n">
        <v>1808</v>
      </c>
      <c r="B1809" s="1" t="n">
        <v>45084</v>
      </c>
      <c r="C1809" s="5" t="inlineStr">
        <is>
          <t>M10</t>
        </is>
      </c>
      <c r="D1809" s="5" t="n">
        <v>44</v>
      </c>
      <c r="E1809" s="5" t="n">
        <v>276</v>
      </c>
      <c r="F1809" t="inlineStr">
        <is>
          <t>Продажа</t>
        </is>
      </c>
      <c r="H1809">
        <f>VLOOKUP(C1809,Магазин!$A$2:$C$1000,2,0)</f>
        <v/>
      </c>
      <c r="I1809">
        <f>VLOOKUP(D1809,Товар!$A$2:$F$1000,3,0)</f>
        <v/>
      </c>
      <c r="J1809">
        <f>VLOOKUP(D1809,Товар!$A$2:$F$1000,5,0)</f>
        <v/>
      </c>
      <c r="K1809">
        <f>IF(AND(H1809="Промышленный",LEFT(I1809,18)="Порошок стиральный",F1809="Продажа",B1809=DATE(2023,6,7)),E1809*J1809/1000,0)</f>
        <v/>
      </c>
    </row>
    <row r="1810">
      <c r="A1810" t="n">
        <v>1809</v>
      </c>
      <c r="B1810" s="1" t="n">
        <v>45084</v>
      </c>
      <c r="C1810" s="5" t="inlineStr">
        <is>
          <t>M10</t>
        </is>
      </c>
      <c r="D1810" s="5" t="n">
        <v>45</v>
      </c>
      <c r="E1810" s="5" t="n">
        <v>205</v>
      </c>
      <c r="F1810" t="inlineStr">
        <is>
          <t>Продажа</t>
        </is>
      </c>
      <c r="H1810">
        <f>VLOOKUP(C1810,Магазин!$A$2:$C$1000,2,0)</f>
        <v/>
      </c>
      <c r="I1810">
        <f>VLOOKUP(D1810,Товар!$A$2:$F$1000,3,0)</f>
        <v/>
      </c>
      <c r="J1810">
        <f>VLOOKUP(D1810,Товар!$A$2:$F$1000,5,0)</f>
        <v/>
      </c>
      <c r="K1810">
        <f>IF(AND(H1810="Промышленный",LEFT(I1810,18)="Порошок стиральный",F1810="Продажа",B1810=DATE(2023,6,7)),E1810*J1810/1000,0)</f>
        <v/>
      </c>
    </row>
    <row r="1811">
      <c r="A1811" t="n">
        <v>1810</v>
      </c>
      <c r="B1811" s="1" t="n">
        <v>45084</v>
      </c>
      <c r="C1811" s="5" t="inlineStr">
        <is>
          <t>M10</t>
        </is>
      </c>
      <c r="D1811" s="5" t="n">
        <v>46</v>
      </c>
      <c r="E1811" s="5" t="n">
        <v>357</v>
      </c>
      <c r="F1811" t="inlineStr">
        <is>
          <t>Продажа</t>
        </is>
      </c>
      <c r="H1811">
        <f>VLOOKUP(C1811,Магазин!$A$2:$C$1000,2,0)</f>
        <v/>
      </c>
      <c r="I1811">
        <f>VLOOKUP(D1811,Товар!$A$2:$F$1000,3,0)</f>
        <v/>
      </c>
      <c r="J1811">
        <f>VLOOKUP(D1811,Товар!$A$2:$F$1000,5,0)</f>
        <v/>
      </c>
      <c r="K1811">
        <f>IF(AND(H1811="Промышленный",LEFT(I1811,18)="Порошок стиральный",F1811="Продажа",B1811=DATE(2023,6,7)),E1811*J1811/1000,0)</f>
        <v/>
      </c>
    </row>
    <row r="1812">
      <c r="A1812" t="n">
        <v>1811</v>
      </c>
      <c r="B1812" s="1" t="n">
        <v>45084</v>
      </c>
      <c r="C1812" s="5" t="inlineStr">
        <is>
          <t>M10</t>
        </is>
      </c>
      <c r="D1812" s="5" t="n">
        <v>47</v>
      </c>
      <c r="E1812" s="5" t="n">
        <v>268</v>
      </c>
      <c r="F1812" t="inlineStr">
        <is>
          <t>Продажа</t>
        </is>
      </c>
      <c r="H1812">
        <f>VLOOKUP(C1812,Магазин!$A$2:$C$1000,2,0)</f>
        <v/>
      </c>
      <c r="I1812">
        <f>VLOOKUP(D1812,Товар!$A$2:$F$1000,3,0)</f>
        <v/>
      </c>
      <c r="J1812">
        <f>VLOOKUP(D1812,Товар!$A$2:$F$1000,5,0)</f>
        <v/>
      </c>
      <c r="K1812">
        <f>IF(AND(H1812="Промышленный",LEFT(I1812,18)="Порошок стиральный",F1812="Продажа",B1812=DATE(2023,6,7)),E1812*J1812/1000,0)</f>
        <v/>
      </c>
    </row>
    <row r="1813">
      <c r="A1813" t="n">
        <v>1812</v>
      </c>
      <c r="B1813" s="1" t="n">
        <v>45084</v>
      </c>
      <c r="C1813" s="5" t="inlineStr">
        <is>
          <t>M10</t>
        </is>
      </c>
      <c r="D1813" s="5" t="n">
        <v>48</v>
      </c>
      <c r="E1813" s="5" t="n">
        <v>279</v>
      </c>
      <c r="F1813" t="inlineStr">
        <is>
          <t>Продажа</t>
        </is>
      </c>
      <c r="H1813">
        <f>VLOOKUP(C1813,Магазин!$A$2:$C$1000,2,0)</f>
        <v/>
      </c>
      <c r="I1813">
        <f>VLOOKUP(D1813,Товар!$A$2:$F$1000,3,0)</f>
        <v/>
      </c>
      <c r="J1813">
        <f>VLOOKUP(D1813,Товар!$A$2:$F$1000,5,0)</f>
        <v/>
      </c>
      <c r="K1813">
        <f>IF(AND(H1813="Промышленный",LEFT(I1813,18)="Порошок стиральный",F1813="Продажа",B1813=DATE(2023,6,7)),E1813*J1813/1000,0)</f>
        <v/>
      </c>
    </row>
    <row r="1814">
      <c r="A1814" t="n">
        <v>1813</v>
      </c>
      <c r="B1814" s="1" t="n">
        <v>45084</v>
      </c>
      <c r="C1814" s="5" t="inlineStr">
        <is>
          <t>M10</t>
        </is>
      </c>
      <c r="D1814" s="5" t="n">
        <v>49</v>
      </c>
      <c r="E1814" s="5" t="n">
        <v>281</v>
      </c>
      <c r="F1814" t="inlineStr">
        <is>
          <t>Продажа</t>
        </is>
      </c>
      <c r="H1814">
        <f>VLOOKUP(C1814,Магазин!$A$2:$C$1000,2,0)</f>
        <v/>
      </c>
      <c r="I1814">
        <f>VLOOKUP(D1814,Товар!$A$2:$F$1000,3,0)</f>
        <v/>
      </c>
      <c r="J1814">
        <f>VLOOKUP(D1814,Товар!$A$2:$F$1000,5,0)</f>
        <v/>
      </c>
      <c r="K1814">
        <f>IF(AND(H1814="Промышленный",LEFT(I1814,18)="Порошок стиральный",F1814="Продажа",B1814=DATE(2023,6,7)),E1814*J1814/1000,0)</f>
        <v/>
      </c>
    </row>
    <row r="1815">
      <c r="A1815" t="n">
        <v>1814</v>
      </c>
      <c r="B1815" s="1" t="n">
        <v>45084</v>
      </c>
      <c r="C1815" s="5" t="inlineStr">
        <is>
          <t>M10</t>
        </is>
      </c>
      <c r="D1815" s="5" t="n">
        <v>50</v>
      </c>
      <c r="E1815" s="5" t="n">
        <v>292</v>
      </c>
      <c r="F1815" t="inlineStr">
        <is>
          <t>Продажа</t>
        </is>
      </c>
      <c r="H1815">
        <f>VLOOKUP(C1815,Магазин!$A$2:$C$1000,2,0)</f>
        <v/>
      </c>
      <c r="I1815">
        <f>VLOOKUP(D1815,Товар!$A$2:$F$1000,3,0)</f>
        <v/>
      </c>
      <c r="J1815">
        <f>VLOOKUP(D1815,Товар!$A$2:$F$1000,5,0)</f>
        <v/>
      </c>
      <c r="K1815">
        <f>IF(AND(H1815="Промышленный",LEFT(I1815,18)="Порошок стиральный",F1815="Продажа",B1815=DATE(2023,6,7)),E1815*J1815/1000,0)</f>
        <v/>
      </c>
    </row>
    <row r="1816">
      <c r="A1816" t="n">
        <v>1815</v>
      </c>
      <c r="B1816" s="1" t="n">
        <v>45084</v>
      </c>
      <c r="C1816" s="5" t="inlineStr">
        <is>
          <t>M10</t>
        </is>
      </c>
      <c r="D1816" s="5" t="n">
        <v>51</v>
      </c>
      <c r="E1816" s="5" t="n">
        <v>203</v>
      </c>
      <c r="F1816" t="inlineStr">
        <is>
          <t>Продажа</t>
        </is>
      </c>
      <c r="H1816">
        <f>VLOOKUP(C1816,Магазин!$A$2:$C$1000,2,0)</f>
        <v/>
      </c>
      <c r="I1816">
        <f>VLOOKUP(D1816,Товар!$A$2:$F$1000,3,0)</f>
        <v/>
      </c>
      <c r="J1816">
        <f>VLOOKUP(D1816,Товар!$A$2:$F$1000,5,0)</f>
        <v/>
      </c>
      <c r="K1816">
        <f>IF(AND(H1816="Промышленный",LEFT(I1816,18)="Порошок стиральный",F1816="Продажа",B1816=DATE(2023,6,7)),E1816*J1816/1000,0)</f>
        <v/>
      </c>
    </row>
    <row r="1817">
      <c r="A1817" t="n">
        <v>1816</v>
      </c>
      <c r="B1817" s="1" t="n">
        <v>45084</v>
      </c>
      <c r="C1817" s="5" t="inlineStr">
        <is>
          <t>M10</t>
        </is>
      </c>
      <c r="D1817" s="5" t="n">
        <v>52</v>
      </c>
      <c r="E1817" s="5" t="n">
        <v>214</v>
      </c>
      <c r="F1817" t="inlineStr">
        <is>
          <t>Продажа</t>
        </is>
      </c>
      <c r="H1817">
        <f>VLOOKUP(C1817,Магазин!$A$2:$C$1000,2,0)</f>
        <v/>
      </c>
      <c r="I1817">
        <f>VLOOKUP(D1817,Товар!$A$2:$F$1000,3,0)</f>
        <v/>
      </c>
      <c r="J1817">
        <f>VLOOKUP(D1817,Товар!$A$2:$F$1000,5,0)</f>
        <v/>
      </c>
      <c r="K1817">
        <f>IF(AND(H1817="Промышленный",LEFT(I1817,18)="Порошок стиральный",F1817="Продажа",B1817=DATE(2023,6,7)),E1817*J1817/1000,0)</f>
        <v/>
      </c>
    </row>
    <row r="1818">
      <c r="A1818" t="n">
        <v>1817</v>
      </c>
      <c r="B1818" s="1" t="n">
        <v>45084</v>
      </c>
      <c r="C1818" s="5" t="inlineStr">
        <is>
          <t>M10</t>
        </is>
      </c>
      <c r="D1818" s="5" t="n">
        <v>53</v>
      </c>
      <c r="E1818" s="5" t="n">
        <v>225</v>
      </c>
      <c r="F1818" t="inlineStr">
        <is>
          <t>Продажа</t>
        </is>
      </c>
      <c r="H1818">
        <f>VLOOKUP(C1818,Магазин!$A$2:$C$1000,2,0)</f>
        <v/>
      </c>
      <c r="I1818">
        <f>VLOOKUP(D1818,Товар!$A$2:$F$1000,3,0)</f>
        <v/>
      </c>
      <c r="J1818">
        <f>VLOOKUP(D1818,Товар!$A$2:$F$1000,5,0)</f>
        <v/>
      </c>
      <c r="K1818">
        <f>IF(AND(H1818="Промышленный",LEFT(I1818,18)="Порошок стиральный",F1818="Продажа",B1818=DATE(2023,6,7)),E1818*J1818/1000,0)</f>
        <v/>
      </c>
    </row>
    <row r="1819">
      <c r="A1819" t="n">
        <v>1818</v>
      </c>
      <c r="B1819" s="1" t="n">
        <v>45084</v>
      </c>
      <c r="C1819" s="5" t="inlineStr">
        <is>
          <t>M10</t>
        </is>
      </c>
      <c r="D1819" s="5" t="n">
        <v>54</v>
      </c>
      <c r="E1819" s="5" t="n">
        <v>236</v>
      </c>
      <c r="F1819" t="inlineStr">
        <is>
          <t>Продажа</t>
        </is>
      </c>
      <c r="H1819">
        <f>VLOOKUP(C1819,Магазин!$A$2:$C$1000,2,0)</f>
        <v/>
      </c>
      <c r="I1819">
        <f>VLOOKUP(D1819,Товар!$A$2:$F$1000,3,0)</f>
        <v/>
      </c>
      <c r="J1819">
        <f>VLOOKUP(D1819,Товар!$A$2:$F$1000,5,0)</f>
        <v/>
      </c>
      <c r="K1819">
        <f>IF(AND(H1819="Промышленный",LEFT(I1819,18)="Порошок стиральный",F1819="Продажа",B1819=DATE(2023,6,7)),E1819*J1819/1000,0)</f>
        <v/>
      </c>
    </row>
    <row r="1820">
      <c r="A1820" t="n">
        <v>1819</v>
      </c>
      <c r="B1820" s="1" t="n">
        <v>45084</v>
      </c>
      <c r="C1820" s="5" t="inlineStr">
        <is>
          <t>M10</t>
        </is>
      </c>
      <c r="D1820" s="5" t="n">
        <v>55</v>
      </c>
      <c r="E1820" s="5" t="n">
        <v>247</v>
      </c>
      <c r="F1820" t="inlineStr">
        <is>
          <t>Продажа</t>
        </is>
      </c>
      <c r="H1820">
        <f>VLOOKUP(C1820,Магазин!$A$2:$C$1000,2,0)</f>
        <v/>
      </c>
      <c r="I1820">
        <f>VLOOKUP(D1820,Товар!$A$2:$F$1000,3,0)</f>
        <v/>
      </c>
      <c r="J1820">
        <f>VLOOKUP(D1820,Товар!$A$2:$F$1000,5,0)</f>
        <v/>
      </c>
      <c r="K1820">
        <f>IF(AND(H1820="Промышленный",LEFT(I1820,18)="Порошок стиральный",F1820="Продажа",B1820=DATE(2023,6,7)),E1820*J1820/1000,0)</f>
        <v/>
      </c>
    </row>
    <row r="1821">
      <c r="A1821" t="n">
        <v>1820</v>
      </c>
      <c r="B1821" s="1" t="n">
        <v>45084</v>
      </c>
      <c r="C1821" s="5" t="inlineStr">
        <is>
          <t>M10</t>
        </is>
      </c>
      <c r="D1821" s="5" t="n">
        <v>56</v>
      </c>
      <c r="E1821" s="5" t="n">
        <v>258</v>
      </c>
      <c r="F1821" t="inlineStr">
        <is>
          <t>Продажа</t>
        </is>
      </c>
      <c r="H1821">
        <f>VLOOKUP(C1821,Магазин!$A$2:$C$1000,2,0)</f>
        <v/>
      </c>
      <c r="I1821">
        <f>VLOOKUP(D1821,Товар!$A$2:$F$1000,3,0)</f>
        <v/>
      </c>
      <c r="J1821">
        <f>VLOOKUP(D1821,Товар!$A$2:$F$1000,5,0)</f>
        <v/>
      </c>
      <c r="K1821">
        <f>IF(AND(H1821="Промышленный",LEFT(I1821,18)="Порошок стиральный",F1821="Продажа",B1821=DATE(2023,6,7)),E1821*J1821/1000,0)</f>
        <v/>
      </c>
    </row>
    <row r="1822">
      <c r="A1822" t="n">
        <v>1821</v>
      </c>
      <c r="B1822" s="1" t="n">
        <v>45084</v>
      </c>
      <c r="C1822" s="5" t="inlineStr">
        <is>
          <t>M10</t>
        </is>
      </c>
      <c r="D1822" s="5" t="n">
        <v>57</v>
      </c>
      <c r="E1822" s="5" t="n">
        <v>256</v>
      </c>
      <c r="F1822" t="inlineStr">
        <is>
          <t>Продажа</t>
        </is>
      </c>
      <c r="H1822">
        <f>VLOOKUP(C1822,Магазин!$A$2:$C$1000,2,0)</f>
        <v/>
      </c>
      <c r="I1822">
        <f>VLOOKUP(D1822,Товар!$A$2:$F$1000,3,0)</f>
        <v/>
      </c>
      <c r="J1822">
        <f>VLOOKUP(D1822,Товар!$A$2:$F$1000,5,0)</f>
        <v/>
      </c>
      <c r="K1822">
        <f>IF(AND(H1822="Промышленный",LEFT(I1822,18)="Порошок стиральный",F1822="Продажа",B1822=DATE(2023,6,7)),E1822*J1822/1000,0)</f>
        <v/>
      </c>
    </row>
    <row r="1823">
      <c r="A1823" t="n">
        <v>1822</v>
      </c>
      <c r="B1823" s="1" t="n">
        <v>45084</v>
      </c>
      <c r="C1823" s="5" t="inlineStr">
        <is>
          <t>M10</t>
        </is>
      </c>
      <c r="D1823" s="5" t="n">
        <v>58</v>
      </c>
      <c r="E1823" s="5" t="n">
        <v>269</v>
      </c>
      <c r="F1823" t="inlineStr">
        <is>
          <t>Продажа</t>
        </is>
      </c>
      <c r="H1823">
        <f>VLOOKUP(C1823,Магазин!$A$2:$C$1000,2,0)</f>
        <v/>
      </c>
      <c r="I1823">
        <f>VLOOKUP(D1823,Товар!$A$2:$F$1000,3,0)</f>
        <v/>
      </c>
      <c r="J1823">
        <f>VLOOKUP(D1823,Товар!$A$2:$F$1000,5,0)</f>
        <v/>
      </c>
      <c r="K1823">
        <f>IF(AND(H1823="Промышленный",LEFT(I1823,18)="Порошок стиральный",F1823="Продажа",B1823=DATE(2023,6,7)),E1823*J1823/1000,0)</f>
        <v/>
      </c>
    </row>
    <row r="1824">
      <c r="A1824" t="n">
        <v>1823</v>
      </c>
      <c r="B1824" s="1" t="n">
        <v>45084</v>
      </c>
      <c r="C1824" s="5" t="inlineStr">
        <is>
          <t>M10</t>
        </is>
      </c>
      <c r="D1824" s="5" t="n">
        <v>59</v>
      </c>
      <c r="E1824" s="5" t="n">
        <v>204</v>
      </c>
      <c r="F1824" t="inlineStr">
        <is>
          <t>Продажа</t>
        </is>
      </c>
      <c r="H1824">
        <f>VLOOKUP(C1824,Магазин!$A$2:$C$1000,2,0)</f>
        <v/>
      </c>
      <c r="I1824">
        <f>VLOOKUP(D1824,Товар!$A$2:$F$1000,3,0)</f>
        <v/>
      </c>
      <c r="J1824">
        <f>VLOOKUP(D1824,Товар!$A$2:$F$1000,5,0)</f>
        <v/>
      </c>
      <c r="K1824">
        <f>IF(AND(H1824="Промышленный",LEFT(I1824,18)="Порошок стиральный",F1824="Продажа",B1824=DATE(2023,6,7)),E1824*J1824/1000,0)</f>
        <v/>
      </c>
    </row>
    <row r="1825">
      <c r="A1825" t="n">
        <v>1824</v>
      </c>
      <c r="B1825" s="1" t="n">
        <v>45084</v>
      </c>
      <c r="C1825" s="5" t="inlineStr">
        <is>
          <t>M10</t>
        </is>
      </c>
      <c r="D1825" s="5" t="n">
        <v>60</v>
      </c>
      <c r="E1825" s="5" t="n">
        <v>206</v>
      </c>
      <c r="F1825" t="inlineStr">
        <is>
          <t>Продажа</t>
        </is>
      </c>
      <c r="H1825">
        <f>VLOOKUP(C1825,Магазин!$A$2:$C$1000,2,0)</f>
        <v/>
      </c>
      <c r="I1825">
        <f>VLOOKUP(D1825,Товар!$A$2:$F$1000,3,0)</f>
        <v/>
      </c>
      <c r="J1825">
        <f>VLOOKUP(D1825,Товар!$A$2:$F$1000,5,0)</f>
        <v/>
      </c>
      <c r="K1825">
        <f>IF(AND(H1825="Промышленный",LEFT(I1825,18)="Порошок стиральный",F1825="Продажа",B1825=DATE(2023,6,7)),E1825*J1825/1000,0)</f>
        <v/>
      </c>
    </row>
    <row r="1826">
      <c r="A1826" t="n">
        <v>1825</v>
      </c>
      <c r="B1826" s="1" t="n">
        <v>45084</v>
      </c>
      <c r="C1826" s="5" t="inlineStr">
        <is>
          <t>M15</t>
        </is>
      </c>
      <c r="D1826" s="5" t="n">
        <v>37</v>
      </c>
      <c r="E1826" s="5" t="n">
        <v>208</v>
      </c>
      <c r="F1826" t="inlineStr">
        <is>
          <t>Продажа</t>
        </is>
      </c>
      <c r="H1826">
        <f>VLOOKUP(C1826,Магазин!$A$2:$C$1000,2,0)</f>
        <v/>
      </c>
      <c r="I1826">
        <f>VLOOKUP(D1826,Товар!$A$2:$F$1000,3,0)</f>
        <v/>
      </c>
      <c r="J1826">
        <f>VLOOKUP(D1826,Товар!$A$2:$F$1000,5,0)</f>
        <v/>
      </c>
      <c r="K1826">
        <f>IF(AND(H1826="Промышленный",LEFT(I1826,18)="Порошок стиральный",F1826="Продажа",B1826=DATE(2023,6,7)),E1826*J1826/1000,0)</f>
        <v/>
      </c>
    </row>
    <row r="1827">
      <c r="A1827" t="n">
        <v>1826</v>
      </c>
      <c r="B1827" s="1" t="n">
        <v>45084</v>
      </c>
      <c r="C1827" s="5" t="inlineStr">
        <is>
          <t>M15</t>
        </is>
      </c>
      <c r="D1827" s="5" t="n">
        <v>38</v>
      </c>
      <c r="E1827" s="5" t="n">
        <v>209</v>
      </c>
      <c r="F1827" t="inlineStr">
        <is>
          <t>Продажа</t>
        </is>
      </c>
      <c r="H1827">
        <f>VLOOKUP(C1827,Магазин!$A$2:$C$1000,2,0)</f>
        <v/>
      </c>
      <c r="I1827">
        <f>VLOOKUP(D1827,Товар!$A$2:$F$1000,3,0)</f>
        <v/>
      </c>
      <c r="J1827">
        <f>VLOOKUP(D1827,Товар!$A$2:$F$1000,5,0)</f>
        <v/>
      </c>
      <c r="K1827">
        <f>IF(AND(H1827="Промышленный",LEFT(I1827,18)="Порошок стиральный",F1827="Продажа",B1827=DATE(2023,6,7)),E1827*J1827/1000,0)</f>
        <v/>
      </c>
    </row>
    <row r="1828">
      <c r="A1828" t="n">
        <v>1827</v>
      </c>
      <c r="B1828" s="1" t="n">
        <v>45084</v>
      </c>
      <c r="C1828" s="5" t="inlineStr">
        <is>
          <t>M15</t>
        </is>
      </c>
      <c r="D1828" s="5" t="n">
        <v>39</v>
      </c>
      <c r="E1828" s="5" t="n">
        <v>299</v>
      </c>
      <c r="F1828" t="inlineStr">
        <is>
          <t>Продажа</t>
        </is>
      </c>
      <c r="H1828">
        <f>VLOOKUP(C1828,Магазин!$A$2:$C$1000,2,0)</f>
        <v/>
      </c>
      <c r="I1828">
        <f>VLOOKUP(D1828,Товар!$A$2:$F$1000,3,0)</f>
        <v/>
      </c>
      <c r="J1828">
        <f>VLOOKUP(D1828,Товар!$A$2:$F$1000,5,0)</f>
        <v/>
      </c>
      <c r="K1828">
        <f>IF(AND(H1828="Промышленный",LEFT(I1828,18)="Порошок стиральный",F1828="Продажа",B1828=DATE(2023,6,7)),E1828*J1828/1000,0)</f>
        <v/>
      </c>
    </row>
    <row r="1829">
      <c r="A1829" t="n">
        <v>1828</v>
      </c>
      <c r="B1829" s="1" t="n">
        <v>45084</v>
      </c>
      <c r="C1829" s="5" t="inlineStr">
        <is>
          <t>M15</t>
        </is>
      </c>
      <c r="D1829" s="5" t="n">
        <v>40</v>
      </c>
      <c r="E1829" s="5" t="n">
        <v>275</v>
      </c>
      <c r="F1829" t="inlineStr">
        <is>
          <t>Продажа</t>
        </is>
      </c>
      <c r="H1829">
        <f>VLOOKUP(C1829,Магазин!$A$2:$C$1000,2,0)</f>
        <v/>
      </c>
      <c r="I1829">
        <f>VLOOKUP(D1829,Товар!$A$2:$F$1000,3,0)</f>
        <v/>
      </c>
      <c r="J1829">
        <f>VLOOKUP(D1829,Товар!$A$2:$F$1000,5,0)</f>
        <v/>
      </c>
      <c r="K1829">
        <f>IF(AND(H1829="Промышленный",LEFT(I1829,18)="Порошок стиральный",F1829="Продажа",B1829=DATE(2023,6,7)),E1829*J1829/1000,0)</f>
        <v/>
      </c>
    </row>
    <row r="1830">
      <c r="A1830" t="n">
        <v>1829</v>
      </c>
      <c r="B1830" s="1" t="n">
        <v>45084</v>
      </c>
      <c r="C1830" s="5" t="inlineStr">
        <is>
          <t>M15</t>
        </is>
      </c>
      <c r="D1830" s="5" t="n">
        <v>41</v>
      </c>
      <c r="E1830" s="5" t="n">
        <v>234</v>
      </c>
      <c r="F1830" t="inlineStr">
        <is>
          <t>Продажа</t>
        </is>
      </c>
      <c r="H1830">
        <f>VLOOKUP(C1830,Магазин!$A$2:$C$1000,2,0)</f>
        <v/>
      </c>
      <c r="I1830">
        <f>VLOOKUP(D1830,Товар!$A$2:$F$1000,3,0)</f>
        <v/>
      </c>
      <c r="J1830">
        <f>VLOOKUP(D1830,Товар!$A$2:$F$1000,5,0)</f>
        <v/>
      </c>
      <c r="K1830">
        <f>IF(AND(H1830="Промышленный",LEFT(I1830,18)="Порошок стиральный",F1830="Продажа",B1830=DATE(2023,6,7)),E1830*J1830/1000,0)</f>
        <v/>
      </c>
    </row>
    <row r="1831">
      <c r="A1831" t="n">
        <v>1830</v>
      </c>
      <c r="B1831" s="1" t="n">
        <v>45084</v>
      </c>
      <c r="C1831" s="5" t="inlineStr">
        <is>
          <t>M15</t>
        </is>
      </c>
      <c r="D1831" s="5" t="n">
        <v>42</v>
      </c>
      <c r="E1831" s="5" t="n">
        <v>228</v>
      </c>
      <c r="F1831" t="inlineStr">
        <is>
          <t>Продажа</t>
        </is>
      </c>
      <c r="H1831">
        <f>VLOOKUP(C1831,Магазин!$A$2:$C$1000,2,0)</f>
        <v/>
      </c>
      <c r="I1831">
        <f>VLOOKUP(D1831,Товар!$A$2:$F$1000,3,0)</f>
        <v/>
      </c>
      <c r="J1831">
        <f>VLOOKUP(D1831,Товар!$A$2:$F$1000,5,0)</f>
        <v/>
      </c>
      <c r="K1831">
        <f>IF(AND(H1831="Промышленный",LEFT(I1831,18)="Порошок стиральный",F1831="Продажа",B1831=DATE(2023,6,7)),E1831*J1831/1000,0)</f>
        <v/>
      </c>
    </row>
    <row r="1832">
      <c r="A1832" t="n">
        <v>1831</v>
      </c>
      <c r="B1832" s="1" t="n">
        <v>45084</v>
      </c>
      <c r="C1832" s="5" t="inlineStr">
        <is>
          <t>M15</t>
        </is>
      </c>
      <c r="D1832" s="5" t="n">
        <v>43</v>
      </c>
      <c r="E1832" s="5" t="n">
        <v>217</v>
      </c>
      <c r="F1832" t="inlineStr">
        <is>
          <t>Продажа</t>
        </is>
      </c>
      <c r="H1832">
        <f>VLOOKUP(C1832,Магазин!$A$2:$C$1000,2,0)</f>
        <v/>
      </c>
      <c r="I1832">
        <f>VLOOKUP(D1832,Товар!$A$2:$F$1000,3,0)</f>
        <v/>
      </c>
      <c r="J1832">
        <f>VLOOKUP(D1832,Товар!$A$2:$F$1000,5,0)</f>
        <v/>
      </c>
      <c r="K1832">
        <f>IF(AND(H1832="Промышленный",LEFT(I1832,18)="Порошок стиральный",F1832="Продажа",B1832=DATE(2023,6,7)),E1832*J1832/1000,0)</f>
        <v/>
      </c>
    </row>
    <row r="1833">
      <c r="A1833" t="n">
        <v>1832</v>
      </c>
      <c r="B1833" s="1" t="n">
        <v>45084</v>
      </c>
      <c r="C1833" s="5" t="inlineStr">
        <is>
          <t>M15</t>
        </is>
      </c>
      <c r="D1833" s="5" t="n">
        <v>44</v>
      </c>
      <c r="E1833" s="5" t="n">
        <v>258</v>
      </c>
      <c r="F1833" t="inlineStr">
        <is>
          <t>Продажа</t>
        </is>
      </c>
      <c r="H1833">
        <f>VLOOKUP(C1833,Магазин!$A$2:$C$1000,2,0)</f>
        <v/>
      </c>
      <c r="I1833">
        <f>VLOOKUP(D1833,Товар!$A$2:$F$1000,3,0)</f>
        <v/>
      </c>
      <c r="J1833">
        <f>VLOOKUP(D1833,Товар!$A$2:$F$1000,5,0)</f>
        <v/>
      </c>
      <c r="K1833">
        <f>IF(AND(H1833="Промышленный",LEFT(I1833,18)="Порошок стиральный",F1833="Продажа",B1833=DATE(2023,6,7)),E1833*J1833/1000,0)</f>
        <v/>
      </c>
    </row>
    <row r="1834">
      <c r="A1834" t="n">
        <v>1833</v>
      </c>
      <c r="B1834" s="1" t="n">
        <v>45084</v>
      </c>
      <c r="C1834" s="5" t="inlineStr">
        <is>
          <t>M15</t>
        </is>
      </c>
      <c r="D1834" s="5" t="n">
        <v>45</v>
      </c>
      <c r="E1834" s="5" t="n">
        <v>199</v>
      </c>
      <c r="F1834" t="inlineStr">
        <is>
          <t>Продажа</t>
        </is>
      </c>
      <c r="H1834">
        <f>VLOOKUP(C1834,Магазин!$A$2:$C$1000,2,0)</f>
        <v/>
      </c>
      <c r="I1834">
        <f>VLOOKUP(D1834,Товар!$A$2:$F$1000,3,0)</f>
        <v/>
      </c>
      <c r="J1834">
        <f>VLOOKUP(D1834,Товар!$A$2:$F$1000,5,0)</f>
        <v/>
      </c>
      <c r="K1834">
        <f>IF(AND(H1834="Промышленный",LEFT(I1834,18)="Порошок стиральный",F1834="Продажа",B1834=DATE(2023,6,7)),E1834*J1834/1000,0)</f>
        <v/>
      </c>
    </row>
    <row r="1835">
      <c r="A1835" t="n">
        <v>1834</v>
      </c>
      <c r="B1835" s="1" t="n">
        <v>45084</v>
      </c>
      <c r="C1835" s="5" t="inlineStr">
        <is>
          <t>M15</t>
        </is>
      </c>
      <c r="D1835" s="5" t="n">
        <v>46</v>
      </c>
      <c r="E1835" s="5" t="n">
        <v>248</v>
      </c>
      <c r="F1835" t="inlineStr">
        <is>
          <t>Продажа</t>
        </is>
      </c>
      <c r="H1835">
        <f>VLOOKUP(C1835,Магазин!$A$2:$C$1000,2,0)</f>
        <v/>
      </c>
      <c r="I1835">
        <f>VLOOKUP(D1835,Товар!$A$2:$F$1000,3,0)</f>
        <v/>
      </c>
      <c r="J1835">
        <f>VLOOKUP(D1835,Товар!$A$2:$F$1000,5,0)</f>
        <v/>
      </c>
      <c r="K1835">
        <f>IF(AND(H1835="Промышленный",LEFT(I1835,18)="Порошок стиральный",F1835="Продажа",B1835=DATE(2023,6,7)),E1835*J1835/1000,0)</f>
        <v/>
      </c>
    </row>
    <row r="1836">
      <c r="A1836" t="n">
        <v>1835</v>
      </c>
      <c r="B1836" s="1" t="n">
        <v>45084</v>
      </c>
      <c r="C1836" s="5" t="inlineStr">
        <is>
          <t>M15</t>
        </is>
      </c>
      <c r="D1836" s="5" t="n">
        <v>47</v>
      </c>
      <c r="E1836" s="5" t="n">
        <v>236</v>
      </c>
      <c r="F1836" t="inlineStr">
        <is>
          <t>Продажа</t>
        </is>
      </c>
      <c r="H1836">
        <f>VLOOKUP(C1836,Магазин!$A$2:$C$1000,2,0)</f>
        <v/>
      </c>
      <c r="I1836">
        <f>VLOOKUP(D1836,Товар!$A$2:$F$1000,3,0)</f>
        <v/>
      </c>
      <c r="J1836">
        <f>VLOOKUP(D1836,Товар!$A$2:$F$1000,5,0)</f>
        <v/>
      </c>
      <c r="K1836">
        <f>IF(AND(H1836="Промышленный",LEFT(I1836,18)="Порошок стиральный",F1836="Продажа",B1836=DATE(2023,6,7)),E1836*J1836/1000,0)</f>
        <v/>
      </c>
    </row>
    <row r="1837">
      <c r="A1837" t="n">
        <v>1836</v>
      </c>
      <c r="B1837" s="1" t="n">
        <v>45084</v>
      </c>
      <c r="C1837" s="5" t="inlineStr">
        <is>
          <t>M15</t>
        </is>
      </c>
      <c r="D1837" s="5" t="n">
        <v>48</v>
      </c>
      <c r="E1837" s="5" t="n">
        <v>287</v>
      </c>
      <c r="F1837" t="inlineStr">
        <is>
          <t>Продажа</t>
        </is>
      </c>
      <c r="H1837">
        <f>VLOOKUP(C1837,Магазин!$A$2:$C$1000,2,0)</f>
        <v/>
      </c>
      <c r="I1837">
        <f>VLOOKUP(D1837,Товар!$A$2:$F$1000,3,0)</f>
        <v/>
      </c>
      <c r="J1837">
        <f>VLOOKUP(D1837,Товар!$A$2:$F$1000,5,0)</f>
        <v/>
      </c>
      <c r="K1837">
        <f>IF(AND(H1837="Промышленный",LEFT(I1837,18)="Порошок стиральный",F1837="Продажа",B1837=DATE(2023,6,7)),E1837*J1837/1000,0)</f>
        <v/>
      </c>
    </row>
    <row r="1838">
      <c r="A1838" t="n">
        <v>1837</v>
      </c>
      <c r="B1838" s="1" t="n">
        <v>45084</v>
      </c>
      <c r="C1838" s="5" t="inlineStr">
        <is>
          <t>M15</t>
        </is>
      </c>
      <c r="D1838" s="5" t="n">
        <v>49</v>
      </c>
      <c r="E1838" s="5" t="n">
        <v>265</v>
      </c>
      <c r="F1838" t="inlineStr">
        <is>
          <t>Продажа</t>
        </is>
      </c>
      <c r="H1838">
        <f>VLOOKUP(C1838,Магазин!$A$2:$C$1000,2,0)</f>
        <v/>
      </c>
      <c r="I1838">
        <f>VLOOKUP(D1838,Товар!$A$2:$F$1000,3,0)</f>
        <v/>
      </c>
      <c r="J1838">
        <f>VLOOKUP(D1838,Товар!$A$2:$F$1000,5,0)</f>
        <v/>
      </c>
      <c r="K1838">
        <f>IF(AND(H1838="Промышленный",LEFT(I1838,18)="Порошок стиральный",F1838="Продажа",B1838=DATE(2023,6,7)),E1838*J1838/1000,0)</f>
        <v/>
      </c>
    </row>
    <row r="1839">
      <c r="A1839" t="n">
        <v>1838</v>
      </c>
      <c r="B1839" s="1" t="n">
        <v>45084</v>
      </c>
      <c r="C1839" s="5" t="inlineStr">
        <is>
          <t>M15</t>
        </is>
      </c>
      <c r="D1839" s="5" t="n">
        <v>50</v>
      </c>
      <c r="E1839" s="5" t="n">
        <v>234</v>
      </c>
      <c r="F1839" t="inlineStr">
        <is>
          <t>Продажа</t>
        </is>
      </c>
      <c r="H1839">
        <f>VLOOKUP(C1839,Магазин!$A$2:$C$1000,2,0)</f>
        <v/>
      </c>
      <c r="I1839">
        <f>VLOOKUP(D1839,Товар!$A$2:$F$1000,3,0)</f>
        <v/>
      </c>
      <c r="J1839">
        <f>VLOOKUP(D1839,Товар!$A$2:$F$1000,5,0)</f>
        <v/>
      </c>
      <c r="K1839">
        <f>IF(AND(H1839="Промышленный",LEFT(I1839,18)="Порошок стиральный",F1839="Продажа",B1839=DATE(2023,6,7)),E1839*J1839/1000,0)</f>
        <v/>
      </c>
    </row>
    <row r="1840">
      <c r="A1840" t="n">
        <v>1839</v>
      </c>
      <c r="B1840" s="1" t="n">
        <v>45084</v>
      </c>
      <c r="C1840" s="5" t="inlineStr">
        <is>
          <t>M15</t>
        </is>
      </c>
      <c r="D1840" s="5" t="n">
        <v>51</v>
      </c>
      <c r="E1840" s="5" t="n">
        <v>258</v>
      </c>
      <c r="F1840" t="inlineStr">
        <is>
          <t>Продажа</t>
        </is>
      </c>
      <c r="H1840">
        <f>VLOOKUP(C1840,Магазин!$A$2:$C$1000,2,0)</f>
        <v/>
      </c>
      <c r="I1840">
        <f>VLOOKUP(D1840,Товар!$A$2:$F$1000,3,0)</f>
        <v/>
      </c>
      <c r="J1840">
        <f>VLOOKUP(D1840,Товар!$A$2:$F$1000,5,0)</f>
        <v/>
      </c>
      <c r="K1840">
        <f>IF(AND(H1840="Промышленный",LEFT(I1840,18)="Порошок стиральный",F1840="Продажа",B1840=DATE(2023,6,7)),E1840*J1840/1000,0)</f>
        <v/>
      </c>
    </row>
    <row r="1841">
      <c r="A1841" t="n">
        <v>1840</v>
      </c>
      <c r="B1841" s="1" t="n">
        <v>45084</v>
      </c>
      <c r="C1841" s="5" t="inlineStr">
        <is>
          <t>M15</t>
        </is>
      </c>
      <c r="D1841" s="5" t="n">
        <v>52</v>
      </c>
      <c r="E1841" s="5" t="n">
        <v>264</v>
      </c>
      <c r="F1841" t="inlineStr">
        <is>
          <t>Продажа</t>
        </is>
      </c>
      <c r="H1841">
        <f>VLOOKUP(C1841,Магазин!$A$2:$C$1000,2,0)</f>
        <v/>
      </c>
      <c r="I1841">
        <f>VLOOKUP(D1841,Товар!$A$2:$F$1000,3,0)</f>
        <v/>
      </c>
      <c r="J1841">
        <f>VLOOKUP(D1841,Товар!$A$2:$F$1000,5,0)</f>
        <v/>
      </c>
      <c r="K1841">
        <f>IF(AND(H1841="Промышленный",LEFT(I1841,18)="Порошок стиральный",F1841="Продажа",B1841=DATE(2023,6,7)),E1841*J1841/1000,0)</f>
        <v/>
      </c>
    </row>
    <row r="1842">
      <c r="A1842" t="n">
        <v>1841</v>
      </c>
      <c r="B1842" s="1" t="n">
        <v>45084</v>
      </c>
      <c r="C1842" s="5" t="inlineStr">
        <is>
          <t>M15</t>
        </is>
      </c>
      <c r="D1842" s="5" t="n">
        <v>53</v>
      </c>
      <c r="E1842" s="5" t="n">
        <v>237</v>
      </c>
      <c r="F1842" t="inlineStr">
        <is>
          <t>Продажа</t>
        </is>
      </c>
      <c r="H1842">
        <f>VLOOKUP(C1842,Магазин!$A$2:$C$1000,2,0)</f>
        <v/>
      </c>
      <c r="I1842">
        <f>VLOOKUP(D1842,Товар!$A$2:$F$1000,3,0)</f>
        <v/>
      </c>
      <c r="J1842">
        <f>VLOOKUP(D1842,Товар!$A$2:$F$1000,5,0)</f>
        <v/>
      </c>
      <c r="K1842">
        <f>IF(AND(H1842="Промышленный",LEFT(I1842,18)="Порошок стиральный",F1842="Продажа",B1842=DATE(2023,6,7)),E1842*J1842/1000,0)</f>
        <v/>
      </c>
    </row>
    <row r="1843">
      <c r="A1843" t="n">
        <v>1842</v>
      </c>
      <c r="B1843" s="1" t="n">
        <v>45084</v>
      </c>
      <c r="C1843" s="5" t="inlineStr">
        <is>
          <t>M15</t>
        </is>
      </c>
      <c r="D1843" s="5" t="n">
        <v>54</v>
      </c>
      <c r="E1843" s="5" t="n">
        <v>218</v>
      </c>
      <c r="F1843" t="inlineStr">
        <is>
          <t>Продажа</t>
        </is>
      </c>
      <c r="H1843">
        <f>VLOOKUP(C1843,Магазин!$A$2:$C$1000,2,0)</f>
        <v/>
      </c>
      <c r="I1843">
        <f>VLOOKUP(D1843,Товар!$A$2:$F$1000,3,0)</f>
        <v/>
      </c>
      <c r="J1843">
        <f>VLOOKUP(D1843,Товар!$A$2:$F$1000,5,0)</f>
        <v/>
      </c>
      <c r="K1843">
        <f>IF(AND(H1843="Промышленный",LEFT(I1843,18)="Порошок стиральный",F1843="Продажа",B1843=DATE(2023,6,7)),E1843*J1843/1000,0)</f>
        <v/>
      </c>
    </row>
    <row r="1844">
      <c r="A1844" t="n">
        <v>1843</v>
      </c>
      <c r="B1844" s="1" t="n">
        <v>45084</v>
      </c>
      <c r="C1844" s="5" t="inlineStr">
        <is>
          <t>M15</t>
        </is>
      </c>
      <c r="D1844" s="5" t="n">
        <v>55</v>
      </c>
      <c r="E1844" s="5" t="n">
        <v>249</v>
      </c>
      <c r="F1844" t="inlineStr">
        <is>
          <t>Продажа</t>
        </is>
      </c>
      <c r="H1844">
        <f>VLOOKUP(C1844,Магазин!$A$2:$C$1000,2,0)</f>
        <v/>
      </c>
      <c r="I1844">
        <f>VLOOKUP(D1844,Товар!$A$2:$F$1000,3,0)</f>
        <v/>
      </c>
      <c r="J1844">
        <f>VLOOKUP(D1844,Товар!$A$2:$F$1000,5,0)</f>
        <v/>
      </c>
      <c r="K1844">
        <f>IF(AND(H1844="Промышленный",LEFT(I1844,18)="Порошок стиральный",F1844="Продажа",B1844=DATE(2023,6,7)),E1844*J1844/1000,0)</f>
        <v/>
      </c>
    </row>
    <row r="1845">
      <c r="A1845" t="n">
        <v>1844</v>
      </c>
      <c r="B1845" s="1" t="n">
        <v>45084</v>
      </c>
      <c r="C1845" s="5" t="inlineStr">
        <is>
          <t>M15</t>
        </is>
      </c>
      <c r="D1845" s="5" t="n">
        <v>56</v>
      </c>
      <c r="E1845" s="5" t="n">
        <v>273</v>
      </c>
      <c r="F1845" t="inlineStr">
        <is>
          <t>Продажа</t>
        </is>
      </c>
      <c r="H1845">
        <f>VLOOKUP(C1845,Магазин!$A$2:$C$1000,2,0)</f>
        <v/>
      </c>
      <c r="I1845">
        <f>VLOOKUP(D1845,Товар!$A$2:$F$1000,3,0)</f>
        <v/>
      </c>
      <c r="J1845">
        <f>VLOOKUP(D1845,Товар!$A$2:$F$1000,5,0)</f>
        <v/>
      </c>
      <c r="K1845">
        <f>IF(AND(H1845="Промышленный",LEFT(I1845,18)="Порошок стиральный",F1845="Продажа",B1845=DATE(2023,6,7)),E1845*J1845/1000,0)</f>
        <v/>
      </c>
    </row>
    <row r="1846">
      <c r="A1846" t="n">
        <v>1845</v>
      </c>
      <c r="B1846" s="1" t="n">
        <v>45084</v>
      </c>
      <c r="C1846" s="5" t="inlineStr">
        <is>
          <t>M15</t>
        </is>
      </c>
      <c r="D1846" s="5" t="n">
        <v>57</v>
      </c>
      <c r="E1846" s="5" t="n">
        <v>284</v>
      </c>
      <c r="F1846" t="inlineStr">
        <is>
          <t>Продажа</t>
        </is>
      </c>
      <c r="H1846">
        <f>VLOOKUP(C1846,Магазин!$A$2:$C$1000,2,0)</f>
        <v/>
      </c>
      <c r="I1846">
        <f>VLOOKUP(D1846,Товар!$A$2:$F$1000,3,0)</f>
        <v/>
      </c>
      <c r="J1846">
        <f>VLOOKUP(D1846,Товар!$A$2:$F$1000,5,0)</f>
        <v/>
      </c>
      <c r="K1846">
        <f>IF(AND(H1846="Промышленный",LEFT(I1846,18)="Порошок стиральный",F1846="Продажа",B1846=DATE(2023,6,7)),E1846*J1846/1000,0)</f>
        <v/>
      </c>
    </row>
    <row r="1847">
      <c r="A1847" t="n">
        <v>1846</v>
      </c>
      <c r="B1847" s="1" t="n">
        <v>45084</v>
      </c>
      <c r="C1847" s="5" t="inlineStr">
        <is>
          <t>M15</t>
        </is>
      </c>
      <c r="D1847" s="5" t="n">
        <v>58</v>
      </c>
      <c r="E1847" s="5" t="n">
        <v>253</v>
      </c>
      <c r="F1847" t="inlineStr">
        <is>
          <t>Продажа</t>
        </is>
      </c>
      <c r="H1847">
        <f>VLOOKUP(C1847,Магазин!$A$2:$C$1000,2,0)</f>
        <v/>
      </c>
      <c r="I1847">
        <f>VLOOKUP(D1847,Товар!$A$2:$F$1000,3,0)</f>
        <v/>
      </c>
      <c r="J1847">
        <f>VLOOKUP(D1847,Товар!$A$2:$F$1000,5,0)</f>
        <v/>
      </c>
      <c r="K1847">
        <f>IF(AND(H1847="Промышленный",LEFT(I1847,18)="Порошок стиральный",F1847="Продажа",B1847=DATE(2023,6,7)),E1847*J1847/1000,0)</f>
        <v/>
      </c>
    </row>
    <row r="1848">
      <c r="A1848" t="n">
        <v>1847</v>
      </c>
      <c r="B1848" s="1" t="n">
        <v>45084</v>
      </c>
      <c r="C1848" s="5" t="inlineStr">
        <is>
          <t>M15</t>
        </is>
      </c>
      <c r="D1848" s="5" t="n">
        <v>59</v>
      </c>
      <c r="E1848" s="5" t="n">
        <v>261</v>
      </c>
      <c r="F1848" t="inlineStr">
        <is>
          <t>Продажа</t>
        </is>
      </c>
      <c r="H1848">
        <f>VLOOKUP(C1848,Магазин!$A$2:$C$1000,2,0)</f>
        <v/>
      </c>
      <c r="I1848">
        <f>VLOOKUP(D1848,Товар!$A$2:$F$1000,3,0)</f>
        <v/>
      </c>
      <c r="J1848">
        <f>VLOOKUP(D1848,Товар!$A$2:$F$1000,5,0)</f>
        <v/>
      </c>
      <c r="K1848">
        <f>IF(AND(H1848="Промышленный",LEFT(I1848,18)="Порошок стиральный",F1848="Продажа",B1848=DATE(2023,6,7)),E1848*J1848/1000,0)</f>
        <v/>
      </c>
    </row>
    <row r="1849">
      <c r="A1849" t="n">
        <v>1848</v>
      </c>
      <c r="B1849" s="1" t="n">
        <v>45084</v>
      </c>
      <c r="C1849" s="5" t="inlineStr">
        <is>
          <t>M15</t>
        </is>
      </c>
      <c r="D1849" s="5" t="n">
        <v>60</v>
      </c>
      <c r="E1849" s="5" t="n">
        <v>276</v>
      </c>
      <c r="F1849" t="inlineStr">
        <is>
          <t>Продажа</t>
        </is>
      </c>
      <c r="H1849">
        <f>VLOOKUP(C1849,Магазин!$A$2:$C$1000,2,0)</f>
        <v/>
      </c>
      <c r="I1849">
        <f>VLOOKUP(D1849,Товар!$A$2:$F$1000,3,0)</f>
        <v/>
      </c>
      <c r="J1849">
        <f>VLOOKUP(D1849,Товар!$A$2:$F$1000,5,0)</f>
        <v/>
      </c>
      <c r="K1849">
        <f>IF(AND(H1849="Промышленный",LEFT(I1849,18)="Порошок стиральный",F1849="Продажа",B1849=DATE(2023,6,7)),E1849*J1849/1000,0)</f>
        <v/>
      </c>
    </row>
    <row r="1850">
      <c r="A1850" t="n">
        <v>1849</v>
      </c>
      <c r="B1850" s="1" t="n">
        <v>45084</v>
      </c>
      <c r="C1850" s="5" t="inlineStr">
        <is>
          <t>M18</t>
        </is>
      </c>
      <c r="D1850" s="5" t="n">
        <v>37</v>
      </c>
      <c r="E1850" s="5" t="n">
        <v>205</v>
      </c>
      <c r="F1850" t="inlineStr">
        <is>
          <t>Продажа</t>
        </is>
      </c>
      <c r="H1850">
        <f>VLOOKUP(C1850,Магазин!$A$2:$C$1000,2,0)</f>
        <v/>
      </c>
      <c r="I1850">
        <f>VLOOKUP(D1850,Товар!$A$2:$F$1000,3,0)</f>
        <v/>
      </c>
      <c r="J1850">
        <f>VLOOKUP(D1850,Товар!$A$2:$F$1000,5,0)</f>
        <v/>
      </c>
      <c r="K1850">
        <f>IF(AND(H1850="Промышленный",LEFT(I1850,18)="Порошок стиральный",F1850="Продажа",B1850=DATE(2023,6,7)),E1850*J1850/1000,0)</f>
        <v/>
      </c>
    </row>
    <row r="1851">
      <c r="A1851" t="n">
        <v>1850</v>
      </c>
      <c r="B1851" s="1" t="n">
        <v>45084</v>
      </c>
      <c r="C1851" s="5" t="inlineStr">
        <is>
          <t>M18</t>
        </is>
      </c>
      <c r="D1851" s="5" t="n">
        <v>38</v>
      </c>
      <c r="E1851" s="5" t="n">
        <v>357</v>
      </c>
      <c r="F1851" t="inlineStr">
        <is>
          <t>Продажа</t>
        </is>
      </c>
      <c r="H1851">
        <f>VLOOKUP(C1851,Магазин!$A$2:$C$1000,2,0)</f>
        <v/>
      </c>
      <c r="I1851">
        <f>VLOOKUP(D1851,Товар!$A$2:$F$1000,3,0)</f>
        <v/>
      </c>
      <c r="J1851">
        <f>VLOOKUP(D1851,Товар!$A$2:$F$1000,5,0)</f>
        <v/>
      </c>
      <c r="K1851">
        <f>IF(AND(H1851="Промышленный",LEFT(I1851,18)="Порошок стиральный",F1851="Продажа",B1851=DATE(2023,6,7)),E1851*J1851/1000,0)</f>
        <v/>
      </c>
    </row>
    <row r="1852">
      <c r="A1852" t="n">
        <v>1851</v>
      </c>
      <c r="B1852" s="1" t="n">
        <v>45084</v>
      </c>
      <c r="C1852" s="5" t="inlineStr">
        <is>
          <t>M18</t>
        </is>
      </c>
      <c r="D1852" s="5" t="n">
        <v>39</v>
      </c>
      <c r="E1852" s="5" t="n">
        <v>268</v>
      </c>
      <c r="F1852" t="inlineStr">
        <is>
          <t>Продажа</t>
        </is>
      </c>
      <c r="H1852">
        <f>VLOOKUP(C1852,Магазин!$A$2:$C$1000,2,0)</f>
        <v/>
      </c>
      <c r="I1852">
        <f>VLOOKUP(D1852,Товар!$A$2:$F$1000,3,0)</f>
        <v/>
      </c>
      <c r="J1852">
        <f>VLOOKUP(D1852,Товар!$A$2:$F$1000,5,0)</f>
        <v/>
      </c>
      <c r="K1852">
        <f>IF(AND(H1852="Промышленный",LEFT(I1852,18)="Порошок стиральный",F1852="Продажа",B1852=DATE(2023,6,7)),E1852*J1852/1000,0)</f>
        <v/>
      </c>
    </row>
    <row r="1853">
      <c r="A1853" t="n">
        <v>1852</v>
      </c>
      <c r="B1853" s="1" t="n">
        <v>45084</v>
      </c>
      <c r="C1853" s="5" t="inlineStr">
        <is>
          <t>M18</t>
        </is>
      </c>
      <c r="D1853" s="5" t="n">
        <v>40</v>
      </c>
      <c r="E1853" s="5" t="n">
        <v>279</v>
      </c>
      <c r="F1853" t="inlineStr">
        <is>
          <t>Продажа</t>
        </is>
      </c>
      <c r="H1853">
        <f>VLOOKUP(C1853,Магазин!$A$2:$C$1000,2,0)</f>
        <v/>
      </c>
      <c r="I1853">
        <f>VLOOKUP(D1853,Товар!$A$2:$F$1000,3,0)</f>
        <v/>
      </c>
      <c r="J1853">
        <f>VLOOKUP(D1853,Товар!$A$2:$F$1000,5,0)</f>
        <v/>
      </c>
      <c r="K1853">
        <f>IF(AND(H1853="Промышленный",LEFT(I1853,18)="Порошок стиральный",F1853="Продажа",B1853=DATE(2023,6,7)),E1853*J1853/1000,0)</f>
        <v/>
      </c>
    </row>
    <row r="1854">
      <c r="A1854" t="n">
        <v>1853</v>
      </c>
      <c r="B1854" s="1" t="n">
        <v>45084</v>
      </c>
      <c r="C1854" s="5" t="inlineStr">
        <is>
          <t>M18</t>
        </is>
      </c>
      <c r="D1854" s="5" t="n">
        <v>41</v>
      </c>
      <c r="E1854" s="5" t="n">
        <v>281</v>
      </c>
      <c r="F1854" t="inlineStr">
        <is>
          <t>Продажа</t>
        </is>
      </c>
      <c r="H1854">
        <f>VLOOKUP(C1854,Магазин!$A$2:$C$1000,2,0)</f>
        <v/>
      </c>
      <c r="I1854">
        <f>VLOOKUP(D1854,Товар!$A$2:$F$1000,3,0)</f>
        <v/>
      </c>
      <c r="J1854">
        <f>VLOOKUP(D1854,Товар!$A$2:$F$1000,5,0)</f>
        <v/>
      </c>
      <c r="K1854">
        <f>IF(AND(H1854="Промышленный",LEFT(I1854,18)="Порошок стиральный",F1854="Продажа",B1854=DATE(2023,6,7)),E1854*J1854/1000,0)</f>
        <v/>
      </c>
    </row>
    <row r="1855">
      <c r="A1855" t="n">
        <v>1854</v>
      </c>
      <c r="B1855" s="1" t="n">
        <v>45084</v>
      </c>
      <c r="C1855" s="5" t="inlineStr">
        <is>
          <t>M18</t>
        </is>
      </c>
      <c r="D1855" s="5" t="n">
        <v>42</v>
      </c>
      <c r="E1855" s="5" t="n">
        <v>292</v>
      </c>
      <c r="F1855" t="inlineStr">
        <is>
          <t>Продажа</t>
        </is>
      </c>
      <c r="H1855">
        <f>VLOOKUP(C1855,Магазин!$A$2:$C$1000,2,0)</f>
        <v/>
      </c>
      <c r="I1855">
        <f>VLOOKUP(D1855,Товар!$A$2:$F$1000,3,0)</f>
        <v/>
      </c>
      <c r="J1855">
        <f>VLOOKUP(D1855,Товар!$A$2:$F$1000,5,0)</f>
        <v/>
      </c>
      <c r="K1855">
        <f>IF(AND(H1855="Промышленный",LEFT(I1855,18)="Порошок стиральный",F1855="Продажа",B1855=DATE(2023,6,7)),E1855*J1855/1000,0)</f>
        <v/>
      </c>
    </row>
    <row r="1856">
      <c r="A1856" t="n">
        <v>1855</v>
      </c>
      <c r="B1856" s="1" t="n">
        <v>45084</v>
      </c>
      <c r="C1856" s="5" t="inlineStr">
        <is>
          <t>M18</t>
        </is>
      </c>
      <c r="D1856" s="5" t="n">
        <v>43</v>
      </c>
      <c r="E1856" s="5" t="n">
        <v>203</v>
      </c>
      <c r="F1856" t="inlineStr">
        <is>
          <t>Продажа</t>
        </is>
      </c>
      <c r="H1856">
        <f>VLOOKUP(C1856,Магазин!$A$2:$C$1000,2,0)</f>
        <v/>
      </c>
      <c r="I1856">
        <f>VLOOKUP(D1856,Товар!$A$2:$F$1000,3,0)</f>
        <v/>
      </c>
      <c r="J1856">
        <f>VLOOKUP(D1856,Товар!$A$2:$F$1000,5,0)</f>
        <v/>
      </c>
      <c r="K1856">
        <f>IF(AND(H1856="Промышленный",LEFT(I1856,18)="Порошок стиральный",F1856="Продажа",B1856=DATE(2023,6,7)),E1856*J1856/1000,0)</f>
        <v/>
      </c>
    </row>
    <row r="1857">
      <c r="A1857" t="n">
        <v>1856</v>
      </c>
      <c r="B1857" s="1" t="n">
        <v>45084</v>
      </c>
      <c r="C1857" s="5" t="inlineStr">
        <is>
          <t>M18</t>
        </is>
      </c>
      <c r="D1857" s="5" t="n">
        <v>44</v>
      </c>
      <c r="E1857" s="5" t="n">
        <v>214</v>
      </c>
      <c r="F1857" t="inlineStr">
        <is>
          <t>Продажа</t>
        </is>
      </c>
      <c r="H1857">
        <f>VLOOKUP(C1857,Магазин!$A$2:$C$1000,2,0)</f>
        <v/>
      </c>
      <c r="I1857">
        <f>VLOOKUP(D1857,Товар!$A$2:$F$1000,3,0)</f>
        <v/>
      </c>
      <c r="J1857">
        <f>VLOOKUP(D1857,Товар!$A$2:$F$1000,5,0)</f>
        <v/>
      </c>
      <c r="K1857">
        <f>IF(AND(H1857="Промышленный",LEFT(I1857,18)="Порошок стиральный",F1857="Продажа",B1857=DATE(2023,6,7)),E1857*J1857/1000,0)</f>
        <v/>
      </c>
    </row>
    <row r="1858">
      <c r="A1858" t="n">
        <v>1857</v>
      </c>
      <c r="B1858" s="1" t="n">
        <v>45084</v>
      </c>
      <c r="C1858" s="5" t="inlineStr">
        <is>
          <t>M18</t>
        </is>
      </c>
      <c r="D1858" s="5" t="n">
        <v>45</v>
      </c>
      <c r="E1858" s="5" t="n">
        <v>225</v>
      </c>
      <c r="F1858" t="inlineStr">
        <is>
          <t>Продажа</t>
        </is>
      </c>
      <c r="H1858">
        <f>VLOOKUP(C1858,Магазин!$A$2:$C$1000,2,0)</f>
        <v/>
      </c>
      <c r="I1858">
        <f>VLOOKUP(D1858,Товар!$A$2:$F$1000,3,0)</f>
        <v/>
      </c>
      <c r="J1858">
        <f>VLOOKUP(D1858,Товар!$A$2:$F$1000,5,0)</f>
        <v/>
      </c>
      <c r="K1858">
        <f>IF(AND(H1858="Промышленный",LEFT(I1858,18)="Порошок стиральный",F1858="Продажа",B1858=DATE(2023,6,7)),E1858*J1858/1000,0)</f>
        <v/>
      </c>
    </row>
    <row r="1859">
      <c r="A1859" t="n">
        <v>1858</v>
      </c>
      <c r="B1859" s="1" t="n">
        <v>45084</v>
      </c>
      <c r="C1859" s="5" t="inlineStr">
        <is>
          <t>M18</t>
        </is>
      </c>
      <c r="D1859" s="5" t="n">
        <v>46</v>
      </c>
      <c r="E1859" s="5" t="n">
        <v>236</v>
      </c>
      <c r="F1859" t="inlineStr">
        <is>
          <t>Продажа</t>
        </is>
      </c>
      <c r="H1859">
        <f>VLOOKUP(C1859,Магазин!$A$2:$C$1000,2,0)</f>
        <v/>
      </c>
      <c r="I1859">
        <f>VLOOKUP(D1859,Товар!$A$2:$F$1000,3,0)</f>
        <v/>
      </c>
      <c r="J1859">
        <f>VLOOKUP(D1859,Товар!$A$2:$F$1000,5,0)</f>
        <v/>
      </c>
      <c r="K1859">
        <f>IF(AND(H1859="Промышленный",LEFT(I1859,18)="Порошок стиральный",F1859="Продажа",B1859=DATE(2023,6,7)),E1859*J1859/1000,0)</f>
        <v/>
      </c>
    </row>
    <row r="1860">
      <c r="A1860" t="n">
        <v>1859</v>
      </c>
      <c r="B1860" s="1" t="n">
        <v>45084</v>
      </c>
      <c r="C1860" s="5" t="inlineStr">
        <is>
          <t>M18</t>
        </is>
      </c>
      <c r="D1860" s="5" t="n">
        <v>47</v>
      </c>
      <c r="E1860" s="5" t="n">
        <v>247</v>
      </c>
      <c r="F1860" t="inlineStr">
        <is>
          <t>Продажа</t>
        </is>
      </c>
      <c r="H1860">
        <f>VLOOKUP(C1860,Магазин!$A$2:$C$1000,2,0)</f>
        <v/>
      </c>
      <c r="I1860">
        <f>VLOOKUP(D1860,Товар!$A$2:$F$1000,3,0)</f>
        <v/>
      </c>
      <c r="J1860">
        <f>VLOOKUP(D1860,Товар!$A$2:$F$1000,5,0)</f>
        <v/>
      </c>
      <c r="K1860">
        <f>IF(AND(H1860="Промышленный",LEFT(I1860,18)="Порошок стиральный",F1860="Продажа",B1860=DATE(2023,6,7)),E1860*J1860/1000,0)</f>
        <v/>
      </c>
    </row>
    <row r="1861">
      <c r="A1861" t="n">
        <v>1860</v>
      </c>
      <c r="B1861" s="1" t="n">
        <v>45084</v>
      </c>
      <c r="C1861" s="5" t="inlineStr">
        <is>
          <t>M18</t>
        </is>
      </c>
      <c r="D1861" s="5" t="n">
        <v>48</v>
      </c>
      <c r="E1861" s="5" t="n">
        <v>258</v>
      </c>
      <c r="F1861" t="inlineStr">
        <is>
          <t>Продажа</t>
        </is>
      </c>
      <c r="H1861">
        <f>VLOOKUP(C1861,Магазин!$A$2:$C$1000,2,0)</f>
        <v/>
      </c>
      <c r="I1861">
        <f>VLOOKUP(D1861,Товар!$A$2:$F$1000,3,0)</f>
        <v/>
      </c>
      <c r="J1861">
        <f>VLOOKUP(D1861,Товар!$A$2:$F$1000,5,0)</f>
        <v/>
      </c>
      <c r="K1861">
        <f>IF(AND(H1861="Промышленный",LEFT(I1861,18)="Порошок стиральный",F1861="Продажа",B1861=DATE(2023,6,7)),E1861*J1861/1000,0)</f>
        <v/>
      </c>
    </row>
    <row r="1862">
      <c r="A1862" t="n">
        <v>1861</v>
      </c>
      <c r="B1862" s="1" t="n">
        <v>45084</v>
      </c>
      <c r="C1862" s="5" t="inlineStr">
        <is>
          <t>M18</t>
        </is>
      </c>
      <c r="D1862" s="5" t="n">
        <v>49</v>
      </c>
      <c r="E1862" s="5" t="n">
        <v>256</v>
      </c>
      <c r="F1862" t="inlineStr">
        <is>
          <t>Продажа</t>
        </is>
      </c>
      <c r="H1862">
        <f>VLOOKUP(C1862,Магазин!$A$2:$C$1000,2,0)</f>
        <v/>
      </c>
      <c r="I1862">
        <f>VLOOKUP(D1862,Товар!$A$2:$F$1000,3,0)</f>
        <v/>
      </c>
      <c r="J1862">
        <f>VLOOKUP(D1862,Товар!$A$2:$F$1000,5,0)</f>
        <v/>
      </c>
      <c r="K1862">
        <f>IF(AND(H1862="Промышленный",LEFT(I1862,18)="Порошок стиральный",F1862="Продажа",B1862=DATE(2023,6,7)),E1862*J1862/1000,0)</f>
        <v/>
      </c>
    </row>
    <row r="1863">
      <c r="A1863" t="n">
        <v>1862</v>
      </c>
      <c r="B1863" s="1" t="n">
        <v>45084</v>
      </c>
      <c r="C1863" s="5" t="inlineStr">
        <is>
          <t>M18</t>
        </is>
      </c>
      <c r="D1863" s="5" t="n">
        <v>50</v>
      </c>
      <c r="E1863" s="5" t="n">
        <v>269</v>
      </c>
      <c r="F1863" t="inlineStr">
        <is>
          <t>Продажа</t>
        </is>
      </c>
      <c r="H1863">
        <f>VLOOKUP(C1863,Магазин!$A$2:$C$1000,2,0)</f>
        <v/>
      </c>
      <c r="I1863">
        <f>VLOOKUP(D1863,Товар!$A$2:$F$1000,3,0)</f>
        <v/>
      </c>
      <c r="J1863">
        <f>VLOOKUP(D1863,Товар!$A$2:$F$1000,5,0)</f>
        <v/>
      </c>
      <c r="K1863">
        <f>IF(AND(H1863="Промышленный",LEFT(I1863,18)="Порошок стиральный",F1863="Продажа",B1863=DATE(2023,6,7)),E1863*J1863/1000,0)</f>
        <v/>
      </c>
    </row>
    <row r="1864">
      <c r="A1864" t="n">
        <v>1863</v>
      </c>
      <c r="B1864" s="1" t="n">
        <v>45084</v>
      </c>
      <c r="C1864" s="5" t="inlineStr">
        <is>
          <t>M18</t>
        </is>
      </c>
      <c r="D1864" s="5" t="n">
        <v>51</v>
      </c>
      <c r="E1864" s="5" t="n">
        <v>204</v>
      </c>
      <c r="F1864" t="inlineStr">
        <is>
          <t>Продажа</t>
        </is>
      </c>
      <c r="H1864">
        <f>VLOOKUP(C1864,Магазин!$A$2:$C$1000,2,0)</f>
        <v/>
      </c>
      <c r="I1864">
        <f>VLOOKUP(D1864,Товар!$A$2:$F$1000,3,0)</f>
        <v/>
      </c>
      <c r="J1864">
        <f>VLOOKUP(D1864,Товар!$A$2:$F$1000,5,0)</f>
        <v/>
      </c>
      <c r="K1864">
        <f>IF(AND(H1864="Промышленный",LEFT(I1864,18)="Порошок стиральный",F1864="Продажа",B1864=DATE(2023,6,7)),E1864*J1864/1000,0)</f>
        <v/>
      </c>
    </row>
    <row r="1865">
      <c r="A1865" t="n">
        <v>1864</v>
      </c>
      <c r="B1865" s="1" t="n">
        <v>45084</v>
      </c>
      <c r="C1865" s="5" t="inlineStr">
        <is>
          <t>M18</t>
        </is>
      </c>
      <c r="D1865" s="5" t="n">
        <v>52</v>
      </c>
      <c r="E1865" s="5" t="n">
        <v>206</v>
      </c>
      <c r="F1865" t="inlineStr">
        <is>
          <t>Продажа</t>
        </is>
      </c>
      <c r="H1865">
        <f>VLOOKUP(C1865,Магазин!$A$2:$C$1000,2,0)</f>
        <v/>
      </c>
      <c r="I1865">
        <f>VLOOKUP(D1865,Товар!$A$2:$F$1000,3,0)</f>
        <v/>
      </c>
      <c r="J1865">
        <f>VLOOKUP(D1865,Товар!$A$2:$F$1000,5,0)</f>
        <v/>
      </c>
      <c r="K1865">
        <f>IF(AND(H1865="Промышленный",LEFT(I1865,18)="Порошок стиральный",F1865="Продажа",B1865=DATE(2023,6,7)),E1865*J1865/1000,0)</f>
        <v/>
      </c>
    </row>
    <row r="1866">
      <c r="A1866" t="n">
        <v>1865</v>
      </c>
      <c r="B1866" s="1" t="n">
        <v>45084</v>
      </c>
      <c r="C1866" s="5" t="inlineStr">
        <is>
          <t>M18</t>
        </is>
      </c>
      <c r="D1866" s="5" t="n">
        <v>53</v>
      </c>
      <c r="E1866" s="5" t="n">
        <v>208</v>
      </c>
      <c r="F1866" t="inlineStr">
        <is>
          <t>Продажа</t>
        </is>
      </c>
      <c r="H1866">
        <f>VLOOKUP(C1866,Магазин!$A$2:$C$1000,2,0)</f>
        <v/>
      </c>
      <c r="I1866">
        <f>VLOOKUP(D1866,Товар!$A$2:$F$1000,3,0)</f>
        <v/>
      </c>
      <c r="J1866">
        <f>VLOOKUP(D1866,Товар!$A$2:$F$1000,5,0)</f>
        <v/>
      </c>
      <c r="K1866">
        <f>IF(AND(H1866="Промышленный",LEFT(I1866,18)="Порошок стиральный",F1866="Продажа",B1866=DATE(2023,6,7)),E1866*J1866/1000,0)</f>
        <v/>
      </c>
    </row>
    <row r="1867">
      <c r="A1867" t="n">
        <v>1866</v>
      </c>
      <c r="B1867" s="1" t="n">
        <v>45084</v>
      </c>
      <c r="C1867" s="5" t="inlineStr">
        <is>
          <t>M18</t>
        </is>
      </c>
      <c r="D1867" s="5" t="n">
        <v>54</v>
      </c>
      <c r="E1867" s="5" t="n">
        <v>209</v>
      </c>
      <c r="F1867" t="inlineStr">
        <is>
          <t>Продажа</t>
        </is>
      </c>
      <c r="H1867">
        <f>VLOOKUP(C1867,Магазин!$A$2:$C$1000,2,0)</f>
        <v/>
      </c>
      <c r="I1867">
        <f>VLOOKUP(D1867,Товар!$A$2:$F$1000,3,0)</f>
        <v/>
      </c>
      <c r="J1867">
        <f>VLOOKUP(D1867,Товар!$A$2:$F$1000,5,0)</f>
        <v/>
      </c>
      <c r="K1867">
        <f>IF(AND(H1867="Промышленный",LEFT(I1867,18)="Порошок стиральный",F1867="Продажа",B1867=DATE(2023,6,7)),E1867*J1867/1000,0)</f>
        <v/>
      </c>
    </row>
    <row r="1868">
      <c r="A1868" t="n">
        <v>1867</v>
      </c>
      <c r="B1868" s="1" t="n">
        <v>45084</v>
      </c>
      <c r="C1868" s="5" t="inlineStr">
        <is>
          <t>M18</t>
        </is>
      </c>
      <c r="D1868" s="5" t="n">
        <v>55</v>
      </c>
      <c r="E1868" s="5" t="n">
        <v>299</v>
      </c>
      <c r="F1868" t="inlineStr">
        <is>
          <t>Продажа</t>
        </is>
      </c>
      <c r="H1868">
        <f>VLOOKUP(C1868,Магазин!$A$2:$C$1000,2,0)</f>
        <v/>
      </c>
      <c r="I1868">
        <f>VLOOKUP(D1868,Товар!$A$2:$F$1000,3,0)</f>
        <v/>
      </c>
      <c r="J1868">
        <f>VLOOKUP(D1868,Товар!$A$2:$F$1000,5,0)</f>
        <v/>
      </c>
      <c r="K1868">
        <f>IF(AND(H1868="Промышленный",LEFT(I1868,18)="Порошок стиральный",F1868="Продажа",B1868=DATE(2023,6,7)),E1868*J1868/1000,0)</f>
        <v/>
      </c>
    </row>
    <row r="1869">
      <c r="A1869" t="n">
        <v>1868</v>
      </c>
      <c r="B1869" s="1" t="n">
        <v>45084</v>
      </c>
      <c r="C1869" s="5" t="inlineStr">
        <is>
          <t>M18</t>
        </is>
      </c>
      <c r="D1869" s="5" t="n">
        <v>56</v>
      </c>
      <c r="E1869" s="5" t="n">
        <v>275</v>
      </c>
      <c r="F1869" t="inlineStr">
        <is>
          <t>Продажа</t>
        </is>
      </c>
      <c r="H1869">
        <f>VLOOKUP(C1869,Магазин!$A$2:$C$1000,2,0)</f>
        <v/>
      </c>
      <c r="I1869">
        <f>VLOOKUP(D1869,Товар!$A$2:$F$1000,3,0)</f>
        <v/>
      </c>
      <c r="J1869">
        <f>VLOOKUP(D1869,Товар!$A$2:$F$1000,5,0)</f>
        <v/>
      </c>
      <c r="K1869">
        <f>IF(AND(H1869="Промышленный",LEFT(I1869,18)="Порошок стиральный",F1869="Продажа",B1869=DATE(2023,6,7)),E1869*J1869/1000,0)</f>
        <v/>
      </c>
    </row>
    <row r="1870">
      <c r="A1870" t="n">
        <v>1869</v>
      </c>
      <c r="B1870" s="1" t="n">
        <v>45084</v>
      </c>
      <c r="C1870" s="5" t="inlineStr">
        <is>
          <t>M18</t>
        </is>
      </c>
      <c r="D1870" s="5" t="n">
        <v>57</v>
      </c>
      <c r="E1870" s="5" t="n">
        <v>234</v>
      </c>
      <c r="F1870" t="inlineStr">
        <is>
          <t>Продажа</t>
        </is>
      </c>
      <c r="H1870">
        <f>VLOOKUP(C1870,Магазин!$A$2:$C$1000,2,0)</f>
        <v/>
      </c>
      <c r="I1870">
        <f>VLOOKUP(D1870,Товар!$A$2:$F$1000,3,0)</f>
        <v/>
      </c>
      <c r="J1870">
        <f>VLOOKUP(D1870,Товар!$A$2:$F$1000,5,0)</f>
        <v/>
      </c>
      <c r="K1870">
        <f>IF(AND(H1870="Промышленный",LEFT(I1870,18)="Порошок стиральный",F1870="Продажа",B1870=DATE(2023,6,7)),E1870*J1870/1000,0)</f>
        <v/>
      </c>
    </row>
    <row r="1871">
      <c r="A1871" t="n">
        <v>1870</v>
      </c>
      <c r="B1871" s="1" t="n">
        <v>45084</v>
      </c>
      <c r="C1871" s="5" t="inlineStr">
        <is>
          <t>M18</t>
        </is>
      </c>
      <c r="D1871" s="5" t="n">
        <v>58</v>
      </c>
      <c r="E1871" s="5" t="n">
        <v>228</v>
      </c>
      <c r="F1871" t="inlineStr">
        <is>
          <t>Продажа</t>
        </is>
      </c>
      <c r="H1871">
        <f>VLOOKUP(C1871,Магазин!$A$2:$C$1000,2,0)</f>
        <v/>
      </c>
      <c r="I1871">
        <f>VLOOKUP(D1871,Товар!$A$2:$F$1000,3,0)</f>
        <v/>
      </c>
      <c r="J1871">
        <f>VLOOKUP(D1871,Товар!$A$2:$F$1000,5,0)</f>
        <v/>
      </c>
      <c r="K1871">
        <f>IF(AND(H1871="Промышленный",LEFT(I1871,18)="Порошок стиральный",F1871="Продажа",B1871=DATE(2023,6,7)),E1871*J1871/1000,0)</f>
        <v/>
      </c>
    </row>
    <row r="1872">
      <c r="A1872" t="n">
        <v>1871</v>
      </c>
      <c r="B1872" s="1" t="n">
        <v>45084</v>
      </c>
      <c r="C1872" s="5" t="inlineStr">
        <is>
          <t>M18</t>
        </is>
      </c>
      <c r="D1872" s="5" t="n">
        <v>59</v>
      </c>
      <c r="E1872" s="5" t="n">
        <v>217</v>
      </c>
      <c r="F1872" t="inlineStr">
        <is>
          <t>Продажа</t>
        </is>
      </c>
      <c r="H1872">
        <f>VLOOKUP(C1872,Магазин!$A$2:$C$1000,2,0)</f>
        <v/>
      </c>
      <c r="I1872">
        <f>VLOOKUP(D1872,Товар!$A$2:$F$1000,3,0)</f>
        <v/>
      </c>
      <c r="J1872">
        <f>VLOOKUP(D1872,Товар!$A$2:$F$1000,5,0)</f>
        <v/>
      </c>
      <c r="K1872">
        <f>IF(AND(H1872="Промышленный",LEFT(I1872,18)="Порошок стиральный",F1872="Продажа",B1872=DATE(2023,6,7)),E1872*J1872/1000,0)</f>
        <v/>
      </c>
    </row>
    <row r="1873">
      <c r="A1873" t="n">
        <v>1872</v>
      </c>
      <c r="B1873" s="1" t="n">
        <v>45084</v>
      </c>
      <c r="C1873" s="5" t="inlineStr">
        <is>
          <t>M18</t>
        </is>
      </c>
      <c r="D1873" s="5" t="n">
        <v>60</v>
      </c>
      <c r="E1873" s="5" t="n">
        <v>258</v>
      </c>
      <c r="F1873" t="inlineStr">
        <is>
          <t>Продажа</t>
        </is>
      </c>
      <c r="H1873">
        <f>VLOOKUP(C1873,Магазин!$A$2:$C$1000,2,0)</f>
        <v/>
      </c>
      <c r="I1873">
        <f>VLOOKUP(D1873,Товар!$A$2:$F$1000,3,0)</f>
        <v/>
      </c>
      <c r="J1873">
        <f>VLOOKUP(D1873,Товар!$A$2:$F$1000,5,0)</f>
        <v/>
      </c>
      <c r="K1873">
        <f>IF(AND(H1873="Промышленный",LEFT(I1873,18)="Порошок стиральный",F1873="Продажа",B1873=DATE(2023,6,7)),E1873*J1873/1000,0)</f>
        <v/>
      </c>
    </row>
    <row r="1874">
      <c r="A1874" t="n">
        <v>1873</v>
      </c>
      <c r="B1874" s="1" t="n">
        <v>45084</v>
      </c>
      <c r="C1874" s="5" t="inlineStr">
        <is>
          <t>M2</t>
        </is>
      </c>
      <c r="D1874" s="5" t="n">
        <v>37</v>
      </c>
      <c r="E1874" s="5" t="n">
        <v>199</v>
      </c>
      <c r="F1874" t="inlineStr">
        <is>
          <t>Продажа</t>
        </is>
      </c>
      <c r="H1874">
        <f>VLOOKUP(C1874,Магазин!$A$2:$C$1000,2,0)</f>
        <v/>
      </c>
      <c r="I1874">
        <f>VLOOKUP(D1874,Товар!$A$2:$F$1000,3,0)</f>
        <v/>
      </c>
      <c r="J1874">
        <f>VLOOKUP(D1874,Товар!$A$2:$F$1000,5,0)</f>
        <v/>
      </c>
      <c r="K1874">
        <f>IF(AND(H1874="Промышленный",LEFT(I1874,18)="Порошок стиральный",F1874="Продажа",B1874=DATE(2023,6,7)),E1874*J1874/1000,0)</f>
        <v/>
      </c>
    </row>
    <row r="1875">
      <c r="A1875" t="n">
        <v>1874</v>
      </c>
      <c r="B1875" s="1" t="n">
        <v>45084</v>
      </c>
      <c r="C1875" s="5" t="inlineStr">
        <is>
          <t>M2</t>
        </is>
      </c>
      <c r="D1875" s="5" t="n">
        <v>38</v>
      </c>
      <c r="E1875" s="5" t="n">
        <v>248</v>
      </c>
      <c r="F1875" t="inlineStr">
        <is>
          <t>Продажа</t>
        </is>
      </c>
      <c r="H1875">
        <f>VLOOKUP(C1875,Магазин!$A$2:$C$1000,2,0)</f>
        <v/>
      </c>
      <c r="I1875">
        <f>VLOOKUP(D1875,Товар!$A$2:$F$1000,3,0)</f>
        <v/>
      </c>
      <c r="J1875">
        <f>VLOOKUP(D1875,Товар!$A$2:$F$1000,5,0)</f>
        <v/>
      </c>
      <c r="K1875">
        <f>IF(AND(H1875="Промышленный",LEFT(I1875,18)="Порошок стиральный",F1875="Продажа",B1875=DATE(2023,6,7)),E1875*J1875/1000,0)</f>
        <v/>
      </c>
    </row>
    <row r="1876">
      <c r="A1876" t="n">
        <v>1875</v>
      </c>
      <c r="B1876" s="1" t="n">
        <v>45084</v>
      </c>
      <c r="C1876" s="5" t="inlineStr">
        <is>
          <t>M2</t>
        </is>
      </c>
      <c r="D1876" s="5" t="n">
        <v>39</v>
      </c>
      <c r="E1876" s="5" t="n">
        <v>236</v>
      </c>
      <c r="F1876" t="inlineStr">
        <is>
          <t>Продажа</t>
        </is>
      </c>
      <c r="H1876">
        <f>VLOOKUP(C1876,Магазин!$A$2:$C$1000,2,0)</f>
        <v/>
      </c>
      <c r="I1876">
        <f>VLOOKUP(D1876,Товар!$A$2:$F$1000,3,0)</f>
        <v/>
      </c>
      <c r="J1876">
        <f>VLOOKUP(D1876,Товар!$A$2:$F$1000,5,0)</f>
        <v/>
      </c>
      <c r="K1876">
        <f>IF(AND(H1876="Промышленный",LEFT(I1876,18)="Порошок стиральный",F1876="Продажа",B1876=DATE(2023,6,7)),E1876*J1876/1000,0)</f>
        <v/>
      </c>
    </row>
    <row r="1877">
      <c r="A1877" t="n">
        <v>1876</v>
      </c>
      <c r="B1877" s="1" t="n">
        <v>45084</v>
      </c>
      <c r="C1877" s="5" t="inlineStr">
        <is>
          <t>M2</t>
        </is>
      </c>
      <c r="D1877" s="5" t="n">
        <v>40</v>
      </c>
      <c r="E1877" s="5" t="n">
        <v>287</v>
      </c>
      <c r="F1877" t="inlineStr">
        <is>
          <t>Продажа</t>
        </is>
      </c>
      <c r="H1877">
        <f>VLOOKUP(C1877,Магазин!$A$2:$C$1000,2,0)</f>
        <v/>
      </c>
      <c r="I1877">
        <f>VLOOKUP(D1877,Товар!$A$2:$F$1000,3,0)</f>
        <v/>
      </c>
      <c r="J1877">
        <f>VLOOKUP(D1877,Товар!$A$2:$F$1000,5,0)</f>
        <v/>
      </c>
      <c r="K1877">
        <f>IF(AND(H1877="Промышленный",LEFT(I1877,18)="Порошок стиральный",F1877="Продажа",B1877=DATE(2023,6,7)),E1877*J1877/1000,0)</f>
        <v/>
      </c>
    </row>
    <row r="1878">
      <c r="A1878" t="n">
        <v>1877</v>
      </c>
      <c r="B1878" s="1" t="n">
        <v>45084</v>
      </c>
      <c r="C1878" s="5" t="inlineStr">
        <is>
          <t>M2</t>
        </is>
      </c>
      <c r="D1878" s="5" t="n">
        <v>41</v>
      </c>
      <c r="E1878" s="5" t="n">
        <v>265</v>
      </c>
      <c r="F1878" t="inlineStr">
        <is>
          <t>Продажа</t>
        </is>
      </c>
      <c r="H1878">
        <f>VLOOKUP(C1878,Магазин!$A$2:$C$1000,2,0)</f>
        <v/>
      </c>
      <c r="I1878">
        <f>VLOOKUP(D1878,Товар!$A$2:$F$1000,3,0)</f>
        <v/>
      </c>
      <c r="J1878">
        <f>VLOOKUP(D1878,Товар!$A$2:$F$1000,5,0)</f>
        <v/>
      </c>
      <c r="K1878">
        <f>IF(AND(H1878="Промышленный",LEFT(I1878,18)="Порошок стиральный",F1878="Продажа",B1878=DATE(2023,6,7)),E1878*J1878/1000,0)</f>
        <v/>
      </c>
    </row>
    <row r="1879">
      <c r="A1879" t="n">
        <v>1878</v>
      </c>
      <c r="B1879" s="1" t="n">
        <v>45084</v>
      </c>
      <c r="C1879" s="5" t="inlineStr">
        <is>
          <t>M2</t>
        </is>
      </c>
      <c r="D1879" s="5" t="n">
        <v>42</v>
      </c>
      <c r="E1879" s="5" t="n">
        <v>234</v>
      </c>
      <c r="F1879" t="inlineStr">
        <is>
          <t>Продажа</t>
        </is>
      </c>
      <c r="H1879">
        <f>VLOOKUP(C1879,Магазин!$A$2:$C$1000,2,0)</f>
        <v/>
      </c>
      <c r="I1879">
        <f>VLOOKUP(D1879,Товар!$A$2:$F$1000,3,0)</f>
        <v/>
      </c>
      <c r="J1879">
        <f>VLOOKUP(D1879,Товар!$A$2:$F$1000,5,0)</f>
        <v/>
      </c>
      <c r="K1879">
        <f>IF(AND(H1879="Промышленный",LEFT(I1879,18)="Порошок стиральный",F1879="Продажа",B1879=DATE(2023,6,7)),E1879*J1879/1000,0)</f>
        <v/>
      </c>
    </row>
    <row r="1880">
      <c r="A1880" t="n">
        <v>1879</v>
      </c>
      <c r="B1880" s="1" t="n">
        <v>45084</v>
      </c>
      <c r="C1880" s="5" t="inlineStr">
        <is>
          <t>M2</t>
        </is>
      </c>
      <c r="D1880" s="5" t="n">
        <v>43</v>
      </c>
      <c r="E1880" s="5" t="n">
        <v>258</v>
      </c>
      <c r="F1880" t="inlineStr">
        <is>
          <t>Продажа</t>
        </is>
      </c>
      <c r="H1880">
        <f>VLOOKUP(C1880,Магазин!$A$2:$C$1000,2,0)</f>
        <v/>
      </c>
      <c r="I1880">
        <f>VLOOKUP(D1880,Товар!$A$2:$F$1000,3,0)</f>
        <v/>
      </c>
      <c r="J1880">
        <f>VLOOKUP(D1880,Товар!$A$2:$F$1000,5,0)</f>
        <v/>
      </c>
      <c r="K1880">
        <f>IF(AND(H1880="Промышленный",LEFT(I1880,18)="Порошок стиральный",F1880="Продажа",B1880=DATE(2023,6,7)),E1880*J1880/1000,0)</f>
        <v/>
      </c>
    </row>
    <row r="1881">
      <c r="A1881" t="n">
        <v>1880</v>
      </c>
      <c r="B1881" s="1" t="n">
        <v>45084</v>
      </c>
      <c r="C1881" s="5" t="inlineStr">
        <is>
          <t>M2</t>
        </is>
      </c>
      <c r="D1881" s="5" t="n">
        <v>44</v>
      </c>
      <c r="E1881" s="5" t="n">
        <v>264</v>
      </c>
      <c r="F1881" t="inlineStr">
        <is>
          <t>Продажа</t>
        </is>
      </c>
      <c r="H1881">
        <f>VLOOKUP(C1881,Магазин!$A$2:$C$1000,2,0)</f>
        <v/>
      </c>
      <c r="I1881">
        <f>VLOOKUP(D1881,Товар!$A$2:$F$1000,3,0)</f>
        <v/>
      </c>
      <c r="J1881">
        <f>VLOOKUP(D1881,Товар!$A$2:$F$1000,5,0)</f>
        <v/>
      </c>
      <c r="K1881">
        <f>IF(AND(H1881="Промышленный",LEFT(I1881,18)="Порошок стиральный",F1881="Продажа",B1881=DATE(2023,6,7)),E1881*J1881/1000,0)</f>
        <v/>
      </c>
    </row>
    <row r="1882">
      <c r="A1882" t="n">
        <v>1881</v>
      </c>
      <c r="B1882" s="1" t="n">
        <v>45084</v>
      </c>
      <c r="C1882" s="5" t="inlineStr">
        <is>
          <t>M2</t>
        </is>
      </c>
      <c r="D1882" s="5" t="n">
        <v>45</v>
      </c>
      <c r="E1882" s="5" t="n">
        <v>237</v>
      </c>
      <c r="F1882" t="inlineStr">
        <is>
          <t>Продажа</t>
        </is>
      </c>
      <c r="H1882">
        <f>VLOOKUP(C1882,Магазин!$A$2:$C$1000,2,0)</f>
        <v/>
      </c>
      <c r="I1882">
        <f>VLOOKUP(D1882,Товар!$A$2:$F$1000,3,0)</f>
        <v/>
      </c>
      <c r="J1882">
        <f>VLOOKUP(D1882,Товар!$A$2:$F$1000,5,0)</f>
        <v/>
      </c>
      <c r="K1882">
        <f>IF(AND(H1882="Промышленный",LEFT(I1882,18)="Порошок стиральный",F1882="Продажа",B1882=DATE(2023,6,7)),E1882*J1882/1000,0)</f>
        <v/>
      </c>
    </row>
    <row r="1883">
      <c r="A1883" t="n">
        <v>1882</v>
      </c>
      <c r="B1883" s="1" t="n">
        <v>45084</v>
      </c>
      <c r="C1883" s="5" t="inlineStr">
        <is>
          <t>M2</t>
        </is>
      </c>
      <c r="D1883" s="5" t="n">
        <v>46</v>
      </c>
      <c r="E1883" s="5" t="n">
        <v>218</v>
      </c>
      <c r="F1883" t="inlineStr">
        <is>
          <t>Продажа</t>
        </is>
      </c>
      <c r="H1883">
        <f>VLOOKUP(C1883,Магазин!$A$2:$C$1000,2,0)</f>
        <v/>
      </c>
      <c r="I1883">
        <f>VLOOKUP(D1883,Товар!$A$2:$F$1000,3,0)</f>
        <v/>
      </c>
      <c r="J1883">
        <f>VLOOKUP(D1883,Товар!$A$2:$F$1000,5,0)</f>
        <v/>
      </c>
      <c r="K1883">
        <f>IF(AND(H1883="Промышленный",LEFT(I1883,18)="Порошок стиральный",F1883="Продажа",B1883=DATE(2023,6,7)),E1883*J1883/1000,0)</f>
        <v/>
      </c>
    </row>
    <row r="1884">
      <c r="A1884" t="n">
        <v>1883</v>
      </c>
      <c r="B1884" s="1" t="n">
        <v>45084</v>
      </c>
      <c r="C1884" s="5" t="inlineStr">
        <is>
          <t>M2</t>
        </is>
      </c>
      <c r="D1884" s="5" t="n">
        <v>47</v>
      </c>
      <c r="E1884" s="5" t="n">
        <v>249</v>
      </c>
      <c r="F1884" t="inlineStr">
        <is>
          <t>Продажа</t>
        </is>
      </c>
      <c r="H1884">
        <f>VLOOKUP(C1884,Магазин!$A$2:$C$1000,2,0)</f>
        <v/>
      </c>
      <c r="I1884">
        <f>VLOOKUP(D1884,Товар!$A$2:$F$1000,3,0)</f>
        <v/>
      </c>
      <c r="J1884">
        <f>VLOOKUP(D1884,Товар!$A$2:$F$1000,5,0)</f>
        <v/>
      </c>
      <c r="K1884">
        <f>IF(AND(H1884="Промышленный",LEFT(I1884,18)="Порошок стиральный",F1884="Продажа",B1884=DATE(2023,6,7)),E1884*J1884/1000,0)</f>
        <v/>
      </c>
    </row>
    <row r="1885">
      <c r="A1885" t="n">
        <v>1884</v>
      </c>
      <c r="B1885" s="1" t="n">
        <v>45084</v>
      </c>
      <c r="C1885" s="5" t="inlineStr">
        <is>
          <t>M2</t>
        </is>
      </c>
      <c r="D1885" s="5" t="n">
        <v>48</v>
      </c>
      <c r="E1885" s="5" t="n">
        <v>273</v>
      </c>
      <c r="F1885" t="inlineStr">
        <is>
          <t>Продажа</t>
        </is>
      </c>
      <c r="H1885">
        <f>VLOOKUP(C1885,Магазин!$A$2:$C$1000,2,0)</f>
        <v/>
      </c>
      <c r="I1885">
        <f>VLOOKUP(D1885,Товар!$A$2:$F$1000,3,0)</f>
        <v/>
      </c>
      <c r="J1885">
        <f>VLOOKUP(D1885,Товар!$A$2:$F$1000,5,0)</f>
        <v/>
      </c>
      <c r="K1885">
        <f>IF(AND(H1885="Промышленный",LEFT(I1885,18)="Порошок стиральный",F1885="Продажа",B1885=DATE(2023,6,7)),E1885*J1885/1000,0)</f>
        <v/>
      </c>
    </row>
    <row r="1886">
      <c r="A1886" t="n">
        <v>1885</v>
      </c>
      <c r="B1886" s="1" t="n">
        <v>45084</v>
      </c>
      <c r="C1886" s="5" t="inlineStr">
        <is>
          <t>M2</t>
        </is>
      </c>
      <c r="D1886" s="5" t="n">
        <v>49</v>
      </c>
      <c r="E1886" s="5" t="n">
        <v>284</v>
      </c>
      <c r="F1886" t="inlineStr">
        <is>
          <t>Продажа</t>
        </is>
      </c>
      <c r="H1886">
        <f>VLOOKUP(C1886,Магазин!$A$2:$C$1000,2,0)</f>
        <v/>
      </c>
      <c r="I1886">
        <f>VLOOKUP(D1886,Товар!$A$2:$F$1000,3,0)</f>
        <v/>
      </c>
      <c r="J1886">
        <f>VLOOKUP(D1886,Товар!$A$2:$F$1000,5,0)</f>
        <v/>
      </c>
      <c r="K1886">
        <f>IF(AND(H1886="Промышленный",LEFT(I1886,18)="Порошок стиральный",F1886="Продажа",B1886=DATE(2023,6,7)),E1886*J1886/1000,0)</f>
        <v/>
      </c>
    </row>
    <row r="1887">
      <c r="A1887" t="n">
        <v>1886</v>
      </c>
      <c r="B1887" s="1" t="n">
        <v>45084</v>
      </c>
      <c r="C1887" s="5" t="inlineStr">
        <is>
          <t>M2</t>
        </is>
      </c>
      <c r="D1887" s="5" t="n">
        <v>50</v>
      </c>
      <c r="E1887" s="5" t="n">
        <v>253</v>
      </c>
      <c r="F1887" t="inlineStr">
        <is>
          <t>Продажа</t>
        </is>
      </c>
      <c r="H1887">
        <f>VLOOKUP(C1887,Магазин!$A$2:$C$1000,2,0)</f>
        <v/>
      </c>
      <c r="I1887">
        <f>VLOOKUP(D1887,Товар!$A$2:$F$1000,3,0)</f>
        <v/>
      </c>
      <c r="J1887">
        <f>VLOOKUP(D1887,Товар!$A$2:$F$1000,5,0)</f>
        <v/>
      </c>
      <c r="K1887">
        <f>IF(AND(H1887="Промышленный",LEFT(I1887,18)="Порошок стиральный",F1887="Продажа",B1887=DATE(2023,6,7)),E1887*J1887/1000,0)</f>
        <v/>
      </c>
    </row>
    <row r="1888">
      <c r="A1888" t="n">
        <v>1887</v>
      </c>
      <c r="B1888" s="1" t="n">
        <v>45084</v>
      </c>
      <c r="C1888" s="5" t="inlineStr">
        <is>
          <t>M2</t>
        </is>
      </c>
      <c r="D1888" s="5" t="n">
        <v>51</v>
      </c>
      <c r="E1888" s="5" t="n">
        <v>261</v>
      </c>
      <c r="F1888" t="inlineStr">
        <is>
          <t>Продажа</t>
        </is>
      </c>
      <c r="H1888">
        <f>VLOOKUP(C1888,Магазин!$A$2:$C$1000,2,0)</f>
        <v/>
      </c>
      <c r="I1888">
        <f>VLOOKUP(D1888,Товар!$A$2:$F$1000,3,0)</f>
        <v/>
      </c>
      <c r="J1888">
        <f>VLOOKUP(D1888,Товар!$A$2:$F$1000,5,0)</f>
        <v/>
      </c>
      <c r="K1888">
        <f>IF(AND(H1888="Промышленный",LEFT(I1888,18)="Порошок стиральный",F1888="Продажа",B1888=DATE(2023,6,7)),E1888*J1888/1000,0)</f>
        <v/>
      </c>
    </row>
    <row r="1889">
      <c r="A1889" t="n">
        <v>1888</v>
      </c>
      <c r="B1889" s="1" t="n">
        <v>45084</v>
      </c>
      <c r="C1889" s="5" t="inlineStr">
        <is>
          <t>M2</t>
        </is>
      </c>
      <c r="D1889" s="5" t="n">
        <v>52</v>
      </c>
      <c r="E1889" s="5" t="n">
        <v>276</v>
      </c>
      <c r="F1889" t="inlineStr">
        <is>
          <t>Продажа</t>
        </is>
      </c>
      <c r="H1889">
        <f>VLOOKUP(C1889,Магазин!$A$2:$C$1000,2,0)</f>
        <v/>
      </c>
      <c r="I1889">
        <f>VLOOKUP(D1889,Товар!$A$2:$F$1000,3,0)</f>
        <v/>
      </c>
      <c r="J1889">
        <f>VLOOKUP(D1889,Товар!$A$2:$F$1000,5,0)</f>
        <v/>
      </c>
      <c r="K1889">
        <f>IF(AND(H1889="Промышленный",LEFT(I1889,18)="Порошок стиральный",F1889="Продажа",B1889=DATE(2023,6,7)),E1889*J1889/1000,0)</f>
        <v/>
      </c>
    </row>
    <row r="1890">
      <c r="A1890" t="n">
        <v>1889</v>
      </c>
      <c r="B1890" s="1" t="n">
        <v>45084</v>
      </c>
      <c r="C1890" s="5" t="inlineStr">
        <is>
          <t>M2</t>
        </is>
      </c>
      <c r="D1890" s="5" t="n">
        <v>53</v>
      </c>
      <c r="E1890" s="5" t="n">
        <v>357</v>
      </c>
      <c r="F1890" t="inlineStr">
        <is>
          <t>Продажа</t>
        </is>
      </c>
      <c r="H1890">
        <f>VLOOKUP(C1890,Магазин!$A$2:$C$1000,2,0)</f>
        <v/>
      </c>
      <c r="I1890">
        <f>VLOOKUP(D1890,Товар!$A$2:$F$1000,3,0)</f>
        <v/>
      </c>
      <c r="J1890">
        <f>VLOOKUP(D1890,Товар!$A$2:$F$1000,5,0)</f>
        <v/>
      </c>
      <c r="K1890">
        <f>IF(AND(H1890="Промышленный",LEFT(I1890,18)="Порошок стиральный",F1890="Продажа",B1890=DATE(2023,6,7)),E1890*J1890/1000,0)</f>
        <v/>
      </c>
    </row>
    <row r="1891">
      <c r="A1891" t="n">
        <v>1890</v>
      </c>
      <c r="B1891" s="1" t="n">
        <v>45084</v>
      </c>
      <c r="C1891" s="5" t="inlineStr">
        <is>
          <t>M2</t>
        </is>
      </c>
      <c r="D1891" s="5" t="n">
        <v>54</v>
      </c>
      <c r="E1891" s="5" t="n">
        <v>355</v>
      </c>
      <c r="F1891" t="inlineStr">
        <is>
          <t>Продажа</t>
        </is>
      </c>
      <c r="H1891">
        <f>VLOOKUP(C1891,Магазин!$A$2:$C$1000,2,0)</f>
        <v/>
      </c>
      <c r="I1891">
        <f>VLOOKUP(D1891,Товар!$A$2:$F$1000,3,0)</f>
        <v/>
      </c>
      <c r="J1891">
        <f>VLOOKUP(D1891,Товар!$A$2:$F$1000,5,0)</f>
        <v/>
      </c>
      <c r="K1891">
        <f>IF(AND(H1891="Промышленный",LEFT(I1891,18)="Порошок стиральный",F1891="Продажа",B1891=DATE(2023,6,7)),E1891*J1891/1000,0)</f>
        <v/>
      </c>
    </row>
    <row r="1892">
      <c r="A1892" t="n">
        <v>1891</v>
      </c>
      <c r="B1892" s="1" t="n">
        <v>45084</v>
      </c>
      <c r="C1892" s="5" t="inlineStr">
        <is>
          <t>M2</t>
        </is>
      </c>
      <c r="D1892" s="5" t="n">
        <v>55</v>
      </c>
      <c r="E1892" s="5" t="n">
        <v>343</v>
      </c>
      <c r="F1892" t="inlineStr">
        <is>
          <t>Продажа</t>
        </is>
      </c>
      <c r="H1892">
        <f>VLOOKUP(C1892,Магазин!$A$2:$C$1000,2,0)</f>
        <v/>
      </c>
      <c r="I1892">
        <f>VLOOKUP(D1892,Товар!$A$2:$F$1000,3,0)</f>
        <v/>
      </c>
      <c r="J1892">
        <f>VLOOKUP(D1892,Товар!$A$2:$F$1000,5,0)</f>
        <v/>
      </c>
      <c r="K1892">
        <f>IF(AND(H1892="Промышленный",LEFT(I1892,18)="Порошок стиральный",F1892="Продажа",B1892=DATE(2023,6,7)),E1892*J1892/1000,0)</f>
        <v/>
      </c>
    </row>
    <row r="1893">
      <c r="A1893" t="n">
        <v>1892</v>
      </c>
      <c r="B1893" s="1" t="n">
        <v>45084</v>
      </c>
      <c r="C1893" s="5" t="inlineStr">
        <is>
          <t>M2</t>
        </is>
      </c>
      <c r="D1893" s="5" t="n">
        <v>56</v>
      </c>
      <c r="E1893" s="5" t="n">
        <v>322</v>
      </c>
      <c r="F1893" t="inlineStr">
        <is>
          <t>Продажа</t>
        </is>
      </c>
      <c r="H1893">
        <f>VLOOKUP(C1893,Магазин!$A$2:$C$1000,2,0)</f>
        <v/>
      </c>
      <c r="I1893">
        <f>VLOOKUP(D1893,Товар!$A$2:$F$1000,3,0)</f>
        <v/>
      </c>
      <c r="J1893">
        <f>VLOOKUP(D1893,Товар!$A$2:$F$1000,5,0)</f>
        <v/>
      </c>
      <c r="K1893">
        <f>IF(AND(H1893="Промышленный",LEFT(I1893,18)="Порошок стиральный",F1893="Продажа",B1893=DATE(2023,6,7)),E1893*J1893/1000,0)</f>
        <v/>
      </c>
    </row>
    <row r="1894">
      <c r="A1894" t="n">
        <v>1893</v>
      </c>
      <c r="B1894" s="1" t="n">
        <v>45084</v>
      </c>
      <c r="C1894" s="5" t="inlineStr">
        <is>
          <t>M2</t>
        </is>
      </c>
      <c r="D1894" s="5" t="n">
        <v>57</v>
      </c>
      <c r="E1894" s="5" t="n">
        <v>369</v>
      </c>
      <c r="F1894" t="inlineStr">
        <is>
          <t>Продажа</t>
        </is>
      </c>
      <c r="H1894">
        <f>VLOOKUP(C1894,Магазин!$A$2:$C$1000,2,0)</f>
        <v/>
      </c>
      <c r="I1894">
        <f>VLOOKUP(D1894,Товар!$A$2:$F$1000,3,0)</f>
        <v/>
      </c>
      <c r="J1894">
        <f>VLOOKUP(D1894,Товар!$A$2:$F$1000,5,0)</f>
        <v/>
      </c>
      <c r="K1894">
        <f>IF(AND(H1894="Промышленный",LEFT(I1894,18)="Порошок стиральный",F1894="Продажа",B1894=DATE(2023,6,7)),E1894*J1894/1000,0)</f>
        <v/>
      </c>
    </row>
    <row r="1895">
      <c r="A1895" t="n">
        <v>1894</v>
      </c>
      <c r="B1895" s="1" t="n">
        <v>45084</v>
      </c>
      <c r="C1895" s="5" t="inlineStr">
        <is>
          <t>M2</t>
        </is>
      </c>
      <c r="D1895" s="5" t="n">
        <v>58</v>
      </c>
      <c r="E1895" s="5" t="n">
        <v>399</v>
      </c>
      <c r="F1895" t="inlineStr">
        <is>
          <t>Продажа</t>
        </is>
      </c>
      <c r="H1895">
        <f>VLOOKUP(C1895,Магазин!$A$2:$C$1000,2,0)</f>
        <v/>
      </c>
      <c r="I1895">
        <f>VLOOKUP(D1895,Товар!$A$2:$F$1000,3,0)</f>
        <v/>
      </c>
      <c r="J1895">
        <f>VLOOKUP(D1895,Товар!$A$2:$F$1000,5,0)</f>
        <v/>
      </c>
      <c r="K1895">
        <f>IF(AND(H1895="Промышленный",LEFT(I1895,18)="Порошок стиральный",F1895="Продажа",B1895=DATE(2023,6,7)),E1895*J1895/1000,0)</f>
        <v/>
      </c>
    </row>
    <row r="1896">
      <c r="A1896" t="n">
        <v>1895</v>
      </c>
      <c r="B1896" s="1" t="n">
        <v>45084</v>
      </c>
      <c r="C1896" s="5" t="inlineStr">
        <is>
          <t>M2</t>
        </is>
      </c>
      <c r="D1896" s="5" t="n">
        <v>59</v>
      </c>
      <c r="E1896" s="5" t="n">
        <v>307</v>
      </c>
      <c r="F1896" t="inlineStr">
        <is>
          <t>Продажа</t>
        </is>
      </c>
      <c r="H1896">
        <f>VLOOKUP(C1896,Магазин!$A$2:$C$1000,2,0)</f>
        <v/>
      </c>
      <c r="I1896">
        <f>VLOOKUP(D1896,Товар!$A$2:$F$1000,3,0)</f>
        <v/>
      </c>
      <c r="J1896">
        <f>VLOOKUP(D1896,Товар!$A$2:$F$1000,5,0)</f>
        <v/>
      </c>
      <c r="K1896">
        <f>IF(AND(H1896="Промышленный",LEFT(I1896,18)="Порошок стиральный",F1896="Продажа",B1896=DATE(2023,6,7)),E1896*J1896/1000,0)</f>
        <v/>
      </c>
    </row>
    <row r="1897">
      <c r="A1897" t="n">
        <v>1896</v>
      </c>
      <c r="B1897" s="1" t="n">
        <v>45084</v>
      </c>
      <c r="C1897" s="5" t="inlineStr">
        <is>
          <t>M2</t>
        </is>
      </c>
      <c r="D1897" s="5" t="n">
        <v>60</v>
      </c>
      <c r="E1897" s="5" t="n">
        <v>302</v>
      </c>
      <c r="F1897" t="inlineStr">
        <is>
          <t>Продажа</t>
        </is>
      </c>
      <c r="H1897">
        <f>VLOOKUP(C1897,Магазин!$A$2:$C$1000,2,0)</f>
        <v/>
      </c>
      <c r="I1897">
        <f>VLOOKUP(D1897,Товар!$A$2:$F$1000,3,0)</f>
        <v/>
      </c>
      <c r="J1897">
        <f>VLOOKUP(D1897,Товар!$A$2:$F$1000,5,0)</f>
        <v/>
      </c>
      <c r="K1897">
        <f>IF(AND(H1897="Промышленный",LEFT(I1897,18)="Порошок стиральный",F1897="Продажа",B1897=DATE(2023,6,7)),E1897*J1897/1000,0)</f>
        <v/>
      </c>
    </row>
    <row r="1898">
      <c r="A1898" t="n">
        <v>1897</v>
      </c>
      <c r="B1898" s="1" t="n">
        <v>45084</v>
      </c>
      <c r="C1898" s="5" t="inlineStr">
        <is>
          <t>M4</t>
        </is>
      </c>
      <c r="D1898" s="5" t="n">
        <v>37</v>
      </c>
      <c r="E1898" s="5" t="n">
        <v>301</v>
      </c>
      <c r="F1898" t="inlineStr">
        <is>
          <t>Продажа</t>
        </is>
      </c>
      <c r="H1898">
        <f>VLOOKUP(C1898,Магазин!$A$2:$C$1000,2,0)</f>
        <v/>
      </c>
      <c r="I1898">
        <f>VLOOKUP(D1898,Товар!$A$2:$F$1000,3,0)</f>
        <v/>
      </c>
      <c r="J1898">
        <f>VLOOKUP(D1898,Товар!$A$2:$F$1000,5,0)</f>
        <v/>
      </c>
      <c r="K1898">
        <f>IF(AND(H1898="Промышленный",LEFT(I1898,18)="Порошок стиральный",F1898="Продажа",B1898=DATE(2023,6,7)),E1898*J1898/1000,0)</f>
        <v/>
      </c>
    </row>
    <row r="1899">
      <c r="A1899" t="n">
        <v>1898</v>
      </c>
      <c r="B1899" s="1" t="n">
        <v>45084</v>
      </c>
      <c r="C1899" s="5" t="inlineStr">
        <is>
          <t>M4</t>
        </is>
      </c>
      <c r="D1899" s="5" t="n">
        <v>38</v>
      </c>
      <c r="E1899" s="5" t="n">
        <v>357</v>
      </c>
      <c r="F1899" t="inlineStr">
        <is>
          <t>Продажа</t>
        </is>
      </c>
      <c r="H1899">
        <f>VLOOKUP(C1899,Магазин!$A$2:$C$1000,2,0)</f>
        <v/>
      </c>
      <c r="I1899">
        <f>VLOOKUP(D1899,Товар!$A$2:$F$1000,3,0)</f>
        <v/>
      </c>
      <c r="J1899">
        <f>VLOOKUP(D1899,Товар!$A$2:$F$1000,5,0)</f>
        <v/>
      </c>
      <c r="K1899">
        <f>IF(AND(H1899="Промышленный",LEFT(I1899,18)="Порошок стиральный",F1899="Продажа",B1899=DATE(2023,6,7)),E1899*J1899/1000,0)</f>
        <v/>
      </c>
    </row>
    <row r="1900">
      <c r="A1900" t="n">
        <v>1899</v>
      </c>
      <c r="B1900" s="1" t="n">
        <v>45084</v>
      </c>
      <c r="C1900" s="5" t="inlineStr">
        <is>
          <t>M4</t>
        </is>
      </c>
      <c r="D1900" s="5" t="n">
        <v>39</v>
      </c>
      <c r="E1900" s="5" t="n">
        <v>268</v>
      </c>
      <c r="F1900" t="inlineStr">
        <is>
          <t>Продажа</t>
        </is>
      </c>
      <c r="H1900">
        <f>VLOOKUP(C1900,Магазин!$A$2:$C$1000,2,0)</f>
        <v/>
      </c>
      <c r="I1900">
        <f>VLOOKUP(D1900,Товар!$A$2:$F$1000,3,0)</f>
        <v/>
      </c>
      <c r="J1900">
        <f>VLOOKUP(D1900,Товар!$A$2:$F$1000,5,0)</f>
        <v/>
      </c>
      <c r="K1900">
        <f>IF(AND(H1900="Промышленный",LEFT(I1900,18)="Порошок стиральный",F1900="Продажа",B1900=DATE(2023,6,7)),E1900*J1900/1000,0)</f>
        <v/>
      </c>
    </row>
    <row r="1901">
      <c r="A1901" t="n">
        <v>1900</v>
      </c>
      <c r="B1901" s="1" t="n">
        <v>45084</v>
      </c>
      <c r="C1901" s="5" t="inlineStr">
        <is>
          <t>M4</t>
        </is>
      </c>
      <c r="D1901" s="5" t="n">
        <v>40</v>
      </c>
      <c r="E1901" s="5" t="n">
        <v>279</v>
      </c>
      <c r="F1901" t="inlineStr">
        <is>
          <t>Продажа</t>
        </is>
      </c>
      <c r="H1901">
        <f>VLOOKUP(C1901,Магазин!$A$2:$C$1000,2,0)</f>
        <v/>
      </c>
      <c r="I1901">
        <f>VLOOKUP(D1901,Товар!$A$2:$F$1000,3,0)</f>
        <v/>
      </c>
      <c r="J1901">
        <f>VLOOKUP(D1901,Товар!$A$2:$F$1000,5,0)</f>
        <v/>
      </c>
      <c r="K1901">
        <f>IF(AND(H1901="Промышленный",LEFT(I1901,18)="Порошок стиральный",F1901="Продажа",B1901=DATE(2023,6,7)),E1901*J1901/1000,0)</f>
        <v/>
      </c>
    </row>
    <row r="1902">
      <c r="A1902" t="n">
        <v>1901</v>
      </c>
      <c r="B1902" s="1" t="n">
        <v>45084</v>
      </c>
      <c r="C1902" s="5" t="inlineStr">
        <is>
          <t>M4</t>
        </is>
      </c>
      <c r="D1902" s="5" t="n">
        <v>41</v>
      </c>
      <c r="E1902" s="5" t="n">
        <v>281</v>
      </c>
      <c r="F1902" t="inlineStr">
        <is>
          <t>Продажа</t>
        </is>
      </c>
      <c r="H1902">
        <f>VLOOKUP(C1902,Магазин!$A$2:$C$1000,2,0)</f>
        <v/>
      </c>
      <c r="I1902">
        <f>VLOOKUP(D1902,Товар!$A$2:$F$1000,3,0)</f>
        <v/>
      </c>
      <c r="J1902">
        <f>VLOOKUP(D1902,Товар!$A$2:$F$1000,5,0)</f>
        <v/>
      </c>
      <c r="K1902">
        <f>IF(AND(H1902="Промышленный",LEFT(I1902,18)="Порошок стиральный",F1902="Продажа",B1902=DATE(2023,6,7)),E1902*J1902/1000,0)</f>
        <v/>
      </c>
    </row>
    <row r="1903">
      <c r="A1903" t="n">
        <v>1902</v>
      </c>
      <c r="B1903" s="1" t="n">
        <v>45084</v>
      </c>
      <c r="C1903" s="5" t="inlineStr">
        <is>
          <t>M4</t>
        </is>
      </c>
      <c r="D1903" s="5" t="n">
        <v>42</v>
      </c>
      <c r="E1903" s="5" t="n">
        <v>292</v>
      </c>
      <c r="F1903" t="inlineStr">
        <is>
          <t>Продажа</t>
        </is>
      </c>
      <c r="H1903">
        <f>VLOOKUP(C1903,Магазин!$A$2:$C$1000,2,0)</f>
        <v/>
      </c>
      <c r="I1903">
        <f>VLOOKUP(D1903,Товар!$A$2:$F$1000,3,0)</f>
        <v/>
      </c>
      <c r="J1903">
        <f>VLOOKUP(D1903,Товар!$A$2:$F$1000,5,0)</f>
        <v/>
      </c>
      <c r="K1903">
        <f>IF(AND(H1903="Промышленный",LEFT(I1903,18)="Порошок стиральный",F1903="Продажа",B1903=DATE(2023,6,7)),E1903*J1903/1000,0)</f>
        <v/>
      </c>
    </row>
    <row r="1904">
      <c r="A1904" t="n">
        <v>1903</v>
      </c>
      <c r="B1904" s="1" t="n">
        <v>45084</v>
      </c>
      <c r="C1904" s="5" t="inlineStr">
        <is>
          <t>M4</t>
        </is>
      </c>
      <c r="D1904" s="5" t="n">
        <v>43</v>
      </c>
      <c r="E1904" s="5" t="n">
        <v>203</v>
      </c>
      <c r="F1904" t="inlineStr">
        <is>
          <t>Продажа</t>
        </is>
      </c>
      <c r="H1904">
        <f>VLOOKUP(C1904,Магазин!$A$2:$C$1000,2,0)</f>
        <v/>
      </c>
      <c r="I1904">
        <f>VLOOKUP(D1904,Товар!$A$2:$F$1000,3,0)</f>
        <v/>
      </c>
      <c r="J1904">
        <f>VLOOKUP(D1904,Товар!$A$2:$F$1000,5,0)</f>
        <v/>
      </c>
      <c r="K1904">
        <f>IF(AND(H1904="Промышленный",LEFT(I1904,18)="Порошок стиральный",F1904="Продажа",B1904=DATE(2023,6,7)),E1904*J1904/1000,0)</f>
        <v/>
      </c>
    </row>
    <row r="1905">
      <c r="A1905" t="n">
        <v>1904</v>
      </c>
      <c r="B1905" s="1" t="n">
        <v>45084</v>
      </c>
      <c r="C1905" s="5" t="inlineStr">
        <is>
          <t>M4</t>
        </is>
      </c>
      <c r="D1905" s="5" t="n">
        <v>44</v>
      </c>
      <c r="E1905" s="5" t="n">
        <v>214</v>
      </c>
      <c r="F1905" t="inlineStr">
        <is>
          <t>Продажа</t>
        </is>
      </c>
      <c r="H1905">
        <f>VLOOKUP(C1905,Магазин!$A$2:$C$1000,2,0)</f>
        <v/>
      </c>
      <c r="I1905">
        <f>VLOOKUP(D1905,Товар!$A$2:$F$1000,3,0)</f>
        <v/>
      </c>
      <c r="J1905">
        <f>VLOOKUP(D1905,Товар!$A$2:$F$1000,5,0)</f>
        <v/>
      </c>
      <c r="K1905">
        <f>IF(AND(H1905="Промышленный",LEFT(I1905,18)="Порошок стиральный",F1905="Продажа",B1905=DATE(2023,6,7)),E1905*J1905/1000,0)</f>
        <v/>
      </c>
    </row>
    <row r="1906">
      <c r="A1906" t="n">
        <v>1905</v>
      </c>
      <c r="B1906" s="1" t="n">
        <v>45084</v>
      </c>
      <c r="C1906" s="5" t="inlineStr">
        <is>
          <t>M4</t>
        </is>
      </c>
      <c r="D1906" s="5" t="n">
        <v>45</v>
      </c>
      <c r="E1906" s="5" t="n">
        <v>225</v>
      </c>
      <c r="F1906" t="inlineStr">
        <is>
          <t>Продажа</t>
        </is>
      </c>
      <c r="H1906">
        <f>VLOOKUP(C1906,Магазин!$A$2:$C$1000,2,0)</f>
        <v/>
      </c>
      <c r="I1906">
        <f>VLOOKUP(D1906,Товар!$A$2:$F$1000,3,0)</f>
        <v/>
      </c>
      <c r="J1906">
        <f>VLOOKUP(D1906,Товар!$A$2:$F$1000,5,0)</f>
        <v/>
      </c>
      <c r="K1906">
        <f>IF(AND(H1906="Промышленный",LEFT(I1906,18)="Порошок стиральный",F1906="Продажа",B1906=DATE(2023,6,7)),E1906*J1906/1000,0)</f>
        <v/>
      </c>
    </row>
    <row r="1907">
      <c r="A1907" t="n">
        <v>1906</v>
      </c>
      <c r="B1907" s="1" t="n">
        <v>45084</v>
      </c>
      <c r="C1907" s="5" t="inlineStr">
        <is>
          <t>M4</t>
        </is>
      </c>
      <c r="D1907" s="5" t="n">
        <v>46</v>
      </c>
      <c r="E1907" s="5" t="n">
        <v>357</v>
      </c>
      <c r="F1907" t="inlineStr">
        <is>
          <t>Продажа</t>
        </is>
      </c>
      <c r="H1907">
        <f>VLOOKUP(C1907,Магазин!$A$2:$C$1000,2,0)</f>
        <v/>
      </c>
      <c r="I1907">
        <f>VLOOKUP(D1907,Товар!$A$2:$F$1000,3,0)</f>
        <v/>
      </c>
      <c r="J1907">
        <f>VLOOKUP(D1907,Товар!$A$2:$F$1000,5,0)</f>
        <v/>
      </c>
      <c r="K1907">
        <f>IF(AND(H1907="Промышленный",LEFT(I1907,18)="Порошок стиральный",F1907="Продажа",B1907=DATE(2023,6,7)),E1907*J1907/1000,0)</f>
        <v/>
      </c>
    </row>
    <row r="1908">
      <c r="A1908" t="n">
        <v>1907</v>
      </c>
      <c r="B1908" s="1" t="n">
        <v>45084</v>
      </c>
      <c r="C1908" s="5" t="inlineStr">
        <is>
          <t>M4</t>
        </is>
      </c>
      <c r="D1908" s="5" t="n">
        <v>47</v>
      </c>
      <c r="E1908" s="5" t="n">
        <v>355</v>
      </c>
      <c r="F1908" t="inlineStr">
        <is>
          <t>Продажа</t>
        </is>
      </c>
      <c r="H1908">
        <f>VLOOKUP(C1908,Магазин!$A$2:$C$1000,2,0)</f>
        <v/>
      </c>
      <c r="I1908">
        <f>VLOOKUP(D1908,Товар!$A$2:$F$1000,3,0)</f>
        <v/>
      </c>
      <c r="J1908">
        <f>VLOOKUP(D1908,Товар!$A$2:$F$1000,5,0)</f>
        <v/>
      </c>
      <c r="K1908">
        <f>IF(AND(H1908="Промышленный",LEFT(I1908,18)="Порошок стиральный",F1908="Продажа",B1908=DATE(2023,6,7)),E1908*J1908/1000,0)</f>
        <v/>
      </c>
    </row>
    <row r="1909">
      <c r="A1909" t="n">
        <v>1908</v>
      </c>
      <c r="B1909" s="1" t="n">
        <v>45084</v>
      </c>
      <c r="C1909" s="5" t="inlineStr">
        <is>
          <t>M4</t>
        </is>
      </c>
      <c r="D1909" s="5" t="n">
        <v>48</v>
      </c>
      <c r="E1909" s="5" t="n">
        <v>343</v>
      </c>
      <c r="F1909" t="inlineStr">
        <is>
          <t>Продажа</t>
        </is>
      </c>
      <c r="H1909">
        <f>VLOOKUP(C1909,Магазин!$A$2:$C$1000,2,0)</f>
        <v/>
      </c>
      <c r="I1909">
        <f>VLOOKUP(D1909,Товар!$A$2:$F$1000,3,0)</f>
        <v/>
      </c>
      <c r="J1909">
        <f>VLOOKUP(D1909,Товар!$A$2:$F$1000,5,0)</f>
        <v/>
      </c>
      <c r="K1909">
        <f>IF(AND(H1909="Промышленный",LEFT(I1909,18)="Порошок стиральный",F1909="Продажа",B1909=DATE(2023,6,7)),E1909*J1909/1000,0)</f>
        <v/>
      </c>
    </row>
    <row r="1910">
      <c r="A1910" t="n">
        <v>1909</v>
      </c>
      <c r="B1910" s="1" t="n">
        <v>45084</v>
      </c>
      <c r="C1910" s="5" t="inlineStr">
        <is>
          <t>M4</t>
        </is>
      </c>
      <c r="D1910" s="5" t="n">
        <v>49</v>
      </c>
      <c r="E1910" s="5" t="n">
        <v>322</v>
      </c>
      <c r="F1910" t="inlineStr">
        <is>
          <t>Продажа</t>
        </is>
      </c>
      <c r="H1910">
        <f>VLOOKUP(C1910,Магазин!$A$2:$C$1000,2,0)</f>
        <v/>
      </c>
      <c r="I1910">
        <f>VLOOKUP(D1910,Товар!$A$2:$F$1000,3,0)</f>
        <v/>
      </c>
      <c r="J1910">
        <f>VLOOKUP(D1910,Товар!$A$2:$F$1000,5,0)</f>
        <v/>
      </c>
      <c r="K1910">
        <f>IF(AND(H1910="Промышленный",LEFT(I1910,18)="Порошок стиральный",F1910="Продажа",B1910=DATE(2023,6,7)),E1910*J1910/1000,0)</f>
        <v/>
      </c>
    </row>
    <row r="1911">
      <c r="A1911" t="n">
        <v>1910</v>
      </c>
      <c r="B1911" s="1" t="n">
        <v>45084</v>
      </c>
      <c r="C1911" s="5" t="inlineStr">
        <is>
          <t>M4</t>
        </is>
      </c>
      <c r="D1911" s="5" t="n">
        <v>50</v>
      </c>
      <c r="E1911" s="5" t="n">
        <v>369</v>
      </c>
      <c r="F1911" t="inlineStr">
        <is>
          <t>Продажа</t>
        </is>
      </c>
      <c r="H1911">
        <f>VLOOKUP(C1911,Магазин!$A$2:$C$1000,2,0)</f>
        <v/>
      </c>
      <c r="I1911">
        <f>VLOOKUP(D1911,Товар!$A$2:$F$1000,3,0)</f>
        <v/>
      </c>
      <c r="J1911">
        <f>VLOOKUP(D1911,Товар!$A$2:$F$1000,5,0)</f>
        <v/>
      </c>
      <c r="K1911">
        <f>IF(AND(H1911="Промышленный",LEFT(I1911,18)="Порошок стиральный",F1911="Продажа",B1911=DATE(2023,6,7)),E1911*J1911/1000,0)</f>
        <v/>
      </c>
    </row>
    <row r="1912">
      <c r="A1912" t="n">
        <v>1911</v>
      </c>
      <c r="B1912" s="1" t="n">
        <v>45084</v>
      </c>
      <c r="C1912" s="5" t="inlineStr">
        <is>
          <t>M4</t>
        </is>
      </c>
      <c r="D1912" s="5" t="n">
        <v>51</v>
      </c>
      <c r="E1912" s="5" t="n">
        <v>399</v>
      </c>
      <c r="F1912" t="inlineStr">
        <is>
          <t>Продажа</t>
        </is>
      </c>
      <c r="H1912">
        <f>VLOOKUP(C1912,Магазин!$A$2:$C$1000,2,0)</f>
        <v/>
      </c>
      <c r="I1912">
        <f>VLOOKUP(D1912,Товар!$A$2:$F$1000,3,0)</f>
        <v/>
      </c>
      <c r="J1912">
        <f>VLOOKUP(D1912,Товар!$A$2:$F$1000,5,0)</f>
        <v/>
      </c>
      <c r="K1912">
        <f>IF(AND(H1912="Промышленный",LEFT(I1912,18)="Порошок стиральный",F1912="Продажа",B1912=DATE(2023,6,7)),E1912*J1912/1000,0)</f>
        <v/>
      </c>
    </row>
    <row r="1913">
      <c r="A1913" t="n">
        <v>1912</v>
      </c>
      <c r="B1913" s="1" t="n">
        <v>45084</v>
      </c>
      <c r="C1913" s="5" t="inlineStr">
        <is>
          <t>M4</t>
        </is>
      </c>
      <c r="D1913" s="5" t="n">
        <v>52</v>
      </c>
      <c r="E1913" s="5" t="n">
        <v>307</v>
      </c>
      <c r="F1913" t="inlineStr">
        <is>
          <t>Продажа</t>
        </is>
      </c>
      <c r="H1913">
        <f>VLOOKUP(C1913,Магазин!$A$2:$C$1000,2,0)</f>
        <v/>
      </c>
      <c r="I1913">
        <f>VLOOKUP(D1913,Товар!$A$2:$F$1000,3,0)</f>
        <v/>
      </c>
      <c r="J1913">
        <f>VLOOKUP(D1913,Товар!$A$2:$F$1000,5,0)</f>
        <v/>
      </c>
      <c r="K1913">
        <f>IF(AND(H1913="Промышленный",LEFT(I1913,18)="Порошок стиральный",F1913="Продажа",B1913=DATE(2023,6,7)),E1913*J1913/1000,0)</f>
        <v/>
      </c>
    </row>
    <row r="1914">
      <c r="A1914" t="n">
        <v>1913</v>
      </c>
      <c r="B1914" s="1" t="n">
        <v>45084</v>
      </c>
      <c r="C1914" s="5" t="inlineStr">
        <is>
          <t>M4</t>
        </is>
      </c>
      <c r="D1914" s="5" t="n">
        <v>53</v>
      </c>
      <c r="E1914" s="5" t="n">
        <v>302</v>
      </c>
      <c r="F1914" t="inlineStr">
        <is>
          <t>Продажа</t>
        </is>
      </c>
      <c r="H1914">
        <f>VLOOKUP(C1914,Магазин!$A$2:$C$1000,2,0)</f>
        <v/>
      </c>
      <c r="I1914">
        <f>VLOOKUP(D1914,Товар!$A$2:$F$1000,3,0)</f>
        <v/>
      </c>
      <c r="J1914">
        <f>VLOOKUP(D1914,Товар!$A$2:$F$1000,5,0)</f>
        <v/>
      </c>
      <c r="K1914">
        <f>IF(AND(H1914="Промышленный",LEFT(I1914,18)="Порошок стиральный",F1914="Продажа",B1914=DATE(2023,6,7)),E1914*J1914/1000,0)</f>
        <v/>
      </c>
    </row>
    <row r="1915">
      <c r="A1915" t="n">
        <v>1914</v>
      </c>
      <c r="B1915" s="1" t="n">
        <v>45084</v>
      </c>
      <c r="C1915" s="5" t="inlineStr">
        <is>
          <t>M4</t>
        </is>
      </c>
      <c r="D1915" s="5" t="n">
        <v>54</v>
      </c>
      <c r="E1915" s="5" t="n">
        <v>301</v>
      </c>
      <c r="F1915" t="inlineStr">
        <is>
          <t>Продажа</t>
        </is>
      </c>
      <c r="H1915">
        <f>VLOOKUP(C1915,Магазин!$A$2:$C$1000,2,0)</f>
        <v/>
      </c>
      <c r="I1915">
        <f>VLOOKUP(D1915,Товар!$A$2:$F$1000,3,0)</f>
        <v/>
      </c>
      <c r="J1915">
        <f>VLOOKUP(D1915,Товар!$A$2:$F$1000,5,0)</f>
        <v/>
      </c>
      <c r="K1915">
        <f>IF(AND(H1915="Промышленный",LEFT(I1915,18)="Порошок стиральный",F1915="Продажа",B1915=DATE(2023,6,7)),E1915*J1915/1000,0)</f>
        <v/>
      </c>
    </row>
    <row r="1916">
      <c r="A1916" t="n">
        <v>1915</v>
      </c>
      <c r="B1916" s="1" t="n">
        <v>45084</v>
      </c>
      <c r="C1916" s="5" t="inlineStr">
        <is>
          <t>M4</t>
        </is>
      </c>
      <c r="D1916" s="5" t="n">
        <v>55</v>
      </c>
      <c r="E1916" s="5" t="n">
        <v>357</v>
      </c>
      <c r="F1916" t="inlineStr">
        <is>
          <t>Продажа</t>
        </is>
      </c>
      <c r="H1916">
        <f>VLOOKUP(C1916,Магазин!$A$2:$C$1000,2,0)</f>
        <v/>
      </c>
      <c r="I1916">
        <f>VLOOKUP(D1916,Товар!$A$2:$F$1000,3,0)</f>
        <v/>
      </c>
      <c r="J1916">
        <f>VLOOKUP(D1916,Товар!$A$2:$F$1000,5,0)</f>
        <v/>
      </c>
      <c r="K1916">
        <f>IF(AND(H1916="Промышленный",LEFT(I1916,18)="Порошок стиральный",F1916="Продажа",B1916=DATE(2023,6,7)),E1916*J1916/1000,0)</f>
        <v/>
      </c>
    </row>
    <row r="1917">
      <c r="A1917" t="n">
        <v>1916</v>
      </c>
      <c r="B1917" s="1" t="n">
        <v>45084</v>
      </c>
      <c r="C1917" s="5" t="inlineStr">
        <is>
          <t>M4</t>
        </is>
      </c>
      <c r="D1917" s="5" t="n">
        <v>56</v>
      </c>
      <c r="E1917" s="5" t="n">
        <v>268</v>
      </c>
      <c r="F1917" t="inlineStr">
        <is>
          <t>Продажа</t>
        </is>
      </c>
      <c r="H1917">
        <f>VLOOKUP(C1917,Магазин!$A$2:$C$1000,2,0)</f>
        <v/>
      </c>
      <c r="I1917">
        <f>VLOOKUP(D1917,Товар!$A$2:$F$1000,3,0)</f>
        <v/>
      </c>
      <c r="J1917">
        <f>VLOOKUP(D1917,Товар!$A$2:$F$1000,5,0)</f>
        <v/>
      </c>
      <c r="K1917">
        <f>IF(AND(H1917="Промышленный",LEFT(I1917,18)="Порошок стиральный",F1917="Продажа",B1917=DATE(2023,6,7)),E1917*J1917/1000,0)</f>
        <v/>
      </c>
    </row>
    <row r="1918">
      <c r="A1918" t="n">
        <v>1917</v>
      </c>
      <c r="B1918" s="1" t="n">
        <v>45084</v>
      </c>
      <c r="C1918" s="5" t="inlineStr">
        <is>
          <t>M4</t>
        </is>
      </c>
      <c r="D1918" s="5" t="n">
        <v>57</v>
      </c>
      <c r="E1918" s="5" t="n">
        <v>279</v>
      </c>
      <c r="F1918" t="inlineStr">
        <is>
          <t>Продажа</t>
        </is>
      </c>
      <c r="H1918">
        <f>VLOOKUP(C1918,Магазин!$A$2:$C$1000,2,0)</f>
        <v/>
      </c>
      <c r="I1918">
        <f>VLOOKUP(D1918,Товар!$A$2:$F$1000,3,0)</f>
        <v/>
      </c>
      <c r="J1918">
        <f>VLOOKUP(D1918,Товар!$A$2:$F$1000,5,0)</f>
        <v/>
      </c>
      <c r="K1918">
        <f>IF(AND(H1918="Промышленный",LEFT(I1918,18)="Порошок стиральный",F1918="Продажа",B1918=DATE(2023,6,7)),E1918*J1918/1000,0)</f>
        <v/>
      </c>
    </row>
    <row r="1919">
      <c r="A1919" t="n">
        <v>1918</v>
      </c>
      <c r="B1919" s="1" t="n">
        <v>45084</v>
      </c>
      <c r="C1919" s="5" t="inlineStr">
        <is>
          <t>M4</t>
        </is>
      </c>
      <c r="D1919" s="5" t="n">
        <v>58</v>
      </c>
      <c r="E1919" s="5" t="n">
        <v>281</v>
      </c>
      <c r="F1919" t="inlineStr">
        <is>
          <t>Продажа</t>
        </is>
      </c>
      <c r="H1919">
        <f>VLOOKUP(C1919,Магазин!$A$2:$C$1000,2,0)</f>
        <v/>
      </c>
      <c r="I1919">
        <f>VLOOKUP(D1919,Товар!$A$2:$F$1000,3,0)</f>
        <v/>
      </c>
      <c r="J1919">
        <f>VLOOKUP(D1919,Товар!$A$2:$F$1000,5,0)</f>
        <v/>
      </c>
      <c r="K1919">
        <f>IF(AND(H1919="Промышленный",LEFT(I1919,18)="Порошок стиральный",F1919="Продажа",B1919=DATE(2023,6,7)),E1919*J1919/1000,0)</f>
        <v/>
      </c>
    </row>
    <row r="1920">
      <c r="A1920" t="n">
        <v>1919</v>
      </c>
      <c r="B1920" s="1" t="n">
        <v>45084</v>
      </c>
      <c r="C1920" s="5" t="inlineStr">
        <is>
          <t>M4</t>
        </is>
      </c>
      <c r="D1920" s="5" t="n">
        <v>59</v>
      </c>
      <c r="E1920" s="5" t="n">
        <v>292</v>
      </c>
      <c r="F1920" t="inlineStr">
        <is>
          <t>Продажа</t>
        </is>
      </c>
      <c r="H1920">
        <f>VLOOKUP(C1920,Магазин!$A$2:$C$1000,2,0)</f>
        <v/>
      </c>
      <c r="I1920">
        <f>VLOOKUP(D1920,Товар!$A$2:$F$1000,3,0)</f>
        <v/>
      </c>
      <c r="J1920">
        <f>VLOOKUP(D1920,Товар!$A$2:$F$1000,5,0)</f>
        <v/>
      </c>
      <c r="K1920">
        <f>IF(AND(H1920="Промышленный",LEFT(I1920,18)="Порошок стиральный",F1920="Продажа",B1920=DATE(2023,6,7)),E1920*J1920/1000,0)</f>
        <v/>
      </c>
    </row>
    <row r="1921">
      <c r="A1921" t="n">
        <v>1920</v>
      </c>
      <c r="B1921" s="1" t="n">
        <v>45084</v>
      </c>
      <c r="C1921" s="5" t="inlineStr">
        <is>
          <t>M4</t>
        </is>
      </c>
      <c r="D1921" s="5" t="n">
        <v>60</v>
      </c>
      <c r="E1921" s="5" t="n">
        <v>203</v>
      </c>
      <c r="F1921" t="inlineStr">
        <is>
          <t>Продажа</t>
        </is>
      </c>
      <c r="H1921">
        <f>VLOOKUP(C1921,Магазин!$A$2:$C$1000,2,0)</f>
        <v/>
      </c>
      <c r="I1921">
        <f>VLOOKUP(D1921,Товар!$A$2:$F$1000,3,0)</f>
        <v/>
      </c>
      <c r="J1921">
        <f>VLOOKUP(D1921,Товар!$A$2:$F$1000,5,0)</f>
        <v/>
      </c>
      <c r="K1921">
        <f>IF(AND(H1921="Промышленный",LEFT(I1921,18)="Порошок стиральный",F1921="Продажа",B1921=DATE(2023,6,7)),E1921*J1921/1000,0)</f>
        <v/>
      </c>
    </row>
    <row r="1922">
      <c r="A1922" t="n">
        <v>1921</v>
      </c>
      <c r="B1922" s="1" t="n">
        <v>45084</v>
      </c>
      <c r="C1922" s="5" t="inlineStr">
        <is>
          <t>M7</t>
        </is>
      </c>
      <c r="D1922" s="5" t="n">
        <v>37</v>
      </c>
      <c r="E1922" s="5" t="n">
        <v>214</v>
      </c>
      <c r="F1922" t="inlineStr">
        <is>
          <t>Продажа</t>
        </is>
      </c>
      <c r="H1922">
        <f>VLOOKUP(C1922,Магазин!$A$2:$C$1000,2,0)</f>
        <v/>
      </c>
      <c r="I1922">
        <f>VLOOKUP(D1922,Товар!$A$2:$F$1000,3,0)</f>
        <v/>
      </c>
      <c r="J1922">
        <f>VLOOKUP(D1922,Товар!$A$2:$F$1000,5,0)</f>
        <v/>
      </c>
      <c r="K1922">
        <f>IF(AND(H1922="Промышленный",LEFT(I1922,18)="Порошок стиральный",F1922="Продажа",B1922=DATE(2023,6,7)),E1922*J1922/1000,0)</f>
        <v/>
      </c>
    </row>
    <row r="1923">
      <c r="A1923" t="n">
        <v>1922</v>
      </c>
      <c r="B1923" s="1" t="n">
        <v>45084</v>
      </c>
      <c r="C1923" s="5" t="inlineStr">
        <is>
          <t>M7</t>
        </is>
      </c>
      <c r="D1923" s="5" t="n">
        <v>38</v>
      </c>
      <c r="E1923" s="5" t="n">
        <v>225</v>
      </c>
      <c r="F1923" t="inlineStr">
        <is>
          <t>Продажа</t>
        </is>
      </c>
      <c r="H1923">
        <f>VLOOKUP(C1923,Магазин!$A$2:$C$1000,2,0)</f>
        <v/>
      </c>
      <c r="I1923">
        <f>VLOOKUP(D1923,Товар!$A$2:$F$1000,3,0)</f>
        <v/>
      </c>
      <c r="J1923">
        <f>VLOOKUP(D1923,Товар!$A$2:$F$1000,5,0)</f>
        <v/>
      </c>
      <c r="K1923">
        <f>IF(AND(H1923="Промышленный",LEFT(I1923,18)="Порошок стиральный",F1923="Продажа",B1923=DATE(2023,6,7)),E1923*J1923/1000,0)</f>
        <v/>
      </c>
    </row>
    <row r="1924">
      <c r="A1924" t="n">
        <v>1923</v>
      </c>
      <c r="B1924" s="1" t="n">
        <v>45084</v>
      </c>
      <c r="C1924" s="5" t="inlineStr">
        <is>
          <t>M7</t>
        </is>
      </c>
      <c r="D1924" s="5" t="n">
        <v>39</v>
      </c>
      <c r="E1924" s="5" t="n">
        <v>357</v>
      </c>
      <c r="F1924" t="inlineStr">
        <is>
          <t>Продажа</t>
        </is>
      </c>
      <c r="H1924">
        <f>VLOOKUP(C1924,Магазин!$A$2:$C$1000,2,0)</f>
        <v/>
      </c>
      <c r="I1924">
        <f>VLOOKUP(D1924,Товар!$A$2:$F$1000,3,0)</f>
        <v/>
      </c>
      <c r="J1924">
        <f>VLOOKUP(D1924,Товар!$A$2:$F$1000,5,0)</f>
        <v/>
      </c>
      <c r="K1924">
        <f>IF(AND(H1924="Промышленный",LEFT(I1924,18)="Порошок стиральный",F1924="Продажа",B1924=DATE(2023,6,7)),E1924*J1924/1000,0)</f>
        <v/>
      </c>
    </row>
    <row r="1925">
      <c r="A1925" t="n">
        <v>1924</v>
      </c>
      <c r="B1925" s="1" t="n">
        <v>45084</v>
      </c>
      <c r="C1925" s="5" t="inlineStr">
        <is>
          <t>M7</t>
        </is>
      </c>
      <c r="D1925" s="5" t="n">
        <v>40</v>
      </c>
      <c r="E1925" s="5" t="n">
        <v>355</v>
      </c>
      <c r="F1925" t="inlineStr">
        <is>
          <t>Продажа</t>
        </is>
      </c>
      <c r="H1925">
        <f>VLOOKUP(C1925,Магазин!$A$2:$C$1000,2,0)</f>
        <v/>
      </c>
      <c r="I1925">
        <f>VLOOKUP(D1925,Товар!$A$2:$F$1000,3,0)</f>
        <v/>
      </c>
      <c r="J1925">
        <f>VLOOKUP(D1925,Товар!$A$2:$F$1000,5,0)</f>
        <v/>
      </c>
      <c r="K1925">
        <f>IF(AND(H1925="Промышленный",LEFT(I1925,18)="Порошок стиральный",F1925="Продажа",B1925=DATE(2023,6,7)),E1925*J1925/1000,0)</f>
        <v/>
      </c>
    </row>
    <row r="1926">
      <c r="A1926" t="n">
        <v>1925</v>
      </c>
      <c r="B1926" s="1" t="n">
        <v>45084</v>
      </c>
      <c r="C1926" s="5" t="inlineStr">
        <is>
          <t>M7</t>
        </is>
      </c>
      <c r="D1926" s="5" t="n">
        <v>41</v>
      </c>
      <c r="E1926" s="5" t="n">
        <v>343</v>
      </c>
      <c r="F1926" t="inlineStr">
        <is>
          <t>Продажа</t>
        </is>
      </c>
      <c r="H1926">
        <f>VLOOKUP(C1926,Магазин!$A$2:$C$1000,2,0)</f>
        <v/>
      </c>
      <c r="I1926">
        <f>VLOOKUP(D1926,Товар!$A$2:$F$1000,3,0)</f>
        <v/>
      </c>
      <c r="J1926">
        <f>VLOOKUP(D1926,Товар!$A$2:$F$1000,5,0)</f>
        <v/>
      </c>
      <c r="K1926">
        <f>IF(AND(H1926="Промышленный",LEFT(I1926,18)="Порошок стиральный",F1926="Продажа",B1926=DATE(2023,6,7)),E1926*J1926/1000,0)</f>
        <v/>
      </c>
    </row>
    <row r="1927">
      <c r="A1927" t="n">
        <v>1926</v>
      </c>
      <c r="B1927" s="1" t="n">
        <v>45084</v>
      </c>
      <c r="C1927" s="5" t="inlineStr">
        <is>
          <t>M7</t>
        </is>
      </c>
      <c r="D1927" s="5" t="n">
        <v>42</v>
      </c>
      <c r="E1927" s="5" t="n">
        <v>322</v>
      </c>
      <c r="F1927" t="inlineStr">
        <is>
          <t>Продажа</t>
        </is>
      </c>
      <c r="H1927">
        <f>VLOOKUP(C1927,Магазин!$A$2:$C$1000,2,0)</f>
        <v/>
      </c>
      <c r="I1927">
        <f>VLOOKUP(D1927,Товар!$A$2:$F$1000,3,0)</f>
        <v/>
      </c>
      <c r="J1927">
        <f>VLOOKUP(D1927,Товар!$A$2:$F$1000,5,0)</f>
        <v/>
      </c>
      <c r="K1927">
        <f>IF(AND(H1927="Промышленный",LEFT(I1927,18)="Порошок стиральный",F1927="Продажа",B1927=DATE(2023,6,7)),E1927*J1927/1000,0)</f>
        <v/>
      </c>
    </row>
    <row r="1928">
      <c r="A1928" t="n">
        <v>1927</v>
      </c>
      <c r="B1928" s="1" t="n">
        <v>45084</v>
      </c>
      <c r="C1928" s="5" t="inlineStr">
        <is>
          <t>M7</t>
        </is>
      </c>
      <c r="D1928" s="5" t="n">
        <v>43</v>
      </c>
      <c r="E1928" s="5" t="n">
        <v>369</v>
      </c>
      <c r="F1928" t="inlineStr">
        <is>
          <t>Продажа</t>
        </is>
      </c>
      <c r="H1928">
        <f>VLOOKUP(C1928,Магазин!$A$2:$C$1000,2,0)</f>
        <v/>
      </c>
      <c r="I1928">
        <f>VLOOKUP(D1928,Товар!$A$2:$F$1000,3,0)</f>
        <v/>
      </c>
      <c r="J1928">
        <f>VLOOKUP(D1928,Товар!$A$2:$F$1000,5,0)</f>
        <v/>
      </c>
      <c r="K1928">
        <f>IF(AND(H1928="Промышленный",LEFT(I1928,18)="Порошок стиральный",F1928="Продажа",B1928=DATE(2023,6,7)),E1928*J1928/1000,0)</f>
        <v/>
      </c>
    </row>
    <row r="1929">
      <c r="A1929" t="n">
        <v>1928</v>
      </c>
      <c r="B1929" s="1" t="n">
        <v>45084</v>
      </c>
      <c r="C1929" s="5" t="inlineStr">
        <is>
          <t>M7</t>
        </is>
      </c>
      <c r="D1929" s="5" t="n">
        <v>44</v>
      </c>
      <c r="E1929" s="5" t="n">
        <v>399</v>
      </c>
      <c r="F1929" t="inlineStr">
        <is>
          <t>Продажа</t>
        </is>
      </c>
      <c r="H1929">
        <f>VLOOKUP(C1929,Магазин!$A$2:$C$1000,2,0)</f>
        <v/>
      </c>
      <c r="I1929">
        <f>VLOOKUP(D1929,Товар!$A$2:$F$1000,3,0)</f>
        <v/>
      </c>
      <c r="J1929">
        <f>VLOOKUP(D1929,Товар!$A$2:$F$1000,5,0)</f>
        <v/>
      </c>
      <c r="K1929">
        <f>IF(AND(H1929="Промышленный",LEFT(I1929,18)="Порошок стиральный",F1929="Продажа",B1929=DATE(2023,6,7)),E1929*J1929/1000,0)</f>
        <v/>
      </c>
    </row>
    <row r="1930">
      <c r="A1930" t="n">
        <v>1929</v>
      </c>
      <c r="B1930" s="1" t="n">
        <v>45084</v>
      </c>
      <c r="C1930" s="5" t="inlineStr">
        <is>
          <t>M7</t>
        </is>
      </c>
      <c r="D1930" s="5" t="n">
        <v>45</v>
      </c>
      <c r="E1930" s="5" t="n">
        <v>307</v>
      </c>
      <c r="F1930" t="inlineStr">
        <is>
          <t>Продажа</t>
        </is>
      </c>
      <c r="H1930">
        <f>VLOOKUP(C1930,Магазин!$A$2:$C$1000,2,0)</f>
        <v/>
      </c>
      <c r="I1930">
        <f>VLOOKUP(D1930,Товар!$A$2:$F$1000,3,0)</f>
        <v/>
      </c>
      <c r="J1930">
        <f>VLOOKUP(D1930,Товар!$A$2:$F$1000,5,0)</f>
        <v/>
      </c>
      <c r="K1930">
        <f>IF(AND(H1930="Промышленный",LEFT(I1930,18)="Порошок стиральный",F1930="Продажа",B1930=DATE(2023,6,7)),E1930*J1930/1000,0)</f>
        <v/>
      </c>
    </row>
    <row r="1931">
      <c r="A1931" t="n">
        <v>1930</v>
      </c>
      <c r="B1931" s="1" t="n">
        <v>45084</v>
      </c>
      <c r="C1931" s="5" t="inlineStr">
        <is>
          <t>M7</t>
        </is>
      </c>
      <c r="D1931" s="5" t="n">
        <v>46</v>
      </c>
      <c r="E1931" s="5" t="n">
        <v>302</v>
      </c>
      <c r="F1931" t="inlineStr">
        <is>
          <t>Продажа</t>
        </is>
      </c>
      <c r="H1931">
        <f>VLOOKUP(C1931,Магазин!$A$2:$C$1000,2,0)</f>
        <v/>
      </c>
      <c r="I1931">
        <f>VLOOKUP(D1931,Товар!$A$2:$F$1000,3,0)</f>
        <v/>
      </c>
      <c r="J1931">
        <f>VLOOKUP(D1931,Товар!$A$2:$F$1000,5,0)</f>
        <v/>
      </c>
      <c r="K1931">
        <f>IF(AND(H1931="Промышленный",LEFT(I1931,18)="Порошок стиральный",F1931="Продажа",B1931=DATE(2023,6,7)),E1931*J1931/1000,0)</f>
        <v/>
      </c>
    </row>
    <row r="1932">
      <c r="A1932" t="n">
        <v>1931</v>
      </c>
      <c r="B1932" s="1" t="n">
        <v>45084</v>
      </c>
      <c r="C1932" s="5" t="inlineStr">
        <is>
          <t>M7</t>
        </is>
      </c>
      <c r="D1932" s="5" t="n">
        <v>47</v>
      </c>
      <c r="E1932" s="5" t="n">
        <v>301</v>
      </c>
      <c r="F1932" t="inlineStr">
        <is>
          <t>Продажа</t>
        </is>
      </c>
      <c r="H1932">
        <f>VLOOKUP(C1932,Магазин!$A$2:$C$1000,2,0)</f>
        <v/>
      </c>
      <c r="I1932">
        <f>VLOOKUP(D1932,Товар!$A$2:$F$1000,3,0)</f>
        <v/>
      </c>
      <c r="J1932">
        <f>VLOOKUP(D1932,Товар!$A$2:$F$1000,5,0)</f>
        <v/>
      </c>
      <c r="K1932">
        <f>IF(AND(H1932="Промышленный",LEFT(I1932,18)="Порошок стиральный",F1932="Продажа",B1932=DATE(2023,6,7)),E1932*J1932/1000,0)</f>
        <v/>
      </c>
    </row>
    <row r="1933">
      <c r="A1933" t="n">
        <v>1932</v>
      </c>
      <c r="B1933" s="1" t="n">
        <v>45084</v>
      </c>
      <c r="C1933" s="5" t="inlineStr">
        <is>
          <t>M7</t>
        </is>
      </c>
      <c r="D1933" s="5" t="n">
        <v>48</v>
      </c>
      <c r="E1933" s="5" t="n">
        <v>357</v>
      </c>
      <c r="F1933" t="inlineStr">
        <is>
          <t>Продажа</t>
        </is>
      </c>
      <c r="H1933">
        <f>VLOOKUP(C1933,Магазин!$A$2:$C$1000,2,0)</f>
        <v/>
      </c>
      <c r="I1933">
        <f>VLOOKUP(D1933,Товар!$A$2:$F$1000,3,0)</f>
        <v/>
      </c>
      <c r="J1933">
        <f>VLOOKUP(D1933,Товар!$A$2:$F$1000,5,0)</f>
        <v/>
      </c>
      <c r="K1933">
        <f>IF(AND(H1933="Промышленный",LEFT(I1933,18)="Порошок стиральный",F1933="Продажа",B1933=DATE(2023,6,7)),E1933*J1933/1000,0)</f>
        <v/>
      </c>
    </row>
    <row r="1934">
      <c r="A1934" t="n">
        <v>1933</v>
      </c>
      <c r="B1934" s="1" t="n">
        <v>45084</v>
      </c>
      <c r="C1934" s="5" t="inlineStr">
        <is>
          <t>M7</t>
        </is>
      </c>
      <c r="D1934" s="5" t="n">
        <v>49</v>
      </c>
      <c r="E1934" s="5" t="n">
        <v>268</v>
      </c>
      <c r="F1934" t="inlineStr">
        <is>
          <t>Продажа</t>
        </is>
      </c>
      <c r="H1934">
        <f>VLOOKUP(C1934,Магазин!$A$2:$C$1000,2,0)</f>
        <v/>
      </c>
      <c r="I1934">
        <f>VLOOKUP(D1934,Товар!$A$2:$F$1000,3,0)</f>
        <v/>
      </c>
      <c r="J1934">
        <f>VLOOKUP(D1934,Товар!$A$2:$F$1000,5,0)</f>
        <v/>
      </c>
      <c r="K1934">
        <f>IF(AND(H1934="Промышленный",LEFT(I1934,18)="Порошок стиральный",F1934="Продажа",B1934=DATE(2023,6,7)),E1934*J1934/1000,0)</f>
        <v/>
      </c>
    </row>
    <row r="1935">
      <c r="A1935" t="n">
        <v>1934</v>
      </c>
      <c r="B1935" s="1" t="n">
        <v>45084</v>
      </c>
      <c r="C1935" s="5" t="inlineStr">
        <is>
          <t>M7</t>
        </is>
      </c>
      <c r="D1935" s="5" t="n">
        <v>50</v>
      </c>
      <c r="E1935" s="5" t="n">
        <v>279</v>
      </c>
      <c r="F1935" t="inlineStr">
        <is>
          <t>Продажа</t>
        </is>
      </c>
      <c r="H1935">
        <f>VLOOKUP(C1935,Магазин!$A$2:$C$1000,2,0)</f>
        <v/>
      </c>
      <c r="I1935">
        <f>VLOOKUP(D1935,Товар!$A$2:$F$1000,3,0)</f>
        <v/>
      </c>
      <c r="J1935">
        <f>VLOOKUP(D1935,Товар!$A$2:$F$1000,5,0)</f>
        <v/>
      </c>
      <c r="K1935">
        <f>IF(AND(H1935="Промышленный",LEFT(I1935,18)="Порошок стиральный",F1935="Продажа",B1935=DATE(2023,6,7)),E1935*J1935/1000,0)</f>
        <v/>
      </c>
    </row>
    <row r="1936">
      <c r="A1936" t="n">
        <v>1935</v>
      </c>
      <c r="B1936" s="1" t="n">
        <v>45084</v>
      </c>
      <c r="C1936" s="5" t="inlineStr">
        <is>
          <t>M7</t>
        </is>
      </c>
      <c r="D1936" s="5" t="n">
        <v>51</v>
      </c>
      <c r="E1936" s="5" t="n">
        <v>281</v>
      </c>
      <c r="F1936" t="inlineStr">
        <is>
          <t>Продажа</t>
        </is>
      </c>
      <c r="H1936">
        <f>VLOOKUP(C1936,Магазин!$A$2:$C$1000,2,0)</f>
        <v/>
      </c>
      <c r="I1936">
        <f>VLOOKUP(D1936,Товар!$A$2:$F$1000,3,0)</f>
        <v/>
      </c>
      <c r="J1936">
        <f>VLOOKUP(D1936,Товар!$A$2:$F$1000,5,0)</f>
        <v/>
      </c>
      <c r="K1936">
        <f>IF(AND(H1936="Промышленный",LEFT(I1936,18)="Порошок стиральный",F1936="Продажа",B1936=DATE(2023,6,7)),E1936*J1936/1000,0)</f>
        <v/>
      </c>
    </row>
    <row r="1937">
      <c r="A1937" t="n">
        <v>1936</v>
      </c>
      <c r="B1937" s="1" t="n">
        <v>45084</v>
      </c>
      <c r="C1937" s="5" t="inlineStr">
        <is>
          <t>M7</t>
        </is>
      </c>
      <c r="D1937" s="5" t="n">
        <v>52</v>
      </c>
      <c r="E1937" s="5" t="n">
        <v>292</v>
      </c>
      <c r="F1937" t="inlineStr">
        <is>
          <t>Продажа</t>
        </is>
      </c>
      <c r="H1937">
        <f>VLOOKUP(C1937,Магазин!$A$2:$C$1000,2,0)</f>
        <v/>
      </c>
      <c r="I1937">
        <f>VLOOKUP(D1937,Товар!$A$2:$F$1000,3,0)</f>
        <v/>
      </c>
      <c r="J1937">
        <f>VLOOKUP(D1937,Товар!$A$2:$F$1000,5,0)</f>
        <v/>
      </c>
      <c r="K1937">
        <f>IF(AND(H1937="Промышленный",LEFT(I1937,18)="Порошок стиральный",F1937="Продажа",B1937=DATE(2023,6,7)),E1937*J1937/1000,0)</f>
        <v/>
      </c>
    </row>
    <row r="1938">
      <c r="A1938" t="n">
        <v>1937</v>
      </c>
      <c r="B1938" s="1" t="n">
        <v>45084</v>
      </c>
      <c r="C1938" s="5" t="inlineStr">
        <is>
          <t>M7</t>
        </is>
      </c>
      <c r="D1938" s="5" t="n">
        <v>53</v>
      </c>
      <c r="E1938" s="5" t="n">
        <v>203</v>
      </c>
      <c r="F1938" t="inlineStr">
        <is>
          <t>Продажа</t>
        </is>
      </c>
      <c r="H1938">
        <f>VLOOKUP(C1938,Магазин!$A$2:$C$1000,2,0)</f>
        <v/>
      </c>
      <c r="I1938">
        <f>VLOOKUP(D1938,Товар!$A$2:$F$1000,3,0)</f>
        <v/>
      </c>
      <c r="J1938">
        <f>VLOOKUP(D1938,Товар!$A$2:$F$1000,5,0)</f>
        <v/>
      </c>
      <c r="K1938">
        <f>IF(AND(H1938="Промышленный",LEFT(I1938,18)="Порошок стиральный",F1938="Продажа",B1938=DATE(2023,6,7)),E1938*J1938/1000,0)</f>
        <v/>
      </c>
    </row>
    <row r="1939">
      <c r="A1939" t="n">
        <v>1938</v>
      </c>
      <c r="B1939" s="1" t="n">
        <v>45084</v>
      </c>
      <c r="C1939" s="5" t="inlineStr">
        <is>
          <t>M7</t>
        </is>
      </c>
      <c r="D1939" s="5" t="n">
        <v>54</v>
      </c>
      <c r="E1939" s="5" t="n">
        <v>214</v>
      </c>
      <c r="F1939" t="inlineStr">
        <is>
          <t>Продажа</t>
        </is>
      </c>
      <c r="H1939">
        <f>VLOOKUP(C1939,Магазин!$A$2:$C$1000,2,0)</f>
        <v/>
      </c>
      <c r="I1939">
        <f>VLOOKUP(D1939,Товар!$A$2:$F$1000,3,0)</f>
        <v/>
      </c>
      <c r="J1939">
        <f>VLOOKUP(D1939,Товар!$A$2:$F$1000,5,0)</f>
        <v/>
      </c>
      <c r="K1939">
        <f>IF(AND(H1939="Промышленный",LEFT(I1939,18)="Порошок стиральный",F1939="Продажа",B1939=DATE(2023,6,7)),E1939*J1939/1000,0)</f>
        <v/>
      </c>
    </row>
    <row r="1940">
      <c r="A1940" t="n">
        <v>1939</v>
      </c>
      <c r="B1940" s="1" t="n">
        <v>45084</v>
      </c>
      <c r="C1940" s="5" t="inlineStr">
        <is>
          <t>M7</t>
        </is>
      </c>
      <c r="D1940" s="5" t="n">
        <v>55</v>
      </c>
      <c r="E1940" s="5" t="n">
        <v>225</v>
      </c>
      <c r="F1940" t="inlineStr">
        <is>
          <t>Продажа</t>
        </is>
      </c>
      <c r="H1940">
        <f>VLOOKUP(C1940,Магазин!$A$2:$C$1000,2,0)</f>
        <v/>
      </c>
      <c r="I1940">
        <f>VLOOKUP(D1940,Товар!$A$2:$F$1000,3,0)</f>
        <v/>
      </c>
      <c r="J1940">
        <f>VLOOKUP(D1940,Товар!$A$2:$F$1000,5,0)</f>
        <v/>
      </c>
      <c r="K1940">
        <f>IF(AND(H1940="Промышленный",LEFT(I1940,18)="Порошок стиральный",F1940="Продажа",B1940=DATE(2023,6,7)),E1940*J1940/1000,0)</f>
        <v/>
      </c>
    </row>
    <row r="1941">
      <c r="A1941" t="n">
        <v>1940</v>
      </c>
      <c r="B1941" s="1" t="n">
        <v>45084</v>
      </c>
      <c r="C1941" s="5" t="inlineStr">
        <is>
          <t>M7</t>
        </is>
      </c>
      <c r="D1941" s="5" t="n">
        <v>56</v>
      </c>
      <c r="E1941" s="5" t="n">
        <v>357</v>
      </c>
      <c r="F1941" t="inlineStr">
        <is>
          <t>Продажа</t>
        </is>
      </c>
      <c r="H1941">
        <f>VLOOKUP(C1941,Магазин!$A$2:$C$1000,2,0)</f>
        <v/>
      </c>
      <c r="I1941">
        <f>VLOOKUP(D1941,Товар!$A$2:$F$1000,3,0)</f>
        <v/>
      </c>
      <c r="J1941">
        <f>VLOOKUP(D1941,Товар!$A$2:$F$1000,5,0)</f>
        <v/>
      </c>
      <c r="K1941">
        <f>IF(AND(H1941="Промышленный",LEFT(I1941,18)="Порошок стиральный",F1941="Продажа",B1941=DATE(2023,6,7)),E1941*J1941/1000,0)</f>
        <v/>
      </c>
    </row>
    <row r="1942">
      <c r="A1942" t="n">
        <v>1941</v>
      </c>
      <c r="B1942" s="1" t="n">
        <v>45084</v>
      </c>
      <c r="C1942" s="5" t="inlineStr">
        <is>
          <t>M7</t>
        </is>
      </c>
      <c r="D1942" s="5" t="n">
        <v>57</v>
      </c>
      <c r="E1942" s="5" t="n">
        <v>355</v>
      </c>
      <c r="F1942" t="inlineStr">
        <is>
          <t>Продажа</t>
        </is>
      </c>
      <c r="H1942">
        <f>VLOOKUP(C1942,Магазин!$A$2:$C$1000,2,0)</f>
        <v/>
      </c>
      <c r="I1942">
        <f>VLOOKUP(D1942,Товар!$A$2:$F$1000,3,0)</f>
        <v/>
      </c>
      <c r="J1942">
        <f>VLOOKUP(D1942,Товар!$A$2:$F$1000,5,0)</f>
        <v/>
      </c>
      <c r="K1942">
        <f>IF(AND(H1942="Промышленный",LEFT(I1942,18)="Порошок стиральный",F1942="Продажа",B1942=DATE(2023,6,7)),E1942*J1942/1000,0)</f>
        <v/>
      </c>
    </row>
    <row r="1943">
      <c r="A1943" t="n">
        <v>1942</v>
      </c>
      <c r="B1943" s="1" t="n">
        <v>45084</v>
      </c>
      <c r="C1943" s="5" t="inlineStr">
        <is>
          <t>M7</t>
        </is>
      </c>
      <c r="D1943" s="5" t="n">
        <v>58</v>
      </c>
      <c r="E1943" s="5" t="n">
        <v>343</v>
      </c>
      <c r="F1943" t="inlineStr">
        <is>
          <t>Продажа</t>
        </is>
      </c>
      <c r="H1943">
        <f>VLOOKUP(C1943,Магазин!$A$2:$C$1000,2,0)</f>
        <v/>
      </c>
      <c r="I1943">
        <f>VLOOKUP(D1943,Товар!$A$2:$F$1000,3,0)</f>
        <v/>
      </c>
      <c r="J1943">
        <f>VLOOKUP(D1943,Товар!$A$2:$F$1000,5,0)</f>
        <v/>
      </c>
      <c r="K1943">
        <f>IF(AND(H1943="Промышленный",LEFT(I1943,18)="Порошок стиральный",F1943="Продажа",B1943=DATE(2023,6,7)),E1943*J1943/1000,0)</f>
        <v/>
      </c>
    </row>
    <row r="1944">
      <c r="A1944" t="n">
        <v>1943</v>
      </c>
      <c r="B1944" s="1" t="n">
        <v>45084</v>
      </c>
      <c r="C1944" s="5" t="inlineStr">
        <is>
          <t>M7</t>
        </is>
      </c>
      <c r="D1944" s="5" t="n">
        <v>59</v>
      </c>
      <c r="E1944" s="5" t="n">
        <v>322</v>
      </c>
      <c r="F1944" t="inlineStr">
        <is>
          <t>Продажа</t>
        </is>
      </c>
      <c r="H1944">
        <f>VLOOKUP(C1944,Магазин!$A$2:$C$1000,2,0)</f>
        <v/>
      </c>
      <c r="I1944">
        <f>VLOOKUP(D1944,Товар!$A$2:$F$1000,3,0)</f>
        <v/>
      </c>
      <c r="J1944">
        <f>VLOOKUP(D1944,Товар!$A$2:$F$1000,5,0)</f>
        <v/>
      </c>
      <c r="K1944">
        <f>IF(AND(H1944="Промышленный",LEFT(I1944,18)="Порошок стиральный",F1944="Продажа",B1944=DATE(2023,6,7)),E1944*J1944/1000,0)</f>
        <v/>
      </c>
    </row>
    <row r="1945">
      <c r="A1945" t="n">
        <v>1944</v>
      </c>
      <c r="B1945" s="1" t="n">
        <v>45084</v>
      </c>
      <c r="C1945" s="5" t="inlineStr">
        <is>
          <t>M7</t>
        </is>
      </c>
      <c r="D1945" s="5" t="n">
        <v>60</v>
      </c>
      <c r="E1945" s="5" t="n">
        <v>369</v>
      </c>
      <c r="F1945" t="inlineStr">
        <is>
          <t>Продажа</t>
        </is>
      </c>
      <c r="H1945">
        <f>VLOOKUP(C1945,Магазин!$A$2:$C$1000,2,0)</f>
        <v/>
      </c>
      <c r="I1945">
        <f>VLOOKUP(D1945,Товар!$A$2:$F$1000,3,0)</f>
        <v/>
      </c>
      <c r="J1945">
        <f>VLOOKUP(D1945,Товар!$A$2:$F$1000,5,0)</f>
        <v/>
      </c>
      <c r="K1945">
        <f>IF(AND(H1945="Промышленный",LEFT(I1945,18)="Порошок стиральный",F1945="Продажа",B1945=DATE(2023,6,7)),E1945*J1945/1000,0)</f>
        <v/>
      </c>
    </row>
    <row r="1946">
      <c r="A1946" t="n">
        <v>1945</v>
      </c>
      <c r="B1946" s="1" t="n">
        <v>45084</v>
      </c>
      <c r="C1946" s="5" t="inlineStr">
        <is>
          <t>M8</t>
        </is>
      </c>
      <c r="D1946" s="5" t="n">
        <v>37</v>
      </c>
      <c r="E1946" s="5" t="n">
        <v>399</v>
      </c>
      <c r="F1946" t="inlineStr">
        <is>
          <t>Продажа</t>
        </is>
      </c>
      <c r="H1946">
        <f>VLOOKUP(C1946,Магазин!$A$2:$C$1000,2,0)</f>
        <v/>
      </c>
      <c r="I1946">
        <f>VLOOKUP(D1946,Товар!$A$2:$F$1000,3,0)</f>
        <v/>
      </c>
      <c r="J1946">
        <f>VLOOKUP(D1946,Товар!$A$2:$F$1000,5,0)</f>
        <v/>
      </c>
      <c r="K1946">
        <f>IF(AND(H1946="Промышленный",LEFT(I1946,18)="Порошок стиральный",F1946="Продажа",B1946=DATE(2023,6,7)),E1946*J1946/1000,0)</f>
        <v/>
      </c>
    </row>
    <row r="1947">
      <c r="A1947" t="n">
        <v>1946</v>
      </c>
      <c r="B1947" s="1" t="n">
        <v>45084</v>
      </c>
      <c r="C1947" s="5" t="inlineStr">
        <is>
          <t>M8</t>
        </is>
      </c>
      <c r="D1947" s="5" t="n">
        <v>38</v>
      </c>
      <c r="E1947" s="5" t="n">
        <v>307</v>
      </c>
      <c r="F1947" t="inlineStr">
        <is>
          <t>Продажа</t>
        </is>
      </c>
      <c r="H1947">
        <f>VLOOKUP(C1947,Магазин!$A$2:$C$1000,2,0)</f>
        <v/>
      </c>
      <c r="I1947">
        <f>VLOOKUP(D1947,Товар!$A$2:$F$1000,3,0)</f>
        <v/>
      </c>
      <c r="J1947">
        <f>VLOOKUP(D1947,Товар!$A$2:$F$1000,5,0)</f>
        <v/>
      </c>
      <c r="K1947">
        <f>IF(AND(H1947="Промышленный",LEFT(I1947,18)="Порошок стиральный",F1947="Продажа",B1947=DATE(2023,6,7)),E1947*J1947/1000,0)</f>
        <v/>
      </c>
    </row>
    <row r="1948">
      <c r="A1948" t="n">
        <v>1947</v>
      </c>
      <c r="B1948" s="1" t="n">
        <v>45084</v>
      </c>
      <c r="C1948" s="5" t="inlineStr">
        <is>
          <t>M8</t>
        </is>
      </c>
      <c r="D1948" s="5" t="n">
        <v>39</v>
      </c>
      <c r="E1948" s="5" t="n">
        <v>302</v>
      </c>
      <c r="F1948" t="inlineStr">
        <is>
          <t>Продажа</t>
        </is>
      </c>
      <c r="H1948">
        <f>VLOOKUP(C1948,Магазин!$A$2:$C$1000,2,0)</f>
        <v/>
      </c>
      <c r="I1948">
        <f>VLOOKUP(D1948,Товар!$A$2:$F$1000,3,0)</f>
        <v/>
      </c>
      <c r="J1948">
        <f>VLOOKUP(D1948,Товар!$A$2:$F$1000,5,0)</f>
        <v/>
      </c>
      <c r="K1948">
        <f>IF(AND(H1948="Промышленный",LEFT(I1948,18)="Порошок стиральный",F1948="Продажа",B1948=DATE(2023,6,7)),E1948*J1948/1000,0)</f>
        <v/>
      </c>
    </row>
    <row r="1949">
      <c r="A1949" t="n">
        <v>1948</v>
      </c>
      <c r="B1949" s="1" t="n">
        <v>45084</v>
      </c>
      <c r="C1949" s="5" t="inlineStr">
        <is>
          <t>M8</t>
        </is>
      </c>
      <c r="D1949" s="5" t="n">
        <v>40</v>
      </c>
      <c r="E1949" s="5" t="n">
        <v>301</v>
      </c>
      <c r="F1949" t="inlineStr">
        <is>
          <t>Продажа</t>
        </is>
      </c>
      <c r="H1949">
        <f>VLOOKUP(C1949,Магазин!$A$2:$C$1000,2,0)</f>
        <v/>
      </c>
      <c r="I1949">
        <f>VLOOKUP(D1949,Товар!$A$2:$F$1000,3,0)</f>
        <v/>
      </c>
      <c r="J1949">
        <f>VLOOKUP(D1949,Товар!$A$2:$F$1000,5,0)</f>
        <v/>
      </c>
      <c r="K1949">
        <f>IF(AND(H1949="Промышленный",LEFT(I1949,18)="Порошок стиральный",F1949="Продажа",B1949=DATE(2023,6,7)),E1949*J1949/1000,0)</f>
        <v/>
      </c>
    </row>
    <row r="1950">
      <c r="A1950" t="n">
        <v>1949</v>
      </c>
      <c r="B1950" s="1" t="n">
        <v>45084</v>
      </c>
      <c r="C1950" s="5" t="inlineStr">
        <is>
          <t>M8</t>
        </is>
      </c>
      <c r="D1950" s="5" t="n">
        <v>41</v>
      </c>
      <c r="E1950" s="5" t="n">
        <v>357</v>
      </c>
      <c r="F1950" t="inlineStr">
        <is>
          <t>Продажа</t>
        </is>
      </c>
      <c r="H1950">
        <f>VLOOKUP(C1950,Магазин!$A$2:$C$1000,2,0)</f>
        <v/>
      </c>
      <c r="I1950">
        <f>VLOOKUP(D1950,Товар!$A$2:$F$1000,3,0)</f>
        <v/>
      </c>
      <c r="J1950">
        <f>VLOOKUP(D1950,Товар!$A$2:$F$1000,5,0)</f>
        <v/>
      </c>
      <c r="K1950">
        <f>IF(AND(H1950="Промышленный",LEFT(I1950,18)="Порошок стиральный",F1950="Продажа",B1950=DATE(2023,6,7)),E1950*J1950/1000,0)</f>
        <v/>
      </c>
    </row>
    <row r="1951">
      <c r="A1951" t="n">
        <v>1950</v>
      </c>
      <c r="B1951" s="1" t="n">
        <v>45084</v>
      </c>
      <c r="C1951" s="5" t="inlineStr">
        <is>
          <t>M8</t>
        </is>
      </c>
      <c r="D1951" s="5" t="n">
        <v>42</v>
      </c>
      <c r="E1951" s="5" t="n">
        <v>268</v>
      </c>
      <c r="F1951" t="inlineStr">
        <is>
          <t>Продажа</t>
        </is>
      </c>
      <c r="H1951">
        <f>VLOOKUP(C1951,Магазин!$A$2:$C$1000,2,0)</f>
        <v/>
      </c>
      <c r="I1951">
        <f>VLOOKUP(D1951,Товар!$A$2:$F$1000,3,0)</f>
        <v/>
      </c>
      <c r="J1951">
        <f>VLOOKUP(D1951,Товар!$A$2:$F$1000,5,0)</f>
        <v/>
      </c>
      <c r="K1951">
        <f>IF(AND(H1951="Промышленный",LEFT(I1951,18)="Порошок стиральный",F1951="Продажа",B1951=DATE(2023,6,7)),E1951*J1951/1000,0)</f>
        <v/>
      </c>
    </row>
    <row r="1952">
      <c r="A1952" t="n">
        <v>1951</v>
      </c>
      <c r="B1952" s="1" t="n">
        <v>45084</v>
      </c>
      <c r="C1952" s="5" t="inlineStr">
        <is>
          <t>M8</t>
        </is>
      </c>
      <c r="D1952" s="5" t="n">
        <v>43</v>
      </c>
      <c r="E1952" s="5" t="n">
        <v>279</v>
      </c>
      <c r="F1952" t="inlineStr">
        <is>
          <t>Продажа</t>
        </is>
      </c>
      <c r="H1952">
        <f>VLOOKUP(C1952,Магазин!$A$2:$C$1000,2,0)</f>
        <v/>
      </c>
      <c r="I1952">
        <f>VLOOKUP(D1952,Товар!$A$2:$F$1000,3,0)</f>
        <v/>
      </c>
      <c r="J1952">
        <f>VLOOKUP(D1952,Товар!$A$2:$F$1000,5,0)</f>
        <v/>
      </c>
      <c r="K1952">
        <f>IF(AND(H1952="Промышленный",LEFT(I1952,18)="Порошок стиральный",F1952="Продажа",B1952=DATE(2023,6,7)),E1952*J1952/1000,0)</f>
        <v/>
      </c>
    </row>
    <row r="1953">
      <c r="A1953" t="n">
        <v>1952</v>
      </c>
      <c r="B1953" s="1" t="n">
        <v>45084</v>
      </c>
      <c r="C1953" s="5" t="inlineStr">
        <is>
          <t>M8</t>
        </is>
      </c>
      <c r="D1953" s="5" t="n">
        <v>44</v>
      </c>
      <c r="E1953" s="5" t="n">
        <v>281</v>
      </c>
      <c r="F1953" t="inlineStr">
        <is>
          <t>Продажа</t>
        </is>
      </c>
      <c r="H1953">
        <f>VLOOKUP(C1953,Магазин!$A$2:$C$1000,2,0)</f>
        <v/>
      </c>
      <c r="I1953">
        <f>VLOOKUP(D1953,Товар!$A$2:$F$1000,3,0)</f>
        <v/>
      </c>
      <c r="J1953">
        <f>VLOOKUP(D1953,Товар!$A$2:$F$1000,5,0)</f>
        <v/>
      </c>
      <c r="K1953">
        <f>IF(AND(H1953="Промышленный",LEFT(I1953,18)="Порошок стиральный",F1953="Продажа",B1953=DATE(2023,6,7)),E1953*J1953/1000,0)</f>
        <v/>
      </c>
    </row>
    <row r="1954">
      <c r="A1954" t="n">
        <v>1953</v>
      </c>
      <c r="B1954" s="1" t="n">
        <v>45084</v>
      </c>
      <c r="C1954" s="5" t="inlineStr">
        <is>
          <t>M8</t>
        </is>
      </c>
      <c r="D1954" s="5" t="n">
        <v>45</v>
      </c>
      <c r="E1954" s="5" t="n">
        <v>292</v>
      </c>
      <c r="F1954" t="inlineStr">
        <is>
          <t>Продажа</t>
        </is>
      </c>
      <c r="H1954">
        <f>VLOOKUP(C1954,Магазин!$A$2:$C$1000,2,0)</f>
        <v/>
      </c>
      <c r="I1954">
        <f>VLOOKUP(D1954,Товар!$A$2:$F$1000,3,0)</f>
        <v/>
      </c>
      <c r="J1954">
        <f>VLOOKUP(D1954,Товар!$A$2:$F$1000,5,0)</f>
        <v/>
      </c>
      <c r="K1954">
        <f>IF(AND(H1954="Промышленный",LEFT(I1954,18)="Порошок стиральный",F1954="Продажа",B1954=DATE(2023,6,7)),E1954*J1954/1000,0)</f>
        <v/>
      </c>
    </row>
    <row r="1955">
      <c r="A1955" t="n">
        <v>1954</v>
      </c>
      <c r="B1955" s="1" t="n">
        <v>45084</v>
      </c>
      <c r="C1955" s="5" t="inlineStr">
        <is>
          <t>M8</t>
        </is>
      </c>
      <c r="D1955" s="5" t="n">
        <v>46</v>
      </c>
      <c r="E1955" s="5" t="n">
        <v>203</v>
      </c>
      <c r="F1955" t="inlineStr">
        <is>
          <t>Продажа</t>
        </is>
      </c>
      <c r="H1955">
        <f>VLOOKUP(C1955,Магазин!$A$2:$C$1000,2,0)</f>
        <v/>
      </c>
      <c r="I1955">
        <f>VLOOKUP(D1955,Товар!$A$2:$F$1000,3,0)</f>
        <v/>
      </c>
      <c r="J1955">
        <f>VLOOKUP(D1955,Товар!$A$2:$F$1000,5,0)</f>
        <v/>
      </c>
      <c r="K1955">
        <f>IF(AND(H1955="Промышленный",LEFT(I1955,18)="Порошок стиральный",F1955="Продажа",B1955=DATE(2023,6,7)),E1955*J1955/1000,0)</f>
        <v/>
      </c>
    </row>
    <row r="1956">
      <c r="A1956" t="n">
        <v>1955</v>
      </c>
      <c r="B1956" s="1" t="n">
        <v>45084</v>
      </c>
      <c r="C1956" s="5" t="inlineStr">
        <is>
          <t>M8</t>
        </is>
      </c>
      <c r="D1956" s="5" t="n">
        <v>47</v>
      </c>
      <c r="E1956" s="5" t="n">
        <v>214</v>
      </c>
      <c r="F1956" t="inlineStr">
        <is>
          <t>Продажа</t>
        </is>
      </c>
      <c r="H1956">
        <f>VLOOKUP(C1956,Магазин!$A$2:$C$1000,2,0)</f>
        <v/>
      </c>
      <c r="I1956">
        <f>VLOOKUP(D1956,Товар!$A$2:$F$1000,3,0)</f>
        <v/>
      </c>
      <c r="J1956">
        <f>VLOOKUP(D1956,Товар!$A$2:$F$1000,5,0)</f>
        <v/>
      </c>
      <c r="K1956">
        <f>IF(AND(H1956="Промышленный",LEFT(I1956,18)="Порошок стиральный",F1956="Продажа",B1956=DATE(2023,6,7)),E1956*J1956/1000,0)</f>
        <v/>
      </c>
    </row>
    <row r="1957">
      <c r="A1957" t="n">
        <v>1956</v>
      </c>
      <c r="B1957" s="1" t="n">
        <v>45084</v>
      </c>
      <c r="C1957" s="5" t="inlineStr">
        <is>
          <t>M8</t>
        </is>
      </c>
      <c r="D1957" s="5" t="n">
        <v>48</v>
      </c>
      <c r="E1957" s="5" t="n">
        <v>225</v>
      </c>
      <c r="F1957" t="inlineStr">
        <is>
          <t>Продажа</t>
        </is>
      </c>
      <c r="H1957">
        <f>VLOOKUP(C1957,Магазин!$A$2:$C$1000,2,0)</f>
        <v/>
      </c>
      <c r="I1957">
        <f>VLOOKUP(D1957,Товар!$A$2:$F$1000,3,0)</f>
        <v/>
      </c>
      <c r="J1957">
        <f>VLOOKUP(D1957,Товар!$A$2:$F$1000,5,0)</f>
        <v/>
      </c>
      <c r="K1957">
        <f>IF(AND(H1957="Промышленный",LEFT(I1957,18)="Порошок стиральный",F1957="Продажа",B1957=DATE(2023,6,7)),E1957*J1957/1000,0)</f>
        <v/>
      </c>
    </row>
    <row r="1958">
      <c r="A1958" t="n">
        <v>1957</v>
      </c>
      <c r="B1958" s="1" t="n">
        <v>45084</v>
      </c>
      <c r="C1958" s="5" t="inlineStr">
        <is>
          <t>M8</t>
        </is>
      </c>
      <c r="D1958" s="5" t="n">
        <v>49</v>
      </c>
      <c r="E1958" s="5" t="n">
        <v>357</v>
      </c>
      <c r="F1958" t="inlineStr">
        <is>
          <t>Продажа</t>
        </is>
      </c>
      <c r="H1958">
        <f>VLOOKUP(C1958,Магазин!$A$2:$C$1000,2,0)</f>
        <v/>
      </c>
      <c r="I1958">
        <f>VLOOKUP(D1958,Товар!$A$2:$F$1000,3,0)</f>
        <v/>
      </c>
      <c r="J1958">
        <f>VLOOKUP(D1958,Товар!$A$2:$F$1000,5,0)</f>
        <v/>
      </c>
      <c r="K1958">
        <f>IF(AND(H1958="Промышленный",LEFT(I1958,18)="Порошок стиральный",F1958="Продажа",B1958=DATE(2023,6,7)),E1958*J1958/1000,0)</f>
        <v/>
      </c>
    </row>
    <row r="1959">
      <c r="A1959" t="n">
        <v>1958</v>
      </c>
      <c r="B1959" s="1" t="n">
        <v>45084</v>
      </c>
      <c r="C1959" s="5" t="inlineStr">
        <is>
          <t>M8</t>
        </is>
      </c>
      <c r="D1959" s="5" t="n">
        <v>50</v>
      </c>
      <c r="E1959" s="5" t="n">
        <v>355</v>
      </c>
      <c r="F1959" t="inlineStr">
        <is>
          <t>Продажа</t>
        </is>
      </c>
      <c r="H1959">
        <f>VLOOKUP(C1959,Магазин!$A$2:$C$1000,2,0)</f>
        <v/>
      </c>
      <c r="I1959">
        <f>VLOOKUP(D1959,Товар!$A$2:$F$1000,3,0)</f>
        <v/>
      </c>
      <c r="J1959">
        <f>VLOOKUP(D1959,Товар!$A$2:$F$1000,5,0)</f>
        <v/>
      </c>
      <c r="K1959">
        <f>IF(AND(H1959="Промышленный",LEFT(I1959,18)="Порошок стиральный",F1959="Продажа",B1959=DATE(2023,6,7)),E1959*J1959/1000,0)</f>
        <v/>
      </c>
    </row>
    <row r="1960">
      <c r="A1960" t="n">
        <v>1959</v>
      </c>
      <c r="B1960" s="1" t="n">
        <v>45084</v>
      </c>
      <c r="C1960" s="5" t="inlineStr">
        <is>
          <t>M8</t>
        </is>
      </c>
      <c r="D1960" s="5" t="n">
        <v>51</v>
      </c>
      <c r="E1960" s="5" t="n">
        <v>343</v>
      </c>
      <c r="F1960" t="inlineStr">
        <is>
          <t>Продажа</t>
        </is>
      </c>
      <c r="H1960">
        <f>VLOOKUP(C1960,Магазин!$A$2:$C$1000,2,0)</f>
        <v/>
      </c>
      <c r="I1960">
        <f>VLOOKUP(D1960,Товар!$A$2:$F$1000,3,0)</f>
        <v/>
      </c>
      <c r="J1960">
        <f>VLOOKUP(D1960,Товар!$A$2:$F$1000,5,0)</f>
        <v/>
      </c>
      <c r="K1960">
        <f>IF(AND(H1960="Промышленный",LEFT(I1960,18)="Порошок стиральный",F1960="Продажа",B1960=DATE(2023,6,7)),E1960*J1960/1000,0)</f>
        <v/>
      </c>
    </row>
    <row r="1961">
      <c r="A1961" t="n">
        <v>1960</v>
      </c>
      <c r="B1961" s="1" t="n">
        <v>45084</v>
      </c>
      <c r="C1961" s="5" t="inlineStr">
        <is>
          <t>M8</t>
        </is>
      </c>
      <c r="D1961" s="5" t="n">
        <v>52</v>
      </c>
      <c r="E1961" s="5" t="n">
        <v>322</v>
      </c>
      <c r="F1961" t="inlineStr">
        <is>
          <t>Продажа</t>
        </is>
      </c>
      <c r="H1961">
        <f>VLOOKUP(C1961,Магазин!$A$2:$C$1000,2,0)</f>
        <v/>
      </c>
      <c r="I1961">
        <f>VLOOKUP(D1961,Товар!$A$2:$F$1000,3,0)</f>
        <v/>
      </c>
      <c r="J1961">
        <f>VLOOKUP(D1961,Товар!$A$2:$F$1000,5,0)</f>
        <v/>
      </c>
      <c r="K1961">
        <f>IF(AND(H1961="Промышленный",LEFT(I1961,18)="Порошок стиральный",F1961="Продажа",B1961=DATE(2023,6,7)),E1961*J1961/1000,0)</f>
        <v/>
      </c>
    </row>
    <row r="1962">
      <c r="A1962" t="n">
        <v>1961</v>
      </c>
      <c r="B1962" s="1" t="n">
        <v>45084</v>
      </c>
      <c r="C1962" s="5" t="inlineStr">
        <is>
          <t>M8</t>
        </is>
      </c>
      <c r="D1962" s="5" t="n">
        <v>53</v>
      </c>
      <c r="E1962" s="5" t="n">
        <v>369</v>
      </c>
      <c r="F1962" t="inlineStr">
        <is>
          <t>Продажа</t>
        </is>
      </c>
      <c r="H1962">
        <f>VLOOKUP(C1962,Магазин!$A$2:$C$1000,2,0)</f>
        <v/>
      </c>
      <c r="I1962">
        <f>VLOOKUP(D1962,Товар!$A$2:$F$1000,3,0)</f>
        <v/>
      </c>
      <c r="J1962">
        <f>VLOOKUP(D1962,Товар!$A$2:$F$1000,5,0)</f>
        <v/>
      </c>
      <c r="K1962">
        <f>IF(AND(H1962="Промышленный",LEFT(I1962,18)="Порошок стиральный",F1962="Продажа",B1962=DATE(2023,6,7)),E1962*J1962/1000,0)</f>
        <v/>
      </c>
    </row>
    <row r="1963">
      <c r="A1963" t="n">
        <v>1962</v>
      </c>
      <c r="B1963" s="1" t="n">
        <v>45084</v>
      </c>
      <c r="C1963" s="5" t="inlineStr">
        <is>
          <t>M8</t>
        </is>
      </c>
      <c r="D1963" s="5" t="n">
        <v>54</v>
      </c>
      <c r="E1963" s="5" t="n">
        <v>399</v>
      </c>
      <c r="F1963" t="inlineStr">
        <is>
          <t>Продажа</t>
        </is>
      </c>
      <c r="H1963">
        <f>VLOOKUP(C1963,Магазин!$A$2:$C$1000,2,0)</f>
        <v/>
      </c>
      <c r="I1963">
        <f>VLOOKUP(D1963,Товар!$A$2:$F$1000,3,0)</f>
        <v/>
      </c>
      <c r="J1963">
        <f>VLOOKUP(D1963,Товар!$A$2:$F$1000,5,0)</f>
        <v/>
      </c>
      <c r="K1963">
        <f>IF(AND(H1963="Промышленный",LEFT(I1963,18)="Порошок стиральный",F1963="Продажа",B1963=DATE(2023,6,7)),E1963*J1963/1000,0)</f>
        <v/>
      </c>
    </row>
    <row r="1964">
      <c r="A1964" t="n">
        <v>1963</v>
      </c>
      <c r="B1964" s="1" t="n">
        <v>45084</v>
      </c>
      <c r="C1964" s="5" t="inlineStr">
        <is>
          <t>M8</t>
        </is>
      </c>
      <c r="D1964" s="5" t="n">
        <v>55</v>
      </c>
      <c r="E1964" s="5" t="n">
        <v>307</v>
      </c>
      <c r="F1964" t="inlineStr">
        <is>
          <t>Продажа</t>
        </is>
      </c>
      <c r="H1964">
        <f>VLOOKUP(C1964,Магазин!$A$2:$C$1000,2,0)</f>
        <v/>
      </c>
      <c r="I1964">
        <f>VLOOKUP(D1964,Товар!$A$2:$F$1000,3,0)</f>
        <v/>
      </c>
      <c r="J1964">
        <f>VLOOKUP(D1964,Товар!$A$2:$F$1000,5,0)</f>
        <v/>
      </c>
      <c r="K1964">
        <f>IF(AND(H1964="Промышленный",LEFT(I1964,18)="Порошок стиральный",F1964="Продажа",B1964=DATE(2023,6,7)),E1964*J1964/1000,0)</f>
        <v/>
      </c>
    </row>
    <row r="1965">
      <c r="A1965" t="n">
        <v>1964</v>
      </c>
      <c r="B1965" s="1" t="n">
        <v>45084</v>
      </c>
      <c r="C1965" s="5" t="inlineStr">
        <is>
          <t>M8</t>
        </is>
      </c>
      <c r="D1965" s="5" t="n">
        <v>56</v>
      </c>
      <c r="E1965" s="5" t="n">
        <v>302</v>
      </c>
      <c r="F1965" t="inlineStr">
        <is>
          <t>Продажа</t>
        </is>
      </c>
      <c r="H1965">
        <f>VLOOKUP(C1965,Магазин!$A$2:$C$1000,2,0)</f>
        <v/>
      </c>
      <c r="I1965">
        <f>VLOOKUP(D1965,Товар!$A$2:$F$1000,3,0)</f>
        <v/>
      </c>
      <c r="J1965">
        <f>VLOOKUP(D1965,Товар!$A$2:$F$1000,5,0)</f>
        <v/>
      </c>
      <c r="K1965">
        <f>IF(AND(H1965="Промышленный",LEFT(I1965,18)="Порошок стиральный",F1965="Продажа",B1965=DATE(2023,6,7)),E1965*J1965/1000,0)</f>
        <v/>
      </c>
    </row>
    <row r="1966">
      <c r="A1966" t="n">
        <v>1965</v>
      </c>
      <c r="B1966" s="1" t="n">
        <v>45084</v>
      </c>
      <c r="C1966" s="5" t="inlineStr">
        <is>
          <t>M8</t>
        </is>
      </c>
      <c r="D1966" s="5" t="n">
        <v>57</v>
      </c>
      <c r="E1966" s="5" t="n">
        <v>301</v>
      </c>
      <c r="F1966" t="inlineStr">
        <is>
          <t>Продажа</t>
        </is>
      </c>
      <c r="H1966">
        <f>VLOOKUP(C1966,Магазин!$A$2:$C$1000,2,0)</f>
        <v/>
      </c>
      <c r="I1966">
        <f>VLOOKUP(D1966,Товар!$A$2:$F$1000,3,0)</f>
        <v/>
      </c>
      <c r="J1966">
        <f>VLOOKUP(D1966,Товар!$A$2:$F$1000,5,0)</f>
        <v/>
      </c>
      <c r="K1966">
        <f>IF(AND(H1966="Промышленный",LEFT(I1966,18)="Порошок стиральный",F1966="Продажа",B1966=DATE(2023,6,7)),E1966*J1966/1000,0)</f>
        <v/>
      </c>
    </row>
    <row r="1967">
      <c r="A1967" t="n">
        <v>1966</v>
      </c>
      <c r="B1967" s="1" t="n">
        <v>45084</v>
      </c>
      <c r="C1967" s="5" t="inlineStr">
        <is>
          <t>M8</t>
        </is>
      </c>
      <c r="D1967" s="5" t="n">
        <v>58</v>
      </c>
      <c r="E1967" s="5" t="n">
        <v>357</v>
      </c>
      <c r="F1967" t="inlineStr">
        <is>
          <t>Продажа</t>
        </is>
      </c>
      <c r="H1967">
        <f>VLOOKUP(C1967,Магазин!$A$2:$C$1000,2,0)</f>
        <v/>
      </c>
      <c r="I1967">
        <f>VLOOKUP(D1967,Товар!$A$2:$F$1000,3,0)</f>
        <v/>
      </c>
      <c r="J1967">
        <f>VLOOKUP(D1967,Товар!$A$2:$F$1000,5,0)</f>
        <v/>
      </c>
      <c r="K1967">
        <f>IF(AND(H1967="Промышленный",LEFT(I1967,18)="Порошок стиральный",F1967="Продажа",B1967=DATE(2023,6,7)),E1967*J1967/1000,0)</f>
        <v/>
      </c>
    </row>
    <row r="1968">
      <c r="A1968" t="n">
        <v>1967</v>
      </c>
      <c r="B1968" s="1" t="n">
        <v>45084</v>
      </c>
      <c r="C1968" s="5" t="inlineStr">
        <is>
          <t>M8</t>
        </is>
      </c>
      <c r="D1968" s="5" t="n">
        <v>59</v>
      </c>
      <c r="E1968" s="5" t="n">
        <v>268</v>
      </c>
      <c r="F1968" t="inlineStr">
        <is>
          <t>Продажа</t>
        </is>
      </c>
      <c r="H1968">
        <f>VLOOKUP(C1968,Магазин!$A$2:$C$1000,2,0)</f>
        <v/>
      </c>
      <c r="I1968">
        <f>VLOOKUP(D1968,Товар!$A$2:$F$1000,3,0)</f>
        <v/>
      </c>
      <c r="J1968">
        <f>VLOOKUP(D1968,Товар!$A$2:$F$1000,5,0)</f>
        <v/>
      </c>
      <c r="K1968">
        <f>IF(AND(H1968="Промышленный",LEFT(I1968,18)="Порошок стиральный",F1968="Продажа",B1968=DATE(2023,6,7)),E1968*J1968/1000,0)</f>
        <v/>
      </c>
    </row>
    <row r="1969">
      <c r="A1969" t="n">
        <v>1968</v>
      </c>
      <c r="B1969" s="1" t="n">
        <v>45084</v>
      </c>
      <c r="C1969" s="5" t="inlineStr">
        <is>
          <t>M8</t>
        </is>
      </c>
      <c r="D1969" s="5" t="n">
        <v>60</v>
      </c>
      <c r="E1969" s="5" t="n">
        <v>279</v>
      </c>
      <c r="F1969" t="inlineStr">
        <is>
          <t>Продажа</t>
        </is>
      </c>
      <c r="H1969">
        <f>VLOOKUP(C1969,Магазин!$A$2:$C$1000,2,0)</f>
        <v/>
      </c>
      <c r="I1969">
        <f>VLOOKUP(D1969,Товар!$A$2:$F$1000,3,0)</f>
        <v/>
      </c>
      <c r="J1969">
        <f>VLOOKUP(D1969,Товар!$A$2:$F$1000,5,0)</f>
        <v/>
      </c>
      <c r="K1969">
        <f>IF(AND(H1969="Промышленный",LEFT(I1969,18)="Порошок стиральный",F1969="Продажа",B1969=DATE(2023,6,7)),E1969*J1969/1000,0)</f>
        <v/>
      </c>
    </row>
    <row r="1970">
      <c r="A1970" t="n">
        <v>1969</v>
      </c>
      <c r="B1970" s="1" t="n">
        <v>45084</v>
      </c>
      <c r="C1970" s="5" t="inlineStr">
        <is>
          <t>M12</t>
        </is>
      </c>
      <c r="D1970" s="5" t="n">
        <v>37</v>
      </c>
      <c r="E1970" s="5" t="n">
        <v>281</v>
      </c>
      <c r="F1970" t="inlineStr">
        <is>
          <t>Продажа</t>
        </is>
      </c>
      <c r="H1970">
        <f>VLOOKUP(C1970,Магазин!$A$2:$C$1000,2,0)</f>
        <v/>
      </c>
      <c r="I1970">
        <f>VLOOKUP(D1970,Товар!$A$2:$F$1000,3,0)</f>
        <v/>
      </c>
      <c r="J1970">
        <f>VLOOKUP(D1970,Товар!$A$2:$F$1000,5,0)</f>
        <v/>
      </c>
      <c r="K1970">
        <f>IF(AND(H1970="Промышленный",LEFT(I1970,18)="Порошок стиральный",F1970="Продажа",B1970=DATE(2023,6,7)),E1970*J1970/1000,0)</f>
        <v/>
      </c>
    </row>
    <row r="1971">
      <c r="A1971" t="n">
        <v>1970</v>
      </c>
      <c r="B1971" s="1" t="n">
        <v>45084</v>
      </c>
      <c r="C1971" s="5" t="inlineStr">
        <is>
          <t>M12</t>
        </is>
      </c>
      <c r="D1971" s="5" t="n">
        <v>38</v>
      </c>
      <c r="E1971" s="5" t="n">
        <v>292</v>
      </c>
      <c r="F1971" t="inlineStr">
        <is>
          <t>Продажа</t>
        </is>
      </c>
      <c r="H1971">
        <f>VLOOKUP(C1971,Магазин!$A$2:$C$1000,2,0)</f>
        <v/>
      </c>
      <c r="I1971">
        <f>VLOOKUP(D1971,Товар!$A$2:$F$1000,3,0)</f>
        <v/>
      </c>
      <c r="J1971">
        <f>VLOOKUP(D1971,Товар!$A$2:$F$1000,5,0)</f>
        <v/>
      </c>
      <c r="K1971">
        <f>IF(AND(H1971="Промышленный",LEFT(I1971,18)="Порошок стиральный",F1971="Продажа",B1971=DATE(2023,6,7)),E1971*J1971/1000,0)</f>
        <v/>
      </c>
    </row>
    <row r="1972">
      <c r="A1972" t="n">
        <v>1971</v>
      </c>
      <c r="B1972" s="1" t="n">
        <v>45084</v>
      </c>
      <c r="C1972" s="5" t="inlineStr">
        <is>
          <t>M12</t>
        </is>
      </c>
      <c r="D1972" s="5" t="n">
        <v>39</v>
      </c>
      <c r="E1972" s="5" t="n">
        <v>203</v>
      </c>
      <c r="F1972" t="inlineStr">
        <is>
          <t>Продажа</t>
        </is>
      </c>
      <c r="H1972">
        <f>VLOOKUP(C1972,Магазин!$A$2:$C$1000,2,0)</f>
        <v/>
      </c>
      <c r="I1972">
        <f>VLOOKUP(D1972,Товар!$A$2:$F$1000,3,0)</f>
        <v/>
      </c>
      <c r="J1972">
        <f>VLOOKUP(D1972,Товар!$A$2:$F$1000,5,0)</f>
        <v/>
      </c>
      <c r="K1972">
        <f>IF(AND(H1972="Промышленный",LEFT(I1972,18)="Порошок стиральный",F1972="Продажа",B1972=DATE(2023,6,7)),E1972*J1972/1000,0)</f>
        <v/>
      </c>
    </row>
    <row r="1973">
      <c r="A1973" t="n">
        <v>1972</v>
      </c>
      <c r="B1973" s="1" t="n">
        <v>45084</v>
      </c>
      <c r="C1973" s="5" t="inlineStr">
        <is>
          <t>M12</t>
        </is>
      </c>
      <c r="D1973" s="5" t="n">
        <v>40</v>
      </c>
      <c r="E1973" s="5" t="n">
        <v>214</v>
      </c>
      <c r="F1973" t="inlineStr">
        <is>
          <t>Продажа</t>
        </is>
      </c>
      <c r="H1973">
        <f>VLOOKUP(C1973,Магазин!$A$2:$C$1000,2,0)</f>
        <v/>
      </c>
      <c r="I1973">
        <f>VLOOKUP(D1973,Товар!$A$2:$F$1000,3,0)</f>
        <v/>
      </c>
      <c r="J1973">
        <f>VLOOKUP(D1973,Товар!$A$2:$F$1000,5,0)</f>
        <v/>
      </c>
      <c r="K1973">
        <f>IF(AND(H1973="Промышленный",LEFT(I1973,18)="Порошок стиральный",F1973="Продажа",B1973=DATE(2023,6,7)),E1973*J1973/1000,0)</f>
        <v/>
      </c>
    </row>
    <row r="1974">
      <c r="A1974" t="n">
        <v>1973</v>
      </c>
      <c r="B1974" s="1" t="n">
        <v>45084</v>
      </c>
      <c r="C1974" s="5" t="inlineStr">
        <is>
          <t>M12</t>
        </is>
      </c>
      <c r="D1974" s="5" t="n">
        <v>41</v>
      </c>
      <c r="E1974" s="5" t="n">
        <v>225</v>
      </c>
      <c r="F1974" t="inlineStr">
        <is>
          <t>Продажа</t>
        </is>
      </c>
      <c r="H1974">
        <f>VLOOKUP(C1974,Магазин!$A$2:$C$1000,2,0)</f>
        <v/>
      </c>
      <c r="I1974">
        <f>VLOOKUP(D1974,Товар!$A$2:$F$1000,3,0)</f>
        <v/>
      </c>
      <c r="J1974">
        <f>VLOOKUP(D1974,Товар!$A$2:$F$1000,5,0)</f>
        <v/>
      </c>
      <c r="K1974">
        <f>IF(AND(H1974="Промышленный",LEFT(I1974,18)="Порошок стиральный",F1974="Продажа",B1974=DATE(2023,6,7)),E1974*J1974/1000,0)</f>
        <v/>
      </c>
    </row>
    <row r="1975">
      <c r="A1975" t="n">
        <v>1974</v>
      </c>
      <c r="B1975" s="1" t="n">
        <v>45084</v>
      </c>
      <c r="C1975" s="5" t="inlineStr">
        <is>
          <t>M12</t>
        </is>
      </c>
      <c r="D1975" s="5" t="n">
        <v>42</v>
      </c>
      <c r="E1975" s="5" t="n">
        <v>357</v>
      </c>
      <c r="F1975" t="inlineStr">
        <is>
          <t>Продажа</t>
        </is>
      </c>
      <c r="H1975">
        <f>VLOOKUP(C1975,Магазин!$A$2:$C$1000,2,0)</f>
        <v/>
      </c>
      <c r="I1975">
        <f>VLOOKUP(D1975,Товар!$A$2:$F$1000,3,0)</f>
        <v/>
      </c>
      <c r="J1975">
        <f>VLOOKUP(D1975,Товар!$A$2:$F$1000,5,0)</f>
        <v/>
      </c>
      <c r="K1975">
        <f>IF(AND(H1975="Промышленный",LEFT(I1975,18)="Порошок стиральный",F1975="Продажа",B1975=DATE(2023,6,7)),E1975*J1975/1000,0)</f>
        <v/>
      </c>
    </row>
    <row r="1976">
      <c r="A1976" t="n">
        <v>1975</v>
      </c>
      <c r="B1976" s="1" t="n">
        <v>45084</v>
      </c>
      <c r="C1976" s="5" t="inlineStr">
        <is>
          <t>M12</t>
        </is>
      </c>
      <c r="D1976" s="5" t="n">
        <v>43</v>
      </c>
      <c r="E1976" s="5" t="n">
        <v>355</v>
      </c>
      <c r="F1976" t="inlineStr">
        <is>
          <t>Продажа</t>
        </is>
      </c>
      <c r="H1976">
        <f>VLOOKUP(C1976,Магазин!$A$2:$C$1000,2,0)</f>
        <v/>
      </c>
      <c r="I1976">
        <f>VLOOKUP(D1976,Товар!$A$2:$F$1000,3,0)</f>
        <v/>
      </c>
      <c r="J1976">
        <f>VLOOKUP(D1976,Товар!$A$2:$F$1000,5,0)</f>
        <v/>
      </c>
      <c r="K1976">
        <f>IF(AND(H1976="Промышленный",LEFT(I1976,18)="Порошок стиральный",F1976="Продажа",B1976=DATE(2023,6,7)),E1976*J1976/1000,0)</f>
        <v/>
      </c>
    </row>
    <row r="1977">
      <c r="A1977" t="n">
        <v>1976</v>
      </c>
      <c r="B1977" s="1" t="n">
        <v>45084</v>
      </c>
      <c r="C1977" s="5" t="inlineStr">
        <is>
          <t>M12</t>
        </is>
      </c>
      <c r="D1977" s="5" t="n">
        <v>44</v>
      </c>
      <c r="E1977" s="5" t="n">
        <v>343</v>
      </c>
      <c r="F1977" t="inlineStr">
        <is>
          <t>Продажа</t>
        </is>
      </c>
      <c r="H1977">
        <f>VLOOKUP(C1977,Магазин!$A$2:$C$1000,2,0)</f>
        <v/>
      </c>
      <c r="I1977">
        <f>VLOOKUP(D1977,Товар!$A$2:$F$1000,3,0)</f>
        <v/>
      </c>
      <c r="J1977">
        <f>VLOOKUP(D1977,Товар!$A$2:$F$1000,5,0)</f>
        <v/>
      </c>
      <c r="K1977">
        <f>IF(AND(H1977="Промышленный",LEFT(I1977,18)="Порошок стиральный",F1977="Продажа",B1977=DATE(2023,6,7)),E1977*J1977/1000,0)</f>
        <v/>
      </c>
    </row>
    <row r="1978">
      <c r="A1978" t="n">
        <v>1977</v>
      </c>
      <c r="B1978" s="1" t="n">
        <v>45084</v>
      </c>
      <c r="C1978" s="5" t="inlineStr">
        <is>
          <t>M12</t>
        </is>
      </c>
      <c r="D1978" s="5" t="n">
        <v>45</v>
      </c>
      <c r="E1978" s="5" t="n">
        <v>322</v>
      </c>
      <c r="F1978" t="inlineStr">
        <is>
          <t>Продажа</t>
        </is>
      </c>
      <c r="H1978">
        <f>VLOOKUP(C1978,Магазин!$A$2:$C$1000,2,0)</f>
        <v/>
      </c>
      <c r="I1978">
        <f>VLOOKUP(D1978,Товар!$A$2:$F$1000,3,0)</f>
        <v/>
      </c>
      <c r="J1978">
        <f>VLOOKUP(D1978,Товар!$A$2:$F$1000,5,0)</f>
        <v/>
      </c>
      <c r="K1978">
        <f>IF(AND(H1978="Промышленный",LEFT(I1978,18)="Порошок стиральный",F1978="Продажа",B1978=DATE(2023,6,7)),E1978*J1978/1000,0)</f>
        <v/>
      </c>
    </row>
    <row r="1979">
      <c r="A1979" t="n">
        <v>1978</v>
      </c>
      <c r="B1979" s="1" t="n">
        <v>45084</v>
      </c>
      <c r="C1979" s="5" t="inlineStr">
        <is>
          <t>M12</t>
        </is>
      </c>
      <c r="D1979" s="5" t="n">
        <v>46</v>
      </c>
      <c r="E1979" s="5" t="n">
        <v>369</v>
      </c>
      <c r="F1979" t="inlineStr">
        <is>
          <t>Продажа</t>
        </is>
      </c>
      <c r="H1979">
        <f>VLOOKUP(C1979,Магазин!$A$2:$C$1000,2,0)</f>
        <v/>
      </c>
      <c r="I1979">
        <f>VLOOKUP(D1979,Товар!$A$2:$F$1000,3,0)</f>
        <v/>
      </c>
      <c r="J1979">
        <f>VLOOKUP(D1979,Товар!$A$2:$F$1000,5,0)</f>
        <v/>
      </c>
      <c r="K1979">
        <f>IF(AND(H1979="Промышленный",LEFT(I1979,18)="Порошок стиральный",F1979="Продажа",B1979=DATE(2023,6,7)),E1979*J1979/1000,0)</f>
        <v/>
      </c>
    </row>
    <row r="1980">
      <c r="A1980" t="n">
        <v>1979</v>
      </c>
      <c r="B1980" s="1" t="n">
        <v>45084</v>
      </c>
      <c r="C1980" s="5" t="inlineStr">
        <is>
          <t>M12</t>
        </is>
      </c>
      <c r="D1980" s="5" t="n">
        <v>47</v>
      </c>
      <c r="E1980" s="5" t="n">
        <v>399</v>
      </c>
      <c r="F1980" t="inlineStr">
        <is>
          <t>Продажа</t>
        </is>
      </c>
      <c r="H1980">
        <f>VLOOKUP(C1980,Магазин!$A$2:$C$1000,2,0)</f>
        <v/>
      </c>
      <c r="I1980">
        <f>VLOOKUP(D1980,Товар!$A$2:$F$1000,3,0)</f>
        <v/>
      </c>
      <c r="J1980">
        <f>VLOOKUP(D1980,Товар!$A$2:$F$1000,5,0)</f>
        <v/>
      </c>
      <c r="K1980">
        <f>IF(AND(H1980="Промышленный",LEFT(I1980,18)="Порошок стиральный",F1980="Продажа",B1980=DATE(2023,6,7)),E1980*J1980/1000,0)</f>
        <v/>
      </c>
    </row>
    <row r="1981">
      <c r="A1981" t="n">
        <v>1980</v>
      </c>
      <c r="B1981" s="1" t="n">
        <v>45084</v>
      </c>
      <c r="C1981" s="5" t="inlineStr">
        <is>
          <t>M12</t>
        </is>
      </c>
      <c r="D1981" s="5" t="n">
        <v>48</v>
      </c>
      <c r="E1981" s="5" t="n">
        <v>307</v>
      </c>
      <c r="F1981" t="inlineStr">
        <is>
          <t>Продажа</t>
        </is>
      </c>
      <c r="H1981">
        <f>VLOOKUP(C1981,Магазин!$A$2:$C$1000,2,0)</f>
        <v/>
      </c>
      <c r="I1981">
        <f>VLOOKUP(D1981,Товар!$A$2:$F$1000,3,0)</f>
        <v/>
      </c>
      <c r="J1981">
        <f>VLOOKUP(D1981,Товар!$A$2:$F$1000,5,0)</f>
        <v/>
      </c>
      <c r="K1981">
        <f>IF(AND(H1981="Промышленный",LEFT(I1981,18)="Порошок стиральный",F1981="Продажа",B1981=DATE(2023,6,7)),E1981*J1981/1000,0)</f>
        <v/>
      </c>
    </row>
    <row r="1982">
      <c r="A1982" t="n">
        <v>1981</v>
      </c>
      <c r="B1982" s="1" t="n">
        <v>45084</v>
      </c>
      <c r="C1982" s="5" t="inlineStr">
        <is>
          <t>M12</t>
        </is>
      </c>
      <c r="D1982" s="5" t="n">
        <v>49</v>
      </c>
      <c r="E1982" s="5" t="n">
        <v>302</v>
      </c>
      <c r="F1982" t="inlineStr">
        <is>
          <t>Продажа</t>
        </is>
      </c>
      <c r="H1982">
        <f>VLOOKUP(C1982,Магазин!$A$2:$C$1000,2,0)</f>
        <v/>
      </c>
      <c r="I1982">
        <f>VLOOKUP(D1982,Товар!$A$2:$F$1000,3,0)</f>
        <v/>
      </c>
      <c r="J1982">
        <f>VLOOKUP(D1982,Товар!$A$2:$F$1000,5,0)</f>
        <v/>
      </c>
      <c r="K1982">
        <f>IF(AND(H1982="Промышленный",LEFT(I1982,18)="Порошок стиральный",F1982="Продажа",B1982=DATE(2023,6,7)),E1982*J1982/1000,0)</f>
        <v/>
      </c>
    </row>
    <row r="1983">
      <c r="A1983" t="n">
        <v>1982</v>
      </c>
      <c r="B1983" s="1" t="n">
        <v>45084</v>
      </c>
      <c r="C1983" s="5" t="inlineStr">
        <is>
          <t>M12</t>
        </is>
      </c>
      <c r="D1983" s="5" t="n">
        <v>50</v>
      </c>
      <c r="E1983" s="5" t="n">
        <v>301</v>
      </c>
      <c r="F1983" t="inlineStr">
        <is>
          <t>Продажа</t>
        </is>
      </c>
      <c r="H1983">
        <f>VLOOKUP(C1983,Магазин!$A$2:$C$1000,2,0)</f>
        <v/>
      </c>
      <c r="I1983">
        <f>VLOOKUP(D1983,Товар!$A$2:$F$1000,3,0)</f>
        <v/>
      </c>
      <c r="J1983">
        <f>VLOOKUP(D1983,Товар!$A$2:$F$1000,5,0)</f>
        <v/>
      </c>
      <c r="K1983">
        <f>IF(AND(H1983="Промышленный",LEFT(I1983,18)="Порошок стиральный",F1983="Продажа",B1983=DATE(2023,6,7)),E1983*J1983/1000,0)</f>
        <v/>
      </c>
    </row>
    <row r="1984">
      <c r="A1984" t="n">
        <v>1983</v>
      </c>
      <c r="B1984" s="1" t="n">
        <v>45084</v>
      </c>
      <c r="C1984" s="5" t="inlineStr">
        <is>
          <t>M12</t>
        </is>
      </c>
      <c r="D1984" s="5" t="n">
        <v>51</v>
      </c>
      <c r="E1984" s="5" t="n">
        <v>357</v>
      </c>
      <c r="F1984" t="inlineStr">
        <is>
          <t>Продажа</t>
        </is>
      </c>
      <c r="H1984">
        <f>VLOOKUP(C1984,Магазин!$A$2:$C$1000,2,0)</f>
        <v/>
      </c>
      <c r="I1984">
        <f>VLOOKUP(D1984,Товар!$A$2:$F$1000,3,0)</f>
        <v/>
      </c>
      <c r="J1984">
        <f>VLOOKUP(D1984,Товар!$A$2:$F$1000,5,0)</f>
        <v/>
      </c>
      <c r="K1984">
        <f>IF(AND(H1984="Промышленный",LEFT(I1984,18)="Порошок стиральный",F1984="Продажа",B1984=DATE(2023,6,7)),E1984*J1984/1000,0)</f>
        <v/>
      </c>
    </row>
    <row r="1985">
      <c r="A1985" t="n">
        <v>1984</v>
      </c>
      <c r="B1985" s="1" t="n">
        <v>45084</v>
      </c>
      <c r="C1985" s="5" t="inlineStr">
        <is>
          <t>M12</t>
        </is>
      </c>
      <c r="D1985" s="5" t="n">
        <v>52</v>
      </c>
      <c r="E1985" s="5" t="n">
        <v>268</v>
      </c>
      <c r="F1985" t="inlineStr">
        <is>
          <t>Продажа</t>
        </is>
      </c>
      <c r="H1985">
        <f>VLOOKUP(C1985,Магазин!$A$2:$C$1000,2,0)</f>
        <v/>
      </c>
      <c r="I1985">
        <f>VLOOKUP(D1985,Товар!$A$2:$F$1000,3,0)</f>
        <v/>
      </c>
      <c r="J1985">
        <f>VLOOKUP(D1985,Товар!$A$2:$F$1000,5,0)</f>
        <v/>
      </c>
      <c r="K1985">
        <f>IF(AND(H1985="Промышленный",LEFT(I1985,18)="Порошок стиральный",F1985="Продажа",B1985=DATE(2023,6,7)),E1985*J1985/1000,0)</f>
        <v/>
      </c>
    </row>
    <row r="1986">
      <c r="A1986" t="n">
        <v>1985</v>
      </c>
      <c r="B1986" s="1" t="n">
        <v>45084</v>
      </c>
      <c r="C1986" s="5" t="inlineStr">
        <is>
          <t>M12</t>
        </is>
      </c>
      <c r="D1986" s="5" t="n">
        <v>53</v>
      </c>
      <c r="E1986" s="5" t="n">
        <v>279</v>
      </c>
      <c r="F1986" t="inlineStr">
        <is>
          <t>Продажа</t>
        </is>
      </c>
      <c r="H1986">
        <f>VLOOKUP(C1986,Магазин!$A$2:$C$1000,2,0)</f>
        <v/>
      </c>
      <c r="I1986">
        <f>VLOOKUP(D1986,Товар!$A$2:$F$1000,3,0)</f>
        <v/>
      </c>
      <c r="J1986">
        <f>VLOOKUP(D1986,Товар!$A$2:$F$1000,5,0)</f>
        <v/>
      </c>
      <c r="K1986">
        <f>IF(AND(H1986="Промышленный",LEFT(I1986,18)="Порошок стиральный",F1986="Продажа",B1986=DATE(2023,6,7)),E1986*J1986/1000,0)</f>
        <v/>
      </c>
    </row>
    <row r="1987">
      <c r="A1987" t="n">
        <v>1986</v>
      </c>
      <c r="B1987" s="1" t="n">
        <v>45084</v>
      </c>
      <c r="C1987" s="5" t="inlineStr">
        <is>
          <t>M12</t>
        </is>
      </c>
      <c r="D1987" s="5" t="n">
        <v>54</v>
      </c>
      <c r="E1987" s="5" t="n">
        <v>357</v>
      </c>
      <c r="F1987" t="inlineStr">
        <is>
          <t>Продажа</t>
        </is>
      </c>
      <c r="H1987">
        <f>VLOOKUP(C1987,Магазин!$A$2:$C$1000,2,0)</f>
        <v/>
      </c>
      <c r="I1987">
        <f>VLOOKUP(D1987,Товар!$A$2:$F$1000,3,0)</f>
        <v/>
      </c>
      <c r="J1987">
        <f>VLOOKUP(D1987,Товар!$A$2:$F$1000,5,0)</f>
        <v/>
      </c>
      <c r="K1987">
        <f>IF(AND(H1987="Промышленный",LEFT(I1987,18)="Порошок стиральный",F1987="Продажа",B1987=DATE(2023,6,7)),E1987*J1987/1000,0)</f>
        <v/>
      </c>
    </row>
    <row r="1988">
      <c r="A1988" t="n">
        <v>1987</v>
      </c>
      <c r="B1988" s="1" t="n">
        <v>45084</v>
      </c>
      <c r="C1988" s="5" t="inlineStr">
        <is>
          <t>M12</t>
        </is>
      </c>
      <c r="D1988" s="5" t="n">
        <v>55</v>
      </c>
      <c r="E1988" s="5" t="n">
        <v>355</v>
      </c>
      <c r="F1988" t="inlineStr">
        <is>
          <t>Продажа</t>
        </is>
      </c>
      <c r="H1988">
        <f>VLOOKUP(C1988,Магазин!$A$2:$C$1000,2,0)</f>
        <v/>
      </c>
      <c r="I1988">
        <f>VLOOKUP(D1988,Товар!$A$2:$F$1000,3,0)</f>
        <v/>
      </c>
      <c r="J1988">
        <f>VLOOKUP(D1988,Товар!$A$2:$F$1000,5,0)</f>
        <v/>
      </c>
      <c r="K1988">
        <f>IF(AND(H1988="Промышленный",LEFT(I1988,18)="Порошок стиральный",F1988="Продажа",B1988=DATE(2023,6,7)),E1988*J1988/1000,0)</f>
        <v/>
      </c>
    </row>
    <row r="1989">
      <c r="A1989" t="n">
        <v>1988</v>
      </c>
      <c r="B1989" s="1" t="n">
        <v>45084</v>
      </c>
      <c r="C1989" s="5" t="inlineStr">
        <is>
          <t>M12</t>
        </is>
      </c>
      <c r="D1989" s="5" t="n">
        <v>56</v>
      </c>
      <c r="E1989" s="5" t="n">
        <v>343</v>
      </c>
      <c r="F1989" t="inlineStr">
        <is>
          <t>Продажа</t>
        </is>
      </c>
      <c r="H1989">
        <f>VLOOKUP(C1989,Магазин!$A$2:$C$1000,2,0)</f>
        <v/>
      </c>
      <c r="I1989">
        <f>VLOOKUP(D1989,Товар!$A$2:$F$1000,3,0)</f>
        <v/>
      </c>
      <c r="J1989">
        <f>VLOOKUP(D1989,Товар!$A$2:$F$1000,5,0)</f>
        <v/>
      </c>
      <c r="K1989">
        <f>IF(AND(H1989="Промышленный",LEFT(I1989,18)="Порошок стиральный",F1989="Продажа",B1989=DATE(2023,6,7)),E1989*J1989/1000,0)</f>
        <v/>
      </c>
    </row>
    <row r="1990">
      <c r="A1990" t="n">
        <v>1989</v>
      </c>
      <c r="B1990" s="1" t="n">
        <v>45084</v>
      </c>
      <c r="C1990" s="5" t="inlineStr">
        <is>
          <t>M12</t>
        </is>
      </c>
      <c r="D1990" s="5" t="n">
        <v>57</v>
      </c>
      <c r="E1990" s="5" t="n">
        <v>322</v>
      </c>
      <c r="F1990" t="inlineStr">
        <is>
          <t>Продажа</t>
        </is>
      </c>
      <c r="H1990">
        <f>VLOOKUP(C1990,Магазин!$A$2:$C$1000,2,0)</f>
        <v/>
      </c>
      <c r="I1990">
        <f>VLOOKUP(D1990,Товар!$A$2:$F$1000,3,0)</f>
        <v/>
      </c>
      <c r="J1990">
        <f>VLOOKUP(D1990,Товар!$A$2:$F$1000,5,0)</f>
        <v/>
      </c>
      <c r="K1990">
        <f>IF(AND(H1990="Промышленный",LEFT(I1990,18)="Порошок стиральный",F1990="Продажа",B1990=DATE(2023,6,7)),E1990*J1990/1000,0)</f>
        <v/>
      </c>
    </row>
    <row r="1991">
      <c r="A1991" t="n">
        <v>1990</v>
      </c>
      <c r="B1991" s="1" t="n">
        <v>45084</v>
      </c>
      <c r="C1991" s="5" t="inlineStr">
        <is>
          <t>M12</t>
        </is>
      </c>
      <c r="D1991" s="5" t="n">
        <v>58</v>
      </c>
      <c r="E1991" s="5" t="n">
        <v>369</v>
      </c>
      <c r="F1991" t="inlineStr">
        <is>
          <t>Продажа</t>
        </is>
      </c>
      <c r="H1991">
        <f>VLOOKUP(C1991,Магазин!$A$2:$C$1000,2,0)</f>
        <v/>
      </c>
      <c r="I1991">
        <f>VLOOKUP(D1991,Товар!$A$2:$F$1000,3,0)</f>
        <v/>
      </c>
      <c r="J1991">
        <f>VLOOKUP(D1991,Товар!$A$2:$F$1000,5,0)</f>
        <v/>
      </c>
      <c r="K1991">
        <f>IF(AND(H1991="Промышленный",LEFT(I1991,18)="Порошок стиральный",F1991="Продажа",B1991=DATE(2023,6,7)),E1991*J1991/1000,0)</f>
        <v/>
      </c>
    </row>
    <row r="1992">
      <c r="A1992" t="n">
        <v>1991</v>
      </c>
      <c r="B1992" s="1" t="n">
        <v>45084</v>
      </c>
      <c r="C1992" s="5" t="inlineStr">
        <is>
          <t>M12</t>
        </is>
      </c>
      <c r="D1992" s="5" t="n">
        <v>59</v>
      </c>
      <c r="E1992" s="5" t="n">
        <v>399</v>
      </c>
      <c r="F1992" t="inlineStr">
        <is>
          <t>Продажа</t>
        </is>
      </c>
      <c r="H1992">
        <f>VLOOKUP(C1992,Магазин!$A$2:$C$1000,2,0)</f>
        <v/>
      </c>
      <c r="I1992">
        <f>VLOOKUP(D1992,Товар!$A$2:$F$1000,3,0)</f>
        <v/>
      </c>
      <c r="J1992">
        <f>VLOOKUP(D1992,Товар!$A$2:$F$1000,5,0)</f>
        <v/>
      </c>
      <c r="K1992">
        <f>IF(AND(H1992="Промышленный",LEFT(I1992,18)="Порошок стиральный",F1992="Продажа",B1992=DATE(2023,6,7)),E1992*J1992/1000,0)</f>
        <v/>
      </c>
    </row>
    <row r="1993">
      <c r="A1993" t="n">
        <v>1992</v>
      </c>
      <c r="B1993" s="1" t="n">
        <v>45084</v>
      </c>
      <c r="C1993" s="5" t="inlineStr">
        <is>
          <t>M12</t>
        </is>
      </c>
      <c r="D1993" s="5" t="n">
        <v>60</v>
      </c>
      <c r="E1993" s="5" t="n">
        <v>307</v>
      </c>
      <c r="F1993" t="inlineStr">
        <is>
          <t>Продажа</t>
        </is>
      </c>
      <c r="H1993">
        <f>VLOOKUP(C1993,Магазин!$A$2:$C$1000,2,0)</f>
        <v/>
      </c>
      <c r="I1993">
        <f>VLOOKUP(D1993,Товар!$A$2:$F$1000,3,0)</f>
        <v/>
      </c>
      <c r="J1993">
        <f>VLOOKUP(D1993,Товар!$A$2:$F$1000,5,0)</f>
        <v/>
      </c>
      <c r="K1993">
        <f>IF(AND(H1993="Промышленный",LEFT(I1993,18)="Порошок стиральный",F1993="Продажа",B1993=DATE(2023,6,7)),E1993*J1993/1000,0)</f>
        <v/>
      </c>
    </row>
    <row r="1994">
      <c r="A1994" t="n">
        <v>1993</v>
      </c>
      <c r="B1994" s="1" t="n">
        <v>45084</v>
      </c>
      <c r="C1994" s="5" t="inlineStr">
        <is>
          <t>M13</t>
        </is>
      </c>
      <c r="D1994" s="5" t="n">
        <v>37</v>
      </c>
      <c r="E1994" s="5" t="n">
        <v>302</v>
      </c>
      <c r="F1994" t="inlineStr">
        <is>
          <t>Продажа</t>
        </is>
      </c>
      <c r="H1994">
        <f>VLOOKUP(C1994,Магазин!$A$2:$C$1000,2,0)</f>
        <v/>
      </c>
      <c r="I1994">
        <f>VLOOKUP(D1994,Товар!$A$2:$F$1000,3,0)</f>
        <v/>
      </c>
      <c r="J1994">
        <f>VLOOKUP(D1994,Товар!$A$2:$F$1000,5,0)</f>
        <v/>
      </c>
      <c r="K1994">
        <f>IF(AND(H1994="Промышленный",LEFT(I1994,18)="Порошок стиральный",F1994="Продажа",B1994=DATE(2023,6,7)),E1994*J1994/1000,0)</f>
        <v/>
      </c>
    </row>
    <row r="1995">
      <c r="A1995" t="n">
        <v>1994</v>
      </c>
      <c r="B1995" s="1" t="n">
        <v>45084</v>
      </c>
      <c r="C1995" s="5" t="inlineStr">
        <is>
          <t>M13</t>
        </is>
      </c>
      <c r="D1995" s="5" t="n">
        <v>38</v>
      </c>
      <c r="E1995" s="5" t="n">
        <v>301</v>
      </c>
      <c r="F1995" t="inlineStr">
        <is>
          <t>Продажа</t>
        </is>
      </c>
      <c r="H1995">
        <f>VLOOKUP(C1995,Магазин!$A$2:$C$1000,2,0)</f>
        <v/>
      </c>
      <c r="I1995">
        <f>VLOOKUP(D1995,Товар!$A$2:$F$1000,3,0)</f>
        <v/>
      </c>
      <c r="J1995">
        <f>VLOOKUP(D1995,Товар!$A$2:$F$1000,5,0)</f>
        <v/>
      </c>
      <c r="K1995">
        <f>IF(AND(H1995="Промышленный",LEFT(I1995,18)="Порошок стиральный",F1995="Продажа",B1995=DATE(2023,6,7)),E1995*J1995/1000,0)</f>
        <v/>
      </c>
    </row>
    <row r="1996">
      <c r="A1996" t="n">
        <v>1995</v>
      </c>
      <c r="B1996" s="1" t="n">
        <v>45084</v>
      </c>
      <c r="C1996" s="5" t="inlineStr">
        <is>
          <t>M13</t>
        </is>
      </c>
      <c r="D1996" s="5" t="n">
        <v>39</v>
      </c>
      <c r="E1996" s="5" t="n">
        <v>357</v>
      </c>
      <c r="F1996" t="inlineStr">
        <is>
          <t>Продажа</t>
        </is>
      </c>
      <c r="H1996">
        <f>VLOOKUP(C1996,Магазин!$A$2:$C$1000,2,0)</f>
        <v/>
      </c>
      <c r="I1996">
        <f>VLOOKUP(D1996,Товар!$A$2:$F$1000,3,0)</f>
        <v/>
      </c>
      <c r="J1996">
        <f>VLOOKUP(D1996,Товар!$A$2:$F$1000,5,0)</f>
        <v/>
      </c>
      <c r="K1996">
        <f>IF(AND(H1996="Промышленный",LEFT(I1996,18)="Порошок стиральный",F1996="Продажа",B1996=DATE(2023,6,7)),E1996*J1996/1000,0)</f>
        <v/>
      </c>
    </row>
    <row r="1997">
      <c r="A1997" t="n">
        <v>1996</v>
      </c>
      <c r="B1997" s="1" t="n">
        <v>45084</v>
      </c>
      <c r="C1997" s="5" t="inlineStr">
        <is>
          <t>M13</t>
        </is>
      </c>
      <c r="D1997" s="5" t="n">
        <v>40</v>
      </c>
      <c r="E1997" s="5" t="n">
        <v>268</v>
      </c>
      <c r="F1997" t="inlineStr">
        <is>
          <t>Продажа</t>
        </is>
      </c>
      <c r="H1997">
        <f>VLOOKUP(C1997,Магазин!$A$2:$C$1000,2,0)</f>
        <v/>
      </c>
      <c r="I1997">
        <f>VLOOKUP(D1997,Товар!$A$2:$F$1000,3,0)</f>
        <v/>
      </c>
      <c r="J1997">
        <f>VLOOKUP(D1997,Товар!$A$2:$F$1000,5,0)</f>
        <v/>
      </c>
      <c r="K1997">
        <f>IF(AND(H1997="Промышленный",LEFT(I1997,18)="Порошок стиральный",F1997="Продажа",B1997=DATE(2023,6,7)),E1997*J1997/1000,0)</f>
        <v/>
      </c>
    </row>
    <row r="1998">
      <c r="A1998" t="n">
        <v>1997</v>
      </c>
      <c r="B1998" s="1" t="n">
        <v>45084</v>
      </c>
      <c r="C1998" s="5" t="inlineStr">
        <is>
          <t>M13</t>
        </is>
      </c>
      <c r="D1998" s="5" t="n">
        <v>41</v>
      </c>
      <c r="E1998" s="5" t="n">
        <v>279</v>
      </c>
      <c r="F1998" t="inlineStr">
        <is>
          <t>Продажа</t>
        </is>
      </c>
      <c r="H1998">
        <f>VLOOKUP(C1998,Магазин!$A$2:$C$1000,2,0)</f>
        <v/>
      </c>
      <c r="I1998">
        <f>VLOOKUP(D1998,Товар!$A$2:$F$1000,3,0)</f>
        <v/>
      </c>
      <c r="J1998">
        <f>VLOOKUP(D1998,Товар!$A$2:$F$1000,5,0)</f>
        <v/>
      </c>
      <c r="K1998">
        <f>IF(AND(H1998="Промышленный",LEFT(I1998,18)="Порошок стиральный",F1998="Продажа",B1998=DATE(2023,6,7)),E1998*J1998/1000,0)</f>
        <v/>
      </c>
    </row>
    <row r="1999">
      <c r="A1999" t="n">
        <v>1998</v>
      </c>
      <c r="B1999" s="1" t="n">
        <v>45084</v>
      </c>
      <c r="C1999" s="5" t="inlineStr">
        <is>
          <t>M13</t>
        </is>
      </c>
      <c r="D1999" s="5" t="n">
        <v>42</v>
      </c>
      <c r="E1999" s="5" t="n">
        <v>281</v>
      </c>
      <c r="F1999" t="inlineStr">
        <is>
          <t>Продажа</t>
        </is>
      </c>
      <c r="H1999">
        <f>VLOOKUP(C1999,Магазин!$A$2:$C$1000,2,0)</f>
        <v/>
      </c>
      <c r="I1999">
        <f>VLOOKUP(D1999,Товар!$A$2:$F$1000,3,0)</f>
        <v/>
      </c>
      <c r="J1999">
        <f>VLOOKUP(D1999,Товар!$A$2:$F$1000,5,0)</f>
        <v/>
      </c>
      <c r="K1999">
        <f>IF(AND(H1999="Промышленный",LEFT(I1999,18)="Порошок стиральный",F1999="Продажа",B1999=DATE(2023,6,7)),E1999*J1999/1000,0)</f>
        <v/>
      </c>
    </row>
    <row r="2000">
      <c r="A2000" t="n">
        <v>1999</v>
      </c>
      <c r="B2000" s="1" t="n">
        <v>45084</v>
      </c>
      <c r="C2000" s="5" t="inlineStr">
        <is>
          <t>M13</t>
        </is>
      </c>
      <c r="D2000" s="5" t="n">
        <v>43</v>
      </c>
      <c r="E2000" s="5" t="n">
        <v>292</v>
      </c>
      <c r="F2000" t="inlineStr">
        <is>
          <t>Продажа</t>
        </is>
      </c>
      <c r="H2000">
        <f>VLOOKUP(C2000,Магазин!$A$2:$C$1000,2,0)</f>
        <v/>
      </c>
      <c r="I2000">
        <f>VLOOKUP(D2000,Товар!$A$2:$F$1000,3,0)</f>
        <v/>
      </c>
      <c r="J2000">
        <f>VLOOKUP(D2000,Товар!$A$2:$F$1000,5,0)</f>
        <v/>
      </c>
      <c r="K2000">
        <f>IF(AND(H2000="Промышленный",LEFT(I2000,18)="Порошок стиральный",F2000="Продажа",B2000=DATE(2023,6,7)),E2000*J2000/1000,0)</f>
        <v/>
      </c>
    </row>
    <row r="2001">
      <c r="A2001" t="n">
        <v>2000</v>
      </c>
      <c r="B2001" s="1" t="n">
        <v>45084</v>
      </c>
      <c r="C2001" s="5" t="inlineStr">
        <is>
          <t>M13</t>
        </is>
      </c>
      <c r="D2001" s="5" t="n">
        <v>44</v>
      </c>
      <c r="E2001" s="5" t="n">
        <v>203</v>
      </c>
      <c r="F2001" t="inlineStr">
        <is>
          <t>Продажа</t>
        </is>
      </c>
      <c r="H2001">
        <f>VLOOKUP(C2001,Магазин!$A$2:$C$1000,2,0)</f>
        <v/>
      </c>
      <c r="I2001">
        <f>VLOOKUP(D2001,Товар!$A$2:$F$1000,3,0)</f>
        <v/>
      </c>
      <c r="J2001">
        <f>VLOOKUP(D2001,Товар!$A$2:$F$1000,5,0)</f>
        <v/>
      </c>
      <c r="K2001">
        <f>IF(AND(H2001="Промышленный",LEFT(I2001,18)="Порошок стиральный",F2001="Продажа",B2001=DATE(2023,6,7)),E2001*J2001/1000,0)</f>
        <v/>
      </c>
    </row>
    <row r="2002">
      <c r="A2002" t="n">
        <v>2001</v>
      </c>
      <c r="B2002" s="1" t="n">
        <v>45084</v>
      </c>
      <c r="C2002" s="5" t="inlineStr">
        <is>
          <t>M13</t>
        </is>
      </c>
      <c r="D2002" s="5" t="n">
        <v>45</v>
      </c>
      <c r="E2002" s="5" t="n">
        <v>214</v>
      </c>
      <c r="F2002" t="inlineStr">
        <is>
          <t>Продажа</t>
        </is>
      </c>
      <c r="H2002">
        <f>VLOOKUP(C2002,Магазин!$A$2:$C$1000,2,0)</f>
        <v/>
      </c>
      <c r="I2002">
        <f>VLOOKUP(D2002,Товар!$A$2:$F$1000,3,0)</f>
        <v/>
      </c>
      <c r="J2002">
        <f>VLOOKUP(D2002,Товар!$A$2:$F$1000,5,0)</f>
        <v/>
      </c>
      <c r="K2002">
        <f>IF(AND(H2002="Промышленный",LEFT(I2002,18)="Порошок стиральный",F2002="Продажа",B2002=DATE(2023,6,7)),E2002*J2002/1000,0)</f>
        <v/>
      </c>
    </row>
    <row r="2003">
      <c r="A2003" t="n">
        <v>2002</v>
      </c>
      <c r="B2003" s="1" t="n">
        <v>45084</v>
      </c>
      <c r="C2003" s="5" t="inlineStr">
        <is>
          <t>M13</t>
        </is>
      </c>
      <c r="D2003" s="5" t="n">
        <v>46</v>
      </c>
      <c r="E2003" s="5" t="n">
        <v>225</v>
      </c>
      <c r="F2003" t="inlineStr">
        <is>
          <t>Продажа</t>
        </is>
      </c>
      <c r="H2003">
        <f>VLOOKUP(C2003,Магазин!$A$2:$C$1000,2,0)</f>
        <v/>
      </c>
      <c r="I2003">
        <f>VLOOKUP(D2003,Товар!$A$2:$F$1000,3,0)</f>
        <v/>
      </c>
      <c r="J2003">
        <f>VLOOKUP(D2003,Товар!$A$2:$F$1000,5,0)</f>
        <v/>
      </c>
      <c r="K2003">
        <f>IF(AND(H2003="Промышленный",LEFT(I2003,18)="Порошок стиральный",F2003="Продажа",B2003=DATE(2023,6,7)),E2003*J2003/1000,0)</f>
        <v/>
      </c>
    </row>
    <row r="2004">
      <c r="A2004" t="n">
        <v>2003</v>
      </c>
      <c r="B2004" s="1" t="n">
        <v>45084</v>
      </c>
      <c r="C2004" s="5" t="inlineStr">
        <is>
          <t>M13</t>
        </is>
      </c>
      <c r="D2004" s="5" t="n">
        <v>47</v>
      </c>
      <c r="E2004" s="5" t="n">
        <v>357</v>
      </c>
      <c r="F2004" t="inlineStr">
        <is>
          <t>Продажа</t>
        </is>
      </c>
      <c r="H2004">
        <f>VLOOKUP(C2004,Магазин!$A$2:$C$1000,2,0)</f>
        <v/>
      </c>
      <c r="I2004">
        <f>VLOOKUP(D2004,Товар!$A$2:$F$1000,3,0)</f>
        <v/>
      </c>
      <c r="J2004">
        <f>VLOOKUP(D2004,Товар!$A$2:$F$1000,5,0)</f>
        <v/>
      </c>
      <c r="K2004">
        <f>IF(AND(H2004="Промышленный",LEFT(I2004,18)="Порошок стиральный",F2004="Продажа",B2004=DATE(2023,6,7)),E2004*J2004/1000,0)</f>
        <v/>
      </c>
    </row>
    <row r="2005">
      <c r="A2005" t="n">
        <v>2004</v>
      </c>
      <c r="B2005" s="1" t="n">
        <v>45084</v>
      </c>
      <c r="C2005" s="5" t="inlineStr">
        <is>
          <t>M13</t>
        </is>
      </c>
      <c r="D2005" s="5" t="n">
        <v>48</v>
      </c>
      <c r="E2005" s="5" t="n">
        <v>355</v>
      </c>
      <c r="F2005" t="inlineStr">
        <is>
          <t>Продажа</t>
        </is>
      </c>
      <c r="H2005">
        <f>VLOOKUP(C2005,Магазин!$A$2:$C$1000,2,0)</f>
        <v/>
      </c>
      <c r="I2005">
        <f>VLOOKUP(D2005,Товар!$A$2:$F$1000,3,0)</f>
        <v/>
      </c>
      <c r="J2005">
        <f>VLOOKUP(D2005,Товар!$A$2:$F$1000,5,0)</f>
        <v/>
      </c>
      <c r="K2005">
        <f>IF(AND(H2005="Промышленный",LEFT(I2005,18)="Порошок стиральный",F2005="Продажа",B2005=DATE(2023,6,7)),E2005*J2005/1000,0)</f>
        <v/>
      </c>
    </row>
    <row r="2006">
      <c r="A2006" t="n">
        <v>2005</v>
      </c>
      <c r="B2006" s="1" t="n">
        <v>45084</v>
      </c>
      <c r="C2006" s="5" t="inlineStr">
        <is>
          <t>M13</t>
        </is>
      </c>
      <c r="D2006" s="5" t="n">
        <v>49</v>
      </c>
      <c r="E2006" s="5" t="n">
        <v>343</v>
      </c>
      <c r="F2006" t="inlineStr">
        <is>
          <t>Продажа</t>
        </is>
      </c>
      <c r="H2006">
        <f>VLOOKUP(C2006,Магазин!$A$2:$C$1000,2,0)</f>
        <v/>
      </c>
      <c r="I2006">
        <f>VLOOKUP(D2006,Товар!$A$2:$F$1000,3,0)</f>
        <v/>
      </c>
      <c r="J2006">
        <f>VLOOKUP(D2006,Товар!$A$2:$F$1000,5,0)</f>
        <v/>
      </c>
      <c r="K2006">
        <f>IF(AND(H2006="Промышленный",LEFT(I2006,18)="Порошок стиральный",F2006="Продажа",B2006=DATE(2023,6,7)),E2006*J2006/1000,0)</f>
        <v/>
      </c>
    </row>
    <row r="2007">
      <c r="A2007" t="n">
        <v>2006</v>
      </c>
      <c r="B2007" s="1" t="n">
        <v>45084</v>
      </c>
      <c r="C2007" s="5" t="inlineStr">
        <is>
          <t>M13</t>
        </is>
      </c>
      <c r="D2007" s="5" t="n">
        <v>50</v>
      </c>
      <c r="E2007" s="5" t="n">
        <v>322</v>
      </c>
      <c r="F2007" t="inlineStr">
        <is>
          <t>Продажа</t>
        </is>
      </c>
      <c r="H2007">
        <f>VLOOKUP(C2007,Магазин!$A$2:$C$1000,2,0)</f>
        <v/>
      </c>
      <c r="I2007">
        <f>VLOOKUP(D2007,Товар!$A$2:$F$1000,3,0)</f>
        <v/>
      </c>
      <c r="J2007">
        <f>VLOOKUP(D2007,Товар!$A$2:$F$1000,5,0)</f>
        <v/>
      </c>
      <c r="K2007">
        <f>IF(AND(H2007="Промышленный",LEFT(I2007,18)="Порошок стиральный",F2007="Продажа",B2007=DATE(2023,6,7)),E2007*J2007/1000,0)</f>
        <v/>
      </c>
    </row>
    <row r="2008">
      <c r="A2008" t="n">
        <v>2007</v>
      </c>
      <c r="B2008" s="1" t="n">
        <v>45084</v>
      </c>
      <c r="C2008" s="5" t="inlineStr">
        <is>
          <t>M13</t>
        </is>
      </c>
      <c r="D2008" s="5" t="n">
        <v>51</v>
      </c>
      <c r="E2008" s="5" t="n">
        <v>369</v>
      </c>
      <c r="F2008" t="inlineStr">
        <is>
          <t>Продажа</t>
        </is>
      </c>
      <c r="H2008">
        <f>VLOOKUP(C2008,Магазин!$A$2:$C$1000,2,0)</f>
        <v/>
      </c>
      <c r="I2008">
        <f>VLOOKUP(D2008,Товар!$A$2:$F$1000,3,0)</f>
        <v/>
      </c>
      <c r="J2008">
        <f>VLOOKUP(D2008,Товар!$A$2:$F$1000,5,0)</f>
        <v/>
      </c>
      <c r="K2008">
        <f>IF(AND(H2008="Промышленный",LEFT(I2008,18)="Порошок стиральный",F2008="Продажа",B2008=DATE(2023,6,7)),E2008*J2008/1000,0)</f>
        <v/>
      </c>
    </row>
    <row r="2009">
      <c r="A2009" t="n">
        <v>2008</v>
      </c>
      <c r="B2009" s="1" t="n">
        <v>45084</v>
      </c>
      <c r="C2009" s="5" t="inlineStr">
        <is>
          <t>M13</t>
        </is>
      </c>
      <c r="D2009" s="5" t="n">
        <v>52</v>
      </c>
      <c r="E2009" s="5" t="n">
        <v>399</v>
      </c>
      <c r="F2009" t="inlineStr">
        <is>
          <t>Продажа</t>
        </is>
      </c>
      <c r="H2009">
        <f>VLOOKUP(C2009,Магазин!$A$2:$C$1000,2,0)</f>
        <v/>
      </c>
      <c r="I2009">
        <f>VLOOKUP(D2009,Товар!$A$2:$F$1000,3,0)</f>
        <v/>
      </c>
      <c r="J2009">
        <f>VLOOKUP(D2009,Товар!$A$2:$F$1000,5,0)</f>
        <v/>
      </c>
      <c r="K2009">
        <f>IF(AND(H2009="Промышленный",LEFT(I2009,18)="Порошок стиральный",F2009="Продажа",B2009=DATE(2023,6,7)),E2009*J2009/1000,0)</f>
        <v/>
      </c>
    </row>
    <row r="2010">
      <c r="A2010" t="n">
        <v>2009</v>
      </c>
      <c r="B2010" s="1" t="n">
        <v>45084</v>
      </c>
      <c r="C2010" s="5" t="inlineStr">
        <is>
          <t>M13</t>
        </is>
      </c>
      <c r="D2010" s="5" t="n">
        <v>53</v>
      </c>
      <c r="E2010" s="5" t="n">
        <v>307</v>
      </c>
      <c r="F2010" t="inlineStr">
        <is>
          <t>Продажа</t>
        </is>
      </c>
      <c r="H2010">
        <f>VLOOKUP(C2010,Магазин!$A$2:$C$1000,2,0)</f>
        <v/>
      </c>
      <c r="I2010">
        <f>VLOOKUP(D2010,Товар!$A$2:$F$1000,3,0)</f>
        <v/>
      </c>
      <c r="J2010">
        <f>VLOOKUP(D2010,Товар!$A$2:$F$1000,5,0)</f>
        <v/>
      </c>
      <c r="K2010">
        <f>IF(AND(H2010="Промышленный",LEFT(I2010,18)="Порошок стиральный",F2010="Продажа",B2010=DATE(2023,6,7)),E2010*J2010/1000,0)</f>
        <v/>
      </c>
    </row>
    <row r="2011">
      <c r="A2011" t="n">
        <v>2010</v>
      </c>
      <c r="B2011" s="1" t="n">
        <v>45084</v>
      </c>
      <c r="C2011" s="5" t="inlineStr">
        <is>
          <t>M13</t>
        </is>
      </c>
      <c r="D2011" s="5" t="n">
        <v>54</v>
      </c>
      <c r="E2011" s="5" t="n">
        <v>302</v>
      </c>
      <c r="F2011" t="inlineStr">
        <is>
          <t>Продажа</t>
        </is>
      </c>
      <c r="H2011">
        <f>VLOOKUP(C2011,Магазин!$A$2:$C$1000,2,0)</f>
        <v/>
      </c>
      <c r="I2011">
        <f>VLOOKUP(D2011,Товар!$A$2:$F$1000,3,0)</f>
        <v/>
      </c>
      <c r="J2011">
        <f>VLOOKUP(D2011,Товар!$A$2:$F$1000,5,0)</f>
        <v/>
      </c>
      <c r="K2011">
        <f>IF(AND(H2011="Промышленный",LEFT(I2011,18)="Порошок стиральный",F2011="Продажа",B2011=DATE(2023,6,7)),E2011*J2011/1000,0)</f>
        <v/>
      </c>
    </row>
    <row r="2012">
      <c r="A2012" t="n">
        <v>2011</v>
      </c>
      <c r="B2012" s="1" t="n">
        <v>45084</v>
      </c>
      <c r="C2012" s="5" t="inlineStr">
        <is>
          <t>M13</t>
        </is>
      </c>
      <c r="D2012" s="5" t="n">
        <v>55</v>
      </c>
      <c r="E2012" s="5" t="n">
        <v>301</v>
      </c>
      <c r="F2012" t="inlineStr">
        <is>
          <t>Продажа</t>
        </is>
      </c>
      <c r="H2012">
        <f>VLOOKUP(C2012,Магазин!$A$2:$C$1000,2,0)</f>
        <v/>
      </c>
      <c r="I2012">
        <f>VLOOKUP(D2012,Товар!$A$2:$F$1000,3,0)</f>
        <v/>
      </c>
      <c r="J2012">
        <f>VLOOKUP(D2012,Товар!$A$2:$F$1000,5,0)</f>
        <v/>
      </c>
      <c r="K2012">
        <f>IF(AND(H2012="Промышленный",LEFT(I2012,18)="Порошок стиральный",F2012="Продажа",B2012=DATE(2023,6,7)),E2012*J2012/1000,0)</f>
        <v/>
      </c>
    </row>
    <row r="2013">
      <c r="A2013" t="n">
        <v>2012</v>
      </c>
      <c r="B2013" s="1" t="n">
        <v>45084</v>
      </c>
      <c r="C2013" s="5" t="inlineStr">
        <is>
          <t>M13</t>
        </is>
      </c>
      <c r="D2013" s="5" t="n">
        <v>56</v>
      </c>
      <c r="E2013" s="5" t="n">
        <v>357</v>
      </c>
      <c r="F2013" t="inlineStr">
        <is>
          <t>Продажа</t>
        </is>
      </c>
      <c r="H2013">
        <f>VLOOKUP(C2013,Магазин!$A$2:$C$1000,2,0)</f>
        <v/>
      </c>
      <c r="I2013">
        <f>VLOOKUP(D2013,Товар!$A$2:$F$1000,3,0)</f>
        <v/>
      </c>
      <c r="J2013">
        <f>VLOOKUP(D2013,Товар!$A$2:$F$1000,5,0)</f>
        <v/>
      </c>
      <c r="K2013">
        <f>IF(AND(H2013="Промышленный",LEFT(I2013,18)="Порошок стиральный",F2013="Продажа",B2013=DATE(2023,6,7)),E2013*J2013/1000,0)</f>
        <v/>
      </c>
    </row>
    <row r="2014">
      <c r="A2014" t="n">
        <v>2013</v>
      </c>
      <c r="B2014" s="1" t="n">
        <v>45084</v>
      </c>
      <c r="C2014" s="5" t="inlineStr">
        <is>
          <t>M13</t>
        </is>
      </c>
      <c r="D2014" s="5" t="n">
        <v>57</v>
      </c>
      <c r="E2014" s="5" t="n">
        <v>268</v>
      </c>
      <c r="F2014" t="inlineStr">
        <is>
          <t>Продажа</t>
        </is>
      </c>
      <c r="H2014">
        <f>VLOOKUP(C2014,Магазин!$A$2:$C$1000,2,0)</f>
        <v/>
      </c>
      <c r="I2014">
        <f>VLOOKUP(D2014,Товар!$A$2:$F$1000,3,0)</f>
        <v/>
      </c>
      <c r="J2014">
        <f>VLOOKUP(D2014,Товар!$A$2:$F$1000,5,0)</f>
        <v/>
      </c>
      <c r="K2014">
        <f>IF(AND(H2014="Промышленный",LEFT(I2014,18)="Порошок стиральный",F2014="Продажа",B2014=DATE(2023,6,7)),E2014*J2014/1000,0)</f>
        <v/>
      </c>
    </row>
    <row r="2015">
      <c r="A2015" t="n">
        <v>2014</v>
      </c>
      <c r="B2015" s="1" t="n">
        <v>45084</v>
      </c>
      <c r="C2015" s="5" t="inlineStr">
        <is>
          <t>M13</t>
        </is>
      </c>
      <c r="D2015" s="5" t="n">
        <v>58</v>
      </c>
      <c r="E2015" s="5" t="n">
        <v>279</v>
      </c>
      <c r="F2015" t="inlineStr">
        <is>
          <t>Продажа</t>
        </is>
      </c>
      <c r="H2015">
        <f>VLOOKUP(C2015,Магазин!$A$2:$C$1000,2,0)</f>
        <v/>
      </c>
      <c r="I2015">
        <f>VLOOKUP(D2015,Товар!$A$2:$F$1000,3,0)</f>
        <v/>
      </c>
      <c r="J2015">
        <f>VLOOKUP(D2015,Товар!$A$2:$F$1000,5,0)</f>
        <v/>
      </c>
      <c r="K2015">
        <f>IF(AND(H2015="Промышленный",LEFT(I2015,18)="Порошок стиральный",F2015="Продажа",B2015=DATE(2023,6,7)),E2015*J2015/1000,0)</f>
        <v/>
      </c>
    </row>
    <row r="2016">
      <c r="A2016" t="n">
        <v>2015</v>
      </c>
      <c r="B2016" s="1" t="n">
        <v>45084</v>
      </c>
      <c r="C2016" s="5" t="inlineStr">
        <is>
          <t>M13</t>
        </is>
      </c>
      <c r="D2016" s="5" t="n">
        <v>59</v>
      </c>
      <c r="E2016" s="5" t="n">
        <v>281</v>
      </c>
      <c r="F2016" t="inlineStr">
        <is>
          <t>Продажа</t>
        </is>
      </c>
      <c r="H2016">
        <f>VLOOKUP(C2016,Магазин!$A$2:$C$1000,2,0)</f>
        <v/>
      </c>
      <c r="I2016">
        <f>VLOOKUP(D2016,Товар!$A$2:$F$1000,3,0)</f>
        <v/>
      </c>
      <c r="J2016">
        <f>VLOOKUP(D2016,Товар!$A$2:$F$1000,5,0)</f>
        <v/>
      </c>
      <c r="K2016">
        <f>IF(AND(H2016="Промышленный",LEFT(I2016,18)="Порошок стиральный",F2016="Продажа",B2016=DATE(2023,6,7)),E2016*J2016/1000,0)</f>
        <v/>
      </c>
    </row>
    <row r="2017">
      <c r="A2017" t="n">
        <v>2016</v>
      </c>
      <c r="B2017" s="1" t="n">
        <v>45084</v>
      </c>
      <c r="C2017" s="5" t="inlineStr">
        <is>
          <t>M13</t>
        </is>
      </c>
      <c r="D2017" s="5" t="n">
        <v>60</v>
      </c>
      <c r="E2017" s="5" t="n">
        <v>292</v>
      </c>
      <c r="F2017" t="inlineStr">
        <is>
          <t>Продажа</t>
        </is>
      </c>
      <c r="H2017">
        <f>VLOOKUP(C2017,Магазин!$A$2:$C$1000,2,0)</f>
        <v/>
      </c>
      <c r="I2017">
        <f>VLOOKUP(D2017,Товар!$A$2:$F$1000,3,0)</f>
        <v/>
      </c>
      <c r="J2017">
        <f>VLOOKUP(D2017,Товар!$A$2:$F$1000,5,0)</f>
        <v/>
      </c>
      <c r="K2017">
        <f>IF(AND(H2017="Промышленный",LEFT(I2017,18)="Порошок стиральный",F2017="Продажа",B2017=DATE(2023,6,7)),E2017*J2017/1000,0)</f>
        <v/>
      </c>
    </row>
    <row r="2018">
      <c r="A2018" t="n">
        <v>2017</v>
      </c>
      <c r="B2018" s="1" t="n">
        <v>45084</v>
      </c>
      <c r="C2018" s="5" t="inlineStr">
        <is>
          <t>M16</t>
        </is>
      </c>
      <c r="D2018" s="5" t="n">
        <v>37</v>
      </c>
      <c r="E2018" s="5" t="n">
        <v>203</v>
      </c>
      <c r="F2018" t="inlineStr">
        <is>
          <t>Продажа</t>
        </is>
      </c>
      <c r="H2018">
        <f>VLOOKUP(C2018,Магазин!$A$2:$C$1000,2,0)</f>
        <v/>
      </c>
      <c r="I2018">
        <f>VLOOKUP(D2018,Товар!$A$2:$F$1000,3,0)</f>
        <v/>
      </c>
      <c r="J2018">
        <f>VLOOKUP(D2018,Товар!$A$2:$F$1000,5,0)</f>
        <v/>
      </c>
      <c r="K2018">
        <f>IF(AND(H2018="Промышленный",LEFT(I2018,18)="Порошок стиральный",F2018="Продажа",B2018=DATE(2023,6,7)),E2018*J2018/1000,0)</f>
        <v/>
      </c>
    </row>
    <row r="2019">
      <c r="A2019" t="n">
        <v>2018</v>
      </c>
      <c r="B2019" s="1" t="n">
        <v>45084</v>
      </c>
      <c r="C2019" s="5" t="inlineStr">
        <is>
          <t>M16</t>
        </is>
      </c>
      <c r="D2019" s="5" t="n">
        <v>38</v>
      </c>
      <c r="E2019" s="5" t="n">
        <v>214</v>
      </c>
      <c r="F2019" t="inlineStr">
        <is>
          <t>Продажа</t>
        </is>
      </c>
      <c r="H2019">
        <f>VLOOKUP(C2019,Магазин!$A$2:$C$1000,2,0)</f>
        <v/>
      </c>
      <c r="I2019">
        <f>VLOOKUP(D2019,Товар!$A$2:$F$1000,3,0)</f>
        <v/>
      </c>
      <c r="J2019">
        <f>VLOOKUP(D2019,Товар!$A$2:$F$1000,5,0)</f>
        <v/>
      </c>
      <c r="K2019">
        <f>IF(AND(H2019="Промышленный",LEFT(I2019,18)="Порошок стиральный",F2019="Продажа",B2019=DATE(2023,6,7)),E2019*J2019/1000,0)</f>
        <v/>
      </c>
    </row>
    <row r="2020">
      <c r="A2020" t="n">
        <v>2019</v>
      </c>
      <c r="B2020" s="1" t="n">
        <v>45084</v>
      </c>
      <c r="C2020" s="5" t="inlineStr">
        <is>
          <t>M16</t>
        </is>
      </c>
      <c r="D2020" s="5" t="n">
        <v>39</v>
      </c>
      <c r="E2020" s="5" t="n">
        <v>225</v>
      </c>
      <c r="F2020" t="inlineStr">
        <is>
          <t>Продажа</t>
        </is>
      </c>
      <c r="H2020">
        <f>VLOOKUP(C2020,Магазин!$A$2:$C$1000,2,0)</f>
        <v/>
      </c>
      <c r="I2020">
        <f>VLOOKUP(D2020,Товар!$A$2:$F$1000,3,0)</f>
        <v/>
      </c>
      <c r="J2020">
        <f>VLOOKUP(D2020,Товар!$A$2:$F$1000,5,0)</f>
        <v/>
      </c>
      <c r="K2020">
        <f>IF(AND(H2020="Промышленный",LEFT(I2020,18)="Порошок стиральный",F2020="Продажа",B2020=DATE(2023,6,7)),E2020*J2020/1000,0)</f>
        <v/>
      </c>
    </row>
    <row r="2021">
      <c r="A2021" t="n">
        <v>2020</v>
      </c>
      <c r="B2021" s="1" t="n">
        <v>45084</v>
      </c>
      <c r="C2021" s="5" t="inlineStr">
        <is>
          <t>M16</t>
        </is>
      </c>
      <c r="D2021" s="5" t="n">
        <v>40</v>
      </c>
      <c r="E2021" s="5" t="n">
        <v>357</v>
      </c>
      <c r="F2021" t="inlineStr">
        <is>
          <t>Продажа</t>
        </is>
      </c>
      <c r="H2021">
        <f>VLOOKUP(C2021,Магазин!$A$2:$C$1000,2,0)</f>
        <v/>
      </c>
      <c r="I2021">
        <f>VLOOKUP(D2021,Товар!$A$2:$F$1000,3,0)</f>
        <v/>
      </c>
      <c r="J2021">
        <f>VLOOKUP(D2021,Товар!$A$2:$F$1000,5,0)</f>
        <v/>
      </c>
      <c r="K2021">
        <f>IF(AND(H2021="Промышленный",LEFT(I2021,18)="Порошок стиральный",F2021="Продажа",B2021=DATE(2023,6,7)),E2021*J2021/1000,0)</f>
        <v/>
      </c>
    </row>
    <row r="2022">
      <c r="A2022" t="n">
        <v>2021</v>
      </c>
      <c r="B2022" s="1" t="n">
        <v>45084</v>
      </c>
      <c r="C2022" s="5" t="inlineStr">
        <is>
          <t>M16</t>
        </is>
      </c>
      <c r="D2022" s="5" t="n">
        <v>41</v>
      </c>
      <c r="E2022" s="5" t="n">
        <v>355</v>
      </c>
      <c r="F2022" t="inlineStr">
        <is>
          <t>Продажа</t>
        </is>
      </c>
      <c r="H2022">
        <f>VLOOKUP(C2022,Магазин!$A$2:$C$1000,2,0)</f>
        <v/>
      </c>
      <c r="I2022">
        <f>VLOOKUP(D2022,Товар!$A$2:$F$1000,3,0)</f>
        <v/>
      </c>
      <c r="J2022">
        <f>VLOOKUP(D2022,Товар!$A$2:$F$1000,5,0)</f>
        <v/>
      </c>
      <c r="K2022">
        <f>IF(AND(H2022="Промышленный",LEFT(I2022,18)="Порошок стиральный",F2022="Продажа",B2022=DATE(2023,6,7)),E2022*J2022/1000,0)</f>
        <v/>
      </c>
    </row>
    <row r="2023">
      <c r="A2023" t="n">
        <v>2022</v>
      </c>
      <c r="B2023" s="1" t="n">
        <v>45084</v>
      </c>
      <c r="C2023" s="5" t="inlineStr">
        <is>
          <t>M16</t>
        </is>
      </c>
      <c r="D2023" s="5" t="n">
        <v>42</v>
      </c>
      <c r="E2023" s="5" t="n">
        <v>343</v>
      </c>
      <c r="F2023" t="inlineStr">
        <is>
          <t>Продажа</t>
        </is>
      </c>
      <c r="H2023">
        <f>VLOOKUP(C2023,Магазин!$A$2:$C$1000,2,0)</f>
        <v/>
      </c>
      <c r="I2023">
        <f>VLOOKUP(D2023,Товар!$A$2:$F$1000,3,0)</f>
        <v/>
      </c>
      <c r="J2023">
        <f>VLOOKUP(D2023,Товар!$A$2:$F$1000,5,0)</f>
        <v/>
      </c>
      <c r="K2023">
        <f>IF(AND(H2023="Промышленный",LEFT(I2023,18)="Порошок стиральный",F2023="Продажа",B2023=DATE(2023,6,7)),E2023*J2023/1000,0)</f>
        <v/>
      </c>
    </row>
    <row r="2024">
      <c r="A2024" t="n">
        <v>2023</v>
      </c>
      <c r="B2024" s="1" t="n">
        <v>45084</v>
      </c>
      <c r="C2024" s="5" t="inlineStr">
        <is>
          <t>M16</t>
        </is>
      </c>
      <c r="D2024" s="5" t="n">
        <v>43</v>
      </c>
      <c r="E2024" s="5" t="n">
        <v>322</v>
      </c>
      <c r="F2024" t="inlineStr">
        <is>
          <t>Продажа</t>
        </is>
      </c>
      <c r="H2024">
        <f>VLOOKUP(C2024,Магазин!$A$2:$C$1000,2,0)</f>
        <v/>
      </c>
      <c r="I2024">
        <f>VLOOKUP(D2024,Товар!$A$2:$F$1000,3,0)</f>
        <v/>
      </c>
      <c r="J2024">
        <f>VLOOKUP(D2024,Товар!$A$2:$F$1000,5,0)</f>
        <v/>
      </c>
      <c r="K2024">
        <f>IF(AND(H2024="Промышленный",LEFT(I2024,18)="Порошок стиральный",F2024="Продажа",B2024=DATE(2023,6,7)),E2024*J2024/1000,0)</f>
        <v/>
      </c>
    </row>
    <row r="2025">
      <c r="A2025" t="n">
        <v>2024</v>
      </c>
      <c r="B2025" s="1" t="n">
        <v>45084</v>
      </c>
      <c r="C2025" s="5" t="inlineStr">
        <is>
          <t>M16</t>
        </is>
      </c>
      <c r="D2025" s="5" t="n">
        <v>44</v>
      </c>
      <c r="E2025" s="5" t="n">
        <v>369</v>
      </c>
      <c r="F2025" t="inlineStr">
        <is>
          <t>Продажа</t>
        </is>
      </c>
      <c r="H2025">
        <f>VLOOKUP(C2025,Магазин!$A$2:$C$1000,2,0)</f>
        <v/>
      </c>
      <c r="I2025">
        <f>VLOOKUP(D2025,Товар!$A$2:$F$1000,3,0)</f>
        <v/>
      </c>
      <c r="J2025">
        <f>VLOOKUP(D2025,Товар!$A$2:$F$1000,5,0)</f>
        <v/>
      </c>
      <c r="K2025">
        <f>IF(AND(H2025="Промышленный",LEFT(I2025,18)="Порошок стиральный",F2025="Продажа",B2025=DATE(2023,6,7)),E2025*J2025/1000,0)</f>
        <v/>
      </c>
    </row>
    <row r="2026">
      <c r="A2026" t="n">
        <v>2025</v>
      </c>
      <c r="B2026" s="1" t="n">
        <v>45084</v>
      </c>
      <c r="C2026" s="5" t="inlineStr">
        <is>
          <t>M16</t>
        </is>
      </c>
      <c r="D2026" s="5" t="n">
        <v>45</v>
      </c>
      <c r="E2026" s="5" t="n">
        <v>399</v>
      </c>
      <c r="F2026" t="inlineStr">
        <is>
          <t>Продажа</t>
        </is>
      </c>
      <c r="H2026">
        <f>VLOOKUP(C2026,Магазин!$A$2:$C$1000,2,0)</f>
        <v/>
      </c>
      <c r="I2026">
        <f>VLOOKUP(D2026,Товар!$A$2:$F$1000,3,0)</f>
        <v/>
      </c>
      <c r="J2026">
        <f>VLOOKUP(D2026,Товар!$A$2:$F$1000,5,0)</f>
        <v/>
      </c>
      <c r="K2026">
        <f>IF(AND(H2026="Промышленный",LEFT(I2026,18)="Порошок стиральный",F2026="Продажа",B2026=DATE(2023,6,7)),E2026*J2026/1000,0)</f>
        <v/>
      </c>
    </row>
    <row r="2027">
      <c r="A2027" t="n">
        <v>2026</v>
      </c>
      <c r="B2027" s="1" t="n">
        <v>45084</v>
      </c>
      <c r="C2027" s="5" t="inlineStr">
        <is>
          <t>M16</t>
        </is>
      </c>
      <c r="D2027" s="5" t="n">
        <v>46</v>
      </c>
      <c r="E2027" s="5" t="n">
        <v>307</v>
      </c>
      <c r="F2027" t="inlineStr">
        <is>
          <t>Продажа</t>
        </is>
      </c>
      <c r="H2027">
        <f>VLOOKUP(C2027,Магазин!$A$2:$C$1000,2,0)</f>
        <v/>
      </c>
      <c r="I2027">
        <f>VLOOKUP(D2027,Товар!$A$2:$F$1000,3,0)</f>
        <v/>
      </c>
      <c r="J2027">
        <f>VLOOKUP(D2027,Товар!$A$2:$F$1000,5,0)</f>
        <v/>
      </c>
      <c r="K2027">
        <f>IF(AND(H2027="Промышленный",LEFT(I2027,18)="Порошок стиральный",F2027="Продажа",B2027=DATE(2023,6,7)),E2027*J2027/1000,0)</f>
        <v/>
      </c>
    </row>
    <row r="2028">
      <c r="A2028" t="n">
        <v>2027</v>
      </c>
      <c r="B2028" s="1" t="n">
        <v>45084</v>
      </c>
      <c r="C2028" s="5" t="inlineStr">
        <is>
          <t>M16</t>
        </is>
      </c>
      <c r="D2028" s="5" t="n">
        <v>47</v>
      </c>
      <c r="E2028" s="5" t="n">
        <v>302</v>
      </c>
      <c r="F2028" t="inlineStr">
        <is>
          <t>Продажа</t>
        </is>
      </c>
      <c r="H2028">
        <f>VLOOKUP(C2028,Магазин!$A$2:$C$1000,2,0)</f>
        <v/>
      </c>
      <c r="I2028">
        <f>VLOOKUP(D2028,Товар!$A$2:$F$1000,3,0)</f>
        <v/>
      </c>
      <c r="J2028">
        <f>VLOOKUP(D2028,Товар!$A$2:$F$1000,5,0)</f>
        <v/>
      </c>
      <c r="K2028">
        <f>IF(AND(H2028="Промышленный",LEFT(I2028,18)="Порошок стиральный",F2028="Продажа",B2028=DATE(2023,6,7)),E2028*J2028/1000,0)</f>
        <v/>
      </c>
    </row>
    <row r="2029">
      <c r="A2029" t="n">
        <v>2028</v>
      </c>
      <c r="B2029" s="1" t="n">
        <v>45084</v>
      </c>
      <c r="C2029" s="5" t="inlineStr">
        <is>
          <t>M16</t>
        </is>
      </c>
      <c r="D2029" s="5" t="n">
        <v>48</v>
      </c>
      <c r="E2029" s="5" t="n">
        <v>301</v>
      </c>
      <c r="F2029" t="inlineStr">
        <is>
          <t>Продажа</t>
        </is>
      </c>
      <c r="H2029">
        <f>VLOOKUP(C2029,Магазин!$A$2:$C$1000,2,0)</f>
        <v/>
      </c>
      <c r="I2029">
        <f>VLOOKUP(D2029,Товар!$A$2:$F$1000,3,0)</f>
        <v/>
      </c>
      <c r="J2029">
        <f>VLOOKUP(D2029,Товар!$A$2:$F$1000,5,0)</f>
        <v/>
      </c>
      <c r="K2029">
        <f>IF(AND(H2029="Промышленный",LEFT(I2029,18)="Порошок стиральный",F2029="Продажа",B2029=DATE(2023,6,7)),E2029*J2029/1000,0)</f>
        <v/>
      </c>
    </row>
    <row r="2030">
      <c r="A2030" t="n">
        <v>2029</v>
      </c>
      <c r="B2030" s="1" t="n">
        <v>45084</v>
      </c>
      <c r="C2030" s="5" t="inlineStr">
        <is>
          <t>M16</t>
        </is>
      </c>
      <c r="D2030" s="5" t="n">
        <v>49</v>
      </c>
      <c r="E2030" s="5" t="n">
        <v>357</v>
      </c>
      <c r="F2030" t="inlineStr">
        <is>
          <t>Продажа</t>
        </is>
      </c>
      <c r="H2030">
        <f>VLOOKUP(C2030,Магазин!$A$2:$C$1000,2,0)</f>
        <v/>
      </c>
      <c r="I2030">
        <f>VLOOKUP(D2030,Товар!$A$2:$F$1000,3,0)</f>
        <v/>
      </c>
      <c r="J2030">
        <f>VLOOKUP(D2030,Товар!$A$2:$F$1000,5,0)</f>
        <v/>
      </c>
      <c r="K2030">
        <f>IF(AND(H2030="Промышленный",LEFT(I2030,18)="Порошок стиральный",F2030="Продажа",B2030=DATE(2023,6,7)),E2030*J2030/1000,0)</f>
        <v/>
      </c>
    </row>
    <row r="2031">
      <c r="A2031" t="n">
        <v>2030</v>
      </c>
      <c r="B2031" s="1" t="n">
        <v>45084</v>
      </c>
      <c r="C2031" s="5" t="inlineStr">
        <is>
          <t>M16</t>
        </is>
      </c>
      <c r="D2031" s="5" t="n">
        <v>50</v>
      </c>
      <c r="E2031" s="5" t="n">
        <v>268</v>
      </c>
      <c r="F2031" t="inlineStr">
        <is>
          <t>Продажа</t>
        </is>
      </c>
      <c r="H2031">
        <f>VLOOKUP(C2031,Магазин!$A$2:$C$1000,2,0)</f>
        <v/>
      </c>
      <c r="I2031">
        <f>VLOOKUP(D2031,Товар!$A$2:$F$1000,3,0)</f>
        <v/>
      </c>
      <c r="J2031">
        <f>VLOOKUP(D2031,Товар!$A$2:$F$1000,5,0)</f>
        <v/>
      </c>
      <c r="K2031">
        <f>IF(AND(H2031="Промышленный",LEFT(I2031,18)="Порошок стиральный",F2031="Продажа",B2031=DATE(2023,6,7)),E2031*J2031/1000,0)</f>
        <v/>
      </c>
    </row>
    <row r="2032">
      <c r="A2032" t="n">
        <v>2031</v>
      </c>
      <c r="B2032" s="1" t="n">
        <v>45084</v>
      </c>
      <c r="C2032" s="5" t="inlineStr">
        <is>
          <t>M16</t>
        </is>
      </c>
      <c r="D2032" s="5" t="n">
        <v>51</v>
      </c>
      <c r="E2032" s="5" t="n">
        <v>279</v>
      </c>
      <c r="F2032" t="inlineStr">
        <is>
          <t>Продажа</t>
        </is>
      </c>
      <c r="H2032">
        <f>VLOOKUP(C2032,Магазин!$A$2:$C$1000,2,0)</f>
        <v/>
      </c>
      <c r="I2032">
        <f>VLOOKUP(D2032,Товар!$A$2:$F$1000,3,0)</f>
        <v/>
      </c>
      <c r="J2032">
        <f>VLOOKUP(D2032,Товар!$A$2:$F$1000,5,0)</f>
        <v/>
      </c>
      <c r="K2032">
        <f>IF(AND(H2032="Промышленный",LEFT(I2032,18)="Порошок стиральный",F2032="Продажа",B2032=DATE(2023,6,7)),E2032*J2032/1000,0)</f>
        <v/>
      </c>
    </row>
    <row r="2033">
      <c r="A2033" t="n">
        <v>2032</v>
      </c>
      <c r="B2033" s="1" t="n">
        <v>45084</v>
      </c>
      <c r="C2033" s="5" t="inlineStr">
        <is>
          <t>M16</t>
        </is>
      </c>
      <c r="D2033" s="5" t="n">
        <v>52</v>
      </c>
      <c r="E2033" s="5" t="n">
        <v>357</v>
      </c>
      <c r="F2033" t="inlineStr">
        <is>
          <t>Продажа</t>
        </is>
      </c>
      <c r="H2033">
        <f>VLOOKUP(C2033,Магазин!$A$2:$C$1000,2,0)</f>
        <v/>
      </c>
      <c r="I2033">
        <f>VLOOKUP(D2033,Товар!$A$2:$F$1000,3,0)</f>
        <v/>
      </c>
      <c r="J2033">
        <f>VLOOKUP(D2033,Товар!$A$2:$F$1000,5,0)</f>
        <v/>
      </c>
      <c r="K2033">
        <f>IF(AND(H2033="Промышленный",LEFT(I2033,18)="Порошок стиральный",F2033="Продажа",B2033=DATE(2023,6,7)),E2033*J2033/1000,0)</f>
        <v/>
      </c>
    </row>
    <row r="2034">
      <c r="A2034" t="n">
        <v>2033</v>
      </c>
      <c r="B2034" s="1" t="n">
        <v>45084</v>
      </c>
      <c r="C2034" s="5" t="inlineStr">
        <is>
          <t>M16</t>
        </is>
      </c>
      <c r="D2034" s="5" t="n">
        <v>53</v>
      </c>
      <c r="E2034" s="5" t="n">
        <v>355</v>
      </c>
      <c r="F2034" t="inlineStr">
        <is>
          <t>Продажа</t>
        </is>
      </c>
      <c r="H2034">
        <f>VLOOKUP(C2034,Магазин!$A$2:$C$1000,2,0)</f>
        <v/>
      </c>
      <c r="I2034">
        <f>VLOOKUP(D2034,Товар!$A$2:$F$1000,3,0)</f>
        <v/>
      </c>
      <c r="J2034">
        <f>VLOOKUP(D2034,Товар!$A$2:$F$1000,5,0)</f>
        <v/>
      </c>
      <c r="K2034">
        <f>IF(AND(H2034="Промышленный",LEFT(I2034,18)="Порошок стиральный",F2034="Продажа",B2034=DATE(2023,6,7)),E2034*J2034/1000,0)</f>
        <v/>
      </c>
    </row>
    <row r="2035">
      <c r="A2035" t="n">
        <v>2034</v>
      </c>
      <c r="B2035" s="1" t="n">
        <v>45084</v>
      </c>
      <c r="C2035" s="5" t="inlineStr">
        <is>
          <t>M16</t>
        </is>
      </c>
      <c r="D2035" s="5" t="n">
        <v>54</v>
      </c>
      <c r="E2035" s="5" t="n">
        <v>343</v>
      </c>
      <c r="F2035" t="inlineStr">
        <is>
          <t>Продажа</t>
        </is>
      </c>
      <c r="H2035">
        <f>VLOOKUP(C2035,Магазин!$A$2:$C$1000,2,0)</f>
        <v/>
      </c>
      <c r="I2035">
        <f>VLOOKUP(D2035,Товар!$A$2:$F$1000,3,0)</f>
        <v/>
      </c>
      <c r="J2035">
        <f>VLOOKUP(D2035,Товар!$A$2:$F$1000,5,0)</f>
        <v/>
      </c>
      <c r="K2035">
        <f>IF(AND(H2035="Промышленный",LEFT(I2035,18)="Порошок стиральный",F2035="Продажа",B2035=DATE(2023,6,7)),E2035*J2035/1000,0)</f>
        <v/>
      </c>
    </row>
    <row r="2036">
      <c r="A2036" t="n">
        <v>2035</v>
      </c>
      <c r="B2036" s="1" t="n">
        <v>45084</v>
      </c>
      <c r="C2036" s="5" t="inlineStr">
        <is>
          <t>M16</t>
        </is>
      </c>
      <c r="D2036" s="5" t="n">
        <v>55</v>
      </c>
      <c r="E2036" s="5" t="n">
        <v>322</v>
      </c>
      <c r="F2036" t="inlineStr">
        <is>
          <t>Продажа</t>
        </is>
      </c>
      <c r="H2036">
        <f>VLOOKUP(C2036,Магазин!$A$2:$C$1000,2,0)</f>
        <v/>
      </c>
      <c r="I2036">
        <f>VLOOKUP(D2036,Товар!$A$2:$F$1000,3,0)</f>
        <v/>
      </c>
      <c r="J2036">
        <f>VLOOKUP(D2036,Товар!$A$2:$F$1000,5,0)</f>
        <v/>
      </c>
      <c r="K2036">
        <f>IF(AND(H2036="Промышленный",LEFT(I2036,18)="Порошок стиральный",F2036="Продажа",B2036=DATE(2023,6,7)),E2036*J2036/1000,0)</f>
        <v/>
      </c>
    </row>
    <row r="2037">
      <c r="A2037" t="n">
        <v>2036</v>
      </c>
      <c r="B2037" s="1" t="n">
        <v>45084</v>
      </c>
      <c r="C2037" s="5" t="inlineStr">
        <is>
          <t>M16</t>
        </is>
      </c>
      <c r="D2037" s="5" t="n">
        <v>56</v>
      </c>
      <c r="E2037" s="5" t="n">
        <v>369</v>
      </c>
      <c r="F2037" t="inlineStr">
        <is>
          <t>Продажа</t>
        </is>
      </c>
      <c r="H2037">
        <f>VLOOKUP(C2037,Магазин!$A$2:$C$1000,2,0)</f>
        <v/>
      </c>
      <c r="I2037">
        <f>VLOOKUP(D2037,Товар!$A$2:$F$1000,3,0)</f>
        <v/>
      </c>
      <c r="J2037">
        <f>VLOOKUP(D2037,Товар!$A$2:$F$1000,5,0)</f>
        <v/>
      </c>
      <c r="K2037">
        <f>IF(AND(H2037="Промышленный",LEFT(I2037,18)="Порошок стиральный",F2037="Продажа",B2037=DATE(2023,6,7)),E2037*J2037/1000,0)</f>
        <v/>
      </c>
    </row>
    <row r="2038">
      <c r="A2038" t="n">
        <v>2037</v>
      </c>
      <c r="B2038" s="1" t="n">
        <v>45084</v>
      </c>
      <c r="C2038" s="5" t="inlineStr">
        <is>
          <t>M16</t>
        </is>
      </c>
      <c r="D2038" s="5" t="n">
        <v>57</v>
      </c>
      <c r="E2038" s="5" t="n">
        <v>399</v>
      </c>
      <c r="F2038" t="inlineStr">
        <is>
          <t>Продажа</t>
        </is>
      </c>
      <c r="H2038">
        <f>VLOOKUP(C2038,Магазин!$A$2:$C$1000,2,0)</f>
        <v/>
      </c>
      <c r="I2038">
        <f>VLOOKUP(D2038,Товар!$A$2:$F$1000,3,0)</f>
        <v/>
      </c>
      <c r="J2038">
        <f>VLOOKUP(D2038,Товар!$A$2:$F$1000,5,0)</f>
        <v/>
      </c>
      <c r="K2038">
        <f>IF(AND(H2038="Промышленный",LEFT(I2038,18)="Порошок стиральный",F2038="Продажа",B2038=DATE(2023,6,7)),E2038*J2038/1000,0)</f>
        <v/>
      </c>
    </row>
    <row r="2039">
      <c r="A2039" t="n">
        <v>2038</v>
      </c>
      <c r="B2039" s="1" t="n">
        <v>45084</v>
      </c>
      <c r="C2039" s="5" t="inlineStr">
        <is>
          <t>M16</t>
        </is>
      </c>
      <c r="D2039" s="5" t="n">
        <v>58</v>
      </c>
      <c r="E2039" s="5" t="n">
        <v>307</v>
      </c>
      <c r="F2039" t="inlineStr">
        <is>
          <t>Продажа</t>
        </is>
      </c>
      <c r="H2039">
        <f>VLOOKUP(C2039,Магазин!$A$2:$C$1000,2,0)</f>
        <v/>
      </c>
      <c r="I2039">
        <f>VLOOKUP(D2039,Товар!$A$2:$F$1000,3,0)</f>
        <v/>
      </c>
      <c r="J2039">
        <f>VLOOKUP(D2039,Товар!$A$2:$F$1000,5,0)</f>
        <v/>
      </c>
      <c r="K2039">
        <f>IF(AND(H2039="Промышленный",LEFT(I2039,18)="Порошок стиральный",F2039="Продажа",B2039=DATE(2023,6,7)),E2039*J2039/1000,0)</f>
        <v/>
      </c>
    </row>
    <row r="2040">
      <c r="A2040" t="n">
        <v>2039</v>
      </c>
      <c r="B2040" s="1" t="n">
        <v>45084</v>
      </c>
      <c r="C2040" s="5" t="inlineStr">
        <is>
          <t>M16</t>
        </is>
      </c>
      <c r="D2040" s="5" t="n">
        <v>59</v>
      </c>
      <c r="E2040" s="5" t="n">
        <v>302</v>
      </c>
      <c r="F2040" t="inlineStr">
        <is>
          <t>Продажа</t>
        </is>
      </c>
      <c r="H2040">
        <f>VLOOKUP(C2040,Магазин!$A$2:$C$1000,2,0)</f>
        <v/>
      </c>
      <c r="I2040">
        <f>VLOOKUP(D2040,Товар!$A$2:$F$1000,3,0)</f>
        <v/>
      </c>
      <c r="J2040">
        <f>VLOOKUP(D2040,Товар!$A$2:$F$1000,5,0)</f>
        <v/>
      </c>
      <c r="K2040">
        <f>IF(AND(H2040="Промышленный",LEFT(I2040,18)="Порошок стиральный",F2040="Продажа",B2040=DATE(2023,6,7)),E2040*J2040/1000,0)</f>
        <v/>
      </c>
    </row>
    <row r="2041">
      <c r="A2041" t="n">
        <v>2040</v>
      </c>
      <c r="B2041" s="1" t="n">
        <v>45084</v>
      </c>
      <c r="C2041" s="5" t="inlineStr">
        <is>
          <t>M16</t>
        </is>
      </c>
      <c r="D2041" s="5" t="n">
        <v>60</v>
      </c>
      <c r="E2041" s="5" t="n">
        <v>301</v>
      </c>
      <c r="F2041" t="inlineStr">
        <is>
          <t>Продажа</t>
        </is>
      </c>
      <c r="H2041">
        <f>VLOOKUP(C2041,Магазин!$A$2:$C$1000,2,0)</f>
        <v/>
      </c>
      <c r="I2041">
        <f>VLOOKUP(D2041,Товар!$A$2:$F$1000,3,0)</f>
        <v/>
      </c>
      <c r="J2041">
        <f>VLOOKUP(D2041,Товар!$A$2:$F$1000,5,0)</f>
        <v/>
      </c>
      <c r="K2041">
        <f>IF(AND(H2041="Промышленный",LEFT(I2041,18)="Порошок стиральный",F2041="Продажа",B2041=DATE(2023,6,7)),E2041*J2041/1000,0)</f>
        <v/>
      </c>
    </row>
    <row r="2042">
      <c r="A2042" t="n">
        <v>2041</v>
      </c>
      <c r="B2042" s="1" t="n">
        <v>45084</v>
      </c>
      <c r="C2042" s="5" t="inlineStr">
        <is>
          <t>M3</t>
        </is>
      </c>
      <c r="D2042" s="5" t="n">
        <v>37</v>
      </c>
      <c r="E2042" s="5" t="n">
        <v>180</v>
      </c>
      <c r="F2042" t="inlineStr">
        <is>
          <t>Продажа</t>
        </is>
      </c>
      <c r="H2042">
        <f>VLOOKUP(C2042,Магазин!$A$2:$C$1000,2,0)</f>
        <v/>
      </c>
      <c r="I2042">
        <f>VLOOKUP(D2042,Товар!$A$2:$F$1000,3,0)</f>
        <v/>
      </c>
      <c r="J2042">
        <f>VLOOKUP(D2042,Товар!$A$2:$F$1000,5,0)</f>
        <v/>
      </c>
      <c r="K2042">
        <f>IF(AND(H2042="Промышленный",LEFT(I2042,18)="Порошок стиральный",F2042="Продажа",B2042=DATE(2023,6,7)),E2042*J2042/1000,0)</f>
        <v/>
      </c>
    </row>
    <row r="2043">
      <c r="A2043" t="n">
        <v>2042</v>
      </c>
      <c r="B2043" s="1" t="n">
        <v>45084</v>
      </c>
      <c r="C2043" s="5" t="inlineStr">
        <is>
          <t>M3</t>
        </is>
      </c>
      <c r="D2043" s="5" t="n">
        <v>38</v>
      </c>
      <c r="E2043" s="5" t="n">
        <v>142</v>
      </c>
      <c r="F2043" t="inlineStr">
        <is>
          <t>Продажа</t>
        </is>
      </c>
      <c r="H2043">
        <f>VLOOKUP(C2043,Магазин!$A$2:$C$1000,2,0)</f>
        <v/>
      </c>
      <c r="I2043">
        <f>VLOOKUP(D2043,Товар!$A$2:$F$1000,3,0)</f>
        <v/>
      </c>
      <c r="J2043">
        <f>VLOOKUP(D2043,Товар!$A$2:$F$1000,5,0)</f>
        <v/>
      </c>
      <c r="K2043">
        <f>IF(AND(H2043="Промышленный",LEFT(I2043,18)="Порошок стиральный",F2043="Продажа",B2043=DATE(2023,6,7)),E2043*J2043/1000,0)</f>
        <v/>
      </c>
    </row>
    <row r="2044">
      <c r="A2044" t="n">
        <v>2043</v>
      </c>
      <c r="B2044" s="1" t="n">
        <v>45084</v>
      </c>
      <c r="C2044" s="5" t="inlineStr">
        <is>
          <t>M3</t>
        </is>
      </c>
      <c r="D2044" s="5" t="n">
        <v>39</v>
      </c>
      <c r="E2044" s="5" t="n">
        <v>156</v>
      </c>
      <c r="F2044" t="inlineStr">
        <is>
          <t>Продажа</t>
        </is>
      </c>
      <c r="H2044">
        <f>VLOOKUP(C2044,Магазин!$A$2:$C$1000,2,0)</f>
        <v/>
      </c>
      <c r="I2044">
        <f>VLOOKUP(D2044,Товар!$A$2:$F$1000,3,0)</f>
        <v/>
      </c>
      <c r="J2044">
        <f>VLOOKUP(D2044,Товар!$A$2:$F$1000,5,0)</f>
        <v/>
      </c>
      <c r="K2044">
        <f>IF(AND(H2044="Промышленный",LEFT(I2044,18)="Порошок стиральный",F2044="Продажа",B2044=DATE(2023,6,7)),E2044*J2044/1000,0)</f>
        <v/>
      </c>
    </row>
    <row r="2045">
      <c r="A2045" t="n">
        <v>2044</v>
      </c>
      <c r="B2045" s="1" t="n">
        <v>45084</v>
      </c>
      <c r="C2045" s="5" t="inlineStr">
        <is>
          <t>M3</t>
        </is>
      </c>
      <c r="D2045" s="5" t="n">
        <v>40</v>
      </c>
      <c r="E2045" s="5" t="n">
        <v>144</v>
      </c>
      <c r="F2045" t="inlineStr">
        <is>
          <t>Продажа</t>
        </is>
      </c>
      <c r="H2045">
        <f>VLOOKUP(C2045,Магазин!$A$2:$C$1000,2,0)</f>
        <v/>
      </c>
      <c r="I2045">
        <f>VLOOKUP(D2045,Товар!$A$2:$F$1000,3,0)</f>
        <v/>
      </c>
      <c r="J2045">
        <f>VLOOKUP(D2045,Товар!$A$2:$F$1000,5,0)</f>
        <v/>
      </c>
      <c r="K2045">
        <f>IF(AND(H2045="Промышленный",LEFT(I2045,18)="Порошок стиральный",F2045="Продажа",B2045=DATE(2023,6,7)),E2045*J2045/1000,0)</f>
        <v/>
      </c>
    </row>
    <row r="2046">
      <c r="A2046" t="n">
        <v>2045</v>
      </c>
      <c r="B2046" s="1" t="n">
        <v>45084</v>
      </c>
      <c r="C2046" s="5" t="inlineStr">
        <is>
          <t>M3</t>
        </is>
      </c>
      <c r="D2046" s="5" t="n">
        <v>41</v>
      </c>
      <c r="E2046" s="5" t="n">
        <v>178</v>
      </c>
      <c r="F2046" t="inlineStr">
        <is>
          <t>Продажа</t>
        </is>
      </c>
      <c r="H2046">
        <f>VLOOKUP(C2046,Магазин!$A$2:$C$1000,2,0)</f>
        <v/>
      </c>
      <c r="I2046">
        <f>VLOOKUP(D2046,Товар!$A$2:$F$1000,3,0)</f>
        <v/>
      </c>
      <c r="J2046">
        <f>VLOOKUP(D2046,Товар!$A$2:$F$1000,5,0)</f>
        <v/>
      </c>
      <c r="K2046">
        <f>IF(AND(H2046="Промышленный",LEFT(I2046,18)="Порошок стиральный",F2046="Продажа",B2046=DATE(2023,6,7)),E2046*J2046/1000,0)</f>
        <v/>
      </c>
    </row>
    <row r="2047">
      <c r="A2047" t="n">
        <v>2046</v>
      </c>
      <c r="B2047" s="1" t="n">
        <v>45084</v>
      </c>
      <c r="C2047" s="5" t="inlineStr">
        <is>
          <t>M3</t>
        </is>
      </c>
      <c r="D2047" s="5" t="n">
        <v>42</v>
      </c>
      <c r="E2047" s="5" t="n">
        <v>169</v>
      </c>
      <c r="F2047" t="inlineStr">
        <is>
          <t>Продажа</t>
        </is>
      </c>
      <c r="H2047">
        <f>VLOOKUP(C2047,Магазин!$A$2:$C$1000,2,0)</f>
        <v/>
      </c>
      <c r="I2047">
        <f>VLOOKUP(D2047,Товар!$A$2:$F$1000,3,0)</f>
        <v/>
      </c>
      <c r="J2047">
        <f>VLOOKUP(D2047,Товар!$A$2:$F$1000,5,0)</f>
        <v/>
      </c>
      <c r="K2047">
        <f>IF(AND(H2047="Промышленный",LEFT(I2047,18)="Порошок стиральный",F2047="Продажа",B2047=DATE(2023,6,7)),E2047*J2047/1000,0)</f>
        <v/>
      </c>
    </row>
    <row r="2048">
      <c r="A2048" t="n">
        <v>2047</v>
      </c>
      <c r="B2048" s="1" t="n">
        <v>45084</v>
      </c>
      <c r="C2048" s="5" t="inlineStr">
        <is>
          <t>M3</t>
        </is>
      </c>
      <c r="D2048" s="5" t="n">
        <v>43</v>
      </c>
      <c r="E2048" s="5" t="n">
        <v>196</v>
      </c>
      <c r="F2048" t="inlineStr">
        <is>
          <t>Продажа</t>
        </is>
      </c>
      <c r="H2048">
        <f>VLOOKUP(C2048,Магазин!$A$2:$C$1000,2,0)</f>
        <v/>
      </c>
      <c r="I2048">
        <f>VLOOKUP(D2048,Товар!$A$2:$F$1000,3,0)</f>
        <v/>
      </c>
      <c r="J2048">
        <f>VLOOKUP(D2048,Товар!$A$2:$F$1000,5,0)</f>
        <v/>
      </c>
      <c r="K2048">
        <f>IF(AND(H2048="Промышленный",LEFT(I2048,18)="Порошок стиральный",F2048="Продажа",B2048=DATE(2023,6,7)),E2048*J2048/1000,0)</f>
        <v/>
      </c>
    </row>
    <row r="2049">
      <c r="A2049" t="n">
        <v>2048</v>
      </c>
      <c r="B2049" s="1" t="n">
        <v>45084</v>
      </c>
      <c r="C2049" s="5" t="inlineStr">
        <is>
          <t>M3</t>
        </is>
      </c>
      <c r="D2049" s="5" t="n">
        <v>44</v>
      </c>
      <c r="E2049" s="5" t="n">
        <v>123</v>
      </c>
      <c r="F2049" t="inlineStr">
        <is>
          <t>Продажа</t>
        </is>
      </c>
      <c r="H2049">
        <f>VLOOKUP(C2049,Магазин!$A$2:$C$1000,2,0)</f>
        <v/>
      </c>
      <c r="I2049">
        <f>VLOOKUP(D2049,Товар!$A$2:$F$1000,3,0)</f>
        <v/>
      </c>
      <c r="J2049">
        <f>VLOOKUP(D2049,Товар!$A$2:$F$1000,5,0)</f>
        <v/>
      </c>
      <c r="K2049">
        <f>IF(AND(H2049="Промышленный",LEFT(I2049,18)="Порошок стиральный",F2049="Продажа",B2049=DATE(2023,6,7)),E2049*J2049/1000,0)</f>
        <v/>
      </c>
    </row>
    <row r="2050">
      <c r="A2050" t="n">
        <v>2049</v>
      </c>
      <c r="B2050" s="1" t="n">
        <v>45084</v>
      </c>
      <c r="C2050" s="5" t="inlineStr">
        <is>
          <t>M3</t>
        </is>
      </c>
      <c r="D2050" s="5" t="n">
        <v>45</v>
      </c>
      <c r="E2050" s="5" t="n">
        <v>111</v>
      </c>
      <c r="F2050" t="inlineStr">
        <is>
          <t>Продажа</t>
        </is>
      </c>
      <c r="H2050">
        <f>VLOOKUP(C2050,Магазин!$A$2:$C$1000,2,0)</f>
        <v/>
      </c>
      <c r="I2050">
        <f>VLOOKUP(D2050,Товар!$A$2:$F$1000,3,0)</f>
        <v/>
      </c>
      <c r="J2050">
        <f>VLOOKUP(D2050,Товар!$A$2:$F$1000,5,0)</f>
        <v/>
      </c>
      <c r="K2050">
        <f>IF(AND(H2050="Промышленный",LEFT(I2050,18)="Порошок стиральный",F2050="Продажа",B2050=DATE(2023,6,7)),E2050*J2050/1000,0)</f>
        <v/>
      </c>
    </row>
    <row r="2051">
      <c r="A2051" t="n">
        <v>2050</v>
      </c>
      <c r="B2051" s="1" t="n">
        <v>45084</v>
      </c>
      <c r="C2051" s="5" t="inlineStr">
        <is>
          <t>M3</t>
        </is>
      </c>
      <c r="D2051" s="5" t="n">
        <v>46</v>
      </c>
      <c r="E2051" s="5" t="n">
        <v>158</v>
      </c>
      <c r="F2051" t="inlineStr">
        <is>
          <t>Продажа</t>
        </is>
      </c>
      <c r="H2051">
        <f>VLOOKUP(C2051,Магазин!$A$2:$C$1000,2,0)</f>
        <v/>
      </c>
      <c r="I2051">
        <f>VLOOKUP(D2051,Товар!$A$2:$F$1000,3,0)</f>
        <v/>
      </c>
      <c r="J2051">
        <f>VLOOKUP(D2051,Товар!$A$2:$F$1000,5,0)</f>
        <v/>
      </c>
      <c r="K2051">
        <f>IF(AND(H2051="Промышленный",LEFT(I2051,18)="Порошок стиральный",F2051="Продажа",B2051=DATE(2023,6,7)),E2051*J2051/1000,0)</f>
        <v/>
      </c>
    </row>
    <row r="2052">
      <c r="A2052" t="n">
        <v>2051</v>
      </c>
      <c r="B2052" s="1" t="n">
        <v>45084</v>
      </c>
      <c r="C2052" s="5" t="inlineStr">
        <is>
          <t>M3</t>
        </is>
      </c>
      <c r="D2052" s="5" t="n">
        <v>47</v>
      </c>
      <c r="E2052" s="5" t="n">
        <v>175</v>
      </c>
      <c r="F2052" t="inlineStr">
        <is>
          <t>Продажа</t>
        </is>
      </c>
      <c r="H2052">
        <f>VLOOKUP(C2052,Магазин!$A$2:$C$1000,2,0)</f>
        <v/>
      </c>
      <c r="I2052">
        <f>VLOOKUP(D2052,Товар!$A$2:$F$1000,3,0)</f>
        <v/>
      </c>
      <c r="J2052">
        <f>VLOOKUP(D2052,Товар!$A$2:$F$1000,5,0)</f>
        <v/>
      </c>
      <c r="K2052">
        <f>IF(AND(H2052="Промышленный",LEFT(I2052,18)="Порошок стиральный",F2052="Продажа",B2052=DATE(2023,6,7)),E2052*J2052/1000,0)</f>
        <v/>
      </c>
    </row>
    <row r="2053">
      <c r="A2053" t="n">
        <v>2052</v>
      </c>
      <c r="B2053" s="1" t="n">
        <v>45084</v>
      </c>
      <c r="C2053" s="5" t="inlineStr">
        <is>
          <t>M3</t>
        </is>
      </c>
      <c r="D2053" s="5" t="n">
        <v>48</v>
      </c>
      <c r="E2053" s="5" t="n">
        <v>114</v>
      </c>
      <c r="F2053" t="inlineStr">
        <is>
          <t>Продажа</t>
        </is>
      </c>
      <c r="H2053">
        <f>VLOOKUP(C2053,Магазин!$A$2:$C$1000,2,0)</f>
        <v/>
      </c>
      <c r="I2053">
        <f>VLOOKUP(D2053,Товар!$A$2:$F$1000,3,0)</f>
        <v/>
      </c>
      <c r="J2053">
        <f>VLOOKUP(D2053,Товар!$A$2:$F$1000,5,0)</f>
        <v/>
      </c>
      <c r="K2053">
        <f>IF(AND(H2053="Промышленный",LEFT(I2053,18)="Порошок стиральный",F2053="Продажа",B2053=DATE(2023,6,7)),E2053*J2053/1000,0)</f>
        <v/>
      </c>
    </row>
    <row r="2054">
      <c r="A2054" t="n">
        <v>2053</v>
      </c>
      <c r="B2054" s="1" t="n">
        <v>45084</v>
      </c>
      <c r="C2054" s="5" t="inlineStr">
        <is>
          <t>M3</t>
        </is>
      </c>
      <c r="D2054" s="5" t="n">
        <v>49</v>
      </c>
      <c r="E2054" s="5" t="n">
        <v>139</v>
      </c>
      <c r="F2054" t="inlineStr">
        <is>
          <t>Продажа</t>
        </is>
      </c>
      <c r="H2054">
        <f>VLOOKUP(C2054,Магазин!$A$2:$C$1000,2,0)</f>
        <v/>
      </c>
      <c r="I2054">
        <f>VLOOKUP(D2054,Товар!$A$2:$F$1000,3,0)</f>
        <v/>
      </c>
      <c r="J2054">
        <f>VLOOKUP(D2054,Товар!$A$2:$F$1000,5,0)</f>
        <v/>
      </c>
      <c r="K2054">
        <f>IF(AND(H2054="Промышленный",LEFT(I2054,18)="Порошок стиральный",F2054="Продажа",B2054=DATE(2023,6,7)),E2054*J2054/1000,0)</f>
        <v/>
      </c>
    </row>
    <row r="2055">
      <c r="A2055" t="n">
        <v>2054</v>
      </c>
      <c r="B2055" s="1" t="n">
        <v>45084</v>
      </c>
      <c r="C2055" s="5" t="inlineStr">
        <is>
          <t>M3</t>
        </is>
      </c>
      <c r="D2055" s="5" t="n">
        <v>50</v>
      </c>
      <c r="E2055" s="5" t="n">
        <v>141</v>
      </c>
      <c r="F2055" t="inlineStr">
        <is>
          <t>Продажа</t>
        </is>
      </c>
      <c r="H2055">
        <f>VLOOKUP(C2055,Магазин!$A$2:$C$1000,2,0)</f>
        <v/>
      </c>
      <c r="I2055">
        <f>VLOOKUP(D2055,Товар!$A$2:$F$1000,3,0)</f>
        <v/>
      </c>
      <c r="J2055">
        <f>VLOOKUP(D2055,Товар!$A$2:$F$1000,5,0)</f>
        <v/>
      </c>
      <c r="K2055">
        <f>IF(AND(H2055="Промышленный",LEFT(I2055,18)="Порошок стиральный",F2055="Продажа",B2055=DATE(2023,6,7)),E2055*J2055/1000,0)</f>
        <v/>
      </c>
    </row>
    <row r="2056">
      <c r="A2056" t="n">
        <v>2055</v>
      </c>
      <c r="B2056" s="1" t="n">
        <v>45084</v>
      </c>
      <c r="C2056" s="5" t="inlineStr">
        <is>
          <t>M3</t>
        </is>
      </c>
      <c r="D2056" s="5" t="n">
        <v>51</v>
      </c>
      <c r="E2056" s="5" t="n">
        <v>122</v>
      </c>
      <c r="F2056" t="inlineStr">
        <is>
          <t>Продажа</t>
        </is>
      </c>
      <c r="H2056">
        <f>VLOOKUP(C2056,Магазин!$A$2:$C$1000,2,0)</f>
        <v/>
      </c>
      <c r="I2056">
        <f>VLOOKUP(D2056,Товар!$A$2:$F$1000,3,0)</f>
        <v/>
      </c>
      <c r="J2056">
        <f>VLOOKUP(D2056,Товар!$A$2:$F$1000,5,0)</f>
        <v/>
      </c>
      <c r="K2056">
        <f>IF(AND(H2056="Промышленный",LEFT(I2056,18)="Порошок стиральный",F2056="Продажа",B2056=DATE(2023,6,7)),E2056*J2056/1000,0)</f>
        <v/>
      </c>
    </row>
    <row r="2057">
      <c r="A2057" t="n">
        <v>2056</v>
      </c>
      <c r="B2057" s="1" t="n">
        <v>45084</v>
      </c>
      <c r="C2057" s="5" t="inlineStr">
        <is>
          <t>M3</t>
        </is>
      </c>
      <c r="D2057" s="5" t="n">
        <v>52</v>
      </c>
      <c r="E2057" s="5" t="n">
        <v>123</v>
      </c>
      <c r="F2057" t="inlineStr">
        <is>
          <t>Продажа</t>
        </is>
      </c>
      <c r="H2057">
        <f>VLOOKUP(C2057,Магазин!$A$2:$C$1000,2,0)</f>
        <v/>
      </c>
      <c r="I2057">
        <f>VLOOKUP(D2057,Товар!$A$2:$F$1000,3,0)</f>
        <v/>
      </c>
      <c r="J2057">
        <f>VLOOKUP(D2057,Товар!$A$2:$F$1000,5,0)</f>
        <v/>
      </c>
      <c r="K2057">
        <f>IF(AND(H2057="Промышленный",LEFT(I2057,18)="Порошок стиральный",F2057="Продажа",B2057=DATE(2023,6,7)),E2057*J2057/1000,0)</f>
        <v/>
      </c>
    </row>
    <row r="2058">
      <c r="A2058" t="n">
        <v>2057</v>
      </c>
      <c r="B2058" s="1" t="n">
        <v>45084</v>
      </c>
      <c r="C2058" s="5" t="inlineStr">
        <is>
          <t>M3</t>
        </is>
      </c>
      <c r="D2058" s="5" t="n">
        <v>53</v>
      </c>
      <c r="E2058" s="5" t="n">
        <v>158</v>
      </c>
      <c r="F2058" t="inlineStr">
        <is>
          <t>Продажа</t>
        </is>
      </c>
      <c r="H2058">
        <f>VLOOKUP(C2058,Магазин!$A$2:$C$1000,2,0)</f>
        <v/>
      </c>
      <c r="I2058">
        <f>VLOOKUP(D2058,Товар!$A$2:$F$1000,3,0)</f>
        <v/>
      </c>
      <c r="J2058">
        <f>VLOOKUP(D2058,Товар!$A$2:$F$1000,5,0)</f>
        <v/>
      </c>
      <c r="K2058">
        <f>IF(AND(H2058="Промышленный",LEFT(I2058,18)="Порошок стиральный",F2058="Продажа",B2058=DATE(2023,6,7)),E2058*J2058/1000,0)</f>
        <v/>
      </c>
    </row>
    <row r="2059">
      <c r="A2059" t="n">
        <v>2058</v>
      </c>
      <c r="B2059" s="1" t="n">
        <v>45084</v>
      </c>
      <c r="C2059" s="5" t="inlineStr">
        <is>
          <t>M3</t>
        </is>
      </c>
      <c r="D2059" s="5" t="n">
        <v>54</v>
      </c>
      <c r="E2059" s="5" t="n">
        <v>146</v>
      </c>
      <c r="F2059" t="inlineStr">
        <is>
          <t>Продажа</t>
        </is>
      </c>
      <c r="H2059">
        <f>VLOOKUP(C2059,Магазин!$A$2:$C$1000,2,0)</f>
        <v/>
      </c>
      <c r="I2059">
        <f>VLOOKUP(D2059,Товар!$A$2:$F$1000,3,0)</f>
        <v/>
      </c>
      <c r="J2059">
        <f>VLOOKUP(D2059,Товар!$A$2:$F$1000,5,0)</f>
        <v/>
      </c>
      <c r="K2059">
        <f>IF(AND(H2059="Промышленный",LEFT(I2059,18)="Порошок стиральный",F2059="Продажа",B2059=DATE(2023,6,7)),E2059*J2059/1000,0)</f>
        <v/>
      </c>
    </row>
    <row r="2060">
      <c r="A2060" t="n">
        <v>2059</v>
      </c>
      <c r="B2060" s="1" t="n">
        <v>45084</v>
      </c>
      <c r="C2060" s="5" t="inlineStr">
        <is>
          <t>M3</t>
        </is>
      </c>
      <c r="D2060" s="5" t="n">
        <v>55</v>
      </c>
      <c r="E2060" s="5" t="n">
        <v>147</v>
      </c>
      <c r="F2060" t="inlineStr">
        <is>
          <t>Продажа</t>
        </is>
      </c>
      <c r="H2060">
        <f>VLOOKUP(C2060,Магазин!$A$2:$C$1000,2,0)</f>
        <v/>
      </c>
      <c r="I2060">
        <f>VLOOKUP(D2060,Товар!$A$2:$F$1000,3,0)</f>
        <v/>
      </c>
      <c r="J2060">
        <f>VLOOKUP(D2060,Товар!$A$2:$F$1000,5,0)</f>
        <v/>
      </c>
      <c r="K2060">
        <f>IF(AND(H2060="Промышленный",LEFT(I2060,18)="Порошок стиральный",F2060="Продажа",B2060=DATE(2023,6,7)),E2060*J2060/1000,0)</f>
        <v/>
      </c>
    </row>
    <row r="2061">
      <c r="A2061" t="n">
        <v>2060</v>
      </c>
      <c r="B2061" s="1" t="n">
        <v>45084</v>
      </c>
      <c r="C2061" s="5" t="inlineStr">
        <is>
          <t>M3</t>
        </is>
      </c>
      <c r="D2061" s="5" t="n">
        <v>56</v>
      </c>
      <c r="E2061" s="5" t="n">
        <v>169</v>
      </c>
      <c r="F2061" t="inlineStr">
        <is>
          <t>Продажа</t>
        </is>
      </c>
      <c r="H2061">
        <f>VLOOKUP(C2061,Магазин!$A$2:$C$1000,2,0)</f>
        <v/>
      </c>
      <c r="I2061">
        <f>VLOOKUP(D2061,Товар!$A$2:$F$1000,3,0)</f>
        <v/>
      </c>
      <c r="J2061">
        <f>VLOOKUP(D2061,Товар!$A$2:$F$1000,5,0)</f>
        <v/>
      </c>
      <c r="K2061">
        <f>IF(AND(H2061="Промышленный",LEFT(I2061,18)="Порошок стиральный",F2061="Продажа",B2061=DATE(2023,6,7)),E2061*J2061/1000,0)</f>
        <v/>
      </c>
    </row>
    <row r="2062">
      <c r="A2062" t="n">
        <v>2061</v>
      </c>
      <c r="B2062" s="1" t="n">
        <v>45084</v>
      </c>
      <c r="C2062" s="5" t="inlineStr">
        <is>
          <t>M3</t>
        </is>
      </c>
      <c r="D2062" s="5" t="n">
        <v>57</v>
      </c>
      <c r="E2062" s="5" t="n">
        <v>199</v>
      </c>
      <c r="F2062" t="inlineStr">
        <is>
          <t>Продажа</t>
        </is>
      </c>
      <c r="H2062">
        <f>VLOOKUP(C2062,Магазин!$A$2:$C$1000,2,0)</f>
        <v/>
      </c>
      <c r="I2062">
        <f>VLOOKUP(D2062,Товар!$A$2:$F$1000,3,0)</f>
        <v/>
      </c>
      <c r="J2062">
        <f>VLOOKUP(D2062,Товар!$A$2:$F$1000,5,0)</f>
        <v/>
      </c>
      <c r="K2062">
        <f>IF(AND(H2062="Промышленный",LEFT(I2062,18)="Порошок стиральный",F2062="Продажа",B2062=DATE(2023,6,7)),E2062*J2062/1000,0)</f>
        <v/>
      </c>
    </row>
    <row r="2063">
      <c r="A2063" t="n">
        <v>2062</v>
      </c>
      <c r="B2063" s="1" t="n">
        <v>45084</v>
      </c>
      <c r="C2063" s="5" t="inlineStr">
        <is>
          <t>M3</t>
        </is>
      </c>
      <c r="D2063" s="5" t="n">
        <v>58</v>
      </c>
      <c r="E2063" s="5" t="n">
        <v>147</v>
      </c>
      <c r="F2063" t="inlineStr">
        <is>
          <t>Продажа</t>
        </is>
      </c>
      <c r="H2063">
        <f>VLOOKUP(C2063,Магазин!$A$2:$C$1000,2,0)</f>
        <v/>
      </c>
      <c r="I2063">
        <f>VLOOKUP(D2063,Товар!$A$2:$F$1000,3,0)</f>
        <v/>
      </c>
      <c r="J2063">
        <f>VLOOKUP(D2063,Товар!$A$2:$F$1000,5,0)</f>
        <v/>
      </c>
      <c r="K2063">
        <f>IF(AND(H2063="Промышленный",LEFT(I2063,18)="Порошок стиральный",F2063="Продажа",B2063=DATE(2023,6,7)),E2063*J2063/1000,0)</f>
        <v/>
      </c>
    </row>
    <row r="2064">
      <c r="A2064" t="n">
        <v>2063</v>
      </c>
      <c r="B2064" s="1" t="n">
        <v>45084</v>
      </c>
      <c r="C2064" s="5" t="inlineStr">
        <is>
          <t>M3</t>
        </is>
      </c>
      <c r="D2064" s="5" t="n">
        <v>59</v>
      </c>
      <c r="E2064" s="5" t="n">
        <v>138</v>
      </c>
      <c r="F2064" t="inlineStr">
        <is>
          <t>Продажа</t>
        </is>
      </c>
      <c r="H2064">
        <f>VLOOKUP(C2064,Магазин!$A$2:$C$1000,2,0)</f>
        <v/>
      </c>
      <c r="I2064">
        <f>VLOOKUP(D2064,Товар!$A$2:$F$1000,3,0)</f>
        <v/>
      </c>
      <c r="J2064">
        <f>VLOOKUP(D2064,Товар!$A$2:$F$1000,5,0)</f>
        <v/>
      </c>
      <c r="K2064">
        <f>IF(AND(H2064="Промышленный",LEFT(I2064,18)="Порошок стиральный",F2064="Продажа",B2064=DATE(2023,6,7)),E2064*J2064/1000,0)</f>
        <v/>
      </c>
    </row>
    <row r="2065">
      <c r="A2065" t="n">
        <v>2064</v>
      </c>
      <c r="B2065" s="1" t="n">
        <v>45084</v>
      </c>
      <c r="C2065" s="5" t="inlineStr">
        <is>
          <t>M3</t>
        </is>
      </c>
      <c r="D2065" s="5" t="n">
        <v>60</v>
      </c>
      <c r="E2065" s="5" t="n">
        <v>129</v>
      </c>
      <c r="F2065" t="inlineStr">
        <is>
          <t>Продажа</t>
        </is>
      </c>
      <c r="H2065">
        <f>VLOOKUP(C2065,Магазин!$A$2:$C$1000,2,0)</f>
        <v/>
      </c>
      <c r="I2065">
        <f>VLOOKUP(D2065,Товар!$A$2:$F$1000,3,0)</f>
        <v/>
      </c>
      <c r="J2065">
        <f>VLOOKUP(D2065,Товар!$A$2:$F$1000,5,0)</f>
        <v/>
      </c>
      <c r="K2065">
        <f>IF(AND(H2065="Промышленный",LEFT(I2065,18)="Порошок стиральный",F2065="Продажа",B2065=DATE(2023,6,7)),E2065*J2065/1000,0)</f>
        <v/>
      </c>
    </row>
    <row r="2066">
      <c r="A2066" t="n">
        <v>2065</v>
      </c>
      <c r="B2066" s="1" t="n">
        <v>45084</v>
      </c>
      <c r="C2066" s="5" t="inlineStr">
        <is>
          <t>M9</t>
        </is>
      </c>
      <c r="D2066" s="5" t="n">
        <v>37</v>
      </c>
      <c r="E2066" s="5" t="n">
        <v>191</v>
      </c>
      <c r="F2066" t="inlineStr">
        <is>
          <t>Продажа</t>
        </is>
      </c>
      <c r="H2066">
        <f>VLOOKUP(C2066,Магазин!$A$2:$C$1000,2,0)</f>
        <v/>
      </c>
      <c r="I2066">
        <f>VLOOKUP(D2066,Товар!$A$2:$F$1000,3,0)</f>
        <v/>
      </c>
      <c r="J2066">
        <f>VLOOKUP(D2066,Товар!$A$2:$F$1000,5,0)</f>
        <v/>
      </c>
      <c r="K2066">
        <f>IF(AND(H2066="Промышленный",LEFT(I2066,18)="Порошок стиральный",F2066="Продажа",B2066=DATE(2023,6,7)),E2066*J2066/1000,0)</f>
        <v/>
      </c>
    </row>
    <row r="2067">
      <c r="A2067" t="n">
        <v>2066</v>
      </c>
      <c r="B2067" s="1" t="n">
        <v>45084</v>
      </c>
      <c r="C2067" s="5" t="inlineStr">
        <is>
          <t>M9</t>
        </is>
      </c>
      <c r="D2067" s="5" t="n">
        <v>38</v>
      </c>
      <c r="E2067" s="5" t="n">
        <v>155</v>
      </c>
      <c r="F2067" t="inlineStr">
        <is>
          <t>Продажа</t>
        </is>
      </c>
      <c r="H2067">
        <f>VLOOKUP(C2067,Магазин!$A$2:$C$1000,2,0)</f>
        <v/>
      </c>
      <c r="I2067">
        <f>VLOOKUP(D2067,Товар!$A$2:$F$1000,3,0)</f>
        <v/>
      </c>
      <c r="J2067">
        <f>VLOOKUP(D2067,Товар!$A$2:$F$1000,5,0)</f>
        <v/>
      </c>
      <c r="K2067">
        <f>IF(AND(H2067="Промышленный",LEFT(I2067,18)="Порошок стиральный",F2067="Продажа",B2067=DATE(2023,6,7)),E2067*J2067/1000,0)</f>
        <v/>
      </c>
    </row>
    <row r="2068">
      <c r="A2068" t="n">
        <v>2067</v>
      </c>
      <c r="B2068" s="1" t="n">
        <v>45084</v>
      </c>
      <c r="C2068" s="5" t="inlineStr">
        <is>
          <t>M9</t>
        </is>
      </c>
      <c r="D2068" s="5" t="n">
        <v>39</v>
      </c>
      <c r="E2068" s="5" t="n">
        <v>143</v>
      </c>
      <c r="F2068" t="inlineStr">
        <is>
          <t>Продажа</t>
        </is>
      </c>
      <c r="H2068">
        <f>VLOOKUP(C2068,Магазин!$A$2:$C$1000,2,0)</f>
        <v/>
      </c>
      <c r="I2068">
        <f>VLOOKUP(D2068,Товар!$A$2:$F$1000,3,0)</f>
        <v/>
      </c>
      <c r="J2068">
        <f>VLOOKUP(D2068,Товар!$A$2:$F$1000,5,0)</f>
        <v/>
      </c>
      <c r="K2068">
        <f>IF(AND(H2068="Промышленный",LEFT(I2068,18)="Порошок стиральный",F2068="Продажа",B2068=DATE(2023,6,7)),E2068*J2068/1000,0)</f>
        <v/>
      </c>
    </row>
    <row r="2069">
      <c r="A2069" t="n">
        <v>2068</v>
      </c>
      <c r="B2069" s="1" t="n">
        <v>45084</v>
      </c>
      <c r="C2069" s="5" t="inlineStr">
        <is>
          <t>M9</t>
        </is>
      </c>
      <c r="D2069" s="5" t="n">
        <v>40</v>
      </c>
      <c r="E2069" s="5" t="n">
        <v>178</v>
      </c>
      <c r="F2069" t="inlineStr">
        <is>
          <t>Продажа</t>
        </is>
      </c>
      <c r="H2069">
        <f>VLOOKUP(C2069,Магазин!$A$2:$C$1000,2,0)</f>
        <v/>
      </c>
      <c r="I2069">
        <f>VLOOKUP(D2069,Товар!$A$2:$F$1000,3,0)</f>
        <v/>
      </c>
      <c r="J2069">
        <f>VLOOKUP(D2069,Товар!$A$2:$F$1000,5,0)</f>
        <v/>
      </c>
      <c r="K2069">
        <f>IF(AND(H2069="Промышленный",LEFT(I2069,18)="Порошок стиральный",F2069="Продажа",B2069=DATE(2023,6,7)),E2069*J2069/1000,0)</f>
        <v/>
      </c>
    </row>
    <row r="2070">
      <c r="A2070" t="n">
        <v>2069</v>
      </c>
      <c r="B2070" s="1" t="n">
        <v>45084</v>
      </c>
      <c r="C2070" s="5" t="inlineStr">
        <is>
          <t>M9</t>
        </is>
      </c>
      <c r="D2070" s="5" t="n">
        <v>41</v>
      </c>
      <c r="E2070" s="5" t="n">
        <v>146</v>
      </c>
      <c r="F2070" t="inlineStr">
        <is>
          <t>Продажа</t>
        </is>
      </c>
      <c r="H2070">
        <f>VLOOKUP(C2070,Магазин!$A$2:$C$1000,2,0)</f>
        <v/>
      </c>
      <c r="I2070">
        <f>VLOOKUP(D2070,Товар!$A$2:$F$1000,3,0)</f>
        <v/>
      </c>
      <c r="J2070">
        <f>VLOOKUP(D2070,Товар!$A$2:$F$1000,5,0)</f>
        <v/>
      </c>
      <c r="K2070">
        <f>IF(AND(H2070="Промышленный",LEFT(I2070,18)="Порошок стиральный",F2070="Продажа",B2070=DATE(2023,6,7)),E2070*J2070/1000,0)</f>
        <v/>
      </c>
    </row>
    <row r="2071">
      <c r="A2071" t="n">
        <v>2070</v>
      </c>
      <c r="B2071" s="1" t="n">
        <v>45084</v>
      </c>
      <c r="C2071" s="5" t="inlineStr">
        <is>
          <t>M9</t>
        </is>
      </c>
      <c r="D2071" s="5" t="n">
        <v>42</v>
      </c>
      <c r="E2071" s="5" t="n">
        <v>128</v>
      </c>
      <c r="F2071" t="inlineStr">
        <is>
          <t>Продажа</t>
        </is>
      </c>
      <c r="H2071">
        <f>VLOOKUP(C2071,Магазин!$A$2:$C$1000,2,0)</f>
        <v/>
      </c>
      <c r="I2071">
        <f>VLOOKUP(D2071,Товар!$A$2:$F$1000,3,0)</f>
        <v/>
      </c>
      <c r="J2071">
        <f>VLOOKUP(D2071,Товар!$A$2:$F$1000,5,0)</f>
        <v/>
      </c>
      <c r="K2071">
        <f>IF(AND(H2071="Промышленный",LEFT(I2071,18)="Порошок стиральный",F2071="Продажа",B2071=DATE(2023,6,7)),E2071*J2071/1000,0)</f>
        <v/>
      </c>
    </row>
    <row r="2072">
      <c r="A2072" t="n">
        <v>2071</v>
      </c>
      <c r="B2072" s="1" t="n">
        <v>45084</v>
      </c>
      <c r="C2072" s="5" t="inlineStr">
        <is>
          <t>M9</t>
        </is>
      </c>
      <c r="D2072" s="5" t="n">
        <v>43</v>
      </c>
      <c r="E2072" s="5" t="n">
        <v>191</v>
      </c>
      <c r="F2072" t="inlineStr">
        <is>
          <t>Продажа</t>
        </is>
      </c>
      <c r="H2072">
        <f>VLOOKUP(C2072,Магазин!$A$2:$C$1000,2,0)</f>
        <v/>
      </c>
      <c r="I2072">
        <f>VLOOKUP(D2072,Товар!$A$2:$F$1000,3,0)</f>
        <v/>
      </c>
      <c r="J2072">
        <f>VLOOKUP(D2072,Товар!$A$2:$F$1000,5,0)</f>
        <v/>
      </c>
      <c r="K2072">
        <f>IF(AND(H2072="Промышленный",LEFT(I2072,18)="Порошок стиральный",F2072="Продажа",B2072=DATE(2023,6,7)),E2072*J2072/1000,0)</f>
        <v/>
      </c>
    </row>
    <row r="2073">
      <c r="A2073" t="n">
        <v>2072</v>
      </c>
      <c r="B2073" s="1" t="n">
        <v>45084</v>
      </c>
      <c r="C2073" s="5" t="inlineStr">
        <is>
          <t>M9</t>
        </is>
      </c>
      <c r="D2073" s="5" t="n">
        <v>44</v>
      </c>
      <c r="E2073" s="5" t="n">
        <v>165</v>
      </c>
      <c r="F2073" t="inlineStr">
        <is>
          <t>Продажа</t>
        </is>
      </c>
      <c r="H2073">
        <f>VLOOKUP(C2073,Магазин!$A$2:$C$1000,2,0)</f>
        <v/>
      </c>
      <c r="I2073">
        <f>VLOOKUP(D2073,Товар!$A$2:$F$1000,3,0)</f>
        <v/>
      </c>
      <c r="J2073">
        <f>VLOOKUP(D2073,Товар!$A$2:$F$1000,5,0)</f>
        <v/>
      </c>
      <c r="K2073">
        <f>IF(AND(H2073="Промышленный",LEFT(I2073,18)="Порошок стиральный",F2073="Продажа",B2073=DATE(2023,6,7)),E2073*J2073/1000,0)</f>
        <v/>
      </c>
    </row>
    <row r="2074">
      <c r="A2074" t="n">
        <v>2073</v>
      </c>
      <c r="B2074" s="1" t="n">
        <v>45084</v>
      </c>
      <c r="C2074" s="5" t="inlineStr">
        <is>
          <t>M9</t>
        </is>
      </c>
      <c r="D2074" s="5" t="n">
        <v>45</v>
      </c>
      <c r="E2074" s="5" t="n">
        <v>167</v>
      </c>
      <c r="F2074" t="inlineStr">
        <is>
          <t>Продажа</t>
        </is>
      </c>
      <c r="H2074">
        <f>VLOOKUP(C2074,Магазин!$A$2:$C$1000,2,0)</f>
        <v/>
      </c>
      <c r="I2074">
        <f>VLOOKUP(D2074,Товар!$A$2:$F$1000,3,0)</f>
        <v/>
      </c>
      <c r="J2074">
        <f>VLOOKUP(D2074,Товар!$A$2:$F$1000,5,0)</f>
        <v/>
      </c>
      <c r="K2074">
        <f>IF(AND(H2074="Промышленный",LEFT(I2074,18)="Порошок стиральный",F2074="Продажа",B2074=DATE(2023,6,7)),E2074*J2074/1000,0)</f>
        <v/>
      </c>
    </row>
    <row r="2075">
      <c r="A2075" t="n">
        <v>2074</v>
      </c>
      <c r="B2075" s="1" t="n">
        <v>45084</v>
      </c>
      <c r="C2075" s="5" t="inlineStr">
        <is>
          <t>M9</t>
        </is>
      </c>
      <c r="D2075" s="5" t="n">
        <v>46</v>
      </c>
      <c r="E2075" s="5" t="n">
        <v>132</v>
      </c>
      <c r="F2075" t="inlineStr">
        <is>
          <t>Продажа</t>
        </is>
      </c>
      <c r="H2075">
        <f>VLOOKUP(C2075,Магазин!$A$2:$C$1000,2,0)</f>
        <v/>
      </c>
      <c r="I2075">
        <f>VLOOKUP(D2075,Товар!$A$2:$F$1000,3,0)</f>
        <v/>
      </c>
      <c r="J2075">
        <f>VLOOKUP(D2075,Товар!$A$2:$F$1000,5,0)</f>
        <v/>
      </c>
      <c r="K2075">
        <f>IF(AND(H2075="Промышленный",LEFT(I2075,18)="Порошок стиральный",F2075="Продажа",B2075=DATE(2023,6,7)),E2075*J2075/1000,0)</f>
        <v/>
      </c>
    </row>
    <row r="2076">
      <c r="A2076" t="n">
        <v>2075</v>
      </c>
      <c r="B2076" s="1" t="n">
        <v>45084</v>
      </c>
      <c r="C2076" s="5" t="inlineStr">
        <is>
          <t>M9</t>
        </is>
      </c>
      <c r="D2076" s="5" t="n">
        <v>47</v>
      </c>
      <c r="E2076" s="5" t="n">
        <v>105</v>
      </c>
      <c r="F2076" t="inlineStr">
        <is>
          <t>Продажа</t>
        </is>
      </c>
      <c r="H2076">
        <f>VLOOKUP(C2076,Магазин!$A$2:$C$1000,2,0)</f>
        <v/>
      </c>
      <c r="I2076">
        <f>VLOOKUP(D2076,Товар!$A$2:$F$1000,3,0)</f>
        <v/>
      </c>
      <c r="J2076">
        <f>VLOOKUP(D2076,Товар!$A$2:$F$1000,5,0)</f>
        <v/>
      </c>
      <c r="K2076">
        <f>IF(AND(H2076="Промышленный",LEFT(I2076,18)="Порошок стиральный",F2076="Продажа",B2076=DATE(2023,6,7)),E2076*J2076/1000,0)</f>
        <v/>
      </c>
    </row>
    <row r="2077">
      <c r="A2077" t="n">
        <v>2076</v>
      </c>
      <c r="B2077" s="1" t="n">
        <v>45084</v>
      </c>
      <c r="C2077" s="5" t="inlineStr">
        <is>
          <t>M9</t>
        </is>
      </c>
      <c r="D2077" s="5" t="n">
        <v>48</v>
      </c>
      <c r="E2077" s="5" t="n">
        <v>114</v>
      </c>
      <c r="F2077" t="inlineStr">
        <is>
          <t>Продажа</t>
        </is>
      </c>
      <c r="H2077">
        <f>VLOOKUP(C2077,Магазин!$A$2:$C$1000,2,0)</f>
        <v/>
      </c>
      <c r="I2077">
        <f>VLOOKUP(D2077,Товар!$A$2:$F$1000,3,0)</f>
        <v/>
      </c>
      <c r="J2077">
        <f>VLOOKUP(D2077,Товар!$A$2:$F$1000,5,0)</f>
        <v/>
      </c>
      <c r="K2077">
        <f>IF(AND(H2077="Промышленный",LEFT(I2077,18)="Порошок стиральный",F2077="Продажа",B2077=DATE(2023,6,7)),E2077*J2077/1000,0)</f>
        <v/>
      </c>
    </row>
    <row r="2078">
      <c r="A2078" t="n">
        <v>2077</v>
      </c>
      <c r="B2078" s="1" t="n">
        <v>45084</v>
      </c>
      <c r="C2078" s="5" t="inlineStr">
        <is>
          <t>M9</t>
        </is>
      </c>
      <c r="D2078" s="5" t="n">
        <v>49</v>
      </c>
      <c r="E2078" s="5" t="n">
        <v>192</v>
      </c>
      <c r="F2078" t="inlineStr">
        <is>
          <t>Продажа</t>
        </is>
      </c>
      <c r="H2078">
        <f>VLOOKUP(C2078,Магазин!$A$2:$C$1000,2,0)</f>
        <v/>
      </c>
      <c r="I2078">
        <f>VLOOKUP(D2078,Товар!$A$2:$F$1000,3,0)</f>
        <v/>
      </c>
      <c r="J2078">
        <f>VLOOKUP(D2078,Товар!$A$2:$F$1000,5,0)</f>
        <v/>
      </c>
      <c r="K2078">
        <f>IF(AND(H2078="Промышленный",LEFT(I2078,18)="Порошок стиральный",F2078="Продажа",B2078=DATE(2023,6,7)),E2078*J2078/1000,0)</f>
        <v/>
      </c>
    </row>
    <row r="2079">
      <c r="A2079" t="n">
        <v>2078</v>
      </c>
      <c r="B2079" s="1" t="n">
        <v>45084</v>
      </c>
      <c r="C2079" s="5" t="inlineStr">
        <is>
          <t>M9</t>
        </is>
      </c>
      <c r="D2079" s="5" t="n">
        <v>50</v>
      </c>
      <c r="E2079" s="5" t="n">
        <v>145</v>
      </c>
      <c r="F2079" t="inlineStr">
        <is>
          <t>Продажа</t>
        </is>
      </c>
      <c r="H2079">
        <f>VLOOKUP(C2079,Магазин!$A$2:$C$1000,2,0)</f>
        <v/>
      </c>
      <c r="I2079">
        <f>VLOOKUP(D2079,Товар!$A$2:$F$1000,3,0)</f>
        <v/>
      </c>
      <c r="J2079">
        <f>VLOOKUP(D2079,Товар!$A$2:$F$1000,5,0)</f>
        <v/>
      </c>
      <c r="K2079">
        <f>IF(AND(H2079="Промышленный",LEFT(I2079,18)="Порошок стиральный",F2079="Продажа",B2079=DATE(2023,6,7)),E2079*J2079/1000,0)</f>
        <v/>
      </c>
    </row>
    <row r="2080">
      <c r="A2080" t="n">
        <v>2079</v>
      </c>
      <c r="B2080" s="1" t="n">
        <v>45084</v>
      </c>
      <c r="C2080" s="5" t="inlineStr">
        <is>
          <t>M9</t>
        </is>
      </c>
      <c r="D2080" s="5" t="n">
        <v>51</v>
      </c>
      <c r="E2080" s="5" t="n">
        <v>163</v>
      </c>
      <c r="F2080" t="inlineStr">
        <is>
          <t>Продажа</t>
        </is>
      </c>
      <c r="H2080">
        <f>VLOOKUP(C2080,Магазин!$A$2:$C$1000,2,0)</f>
        <v/>
      </c>
      <c r="I2080">
        <f>VLOOKUP(D2080,Товар!$A$2:$F$1000,3,0)</f>
        <v/>
      </c>
      <c r="J2080">
        <f>VLOOKUP(D2080,Товар!$A$2:$F$1000,5,0)</f>
        <v/>
      </c>
      <c r="K2080">
        <f>IF(AND(H2080="Промышленный",LEFT(I2080,18)="Порошок стиральный",F2080="Продажа",B2080=DATE(2023,6,7)),E2080*J2080/1000,0)</f>
        <v/>
      </c>
    </row>
    <row r="2081">
      <c r="A2081" t="n">
        <v>2080</v>
      </c>
      <c r="B2081" s="1" t="n">
        <v>45084</v>
      </c>
      <c r="C2081" s="5" t="inlineStr">
        <is>
          <t>M9</t>
        </is>
      </c>
      <c r="D2081" s="5" t="n">
        <v>52</v>
      </c>
      <c r="E2081" s="5" t="n">
        <v>128</v>
      </c>
      <c r="F2081" t="inlineStr">
        <is>
          <t>Продажа</t>
        </is>
      </c>
      <c r="H2081">
        <f>VLOOKUP(C2081,Магазин!$A$2:$C$1000,2,0)</f>
        <v/>
      </c>
      <c r="I2081">
        <f>VLOOKUP(D2081,Товар!$A$2:$F$1000,3,0)</f>
        <v/>
      </c>
      <c r="J2081">
        <f>VLOOKUP(D2081,Товар!$A$2:$F$1000,5,0)</f>
        <v/>
      </c>
      <c r="K2081">
        <f>IF(AND(H2081="Промышленный",LEFT(I2081,18)="Порошок стиральный",F2081="Продажа",B2081=DATE(2023,6,7)),E2081*J2081/1000,0)</f>
        <v/>
      </c>
    </row>
    <row r="2082">
      <c r="A2082" t="n">
        <v>2081</v>
      </c>
      <c r="B2082" s="1" t="n">
        <v>45084</v>
      </c>
      <c r="C2082" s="5" t="inlineStr">
        <is>
          <t>M9</t>
        </is>
      </c>
      <c r="D2082" s="5" t="n">
        <v>53</v>
      </c>
      <c r="E2082" s="5" t="n">
        <v>145</v>
      </c>
      <c r="F2082" t="inlineStr">
        <is>
          <t>Продажа</t>
        </is>
      </c>
      <c r="H2082">
        <f>VLOOKUP(C2082,Магазин!$A$2:$C$1000,2,0)</f>
        <v/>
      </c>
      <c r="I2082">
        <f>VLOOKUP(D2082,Товар!$A$2:$F$1000,3,0)</f>
        <v/>
      </c>
      <c r="J2082">
        <f>VLOOKUP(D2082,Товар!$A$2:$F$1000,5,0)</f>
        <v/>
      </c>
      <c r="K2082">
        <f>IF(AND(H2082="Промышленный",LEFT(I2082,18)="Порошок стиральный",F2082="Продажа",B2082=DATE(2023,6,7)),E2082*J2082/1000,0)</f>
        <v/>
      </c>
    </row>
    <row r="2083">
      <c r="A2083" t="n">
        <v>2082</v>
      </c>
      <c r="B2083" s="1" t="n">
        <v>45084</v>
      </c>
      <c r="C2083" s="5" t="inlineStr">
        <is>
          <t>M9</t>
        </is>
      </c>
      <c r="D2083" s="5" t="n">
        <v>54</v>
      </c>
      <c r="E2083" s="5" t="n">
        <v>138</v>
      </c>
      <c r="F2083" t="inlineStr">
        <is>
          <t>Продажа</t>
        </is>
      </c>
      <c r="H2083">
        <f>VLOOKUP(C2083,Магазин!$A$2:$C$1000,2,0)</f>
        <v/>
      </c>
      <c r="I2083">
        <f>VLOOKUP(D2083,Товар!$A$2:$F$1000,3,0)</f>
        <v/>
      </c>
      <c r="J2083">
        <f>VLOOKUP(D2083,Товар!$A$2:$F$1000,5,0)</f>
        <v/>
      </c>
      <c r="K2083">
        <f>IF(AND(H2083="Промышленный",LEFT(I2083,18)="Порошок стиральный",F2083="Продажа",B2083=DATE(2023,6,7)),E2083*J2083/1000,0)</f>
        <v/>
      </c>
    </row>
    <row r="2084">
      <c r="A2084" t="n">
        <v>2083</v>
      </c>
      <c r="B2084" s="1" t="n">
        <v>45084</v>
      </c>
      <c r="C2084" s="5" t="inlineStr">
        <is>
          <t>M9</t>
        </is>
      </c>
      <c r="D2084" s="5" t="n">
        <v>55</v>
      </c>
      <c r="E2084" s="5" t="n">
        <v>164</v>
      </c>
      <c r="F2084" t="inlineStr">
        <is>
          <t>Продажа</t>
        </is>
      </c>
      <c r="H2084">
        <f>VLOOKUP(C2084,Магазин!$A$2:$C$1000,2,0)</f>
        <v/>
      </c>
      <c r="I2084">
        <f>VLOOKUP(D2084,Товар!$A$2:$F$1000,3,0)</f>
        <v/>
      </c>
      <c r="J2084">
        <f>VLOOKUP(D2084,Товар!$A$2:$F$1000,5,0)</f>
        <v/>
      </c>
      <c r="K2084">
        <f>IF(AND(H2084="Промышленный",LEFT(I2084,18)="Порошок стиральный",F2084="Продажа",B2084=DATE(2023,6,7)),E2084*J2084/1000,0)</f>
        <v/>
      </c>
    </row>
    <row r="2085">
      <c r="A2085" t="n">
        <v>2084</v>
      </c>
      <c r="B2085" s="1" t="n">
        <v>45084</v>
      </c>
      <c r="C2085" s="5" t="inlineStr">
        <is>
          <t>M9</t>
        </is>
      </c>
      <c r="D2085" s="5" t="n">
        <v>56</v>
      </c>
      <c r="E2085" s="5" t="n">
        <v>176</v>
      </c>
      <c r="F2085" t="inlineStr">
        <is>
          <t>Продажа</t>
        </is>
      </c>
      <c r="H2085">
        <f>VLOOKUP(C2085,Магазин!$A$2:$C$1000,2,0)</f>
        <v/>
      </c>
      <c r="I2085">
        <f>VLOOKUP(D2085,Товар!$A$2:$F$1000,3,0)</f>
        <v/>
      </c>
      <c r="J2085">
        <f>VLOOKUP(D2085,Товар!$A$2:$F$1000,5,0)</f>
        <v/>
      </c>
      <c r="K2085">
        <f>IF(AND(H2085="Промышленный",LEFT(I2085,18)="Порошок стиральный",F2085="Продажа",B2085=DATE(2023,6,7)),E2085*J2085/1000,0)</f>
        <v/>
      </c>
    </row>
    <row r="2086">
      <c r="A2086" t="n">
        <v>2085</v>
      </c>
      <c r="B2086" s="1" t="n">
        <v>45084</v>
      </c>
      <c r="C2086" s="5" t="inlineStr">
        <is>
          <t>M9</t>
        </is>
      </c>
      <c r="D2086" s="5" t="n">
        <v>57</v>
      </c>
      <c r="E2086" s="5" t="n">
        <v>128</v>
      </c>
      <c r="F2086" t="inlineStr">
        <is>
          <t>Продажа</t>
        </is>
      </c>
      <c r="H2086">
        <f>VLOOKUP(C2086,Магазин!$A$2:$C$1000,2,0)</f>
        <v/>
      </c>
      <c r="I2086">
        <f>VLOOKUP(D2086,Товар!$A$2:$F$1000,3,0)</f>
        <v/>
      </c>
      <c r="J2086">
        <f>VLOOKUP(D2086,Товар!$A$2:$F$1000,5,0)</f>
        <v/>
      </c>
      <c r="K2086">
        <f>IF(AND(H2086="Промышленный",LEFT(I2086,18)="Порошок стиральный",F2086="Продажа",B2086=DATE(2023,6,7)),E2086*J2086/1000,0)</f>
        <v/>
      </c>
    </row>
    <row r="2087">
      <c r="A2087" t="n">
        <v>2086</v>
      </c>
      <c r="B2087" s="1" t="n">
        <v>45084</v>
      </c>
      <c r="C2087" s="5" t="inlineStr">
        <is>
          <t>M9</t>
        </is>
      </c>
      <c r="D2087" s="5" t="n">
        <v>58</v>
      </c>
      <c r="E2087" s="5" t="n">
        <v>146</v>
      </c>
      <c r="F2087" t="inlineStr">
        <is>
          <t>Продажа</t>
        </is>
      </c>
      <c r="H2087">
        <f>VLOOKUP(C2087,Магазин!$A$2:$C$1000,2,0)</f>
        <v/>
      </c>
      <c r="I2087">
        <f>VLOOKUP(D2087,Товар!$A$2:$F$1000,3,0)</f>
        <v/>
      </c>
      <c r="J2087">
        <f>VLOOKUP(D2087,Товар!$A$2:$F$1000,5,0)</f>
        <v/>
      </c>
      <c r="K2087">
        <f>IF(AND(H2087="Промышленный",LEFT(I2087,18)="Порошок стиральный",F2087="Продажа",B2087=DATE(2023,6,7)),E2087*J2087/1000,0)</f>
        <v/>
      </c>
    </row>
    <row r="2088">
      <c r="A2088" t="n">
        <v>2087</v>
      </c>
      <c r="B2088" s="1" t="n">
        <v>45084</v>
      </c>
      <c r="C2088" s="5" t="inlineStr">
        <is>
          <t>M9</t>
        </is>
      </c>
      <c r="D2088" s="5" t="n">
        <v>59</v>
      </c>
      <c r="E2088" s="5" t="n">
        <v>173</v>
      </c>
      <c r="F2088" t="inlineStr">
        <is>
          <t>Продажа</t>
        </is>
      </c>
      <c r="H2088">
        <f>VLOOKUP(C2088,Магазин!$A$2:$C$1000,2,0)</f>
        <v/>
      </c>
      <c r="I2088">
        <f>VLOOKUP(D2088,Товар!$A$2:$F$1000,3,0)</f>
        <v/>
      </c>
      <c r="J2088">
        <f>VLOOKUP(D2088,Товар!$A$2:$F$1000,5,0)</f>
        <v/>
      </c>
      <c r="K2088">
        <f>IF(AND(H2088="Промышленный",LEFT(I2088,18)="Порошок стиральный",F2088="Продажа",B2088=DATE(2023,6,7)),E2088*J2088/1000,0)</f>
        <v/>
      </c>
    </row>
    <row r="2089">
      <c r="A2089" t="n">
        <v>2088</v>
      </c>
      <c r="B2089" s="1" t="n">
        <v>45084</v>
      </c>
      <c r="C2089" s="5" t="inlineStr">
        <is>
          <t>M9</t>
        </is>
      </c>
      <c r="D2089" s="5" t="n">
        <v>60</v>
      </c>
      <c r="E2089" s="5" t="n">
        <v>180</v>
      </c>
      <c r="F2089" t="inlineStr">
        <is>
          <t>Продажа</t>
        </is>
      </c>
      <c r="H2089">
        <f>VLOOKUP(C2089,Магазин!$A$2:$C$1000,2,0)</f>
        <v/>
      </c>
      <c r="I2089">
        <f>VLOOKUP(D2089,Товар!$A$2:$F$1000,3,0)</f>
        <v/>
      </c>
      <c r="J2089">
        <f>VLOOKUP(D2089,Товар!$A$2:$F$1000,5,0)</f>
        <v/>
      </c>
      <c r="K2089">
        <f>IF(AND(H2089="Промышленный",LEFT(I2089,18)="Порошок стиральный",F2089="Продажа",B2089=DATE(2023,6,7)),E2089*J2089/1000,0)</f>
        <v/>
      </c>
    </row>
    <row r="2090">
      <c r="A2090" t="n">
        <v>2089</v>
      </c>
      <c r="B2090" s="1" t="n">
        <v>45084</v>
      </c>
      <c r="C2090" s="5" t="inlineStr">
        <is>
          <t>M11</t>
        </is>
      </c>
      <c r="D2090" s="5" t="n">
        <v>37</v>
      </c>
      <c r="E2090" s="5" t="n">
        <v>142</v>
      </c>
      <c r="F2090" t="inlineStr">
        <is>
          <t>Продажа</t>
        </is>
      </c>
      <c r="H2090">
        <f>VLOOKUP(C2090,Магазин!$A$2:$C$1000,2,0)</f>
        <v/>
      </c>
      <c r="I2090">
        <f>VLOOKUP(D2090,Товар!$A$2:$F$1000,3,0)</f>
        <v/>
      </c>
      <c r="J2090">
        <f>VLOOKUP(D2090,Товар!$A$2:$F$1000,5,0)</f>
        <v/>
      </c>
      <c r="K2090">
        <f>IF(AND(H2090="Промышленный",LEFT(I2090,18)="Порошок стиральный",F2090="Продажа",B2090=DATE(2023,6,7)),E2090*J2090/1000,0)</f>
        <v/>
      </c>
    </row>
    <row r="2091">
      <c r="A2091" t="n">
        <v>2090</v>
      </c>
      <c r="B2091" s="1" t="n">
        <v>45084</v>
      </c>
      <c r="C2091" s="5" t="inlineStr">
        <is>
          <t>M11</t>
        </is>
      </c>
      <c r="D2091" s="5" t="n">
        <v>38</v>
      </c>
      <c r="E2091" s="5" t="n">
        <v>156</v>
      </c>
      <c r="F2091" t="inlineStr">
        <is>
          <t>Продажа</t>
        </is>
      </c>
      <c r="H2091">
        <f>VLOOKUP(C2091,Магазин!$A$2:$C$1000,2,0)</f>
        <v/>
      </c>
      <c r="I2091">
        <f>VLOOKUP(D2091,Товар!$A$2:$F$1000,3,0)</f>
        <v/>
      </c>
      <c r="J2091">
        <f>VLOOKUP(D2091,Товар!$A$2:$F$1000,5,0)</f>
        <v/>
      </c>
      <c r="K2091">
        <f>IF(AND(H2091="Промышленный",LEFT(I2091,18)="Порошок стиральный",F2091="Продажа",B2091=DATE(2023,6,7)),E2091*J2091/1000,0)</f>
        <v/>
      </c>
    </row>
    <row r="2092">
      <c r="A2092" t="n">
        <v>2091</v>
      </c>
      <c r="B2092" s="1" t="n">
        <v>45084</v>
      </c>
      <c r="C2092" s="5" t="inlineStr">
        <is>
          <t>M11</t>
        </is>
      </c>
      <c r="D2092" s="5" t="n">
        <v>39</v>
      </c>
      <c r="E2092" s="5" t="n">
        <v>144</v>
      </c>
      <c r="F2092" t="inlineStr">
        <is>
          <t>Продажа</t>
        </is>
      </c>
      <c r="H2092">
        <f>VLOOKUP(C2092,Магазин!$A$2:$C$1000,2,0)</f>
        <v/>
      </c>
      <c r="I2092">
        <f>VLOOKUP(D2092,Товар!$A$2:$F$1000,3,0)</f>
        <v/>
      </c>
      <c r="J2092">
        <f>VLOOKUP(D2092,Товар!$A$2:$F$1000,5,0)</f>
        <v/>
      </c>
      <c r="K2092">
        <f>IF(AND(H2092="Промышленный",LEFT(I2092,18)="Порошок стиральный",F2092="Продажа",B2092=DATE(2023,6,7)),E2092*J2092/1000,0)</f>
        <v/>
      </c>
    </row>
    <row r="2093">
      <c r="A2093" t="n">
        <v>2092</v>
      </c>
      <c r="B2093" s="1" t="n">
        <v>45084</v>
      </c>
      <c r="C2093" s="5" t="inlineStr">
        <is>
          <t>M11</t>
        </is>
      </c>
      <c r="D2093" s="5" t="n">
        <v>40</v>
      </c>
      <c r="E2093" s="5" t="n">
        <v>178</v>
      </c>
      <c r="F2093" t="inlineStr">
        <is>
          <t>Продажа</t>
        </is>
      </c>
      <c r="H2093">
        <f>VLOOKUP(C2093,Магазин!$A$2:$C$1000,2,0)</f>
        <v/>
      </c>
      <c r="I2093">
        <f>VLOOKUP(D2093,Товар!$A$2:$F$1000,3,0)</f>
        <v/>
      </c>
      <c r="J2093">
        <f>VLOOKUP(D2093,Товар!$A$2:$F$1000,5,0)</f>
        <v/>
      </c>
      <c r="K2093">
        <f>IF(AND(H2093="Промышленный",LEFT(I2093,18)="Порошок стиральный",F2093="Продажа",B2093=DATE(2023,6,7)),E2093*J2093/1000,0)</f>
        <v/>
      </c>
    </row>
    <row r="2094">
      <c r="A2094" t="n">
        <v>2093</v>
      </c>
      <c r="B2094" s="1" t="n">
        <v>45084</v>
      </c>
      <c r="C2094" s="5" t="inlineStr">
        <is>
          <t>M11</t>
        </is>
      </c>
      <c r="D2094" s="5" t="n">
        <v>41</v>
      </c>
      <c r="E2094" s="5" t="n">
        <v>180</v>
      </c>
      <c r="F2094" t="inlineStr">
        <is>
          <t>Продажа</t>
        </is>
      </c>
      <c r="H2094">
        <f>VLOOKUP(C2094,Магазин!$A$2:$C$1000,2,0)</f>
        <v/>
      </c>
      <c r="I2094">
        <f>VLOOKUP(D2094,Товар!$A$2:$F$1000,3,0)</f>
        <v/>
      </c>
      <c r="J2094">
        <f>VLOOKUP(D2094,Товар!$A$2:$F$1000,5,0)</f>
        <v/>
      </c>
      <c r="K2094">
        <f>IF(AND(H2094="Промышленный",LEFT(I2094,18)="Порошок стиральный",F2094="Продажа",B2094=DATE(2023,6,7)),E2094*J2094/1000,0)</f>
        <v/>
      </c>
    </row>
    <row r="2095">
      <c r="A2095" t="n">
        <v>2094</v>
      </c>
      <c r="B2095" s="1" t="n">
        <v>45084</v>
      </c>
      <c r="C2095" s="5" t="inlineStr">
        <is>
          <t>M11</t>
        </is>
      </c>
      <c r="D2095" s="5" t="n">
        <v>42</v>
      </c>
      <c r="E2095" s="5" t="n">
        <v>142</v>
      </c>
      <c r="F2095" t="inlineStr">
        <is>
          <t>Продажа</t>
        </is>
      </c>
      <c r="H2095">
        <f>VLOOKUP(C2095,Магазин!$A$2:$C$1000,2,0)</f>
        <v/>
      </c>
      <c r="I2095">
        <f>VLOOKUP(D2095,Товар!$A$2:$F$1000,3,0)</f>
        <v/>
      </c>
      <c r="J2095">
        <f>VLOOKUP(D2095,Товар!$A$2:$F$1000,5,0)</f>
        <v/>
      </c>
      <c r="K2095">
        <f>IF(AND(H2095="Промышленный",LEFT(I2095,18)="Порошок стиральный",F2095="Продажа",B2095=DATE(2023,6,7)),E2095*J2095/1000,0)</f>
        <v/>
      </c>
    </row>
    <row r="2096">
      <c r="A2096" t="n">
        <v>2095</v>
      </c>
      <c r="B2096" s="1" t="n">
        <v>45084</v>
      </c>
      <c r="C2096" s="5" t="inlineStr">
        <is>
          <t>M11</t>
        </is>
      </c>
      <c r="D2096" s="5" t="n">
        <v>43</v>
      </c>
      <c r="E2096" s="5" t="n">
        <v>156</v>
      </c>
      <c r="F2096" t="inlineStr">
        <is>
          <t>Продажа</t>
        </is>
      </c>
      <c r="H2096">
        <f>VLOOKUP(C2096,Магазин!$A$2:$C$1000,2,0)</f>
        <v/>
      </c>
      <c r="I2096">
        <f>VLOOKUP(D2096,Товар!$A$2:$F$1000,3,0)</f>
        <v/>
      </c>
      <c r="J2096">
        <f>VLOOKUP(D2096,Товар!$A$2:$F$1000,5,0)</f>
        <v/>
      </c>
      <c r="K2096">
        <f>IF(AND(H2096="Промышленный",LEFT(I2096,18)="Порошок стиральный",F2096="Продажа",B2096=DATE(2023,6,7)),E2096*J2096/1000,0)</f>
        <v/>
      </c>
    </row>
    <row r="2097">
      <c r="A2097" t="n">
        <v>2096</v>
      </c>
      <c r="B2097" s="1" t="n">
        <v>45084</v>
      </c>
      <c r="C2097" s="5" t="inlineStr">
        <is>
          <t>M11</t>
        </is>
      </c>
      <c r="D2097" s="5" t="n">
        <v>44</v>
      </c>
      <c r="E2097" s="5" t="n">
        <v>144</v>
      </c>
      <c r="F2097" t="inlineStr">
        <is>
          <t>Продажа</t>
        </is>
      </c>
      <c r="H2097">
        <f>VLOOKUP(C2097,Магазин!$A$2:$C$1000,2,0)</f>
        <v/>
      </c>
      <c r="I2097">
        <f>VLOOKUP(D2097,Товар!$A$2:$F$1000,3,0)</f>
        <v/>
      </c>
      <c r="J2097">
        <f>VLOOKUP(D2097,Товар!$A$2:$F$1000,5,0)</f>
        <v/>
      </c>
      <c r="K2097">
        <f>IF(AND(H2097="Промышленный",LEFT(I2097,18)="Порошок стиральный",F2097="Продажа",B2097=DATE(2023,6,7)),E2097*J2097/1000,0)</f>
        <v/>
      </c>
    </row>
    <row r="2098">
      <c r="A2098" t="n">
        <v>2097</v>
      </c>
      <c r="B2098" s="1" t="n">
        <v>45084</v>
      </c>
      <c r="C2098" s="5" t="inlineStr">
        <is>
          <t>M11</t>
        </is>
      </c>
      <c r="D2098" s="5" t="n">
        <v>45</v>
      </c>
      <c r="E2098" s="5" t="n">
        <v>178</v>
      </c>
      <c r="F2098" t="inlineStr">
        <is>
          <t>Продажа</t>
        </is>
      </c>
      <c r="H2098">
        <f>VLOOKUP(C2098,Магазин!$A$2:$C$1000,2,0)</f>
        <v/>
      </c>
      <c r="I2098">
        <f>VLOOKUP(D2098,Товар!$A$2:$F$1000,3,0)</f>
        <v/>
      </c>
      <c r="J2098">
        <f>VLOOKUP(D2098,Товар!$A$2:$F$1000,5,0)</f>
        <v/>
      </c>
      <c r="K2098">
        <f>IF(AND(H2098="Промышленный",LEFT(I2098,18)="Порошок стиральный",F2098="Продажа",B2098=DATE(2023,6,7)),E2098*J2098/1000,0)</f>
        <v/>
      </c>
    </row>
    <row r="2099">
      <c r="A2099" t="n">
        <v>2098</v>
      </c>
      <c r="B2099" s="1" t="n">
        <v>45084</v>
      </c>
      <c r="C2099" s="5" t="inlineStr">
        <is>
          <t>M11</t>
        </is>
      </c>
      <c r="D2099" s="5" t="n">
        <v>46</v>
      </c>
      <c r="E2099" s="5" t="n">
        <v>169</v>
      </c>
      <c r="F2099" t="inlineStr">
        <is>
          <t>Продажа</t>
        </is>
      </c>
      <c r="H2099">
        <f>VLOOKUP(C2099,Магазин!$A$2:$C$1000,2,0)</f>
        <v/>
      </c>
      <c r="I2099">
        <f>VLOOKUP(D2099,Товар!$A$2:$F$1000,3,0)</f>
        <v/>
      </c>
      <c r="J2099">
        <f>VLOOKUP(D2099,Товар!$A$2:$F$1000,5,0)</f>
        <v/>
      </c>
      <c r="K2099">
        <f>IF(AND(H2099="Промышленный",LEFT(I2099,18)="Порошок стиральный",F2099="Продажа",B2099=DATE(2023,6,7)),E2099*J2099/1000,0)</f>
        <v/>
      </c>
    </row>
    <row r="2100">
      <c r="A2100" t="n">
        <v>2099</v>
      </c>
      <c r="B2100" s="1" t="n">
        <v>45084</v>
      </c>
      <c r="C2100" s="5" t="inlineStr">
        <is>
          <t>M11</t>
        </is>
      </c>
      <c r="D2100" s="5" t="n">
        <v>47</v>
      </c>
      <c r="E2100" s="5" t="n">
        <v>196</v>
      </c>
      <c r="F2100" t="inlineStr">
        <is>
          <t>Продажа</t>
        </is>
      </c>
      <c r="H2100">
        <f>VLOOKUP(C2100,Магазин!$A$2:$C$1000,2,0)</f>
        <v/>
      </c>
      <c r="I2100">
        <f>VLOOKUP(D2100,Товар!$A$2:$F$1000,3,0)</f>
        <v/>
      </c>
      <c r="J2100">
        <f>VLOOKUP(D2100,Товар!$A$2:$F$1000,5,0)</f>
        <v/>
      </c>
      <c r="K2100">
        <f>IF(AND(H2100="Промышленный",LEFT(I2100,18)="Порошок стиральный",F2100="Продажа",B2100=DATE(2023,6,7)),E2100*J2100/1000,0)</f>
        <v/>
      </c>
    </row>
    <row r="2101">
      <c r="A2101" t="n">
        <v>2100</v>
      </c>
      <c r="B2101" s="1" t="n">
        <v>45084</v>
      </c>
      <c r="C2101" s="5" t="inlineStr">
        <is>
          <t>M11</t>
        </is>
      </c>
      <c r="D2101" s="5" t="n">
        <v>48</v>
      </c>
      <c r="E2101" s="5" t="n">
        <v>123</v>
      </c>
      <c r="F2101" t="inlineStr">
        <is>
          <t>Продажа</t>
        </is>
      </c>
      <c r="H2101">
        <f>VLOOKUP(C2101,Магазин!$A$2:$C$1000,2,0)</f>
        <v/>
      </c>
      <c r="I2101">
        <f>VLOOKUP(D2101,Товар!$A$2:$F$1000,3,0)</f>
        <v/>
      </c>
      <c r="J2101">
        <f>VLOOKUP(D2101,Товар!$A$2:$F$1000,5,0)</f>
        <v/>
      </c>
      <c r="K2101">
        <f>IF(AND(H2101="Промышленный",LEFT(I2101,18)="Порошок стиральный",F2101="Продажа",B2101=DATE(2023,6,7)),E2101*J2101/1000,0)</f>
        <v/>
      </c>
    </row>
    <row r="2102">
      <c r="A2102" t="n">
        <v>2101</v>
      </c>
      <c r="B2102" s="1" t="n">
        <v>45084</v>
      </c>
      <c r="C2102" s="5" t="inlineStr">
        <is>
          <t>M11</t>
        </is>
      </c>
      <c r="D2102" s="5" t="n">
        <v>49</v>
      </c>
      <c r="E2102" s="5" t="n">
        <v>111</v>
      </c>
      <c r="F2102" t="inlineStr">
        <is>
          <t>Продажа</t>
        </is>
      </c>
      <c r="H2102">
        <f>VLOOKUP(C2102,Магазин!$A$2:$C$1000,2,0)</f>
        <v/>
      </c>
      <c r="I2102">
        <f>VLOOKUP(D2102,Товар!$A$2:$F$1000,3,0)</f>
        <v/>
      </c>
      <c r="J2102">
        <f>VLOOKUP(D2102,Товар!$A$2:$F$1000,5,0)</f>
        <v/>
      </c>
      <c r="K2102">
        <f>IF(AND(H2102="Промышленный",LEFT(I2102,18)="Порошок стиральный",F2102="Продажа",B2102=DATE(2023,6,7)),E2102*J2102/1000,0)</f>
        <v/>
      </c>
    </row>
    <row r="2103">
      <c r="A2103" t="n">
        <v>2102</v>
      </c>
      <c r="B2103" s="1" t="n">
        <v>45084</v>
      </c>
      <c r="C2103" s="5" t="inlineStr">
        <is>
          <t>M11</t>
        </is>
      </c>
      <c r="D2103" s="5" t="n">
        <v>50</v>
      </c>
      <c r="E2103" s="5" t="n">
        <v>158</v>
      </c>
      <c r="F2103" t="inlineStr">
        <is>
          <t>Продажа</t>
        </is>
      </c>
      <c r="H2103">
        <f>VLOOKUP(C2103,Магазин!$A$2:$C$1000,2,0)</f>
        <v/>
      </c>
      <c r="I2103">
        <f>VLOOKUP(D2103,Товар!$A$2:$F$1000,3,0)</f>
        <v/>
      </c>
      <c r="J2103">
        <f>VLOOKUP(D2103,Товар!$A$2:$F$1000,5,0)</f>
        <v/>
      </c>
      <c r="K2103">
        <f>IF(AND(H2103="Промышленный",LEFT(I2103,18)="Порошок стиральный",F2103="Продажа",B2103=DATE(2023,6,7)),E2103*J2103/1000,0)</f>
        <v/>
      </c>
    </row>
    <row r="2104">
      <c r="A2104" t="n">
        <v>2103</v>
      </c>
      <c r="B2104" s="1" t="n">
        <v>45084</v>
      </c>
      <c r="C2104" s="5" t="inlineStr">
        <is>
          <t>M11</t>
        </is>
      </c>
      <c r="D2104" s="5" t="n">
        <v>51</v>
      </c>
      <c r="E2104" s="5" t="n">
        <v>175</v>
      </c>
      <c r="F2104" t="inlineStr">
        <is>
          <t>Продажа</t>
        </is>
      </c>
      <c r="H2104">
        <f>VLOOKUP(C2104,Магазин!$A$2:$C$1000,2,0)</f>
        <v/>
      </c>
      <c r="I2104">
        <f>VLOOKUP(D2104,Товар!$A$2:$F$1000,3,0)</f>
        <v/>
      </c>
      <c r="J2104">
        <f>VLOOKUP(D2104,Товар!$A$2:$F$1000,5,0)</f>
        <v/>
      </c>
      <c r="K2104">
        <f>IF(AND(H2104="Промышленный",LEFT(I2104,18)="Порошок стиральный",F2104="Продажа",B2104=DATE(2023,6,7)),E2104*J2104/1000,0)</f>
        <v/>
      </c>
    </row>
    <row r="2105">
      <c r="A2105" t="n">
        <v>2104</v>
      </c>
      <c r="B2105" s="1" t="n">
        <v>45084</v>
      </c>
      <c r="C2105" s="5" t="inlineStr">
        <is>
          <t>M11</t>
        </is>
      </c>
      <c r="D2105" s="5" t="n">
        <v>52</v>
      </c>
      <c r="E2105" s="5" t="n">
        <v>114</v>
      </c>
      <c r="F2105" t="inlineStr">
        <is>
          <t>Продажа</t>
        </is>
      </c>
      <c r="H2105">
        <f>VLOOKUP(C2105,Магазин!$A$2:$C$1000,2,0)</f>
        <v/>
      </c>
      <c r="I2105">
        <f>VLOOKUP(D2105,Товар!$A$2:$F$1000,3,0)</f>
        <v/>
      </c>
      <c r="J2105">
        <f>VLOOKUP(D2105,Товар!$A$2:$F$1000,5,0)</f>
        <v/>
      </c>
      <c r="K2105">
        <f>IF(AND(H2105="Промышленный",LEFT(I2105,18)="Порошок стиральный",F2105="Продажа",B2105=DATE(2023,6,7)),E2105*J2105/1000,0)</f>
        <v/>
      </c>
    </row>
    <row r="2106">
      <c r="A2106" t="n">
        <v>2105</v>
      </c>
      <c r="B2106" s="1" t="n">
        <v>45084</v>
      </c>
      <c r="C2106" s="5" t="inlineStr">
        <is>
          <t>M11</t>
        </is>
      </c>
      <c r="D2106" s="5" t="n">
        <v>53</v>
      </c>
      <c r="E2106" s="5" t="n">
        <v>139</v>
      </c>
      <c r="F2106" t="inlineStr">
        <is>
          <t>Продажа</t>
        </is>
      </c>
      <c r="H2106">
        <f>VLOOKUP(C2106,Магазин!$A$2:$C$1000,2,0)</f>
        <v/>
      </c>
      <c r="I2106">
        <f>VLOOKUP(D2106,Товар!$A$2:$F$1000,3,0)</f>
        <v/>
      </c>
      <c r="J2106">
        <f>VLOOKUP(D2106,Товар!$A$2:$F$1000,5,0)</f>
        <v/>
      </c>
      <c r="K2106">
        <f>IF(AND(H2106="Промышленный",LEFT(I2106,18)="Порошок стиральный",F2106="Продажа",B2106=DATE(2023,6,7)),E2106*J2106/1000,0)</f>
        <v/>
      </c>
    </row>
    <row r="2107">
      <c r="A2107" t="n">
        <v>2106</v>
      </c>
      <c r="B2107" s="1" t="n">
        <v>45084</v>
      </c>
      <c r="C2107" s="5" t="inlineStr">
        <is>
          <t>M11</t>
        </is>
      </c>
      <c r="D2107" s="5" t="n">
        <v>54</v>
      </c>
      <c r="E2107" s="5" t="n">
        <v>141</v>
      </c>
      <c r="F2107" t="inlineStr">
        <is>
          <t>Продажа</t>
        </is>
      </c>
      <c r="H2107">
        <f>VLOOKUP(C2107,Магазин!$A$2:$C$1000,2,0)</f>
        <v/>
      </c>
      <c r="I2107">
        <f>VLOOKUP(D2107,Товар!$A$2:$F$1000,3,0)</f>
        <v/>
      </c>
      <c r="J2107">
        <f>VLOOKUP(D2107,Товар!$A$2:$F$1000,5,0)</f>
        <v/>
      </c>
      <c r="K2107">
        <f>IF(AND(H2107="Промышленный",LEFT(I2107,18)="Порошок стиральный",F2107="Продажа",B2107=DATE(2023,6,7)),E2107*J2107/1000,0)</f>
        <v/>
      </c>
    </row>
    <row r="2108">
      <c r="A2108" t="n">
        <v>2107</v>
      </c>
      <c r="B2108" s="1" t="n">
        <v>45084</v>
      </c>
      <c r="C2108" s="5" t="inlineStr">
        <is>
          <t>M11</t>
        </is>
      </c>
      <c r="D2108" s="5" t="n">
        <v>55</v>
      </c>
      <c r="E2108" s="5" t="n">
        <v>122</v>
      </c>
      <c r="F2108" t="inlineStr">
        <is>
          <t>Продажа</t>
        </is>
      </c>
      <c r="H2108">
        <f>VLOOKUP(C2108,Магазин!$A$2:$C$1000,2,0)</f>
        <v/>
      </c>
      <c r="I2108">
        <f>VLOOKUP(D2108,Товар!$A$2:$F$1000,3,0)</f>
        <v/>
      </c>
      <c r="J2108">
        <f>VLOOKUP(D2108,Товар!$A$2:$F$1000,5,0)</f>
        <v/>
      </c>
      <c r="K2108">
        <f>IF(AND(H2108="Промышленный",LEFT(I2108,18)="Порошок стиральный",F2108="Продажа",B2108=DATE(2023,6,7)),E2108*J2108/1000,0)</f>
        <v/>
      </c>
    </row>
    <row r="2109">
      <c r="A2109" t="n">
        <v>2108</v>
      </c>
      <c r="B2109" s="1" t="n">
        <v>45084</v>
      </c>
      <c r="C2109" s="5" t="inlineStr">
        <is>
          <t>M11</t>
        </is>
      </c>
      <c r="D2109" s="5" t="n">
        <v>56</v>
      </c>
      <c r="E2109" s="5" t="n">
        <v>123</v>
      </c>
      <c r="F2109" t="inlineStr">
        <is>
          <t>Продажа</t>
        </is>
      </c>
      <c r="H2109">
        <f>VLOOKUP(C2109,Магазин!$A$2:$C$1000,2,0)</f>
        <v/>
      </c>
      <c r="I2109">
        <f>VLOOKUP(D2109,Товар!$A$2:$F$1000,3,0)</f>
        <v/>
      </c>
      <c r="J2109">
        <f>VLOOKUP(D2109,Товар!$A$2:$F$1000,5,0)</f>
        <v/>
      </c>
      <c r="K2109">
        <f>IF(AND(H2109="Промышленный",LEFT(I2109,18)="Порошок стиральный",F2109="Продажа",B2109=DATE(2023,6,7)),E2109*J2109/1000,0)</f>
        <v/>
      </c>
    </row>
    <row r="2110">
      <c r="A2110" t="n">
        <v>2109</v>
      </c>
      <c r="B2110" s="1" t="n">
        <v>45084</v>
      </c>
      <c r="C2110" s="5" t="inlineStr">
        <is>
          <t>M11</t>
        </is>
      </c>
      <c r="D2110" s="5" t="n">
        <v>57</v>
      </c>
      <c r="E2110" s="5" t="n">
        <v>158</v>
      </c>
      <c r="F2110" t="inlineStr">
        <is>
          <t>Продажа</t>
        </is>
      </c>
      <c r="H2110">
        <f>VLOOKUP(C2110,Магазин!$A$2:$C$1000,2,0)</f>
        <v/>
      </c>
      <c r="I2110">
        <f>VLOOKUP(D2110,Товар!$A$2:$F$1000,3,0)</f>
        <v/>
      </c>
      <c r="J2110">
        <f>VLOOKUP(D2110,Товар!$A$2:$F$1000,5,0)</f>
        <v/>
      </c>
      <c r="K2110">
        <f>IF(AND(H2110="Промышленный",LEFT(I2110,18)="Порошок стиральный",F2110="Продажа",B2110=DATE(2023,6,7)),E2110*J2110/1000,0)</f>
        <v/>
      </c>
    </row>
    <row r="2111">
      <c r="A2111" t="n">
        <v>2110</v>
      </c>
      <c r="B2111" s="1" t="n">
        <v>45084</v>
      </c>
      <c r="C2111" s="5" t="inlineStr">
        <is>
          <t>M11</t>
        </is>
      </c>
      <c r="D2111" s="5" t="n">
        <v>58</v>
      </c>
      <c r="E2111" s="5" t="n">
        <v>146</v>
      </c>
      <c r="F2111" t="inlineStr">
        <is>
          <t>Продажа</t>
        </is>
      </c>
      <c r="H2111">
        <f>VLOOKUP(C2111,Магазин!$A$2:$C$1000,2,0)</f>
        <v/>
      </c>
      <c r="I2111">
        <f>VLOOKUP(D2111,Товар!$A$2:$F$1000,3,0)</f>
        <v/>
      </c>
      <c r="J2111">
        <f>VLOOKUP(D2111,Товар!$A$2:$F$1000,5,0)</f>
        <v/>
      </c>
      <c r="K2111">
        <f>IF(AND(H2111="Промышленный",LEFT(I2111,18)="Порошок стиральный",F2111="Продажа",B2111=DATE(2023,6,7)),E2111*J2111/1000,0)</f>
        <v/>
      </c>
    </row>
    <row r="2112">
      <c r="A2112" t="n">
        <v>2111</v>
      </c>
      <c r="B2112" s="1" t="n">
        <v>45084</v>
      </c>
      <c r="C2112" s="5" t="inlineStr">
        <is>
          <t>M11</t>
        </is>
      </c>
      <c r="D2112" s="5" t="n">
        <v>59</v>
      </c>
      <c r="E2112" s="5" t="n">
        <v>147</v>
      </c>
      <c r="F2112" t="inlineStr">
        <is>
          <t>Продажа</t>
        </is>
      </c>
      <c r="H2112">
        <f>VLOOKUP(C2112,Магазин!$A$2:$C$1000,2,0)</f>
        <v/>
      </c>
      <c r="I2112">
        <f>VLOOKUP(D2112,Товар!$A$2:$F$1000,3,0)</f>
        <v/>
      </c>
      <c r="J2112">
        <f>VLOOKUP(D2112,Товар!$A$2:$F$1000,5,0)</f>
        <v/>
      </c>
      <c r="K2112">
        <f>IF(AND(H2112="Промышленный",LEFT(I2112,18)="Порошок стиральный",F2112="Продажа",B2112=DATE(2023,6,7)),E2112*J2112/1000,0)</f>
        <v/>
      </c>
    </row>
    <row r="2113">
      <c r="A2113" t="n">
        <v>2112</v>
      </c>
      <c r="B2113" s="1" t="n">
        <v>45084</v>
      </c>
      <c r="C2113" s="5" t="inlineStr">
        <is>
          <t>M11</t>
        </is>
      </c>
      <c r="D2113" s="5" t="n">
        <v>60</v>
      </c>
      <c r="E2113" s="5" t="n">
        <v>169</v>
      </c>
      <c r="F2113" t="inlineStr">
        <is>
          <t>Продажа</t>
        </is>
      </c>
      <c r="H2113">
        <f>VLOOKUP(C2113,Магазин!$A$2:$C$1000,2,0)</f>
        <v/>
      </c>
      <c r="I2113">
        <f>VLOOKUP(D2113,Товар!$A$2:$F$1000,3,0)</f>
        <v/>
      </c>
      <c r="J2113">
        <f>VLOOKUP(D2113,Товар!$A$2:$F$1000,5,0)</f>
        <v/>
      </c>
      <c r="K2113">
        <f>IF(AND(H2113="Промышленный",LEFT(I2113,18)="Порошок стиральный",F2113="Продажа",B2113=DATE(2023,6,7)),E2113*J2113/1000,0)</f>
        <v/>
      </c>
    </row>
    <row r="2114">
      <c r="A2114" t="n">
        <v>2113</v>
      </c>
      <c r="B2114" s="1" t="n">
        <v>45084</v>
      </c>
      <c r="C2114" s="5" t="inlineStr">
        <is>
          <t>M14</t>
        </is>
      </c>
      <c r="D2114" s="5" t="n">
        <v>37</v>
      </c>
      <c r="E2114" s="5" t="n">
        <v>199</v>
      </c>
      <c r="F2114" t="inlineStr">
        <is>
          <t>Продажа</t>
        </is>
      </c>
      <c r="H2114">
        <f>VLOOKUP(C2114,Магазин!$A$2:$C$1000,2,0)</f>
        <v/>
      </c>
      <c r="I2114">
        <f>VLOOKUP(D2114,Товар!$A$2:$F$1000,3,0)</f>
        <v/>
      </c>
      <c r="J2114">
        <f>VLOOKUP(D2114,Товар!$A$2:$F$1000,5,0)</f>
        <v/>
      </c>
      <c r="K2114">
        <f>IF(AND(H2114="Промышленный",LEFT(I2114,18)="Порошок стиральный",F2114="Продажа",B2114=DATE(2023,6,7)),E2114*J2114/1000,0)</f>
        <v/>
      </c>
    </row>
    <row r="2115">
      <c r="A2115" t="n">
        <v>2114</v>
      </c>
      <c r="B2115" s="1" t="n">
        <v>45084</v>
      </c>
      <c r="C2115" s="5" t="inlineStr">
        <is>
          <t>M14</t>
        </is>
      </c>
      <c r="D2115" s="5" t="n">
        <v>38</v>
      </c>
      <c r="E2115" s="5" t="n">
        <v>147</v>
      </c>
      <c r="F2115" t="inlineStr">
        <is>
          <t>Продажа</t>
        </is>
      </c>
      <c r="H2115">
        <f>VLOOKUP(C2115,Магазин!$A$2:$C$1000,2,0)</f>
        <v/>
      </c>
      <c r="I2115">
        <f>VLOOKUP(D2115,Товар!$A$2:$F$1000,3,0)</f>
        <v/>
      </c>
      <c r="J2115">
        <f>VLOOKUP(D2115,Товар!$A$2:$F$1000,5,0)</f>
        <v/>
      </c>
      <c r="K2115">
        <f>IF(AND(H2115="Промышленный",LEFT(I2115,18)="Порошок стиральный",F2115="Продажа",B2115=DATE(2023,6,7)),E2115*J2115/1000,0)</f>
        <v/>
      </c>
    </row>
    <row r="2116">
      <c r="A2116" t="n">
        <v>2115</v>
      </c>
      <c r="B2116" s="1" t="n">
        <v>45084</v>
      </c>
      <c r="C2116" s="5" t="inlineStr">
        <is>
          <t>M14</t>
        </is>
      </c>
      <c r="D2116" s="5" t="n">
        <v>39</v>
      </c>
      <c r="E2116" s="5" t="n">
        <v>138</v>
      </c>
      <c r="F2116" t="inlineStr">
        <is>
          <t>Продажа</t>
        </is>
      </c>
      <c r="H2116">
        <f>VLOOKUP(C2116,Магазин!$A$2:$C$1000,2,0)</f>
        <v/>
      </c>
      <c r="I2116">
        <f>VLOOKUP(D2116,Товар!$A$2:$F$1000,3,0)</f>
        <v/>
      </c>
      <c r="J2116">
        <f>VLOOKUP(D2116,Товар!$A$2:$F$1000,5,0)</f>
        <v/>
      </c>
      <c r="K2116">
        <f>IF(AND(H2116="Промышленный",LEFT(I2116,18)="Порошок стиральный",F2116="Продажа",B2116=DATE(2023,6,7)),E2116*J2116/1000,0)</f>
        <v/>
      </c>
    </row>
    <row r="2117">
      <c r="A2117" t="n">
        <v>2116</v>
      </c>
      <c r="B2117" s="1" t="n">
        <v>45084</v>
      </c>
      <c r="C2117" s="5" t="inlineStr">
        <is>
          <t>M14</t>
        </is>
      </c>
      <c r="D2117" s="5" t="n">
        <v>40</v>
      </c>
      <c r="E2117" s="5" t="n">
        <v>129</v>
      </c>
      <c r="F2117" t="inlineStr">
        <is>
          <t>Продажа</t>
        </is>
      </c>
      <c r="H2117">
        <f>VLOOKUP(C2117,Магазин!$A$2:$C$1000,2,0)</f>
        <v/>
      </c>
      <c r="I2117">
        <f>VLOOKUP(D2117,Товар!$A$2:$F$1000,3,0)</f>
        <v/>
      </c>
      <c r="J2117">
        <f>VLOOKUP(D2117,Товар!$A$2:$F$1000,5,0)</f>
        <v/>
      </c>
      <c r="K2117">
        <f>IF(AND(H2117="Промышленный",LEFT(I2117,18)="Порошок стиральный",F2117="Продажа",B2117=DATE(2023,6,7)),E2117*J2117/1000,0)</f>
        <v/>
      </c>
    </row>
    <row r="2118">
      <c r="A2118" t="n">
        <v>2117</v>
      </c>
      <c r="B2118" s="1" t="n">
        <v>45084</v>
      </c>
      <c r="C2118" s="5" t="inlineStr">
        <is>
          <t>M14</t>
        </is>
      </c>
      <c r="D2118" s="5" t="n">
        <v>41</v>
      </c>
      <c r="E2118" s="5" t="n">
        <v>191</v>
      </c>
      <c r="F2118" t="inlineStr">
        <is>
          <t>Продажа</t>
        </is>
      </c>
      <c r="H2118">
        <f>VLOOKUP(C2118,Магазин!$A$2:$C$1000,2,0)</f>
        <v/>
      </c>
      <c r="I2118">
        <f>VLOOKUP(D2118,Товар!$A$2:$F$1000,3,0)</f>
        <v/>
      </c>
      <c r="J2118">
        <f>VLOOKUP(D2118,Товар!$A$2:$F$1000,5,0)</f>
        <v/>
      </c>
      <c r="K2118">
        <f>IF(AND(H2118="Промышленный",LEFT(I2118,18)="Порошок стиральный",F2118="Продажа",B2118=DATE(2023,6,7)),E2118*J2118/1000,0)</f>
        <v/>
      </c>
    </row>
    <row r="2119">
      <c r="A2119" t="n">
        <v>2118</v>
      </c>
      <c r="B2119" s="1" t="n">
        <v>45084</v>
      </c>
      <c r="C2119" s="5" t="inlineStr">
        <is>
          <t>M14</t>
        </is>
      </c>
      <c r="D2119" s="5" t="n">
        <v>42</v>
      </c>
      <c r="E2119" s="5" t="n">
        <v>155</v>
      </c>
      <c r="F2119" t="inlineStr">
        <is>
          <t>Продажа</t>
        </is>
      </c>
      <c r="H2119">
        <f>VLOOKUP(C2119,Магазин!$A$2:$C$1000,2,0)</f>
        <v/>
      </c>
      <c r="I2119">
        <f>VLOOKUP(D2119,Товар!$A$2:$F$1000,3,0)</f>
        <v/>
      </c>
      <c r="J2119">
        <f>VLOOKUP(D2119,Товар!$A$2:$F$1000,5,0)</f>
        <v/>
      </c>
      <c r="K2119">
        <f>IF(AND(H2119="Промышленный",LEFT(I2119,18)="Порошок стиральный",F2119="Продажа",B2119=DATE(2023,6,7)),E2119*J2119/1000,0)</f>
        <v/>
      </c>
    </row>
    <row r="2120">
      <c r="A2120" t="n">
        <v>2119</v>
      </c>
      <c r="B2120" s="1" t="n">
        <v>45084</v>
      </c>
      <c r="C2120" s="5" t="inlineStr">
        <is>
          <t>M14</t>
        </is>
      </c>
      <c r="D2120" s="5" t="n">
        <v>43</v>
      </c>
      <c r="E2120" s="5" t="n">
        <v>143</v>
      </c>
      <c r="F2120" t="inlineStr">
        <is>
          <t>Продажа</t>
        </is>
      </c>
      <c r="H2120">
        <f>VLOOKUP(C2120,Магазин!$A$2:$C$1000,2,0)</f>
        <v/>
      </c>
      <c r="I2120">
        <f>VLOOKUP(D2120,Товар!$A$2:$F$1000,3,0)</f>
        <v/>
      </c>
      <c r="J2120">
        <f>VLOOKUP(D2120,Товар!$A$2:$F$1000,5,0)</f>
        <v/>
      </c>
      <c r="K2120">
        <f>IF(AND(H2120="Промышленный",LEFT(I2120,18)="Порошок стиральный",F2120="Продажа",B2120=DATE(2023,6,7)),E2120*J2120/1000,0)</f>
        <v/>
      </c>
    </row>
    <row r="2121">
      <c r="A2121" t="n">
        <v>2120</v>
      </c>
      <c r="B2121" s="1" t="n">
        <v>45084</v>
      </c>
      <c r="C2121" s="5" t="inlineStr">
        <is>
          <t>M14</t>
        </is>
      </c>
      <c r="D2121" s="5" t="n">
        <v>44</v>
      </c>
      <c r="E2121" s="5" t="n">
        <v>178</v>
      </c>
      <c r="F2121" t="inlineStr">
        <is>
          <t>Продажа</t>
        </is>
      </c>
      <c r="H2121">
        <f>VLOOKUP(C2121,Магазин!$A$2:$C$1000,2,0)</f>
        <v/>
      </c>
      <c r="I2121">
        <f>VLOOKUP(D2121,Товар!$A$2:$F$1000,3,0)</f>
        <v/>
      </c>
      <c r="J2121">
        <f>VLOOKUP(D2121,Товар!$A$2:$F$1000,5,0)</f>
        <v/>
      </c>
      <c r="K2121">
        <f>IF(AND(H2121="Промышленный",LEFT(I2121,18)="Порошок стиральный",F2121="Продажа",B2121=DATE(2023,6,7)),E2121*J2121/1000,0)</f>
        <v/>
      </c>
    </row>
    <row r="2122">
      <c r="A2122" t="n">
        <v>2121</v>
      </c>
      <c r="B2122" s="1" t="n">
        <v>45084</v>
      </c>
      <c r="C2122" s="5" t="inlineStr">
        <is>
          <t>M14</t>
        </is>
      </c>
      <c r="D2122" s="5" t="n">
        <v>45</v>
      </c>
      <c r="E2122" s="5" t="n">
        <v>146</v>
      </c>
      <c r="F2122" t="inlineStr">
        <is>
          <t>Продажа</t>
        </is>
      </c>
      <c r="H2122">
        <f>VLOOKUP(C2122,Магазин!$A$2:$C$1000,2,0)</f>
        <v/>
      </c>
      <c r="I2122">
        <f>VLOOKUP(D2122,Товар!$A$2:$F$1000,3,0)</f>
        <v/>
      </c>
      <c r="J2122">
        <f>VLOOKUP(D2122,Товар!$A$2:$F$1000,5,0)</f>
        <v/>
      </c>
      <c r="K2122">
        <f>IF(AND(H2122="Промышленный",LEFT(I2122,18)="Порошок стиральный",F2122="Продажа",B2122=DATE(2023,6,7)),E2122*J2122/1000,0)</f>
        <v/>
      </c>
    </row>
    <row r="2123">
      <c r="A2123" t="n">
        <v>2122</v>
      </c>
      <c r="B2123" s="1" t="n">
        <v>45084</v>
      </c>
      <c r="C2123" s="5" t="inlineStr">
        <is>
          <t>M14</t>
        </is>
      </c>
      <c r="D2123" s="5" t="n">
        <v>46</v>
      </c>
      <c r="E2123" s="5" t="n">
        <v>128</v>
      </c>
      <c r="F2123" t="inlineStr">
        <is>
          <t>Продажа</t>
        </is>
      </c>
      <c r="H2123">
        <f>VLOOKUP(C2123,Магазин!$A$2:$C$1000,2,0)</f>
        <v/>
      </c>
      <c r="I2123">
        <f>VLOOKUP(D2123,Товар!$A$2:$F$1000,3,0)</f>
        <v/>
      </c>
      <c r="J2123">
        <f>VLOOKUP(D2123,Товар!$A$2:$F$1000,5,0)</f>
        <v/>
      </c>
      <c r="K2123">
        <f>IF(AND(H2123="Промышленный",LEFT(I2123,18)="Порошок стиральный",F2123="Продажа",B2123=DATE(2023,6,7)),E2123*J2123/1000,0)</f>
        <v/>
      </c>
    </row>
    <row r="2124">
      <c r="A2124" t="n">
        <v>2123</v>
      </c>
      <c r="B2124" s="1" t="n">
        <v>45084</v>
      </c>
      <c r="C2124" s="5" t="inlineStr">
        <is>
          <t>M14</t>
        </is>
      </c>
      <c r="D2124" s="5" t="n">
        <v>47</v>
      </c>
      <c r="E2124" s="5" t="n">
        <v>191</v>
      </c>
      <c r="F2124" t="inlineStr">
        <is>
          <t>Продажа</t>
        </is>
      </c>
      <c r="H2124">
        <f>VLOOKUP(C2124,Магазин!$A$2:$C$1000,2,0)</f>
        <v/>
      </c>
      <c r="I2124">
        <f>VLOOKUP(D2124,Товар!$A$2:$F$1000,3,0)</f>
        <v/>
      </c>
      <c r="J2124">
        <f>VLOOKUP(D2124,Товар!$A$2:$F$1000,5,0)</f>
        <v/>
      </c>
      <c r="K2124">
        <f>IF(AND(H2124="Промышленный",LEFT(I2124,18)="Порошок стиральный",F2124="Продажа",B2124=DATE(2023,6,7)),E2124*J2124/1000,0)</f>
        <v/>
      </c>
    </row>
    <row r="2125">
      <c r="A2125" t="n">
        <v>2124</v>
      </c>
      <c r="B2125" s="1" t="n">
        <v>45084</v>
      </c>
      <c r="C2125" s="5" t="inlineStr">
        <is>
          <t>M14</t>
        </is>
      </c>
      <c r="D2125" s="5" t="n">
        <v>48</v>
      </c>
      <c r="E2125" s="5" t="n">
        <v>165</v>
      </c>
      <c r="F2125" t="inlineStr">
        <is>
          <t>Продажа</t>
        </is>
      </c>
      <c r="H2125">
        <f>VLOOKUP(C2125,Магазин!$A$2:$C$1000,2,0)</f>
        <v/>
      </c>
      <c r="I2125">
        <f>VLOOKUP(D2125,Товар!$A$2:$F$1000,3,0)</f>
        <v/>
      </c>
      <c r="J2125">
        <f>VLOOKUP(D2125,Товар!$A$2:$F$1000,5,0)</f>
        <v/>
      </c>
      <c r="K2125">
        <f>IF(AND(H2125="Промышленный",LEFT(I2125,18)="Порошок стиральный",F2125="Продажа",B2125=DATE(2023,6,7)),E2125*J2125/1000,0)</f>
        <v/>
      </c>
    </row>
    <row r="2126">
      <c r="A2126" t="n">
        <v>2125</v>
      </c>
      <c r="B2126" s="1" t="n">
        <v>45084</v>
      </c>
      <c r="C2126" s="5" t="inlineStr">
        <is>
          <t>M14</t>
        </is>
      </c>
      <c r="D2126" s="5" t="n">
        <v>49</v>
      </c>
      <c r="E2126" s="5" t="n">
        <v>167</v>
      </c>
      <c r="F2126" t="inlineStr">
        <is>
          <t>Продажа</t>
        </is>
      </c>
      <c r="H2126">
        <f>VLOOKUP(C2126,Магазин!$A$2:$C$1000,2,0)</f>
        <v/>
      </c>
      <c r="I2126">
        <f>VLOOKUP(D2126,Товар!$A$2:$F$1000,3,0)</f>
        <v/>
      </c>
      <c r="J2126">
        <f>VLOOKUP(D2126,Товар!$A$2:$F$1000,5,0)</f>
        <v/>
      </c>
      <c r="K2126">
        <f>IF(AND(H2126="Промышленный",LEFT(I2126,18)="Порошок стиральный",F2126="Продажа",B2126=DATE(2023,6,7)),E2126*J2126/1000,0)</f>
        <v/>
      </c>
    </row>
    <row r="2127">
      <c r="A2127" t="n">
        <v>2126</v>
      </c>
      <c r="B2127" s="1" t="n">
        <v>45084</v>
      </c>
      <c r="C2127" s="5" t="inlineStr">
        <is>
          <t>M14</t>
        </is>
      </c>
      <c r="D2127" s="5" t="n">
        <v>50</v>
      </c>
      <c r="E2127" s="5" t="n">
        <v>132</v>
      </c>
      <c r="F2127" t="inlineStr">
        <is>
          <t>Продажа</t>
        </is>
      </c>
      <c r="H2127">
        <f>VLOOKUP(C2127,Магазин!$A$2:$C$1000,2,0)</f>
        <v/>
      </c>
      <c r="I2127">
        <f>VLOOKUP(D2127,Товар!$A$2:$F$1000,3,0)</f>
        <v/>
      </c>
      <c r="J2127">
        <f>VLOOKUP(D2127,Товар!$A$2:$F$1000,5,0)</f>
        <v/>
      </c>
      <c r="K2127">
        <f>IF(AND(H2127="Промышленный",LEFT(I2127,18)="Порошок стиральный",F2127="Продажа",B2127=DATE(2023,6,7)),E2127*J2127/1000,0)</f>
        <v/>
      </c>
    </row>
    <row r="2128">
      <c r="A2128" t="n">
        <v>2127</v>
      </c>
      <c r="B2128" s="1" t="n">
        <v>45084</v>
      </c>
      <c r="C2128" s="5" t="inlineStr">
        <is>
          <t>M14</t>
        </is>
      </c>
      <c r="D2128" s="5" t="n">
        <v>51</v>
      </c>
      <c r="E2128" s="5" t="n">
        <v>105</v>
      </c>
      <c r="F2128" t="inlineStr">
        <is>
          <t>Продажа</t>
        </is>
      </c>
      <c r="H2128">
        <f>VLOOKUP(C2128,Магазин!$A$2:$C$1000,2,0)</f>
        <v/>
      </c>
      <c r="I2128">
        <f>VLOOKUP(D2128,Товар!$A$2:$F$1000,3,0)</f>
        <v/>
      </c>
      <c r="J2128">
        <f>VLOOKUP(D2128,Товар!$A$2:$F$1000,5,0)</f>
        <v/>
      </c>
      <c r="K2128">
        <f>IF(AND(H2128="Промышленный",LEFT(I2128,18)="Порошок стиральный",F2128="Продажа",B2128=DATE(2023,6,7)),E2128*J2128/1000,0)</f>
        <v/>
      </c>
    </row>
    <row r="2129">
      <c r="A2129" t="n">
        <v>2128</v>
      </c>
      <c r="B2129" s="1" t="n">
        <v>45084</v>
      </c>
      <c r="C2129" s="5" t="inlineStr">
        <is>
          <t>M14</t>
        </is>
      </c>
      <c r="D2129" s="5" t="n">
        <v>52</v>
      </c>
      <c r="E2129" s="5" t="n">
        <v>114</v>
      </c>
      <c r="F2129" t="inlineStr">
        <is>
          <t>Продажа</t>
        </is>
      </c>
      <c r="H2129">
        <f>VLOOKUP(C2129,Магазин!$A$2:$C$1000,2,0)</f>
        <v/>
      </c>
      <c r="I2129">
        <f>VLOOKUP(D2129,Товар!$A$2:$F$1000,3,0)</f>
        <v/>
      </c>
      <c r="J2129">
        <f>VLOOKUP(D2129,Товар!$A$2:$F$1000,5,0)</f>
        <v/>
      </c>
      <c r="K2129">
        <f>IF(AND(H2129="Промышленный",LEFT(I2129,18)="Порошок стиральный",F2129="Продажа",B2129=DATE(2023,6,7)),E2129*J2129/1000,0)</f>
        <v/>
      </c>
    </row>
    <row r="2130">
      <c r="A2130" t="n">
        <v>2129</v>
      </c>
      <c r="B2130" s="1" t="n">
        <v>45084</v>
      </c>
      <c r="C2130" s="5" t="inlineStr">
        <is>
          <t>M14</t>
        </is>
      </c>
      <c r="D2130" s="5" t="n">
        <v>53</v>
      </c>
      <c r="E2130" s="5" t="n">
        <v>192</v>
      </c>
      <c r="F2130" t="inlineStr">
        <is>
          <t>Продажа</t>
        </is>
      </c>
      <c r="H2130">
        <f>VLOOKUP(C2130,Магазин!$A$2:$C$1000,2,0)</f>
        <v/>
      </c>
      <c r="I2130">
        <f>VLOOKUP(D2130,Товар!$A$2:$F$1000,3,0)</f>
        <v/>
      </c>
      <c r="J2130">
        <f>VLOOKUP(D2130,Товар!$A$2:$F$1000,5,0)</f>
        <v/>
      </c>
      <c r="K2130">
        <f>IF(AND(H2130="Промышленный",LEFT(I2130,18)="Порошок стиральный",F2130="Продажа",B2130=DATE(2023,6,7)),E2130*J2130/1000,0)</f>
        <v/>
      </c>
    </row>
    <row r="2131">
      <c r="A2131" t="n">
        <v>2130</v>
      </c>
      <c r="B2131" s="1" t="n">
        <v>45084</v>
      </c>
      <c r="C2131" s="5" t="inlineStr">
        <is>
          <t>M14</t>
        </is>
      </c>
      <c r="D2131" s="5" t="n">
        <v>54</v>
      </c>
      <c r="E2131" s="5" t="n">
        <v>145</v>
      </c>
      <c r="F2131" t="inlineStr">
        <is>
          <t>Продажа</t>
        </is>
      </c>
      <c r="H2131">
        <f>VLOOKUP(C2131,Магазин!$A$2:$C$1000,2,0)</f>
        <v/>
      </c>
      <c r="I2131">
        <f>VLOOKUP(D2131,Товар!$A$2:$F$1000,3,0)</f>
        <v/>
      </c>
      <c r="J2131">
        <f>VLOOKUP(D2131,Товар!$A$2:$F$1000,5,0)</f>
        <v/>
      </c>
      <c r="K2131">
        <f>IF(AND(H2131="Промышленный",LEFT(I2131,18)="Порошок стиральный",F2131="Продажа",B2131=DATE(2023,6,7)),E2131*J2131/1000,0)</f>
        <v/>
      </c>
    </row>
    <row r="2132">
      <c r="A2132" t="n">
        <v>2131</v>
      </c>
      <c r="B2132" s="1" t="n">
        <v>45084</v>
      </c>
      <c r="C2132" s="5" t="inlineStr">
        <is>
          <t>M14</t>
        </is>
      </c>
      <c r="D2132" s="5" t="n">
        <v>55</v>
      </c>
      <c r="E2132" s="5" t="n">
        <v>163</v>
      </c>
      <c r="F2132" t="inlineStr">
        <is>
          <t>Продажа</t>
        </is>
      </c>
      <c r="H2132">
        <f>VLOOKUP(C2132,Магазин!$A$2:$C$1000,2,0)</f>
        <v/>
      </c>
      <c r="I2132">
        <f>VLOOKUP(D2132,Товар!$A$2:$F$1000,3,0)</f>
        <v/>
      </c>
      <c r="J2132">
        <f>VLOOKUP(D2132,Товар!$A$2:$F$1000,5,0)</f>
        <v/>
      </c>
      <c r="K2132">
        <f>IF(AND(H2132="Промышленный",LEFT(I2132,18)="Порошок стиральный",F2132="Продажа",B2132=DATE(2023,6,7)),E2132*J2132/1000,0)</f>
        <v/>
      </c>
    </row>
    <row r="2133">
      <c r="A2133" t="n">
        <v>2132</v>
      </c>
      <c r="B2133" s="1" t="n">
        <v>45084</v>
      </c>
      <c r="C2133" s="5" t="inlineStr">
        <is>
          <t>M14</t>
        </is>
      </c>
      <c r="D2133" s="5" t="n">
        <v>56</v>
      </c>
      <c r="E2133" s="5" t="n">
        <v>128</v>
      </c>
      <c r="F2133" t="inlineStr">
        <is>
          <t>Продажа</t>
        </is>
      </c>
      <c r="H2133">
        <f>VLOOKUP(C2133,Магазин!$A$2:$C$1000,2,0)</f>
        <v/>
      </c>
      <c r="I2133">
        <f>VLOOKUP(D2133,Товар!$A$2:$F$1000,3,0)</f>
        <v/>
      </c>
      <c r="J2133">
        <f>VLOOKUP(D2133,Товар!$A$2:$F$1000,5,0)</f>
        <v/>
      </c>
      <c r="K2133">
        <f>IF(AND(H2133="Промышленный",LEFT(I2133,18)="Порошок стиральный",F2133="Продажа",B2133=DATE(2023,6,7)),E2133*J2133/1000,0)</f>
        <v/>
      </c>
    </row>
    <row r="2134">
      <c r="A2134" t="n">
        <v>2133</v>
      </c>
      <c r="B2134" s="1" t="n">
        <v>45084</v>
      </c>
      <c r="C2134" s="5" t="inlineStr">
        <is>
          <t>M14</t>
        </is>
      </c>
      <c r="D2134" s="5" t="n">
        <v>57</v>
      </c>
      <c r="E2134" s="5" t="n">
        <v>145</v>
      </c>
      <c r="F2134" t="inlineStr">
        <is>
          <t>Продажа</t>
        </is>
      </c>
      <c r="H2134">
        <f>VLOOKUP(C2134,Магазин!$A$2:$C$1000,2,0)</f>
        <v/>
      </c>
      <c r="I2134">
        <f>VLOOKUP(D2134,Товар!$A$2:$F$1000,3,0)</f>
        <v/>
      </c>
      <c r="J2134">
        <f>VLOOKUP(D2134,Товар!$A$2:$F$1000,5,0)</f>
        <v/>
      </c>
      <c r="K2134">
        <f>IF(AND(H2134="Промышленный",LEFT(I2134,18)="Порошок стиральный",F2134="Продажа",B2134=DATE(2023,6,7)),E2134*J2134/1000,0)</f>
        <v/>
      </c>
    </row>
    <row r="2135">
      <c r="A2135" t="n">
        <v>2134</v>
      </c>
      <c r="B2135" s="1" t="n">
        <v>45084</v>
      </c>
      <c r="C2135" s="5" t="inlineStr">
        <is>
          <t>M14</t>
        </is>
      </c>
      <c r="D2135" s="5" t="n">
        <v>58</v>
      </c>
      <c r="E2135" s="5" t="n">
        <v>138</v>
      </c>
      <c r="F2135" t="inlineStr">
        <is>
          <t>Продажа</t>
        </is>
      </c>
      <c r="H2135">
        <f>VLOOKUP(C2135,Магазин!$A$2:$C$1000,2,0)</f>
        <v/>
      </c>
      <c r="I2135">
        <f>VLOOKUP(D2135,Товар!$A$2:$F$1000,3,0)</f>
        <v/>
      </c>
      <c r="J2135">
        <f>VLOOKUP(D2135,Товар!$A$2:$F$1000,5,0)</f>
        <v/>
      </c>
      <c r="K2135">
        <f>IF(AND(H2135="Промышленный",LEFT(I2135,18)="Порошок стиральный",F2135="Продажа",B2135=DATE(2023,6,7)),E2135*J2135/1000,0)</f>
        <v/>
      </c>
    </row>
    <row r="2136">
      <c r="A2136" t="n">
        <v>2135</v>
      </c>
      <c r="B2136" s="1" t="n">
        <v>45084</v>
      </c>
      <c r="C2136" s="5" t="inlineStr">
        <is>
          <t>M14</t>
        </is>
      </c>
      <c r="D2136" s="5" t="n">
        <v>59</v>
      </c>
      <c r="E2136" s="5" t="n">
        <v>164</v>
      </c>
      <c r="F2136" t="inlineStr">
        <is>
          <t>Продажа</t>
        </is>
      </c>
      <c r="H2136">
        <f>VLOOKUP(C2136,Магазин!$A$2:$C$1000,2,0)</f>
        <v/>
      </c>
      <c r="I2136">
        <f>VLOOKUP(D2136,Товар!$A$2:$F$1000,3,0)</f>
        <v/>
      </c>
      <c r="J2136">
        <f>VLOOKUP(D2136,Товар!$A$2:$F$1000,5,0)</f>
        <v/>
      </c>
      <c r="K2136">
        <f>IF(AND(H2136="Промышленный",LEFT(I2136,18)="Порошок стиральный",F2136="Продажа",B2136=DATE(2023,6,7)),E2136*J2136/1000,0)</f>
        <v/>
      </c>
    </row>
    <row r="2137">
      <c r="A2137" t="n">
        <v>2136</v>
      </c>
      <c r="B2137" s="1" t="n">
        <v>45084</v>
      </c>
      <c r="C2137" s="5" t="inlineStr">
        <is>
          <t>M14</t>
        </is>
      </c>
      <c r="D2137" s="5" t="n">
        <v>60</v>
      </c>
      <c r="E2137" s="5" t="n">
        <v>176</v>
      </c>
      <c r="F2137" t="inlineStr">
        <is>
          <t>Продажа</t>
        </is>
      </c>
      <c r="H2137">
        <f>VLOOKUP(C2137,Магазин!$A$2:$C$1000,2,0)</f>
        <v/>
      </c>
      <c r="I2137">
        <f>VLOOKUP(D2137,Товар!$A$2:$F$1000,3,0)</f>
        <v/>
      </c>
      <c r="J2137">
        <f>VLOOKUP(D2137,Товар!$A$2:$F$1000,5,0)</f>
        <v/>
      </c>
      <c r="K2137">
        <f>IF(AND(H2137="Промышленный",LEFT(I2137,18)="Порошок стиральный",F2137="Продажа",B2137=DATE(2023,6,7)),E2137*J2137/1000,0)</f>
        <v/>
      </c>
    </row>
    <row r="2138">
      <c r="A2138" t="n">
        <v>2137</v>
      </c>
      <c r="B2138" s="1" t="n">
        <v>45084</v>
      </c>
      <c r="C2138" s="5" t="inlineStr">
        <is>
          <t>M17</t>
        </is>
      </c>
      <c r="D2138" s="5" t="n">
        <v>37</v>
      </c>
      <c r="E2138" s="5" t="n">
        <v>128</v>
      </c>
      <c r="F2138" t="inlineStr">
        <is>
          <t>Продажа</t>
        </is>
      </c>
      <c r="H2138">
        <f>VLOOKUP(C2138,Магазин!$A$2:$C$1000,2,0)</f>
        <v/>
      </c>
      <c r="I2138">
        <f>VLOOKUP(D2138,Товар!$A$2:$F$1000,3,0)</f>
        <v/>
      </c>
      <c r="J2138">
        <f>VLOOKUP(D2138,Товар!$A$2:$F$1000,5,0)</f>
        <v/>
      </c>
      <c r="K2138">
        <f>IF(AND(H2138="Промышленный",LEFT(I2138,18)="Порошок стиральный",F2138="Продажа",B2138=DATE(2023,6,7)),E2138*J2138/1000,0)</f>
        <v/>
      </c>
    </row>
    <row r="2139">
      <c r="A2139" t="n">
        <v>2138</v>
      </c>
      <c r="B2139" s="1" t="n">
        <v>45084</v>
      </c>
      <c r="C2139" s="5" t="inlineStr">
        <is>
          <t>M17</t>
        </is>
      </c>
      <c r="D2139" s="5" t="n">
        <v>38</v>
      </c>
      <c r="E2139" s="5" t="n">
        <v>146</v>
      </c>
      <c r="F2139" t="inlineStr">
        <is>
          <t>Продажа</t>
        </is>
      </c>
      <c r="H2139">
        <f>VLOOKUP(C2139,Магазин!$A$2:$C$1000,2,0)</f>
        <v/>
      </c>
      <c r="I2139">
        <f>VLOOKUP(D2139,Товар!$A$2:$F$1000,3,0)</f>
        <v/>
      </c>
      <c r="J2139">
        <f>VLOOKUP(D2139,Товар!$A$2:$F$1000,5,0)</f>
        <v/>
      </c>
      <c r="K2139">
        <f>IF(AND(H2139="Промышленный",LEFT(I2139,18)="Порошок стиральный",F2139="Продажа",B2139=DATE(2023,6,7)),E2139*J2139/1000,0)</f>
        <v/>
      </c>
    </row>
    <row r="2140">
      <c r="A2140" t="n">
        <v>2139</v>
      </c>
      <c r="B2140" s="1" t="n">
        <v>45084</v>
      </c>
      <c r="C2140" s="5" t="inlineStr">
        <is>
          <t>M17</t>
        </is>
      </c>
      <c r="D2140" s="5" t="n">
        <v>39</v>
      </c>
      <c r="E2140" s="5" t="n">
        <v>173</v>
      </c>
      <c r="F2140" t="inlineStr">
        <is>
          <t>Продажа</t>
        </is>
      </c>
      <c r="H2140">
        <f>VLOOKUP(C2140,Магазин!$A$2:$C$1000,2,0)</f>
        <v/>
      </c>
      <c r="I2140">
        <f>VLOOKUP(D2140,Товар!$A$2:$F$1000,3,0)</f>
        <v/>
      </c>
      <c r="J2140">
        <f>VLOOKUP(D2140,Товар!$A$2:$F$1000,5,0)</f>
        <v/>
      </c>
      <c r="K2140">
        <f>IF(AND(H2140="Промышленный",LEFT(I2140,18)="Порошок стиральный",F2140="Продажа",B2140=DATE(2023,6,7)),E2140*J2140/1000,0)</f>
        <v/>
      </c>
    </row>
    <row r="2141">
      <c r="A2141" t="n">
        <v>2140</v>
      </c>
      <c r="B2141" s="1" t="n">
        <v>45084</v>
      </c>
      <c r="C2141" s="5" t="inlineStr">
        <is>
          <t>M17</t>
        </is>
      </c>
      <c r="D2141" s="5" t="n">
        <v>40</v>
      </c>
      <c r="E2141" s="5" t="n">
        <v>180</v>
      </c>
      <c r="F2141" t="inlineStr">
        <is>
          <t>Продажа</t>
        </is>
      </c>
      <c r="H2141">
        <f>VLOOKUP(C2141,Магазин!$A$2:$C$1000,2,0)</f>
        <v/>
      </c>
      <c r="I2141">
        <f>VLOOKUP(D2141,Товар!$A$2:$F$1000,3,0)</f>
        <v/>
      </c>
      <c r="J2141">
        <f>VLOOKUP(D2141,Товар!$A$2:$F$1000,5,0)</f>
        <v/>
      </c>
      <c r="K2141">
        <f>IF(AND(H2141="Промышленный",LEFT(I2141,18)="Порошок стиральный",F2141="Продажа",B2141=DATE(2023,6,7)),E2141*J2141/1000,0)</f>
        <v/>
      </c>
    </row>
    <row r="2142">
      <c r="A2142" t="n">
        <v>2141</v>
      </c>
      <c r="B2142" s="1" t="n">
        <v>45084</v>
      </c>
      <c r="C2142" s="5" t="inlineStr">
        <is>
          <t>M17</t>
        </is>
      </c>
      <c r="D2142" s="5" t="n">
        <v>41</v>
      </c>
      <c r="E2142" s="5" t="n">
        <v>142</v>
      </c>
      <c r="F2142" t="inlineStr">
        <is>
          <t>Продажа</t>
        </is>
      </c>
      <c r="H2142">
        <f>VLOOKUP(C2142,Магазин!$A$2:$C$1000,2,0)</f>
        <v/>
      </c>
      <c r="I2142">
        <f>VLOOKUP(D2142,Товар!$A$2:$F$1000,3,0)</f>
        <v/>
      </c>
      <c r="J2142">
        <f>VLOOKUP(D2142,Товар!$A$2:$F$1000,5,0)</f>
        <v/>
      </c>
      <c r="K2142">
        <f>IF(AND(H2142="Промышленный",LEFT(I2142,18)="Порошок стиральный",F2142="Продажа",B2142=DATE(2023,6,7)),E2142*J2142/1000,0)</f>
        <v/>
      </c>
    </row>
    <row r="2143">
      <c r="A2143" t="n">
        <v>2142</v>
      </c>
      <c r="B2143" s="1" t="n">
        <v>45084</v>
      </c>
      <c r="C2143" s="5" t="inlineStr">
        <is>
          <t>M17</t>
        </is>
      </c>
      <c r="D2143" s="5" t="n">
        <v>42</v>
      </c>
      <c r="E2143" s="5" t="n">
        <v>156</v>
      </c>
      <c r="F2143" t="inlineStr">
        <is>
          <t>Продажа</t>
        </is>
      </c>
      <c r="H2143">
        <f>VLOOKUP(C2143,Магазин!$A$2:$C$1000,2,0)</f>
        <v/>
      </c>
      <c r="I2143">
        <f>VLOOKUP(D2143,Товар!$A$2:$F$1000,3,0)</f>
        <v/>
      </c>
      <c r="J2143">
        <f>VLOOKUP(D2143,Товар!$A$2:$F$1000,5,0)</f>
        <v/>
      </c>
      <c r="K2143">
        <f>IF(AND(H2143="Промышленный",LEFT(I2143,18)="Порошок стиральный",F2143="Продажа",B2143=DATE(2023,6,7)),E2143*J2143/1000,0)</f>
        <v/>
      </c>
    </row>
    <row r="2144">
      <c r="A2144" t="n">
        <v>2143</v>
      </c>
      <c r="B2144" s="1" t="n">
        <v>45084</v>
      </c>
      <c r="C2144" s="5" t="inlineStr">
        <is>
          <t>M17</t>
        </is>
      </c>
      <c r="D2144" s="5" t="n">
        <v>43</v>
      </c>
      <c r="E2144" s="5" t="n">
        <v>144</v>
      </c>
      <c r="F2144" t="inlineStr">
        <is>
          <t>Продажа</t>
        </is>
      </c>
      <c r="H2144">
        <f>VLOOKUP(C2144,Магазин!$A$2:$C$1000,2,0)</f>
        <v/>
      </c>
      <c r="I2144">
        <f>VLOOKUP(D2144,Товар!$A$2:$F$1000,3,0)</f>
        <v/>
      </c>
      <c r="J2144">
        <f>VLOOKUP(D2144,Товар!$A$2:$F$1000,5,0)</f>
        <v/>
      </c>
      <c r="K2144">
        <f>IF(AND(H2144="Промышленный",LEFT(I2144,18)="Порошок стиральный",F2144="Продажа",B2144=DATE(2023,6,7)),E2144*J2144/1000,0)</f>
        <v/>
      </c>
    </row>
    <row r="2145">
      <c r="A2145" t="n">
        <v>2144</v>
      </c>
      <c r="B2145" s="1" t="n">
        <v>45084</v>
      </c>
      <c r="C2145" s="5" t="inlineStr">
        <is>
          <t>M17</t>
        </is>
      </c>
      <c r="D2145" s="5" t="n">
        <v>44</v>
      </c>
      <c r="E2145" s="5" t="n">
        <v>178</v>
      </c>
      <c r="F2145" t="inlineStr">
        <is>
          <t>Продажа</t>
        </is>
      </c>
      <c r="H2145">
        <f>VLOOKUP(C2145,Магазин!$A$2:$C$1000,2,0)</f>
        <v/>
      </c>
      <c r="I2145">
        <f>VLOOKUP(D2145,Товар!$A$2:$F$1000,3,0)</f>
        <v/>
      </c>
      <c r="J2145">
        <f>VLOOKUP(D2145,Товар!$A$2:$F$1000,5,0)</f>
        <v/>
      </c>
      <c r="K2145">
        <f>IF(AND(H2145="Промышленный",LEFT(I2145,18)="Порошок стиральный",F2145="Продажа",B2145=DATE(2023,6,7)),E2145*J2145/1000,0)</f>
        <v/>
      </c>
    </row>
    <row r="2146">
      <c r="A2146" t="n">
        <v>2145</v>
      </c>
      <c r="B2146" s="1" t="n">
        <v>45084</v>
      </c>
      <c r="C2146" s="5" t="inlineStr">
        <is>
          <t>M17</t>
        </is>
      </c>
      <c r="D2146" s="5" t="n">
        <v>45</v>
      </c>
      <c r="E2146" s="5" t="n">
        <v>105</v>
      </c>
      <c r="F2146" t="inlineStr">
        <is>
          <t>Продажа</t>
        </is>
      </c>
      <c r="H2146">
        <f>VLOOKUP(C2146,Магазин!$A$2:$C$1000,2,0)</f>
        <v/>
      </c>
      <c r="I2146">
        <f>VLOOKUP(D2146,Товар!$A$2:$F$1000,3,0)</f>
        <v/>
      </c>
      <c r="J2146">
        <f>VLOOKUP(D2146,Товар!$A$2:$F$1000,5,0)</f>
        <v/>
      </c>
      <c r="K2146">
        <f>IF(AND(H2146="Промышленный",LEFT(I2146,18)="Порошок стиральный",F2146="Продажа",B2146=DATE(2023,6,7)),E2146*J2146/1000,0)</f>
        <v/>
      </c>
    </row>
    <row r="2147">
      <c r="A2147" t="n">
        <v>2146</v>
      </c>
      <c r="B2147" s="1" t="n">
        <v>45084</v>
      </c>
      <c r="C2147" s="5" t="inlineStr">
        <is>
          <t>M17</t>
        </is>
      </c>
      <c r="D2147" s="5" t="n">
        <v>46</v>
      </c>
      <c r="E2147" s="5" t="n">
        <v>114</v>
      </c>
      <c r="F2147" t="inlineStr">
        <is>
          <t>Продажа</t>
        </is>
      </c>
      <c r="H2147">
        <f>VLOOKUP(C2147,Магазин!$A$2:$C$1000,2,0)</f>
        <v/>
      </c>
      <c r="I2147">
        <f>VLOOKUP(D2147,Товар!$A$2:$F$1000,3,0)</f>
        <v/>
      </c>
      <c r="J2147">
        <f>VLOOKUP(D2147,Товар!$A$2:$F$1000,5,0)</f>
        <v/>
      </c>
      <c r="K2147">
        <f>IF(AND(H2147="Промышленный",LEFT(I2147,18)="Порошок стиральный",F2147="Продажа",B2147=DATE(2023,6,7)),E2147*J2147/1000,0)</f>
        <v/>
      </c>
    </row>
    <row r="2148">
      <c r="A2148" t="n">
        <v>2147</v>
      </c>
      <c r="B2148" s="1" t="n">
        <v>45084</v>
      </c>
      <c r="C2148" s="5" t="inlineStr">
        <is>
          <t>M17</t>
        </is>
      </c>
      <c r="D2148" s="5" t="n">
        <v>47</v>
      </c>
      <c r="E2148" s="5" t="n">
        <v>192</v>
      </c>
      <c r="F2148" t="inlineStr">
        <is>
          <t>Продажа</t>
        </is>
      </c>
      <c r="H2148">
        <f>VLOOKUP(C2148,Магазин!$A$2:$C$1000,2,0)</f>
        <v/>
      </c>
      <c r="I2148">
        <f>VLOOKUP(D2148,Товар!$A$2:$F$1000,3,0)</f>
        <v/>
      </c>
      <c r="J2148">
        <f>VLOOKUP(D2148,Товар!$A$2:$F$1000,5,0)</f>
        <v/>
      </c>
      <c r="K2148">
        <f>IF(AND(H2148="Промышленный",LEFT(I2148,18)="Порошок стиральный",F2148="Продажа",B2148=DATE(2023,6,7)),E2148*J2148/1000,0)</f>
        <v/>
      </c>
    </row>
    <row r="2149">
      <c r="A2149" t="n">
        <v>2148</v>
      </c>
      <c r="B2149" s="1" t="n">
        <v>45084</v>
      </c>
      <c r="C2149" s="5" t="inlineStr">
        <is>
          <t>M17</t>
        </is>
      </c>
      <c r="D2149" s="5" t="n">
        <v>48</v>
      </c>
      <c r="E2149" s="5" t="n">
        <v>145</v>
      </c>
      <c r="F2149" t="inlineStr">
        <is>
          <t>Продажа</t>
        </is>
      </c>
      <c r="H2149">
        <f>VLOOKUP(C2149,Магазин!$A$2:$C$1000,2,0)</f>
        <v/>
      </c>
      <c r="I2149">
        <f>VLOOKUP(D2149,Товар!$A$2:$F$1000,3,0)</f>
        <v/>
      </c>
      <c r="J2149">
        <f>VLOOKUP(D2149,Товар!$A$2:$F$1000,5,0)</f>
        <v/>
      </c>
      <c r="K2149">
        <f>IF(AND(H2149="Промышленный",LEFT(I2149,18)="Порошок стиральный",F2149="Продажа",B2149=DATE(2023,6,7)),E2149*J2149/1000,0)</f>
        <v/>
      </c>
    </row>
    <row r="2150">
      <c r="A2150" t="n">
        <v>2149</v>
      </c>
      <c r="B2150" s="1" t="n">
        <v>45084</v>
      </c>
      <c r="C2150" s="5" t="inlineStr">
        <is>
          <t>M17</t>
        </is>
      </c>
      <c r="D2150" s="5" t="n">
        <v>49</v>
      </c>
      <c r="E2150" s="5" t="n">
        <v>163</v>
      </c>
      <c r="F2150" t="inlineStr">
        <is>
          <t>Продажа</t>
        </is>
      </c>
      <c r="H2150">
        <f>VLOOKUP(C2150,Магазин!$A$2:$C$1000,2,0)</f>
        <v/>
      </c>
      <c r="I2150">
        <f>VLOOKUP(D2150,Товар!$A$2:$F$1000,3,0)</f>
        <v/>
      </c>
      <c r="J2150">
        <f>VLOOKUP(D2150,Товар!$A$2:$F$1000,5,0)</f>
        <v/>
      </c>
      <c r="K2150">
        <f>IF(AND(H2150="Промышленный",LEFT(I2150,18)="Порошок стиральный",F2150="Продажа",B2150=DATE(2023,6,7)),E2150*J2150/1000,0)</f>
        <v/>
      </c>
    </row>
    <row r="2151">
      <c r="A2151" t="n">
        <v>2150</v>
      </c>
      <c r="B2151" s="1" t="n">
        <v>45084</v>
      </c>
      <c r="C2151" s="5" t="inlineStr">
        <is>
          <t>M17</t>
        </is>
      </c>
      <c r="D2151" s="5" t="n">
        <v>50</v>
      </c>
      <c r="E2151" s="5" t="n">
        <v>128</v>
      </c>
      <c r="F2151" t="inlineStr">
        <is>
          <t>Продажа</t>
        </is>
      </c>
      <c r="H2151">
        <f>VLOOKUP(C2151,Магазин!$A$2:$C$1000,2,0)</f>
        <v/>
      </c>
      <c r="I2151">
        <f>VLOOKUP(D2151,Товар!$A$2:$F$1000,3,0)</f>
        <v/>
      </c>
      <c r="J2151">
        <f>VLOOKUP(D2151,Товар!$A$2:$F$1000,5,0)</f>
        <v/>
      </c>
      <c r="K2151">
        <f>IF(AND(H2151="Промышленный",LEFT(I2151,18)="Порошок стиральный",F2151="Продажа",B2151=DATE(2023,6,7)),E2151*J2151/1000,0)</f>
        <v/>
      </c>
    </row>
    <row r="2152">
      <c r="A2152" t="n">
        <v>2151</v>
      </c>
      <c r="B2152" s="1" t="n">
        <v>45084</v>
      </c>
      <c r="C2152" s="5" t="inlineStr">
        <is>
          <t>M17</t>
        </is>
      </c>
      <c r="D2152" s="5" t="n">
        <v>51</v>
      </c>
      <c r="E2152" s="5" t="n">
        <v>145</v>
      </c>
      <c r="F2152" t="inlineStr">
        <is>
          <t>Продажа</t>
        </is>
      </c>
      <c r="H2152">
        <f>VLOOKUP(C2152,Магазин!$A$2:$C$1000,2,0)</f>
        <v/>
      </c>
      <c r="I2152">
        <f>VLOOKUP(D2152,Товар!$A$2:$F$1000,3,0)</f>
        <v/>
      </c>
      <c r="J2152">
        <f>VLOOKUP(D2152,Товар!$A$2:$F$1000,5,0)</f>
        <v/>
      </c>
      <c r="K2152">
        <f>IF(AND(H2152="Промышленный",LEFT(I2152,18)="Порошок стиральный",F2152="Продажа",B2152=DATE(2023,6,7)),E2152*J2152/1000,0)</f>
        <v/>
      </c>
    </row>
    <row r="2153">
      <c r="A2153" t="n">
        <v>2152</v>
      </c>
      <c r="B2153" s="1" t="n">
        <v>45084</v>
      </c>
      <c r="C2153" s="5" t="inlineStr">
        <is>
          <t>M17</t>
        </is>
      </c>
      <c r="D2153" s="5" t="n">
        <v>52</v>
      </c>
      <c r="E2153" s="5" t="n">
        <v>138</v>
      </c>
      <c r="F2153" t="inlineStr">
        <is>
          <t>Продажа</t>
        </is>
      </c>
      <c r="H2153">
        <f>VLOOKUP(C2153,Магазин!$A$2:$C$1000,2,0)</f>
        <v/>
      </c>
      <c r="I2153">
        <f>VLOOKUP(D2153,Товар!$A$2:$F$1000,3,0)</f>
        <v/>
      </c>
      <c r="J2153">
        <f>VLOOKUP(D2153,Товар!$A$2:$F$1000,5,0)</f>
        <v/>
      </c>
      <c r="K2153">
        <f>IF(AND(H2153="Промышленный",LEFT(I2153,18)="Порошок стиральный",F2153="Продажа",B2153=DATE(2023,6,7)),E2153*J2153/1000,0)</f>
        <v/>
      </c>
    </row>
    <row r="2154">
      <c r="A2154" t="n">
        <v>2153</v>
      </c>
      <c r="B2154" s="1" t="n">
        <v>45084</v>
      </c>
      <c r="C2154" s="5" t="inlineStr">
        <is>
          <t>M17</t>
        </is>
      </c>
      <c r="D2154" s="5" t="n">
        <v>53</v>
      </c>
      <c r="E2154" s="5" t="n">
        <v>164</v>
      </c>
      <c r="F2154" t="inlineStr">
        <is>
          <t>Продажа</t>
        </is>
      </c>
      <c r="H2154">
        <f>VLOOKUP(C2154,Магазин!$A$2:$C$1000,2,0)</f>
        <v/>
      </c>
      <c r="I2154">
        <f>VLOOKUP(D2154,Товар!$A$2:$F$1000,3,0)</f>
        <v/>
      </c>
      <c r="J2154">
        <f>VLOOKUP(D2154,Товар!$A$2:$F$1000,5,0)</f>
        <v/>
      </c>
      <c r="K2154">
        <f>IF(AND(H2154="Промышленный",LEFT(I2154,18)="Порошок стиральный",F2154="Продажа",B2154=DATE(2023,6,7)),E2154*J2154/1000,0)</f>
        <v/>
      </c>
    </row>
    <row r="2155">
      <c r="A2155" t="n">
        <v>2154</v>
      </c>
      <c r="B2155" s="1" t="n">
        <v>45084</v>
      </c>
      <c r="C2155" s="5" t="inlineStr">
        <is>
          <t>M17</t>
        </is>
      </c>
      <c r="D2155" s="5" t="n">
        <v>54</v>
      </c>
      <c r="E2155" s="5" t="n">
        <v>176</v>
      </c>
      <c r="F2155" t="inlineStr">
        <is>
          <t>Продажа</t>
        </is>
      </c>
      <c r="H2155">
        <f>VLOOKUP(C2155,Магазин!$A$2:$C$1000,2,0)</f>
        <v/>
      </c>
      <c r="I2155">
        <f>VLOOKUP(D2155,Товар!$A$2:$F$1000,3,0)</f>
        <v/>
      </c>
      <c r="J2155">
        <f>VLOOKUP(D2155,Товар!$A$2:$F$1000,5,0)</f>
        <v/>
      </c>
      <c r="K2155">
        <f>IF(AND(H2155="Промышленный",LEFT(I2155,18)="Порошок стиральный",F2155="Продажа",B2155=DATE(2023,6,7)),E2155*J2155/1000,0)</f>
        <v/>
      </c>
    </row>
    <row r="2156">
      <c r="A2156" t="n">
        <v>2155</v>
      </c>
      <c r="B2156" s="1" t="n">
        <v>45084</v>
      </c>
      <c r="C2156" s="5" t="inlineStr">
        <is>
          <t>M17</t>
        </is>
      </c>
      <c r="D2156" s="5" t="n">
        <v>55</v>
      </c>
      <c r="E2156" s="5" t="n">
        <v>128</v>
      </c>
      <c r="F2156" t="inlineStr">
        <is>
          <t>Продажа</t>
        </is>
      </c>
      <c r="H2156">
        <f>VLOOKUP(C2156,Магазин!$A$2:$C$1000,2,0)</f>
        <v/>
      </c>
      <c r="I2156">
        <f>VLOOKUP(D2156,Товар!$A$2:$F$1000,3,0)</f>
        <v/>
      </c>
      <c r="J2156">
        <f>VLOOKUP(D2156,Товар!$A$2:$F$1000,5,0)</f>
        <v/>
      </c>
      <c r="K2156">
        <f>IF(AND(H2156="Промышленный",LEFT(I2156,18)="Порошок стиральный",F2156="Продажа",B2156=DATE(2023,6,7)),E2156*J2156/1000,0)</f>
        <v/>
      </c>
    </row>
    <row r="2157">
      <c r="A2157" t="n">
        <v>2156</v>
      </c>
      <c r="B2157" s="1" t="n">
        <v>45084</v>
      </c>
      <c r="C2157" s="5" t="inlineStr">
        <is>
          <t>M17</t>
        </is>
      </c>
      <c r="D2157" s="5" t="n">
        <v>56</v>
      </c>
      <c r="E2157" s="5" t="n">
        <v>146</v>
      </c>
      <c r="F2157" t="inlineStr">
        <is>
          <t>Продажа</t>
        </is>
      </c>
      <c r="H2157">
        <f>VLOOKUP(C2157,Магазин!$A$2:$C$1000,2,0)</f>
        <v/>
      </c>
      <c r="I2157">
        <f>VLOOKUP(D2157,Товар!$A$2:$F$1000,3,0)</f>
        <v/>
      </c>
      <c r="J2157">
        <f>VLOOKUP(D2157,Товар!$A$2:$F$1000,5,0)</f>
        <v/>
      </c>
      <c r="K2157">
        <f>IF(AND(H2157="Промышленный",LEFT(I2157,18)="Порошок стиральный",F2157="Продажа",B2157=DATE(2023,6,7)),E2157*J2157/1000,0)</f>
        <v/>
      </c>
    </row>
    <row r="2158">
      <c r="A2158" t="n">
        <v>2157</v>
      </c>
      <c r="B2158" s="1" t="n">
        <v>45084</v>
      </c>
      <c r="C2158" s="5" t="inlineStr">
        <is>
          <t>M17</t>
        </is>
      </c>
      <c r="D2158" s="5" t="n">
        <v>57</v>
      </c>
      <c r="E2158" s="5" t="n">
        <v>173</v>
      </c>
      <c r="F2158" t="inlineStr">
        <is>
          <t>Продажа</t>
        </is>
      </c>
      <c r="H2158">
        <f>VLOOKUP(C2158,Магазин!$A$2:$C$1000,2,0)</f>
        <v/>
      </c>
      <c r="I2158">
        <f>VLOOKUP(D2158,Товар!$A$2:$F$1000,3,0)</f>
        <v/>
      </c>
      <c r="J2158">
        <f>VLOOKUP(D2158,Товар!$A$2:$F$1000,5,0)</f>
        <v/>
      </c>
      <c r="K2158">
        <f>IF(AND(H2158="Промышленный",LEFT(I2158,18)="Порошок стиральный",F2158="Продажа",B2158=DATE(2023,6,7)),E2158*J2158/1000,0)</f>
        <v/>
      </c>
    </row>
    <row r="2159">
      <c r="A2159" t="n">
        <v>2158</v>
      </c>
      <c r="B2159" s="1" t="n">
        <v>45084</v>
      </c>
      <c r="C2159" s="5" t="inlineStr">
        <is>
          <t>M17</t>
        </is>
      </c>
      <c r="D2159" s="5" t="n">
        <v>58</v>
      </c>
      <c r="E2159" s="5" t="n">
        <v>180</v>
      </c>
      <c r="F2159" t="inlineStr">
        <is>
          <t>Продажа</t>
        </is>
      </c>
      <c r="H2159">
        <f>VLOOKUP(C2159,Магазин!$A$2:$C$1000,2,0)</f>
        <v/>
      </c>
      <c r="I2159">
        <f>VLOOKUP(D2159,Товар!$A$2:$F$1000,3,0)</f>
        <v/>
      </c>
      <c r="J2159">
        <f>VLOOKUP(D2159,Товар!$A$2:$F$1000,5,0)</f>
        <v/>
      </c>
      <c r="K2159">
        <f>IF(AND(H2159="Промышленный",LEFT(I2159,18)="Порошок стиральный",F2159="Продажа",B2159=DATE(2023,6,7)),E2159*J2159/1000,0)</f>
        <v/>
      </c>
    </row>
    <row r="2160">
      <c r="A2160" t="n">
        <v>2159</v>
      </c>
      <c r="B2160" s="1" t="n">
        <v>45084</v>
      </c>
      <c r="C2160" s="5" t="inlineStr">
        <is>
          <t>M17</t>
        </is>
      </c>
      <c r="D2160" s="5" t="n">
        <v>59</v>
      </c>
      <c r="E2160" s="5" t="n">
        <v>147</v>
      </c>
      <c r="F2160" t="inlineStr">
        <is>
          <t>Продажа</t>
        </is>
      </c>
      <c r="H2160">
        <f>VLOOKUP(C2160,Магазин!$A$2:$C$1000,2,0)</f>
        <v/>
      </c>
      <c r="I2160">
        <f>VLOOKUP(D2160,Товар!$A$2:$F$1000,3,0)</f>
        <v/>
      </c>
      <c r="J2160">
        <f>VLOOKUP(D2160,Товар!$A$2:$F$1000,5,0)</f>
        <v/>
      </c>
      <c r="K2160">
        <f>IF(AND(H2160="Промышленный",LEFT(I2160,18)="Порошок стиральный",F2160="Продажа",B2160=DATE(2023,6,7)),E2160*J2160/1000,0)</f>
        <v/>
      </c>
    </row>
    <row r="2161">
      <c r="A2161" t="n">
        <v>2160</v>
      </c>
      <c r="B2161" s="1" t="n">
        <v>45084</v>
      </c>
      <c r="C2161" s="5" t="inlineStr">
        <is>
          <t>M17</t>
        </is>
      </c>
      <c r="D2161" s="5" t="n">
        <v>60</v>
      </c>
      <c r="E2161" s="5" t="n">
        <v>178</v>
      </c>
      <c r="F2161" t="inlineStr">
        <is>
          <t>Продажа</t>
        </is>
      </c>
      <c r="H2161">
        <f>VLOOKUP(C2161,Магазин!$A$2:$C$1000,2,0)</f>
        <v/>
      </c>
      <c r="I2161">
        <f>VLOOKUP(D2161,Товар!$A$2:$F$1000,3,0)</f>
        <v/>
      </c>
      <c r="J2161">
        <f>VLOOKUP(D2161,Товар!$A$2:$F$1000,5,0)</f>
        <v/>
      </c>
      <c r="K2161">
        <f>IF(AND(H2161="Промышленный",LEFT(I2161,18)="Порошок стиральный",F2161="Продажа",B2161=DATE(2023,6,7)),E2161*J2161/1000,0)</f>
        <v/>
      </c>
    </row>
    <row r="2162">
      <c r="A2162" t="n">
        <v>2161</v>
      </c>
      <c r="B2162" s="1" t="n">
        <v>45086</v>
      </c>
      <c r="C2162" s="5" t="inlineStr">
        <is>
          <t>M1</t>
        </is>
      </c>
      <c r="D2162" s="5" t="n">
        <v>1</v>
      </c>
      <c r="E2162" s="5" t="n">
        <v>300</v>
      </c>
      <c r="F2162" t="inlineStr">
        <is>
          <t>Поступление</t>
        </is>
      </c>
      <c r="H2162">
        <f>VLOOKUP(C2162,Магазин!$A$2:$C$1000,2,0)</f>
        <v/>
      </c>
      <c r="I2162">
        <f>VLOOKUP(D2162,Товар!$A$2:$F$1000,3,0)</f>
        <v/>
      </c>
      <c r="J2162">
        <f>VLOOKUP(D2162,Товар!$A$2:$F$1000,5,0)</f>
        <v/>
      </c>
      <c r="K2162">
        <f>IF(AND(H2162="Промышленный",LEFT(I2162,18)="Порошок стиральный",F2162="Продажа",B2162=DATE(2023,6,7)),E2162*J2162/1000,0)</f>
        <v/>
      </c>
    </row>
    <row r="2163">
      <c r="A2163" t="n">
        <v>2162</v>
      </c>
      <c r="B2163" s="1" t="n">
        <v>45086</v>
      </c>
      <c r="C2163" s="5" t="inlineStr">
        <is>
          <t>M1</t>
        </is>
      </c>
      <c r="D2163" s="5" t="n">
        <v>2</v>
      </c>
      <c r="E2163" s="5" t="n">
        <v>300</v>
      </c>
      <c r="F2163" t="inlineStr">
        <is>
          <t>Поступление</t>
        </is>
      </c>
      <c r="H2163">
        <f>VLOOKUP(C2163,Магазин!$A$2:$C$1000,2,0)</f>
        <v/>
      </c>
      <c r="I2163">
        <f>VLOOKUP(D2163,Товар!$A$2:$F$1000,3,0)</f>
        <v/>
      </c>
      <c r="J2163">
        <f>VLOOKUP(D2163,Товар!$A$2:$F$1000,5,0)</f>
        <v/>
      </c>
      <c r="K2163">
        <f>IF(AND(H2163="Промышленный",LEFT(I2163,18)="Порошок стиральный",F2163="Продажа",B2163=DATE(2023,6,7)),E2163*J2163/1000,0)</f>
        <v/>
      </c>
    </row>
    <row r="2164">
      <c r="A2164" t="n">
        <v>2163</v>
      </c>
      <c r="B2164" s="1" t="n">
        <v>45086</v>
      </c>
      <c r="C2164" s="5" t="inlineStr">
        <is>
          <t>M1</t>
        </is>
      </c>
      <c r="D2164" s="5" t="n">
        <v>3</v>
      </c>
      <c r="E2164" s="5" t="n">
        <v>300</v>
      </c>
      <c r="F2164" t="inlineStr">
        <is>
          <t>Поступление</t>
        </is>
      </c>
      <c r="H2164">
        <f>VLOOKUP(C2164,Магазин!$A$2:$C$1000,2,0)</f>
        <v/>
      </c>
      <c r="I2164">
        <f>VLOOKUP(D2164,Товар!$A$2:$F$1000,3,0)</f>
        <v/>
      </c>
      <c r="J2164">
        <f>VLOOKUP(D2164,Товар!$A$2:$F$1000,5,0)</f>
        <v/>
      </c>
      <c r="K2164">
        <f>IF(AND(H2164="Промышленный",LEFT(I2164,18)="Порошок стиральный",F2164="Продажа",B2164=DATE(2023,6,7)),E2164*J2164/1000,0)</f>
        <v/>
      </c>
    </row>
    <row r="2165">
      <c r="A2165" t="n">
        <v>2164</v>
      </c>
      <c r="B2165" s="1" t="n">
        <v>45086</v>
      </c>
      <c r="C2165" s="5" t="inlineStr">
        <is>
          <t>M1</t>
        </is>
      </c>
      <c r="D2165" s="5" t="n">
        <v>4</v>
      </c>
      <c r="E2165" s="5" t="n">
        <v>300</v>
      </c>
      <c r="F2165" t="inlineStr">
        <is>
          <t>Поступление</t>
        </is>
      </c>
      <c r="H2165">
        <f>VLOOKUP(C2165,Магазин!$A$2:$C$1000,2,0)</f>
        <v/>
      </c>
      <c r="I2165">
        <f>VLOOKUP(D2165,Товар!$A$2:$F$1000,3,0)</f>
        <v/>
      </c>
      <c r="J2165">
        <f>VLOOKUP(D2165,Товар!$A$2:$F$1000,5,0)</f>
        <v/>
      </c>
      <c r="K2165">
        <f>IF(AND(H2165="Промышленный",LEFT(I2165,18)="Порошок стиральный",F2165="Продажа",B2165=DATE(2023,6,7)),E2165*J2165/1000,0)</f>
        <v/>
      </c>
    </row>
    <row r="2166">
      <c r="A2166" t="n">
        <v>2165</v>
      </c>
      <c r="B2166" s="1" t="n">
        <v>45086</v>
      </c>
      <c r="C2166" s="5" t="inlineStr">
        <is>
          <t>M1</t>
        </is>
      </c>
      <c r="D2166" s="5" t="n">
        <v>5</v>
      </c>
      <c r="E2166" s="5" t="n">
        <v>300</v>
      </c>
      <c r="F2166" t="inlineStr">
        <is>
          <t>Поступление</t>
        </is>
      </c>
      <c r="H2166">
        <f>VLOOKUP(C2166,Магазин!$A$2:$C$1000,2,0)</f>
        <v/>
      </c>
      <c r="I2166">
        <f>VLOOKUP(D2166,Товар!$A$2:$F$1000,3,0)</f>
        <v/>
      </c>
      <c r="J2166">
        <f>VLOOKUP(D2166,Товар!$A$2:$F$1000,5,0)</f>
        <v/>
      </c>
      <c r="K2166">
        <f>IF(AND(H2166="Промышленный",LEFT(I2166,18)="Порошок стиральный",F2166="Продажа",B2166=DATE(2023,6,7)),E2166*J2166/1000,0)</f>
        <v/>
      </c>
    </row>
    <row r="2167">
      <c r="A2167" t="n">
        <v>2166</v>
      </c>
      <c r="B2167" s="1" t="n">
        <v>45086</v>
      </c>
      <c r="C2167" s="5" t="inlineStr">
        <is>
          <t>M1</t>
        </is>
      </c>
      <c r="D2167" s="5" t="n">
        <v>6</v>
      </c>
      <c r="E2167" s="5" t="n">
        <v>300</v>
      </c>
      <c r="F2167" t="inlineStr">
        <is>
          <t>Поступление</t>
        </is>
      </c>
      <c r="H2167">
        <f>VLOOKUP(C2167,Магазин!$A$2:$C$1000,2,0)</f>
        <v/>
      </c>
      <c r="I2167">
        <f>VLOOKUP(D2167,Товар!$A$2:$F$1000,3,0)</f>
        <v/>
      </c>
      <c r="J2167">
        <f>VLOOKUP(D2167,Товар!$A$2:$F$1000,5,0)</f>
        <v/>
      </c>
      <c r="K2167">
        <f>IF(AND(H2167="Промышленный",LEFT(I2167,18)="Порошок стиральный",F2167="Продажа",B2167=DATE(2023,6,7)),E2167*J2167/1000,0)</f>
        <v/>
      </c>
    </row>
    <row r="2168">
      <c r="A2168" t="n">
        <v>2167</v>
      </c>
      <c r="B2168" s="1" t="n">
        <v>45086</v>
      </c>
      <c r="C2168" s="5" t="inlineStr">
        <is>
          <t>M1</t>
        </is>
      </c>
      <c r="D2168" s="5" t="n">
        <v>7</v>
      </c>
      <c r="E2168" s="5" t="n">
        <v>300</v>
      </c>
      <c r="F2168" t="inlineStr">
        <is>
          <t>Поступление</t>
        </is>
      </c>
      <c r="H2168">
        <f>VLOOKUP(C2168,Магазин!$A$2:$C$1000,2,0)</f>
        <v/>
      </c>
      <c r="I2168">
        <f>VLOOKUP(D2168,Товар!$A$2:$F$1000,3,0)</f>
        <v/>
      </c>
      <c r="J2168">
        <f>VLOOKUP(D2168,Товар!$A$2:$F$1000,5,0)</f>
        <v/>
      </c>
      <c r="K2168">
        <f>IF(AND(H2168="Промышленный",LEFT(I2168,18)="Порошок стиральный",F2168="Продажа",B2168=DATE(2023,6,7)),E2168*J2168/1000,0)</f>
        <v/>
      </c>
    </row>
    <row r="2169">
      <c r="A2169" t="n">
        <v>2168</v>
      </c>
      <c r="B2169" s="1" t="n">
        <v>45086</v>
      </c>
      <c r="C2169" s="5" t="inlineStr">
        <is>
          <t>M1</t>
        </is>
      </c>
      <c r="D2169" s="5" t="n">
        <v>8</v>
      </c>
      <c r="E2169" s="5" t="n">
        <v>300</v>
      </c>
      <c r="F2169" t="inlineStr">
        <is>
          <t>Поступление</t>
        </is>
      </c>
      <c r="H2169">
        <f>VLOOKUP(C2169,Магазин!$A$2:$C$1000,2,0)</f>
        <v/>
      </c>
      <c r="I2169">
        <f>VLOOKUP(D2169,Товар!$A$2:$F$1000,3,0)</f>
        <v/>
      </c>
      <c r="J2169">
        <f>VLOOKUP(D2169,Товар!$A$2:$F$1000,5,0)</f>
        <v/>
      </c>
      <c r="K2169">
        <f>IF(AND(H2169="Промышленный",LEFT(I2169,18)="Порошок стиральный",F2169="Продажа",B2169=DATE(2023,6,7)),E2169*J2169/1000,0)</f>
        <v/>
      </c>
    </row>
    <row r="2170">
      <c r="A2170" t="n">
        <v>2169</v>
      </c>
      <c r="B2170" s="1" t="n">
        <v>45086</v>
      </c>
      <c r="C2170" s="5" t="inlineStr">
        <is>
          <t>M1</t>
        </is>
      </c>
      <c r="D2170" s="5" t="n">
        <v>9</v>
      </c>
      <c r="E2170" s="5" t="n">
        <v>300</v>
      </c>
      <c r="F2170" t="inlineStr">
        <is>
          <t>Поступление</t>
        </is>
      </c>
      <c r="H2170">
        <f>VLOOKUP(C2170,Магазин!$A$2:$C$1000,2,0)</f>
        <v/>
      </c>
      <c r="I2170">
        <f>VLOOKUP(D2170,Товар!$A$2:$F$1000,3,0)</f>
        <v/>
      </c>
      <c r="J2170">
        <f>VLOOKUP(D2170,Товар!$A$2:$F$1000,5,0)</f>
        <v/>
      </c>
      <c r="K2170">
        <f>IF(AND(H2170="Промышленный",LEFT(I2170,18)="Порошок стиральный",F2170="Продажа",B2170=DATE(2023,6,7)),E2170*J2170/1000,0)</f>
        <v/>
      </c>
    </row>
    <row r="2171">
      <c r="A2171" t="n">
        <v>2170</v>
      </c>
      <c r="B2171" s="1" t="n">
        <v>45086</v>
      </c>
      <c r="C2171" s="5" t="inlineStr">
        <is>
          <t>M1</t>
        </is>
      </c>
      <c r="D2171" s="5" t="n">
        <v>10</v>
      </c>
      <c r="E2171" s="5" t="n">
        <v>300</v>
      </c>
      <c r="F2171" t="inlineStr">
        <is>
          <t>Поступление</t>
        </is>
      </c>
      <c r="H2171">
        <f>VLOOKUP(C2171,Магазин!$A$2:$C$1000,2,0)</f>
        <v/>
      </c>
      <c r="I2171">
        <f>VLOOKUP(D2171,Товар!$A$2:$F$1000,3,0)</f>
        <v/>
      </c>
      <c r="J2171">
        <f>VLOOKUP(D2171,Товар!$A$2:$F$1000,5,0)</f>
        <v/>
      </c>
      <c r="K2171">
        <f>IF(AND(H2171="Промышленный",LEFT(I2171,18)="Порошок стиральный",F2171="Продажа",B2171=DATE(2023,6,7)),E2171*J2171/1000,0)</f>
        <v/>
      </c>
    </row>
    <row r="2172">
      <c r="A2172" t="n">
        <v>2171</v>
      </c>
      <c r="B2172" s="1" t="n">
        <v>45086</v>
      </c>
      <c r="C2172" s="5" t="inlineStr">
        <is>
          <t>M1</t>
        </is>
      </c>
      <c r="D2172" s="5" t="n">
        <v>11</v>
      </c>
      <c r="E2172" s="5" t="n">
        <v>300</v>
      </c>
      <c r="F2172" t="inlineStr">
        <is>
          <t>Поступление</t>
        </is>
      </c>
      <c r="H2172">
        <f>VLOOKUP(C2172,Магазин!$A$2:$C$1000,2,0)</f>
        <v/>
      </c>
      <c r="I2172">
        <f>VLOOKUP(D2172,Товар!$A$2:$F$1000,3,0)</f>
        <v/>
      </c>
      <c r="J2172">
        <f>VLOOKUP(D2172,Товар!$A$2:$F$1000,5,0)</f>
        <v/>
      </c>
      <c r="K2172">
        <f>IF(AND(H2172="Промышленный",LEFT(I2172,18)="Порошок стиральный",F2172="Продажа",B2172=DATE(2023,6,7)),E2172*J2172/1000,0)</f>
        <v/>
      </c>
    </row>
    <row r="2173">
      <c r="A2173" t="n">
        <v>2172</v>
      </c>
      <c r="B2173" s="1" t="n">
        <v>45086</v>
      </c>
      <c r="C2173" s="5" t="inlineStr">
        <is>
          <t>M1</t>
        </is>
      </c>
      <c r="D2173" s="5" t="n">
        <v>12</v>
      </c>
      <c r="E2173" s="5" t="n">
        <v>300</v>
      </c>
      <c r="F2173" t="inlineStr">
        <is>
          <t>Поступление</t>
        </is>
      </c>
      <c r="H2173">
        <f>VLOOKUP(C2173,Магазин!$A$2:$C$1000,2,0)</f>
        <v/>
      </c>
      <c r="I2173">
        <f>VLOOKUP(D2173,Товар!$A$2:$F$1000,3,0)</f>
        <v/>
      </c>
      <c r="J2173">
        <f>VLOOKUP(D2173,Товар!$A$2:$F$1000,5,0)</f>
        <v/>
      </c>
      <c r="K2173">
        <f>IF(AND(H2173="Промышленный",LEFT(I2173,18)="Порошок стиральный",F2173="Продажа",B2173=DATE(2023,6,7)),E2173*J2173/1000,0)</f>
        <v/>
      </c>
    </row>
    <row r="2174">
      <c r="A2174" t="n">
        <v>2173</v>
      </c>
      <c r="B2174" s="1" t="n">
        <v>45086</v>
      </c>
      <c r="C2174" s="5" t="inlineStr">
        <is>
          <t>M1</t>
        </is>
      </c>
      <c r="D2174" s="5" t="n">
        <v>13</v>
      </c>
      <c r="E2174" s="5" t="n">
        <v>300</v>
      </c>
      <c r="F2174" t="inlineStr">
        <is>
          <t>Поступление</t>
        </is>
      </c>
      <c r="H2174">
        <f>VLOOKUP(C2174,Магазин!$A$2:$C$1000,2,0)</f>
        <v/>
      </c>
      <c r="I2174">
        <f>VLOOKUP(D2174,Товар!$A$2:$F$1000,3,0)</f>
        <v/>
      </c>
      <c r="J2174">
        <f>VLOOKUP(D2174,Товар!$A$2:$F$1000,5,0)</f>
        <v/>
      </c>
      <c r="K2174">
        <f>IF(AND(H2174="Промышленный",LEFT(I2174,18)="Порошок стиральный",F2174="Продажа",B2174=DATE(2023,6,7)),E2174*J2174/1000,0)</f>
        <v/>
      </c>
    </row>
    <row r="2175">
      <c r="A2175" t="n">
        <v>2174</v>
      </c>
      <c r="B2175" s="1" t="n">
        <v>45086</v>
      </c>
      <c r="C2175" s="5" t="inlineStr">
        <is>
          <t>M1</t>
        </is>
      </c>
      <c r="D2175" s="5" t="n">
        <v>14</v>
      </c>
      <c r="E2175" s="5" t="n">
        <v>300</v>
      </c>
      <c r="F2175" t="inlineStr">
        <is>
          <t>Поступление</t>
        </is>
      </c>
      <c r="H2175">
        <f>VLOOKUP(C2175,Магазин!$A$2:$C$1000,2,0)</f>
        <v/>
      </c>
      <c r="I2175">
        <f>VLOOKUP(D2175,Товар!$A$2:$F$1000,3,0)</f>
        <v/>
      </c>
      <c r="J2175">
        <f>VLOOKUP(D2175,Товар!$A$2:$F$1000,5,0)</f>
        <v/>
      </c>
      <c r="K2175">
        <f>IF(AND(H2175="Промышленный",LEFT(I2175,18)="Порошок стиральный",F2175="Продажа",B2175=DATE(2023,6,7)),E2175*J2175/1000,0)</f>
        <v/>
      </c>
    </row>
    <row r="2176">
      <c r="A2176" t="n">
        <v>2175</v>
      </c>
      <c r="B2176" s="1" t="n">
        <v>45086</v>
      </c>
      <c r="C2176" s="5" t="inlineStr">
        <is>
          <t>M1</t>
        </is>
      </c>
      <c r="D2176" s="5" t="n">
        <v>15</v>
      </c>
      <c r="E2176" s="5" t="n">
        <v>300</v>
      </c>
      <c r="F2176" t="inlineStr">
        <is>
          <t>Поступление</t>
        </is>
      </c>
      <c r="H2176">
        <f>VLOOKUP(C2176,Магазин!$A$2:$C$1000,2,0)</f>
        <v/>
      </c>
      <c r="I2176">
        <f>VLOOKUP(D2176,Товар!$A$2:$F$1000,3,0)</f>
        <v/>
      </c>
      <c r="J2176">
        <f>VLOOKUP(D2176,Товар!$A$2:$F$1000,5,0)</f>
        <v/>
      </c>
      <c r="K2176">
        <f>IF(AND(H2176="Промышленный",LEFT(I2176,18)="Порошок стиральный",F2176="Продажа",B2176=DATE(2023,6,7)),E2176*J2176/1000,0)</f>
        <v/>
      </c>
    </row>
    <row r="2177">
      <c r="A2177" t="n">
        <v>2176</v>
      </c>
      <c r="B2177" s="1" t="n">
        <v>45086</v>
      </c>
      <c r="C2177" s="5" t="inlineStr">
        <is>
          <t>M1</t>
        </is>
      </c>
      <c r="D2177" s="5" t="n">
        <v>16</v>
      </c>
      <c r="E2177" s="5" t="n">
        <v>300</v>
      </c>
      <c r="F2177" t="inlineStr">
        <is>
          <t>Поступление</t>
        </is>
      </c>
      <c r="H2177">
        <f>VLOOKUP(C2177,Магазин!$A$2:$C$1000,2,0)</f>
        <v/>
      </c>
      <c r="I2177">
        <f>VLOOKUP(D2177,Товар!$A$2:$F$1000,3,0)</f>
        <v/>
      </c>
      <c r="J2177">
        <f>VLOOKUP(D2177,Товар!$A$2:$F$1000,5,0)</f>
        <v/>
      </c>
      <c r="K2177">
        <f>IF(AND(H2177="Промышленный",LEFT(I2177,18)="Порошок стиральный",F2177="Продажа",B2177=DATE(2023,6,7)),E2177*J2177/1000,0)</f>
        <v/>
      </c>
    </row>
    <row r="2178">
      <c r="A2178" t="n">
        <v>2177</v>
      </c>
      <c r="B2178" s="1" t="n">
        <v>45086</v>
      </c>
      <c r="C2178" s="5" t="inlineStr">
        <is>
          <t>M1</t>
        </is>
      </c>
      <c r="D2178" s="5" t="n">
        <v>17</v>
      </c>
      <c r="E2178" s="5" t="n">
        <v>300</v>
      </c>
      <c r="F2178" t="inlineStr">
        <is>
          <t>Поступление</t>
        </is>
      </c>
      <c r="H2178">
        <f>VLOOKUP(C2178,Магазин!$A$2:$C$1000,2,0)</f>
        <v/>
      </c>
      <c r="I2178">
        <f>VLOOKUP(D2178,Товар!$A$2:$F$1000,3,0)</f>
        <v/>
      </c>
      <c r="J2178">
        <f>VLOOKUP(D2178,Товар!$A$2:$F$1000,5,0)</f>
        <v/>
      </c>
      <c r="K2178">
        <f>IF(AND(H2178="Промышленный",LEFT(I2178,18)="Порошок стиральный",F2178="Продажа",B2178=DATE(2023,6,7)),E2178*J2178/1000,0)</f>
        <v/>
      </c>
    </row>
    <row r="2179">
      <c r="A2179" t="n">
        <v>2178</v>
      </c>
      <c r="B2179" s="1" t="n">
        <v>45086</v>
      </c>
      <c r="C2179" s="5" t="inlineStr">
        <is>
          <t>M1</t>
        </is>
      </c>
      <c r="D2179" s="5" t="n">
        <v>18</v>
      </c>
      <c r="E2179" s="5" t="n">
        <v>300</v>
      </c>
      <c r="F2179" t="inlineStr">
        <is>
          <t>Поступление</t>
        </is>
      </c>
      <c r="H2179">
        <f>VLOOKUP(C2179,Магазин!$A$2:$C$1000,2,0)</f>
        <v/>
      </c>
      <c r="I2179">
        <f>VLOOKUP(D2179,Товар!$A$2:$F$1000,3,0)</f>
        <v/>
      </c>
      <c r="J2179">
        <f>VLOOKUP(D2179,Товар!$A$2:$F$1000,5,0)</f>
        <v/>
      </c>
      <c r="K2179">
        <f>IF(AND(H2179="Промышленный",LEFT(I2179,18)="Порошок стиральный",F2179="Продажа",B2179=DATE(2023,6,7)),E2179*J2179/1000,0)</f>
        <v/>
      </c>
    </row>
    <row r="2180">
      <c r="A2180" t="n">
        <v>2179</v>
      </c>
      <c r="B2180" s="1" t="n">
        <v>45086</v>
      </c>
      <c r="C2180" s="5" t="inlineStr">
        <is>
          <t>M1</t>
        </is>
      </c>
      <c r="D2180" s="5" t="n">
        <v>19</v>
      </c>
      <c r="E2180" s="5" t="n">
        <v>300</v>
      </c>
      <c r="F2180" t="inlineStr">
        <is>
          <t>Поступление</t>
        </is>
      </c>
      <c r="H2180">
        <f>VLOOKUP(C2180,Магазин!$A$2:$C$1000,2,0)</f>
        <v/>
      </c>
      <c r="I2180">
        <f>VLOOKUP(D2180,Товар!$A$2:$F$1000,3,0)</f>
        <v/>
      </c>
      <c r="J2180">
        <f>VLOOKUP(D2180,Товар!$A$2:$F$1000,5,0)</f>
        <v/>
      </c>
      <c r="K2180">
        <f>IF(AND(H2180="Промышленный",LEFT(I2180,18)="Порошок стиральный",F2180="Продажа",B2180=DATE(2023,6,7)),E2180*J2180/1000,0)</f>
        <v/>
      </c>
    </row>
    <row r="2181">
      <c r="A2181" t="n">
        <v>2180</v>
      </c>
      <c r="B2181" s="1" t="n">
        <v>45086</v>
      </c>
      <c r="C2181" s="5" t="inlineStr">
        <is>
          <t>M1</t>
        </is>
      </c>
      <c r="D2181" s="5" t="n">
        <v>20</v>
      </c>
      <c r="E2181" s="5" t="n">
        <v>300</v>
      </c>
      <c r="F2181" t="inlineStr">
        <is>
          <t>Поступление</t>
        </is>
      </c>
      <c r="H2181">
        <f>VLOOKUP(C2181,Магазин!$A$2:$C$1000,2,0)</f>
        <v/>
      </c>
      <c r="I2181">
        <f>VLOOKUP(D2181,Товар!$A$2:$F$1000,3,0)</f>
        <v/>
      </c>
      <c r="J2181">
        <f>VLOOKUP(D2181,Товар!$A$2:$F$1000,5,0)</f>
        <v/>
      </c>
      <c r="K2181">
        <f>IF(AND(H2181="Промышленный",LEFT(I2181,18)="Порошок стиральный",F2181="Продажа",B2181=DATE(2023,6,7)),E2181*J2181/1000,0)</f>
        <v/>
      </c>
    </row>
    <row r="2182">
      <c r="A2182" t="n">
        <v>2181</v>
      </c>
      <c r="B2182" s="1" t="n">
        <v>45086</v>
      </c>
      <c r="C2182" s="5" t="inlineStr">
        <is>
          <t>M1</t>
        </is>
      </c>
      <c r="D2182" s="5" t="n">
        <v>21</v>
      </c>
      <c r="E2182" s="5" t="n">
        <v>300</v>
      </c>
      <c r="F2182" t="inlineStr">
        <is>
          <t>Поступление</t>
        </is>
      </c>
      <c r="H2182">
        <f>VLOOKUP(C2182,Магазин!$A$2:$C$1000,2,0)</f>
        <v/>
      </c>
      <c r="I2182">
        <f>VLOOKUP(D2182,Товар!$A$2:$F$1000,3,0)</f>
        <v/>
      </c>
      <c r="J2182">
        <f>VLOOKUP(D2182,Товар!$A$2:$F$1000,5,0)</f>
        <v/>
      </c>
      <c r="K2182">
        <f>IF(AND(H2182="Промышленный",LEFT(I2182,18)="Порошок стиральный",F2182="Продажа",B2182=DATE(2023,6,7)),E2182*J2182/1000,0)</f>
        <v/>
      </c>
    </row>
    <row r="2183">
      <c r="A2183" t="n">
        <v>2182</v>
      </c>
      <c r="B2183" s="1" t="n">
        <v>45086</v>
      </c>
      <c r="C2183" s="5" t="inlineStr">
        <is>
          <t>M1</t>
        </is>
      </c>
      <c r="D2183" s="5" t="n">
        <v>22</v>
      </c>
      <c r="E2183" s="5" t="n">
        <v>300</v>
      </c>
      <c r="F2183" t="inlineStr">
        <is>
          <t>Поступление</t>
        </is>
      </c>
      <c r="H2183">
        <f>VLOOKUP(C2183,Магазин!$A$2:$C$1000,2,0)</f>
        <v/>
      </c>
      <c r="I2183">
        <f>VLOOKUP(D2183,Товар!$A$2:$F$1000,3,0)</f>
        <v/>
      </c>
      <c r="J2183">
        <f>VLOOKUP(D2183,Товар!$A$2:$F$1000,5,0)</f>
        <v/>
      </c>
      <c r="K2183">
        <f>IF(AND(H2183="Промышленный",LEFT(I2183,18)="Порошок стиральный",F2183="Продажа",B2183=DATE(2023,6,7)),E2183*J2183/1000,0)</f>
        <v/>
      </c>
    </row>
    <row r="2184">
      <c r="A2184" t="n">
        <v>2183</v>
      </c>
      <c r="B2184" s="1" t="n">
        <v>45086</v>
      </c>
      <c r="C2184" s="5" t="inlineStr">
        <is>
          <t>M1</t>
        </is>
      </c>
      <c r="D2184" s="5" t="n">
        <v>23</v>
      </c>
      <c r="E2184" s="5" t="n">
        <v>300</v>
      </c>
      <c r="F2184" t="inlineStr">
        <is>
          <t>Поступление</t>
        </is>
      </c>
      <c r="H2184">
        <f>VLOOKUP(C2184,Магазин!$A$2:$C$1000,2,0)</f>
        <v/>
      </c>
      <c r="I2184">
        <f>VLOOKUP(D2184,Товар!$A$2:$F$1000,3,0)</f>
        <v/>
      </c>
      <c r="J2184">
        <f>VLOOKUP(D2184,Товар!$A$2:$F$1000,5,0)</f>
        <v/>
      </c>
      <c r="K2184">
        <f>IF(AND(H2184="Промышленный",LEFT(I2184,18)="Порошок стиральный",F2184="Продажа",B2184=DATE(2023,6,7)),E2184*J2184/1000,0)</f>
        <v/>
      </c>
    </row>
    <row r="2185">
      <c r="A2185" t="n">
        <v>2184</v>
      </c>
      <c r="B2185" s="1" t="n">
        <v>45086</v>
      </c>
      <c r="C2185" s="5" t="inlineStr">
        <is>
          <t>M1</t>
        </is>
      </c>
      <c r="D2185" s="5" t="n">
        <v>24</v>
      </c>
      <c r="E2185" s="5" t="n">
        <v>300</v>
      </c>
      <c r="F2185" t="inlineStr">
        <is>
          <t>Поступление</t>
        </is>
      </c>
      <c r="H2185">
        <f>VLOOKUP(C2185,Магазин!$A$2:$C$1000,2,0)</f>
        <v/>
      </c>
      <c r="I2185">
        <f>VLOOKUP(D2185,Товар!$A$2:$F$1000,3,0)</f>
        <v/>
      </c>
      <c r="J2185">
        <f>VLOOKUP(D2185,Товар!$A$2:$F$1000,5,0)</f>
        <v/>
      </c>
      <c r="K2185">
        <f>IF(AND(H2185="Промышленный",LEFT(I2185,18)="Порошок стиральный",F2185="Продажа",B2185=DATE(2023,6,7)),E2185*J2185/1000,0)</f>
        <v/>
      </c>
    </row>
    <row r="2186">
      <c r="A2186" t="n">
        <v>2185</v>
      </c>
      <c r="B2186" s="1" t="n">
        <v>45086</v>
      </c>
      <c r="C2186" s="5" t="inlineStr">
        <is>
          <t>M1</t>
        </is>
      </c>
      <c r="D2186" s="5" t="n">
        <v>25</v>
      </c>
      <c r="E2186" s="5" t="n">
        <v>300</v>
      </c>
      <c r="F2186" t="inlineStr">
        <is>
          <t>Поступление</t>
        </is>
      </c>
      <c r="H2186">
        <f>VLOOKUP(C2186,Магазин!$A$2:$C$1000,2,0)</f>
        <v/>
      </c>
      <c r="I2186">
        <f>VLOOKUP(D2186,Товар!$A$2:$F$1000,3,0)</f>
        <v/>
      </c>
      <c r="J2186">
        <f>VLOOKUP(D2186,Товар!$A$2:$F$1000,5,0)</f>
        <v/>
      </c>
      <c r="K2186">
        <f>IF(AND(H2186="Промышленный",LEFT(I2186,18)="Порошок стиральный",F2186="Продажа",B2186=DATE(2023,6,7)),E2186*J2186/1000,0)</f>
        <v/>
      </c>
    </row>
    <row r="2187">
      <c r="A2187" t="n">
        <v>2186</v>
      </c>
      <c r="B2187" s="1" t="n">
        <v>45086</v>
      </c>
      <c r="C2187" s="5" t="inlineStr">
        <is>
          <t>M1</t>
        </is>
      </c>
      <c r="D2187" s="5" t="n">
        <v>26</v>
      </c>
      <c r="E2187" s="5" t="n">
        <v>300</v>
      </c>
      <c r="F2187" t="inlineStr">
        <is>
          <t>Поступление</t>
        </is>
      </c>
      <c r="H2187">
        <f>VLOOKUP(C2187,Магазин!$A$2:$C$1000,2,0)</f>
        <v/>
      </c>
      <c r="I2187">
        <f>VLOOKUP(D2187,Товар!$A$2:$F$1000,3,0)</f>
        <v/>
      </c>
      <c r="J2187">
        <f>VLOOKUP(D2187,Товар!$A$2:$F$1000,5,0)</f>
        <v/>
      </c>
      <c r="K2187">
        <f>IF(AND(H2187="Промышленный",LEFT(I2187,18)="Порошок стиральный",F2187="Продажа",B2187=DATE(2023,6,7)),E2187*J2187/1000,0)</f>
        <v/>
      </c>
    </row>
    <row r="2188">
      <c r="A2188" t="n">
        <v>2187</v>
      </c>
      <c r="B2188" s="1" t="n">
        <v>45086</v>
      </c>
      <c r="C2188" s="5" t="inlineStr">
        <is>
          <t>M1</t>
        </is>
      </c>
      <c r="D2188" s="5" t="n">
        <v>27</v>
      </c>
      <c r="E2188" s="5" t="n">
        <v>300</v>
      </c>
      <c r="F2188" t="inlineStr">
        <is>
          <t>Поступление</t>
        </is>
      </c>
      <c r="H2188">
        <f>VLOOKUP(C2188,Магазин!$A$2:$C$1000,2,0)</f>
        <v/>
      </c>
      <c r="I2188">
        <f>VLOOKUP(D2188,Товар!$A$2:$F$1000,3,0)</f>
        <v/>
      </c>
      <c r="J2188">
        <f>VLOOKUP(D2188,Товар!$A$2:$F$1000,5,0)</f>
        <v/>
      </c>
      <c r="K2188">
        <f>IF(AND(H2188="Промышленный",LEFT(I2188,18)="Порошок стиральный",F2188="Продажа",B2188=DATE(2023,6,7)),E2188*J2188/1000,0)</f>
        <v/>
      </c>
    </row>
    <row r="2189">
      <c r="A2189" t="n">
        <v>2188</v>
      </c>
      <c r="B2189" s="1" t="n">
        <v>45086</v>
      </c>
      <c r="C2189" s="5" t="inlineStr">
        <is>
          <t>M1</t>
        </is>
      </c>
      <c r="D2189" s="5" t="n">
        <v>28</v>
      </c>
      <c r="E2189" s="5" t="n">
        <v>300</v>
      </c>
      <c r="F2189" t="inlineStr">
        <is>
          <t>Поступление</t>
        </is>
      </c>
      <c r="H2189">
        <f>VLOOKUP(C2189,Магазин!$A$2:$C$1000,2,0)</f>
        <v/>
      </c>
      <c r="I2189">
        <f>VLOOKUP(D2189,Товар!$A$2:$F$1000,3,0)</f>
        <v/>
      </c>
      <c r="J2189">
        <f>VLOOKUP(D2189,Товар!$A$2:$F$1000,5,0)</f>
        <v/>
      </c>
      <c r="K2189">
        <f>IF(AND(H2189="Промышленный",LEFT(I2189,18)="Порошок стиральный",F2189="Продажа",B2189=DATE(2023,6,7)),E2189*J2189/1000,0)</f>
        <v/>
      </c>
    </row>
    <row r="2190">
      <c r="A2190" t="n">
        <v>2189</v>
      </c>
      <c r="B2190" s="1" t="n">
        <v>45086</v>
      </c>
      <c r="C2190" s="5" t="inlineStr">
        <is>
          <t>M1</t>
        </is>
      </c>
      <c r="D2190" s="5" t="n">
        <v>29</v>
      </c>
      <c r="E2190" s="5" t="n">
        <v>300</v>
      </c>
      <c r="F2190" t="inlineStr">
        <is>
          <t>Поступление</t>
        </is>
      </c>
      <c r="H2190">
        <f>VLOOKUP(C2190,Магазин!$A$2:$C$1000,2,0)</f>
        <v/>
      </c>
      <c r="I2190">
        <f>VLOOKUP(D2190,Товар!$A$2:$F$1000,3,0)</f>
        <v/>
      </c>
      <c r="J2190">
        <f>VLOOKUP(D2190,Товар!$A$2:$F$1000,5,0)</f>
        <v/>
      </c>
      <c r="K2190">
        <f>IF(AND(H2190="Промышленный",LEFT(I2190,18)="Порошок стиральный",F2190="Продажа",B2190=DATE(2023,6,7)),E2190*J2190/1000,0)</f>
        <v/>
      </c>
    </row>
    <row r="2191">
      <c r="A2191" t="n">
        <v>2190</v>
      </c>
      <c r="B2191" s="1" t="n">
        <v>45086</v>
      </c>
      <c r="C2191" s="5" t="inlineStr">
        <is>
          <t>M1</t>
        </is>
      </c>
      <c r="D2191" s="5" t="n">
        <v>30</v>
      </c>
      <c r="E2191" s="5" t="n">
        <v>300</v>
      </c>
      <c r="F2191" t="inlineStr">
        <is>
          <t>Поступление</t>
        </is>
      </c>
      <c r="H2191">
        <f>VLOOKUP(C2191,Магазин!$A$2:$C$1000,2,0)</f>
        <v/>
      </c>
      <c r="I2191">
        <f>VLOOKUP(D2191,Товар!$A$2:$F$1000,3,0)</f>
        <v/>
      </c>
      <c r="J2191">
        <f>VLOOKUP(D2191,Товар!$A$2:$F$1000,5,0)</f>
        <v/>
      </c>
      <c r="K2191">
        <f>IF(AND(H2191="Промышленный",LEFT(I2191,18)="Порошок стиральный",F2191="Продажа",B2191=DATE(2023,6,7)),E2191*J2191/1000,0)</f>
        <v/>
      </c>
    </row>
    <row r="2192">
      <c r="A2192" t="n">
        <v>2191</v>
      </c>
      <c r="B2192" s="1" t="n">
        <v>45086</v>
      </c>
      <c r="C2192" s="5" t="inlineStr">
        <is>
          <t>M1</t>
        </is>
      </c>
      <c r="D2192" s="5" t="n">
        <v>31</v>
      </c>
      <c r="E2192" s="5" t="n">
        <v>300</v>
      </c>
      <c r="F2192" t="inlineStr">
        <is>
          <t>Поступление</t>
        </is>
      </c>
      <c r="H2192">
        <f>VLOOKUP(C2192,Магазин!$A$2:$C$1000,2,0)</f>
        <v/>
      </c>
      <c r="I2192">
        <f>VLOOKUP(D2192,Товар!$A$2:$F$1000,3,0)</f>
        <v/>
      </c>
      <c r="J2192">
        <f>VLOOKUP(D2192,Товар!$A$2:$F$1000,5,0)</f>
        <v/>
      </c>
      <c r="K2192">
        <f>IF(AND(H2192="Промышленный",LEFT(I2192,18)="Порошок стиральный",F2192="Продажа",B2192=DATE(2023,6,7)),E2192*J2192/1000,0)</f>
        <v/>
      </c>
    </row>
    <row r="2193">
      <c r="A2193" t="n">
        <v>2192</v>
      </c>
      <c r="B2193" s="1" t="n">
        <v>45086</v>
      </c>
      <c r="C2193" s="5" t="inlineStr">
        <is>
          <t>M1</t>
        </is>
      </c>
      <c r="D2193" s="5" t="n">
        <v>32</v>
      </c>
      <c r="E2193" s="5" t="n">
        <v>300</v>
      </c>
      <c r="F2193" t="inlineStr">
        <is>
          <t>Поступление</t>
        </is>
      </c>
      <c r="H2193">
        <f>VLOOKUP(C2193,Магазин!$A$2:$C$1000,2,0)</f>
        <v/>
      </c>
      <c r="I2193">
        <f>VLOOKUP(D2193,Товар!$A$2:$F$1000,3,0)</f>
        <v/>
      </c>
      <c r="J2193">
        <f>VLOOKUP(D2193,Товар!$A$2:$F$1000,5,0)</f>
        <v/>
      </c>
      <c r="K2193">
        <f>IF(AND(H2193="Промышленный",LEFT(I2193,18)="Порошок стиральный",F2193="Продажа",B2193=DATE(2023,6,7)),E2193*J2193/1000,0)</f>
        <v/>
      </c>
    </row>
    <row r="2194">
      <c r="A2194" t="n">
        <v>2193</v>
      </c>
      <c r="B2194" s="1" t="n">
        <v>45086</v>
      </c>
      <c r="C2194" s="5" t="inlineStr">
        <is>
          <t>M1</t>
        </is>
      </c>
      <c r="D2194" s="5" t="n">
        <v>33</v>
      </c>
      <c r="E2194" s="5" t="n">
        <v>300</v>
      </c>
      <c r="F2194" t="inlineStr">
        <is>
          <t>Поступление</t>
        </is>
      </c>
      <c r="H2194">
        <f>VLOOKUP(C2194,Магазин!$A$2:$C$1000,2,0)</f>
        <v/>
      </c>
      <c r="I2194">
        <f>VLOOKUP(D2194,Товар!$A$2:$F$1000,3,0)</f>
        <v/>
      </c>
      <c r="J2194">
        <f>VLOOKUP(D2194,Товар!$A$2:$F$1000,5,0)</f>
        <v/>
      </c>
      <c r="K2194">
        <f>IF(AND(H2194="Промышленный",LEFT(I2194,18)="Порошок стиральный",F2194="Продажа",B2194=DATE(2023,6,7)),E2194*J2194/1000,0)</f>
        <v/>
      </c>
    </row>
    <row r="2195">
      <c r="A2195" t="n">
        <v>2194</v>
      </c>
      <c r="B2195" s="1" t="n">
        <v>45086</v>
      </c>
      <c r="C2195" s="5" t="inlineStr">
        <is>
          <t>M1</t>
        </is>
      </c>
      <c r="D2195" s="5" t="n">
        <v>34</v>
      </c>
      <c r="E2195" s="5" t="n">
        <v>300</v>
      </c>
      <c r="F2195" t="inlineStr">
        <is>
          <t>Поступление</t>
        </is>
      </c>
      <c r="H2195">
        <f>VLOOKUP(C2195,Магазин!$A$2:$C$1000,2,0)</f>
        <v/>
      </c>
      <c r="I2195">
        <f>VLOOKUP(D2195,Товар!$A$2:$F$1000,3,0)</f>
        <v/>
      </c>
      <c r="J2195">
        <f>VLOOKUP(D2195,Товар!$A$2:$F$1000,5,0)</f>
        <v/>
      </c>
      <c r="K2195">
        <f>IF(AND(H2195="Промышленный",LEFT(I2195,18)="Порошок стиральный",F2195="Продажа",B2195=DATE(2023,6,7)),E2195*J2195/1000,0)</f>
        <v/>
      </c>
    </row>
    <row r="2196">
      <c r="A2196" t="n">
        <v>2195</v>
      </c>
      <c r="B2196" s="1" t="n">
        <v>45086</v>
      </c>
      <c r="C2196" s="5" t="inlineStr">
        <is>
          <t>M1</t>
        </is>
      </c>
      <c r="D2196" s="5" t="n">
        <v>35</v>
      </c>
      <c r="E2196" s="5" t="n">
        <v>300</v>
      </c>
      <c r="F2196" t="inlineStr">
        <is>
          <t>Поступление</t>
        </is>
      </c>
      <c r="H2196">
        <f>VLOOKUP(C2196,Магазин!$A$2:$C$1000,2,0)</f>
        <v/>
      </c>
      <c r="I2196">
        <f>VLOOKUP(D2196,Товар!$A$2:$F$1000,3,0)</f>
        <v/>
      </c>
      <c r="J2196">
        <f>VLOOKUP(D2196,Товар!$A$2:$F$1000,5,0)</f>
        <v/>
      </c>
      <c r="K2196">
        <f>IF(AND(H2196="Промышленный",LEFT(I2196,18)="Порошок стиральный",F2196="Продажа",B2196=DATE(2023,6,7)),E2196*J2196/1000,0)</f>
        <v/>
      </c>
    </row>
    <row r="2197">
      <c r="A2197" t="n">
        <v>2196</v>
      </c>
      <c r="B2197" s="1" t="n">
        <v>45086</v>
      </c>
      <c r="C2197" s="5" t="inlineStr">
        <is>
          <t>M1</t>
        </is>
      </c>
      <c r="D2197" s="5" t="n">
        <v>36</v>
      </c>
      <c r="E2197" s="5" t="n">
        <v>300</v>
      </c>
      <c r="F2197" t="inlineStr">
        <is>
          <t>Поступление</t>
        </is>
      </c>
      <c r="H2197">
        <f>VLOOKUP(C2197,Магазин!$A$2:$C$1000,2,0)</f>
        <v/>
      </c>
      <c r="I2197">
        <f>VLOOKUP(D2197,Товар!$A$2:$F$1000,3,0)</f>
        <v/>
      </c>
      <c r="J2197">
        <f>VLOOKUP(D2197,Товар!$A$2:$F$1000,5,0)</f>
        <v/>
      </c>
      <c r="K2197">
        <f>IF(AND(H2197="Промышленный",LEFT(I2197,18)="Порошок стиральный",F2197="Продажа",B2197=DATE(2023,6,7)),E2197*J2197/1000,0)</f>
        <v/>
      </c>
    </row>
    <row r="2198">
      <c r="A2198" t="n">
        <v>2197</v>
      </c>
      <c r="B2198" s="1" t="n">
        <v>45086</v>
      </c>
      <c r="C2198" s="5" t="inlineStr">
        <is>
          <t>M5</t>
        </is>
      </c>
      <c r="D2198" s="5" t="n">
        <v>1</v>
      </c>
      <c r="E2198" s="5" t="n">
        <v>300</v>
      </c>
      <c r="F2198" t="inlineStr">
        <is>
          <t>Поступление</t>
        </is>
      </c>
      <c r="H2198">
        <f>VLOOKUP(C2198,Магазин!$A$2:$C$1000,2,0)</f>
        <v/>
      </c>
      <c r="I2198">
        <f>VLOOKUP(D2198,Товар!$A$2:$F$1000,3,0)</f>
        <v/>
      </c>
      <c r="J2198">
        <f>VLOOKUP(D2198,Товар!$A$2:$F$1000,5,0)</f>
        <v/>
      </c>
      <c r="K2198">
        <f>IF(AND(H2198="Промышленный",LEFT(I2198,18)="Порошок стиральный",F2198="Продажа",B2198=DATE(2023,6,7)),E2198*J2198/1000,0)</f>
        <v/>
      </c>
    </row>
    <row r="2199">
      <c r="A2199" t="n">
        <v>2198</v>
      </c>
      <c r="B2199" s="1" t="n">
        <v>45086</v>
      </c>
      <c r="C2199" s="5" t="inlineStr">
        <is>
          <t>M5</t>
        </is>
      </c>
      <c r="D2199" s="5" t="n">
        <v>2</v>
      </c>
      <c r="E2199" s="5" t="n">
        <v>300</v>
      </c>
      <c r="F2199" t="inlineStr">
        <is>
          <t>Поступление</t>
        </is>
      </c>
      <c r="H2199">
        <f>VLOOKUP(C2199,Магазин!$A$2:$C$1000,2,0)</f>
        <v/>
      </c>
      <c r="I2199">
        <f>VLOOKUP(D2199,Товар!$A$2:$F$1000,3,0)</f>
        <v/>
      </c>
      <c r="J2199">
        <f>VLOOKUP(D2199,Товар!$A$2:$F$1000,5,0)</f>
        <v/>
      </c>
      <c r="K2199">
        <f>IF(AND(H2199="Промышленный",LEFT(I2199,18)="Порошок стиральный",F2199="Продажа",B2199=DATE(2023,6,7)),E2199*J2199/1000,0)</f>
        <v/>
      </c>
    </row>
    <row r="2200">
      <c r="A2200" t="n">
        <v>2199</v>
      </c>
      <c r="B2200" s="1" t="n">
        <v>45086</v>
      </c>
      <c r="C2200" s="5" t="inlineStr">
        <is>
          <t>M5</t>
        </is>
      </c>
      <c r="D2200" s="5" t="n">
        <v>3</v>
      </c>
      <c r="E2200" s="5" t="n">
        <v>300</v>
      </c>
      <c r="F2200" t="inlineStr">
        <is>
          <t>Поступление</t>
        </is>
      </c>
      <c r="H2200">
        <f>VLOOKUP(C2200,Магазин!$A$2:$C$1000,2,0)</f>
        <v/>
      </c>
      <c r="I2200">
        <f>VLOOKUP(D2200,Товар!$A$2:$F$1000,3,0)</f>
        <v/>
      </c>
      <c r="J2200">
        <f>VLOOKUP(D2200,Товар!$A$2:$F$1000,5,0)</f>
        <v/>
      </c>
      <c r="K2200">
        <f>IF(AND(H2200="Промышленный",LEFT(I2200,18)="Порошок стиральный",F2200="Продажа",B2200=DATE(2023,6,7)),E2200*J2200/1000,0)</f>
        <v/>
      </c>
    </row>
    <row r="2201">
      <c r="A2201" t="n">
        <v>2200</v>
      </c>
      <c r="B2201" s="1" t="n">
        <v>45086</v>
      </c>
      <c r="C2201" s="5" t="inlineStr">
        <is>
          <t>M5</t>
        </is>
      </c>
      <c r="D2201" s="5" t="n">
        <v>4</v>
      </c>
      <c r="E2201" s="5" t="n">
        <v>300</v>
      </c>
      <c r="F2201" t="inlineStr">
        <is>
          <t>Поступление</t>
        </is>
      </c>
      <c r="H2201">
        <f>VLOOKUP(C2201,Магазин!$A$2:$C$1000,2,0)</f>
        <v/>
      </c>
      <c r="I2201">
        <f>VLOOKUP(D2201,Товар!$A$2:$F$1000,3,0)</f>
        <v/>
      </c>
      <c r="J2201">
        <f>VLOOKUP(D2201,Товар!$A$2:$F$1000,5,0)</f>
        <v/>
      </c>
      <c r="K2201">
        <f>IF(AND(H2201="Промышленный",LEFT(I2201,18)="Порошок стиральный",F2201="Продажа",B2201=DATE(2023,6,7)),E2201*J2201/1000,0)</f>
        <v/>
      </c>
    </row>
    <row r="2202">
      <c r="A2202" t="n">
        <v>2201</v>
      </c>
      <c r="B2202" s="1" t="n">
        <v>45086</v>
      </c>
      <c r="C2202" s="5" t="inlineStr">
        <is>
          <t>M5</t>
        </is>
      </c>
      <c r="D2202" s="5" t="n">
        <v>5</v>
      </c>
      <c r="E2202" s="5" t="n">
        <v>300</v>
      </c>
      <c r="F2202" t="inlineStr">
        <is>
          <t>Поступление</t>
        </is>
      </c>
      <c r="H2202">
        <f>VLOOKUP(C2202,Магазин!$A$2:$C$1000,2,0)</f>
        <v/>
      </c>
      <c r="I2202">
        <f>VLOOKUP(D2202,Товар!$A$2:$F$1000,3,0)</f>
        <v/>
      </c>
      <c r="J2202">
        <f>VLOOKUP(D2202,Товар!$A$2:$F$1000,5,0)</f>
        <v/>
      </c>
      <c r="K2202">
        <f>IF(AND(H2202="Промышленный",LEFT(I2202,18)="Порошок стиральный",F2202="Продажа",B2202=DATE(2023,6,7)),E2202*J2202/1000,0)</f>
        <v/>
      </c>
    </row>
    <row r="2203">
      <c r="A2203" t="n">
        <v>2202</v>
      </c>
      <c r="B2203" s="1" t="n">
        <v>45086</v>
      </c>
      <c r="C2203" s="5" t="inlineStr">
        <is>
          <t>M5</t>
        </is>
      </c>
      <c r="D2203" s="5" t="n">
        <v>6</v>
      </c>
      <c r="E2203" s="5" t="n">
        <v>300</v>
      </c>
      <c r="F2203" t="inlineStr">
        <is>
          <t>Поступление</t>
        </is>
      </c>
      <c r="H2203">
        <f>VLOOKUP(C2203,Магазин!$A$2:$C$1000,2,0)</f>
        <v/>
      </c>
      <c r="I2203">
        <f>VLOOKUP(D2203,Товар!$A$2:$F$1000,3,0)</f>
        <v/>
      </c>
      <c r="J2203">
        <f>VLOOKUP(D2203,Товар!$A$2:$F$1000,5,0)</f>
        <v/>
      </c>
      <c r="K2203">
        <f>IF(AND(H2203="Промышленный",LEFT(I2203,18)="Порошок стиральный",F2203="Продажа",B2203=DATE(2023,6,7)),E2203*J2203/1000,0)</f>
        <v/>
      </c>
    </row>
    <row r="2204">
      <c r="A2204" t="n">
        <v>2203</v>
      </c>
      <c r="B2204" s="1" t="n">
        <v>45086</v>
      </c>
      <c r="C2204" s="5" t="inlineStr">
        <is>
          <t>M5</t>
        </is>
      </c>
      <c r="D2204" s="5" t="n">
        <v>7</v>
      </c>
      <c r="E2204" s="5" t="n">
        <v>300</v>
      </c>
      <c r="F2204" t="inlineStr">
        <is>
          <t>Поступление</t>
        </is>
      </c>
      <c r="H2204">
        <f>VLOOKUP(C2204,Магазин!$A$2:$C$1000,2,0)</f>
        <v/>
      </c>
      <c r="I2204">
        <f>VLOOKUP(D2204,Товар!$A$2:$F$1000,3,0)</f>
        <v/>
      </c>
      <c r="J2204">
        <f>VLOOKUP(D2204,Товар!$A$2:$F$1000,5,0)</f>
        <v/>
      </c>
      <c r="K2204">
        <f>IF(AND(H2204="Промышленный",LEFT(I2204,18)="Порошок стиральный",F2204="Продажа",B2204=DATE(2023,6,7)),E2204*J2204/1000,0)</f>
        <v/>
      </c>
    </row>
    <row r="2205">
      <c r="A2205" t="n">
        <v>2204</v>
      </c>
      <c r="B2205" s="1" t="n">
        <v>45086</v>
      </c>
      <c r="C2205" s="5" t="inlineStr">
        <is>
          <t>M5</t>
        </is>
      </c>
      <c r="D2205" s="5" t="n">
        <v>8</v>
      </c>
      <c r="E2205" s="5" t="n">
        <v>300</v>
      </c>
      <c r="F2205" t="inlineStr">
        <is>
          <t>Поступление</t>
        </is>
      </c>
      <c r="H2205">
        <f>VLOOKUP(C2205,Магазин!$A$2:$C$1000,2,0)</f>
        <v/>
      </c>
      <c r="I2205">
        <f>VLOOKUP(D2205,Товар!$A$2:$F$1000,3,0)</f>
        <v/>
      </c>
      <c r="J2205">
        <f>VLOOKUP(D2205,Товар!$A$2:$F$1000,5,0)</f>
        <v/>
      </c>
      <c r="K2205">
        <f>IF(AND(H2205="Промышленный",LEFT(I2205,18)="Порошок стиральный",F2205="Продажа",B2205=DATE(2023,6,7)),E2205*J2205/1000,0)</f>
        <v/>
      </c>
    </row>
    <row r="2206">
      <c r="A2206" t="n">
        <v>2205</v>
      </c>
      <c r="B2206" s="1" t="n">
        <v>45086</v>
      </c>
      <c r="C2206" s="5" t="inlineStr">
        <is>
          <t>M5</t>
        </is>
      </c>
      <c r="D2206" s="5" t="n">
        <v>9</v>
      </c>
      <c r="E2206" s="5" t="n">
        <v>300</v>
      </c>
      <c r="F2206" t="inlineStr">
        <is>
          <t>Поступление</t>
        </is>
      </c>
      <c r="H2206">
        <f>VLOOKUP(C2206,Магазин!$A$2:$C$1000,2,0)</f>
        <v/>
      </c>
      <c r="I2206">
        <f>VLOOKUP(D2206,Товар!$A$2:$F$1000,3,0)</f>
        <v/>
      </c>
      <c r="J2206">
        <f>VLOOKUP(D2206,Товар!$A$2:$F$1000,5,0)</f>
        <v/>
      </c>
      <c r="K2206">
        <f>IF(AND(H2206="Промышленный",LEFT(I2206,18)="Порошок стиральный",F2206="Продажа",B2206=DATE(2023,6,7)),E2206*J2206/1000,0)</f>
        <v/>
      </c>
    </row>
    <row r="2207">
      <c r="A2207" t="n">
        <v>2206</v>
      </c>
      <c r="B2207" s="1" t="n">
        <v>45086</v>
      </c>
      <c r="C2207" s="5" t="inlineStr">
        <is>
          <t>M5</t>
        </is>
      </c>
      <c r="D2207" s="5" t="n">
        <v>10</v>
      </c>
      <c r="E2207" s="5" t="n">
        <v>300</v>
      </c>
      <c r="F2207" t="inlineStr">
        <is>
          <t>Поступление</t>
        </is>
      </c>
      <c r="H2207">
        <f>VLOOKUP(C2207,Магазин!$A$2:$C$1000,2,0)</f>
        <v/>
      </c>
      <c r="I2207">
        <f>VLOOKUP(D2207,Товар!$A$2:$F$1000,3,0)</f>
        <v/>
      </c>
      <c r="J2207">
        <f>VLOOKUP(D2207,Товар!$A$2:$F$1000,5,0)</f>
        <v/>
      </c>
      <c r="K2207">
        <f>IF(AND(H2207="Промышленный",LEFT(I2207,18)="Порошок стиральный",F2207="Продажа",B2207=DATE(2023,6,7)),E2207*J2207/1000,0)</f>
        <v/>
      </c>
    </row>
    <row r="2208">
      <c r="A2208" t="n">
        <v>2207</v>
      </c>
      <c r="B2208" s="1" t="n">
        <v>45086</v>
      </c>
      <c r="C2208" s="5" t="inlineStr">
        <is>
          <t>M5</t>
        </is>
      </c>
      <c r="D2208" s="5" t="n">
        <v>11</v>
      </c>
      <c r="E2208" s="5" t="n">
        <v>300</v>
      </c>
      <c r="F2208" t="inlineStr">
        <is>
          <t>Поступление</t>
        </is>
      </c>
      <c r="H2208">
        <f>VLOOKUP(C2208,Магазин!$A$2:$C$1000,2,0)</f>
        <v/>
      </c>
      <c r="I2208">
        <f>VLOOKUP(D2208,Товар!$A$2:$F$1000,3,0)</f>
        <v/>
      </c>
      <c r="J2208">
        <f>VLOOKUP(D2208,Товар!$A$2:$F$1000,5,0)</f>
        <v/>
      </c>
      <c r="K2208">
        <f>IF(AND(H2208="Промышленный",LEFT(I2208,18)="Порошок стиральный",F2208="Продажа",B2208=DATE(2023,6,7)),E2208*J2208/1000,0)</f>
        <v/>
      </c>
    </row>
    <row r="2209">
      <c r="A2209" t="n">
        <v>2208</v>
      </c>
      <c r="B2209" s="1" t="n">
        <v>45086</v>
      </c>
      <c r="C2209" s="5" t="inlineStr">
        <is>
          <t>M5</t>
        </is>
      </c>
      <c r="D2209" s="5" t="n">
        <v>12</v>
      </c>
      <c r="E2209" s="5" t="n">
        <v>300</v>
      </c>
      <c r="F2209" t="inlineStr">
        <is>
          <t>Поступление</t>
        </is>
      </c>
      <c r="H2209">
        <f>VLOOKUP(C2209,Магазин!$A$2:$C$1000,2,0)</f>
        <v/>
      </c>
      <c r="I2209">
        <f>VLOOKUP(D2209,Товар!$A$2:$F$1000,3,0)</f>
        <v/>
      </c>
      <c r="J2209">
        <f>VLOOKUP(D2209,Товар!$A$2:$F$1000,5,0)</f>
        <v/>
      </c>
      <c r="K2209">
        <f>IF(AND(H2209="Промышленный",LEFT(I2209,18)="Порошок стиральный",F2209="Продажа",B2209=DATE(2023,6,7)),E2209*J2209/1000,0)</f>
        <v/>
      </c>
    </row>
    <row r="2210">
      <c r="A2210" t="n">
        <v>2209</v>
      </c>
      <c r="B2210" s="1" t="n">
        <v>45086</v>
      </c>
      <c r="C2210" s="5" t="inlineStr">
        <is>
          <t>M5</t>
        </is>
      </c>
      <c r="D2210" s="5" t="n">
        <v>13</v>
      </c>
      <c r="E2210" s="5" t="n">
        <v>300</v>
      </c>
      <c r="F2210" t="inlineStr">
        <is>
          <t>Поступление</t>
        </is>
      </c>
      <c r="H2210">
        <f>VLOOKUP(C2210,Магазин!$A$2:$C$1000,2,0)</f>
        <v/>
      </c>
      <c r="I2210">
        <f>VLOOKUP(D2210,Товар!$A$2:$F$1000,3,0)</f>
        <v/>
      </c>
      <c r="J2210">
        <f>VLOOKUP(D2210,Товар!$A$2:$F$1000,5,0)</f>
        <v/>
      </c>
      <c r="K2210">
        <f>IF(AND(H2210="Промышленный",LEFT(I2210,18)="Порошок стиральный",F2210="Продажа",B2210=DATE(2023,6,7)),E2210*J2210/1000,0)</f>
        <v/>
      </c>
    </row>
    <row r="2211">
      <c r="A2211" t="n">
        <v>2210</v>
      </c>
      <c r="B2211" s="1" t="n">
        <v>45086</v>
      </c>
      <c r="C2211" s="5" t="inlineStr">
        <is>
          <t>M5</t>
        </is>
      </c>
      <c r="D2211" s="5" t="n">
        <v>14</v>
      </c>
      <c r="E2211" s="5" t="n">
        <v>300</v>
      </c>
      <c r="F2211" t="inlineStr">
        <is>
          <t>Поступление</t>
        </is>
      </c>
      <c r="H2211">
        <f>VLOOKUP(C2211,Магазин!$A$2:$C$1000,2,0)</f>
        <v/>
      </c>
      <c r="I2211">
        <f>VLOOKUP(D2211,Товар!$A$2:$F$1000,3,0)</f>
        <v/>
      </c>
      <c r="J2211">
        <f>VLOOKUP(D2211,Товар!$A$2:$F$1000,5,0)</f>
        <v/>
      </c>
      <c r="K2211">
        <f>IF(AND(H2211="Промышленный",LEFT(I2211,18)="Порошок стиральный",F2211="Продажа",B2211=DATE(2023,6,7)),E2211*J2211/1000,0)</f>
        <v/>
      </c>
    </row>
    <row r="2212">
      <c r="A2212" t="n">
        <v>2211</v>
      </c>
      <c r="B2212" s="1" t="n">
        <v>45086</v>
      </c>
      <c r="C2212" s="5" t="inlineStr">
        <is>
          <t>M5</t>
        </is>
      </c>
      <c r="D2212" s="5" t="n">
        <v>15</v>
      </c>
      <c r="E2212" s="5" t="n">
        <v>300</v>
      </c>
      <c r="F2212" t="inlineStr">
        <is>
          <t>Поступление</t>
        </is>
      </c>
      <c r="H2212">
        <f>VLOOKUP(C2212,Магазин!$A$2:$C$1000,2,0)</f>
        <v/>
      </c>
      <c r="I2212">
        <f>VLOOKUP(D2212,Товар!$A$2:$F$1000,3,0)</f>
        <v/>
      </c>
      <c r="J2212">
        <f>VLOOKUP(D2212,Товар!$A$2:$F$1000,5,0)</f>
        <v/>
      </c>
      <c r="K2212">
        <f>IF(AND(H2212="Промышленный",LEFT(I2212,18)="Порошок стиральный",F2212="Продажа",B2212=DATE(2023,6,7)),E2212*J2212/1000,0)</f>
        <v/>
      </c>
    </row>
    <row r="2213">
      <c r="A2213" t="n">
        <v>2212</v>
      </c>
      <c r="B2213" s="1" t="n">
        <v>45086</v>
      </c>
      <c r="C2213" s="5" t="inlineStr">
        <is>
          <t>M5</t>
        </is>
      </c>
      <c r="D2213" s="5" t="n">
        <v>16</v>
      </c>
      <c r="E2213" s="5" t="n">
        <v>300</v>
      </c>
      <c r="F2213" t="inlineStr">
        <is>
          <t>Поступление</t>
        </is>
      </c>
      <c r="H2213">
        <f>VLOOKUP(C2213,Магазин!$A$2:$C$1000,2,0)</f>
        <v/>
      </c>
      <c r="I2213">
        <f>VLOOKUP(D2213,Товар!$A$2:$F$1000,3,0)</f>
        <v/>
      </c>
      <c r="J2213">
        <f>VLOOKUP(D2213,Товар!$A$2:$F$1000,5,0)</f>
        <v/>
      </c>
      <c r="K2213">
        <f>IF(AND(H2213="Промышленный",LEFT(I2213,18)="Порошок стиральный",F2213="Продажа",B2213=DATE(2023,6,7)),E2213*J2213/1000,0)</f>
        <v/>
      </c>
    </row>
    <row r="2214">
      <c r="A2214" t="n">
        <v>2213</v>
      </c>
      <c r="B2214" s="1" t="n">
        <v>45086</v>
      </c>
      <c r="C2214" s="5" t="inlineStr">
        <is>
          <t>M5</t>
        </is>
      </c>
      <c r="D2214" s="5" t="n">
        <v>17</v>
      </c>
      <c r="E2214" s="5" t="n">
        <v>300</v>
      </c>
      <c r="F2214" t="inlineStr">
        <is>
          <t>Поступление</t>
        </is>
      </c>
      <c r="H2214">
        <f>VLOOKUP(C2214,Магазин!$A$2:$C$1000,2,0)</f>
        <v/>
      </c>
      <c r="I2214">
        <f>VLOOKUP(D2214,Товар!$A$2:$F$1000,3,0)</f>
        <v/>
      </c>
      <c r="J2214">
        <f>VLOOKUP(D2214,Товар!$A$2:$F$1000,5,0)</f>
        <v/>
      </c>
      <c r="K2214">
        <f>IF(AND(H2214="Промышленный",LEFT(I2214,18)="Порошок стиральный",F2214="Продажа",B2214=DATE(2023,6,7)),E2214*J2214/1000,0)</f>
        <v/>
      </c>
    </row>
    <row r="2215">
      <c r="A2215" t="n">
        <v>2214</v>
      </c>
      <c r="B2215" s="1" t="n">
        <v>45086</v>
      </c>
      <c r="C2215" s="5" t="inlineStr">
        <is>
          <t>M5</t>
        </is>
      </c>
      <c r="D2215" s="5" t="n">
        <v>18</v>
      </c>
      <c r="E2215" s="5" t="n">
        <v>300</v>
      </c>
      <c r="F2215" t="inlineStr">
        <is>
          <t>Поступление</t>
        </is>
      </c>
      <c r="H2215">
        <f>VLOOKUP(C2215,Магазин!$A$2:$C$1000,2,0)</f>
        <v/>
      </c>
      <c r="I2215">
        <f>VLOOKUP(D2215,Товар!$A$2:$F$1000,3,0)</f>
        <v/>
      </c>
      <c r="J2215">
        <f>VLOOKUP(D2215,Товар!$A$2:$F$1000,5,0)</f>
        <v/>
      </c>
      <c r="K2215">
        <f>IF(AND(H2215="Промышленный",LEFT(I2215,18)="Порошок стиральный",F2215="Продажа",B2215=DATE(2023,6,7)),E2215*J2215/1000,0)</f>
        <v/>
      </c>
    </row>
    <row r="2216">
      <c r="A2216" t="n">
        <v>2215</v>
      </c>
      <c r="B2216" s="1" t="n">
        <v>45086</v>
      </c>
      <c r="C2216" s="5" t="inlineStr">
        <is>
          <t>M5</t>
        </is>
      </c>
      <c r="D2216" s="5" t="n">
        <v>19</v>
      </c>
      <c r="E2216" s="5" t="n">
        <v>300</v>
      </c>
      <c r="F2216" t="inlineStr">
        <is>
          <t>Поступление</t>
        </is>
      </c>
      <c r="H2216">
        <f>VLOOKUP(C2216,Магазин!$A$2:$C$1000,2,0)</f>
        <v/>
      </c>
      <c r="I2216">
        <f>VLOOKUP(D2216,Товар!$A$2:$F$1000,3,0)</f>
        <v/>
      </c>
      <c r="J2216">
        <f>VLOOKUP(D2216,Товар!$A$2:$F$1000,5,0)</f>
        <v/>
      </c>
      <c r="K2216">
        <f>IF(AND(H2216="Промышленный",LEFT(I2216,18)="Порошок стиральный",F2216="Продажа",B2216=DATE(2023,6,7)),E2216*J2216/1000,0)</f>
        <v/>
      </c>
    </row>
    <row r="2217">
      <c r="A2217" t="n">
        <v>2216</v>
      </c>
      <c r="B2217" s="1" t="n">
        <v>45086</v>
      </c>
      <c r="C2217" s="5" t="inlineStr">
        <is>
          <t>M5</t>
        </is>
      </c>
      <c r="D2217" s="5" t="n">
        <v>20</v>
      </c>
      <c r="E2217" s="5" t="n">
        <v>300</v>
      </c>
      <c r="F2217" t="inlineStr">
        <is>
          <t>Поступление</t>
        </is>
      </c>
      <c r="H2217">
        <f>VLOOKUP(C2217,Магазин!$A$2:$C$1000,2,0)</f>
        <v/>
      </c>
      <c r="I2217">
        <f>VLOOKUP(D2217,Товар!$A$2:$F$1000,3,0)</f>
        <v/>
      </c>
      <c r="J2217">
        <f>VLOOKUP(D2217,Товар!$A$2:$F$1000,5,0)</f>
        <v/>
      </c>
      <c r="K2217">
        <f>IF(AND(H2217="Промышленный",LEFT(I2217,18)="Порошок стиральный",F2217="Продажа",B2217=DATE(2023,6,7)),E2217*J2217/1000,0)</f>
        <v/>
      </c>
    </row>
    <row r="2218">
      <c r="A2218" t="n">
        <v>2217</v>
      </c>
      <c r="B2218" s="1" t="n">
        <v>45086</v>
      </c>
      <c r="C2218" s="5" t="inlineStr">
        <is>
          <t>M5</t>
        </is>
      </c>
      <c r="D2218" s="5" t="n">
        <v>21</v>
      </c>
      <c r="E2218" s="5" t="n">
        <v>300</v>
      </c>
      <c r="F2218" t="inlineStr">
        <is>
          <t>Поступление</t>
        </is>
      </c>
      <c r="H2218">
        <f>VLOOKUP(C2218,Магазин!$A$2:$C$1000,2,0)</f>
        <v/>
      </c>
      <c r="I2218">
        <f>VLOOKUP(D2218,Товар!$A$2:$F$1000,3,0)</f>
        <v/>
      </c>
      <c r="J2218">
        <f>VLOOKUP(D2218,Товар!$A$2:$F$1000,5,0)</f>
        <v/>
      </c>
      <c r="K2218">
        <f>IF(AND(H2218="Промышленный",LEFT(I2218,18)="Порошок стиральный",F2218="Продажа",B2218=DATE(2023,6,7)),E2218*J2218/1000,0)</f>
        <v/>
      </c>
    </row>
    <row r="2219">
      <c r="A2219" t="n">
        <v>2218</v>
      </c>
      <c r="B2219" s="1" t="n">
        <v>45086</v>
      </c>
      <c r="C2219" s="5" t="inlineStr">
        <is>
          <t>M5</t>
        </is>
      </c>
      <c r="D2219" s="5" t="n">
        <v>22</v>
      </c>
      <c r="E2219" s="5" t="n">
        <v>300</v>
      </c>
      <c r="F2219" t="inlineStr">
        <is>
          <t>Поступление</t>
        </is>
      </c>
      <c r="H2219">
        <f>VLOOKUP(C2219,Магазин!$A$2:$C$1000,2,0)</f>
        <v/>
      </c>
      <c r="I2219">
        <f>VLOOKUP(D2219,Товар!$A$2:$F$1000,3,0)</f>
        <v/>
      </c>
      <c r="J2219">
        <f>VLOOKUP(D2219,Товар!$A$2:$F$1000,5,0)</f>
        <v/>
      </c>
      <c r="K2219">
        <f>IF(AND(H2219="Промышленный",LEFT(I2219,18)="Порошок стиральный",F2219="Продажа",B2219=DATE(2023,6,7)),E2219*J2219/1000,0)</f>
        <v/>
      </c>
    </row>
    <row r="2220">
      <c r="A2220" t="n">
        <v>2219</v>
      </c>
      <c r="B2220" s="1" t="n">
        <v>45086</v>
      </c>
      <c r="C2220" s="5" t="inlineStr">
        <is>
          <t>M5</t>
        </is>
      </c>
      <c r="D2220" s="5" t="n">
        <v>23</v>
      </c>
      <c r="E2220" s="5" t="n">
        <v>300</v>
      </c>
      <c r="F2220" t="inlineStr">
        <is>
          <t>Поступление</t>
        </is>
      </c>
      <c r="H2220">
        <f>VLOOKUP(C2220,Магазин!$A$2:$C$1000,2,0)</f>
        <v/>
      </c>
      <c r="I2220">
        <f>VLOOKUP(D2220,Товар!$A$2:$F$1000,3,0)</f>
        <v/>
      </c>
      <c r="J2220">
        <f>VLOOKUP(D2220,Товар!$A$2:$F$1000,5,0)</f>
        <v/>
      </c>
      <c r="K2220">
        <f>IF(AND(H2220="Промышленный",LEFT(I2220,18)="Порошок стиральный",F2220="Продажа",B2220=DATE(2023,6,7)),E2220*J2220/1000,0)</f>
        <v/>
      </c>
    </row>
    <row r="2221">
      <c r="A2221" t="n">
        <v>2220</v>
      </c>
      <c r="B2221" s="1" t="n">
        <v>45086</v>
      </c>
      <c r="C2221" s="5" t="inlineStr">
        <is>
          <t>M5</t>
        </is>
      </c>
      <c r="D2221" s="5" t="n">
        <v>24</v>
      </c>
      <c r="E2221" s="5" t="n">
        <v>300</v>
      </c>
      <c r="F2221" t="inlineStr">
        <is>
          <t>Поступление</t>
        </is>
      </c>
      <c r="H2221">
        <f>VLOOKUP(C2221,Магазин!$A$2:$C$1000,2,0)</f>
        <v/>
      </c>
      <c r="I2221">
        <f>VLOOKUP(D2221,Товар!$A$2:$F$1000,3,0)</f>
        <v/>
      </c>
      <c r="J2221">
        <f>VLOOKUP(D2221,Товар!$A$2:$F$1000,5,0)</f>
        <v/>
      </c>
      <c r="K2221">
        <f>IF(AND(H2221="Промышленный",LEFT(I2221,18)="Порошок стиральный",F2221="Продажа",B2221=DATE(2023,6,7)),E2221*J2221/1000,0)</f>
        <v/>
      </c>
    </row>
    <row r="2222">
      <c r="A2222" t="n">
        <v>2221</v>
      </c>
      <c r="B2222" s="1" t="n">
        <v>45086</v>
      </c>
      <c r="C2222" s="5" t="inlineStr">
        <is>
          <t>M5</t>
        </is>
      </c>
      <c r="D2222" s="5" t="n">
        <v>25</v>
      </c>
      <c r="E2222" s="5" t="n">
        <v>300</v>
      </c>
      <c r="F2222" t="inlineStr">
        <is>
          <t>Поступление</t>
        </is>
      </c>
      <c r="H2222">
        <f>VLOOKUP(C2222,Магазин!$A$2:$C$1000,2,0)</f>
        <v/>
      </c>
      <c r="I2222">
        <f>VLOOKUP(D2222,Товар!$A$2:$F$1000,3,0)</f>
        <v/>
      </c>
      <c r="J2222">
        <f>VLOOKUP(D2222,Товар!$A$2:$F$1000,5,0)</f>
        <v/>
      </c>
      <c r="K2222">
        <f>IF(AND(H2222="Промышленный",LEFT(I2222,18)="Порошок стиральный",F2222="Продажа",B2222=DATE(2023,6,7)),E2222*J2222/1000,0)</f>
        <v/>
      </c>
    </row>
    <row r="2223">
      <c r="A2223" t="n">
        <v>2222</v>
      </c>
      <c r="B2223" s="1" t="n">
        <v>45086</v>
      </c>
      <c r="C2223" s="5" t="inlineStr">
        <is>
          <t>M5</t>
        </is>
      </c>
      <c r="D2223" s="5" t="n">
        <v>26</v>
      </c>
      <c r="E2223" s="5" t="n">
        <v>300</v>
      </c>
      <c r="F2223" t="inlineStr">
        <is>
          <t>Поступление</t>
        </is>
      </c>
      <c r="H2223">
        <f>VLOOKUP(C2223,Магазин!$A$2:$C$1000,2,0)</f>
        <v/>
      </c>
      <c r="I2223">
        <f>VLOOKUP(D2223,Товар!$A$2:$F$1000,3,0)</f>
        <v/>
      </c>
      <c r="J2223">
        <f>VLOOKUP(D2223,Товар!$A$2:$F$1000,5,0)</f>
        <v/>
      </c>
      <c r="K2223">
        <f>IF(AND(H2223="Промышленный",LEFT(I2223,18)="Порошок стиральный",F2223="Продажа",B2223=DATE(2023,6,7)),E2223*J2223/1000,0)</f>
        <v/>
      </c>
    </row>
    <row r="2224">
      <c r="A2224" t="n">
        <v>2223</v>
      </c>
      <c r="B2224" s="1" t="n">
        <v>45086</v>
      </c>
      <c r="C2224" s="5" t="inlineStr">
        <is>
          <t>M5</t>
        </is>
      </c>
      <c r="D2224" s="5" t="n">
        <v>27</v>
      </c>
      <c r="E2224" s="5" t="n">
        <v>300</v>
      </c>
      <c r="F2224" t="inlineStr">
        <is>
          <t>Поступление</t>
        </is>
      </c>
      <c r="H2224">
        <f>VLOOKUP(C2224,Магазин!$A$2:$C$1000,2,0)</f>
        <v/>
      </c>
      <c r="I2224">
        <f>VLOOKUP(D2224,Товар!$A$2:$F$1000,3,0)</f>
        <v/>
      </c>
      <c r="J2224">
        <f>VLOOKUP(D2224,Товар!$A$2:$F$1000,5,0)</f>
        <v/>
      </c>
      <c r="K2224">
        <f>IF(AND(H2224="Промышленный",LEFT(I2224,18)="Порошок стиральный",F2224="Продажа",B2224=DATE(2023,6,7)),E2224*J2224/1000,0)</f>
        <v/>
      </c>
    </row>
    <row r="2225">
      <c r="A2225" t="n">
        <v>2224</v>
      </c>
      <c r="B2225" s="1" t="n">
        <v>45086</v>
      </c>
      <c r="C2225" s="5" t="inlineStr">
        <is>
          <t>M5</t>
        </is>
      </c>
      <c r="D2225" s="5" t="n">
        <v>28</v>
      </c>
      <c r="E2225" s="5" t="n">
        <v>300</v>
      </c>
      <c r="F2225" t="inlineStr">
        <is>
          <t>Поступление</t>
        </is>
      </c>
      <c r="H2225">
        <f>VLOOKUP(C2225,Магазин!$A$2:$C$1000,2,0)</f>
        <v/>
      </c>
      <c r="I2225">
        <f>VLOOKUP(D2225,Товар!$A$2:$F$1000,3,0)</f>
        <v/>
      </c>
      <c r="J2225">
        <f>VLOOKUP(D2225,Товар!$A$2:$F$1000,5,0)</f>
        <v/>
      </c>
      <c r="K2225">
        <f>IF(AND(H2225="Промышленный",LEFT(I2225,18)="Порошок стиральный",F2225="Продажа",B2225=DATE(2023,6,7)),E2225*J2225/1000,0)</f>
        <v/>
      </c>
    </row>
    <row r="2226">
      <c r="A2226" t="n">
        <v>2225</v>
      </c>
      <c r="B2226" s="1" t="n">
        <v>45086</v>
      </c>
      <c r="C2226" s="5" t="inlineStr">
        <is>
          <t>M5</t>
        </is>
      </c>
      <c r="D2226" s="5" t="n">
        <v>29</v>
      </c>
      <c r="E2226" s="5" t="n">
        <v>300</v>
      </c>
      <c r="F2226" t="inlineStr">
        <is>
          <t>Поступление</t>
        </is>
      </c>
      <c r="H2226">
        <f>VLOOKUP(C2226,Магазин!$A$2:$C$1000,2,0)</f>
        <v/>
      </c>
      <c r="I2226">
        <f>VLOOKUP(D2226,Товар!$A$2:$F$1000,3,0)</f>
        <v/>
      </c>
      <c r="J2226">
        <f>VLOOKUP(D2226,Товар!$A$2:$F$1000,5,0)</f>
        <v/>
      </c>
      <c r="K2226">
        <f>IF(AND(H2226="Промышленный",LEFT(I2226,18)="Порошок стиральный",F2226="Продажа",B2226=DATE(2023,6,7)),E2226*J2226/1000,0)</f>
        <v/>
      </c>
    </row>
    <row r="2227">
      <c r="A2227" t="n">
        <v>2226</v>
      </c>
      <c r="B2227" s="1" t="n">
        <v>45086</v>
      </c>
      <c r="C2227" s="5" t="inlineStr">
        <is>
          <t>M5</t>
        </is>
      </c>
      <c r="D2227" s="5" t="n">
        <v>30</v>
      </c>
      <c r="E2227" s="5" t="n">
        <v>300</v>
      </c>
      <c r="F2227" t="inlineStr">
        <is>
          <t>Поступление</t>
        </is>
      </c>
      <c r="H2227">
        <f>VLOOKUP(C2227,Магазин!$A$2:$C$1000,2,0)</f>
        <v/>
      </c>
      <c r="I2227">
        <f>VLOOKUP(D2227,Товар!$A$2:$F$1000,3,0)</f>
        <v/>
      </c>
      <c r="J2227">
        <f>VLOOKUP(D2227,Товар!$A$2:$F$1000,5,0)</f>
        <v/>
      </c>
      <c r="K2227">
        <f>IF(AND(H2227="Промышленный",LEFT(I2227,18)="Порошок стиральный",F2227="Продажа",B2227=DATE(2023,6,7)),E2227*J2227/1000,0)</f>
        <v/>
      </c>
    </row>
    <row r="2228">
      <c r="A2228" t="n">
        <v>2227</v>
      </c>
      <c r="B2228" s="1" t="n">
        <v>45086</v>
      </c>
      <c r="C2228" s="5" t="inlineStr">
        <is>
          <t>M5</t>
        </is>
      </c>
      <c r="D2228" s="5" t="n">
        <v>31</v>
      </c>
      <c r="E2228" s="5" t="n">
        <v>300</v>
      </c>
      <c r="F2228" t="inlineStr">
        <is>
          <t>Поступление</t>
        </is>
      </c>
      <c r="H2228">
        <f>VLOOKUP(C2228,Магазин!$A$2:$C$1000,2,0)</f>
        <v/>
      </c>
      <c r="I2228">
        <f>VLOOKUP(D2228,Товар!$A$2:$F$1000,3,0)</f>
        <v/>
      </c>
      <c r="J2228">
        <f>VLOOKUP(D2228,Товар!$A$2:$F$1000,5,0)</f>
        <v/>
      </c>
      <c r="K2228">
        <f>IF(AND(H2228="Промышленный",LEFT(I2228,18)="Порошок стиральный",F2228="Продажа",B2228=DATE(2023,6,7)),E2228*J2228/1000,0)</f>
        <v/>
      </c>
    </row>
    <row r="2229">
      <c r="A2229" t="n">
        <v>2228</v>
      </c>
      <c r="B2229" s="1" t="n">
        <v>45086</v>
      </c>
      <c r="C2229" s="5" t="inlineStr">
        <is>
          <t>M5</t>
        </is>
      </c>
      <c r="D2229" s="5" t="n">
        <v>32</v>
      </c>
      <c r="E2229" s="5" t="n">
        <v>300</v>
      </c>
      <c r="F2229" t="inlineStr">
        <is>
          <t>Поступление</t>
        </is>
      </c>
      <c r="H2229">
        <f>VLOOKUP(C2229,Магазин!$A$2:$C$1000,2,0)</f>
        <v/>
      </c>
      <c r="I2229">
        <f>VLOOKUP(D2229,Товар!$A$2:$F$1000,3,0)</f>
        <v/>
      </c>
      <c r="J2229">
        <f>VLOOKUP(D2229,Товар!$A$2:$F$1000,5,0)</f>
        <v/>
      </c>
      <c r="K2229">
        <f>IF(AND(H2229="Промышленный",LEFT(I2229,18)="Порошок стиральный",F2229="Продажа",B2229=DATE(2023,6,7)),E2229*J2229/1000,0)</f>
        <v/>
      </c>
    </row>
    <row r="2230">
      <c r="A2230" t="n">
        <v>2229</v>
      </c>
      <c r="B2230" s="1" t="n">
        <v>45086</v>
      </c>
      <c r="C2230" s="5" t="inlineStr">
        <is>
          <t>M5</t>
        </is>
      </c>
      <c r="D2230" s="5" t="n">
        <v>33</v>
      </c>
      <c r="E2230" s="5" t="n">
        <v>300</v>
      </c>
      <c r="F2230" t="inlineStr">
        <is>
          <t>Поступление</t>
        </is>
      </c>
      <c r="H2230">
        <f>VLOOKUP(C2230,Магазин!$A$2:$C$1000,2,0)</f>
        <v/>
      </c>
      <c r="I2230">
        <f>VLOOKUP(D2230,Товар!$A$2:$F$1000,3,0)</f>
        <v/>
      </c>
      <c r="J2230">
        <f>VLOOKUP(D2230,Товар!$A$2:$F$1000,5,0)</f>
        <v/>
      </c>
      <c r="K2230">
        <f>IF(AND(H2230="Промышленный",LEFT(I2230,18)="Порошок стиральный",F2230="Продажа",B2230=DATE(2023,6,7)),E2230*J2230/1000,0)</f>
        <v/>
      </c>
    </row>
    <row r="2231">
      <c r="A2231" t="n">
        <v>2230</v>
      </c>
      <c r="B2231" s="1" t="n">
        <v>45086</v>
      </c>
      <c r="C2231" s="5" t="inlineStr">
        <is>
          <t>M5</t>
        </is>
      </c>
      <c r="D2231" s="5" t="n">
        <v>34</v>
      </c>
      <c r="E2231" s="5" t="n">
        <v>300</v>
      </c>
      <c r="F2231" t="inlineStr">
        <is>
          <t>Поступление</t>
        </is>
      </c>
      <c r="H2231">
        <f>VLOOKUP(C2231,Магазин!$A$2:$C$1000,2,0)</f>
        <v/>
      </c>
      <c r="I2231">
        <f>VLOOKUP(D2231,Товар!$A$2:$F$1000,3,0)</f>
        <v/>
      </c>
      <c r="J2231">
        <f>VLOOKUP(D2231,Товар!$A$2:$F$1000,5,0)</f>
        <v/>
      </c>
      <c r="K2231">
        <f>IF(AND(H2231="Промышленный",LEFT(I2231,18)="Порошок стиральный",F2231="Продажа",B2231=DATE(2023,6,7)),E2231*J2231/1000,0)</f>
        <v/>
      </c>
    </row>
    <row r="2232">
      <c r="A2232" t="n">
        <v>2231</v>
      </c>
      <c r="B2232" s="1" t="n">
        <v>45086</v>
      </c>
      <c r="C2232" s="5" t="inlineStr">
        <is>
          <t>M5</t>
        </is>
      </c>
      <c r="D2232" s="5" t="n">
        <v>35</v>
      </c>
      <c r="E2232" s="5" t="n">
        <v>300</v>
      </c>
      <c r="F2232" t="inlineStr">
        <is>
          <t>Поступление</t>
        </is>
      </c>
      <c r="H2232">
        <f>VLOOKUP(C2232,Магазин!$A$2:$C$1000,2,0)</f>
        <v/>
      </c>
      <c r="I2232">
        <f>VLOOKUP(D2232,Товар!$A$2:$F$1000,3,0)</f>
        <v/>
      </c>
      <c r="J2232">
        <f>VLOOKUP(D2232,Товар!$A$2:$F$1000,5,0)</f>
        <v/>
      </c>
      <c r="K2232">
        <f>IF(AND(H2232="Промышленный",LEFT(I2232,18)="Порошок стиральный",F2232="Продажа",B2232=DATE(2023,6,7)),E2232*J2232/1000,0)</f>
        <v/>
      </c>
    </row>
    <row r="2233">
      <c r="A2233" t="n">
        <v>2232</v>
      </c>
      <c r="B2233" s="1" t="n">
        <v>45086</v>
      </c>
      <c r="C2233" s="5" t="inlineStr">
        <is>
          <t>M5</t>
        </is>
      </c>
      <c r="D2233" s="5" t="n">
        <v>36</v>
      </c>
      <c r="E2233" s="5" t="n">
        <v>300</v>
      </c>
      <c r="F2233" t="inlineStr">
        <is>
          <t>Поступление</t>
        </is>
      </c>
      <c r="H2233">
        <f>VLOOKUP(C2233,Магазин!$A$2:$C$1000,2,0)</f>
        <v/>
      </c>
      <c r="I2233">
        <f>VLOOKUP(D2233,Товар!$A$2:$F$1000,3,0)</f>
        <v/>
      </c>
      <c r="J2233">
        <f>VLOOKUP(D2233,Товар!$A$2:$F$1000,5,0)</f>
        <v/>
      </c>
      <c r="K2233">
        <f>IF(AND(H2233="Промышленный",LEFT(I2233,18)="Порошок стиральный",F2233="Продажа",B2233=DATE(2023,6,7)),E2233*J2233/1000,0)</f>
        <v/>
      </c>
    </row>
    <row r="2234">
      <c r="A2234" t="n">
        <v>2233</v>
      </c>
      <c r="B2234" s="1" t="n">
        <v>45086</v>
      </c>
      <c r="C2234" s="5" t="inlineStr">
        <is>
          <t>M6</t>
        </is>
      </c>
      <c r="D2234" s="5" t="n">
        <v>1</v>
      </c>
      <c r="E2234" s="5" t="n">
        <v>300</v>
      </c>
      <c r="F2234" t="inlineStr">
        <is>
          <t>Поступление</t>
        </is>
      </c>
      <c r="H2234">
        <f>VLOOKUP(C2234,Магазин!$A$2:$C$1000,2,0)</f>
        <v/>
      </c>
      <c r="I2234">
        <f>VLOOKUP(D2234,Товар!$A$2:$F$1000,3,0)</f>
        <v/>
      </c>
      <c r="J2234">
        <f>VLOOKUP(D2234,Товар!$A$2:$F$1000,5,0)</f>
        <v/>
      </c>
      <c r="K2234">
        <f>IF(AND(H2234="Промышленный",LEFT(I2234,18)="Порошок стиральный",F2234="Продажа",B2234=DATE(2023,6,7)),E2234*J2234/1000,0)</f>
        <v/>
      </c>
    </row>
    <row r="2235">
      <c r="A2235" t="n">
        <v>2234</v>
      </c>
      <c r="B2235" s="1" t="n">
        <v>45086</v>
      </c>
      <c r="C2235" s="5" t="inlineStr">
        <is>
          <t>M6</t>
        </is>
      </c>
      <c r="D2235" s="5" t="n">
        <v>2</v>
      </c>
      <c r="E2235" s="5" t="n">
        <v>300</v>
      </c>
      <c r="F2235" t="inlineStr">
        <is>
          <t>Поступление</t>
        </is>
      </c>
      <c r="H2235">
        <f>VLOOKUP(C2235,Магазин!$A$2:$C$1000,2,0)</f>
        <v/>
      </c>
      <c r="I2235">
        <f>VLOOKUP(D2235,Товар!$A$2:$F$1000,3,0)</f>
        <v/>
      </c>
      <c r="J2235">
        <f>VLOOKUP(D2235,Товар!$A$2:$F$1000,5,0)</f>
        <v/>
      </c>
      <c r="K2235">
        <f>IF(AND(H2235="Промышленный",LEFT(I2235,18)="Порошок стиральный",F2235="Продажа",B2235=DATE(2023,6,7)),E2235*J2235/1000,0)</f>
        <v/>
      </c>
    </row>
    <row r="2236">
      <c r="A2236" t="n">
        <v>2235</v>
      </c>
      <c r="B2236" s="1" t="n">
        <v>45086</v>
      </c>
      <c r="C2236" s="5" t="inlineStr">
        <is>
          <t>M6</t>
        </is>
      </c>
      <c r="D2236" s="5" t="n">
        <v>3</v>
      </c>
      <c r="E2236" s="5" t="n">
        <v>300</v>
      </c>
      <c r="F2236" t="inlineStr">
        <is>
          <t>Поступление</t>
        </is>
      </c>
      <c r="H2236">
        <f>VLOOKUP(C2236,Магазин!$A$2:$C$1000,2,0)</f>
        <v/>
      </c>
      <c r="I2236">
        <f>VLOOKUP(D2236,Товар!$A$2:$F$1000,3,0)</f>
        <v/>
      </c>
      <c r="J2236">
        <f>VLOOKUP(D2236,Товар!$A$2:$F$1000,5,0)</f>
        <v/>
      </c>
      <c r="K2236">
        <f>IF(AND(H2236="Промышленный",LEFT(I2236,18)="Порошок стиральный",F2236="Продажа",B2236=DATE(2023,6,7)),E2236*J2236/1000,0)</f>
        <v/>
      </c>
    </row>
    <row r="2237">
      <c r="A2237" t="n">
        <v>2236</v>
      </c>
      <c r="B2237" s="1" t="n">
        <v>45086</v>
      </c>
      <c r="C2237" s="5" t="inlineStr">
        <is>
          <t>M6</t>
        </is>
      </c>
      <c r="D2237" s="5" t="n">
        <v>4</v>
      </c>
      <c r="E2237" s="5" t="n">
        <v>300</v>
      </c>
      <c r="F2237" t="inlineStr">
        <is>
          <t>Поступление</t>
        </is>
      </c>
      <c r="H2237">
        <f>VLOOKUP(C2237,Магазин!$A$2:$C$1000,2,0)</f>
        <v/>
      </c>
      <c r="I2237">
        <f>VLOOKUP(D2237,Товар!$A$2:$F$1000,3,0)</f>
        <v/>
      </c>
      <c r="J2237">
        <f>VLOOKUP(D2237,Товар!$A$2:$F$1000,5,0)</f>
        <v/>
      </c>
      <c r="K2237">
        <f>IF(AND(H2237="Промышленный",LEFT(I2237,18)="Порошок стиральный",F2237="Продажа",B2237=DATE(2023,6,7)),E2237*J2237/1000,0)</f>
        <v/>
      </c>
    </row>
    <row r="2238">
      <c r="A2238" t="n">
        <v>2237</v>
      </c>
      <c r="B2238" s="1" t="n">
        <v>45086</v>
      </c>
      <c r="C2238" s="5" t="inlineStr">
        <is>
          <t>M6</t>
        </is>
      </c>
      <c r="D2238" s="5" t="n">
        <v>5</v>
      </c>
      <c r="E2238" s="5" t="n">
        <v>300</v>
      </c>
      <c r="F2238" t="inlineStr">
        <is>
          <t>Поступление</t>
        </is>
      </c>
      <c r="H2238">
        <f>VLOOKUP(C2238,Магазин!$A$2:$C$1000,2,0)</f>
        <v/>
      </c>
      <c r="I2238">
        <f>VLOOKUP(D2238,Товар!$A$2:$F$1000,3,0)</f>
        <v/>
      </c>
      <c r="J2238">
        <f>VLOOKUP(D2238,Товар!$A$2:$F$1000,5,0)</f>
        <v/>
      </c>
      <c r="K2238">
        <f>IF(AND(H2238="Промышленный",LEFT(I2238,18)="Порошок стиральный",F2238="Продажа",B2238=DATE(2023,6,7)),E2238*J2238/1000,0)</f>
        <v/>
      </c>
    </row>
    <row r="2239">
      <c r="A2239" t="n">
        <v>2238</v>
      </c>
      <c r="B2239" s="1" t="n">
        <v>45086</v>
      </c>
      <c r="C2239" s="5" t="inlineStr">
        <is>
          <t>M6</t>
        </is>
      </c>
      <c r="D2239" s="5" t="n">
        <v>6</v>
      </c>
      <c r="E2239" s="5" t="n">
        <v>300</v>
      </c>
      <c r="F2239" t="inlineStr">
        <is>
          <t>Поступление</t>
        </is>
      </c>
      <c r="H2239">
        <f>VLOOKUP(C2239,Магазин!$A$2:$C$1000,2,0)</f>
        <v/>
      </c>
      <c r="I2239">
        <f>VLOOKUP(D2239,Товар!$A$2:$F$1000,3,0)</f>
        <v/>
      </c>
      <c r="J2239">
        <f>VLOOKUP(D2239,Товар!$A$2:$F$1000,5,0)</f>
        <v/>
      </c>
      <c r="K2239">
        <f>IF(AND(H2239="Промышленный",LEFT(I2239,18)="Порошок стиральный",F2239="Продажа",B2239=DATE(2023,6,7)),E2239*J2239/1000,0)</f>
        <v/>
      </c>
    </row>
    <row r="2240">
      <c r="A2240" t="n">
        <v>2239</v>
      </c>
      <c r="B2240" s="1" t="n">
        <v>45086</v>
      </c>
      <c r="C2240" s="5" t="inlineStr">
        <is>
          <t>M6</t>
        </is>
      </c>
      <c r="D2240" s="5" t="n">
        <v>7</v>
      </c>
      <c r="E2240" s="5" t="n">
        <v>300</v>
      </c>
      <c r="F2240" t="inlineStr">
        <is>
          <t>Поступление</t>
        </is>
      </c>
      <c r="H2240">
        <f>VLOOKUP(C2240,Магазин!$A$2:$C$1000,2,0)</f>
        <v/>
      </c>
      <c r="I2240">
        <f>VLOOKUP(D2240,Товар!$A$2:$F$1000,3,0)</f>
        <v/>
      </c>
      <c r="J2240">
        <f>VLOOKUP(D2240,Товар!$A$2:$F$1000,5,0)</f>
        <v/>
      </c>
      <c r="K2240">
        <f>IF(AND(H2240="Промышленный",LEFT(I2240,18)="Порошок стиральный",F2240="Продажа",B2240=DATE(2023,6,7)),E2240*J2240/1000,0)</f>
        <v/>
      </c>
    </row>
    <row r="2241">
      <c r="A2241" t="n">
        <v>2240</v>
      </c>
      <c r="B2241" s="1" t="n">
        <v>45086</v>
      </c>
      <c r="C2241" s="5" t="inlineStr">
        <is>
          <t>M6</t>
        </is>
      </c>
      <c r="D2241" s="5" t="n">
        <v>8</v>
      </c>
      <c r="E2241" s="5" t="n">
        <v>300</v>
      </c>
      <c r="F2241" t="inlineStr">
        <is>
          <t>Поступление</t>
        </is>
      </c>
      <c r="H2241">
        <f>VLOOKUP(C2241,Магазин!$A$2:$C$1000,2,0)</f>
        <v/>
      </c>
      <c r="I2241">
        <f>VLOOKUP(D2241,Товар!$A$2:$F$1000,3,0)</f>
        <v/>
      </c>
      <c r="J2241">
        <f>VLOOKUP(D2241,Товар!$A$2:$F$1000,5,0)</f>
        <v/>
      </c>
      <c r="K2241">
        <f>IF(AND(H2241="Промышленный",LEFT(I2241,18)="Порошок стиральный",F2241="Продажа",B2241=DATE(2023,6,7)),E2241*J2241/1000,0)</f>
        <v/>
      </c>
    </row>
    <row r="2242">
      <c r="A2242" t="n">
        <v>2241</v>
      </c>
      <c r="B2242" s="1" t="n">
        <v>45086</v>
      </c>
      <c r="C2242" s="5" t="inlineStr">
        <is>
          <t>M6</t>
        </is>
      </c>
      <c r="D2242" s="5" t="n">
        <v>9</v>
      </c>
      <c r="E2242" s="5" t="n">
        <v>300</v>
      </c>
      <c r="F2242" t="inlineStr">
        <is>
          <t>Поступление</t>
        </is>
      </c>
      <c r="H2242">
        <f>VLOOKUP(C2242,Магазин!$A$2:$C$1000,2,0)</f>
        <v/>
      </c>
      <c r="I2242">
        <f>VLOOKUP(D2242,Товар!$A$2:$F$1000,3,0)</f>
        <v/>
      </c>
      <c r="J2242">
        <f>VLOOKUP(D2242,Товар!$A$2:$F$1000,5,0)</f>
        <v/>
      </c>
      <c r="K2242">
        <f>IF(AND(H2242="Промышленный",LEFT(I2242,18)="Порошок стиральный",F2242="Продажа",B2242=DATE(2023,6,7)),E2242*J2242/1000,0)</f>
        <v/>
      </c>
    </row>
    <row r="2243">
      <c r="A2243" t="n">
        <v>2242</v>
      </c>
      <c r="B2243" s="1" t="n">
        <v>45086</v>
      </c>
      <c r="C2243" s="5" t="inlineStr">
        <is>
          <t>M6</t>
        </is>
      </c>
      <c r="D2243" s="5" t="n">
        <v>10</v>
      </c>
      <c r="E2243" s="5" t="n">
        <v>300</v>
      </c>
      <c r="F2243" t="inlineStr">
        <is>
          <t>Поступление</t>
        </is>
      </c>
      <c r="H2243">
        <f>VLOOKUP(C2243,Магазин!$A$2:$C$1000,2,0)</f>
        <v/>
      </c>
      <c r="I2243">
        <f>VLOOKUP(D2243,Товар!$A$2:$F$1000,3,0)</f>
        <v/>
      </c>
      <c r="J2243">
        <f>VLOOKUP(D2243,Товар!$A$2:$F$1000,5,0)</f>
        <v/>
      </c>
      <c r="K2243">
        <f>IF(AND(H2243="Промышленный",LEFT(I2243,18)="Порошок стиральный",F2243="Продажа",B2243=DATE(2023,6,7)),E2243*J2243/1000,0)</f>
        <v/>
      </c>
    </row>
    <row r="2244">
      <c r="A2244" t="n">
        <v>2243</v>
      </c>
      <c r="B2244" s="1" t="n">
        <v>45086</v>
      </c>
      <c r="C2244" s="5" t="inlineStr">
        <is>
          <t>M6</t>
        </is>
      </c>
      <c r="D2244" s="5" t="n">
        <v>11</v>
      </c>
      <c r="E2244" s="5" t="n">
        <v>300</v>
      </c>
      <c r="F2244" t="inlineStr">
        <is>
          <t>Поступление</t>
        </is>
      </c>
      <c r="H2244">
        <f>VLOOKUP(C2244,Магазин!$A$2:$C$1000,2,0)</f>
        <v/>
      </c>
      <c r="I2244">
        <f>VLOOKUP(D2244,Товар!$A$2:$F$1000,3,0)</f>
        <v/>
      </c>
      <c r="J2244">
        <f>VLOOKUP(D2244,Товар!$A$2:$F$1000,5,0)</f>
        <v/>
      </c>
      <c r="K2244">
        <f>IF(AND(H2244="Промышленный",LEFT(I2244,18)="Порошок стиральный",F2244="Продажа",B2244=DATE(2023,6,7)),E2244*J2244/1000,0)</f>
        <v/>
      </c>
    </row>
    <row r="2245">
      <c r="A2245" t="n">
        <v>2244</v>
      </c>
      <c r="B2245" s="1" t="n">
        <v>45086</v>
      </c>
      <c r="C2245" s="5" t="inlineStr">
        <is>
          <t>M6</t>
        </is>
      </c>
      <c r="D2245" s="5" t="n">
        <v>12</v>
      </c>
      <c r="E2245" s="5" t="n">
        <v>300</v>
      </c>
      <c r="F2245" t="inlineStr">
        <is>
          <t>Поступление</t>
        </is>
      </c>
      <c r="H2245">
        <f>VLOOKUP(C2245,Магазин!$A$2:$C$1000,2,0)</f>
        <v/>
      </c>
      <c r="I2245">
        <f>VLOOKUP(D2245,Товар!$A$2:$F$1000,3,0)</f>
        <v/>
      </c>
      <c r="J2245">
        <f>VLOOKUP(D2245,Товар!$A$2:$F$1000,5,0)</f>
        <v/>
      </c>
      <c r="K2245">
        <f>IF(AND(H2245="Промышленный",LEFT(I2245,18)="Порошок стиральный",F2245="Продажа",B2245=DATE(2023,6,7)),E2245*J2245/1000,0)</f>
        <v/>
      </c>
    </row>
    <row r="2246">
      <c r="A2246" t="n">
        <v>2245</v>
      </c>
      <c r="B2246" s="1" t="n">
        <v>45086</v>
      </c>
      <c r="C2246" s="5" t="inlineStr">
        <is>
          <t>M6</t>
        </is>
      </c>
      <c r="D2246" s="5" t="n">
        <v>13</v>
      </c>
      <c r="E2246" s="5" t="n">
        <v>300</v>
      </c>
      <c r="F2246" t="inlineStr">
        <is>
          <t>Поступление</t>
        </is>
      </c>
      <c r="H2246">
        <f>VLOOKUP(C2246,Магазин!$A$2:$C$1000,2,0)</f>
        <v/>
      </c>
      <c r="I2246">
        <f>VLOOKUP(D2246,Товар!$A$2:$F$1000,3,0)</f>
        <v/>
      </c>
      <c r="J2246">
        <f>VLOOKUP(D2246,Товар!$A$2:$F$1000,5,0)</f>
        <v/>
      </c>
      <c r="K2246">
        <f>IF(AND(H2246="Промышленный",LEFT(I2246,18)="Порошок стиральный",F2246="Продажа",B2246=DATE(2023,6,7)),E2246*J2246/1000,0)</f>
        <v/>
      </c>
    </row>
    <row r="2247">
      <c r="A2247" t="n">
        <v>2246</v>
      </c>
      <c r="B2247" s="1" t="n">
        <v>45086</v>
      </c>
      <c r="C2247" s="5" t="inlineStr">
        <is>
          <t>M6</t>
        </is>
      </c>
      <c r="D2247" s="5" t="n">
        <v>14</v>
      </c>
      <c r="E2247" s="5" t="n">
        <v>300</v>
      </c>
      <c r="F2247" t="inlineStr">
        <is>
          <t>Поступление</t>
        </is>
      </c>
      <c r="H2247">
        <f>VLOOKUP(C2247,Магазин!$A$2:$C$1000,2,0)</f>
        <v/>
      </c>
      <c r="I2247">
        <f>VLOOKUP(D2247,Товар!$A$2:$F$1000,3,0)</f>
        <v/>
      </c>
      <c r="J2247">
        <f>VLOOKUP(D2247,Товар!$A$2:$F$1000,5,0)</f>
        <v/>
      </c>
      <c r="K2247">
        <f>IF(AND(H2247="Промышленный",LEFT(I2247,18)="Порошок стиральный",F2247="Продажа",B2247=DATE(2023,6,7)),E2247*J2247/1000,0)</f>
        <v/>
      </c>
    </row>
    <row r="2248">
      <c r="A2248" t="n">
        <v>2247</v>
      </c>
      <c r="B2248" s="1" t="n">
        <v>45086</v>
      </c>
      <c r="C2248" s="5" t="inlineStr">
        <is>
          <t>M6</t>
        </is>
      </c>
      <c r="D2248" s="5" t="n">
        <v>15</v>
      </c>
      <c r="E2248" s="5" t="n">
        <v>300</v>
      </c>
      <c r="F2248" t="inlineStr">
        <is>
          <t>Поступление</t>
        </is>
      </c>
      <c r="H2248">
        <f>VLOOKUP(C2248,Магазин!$A$2:$C$1000,2,0)</f>
        <v/>
      </c>
      <c r="I2248">
        <f>VLOOKUP(D2248,Товар!$A$2:$F$1000,3,0)</f>
        <v/>
      </c>
      <c r="J2248">
        <f>VLOOKUP(D2248,Товар!$A$2:$F$1000,5,0)</f>
        <v/>
      </c>
      <c r="K2248">
        <f>IF(AND(H2248="Промышленный",LEFT(I2248,18)="Порошок стиральный",F2248="Продажа",B2248=DATE(2023,6,7)),E2248*J2248/1000,0)</f>
        <v/>
      </c>
    </row>
    <row r="2249">
      <c r="A2249" t="n">
        <v>2248</v>
      </c>
      <c r="B2249" s="1" t="n">
        <v>45086</v>
      </c>
      <c r="C2249" s="5" t="inlineStr">
        <is>
          <t>M6</t>
        </is>
      </c>
      <c r="D2249" s="5" t="n">
        <v>16</v>
      </c>
      <c r="E2249" s="5" t="n">
        <v>300</v>
      </c>
      <c r="F2249" t="inlineStr">
        <is>
          <t>Поступление</t>
        </is>
      </c>
      <c r="H2249">
        <f>VLOOKUP(C2249,Магазин!$A$2:$C$1000,2,0)</f>
        <v/>
      </c>
      <c r="I2249">
        <f>VLOOKUP(D2249,Товар!$A$2:$F$1000,3,0)</f>
        <v/>
      </c>
      <c r="J2249">
        <f>VLOOKUP(D2249,Товар!$A$2:$F$1000,5,0)</f>
        <v/>
      </c>
      <c r="K2249">
        <f>IF(AND(H2249="Промышленный",LEFT(I2249,18)="Порошок стиральный",F2249="Продажа",B2249=DATE(2023,6,7)),E2249*J2249/1000,0)</f>
        <v/>
      </c>
    </row>
    <row r="2250">
      <c r="A2250" t="n">
        <v>2249</v>
      </c>
      <c r="B2250" s="1" t="n">
        <v>45086</v>
      </c>
      <c r="C2250" s="5" t="inlineStr">
        <is>
          <t>M6</t>
        </is>
      </c>
      <c r="D2250" s="5" t="n">
        <v>17</v>
      </c>
      <c r="E2250" s="5" t="n">
        <v>300</v>
      </c>
      <c r="F2250" t="inlineStr">
        <is>
          <t>Поступление</t>
        </is>
      </c>
      <c r="H2250">
        <f>VLOOKUP(C2250,Магазин!$A$2:$C$1000,2,0)</f>
        <v/>
      </c>
      <c r="I2250">
        <f>VLOOKUP(D2250,Товар!$A$2:$F$1000,3,0)</f>
        <v/>
      </c>
      <c r="J2250">
        <f>VLOOKUP(D2250,Товар!$A$2:$F$1000,5,0)</f>
        <v/>
      </c>
      <c r="K2250">
        <f>IF(AND(H2250="Промышленный",LEFT(I2250,18)="Порошок стиральный",F2250="Продажа",B2250=DATE(2023,6,7)),E2250*J2250/1000,0)</f>
        <v/>
      </c>
    </row>
    <row r="2251">
      <c r="A2251" t="n">
        <v>2250</v>
      </c>
      <c r="B2251" s="1" t="n">
        <v>45086</v>
      </c>
      <c r="C2251" s="5" t="inlineStr">
        <is>
          <t>M6</t>
        </is>
      </c>
      <c r="D2251" s="5" t="n">
        <v>18</v>
      </c>
      <c r="E2251" s="5" t="n">
        <v>300</v>
      </c>
      <c r="F2251" t="inlineStr">
        <is>
          <t>Поступление</t>
        </is>
      </c>
      <c r="H2251">
        <f>VLOOKUP(C2251,Магазин!$A$2:$C$1000,2,0)</f>
        <v/>
      </c>
      <c r="I2251">
        <f>VLOOKUP(D2251,Товар!$A$2:$F$1000,3,0)</f>
        <v/>
      </c>
      <c r="J2251">
        <f>VLOOKUP(D2251,Товар!$A$2:$F$1000,5,0)</f>
        <v/>
      </c>
      <c r="K2251">
        <f>IF(AND(H2251="Промышленный",LEFT(I2251,18)="Порошок стиральный",F2251="Продажа",B2251=DATE(2023,6,7)),E2251*J2251/1000,0)</f>
        <v/>
      </c>
    </row>
    <row r="2252">
      <c r="A2252" t="n">
        <v>2251</v>
      </c>
      <c r="B2252" s="1" t="n">
        <v>45086</v>
      </c>
      <c r="C2252" s="5" t="inlineStr">
        <is>
          <t>M6</t>
        </is>
      </c>
      <c r="D2252" s="5" t="n">
        <v>19</v>
      </c>
      <c r="E2252" s="5" t="n">
        <v>300</v>
      </c>
      <c r="F2252" t="inlineStr">
        <is>
          <t>Поступление</t>
        </is>
      </c>
      <c r="H2252">
        <f>VLOOKUP(C2252,Магазин!$A$2:$C$1000,2,0)</f>
        <v/>
      </c>
      <c r="I2252">
        <f>VLOOKUP(D2252,Товар!$A$2:$F$1000,3,0)</f>
        <v/>
      </c>
      <c r="J2252">
        <f>VLOOKUP(D2252,Товар!$A$2:$F$1000,5,0)</f>
        <v/>
      </c>
      <c r="K2252">
        <f>IF(AND(H2252="Промышленный",LEFT(I2252,18)="Порошок стиральный",F2252="Продажа",B2252=DATE(2023,6,7)),E2252*J2252/1000,0)</f>
        <v/>
      </c>
    </row>
    <row r="2253">
      <c r="A2253" t="n">
        <v>2252</v>
      </c>
      <c r="B2253" s="1" t="n">
        <v>45086</v>
      </c>
      <c r="C2253" s="5" t="inlineStr">
        <is>
          <t>M6</t>
        </is>
      </c>
      <c r="D2253" s="5" t="n">
        <v>20</v>
      </c>
      <c r="E2253" s="5" t="n">
        <v>300</v>
      </c>
      <c r="F2253" t="inlineStr">
        <is>
          <t>Поступление</t>
        </is>
      </c>
      <c r="H2253">
        <f>VLOOKUP(C2253,Магазин!$A$2:$C$1000,2,0)</f>
        <v/>
      </c>
      <c r="I2253">
        <f>VLOOKUP(D2253,Товар!$A$2:$F$1000,3,0)</f>
        <v/>
      </c>
      <c r="J2253">
        <f>VLOOKUP(D2253,Товар!$A$2:$F$1000,5,0)</f>
        <v/>
      </c>
      <c r="K2253">
        <f>IF(AND(H2253="Промышленный",LEFT(I2253,18)="Порошок стиральный",F2253="Продажа",B2253=DATE(2023,6,7)),E2253*J2253/1000,0)</f>
        <v/>
      </c>
    </row>
    <row r="2254">
      <c r="A2254" t="n">
        <v>2253</v>
      </c>
      <c r="B2254" s="1" t="n">
        <v>45086</v>
      </c>
      <c r="C2254" s="5" t="inlineStr">
        <is>
          <t>M6</t>
        </is>
      </c>
      <c r="D2254" s="5" t="n">
        <v>21</v>
      </c>
      <c r="E2254" s="5" t="n">
        <v>300</v>
      </c>
      <c r="F2254" t="inlineStr">
        <is>
          <t>Поступление</t>
        </is>
      </c>
      <c r="H2254">
        <f>VLOOKUP(C2254,Магазин!$A$2:$C$1000,2,0)</f>
        <v/>
      </c>
      <c r="I2254">
        <f>VLOOKUP(D2254,Товар!$A$2:$F$1000,3,0)</f>
        <v/>
      </c>
      <c r="J2254">
        <f>VLOOKUP(D2254,Товар!$A$2:$F$1000,5,0)</f>
        <v/>
      </c>
      <c r="K2254">
        <f>IF(AND(H2254="Промышленный",LEFT(I2254,18)="Порошок стиральный",F2254="Продажа",B2254=DATE(2023,6,7)),E2254*J2254/1000,0)</f>
        <v/>
      </c>
    </row>
    <row r="2255">
      <c r="A2255" t="n">
        <v>2254</v>
      </c>
      <c r="B2255" s="1" t="n">
        <v>45086</v>
      </c>
      <c r="C2255" s="5" t="inlineStr">
        <is>
          <t>M6</t>
        </is>
      </c>
      <c r="D2255" s="5" t="n">
        <v>22</v>
      </c>
      <c r="E2255" s="5" t="n">
        <v>300</v>
      </c>
      <c r="F2255" t="inlineStr">
        <is>
          <t>Поступление</t>
        </is>
      </c>
      <c r="H2255">
        <f>VLOOKUP(C2255,Магазин!$A$2:$C$1000,2,0)</f>
        <v/>
      </c>
      <c r="I2255">
        <f>VLOOKUP(D2255,Товар!$A$2:$F$1000,3,0)</f>
        <v/>
      </c>
      <c r="J2255">
        <f>VLOOKUP(D2255,Товар!$A$2:$F$1000,5,0)</f>
        <v/>
      </c>
      <c r="K2255">
        <f>IF(AND(H2255="Промышленный",LEFT(I2255,18)="Порошок стиральный",F2255="Продажа",B2255=DATE(2023,6,7)),E2255*J2255/1000,0)</f>
        <v/>
      </c>
    </row>
    <row r="2256">
      <c r="A2256" t="n">
        <v>2255</v>
      </c>
      <c r="B2256" s="1" t="n">
        <v>45086</v>
      </c>
      <c r="C2256" s="5" t="inlineStr">
        <is>
          <t>M6</t>
        </is>
      </c>
      <c r="D2256" s="5" t="n">
        <v>23</v>
      </c>
      <c r="E2256" s="5" t="n">
        <v>300</v>
      </c>
      <c r="F2256" t="inlineStr">
        <is>
          <t>Поступление</t>
        </is>
      </c>
      <c r="H2256">
        <f>VLOOKUP(C2256,Магазин!$A$2:$C$1000,2,0)</f>
        <v/>
      </c>
      <c r="I2256">
        <f>VLOOKUP(D2256,Товар!$A$2:$F$1000,3,0)</f>
        <v/>
      </c>
      <c r="J2256">
        <f>VLOOKUP(D2256,Товар!$A$2:$F$1000,5,0)</f>
        <v/>
      </c>
      <c r="K2256">
        <f>IF(AND(H2256="Промышленный",LEFT(I2256,18)="Порошок стиральный",F2256="Продажа",B2256=DATE(2023,6,7)),E2256*J2256/1000,0)</f>
        <v/>
      </c>
    </row>
    <row r="2257">
      <c r="A2257" t="n">
        <v>2256</v>
      </c>
      <c r="B2257" s="1" t="n">
        <v>45086</v>
      </c>
      <c r="C2257" s="5" t="inlineStr">
        <is>
          <t>M6</t>
        </is>
      </c>
      <c r="D2257" s="5" t="n">
        <v>24</v>
      </c>
      <c r="E2257" s="5" t="n">
        <v>300</v>
      </c>
      <c r="F2257" t="inlineStr">
        <is>
          <t>Поступление</t>
        </is>
      </c>
      <c r="H2257">
        <f>VLOOKUP(C2257,Магазин!$A$2:$C$1000,2,0)</f>
        <v/>
      </c>
      <c r="I2257">
        <f>VLOOKUP(D2257,Товар!$A$2:$F$1000,3,0)</f>
        <v/>
      </c>
      <c r="J2257">
        <f>VLOOKUP(D2257,Товар!$A$2:$F$1000,5,0)</f>
        <v/>
      </c>
      <c r="K2257">
        <f>IF(AND(H2257="Промышленный",LEFT(I2257,18)="Порошок стиральный",F2257="Продажа",B2257=DATE(2023,6,7)),E2257*J2257/1000,0)</f>
        <v/>
      </c>
    </row>
    <row r="2258">
      <c r="A2258" t="n">
        <v>2257</v>
      </c>
      <c r="B2258" s="1" t="n">
        <v>45086</v>
      </c>
      <c r="C2258" s="5" t="inlineStr">
        <is>
          <t>M6</t>
        </is>
      </c>
      <c r="D2258" s="5" t="n">
        <v>25</v>
      </c>
      <c r="E2258" s="5" t="n">
        <v>300</v>
      </c>
      <c r="F2258" t="inlineStr">
        <is>
          <t>Поступление</t>
        </is>
      </c>
      <c r="H2258">
        <f>VLOOKUP(C2258,Магазин!$A$2:$C$1000,2,0)</f>
        <v/>
      </c>
      <c r="I2258">
        <f>VLOOKUP(D2258,Товар!$A$2:$F$1000,3,0)</f>
        <v/>
      </c>
      <c r="J2258">
        <f>VLOOKUP(D2258,Товар!$A$2:$F$1000,5,0)</f>
        <v/>
      </c>
      <c r="K2258">
        <f>IF(AND(H2258="Промышленный",LEFT(I2258,18)="Порошок стиральный",F2258="Продажа",B2258=DATE(2023,6,7)),E2258*J2258/1000,0)</f>
        <v/>
      </c>
    </row>
    <row r="2259">
      <c r="A2259" t="n">
        <v>2258</v>
      </c>
      <c r="B2259" s="1" t="n">
        <v>45086</v>
      </c>
      <c r="C2259" s="5" t="inlineStr">
        <is>
          <t>M6</t>
        </is>
      </c>
      <c r="D2259" s="5" t="n">
        <v>26</v>
      </c>
      <c r="E2259" s="5" t="n">
        <v>300</v>
      </c>
      <c r="F2259" t="inlineStr">
        <is>
          <t>Поступление</t>
        </is>
      </c>
      <c r="H2259">
        <f>VLOOKUP(C2259,Магазин!$A$2:$C$1000,2,0)</f>
        <v/>
      </c>
      <c r="I2259">
        <f>VLOOKUP(D2259,Товар!$A$2:$F$1000,3,0)</f>
        <v/>
      </c>
      <c r="J2259">
        <f>VLOOKUP(D2259,Товар!$A$2:$F$1000,5,0)</f>
        <v/>
      </c>
      <c r="K2259">
        <f>IF(AND(H2259="Промышленный",LEFT(I2259,18)="Порошок стиральный",F2259="Продажа",B2259=DATE(2023,6,7)),E2259*J2259/1000,0)</f>
        <v/>
      </c>
    </row>
    <row r="2260">
      <c r="A2260" t="n">
        <v>2259</v>
      </c>
      <c r="B2260" s="1" t="n">
        <v>45086</v>
      </c>
      <c r="C2260" s="5" t="inlineStr">
        <is>
          <t>M6</t>
        </is>
      </c>
      <c r="D2260" s="5" t="n">
        <v>27</v>
      </c>
      <c r="E2260" s="5" t="n">
        <v>300</v>
      </c>
      <c r="F2260" t="inlineStr">
        <is>
          <t>Поступление</t>
        </is>
      </c>
      <c r="H2260">
        <f>VLOOKUP(C2260,Магазин!$A$2:$C$1000,2,0)</f>
        <v/>
      </c>
      <c r="I2260">
        <f>VLOOKUP(D2260,Товар!$A$2:$F$1000,3,0)</f>
        <v/>
      </c>
      <c r="J2260">
        <f>VLOOKUP(D2260,Товар!$A$2:$F$1000,5,0)</f>
        <v/>
      </c>
      <c r="K2260">
        <f>IF(AND(H2260="Промышленный",LEFT(I2260,18)="Порошок стиральный",F2260="Продажа",B2260=DATE(2023,6,7)),E2260*J2260/1000,0)</f>
        <v/>
      </c>
    </row>
    <row r="2261">
      <c r="A2261" t="n">
        <v>2260</v>
      </c>
      <c r="B2261" s="1" t="n">
        <v>45086</v>
      </c>
      <c r="C2261" s="5" t="inlineStr">
        <is>
          <t>M6</t>
        </is>
      </c>
      <c r="D2261" s="5" t="n">
        <v>28</v>
      </c>
      <c r="E2261" s="5" t="n">
        <v>300</v>
      </c>
      <c r="F2261" t="inlineStr">
        <is>
          <t>Поступление</t>
        </is>
      </c>
      <c r="H2261">
        <f>VLOOKUP(C2261,Магазин!$A$2:$C$1000,2,0)</f>
        <v/>
      </c>
      <c r="I2261">
        <f>VLOOKUP(D2261,Товар!$A$2:$F$1000,3,0)</f>
        <v/>
      </c>
      <c r="J2261">
        <f>VLOOKUP(D2261,Товар!$A$2:$F$1000,5,0)</f>
        <v/>
      </c>
      <c r="K2261">
        <f>IF(AND(H2261="Промышленный",LEFT(I2261,18)="Порошок стиральный",F2261="Продажа",B2261=DATE(2023,6,7)),E2261*J2261/1000,0)</f>
        <v/>
      </c>
    </row>
    <row r="2262">
      <c r="A2262" t="n">
        <v>2261</v>
      </c>
      <c r="B2262" s="1" t="n">
        <v>45086</v>
      </c>
      <c r="C2262" s="5" t="inlineStr">
        <is>
          <t>M6</t>
        </is>
      </c>
      <c r="D2262" s="5" t="n">
        <v>29</v>
      </c>
      <c r="E2262" s="5" t="n">
        <v>300</v>
      </c>
      <c r="F2262" t="inlineStr">
        <is>
          <t>Поступление</t>
        </is>
      </c>
      <c r="H2262">
        <f>VLOOKUP(C2262,Магазин!$A$2:$C$1000,2,0)</f>
        <v/>
      </c>
      <c r="I2262">
        <f>VLOOKUP(D2262,Товар!$A$2:$F$1000,3,0)</f>
        <v/>
      </c>
      <c r="J2262">
        <f>VLOOKUP(D2262,Товар!$A$2:$F$1000,5,0)</f>
        <v/>
      </c>
      <c r="K2262">
        <f>IF(AND(H2262="Промышленный",LEFT(I2262,18)="Порошок стиральный",F2262="Продажа",B2262=DATE(2023,6,7)),E2262*J2262/1000,0)</f>
        <v/>
      </c>
    </row>
    <row r="2263">
      <c r="A2263" t="n">
        <v>2262</v>
      </c>
      <c r="B2263" s="1" t="n">
        <v>45086</v>
      </c>
      <c r="C2263" s="5" t="inlineStr">
        <is>
          <t>M6</t>
        </is>
      </c>
      <c r="D2263" s="5" t="n">
        <v>30</v>
      </c>
      <c r="E2263" s="5" t="n">
        <v>300</v>
      </c>
      <c r="F2263" t="inlineStr">
        <is>
          <t>Поступление</t>
        </is>
      </c>
      <c r="H2263">
        <f>VLOOKUP(C2263,Магазин!$A$2:$C$1000,2,0)</f>
        <v/>
      </c>
      <c r="I2263">
        <f>VLOOKUP(D2263,Товар!$A$2:$F$1000,3,0)</f>
        <v/>
      </c>
      <c r="J2263">
        <f>VLOOKUP(D2263,Товар!$A$2:$F$1000,5,0)</f>
        <v/>
      </c>
      <c r="K2263">
        <f>IF(AND(H2263="Промышленный",LEFT(I2263,18)="Порошок стиральный",F2263="Продажа",B2263=DATE(2023,6,7)),E2263*J2263/1000,0)</f>
        <v/>
      </c>
    </row>
    <row r="2264">
      <c r="A2264" t="n">
        <v>2263</v>
      </c>
      <c r="B2264" s="1" t="n">
        <v>45086</v>
      </c>
      <c r="C2264" s="5" t="inlineStr">
        <is>
          <t>M6</t>
        </is>
      </c>
      <c r="D2264" s="5" t="n">
        <v>31</v>
      </c>
      <c r="E2264" s="5" t="n">
        <v>300</v>
      </c>
      <c r="F2264" t="inlineStr">
        <is>
          <t>Поступление</t>
        </is>
      </c>
      <c r="H2264">
        <f>VLOOKUP(C2264,Магазин!$A$2:$C$1000,2,0)</f>
        <v/>
      </c>
      <c r="I2264">
        <f>VLOOKUP(D2264,Товар!$A$2:$F$1000,3,0)</f>
        <v/>
      </c>
      <c r="J2264">
        <f>VLOOKUP(D2264,Товар!$A$2:$F$1000,5,0)</f>
        <v/>
      </c>
      <c r="K2264">
        <f>IF(AND(H2264="Промышленный",LEFT(I2264,18)="Порошок стиральный",F2264="Продажа",B2264=DATE(2023,6,7)),E2264*J2264/1000,0)</f>
        <v/>
      </c>
    </row>
    <row r="2265">
      <c r="A2265" t="n">
        <v>2264</v>
      </c>
      <c r="B2265" s="1" t="n">
        <v>45086</v>
      </c>
      <c r="C2265" s="5" t="inlineStr">
        <is>
          <t>M6</t>
        </is>
      </c>
      <c r="D2265" s="5" t="n">
        <v>32</v>
      </c>
      <c r="E2265" s="5" t="n">
        <v>300</v>
      </c>
      <c r="F2265" t="inlineStr">
        <is>
          <t>Поступление</t>
        </is>
      </c>
      <c r="H2265">
        <f>VLOOKUP(C2265,Магазин!$A$2:$C$1000,2,0)</f>
        <v/>
      </c>
      <c r="I2265">
        <f>VLOOKUP(D2265,Товар!$A$2:$F$1000,3,0)</f>
        <v/>
      </c>
      <c r="J2265">
        <f>VLOOKUP(D2265,Товар!$A$2:$F$1000,5,0)</f>
        <v/>
      </c>
      <c r="K2265">
        <f>IF(AND(H2265="Промышленный",LEFT(I2265,18)="Порошок стиральный",F2265="Продажа",B2265=DATE(2023,6,7)),E2265*J2265/1000,0)</f>
        <v/>
      </c>
    </row>
    <row r="2266">
      <c r="A2266" t="n">
        <v>2265</v>
      </c>
      <c r="B2266" s="1" t="n">
        <v>45086</v>
      </c>
      <c r="C2266" s="5" t="inlineStr">
        <is>
          <t>M6</t>
        </is>
      </c>
      <c r="D2266" s="5" t="n">
        <v>33</v>
      </c>
      <c r="E2266" s="5" t="n">
        <v>300</v>
      </c>
      <c r="F2266" t="inlineStr">
        <is>
          <t>Поступление</t>
        </is>
      </c>
      <c r="H2266">
        <f>VLOOKUP(C2266,Магазин!$A$2:$C$1000,2,0)</f>
        <v/>
      </c>
      <c r="I2266">
        <f>VLOOKUP(D2266,Товар!$A$2:$F$1000,3,0)</f>
        <v/>
      </c>
      <c r="J2266">
        <f>VLOOKUP(D2266,Товар!$A$2:$F$1000,5,0)</f>
        <v/>
      </c>
      <c r="K2266">
        <f>IF(AND(H2266="Промышленный",LEFT(I2266,18)="Порошок стиральный",F2266="Продажа",B2266=DATE(2023,6,7)),E2266*J2266/1000,0)</f>
        <v/>
      </c>
    </row>
    <row r="2267">
      <c r="A2267" t="n">
        <v>2266</v>
      </c>
      <c r="B2267" s="1" t="n">
        <v>45086</v>
      </c>
      <c r="C2267" s="5" t="inlineStr">
        <is>
          <t>M6</t>
        </is>
      </c>
      <c r="D2267" s="5" t="n">
        <v>34</v>
      </c>
      <c r="E2267" s="5" t="n">
        <v>300</v>
      </c>
      <c r="F2267" t="inlineStr">
        <is>
          <t>Поступление</t>
        </is>
      </c>
      <c r="H2267">
        <f>VLOOKUP(C2267,Магазин!$A$2:$C$1000,2,0)</f>
        <v/>
      </c>
      <c r="I2267">
        <f>VLOOKUP(D2267,Товар!$A$2:$F$1000,3,0)</f>
        <v/>
      </c>
      <c r="J2267">
        <f>VLOOKUP(D2267,Товар!$A$2:$F$1000,5,0)</f>
        <v/>
      </c>
      <c r="K2267">
        <f>IF(AND(H2267="Промышленный",LEFT(I2267,18)="Порошок стиральный",F2267="Продажа",B2267=DATE(2023,6,7)),E2267*J2267/1000,0)</f>
        <v/>
      </c>
    </row>
    <row r="2268">
      <c r="A2268" t="n">
        <v>2267</v>
      </c>
      <c r="B2268" s="1" t="n">
        <v>45086</v>
      </c>
      <c r="C2268" s="5" t="inlineStr">
        <is>
          <t>M6</t>
        </is>
      </c>
      <c r="D2268" s="5" t="n">
        <v>35</v>
      </c>
      <c r="E2268" s="5" t="n">
        <v>300</v>
      </c>
      <c r="F2268" t="inlineStr">
        <is>
          <t>Поступление</t>
        </is>
      </c>
      <c r="H2268">
        <f>VLOOKUP(C2268,Магазин!$A$2:$C$1000,2,0)</f>
        <v/>
      </c>
      <c r="I2268">
        <f>VLOOKUP(D2268,Товар!$A$2:$F$1000,3,0)</f>
        <v/>
      </c>
      <c r="J2268">
        <f>VLOOKUP(D2268,Товар!$A$2:$F$1000,5,0)</f>
        <v/>
      </c>
      <c r="K2268">
        <f>IF(AND(H2268="Промышленный",LEFT(I2268,18)="Порошок стиральный",F2268="Продажа",B2268=DATE(2023,6,7)),E2268*J2268/1000,0)</f>
        <v/>
      </c>
    </row>
    <row r="2269">
      <c r="A2269" t="n">
        <v>2268</v>
      </c>
      <c r="B2269" s="1" t="n">
        <v>45086</v>
      </c>
      <c r="C2269" s="5" t="inlineStr">
        <is>
          <t>M6</t>
        </is>
      </c>
      <c r="D2269" s="5" t="n">
        <v>36</v>
      </c>
      <c r="E2269" s="5" t="n">
        <v>300</v>
      </c>
      <c r="F2269" t="inlineStr">
        <is>
          <t>Поступление</t>
        </is>
      </c>
      <c r="H2269">
        <f>VLOOKUP(C2269,Магазин!$A$2:$C$1000,2,0)</f>
        <v/>
      </c>
      <c r="I2269">
        <f>VLOOKUP(D2269,Товар!$A$2:$F$1000,3,0)</f>
        <v/>
      </c>
      <c r="J2269">
        <f>VLOOKUP(D2269,Товар!$A$2:$F$1000,5,0)</f>
        <v/>
      </c>
      <c r="K2269">
        <f>IF(AND(H2269="Промышленный",LEFT(I2269,18)="Порошок стиральный",F2269="Продажа",B2269=DATE(2023,6,7)),E2269*J2269/1000,0)</f>
        <v/>
      </c>
    </row>
    <row r="2270">
      <c r="A2270" t="n">
        <v>2269</v>
      </c>
      <c r="B2270" s="1" t="n">
        <v>45086</v>
      </c>
      <c r="C2270" s="5" t="inlineStr">
        <is>
          <t>M10</t>
        </is>
      </c>
      <c r="D2270" s="5" t="n">
        <v>1</v>
      </c>
      <c r="E2270" s="5" t="n">
        <v>300</v>
      </c>
      <c r="F2270" t="inlineStr">
        <is>
          <t>Поступление</t>
        </is>
      </c>
      <c r="H2270">
        <f>VLOOKUP(C2270,Магазин!$A$2:$C$1000,2,0)</f>
        <v/>
      </c>
      <c r="I2270">
        <f>VLOOKUP(D2270,Товар!$A$2:$F$1000,3,0)</f>
        <v/>
      </c>
      <c r="J2270">
        <f>VLOOKUP(D2270,Товар!$A$2:$F$1000,5,0)</f>
        <v/>
      </c>
      <c r="K2270">
        <f>IF(AND(H2270="Промышленный",LEFT(I2270,18)="Порошок стиральный",F2270="Продажа",B2270=DATE(2023,6,7)),E2270*J2270/1000,0)</f>
        <v/>
      </c>
    </row>
    <row r="2271">
      <c r="A2271" t="n">
        <v>2270</v>
      </c>
      <c r="B2271" s="1" t="n">
        <v>45086</v>
      </c>
      <c r="C2271" s="5" t="inlineStr">
        <is>
          <t>M10</t>
        </is>
      </c>
      <c r="D2271" s="5" t="n">
        <v>2</v>
      </c>
      <c r="E2271" s="5" t="n">
        <v>300</v>
      </c>
      <c r="F2271" t="inlineStr">
        <is>
          <t>Поступление</t>
        </is>
      </c>
      <c r="H2271">
        <f>VLOOKUP(C2271,Магазин!$A$2:$C$1000,2,0)</f>
        <v/>
      </c>
      <c r="I2271">
        <f>VLOOKUP(D2271,Товар!$A$2:$F$1000,3,0)</f>
        <v/>
      </c>
      <c r="J2271">
        <f>VLOOKUP(D2271,Товар!$A$2:$F$1000,5,0)</f>
        <v/>
      </c>
      <c r="K2271">
        <f>IF(AND(H2271="Промышленный",LEFT(I2271,18)="Порошок стиральный",F2271="Продажа",B2271=DATE(2023,6,7)),E2271*J2271/1000,0)</f>
        <v/>
      </c>
    </row>
    <row r="2272">
      <c r="A2272" t="n">
        <v>2271</v>
      </c>
      <c r="B2272" s="1" t="n">
        <v>45086</v>
      </c>
      <c r="C2272" s="5" t="inlineStr">
        <is>
          <t>M10</t>
        </is>
      </c>
      <c r="D2272" s="5" t="n">
        <v>3</v>
      </c>
      <c r="E2272" s="5" t="n">
        <v>300</v>
      </c>
      <c r="F2272" t="inlineStr">
        <is>
          <t>Поступление</t>
        </is>
      </c>
      <c r="H2272">
        <f>VLOOKUP(C2272,Магазин!$A$2:$C$1000,2,0)</f>
        <v/>
      </c>
      <c r="I2272">
        <f>VLOOKUP(D2272,Товар!$A$2:$F$1000,3,0)</f>
        <v/>
      </c>
      <c r="J2272">
        <f>VLOOKUP(D2272,Товар!$A$2:$F$1000,5,0)</f>
        <v/>
      </c>
      <c r="K2272">
        <f>IF(AND(H2272="Промышленный",LEFT(I2272,18)="Порошок стиральный",F2272="Продажа",B2272=DATE(2023,6,7)),E2272*J2272/1000,0)</f>
        <v/>
      </c>
    </row>
    <row r="2273">
      <c r="A2273" t="n">
        <v>2272</v>
      </c>
      <c r="B2273" s="1" t="n">
        <v>45086</v>
      </c>
      <c r="C2273" s="5" t="inlineStr">
        <is>
          <t>M10</t>
        </is>
      </c>
      <c r="D2273" s="5" t="n">
        <v>4</v>
      </c>
      <c r="E2273" s="5" t="n">
        <v>300</v>
      </c>
      <c r="F2273" t="inlineStr">
        <is>
          <t>Поступление</t>
        </is>
      </c>
      <c r="H2273">
        <f>VLOOKUP(C2273,Магазин!$A$2:$C$1000,2,0)</f>
        <v/>
      </c>
      <c r="I2273">
        <f>VLOOKUP(D2273,Товар!$A$2:$F$1000,3,0)</f>
        <v/>
      </c>
      <c r="J2273">
        <f>VLOOKUP(D2273,Товар!$A$2:$F$1000,5,0)</f>
        <v/>
      </c>
      <c r="K2273">
        <f>IF(AND(H2273="Промышленный",LEFT(I2273,18)="Порошок стиральный",F2273="Продажа",B2273=DATE(2023,6,7)),E2273*J2273/1000,0)</f>
        <v/>
      </c>
    </row>
    <row r="2274">
      <c r="A2274" t="n">
        <v>2273</v>
      </c>
      <c r="B2274" s="1" t="n">
        <v>45086</v>
      </c>
      <c r="C2274" s="5" t="inlineStr">
        <is>
          <t>M10</t>
        </is>
      </c>
      <c r="D2274" s="5" t="n">
        <v>5</v>
      </c>
      <c r="E2274" s="5" t="n">
        <v>300</v>
      </c>
      <c r="F2274" t="inlineStr">
        <is>
          <t>Поступление</t>
        </is>
      </c>
      <c r="H2274">
        <f>VLOOKUP(C2274,Магазин!$A$2:$C$1000,2,0)</f>
        <v/>
      </c>
      <c r="I2274">
        <f>VLOOKUP(D2274,Товар!$A$2:$F$1000,3,0)</f>
        <v/>
      </c>
      <c r="J2274">
        <f>VLOOKUP(D2274,Товар!$A$2:$F$1000,5,0)</f>
        <v/>
      </c>
      <c r="K2274">
        <f>IF(AND(H2274="Промышленный",LEFT(I2274,18)="Порошок стиральный",F2274="Продажа",B2274=DATE(2023,6,7)),E2274*J2274/1000,0)</f>
        <v/>
      </c>
    </row>
    <row r="2275">
      <c r="A2275" t="n">
        <v>2274</v>
      </c>
      <c r="B2275" s="1" t="n">
        <v>45086</v>
      </c>
      <c r="C2275" s="5" t="inlineStr">
        <is>
          <t>M10</t>
        </is>
      </c>
      <c r="D2275" s="5" t="n">
        <v>6</v>
      </c>
      <c r="E2275" s="5" t="n">
        <v>300</v>
      </c>
      <c r="F2275" t="inlineStr">
        <is>
          <t>Поступление</t>
        </is>
      </c>
      <c r="H2275">
        <f>VLOOKUP(C2275,Магазин!$A$2:$C$1000,2,0)</f>
        <v/>
      </c>
      <c r="I2275">
        <f>VLOOKUP(D2275,Товар!$A$2:$F$1000,3,0)</f>
        <v/>
      </c>
      <c r="J2275">
        <f>VLOOKUP(D2275,Товар!$A$2:$F$1000,5,0)</f>
        <v/>
      </c>
      <c r="K2275">
        <f>IF(AND(H2275="Промышленный",LEFT(I2275,18)="Порошок стиральный",F2275="Продажа",B2275=DATE(2023,6,7)),E2275*J2275/1000,0)</f>
        <v/>
      </c>
    </row>
    <row r="2276">
      <c r="A2276" t="n">
        <v>2275</v>
      </c>
      <c r="B2276" s="1" t="n">
        <v>45086</v>
      </c>
      <c r="C2276" s="5" t="inlineStr">
        <is>
          <t>M10</t>
        </is>
      </c>
      <c r="D2276" s="5" t="n">
        <v>7</v>
      </c>
      <c r="E2276" s="5" t="n">
        <v>300</v>
      </c>
      <c r="F2276" t="inlineStr">
        <is>
          <t>Поступление</t>
        </is>
      </c>
      <c r="H2276">
        <f>VLOOKUP(C2276,Магазин!$A$2:$C$1000,2,0)</f>
        <v/>
      </c>
      <c r="I2276">
        <f>VLOOKUP(D2276,Товар!$A$2:$F$1000,3,0)</f>
        <v/>
      </c>
      <c r="J2276">
        <f>VLOOKUP(D2276,Товар!$A$2:$F$1000,5,0)</f>
        <v/>
      </c>
      <c r="K2276">
        <f>IF(AND(H2276="Промышленный",LEFT(I2276,18)="Порошок стиральный",F2276="Продажа",B2276=DATE(2023,6,7)),E2276*J2276/1000,0)</f>
        <v/>
      </c>
    </row>
    <row r="2277">
      <c r="A2277" t="n">
        <v>2276</v>
      </c>
      <c r="B2277" s="1" t="n">
        <v>45086</v>
      </c>
      <c r="C2277" s="5" t="inlineStr">
        <is>
          <t>M10</t>
        </is>
      </c>
      <c r="D2277" s="5" t="n">
        <v>8</v>
      </c>
      <c r="E2277" s="5" t="n">
        <v>300</v>
      </c>
      <c r="F2277" t="inlineStr">
        <is>
          <t>Поступление</t>
        </is>
      </c>
      <c r="H2277">
        <f>VLOOKUP(C2277,Магазин!$A$2:$C$1000,2,0)</f>
        <v/>
      </c>
      <c r="I2277">
        <f>VLOOKUP(D2277,Товар!$A$2:$F$1000,3,0)</f>
        <v/>
      </c>
      <c r="J2277">
        <f>VLOOKUP(D2277,Товар!$A$2:$F$1000,5,0)</f>
        <v/>
      </c>
      <c r="K2277">
        <f>IF(AND(H2277="Промышленный",LEFT(I2277,18)="Порошок стиральный",F2277="Продажа",B2277=DATE(2023,6,7)),E2277*J2277/1000,0)</f>
        <v/>
      </c>
    </row>
    <row r="2278">
      <c r="A2278" t="n">
        <v>2277</v>
      </c>
      <c r="B2278" s="1" t="n">
        <v>45086</v>
      </c>
      <c r="C2278" s="5" t="inlineStr">
        <is>
          <t>M10</t>
        </is>
      </c>
      <c r="D2278" s="5" t="n">
        <v>9</v>
      </c>
      <c r="E2278" s="5" t="n">
        <v>300</v>
      </c>
      <c r="F2278" t="inlineStr">
        <is>
          <t>Поступление</t>
        </is>
      </c>
      <c r="H2278">
        <f>VLOOKUP(C2278,Магазин!$A$2:$C$1000,2,0)</f>
        <v/>
      </c>
      <c r="I2278">
        <f>VLOOKUP(D2278,Товар!$A$2:$F$1000,3,0)</f>
        <v/>
      </c>
      <c r="J2278">
        <f>VLOOKUP(D2278,Товар!$A$2:$F$1000,5,0)</f>
        <v/>
      </c>
      <c r="K2278">
        <f>IF(AND(H2278="Промышленный",LEFT(I2278,18)="Порошок стиральный",F2278="Продажа",B2278=DATE(2023,6,7)),E2278*J2278/1000,0)</f>
        <v/>
      </c>
    </row>
    <row r="2279">
      <c r="A2279" t="n">
        <v>2278</v>
      </c>
      <c r="B2279" s="1" t="n">
        <v>45086</v>
      </c>
      <c r="C2279" s="5" t="inlineStr">
        <is>
          <t>M10</t>
        </is>
      </c>
      <c r="D2279" s="5" t="n">
        <v>10</v>
      </c>
      <c r="E2279" s="5" t="n">
        <v>300</v>
      </c>
      <c r="F2279" t="inlineStr">
        <is>
          <t>Поступление</t>
        </is>
      </c>
      <c r="H2279">
        <f>VLOOKUP(C2279,Магазин!$A$2:$C$1000,2,0)</f>
        <v/>
      </c>
      <c r="I2279">
        <f>VLOOKUP(D2279,Товар!$A$2:$F$1000,3,0)</f>
        <v/>
      </c>
      <c r="J2279">
        <f>VLOOKUP(D2279,Товар!$A$2:$F$1000,5,0)</f>
        <v/>
      </c>
      <c r="K2279">
        <f>IF(AND(H2279="Промышленный",LEFT(I2279,18)="Порошок стиральный",F2279="Продажа",B2279=DATE(2023,6,7)),E2279*J2279/1000,0)</f>
        <v/>
      </c>
    </row>
    <row r="2280">
      <c r="A2280" t="n">
        <v>2279</v>
      </c>
      <c r="B2280" s="1" t="n">
        <v>45086</v>
      </c>
      <c r="C2280" s="5" t="inlineStr">
        <is>
          <t>M10</t>
        </is>
      </c>
      <c r="D2280" s="5" t="n">
        <v>11</v>
      </c>
      <c r="E2280" s="5" t="n">
        <v>300</v>
      </c>
      <c r="F2280" t="inlineStr">
        <is>
          <t>Поступление</t>
        </is>
      </c>
      <c r="H2280">
        <f>VLOOKUP(C2280,Магазин!$A$2:$C$1000,2,0)</f>
        <v/>
      </c>
      <c r="I2280">
        <f>VLOOKUP(D2280,Товар!$A$2:$F$1000,3,0)</f>
        <v/>
      </c>
      <c r="J2280">
        <f>VLOOKUP(D2280,Товар!$A$2:$F$1000,5,0)</f>
        <v/>
      </c>
      <c r="K2280">
        <f>IF(AND(H2280="Промышленный",LEFT(I2280,18)="Порошок стиральный",F2280="Продажа",B2280=DATE(2023,6,7)),E2280*J2280/1000,0)</f>
        <v/>
      </c>
    </row>
    <row r="2281">
      <c r="A2281" t="n">
        <v>2280</v>
      </c>
      <c r="B2281" s="1" t="n">
        <v>45086</v>
      </c>
      <c r="C2281" s="5" t="inlineStr">
        <is>
          <t>M10</t>
        </is>
      </c>
      <c r="D2281" s="5" t="n">
        <v>12</v>
      </c>
      <c r="E2281" s="5" t="n">
        <v>300</v>
      </c>
      <c r="F2281" t="inlineStr">
        <is>
          <t>Поступление</t>
        </is>
      </c>
      <c r="H2281">
        <f>VLOOKUP(C2281,Магазин!$A$2:$C$1000,2,0)</f>
        <v/>
      </c>
      <c r="I2281">
        <f>VLOOKUP(D2281,Товар!$A$2:$F$1000,3,0)</f>
        <v/>
      </c>
      <c r="J2281">
        <f>VLOOKUP(D2281,Товар!$A$2:$F$1000,5,0)</f>
        <v/>
      </c>
      <c r="K2281">
        <f>IF(AND(H2281="Промышленный",LEFT(I2281,18)="Порошок стиральный",F2281="Продажа",B2281=DATE(2023,6,7)),E2281*J2281/1000,0)</f>
        <v/>
      </c>
    </row>
    <row r="2282">
      <c r="A2282" t="n">
        <v>2281</v>
      </c>
      <c r="B2282" s="1" t="n">
        <v>45086</v>
      </c>
      <c r="C2282" s="5" t="inlineStr">
        <is>
          <t>M10</t>
        </is>
      </c>
      <c r="D2282" s="5" t="n">
        <v>13</v>
      </c>
      <c r="E2282" s="5" t="n">
        <v>300</v>
      </c>
      <c r="F2282" t="inlineStr">
        <is>
          <t>Поступление</t>
        </is>
      </c>
      <c r="H2282">
        <f>VLOOKUP(C2282,Магазин!$A$2:$C$1000,2,0)</f>
        <v/>
      </c>
      <c r="I2282">
        <f>VLOOKUP(D2282,Товар!$A$2:$F$1000,3,0)</f>
        <v/>
      </c>
      <c r="J2282">
        <f>VLOOKUP(D2282,Товар!$A$2:$F$1000,5,0)</f>
        <v/>
      </c>
      <c r="K2282">
        <f>IF(AND(H2282="Промышленный",LEFT(I2282,18)="Порошок стиральный",F2282="Продажа",B2282=DATE(2023,6,7)),E2282*J2282/1000,0)</f>
        <v/>
      </c>
    </row>
    <row r="2283">
      <c r="A2283" t="n">
        <v>2282</v>
      </c>
      <c r="B2283" s="1" t="n">
        <v>45086</v>
      </c>
      <c r="C2283" s="5" t="inlineStr">
        <is>
          <t>M10</t>
        </is>
      </c>
      <c r="D2283" s="5" t="n">
        <v>14</v>
      </c>
      <c r="E2283" s="5" t="n">
        <v>300</v>
      </c>
      <c r="F2283" t="inlineStr">
        <is>
          <t>Поступление</t>
        </is>
      </c>
      <c r="H2283">
        <f>VLOOKUP(C2283,Магазин!$A$2:$C$1000,2,0)</f>
        <v/>
      </c>
      <c r="I2283">
        <f>VLOOKUP(D2283,Товар!$A$2:$F$1000,3,0)</f>
        <v/>
      </c>
      <c r="J2283">
        <f>VLOOKUP(D2283,Товар!$A$2:$F$1000,5,0)</f>
        <v/>
      </c>
      <c r="K2283">
        <f>IF(AND(H2283="Промышленный",LEFT(I2283,18)="Порошок стиральный",F2283="Продажа",B2283=DATE(2023,6,7)),E2283*J2283/1000,0)</f>
        <v/>
      </c>
    </row>
    <row r="2284">
      <c r="A2284" t="n">
        <v>2283</v>
      </c>
      <c r="B2284" s="1" t="n">
        <v>45086</v>
      </c>
      <c r="C2284" s="5" t="inlineStr">
        <is>
          <t>M10</t>
        </is>
      </c>
      <c r="D2284" s="5" t="n">
        <v>15</v>
      </c>
      <c r="E2284" s="5" t="n">
        <v>300</v>
      </c>
      <c r="F2284" t="inlineStr">
        <is>
          <t>Поступление</t>
        </is>
      </c>
      <c r="H2284">
        <f>VLOOKUP(C2284,Магазин!$A$2:$C$1000,2,0)</f>
        <v/>
      </c>
      <c r="I2284">
        <f>VLOOKUP(D2284,Товар!$A$2:$F$1000,3,0)</f>
        <v/>
      </c>
      <c r="J2284">
        <f>VLOOKUP(D2284,Товар!$A$2:$F$1000,5,0)</f>
        <v/>
      </c>
      <c r="K2284">
        <f>IF(AND(H2284="Промышленный",LEFT(I2284,18)="Порошок стиральный",F2284="Продажа",B2284=DATE(2023,6,7)),E2284*J2284/1000,0)</f>
        <v/>
      </c>
    </row>
    <row r="2285">
      <c r="A2285" t="n">
        <v>2284</v>
      </c>
      <c r="B2285" s="1" t="n">
        <v>45086</v>
      </c>
      <c r="C2285" s="5" t="inlineStr">
        <is>
          <t>M10</t>
        </is>
      </c>
      <c r="D2285" s="5" t="n">
        <v>16</v>
      </c>
      <c r="E2285" s="5" t="n">
        <v>300</v>
      </c>
      <c r="F2285" t="inlineStr">
        <is>
          <t>Поступление</t>
        </is>
      </c>
      <c r="H2285">
        <f>VLOOKUP(C2285,Магазин!$A$2:$C$1000,2,0)</f>
        <v/>
      </c>
      <c r="I2285">
        <f>VLOOKUP(D2285,Товар!$A$2:$F$1000,3,0)</f>
        <v/>
      </c>
      <c r="J2285">
        <f>VLOOKUP(D2285,Товар!$A$2:$F$1000,5,0)</f>
        <v/>
      </c>
      <c r="K2285">
        <f>IF(AND(H2285="Промышленный",LEFT(I2285,18)="Порошок стиральный",F2285="Продажа",B2285=DATE(2023,6,7)),E2285*J2285/1000,0)</f>
        <v/>
      </c>
    </row>
    <row r="2286">
      <c r="A2286" t="n">
        <v>2285</v>
      </c>
      <c r="B2286" s="1" t="n">
        <v>45086</v>
      </c>
      <c r="C2286" s="5" t="inlineStr">
        <is>
          <t>M10</t>
        </is>
      </c>
      <c r="D2286" s="5" t="n">
        <v>17</v>
      </c>
      <c r="E2286" s="5" t="n">
        <v>300</v>
      </c>
      <c r="F2286" t="inlineStr">
        <is>
          <t>Поступление</t>
        </is>
      </c>
      <c r="H2286">
        <f>VLOOKUP(C2286,Магазин!$A$2:$C$1000,2,0)</f>
        <v/>
      </c>
      <c r="I2286">
        <f>VLOOKUP(D2286,Товар!$A$2:$F$1000,3,0)</f>
        <v/>
      </c>
      <c r="J2286">
        <f>VLOOKUP(D2286,Товар!$A$2:$F$1000,5,0)</f>
        <v/>
      </c>
      <c r="K2286">
        <f>IF(AND(H2286="Промышленный",LEFT(I2286,18)="Порошок стиральный",F2286="Продажа",B2286=DATE(2023,6,7)),E2286*J2286/1000,0)</f>
        <v/>
      </c>
    </row>
    <row r="2287">
      <c r="A2287" t="n">
        <v>2286</v>
      </c>
      <c r="B2287" s="1" t="n">
        <v>45086</v>
      </c>
      <c r="C2287" s="5" t="inlineStr">
        <is>
          <t>M10</t>
        </is>
      </c>
      <c r="D2287" s="5" t="n">
        <v>18</v>
      </c>
      <c r="E2287" s="5" t="n">
        <v>300</v>
      </c>
      <c r="F2287" t="inlineStr">
        <is>
          <t>Поступление</t>
        </is>
      </c>
      <c r="H2287">
        <f>VLOOKUP(C2287,Магазин!$A$2:$C$1000,2,0)</f>
        <v/>
      </c>
      <c r="I2287">
        <f>VLOOKUP(D2287,Товар!$A$2:$F$1000,3,0)</f>
        <v/>
      </c>
      <c r="J2287">
        <f>VLOOKUP(D2287,Товар!$A$2:$F$1000,5,0)</f>
        <v/>
      </c>
      <c r="K2287">
        <f>IF(AND(H2287="Промышленный",LEFT(I2287,18)="Порошок стиральный",F2287="Продажа",B2287=DATE(2023,6,7)),E2287*J2287/1000,0)</f>
        <v/>
      </c>
    </row>
    <row r="2288">
      <c r="A2288" t="n">
        <v>2287</v>
      </c>
      <c r="B2288" s="1" t="n">
        <v>45086</v>
      </c>
      <c r="C2288" s="5" t="inlineStr">
        <is>
          <t>M10</t>
        </is>
      </c>
      <c r="D2288" s="5" t="n">
        <v>19</v>
      </c>
      <c r="E2288" s="5" t="n">
        <v>300</v>
      </c>
      <c r="F2288" t="inlineStr">
        <is>
          <t>Поступление</t>
        </is>
      </c>
      <c r="H2288">
        <f>VLOOKUP(C2288,Магазин!$A$2:$C$1000,2,0)</f>
        <v/>
      </c>
      <c r="I2288">
        <f>VLOOKUP(D2288,Товар!$A$2:$F$1000,3,0)</f>
        <v/>
      </c>
      <c r="J2288">
        <f>VLOOKUP(D2288,Товар!$A$2:$F$1000,5,0)</f>
        <v/>
      </c>
      <c r="K2288">
        <f>IF(AND(H2288="Промышленный",LEFT(I2288,18)="Порошок стиральный",F2288="Продажа",B2288=DATE(2023,6,7)),E2288*J2288/1000,0)</f>
        <v/>
      </c>
    </row>
    <row r="2289">
      <c r="A2289" t="n">
        <v>2288</v>
      </c>
      <c r="B2289" s="1" t="n">
        <v>45086</v>
      </c>
      <c r="C2289" s="5" t="inlineStr">
        <is>
          <t>M10</t>
        </is>
      </c>
      <c r="D2289" s="5" t="n">
        <v>20</v>
      </c>
      <c r="E2289" s="5" t="n">
        <v>300</v>
      </c>
      <c r="F2289" t="inlineStr">
        <is>
          <t>Поступление</t>
        </is>
      </c>
      <c r="H2289">
        <f>VLOOKUP(C2289,Магазин!$A$2:$C$1000,2,0)</f>
        <v/>
      </c>
      <c r="I2289">
        <f>VLOOKUP(D2289,Товар!$A$2:$F$1000,3,0)</f>
        <v/>
      </c>
      <c r="J2289">
        <f>VLOOKUP(D2289,Товар!$A$2:$F$1000,5,0)</f>
        <v/>
      </c>
      <c r="K2289">
        <f>IF(AND(H2289="Промышленный",LEFT(I2289,18)="Порошок стиральный",F2289="Продажа",B2289=DATE(2023,6,7)),E2289*J2289/1000,0)</f>
        <v/>
      </c>
    </row>
    <row r="2290">
      <c r="A2290" t="n">
        <v>2289</v>
      </c>
      <c r="B2290" s="1" t="n">
        <v>45086</v>
      </c>
      <c r="C2290" s="5" t="inlineStr">
        <is>
          <t>M10</t>
        </is>
      </c>
      <c r="D2290" s="5" t="n">
        <v>21</v>
      </c>
      <c r="E2290" s="5" t="n">
        <v>300</v>
      </c>
      <c r="F2290" t="inlineStr">
        <is>
          <t>Поступление</t>
        </is>
      </c>
      <c r="H2290">
        <f>VLOOKUP(C2290,Магазин!$A$2:$C$1000,2,0)</f>
        <v/>
      </c>
      <c r="I2290">
        <f>VLOOKUP(D2290,Товар!$A$2:$F$1000,3,0)</f>
        <v/>
      </c>
      <c r="J2290">
        <f>VLOOKUP(D2290,Товар!$A$2:$F$1000,5,0)</f>
        <v/>
      </c>
      <c r="K2290">
        <f>IF(AND(H2290="Промышленный",LEFT(I2290,18)="Порошок стиральный",F2290="Продажа",B2290=DATE(2023,6,7)),E2290*J2290/1000,0)</f>
        <v/>
      </c>
    </row>
    <row r="2291">
      <c r="A2291" t="n">
        <v>2290</v>
      </c>
      <c r="B2291" s="1" t="n">
        <v>45086</v>
      </c>
      <c r="C2291" s="5" t="inlineStr">
        <is>
          <t>M10</t>
        </is>
      </c>
      <c r="D2291" s="5" t="n">
        <v>22</v>
      </c>
      <c r="E2291" s="5" t="n">
        <v>300</v>
      </c>
      <c r="F2291" t="inlineStr">
        <is>
          <t>Поступление</t>
        </is>
      </c>
      <c r="H2291">
        <f>VLOOKUP(C2291,Магазин!$A$2:$C$1000,2,0)</f>
        <v/>
      </c>
      <c r="I2291">
        <f>VLOOKUP(D2291,Товар!$A$2:$F$1000,3,0)</f>
        <v/>
      </c>
      <c r="J2291">
        <f>VLOOKUP(D2291,Товар!$A$2:$F$1000,5,0)</f>
        <v/>
      </c>
      <c r="K2291">
        <f>IF(AND(H2291="Промышленный",LEFT(I2291,18)="Порошок стиральный",F2291="Продажа",B2291=DATE(2023,6,7)),E2291*J2291/1000,0)</f>
        <v/>
      </c>
    </row>
    <row r="2292">
      <c r="A2292" t="n">
        <v>2291</v>
      </c>
      <c r="B2292" s="1" t="n">
        <v>45086</v>
      </c>
      <c r="C2292" s="5" t="inlineStr">
        <is>
          <t>M10</t>
        </is>
      </c>
      <c r="D2292" s="5" t="n">
        <v>23</v>
      </c>
      <c r="E2292" s="5" t="n">
        <v>300</v>
      </c>
      <c r="F2292" t="inlineStr">
        <is>
          <t>Поступление</t>
        </is>
      </c>
      <c r="H2292">
        <f>VLOOKUP(C2292,Магазин!$A$2:$C$1000,2,0)</f>
        <v/>
      </c>
      <c r="I2292">
        <f>VLOOKUP(D2292,Товар!$A$2:$F$1000,3,0)</f>
        <v/>
      </c>
      <c r="J2292">
        <f>VLOOKUP(D2292,Товар!$A$2:$F$1000,5,0)</f>
        <v/>
      </c>
      <c r="K2292">
        <f>IF(AND(H2292="Промышленный",LEFT(I2292,18)="Порошок стиральный",F2292="Продажа",B2292=DATE(2023,6,7)),E2292*J2292/1000,0)</f>
        <v/>
      </c>
    </row>
    <row r="2293">
      <c r="A2293" t="n">
        <v>2292</v>
      </c>
      <c r="B2293" s="1" t="n">
        <v>45086</v>
      </c>
      <c r="C2293" s="5" t="inlineStr">
        <is>
          <t>M10</t>
        </is>
      </c>
      <c r="D2293" s="5" t="n">
        <v>24</v>
      </c>
      <c r="E2293" s="5" t="n">
        <v>300</v>
      </c>
      <c r="F2293" t="inlineStr">
        <is>
          <t>Поступление</t>
        </is>
      </c>
      <c r="H2293">
        <f>VLOOKUP(C2293,Магазин!$A$2:$C$1000,2,0)</f>
        <v/>
      </c>
      <c r="I2293">
        <f>VLOOKUP(D2293,Товар!$A$2:$F$1000,3,0)</f>
        <v/>
      </c>
      <c r="J2293">
        <f>VLOOKUP(D2293,Товар!$A$2:$F$1000,5,0)</f>
        <v/>
      </c>
      <c r="K2293">
        <f>IF(AND(H2293="Промышленный",LEFT(I2293,18)="Порошок стиральный",F2293="Продажа",B2293=DATE(2023,6,7)),E2293*J2293/1000,0)</f>
        <v/>
      </c>
    </row>
    <row r="2294">
      <c r="A2294" t="n">
        <v>2293</v>
      </c>
      <c r="B2294" s="1" t="n">
        <v>45086</v>
      </c>
      <c r="C2294" s="5" t="inlineStr">
        <is>
          <t>M10</t>
        </is>
      </c>
      <c r="D2294" s="5" t="n">
        <v>25</v>
      </c>
      <c r="E2294" s="5" t="n">
        <v>300</v>
      </c>
      <c r="F2294" t="inlineStr">
        <is>
          <t>Поступление</t>
        </is>
      </c>
      <c r="H2294">
        <f>VLOOKUP(C2294,Магазин!$A$2:$C$1000,2,0)</f>
        <v/>
      </c>
      <c r="I2294">
        <f>VLOOKUP(D2294,Товар!$A$2:$F$1000,3,0)</f>
        <v/>
      </c>
      <c r="J2294">
        <f>VLOOKUP(D2294,Товар!$A$2:$F$1000,5,0)</f>
        <v/>
      </c>
      <c r="K2294">
        <f>IF(AND(H2294="Промышленный",LEFT(I2294,18)="Порошок стиральный",F2294="Продажа",B2294=DATE(2023,6,7)),E2294*J2294/1000,0)</f>
        <v/>
      </c>
    </row>
    <row r="2295">
      <c r="A2295" t="n">
        <v>2294</v>
      </c>
      <c r="B2295" s="1" t="n">
        <v>45086</v>
      </c>
      <c r="C2295" s="5" t="inlineStr">
        <is>
          <t>M10</t>
        </is>
      </c>
      <c r="D2295" s="5" t="n">
        <v>26</v>
      </c>
      <c r="E2295" s="5" t="n">
        <v>300</v>
      </c>
      <c r="F2295" t="inlineStr">
        <is>
          <t>Поступление</t>
        </is>
      </c>
      <c r="H2295">
        <f>VLOOKUP(C2295,Магазин!$A$2:$C$1000,2,0)</f>
        <v/>
      </c>
      <c r="I2295">
        <f>VLOOKUP(D2295,Товар!$A$2:$F$1000,3,0)</f>
        <v/>
      </c>
      <c r="J2295">
        <f>VLOOKUP(D2295,Товар!$A$2:$F$1000,5,0)</f>
        <v/>
      </c>
      <c r="K2295">
        <f>IF(AND(H2295="Промышленный",LEFT(I2295,18)="Порошок стиральный",F2295="Продажа",B2295=DATE(2023,6,7)),E2295*J2295/1000,0)</f>
        <v/>
      </c>
    </row>
    <row r="2296">
      <c r="A2296" t="n">
        <v>2295</v>
      </c>
      <c r="B2296" s="1" t="n">
        <v>45086</v>
      </c>
      <c r="C2296" s="5" t="inlineStr">
        <is>
          <t>M10</t>
        </is>
      </c>
      <c r="D2296" s="5" t="n">
        <v>27</v>
      </c>
      <c r="E2296" s="5" t="n">
        <v>300</v>
      </c>
      <c r="F2296" t="inlineStr">
        <is>
          <t>Поступление</t>
        </is>
      </c>
      <c r="H2296">
        <f>VLOOKUP(C2296,Магазин!$A$2:$C$1000,2,0)</f>
        <v/>
      </c>
      <c r="I2296">
        <f>VLOOKUP(D2296,Товар!$A$2:$F$1000,3,0)</f>
        <v/>
      </c>
      <c r="J2296">
        <f>VLOOKUP(D2296,Товар!$A$2:$F$1000,5,0)</f>
        <v/>
      </c>
      <c r="K2296">
        <f>IF(AND(H2296="Промышленный",LEFT(I2296,18)="Порошок стиральный",F2296="Продажа",B2296=DATE(2023,6,7)),E2296*J2296/1000,0)</f>
        <v/>
      </c>
    </row>
    <row r="2297">
      <c r="A2297" t="n">
        <v>2296</v>
      </c>
      <c r="B2297" s="1" t="n">
        <v>45086</v>
      </c>
      <c r="C2297" s="5" t="inlineStr">
        <is>
          <t>M10</t>
        </is>
      </c>
      <c r="D2297" s="5" t="n">
        <v>28</v>
      </c>
      <c r="E2297" s="5" t="n">
        <v>300</v>
      </c>
      <c r="F2297" t="inlineStr">
        <is>
          <t>Поступление</t>
        </is>
      </c>
      <c r="H2297">
        <f>VLOOKUP(C2297,Магазин!$A$2:$C$1000,2,0)</f>
        <v/>
      </c>
      <c r="I2297">
        <f>VLOOKUP(D2297,Товар!$A$2:$F$1000,3,0)</f>
        <v/>
      </c>
      <c r="J2297">
        <f>VLOOKUP(D2297,Товар!$A$2:$F$1000,5,0)</f>
        <v/>
      </c>
      <c r="K2297">
        <f>IF(AND(H2297="Промышленный",LEFT(I2297,18)="Порошок стиральный",F2297="Продажа",B2297=DATE(2023,6,7)),E2297*J2297/1000,0)</f>
        <v/>
      </c>
    </row>
    <row r="2298">
      <c r="A2298" t="n">
        <v>2297</v>
      </c>
      <c r="B2298" s="1" t="n">
        <v>45086</v>
      </c>
      <c r="C2298" s="5" t="inlineStr">
        <is>
          <t>M10</t>
        </is>
      </c>
      <c r="D2298" s="5" t="n">
        <v>29</v>
      </c>
      <c r="E2298" s="5" t="n">
        <v>300</v>
      </c>
      <c r="F2298" t="inlineStr">
        <is>
          <t>Поступление</t>
        </is>
      </c>
      <c r="H2298">
        <f>VLOOKUP(C2298,Магазин!$A$2:$C$1000,2,0)</f>
        <v/>
      </c>
      <c r="I2298">
        <f>VLOOKUP(D2298,Товар!$A$2:$F$1000,3,0)</f>
        <v/>
      </c>
      <c r="J2298">
        <f>VLOOKUP(D2298,Товар!$A$2:$F$1000,5,0)</f>
        <v/>
      </c>
      <c r="K2298">
        <f>IF(AND(H2298="Промышленный",LEFT(I2298,18)="Порошок стиральный",F2298="Продажа",B2298=DATE(2023,6,7)),E2298*J2298/1000,0)</f>
        <v/>
      </c>
    </row>
    <row r="2299">
      <c r="A2299" t="n">
        <v>2298</v>
      </c>
      <c r="B2299" s="1" t="n">
        <v>45086</v>
      </c>
      <c r="C2299" s="5" t="inlineStr">
        <is>
          <t>M10</t>
        </is>
      </c>
      <c r="D2299" s="5" t="n">
        <v>30</v>
      </c>
      <c r="E2299" s="5" t="n">
        <v>300</v>
      </c>
      <c r="F2299" t="inlineStr">
        <is>
          <t>Поступление</t>
        </is>
      </c>
      <c r="H2299">
        <f>VLOOKUP(C2299,Магазин!$A$2:$C$1000,2,0)</f>
        <v/>
      </c>
      <c r="I2299">
        <f>VLOOKUP(D2299,Товар!$A$2:$F$1000,3,0)</f>
        <v/>
      </c>
      <c r="J2299">
        <f>VLOOKUP(D2299,Товар!$A$2:$F$1000,5,0)</f>
        <v/>
      </c>
      <c r="K2299">
        <f>IF(AND(H2299="Промышленный",LEFT(I2299,18)="Порошок стиральный",F2299="Продажа",B2299=DATE(2023,6,7)),E2299*J2299/1000,0)</f>
        <v/>
      </c>
    </row>
    <row r="2300">
      <c r="A2300" t="n">
        <v>2299</v>
      </c>
      <c r="B2300" s="1" t="n">
        <v>45086</v>
      </c>
      <c r="C2300" s="5" t="inlineStr">
        <is>
          <t>M10</t>
        </is>
      </c>
      <c r="D2300" s="5" t="n">
        <v>31</v>
      </c>
      <c r="E2300" s="5" t="n">
        <v>300</v>
      </c>
      <c r="F2300" t="inlineStr">
        <is>
          <t>Поступление</t>
        </is>
      </c>
      <c r="H2300">
        <f>VLOOKUP(C2300,Магазин!$A$2:$C$1000,2,0)</f>
        <v/>
      </c>
      <c r="I2300">
        <f>VLOOKUP(D2300,Товар!$A$2:$F$1000,3,0)</f>
        <v/>
      </c>
      <c r="J2300">
        <f>VLOOKUP(D2300,Товар!$A$2:$F$1000,5,0)</f>
        <v/>
      </c>
      <c r="K2300">
        <f>IF(AND(H2300="Промышленный",LEFT(I2300,18)="Порошок стиральный",F2300="Продажа",B2300=DATE(2023,6,7)),E2300*J2300/1000,0)</f>
        <v/>
      </c>
    </row>
    <row r="2301">
      <c r="A2301" t="n">
        <v>2300</v>
      </c>
      <c r="B2301" s="1" t="n">
        <v>45086</v>
      </c>
      <c r="C2301" s="5" t="inlineStr">
        <is>
          <t>M10</t>
        </is>
      </c>
      <c r="D2301" s="5" t="n">
        <v>32</v>
      </c>
      <c r="E2301" s="5" t="n">
        <v>300</v>
      </c>
      <c r="F2301" t="inlineStr">
        <is>
          <t>Поступление</t>
        </is>
      </c>
      <c r="H2301">
        <f>VLOOKUP(C2301,Магазин!$A$2:$C$1000,2,0)</f>
        <v/>
      </c>
      <c r="I2301">
        <f>VLOOKUP(D2301,Товар!$A$2:$F$1000,3,0)</f>
        <v/>
      </c>
      <c r="J2301">
        <f>VLOOKUP(D2301,Товар!$A$2:$F$1000,5,0)</f>
        <v/>
      </c>
      <c r="K2301">
        <f>IF(AND(H2301="Промышленный",LEFT(I2301,18)="Порошок стиральный",F2301="Продажа",B2301=DATE(2023,6,7)),E2301*J2301/1000,0)</f>
        <v/>
      </c>
    </row>
    <row r="2302">
      <c r="A2302" t="n">
        <v>2301</v>
      </c>
      <c r="B2302" s="1" t="n">
        <v>45086</v>
      </c>
      <c r="C2302" s="5" t="inlineStr">
        <is>
          <t>M10</t>
        </is>
      </c>
      <c r="D2302" s="5" t="n">
        <v>33</v>
      </c>
      <c r="E2302" s="5" t="n">
        <v>300</v>
      </c>
      <c r="F2302" t="inlineStr">
        <is>
          <t>Поступление</t>
        </is>
      </c>
      <c r="H2302">
        <f>VLOOKUP(C2302,Магазин!$A$2:$C$1000,2,0)</f>
        <v/>
      </c>
      <c r="I2302">
        <f>VLOOKUP(D2302,Товар!$A$2:$F$1000,3,0)</f>
        <v/>
      </c>
      <c r="J2302">
        <f>VLOOKUP(D2302,Товар!$A$2:$F$1000,5,0)</f>
        <v/>
      </c>
      <c r="K2302">
        <f>IF(AND(H2302="Промышленный",LEFT(I2302,18)="Порошок стиральный",F2302="Продажа",B2302=DATE(2023,6,7)),E2302*J2302/1000,0)</f>
        <v/>
      </c>
    </row>
    <row r="2303">
      <c r="A2303" t="n">
        <v>2302</v>
      </c>
      <c r="B2303" s="1" t="n">
        <v>45086</v>
      </c>
      <c r="C2303" s="5" t="inlineStr">
        <is>
          <t>M10</t>
        </is>
      </c>
      <c r="D2303" s="5" t="n">
        <v>34</v>
      </c>
      <c r="E2303" s="5" t="n">
        <v>300</v>
      </c>
      <c r="F2303" t="inlineStr">
        <is>
          <t>Поступление</t>
        </is>
      </c>
      <c r="H2303">
        <f>VLOOKUP(C2303,Магазин!$A$2:$C$1000,2,0)</f>
        <v/>
      </c>
      <c r="I2303">
        <f>VLOOKUP(D2303,Товар!$A$2:$F$1000,3,0)</f>
        <v/>
      </c>
      <c r="J2303">
        <f>VLOOKUP(D2303,Товар!$A$2:$F$1000,5,0)</f>
        <v/>
      </c>
      <c r="K2303">
        <f>IF(AND(H2303="Промышленный",LEFT(I2303,18)="Порошок стиральный",F2303="Продажа",B2303=DATE(2023,6,7)),E2303*J2303/1000,0)</f>
        <v/>
      </c>
    </row>
    <row r="2304">
      <c r="A2304" t="n">
        <v>2303</v>
      </c>
      <c r="B2304" s="1" t="n">
        <v>45086</v>
      </c>
      <c r="C2304" s="5" t="inlineStr">
        <is>
          <t>M10</t>
        </is>
      </c>
      <c r="D2304" s="5" t="n">
        <v>35</v>
      </c>
      <c r="E2304" s="5" t="n">
        <v>300</v>
      </c>
      <c r="F2304" t="inlineStr">
        <is>
          <t>Поступление</t>
        </is>
      </c>
      <c r="H2304">
        <f>VLOOKUP(C2304,Магазин!$A$2:$C$1000,2,0)</f>
        <v/>
      </c>
      <c r="I2304">
        <f>VLOOKUP(D2304,Товар!$A$2:$F$1000,3,0)</f>
        <v/>
      </c>
      <c r="J2304">
        <f>VLOOKUP(D2304,Товар!$A$2:$F$1000,5,0)</f>
        <v/>
      </c>
      <c r="K2304">
        <f>IF(AND(H2304="Промышленный",LEFT(I2304,18)="Порошок стиральный",F2304="Продажа",B2304=DATE(2023,6,7)),E2304*J2304/1000,0)</f>
        <v/>
      </c>
    </row>
    <row r="2305">
      <c r="A2305" t="n">
        <v>2304</v>
      </c>
      <c r="B2305" s="1" t="n">
        <v>45086</v>
      </c>
      <c r="C2305" s="5" t="inlineStr">
        <is>
          <t>M10</t>
        </is>
      </c>
      <c r="D2305" s="5" t="n">
        <v>36</v>
      </c>
      <c r="E2305" s="5" t="n">
        <v>300</v>
      </c>
      <c r="F2305" t="inlineStr">
        <is>
          <t>Поступление</t>
        </is>
      </c>
      <c r="H2305">
        <f>VLOOKUP(C2305,Магазин!$A$2:$C$1000,2,0)</f>
        <v/>
      </c>
      <c r="I2305">
        <f>VLOOKUP(D2305,Товар!$A$2:$F$1000,3,0)</f>
        <v/>
      </c>
      <c r="J2305">
        <f>VLOOKUP(D2305,Товар!$A$2:$F$1000,5,0)</f>
        <v/>
      </c>
      <c r="K2305">
        <f>IF(AND(H2305="Промышленный",LEFT(I2305,18)="Порошок стиральный",F2305="Продажа",B2305=DATE(2023,6,7)),E2305*J2305/1000,0)</f>
        <v/>
      </c>
    </row>
    <row r="2306">
      <c r="A2306" t="n">
        <v>2305</v>
      </c>
      <c r="B2306" s="1" t="n">
        <v>45086</v>
      </c>
      <c r="C2306" s="5" t="inlineStr">
        <is>
          <t>M15</t>
        </is>
      </c>
      <c r="D2306" s="5" t="n">
        <v>1</v>
      </c>
      <c r="E2306" s="5" t="n">
        <v>300</v>
      </c>
      <c r="F2306" t="inlineStr">
        <is>
          <t>Поступление</t>
        </is>
      </c>
      <c r="H2306">
        <f>VLOOKUP(C2306,Магазин!$A$2:$C$1000,2,0)</f>
        <v/>
      </c>
      <c r="I2306">
        <f>VLOOKUP(D2306,Товар!$A$2:$F$1000,3,0)</f>
        <v/>
      </c>
      <c r="J2306">
        <f>VLOOKUP(D2306,Товар!$A$2:$F$1000,5,0)</f>
        <v/>
      </c>
      <c r="K2306">
        <f>IF(AND(H2306="Промышленный",LEFT(I2306,18)="Порошок стиральный",F2306="Продажа",B2306=DATE(2023,6,7)),E2306*J2306/1000,0)</f>
        <v/>
      </c>
    </row>
    <row r="2307">
      <c r="A2307" t="n">
        <v>2306</v>
      </c>
      <c r="B2307" s="1" t="n">
        <v>45086</v>
      </c>
      <c r="C2307" s="5" t="inlineStr">
        <is>
          <t>M15</t>
        </is>
      </c>
      <c r="D2307" s="5" t="n">
        <v>2</v>
      </c>
      <c r="E2307" s="5" t="n">
        <v>300</v>
      </c>
      <c r="F2307" t="inlineStr">
        <is>
          <t>Поступление</t>
        </is>
      </c>
      <c r="H2307">
        <f>VLOOKUP(C2307,Магазин!$A$2:$C$1000,2,0)</f>
        <v/>
      </c>
      <c r="I2307">
        <f>VLOOKUP(D2307,Товар!$A$2:$F$1000,3,0)</f>
        <v/>
      </c>
      <c r="J2307">
        <f>VLOOKUP(D2307,Товар!$A$2:$F$1000,5,0)</f>
        <v/>
      </c>
      <c r="K2307">
        <f>IF(AND(H2307="Промышленный",LEFT(I2307,18)="Порошок стиральный",F2307="Продажа",B2307=DATE(2023,6,7)),E2307*J2307/1000,0)</f>
        <v/>
      </c>
    </row>
    <row r="2308">
      <c r="A2308" t="n">
        <v>2307</v>
      </c>
      <c r="B2308" s="1" t="n">
        <v>45086</v>
      </c>
      <c r="C2308" s="5" t="inlineStr">
        <is>
          <t>M15</t>
        </is>
      </c>
      <c r="D2308" s="5" t="n">
        <v>3</v>
      </c>
      <c r="E2308" s="5" t="n">
        <v>300</v>
      </c>
      <c r="F2308" t="inlineStr">
        <is>
          <t>Поступление</t>
        </is>
      </c>
      <c r="H2308">
        <f>VLOOKUP(C2308,Магазин!$A$2:$C$1000,2,0)</f>
        <v/>
      </c>
      <c r="I2308">
        <f>VLOOKUP(D2308,Товар!$A$2:$F$1000,3,0)</f>
        <v/>
      </c>
      <c r="J2308">
        <f>VLOOKUP(D2308,Товар!$A$2:$F$1000,5,0)</f>
        <v/>
      </c>
      <c r="K2308">
        <f>IF(AND(H2308="Промышленный",LEFT(I2308,18)="Порошок стиральный",F2308="Продажа",B2308=DATE(2023,6,7)),E2308*J2308/1000,0)</f>
        <v/>
      </c>
    </row>
    <row r="2309">
      <c r="A2309" t="n">
        <v>2308</v>
      </c>
      <c r="B2309" s="1" t="n">
        <v>45086</v>
      </c>
      <c r="C2309" s="5" t="inlineStr">
        <is>
          <t>M15</t>
        </is>
      </c>
      <c r="D2309" s="5" t="n">
        <v>4</v>
      </c>
      <c r="E2309" s="5" t="n">
        <v>300</v>
      </c>
      <c r="F2309" t="inlineStr">
        <is>
          <t>Поступление</t>
        </is>
      </c>
      <c r="H2309">
        <f>VLOOKUP(C2309,Магазин!$A$2:$C$1000,2,0)</f>
        <v/>
      </c>
      <c r="I2309">
        <f>VLOOKUP(D2309,Товар!$A$2:$F$1000,3,0)</f>
        <v/>
      </c>
      <c r="J2309">
        <f>VLOOKUP(D2309,Товар!$A$2:$F$1000,5,0)</f>
        <v/>
      </c>
      <c r="K2309">
        <f>IF(AND(H2309="Промышленный",LEFT(I2309,18)="Порошок стиральный",F2309="Продажа",B2309=DATE(2023,6,7)),E2309*J2309/1000,0)</f>
        <v/>
      </c>
    </row>
    <row r="2310">
      <c r="A2310" t="n">
        <v>2309</v>
      </c>
      <c r="B2310" s="1" t="n">
        <v>45086</v>
      </c>
      <c r="C2310" s="5" t="inlineStr">
        <is>
          <t>M15</t>
        </is>
      </c>
      <c r="D2310" s="5" t="n">
        <v>5</v>
      </c>
      <c r="E2310" s="5" t="n">
        <v>300</v>
      </c>
      <c r="F2310" t="inlineStr">
        <is>
          <t>Поступление</t>
        </is>
      </c>
      <c r="H2310">
        <f>VLOOKUP(C2310,Магазин!$A$2:$C$1000,2,0)</f>
        <v/>
      </c>
      <c r="I2310">
        <f>VLOOKUP(D2310,Товар!$A$2:$F$1000,3,0)</f>
        <v/>
      </c>
      <c r="J2310">
        <f>VLOOKUP(D2310,Товар!$A$2:$F$1000,5,0)</f>
        <v/>
      </c>
      <c r="K2310">
        <f>IF(AND(H2310="Промышленный",LEFT(I2310,18)="Порошок стиральный",F2310="Продажа",B2310=DATE(2023,6,7)),E2310*J2310/1000,0)</f>
        <v/>
      </c>
    </row>
    <row r="2311">
      <c r="A2311" t="n">
        <v>2310</v>
      </c>
      <c r="B2311" s="1" t="n">
        <v>45086</v>
      </c>
      <c r="C2311" s="5" t="inlineStr">
        <is>
          <t>M15</t>
        </is>
      </c>
      <c r="D2311" s="5" t="n">
        <v>6</v>
      </c>
      <c r="E2311" s="5" t="n">
        <v>300</v>
      </c>
      <c r="F2311" t="inlineStr">
        <is>
          <t>Поступление</t>
        </is>
      </c>
      <c r="H2311">
        <f>VLOOKUP(C2311,Магазин!$A$2:$C$1000,2,0)</f>
        <v/>
      </c>
      <c r="I2311">
        <f>VLOOKUP(D2311,Товар!$A$2:$F$1000,3,0)</f>
        <v/>
      </c>
      <c r="J2311">
        <f>VLOOKUP(D2311,Товар!$A$2:$F$1000,5,0)</f>
        <v/>
      </c>
      <c r="K2311">
        <f>IF(AND(H2311="Промышленный",LEFT(I2311,18)="Порошок стиральный",F2311="Продажа",B2311=DATE(2023,6,7)),E2311*J2311/1000,0)</f>
        <v/>
      </c>
    </row>
    <row r="2312">
      <c r="A2312" t="n">
        <v>2311</v>
      </c>
      <c r="B2312" s="1" t="n">
        <v>45086</v>
      </c>
      <c r="C2312" s="5" t="inlineStr">
        <is>
          <t>M15</t>
        </is>
      </c>
      <c r="D2312" s="5" t="n">
        <v>7</v>
      </c>
      <c r="E2312" s="5" t="n">
        <v>300</v>
      </c>
      <c r="F2312" t="inlineStr">
        <is>
          <t>Поступление</t>
        </is>
      </c>
      <c r="H2312">
        <f>VLOOKUP(C2312,Магазин!$A$2:$C$1000,2,0)</f>
        <v/>
      </c>
      <c r="I2312">
        <f>VLOOKUP(D2312,Товар!$A$2:$F$1000,3,0)</f>
        <v/>
      </c>
      <c r="J2312">
        <f>VLOOKUP(D2312,Товар!$A$2:$F$1000,5,0)</f>
        <v/>
      </c>
      <c r="K2312">
        <f>IF(AND(H2312="Промышленный",LEFT(I2312,18)="Порошок стиральный",F2312="Продажа",B2312=DATE(2023,6,7)),E2312*J2312/1000,0)</f>
        <v/>
      </c>
    </row>
    <row r="2313">
      <c r="A2313" t="n">
        <v>2312</v>
      </c>
      <c r="B2313" s="1" t="n">
        <v>45086</v>
      </c>
      <c r="C2313" s="5" t="inlineStr">
        <is>
          <t>M15</t>
        </is>
      </c>
      <c r="D2313" s="5" t="n">
        <v>8</v>
      </c>
      <c r="E2313" s="5" t="n">
        <v>300</v>
      </c>
      <c r="F2313" t="inlineStr">
        <is>
          <t>Поступление</t>
        </is>
      </c>
      <c r="H2313">
        <f>VLOOKUP(C2313,Магазин!$A$2:$C$1000,2,0)</f>
        <v/>
      </c>
      <c r="I2313">
        <f>VLOOKUP(D2313,Товар!$A$2:$F$1000,3,0)</f>
        <v/>
      </c>
      <c r="J2313">
        <f>VLOOKUP(D2313,Товар!$A$2:$F$1000,5,0)</f>
        <v/>
      </c>
      <c r="K2313">
        <f>IF(AND(H2313="Промышленный",LEFT(I2313,18)="Порошок стиральный",F2313="Продажа",B2313=DATE(2023,6,7)),E2313*J2313/1000,0)</f>
        <v/>
      </c>
    </row>
    <row r="2314">
      <c r="A2314" t="n">
        <v>2313</v>
      </c>
      <c r="B2314" s="1" t="n">
        <v>45086</v>
      </c>
      <c r="C2314" s="5" t="inlineStr">
        <is>
          <t>M15</t>
        </is>
      </c>
      <c r="D2314" s="5" t="n">
        <v>9</v>
      </c>
      <c r="E2314" s="5" t="n">
        <v>300</v>
      </c>
      <c r="F2314" t="inlineStr">
        <is>
          <t>Поступление</t>
        </is>
      </c>
      <c r="H2314">
        <f>VLOOKUP(C2314,Магазин!$A$2:$C$1000,2,0)</f>
        <v/>
      </c>
      <c r="I2314">
        <f>VLOOKUP(D2314,Товар!$A$2:$F$1000,3,0)</f>
        <v/>
      </c>
      <c r="J2314">
        <f>VLOOKUP(D2314,Товар!$A$2:$F$1000,5,0)</f>
        <v/>
      </c>
      <c r="K2314">
        <f>IF(AND(H2314="Промышленный",LEFT(I2314,18)="Порошок стиральный",F2314="Продажа",B2314=DATE(2023,6,7)),E2314*J2314/1000,0)</f>
        <v/>
      </c>
    </row>
    <row r="2315">
      <c r="A2315" t="n">
        <v>2314</v>
      </c>
      <c r="B2315" s="1" t="n">
        <v>45086</v>
      </c>
      <c r="C2315" s="5" t="inlineStr">
        <is>
          <t>M15</t>
        </is>
      </c>
      <c r="D2315" s="5" t="n">
        <v>10</v>
      </c>
      <c r="E2315" s="5" t="n">
        <v>300</v>
      </c>
      <c r="F2315" t="inlineStr">
        <is>
          <t>Поступление</t>
        </is>
      </c>
      <c r="H2315">
        <f>VLOOKUP(C2315,Магазин!$A$2:$C$1000,2,0)</f>
        <v/>
      </c>
      <c r="I2315">
        <f>VLOOKUP(D2315,Товар!$A$2:$F$1000,3,0)</f>
        <v/>
      </c>
      <c r="J2315">
        <f>VLOOKUP(D2315,Товар!$A$2:$F$1000,5,0)</f>
        <v/>
      </c>
      <c r="K2315">
        <f>IF(AND(H2315="Промышленный",LEFT(I2315,18)="Порошок стиральный",F2315="Продажа",B2315=DATE(2023,6,7)),E2315*J2315/1000,0)</f>
        <v/>
      </c>
    </row>
    <row r="2316">
      <c r="A2316" t="n">
        <v>2315</v>
      </c>
      <c r="B2316" s="1" t="n">
        <v>45086</v>
      </c>
      <c r="C2316" s="5" t="inlineStr">
        <is>
          <t>M15</t>
        </is>
      </c>
      <c r="D2316" s="5" t="n">
        <v>11</v>
      </c>
      <c r="E2316" s="5" t="n">
        <v>300</v>
      </c>
      <c r="F2316" t="inlineStr">
        <is>
          <t>Поступление</t>
        </is>
      </c>
      <c r="H2316">
        <f>VLOOKUP(C2316,Магазин!$A$2:$C$1000,2,0)</f>
        <v/>
      </c>
      <c r="I2316">
        <f>VLOOKUP(D2316,Товар!$A$2:$F$1000,3,0)</f>
        <v/>
      </c>
      <c r="J2316">
        <f>VLOOKUP(D2316,Товар!$A$2:$F$1000,5,0)</f>
        <v/>
      </c>
      <c r="K2316">
        <f>IF(AND(H2316="Промышленный",LEFT(I2316,18)="Порошок стиральный",F2316="Продажа",B2316=DATE(2023,6,7)),E2316*J2316/1000,0)</f>
        <v/>
      </c>
    </row>
    <row r="2317">
      <c r="A2317" t="n">
        <v>2316</v>
      </c>
      <c r="B2317" s="1" t="n">
        <v>45086</v>
      </c>
      <c r="C2317" s="5" t="inlineStr">
        <is>
          <t>M15</t>
        </is>
      </c>
      <c r="D2317" s="5" t="n">
        <v>12</v>
      </c>
      <c r="E2317" s="5" t="n">
        <v>300</v>
      </c>
      <c r="F2317" t="inlineStr">
        <is>
          <t>Поступление</t>
        </is>
      </c>
      <c r="H2317">
        <f>VLOOKUP(C2317,Магазин!$A$2:$C$1000,2,0)</f>
        <v/>
      </c>
      <c r="I2317">
        <f>VLOOKUP(D2317,Товар!$A$2:$F$1000,3,0)</f>
        <v/>
      </c>
      <c r="J2317">
        <f>VLOOKUP(D2317,Товар!$A$2:$F$1000,5,0)</f>
        <v/>
      </c>
      <c r="K2317">
        <f>IF(AND(H2317="Промышленный",LEFT(I2317,18)="Порошок стиральный",F2317="Продажа",B2317=DATE(2023,6,7)),E2317*J2317/1000,0)</f>
        <v/>
      </c>
    </row>
    <row r="2318">
      <c r="A2318" t="n">
        <v>2317</v>
      </c>
      <c r="B2318" s="1" t="n">
        <v>45086</v>
      </c>
      <c r="C2318" s="5" t="inlineStr">
        <is>
          <t>M15</t>
        </is>
      </c>
      <c r="D2318" s="5" t="n">
        <v>13</v>
      </c>
      <c r="E2318" s="5" t="n">
        <v>300</v>
      </c>
      <c r="F2318" t="inlineStr">
        <is>
          <t>Поступление</t>
        </is>
      </c>
      <c r="H2318">
        <f>VLOOKUP(C2318,Магазин!$A$2:$C$1000,2,0)</f>
        <v/>
      </c>
      <c r="I2318">
        <f>VLOOKUP(D2318,Товар!$A$2:$F$1000,3,0)</f>
        <v/>
      </c>
      <c r="J2318">
        <f>VLOOKUP(D2318,Товар!$A$2:$F$1000,5,0)</f>
        <v/>
      </c>
      <c r="K2318">
        <f>IF(AND(H2318="Промышленный",LEFT(I2318,18)="Порошок стиральный",F2318="Продажа",B2318=DATE(2023,6,7)),E2318*J2318/1000,0)</f>
        <v/>
      </c>
    </row>
    <row r="2319">
      <c r="A2319" t="n">
        <v>2318</v>
      </c>
      <c r="B2319" s="1" t="n">
        <v>45086</v>
      </c>
      <c r="C2319" s="5" t="inlineStr">
        <is>
          <t>M15</t>
        </is>
      </c>
      <c r="D2319" s="5" t="n">
        <v>14</v>
      </c>
      <c r="E2319" s="5" t="n">
        <v>300</v>
      </c>
      <c r="F2319" t="inlineStr">
        <is>
          <t>Поступление</t>
        </is>
      </c>
      <c r="H2319">
        <f>VLOOKUP(C2319,Магазин!$A$2:$C$1000,2,0)</f>
        <v/>
      </c>
      <c r="I2319">
        <f>VLOOKUP(D2319,Товар!$A$2:$F$1000,3,0)</f>
        <v/>
      </c>
      <c r="J2319">
        <f>VLOOKUP(D2319,Товар!$A$2:$F$1000,5,0)</f>
        <v/>
      </c>
      <c r="K2319">
        <f>IF(AND(H2319="Промышленный",LEFT(I2319,18)="Порошок стиральный",F2319="Продажа",B2319=DATE(2023,6,7)),E2319*J2319/1000,0)</f>
        <v/>
      </c>
    </row>
    <row r="2320">
      <c r="A2320" t="n">
        <v>2319</v>
      </c>
      <c r="B2320" s="1" t="n">
        <v>45086</v>
      </c>
      <c r="C2320" s="5" t="inlineStr">
        <is>
          <t>M15</t>
        </is>
      </c>
      <c r="D2320" s="5" t="n">
        <v>15</v>
      </c>
      <c r="E2320" s="5" t="n">
        <v>300</v>
      </c>
      <c r="F2320" t="inlineStr">
        <is>
          <t>Поступление</t>
        </is>
      </c>
      <c r="H2320">
        <f>VLOOKUP(C2320,Магазин!$A$2:$C$1000,2,0)</f>
        <v/>
      </c>
      <c r="I2320">
        <f>VLOOKUP(D2320,Товар!$A$2:$F$1000,3,0)</f>
        <v/>
      </c>
      <c r="J2320">
        <f>VLOOKUP(D2320,Товар!$A$2:$F$1000,5,0)</f>
        <v/>
      </c>
      <c r="K2320">
        <f>IF(AND(H2320="Промышленный",LEFT(I2320,18)="Порошок стиральный",F2320="Продажа",B2320=DATE(2023,6,7)),E2320*J2320/1000,0)</f>
        <v/>
      </c>
    </row>
    <row r="2321">
      <c r="A2321" t="n">
        <v>2320</v>
      </c>
      <c r="B2321" s="1" t="n">
        <v>45086</v>
      </c>
      <c r="C2321" s="5" t="inlineStr">
        <is>
          <t>M15</t>
        </is>
      </c>
      <c r="D2321" s="5" t="n">
        <v>16</v>
      </c>
      <c r="E2321" s="5" t="n">
        <v>300</v>
      </c>
      <c r="F2321" t="inlineStr">
        <is>
          <t>Поступление</t>
        </is>
      </c>
      <c r="H2321">
        <f>VLOOKUP(C2321,Магазин!$A$2:$C$1000,2,0)</f>
        <v/>
      </c>
      <c r="I2321">
        <f>VLOOKUP(D2321,Товар!$A$2:$F$1000,3,0)</f>
        <v/>
      </c>
      <c r="J2321">
        <f>VLOOKUP(D2321,Товар!$A$2:$F$1000,5,0)</f>
        <v/>
      </c>
      <c r="K2321">
        <f>IF(AND(H2321="Промышленный",LEFT(I2321,18)="Порошок стиральный",F2321="Продажа",B2321=DATE(2023,6,7)),E2321*J2321/1000,0)</f>
        <v/>
      </c>
    </row>
    <row r="2322">
      <c r="A2322" t="n">
        <v>2321</v>
      </c>
      <c r="B2322" s="1" t="n">
        <v>45086</v>
      </c>
      <c r="C2322" s="5" t="inlineStr">
        <is>
          <t>M15</t>
        </is>
      </c>
      <c r="D2322" s="5" t="n">
        <v>17</v>
      </c>
      <c r="E2322" s="5" t="n">
        <v>300</v>
      </c>
      <c r="F2322" t="inlineStr">
        <is>
          <t>Поступление</t>
        </is>
      </c>
      <c r="H2322">
        <f>VLOOKUP(C2322,Магазин!$A$2:$C$1000,2,0)</f>
        <v/>
      </c>
      <c r="I2322">
        <f>VLOOKUP(D2322,Товар!$A$2:$F$1000,3,0)</f>
        <v/>
      </c>
      <c r="J2322">
        <f>VLOOKUP(D2322,Товар!$A$2:$F$1000,5,0)</f>
        <v/>
      </c>
      <c r="K2322">
        <f>IF(AND(H2322="Промышленный",LEFT(I2322,18)="Порошок стиральный",F2322="Продажа",B2322=DATE(2023,6,7)),E2322*J2322/1000,0)</f>
        <v/>
      </c>
    </row>
    <row r="2323">
      <c r="A2323" t="n">
        <v>2322</v>
      </c>
      <c r="B2323" s="1" t="n">
        <v>45086</v>
      </c>
      <c r="C2323" s="5" t="inlineStr">
        <is>
          <t>M15</t>
        </is>
      </c>
      <c r="D2323" s="5" t="n">
        <v>18</v>
      </c>
      <c r="E2323" s="5" t="n">
        <v>300</v>
      </c>
      <c r="F2323" t="inlineStr">
        <is>
          <t>Поступление</t>
        </is>
      </c>
      <c r="H2323">
        <f>VLOOKUP(C2323,Магазин!$A$2:$C$1000,2,0)</f>
        <v/>
      </c>
      <c r="I2323">
        <f>VLOOKUP(D2323,Товар!$A$2:$F$1000,3,0)</f>
        <v/>
      </c>
      <c r="J2323">
        <f>VLOOKUP(D2323,Товар!$A$2:$F$1000,5,0)</f>
        <v/>
      </c>
      <c r="K2323">
        <f>IF(AND(H2323="Промышленный",LEFT(I2323,18)="Порошок стиральный",F2323="Продажа",B2323=DATE(2023,6,7)),E2323*J2323/1000,0)</f>
        <v/>
      </c>
    </row>
    <row r="2324">
      <c r="A2324" t="n">
        <v>2323</v>
      </c>
      <c r="B2324" s="1" t="n">
        <v>45086</v>
      </c>
      <c r="C2324" s="5" t="inlineStr">
        <is>
          <t>M15</t>
        </is>
      </c>
      <c r="D2324" s="5" t="n">
        <v>19</v>
      </c>
      <c r="E2324" s="5" t="n">
        <v>300</v>
      </c>
      <c r="F2324" t="inlineStr">
        <is>
          <t>Поступление</t>
        </is>
      </c>
      <c r="H2324">
        <f>VLOOKUP(C2324,Магазин!$A$2:$C$1000,2,0)</f>
        <v/>
      </c>
      <c r="I2324">
        <f>VLOOKUP(D2324,Товар!$A$2:$F$1000,3,0)</f>
        <v/>
      </c>
      <c r="J2324">
        <f>VLOOKUP(D2324,Товар!$A$2:$F$1000,5,0)</f>
        <v/>
      </c>
      <c r="K2324">
        <f>IF(AND(H2324="Промышленный",LEFT(I2324,18)="Порошок стиральный",F2324="Продажа",B2324=DATE(2023,6,7)),E2324*J2324/1000,0)</f>
        <v/>
      </c>
    </row>
    <row r="2325">
      <c r="A2325" t="n">
        <v>2324</v>
      </c>
      <c r="B2325" s="1" t="n">
        <v>45086</v>
      </c>
      <c r="C2325" s="5" t="inlineStr">
        <is>
          <t>M15</t>
        </is>
      </c>
      <c r="D2325" s="5" t="n">
        <v>20</v>
      </c>
      <c r="E2325" s="5" t="n">
        <v>300</v>
      </c>
      <c r="F2325" t="inlineStr">
        <is>
          <t>Поступление</t>
        </is>
      </c>
      <c r="H2325">
        <f>VLOOKUP(C2325,Магазин!$A$2:$C$1000,2,0)</f>
        <v/>
      </c>
      <c r="I2325">
        <f>VLOOKUP(D2325,Товар!$A$2:$F$1000,3,0)</f>
        <v/>
      </c>
      <c r="J2325">
        <f>VLOOKUP(D2325,Товар!$A$2:$F$1000,5,0)</f>
        <v/>
      </c>
      <c r="K2325">
        <f>IF(AND(H2325="Промышленный",LEFT(I2325,18)="Порошок стиральный",F2325="Продажа",B2325=DATE(2023,6,7)),E2325*J2325/1000,0)</f>
        <v/>
      </c>
    </row>
    <row r="2326">
      <c r="A2326" t="n">
        <v>2325</v>
      </c>
      <c r="B2326" s="1" t="n">
        <v>45086</v>
      </c>
      <c r="C2326" s="5" t="inlineStr">
        <is>
          <t>M15</t>
        </is>
      </c>
      <c r="D2326" s="5" t="n">
        <v>21</v>
      </c>
      <c r="E2326" s="5" t="n">
        <v>300</v>
      </c>
      <c r="F2326" t="inlineStr">
        <is>
          <t>Поступление</t>
        </is>
      </c>
      <c r="H2326">
        <f>VLOOKUP(C2326,Магазин!$A$2:$C$1000,2,0)</f>
        <v/>
      </c>
      <c r="I2326">
        <f>VLOOKUP(D2326,Товар!$A$2:$F$1000,3,0)</f>
        <v/>
      </c>
      <c r="J2326">
        <f>VLOOKUP(D2326,Товар!$A$2:$F$1000,5,0)</f>
        <v/>
      </c>
      <c r="K2326">
        <f>IF(AND(H2326="Промышленный",LEFT(I2326,18)="Порошок стиральный",F2326="Продажа",B2326=DATE(2023,6,7)),E2326*J2326/1000,0)</f>
        <v/>
      </c>
    </row>
    <row r="2327">
      <c r="A2327" t="n">
        <v>2326</v>
      </c>
      <c r="B2327" s="1" t="n">
        <v>45086</v>
      </c>
      <c r="C2327" s="5" t="inlineStr">
        <is>
          <t>M15</t>
        </is>
      </c>
      <c r="D2327" s="5" t="n">
        <v>22</v>
      </c>
      <c r="E2327" s="5" t="n">
        <v>300</v>
      </c>
      <c r="F2327" t="inlineStr">
        <is>
          <t>Поступление</t>
        </is>
      </c>
      <c r="H2327">
        <f>VLOOKUP(C2327,Магазин!$A$2:$C$1000,2,0)</f>
        <v/>
      </c>
      <c r="I2327">
        <f>VLOOKUP(D2327,Товар!$A$2:$F$1000,3,0)</f>
        <v/>
      </c>
      <c r="J2327">
        <f>VLOOKUP(D2327,Товар!$A$2:$F$1000,5,0)</f>
        <v/>
      </c>
      <c r="K2327">
        <f>IF(AND(H2327="Промышленный",LEFT(I2327,18)="Порошок стиральный",F2327="Продажа",B2327=DATE(2023,6,7)),E2327*J2327/1000,0)</f>
        <v/>
      </c>
    </row>
    <row r="2328">
      <c r="A2328" t="n">
        <v>2327</v>
      </c>
      <c r="B2328" s="1" t="n">
        <v>45086</v>
      </c>
      <c r="C2328" s="5" t="inlineStr">
        <is>
          <t>M15</t>
        </is>
      </c>
      <c r="D2328" s="5" t="n">
        <v>23</v>
      </c>
      <c r="E2328" s="5" t="n">
        <v>300</v>
      </c>
      <c r="F2328" t="inlineStr">
        <is>
          <t>Поступление</t>
        </is>
      </c>
      <c r="H2328">
        <f>VLOOKUP(C2328,Магазин!$A$2:$C$1000,2,0)</f>
        <v/>
      </c>
      <c r="I2328">
        <f>VLOOKUP(D2328,Товар!$A$2:$F$1000,3,0)</f>
        <v/>
      </c>
      <c r="J2328">
        <f>VLOOKUP(D2328,Товар!$A$2:$F$1000,5,0)</f>
        <v/>
      </c>
      <c r="K2328">
        <f>IF(AND(H2328="Промышленный",LEFT(I2328,18)="Порошок стиральный",F2328="Продажа",B2328=DATE(2023,6,7)),E2328*J2328/1000,0)</f>
        <v/>
      </c>
    </row>
    <row r="2329">
      <c r="A2329" t="n">
        <v>2328</v>
      </c>
      <c r="B2329" s="1" t="n">
        <v>45086</v>
      </c>
      <c r="C2329" s="5" t="inlineStr">
        <is>
          <t>M15</t>
        </is>
      </c>
      <c r="D2329" s="5" t="n">
        <v>24</v>
      </c>
      <c r="E2329" s="5" t="n">
        <v>300</v>
      </c>
      <c r="F2329" t="inlineStr">
        <is>
          <t>Поступление</t>
        </is>
      </c>
      <c r="H2329">
        <f>VLOOKUP(C2329,Магазин!$A$2:$C$1000,2,0)</f>
        <v/>
      </c>
      <c r="I2329">
        <f>VLOOKUP(D2329,Товар!$A$2:$F$1000,3,0)</f>
        <v/>
      </c>
      <c r="J2329">
        <f>VLOOKUP(D2329,Товар!$A$2:$F$1000,5,0)</f>
        <v/>
      </c>
      <c r="K2329">
        <f>IF(AND(H2329="Промышленный",LEFT(I2329,18)="Порошок стиральный",F2329="Продажа",B2329=DATE(2023,6,7)),E2329*J2329/1000,0)</f>
        <v/>
      </c>
    </row>
    <row r="2330">
      <c r="A2330" t="n">
        <v>2329</v>
      </c>
      <c r="B2330" s="1" t="n">
        <v>45086</v>
      </c>
      <c r="C2330" s="5" t="inlineStr">
        <is>
          <t>M15</t>
        </is>
      </c>
      <c r="D2330" s="5" t="n">
        <v>25</v>
      </c>
      <c r="E2330" s="5" t="n">
        <v>300</v>
      </c>
      <c r="F2330" t="inlineStr">
        <is>
          <t>Поступление</t>
        </is>
      </c>
      <c r="H2330">
        <f>VLOOKUP(C2330,Магазин!$A$2:$C$1000,2,0)</f>
        <v/>
      </c>
      <c r="I2330">
        <f>VLOOKUP(D2330,Товар!$A$2:$F$1000,3,0)</f>
        <v/>
      </c>
      <c r="J2330">
        <f>VLOOKUP(D2330,Товар!$A$2:$F$1000,5,0)</f>
        <v/>
      </c>
      <c r="K2330">
        <f>IF(AND(H2330="Промышленный",LEFT(I2330,18)="Порошок стиральный",F2330="Продажа",B2330=DATE(2023,6,7)),E2330*J2330/1000,0)</f>
        <v/>
      </c>
    </row>
    <row r="2331">
      <c r="A2331" t="n">
        <v>2330</v>
      </c>
      <c r="B2331" s="1" t="n">
        <v>45086</v>
      </c>
      <c r="C2331" s="5" t="inlineStr">
        <is>
          <t>M15</t>
        </is>
      </c>
      <c r="D2331" s="5" t="n">
        <v>26</v>
      </c>
      <c r="E2331" s="5" t="n">
        <v>300</v>
      </c>
      <c r="F2331" t="inlineStr">
        <is>
          <t>Поступление</t>
        </is>
      </c>
      <c r="H2331">
        <f>VLOOKUP(C2331,Магазин!$A$2:$C$1000,2,0)</f>
        <v/>
      </c>
      <c r="I2331">
        <f>VLOOKUP(D2331,Товар!$A$2:$F$1000,3,0)</f>
        <v/>
      </c>
      <c r="J2331">
        <f>VLOOKUP(D2331,Товар!$A$2:$F$1000,5,0)</f>
        <v/>
      </c>
      <c r="K2331">
        <f>IF(AND(H2331="Промышленный",LEFT(I2331,18)="Порошок стиральный",F2331="Продажа",B2331=DATE(2023,6,7)),E2331*J2331/1000,0)</f>
        <v/>
      </c>
    </row>
    <row r="2332">
      <c r="A2332" t="n">
        <v>2331</v>
      </c>
      <c r="B2332" s="1" t="n">
        <v>45086</v>
      </c>
      <c r="C2332" s="5" t="inlineStr">
        <is>
          <t>M15</t>
        </is>
      </c>
      <c r="D2332" s="5" t="n">
        <v>27</v>
      </c>
      <c r="E2332" s="5" t="n">
        <v>300</v>
      </c>
      <c r="F2332" t="inlineStr">
        <is>
          <t>Поступление</t>
        </is>
      </c>
      <c r="H2332">
        <f>VLOOKUP(C2332,Магазин!$A$2:$C$1000,2,0)</f>
        <v/>
      </c>
      <c r="I2332">
        <f>VLOOKUP(D2332,Товар!$A$2:$F$1000,3,0)</f>
        <v/>
      </c>
      <c r="J2332">
        <f>VLOOKUP(D2332,Товар!$A$2:$F$1000,5,0)</f>
        <v/>
      </c>
      <c r="K2332">
        <f>IF(AND(H2332="Промышленный",LEFT(I2332,18)="Порошок стиральный",F2332="Продажа",B2332=DATE(2023,6,7)),E2332*J2332/1000,0)</f>
        <v/>
      </c>
    </row>
    <row r="2333">
      <c r="A2333" t="n">
        <v>2332</v>
      </c>
      <c r="B2333" s="1" t="n">
        <v>45086</v>
      </c>
      <c r="C2333" s="5" t="inlineStr">
        <is>
          <t>M15</t>
        </is>
      </c>
      <c r="D2333" s="5" t="n">
        <v>28</v>
      </c>
      <c r="E2333" s="5" t="n">
        <v>300</v>
      </c>
      <c r="F2333" t="inlineStr">
        <is>
          <t>Поступление</t>
        </is>
      </c>
      <c r="H2333">
        <f>VLOOKUP(C2333,Магазин!$A$2:$C$1000,2,0)</f>
        <v/>
      </c>
      <c r="I2333">
        <f>VLOOKUP(D2333,Товар!$A$2:$F$1000,3,0)</f>
        <v/>
      </c>
      <c r="J2333">
        <f>VLOOKUP(D2333,Товар!$A$2:$F$1000,5,0)</f>
        <v/>
      </c>
      <c r="K2333">
        <f>IF(AND(H2333="Промышленный",LEFT(I2333,18)="Порошок стиральный",F2333="Продажа",B2333=DATE(2023,6,7)),E2333*J2333/1000,0)</f>
        <v/>
      </c>
    </row>
    <row r="2334">
      <c r="A2334" t="n">
        <v>2333</v>
      </c>
      <c r="B2334" s="1" t="n">
        <v>45086</v>
      </c>
      <c r="C2334" s="5" t="inlineStr">
        <is>
          <t>M15</t>
        </is>
      </c>
      <c r="D2334" s="5" t="n">
        <v>29</v>
      </c>
      <c r="E2334" s="5" t="n">
        <v>300</v>
      </c>
      <c r="F2334" t="inlineStr">
        <is>
          <t>Поступление</t>
        </is>
      </c>
      <c r="H2334">
        <f>VLOOKUP(C2334,Магазин!$A$2:$C$1000,2,0)</f>
        <v/>
      </c>
      <c r="I2334">
        <f>VLOOKUP(D2334,Товар!$A$2:$F$1000,3,0)</f>
        <v/>
      </c>
      <c r="J2334">
        <f>VLOOKUP(D2334,Товар!$A$2:$F$1000,5,0)</f>
        <v/>
      </c>
      <c r="K2334">
        <f>IF(AND(H2334="Промышленный",LEFT(I2334,18)="Порошок стиральный",F2334="Продажа",B2334=DATE(2023,6,7)),E2334*J2334/1000,0)</f>
        <v/>
      </c>
    </row>
    <row r="2335">
      <c r="A2335" t="n">
        <v>2334</v>
      </c>
      <c r="B2335" s="1" t="n">
        <v>45086</v>
      </c>
      <c r="C2335" s="5" t="inlineStr">
        <is>
          <t>M15</t>
        </is>
      </c>
      <c r="D2335" s="5" t="n">
        <v>30</v>
      </c>
      <c r="E2335" s="5" t="n">
        <v>300</v>
      </c>
      <c r="F2335" t="inlineStr">
        <is>
          <t>Поступление</t>
        </is>
      </c>
      <c r="H2335">
        <f>VLOOKUP(C2335,Магазин!$A$2:$C$1000,2,0)</f>
        <v/>
      </c>
      <c r="I2335">
        <f>VLOOKUP(D2335,Товар!$A$2:$F$1000,3,0)</f>
        <v/>
      </c>
      <c r="J2335">
        <f>VLOOKUP(D2335,Товар!$A$2:$F$1000,5,0)</f>
        <v/>
      </c>
      <c r="K2335">
        <f>IF(AND(H2335="Промышленный",LEFT(I2335,18)="Порошок стиральный",F2335="Продажа",B2335=DATE(2023,6,7)),E2335*J2335/1000,0)</f>
        <v/>
      </c>
    </row>
    <row r="2336">
      <c r="A2336" t="n">
        <v>2335</v>
      </c>
      <c r="B2336" s="1" t="n">
        <v>45086</v>
      </c>
      <c r="C2336" s="5" t="inlineStr">
        <is>
          <t>M15</t>
        </is>
      </c>
      <c r="D2336" s="5" t="n">
        <v>31</v>
      </c>
      <c r="E2336" s="5" t="n">
        <v>300</v>
      </c>
      <c r="F2336" t="inlineStr">
        <is>
          <t>Поступление</t>
        </is>
      </c>
      <c r="H2336">
        <f>VLOOKUP(C2336,Магазин!$A$2:$C$1000,2,0)</f>
        <v/>
      </c>
      <c r="I2336">
        <f>VLOOKUP(D2336,Товар!$A$2:$F$1000,3,0)</f>
        <v/>
      </c>
      <c r="J2336">
        <f>VLOOKUP(D2336,Товар!$A$2:$F$1000,5,0)</f>
        <v/>
      </c>
      <c r="K2336">
        <f>IF(AND(H2336="Промышленный",LEFT(I2336,18)="Порошок стиральный",F2336="Продажа",B2336=DATE(2023,6,7)),E2336*J2336/1000,0)</f>
        <v/>
      </c>
    </row>
    <row r="2337">
      <c r="A2337" t="n">
        <v>2336</v>
      </c>
      <c r="B2337" s="1" t="n">
        <v>45086</v>
      </c>
      <c r="C2337" s="5" t="inlineStr">
        <is>
          <t>M15</t>
        </is>
      </c>
      <c r="D2337" s="5" t="n">
        <v>32</v>
      </c>
      <c r="E2337" s="5" t="n">
        <v>300</v>
      </c>
      <c r="F2337" t="inlineStr">
        <is>
          <t>Поступление</t>
        </is>
      </c>
      <c r="H2337">
        <f>VLOOKUP(C2337,Магазин!$A$2:$C$1000,2,0)</f>
        <v/>
      </c>
      <c r="I2337">
        <f>VLOOKUP(D2337,Товар!$A$2:$F$1000,3,0)</f>
        <v/>
      </c>
      <c r="J2337">
        <f>VLOOKUP(D2337,Товар!$A$2:$F$1000,5,0)</f>
        <v/>
      </c>
      <c r="K2337">
        <f>IF(AND(H2337="Промышленный",LEFT(I2337,18)="Порошок стиральный",F2337="Продажа",B2337=DATE(2023,6,7)),E2337*J2337/1000,0)</f>
        <v/>
      </c>
    </row>
    <row r="2338">
      <c r="A2338" t="n">
        <v>2337</v>
      </c>
      <c r="B2338" s="1" t="n">
        <v>45086</v>
      </c>
      <c r="C2338" s="5" t="inlineStr">
        <is>
          <t>M15</t>
        </is>
      </c>
      <c r="D2338" s="5" t="n">
        <v>33</v>
      </c>
      <c r="E2338" s="5" t="n">
        <v>300</v>
      </c>
      <c r="F2338" t="inlineStr">
        <is>
          <t>Поступление</t>
        </is>
      </c>
      <c r="H2338">
        <f>VLOOKUP(C2338,Магазин!$A$2:$C$1000,2,0)</f>
        <v/>
      </c>
      <c r="I2338">
        <f>VLOOKUP(D2338,Товар!$A$2:$F$1000,3,0)</f>
        <v/>
      </c>
      <c r="J2338">
        <f>VLOOKUP(D2338,Товар!$A$2:$F$1000,5,0)</f>
        <v/>
      </c>
      <c r="K2338">
        <f>IF(AND(H2338="Промышленный",LEFT(I2338,18)="Порошок стиральный",F2338="Продажа",B2338=DATE(2023,6,7)),E2338*J2338/1000,0)</f>
        <v/>
      </c>
    </row>
    <row r="2339">
      <c r="A2339" t="n">
        <v>2338</v>
      </c>
      <c r="B2339" s="1" t="n">
        <v>45086</v>
      </c>
      <c r="C2339" s="5" t="inlineStr">
        <is>
          <t>M15</t>
        </is>
      </c>
      <c r="D2339" s="5" t="n">
        <v>34</v>
      </c>
      <c r="E2339" s="5" t="n">
        <v>300</v>
      </c>
      <c r="F2339" t="inlineStr">
        <is>
          <t>Поступление</t>
        </is>
      </c>
      <c r="H2339">
        <f>VLOOKUP(C2339,Магазин!$A$2:$C$1000,2,0)</f>
        <v/>
      </c>
      <c r="I2339">
        <f>VLOOKUP(D2339,Товар!$A$2:$F$1000,3,0)</f>
        <v/>
      </c>
      <c r="J2339">
        <f>VLOOKUP(D2339,Товар!$A$2:$F$1000,5,0)</f>
        <v/>
      </c>
      <c r="K2339">
        <f>IF(AND(H2339="Промышленный",LEFT(I2339,18)="Порошок стиральный",F2339="Продажа",B2339=DATE(2023,6,7)),E2339*J2339/1000,0)</f>
        <v/>
      </c>
    </row>
    <row r="2340">
      <c r="A2340" t="n">
        <v>2339</v>
      </c>
      <c r="B2340" s="1" t="n">
        <v>45086</v>
      </c>
      <c r="C2340" s="5" t="inlineStr">
        <is>
          <t>M15</t>
        </is>
      </c>
      <c r="D2340" s="5" t="n">
        <v>35</v>
      </c>
      <c r="E2340" s="5" t="n">
        <v>300</v>
      </c>
      <c r="F2340" t="inlineStr">
        <is>
          <t>Поступление</t>
        </is>
      </c>
      <c r="H2340">
        <f>VLOOKUP(C2340,Магазин!$A$2:$C$1000,2,0)</f>
        <v/>
      </c>
      <c r="I2340">
        <f>VLOOKUP(D2340,Товар!$A$2:$F$1000,3,0)</f>
        <v/>
      </c>
      <c r="J2340">
        <f>VLOOKUP(D2340,Товар!$A$2:$F$1000,5,0)</f>
        <v/>
      </c>
      <c r="K2340">
        <f>IF(AND(H2340="Промышленный",LEFT(I2340,18)="Порошок стиральный",F2340="Продажа",B2340=DATE(2023,6,7)),E2340*J2340/1000,0)</f>
        <v/>
      </c>
    </row>
    <row r="2341">
      <c r="A2341" t="n">
        <v>2340</v>
      </c>
      <c r="B2341" s="1" t="n">
        <v>45086</v>
      </c>
      <c r="C2341" s="5" t="inlineStr">
        <is>
          <t>M15</t>
        </is>
      </c>
      <c r="D2341" s="5" t="n">
        <v>36</v>
      </c>
      <c r="E2341" s="5" t="n">
        <v>300</v>
      </c>
      <c r="F2341" t="inlineStr">
        <is>
          <t>Поступление</t>
        </is>
      </c>
      <c r="H2341">
        <f>VLOOKUP(C2341,Магазин!$A$2:$C$1000,2,0)</f>
        <v/>
      </c>
      <c r="I2341">
        <f>VLOOKUP(D2341,Товар!$A$2:$F$1000,3,0)</f>
        <v/>
      </c>
      <c r="J2341">
        <f>VLOOKUP(D2341,Товар!$A$2:$F$1000,5,0)</f>
        <v/>
      </c>
      <c r="K2341">
        <f>IF(AND(H2341="Промышленный",LEFT(I2341,18)="Порошок стиральный",F2341="Продажа",B2341=DATE(2023,6,7)),E2341*J2341/1000,0)</f>
        <v/>
      </c>
    </row>
    <row r="2342">
      <c r="A2342" t="n">
        <v>2341</v>
      </c>
      <c r="B2342" s="1" t="n">
        <v>45086</v>
      </c>
      <c r="C2342" s="5" t="inlineStr">
        <is>
          <t>M18</t>
        </is>
      </c>
      <c r="D2342" s="5" t="n">
        <v>1</v>
      </c>
      <c r="E2342" s="5" t="n">
        <v>300</v>
      </c>
      <c r="F2342" t="inlineStr">
        <is>
          <t>Поступление</t>
        </is>
      </c>
      <c r="H2342">
        <f>VLOOKUP(C2342,Магазин!$A$2:$C$1000,2,0)</f>
        <v/>
      </c>
      <c r="I2342">
        <f>VLOOKUP(D2342,Товар!$A$2:$F$1000,3,0)</f>
        <v/>
      </c>
      <c r="J2342">
        <f>VLOOKUP(D2342,Товар!$A$2:$F$1000,5,0)</f>
        <v/>
      </c>
      <c r="K2342">
        <f>IF(AND(H2342="Промышленный",LEFT(I2342,18)="Порошок стиральный",F2342="Продажа",B2342=DATE(2023,6,7)),E2342*J2342/1000,0)</f>
        <v/>
      </c>
    </row>
    <row r="2343">
      <c r="A2343" t="n">
        <v>2342</v>
      </c>
      <c r="B2343" s="1" t="n">
        <v>45086</v>
      </c>
      <c r="C2343" s="5" t="inlineStr">
        <is>
          <t>M18</t>
        </is>
      </c>
      <c r="D2343" s="5" t="n">
        <v>2</v>
      </c>
      <c r="E2343" s="5" t="n">
        <v>300</v>
      </c>
      <c r="F2343" t="inlineStr">
        <is>
          <t>Поступление</t>
        </is>
      </c>
      <c r="H2343">
        <f>VLOOKUP(C2343,Магазин!$A$2:$C$1000,2,0)</f>
        <v/>
      </c>
      <c r="I2343">
        <f>VLOOKUP(D2343,Товар!$A$2:$F$1000,3,0)</f>
        <v/>
      </c>
      <c r="J2343">
        <f>VLOOKUP(D2343,Товар!$A$2:$F$1000,5,0)</f>
        <v/>
      </c>
      <c r="K2343">
        <f>IF(AND(H2343="Промышленный",LEFT(I2343,18)="Порошок стиральный",F2343="Продажа",B2343=DATE(2023,6,7)),E2343*J2343/1000,0)</f>
        <v/>
      </c>
    </row>
    <row r="2344">
      <c r="A2344" t="n">
        <v>2343</v>
      </c>
      <c r="B2344" s="1" t="n">
        <v>45086</v>
      </c>
      <c r="C2344" s="5" t="inlineStr">
        <is>
          <t>M18</t>
        </is>
      </c>
      <c r="D2344" s="5" t="n">
        <v>3</v>
      </c>
      <c r="E2344" s="5" t="n">
        <v>300</v>
      </c>
      <c r="F2344" t="inlineStr">
        <is>
          <t>Поступление</t>
        </is>
      </c>
      <c r="H2344">
        <f>VLOOKUP(C2344,Магазин!$A$2:$C$1000,2,0)</f>
        <v/>
      </c>
      <c r="I2344">
        <f>VLOOKUP(D2344,Товар!$A$2:$F$1000,3,0)</f>
        <v/>
      </c>
      <c r="J2344">
        <f>VLOOKUP(D2344,Товар!$A$2:$F$1000,5,0)</f>
        <v/>
      </c>
      <c r="K2344">
        <f>IF(AND(H2344="Промышленный",LEFT(I2344,18)="Порошок стиральный",F2344="Продажа",B2344=DATE(2023,6,7)),E2344*J2344/1000,0)</f>
        <v/>
      </c>
    </row>
    <row r="2345">
      <c r="A2345" t="n">
        <v>2344</v>
      </c>
      <c r="B2345" s="1" t="n">
        <v>45086</v>
      </c>
      <c r="C2345" s="5" t="inlineStr">
        <is>
          <t>M18</t>
        </is>
      </c>
      <c r="D2345" s="5" t="n">
        <v>4</v>
      </c>
      <c r="E2345" s="5" t="n">
        <v>300</v>
      </c>
      <c r="F2345" t="inlineStr">
        <is>
          <t>Поступление</t>
        </is>
      </c>
      <c r="H2345">
        <f>VLOOKUP(C2345,Магазин!$A$2:$C$1000,2,0)</f>
        <v/>
      </c>
      <c r="I2345">
        <f>VLOOKUP(D2345,Товар!$A$2:$F$1000,3,0)</f>
        <v/>
      </c>
      <c r="J2345">
        <f>VLOOKUP(D2345,Товар!$A$2:$F$1000,5,0)</f>
        <v/>
      </c>
      <c r="K2345">
        <f>IF(AND(H2345="Промышленный",LEFT(I2345,18)="Порошок стиральный",F2345="Продажа",B2345=DATE(2023,6,7)),E2345*J2345/1000,0)</f>
        <v/>
      </c>
    </row>
    <row r="2346">
      <c r="A2346" t="n">
        <v>2345</v>
      </c>
      <c r="B2346" s="1" t="n">
        <v>45086</v>
      </c>
      <c r="C2346" s="5" t="inlineStr">
        <is>
          <t>M18</t>
        </is>
      </c>
      <c r="D2346" s="5" t="n">
        <v>5</v>
      </c>
      <c r="E2346" s="5" t="n">
        <v>300</v>
      </c>
      <c r="F2346" t="inlineStr">
        <is>
          <t>Поступление</t>
        </is>
      </c>
      <c r="H2346">
        <f>VLOOKUP(C2346,Магазин!$A$2:$C$1000,2,0)</f>
        <v/>
      </c>
      <c r="I2346">
        <f>VLOOKUP(D2346,Товар!$A$2:$F$1000,3,0)</f>
        <v/>
      </c>
      <c r="J2346">
        <f>VLOOKUP(D2346,Товар!$A$2:$F$1000,5,0)</f>
        <v/>
      </c>
      <c r="K2346">
        <f>IF(AND(H2346="Промышленный",LEFT(I2346,18)="Порошок стиральный",F2346="Продажа",B2346=DATE(2023,6,7)),E2346*J2346/1000,0)</f>
        <v/>
      </c>
    </row>
    <row r="2347">
      <c r="A2347" t="n">
        <v>2346</v>
      </c>
      <c r="B2347" s="1" t="n">
        <v>45086</v>
      </c>
      <c r="C2347" s="5" t="inlineStr">
        <is>
          <t>M18</t>
        </is>
      </c>
      <c r="D2347" s="5" t="n">
        <v>6</v>
      </c>
      <c r="E2347" s="5" t="n">
        <v>300</v>
      </c>
      <c r="F2347" t="inlineStr">
        <is>
          <t>Поступление</t>
        </is>
      </c>
      <c r="H2347">
        <f>VLOOKUP(C2347,Магазин!$A$2:$C$1000,2,0)</f>
        <v/>
      </c>
      <c r="I2347">
        <f>VLOOKUP(D2347,Товар!$A$2:$F$1000,3,0)</f>
        <v/>
      </c>
      <c r="J2347">
        <f>VLOOKUP(D2347,Товар!$A$2:$F$1000,5,0)</f>
        <v/>
      </c>
      <c r="K2347">
        <f>IF(AND(H2347="Промышленный",LEFT(I2347,18)="Порошок стиральный",F2347="Продажа",B2347=DATE(2023,6,7)),E2347*J2347/1000,0)</f>
        <v/>
      </c>
    </row>
    <row r="2348">
      <c r="A2348" t="n">
        <v>2347</v>
      </c>
      <c r="B2348" s="1" t="n">
        <v>45086</v>
      </c>
      <c r="C2348" s="5" t="inlineStr">
        <is>
          <t>M18</t>
        </is>
      </c>
      <c r="D2348" s="5" t="n">
        <v>7</v>
      </c>
      <c r="E2348" s="5" t="n">
        <v>300</v>
      </c>
      <c r="F2348" t="inlineStr">
        <is>
          <t>Поступление</t>
        </is>
      </c>
      <c r="H2348">
        <f>VLOOKUP(C2348,Магазин!$A$2:$C$1000,2,0)</f>
        <v/>
      </c>
      <c r="I2348">
        <f>VLOOKUP(D2348,Товар!$A$2:$F$1000,3,0)</f>
        <v/>
      </c>
      <c r="J2348">
        <f>VLOOKUP(D2348,Товар!$A$2:$F$1000,5,0)</f>
        <v/>
      </c>
      <c r="K2348">
        <f>IF(AND(H2348="Промышленный",LEFT(I2348,18)="Порошок стиральный",F2348="Продажа",B2348=DATE(2023,6,7)),E2348*J2348/1000,0)</f>
        <v/>
      </c>
    </row>
    <row r="2349">
      <c r="A2349" t="n">
        <v>2348</v>
      </c>
      <c r="B2349" s="1" t="n">
        <v>45086</v>
      </c>
      <c r="C2349" s="5" t="inlineStr">
        <is>
          <t>M18</t>
        </is>
      </c>
      <c r="D2349" s="5" t="n">
        <v>8</v>
      </c>
      <c r="E2349" s="5" t="n">
        <v>300</v>
      </c>
      <c r="F2349" t="inlineStr">
        <is>
          <t>Поступление</t>
        </is>
      </c>
      <c r="H2349">
        <f>VLOOKUP(C2349,Магазин!$A$2:$C$1000,2,0)</f>
        <v/>
      </c>
      <c r="I2349">
        <f>VLOOKUP(D2349,Товар!$A$2:$F$1000,3,0)</f>
        <v/>
      </c>
      <c r="J2349">
        <f>VLOOKUP(D2349,Товар!$A$2:$F$1000,5,0)</f>
        <v/>
      </c>
      <c r="K2349">
        <f>IF(AND(H2349="Промышленный",LEFT(I2349,18)="Порошок стиральный",F2349="Продажа",B2349=DATE(2023,6,7)),E2349*J2349/1000,0)</f>
        <v/>
      </c>
    </row>
    <row r="2350">
      <c r="A2350" t="n">
        <v>2349</v>
      </c>
      <c r="B2350" s="1" t="n">
        <v>45086</v>
      </c>
      <c r="C2350" s="5" t="inlineStr">
        <is>
          <t>M18</t>
        </is>
      </c>
      <c r="D2350" s="5" t="n">
        <v>9</v>
      </c>
      <c r="E2350" s="5" t="n">
        <v>300</v>
      </c>
      <c r="F2350" t="inlineStr">
        <is>
          <t>Поступление</t>
        </is>
      </c>
      <c r="H2350">
        <f>VLOOKUP(C2350,Магазин!$A$2:$C$1000,2,0)</f>
        <v/>
      </c>
      <c r="I2350">
        <f>VLOOKUP(D2350,Товар!$A$2:$F$1000,3,0)</f>
        <v/>
      </c>
      <c r="J2350">
        <f>VLOOKUP(D2350,Товар!$A$2:$F$1000,5,0)</f>
        <v/>
      </c>
      <c r="K2350">
        <f>IF(AND(H2350="Промышленный",LEFT(I2350,18)="Порошок стиральный",F2350="Продажа",B2350=DATE(2023,6,7)),E2350*J2350/1000,0)</f>
        <v/>
      </c>
    </row>
    <row r="2351">
      <c r="A2351" t="n">
        <v>2350</v>
      </c>
      <c r="B2351" s="1" t="n">
        <v>45086</v>
      </c>
      <c r="C2351" s="5" t="inlineStr">
        <is>
          <t>M18</t>
        </is>
      </c>
      <c r="D2351" s="5" t="n">
        <v>10</v>
      </c>
      <c r="E2351" s="5" t="n">
        <v>300</v>
      </c>
      <c r="F2351" t="inlineStr">
        <is>
          <t>Поступление</t>
        </is>
      </c>
      <c r="H2351">
        <f>VLOOKUP(C2351,Магазин!$A$2:$C$1000,2,0)</f>
        <v/>
      </c>
      <c r="I2351">
        <f>VLOOKUP(D2351,Товар!$A$2:$F$1000,3,0)</f>
        <v/>
      </c>
      <c r="J2351">
        <f>VLOOKUP(D2351,Товар!$A$2:$F$1000,5,0)</f>
        <v/>
      </c>
      <c r="K2351">
        <f>IF(AND(H2351="Промышленный",LEFT(I2351,18)="Порошок стиральный",F2351="Продажа",B2351=DATE(2023,6,7)),E2351*J2351/1000,0)</f>
        <v/>
      </c>
    </row>
    <row r="2352">
      <c r="A2352" t="n">
        <v>2351</v>
      </c>
      <c r="B2352" s="1" t="n">
        <v>45086</v>
      </c>
      <c r="C2352" s="5" t="inlineStr">
        <is>
          <t>M18</t>
        </is>
      </c>
      <c r="D2352" s="5" t="n">
        <v>11</v>
      </c>
      <c r="E2352" s="5" t="n">
        <v>300</v>
      </c>
      <c r="F2352" t="inlineStr">
        <is>
          <t>Поступление</t>
        </is>
      </c>
      <c r="H2352">
        <f>VLOOKUP(C2352,Магазин!$A$2:$C$1000,2,0)</f>
        <v/>
      </c>
      <c r="I2352">
        <f>VLOOKUP(D2352,Товар!$A$2:$F$1000,3,0)</f>
        <v/>
      </c>
      <c r="J2352">
        <f>VLOOKUP(D2352,Товар!$A$2:$F$1000,5,0)</f>
        <v/>
      </c>
      <c r="K2352">
        <f>IF(AND(H2352="Промышленный",LEFT(I2352,18)="Порошок стиральный",F2352="Продажа",B2352=DATE(2023,6,7)),E2352*J2352/1000,0)</f>
        <v/>
      </c>
    </row>
    <row r="2353">
      <c r="A2353" t="n">
        <v>2352</v>
      </c>
      <c r="B2353" s="1" t="n">
        <v>45086</v>
      </c>
      <c r="C2353" s="5" t="inlineStr">
        <is>
          <t>M18</t>
        </is>
      </c>
      <c r="D2353" s="5" t="n">
        <v>12</v>
      </c>
      <c r="E2353" s="5" t="n">
        <v>300</v>
      </c>
      <c r="F2353" t="inlineStr">
        <is>
          <t>Поступление</t>
        </is>
      </c>
      <c r="H2353">
        <f>VLOOKUP(C2353,Магазин!$A$2:$C$1000,2,0)</f>
        <v/>
      </c>
      <c r="I2353">
        <f>VLOOKUP(D2353,Товар!$A$2:$F$1000,3,0)</f>
        <v/>
      </c>
      <c r="J2353">
        <f>VLOOKUP(D2353,Товар!$A$2:$F$1000,5,0)</f>
        <v/>
      </c>
      <c r="K2353">
        <f>IF(AND(H2353="Промышленный",LEFT(I2353,18)="Порошок стиральный",F2353="Продажа",B2353=DATE(2023,6,7)),E2353*J2353/1000,0)</f>
        <v/>
      </c>
    </row>
    <row r="2354">
      <c r="A2354" t="n">
        <v>2353</v>
      </c>
      <c r="B2354" s="1" t="n">
        <v>45086</v>
      </c>
      <c r="C2354" s="5" t="inlineStr">
        <is>
          <t>M18</t>
        </is>
      </c>
      <c r="D2354" s="5" t="n">
        <v>13</v>
      </c>
      <c r="E2354" s="5" t="n">
        <v>300</v>
      </c>
      <c r="F2354" t="inlineStr">
        <is>
          <t>Поступление</t>
        </is>
      </c>
      <c r="H2354">
        <f>VLOOKUP(C2354,Магазин!$A$2:$C$1000,2,0)</f>
        <v/>
      </c>
      <c r="I2354">
        <f>VLOOKUP(D2354,Товар!$A$2:$F$1000,3,0)</f>
        <v/>
      </c>
      <c r="J2354">
        <f>VLOOKUP(D2354,Товар!$A$2:$F$1000,5,0)</f>
        <v/>
      </c>
      <c r="K2354">
        <f>IF(AND(H2354="Промышленный",LEFT(I2354,18)="Порошок стиральный",F2354="Продажа",B2354=DATE(2023,6,7)),E2354*J2354/1000,0)</f>
        <v/>
      </c>
    </row>
    <row r="2355">
      <c r="A2355" t="n">
        <v>2354</v>
      </c>
      <c r="B2355" s="1" t="n">
        <v>45086</v>
      </c>
      <c r="C2355" s="5" t="inlineStr">
        <is>
          <t>M18</t>
        </is>
      </c>
      <c r="D2355" s="5" t="n">
        <v>14</v>
      </c>
      <c r="E2355" s="5" t="n">
        <v>300</v>
      </c>
      <c r="F2355" t="inlineStr">
        <is>
          <t>Поступление</t>
        </is>
      </c>
      <c r="H2355">
        <f>VLOOKUP(C2355,Магазин!$A$2:$C$1000,2,0)</f>
        <v/>
      </c>
      <c r="I2355">
        <f>VLOOKUP(D2355,Товар!$A$2:$F$1000,3,0)</f>
        <v/>
      </c>
      <c r="J2355">
        <f>VLOOKUP(D2355,Товар!$A$2:$F$1000,5,0)</f>
        <v/>
      </c>
      <c r="K2355">
        <f>IF(AND(H2355="Промышленный",LEFT(I2355,18)="Порошок стиральный",F2355="Продажа",B2355=DATE(2023,6,7)),E2355*J2355/1000,0)</f>
        <v/>
      </c>
    </row>
    <row r="2356">
      <c r="A2356" t="n">
        <v>2355</v>
      </c>
      <c r="B2356" s="1" t="n">
        <v>45086</v>
      </c>
      <c r="C2356" s="5" t="inlineStr">
        <is>
          <t>M18</t>
        </is>
      </c>
      <c r="D2356" s="5" t="n">
        <v>15</v>
      </c>
      <c r="E2356" s="5" t="n">
        <v>300</v>
      </c>
      <c r="F2356" t="inlineStr">
        <is>
          <t>Поступление</t>
        </is>
      </c>
      <c r="H2356">
        <f>VLOOKUP(C2356,Магазин!$A$2:$C$1000,2,0)</f>
        <v/>
      </c>
      <c r="I2356">
        <f>VLOOKUP(D2356,Товар!$A$2:$F$1000,3,0)</f>
        <v/>
      </c>
      <c r="J2356">
        <f>VLOOKUP(D2356,Товар!$A$2:$F$1000,5,0)</f>
        <v/>
      </c>
      <c r="K2356">
        <f>IF(AND(H2356="Промышленный",LEFT(I2356,18)="Порошок стиральный",F2356="Продажа",B2356=DATE(2023,6,7)),E2356*J2356/1000,0)</f>
        <v/>
      </c>
    </row>
    <row r="2357">
      <c r="A2357" t="n">
        <v>2356</v>
      </c>
      <c r="B2357" s="1" t="n">
        <v>45086</v>
      </c>
      <c r="C2357" s="5" t="inlineStr">
        <is>
          <t>M18</t>
        </is>
      </c>
      <c r="D2357" s="5" t="n">
        <v>16</v>
      </c>
      <c r="E2357" s="5" t="n">
        <v>300</v>
      </c>
      <c r="F2357" t="inlineStr">
        <is>
          <t>Поступление</t>
        </is>
      </c>
      <c r="H2357">
        <f>VLOOKUP(C2357,Магазин!$A$2:$C$1000,2,0)</f>
        <v/>
      </c>
      <c r="I2357">
        <f>VLOOKUP(D2357,Товар!$A$2:$F$1000,3,0)</f>
        <v/>
      </c>
      <c r="J2357">
        <f>VLOOKUP(D2357,Товар!$A$2:$F$1000,5,0)</f>
        <v/>
      </c>
      <c r="K2357">
        <f>IF(AND(H2357="Промышленный",LEFT(I2357,18)="Порошок стиральный",F2357="Продажа",B2357=DATE(2023,6,7)),E2357*J2357/1000,0)</f>
        <v/>
      </c>
    </row>
    <row r="2358">
      <c r="A2358" t="n">
        <v>2357</v>
      </c>
      <c r="B2358" s="1" t="n">
        <v>45086</v>
      </c>
      <c r="C2358" s="5" t="inlineStr">
        <is>
          <t>M18</t>
        </is>
      </c>
      <c r="D2358" s="5" t="n">
        <v>17</v>
      </c>
      <c r="E2358" s="5" t="n">
        <v>300</v>
      </c>
      <c r="F2358" t="inlineStr">
        <is>
          <t>Поступление</t>
        </is>
      </c>
      <c r="H2358">
        <f>VLOOKUP(C2358,Магазин!$A$2:$C$1000,2,0)</f>
        <v/>
      </c>
      <c r="I2358">
        <f>VLOOKUP(D2358,Товар!$A$2:$F$1000,3,0)</f>
        <v/>
      </c>
      <c r="J2358">
        <f>VLOOKUP(D2358,Товар!$A$2:$F$1000,5,0)</f>
        <v/>
      </c>
      <c r="K2358">
        <f>IF(AND(H2358="Промышленный",LEFT(I2358,18)="Порошок стиральный",F2358="Продажа",B2358=DATE(2023,6,7)),E2358*J2358/1000,0)</f>
        <v/>
      </c>
    </row>
    <row r="2359">
      <c r="A2359" t="n">
        <v>2358</v>
      </c>
      <c r="B2359" s="1" t="n">
        <v>45086</v>
      </c>
      <c r="C2359" s="5" t="inlineStr">
        <is>
          <t>M18</t>
        </is>
      </c>
      <c r="D2359" s="5" t="n">
        <v>18</v>
      </c>
      <c r="E2359" s="5" t="n">
        <v>300</v>
      </c>
      <c r="F2359" t="inlineStr">
        <is>
          <t>Поступление</t>
        </is>
      </c>
      <c r="H2359">
        <f>VLOOKUP(C2359,Магазин!$A$2:$C$1000,2,0)</f>
        <v/>
      </c>
      <c r="I2359">
        <f>VLOOKUP(D2359,Товар!$A$2:$F$1000,3,0)</f>
        <v/>
      </c>
      <c r="J2359">
        <f>VLOOKUP(D2359,Товар!$A$2:$F$1000,5,0)</f>
        <v/>
      </c>
      <c r="K2359">
        <f>IF(AND(H2359="Промышленный",LEFT(I2359,18)="Порошок стиральный",F2359="Продажа",B2359=DATE(2023,6,7)),E2359*J2359/1000,0)</f>
        <v/>
      </c>
    </row>
    <row r="2360">
      <c r="A2360" t="n">
        <v>2359</v>
      </c>
      <c r="B2360" s="1" t="n">
        <v>45086</v>
      </c>
      <c r="C2360" s="5" t="inlineStr">
        <is>
          <t>M18</t>
        </is>
      </c>
      <c r="D2360" s="5" t="n">
        <v>19</v>
      </c>
      <c r="E2360" s="5" t="n">
        <v>300</v>
      </c>
      <c r="F2360" t="inlineStr">
        <is>
          <t>Поступление</t>
        </is>
      </c>
      <c r="H2360">
        <f>VLOOKUP(C2360,Магазин!$A$2:$C$1000,2,0)</f>
        <v/>
      </c>
      <c r="I2360">
        <f>VLOOKUP(D2360,Товар!$A$2:$F$1000,3,0)</f>
        <v/>
      </c>
      <c r="J2360">
        <f>VLOOKUP(D2360,Товар!$A$2:$F$1000,5,0)</f>
        <v/>
      </c>
      <c r="K2360">
        <f>IF(AND(H2360="Промышленный",LEFT(I2360,18)="Порошок стиральный",F2360="Продажа",B2360=DATE(2023,6,7)),E2360*J2360/1000,0)</f>
        <v/>
      </c>
    </row>
    <row r="2361">
      <c r="A2361" t="n">
        <v>2360</v>
      </c>
      <c r="B2361" s="1" t="n">
        <v>45086</v>
      </c>
      <c r="C2361" s="5" t="inlineStr">
        <is>
          <t>M18</t>
        </is>
      </c>
      <c r="D2361" s="5" t="n">
        <v>20</v>
      </c>
      <c r="E2361" s="5" t="n">
        <v>300</v>
      </c>
      <c r="F2361" t="inlineStr">
        <is>
          <t>Поступление</t>
        </is>
      </c>
      <c r="H2361">
        <f>VLOOKUP(C2361,Магазин!$A$2:$C$1000,2,0)</f>
        <v/>
      </c>
      <c r="I2361">
        <f>VLOOKUP(D2361,Товар!$A$2:$F$1000,3,0)</f>
        <v/>
      </c>
      <c r="J2361">
        <f>VLOOKUP(D2361,Товар!$A$2:$F$1000,5,0)</f>
        <v/>
      </c>
      <c r="K2361">
        <f>IF(AND(H2361="Промышленный",LEFT(I2361,18)="Порошок стиральный",F2361="Продажа",B2361=DATE(2023,6,7)),E2361*J2361/1000,0)</f>
        <v/>
      </c>
    </row>
    <row r="2362">
      <c r="A2362" t="n">
        <v>2361</v>
      </c>
      <c r="B2362" s="1" t="n">
        <v>45086</v>
      </c>
      <c r="C2362" s="5" t="inlineStr">
        <is>
          <t>M18</t>
        </is>
      </c>
      <c r="D2362" s="5" t="n">
        <v>21</v>
      </c>
      <c r="E2362" s="5" t="n">
        <v>300</v>
      </c>
      <c r="F2362" t="inlineStr">
        <is>
          <t>Поступление</t>
        </is>
      </c>
      <c r="H2362">
        <f>VLOOKUP(C2362,Магазин!$A$2:$C$1000,2,0)</f>
        <v/>
      </c>
      <c r="I2362">
        <f>VLOOKUP(D2362,Товар!$A$2:$F$1000,3,0)</f>
        <v/>
      </c>
      <c r="J2362">
        <f>VLOOKUP(D2362,Товар!$A$2:$F$1000,5,0)</f>
        <v/>
      </c>
      <c r="K2362">
        <f>IF(AND(H2362="Промышленный",LEFT(I2362,18)="Порошок стиральный",F2362="Продажа",B2362=DATE(2023,6,7)),E2362*J2362/1000,0)</f>
        <v/>
      </c>
    </row>
    <row r="2363">
      <c r="A2363" t="n">
        <v>2362</v>
      </c>
      <c r="B2363" s="1" t="n">
        <v>45086</v>
      </c>
      <c r="C2363" s="5" t="inlineStr">
        <is>
          <t>M18</t>
        </is>
      </c>
      <c r="D2363" s="5" t="n">
        <v>22</v>
      </c>
      <c r="E2363" s="5" t="n">
        <v>300</v>
      </c>
      <c r="F2363" t="inlineStr">
        <is>
          <t>Поступление</t>
        </is>
      </c>
      <c r="H2363">
        <f>VLOOKUP(C2363,Магазин!$A$2:$C$1000,2,0)</f>
        <v/>
      </c>
      <c r="I2363">
        <f>VLOOKUP(D2363,Товар!$A$2:$F$1000,3,0)</f>
        <v/>
      </c>
      <c r="J2363">
        <f>VLOOKUP(D2363,Товар!$A$2:$F$1000,5,0)</f>
        <v/>
      </c>
      <c r="K2363">
        <f>IF(AND(H2363="Промышленный",LEFT(I2363,18)="Порошок стиральный",F2363="Продажа",B2363=DATE(2023,6,7)),E2363*J2363/1000,0)</f>
        <v/>
      </c>
    </row>
    <row r="2364">
      <c r="A2364" t="n">
        <v>2363</v>
      </c>
      <c r="B2364" s="1" t="n">
        <v>45086</v>
      </c>
      <c r="C2364" s="5" t="inlineStr">
        <is>
          <t>M18</t>
        </is>
      </c>
      <c r="D2364" s="5" t="n">
        <v>23</v>
      </c>
      <c r="E2364" s="5" t="n">
        <v>300</v>
      </c>
      <c r="F2364" t="inlineStr">
        <is>
          <t>Поступление</t>
        </is>
      </c>
      <c r="H2364">
        <f>VLOOKUP(C2364,Магазин!$A$2:$C$1000,2,0)</f>
        <v/>
      </c>
      <c r="I2364">
        <f>VLOOKUP(D2364,Товар!$A$2:$F$1000,3,0)</f>
        <v/>
      </c>
      <c r="J2364">
        <f>VLOOKUP(D2364,Товар!$A$2:$F$1000,5,0)</f>
        <v/>
      </c>
      <c r="K2364">
        <f>IF(AND(H2364="Промышленный",LEFT(I2364,18)="Порошок стиральный",F2364="Продажа",B2364=DATE(2023,6,7)),E2364*J2364/1000,0)</f>
        <v/>
      </c>
    </row>
    <row r="2365">
      <c r="A2365" t="n">
        <v>2364</v>
      </c>
      <c r="B2365" s="1" t="n">
        <v>45086</v>
      </c>
      <c r="C2365" s="5" t="inlineStr">
        <is>
          <t>M18</t>
        </is>
      </c>
      <c r="D2365" s="5" t="n">
        <v>24</v>
      </c>
      <c r="E2365" s="5" t="n">
        <v>300</v>
      </c>
      <c r="F2365" t="inlineStr">
        <is>
          <t>Поступление</t>
        </is>
      </c>
      <c r="H2365">
        <f>VLOOKUP(C2365,Магазин!$A$2:$C$1000,2,0)</f>
        <v/>
      </c>
      <c r="I2365">
        <f>VLOOKUP(D2365,Товар!$A$2:$F$1000,3,0)</f>
        <v/>
      </c>
      <c r="J2365">
        <f>VLOOKUP(D2365,Товар!$A$2:$F$1000,5,0)</f>
        <v/>
      </c>
      <c r="K2365">
        <f>IF(AND(H2365="Промышленный",LEFT(I2365,18)="Порошок стиральный",F2365="Продажа",B2365=DATE(2023,6,7)),E2365*J2365/1000,0)</f>
        <v/>
      </c>
    </row>
    <row r="2366">
      <c r="A2366" t="n">
        <v>2365</v>
      </c>
      <c r="B2366" s="1" t="n">
        <v>45086</v>
      </c>
      <c r="C2366" s="5" t="inlineStr">
        <is>
          <t>M18</t>
        </is>
      </c>
      <c r="D2366" s="5" t="n">
        <v>25</v>
      </c>
      <c r="E2366" s="5" t="n">
        <v>300</v>
      </c>
      <c r="F2366" t="inlineStr">
        <is>
          <t>Поступление</t>
        </is>
      </c>
      <c r="H2366">
        <f>VLOOKUP(C2366,Магазин!$A$2:$C$1000,2,0)</f>
        <v/>
      </c>
      <c r="I2366">
        <f>VLOOKUP(D2366,Товар!$A$2:$F$1000,3,0)</f>
        <v/>
      </c>
      <c r="J2366">
        <f>VLOOKUP(D2366,Товар!$A$2:$F$1000,5,0)</f>
        <v/>
      </c>
      <c r="K2366">
        <f>IF(AND(H2366="Промышленный",LEFT(I2366,18)="Порошок стиральный",F2366="Продажа",B2366=DATE(2023,6,7)),E2366*J2366/1000,0)</f>
        <v/>
      </c>
    </row>
    <row r="2367">
      <c r="A2367" t="n">
        <v>2366</v>
      </c>
      <c r="B2367" s="1" t="n">
        <v>45086</v>
      </c>
      <c r="C2367" s="5" t="inlineStr">
        <is>
          <t>M18</t>
        </is>
      </c>
      <c r="D2367" s="5" t="n">
        <v>26</v>
      </c>
      <c r="E2367" s="5" t="n">
        <v>300</v>
      </c>
      <c r="F2367" t="inlineStr">
        <is>
          <t>Поступление</t>
        </is>
      </c>
      <c r="H2367">
        <f>VLOOKUP(C2367,Магазин!$A$2:$C$1000,2,0)</f>
        <v/>
      </c>
      <c r="I2367">
        <f>VLOOKUP(D2367,Товар!$A$2:$F$1000,3,0)</f>
        <v/>
      </c>
      <c r="J2367">
        <f>VLOOKUP(D2367,Товар!$A$2:$F$1000,5,0)</f>
        <v/>
      </c>
      <c r="K2367">
        <f>IF(AND(H2367="Промышленный",LEFT(I2367,18)="Порошок стиральный",F2367="Продажа",B2367=DATE(2023,6,7)),E2367*J2367/1000,0)</f>
        <v/>
      </c>
    </row>
    <row r="2368">
      <c r="A2368" t="n">
        <v>2367</v>
      </c>
      <c r="B2368" s="1" t="n">
        <v>45086</v>
      </c>
      <c r="C2368" s="5" t="inlineStr">
        <is>
          <t>M18</t>
        </is>
      </c>
      <c r="D2368" s="5" t="n">
        <v>27</v>
      </c>
      <c r="E2368" s="5" t="n">
        <v>300</v>
      </c>
      <c r="F2368" t="inlineStr">
        <is>
          <t>Поступление</t>
        </is>
      </c>
      <c r="H2368">
        <f>VLOOKUP(C2368,Магазин!$A$2:$C$1000,2,0)</f>
        <v/>
      </c>
      <c r="I2368">
        <f>VLOOKUP(D2368,Товар!$A$2:$F$1000,3,0)</f>
        <v/>
      </c>
      <c r="J2368">
        <f>VLOOKUP(D2368,Товар!$A$2:$F$1000,5,0)</f>
        <v/>
      </c>
      <c r="K2368">
        <f>IF(AND(H2368="Промышленный",LEFT(I2368,18)="Порошок стиральный",F2368="Продажа",B2368=DATE(2023,6,7)),E2368*J2368/1000,0)</f>
        <v/>
      </c>
    </row>
    <row r="2369">
      <c r="A2369" t="n">
        <v>2368</v>
      </c>
      <c r="B2369" s="1" t="n">
        <v>45086</v>
      </c>
      <c r="C2369" s="5" t="inlineStr">
        <is>
          <t>M18</t>
        </is>
      </c>
      <c r="D2369" s="5" t="n">
        <v>28</v>
      </c>
      <c r="E2369" s="5" t="n">
        <v>300</v>
      </c>
      <c r="F2369" t="inlineStr">
        <is>
          <t>Поступление</t>
        </is>
      </c>
      <c r="H2369">
        <f>VLOOKUP(C2369,Магазин!$A$2:$C$1000,2,0)</f>
        <v/>
      </c>
      <c r="I2369">
        <f>VLOOKUP(D2369,Товар!$A$2:$F$1000,3,0)</f>
        <v/>
      </c>
      <c r="J2369">
        <f>VLOOKUP(D2369,Товар!$A$2:$F$1000,5,0)</f>
        <v/>
      </c>
      <c r="K2369">
        <f>IF(AND(H2369="Промышленный",LEFT(I2369,18)="Порошок стиральный",F2369="Продажа",B2369=DATE(2023,6,7)),E2369*J2369/1000,0)</f>
        <v/>
      </c>
    </row>
    <row r="2370">
      <c r="A2370" t="n">
        <v>2369</v>
      </c>
      <c r="B2370" s="1" t="n">
        <v>45086</v>
      </c>
      <c r="C2370" s="5" t="inlineStr">
        <is>
          <t>M18</t>
        </is>
      </c>
      <c r="D2370" s="5" t="n">
        <v>29</v>
      </c>
      <c r="E2370" s="5" t="n">
        <v>300</v>
      </c>
      <c r="F2370" t="inlineStr">
        <is>
          <t>Поступление</t>
        </is>
      </c>
      <c r="H2370">
        <f>VLOOKUP(C2370,Магазин!$A$2:$C$1000,2,0)</f>
        <v/>
      </c>
      <c r="I2370">
        <f>VLOOKUP(D2370,Товар!$A$2:$F$1000,3,0)</f>
        <v/>
      </c>
      <c r="J2370">
        <f>VLOOKUP(D2370,Товар!$A$2:$F$1000,5,0)</f>
        <v/>
      </c>
      <c r="K2370">
        <f>IF(AND(H2370="Промышленный",LEFT(I2370,18)="Порошок стиральный",F2370="Продажа",B2370=DATE(2023,6,7)),E2370*J2370/1000,0)</f>
        <v/>
      </c>
    </row>
    <row r="2371">
      <c r="A2371" t="n">
        <v>2370</v>
      </c>
      <c r="B2371" s="1" t="n">
        <v>45086</v>
      </c>
      <c r="C2371" s="5" t="inlineStr">
        <is>
          <t>M18</t>
        </is>
      </c>
      <c r="D2371" s="5" t="n">
        <v>30</v>
      </c>
      <c r="E2371" s="5" t="n">
        <v>300</v>
      </c>
      <c r="F2371" t="inlineStr">
        <is>
          <t>Поступление</t>
        </is>
      </c>
      <c r="H2371">
        <f>VLOOKUP(C2371,Магазин!$A$2:$C$1000,2,0)</f>
        <v/>
      </c>
      <c r="I2371">
        <f>VLOOKUP(D2371,Товар!$A$2:$F$1000,3,0)</f>
        <v/>
      </c>
      <c r="J2371">
        <f>VLOOKUP(D2371,Товар!$A$2:$F$1000,5,0)</f>
        <v/>
      </c>
      <c r="K2371">
        <f>IF(AND(H2371="Промышленный",LEFT(I2371,18)="Порошок стиральный",F2371="Продажа",B2371=DATE(2023,6,7)),E2371*J2371/1000,0)</f>
        <v/>
      </c>
    </row>
    <row r="2372">
      <c r="A2372" t="n">
        <v>2371</v>
      </c>
      <c r="B2372" s="1" t="n">
        <v>45086</v>
      </c>
      <c r="C2372" s="5" t="inlineStr">
        <is>
          <t>M18</t>
        </is>
      </c>
      <c r="D2372" s="5" t="n">
        <v>31</v>
      </c>
      <c r="E2372" s="5" t="n">
        <v>300</v>
      </c>
      <c r="F2372" t="inlineStr">
        <is>
          <t>Поступление</t>
        </is>
      </c>
      <c r="H2372">
        <f>VLOOKUP(C2372,Магазин!$A$2:$C$1000,2,0)</f>
        <v/>
      </c>
      <c r="I2372">
        <f>VLOOKUP(D2372,Товар!$A$2:$F$1000,3,0)</f>
        <v/>
      </c>
      <c r="J2372">
        <f>VLOOKUP(D2372,Товар!$A$2:$F$1000,5,0)</f>
        <v/>
      </c>
      <c r="K2372">
        <f>IF(AND(H2372="Промышленный",LEFT(I2372,18)="Порошок стиральный",F2372="Продажа",B2372=DATE(2023,6,7)),E2372*J2372/1000,0)</f>
        <v/>
      </c>
    </row>
    <row r="2373">
      <c r="A2373" t="n">
        <v>2372</v>
      </c>
      <c r="B2373" s="1" t="n">
        <v>45086</v>
      </c>
      <c r="C2373" s="5" t="inlineStr">
        <is>
          <t>M18</t>
        </is>
      </c>
      <c r="D2373" s="5" t="n">
        <v>32</v>
      </c>
      <c r="E2373" s="5" t="n">
        <v>300</v>
      </c>
      <c r="F2373" t="inlineStr">
        <is>
          <t>Поступление</t>
        </is>
      </c>
      <c r="H2373">
        <f>VLOOKUP(C2373,Магазин!$A$2:$C$1000,2,0)</f>
        <v/>
      </c>
      <c r="I2373">
        <f>VLOOKUP(D2373,Товар!$A$2:$F$1000,3,0)</f>
        <v/>
      </c>
      <c r="J2373">
        <f>VLOOKUP(D2373,Товар!$A$2:$F$1000,5,0)</f>
        <v/>
      </c>
      <c r="K2373">
        <f>IF(AND(H2373="Промышленный",LEFT(I2373,18)="Порошок стиральный",F2373="Продажа",B2373=DATE(2023,6,7)),E2373*J2373/1000,0)</f>
        <v/>
      </c>
    </row>
    <row r="2374">
      <c r="A2374" t="n">
        <v>2373</v>
      </c>
      <c r="B2374" s="1" t="n">
        <v>45086</v>
      </c>
      <c r="C2374" s="5" t="inlineStr">
        <is>
          <t>M18</t>
        </is>
      </c>
      <c r="D2374" s="5" t="n">
        <v>33</v>
      </c>
      <c r="E2374" s="5" t="n">
        <v>300</v>
      </c>
      <c r="F2374" t="inlineStr">
        <is>
          <t>Поступление</t>
        </is>
      </c>
      <c r="H2374">
        <f>VLOOKUP(C2374,Магазин!$A$2:$C$1000,2,0)</f>
        <v/>
      </c>
      <c r="I2374">
        <f>VLOOKUP(D2374,Товар!$A$2:$F$1000,3,0)</f>
        <v/>
      </c>
      <c r="J2374">
        <f>VLOOKUP(D2374,Товар!$A$2:$F$1000,5,0)</f>
        <v/>
      </c>
      <c r="K2374">
        <f>IF(AND(H2374="Промышленный",LEFT(I2374,18)="Порошок стиральный",F2374="Продажа",B2374=DATE(2023,6,7)),E2374*J2374/1000,0)</f>
        <v/>
      </c>
    </row>
    <row r="2375">
      <c r="A2375" t="n">
        <v>2374</v>
      </c>
      <c r="B2375" s="1" t="n">
        <v>45086</v>
      </c>
      <c r="C2375" s="5" t="inlineStr">
        <is>
          <t>M18</t>
        </is>
      </c>
      <c r="D2375" s="5" t="n">
        <v>34</v>
      </c>
      <c r="E2375" s="5" t="n">
        <v>300</v>
      </c>
      <c r="F2375" t="inlineStr">
        <is>
          <t>Поступление</t>
        </is>
      </c>
      <c r="H2375">
        <f>VLOOKUP(C2375,Магазин!$A$2:$C$1000,2,0)</f>
        <v/>
      </c>
      <c r="I2375">
        <f>VLOOKUP(D2375,Товар!$A$2:$F$1000,3,0)</f>
        <v/>
      </c>
      <c r="J2375">
        <f>VLOOKUP(D2375,Товар!$A$2:$F$1000,5,0)</f>
        <v/>
      </c>
      <c r="K2375">
        <f>IF(AND(H2375="Промышленный",LEFT(I2375,18)="Порошок стиральный",F2375="Продажа",B2375=DATE(2023,6,7)),E2375*J2375/1000,0)</f>
        <v/>
      </c>
    </row>
    <row r="2376">
      <c r="A2376" t="n">
        <v>2375</v>
      </c>
      <c r="B2376" s="1" t="n">
        <v>45086</v>
      </c>
      <c r="C2376" s="5" t="inlineStr">
        <is>
          <t>M18</t>
        </is>
      </c>
      <c r="D2376" s="5" t="n">
        <v>35</v>
      </c>
      <c r="E2376" s="5" t="n">
        <v>300</v>
      </c>
      <c r="F2376" t="inlineStr">
        <is>
          <t>Поступление</t>
        </is>
      </c>
      <c r="H2376">
        <f>VLOOKUP(C2376,Магазин!$A$2:$C$1000,2,0)</f>
        <v/>
      </c>
      <c r="I2376">
        <f>VLOOKUP(D2376,Товар!$A$2:$F$1000,3,0)</f>
        <v/>
      </c>
      <c r="J2376">
        <f>VLOOKUP(D2376,Товар!$A$2:$F$1000,5,0)</f>
        <v/>
      </c>
      <c r="K2376">
        <f>IF(AND(H2376="Промышленный",LEFT(I2376,18)="Порошок стиральный",F2376="Продажа",B2376=DATE(2023,6,7)),E2376*J2376/1000,0)</f>
        <v/>
      </c>
    </row>
    <row r="2377">
      <c r="A2377" t="n">
        <v>2376</v>
      </c>
      <c r="B2377" s="1" t="n">
        <v>45086</v>
      </c>
      <c r="C2377" s="5" t="inlineStr">
        <is>
          <t>M18</t>
        </is>
      </c>
      <c r="D2377" s="5" t="n">
        <v>36</v>
      </c>
      <c r="E2377" s="5" t="n">
        <v>300</v>
      </c>
      <c r="F2377" t="inlineStr">
        <is>
          <t>Поступление</t>
        </is>
      </c>
      <c r="H2377">
        <f>VLOOKUP(C2377,Магазин!$A$2:$C$1000,2,0)</f>
        <v/>
      </c>
      <c r="I2377">
        <f>VLOOKUP(D2377,Товар!$A$2:$F$1000,3,0)</f>
        <v/>
      </c>
      <c r="J2377">
        <f>VLOOKUP(D2377,Товар!$A$2:$F$1000,5,0)</f>
        <v/>
      </c>
      <c r="K2377">
        <f>IF(AND(H2377="Промышленный",LEFT(I2377,18)="Порошок стиральный",F2377="Продажа",B2377=DATE(2023,6,7)),E2377*J2377/1000,0)</f>
        <v/>
      </c>
    </row>
    <row r="2378">
      <c r="A2378" t="n">
        <v>2377</v>
      </c>
      <c r="B2378" s="1" t="n">
        <v>45086</v>
      </c>
      <c r="C2378" s="5" t="inlineStr">
        <is>
          <t>M2</t>
        </is>
      </c>
      <c r="D2378" s="5" t="n">
        <v>1</v>
      </c>
      <c r="E2378" s="5" t="n">
        <v>400</v>
      </c>
      <c r="F2378" t="inlineStr">
        <is>
          <t>Поступление</t>
        </is>
      </c>
      <c r="H2378">
        <f>VLOOKUP(C2378,Магазин!$A$2:$C$1000,2,0)</f>
        <v/>
      </c>
      <c r="I2378">
        <f>VLOOKUP(D2378,Товар!$A$2:$F$1000,3,0)</f>
        <v/>
      </c>
      <c r="J2378">
        <f>VLOOKUP(D2378,Товар!$A$2:$F$1000,5,0)</f>
        <v/>
      </c>
      <c r="K2378">
        <f>IF(AND(H2378="Промышленный",LEFT(I2378,18)="Порошок стиральный",F2378="Продажа",B2378=DATE(2023,6,7)),E2378*J2378/1000,0)</f>
        <v/>
      </c>
    </row>
    <row r="2379">
      <c r="A2379" t="n">
        <v>2378</v>
      </c>
      <c r="B2379" s="1" t="n">
        <v>45086</v>
      </c>
      <c r="C2379" s="5" t="inlineStr">
        <is>
          <t>M2</t>
        </is>
      </c>
      <c r="D2379" s="5" t="n">
        <v>2</v>
      </c>
      <c r="E2379" s="5" t="n">
        <v>400</v>
      </c>
      <c r="F2379" t="inlineStr">
        <is>
          <t>Поступление</t>
        </is>
      </c>
      <c r="H2379">
        <f>VLOOKUP(C2379,Магазин!$A$2:$C$1000,2,0)</f>
        <v/>
      </c>
      <c r="I2379">
        <f>VLOOKUP(D2379,Товар!$A$2:$F$1000,3,0)</f>
        <v/>
      </c>
      <c r="J2379">
        <f>VLOOKUP(D2379,Товар!$A$2:$F$1000,5,0)</f>
        <v/>
      </c>
      <c r="K2379">
        <f>IF(AND(H2379="Промышленный",LEFT(I2379,18)="Порошок стиральный",F2379="Продажа",B2379=DATE(2023,6,7)),E2379*J2379/1000,0)</f>
        <v/>
      </c>
    </row>
    <row r="2380">
      <c r="A2380" t="n">
        <v>2379</v>
      </c>
      <c r="B2380" s="1" t="n">
        <v>45086</v>
      </c>
      <c r="C2380" s="5" t="inlineStr">
        <is>
          <t>M2</t>
        </is>
      </c>
      <c r="D2380" s="5" t="n">
        <v>3</v>
      </c>
      <c r="E2380" s="5" t="n">
        <v>400</v>
      </c>
      <c r="F2380" t="inlineStr">
        <is>
          <t>Поступление</t>
        </is>
      </c>
      <c r="H2380">
        <f>VLOOKUP(C2380,Магазин!$A$2:$C$1000,2,0)</f>
        <v/>
      </c>
      <c r="I2380">
        <f>VLOOKUP(D2380,Товар!$A$2:$F$1000,3,0)</f>
        <v/>
      </c>
      <c r="J2380">
        <f>VLOOKUP(D2380,Товар!$A$2:$F$1000,5,0)</f>
        <v/>
      </c>
      <c r="K2380">
        <f>IF(AND(H2380="Промышленный",LEFT(I2380,18)="Порошок стиральный",F2380="Продажа",B2380=DATE(2023,6,7)),E2380*J2380/1000,0)</f>
        <v/>
      </c>
    </row>
    <row r="2381">
      <c r="A2381" t="n">
        <v>2380</v>
      </c>
      <c r="B2381" s="1" t="n">
        <v>45086</v>
      </c>
      <c r="C2381" s="5" t="inlineStr">
        <is>
          <t>M2</t>
        </is>
      </c>
      <c r="D2381" s="5" t="n">
        <v>4</v>
      </c>
      <c r="E2381" s="5" t="n">
        <v>400</v>
      </c>
      <c r="F2381" t="inlineStr">
        <is>
          <t>Поступление</t>
        </is>
      </c>
      <c r="H2381">
        <f>VLOOKUP(C2381,Магазин!$A$2:$C$1000,2,0)</f>
        <v/>
      </c>
      <c r="I2381">
        <f>VLOOKUP(D2381,Товар!$A$2:$F$1000,3,0)</f>
        <v/>
      </c>
      <c r="J2381">
        <f>VLOOKUP(D2381,Товар!$A$2:$F$1000,5,0)</f>
        <v/>
      </c>
      <c r="K2381">
        <f>IF(AND(H2381="Промышленный",LEFT(I2381,18)="Порошок стиральный",F2381="Продажа",B2381=DATE(2023,6,7)),E2381*J2381/1000,0)</f>
        <v/>
      </c>
    </row>
    <row r="2382">
      <c r="A2382" t="n">
        <v>2381</v>
      </c>
      <c r="B2382" s="1" t="n">
        <v>45086</v>
      </c>
      <c r="C2382" s="5" t="inlineStr">
        <is>
          <t>M2</t>
        </is>
      </c>
      <c r="D2382" s="5" t="n">
        <v>5</v>
      </c>
      <c r="E2382" s="5" t="n">
        <v>400</v>
      </c>
      <c r="F2382" t="inlineStr">
        <is>
          <t>Поступление</t>
        </is>
      </c>
      <c r="H2382">
        <f>VLOOKUP(C2382,Магазин!$A$2:$C$1000,2,0)</f>
        <v/>
      </c>
      <c r="I2382">
        <f>VLOOKUP(D2382,Товар!$A$2:$F$1000,3,0)</f>
        <v/>
      </c>
      <c r="J2382">
        <f>VLOOKUP(D2382,Товар!$A$2:$F$1000,5,0)</f>
        <v/>
      </c>
      <c r="K2382">
        <f>IF(AND(H2382="Промышленный",LEFT(I2382,18)="Порошок стиральный",F2382="Продажа",B2382=DATE(2023,6,7)),E2382*J2382/1000,0)</f>
        <v/>
      </c>
    </row>
    <row r="2383">
      <c r="A2383" t="n">
        <v>2382</v>
      </c>
      <c r="B2383" s="1" t="n">
        <v>45086</v>
      </c>
      <c r="C2383" s="5" t="inlineStr">
        <is>
          <t>M2</t>
        </is>
      </c>
      <c r="D2383" s="5" t="n">
        <v>6</v>
      </c>
      <c r="E2383" s="5" t="n">
        <v>400</v>
      </c>
      <c r="F2383" t="inlineStr">
        <is>
          <t>Поступление</t>
        </is>
      </c>
      <c r="H2383">
        <f>VLOOKUP(C2383,Магазин!$A$2:$C$1000,2,0)</f>
        <v/>
      </c>
      <c r="I2383">
        <f>VLOOKUP(D2383,Товар!$A$2:$F$1000,3,0)</f>
        <v/>
      </c>
      <c r="J2383">
        <f>VLOOKUP(D2383,Товар!$A$2:$F$1000,5,0)</f>
        <v/>
      </c>
      <c r="K2383">
        <f>IF(AND(H2383="Промышленный",LEFT(I2383,18)="Порошок стиральный",F2383="Продажа",B2383=DATE(2023,6,7)),E2383*J2383/1000,0)</f>
        <v/>
      </c>
    </row>
    <row r="2384">
      <c r="A2384" t="n">
        <v>2383</v>
      </c>
      <c r="B2384" s="1" t="n">
        <v>45086</v>
      </c>
      <c r="C2384" s="5" t="inlineStr">
        <is>
          <t>M2</t>
        </is>
      </c>
      <c r="D2384" s="5" t="n">
        <v>7</v>
      </c>
      <c r="E2384" s="5" t="n">
        <v>400</v>
      </c>
      <c r="F2384" t="inlineStr">
        <is>
          <t>Поступление</t>
        </is>
      </c>
      <c r="H2384">
        <f>VLOOKUP(C2384,Магазин!$A$2:$C$1000,2,0)</f>
        <v/>
      </c>
      <c r="I2384">
        <f>VLOOKUP(D2384,Товар!$A$2:$F$1000,3,0)</f>
        <v/>
      </c>
      <c r="J2384">
        <f>VLOOKUP(D2384,Товар!$A$2:$F$1000,5,0)</f>
        <v/>
      </c>
      <c r="K2384">
        <f>IF(AND(H2384="Промышленный",LEFT(I2384,18)="Порошок стиральный",F2384="Продажа",B2384=DATE(2023,6,7)),E2384*J2384/1000,0)</f>
        <v/>
      </c>
    </row>
    <row r="2385">
      <c r="A2385" t="n">
        <v>2384</v>
      </c>
      <c r="B2385" s="1" t="n">
        <v>45086</v>
      </c>
      <c r="C2385" s="5" t="inlineStr">
        <is>
          <t>M2</t>
        </is>
      </c>
      <c r="D2385" s="5" t="n">
        <v>8</v>
      </c>
      <c r="E2385" s="5" t="n">
        <v>400</v>
      </c>
      <c r="F2385" t="inlineStr">
        <is>
          <t>Поступление</t>
        </is>
      </c>
      <c r="H2385">
        <f>VLOOKUP(C2385,Магазин!$A$2:$C$1000,2,0)</f>
        <v/>
      </c>
      <c r="I2385">
        <f>VLOOKUP(D2385,Товар!$A$2:$F$1000,3,0)</f>
        <v/>
      </c>
      <c r="J2385">
        <f>VLOOKUP(D2385,Товар!$A$2:$F$1000,5,0)</f>
        <v/>
      </c>
      <c r="K2385">
        <f>IF(AND(H2385="Промышленный",LEFT(I2385,18)="Порошок стиральный",F2385="Продажа",B2385=DATE(2023,6,7)),E2385*J2385/1000,0)</f>
        <v/>
      </c>
    </row>
    <row r="2386">
      <c r="A2386" t="n">
        <v>2385</v>
      </c>
      <c r="B2386" s="1" t="n">
        <v>45086</v>
      </c>
      <c r="C2386" s="5" t="inlineStr">
        <is>
          <t>M2</t>
        </is>
      </c>
      <c r="D2386" s="5" t="n">
        <v>9</v>
      </c>
      <c r="E2386" s="5" t="n">
        <v>400</v>
      </c>
      <c r="F2386" t="inlineStr">
        <is>
          <t>Поступление</t>
        </is>
      </c>
      <c r="H2386">
        <f>VLOOKUP(C2386,Магазин!$A$2:$C$1000,2,0)</f>
        <v/>
      </c>
      <c r="I2386">
        <f>VLOOKUP(D2386,Товар!$A$2:$F$1000,3,0)</f>
        <v/>
      </c>
      <c r="J2386">
        <f>VLOOKUP(D2386,Товар!$A$2:$F$1000,5,0)</f>
        <v/>
      </c>
      <c r="K2386">
        <f>IF(AND(H2386="Промышленный",LEFT(I2386,18)="Порошок стиральный",F2386="Продажа",B2386=DATE(2023,6,7)),E2386*J2386/1000,0)</f>
        <v/>
      </c>
    </row>
    <row r="2387">
      <c r="A2387" t="n">
        <v>2386</v>
      </c>
      <c r="B2387" s="1" t="n">
        <v>45086</v>
      </c>
      <c r="C2387" s="5" t="inlineStr">
        <is>
          <t>M2</t>
        </is>
      </c>
      <c r="D2387" s="5" t="n">
        <v>10</v>
      </c>
      <c r="E2387" s="5" t="n">
        <v>400</v>
      </c>
      <c r="F2387" t="inlineStr">
        <is>
          <t>Поступление</t>
        </is>
      </c>
      <c r="H2387">
        <f>VLOOKUP(C2387,Магазин!$A$2:$C$1000,2,0)</f>
        <v/>
      </c>
      <c r="I2387">
        <f>VLOOKUP(D2387,Товар!$A$2:$F$1000,3,0)</f>
        <v/>
      </c>
      <c r="J2387">
        <f>VLOOKUP(D2387,Товар!$A$2:$F$1000,5,0)</f>
        <v/>
      </c>
      <c r="K2387">
        <f>IF(AND(H2387="Промышленный",LEFT(I2387,18)="Порошок стиральный",F2387="Продажа",B2387=DATE(2023,6,7)),E2387*J2387/1000,0)</f>
        <v/>
      </c>
    </row>
    <row r="2388">
      <c r="A2388" t="n">
        <v>2387</v>
      </c>
      <c r="B2388" s="1" t="n">
        <v>45086</v>
      </c>
      <c r="C2388" s="5" t="inlineStr">
        <is>
          <t>M2</t>
        </is>
      </c>
      <c r="D2388" s="5" t="n">
        <v>11</v>
      </c>
      <c r="E2388" s="5" t="n">
        <v>400</v>
      </c>
      <c r="F2388" t="inlineStr">
        <is>
          <t>Поступление</t>
        </is>
      </c>
      <c r="H2388">
        <f>VLOOKUP(C2388,Магазин!$A$2:$C$1000,2,0)</f>
        <v/>
      </c>
      <c r="I2388">
        <f>VLOOKUP(D2388,Товар!$A$2:$F$1000,3,0)</f>
        <v/>
      </c>
      <c r="J2388">
        <f>VLOOKUP(D2388,Товар!$A$2:$F$1000,5,0)</f>
        <v/>
      </c>
      <c r="K2388">
        <f>IF(AND(H2388="Промышленный",LEFT(I2388,18)="Порошок стиральный",F2388="Продажа",B2388=DATE(2023,6,7)),E2388*J2388/1000,0)</f>
        <v/>
      </c>
    </row>
    <row r="2389">
      <c r="A2389" t="n">
        <v>2388</v>
      </c>
      <c r="B2389" s="1" t="n">
        <v>45086</v>
      </c>
      <c r="C2389" s="5" t="inlineStr">
        <is>
          <t>M2</t>
        </is>
      </c>
      <c r="D2389" s="5" t="n">
        <v>12</v>
      </c>
      <c r="E2389" s="5" t="n">
        <v>400</v>
      </c>
      <c r="F2389" t="inlineStr">
        <is>
          <t>Поступление</t>
        </is>
      </c>
      <c r="H2389">
        <f>VLOOKUP(C2389,Магазин!$A$2:$C$1000,2,0)</f>
        <v/>
      </c>
      <c r="I2389">
        <f>VLOOKUP(D2389,Товар!$A$2:$F$1000,3,0)</f>
        <v/>
      </c>
      <c r="J2389">
        <f>VLOOKUP(D2389,Товар!$A$2:$F$1000,5,0)</f>
        <v/>
      </c>
      <c r="K2389">
        <f>IF(AND(H2389="Промышленный",LEFT(I2389,18)="Порошок стиральный",F2389="Продажа",B2389=DATE(2023,6,7)),E2389*J2389/1000,0)</f>
        <v/>
      </c>
    </row>
    <row r="2390">
      <c r="A2390" t="n">
        <v>2389</v>
      </c>
      <c r="B2390" s="1" t="n">
        <v>45086</v>
      </c>
      <c r="C2390" s="5" t="inlineStr">
        <is>
          <t>M2</t>
        </is>
      </c>
      <c r="D2390" s="5" t="n">
        <v>13</v>
      </c>
      <c r="E2390" s="5" t="n">
        <v>400</v>
      </c>
      <c r="F2390" t="inlineStr">
        <is>
          <t>Поступление</t>
        </is>
      </c>
      <c r="H2390">
        <f>VLOOKUP(C2390,Магазин!$A$2:$C$1000,2,0)</f>
        <v/>
      </c>
      <c r="I2390">
        <f>VLOOKUP(D2390,Товар!$A$2:$F$1000,3,0)</f>
        <v/>
      </c>
      <c r="J2390">
        <f>VLOOKUP(D2390,Товар!$A$2:$F$1000,5,0)</f>
        <v/>
      </c>
      <c r="K2390">
        <f>IF(AND(H2390="Промышленный",LEFT(I2390,18)="Порошок стиральный",F2390="Продажа",B2390=DATE(2023,6,7)),E2390*J2390/1000,0)</f>
        <v/>
      </c>
    </row>
    <row r="2391">
      <c r="A2391" t="n">
        <v>2390</v>
      </c>
      <c r="B2391" s="1" t="n">
        <v>45086</v>
      </c>
      <c r="C2391" s="5" t="inlineStr">
        <is>
          <t>M2</t>
        </is>
      </c>
      <c r="D2391" s="5" t="n">
        <v>14</v>
      </c>
      <c r="E2391" s="5" t="n">
        <v>400</v>
      </c>
      <c r="F2391" t="inlineStr">
        <is>
          <t>Поступление</t>
        </is>
      </c>
      <c r="H2391">
        <f>VLOOKUP(C2391,Магазин!$A$2:$C$1000,2,0)</f>
        <v/>
      </c>
      <c r="I2391">
        <f>VLOOKUP(D2391,Товар!$A$2:$F$1000,3,0)</f>
        <v/>
      </c>
      <c r="J2391">
        <f>VLOOKUP(D2391,Товар!$A$2:$F$1000,5,0)</f>
        <v/>
      </c>
      <c r="K2391">
        <f>IF(AND(H2391="Промышленный",LEFT(I2391,18)="Порошок стиральный",F2391="Продажа",B2391=DATE(2023,6,7)),E2391*J2391/1000,0)</f>
        <v/>
      </c>
    </row>
    <row r="2392">
      <c r="A2392" t="n">
        <v>2391</v>
      </c>
      <c r="B2392" s="1" t="n">
        <v>45086</v>
      </c>
      <c r="C2392" s="5" t="inlineStr">
        <is>
          <t>M2</t>
        </is>
      </c>
      <c r="D2392" s="5" t="n">
        <v>15</v>
      </c>
      <c r="E2392" s="5" t="n">
        <v>400</v>
      </c>
      <c r="F2392" t="inlineStr">
        <is>
          <t>Поступление</t>
        </is>
      </c>
      <c r="H2392">
        <f>VLOOKUP(C2392,Магазин!$A$2:$C$1000,2,0)</f>
        <v/>
      </c>
      <c r="I2392">
        <f>VLOOKUP(D2392,Товар!$A$2:$F$1000,3,0)</f>
        <v/>
      </c>
      <c r="J2392">
        <f>VLOOKUP(D2392,Товар!$A$2:$F$1000,5,0)</f>
        <v/>
      </c>
      <c r="K2392">
        <f>IF(AND(H2392="Промышленный",LEFT(I2392,18)="Порошок стиральный",F2392="Продажа",B2392=DATE(2023,6,7)),E2392*J2392/1000,0)</f>
        <v/>
      </c>
    </row>
    <row r="2393">
      <c r="A2393" t="n">
        <v>2392</v>
      </c>
      <c r="B2393" s="1" t="n">
        <v>45086</v>
      </c>
      <c r="C2393" s="5" t="inlineStr">
        <is>
          <t>M2</t>
        </is>
      </c>
      <c r="D2393" s="5" t="n">
        <v>16</v>
      </c>
      <c r="E2393" s="5" t="n">
        <v>400</v>
      </c>
      <c r="F2393" t="inlineStr">
        <is>
          <t>Поступление</t>
        </is>
      </c>
      <c r="H2393">
        <f>VLOOKUP(C2393,Магазин!$A$2:$C$1000,2,0)</f>
        <v/>
      </c>
      <c r="I2393">
        <f>VLOOKUP(D2393,Товар!$A$2:$F$1000,3,0)</f>
        <v/>
      </c>
      <c r="J2393">
        <f>VLOOKUP(D2393,Товар!$A$2:$F$1000,5,0)</f>
        <v/>
      </c>
      <c r="K2393">
        <f>IF(AND(H2393="Промышленный",LEFT(I2393,18)="Порошок стиральный",F2393="Продажа",B2393=DATE(2023,6,7)),E2393*J2393/1000,0)</f>
        <v/>
      </c>
    </row>
    <row r="2394">
      <c r="A2394" t="n">
        <v>2393</v>
      </c>
      <c r="B2394" s="1" t="n">
        <v>45086</v>
      </c>
      <c r="C2394" s="5" t="inlineStr">
        <is>
          <t>M2</t>
        </is>
      </c>
      <c r="D2394" s="5" t="n">
        <v>17</v>
      </c>
      <c r="E2394" s="5" t="n">
        <v>400</v>
      </c>
      <c r="F2394" t="inlineStr">
        <is>
          <t>Поступление</t>
        </is>
      </c>
      <c r="H2394">
        <f>VLOOKUP(C2394,Магазин!$A$2:$C$1000,2,0)</f>
        <v/>
      </c>
      <c r="I2394">
        <f>VLOOKUP(D2394,Товар!$A$2:$F$1000,3,0)</f>
        <v/>
      </c>
      <c r="J2394">
        <f>VLOOKUP(D2394,Товар!$A$2:$F$1000,5,0)</f>
        <v/>
      </c>
      <c r="K2394">
        <f>IF(AND(H2394="Промышленный",LEFT(I2394,18)="Порошок стиральный",F2394="Продажа",B2394=DATE(2023,6,7)),E2394*J2394/1000,0)</f>
        <v/>
      </c>
    </row>
    <row r="2395">
      <c r="A2395" t="n">
        <v>2394</v>
      </c>
      <c r="B2395" s="1" t="n">
        <v>45086</v>
      </c>
      <c r="C2395" s="5" t="inlineStr">
        <is>
          <t>M2</t>
        </is>
      </c>
      <c r="D2395" s="5" t="n">
        <v>18</v>
      </c>
      <c r="E2395" s="5" t="n">
        <v>400</v>
      </c>
      <c r="F2395" t="inlineStr">
        <is>
          <t>Поступление</t>
        </is>
      </c>
      <c r="H2395">
        <f>VLOOKUP(C2395,Магазин!$A$2:$C$1000,2,0)</f>
        <v/>
      </c>
      <c r="I2395">
        <f>VLOOKUP(D2395,Товар!$A$2:$F$1000,3,0)</f>
        <v/>
      </c>
      <c r="J2395">
        <f>VLOOKUP(D2395,Товар!$A$2:$F$1000,5,0)</f>
        <v/>
      </c>
      <c r="K2395">
        <f>IF(AND(H2395="Промышленный",LEFT(I2395,18)="Порошок стиральный",F2395="Продажа",B2395=DATE(2023,6,7)),E2395*J2395/1000,0)</f>
        <v/>
      </c>
    </row>
    <row r="2396">
      <c r="A2396" t="n">
        <v>2395</v>
      </c>
      <c r="B2396" s="1" t="n">
        <v>45086</v>
      </c>
      <c r="C2396" s="5" t="inlineStr">
        <is>
          <t>M2</t>
        </is>
      </c>
      <c r="D2396" s="5" t="n">
        <v>19</v>
      </c>
      <c r="E2396" s="5" t="n">
        <v>400</v>
      </c>
      <c r="F2396" t="inlineStr">
        <is>
          <t>Поступление</t>
        </is>
      </c>
      <c r="H2396">
        <f>VLOOKUP(C2396,Магазин!$A$2:$C$1000,2,0)</f>
        <v/>
      </c>
      <c r="I2396">
        <f>VLOOKUP(D2396,Товар!$A$2:$F$1000,3,0)</f>
        <v/>
      </c>
      <c r="J2396">
        <f>VLOOKUP(D2396,Товар!$A$2:$F$1000,5,0)</f>
        <v/>
      </c>
      <c r="K2396">
        <f>IF(AND(H2396="Промышленный",LEFT(I2396,18)="Порошок стиральный",F2396="Продажа",B2396=DATE(2023,6,7)),E2396*J2396/1000,0)</f>
        <v/>
      </c>
    </row>
    <row r="2397">
      <c r="A2397" t="n">
        <v>2396</v>
      </c>
      <c r="B2397" s="1" t="n">
        <v>45086</v>
      </c>
      <c r="C2397" s="5" t="inlineStr">
        <is>
          <t>M2</t>
        </is>
      </c>
      <c r="D2397" s="5" t="n">
        <v>20</v>
      </c>
      <c r="E2397" s="5" t="n">
        <v>400</v>
      </c>
      <c r="F2397" t="inlineStr">
        <is>
          <t>Поступление</t>
        </is>
      </c>
      <c r="H2397">
        <f>VLOOKUP(C2397,Магазин!$A$2:$C$1000,2,0)</f>
        <v/>
      </c>
      <c r="I2397">
        <f>VLOOKUP(D2397,Товар!$A$2:$F$1000,3,0)</f>
        <v/>
      </c>
      <c r="J2397">
        <f>VLOOKUP(D2397,Товар!$A$2:$F$1000,5,0)</f>
        <v/>
      </c>
      <c r="K2397">
        <f>IF(AND(H2397="Промышленный",LEFT(I2397,18)="Порошок стиральный",F2397="Продажа",B2397=DATE(2023,6,7)),E2397*J2397/1000,0)</f>
        <v/>
      </c>
    </row>
    <row r="2398">
      <c r="A2398" t="n">
        <v>2397</v>
      </c>
      <c r="B2398" s="1" t="n">
        <v>45086</v>
      </c>
      <c r="C2398" s="5" t="inlineStr">
        <is>
          <t>M2</t>
        </is>
      </c>
      <c r="D2398" s="5" t="n">
        <v>21</v>
      </c>
      <c r="E2398" s="5" t="n">
        <v>400</v>
      </c>
      <c r="F2398" t="inlineStr">
        <is>
          <t>Поступление</t>
        </is>
      </c>
      <c r="H2398">
        <f>VLOOKUP(C2398,Магазин!$A$2:$C$1000,2,0)</f>
        <v/>
      </c>
      <c r="I2398">
        <f>VLOOKUP(D2398,Товар!$A$2:$F$1000,3,0)</f>
        <v/>
      </c>
      <c r="J2398">
        <f>VLOOKUP(D2398,Товар!$A$2:$F$1000,5,0)</f>
        <v/>
      </c>
      <c r="K2398">
        <f>IF(AND(H2398="Промышленный",LEFT(I2398,18)="Порошок стиральный",F2398="Продажа",B2398=DATE(2023,6,7)),E2398*J2398/1000,0)</f>
        <v/>
      </c>
    </row>
    <row r="2399">
      <c r="A2399" t="n">
        <v>2398</v>
      </c>
      <c r="B2399" s="1" t="n">
        <v>45086</v>
      </c>
      <c r="C2399" s="5" t="inlineStr">
        <is>
          <t>M2</t>
        </is>
      </c>
      <c r="D2399" s="5" t="n">
        <v>22</v>
      </c>
      <c r="E2399" s="5" t="n">
        <v>400</v>
      </c>
      <c r="F2399" t="inlineStr">
        <is>
          <t>Поступление</t>
        </is>
      </c>
      <c r="H2399">
        <f>VLOOKUP(C2399,Магазин!$A$2:$C$1000,2,0)</f>
        <v/>
      </c>
      <c r="I2399">
        <f>VLOOKUP(D2399,Товар!$A$2:$F$1000,3,0)</f>
        <v/>
      </c>
      <c r="J2399">
        <f>VLOOKUP(D2399,Товар!$A$2:$F$1000,5,0)</f>
        <v/>
      </c>
      <c r="K2399">
        <f>IF(AND(H2399="Промышленный",LEFT(I2399,18)="Порошок стиральный",F2399="Продажа",B2399=DATE(2023,6,7)),E2399*J2399/1000,0)</f>
        <v/>
      </c>
    </row>
    <row r="2400">
      <c r="A2400" t="n">
        <v>2399</v>
      </c>
      <c r="B2400" s="1" t="n">
        <v>45086</v>
      </c>
      <c r="C2400" s="5" t="inlineStr">
        <is>
          <t>M2</t>
        </is>
      </c>
      <c r="D2400" s="5" t="n">
        <v>23</v>
      </c>
      <c r="E2400" s="5" t="n">
        <v>400</v>
      </c>
      <c r="F2400" t="inlineStr">
        <is>
          <t>Поступление</t>
        </is>
      </c>
      <c r="H2400">
        <f>VLOOKUP(C2400,Магазин!$A$2:$C$1000,2,0)</f>
        <v/>
      </c>
      <c r="I2400">
        <f>VLOOKUP(D2400,Товар!$A$2:$F$1000,3,0)</f>
        <v/>
      </c>
      <c r="J2400">
        <f>VLOOKUP(D2400,Товар!$A$2:$F$1000,5,0)</f>
        <v/>
      </c>
      <c r="K2400">
        <f>IF(AND(H2400="Промышленный",LEFT(I2400,18)="Порошок стиральный",F2400="Продажа",B2400=DATE(2023,6,7)),E2400*J2400/1000,0)</f>
        <v/>
      </c>
    </row>
    <row r="2401">
      <c r="A2401" t="n">
        <v>2400</v>
      </c>
      <c r="B2401" s="1" t="n">
        <v>45086</v>
      </c>
      <c r="C2401" s="5" t="inlineStr">
        <is>
          <t>M2</t>
        </is>
      </c>
      <c r="D2401" s="5" t="n">
        <v>24</v>
      </c>
      <c r="E2401" s="5" t="n">
        <v>400</v>
      </c>
      <c r="F2401" t="inlineStr">
        <is>
          <t>Поступление</t>
        </is>
      </c>
      <c r="H2401">
        <f>VLOOKUP(C2401,Магазин!$A$2:$C$1000,2,0)</f>
        <v/>
      </c>
      <c r="I2401">
        <f>VLOOKUP(D2401,Товар!$A$2:$F$1000,3,0)</f>
        <v/>
      </c>
      <c r="J2401">
        <f>VLOOKUP(D2401,Товар!$A$2:$F$1000,5,0)</f>
        <v/>
      </c>
      <c r="K2401">
        <f>IF(AND(H2401="Промышленный",LEFT(I2401,18)="Порошок стиральный",F2401="Продажа",B2401=DATE(2023,6,7)),E2401*J2401/1000,0)</f>
        <v/>
      </c>
    </row>
    <row r="2402">
      <c r="A2402" t="n">
        <v>2401</v>
      </c>
      <c r="B2402" s="1" t="n">
        <v>45086</v>
      </c>
      <c r="C2402" s="5" t="inlineStr">
        <is>
          <t>M2</t>
        </is>
      </c>
      <c r="D2402" s="5" t="n">
        <v>25</v>
      </c>
      <c r="E2402" s="5" t="n">
        <v>400</v>
      </c>
      <c r="F2402" t="inlineStr">
        <is>
          <t>Поступление</t>
        </is>
      </c>
      <c r="H2402">
        <f>VLOOKUP(C2402,Магазин!$A$2:$C$1000,2,0)</f>
        <v/>
      </c>
      <c r="I2402">
        <f>VLOOKUP(D2402,Товар!$A$2:$F$1000,3,0)</f>
        <v/>
      </c>
      <c r="J2402">
        <f>VLOOKUP(D2402,Товар!$A$2:$F$1000,5,0)</f>
        <v/>
      </c>
      <c r="K2402">
        <f>IF(AND(H2402="Промышленный",LEFT(I2402,18)="Порошок стиральный",F2402="Продажа",B2402=DATE(2023,6,7)),E2402*J2402/1000,0)</f>
        <v/>
      </c>
    </row>
    <row r="2403">
      <c r="A2403" t="n">
        <v>2402</v>
      </c>
      <c r="B2403" s="1" t="n">
        <v>45086</v>
      </c>
      <c r="C2403" s="5" t="inlineStr">
        <is>
          <t>M2</t>
        </is>
      </c>
      <c r="D2403" s="5" t="n">
        <v>26</v>
      </c>
      <c r="E2403" s="5" t="n">
        <v>400</v>
      </c>
      <c r="F2403" t="inlineStr">
        <is>
          <t>Поступление</t>
        </is>
      </c>
      <c r="H2403">
        <f>VLOOKUP(C2403,Магазин!$A$2:$C$1000,2,0)</f>
        <v/>
      </c>
      <c r="I2403">
        <f>VLOOKUP(D2403,Товар!$A$2:$F$1000,3,0)</f>
        <v/>
      </c>
      <c r="J2403">
        <f>VLOOKUP(D2403,Товар!$A$2:$F$1000,5,0)</f>
        <v/>
      </c>
      <c r="K2403">
        <f>IF(AND(H2403="Промышленный",LEFT(I2403,18)="Порошок стиральный",F2403="Продажа",B2403=DATE(2023,6,7)),E2403*J2403/1000,0)</f>
        <v/>
      </c>
    </row>
    <row r="2404">
      <c r="A2404" t="n">
        <v>2403</v>
      </c>
      <c r="B2404" s="1" t="n">
        <v>45086</v>
      </c>
      <c r="C2404" s="5" t="inlineStr">
        <is>
          <t>M2</t>
        </is>
      </c>
      <c r="D2404" s="5" t="n">
        <v>27</v>
      </c>
      <c r="E2404" s="5" t="n">
        <v>400</v>
      </c>
      <c r="F2404" t="inlineStr">
        <is>
          <t>Поступление</t>
        </is>
      </c>
      <c r="H2404">
        <f>VLOOKUP(C2404,Магазин!$A$2:$C$1000,2,0)</f>
        <v/>
      </c>
      <c r="I2404">
        <f>VLOOKUP(D2404,Товар!$A$2:$F$1000,3,0)</f>
        <v/>
      </c>
      <c r="J2404">
        <f>VLOOKUP(D2404,Товар!$A$2:$F$1000,5,0)</f>
        <v/>
      </c>
      <c r="K2404">
        <f>IF(AND(H2404="Промышленный",LEFT(I2404,18)="Порошок стиральный",F2404="Продажа",B2404=DATE(2023,6,7)),E2404*J2404/1000,0)</f>
        <v/>
      </c>
    </row>
    <row r="2405">
      <c r="A2405" t="n">
        <v>2404</v>
      </c>
      <c r="B2405" s="1" t="n">
        <v>45086</v>
      </c>
      <c r="C2405" s="5" t="inlineStr">
        <is>
          <t>M2</t>
        </is>
      </c>
      <c r="D2405" s="5" t="n">
        <v>28</v>
      </c>
      <c r="E2405" s="5" t="n">
        <v>400</v>
      </c>
      <c r="F2405" t="inlineStr">
        <is>
          <t>Поступление</t>
        </is>
      </c>
      <c r="H2405">
        <f>VLOOKUP(C2405,Магазин!$A$2:$C$1000,2,0)</f>
        <v/>
      </c>
      <c r="I2405">
        <f>VLOOKUP(D2405,Товар!$A$2:$F$1000,3,0)</f>
        <v/>
      </c>
      <c r="J2405">
        <f>VLOOKUP(D2405,Товар!$A$2:$F$1000,5,0)</f>
        <v/>
      </c>
      <c r="K2405">
        <f>IF(AND(H2405="Промышленный",LEFT(I2405,18)="Порошок стиральный",F2405="Продажа",B2405=DATE(2023,6,7)),E2405*J2405/1000,0)</f>
        <v/>
      </c>
    </row>
    <row r="2406">
      <c r="A2406" t="n">
        <v>2405</v>
      </c>
      <c r="B2406" s="1" t="n">
        <v>45086</v>
      </c>
      <c r="C2406" s="5" t="inlineStr">
        <is>
          <t>M2</t>
        </is>
      </c>
      <c r="D2406" s="5" t="n">
        <v>29</v>
      </c>
      <c r="E2406" s="5" t="n">
        <v>400</v>
      </c>
      <c r="F2406" t="inlineStr">
        <is>
          <t>Поступление</t>
        </is>
      </c>
      <c r="H2406">
        <f>VLOOKUP(C2406,Магазин!$A$2:$C$1000,2,0)</f>
        <v/>
      </c>
      <c r="I2406">
        <f>VLOOKUP(D2406,Товар!$A$2:$F$1000,3,0)</f>
        <v/>
      </c>
      <c r="J2406">
        <f>VLOOKUP(D2406,Товар!$A$2:$F$1000,5,0)</f>
        <v/>
      </c>
      <c r="K2406">
        <f>IF(AND(H2406="Промышленный",LEFT(I2406,18)="Порошок стиральный",F2406="Продажа",B2406=DATE(2023,6,7)),E2406*J2406/1000,0)</f>
        <v/>
      </c>
    </row>
    <row r="2407">
      <c r="A2407" t="n">
        <v>2406</v>
      </c>
      <c r="B2407" s="1" t="n">
        <v>45086</v>
      </c>
      <c r="C2407" s="5" t="inlineStr">
        <is>
          <t>M2</t>
        </is>
      </c>
      <c r="D2407" s="5" t="n">
        <v>30</v>
      </c>
      <c r="E2407" s="5" t="n">
        <v>400</v>
      </c>
      <c r="F2407" t="inlineStr">
        <is>
          <t>Поступление</t>
        </is>
      </c>
      <c r="H2407">
        <f>VLOOKUP(C2407,Магазин!$A$2:$C$1000,2,0)</f>
        <v/>
      </c>
      <c r="I2407">
        <f>VLOOKUP(D2407,Товар!$A$2:$F$1000,3,0)</f>
        <v/>
      </c>
      <c r="J2407">
        <f>VLOOKUP(D2407,Товар!$A$2:$F$1000,5,0)</f>
        <v/>
      </c>
      <c r="K2407">
        <f>IF(AND(H2407="Промышленный",LEFT(I2407,18)="Порошок стиральный",F2407="Продажа",B2407=DATE(2023,6,7)),E2407*J2407/1000,0)</f>
        <v/>
      </c>
    </row>
    <row r="2408">
      <c r="A2408" t="n">
        <v>2407</v>
      </c>
      <c r="B2408" s="1" t="n">
        <v>45086</v>
      </c>
      <c r="C2408" s="5" t="inlineStr">
        <is>
          <t>M2</t>
        </is>
      </c>
      <c r="D2408" s="5" t="n">
        <v>31</v>
      </c>
      <c r="E2408" s="5" t="n">
        <v>400</v>
      </c>
      <c r="F2408" t="inlineStr">
        <is>
          <t>Поступление</t>
        </is>
      </c>
      <c r="H2408">
        <f>VLOOKUP(C2408,Магазин!$A$2:$C$1000,2,0)</f>
        <v/>
      </c>
      <c r="I2408">
        <f>VLOOKUP(D2408,Товар!$A$2:$F$1000,3,0)</f>
        <v/>
      </c>
      <c r="J2408">
        <f>VLOOKUP(D2408,Товар!$A$2:$F$1000,5,0)</f>
        <v/>
      </c>
      <c r="K2408">
        <f>IF(AND(H2408="Промышленный",LEFT(I2408,18)="Порошок стиральный",F2408="Продажа",B2408=DATE(2023,6,7)),E2408*J2408/1000,0)</f>
        <v/>
      </c>
    </row>
    <row r="2409">
      <c r="A2409" t="n">
        <v>2408</v>
      </c>
      <c r="B2409" s="1" t="n">
        <v>45086</v>
      </c>
      <c r="C2409" s="5" t="inlineStr">
        <is>
          <t>M2</t>
        </is>
      </c>
      <c r="D2409" s="5" t="n">
        <v>32</v>
      </c>
      <c r="E2409" s="5" t="n">
        <v>400</v>
      </c>
      <c r="F2409" t="inlineStr">
        <is>
          <t>Поступление</t>
        </is>
      </c>
      <c r="H2409">
        <f>VLOOKUP(C2409,Магазин!$A$2:$C$1000,2,0)</f>
        <v/>
      </c>
      <c r="I2409">
        <f>VLOOKUP(D2409,Товар!$A$2:$F$1000,3,0)</f>
        <v/>
      </c>
      <c r="J2409">
        <f>VLOOKUP(D2409,Товар!$A$2:$F$1000,5,0)</f>
        <v/>
      </c>
      <c r="K2409">
        <f>IF(AND(H2409="Промышленный",LEFT(I2409,18)="Порошок стиральный",F2409="Продажа",B2409=DATE(2023,6,7)),E2409*J2409/1000,0)</f>
        <v/>
      </c>
    </row>
    <row r="2410">
      <c r="A2410" t="n">
        <v>2409</v>
      </c>
      <c r="B2410" s="1" t="n">
        <v>45086</v>
      </c>
      <c r="C2410" s="5" t="inlineStr">
        <is>
          <t>M2</t>
        </is>
      </c>
      <c r="D2410" s="5" t="n">
        <v>33</v>
      </c>
      <c r="E2410" s="5" t="n">
        <v>400</v>
      </c>
      <c r="F2410" t="inlineStr">
        <is>
          <t>Поступление</t>
        </is>
      </c>
      <c r="H2410">
        <f>VLOOKUP(C2410,Магазин!$A$2:$C$1000,2,0)</f>
        <v/>
      </c>
      <c r="I2410">
        <f>VLOOKUP(D2410,Товар!$A$2:$F$1000,3,0)</f>
        <v/>
      </c>
      <c r="J2410">
        <f>VLOOKUP(D2410,Товар!$A$2:$F$1000,5,0)</f>
        <v/>
      </c>
      <c r="K2410">
        <f>IF(AND(H2410="Промышленный",LEFT(I2410,18)="Порошок стиральный",F2410="Продажа",B2410=DATE(2023,6,7)),E2410*J2410/1000,0)</f>
        <v/>
      </c>
    </row>
    <row r="2411">
      <c r="A2411" t="n">
        <v>2410</v>
      </c>
      <c r="B2411" s="1" t="n">
        <v>45086</v>
      </c>
      <c r="C2411" s="5" t="inlineStr">
        <is>
          <t>M2</t>
        </is>
      </c>
      <c r="D2411" s="5" t="n">
        <v>34</v>
      </c>
      <c r="E2411" s="5" t="n">
        <v>400</v>
      </c>
      <c r="F2411" t="inlineStr">
        <is>
          <t>Поступление</t>
        </is>
      </c>
      <c r="H2411">
        <f>VLOOKUP(C2411,Магазин!$A$2:$C$1000,2,0)</f>
        <v/>
      </c>
      <c r="I2411">
        <f>VLOOKUP(D2411,Товар!$A$2:$F$1000,3,0)</f>
        <v/>
      </c>
      <c r="J2411">
        <f>VLOOKUP(D2411,Товар!$A$2:$F$1000,5,0)</f>
        <v/>
      </c>
      <c r="K2411">
        <f>IF(AND(H2411="Промышленный",LEFT(I2411,18)="Порошок стиральный",F2411="Продажа",B2411=DATE(2023,6,7)),E2411*J2411/1000,0)</f>
        <v/>
      </c>
    </row>
    <row r="2412">
      <c r="A2412" t="n">
        <v>2411</v>
      </c>
      <c r="B2412" s="1" t="n">
        <v>45086</v>
      </c>
      <c r="C2412" s="5" t="inlineStr">
        <is>
          <t>M2</t>
        </is>
      </c>
      <c r="D2412" s="5" t="n">
        <v>35</v>
      </c>
      <c r="E2412" s="5" t="n">
        <v>400</v>
      </c>
      <c r="F2412" t="inlineStr">
        <is>
          <t>Поступление</t>
        </is>
      </c>
      <c r="H2412">
        <f>VLOOKUP(C2412,Магазин!$A$2:$C$1000,2,0)</f>
        <v/>
      </c>
      <c r="I2412">
        <f>VLOOKUP(D2412,Товар!$A$2:$F$1000,3,0)</f>
        <v/>
      </c>
      <c r="J2412">
        <f>VLOOKUP(D2412,Товар!$A$2:$F$1000,5,0)</f>
        <v/>
      </c>
      <c r="K2412">
        <f>IF(AND(H2412="Промышленный",LEFT(I2412,18)="Порошок стиральный",F2412="Продажа",B2412=DATE(2023,6,7)),E2412*J2412/1000,0)</f>
        <v/>
      </c>
    </row>
    <row r="2413">
      <c r="A2413" t="n">
        <v>2412</v>
      </c>
      <c r="B2413" s="1" t="n">
        <v>45086</v>
      </c>
      <c r="C2413" s="5" t="inlineStr">
        <is>
          <t>M2</t>
        </is>
      </c>
      <c r="D2413" s="5" t="n">
        <v>36</v>
      </c>
      <c r="E2413" s="5" t="n">
        <v>400</v>
      </c>
      <c r="F2413" t="inlineStr">
        <is>
          <t>Поступление</t>
        </is>
      </c>
      <c r="H2413">
        <f>VLOOKUP(C2413,Магазин!$A$2:$C$1000,2,0)</f>
        <v/>
      </c>
      <c r="I2413">
        <f>VLOOKUP(D2413,Товар!$A$2:$F$1000,3,0)</f>
        <v/>
      </c>
      <c r="J2413">
        <f>VLOOKUP(D2413,Товар!$A$2:$F$1000,5,0)</f>
        <v/>
      </c>
      <c r="K2413">
        <f>IF(AND(H2413="Промышленный",LEFT(I2413,18)="Порошок стиральный",F2413="Продажа",B2413=DATE(2023,6,7)),E2413*J2413/1000,0)</f>
        <v/>
      </c>
    </row>
    <row r="2414">
      <c r="A2414" t="n">
        <v>2413</v>
      </c>
      <c r="B2414" s="1" t="n">
        <v>45086</v>
      </c>
      <c r="C2414" s="5" t="inlineStr">
        <is>
          <t>M4</t>
        </is>
      </c>
      <c r="D2414" s="5" t="n">
        <v>1</v>
      </c>
      <c r="E2414" s="5" t="n">
        <v>400</v>
      </c>
      <c r="F2414" t="inlineStr">
        <is>
          <t>Поступление</t>
        </is>
      </c>
      <c r="H2414">
        <f>VLOOKUP(C2414,Магазин!$A$2:$C$1000,2,0)</f>
        <v/>
      </c>
      <c r="I2414">
        <f>VLOOKUP(D2414,Товар!$A$2:$F$1000,3,0)</f>
        <v/>
      </c>
      <c r="J2414">
        <f>VLOOKUP(D2414,Товар!$A$2:$F$1000,5,0)</f>
        <v/>
      </c>
      <c r="K2414">
        <f>IF(AND(H2414="Промышленный",LEFT(I2414,18)="Порошок стиральный",F2414="Продажа",B2414=DATE(2023,6,7)),E2414*J2414/1000,0)</f>
        <v/>
      </c>
    </row>
    <row r="2415">
      <c r="A2415" t="n">
        <v>2414</v>
      </c>
      <c r="B2415" s="1" t="n">
        <v>45086</v>
      </c>
      <c r="C2415" s="5" t="inlineStr">
        <is>
          <t>M4</t>
        </is>
      </c>
      <c r="D2415" s="5" t="n">
        <v>2</v>
      </c>
      <c r="E2415" s="5" t="n">
        <v>400</v>
      </c>
      <c r="F2415" t="inlineStr">
        <is>
          <t>Поступление</t>
        </is>
      </c>
      <c r="H2415">
        <f>VLOOKUP(C2415,Магазин!$A$2:$C$1000,2,0)</f>
        <v/>
      </c>
      <c r="I2415">
        <f>VLOOKUP(D2415,Товар!$A$2:$F$1000,3,0)</f>
        <v/>
      </c>
      <c r="J2415">
        <f>VLOOKUP(D2415,Товар!$A$2:$F$1000,5,0)</f>
        <v/>
      </c>
      <c r="K2415">
        <f>IF(AND(H2415="Промышленный",LEFT(I2415,18)="Порошок стиральный",F2415="Продажа",B2415=DATE(2023,6,7)),E2415*J2415/1000,0)</f>
        <v/>
      </c>
    </row>
    <row r="2416">
      <c r="A2416" t="n">
        <v>2415</v>
      </c>
      <c r="B2416" s="1" t="n">
        <v>45086</v>
      </c>
      <c r="C2416" s="5" t="inlineStr">
        <is>
          <t>M4</t>
        </is>
      </c>
      <c r="D2416" s="5" t="n">
        <v>3</v>
      </c>
      <c r="E2416" s="5" t="n">
        <v>400</v>
      </c>
      <c r="F2416" t="inlineStr">
        <is>
          <t>Поступление</t>
        </is>
      </c>
      <c r="H2416">
        <f>VLOOKUP(C2416,Магазин!$A$2:$C$1000,2,0)</f>
        <v/>
      </c>
      <c r="I2416">
        <f>VLOOKUP(D2416,Товар!$A$2:$F$1000,3,0)</f>
        <v/>
      </c>
      <c r="J2416">
        <f>VLOOKUP(D2416,Товар!$A$2:$F$1000,5,0)</f>
        <v/>
      </c>
      <c r="K2416">
        <f>IF(AND(H2416="Промышленный",LEFT(I2416,18)="Порошок стиральный",F2416="Продажа",B2416=DATE(2023,6,7)),E2416*J2416/1000,0)</f>
        <v/>
      </c>
    </row>
    <row r="2417">
      <c r="A2417" t="n">
        <v>2416</v>
      </c>
      <c r="B2417" s="1" t="n">
        <v>45086</v>
      </c>
      <c r="C2417" s="5" t="inlineStr">
        <is>
          <t>M4</t>
        </is>
      </c>
      <c r="D2417" s="5" t="n">
        <v>4</v>
      </c>
      <c r="E2417" s="5" t="n">
        <v>400</v>
      </c>
      <c r="F2417" t="inlineStr">
        <is>
          <t>Поступление</t>
        </is>
      </c>
      <c r="H2417">
        <f>VLOOKUP(C2417,Магазин!$A$2:$C$1000,2,0)</f>
        <v/>
      </c>
      <c r="I2417">
        <f>VLOOKUP(D2417,Товар!$A$2:$F$1000,3,0)</f>
        <v/>
      </c>
      <c r="J2417">
        <f>VLOOKUP(D2417,Товар!$A$2:$F$1000,5,0)</f>
        <v/>
      </c>
      <c r="K2417">
        <f>IF(AND(H2417="Промышленный",LEFT(I2417,18)="Порошок стиральный",F2417="Продажа",B2417=DATE(2023,6,7)),E2417*J2417/1000,0)</f>
        <v/>
      </c>
    </row>
    <row r="2418">
      <c r="A2418" t="n">
        <v>2417</v>
      </c>
      <c r="B2418" s="1" t="n">
        <v>45086</v>
      </c>
      <c r="C2418" s="5" t="inlineStr">
        <is>
          <t>M4</t>
        </is>
      </c>
      <c r="D2418" s="5" t="n">
        <v>5</v>
      </c>
      <c r="E2418" s="5" t="n">
        <v>400</v>
      </c>
      <c r="F2418" t="inlineStr">
        <is>
          <t>Поступление</t>
        </is>
      </c>
      <c r="H2418">
        <f>VLOOKUP(C2418,Магазин!$A$2:$C$1000,2,0)</f>
        <v/>
      </c>
      <c r="I2418">
        <f>VLOOKUP(D2418,Товар!$A$2:$F$1000,3,0)</f>
        <v/>
      </c>
      <c r="J2418">
        <f>VLOOKUP(D2418,Товар!$A$2:$F$1000,5,0)</f>
        <v/>
      </c>
      <c r="K2418">
        <f>IF(AND(H2418="Промышленный",LEFT(I2418,18)="Порошок стиральный",F2418="Продажа",B2418=DATE(2023,6,7)),E2418*J2418/1000,0)</f>
        <v/>
      </c>
    </row>
    <row r="2419">
      <c r="A2419" t="n">
        <v>2418</v>
      </c>
      <c r="B2419" s="1" t="n">
        <v>45086</v>
      </c>
      <c r="C2419" s="5" t="inlineStr">
        <is>
          <t>M4</t>
        </is>
      </c>
      <c r="D2419" s="5" t="n">
        <v>6</v>
      </c>
      <c r="E2419" s="5" t="n">
        <v>400</v>
      </c>
      <c r="F2419" t="inlineStr">
        <is>
          <t>Поступление</t>
        </is>
      </c>
      <c r="H2419">
        <f>VLOOKUP(C2419,Магазин!$A$2:$C$1000,2,0)</f>
        <v/>
      </c>
      <c r="I2419">
        <f>VLOOKUP(D2419,Товар!$A$2:$F$1000,3,0)</f>
        <v/>
      </c>
      <c r="J2419">
        <f>VLOOKUP(D2419,Товар!$A$2:$F$1000,5,0)</f>
        <v/>
      </c>
      <c r="K2419">
        <f>IF(AND(H2419="Промышленный",LEFT(I2419,18)="Порошок стиральный",F2419="Продажа",B2419=DATE(2023,6,7)),E2419*J2419/1000,0)</f>
        <v/>
      </c>
    </row>
    <row r="2420">
      <c r="A2420" t="n">
        <v>2419</v>
      </c>
      <c r="B2420" s="1" t="n">
        <v>45086</v>
      </c>
      <c r="C2420" s="5" t="inlineStr">
        <is>
          <t>M4</t>
        </is>
      </c>
      <c r="D2420" s="5" t="n">
        <v>7</v>
      </c>
      <c r="E2420" s="5" t="n">
        <v>400</v>
      </c>
      <c r="F2420" t="inlineStr">
        <is>
          <t>Поступление</t>
        </is>
      </c>
      <c r="H2420">
        <f>VLOOKUP(C2420,Магазин!$A$2:$C$1000,2,0)</f>
        <v/>
      </c>
      <c r="I2420">
        <f>VLOOKUP(D2420,Товар!$A$2:$F$1000,3,0)</f>
        <v/>
      </c>
      <c r="J2420">
        <f>VLOOKUP(D2420,Товар!$A$2:$F$1000,5,0)</f>
        <v/>
      </c>
      <c r="K2420">
        <f>IF(AND(H2420="Промышленный",LEFT(I2420,18)="Порошок стиральный",F2420="Продажа",B2420=DATE(2023,6,7)),E2420*J2420/1000,0)</f>
        <v/>
      </c>
    </row>
    <row r="2421">
      <c r="A2421" t="n">
        <v>2420</v>
      </c>
      <c r="B2421" s="1" t="n">
        <v>45086</v>
      </c>
      <c r="C2421" s="5" t="inlineStr">
        <is>
          <t>M4</t>
        </is>
      </c>
      <c r="D2421" s="5" t="n">
        <v>8</v>
      </c>
      <c r="E2421" s="5" t="n">
        <v>400</v>
      </c>
      <c r="F2421" t="inlineStr">
        <is>
          <t>Поступление</t>
        </is>
      </c>
      <c r="H2421">
        <f>VLOOKUP(C2421,Магазин!$A$2:$C$1000,2,0)</f>
        <v/>
      </c>
      <c r="I2421">
        <f>VLOOKUP(D2421,Товар!$A$2:$F$1000,3,0)</f>
        <v/>
      </c>
      <c r="J2421">
        <f>VLOOKUP(D2421,Товар!$A$2:$F$1000,5,0)</f>
        <v/>
      </c>
      <c r="K2421">
        <f>IF(AND(H2421="Промышленный",LEFT(I2421,18)="Порошок стиральный",F2421="Продажа",B2421=DATE(2023,6,7)),E2421*J2421/1000,0)</f>
        <v/>
      </c>
    </row>
    <row r="2422">
      <c r="A2422" t="n">
        <v>2421</v>
      </c>
      <c r="B2422" s="1" t="n">
        <v>45086</v>
      </c>
      <c r="C2422" s="5" t="inlineStr">
        <is>
          <t>M4</t>
        </is>
      </c>
      <c r="D2422" s="5" t="n">
        <v>9</v>
      </c>
      <c r="E2422" s="5" t="n">
        <v>400</v>
      </c>
      <c r="F2422" t="inlineStr">
        <is>
          <t>Поступление</t>
        </is>
      </c>
      <c r="H2422">
        <f>VLOOKUP(C2422,Магазин!$A$2:$C$1000,2,0)</f>
        <v/>
      </c>
      <c r="I2422">
        <f>VLOOKUP(D2422,Товар!$A$2:$F$1000,3,0)</f>
        <v/>
      </c>
      <c r="J2422">
        <f>VLOOKUP(D2422,Товар!$A$2:$F$1000,5,0)</f>
        <v/>
      </c>
      <c r="K2422">
        <f>IF(AND(H2422="Промышленный",LEFT(I2422,18)="Порошок стиральный",F2422="Продажа",B2422=DATE(2023,6,7)),E2422*J2422/1000,0)</f>
        <v/>
      </c>
    </row>
    <row r="2423">
      <c r="A2423" t="n">
        <v>2422</v>
      </c>
      <c r="B2423" s="1" t="n">
        <v>45086</v>
      </c>
      <c r="C2423" s="5" t="inlineStr">
        <is>
          <t>M4</t>
        </is>
      </c>
      <c r="D2423" s="5" t="n">
        <v>10</v>
      </c>
      <c r="E2423" s="5" t="n">
        <v>400</v>
      </c>
      <c r="F2423" t="inlineStr">
        <is>
          <t>Поступление</t>
        </is>
      </c>
      <c r="H2423">
        <f>VLOOKUP(C2423,Магазин!$A$2:$C$1000,2,0)</f>
        <v/>
      </c>
      <c r="I2423">
        <f>VLOOKUP(D2423,Товар!$A$2:$F$1000,3,0)</f>
        <v/>
      </c>
      <c r="J2423">
        <f>VLOOKUP(D2423,Товар!$A$2:$F$1000,5,0)</f>
        <v/>
      </c>
      <c r="K2423">
        <f>IF(AND(H2423="Промышленный",LEFT(I2423,18)="Порошок стиральный",F2423="Продажа",B2423=DATE(2023,6,7)),E2423*J2423/1000,0)</f>
        <v/>
      </c>
    </row>
    <row r="2424">
      <c r="A2424" t="n">
        <v>2423</v>
      </c>
      <c r="B2424" s="1" t="n">
        <v>45086</v>
      </c>
      <c r="C2424" s="5" t="inlineStr">
        <is>
          <t>M4</t>
        </is>
      </c>
      <c r="D2424" s="5" t="n">
        <v>11</v>
      </c>
      <c r="E2424" s="5" t="n">
        <v>400</v>
      </c>
      <c r="F2424" t="inlineStr">
        <is>
          <t>Поступление</t>
        </is>
      </c>
      <c r="H2424">
        <f>VLOOKUP(C2424,Магазин!$A$2:$C$1000,2,0)</f>
        <v/>
      </c>
      <c r="I2424">
        <f>VLOOKUP(D2424,Товар!$A$2:$F$1000,3,0)</f>
        <v/>
      </c>
      <c r="J2424">
        <f>VLOOKUP(D2424,Товар!$A$2:$F$1000,5,0)</f>
        <v/>
      </c>
      <c r="K2424">
        <f>IF(AND(H2424="Промышленный",LEFT(I2424,18)="Порошок стиральный",F2424="Продажа",B2424=DATE(2023,6,7)),E2424*J2424/1000,0)</f>
        <v/>
      </c>
    </row>
    <row r="2425">
      <c r="A2425" t="n">
        <v>2424</v>
      </c>
      <c r="B2425" s="1" t="n">
        <v>45086</v>
      </c>
      <c r="C2425" s="5" t="inlineStr">
        <is>
          <t>M4</t>
        </is>
      </c>
      <c r="D2425" s="5" t="n">
        <v>12</v>
      </c>
      <c r="E2425" s="5" t="n">
        <v>400</v>
      </c>
      <c r="F2425" t="inlineStr">
        <is>
          <t>Поступление</t>
        </is>
      </c>
      <c r="H2425">
        <f>VLOOKUP(C2425,Магазин!$A$2:$C$1000,2,0)</f>
        <v/>
      </c>
      <c r="I2425">
        <f>VLOOKUP(D2425,Товар!$A$2:$F$1000,3,0)</f>
        <v/>
      </c>
      <c r="J2425">
        <f>VLOOKUP(D2425,Товар!$A$2:$F$1000,5,0)</f>
        <v/>
      </c>
      <c r="K2425">
        <f>IF(AND(H2425="Промышленный",LEFT(I2425,18)="Порошок стиральный",F2425="Продажа",B2425=DATE(2023,6,7)),E2425*J2425/1000,0)</f>
        <v/>
      </c>
    </row>
    <row r="2426">
      <c r="A2426" t="n">
        <v>2425</v>
      </c>
      <c r="B2426" s="1" t="n">
        <v>45086</v>
      </c>
      <c r="C2426" s="5" t="inlineStr">
        <is>
          <t>M4</t>
        </is>
      </c>
      <c r="D2426" s="5" t="n">
        <v>13</v>
      </c>
      <c r="E2426" s="5" t="n">
        <v>400</v>
      </c>
      <c r="F2426" t="inlineStr">
        <is>
          <t>Поступление</t>
        </is>
      </c>
      <c r="H2426">
        <f>VLOOKUP(C2426,Магазин!$A$2:$C$1000,2,0)</f>
        <v/>
      </c>
      <c r="I2426">
        <f>VLOOKUP(D2426,Товар!$A$2:$F$1000,3,0)</f>
        <v/>
      </c>
      <c r="J2426">
        <f>VLOOKUP(D2426,Товар!$A$2:$F$1000,5,0)</f>
        <v/>
      </c>
      <c r="K2426">
        <f>IF(AND(H2426="Промышленный",LEFT(I2426,18)="Порошок стиральный",F2426="Продажа",B2426=DATE(2023,6,7)),E2426*J2426/1000,0)</f>
        <v/>
      </c>
    </row>
    <row r="2427">
      <c r="A2427" t="n">
        <v>2426</v>
      </c>
      <c r="B2427" s="1" t="n">
        <v>45086</v>
      </c>
      <c r="C2427" s="5" t="inlineStr">
        <is>
          <t>M4</t>
        </is>
      </c>
      <c r="D2427" s="5" t="n">
        <v>14</v>
      </c>
      <c r="E2427" s="5" t="n">
        <v>400</v>
      </c>
      <c r="F2427" t="inlineStr">
        <is>
          <t>Поступление</t>
        </is>
      </c>
      <c r="H2427">
        <f>VLOOKUP(C2427,Магазин!$A$2:$C$1000,2,0)</f>
        <v/>
      </c>
      <c r="I2427">
        <f>VLOOKUP(D2427,Товар!$A$2:$F$1000,3,0)</f>
        <v/>
      </c>
      <c r="J2427">
        <f>VLOOKUP(D2427,Товар!$A$2:$F$1000,5,0)</f>
        <v/>
      </c>
      <c r="K2427">
        <f>IF(AND(H2427="Промышленный",LEFT(I2427,18)="Порошок стиральный",F2427="Продажа",B2427=DATE(2023,6,7)),E2427*J2427/1000,0)</f>
        <v/>
      </c>
    </row>
    <row r="2428">
      <c r="A2428" t="n">
        <v>2427</v>
      </c>
      <c r="B2428" s="1" t="n">
        <v>45086</v>
      </c>
      <c r="C2428" s="5" t="inlineStr">
        <is>
          <t>M4</t>
        </is>
      </c>
      <c r="D2428" s="5" t="n">
        <v>15</v>
      </c>
      <c r="E2428" s="5" t="n">
        <v>400</v>
      </c>
      <c r="F2428" t="inlineStr">
        <is>
          <t>Поступление</t>
        </is>
      </c>
      <c r="H2428">
        <f>VLOOKUP(C2428,Магазин!$A$2:$C$1000,2,0)</f>
        <v/>
      </c>
      <c r="I2428">
        <f>VLOOKUP(D2428,Товар!$A$2:$F$1000,3,0)</f>
        <v/>
      </c>
      <c r="J2428">
        <f>VLOOKUP(D2428,Товар!$A$2:$F$1000,5,0)</f>
        <v/>
      </c>
      <c r="K2428">
        <f>IF(AND(H2428="Промышленный",LEFT(I2428,18)="Порошок стиральный",F2428="Продажа",B2428=DATE(2023,6,7)),E2428*J2428/1000,0)</f>
        <v/>
      </c>
    </row>
    <row r="2429">
      <c r="A2429" t="n">
        <v>2428</v>
      </c>
      <c r="B2429" s="1" t="n">
        <v>45086</v>
      </c>
      <c r="C2429" s="5" t="inlineStr">
        <is>
          <t>M4</t>
        </is>
      </c>
      <c r="D2429" s="5" t="n">
        <v>16</v>
      </c>
      <c r="E2429" s="5" t="n">
        <v>400</v>
      </c>
      <c r="F2429" t="inlineStr">
        <is>
          <t>Поступление</t>
        </is>
      </c>
      <c r="H2429">
        <f>VLOOKUP(C2429,Магазин!$A$2:$C$1000,2,0)</f>
        <v/>
      </c>
      <c r="I2429">
        <f>VLOOKUP(D2429,Товар!$A$2:$F$1000,3,0)</f>
        <v/>
      </c>
      <c r="J2429">
        <f>VLOOKUP(D2429,Товар!$A$2:$F$1000,5,0)</f>
        <v/>
      </c>
      <c r="K2429">
        <f>IF(AND(H2429="Промышленный",LEFT(I2429,18)="Порошок стиральный",F2429="Продажа",B2429=DATE(2023,6,7)),E2429*J2429/1000,0)</f>
        <v/>
      </c>
    </row>
    <row r="2430">
      <c r="A2430" t="n">
        <v>2429</v>
      </c>
      <c r="B2430" s="1" t="n">
        <v>45086</v>
      </c>
      <c r="C2430" s="5" t="inlineStr">
        <is>
          <t>M4</t>
        </is>
      </c>
      <c r="D2430" s="5" t="n">
        <v>17</v>
      </c>
      <c r="E2430" s="5" t="n">
        <v>400</v>
      </c>
      <c r="F2430" t="inlineStr">
        <is>
          <t>Поступление</t>
        </is>
      </c>
      <c r="H2430">
        <f>VLOOKUP(C2430,Магазин!$A$2:$C$1000,2,0)</f>
        <v/>
      </c>
      <c r="I2430">
        <f>VLOOKUP(D2430,Товар!$A$2:$F$1000,3,0)</f>
        <v/>
      </c>
      <c r="J2430">
        <f>VLOOKUP(D2430,Товар!$A$2:$F$1000,5,0)</f>
        <v/>
      </c>
      <c r="K2430">
        <f>IF(AND(H2430="Промышленный",LEFT(I2430,18)="Порошок стиральный",F2430="Продажа",B2430=DATE(2023,6,7)),E2430*J2430/1000,0)</f>
        <v/>
      </c>
    </row>
    <row r="2431">
      <c r="A2431" t="n">
        <v>2430</v>
      </c>
      <c r="B2431" s="1" t="n">
        <v>45086</v>
      </c>
      <c r="C2431" s="5" t="inlineStr">
        <is>
          <t>M4</t>
        </is>
      </c>
      <c r="D2431" s="5" t="n">
        <v>18</v>
      </c>
      <c r="E2431" s="5" t="n">
        <v>400</v>
      </c>
      <c r="F2431" t="inlineStr">
        <is>
          <t>Поступление</t>
        </is>
      </c>
      <c r="H2431">
        <f>VLOOKUP(C2431,Магазин!$A$2:$C$1000,2,0)</f>
        <v/>
      </c>
      <c r="I2431">
        <f>VLOOKUP(D2431,Товар!$A$2:$F$1000,3,0)</f>
        <v/>
      </c>
      <c r="J2431">
        <f>VLOOKUP(D2431,Товар!$A$2:$F$1000,5,0)</f>
        <v/>
      </c>
      <c r="K2431">
        <f>IF(AND(H2431="Промышленный",LEFT(I2431,18)="Порошок стиральный",F2431="Продажа",B2431=DATE(2023,6,7)),E2431*J2431/1000,0)</f>
        <v/>
      </c>
    </row>
    <row r="2432">
      <c r="A2432" t="n">
        <v>2431</v>
      </c>
      <c r="B2432" s="1" t="n">
        <v>45086</v>
      </c>
      <c r="C2432" s="5" t="inlineStr">
        <is>
          <t>M4</t>
        </is>
      </c>
      <c r="D2432" s="5" t="n">
        <v>19</v>
      </c>
      <c r="E2432" s="5" t="n">
        <v>400</v>
      </c>
      <c r="F2432" t="inlineStr">
        <is>
          <t>Поступление</t>
        </is>
      </c>
      <c r="H2432">
        <f>VLOOKUP(C2432,Магазин!$A$2:$C$1000,2,0)</f>
        <v/>
      </c>
      <c r="I2432">
        <f>VLOOKUP(D2432,Товар!$A$2:$F$1000,3,0)</f>
        <v/>
      </c>
      <c r="J2432">
        <f>VLOOKUP(D2432,Товар!$A$2:$F$1000,5,0)</f>
        <v/>
      </c>
      <c r="K2432">
        <f>IF(AND(H2432="Промышленный",LEFT(I2432,18)="Порошок стиральный",F2432="Продажа",B2432=DATE(2023,6,7)),E2432*J2432/1000,0)</f>
        <v/>
      </c>
    </row>
    <row r="2433">
      <c r="A2433" t="n">
        <v>2432</v>
      </c>
      <c r="B2433" s="1" t="n">
        <v>45086</v>
      </c>
      <c r="C2433" s="5" t="inlineStr">
        <is>
          <t>M4</t>
        </is>
      </c>
      <c r="D2433" s="5" t="n">
        <v>20</v>
      </c>
      <c r="E2433" s="5" t="n">
        <v>400</v>
      </c>
      <c r="F2433" t="inlineStr">
        <is>
          <t>Поступление</t>
        </is>
      </c>
      <c r="H2433">
        <f>VLOOKUP(C2433,Магазин!$A$2:$C$1000,2,0)</f>
        <v/>
      </c>
      <c r="I2433">
        <f>VLOOKUP(D2433,Товар!$A$2:$F$1000,3,0)</f>
        <v/>
      </c>
      <c r="J2433">
        <f>VLOOKUP(D2433,Товар!$A$2:$F$1000,5,0)</f>
        <v/>
      </c>
      <c r="K2433">
        <f>IF(AND(H2433="Промышленный",LEFT(I2433,18)="Порошок стиральный",F2433="Продажа",B2433=DATE(2023,6,7)),E2433*J2433/1000,0)</f>
        <v/>
      </c>
    </row>
    <row r="2434">
      <c r="A2434" t="n">
        <v>2433</v>
      </c>
      <c r="B2434" s="1" t="n">
        <v>45086</v>
      </c>
      <c r="C2434" s="5" t="inlineStr">
        <is>
          <t>M4</t>
        </is>
      </c>
      <c r="D2434" s="5" t="n">
        <v>21</v>
      </c>
      <c r="E2434" s="5" t="n">
        <v>400</v>
      </c>
      <c r="F2434" t="inlineStr">
        <is>
          <t>Поступление</t>
        </is>
      </c>
      <c r="H2434">
        <f>VLOOKUP(C2434,Магазин!$A$2:$C$1000,2,0)</f>
        <v/>
      </c>
      <c r="I2434">
        <f>VLOOKUP(D2434,Товар!$A$2:$F$1000,3,0)</f>
        <v/>
      </c>
      <c r="J2434">
        <f>VLOOKUP(D2434,Товар!$A$2:$F$1000,5,0)</f>
        <v/>
      </c>
      <c r="K2434">
        <f>IF(AND(H2434="Промышленный",LEFT(I2434,18)="Порошок стиральный",F2434="Продажа",B2434=DATE(2023,6,7)),E2434*J2434/1000,0)</f>
        <v/>
      </c>
    </row>
    <row r="2435">
      <c r="A2435" t="n">
        <v>2434</v>
      </c>
      <c r="B2435" s="1" t="n">
        <v>45086</v>
      </c>
      <c r="C2435" s="5" t="inlineStr">
        <is>
          <t>M4</t>
        </is>
      </c>
      <c r="D2435" s="5" t="n">
        <v>22</v>
      </c>
      <c r="E2435" s="5" t="n">
        <v>400</v>
      </c>
      <c r="F2435" t="inlineStr">
        <is>
          <t>Поступление</t>
        </is>
      </c>
      <c r="H2435">
        <f>VLOOKUP(C2435,Магазин!$A$2:$C$1000,2,0)</f>
        <v/>
      </c>
      <c r="I2435">
        <f>VLOOKUP(D2435,Товар!$A$2:$F$1000,3,0)</f>
        <v/>
      </c>
      <c r="J2435">
        <f>VLOOKUP(D2435,Товар!$A$2:$F$1000,5,0)</f>
        <v/>
      </c>
      <c r="K2435">
        <f>IF(AND(H2435="Промышленный",LEFT(I2435,18)="Порошок стиральный",F2435="Продажа",B2435=DATE(2023,6,7)),E2435*J2435/1000,0)</f>
        <v/>
      </c>
    </row>
    <row r="2436">
      <c r="A2436" t="n">
        <v>2435</v>
      </c>
      <c r="B2436" s="1" t="n">
        <v>45086</v>
      </c>
      <c r="C2436" s="5" t="inlineStr">
        <is>
          <t>M4</t>
        </is>
      </c>
      <c r="D2436" s="5" t="n">
        <v>23</v>
      </c>
      <c r="E2436" s="5" t="n">
        <v>400</v>
      </c>
      <c r="F2436" t="inlineStr">
        <is>
          <t>Поступление</t>
        </is>
      </c>
      <c r="H2436">
        <f>VLOOKUP(C2436,Магазин!$A$2:$C$1000,2,0)</f>
        <v/>
      </c>
      <c r="I2436">
        <f>VLOOKUP(D2436,Товар!$A$2:$F$1000,3,0)</f>
        <v/>
      </c>
      <c r="J2436">
        <f>VLOOKUP(D2436,Товар!$A$2:$F$1000,5,0)</f>
        <v/>
      </c>
      <c r="K2436">
        <f>IF(AND(H2436="Промышленный",LEFT(I2436,18)="Порошок стиральный",F2436="Продажа",B2436=DATE(2023,6,7)),E2436*J2436/1000,0)</f>
        <v/>
      </c>
    </row>
    <row r="2437">
      <c r="A2437" t="n">
        <v>2436</v>
      </c>
      <c r="B2437" s="1" t="n">
        <v>45086</v>
      </c>
      <c r="C2437" s="5" t="inlineStr">
        <is>
          <t>M4</t>
        </is>
      </c>
      <c r="D2437" s="5" t="n">
        <v>24</v>
      </c>
      <c r="E2437" s="5" t="n">
        <v>400</v>
      </c>
      <c r="F2437" t="inlineStr">
        <is>
          <t>Поступление</t>
        </is>
      </c>
      <c r="H2437">
        <f>VLOOKUP(C2437,Магазин!$A$2:$C$1000,2,0)</f>
        <v/>
      </c>
      <c r="I2437">
        <f>VLOOKUP(D2437,Товар!$A$2:$F$1000,3,0)</f>
        <v/>
      </c>
      <c r="J2437">
        <f>VLOOKUP(D2437,Товар!$A$2:$F$1000,5,0)</f>
        <v/>
      </c>
      <c r="K2437">
        <f>IF(AND(H2437="Промышленный",LEFT(I2437,18)="Порошок стиральный",F2437="Продажа",B2437=DATE(2023,6,7)),E2437*J2437/1000,0)</f>
        <v/>
      </c>
    </row>
    <row r="2438">
      <c r="A2438" t="n">
        <v>2437</v>
      </c>
      <c r="B2438" s="1" t="n">
        <v>45086</v>
      </c>
      <c r="C2438" s="5" t="inlineStr">
        <is>
          <t>M4</t>
        </is>
      </c>
      <c r="D2438" s="5" t="n">
        <v>25</v>
      </c>
      <c r="E2438" s="5" t="n">
        <v>400</v>
      </c>
      <c r="F2438" t="inlineStr">
        <is>
          <t>Поступление</t>
        </is>
      </c>
      <c r="H2438">
        <f>VLOOKUP(C2438,Магазин!$A$2:$C$1000,2,0)</f>
        <v/>
      </c>
      <c r="I2438">
        <f>VLOOKUP(D2438,Товар!$A$2:$F$1000,3,0)</f>
        <v/>
      </c>
      <c r="J2438">
        <f>VLOOKUP(D2438,Товар!$A$2:$F$1000,5,0)</f>
        <v/>
      </c>
      <c r="K2438">
        <f>IF(AND(H2438="Промышленный",LEFT(I2438,18)="Порошок стиральный",F2438="Продажа",B2438=DATE(2023,6,7)),E2438*J2438/1000,0)</f>
        <v/>
      </c>
    </row>
    <row r="2439">
      <c r="A2439" t="n">
        <v>2438</v>
      </c>
      <c r="B2439" s="1" t="n">
        <v>45086</v>
      </c>
      <c r="C2439" s="5" t="inlineStr">
        <is>
          <t>M4</t>
        </is>
      </c>
      <c r="D2439" s="5" t="n">
        <v>26</v>
      </c>
      <c r="E2439" s="5" t="n">
        <v>400</v>
      </c>
      <c r="F2439" t="inlineStr">
        <is>
          <t>Поступление</t>
        </is>
      </c>
      <c r="H2439">
        <f>VLOOKUP(C2439,Магазин!$A$2:$C$1000,2,0)</f>
        <v/>
      </c>
      <c r="I2439">
        <f>VLOOKUP(D2439,Товар!$A$2:$F$1000,3,0)</f>
        <v/>
      </c>
      <c r="J2439">
        <f>VLOOKUP(D2439,Товар!$A$2:$F$1000,5,0)</f>
        <v/>
      </c>
      <c r="K2439">
        <f>IF(AND(H2439="Промышленный",LEFT(I2439,18)="Порошок стиральный",F2439="Продажа",B2439=DATE(2023,6,7)),E2439*J2439/1000,0)</f>
        <v/>
      </c>
    </row>
    <row r="2440">
      <c r="A2440" t="n">
        <v>2439</v>
      </c>
      <c r="B2440" s="1" t="n">
        <v>45086</v>
      </c>
      <c r="C2440" s="5" t="inlineStr">
        <is>
          <t>M4</t>
        </is>
      </c>
      <c r="D2440" s="5" t="n">
        <v>27</v>
      </c>
      <c r="E2440" s="5" t="n">
        <v>400</v>
      </c>
      <c r="F2440" t="inlineStr">
        <is>
          <t>Поступление</t>
        </is>
      </c>
      <c r="H2440">
        <f>VLOOKUP(C2440,Магазин!$A$2:$C$1000,2,0)</f>
        <v/>
      </c>
      <c r="I2440">
        <f>VLOOKUP(D2440,Товар!$A$2:$F$1000,3,0)</f>
        <v/>
      </c>
      <c r="J2440">
        <f>VLOOKUP(D2440,Товар!$A$2:$F$1000,5,0)</f>
        <v/>
      </c>
      <c r="K2440">
        <f>IF(AND(H2440="Промышленный",LEFT(I2440,18)="Порошок стиральный",F2440="Продажа",B2440=DATE(2023,6,7)),E2440*J2440/1000,0)</f>
        <v/>
      </c>
    </row>
    <row r="2441">
      <c r="A2441" t="n">
        <v>2440</v>
      </c>
      <c r="B2441" s="1" t="n">
        <v>45086</v>
      </c>
      <c r="C2441" s="5" t="inlineStr">
        <is>
          <t>M4</t>
        </is>
      </c>
      <c r="D2441" s="5" t="n">
        <v>28</v>
      </c>
      <c r="E2441" s="5" t="n">
        <v>400</v>
      </c>
      <c r="F2441" t="inlineStr">
        <is>
          <t>Поступление</t>
        </is>
      </c>
      <c r="H2441">
        <f>VLOOKUP(C2441,Магазин!$A$2:$C$1000,2,0)</f>
        <v/>
      </c>
      <c r="I2441">
        <f>VLOOKUP(D2441,Товар!$A$2:$F$1000,3,0)</f>
        <v/>
      </c>
      <c r="J2441">
        <f>VLOOKUP(D2441,Товар!$A$2:$F$1000,5,0)</f>
        <v/>
      </c>
      <c r="K2441">
        <f>IF(AND(H2441="Промышленный",LEFT(I2441,18)="Порошок стиральный",F2441="Продажа",B2441=DATE(2023,6,7)),E2441*J2441/1000,0)</f>
        <v/>
      </c>
    </row>
    <row r="2442">
      <c r="A2442" t="n">
        <v>2441</v>
      </c>
      <c r="B2442" s="1" t="n">
        <v>45086</v>
      </c>
      <c r="C2442" s="5" t="inlineStr">
        <is>
          <t>M4</t>
        </is>
      </c>
      <c r="D2442" s="5" t="n">
        <v>29</v>
      </c>
      <c r="E2442" s="5" t="n">
        <v>400</v>
      </c>
      <c r="F2442" t="inlineStr">
        <is>
          <t>Поступление</t>
        </is>
      </c>
      <c r="H2442">
        <f>VLOOKUP(C2442,Магазин!$A$2:$C$1000,2,0)</f>
        <v/>
      </c>
      <c r="I2442">
        <f>VLOOKUP(D2442,Товар!$A$2:$F$1000,3,0)</f>
        <v/>
      </c>
      <c r="J2442">
        <f>VLOOKUP(D2442,Товар!$A$2:$F$1000,5,0)</f>
        <v/>
      </c>
      <c r="K2442">
        <f>IF(AND(H2442="Промышленный",LEFT(I2442,18)="Порошок стиральный",F2442="Продажа",B2442=DATE(2023,6,7)),E2442*J2442/1000,0)</f>
        <v/>
      </c>
    </row>
    <row r="2443">
      <c r="A2443" t="n">
        <v>2442</v>
      </c>
      <c r="B2443" s="1" t="n">
        <v>45086</v>
      </c>
      <c r="C2443" s="5" t="inlineStr">
        <is>
          <t>M4</t>
        </is>
      </c>
      <c r="D2443" s="5" t="n">
        <v>30</v>
      </c>
      <c r="E2443" s="5" t="n">
        <v>400</v>
      </c>
      <c r="F2443" t="inlineStr">
        <is>
          <t>Поступление</t>
        </is>
      </c>
      <c r="H2443">
        <f>VLOOKUP(C2443,Магазин!$A$2:$C$1000,2,0)</f>
        <v/>
      </c>
      <c r="I2443">
        <f>VLOOKUP(D2443,Товар!$A$2:$F$1000,3,0)</f>
        <v/>
      </c>
      <c r="J2443">
        <f>VLOOKUP(D2443,Товар!$A$2:$F$1000,5,0)</f>
        <v/>
      </c>
      <c r="K2443">
        <f>IF(AND(H2443="Промышленный",LEFT(I2443,18)="Порошок стиральный",F2443="Продажа",B2443=DATE(2023,6,7)),E2443*J2443/1000,0)</f>
        <v/>
      </c>
    </row>
    <row r="2444">
      <c r="A2444" t="n">
        <v>2443</v>
      </c>
      <c r="B2444" s="1" t="n">
        <v>45086</v>
      </c>
      <c r="C2444" s="5" t="inlineStr">
        <is>
          <t>M4</t>
        </is>
      </c>
      <c r="D2444" s="5" t="n">
        <v>31</v>
      </c>
      <c r="E2444" s="5" t="n">
        <v>400</v>
      </c>
      <c r="F2444" t="inlineStr">
        <is>
          <t>Поступление</t>
        </is>
      </c>
      <c r="H2444">
        <f>VLOOKUP(C2444,Магазин!$A$2:$C$1000,2,0)</f>
        <v/>
      </c>
      <c r="I2444">
        <f>VLOOKUP(D2444,Товар!$A$2:$F$1000,3,0)</f>
        <v/>
      </c>
      <c r="J2444">
        <f>VLOOKUP(D2444,Товар!$A$2:$F$1000,5,0)</f>
        <v/>
      </c>
      <c r="K2444">
        <f>IF(AND(H2444="Промышленный",LEFT(I2444,18)="Порошок стиральный",F2444="Продажа",B2444=DATE(2023,6,7)),E2444*J2444/1000,0)</f>
        <v/>
      </c>
    </row>
    <row r="2445">
      <c r="A2445" t="n">
        <v>2444</v>
      </c>
      <c r="B2445" s="1" t="n">
        <v>45086</v>
      </c>
      <c r="C2445" s="5" t="inlineStr">
        <is>
          <t>M4</t>
        </is>
      </c>
      <c r="D2445" s="5" t="n">
        <v>32</v>
      </c>
      <c r="E2445" s="5" t="n">
        <v>400</v>
      </c>
      <c r="F2445" t="inlineStr">
        <is>
          <t>Поступление</t>
        </is>
      </c>
      <c r="H2445">
        <f>VLOOKUP(C2445,Магазин!$A$2:$C$1000,2,0)</f>
        <v/>
      </c>
      <c r="I2445">
        <f>VLOOKUP(D2445,Товар!$A$2:$F$1000,3,0)</f>
        <v/>
      </c>
      <c r="J2445">
        <f>VLOOKUP(D2445,Товар!$A$2:$F$1000,5,0)</f>
        <v/>
      </c>
      <c r="K2445">
        <f>IF(AND(H2445="Промышленный",LEFT(I2445,18)="Порошок стиральный",F2445="Продажа",B2445=DATE(2023,6,7)),E2445*J2445/1000,0)</f>
        <v/>
      </c>
    </row>
    <row r="2446">
      <c r="A2446" t="n">
        <v>2445</v>
      </c>
      <c r="B2446" s="1" t="n">
        <v>45086</v>
      </c>
      <c r="C2446" s="5" t="inlineStr">
        <is>
          <t>M4</t>
        </is>
      </c>
      <c r="D2446" s="5" t="n">
        <v>33</v>
      </c>
      <c r="E2446" s="5" t="n">
        <v>400</v>
      </c>
      <c r="F2446" t="inlineStr">
        <is>
          <t>Поступление</t>
        </is>
      </c>
      <c r="H2446">
        <f>VLOOKUP(C2446,Магазин!$A$2:$C$1000,2,0)</f>
        <v/>
      </c>
      <c r="I2446">
        <f>VLOOKUP(D2446,Товар!$A$2:$F$1000,3,0)</f>
        <v/>
      </c>
      <c r="J2446">
        <f>VLOOKUP(D2446,Товар!$A$2:$F$1000,5,0)</f>
        <v/>
      </c>
      <c r="K2446">
        <f>IF(AND(H2446="Промышленный",LEFT(I2446,18)="Порошок стиральный",F2446="Продажа",B2446=DATE(2023,6,7)),E2446*J2446/1000,0)</f>
        <v/>
      </c>
    </row>
    <row r="2447">
      <c r="A2447" t="n">
        <v>2446</v>
      </c>
      <c r="B2447" s="1" t="n">
        <v>45086</v>
      </c>
      <c r="C2447" s="5" t="inlineStr">
        <is>
          <t>M4</t>
        </is>
      </c>
      <c r="D2447" s="5" t="n">
        <v>34</v>
      </c>
      <c r="E2447" s="5" t="n">
        <v>400</v>
      </c>
      <c r="F2447" t="inlineStr">
        <is>
          <t>Поступление</t>
        </is>
      </c>
      <c r="H2447">
        <f>VLOOKUP(C2447,Магазин!$A$2:$C$1000,2,0)</f>
        <v/>
      </c>
      <c r="I2447">
        <f>VLOOKUP(D2447,Товар!$A$2:$F$1000,3,0)</f>
        <v/>
      </c>
      <c r="J2447">
        <f>VLOOKUP(D2447,Товар!$A$2:$F$1000,5,0)</f>
        <v/>
      </c>
      <c r="K2447">
        <f>IF(AND(H2447="Промышленный",LEFT(I2447,18)="Порошок стиральный",F2447="Продажа",B2447=DATE(2023,6,7)),E2447*J2447/1000,0)</f>
        <v/>
      </c>
    </row>
    <row r="2448">
      <c r="A2448" t="n">
        <v>2447</v>
      </c>
      <c r="B2448" s="1" t="n">
        <v>45086</v>
      </c>
      <c r="C2448" s="5" t="inlineStr">
        <is>
          <t>M4</t>
        </is>
      </c>
      <c r="D2448" s="5" t="n">
        <v>35</v>
      </c>
      <c r="E2448" s="5" t="n">
        <v>400</v>
      </c>
      <c r="F2448" t="inlineStr">
        <is>
          <t>Поступление</t>
        </is>
      </c>
      <c r="H2448">
        <f>VLOOKUP(C2448,Магазин!$A$2:$C$1000,2,0)</f>
        <v/>
      </c>
      <c r="I2448">
        <f>VLOOKUP(D2448,Товар!$A$2:$F$1000,3,0)</f>
        <v/>
      </c>
      <c r="J2448">
        <f>VLOOKUP(D2448,Товар!$A$2:$F$1000,5,0)</f>
        <v/>
      </c>
      <c r="K2448">
        <f>IF(AND(H2448="Промышленный",LEFT(I2448,18)="Порошок стиральный",F2448="Продажа",B2448=DATE(2023,6,7)),E2448*J2448/1000,0)</f>
        <v/>
      </c>
    </row>
    <row r="2449">
      <c r="A2449" t="n">
        <v>2448</v>
      </c>
      <c r="B2449" s="1" t="n">
        <v>45086</v>
      </c>
      <c r="C2449" s="5" t="inlineStr">
        <is>
          <t>M4</t>
        </is>
      </c>
      <c r="D2449" s="5" t="n">
        <v>36</v>
      </c>
      <c r="E2449" s="5" t="n">
        <v>400</v>
      </c>
      <c r="F2449" t="inlineStr">
        <is>
          <t>Поступление</t>
        </is>
      </c>
      <c r="H2449">
        <f>VLOOKUP(C2449,Магазин!$A$2:$C$1000,2,0)</f>
        <v/>
      </c>
      <c r="I2449">
        <f>VLOOKUP(D2449,Товар!$A$2:$F$1000,3,0)</f>
        <v/>
      </c>
      <c r="J2449">
        <f>VLOOKUP(D2449,Товар!$A$2:$F$1000,5,0)</f>
        <v/>
      </c>
      <c r="K2449">
        <f>IF(AND(H2449="Промышленный",LEFT(I2449,18)="Порошок стиральный",F2449="Продажа",B2449=DATE(2023,6,7)),E2449*J2449/1000,0)</f>
        <v/>
      </c>
    </row>
    <row r="2450">
      <c r="A2450" t="n">
        <v>2449</v>
      </c>
      <c r="B2450" s="1" t="n">
        <v>45086</v>
      </c>
      <c r="C2450" s="5" t="inlineStr">
        <is>
          <t>M7</t>
        </is>
      </c>
      <c r="D2450" s="5" t="n">
        <v>1</v>
      </c>
      <c r="E2450" s="5" t="n">
        <v>400</v>
      </c>
      <c r="F2450" t="inlineStr">
        <is>
          <t>Поступление</t>
        </is>
      </c>
      <c r="H2450">
        <f>VLOOKUP(C2450,Магазин!$A$2:$C$1000,2,0)</f>
        <v/>
      </c>
      <c r="I2450">
        <f>VLOOKUP(D2450,Товар!$A$2:$F$1000,3,0)</f>
        <v/>
      </c>
      <c r="J2450">
        <f>VLOOKUP(D2450,Товар!$A$2:$F$1000,5,0)</f>
        <v/>
      </c>
      <c r="K2450">
        <f>IF(AND(H2450="Промышленный",LEFT(I2450,18)="Порошок стиральный",F2450="Продажа",B2450=DATE(2023,6,7)),E2450*J2450/1000,0)</f>
        <v/>
      </c>
    </row>
    <row r="2451">
      <c r="A2451" t="n">
        <v>2450</v>
      </c>
      <c r="B2451" s="1" t="n">
        <v>45086</v>
      </c>
      <c r="C2451" s="5" t="inlineStr">
        <is>
          <t>M7</t>
        </is>
      </c>
      <c r="D2451" s="5" t="n">
        <v>2</v>
      </c>
      <c r="E2451" s="5" t="n">
        <v>400</v>
      </c>
      <c r="F2451" t="inlineStr">
        <is>
          <t>Поступление</t>
        </is>
      </c>
      <c r="H2451">
        <f>VLOOKUP(C2451,Магазин!$A$2:$C$1000,2,0)</f>
        <v/>
      </c>
      <c r="I2451">
        <f>VLOOKUP(D2451,Товар!$A$2:$F$1000,3,0)</f>
        <v/>
      </c>
      <c r="J2451">
        <f>VLOOKUP(D2451,Товар!$A$2:$F$1000,5,0)</f>
        <v/>
      </c>
      <c r="K2451">
        <f>IF(AND(H2451="Промышленный",LEFT(I2451,18)="Порошок стиральный",F2451="Продажа",B2451=DATE(2023,6,7)),E2451*J2451/1000,0)</f>
        <v/>
      </c>
    </row>
    <row r="2452">
      <c r="A2452" t="n">
        <v>2451</v>
      </c>
      <c r="B2452" s="1" t="n">
        <v>45086</v>
      </c>
      <c r="C2452" s="5" t="inlineStr">
        <is>
          <t>M7</t>
        </is>
      </c>
      <c r="D2452" s="5" t="n">
        <v>3</v>
      </c>
      <c r="E2452" s="5" t="n">
        <v>400</v>
      </c>
      <c r="F2452" t="inlineStr">
        <is>
          <t>Поступление</t>
        </is>
      </c>
      <c r="H2452">
        <f>VLOOKUP(C2452,Магазин!$A$2:$C$1000,2,0)</f>
        <v/>
      </c>
      <c r="I2452">
        <f>VLOOKUP(D2452,Товар!$A$2:$F$1000,3,0)</f>
        <v/>
      </c>
      <c r="J2452">
        <f>VLOOKUP(D2452,Товар!$A$2:$F$1000,5,0)</f>
        <v/>
      </c>
      <c r="K2452">
        <f>IF(AND(H2452="Промышленный",LEFT(I2452,18)="Порошок стиральный",F2452="Продажа",B2452=DATE(2023,6,7)),E2452*J2452/1000,0)</f>
        <v/>
      </c>
    </row>
    <row r="2453">
      <c r="A2453" t="n">
        <v>2452</v>
      </c>
      <c r="B2453" s="1" t="n">
        <v>45086</v>
      </c>
      <c r="C2453" s="5" t="inlineStr">
        <is>
          <t>M7</t>
        </is>
      </c>
      <c r="D2453" s="5" t="n">
        <v>4</v>
      </c>
      <c r="E2453" s="5" t="n">
        <v>400</v>
      </c>
      <c r="F2453" t="inlineStr">
        <is>
          <t>Поступление</t>
        </is>
      </c>
      <c r="H2453">
        <f>VLOOKUP(C2453,Магазин!$A$2:$C$1000,2,0)</f>
        <v/>
      </c>
      <c r="I2453">
        <f>VLOOKUP(D2453,Товар!$A$2:$F$1000,3,0)</f>
        <v/>
      </c>
      <c r="J2453">
        <f>VLOOKUP(D2453,Товар!$A$2:$F$1000,5,0)</f>
        <v/>
      </c>
      <c r="K2453">
        <f>IF(AND(H2453="Промышленный",LEFT(I2453,18)="Порошок стиральный",F2453="Продажа",B2453=DATE(2023,6,7)),E2453*J2453/1000,0)</f>
        <v/>
      </c>
    </row>
    <row r="2454">
      <c r="A2454" t="n">
        <v>2453</v>
      </c>
      <c r="B2454" s="1" t="n">
        <v>45086</v>
      </c>
      <c r="C2454" s="5" t="inlineStr">
        <is>
          <t>M7</t>
        </is>
      </c>
      <c r="D2454" s="5" t="n">
        <v>5</v>
      </c>
      <c r="E2454" s="5" t="n">
        <v>400</v>
      </c>
      <c r="F2454" t="inlineStr">
        <is>
          <t>Поступление</t>
        </is>
      </c>
      <c r="H2454">
        <f>VLOOKUP(C2454,Магазин!$A$2:$C$1000,2,0)</f>
        <v/>
      </c>
      <c r="I2454">
        <f>VLOOKUP(D2454,Товар!$A$2:$F$1000,3,0)</f>
        <v/>
      </c>
      <c r="J2454">
        <f>VLOOKUP(D2454,Товар!$A$2:$F$1000,5,0)</f>
        <v/>
      </c>
      <c r="K2454">
        <f>IF(AND(H2454="Промышленный",LEFT(I2454,18)="Порошок стиральный",F2454="Продажа",B2454=DATE(2023,6,7)),E2454*J2454/1000,0)</f>
        <v/>
      </c>
    </row>
    <row r="2455">
      <c r="A2455" t="n">
        <v>2454</v>
      </c>
      <c r="B2455" s="1" t="n">
        <v>45086</v>
      </c>
      <c r="C2455" s="5" t="inlineStr">
        <is>
          <t>M7</t>
        </is>
      </c>
      <c r="D2455" s="5" t="n">
        <v>6</v>
      </c>
      <c r="E2455" s="5" t="n">
        <v>400</v>
      </c>
      <c r="F2455" t="inlineStr">
        <is>
          <t>Поступление</t>
        </is>
      </c>
      <c r="H2455">
        <f>VLOOKUP(C2455,Магазин!$A$2:$C$1000,2,0)</f>
        <v/>
      </c>
      <c r="I2455">
        <f>VLOOKUP(D2455,Товар!$A$2:$F$1000,3,0)</f>
        <v/>
      </c>
      <c r="J2455">
        <f>VLOOKUP(D2455,Товар!$A$2:$F$1000,5,0)</f>
        <v/>
      </c>
      <c r="K2455">
        <f>IF(AND(H2455="Промышленный",LEFT(I2455,18)="Порошок стиральный",F2455="Продажа",B2455=DATE(2023,6,7)),E2455*J2455/1000,0)</f>
        <v/>
      </c>
    </row>
    <row r="2456">
      <c r="A2456" t="n">
        <v>2455</v>
      </c>
      <c r="B2456" s="1" t="n">
        <v>45086</v>
      </c>
      <c r="C2456" s="5" t="inlineStr">
        <is>
          <t>M7</t>
        </is>
      </c>
      <c r="D2456" s="5" t="n">
        <v>7</v>
      </c>
      <c r="E2456" s="5" t="n">
        <v>400</v>
      </c>
      <c r="F2456" t="inlineStr">
        <is>
          <t>Поступление</t>
        </is>
      </c>
      <c r="H2456">
        <f>VLOOKUP(C2456,Магазин!$A$2:$C$1000,2,0)</f>
        <v/>
      </c>
      <c r="I2456">
        <f>VLOOKUP(D2456,Товар!$A$2:$F$1000,3,0)</f>
        <v/>
      </c>
      <c r="J2456">
        <f>VLOOKUP(D2456,Товар!$A$2:$F$1000,5,0)</f>
        <v/>
      </c>
      <c r="K2456">
        <f>IF(AND(H2456="Промышленный",LEFT(I2456,18)="Порошок стиральный",F2456="Продажа",B2456=DATE(2023,6,7)),E2456*J2456/1000,0)</f>
        <v/>
      </c>
    </row>
    <row r="2457">
      <c r="A2457" t="n">
        <v>2456</v>
      </c>
      <c r="B2457" s="1" t="n">
        <v>45086</v>
      </c>
      <c r="C2457" s="5" t="inlineStr">
        <is>
          <t>M7</t>
        </is>
      </c>
      <c r="D2457" s="5" t="n">
        <v>8</v>
      </c>
      <c r="E2457" s="5" t="n">
        <v>400</v>
      </c>
      <c r="F2457" t="inlineStr">
        <is>
          <t>Поступление</t>
        </is>
      </c>
      <c r="H2457">
        <f>VLOOKUP(C2457,Магазин!$A$2:$C$1000,2,0)</f>
        <v/>
      </c>
      <c r="I2457">
        <f>VLOOKUP(D2457,Товар!$A$2:$F$1000,3,0)</f>
        <v/>
      </c>
      <c r="J2457">
        <f>VLOOKUP(D2457,Товар!$A$2:$F$1000,5,0)</f>
        <v/>
      </c>
      <c r="K2457">
        <f>IF(AND(H2457="Промышленный",LEFT(I2457,18)="Порошок стиральный",F2457="Продажа",B2457=DATE(2023,6,7)),E2457*J2457/1000,0)</f>
        <v/>
      </c>
    </row>
    <row r="2458">
      <c r="A2458" t="n">
        <v>2457</v>
      </c>
      <c r="B2458" s="1" t="n">
        <v>45086</v>
      </c>
      <c r="C2458" s="5" t="inlineStr">
        <is>
          <t>M7</t>
        </is>
      </c>
      <c r="D2458" s="5" t="n">
        <v>9</v>
      </c>
      <c r="E2458" s="5" t="n">
        <v>400</v>
      </c>
      <c r="F2458" t="inlineStr">
        <is>
          <t>Поступление</t>
        </is>
      </c>
      <c r="H2458">
        <f>VLOOKUP(C2458,Магазин!$A$2:$C$1000,2,0)</f>
        <v/>
      </c>
      <c r="I2458">
        <f>VLOOKUP(D2458,Товар!$A$2:$F$1000,3,0)</f>
        <v/>
      </c>
      <c r="J2458">
        <f>VLOOKUP(D2458,Товар!$A$2:$F$1000,5,0)</f>
        <v/>
      </c>
      <c r="K2458">
        <f>IF(AND(H2458="Промышленный",LEFT(I2458,18)="Порошок стиральный",F2458="Продажа",B2458=DATE(2023,6,7)),E2458*J2458/1000,0)</f>
        <v/>
      </c>
    </row>
    <row r="2459">
      <c r="A2459" t="n">
        <v>2458</v>
      </c>
      <c r="B2459" s="1" t="n">
        <v>45086</v>
      </c>
      <c r="C2459" s="5" t="inlineStr">
        <is>
          <t>M7</t>
        </is>
      </c>
      <c r="D2459" s="5" t="n">
        <v>10</v>
      </c>
      <c r="E2459" s="5" t="n">
        <v>400</v>
      </c>
      <c r="F2459" t="inlineStr">
        <is>
          <t>Поступление</t>
        </is>
      </c>
      <c r="H2459">
        <f>VLOOKUP(C2459,Магазин!$A$2:$C$1000,2,0)</f>
        <v/>
      </c>
      <c r="I2459">
        <f>VLOOKUP(D2459,Товар!$A$2:$F$1000,3,0)</f>
        <v/>
      </c>
      <c r="J2459">
        <f>VLOOKUP(D2459,Товар!$A$2:$F$1000,5,0)</f>
        <v/>
      </c>
      <c r="K2459">
        <f>IF(AND(H2459="Промышленный",LEFT(I2459,18)="Порошок стиральный",F2459="Продажа",B2459=DATE(2023,6,7)),E2459*J2459/1000,0)</f>
        <v/>
      </c>
    </row>
    <row r="2460">
      <c r="A2460" t="n">
        <v>2459</v>
      </c>
      <c r="B2460" s="1" t="n">
        <v>45086</v>
      </c>
      <c r="C2460" s="5" t="inlineStr">
        <is>
          <t>M7</t>
        </is>
      </c>
      <c r="D2460" s="5" t="n">
        <v>11</v>
      </c>
      <c r="E2460" s="5" t="n">
        <v>400</v>
      </c>
      <c r="F2460" t="inlineStr">
        <is>
          <t>Поступление</t>
        </is>
      </c>
      <c r="H2460">
        <f>VLOOKUP(C2460,Магазин!$A$2:$C$1000,2,0)</f>
        <v/>
      </c>
      <c r="I2460">
        <f>VLOOKUP(D2460,Товар!$A$2:$F$1000,3,0)</f>
        <v/>
      </c>
      <c r="J2460">
        <f>VLOOKUP(D2460,Товар!$A$2:$F$1000,5,0)</f>
        <v/>
      </c>
      <c r="K2460">
        <f>IF(AND(H2460="Промышленный",LEFT(I2460,18)="Порошок стиральный",F2460="Продажа",B2460=DATE(2023,6,7)),E2460*J2460/1000,0)</f>
        <v/>
      </c>
    </row>
    <row r="2461">
      <c r="A2461" t="n">
        <v>2460</v>
      </c>
      <c r="B2461" s="1" t="n">
        <v>45086</v>
      </c>
      <c r="C2461" s="5" t="inlineStr">
        <is>
          <t>M7</t>
        </is>
      </c>
      <c r="D2461" s="5" t="n">
        <v>12</v>
      </c>
      <c r="E2461" s="5" t="n">
        <v>400</v>
      </c>
      <c r="F2461" t="inlineStr">
        <is>
          <t>Поступление</t>
        </is>
      </c>
      <c r="H2461">
        <f>VLOOKUP(C2461,Магазин!$A$2:$C$1000,2,0)</f>
        <v/>
      </c>
      <c r="I2461">
        <f>VLOOKUP(D2461,Товар!$A$2:$F$1000,3,0)</f>
        <v/>
      </c>
      <c r="J2461">
        <f>VLOOKUP(D2461,Товар!$A$2:$F$1000,5,0)</f>
        <v/>
      </c>
      <c r="K2461">
        <f>IF(AND(H2461="Промышленный",LEFT(I2461,18)="Порошок стиральный",F2461="Продажа",B2461=DATE(2023,6,7)),E2461*J2461/1000,0)</f>
        <v/>
      </c>
    </row>
    <row r="2462">
      <c r="A2462" t="n">
        <v>2461</v>
      </c>
      <c r="B2462" s="1" t="n">
        <v>45086</v>
      </c>
      <c r="C2462" s="5" t="inlineStr">
        <is>
          <t>M7</t>
        </is>
      </c>
      <c r="D2462" s="5" t="n">
        <v>13</v>
      </c>
      <c r="E2462" s="5" t="n">
        <v>400</v>
      </c>
      <c r="F2462" t="inlineStr">
        <is>
          <t>Поступление</t>
        </is>
      </c>
      <c r="H2462">
        <f>VLOOKUP(C2462,Магазин!$A$2:$C$1000,2,0)</f>
        <v/>
      </c>
      <c r="I2462">
        <f>VLOOKUP(D2462,Товар!$A$2:$F$1000,3,0)</f>
        <v/>
      </c>
      <c r="J2462">
        <f>VLOOKUP(D2462,Товар!$A$2:$F$1000,5,0)</f>
        <v/>
      </c>
      <c r="K2462">
        <f>IF(AND(H2462="Промышленный",LEFT(I2462,18)="Порошок стиральный",F2462="Продажа",B2462=DATE(2023,6,7)),E2462*J2462/1000,0)</f>
        <v/>
      </c>
    </row>
    <row r="2463">
      <c r="A2463" t="n">
        <v>2462</v>
      </c>
      <c r="B2463" s="1" t="n">
        <v>45086</v>
      </c>
      <c r="C2463" s="5" t="inlineStr">
        <is>
          <t>M7</t>
        </is>
      </c>
      <c r="D2463" s="5" t="n">
        <v>14</v>
      </c>
      <c r="E2463" s="5" t="n">
        <v>400</v>
      </c>
      <c r="F2463" t="inlineStr">
        <is>
          <t>Поступление</t>
        </is>
      </c>
      <c r="H2463">
        <f>VLOOKUP(C2463,Магазин!$A$2:$C$1000,2,0)</f>
        <v/>
      </c>
      <c r="I2463">
        <f>VLOOKUP(D2463,Товар!$A$2:$F$1000,3,0)</f>
        <v/>
      </c>
      <c r="J2463">
        <f>VLOOKUP(D2463,Товар!$A$2:$F$1000,5,0)</f>
        <v/>
      </c>
      <c r="K2463">
        <f>IF(AND(H2463="Промышленный",LEFT(I2463,18)="Порошок стиральный",F2463="Продажа",B2463=DATE(2023,6,7)),E2463*J2463/1000,0)</f>
        <v/>
      </c>
    </row>
    <row r="2464">
      <c r="A2464" t="n">
        <v>2463</v>
      </c>
      <c r="B2464" s="1" t="n">
        <v>45086</v>
      </c>
      <c r="C2464" s="5" t="inlineStr">
        <is>
          <t>M7</t>
        </is>
      </c>
      <c r="D2464" s="5" t="n">
        <v>15</v>
      </c>
      <c r="E2464" s="5" t="n">
        <v>400</v>
      </c>
      <c r="F2464" t="inlineStr">
        <is>
          <t>Поступление</t>
        </is>
      </c>
      <c r="H2464">
        <f>VLOOKUP(C2464,Магазин!$A$2:$C$1000,2,0)</f>
        <v/>
      </c>
      <c r="I2464">
        <f>VLOOKUP(D2464,Товар!$A$2:$F$1000,3,0)</f>
        <v/>
      </c>
      <c r="J2464">
        <f>VLOOKUP(D2464,Товар!$A$2:$F$1000,5,0)</f>
        <v/>
      </c>
      <c r="K2464">
        <f>IF(AND(H2464="Промышленный",LEFT(I2464,18)="Порошок стиральный",F2464="Продажа",B2464=DATE(2023,6,7)),E2464*J2464/1000,0)</f>
        <v/>
      </c>
    </row>
    <row r="2465">
      <c r="A2465" t="n">
        <v>2464</v>
      </c>
      <c r="B2465" s="1" t="n">
        <v>45086</v>
      </c>
      <c r="C2465" s="5" t="inlineStr">
        <is>
          <t>M7</t>
        </is>
      </c>
      <c r="D2465" s="5" t="n">
        <v>16</v>
      </c>
      <c r="E2465" s="5" t="n">
        <v>400</v>
      </c>
      <c r="F2465" t="inlineStr">
        <is>
          <t>Поступление</t>
        </is>
      </c>
      <c r="H2465">
        <f>VLOOKUP(C2465,Магазин!$A$2:$C$1000,2,0)</f>
        <v/>
      </c>
      <c r="I2465">
        <f>VLOOKUP(D2465,Товар!$A$2:$F$1000,3,0)</f>
        <v/>
      </c>
      <c r="J2465">
        <f>VLOOKUP(D2465,Товар!$A$2:$F$1000,5,0)</f>
        <v/>
      </c>
      <c r="K2465">
        <f>IF(AND(H2465="Промышленный",LEFT(I2465,18)="Порошок стиральный",F2465="Продажа",B2465=DATE(2023,6,7)),E2465*J2465/1000,0)</f>
        <v/>
      </c>
    </row>
    <row r="2466">
      <c r="A2466" t="n">
        <v>2465</v>
      </c>
      <c r="B2466" s="1" t="n">
        <v>45086</v>
      </c>
      <c r="C2466" s="5" t="inlineStr">
        <is>
          <t>M7</t>
        </is>
      </c>
      <c r="D2466" s="5" t="n">
        <v>17</v>
      </c>
      <c r="E2466" s="5" t="n">
        <v>400</v>
      </c>
      <c r="F2466" t="inlineStr">
        <is>
          <t>Поступление</t>
        </is>
      </c>
      <c r="H2466">
        <f>VLOOKUP(C2466,Магазин!$A$2:$C$1000,2,0)</f>
        <v/>
      </c>
      <c r="I2466">
        <f>VLOOKUP(D2466,Товар!$A$2:$F$1000,3,0)</f>
        <v/>
      </c>
      <c r="J2466">
        <f>VLOOKUP(D2466,Товар!$A$2:$F$1000,5,0)</f>
        <v/>
      </c>
      <c r="K2466">
        <f>IF(AND(H2466="Промышленный",LEFT(I2466,18)="Порошок стиральный",F2466="Продажа",B2466=DATE(2023,6,7)),E2466*J2466/1000,0)</f>
        <v/>
      </c>
    </row>
    <row r="2467">
      <c r="A2467" t="n">
        <v>2466</v>
      </c>
      <c r="B2467" s="1" t="n">
        <v>45086</v>
      </c>
      <c r="C2467" s="5" t="inlineStr">
        <is>
          <t>M7</t>
        </is>
      </c>
      <c r="D2467" s="5" t="n">
        <v>18</v>
      </c>
      <c r="E2467" s="5" t="n">
        <v>400</v>
      </c>
      <c r="F2467" t="inlineStr">
        <is>
          <t>Поступление</t>
        </is>
      </c>
      <c r="H2467">
        <f>VLOOKUP(C2467,Магазин!$A$2:$C$1000,2,0)</f>
        <v/>
      </c>
      <c r="I2467">
        <f>VLOOKUP(D2467,Товар!$A$2:$F$1000,3,0)</f>
        <v/>
      </c>
      <c r="J2467">
        <f>VLOOKUP(D2467,Товар!$A$2:$F$1000,5,0)</f>
        <v/>
      </c>
      <c r="K2467">
        <f>IF(AND(H2467="Промышленный",LEFT(I2467,18)="Порошок стиральный",F2467="Продажа",B2467=DATE(2023,6,7)),E2467*J2467/1000,0)</f>
        <v/>
      </c>
    </row>
    <row r="2468">
      <c r="A2468" t="n">
        <v>2467</v>
      </c>
      <c r="B2468" s="1" t="n">
        <v>45086</v>
      </c>
      <c r="C2468" s="5" t="inlineStr">
        <is>
          <t>M7</t>
        </is>
      </c>
      <c r="D2468" s="5" t="n">
        <v>19</v>
      </c>
      <c r="E2468" s="5" t="n">
        <v>400</v>
      </c>
      <c r="F2468" t="inlineStr">
        <is>
          <t>Поступление</t>
        </is>
      </c>
      <c r="H2468">
        <f>VLOOKUP(C2468,Магазин!$A$2:$C$1000,2,0)</f>
        <v/>
      </c>
      <c r="I2468">
        <f>VLOOKUP(D2468,Товар!$A$2:$F$1000,3,0)</f>
        <v/>
      </c>
      <c r="J2468">
        <f>VLOOKUP(D2468,Товар!$A$2:$F$1000,5,0)</f>
        <v/>
      </c>
      <c r="K2468">
        <f>IF(AND(H2468="Промышленный",LEFT(I2468,18)="Порошок стиральный",F2468="Продажа",B2468=DATE(2023,6,7)),E2468*J2468/1000,0)</f>
        <v/>
      </c>
    </row>
    <row r="2469">
      <c r="A2469" t="n">
        <v>2468</v>
      </c>
      <c r="B2469" s="1" t="n">
        <v>45086</v>
      </c>
      <c r="C2469" s="5" t="inlineStr">
        <is>
          <t>M7</t>
        </is>
      </c>
      <c r="D2469" s="5" t="n">
        <v>20</v>
      </c>
      <c r="E2469" s="5" t="n">
        <v>400</v>
      </c>
      <c r="F2469" t="inlineStr">
        <is>
          <t>Поступление</t>
        </is>
      </c>
      <c r="H2469">
        <f>VLOOKUP(C2469,Магазин!$A$2:$C$1000,2,0)</f>
        <v/>
      </c>
      <c r="I2469">
        <f>VLOOKUP(D2469,Товар!$A$2:$F$1000,3,0)</f>
        <v/>
      </c>
      <c r="J2469">
        <f>VLOOKUP(D2469,Товар!$A$2:$F$1000,5,0)</f>
        <v/>
      </c>
      <c r="K2469">
        <f>IF(AND(H2469="Промышленный",LEFT(I2469,18)="Порошок стиральный",F2469="Продажа",B2469=DATE(2023,6,7)),E2469*J2469/1000,0)</f>
        <v/>
      </c>
    </row>
    <row r="2470">
      <c r="A2470" t="n">
        <v>2469</v>
      </c>
      <c r="B2470" s="1" t="n">
        <v>45086</v>
      </c>
      <c r="C2470" s="5" t="inlineStr">
        <is>
          <t>M7</t>
        </is>
      </c>
      <c r="D2470" s="5" t="n">
        <v>21</v>
      </c>
      <c r="E2470" s="5" t="n">
        <v>400</v>
      </c>
      <c r="F2470" t="inlineStr">
        <is>
          <t>Поступление</t>
        </is>
      </c>
      <c r="H2470">
        <f>VLOOKUP(C2470,Магазин!$A$2:$C$1000,2,0)</f>
        <v/>
      </c>
      <c r="I2470">
        <f>VLOOKUP(D2470,Товар!$A$2:$F$1000,3,0)</f>
        <v/>
      </c>
      <c r="J2470">
        <f>VLOOKUP(D2470,Товар!$A$2:$F$1000,5,0)</f>
        <v/>
      </c>
      <c r="K2470">
        <f>IF(AND(H2470="Промышленный",LEFT(I2470,18)="Порошок стиральный",F2470="Продажа",B2470=DATE(2023,6,7)),E2470*J2470/1000,0)</f>
        <v/>
      </c>
    </row>
    <row r="2471">
      <c r="A2471" t="n">
        <v>2470</v>
      </c>
      <c r="B2471" s="1" t="n">
        <v>45086</v>
      </c>
      <c r="C2471" s="5" t="inlineStr">
        <is>
          <t>M7</t>
        </is>
      </c>
      <c r="D2471" s="5" t="n">
        <v>22</v>
      </c>
      <c r="E2471" s="5" t="n">
        <v>400</v>
      </c>
      <c r="F2471" t="inlineStr">
        <is>
          <t>Поступление</t>
        </is>
      </c>
      <c r="H2471">
        <f>VLOOKUP(C2471,Магазин!$A$2:$C$1000,2,0)</f>
        <v/>
      </c>
      <c r="I2471">
        <f>VLOOKUP(D2471,Товар!$A$2:$F$1000,3,0)</f>
        <v/>
      </c>
      <c r="J2471">
        <f>VLOOKUP(D2471,Товар!$A$2:$F$1000,5,0)</f>
        <v/>
      </c>
      <c r="K2471">
        <f>IF(AND(H2471="Промышленный",LEFT(I2471,18)="Порошок стиральный",F2471="Продажа",B2471=DATE(2023,6,7)),E2471*J2471/1000,0)</f>
        <v/>
      </c>
    </row>
    <row r="2472">
      <c r="A2472" t="n">
        <v>2471</v>
      </c>
      <c r="B2472" s="1" t="n">
        <v>45086</v>
      </c>
      <c r="C2472" s="5" t="inlineStr">
        <is>
          <t>M7</t>
        </is>
      </c>
      <c r="D2472" s="5" t="n">
        <v>23</v>
      </c>
      <c r="E2472" s="5" t="n">
        <v>400</v>
      </c>
      <c r="F2472" t="inlineStr">
        <is>
          <t>Поступление</t>
        </is>
      </c>
      <c r="H2472">
        <f>VLOOKUP(C2472,Магазин!$A$2:$C$1000,2,0)</f>
        <v/>
      </c>
      <c r="I2472">
        <f>VLOOKUP(D2472,Товар!$A$2:$F$1000,3,0)</f>
        <v/>
      </c>
      <c r="J2472">
        <f>VLOOKUP(D2472,Товар!$A$2:$F$1000,5,0)</f>
        <v/>
      </c>
      <c r="K2472">
        <f>IF(AND(H2472="Промышленный",LEFT(I2472,18)="Порошок стиральный",F2472="Продажа",B2472=DATE(2023,6,7)),E2472*J2472/1000,0)</f>
        <v/>
      </c>
    </row>
    <row r="2473">
      <c r="A2473" t="n">
        <v>2472</v>
      </c>
      <c r="B2473" s="1" t="n">
        <v>45086</v>
      </c>
      <c r="C2473" s="5" t="inlineStr">
        <is>
          <t>M7</t>
        </is>
      </c>
      <c r="D2473" s="5" t="n">
        <v>24</v>
      </c>
      <c r="E2473" s="5" t="n">
        <v>400</v>
      </c>
      <c r="F2473" t="inlineStr">
        <is>
          <t>Поступление</t>
        </is>
      </c>
      <c r="H2473">
        <f>VLOOKUP(C2473,Магазин!$A$2:$C$1000,2,0)</f>
        <v/>
      </c>
      <c r="I2473">
        <f>VLOOKUP(D2473,Товар!$A$2:$F$1000,3,0)</f>
        <v/>
      </c>
      <c r="J2473">
        <f>VLOOKUP(D2473,Товар!$A$2:$F$1000,5,0)</f>
        <v/>
      </c>
      <c r="K2473">
        <f>IF(AND(H2473="Промышленный",LEFT(I2473,18)="Порошок стиральный",F2473="Продажа",B2473=DATE(2023,6,7)),E2473*J2473/1000,0)</f>
        <v/>
      </c>
    </row>
    <row r="2474">
      <c r="A2474" t="n">
        <v>2473</v>
      </c>
      <c r="B2474" s="1" t="n">
        <v>45086</v>
      </c>
      <c r="C2474" s="5" t="inlineStr">
        <is>
          <t>M7</t>
        </is>
      </c>
      <c r="D2474" s="5" t="n">
        <v>25</v>
      </c>
      <c r="E2474" s="5" t="n">
        <v>400</v>
      </c>
      <c r="F2474" t="inlineStr">
        <is>
          <t>Поступление</t>
        </is>
      </c>
      <c r="H2474">
        <f>VLOOKUP(C2474,Магазин!$A$2:$C$1000,2,0)</f>
        <v/>
      </c>
      <c r="I2474">
        <f>VLOOKUP(D2474,Товар!$A$2:$F$1000,3,0)</f>
        <v/>
      </c>
      <c r="J2474">
        <f>VLOOKUP(D2474,Товар!$A$2:$F$1000,5,0)</f>
        <v/>
      </c>
      <c r="K2474">
        <f>IF(AND(H2474="Промышленный",LEFT(I2474,18)="Порошок стиральный",F2474="Продажа",B2474=DATE(2023,6,7)),E2474*J2474/1000,0)</f>
        <v/>
      </c>
    </row>
    <row r="2475">
      <c r="A2475" t="n">
        <v>2474</v>
      </c>
      <c r="B2475" s="1" t="n">
        <v>45086</v>
      </c>
      <c r="C2475" s="5" t="inlineStr">
        <is>
          <t>M7</t>
        </is>
      </c>
      <c r="D2475" s="5" t="n">
        <v>26</v>
      </c>
      <c r="E2475" s="5" t="n">
        <v>400</v>
      </c>
      <c r="F2475" t="inlineStr">
        <is>
          <t>Поступление</t>
        </is>
      </c>
      <c r="H2475">
        <f>VLOOKUP(C2475,Магазин!$A$2:$C$1000,2,0)</f>
        <v/>
      </c>
      <c r="I2475">
        <f>VLOOKUP(D2475,Товар!$A$2:$F$1000,3,0)</f>
        <v/>
      </c>
      <c r="J2475">
        <f>VLOOKUP(D2475,Товар!$A$2:$F$1000,5,0)</f>
        <v/>
      </c>
      <c r="K2475">
        <f>IF(AND(H2475="Промышленный",LEFT(I2475,18)="Порошок стиральный",F2475="Продажа",B2475=DATE(2023,6,7)),E2475*J2475/1000,0)</f>
        <v/>
      </c>
    </row>
    <row r="2476">
      <c r="A2476" t="n">
        <v>2475</v>
      </c>
      <c r="B2476" s="1" t="n">
        <v>45086</v>
      </c>
      <c r="C2476" s="5" t="inlineStr">
        <is>
          <t>M7</t>
        </is>
      </c>
      <c r="D2476" s="5" t="n">
        <v>27</v>
      </c>
      <c r="E2476" s="5" t="n">
        <v>400</v>
      </c>
      <c r="F2476" t="inlineStr">
        <is>
          <t>Поступление</t>
        </is>
      </c>
      <c r="H2476">
        <f>VLOOKUP(C2476,Магазин!$A$2:$C$1000,2,0)</f>
        <v/>
      </c>
      <c r="I2476">
        <f>VLOOKUP(D2476,Товар!$A$2:$F$1000,3,0)</f>
        <v/>
      </c>
      <c r="J2476">
        <f>VLOOKUP(D2476,Товар!$A$2:$F$1000,5,0)</f>
        <v/>
      </c>
      <c r="K2476">
        <f>IF(AND(H2476="Промышленный",LEFT(I2476,18)="Порошок стиральный",F2476="Продажа",B2476=DATE(2023,6,7)),E2476*J2476/1000,0)</f>
        <v/>
      </c>
    </row>
    <row r="2477">
      <c r="A2477" t="n">
        <v>2476</v>
      </c>
      <c r="B2477" s="1" t="n">
        <v>45086</v>
      </c>
      <c r="C2477" s="5" t="inlineStr">
        <is>
          <t>M7</t>
        </is>
      </c>
      <c r="D2477" s="5" t="n">
        <v>28</v>
      </c>
      <c r="E2477" s="5" t="n">
        <v>400</v>
      </c>
      <c r="F2477" t="inlineStr">
        <is>
          <t>Поступление</t>
        </is>
      </c>
      <c r="H2477">
        <f>VLOOKUP(C2477,Магазин!$A$2:$C$1000,2,0)</f>
        <v/>
      </c>
      <c r="I2477">
        <f>VLOOKUP(D2477,Товар!$A$2:$F$1000,3,0)</f>
        <v/>
      </c>
      <c r="J2477">
        <f>VLOOKUP(D2477,Товар!$A$2:$F$1000,5,0)</f>
        <v/>
      </c>
      <c r="K2477">
        <f>IF(AND(H2477="Промышленный",LEFT(I2477,18)="Порошок стиральный",F2477="Продажа",B2477=DATE(2023,6,7)),E2477*J2477/1000,0)</f>
        <v/>
      </c>
    </row>
    <row r="2478">
      <c r="A2478" t="n">
        <v>2477</v>
      </c>
      <c r="B2478" s="1" t="n">
        <v>45086</v>
      </c>
      <c r="C2478" s="5" t="inlineStr">
        <is>
          <t>M7</t>
        </is>
      </c>
      <c r="D2478" s="5" t="n">
        <v>29</v>
      </c>
      <c r="E2478" s="5" t="n">
        <v>400</v>
      </c>
      <c r="F2478" t="inlineStr">
        <is>
          <t>Поступление</t>
        </is>
      </c>
      <c r="H2478">
        <f>VLOOKUP(C2478,Магазин!$A$2:$C$1000,2,0)</f>
        <v/>
      </c>
      <c r="I2478">
        <f>VLOOKUP(D2478,Товар!$A$2:$F$1000,3,0)</f>
        <v/>
      </c>
      <c r="J2478">
        <f>VLOOKUP(D2478,Товар!$A$2:$F$1000,5,0)</f>
        <v/>
      </c>
      <c r="K2478">
        <f>IF(AND(H2478="Промышленный",LEFT(I2478,18)="Порошок стиральный",F2478="Продажа",B2478=DATE(2023,6,7)),E2478*J2478/1000,0)</f>
        <v/>
      </c>
    </row>
    <row r="2479">
      <c r="A2479" t="n">
        <v>2478</v>
      </c>
      <c r="B2479" s="1" t="n">
        <v>45086</v>
      </c>
      <c r="C2479" s="5" t="inlineStr">
        <is>
          <t>M7</t>
        </is>
      </c>
      <c r="D2479" s="5" t="n">
        <v>30</v>
      </c>
      <c r="E2479" s="5" t="n">
        <v>400</v>
      </c>
      <c r="F2479" t="inlineStr">
        <is>
          <t>Поступление</t>
        </is>
      </c>
      <c r="H2479">
        <f>VLOOKUP(C2479,Магазин!$A$2:$C$1000,2,0)</f>
        <v/>
      </c>
      <c r="I2479">
        <f>VLOOKUP(D2479,Товар!$A$2:$F$1000,3,0)</f>
        <v/>
      </c>
      <c r="J2479">
        <f>VLOOKUP(D2479,Товар!$A$2:$F$1000,5,0)</f>
        <v/>
      </c>
      <c r="K2479">
        <f>IF(AND(H2479="Промышленный",LEFT(I2479,18)="Порошок стиральный",F2479="Продажа",B2479=DATE(2023,6,7)),E2479*J2479/1000,0)</f>
        <v/>
      </c>
    </row>
    <row r="2480">
      <c r="A2480" t="n">
        <v>2479</v>
      </c>
      <c r="B2480" s="1" t="n">
        <v>45086</v>
      </c>
      <c r="C2480" s="5" t="inlineStr">
        <is>
          <t>M7</t>
        </is>
      </c>
      <c r="D2480" s="5" t="n">
        <v>31</v>
      </c>
      <c r="E2480" s="5" t="n">
        <v>400</v>
      </c>
      <c r="F2480" t="inlineStr">
        <is>
          <t>Поступление</t>
        </is>
      </c>
      <c r="H2480">
        <f>VLOOKUP(C2480,Магазин!$A$2:$C$1000,2,0)</f>
        <v/>
      </c>
      <c r="I2480">
        <f>VLOOKUP(D2480,Товар!$A$2:$F$1000,3,0)</f>
        <v/>
      </c>
      <c r="J2480">
        <f>VLOOKUP(D2480,Товар!$A$2:$F$1000,5,0)</f>
        <v/>
      </c>
      <c r="K2480">
        <f>IF(AND(H2480="Промышленный",LEFT(I2480,18)="Порошок стиральный",F2480="Продажа",B2480=DATE(2023,6,7)),E2480*J2480/1000,0)</f>
        <v/>
      </c>
    </row>
    <row r="2481">
      <c r="A2481" t="n">
        <v>2480</v>
      </c>
      <c r="B2481" s="1" t="n">
        <v>45086</v>
      </c>
      <c r="C2481" s="5" t="inlineStr">
        <is>
          <t>M7</t>
        </is>
      </c>
      <c r="D2481" s="5" t="n">
        <v>32</v>
      </c>
      <c r="E2481" s="5" t="n">
        <v>400</v>
      </c>
      <c r="F2481" t="inlineStr">
        <is>
          <t>Поступление</t>
        </is>
      </c>
      <c r="H2481">
        <f>VLOOKUP(C2481,Магазин!$A$2:$C$1000,2,0)</f>
        <v/>
      </c>
      <c r="I2481">
        <f>VLOOKUP(D2481,Товар!$A$2:$F$1000,3,0)</f>
        <v/>
      </c>
      <c r="J2481">
        <f>VLOOKUP(D2481,Товар!$A$2:$F$1000,5,0)</f>
        <v/>
      </c>
      <c r="K2481">
        <f>IF(AND(H2481="Промышленный",LEFT(I2481,18)="Порошок стиральный",F2481="Продажа",B2481=DATE(2023,6,7)),E2481*J2481/1000,0)</f>
        <v/>
      </c>
    </row>
    <row r="2482">
      <c r="A2482" t="n">
        <v>2481</v>
      </c>
      <c r="B2482" s="1" t="n">
        <v>45086</v>
      </c>
      <c r="C2482" s="5" t="inlineStr">
        <is>
          <t>M7</t>
        </is>
      </c>
      <c r="D2482" s="5" t="n">
        <v>33</v>
      </c>
      <c r="E2482" s="5" t="n">
        <v>400</v>
      </c>
      <c r="F2482" t="inlineStr">
        <is>
          <t>Поступление</t>
        </is>
      </c>
      <c r="H2482">
        <f>VLOOKUP(C2482,Магазин!$A$2:$C$1000,2,0)</f>
        <v/>
      </c>
      <c r="I2482">
        <f>VLOOKUP(D2482,Товар!$A$2:$F$1000,3,0)</f>
        <v/>
      </c>
      <c r="J2482">
        <f>VLOOKUP(D2482,Товар!$A$2:$F$1000,5,0)</f>
        <v/>
      </c>
      <c r="K2482">
        <f>IF(AND(H2482="Промышленный",LEFT(I2482,18)="Порошок стиральный",F2482="Продажа",B2482=DATE(2023,6,7)),E2482*J2482/1000,0)</f>
        <v/>
      </c>
    </row>
    <row r="2483">
      <c r="A2483" t="n">
        <v>2482</v>
      </c>
      <c r="B2483" s="1" t="n">
        <v>45086</v>
      </c>
      <c r="C2483" s="5" t="inlineStr">
        <is>
          <t>M7</t>
        </is>
      </c>
      <c r="D2483" s="5" t="n">
        <v>34</v>
      </c>
      <c r="E2483" s="5" t="n">
        <v>400</v>
      </c>
      <c r="F2483" t="inlineStr">
        <is>
          <t>Поступление</t>
        </is>
      </c>
      <c r="H2483">
        <f>VLOOKUP(C2483,Магазин!$A$2:$C$1000,2,0)</f>
        <v/>
      </c>
      <c r="I2483">
        <f>VLOOKUP(D2483,Товар!$A$2:$F$1000,3,0)</f>
        <v/>
      </c>
      <c r="J2483">
        <f>VLOOKUP(D2483,Товар!$A$2:$F$1000,5,0)</f>
        <v/>
      </c>
      <c r="K2483">
        <f>IF(AND(H2483="Промышленный",LEFT(I2483,18)="Порошок стиральный",F2483="Продажа",B2483=DATE(2023,6,7)),E2483*J2483/1000,0)</f>
        <v/>
      </c>
    </row>
    <row r="2484">
      <c r="A2484" t="n">
        <v>2483</v>
      </c>
      <c r="B2484" s="1" t="n">
        <v>45086</v>
      </c>
      <c r="C2484" s="5" t="inlineStr">
        <is>
          <t>M7</t>
        </is>
      </c>
      <c r="D2484" s="5" t="n">
        <v>35</v>
      </c>
      <c r="E2484" s="5" t="n">
        <v>400</v>
      </c>
      <c r="F2484" t="inlineStr">
        <is>
          <t>Поступление</t>
        </is>
      </c>
      <c r="H2484">
        <f>VLOOKUP(C2484,Магазин!$A$2:$C$1000,2,0)</f>
        <v/>
      </c>
      <c r="I2484">
        <f>VLOOKUP(D2484,Товар!$A$2:$F$1000,3,0)</f>
        <v/>
      </c>
      <c r="J2484">
        <f>VLOOKUP(D2484,Товар!$A$2:$F$1000,5,0)</f>
        <v/>
      </c>
      <c r="K2484">
        <f>IF(AND(H2484="Промышленный",LEFT(I2484,18)="Порошок стиральный",F2484="Продажа",B2484=DATE(2023,6,7)),E2484*J2484/1000,0)</f>
        <v/>
      </c>
    </row>
    <row r="2485">
      <c r="A2485" t="n">
        <v>2484</v>
      </c>
      <c r="B2485" s="1" t="n">
        <v>45086</v>
      </c>
      <c r="C2485" s="5" t="inlineStr">
        <is>
          <t>M7</t>
        </is>
      </c>
      <c r="D2485" s="5" t="n">
        <v>36</v>
      </c>
      <c r="E2485" s="5" t="n">
        <v>400</v>
      </c>
      <c r="F2485" t="inlineStr">
        <is>
          <t>Поступление</t>
        </is>
      </c>
      <c r="H2485">
        <f>VLOOKUP(C2485,Магазин!$A$2:$C$1000,2,0)</f>
        <v/>
      </c>
      <c r="I2485">
        <f>VLOOKUP(D2485,Товар!$A$2:$F$1000,3,0)</f>
        <v/>
      </c>
      <c r="J2485">
        <f>VLOOKUP(D2485,Товар!$A$2:$F$1000,5,0)</f>
        <v/>
      </c>
      <c r="K2485">
        <f>IF(AND(H2485="Промышленный",LEFT(I2485,18)="Порошок стиральный",F2485="Продажа",B2485=DATE(2023,6,7)),E2485*J2485/1000,0)</f>
        <v/>
      </c>
    </row>
    <row r="2486">
      <c r="A2486" t="n">
        <v>2485</v>
      </c>
      <c r="B2486" s="1" t="n">
        <v>45086</v>
      </c>
      <c r="C2486" s="5" t="inlineStr">
        <is>
          <t>M8</t>
        </is>
      </c>
      <c r="D2486" s="5" t="n">
        <v>1</v>
      </c>
      <c r="E2486" s="5" t="n">
        <v>400</v>
      </c>
      <c r="F2486" t="inlineStr">
        <is>
          <t>Поступление</t>
        </is>
      </c>
      <c r="H2486">
        <f>VLOOKUP(C2486,Магазин!$A$2:$C$1000,2,0)</f>
        <v/>
      </c>
      <c r="I2486">
        <f>VLOOKUP(D2486,Товар!$A$2:$F$1000,3,0)</f>
        <v/>
      </c>
      <c r="J2486">
        <f>VLOOKUP(D2486,Товар!$A$2:$F$1000,5,0)</f>
        <v/>
      </c>
      <c r="K2486">
        <f>IF(AND(H2486="Промышленный",LEFT(I2486,18)="Порошок стиральный",F2486="Продажа",B2486=DATE(2023,6,7)),E2486*J2486/1000,0)</f>
        <v/>
      </c>
    </row>
    <row r="2487">
      <c r="A2487" t="n">
        <v>2486</v>
      </c>
      <c r="B2487" s="1" t="n">
        <v>45086</v>
      </c>
      <c r="C2487" s="5" t="inlineStr">
        <is>
          <t>M8</t>
        </is>
      </c>
      <c r="D2487" s="5" t="n">
        <v>2</v>
      </c>
      <c r="E2487" s="5" t="n">
        <v>400</v>
      </c>
      <c r="F2487" t="inlineStr">
        <is>
          <t>Поступление</t>
        </is>
      </c>
      <c r="H2487">
        <f>VLOOKUP(C2487,Магазин!$A$2:$C$1000,2,0)</f>
        <v/>
      </c>
      <c r="I2487">
        <f>VLOOKUP(D2487,Товар!$A$2:$F$1000,3,0)</f>
        <v/>
      </c>
      <c r="J2487">
        <f>VLOOKUP(D2487,Товар!$A$2:$F$1000,5,0)</f>
        <v/>
      </c>
      <c r="K2487">
        <f>IF(AND(H2487="Промышленный",LEFT(I2487,18)="Порошок стиральный",F2487="Продажа",B2487=DATE(2023,6,7)),E2487*J2487/1000,0)</f>
        <v/>
      </c>
    </row>
    <row r="2488">
      <c r="A2488" t="n">
        <v>2487</v>
      </c>
      <c r="B2488" s="1" t="n">
        <v>45086</v>
      </c>
      <c r="C2488" s="5" t="inlineStr">
        <is>
          <t>M8</t>
        </is>
      </c>
      <c r="D2488" s="5" t="n">
        <v>3</v>
      </c>
      <c r="E2488" s="5" t="n">
        <v>400</v>
      </c>
      <c r="F2488" t="inlineStr">
        <is>
          <t>Поступление</t>
        </is>
      </c>
      <c r="H2488">
        <f>VLOOKUP(C2488,Магазин!$A$2:$C$1000,2,0)</f>
        <v/>
      </c>
      <c r="I2488">
        <f>VLOOKUP(D2488,Товар!$A$2:$F$1000,3,0)</f>
        <v/>
      </c>
      <c r="J2488">
        <f>VLOOKUP(D2488,Товар!$A$2:$F$1000,5,0)</f>
        <v/>
      </c>
      <c r="K2488">
        <f>IF(AND(H2488="Промышленный",LEFT(I2488,18)="Порошок стиральный",F2488="Продажа",B2488=DATE(2023,6,7)),E2488*J2488/1000,0)</f>
        <v/>
      </c>
    </row>
    <row r="2489">
      <c r="A2489" t="n">
        <v>2488</v>
      </c>
      <c r="B2489" s="1" t="n">
        <v>45086</v>
      </c>
      <c r="C2489" s="5" t="inlineStr">
        <is>
          <t>M8</t>
        </is>
      </c>
      <c r="D2489" s="5" t="n">
        <v>4</v>
      </c>
      <c r="E2489" s="5" t="n">
        <v>400</v>
      </c>
      <c r="F2489" t="inlineStr">
        <is>
          <t>Поступление</t>
        </is>
      </c>
      <c r="H2489">
        <f>VLOOKUP(C2489,Магазин!$A$2:$C$1000,2,0)</f>
        <v/>
      </c>
      <c r="I2489">
        <f>VLOOKUP(D2489,Товар!$A$2:$F$1000,3,0)</f>
        <v/>
      </c>
      <c r="J2489">
        <f>VLOOKUP(D2489,Товар!$A$2:$F$1000,5,0)</f>
        <v/>
      </c>
      <c r="K2489">
        <f>IF(AND(H2489="Промышленный",LEFT(I2489,18)="Порошок стиральный",F2489="Продажа",B2489=DATE(2023,6,7)),E2489*J2489/1000,0)</f>
        <v/>
      </c>
    </row>
    <row r="2490">
      <c r="A2490" t="n">
        <v>2489</v>
      </c>
      <c r="B2490" s="1" t="n">
        <v>45086</v>
      </c>
      <c r="C2490" s="5" t="inlineStr">
        <is>
          <t>M8</t>
        </is>
      </c>
      <c r="D2490" s="5" t="n">
        <v>5</v>
      </c>
      <c r="E2490" s="5" t="n">
        <v>400</v>
      </c>
      <c r="F2490" t="inlineStr">
        <is>
          <t>Поступление</t>
        </is>
      </c>
      <c r="H2490">
        <f>VLOOKUP(C2490,Магазин!$A$2:$C$1000,2,0)</f>
        <v/>
      </c>
      <c r="I2490">
        <f>VLOOKUP(D2490,Товар!$A$2:$F$1000,3,0)</f>
        <v/>
      </c>
      <c r="J2490">
        <f>VLOOKUP(D2490,Товар!$A$2:$F$1000,5,0)</f>
        <v/>
      </c>
      <c r="K2490">
        <f>IF(AND(H2490="Промышленный",LEFT(I2490,18)="Порошок стиральный",F2490="Продажа",B2490=DATE(2023,6,7)),E2490*J2490/1000,0)</f>
        <v/>
      </c>
    </row>
    <row r="2491">
      <c r="A2491" t="n">
        <v>2490</v>
      </c>
      <c r="B2491" s="1" t="n">
        <v>45086</v>
      </c>
      <c r="C2491" s="5" t="inlineStr">
        <is>
          <t>M8</t>
        </is>
      </c>
      <c r="D2491" s="5" t="n">
        <v>6</v>
      </c>
      <c r="E2491" s="5" t="n">
        <v>400</v>
      </c>
      <c r="F2491" t="inlineStr">
        <is>
          <t>Поступление</t>
        </is>
      </c>
      <c r="H2491">
        <f>VLOOKUP(C2491,Магазин!$A$2:$C$1000,2,0)</f>
        <v/>
      </c>
      <c r="I2491">
        <f>VLOOKUP(D2491,Товар!$A$2:$F$1000,3,0)</f>
        <v/>
      </c>
      <c r="J2491">
        <f>VLOOKUP(D2491,Товар!$A$2:$F$1000,5,0)</f>
        <v/>
      </c>
      <c r="K2491">
        <f>IF(AND(H2491="Промышленный",LEFT(I2491,18)="Порошок стиральный",F2491="Продажа",B2491=DATE(2023,6,7)),E2491*J2491/1000,0)</f>
        <v/>
      </c>
    </row>
    <row r="2492">
      <c r="A2492" t="n">
        <v>2491</v>
      </c>
      <c r="B2492" s="1" t="n">
        <v>45086</v>
      </c>
      <c r="C2492" s="5" t="inlineStr">
        <is>
          <t>M8</t>
        </is>
      </c>
      <c r="D2492" s="5" t="n">
        <v>7</v>
      </c>
      <c r="E2492" s="5" t="n">
        <v>400</v>
      </c>
      <c r="F2492" t="inlineStr">
        <is>
          <t>Поступление</t>
        </is>
      </c>
      <c r="H2492">
        <f>VLOOKUP(C2492,Магазин!$A$2:$C$1000,2,0)</f>
        <v/>
      </c>
      <c r="I2492">
        <f>VLOOKUP(D2492,Товар!$A$2:$F$1000,3,0)</f>
        <v/>
      </c>
      <c r="J2492">
        <f>VLOOKUP(D2492,Товар!$A$2:$F$1000,5,0)</f>
        <v/>
      </c>
      <c r="K2492">
        <f>IF(AND(H2492="Промышленный",LEFT(I2492,18)="Порошок стиральный",F2492="Продажа",B2492=DATE(2023,6,7)),E2492*J2492/1000,0)</f>
        <v/>
      </c>
    </row>
    <row r="2493">
      <c r="A2493" t="n">
        <v>2492</v>
      </c>
      <c r="B2493" s="1" t="n">
        <v>45086</v>
      </c>
      <c r="C2493" s="5" t="inlineStr">
        <is>
          <t>M8</t>
        </is>
      </c>
      <c r="D2493" s="5" t="n">
        <v>8</v>
      </c>
      <c r="E2493" s="5" t="n">
        <v>400</v>
      </c>
      <c r="F2493" t="inlineStr">
        <is>
          <t>Поступление</t>
        </is>
      </c>
      <c r="H2493">
        <f>VLOOKUP(C2493,Магазин!$A$2:$C$1000,2,0)</f>
        <v/>
      </c>
      <c r="I2493">
        <f>VLOOKUP(D2493,Товар!$A$2:$F$1000,3,0)</f>
        <v/>
      </c>
      <c r="J2493">
        <f>VLOOKUP(D2493,Товар!$A$2:$F$1000,5,0)</f>
        <v/>
      </c>
      <c r="K2493">
        <f>IF(AND(H2493="Промышленный",LEFT(I2493,18)="Порошок стиральный",F2493="Продажа",B2493=DATE(2023,6,7)),E2493*J2493/1000,0)</f>
        <v/>
      </c>
    </row>
    <row r="2494">
      <c r="A2494" t="n">
        <v>2493</v>
      </c>
      <c r="B2494" s="1" t="n">
        <v>45086</v>
      </c>
      <c r="C2494" s="5" t="inlineStr">
        <is>
          <t>M8</t>
        </is>
      </c>
      <c r="D2494" s="5" t="n">
        <v>9</v>
      </c>
      <c r="E2494" s="5" t="n">
        <v>400</v>
      </c>
      <c r="F2494" t="inlineStr">
        <is>
          <t>Поступление</t>
        </is>
      </c>
      <c r="H2494">
        <f>VLOOKUP(C2494,Магазин!$A$2:$C$1000,2,0)</f>
        <v/>
      </c>
      <c r="I2494">
        <f>VLOOKUP(D2494,Товар!$A$2:$F$1000,3,0)</f>
        <v/>
      </c>
      <c r="J2494">
        <f>VLOOKUP(D2494,Товар!$A$2:$F$1000,5,0)</f>
        <v/>
      </c>
      <c r="K2494">
        <f>IF(AND(H2494="Промышленный",LEFT(I2494,18)="Порошок стиральный",F2494="Продажа",B2494=DATE(2023,6,7)),E2494*J2494/1000,0)</f>
        <v/>
      </c>
    </row>
    <row r="2495">
      <c r="A2495" t="n">
        <v>2494</v>
      </c>
      <c r="B2495" s="1" t="n">
        <v>45086</v>
      </c>
      <c r="C2495" s="5" t="inlineStr">
        <is>
          <t>M8</t>
        </is>
      </c>
      <c r="D2495" s="5" t="n">
        <v>10</v>
      </c>
      <c r="E2495" s="5" t="n">
        <v>400</v>
      </c>
      <c r="F2495" t="inlineStr">
        <is>
          <t>Поступление</t>
        </is>
      </c>
      <c r="H2495">
        <f>VLOOKUP(C2495,Магазин!$A$2:$C$1000,2,0)</f>
        <v/>
      </c>
      <c r="I2495">
        <f>VLOOKUP(D2495,Товар!$A$2:$F$1000,3,0)</f>
        <v/>
      </c>
      <c r="J2495">
        <f>VLOOKUP(D2495,Товар!$A$2:$F$1000,5,0)</f>
        <v/>
      </c>
      <c r="K2495">
        <f>IF(AND(H2495="Промышленный",LEFT(I2495,18)="Порошок стиральный",F2495="Продажа",B2495=DATE(2023,6,7)),E2495*J2495/1000,0)</f>
        <v/>
      </c>
    </row>
    <row r="2496">
      <c r="A2496" t="n">
        <v>2495</v>
      </c>
      <c r="B2496" s="1" t="n">
        <v>45086</v>
      </c>
      <c r="C2496" s="5" t="inlineStr">
        <is>
          <t>M8</t>
        </is>
      </c>
      <c r="D2496" s="5" t="n">
        <v>11</v>
      </c>
      <c r="E2496" s="5" t="n">
        <v>400</v>
      </c>
      <c r="F2496" t="inlineStr">
        <is>
          <t>Поступление</t>
        </is>
      </c>
      <c r="H2496">
        <f>VLOOKUP(C2496,Магазин!$A$2:$C$1000,2,0)</f>
        <v/>
      </c>
      <c r="I2496">
        <f>VLOOKUP(D2496,Товар!$A$2:$F$1000,3,0)</f>
        <v/>
      </c>
      <c r="J2496">
        <f>VLOOKUP(D2496,Товар!$A$2:$F$1000,5,0)</f>
        <v/>
      </c>
      <c r="K2496">
        <f>IF(AND(H2496="Промышленный",LEFT(I2496,18)="Порошок стиральный",F2496="Продажа",B2496=DATE(2023,6,7)),E2496*J2496/1000,0)</f>
        <v/>
      </c>
    </row>
    <row r="2497">
      <c r="A2497" t="n">
        <v>2496</v>
      </c>
      <c r="B2497" s="1" t="n">
        <v>45086</v>
      </c>
      <c r="C2497" s="5" t="inlineStr">
        <is>
          <t>M8</t>
        </is>
      </c>
      <c r="D2497" s="5" t="n">
        <v>12</v>
      </c>
      <c r="E2497" s="5" t="n">
        <v>400</v>
      </c>
      <c r="F2497" t="inlineStr">
        <is>
          <t>Поступление</t>
        </is>
      </c>
      <c r="H2497">
        <f>VLOOKUP(C2497,Магазин!$A$2:$C$1000,2,0)</f>
        <v/>
      </c>
      <c r="I2497">
        <f>VLOOKUP(D2497,Товар!$A$2:$F$1000,3,0)</f>
        <v/>
      </c>
      <c r="J2497">
        <f>VLOOKUP(D2497,Товар!$A$2:$F$1000,5,0)</f>
        <v/>
      </c>
      <c r="K2497">
        <f>IF(AND(H2497="Промышленный",LEFT(I2497,18)="Порошок стиральный",F2497="Продажа",B2497=DATE(2023,6,7)),E2497*J2497/1000,0)</f>
        <v/>
      </c>
    </row>
    <row r="2498">
      <c r="A2498" t="n">
        <v>2497</v>
      </c>
      <c r="B2498" s="1" t="n">
        <v>45086</v>
      </c>
      <c r="C2498" s="5" t="inlineStr">
        <is>
          <t>M8</t>
        </is>
      </c>
      <c r="D2498" s="5" t="n">
        <v>13</v>
      </c>
      <c r="E2498" s="5" t="n">
        <v>400</v>
      </c>
      <c r="F2498" t="inlineStr">
        <is>
          <t>Поступление</t>
        </is>
      </c>
      <c r="H2498">
        <f>VLOOKUP(C2498,Магазин!$A$2:$C$1000,2,0)</f>
        <v/>
      </c>
      <c r="I2498">
        <f>VLOOKUP(D2498,Товар!$A$2:$F$1000,3,0)</f>
        <v/>
      </c>
      <c r="J2498">
        <f>VLOOKUP(D2498,Товар!$A$2:$F$1000,5,0)</f>
        <v/>
      </c>
      <c r="K2498">
        <f>IF(AND(H2498="Промышленный",LEFT(I2498,18)="Порошок стиральный",F2498="Продажа",B2498=DATE(2023,6,7)),E2498*J2498/1000,0)</f>
        <v/>
      </c>
    </row>
    <row r="2499">
      <c r="A2499" t="n">
        <v>2498</v>
      </c>
      <c r="B2499" s="1" t="n">
        <v>45086</v>
      </c>
      <c r="C2499" s="5" t="inlineStr">
        <is>
          <t>M8</t>
        </is>
      </c>
      <c r="D2499" s="5" t="n">
        <v>14</v>
      </c>
      <c r="E2499" s="5" t="n">
        <v>400</v>
      </c>
      <c r="F2499" t="inlineStr">
        <is>
          <t>Поступление</t>
        </is>
      </c>
      <c r="H2499">
        <f>VLOOKUP(C2499,Магазин!$A$2:$C$1000,2,0)</f>
        <v/>
      </c>
      <c r="I2499">
        <f>VLOOKUP(D2499,Товар!$A$2:$F$1000,3,0)</f>
        <v/>
      </c>
      <c r="J2499">
        <f>VLOOKUP(D2499,Товар!$A$2:$F$1000,5,0)</f>
        <v/>
      </c>
      <c r="K2499">
        <f>IF(AND(H2499="Промышленный",LEFT(I2499,18)="Порошок стиральный",F2499="Продажа",B2499=DATE(2023,6,7)),E2499*J2499/1000,0)</f>
        <v/>
      </c>
    </row>
    <row r="2500">
      <c r="A2500" t="n">
        <v>2499</v>
      </c>
      <c r="B2500" s="1" t="n">
        <v>45086</v>
      </c>
      <c r="C2500" s="5" t="inlineStr">
        <is>
          <t>M8</t>
        </is>
      </c>
      <c r="D2500" s="5" t="n">
        <v>15</v>
      </c>
      <c r="E2500" s="5" t="n">
        <v>400</v>
      </c>
      <c r="F2500" t="inlineStr">
        <is>
          <t>Поступление</t>
        </is>
      </c>
      <c r="H2500">
        <f>VLOOKUP(C2500,Магазин!$A$2:$C$1000,2,0)</f>
        <v/>
      </c>
      <c r="I2500">
        <f>VLOOKUP(D2500,Товар!$A$2:$F$1000,3,0)</f>
        <v/>
      </c>
      <c r="J2500">
        <f>VLOOKUP(D2500,Товар!$A$2:$F$1000,5,0)</f>
        <v/>
      </c>
      <c r="K2500">
        <f>IF(AND(H2500="Промышленный",LEFT(I2500,18)="Порошок стиральный",F2500="Продажа",B2500=DATE(2023,6,7)),E2500*J2500/1000,0)</f>
        <v/>
      </c>
    </row>
    <row r="2501">
      <c r="A2501" t="n">
        <v>2500</v>
      </c>
      <c r="B2501" s="1" t="n">
        <v>45086</v>
      </c>
      <c r="C2501" s="5" t="inlineStr">
        <is>
          <t>M8</t>
        </is>
      </c>
      <c r="D2501" s="5" t="n">
        <v>16</v>
      </c>
      <c r="E2501" s="5" t="n">
        <v>400</v>
      </c>
      <c r="F2501" t="inlineStr">
        <is>
          <t>Поступление</t>
        </is>
      </c>
      <c r="H2501">
        <f>VLOOKUP(C2501,Магазин!$A$2:$C$1000,2,0)</f>
        <v/>
      </c>
      <c r="I2501">
        <f>VLOOKUP(D2501,Товар!$A$2:$F$1000,3,0)</f>
        <v/>
      </c>
      <c r="J2501">
        <f>VLOOKUP(D2501,Товар!$A$2:$F$1000,5,0)</f>
        <v/>
      </c>
      <c r="K2501">
        <f>IF(AND(H2501="Промышленный",LEFT(I2501,18)="Порошок стиральный",F2501="Продажа",B2501=DATE(2023,6,7)),E2501*J2501/1000,0)</f>
        <v/>
      </c>
    </row>
    <row r="2502">
      <c r="A2502" t="n">
        <v>2501</v>
      </c>
      <c r="B2502" s="1" t="n">
        <v>45086</v>
      </c>
      <c r="C2502" s="5" t="inlineStr">
        <is>
          <t>M8</t>
        </is>
      </c>
      <c r="D2502" s="5" t="n">
        <v>17</v>
      </c>
      <c r="E2502" s="5" t="n">
        <v>400</v>
      </c>
      <c r="F2502" t="inlineStr">
        <is>
          <t>Поступление</t>
        </is>
      </c>
      <c r="H2502">
        <f>VLOOKUP(C2502,Магазин!$A$2:$C$1000,2,0)</f>
        <v/>
      </c>
      <c r="I2502">
        <f>VLOOKUP(D2502,Товар!$A$2:$F$1000,3,0)</f>
        <v/>
      </c>
      <c r="J2502">
        <f>VLOOKUP(D2502,Товар!$A$2:$F$1000,5,0)</f>
        <v/>
      </c>
      <c r="K2502">
        <f>IF(AND(H2502="Промышленный",LEFT(I2502,18)="Порошок стиральный",F2502="Продажа",B2502=DATE(2023,6,7)),E2502*J2502/1000,0)</f>
        <v/>
      </c>
    </row>
    <row r="2503">
      <c r="A2503" t="n">
        <v>2502</v>
      </c>
      <c r="B2503" s="1" t="n">
        <v>45086</v>
      </c>
      <c r="C2503" s="5" t="inlineStr">
        <is>
          <t>M8</t>
        </is>
      </c>
      <c r="D2503" s="5" t="n">
        <v>18</v>
      </c>
      <c r="E2503" s="5" t="n">
        <v>400</v>
      </c>
      <c r="F2503" t="inlineStr">
        <is>
          <t>Поступление</t>
        </is>
      </c>
      <c r="H2503">
        <f>VLOOKUP(C2503,Магазин!$A$2:$C$1000,2,0)</f>
        <v/>
      </c>
      <c r="I2503">
        <f>VLOOKUP(D2503,Товар!$A$2:$F$1000,3,0)</f>
        <v/>
      </c>
      <c r="J2503">
        <f>VLOOKUP(D2503,Товар!$A$2:$F$1000,5,0)</f>
        <v/>
      </c>
      <c r="K2503">
        <f>IF(AND(H2503="Промышленный",LEFT(I2503,18)="Порошок стиральный",F2503="Продажа",B2503=DATE(2023,6,7)),E2503*J2503/1000,0)</f>
        <v/>
      </c>
    </row>
    <row r="2504">
      <c r="A2504" t="n">
        <v>2503</v>
      </c>
      <c r="B2504" s="1" t="n">
        <v>45086</v>
      </c>
      <c r="C2504" s="5" t="inlineStr">
        <is>
          <t>M8</t>
        </is>
      </c>
      <c r="D2504" s="5" t="n">
        <v>19</v>
      </c>
      <c r="E2504" s="5" t="n">
        <v>400</v>
      </c>
      <c r="F2504" t="inlineStr">
        <is>
          <t>Поступление</t>
        </is>
      </c>
      <c r="H2504">
        <f>VLOOKUP(C2504,Магазин!$A$2:$C$1000,2,0)</f>
        <v/>
      </c>
      <c r="I2504">
        <f>VLOOKUP(D2504,Товар!$A$2:$F$1000,3,0)</f>
        <v/>
      </c>
      <c r="J2504">
        <f>VLOOKUP(D2504,Товар!$A$2:$F$1000,5,0)</f>
        <v/>
      </c>
      <c r="K2504">
        <f>IF(AND(H2504="Промышленный",LEFT(I2504,18)="Порошок стиральный",F2504="Продажа",B2504=DATE(2023,6,7)),E2504*J2504/1000,0)</f>
        <v/>
      </c>
    </row>
    <row r="2505">
      <c r="A2505" t="n">
        <v>2504</v>
      </c>
      <c r="B2505" s="1" t="n">
        <v>45086</v>
      </c>
      <c r="C2505" s="5" t="inlineStr">
        <is>
          <t>M8</t>
        </is>
      </c>
      <c r="D2505" s="5" t="n">
        <v>20</v>
      </c>
      <c r="E2505" s="5" t="n">
        <v>400</v>
      </c>
      <c r="F2505" t="inlineStr">
        <is>
          <t>Поступление</t>
        </is>
      </c>
      <c r="H2505">
        <f>VLOOKUP(C2505,Магазин!$A$2:$C$1000,2,0)</f>
        <v/>
      </c>
      <c r="I2505">
        <f>VLOOKUP(D2505,Товар!$A$2:$F$1000,3,0)</f>
        <v/>
      </c>
      <c r="J2505">
        <f>VLOOKUP(D2505,Товар!$A$2:$F$1000,5,0)</f>
        <v/>
      </c>
      <c r="K2505">
        <f>IF(AND(H2505="Промышленный",LEFT(I2505,18)="Порошок стиральный",F2505="Продажа",B2505=DATE(2023,6,7)),E2505*J2505/1000,0)</f>
        <v/>
      </c>
    </row>
    <row r="2506">
      <c r="A2506" t="n">
        <v>2505</v>
      </c>
      <c r="B2506" s="1" t="n">
        <v>45086</v>
      </c>
      <c r="C2506" s="5" t="inlineStr">
        <is>
          <t>M8</t>
        </is>
      </c>
      <c r="D2506" s="5" t="n">
        <v>21</v>
      </c>
      <c r="E2506" s="5" t="n">
        <v>400</v>
      </c>
      <c r="F2506" t="inlineStr">
        <is>
          <t>Поступление</t>
        </is>
      </c>
      <c r="H2506">
        <f>VLOOKUP(C2506,Магазин!$A$2:$C$1000,2,0)</f>
        <v/>
      </c>
      <c r="I2506">
        <f>VLOOKUP(D2506,Товар!$A$2:$F$1000,3,0)</f>
        <v/>
      </c>
      <c r="J2506">
        <f>VLOOKUP(D2506,Товар!$A$2:$F$1000,5,0)</f>
        <v/>
      </c>
      <c r="K2506">
        <f>IF(AND(H2506="Промышленный",LEFT(I2506,18)="Порошок стиральный",F2506="Продажа",B2506=DATE(2023,6,7)),E2506*J2506/1000,0)</f>
        <v/>
      </c>
    </row>
    <row r="2507">
      <c r="A2507" t="n">
        <v>2506</v>
      </c>
      <c r="B2507" s="1" t="n">
        <v>45086</v>
      </c>
      <c r="C2507" s="5" t="inlineStr">
        <is>
          <t>M8</t>
        </is>
      </c>
      <c r="D2507" s="5" t="n">
        <v>22</v>
      </c>
      <c r="E2507" s="5" t="n">
        <v>400</v>
      </c>
      <c r="F2507" t="inlineStr">
        <is>
          <t>Поступление</t>
        </is>
      </c>
      <c r="H2507">
        <f>VLOOKUP(C2507,Магазин!$A$2:$C$1000,2,0)</f>
        <v/>
      </c>
      <c r="I2507">
        <f>VLOOKUP(D2507,Товар!$A$2:$F$1000,3,0)</f>
        <v/>
      </c>
      <c r="J2507">
        <f>VLOOKUP(D2507,Товар!$A$2:$F$1000,5,0)</f>
        <v/>
      </c>
      <c r="K2507">
        <f>IF(AND(H2507="Промышленный",LEFT(I2507,18)="Порошок стиральный",F2507="Продажа",B2507=DATE(2023,6,7)),E2507*J2507/1000,0)</f>
        <v/>
      </c>
    </row>
    <row r="2508">
      <c r="A2508" t="n">
        <v>2507</v>
      </c>
      <c r="B2508" s="1" t="n">
        <v>45086</v>
      </c>
      <c r="C2508" s="5" t="inlineStr">
        <is>
          <t>M8</t>
        </is>
      </c>
      <c r="D2508" s="5" t="n">
        <v>23</v>
      </c>
      <c r="E2508" s="5" t="n">
        <v>400</v>
      </c>
      <c r="F2508" t="inlineStr">
        <is>
          <t>Поступление</t>
        </is>
      </c>
      <c r="H2508">
        <f>VLOOKUP(C2508,Магазин!$A$2:$C$1000,2,0)</f>
        <v/>
      </c>
      <c r="I2508">
        <f>VLOOKUP(D2508,Товар!$A$2:$F$1000,3,0)</f>
        <v/>
      </c>
      <c r="J2508">
        <f>VLOOKUP(D2508,Товар!$A$2:$F$1000,5,0)</f>
        <v/>
      </c>
      <c r="K2508">
        <f>IF(AND(H2508="Промышленный",LEFT(I2508,18)="Порошок стиральный",F2508="Продажа",B2508=DATE(2023,6,7)),E2508*J2508/1000,0)</f>
        <v/>
      </c>
    </row>
    <row r="2509">
      <c r="A2509" t="n">
        <v>2508</v>
      </c>
      <c r="B2509" s="1" t="n">
        <v>45086</v>
      </c>
      <c r="C2509" s="5" t="inlineStr">
        <is>
          <t>M8</t>
        </is>
      </c>
      <c r="D2509" s="5" t="n">
        <v>24</v>
      </c>
      <c r="E2509" s="5" t="n">
        <v>400</v>
      </c>
      <c r="F2509" t="inlineStr">
        <is>
          <t>Поступление</t>
        </is>
      </c>
      <c r="H2509">
        <f>VLOOKUP(C2509,Магазин!$A$2:$C$1000,2,0)</f>
        <v/>
      </c>
      <c r="I2509">
        <f>VLOOKUP(D2509,Товар!$A$2:$F$1000,3,0)</f>
        <v/>
      </c>
      <c r="J2509">
        <f>VLOOKUP(D2509,Товар!$A$2:$F$1000,5,0)</f>
        <v/>
      </c>
      <c r="K2509">
        <f>IF(AND(H2509="Промышленный",LEFT(I2509,18)="Порошок стиральный",F2509="Продажа",B2509=DATE(2023,6,7)),E2509*J2509/1000,0)</f>
        <v/>
      </c>
    </row>
    <row r="2510">
      <c r="A2510" t="n">
        <v>2509</v>
      </c>
      <c r="B2510" s="1" t="n">
        <v>45086</v>
      </c>
      <c r="C2510" s="5" t="inlineStr">
        <is>
          <t>M8</t>
        </is>
      </c>
      <c r="D2510" s="5" t="n">
        <v>25</v>
      </c>
      <c r="E2510" s="5" t="n">
        <v>400</v>
      </c>
      <c r="F2510" t="inlineStr">
        <is>
          <t>Поступление</t>
        </is>
      </c>
      <c r="H2510">
        <f>VLOOKUP(C2510,Магазин!$A$2:$C$1000,2,0)</f>
        <v/>
      </c>
      <c r="I2510">
        <f>VLOOKUP(D2510,Товар!$A$2:$F$1000,3,0)</f>
        <v/>
      </c>
      <c r="J2510">
        <f>VLOOKUP(D2510,Товар!$A$2:$F$1000,5,0)</f>
        <v/>
      </c>
      <c r="K2510">
        <f>IF(AND(H2510="Промышленный",LEFT(I2510,18)="Порошок стиральный",F2510="Продажа",B2510=DATE(2023,6,7)),E2510*J2510/1000,0)</f>
        <v/>
      </c>
    </row>
    <row r="2511">
      <c r="A2511" t="n">
        <v>2510</v>
      </c>
      <c r="B2511" s="1" t="n">
        <v>45086</v>
      </c>
      <c r="C2511" s="5" t="inlineStr">
        <is>
          <t>M8</t>
        </is>
      </c>
      <c r="D2511" s="5" t="n">
        <v>26</v>
      </c>
      <c r="E2511" s="5" t="n">
        <v>400</v>
      </c>
      <c r="F2511" t="inlineStr">
        <is>
          <t>Поступление</t>
        </is>
      </c>
      <c r="H2511">
        <f>VLOOKUP(C2511,Магазин!$A$2:$C$1000,2,0)</f>
        <v/>
      </c>
      <c r="I2511">
        <f>VLOOKUP(D2511,Товар!$A$2:$F$1000,3,0)</f>
        <v/>
      </c>
      <c r="J2511">
        <f>VLOOKUP(D2511,Товар!$A$2:$F$1000,5,0)</f>
        <v/>
      </c>
      <c r="K2511">
        <f>IF(AND(H2511="Промышленный",LEFT(I2511,18)="Порошок стиральный",F2511="Продажа",B2511=DATE(2023,6,7)),E2511*J2511/1000,0)</f>
        <v/>
      </c>
    </row>
    <row r="2512">
      <c r="A2512" t="n">
        <v>2511</v>
      </c>
      <c r="B2512" s="1" t="n">
        <v>45086</v>
      </c>
      <c r="C2512" s="5" t="inlineStr">
        <is>
          <t>M8</t>
        </is>
      </c>
      <c r="D2512" s="5" t="n">
        <v>27</v>
      </c>
      <c r="E2512" s="5" t="n">
        <v>400</v>
      </c>
      <c r="F2512" t="inlineStr">
        <is>
          <t>Поступление</t>
        </is>
      </c>
      <c r="H2512">
        <f>VLOOKUP(C2512,Магазин!$A$2:$C$1000,2,0)</f>
        <v/>
      </c>
      <c r="I2512">
        <f>VLOOKUP(D2512,Товар!$A$2:$F$1000,3,0)</f>
        <v/>
      </c>
      <c r="J2512">
        <f>VLOOKUP(D2512,Товар!$A$2:$F$1000,5,0)</f>
        <v/>
      </c>
      <c r="K2512">
        <f>IF(AND(H2512="Промышленный",LEFT(I2512,18)="Порошок стиральный",F2512="Продажа",B2512=DATE(2023,6,7)),E2512*J2512/1000,0)</f>
        <v/>
      </c>
    </row>
    <row r="2513">
      <c r="A2513" t="n">
        <v>2512</v>
      </c>
      <c r="B2513" s="1" t="n">
        <v>45086</v>
      </c>
      <c r="C2513" s="5" t="inlineStr">
        <is>
          <t>M8</t>
        </is>
      </c>
      <c r="D2513" s="5" t="n">
        <v>28</v>
      </c>
      <c r="E2513" s="5" t="n">
        <v>400</v>
      </c>
      <c r="F2513" t="inlineStr">
        <is>
          <t>Поступление</t>
        </is>
      </c>
      <c r="H2513">
        <f>VLOOKUP(C2513,Магазин!$A$2:$C$1000,2,0)</f>
        <v/>
      </c>
      <c r="I2513">
        <f>VLOOKUP(D2513,Товар!$A$2:$F$1000,3,0)</f>
        <v/>
      </c>
      <c r="J2513">
        <f>VLOOKUP(D2513,Товар!$A$2:$F$1000,5,0)</f>
        <v/>
      </c>
      <c r="K2513">
        <f>IF(AND(H2513="Промышленный",LEFT(I2513,18)="Порошок стиральный",F2513="Продажа",B2513=DATE(2023,6,7)),E2513*J2513/1000,0)</f>
        <v/>
      </c>
    </row>
    <row r="2514">
      <c r="A2514" t="n">
        <v>2513</v>
      </c>
      <c r="B2514" s="1" t="n">
        <v>45086</v>
      </c>
      <c r="C2514" s="5" t="inlineStr">
        <is>
          <t>M8</t>
        </is>
      </c>
      <c r="D2514" s="5" t="n">
        <v>29</v>
      </c>
      <c r="E2514" s="5" t="n">
        <v>400</v>
      </c>
      <c r="F2514" t="inlineStr">
        <is>
          <t>Поступление</t>
        </is>
      </c>
      <c r="H2514">
        <f>VLOOKUP(C2514,Магазин!$A$2:$C$1000,2,0)</f>
        <v/>
      </c>
      <c r="I2514">
        <f>VLOOKUP(D2514,Товар!$A$2:$F$1000,3,0)</f>
        <v/>
      </c>
      <c r="J2514">
        <f>VLOOKUP(D2514,Товар!$A$2:$F$1000,5,0)</f>
        <v/>
      </c>
      <c r="K2514">
        <f>IF(AND(H2514="Промышленный",LEFT(I2514,18)="Порошок стиральный",F2514="Продажа",B2514=DATE(2023,6,7)),E2514*J2514/1000,0)</f>
        <v/>
      </c>
    </row>
    <row r="2515">
      <c r="A2515" t="n">
        <v>2514</v>
      </c>
      <c r="B2515" s="1" t="n">
        <v>45086</v>
      </c>
      <c r="C2515" s="5" t="inlineStr">
        <is>
          <t>M8</t>
        </is>
      </c>
      <c r="D2515" s="5" t="n">
        <v>30</v>
      </c>
      <c r="E2515" s="5" t="n">
        <v>400</v>
      </c>
      <c r="F2515" t="inlineStr">
        <is>
          <t>Поступление</t>
        </is>
      </c>
      <c r="H2515">
        <f>VLOOKUP(C2515,Магазин!$A$2:$C$1000,2,0)</f>
        <v/>
      </c>
      <c r="I2515">
        <f>VLOOKUP(D2515,Товар!$A$2:$F$1000,3,0)</f>
        <v/>
      </c>
      <c r="J2515">
        <f>VLOOKUP(D2515,Товар!$A$2:$F$1000,5,0)</f>
        <v/>
      </c>
      <c r="K2515">
        <f>IF(AND(H2515="Промышленный",LEFT(I2515,18)="Порошок стиральный",F2515="Продажа",B2515=DATE(2023,6,7)),E2515*J2515/1000,0)</f>
        <v/>
      </c>
    </row>
    <row r="2516">
      <c r="A2516" t="n">
        <v>2515</v>
      </c>
      <c r="B2516" s="1" t="n">
        <v>45086</v>
      </c>
      <c r="C2516" s="5" t="inlineStr">
        <is>
          <t>M8</t>
        </is>
      </c>
      <c r="D2516" s="5" t="n">
        <v>31</v>
      </c>
      <c r="E2516" s="5" t="n">
        <v>400</v>
      </c>
      <c r="F2516" t="inlineStr">
        <is>
          <t>Поступление</t>
        </is>
      </c>
      <c r="H2516">
        <f>VLOOKUP(C2516,Магазин!$A$2:$C$1000,2,0)</f>
        <v/>
      </c>
      <c r="I2516">
        <f>VLOOKUP(D2516,Товар!$A$2:$F$1000,3,0)</f>
        <v/>
      </c>
      <c r="J2516">
        <f>VLOOKUP(D2516,Товар!$A$2:$F$1000,5,0)</f>
        <v/>
      </c>
      <c r="K2516">
        <f>IF(AND(H2516="Промышленный",LEFT(I2516,18)="Порошок стиральный",F2516="Продажа",B2516=DATE(2023,6,7)),E2516*J2516/1000,0)</f>
        <v/>
      </c>
    </row>
    <row r="2517">
      <c r="A2517" t="n">
        <v>2516</v>
      </c>
      <c r="B2517" s="1" t="n">
        <v>45086</v>
      </c>
      <c r="C2517" s="5" t="inlineStr">
        <is>
          <t>M8</t>
        </is>
      </c>
      <c r="D2517" s="5" t="n">
        <v>32</v>
      </c>
      <c r="E2517" s="5" t="n">
        <v>400</v>
      </c>
      <c r="F2517" t="inlineStr">
        <is>
          <t>Поступление</t>
        </is>
      </c>
      <c r="H2517">
        <f>VLOOKUP(C2517,Магазин!$A$2:$C$1000,2,0)</f>
        <v/>
      </c>
      <c r="I2517">
        <f>VLOOKUP(D2517,Товар!$A$2:$F$1000,3,0)</f>
        <v/>
      </c>
      <c r="J2517">
        <f>VLOOKUP(D2517,Товар!$A$2:$F$1000,5,0)</f>
        <v/>
      </c>
      <c r="K2517">
        <f>IF(AND(H2517="Промышленный",LEFT(I2517,18)="Порошок стиральный",F2517="Продажа",B2517=DATE(2023,6,7)),E2517*J2517/1000,0)</f>
        <v/>
      </c>
    </row>
    <row r="2518">
      <c r="A2518" t="n">
        <v>2517</v>
      </c>
      <c r="B2518" s="1" t="n">
        <v>45086</v>
      </c>
      <c r="C2518" s="5" t="inlineStr">
        <is>
          <t>M8</t>
        </is>
      </c>
      <c r="D2518" s="5" t="n">
        <v>33</v>
      </c>
      <c r="E2518" s="5" t="n">
        <v>400</v>
      </c>
      <c r="F2518" t="inlineStr">
        <is>
          <t>Поступление</t>
        </is>
      </c>
      <c r="H2518">
        <f>VLOOKUP(C2518,Магазин!$A$2:$C$1000,2,0)</f>
        <v/>
      </c>
      <c r="I2518">
        <f>VLOOKUP(D2518,Товар!$A$2:$F$1000,3,0)</f>
        <v/>
      </c>
      <c r="J2518">
        <f>VLOOKUP(D2518,Товар!$A$2:$F$1000,5,0)</f>
        <v/>
      </c>
      <c r="K2518">
        <f>IF(AND(H2518="Промышленный",LEFT(I2518,18)="Порошок стиральный",F2518="Продажа",B2518=DATE(2023,6,7)),E2518*J2518/1000,0)</f>
        <v/>
      </c>
    </row>
    <row r="2519">
      <c r="A2519" t="n">
        <v>2518</v>
      </c>
      <c r="B2519" s="1" t="n">
        <v>45086</v>
      </c>
      <c r="C2519" s="5" t="inlineStr">
        <is>
          <t>M8</t>
        </is>
      </c>
      <c r="D2519" s="5" t="n">
        <v>34</v>
      </c>
      <c r="E2519" s="5" t="n">
        <v>400</v>
      </c>
      <c r="F2519" t="inlineStr">
        <is>
          <t>Поступление</t>
        </is>
      </c>
      <c r="H2519">
        <f>VLOOKUP(C2519,Магазин!$A$2:$C$1000,2,0)</f>
        <v/>
      </c>
      <c r="I2519">
        <f>VLOOKUP(D2519,Товар!$A$2:$F$1000,3,0)</f>
        <v/>
      </c>
      <c r="J2519">
        <f>VLOOKUP(D2519,Товар!$A$2:$F$1000,5,0)</f>
        <v/>
      </c>
      <c r="K2519">
        <f>IF(AND(H2519="Промышленный",LEFT(I2519,18)="Порошок стиральный",F2519="Продажа",B2519=DATE(2023,6,7)),E2519*J2519/1000,0)</f>
        <v/>
      </c>
    </row>
    <row r="2520">
      <c r="A2520" t="n">
        <v>2519</v>
      </c>
      <c r="B2520" s="1" t="n">
        <v>45086</v>
      </c>
      <c r="C2520" s="5" t="inlineStr">
        <is>
          <t>M8</t>
        </is>
      </c>
      <c r="D2520" s="5" t="n">
        <v>35</v>
      </c>
      <c r="E2520" s="5" t="n">
        <v>400</v>
      </c>
      <c r="F2520" t="inlineStr">
        <is>
          <t>Поступление</t>
        </is>
      </c>
      <c r="H2520">
        <f>VLOOKUP(C2520,Магазин!$A$2:$C$1000,2,0)</f>
        <v/>
      </c>
      <c r="I2520">
        <f>VLOOKUP(D2520,Товар!$A$2:$F$1000,3,0)</f>
        <v/>
      </c>
      <c r="J2520">
        <f>VLOOKUP(D2520,Товар!$A$2:$F$1000,5,0)</f>
        <v/>
      </c>
      <c r="K2520">
        <f>IF(AND(H2520="Промышленный",LEFT(I2520,18)="Порошок стиральный",F2520="Продажа",B2520=DATE(2023,6,7)),E2520*J2520/1000,0)</f>
        <v/>
      </c>
    </row>
    <row r="2521">
      <c r="A2521" t="n">
        <v>2520</v>
      </c>
      <c r="B2521" s="1" t="n">
        <v>45086</v>
      </c>
      <c r="C2521" s="5" t="inlineStr">
        <is>
          <t>M8</t>
        </is>
      </c>
      <c r="D2521" s="5" t="n">
        <v>36</v>
      </c>
      <c r="E2521" s="5" t="n">
        <v>400</v>
      </c>
      <c r="F2521" t="inlineStr">
        <is>
          <t>Поступление</t>
        </is>
      </c>
      <c r="H2521">
        <f>VLOOKUP(C2521,Магазин!$A$2:$C$1000,2,0)</f>
        <v/>
      </c>
      <c r="I2521">
        <f>VLOOKUP(D2521,Товар!$A$2:$F$1000,3,0)</f>
        <v/>
      </c>
      <c r="J2521">
        <f>VLOOKUP(D2521,Товар!$A$2:$F$1000,5,0)</f>
        <v/>
      </c>
      <c r="K2521">
        <f>IF(AND(H2521="Промышленный",LEFT(I2521,18)="Порошок стиральный",F2521="Продажа",B2521=DATE(2023,6,7)),E2521*J2521/1000,0)</f>
        <v/>
      </c>
    </row>
    <row r="2522">
      <c r="A2522" t="n">
        <v>2521</v>
      </c>
      <c r="B2522" s="1" t="n">
        <v>45086</v>
      </c>
      <c r="C2522" s="5" t="inlineStr">
        <is>
          <t>M12</t>
        </is>
      </c>
      <c r="D2522" s="5" t="n">
        <v>1</v>
      </c>
      <c r="E2522" s="5" t="n">
        <v>400</v>
      </c>
      <c r="F2522" t="inlineStr">
        <is>
          <t>Поступление</t>
        </is>
      </c>
      <c r="H2522">
        <f>VLOOKUP(C2522,Магазин!$A$2:$C$1000,2,0)</f>
        <v/>
      </c>
      <c r="I2522">
        <f>VLOOKUP(D2522,Товар!$A$2:$F$1000,3,0)</f>
        <v/>
      </c>
      <c r="J2522">
        <f>VLOOKUP(D2522,Товар!$A$2:$F$1000,5,0)</f>
        <v/>
      </c>
      <c r="K2522">
        <f>IF(AND(H2522="Промышленный",LEFT(I2522,18)="Порошок стиральный",F2522="Продажа",B2522=DATE(2023,6,7)),E2522*J2522/1000,0)</f>
        <v/>
      </c>
    </row>
    <row r="2523">
      <c r="A2523" t="n">
        <v>2522</v>
      </c>
      <c r="B2523" s="1" t="n">
        <v>45086</v>
      </c>
      <c r="C2523" s="5" t="inlineStr">
        <is>
          <t>M12</t>
        </is>
      </c>
      <c r="D2523" s="5" t="n">
        <v>2</v>
      </c>
      <c r="E2523" s="5" t="n">
        <v>400</v>
      </c>
      <c r="F2523" t="inlineStr">
        <is>
          <t>Поступление</t>
        </is>
      </c>
      <c r="H2523">
        <f>VLOOKUP(C2523,Магазин!$A$2:$C$1000,2,0)</f>
        <v/>
      </c>
      <c r="I2523">
        <f>VLOOKUP(D2523,Товар!$A$2:$F$1000,3,0)</f>
        <v/>
      </c>
      <c r="J2523">
        <f>VLOOKUP(D2523,Товар!$A$2:$F$1000,5,0)</f>
        <v/>
      </c>
      <c r="K2523">
        <f>IF(AND(H2523="Промышленный",LEFT(I2523,18)="Порошок стиральный",F2523="Продажа",B2523=DATE(2023,6,7)),E2523*J2523/1000,0)</f>
        <v/>
      </c>
    </row>
    <row r="2524">
      <c r="A2524" t="n">
        <v>2523</v>
      </c>
      <c r="B2524" s="1" t="n">
        <v>45086</v>
      </c>
      <c r="C2524" s="5" t="inlineStr">
        <is>
          <t>M12</t>
        </is>
      </c>
      <c r="D2524" s="5" t="n">
        <v>3</v>
      </c>
      <c r="E2524" s="5" t="n">
        <v>400</v>
      </c>
      <c r="F2524" t="inlineStr">
        <is>
          <t>Поступление</t>
        </is>
      </c>
      <c r="H2524">
        <f>VLOOKUP(C2524,Магазин!$A$2:$C$1000,2,0)</f>
        <v/>
      </c>
      <c r="I2524">
        <f>VLOOKUP(D2524,Товар!$A$2:$F$1000,3,0)</f>
        <v/>
      </c>
      <c r="J2524">
        <f>VLOOKUP(D2524,Товар!$A$2:$F$1000,5,0)</f>
        <v/>
      </c>
      <c r="K2524">
        <f>IF(AND(H2524="Промышленный",LEFT(I2524,18)="Порошок стиральный",F2524="Продажа",B2524=DATE(2023,6,7)),E2524*J2524/1000,0)</f>
        <v/>
      </c>
    </row>
    <row r="2525">
      <c r="A2525" t="n">
        <v>2524</v>
      </c>
      <c r="B2525" s="1" t="n">
        <v>45086</v>
      </c>
      <c r="C2525" s="5" t="inlineStr">
        <is>
          <t>M12</t>
        </is>
      </c>
      <c r="D2525" s="5" t="n">
        <v>4</v>
      </c>
      <c r="E2525" s="5" t="n">
        <v>400</v>
      </c>
      <c r="F2525" t="inlineStr">
        <is>
          <t>Поступление</t>
        </is>
      </c>
      <c r="H2525">
        <f>VLOOKUP(C2525,Магазин!$A$2:$C$1000,2,0)</f>
        <v/>
      </c>
      <c r="I2525">
        <f>VLOOKUP(D2525,Товар!$A$2:$F$1000,3,0)</f>
        <v/>
      </c>
      <c r="J2525">
        <f>VLOOKUP(D2525,Товар!$A$2:$F$1000,5,0)</f>
        <v/>
      </c>
      <c r="K2525">
        <f>IF(AND(H2525="Промышленный",LEFT(I2525,18)="Порошок стиральный",F2525="Продажа",B2525=DATE(2023,6,7)),E2525*J2525/1000,0)</f>
        <v/>
      </c>
    </row>
    <row r="2526">
      <c r="A2526" t="n">
        <v>2525</v>
      </c>
      <c r="B2526" s="1" t="n">
        <v>45086</v>
      </c>
      <c r="C2526" s="5" t="inlineStr">
        <is>
          <t>M12</t>
        </is>
      </c>
      <c r="D2526" s="5" t="n">
        <v>5</v>
      </c>
      <c r="E2526" s="5" t="n">
        <v>400</v>
      </c>
      <c r="F2526" t="inlineStr">
        <is>
          <t>Поступление</t>
        </is>
      </c>
      <c r="H2526">
        <f>VLOOKUP(C2526,Магазин!$A$2:$C$1000,2,0)</f>
        <v/>
      </c>
      <c r="I2526">
        <f>VLOOKUP(D2526,Товар!$A$2:$F$1000,3,0)</f>
        <v/>
      </c>
      <c r="J2526">
        <f>VLOOKUP(D2526,Товар!$A$2:$F$1000,5,0)</f>
        <v/>
      </c>
      <c r="K2526">
        <f>IF(AND(H2526="Промышленный",LEFT(I2526,18)="Порошок стиральный",F2526="Продажа",B2526=DATE(2023,6,7)),E2526*J2526/1000,0)</f>
        <v/>
      </c>
    </row>
    <row r="2527">
      <c r="A2527" t="n">
        <v>2526</v>
      </c>
      <c r="B2527" s="1" t="n">
        <v>45086</v>
      </c>
      <c r="C2527" s="5" t="inlineStr">
        <is>
          <t>M12</t>
        </is>
      </c>
      <c r="D2527" s="5" t="n">
        <v>6</v>
      </c>
      <c r="E2527" s="5" t="n">
        <v>400</v>
      </c>
      <c r="F2527" t="inlineStr">
        <is>
          <t>Поступление</t>
        </is>
      </c>
      <c r="H2527">
        <f>VLOOKUP(C2527,Магазин!$A$2:$C$1000,2,0)</f>
        <v/>
      </c>
      <c r="I2527">
        <f>VLOOKUP(D2527,Товар!$A$2:$F$1000,3,0)</f>
        <v/>
      </c>
      <c r="J2527">
        <f>VLOOKUP(D2527,Товар!$A$2:$F$1000,5,0)</f>
        <v/>
      </c>
      <c r="K2527">
        <f>IF(AND(H2527="Промышленный",LEFT(I2527,18)="Порошок стиральный",F2527="Продажа",B2527=DATE(2023,6,7)),E2527*J2527/1000,0)</f>
        <v/>
      </c>
    </row>
    <row r="2528">
      <c r="A2528" t="n">
        <v>2527</v>
      </c>
      <c r="B2528" s="1" t="n">
        <v>45086</v>
      </c>
      <c r="C2528" s="5" t="inlineStr">
        <is>
          <t>M12</t>
        </is>
      </c>
      <c r="D2528" s="5" t="n">
        <v>7</v>
      </c>
      <c r="E2528" s="5" t="n">
        <v>400</v>
      </c>
      <c r="F2528" t="inlineStr">
        <is>
          <t>Поступление</t>
        </is>
      </c>
      <c r="H2528">
        <f>VLOOKUP(C2528,Магазин!$A$2:$C$1000,2,0)</f>
        <v/>
      </c>
      <c r="I2528">
        <f>VLOOKUP(D2528,Товар!$A$2:$F$1000,3,0)</f>
        <v/>
      </c>
      <c r="J2528">
        <f>VLOOKUP(D2528,Товар!$A$2:$F$1000,5,0)</f>
        <v/>
      </c>
      <c r="K2528">
        <f>IF(AND(H2528="Промышленный",LEFT(I2528,18)="Порошок стиральный",F2528="Продажа",B2528=DATE(2023,6,7)),E2528*J2528/1000,0)</f>
        <v/>
      </c>
    </row>
    <row r="2529">
      <c r="A2529" t="n">
        <v>2528</v>
      </c>
      <c r="B2529" s="1" t="n">
        <v>45086</v>
      </c>
      <c r="C2529" s="5" t="inlineStr">
        <is>
          <t>M12</t>
        </is>
      </c>
      <c r="D2529" s="5" t="n">
        <v>8</v>
      </c>
      <c r="E2529" s="5" t="n">
        <v>400</v>
      </c>
      <c r="F2529" t="inlineStr">
        <is>
          <t>Поступление</t>
        </is>
      </c>
      <c r="H2529">
        <f>VLOOKUP(C2529,Магазин!$A$2:$C$1000,2,0)</f>
        <v/>
      </c>
      <c r="I2529">
        <f>VLOOKUP(D2529,Товар!$A$2:$F$1000,3,0)</f>
        <v/>
      </c>
      <c r="J2529">
        <f>VLOOKUP(D2529,Товар!$A$2:$F$1000,5,0)</f>
        <v/>
      </c>
      <c r="K2529">
        <f>IF(AND(H2529="Промышленный",LEFT(I2529,18)="Порошок стиральный",F2529="Продажа",B2529=DATE(2023,6,7)),E2529*J2529/1000,0)</f>
        <v/>
      </c>
    </row>
    <row r="2530">
      <c r="A2530" t="n">
        <v>2529</v>
      </c>
      <c r="B2530" s="1" t="n">
        <v>45086</v>
      </c>
      <c r="C2530" s="5" t="inlineStr">
        <is>
          <t>M12</t>
        </is>
      </c>
      <c r="D2530" s="5" t="n">
        <v>9</v>
      </c>
      <c r="E2530" s="5" t="n">
        <v>400</v>
      </c>
      <c r="F2530" t="inlineStr">
        <is>
          <t>Поступление</t>
        </is>
      </c>
      <c r="H2530">
        <f>VLOOKUP(C2530,Магазин!$A$2:$C$1000,2,0)</f>
        <v/>
      </c>
      <c r="I2530">
        <f>VLOOKUP(D2530,Товар!$A$2:$F$1000,3,0)</f>
        <v/>
      </c>
      <c r="J2530">
        <f>VLOOKUP(D2530,Товар!$A$2:$F$1000,5,0)</f>
        <v/>
      </c>
      <c r="K2530">
        <f>IF(AND(H2530="Промышленный",LEFT(I2530,18)="Порошок стиральный",F2530="Продажа",B2530=DATE(2023,6,7)),E2530*J2530/1000,0)</f>
        <v/>
      </c>
    </row>
    <row r="2531">
      <c r="A2531" t="n">
        <v>2530</v>
      </c>
      <c r="B2531" s="1" t="n">
        <v>45086</v>
      </c>
      <c r="C2531" s="5" t="inlineStr">
        <is>
          <t>M12</t>
        </is>
      </c>
      <c r="D2531" s="5" t="n">
        <v>10</v>
      </c>
      <c r="E2531" s="5" t="n">
        <v>400</v>
      </c>
      <c r="F2531" t="inlineStr">
        <is>
          <t>Поступление</t>
        </is>
      </c>
      <c r="H2531">
        <f>VLOOKUP(C2531,Магазин!$A$2:$C$1000,2,0)</f>
        <v/>
      </c>
      <c r="I2531">
        <f>VLOOKUP(D2531,Товар!$A$2:$F$1000,3,0)</f>
        <v/>
      </c>
      <c r="J2531">
        <f>VLOOKUP(D2531,Товар!$A$2:$F$1000,5,0)</f>
        <v/>
      </c>
      <c r="K2531">
        <f>IF(AND(H2531="Промышленный",LEFT(I2531,18)="Порошок стиральный",F2531="Продажа",B2531=DATE(2023,6,7)),E2531*J2531/1000,0)</f>
        <v/>
      </c>
    </row>
    <row r="2532">
      <c r="A2532" t="n">
        <v>2531</v>
      </c>
      <c r="B2532" s="1" t="n">
        <v>45086</v>
      </c>
      <c r="C2532" s="5" t="inlineStr">
        <is>
          <t>M12</t>
        </is>
      </c>
      <c r="D2532" s="5" t="n">
        <v>11</v>
      </c>
      <c r="E2532" s="5" t="n">
        <v>400</v>
      </c>
      <c r="F2532" t="inlineStr">
        <is>
          <t>Поступление</t>
        </is>
      </c>
      <c r="H2532">
        <f>VLOOKUP(C2532,Магазин!$A$2:$C$1000,2,0)</f>
        <v/>
      </c>
      <c r="I2532">
        <f>VLOOKUP(D2532,Товар!$A$2:$F$1000,3,0)</f>
        <v/>
      </c>
      <c r="J2532">
        <f>VLOOKUP(D2532,Товар!$A$2:$F$1000,5,0)</f>
        <v/>
      </c>
      <c r="K2532">
        <f>IF(AND(H2532="Промышленный",LEFT(I2532,18)="Порошок стиральный",F2532="Продажа",B2532=DATE(2023,6,7)),E2532*J2532/1000,0)</f>
        <v/>
      </c>
    </row>
    <row r="2533">
      <c r="A2533" t="n">
        <v>2532</v>
      </c>
      <c r="B2533" s="1" t="n">
        <v>45086</v>
      </c>
      <c r="C2533" s="5" t="inlineStr">
        <is>
          <t>M12</t>
        </is>
      </c>
      <c r="D2533" s="5" t="n">
        <v>12</v>
      </c>
      <c r="E2533" s="5" t="n">
        <v>400</v>
      </c>
      <c r="F2533" t="inlineStr">
        <is>
          <t>Поступление</t>
        </is>
      </c>
      <c r="H2533">
        <f>VLOOKUP(C2533,Магазин!$A$2:$C$1000,2,0)</f>
        <v/>
      </c>
      <c r="I2533">
        <f>VLOOKUP(D2533,Товар!$A$2:$F$1000,3,0)</f>
        <v/>
      </c>
      <c r="J2533">
        <f>VLOOKUP(D2533,Товар!$A$2:$F$1000,5,0)</f>
        <v/>
      </c>
      <c r="K2533">
        <f>IF(AND(H2533="Промышленный",LEFT(I2533,18)="Порошок стиральный",F2533="Продажа",B2533=DATE(2023,6,7)),E2533*J2533/1000,0)</f>
        <v/>
      </c>
    </row>
    <row r="2534">
      <c r="A2534" t="n">
        <v>2533</v>
      </c>
      <c r="B2534" s="1" t="n">
        <v>45086</v>
      </c>
      <c r="C2534" s="5" t="inlineStr">
        <is>
          <t>M12</t>
        </is>
      </c>
      <c r="D2534" s="5" t="n">
        <v>13</v>
      </c>
      <c r="E2534" s="5" t="n">
        <v>400</v>
      </c>
      <c r="F2534" t="inlineStr">
        <is>
          <t>Поступление</t>
        </is>
      </c>
      <c r="H2534">
        <f>VLOOKUP(C2534,Магазин!$A$2:$C$1000,2,0)</f>
        <v/>
      </c>
      <c r="I2534">
        <f>VLOOKUP(D2534,Товар!$A$2:$F$1000,3,0)</f>
        <v/>
      </c>
      <c r="J2534">
        <f>VLOOKUP(D2534,Товар!$A$2:$F$1000,5,0)</f>
        <v/>
      </c>
      <c r="K2534">
        <f>IF(AND(H2534="Промышленный",LEFT(I2534,18)="Порошок стиральный",F2534="Продажа",B2534=DATE(2023,6,7)),E2534*J2534/1000,0)</f>
        <v/>
      </c>
    </row>
    <row r="2535">
      <c r="A2535" t="n">
        <v>2534</v>
      </c>
      <c r="B2535" s="1" t="n">
        <v>45086</v>
      </c>
      <c r="C2535" s="5" t="inlineStr">
        <is>
          <t>M12</t>
        </is>
      </c>
      <c r="D2535" s="5" t="n">
        <v>14</v>
      </c>
      <c r="E2535" s="5" t="n">
        <v>400</v>
      </c>
      <c r="F2535" t="inlineStr">
        <is>
          <t>Поступление</t>
        </is>
      </c>
      <c r="H2535">
        <f>VLOOKUP(C2535,Магазин!$A$2:$C$1000,2,0)</f>
        <v/>
      </c>
      <c r="I2535">
        <f>VLOOKUP(D2535,Товар!$A$2:$F$1000,3,0)</f>
        <v/>
      </c>
      <c r="J2535">
        <f>VLOOKUP(D2535,Товар!$A$2:$F$1000,5,0)</f>
        <v/>
      </c>
      <c r="K2535">
        <f>IF(AND(H2535="Промышленный",LEFT(I2535,18)="Порошок стиральный",F2535="Продажа",B2535=DATE(2023,6,7)),E2535*J2535/1000,0)</f>
        <v/>
      </c>
    </row>
    <row r="2536">
      <c r="A2536" t="n">
        <v>2535</v>
      </c>
      <c r="B2536" s="1" t="n">
        <v>45086</v>
      </c>
      <c r="C2536" s="5" t="inlineStr">
        <is>
          <t>M12</t>
        </is>
      </c>
      <c r="D2536" s="5" t="n">
        <v>15</v>
      </c>
      <c r="E2536" s="5" t="n">
        <v>400</v>
      </c>
      <c r="F2536" t="inlineStr">
        <is>
          <t>Поступление</t>
        </is>
      </c>
      <c r="H2536">
        <f>VLOOKUP(C2536,Магазин!$A$2:$C$1000,2,0)</f>
        <v/>
      </c>
      <c r="I2536">
        <f>VLOOKUP(D2536,Товар!$A$2:$F$1000,3,0)</f>
        <v/>
      </c>
      <c r="J2536">
        <f>VLOOKUP(D2536,Товар!$A$2:$F$1000,5,0)</f>
        <v/>
      </c>
      <c r="K2536">
        <f>IF(AND(H2536="Промышленный",LEFT(I2536,18)="Порошок стиральный",F2536="Продажа",B2536=DATE(2023,6,7)),E2536*J2536/1000,0)</f>
        <v/>
      </c>
    </row>
    <row r="2537">
      <c r="A2537" t="n">
        <v>2536</v>
      </c>
      <c r="B2537" s="1" t="n">
        <v>45086</v>
      </c>
      <c r="C2537" s="5" t="inlineStr">
        <is>
          <t>M12</t>
        </is>
      </c>
      <c r="D2537" s="5" t="n">
        <v>16</v>
      </c>
      <c r="E2537" s="5" t="n">
        <v>400</v>
      </c>
      <c r="F2537" t="inlineStr">
        <is>
          <t>Поступление</t>
        </is>
      </c>
      <c r="H2537">
        <f>VLOOKUP(C2537,Магазин!$A$2:$C$1000,2,0)</f>
        <v/>
      </c>
      <c r="I2537">
        <f>VLOOKUP(D2537,Товар!$A$2:$F$1000,3,0)</f>
        <v/>
      </c>
      <c r="J2537">
        <f>VLOOKUP(D2537,Товар!$A$2:$F$1000,5,0)</f>
        <v/>
      </c>
      <c r="K2537">
        <f>IF(AND(H2537="Промышленный",LEFT(I2537,18)="Порошок стиральный",F2537="Продажа",B2537=DATE(2023,6,7)),E2537*J2537/1000,0)</f>
        <v/>
      </c>
    </row>
    <row r="2538">
      <c r="A2538" t="n">
        <v>2537</v>
      </c>
      <c r="B2538" s="1" t="n">
        <v>45086</v>
      </c>
      <c r="C2538" s="5" t="inlineStr">
        <is>
          <t>M12</t>
        </is>
      </c>
      <c r="D2538" s="5" t="n">
        <v>17</v>
      </c>
      <c r="E2538" s="5" t="n">
        <v>400</v>
      </c>
      <c r="F2538" t="inlineStr">
        <is>
          <t>Поступление</t>
        </is>
      </c>
      <c r="H2538">
        <f>VLOOKUP(C2538,Магазин!$A$2:$C$1000,2,0)</f>
        <v/>
      </c>
      <c r="I2538">
        <f>VLOOKUP(D2538,Товар!$A$2:$F$1000,3,0)</f>
        <v/>
      </c>
      <c r="J2538">
        <f>VLOOKUP(D2538,Товар!$A$2:$F$1000,5,0)</f>
        <v/>
      </c>
      <c r="K2538">
        <f>IF(AND(H2538="Промышленный",LEFT(I2538,18)="Порошок стиральный",F2538="Продажа",B2538=DATE(2023,6,7)),E2538*J2538/1000,0)</f>
        <v/>
      </c>
    </row>
    <row r="2539">
      <c r="A2539" t="n">
        <v>2538</v>
      </c>
      <c r="B2539" s="1" t="n">
        <v>45086</v>
      </c>
      <c r="C2539" s="5" t="inlineStr">
        <is>
          <t>M12</t>
        </is>
      </c>
      <c r="D2539" s="5" t="n">
        <v>18</v>
      </c>
      <c r="E2539" s="5" t="n">
        <v>400</v>
      </c>
      <c r="F2539" t="inlineStr">
        <is>
          <t>Поступление</t>
        </is>
      </c>
      <c r="H2539">
        <f>VLOOKUP(C2539,Магазин!$A$2:$C$1000,2,0)</f>
        <v/>
      </c>
      <c r="I2539">
        <f>VLOOKUP(D2539,Товар!$A$2:$F$1000,3,0)</f>
        <v/>
      </c>
      <c r="J2539">
        <f>VLOOKUP(D2539,Товар!$A$2:$F$1000,5,0)</f>
        <v/>
      </c>
      <c r="K2539">
        <f>IF(AND(H2539="Промышленный",LEFT(I2539,18)="Порошок стиральный",F2539="Продажа",B2539=DATE(2023,6,7)),E2539*J2539/1000,0)</f>
        <v/>
      </c>
    </row>
    <row r="2540">
      <c r="A2540" t="n">
        <v>2539</v>
      </c>
      <c r="B2540" s="1" t="n">
        <v>45086</v>
      </c>
      <c r="C2540" s="5" t="inlineStr">
        <is>
          <t>M12</t>
        </is>
      </c>
      <c r="D2540" s="5" t="n">
        <v>19</v>
      </c>
      <c r="E2540" s="5" t="n">
        <v>400</v>
      </c>
      <c r="F2540" t="inlineStr">
        <is>
          <t>Поступление</t>
        </is>
      </c>
      <c r="H2540">
        <f>VLOOKUP(C2540,Магазин!$A$2:$C$1000,2,0)</f>
        <v/>
      </c>
      <c r="I2540">
        <f>VLOOKUP(D2540,Товар!$A$2:$F$1000,3,0)</f>
        <v/>
      </c>
      <c r="J2540">
        <f>VLOOKUP(D2540,Товар!$A$2:$F$1000,5,0)</f>
        <v/>
      </c>
      <c r="K2540">
        <f>IF(AND(H2540="Промышленный",LEFT(I2540,18)="Порошок стиральный",F2540="Продажа",B2540=DATE(2023,6,7)),E2540*J2540/1000,0)</f>
        <v/>
      </c>
    </row>
    <row r="2541">
      <c r="A2541" t="n">
        <v>2540</v>
      </c>
      <c r="B2541" s="1" t="n">
        <v>45086</v>
      </c>
      <c r="C2541" s="5" t="inlineStr">
        <is>
          <t>M12</t>
        </is>
      </c>
      <c r="D2541" s="5" t="n">
        <v>20</v>
      </c>
      <c r="E2541" s="5" t="n">
        <v>400</v>
      </c>
      <c r="F2541" t="inlineStr">
        <is>
          <t>Поступление</t>
        </is>
      </c>
      <c r="H2541">
        <f>VLOOKUP(C2541,Магазин!$A$2:$C$1000,2,0)</f>
        <v/>
      </c>
      <c r="I2541">
        <f>VLOOKUP(D2541,Товар!$A$2:$F$1000,3,0)</f>
        <v/>
      </c>
      <c r="J2541">
        <f>VLOOKUP(D2541,Товар!$A$2:$F$1000,5,0)</f>
        <v/>
      </c>
      <c r="K2541">
        <f>IF(AND(H2541="Промышленный",LEFT(I2541,18)="Порошок стиральный",F2541="Продажа",B2541=DATE(2023,6,7)),E2541*J2541/1000,0)</f>
        <v/>
      </c>
    </row>
    <row r="2542">
      <c r="A2542" t="n">
        <v>2541</v>
      </c>
      <c r="B2542" s="1" t="n">
        <v>45086</v>
      </c>
      <c r="C2542" s="5" t="inlineStr">
        <is>
          <t>M12</t>
        </is>
      </c>
      <c r="D2542" s="5" t="n">
        <v>21</v>
      </c>
      <c r="E2542" s="5" t="n">
        <v>400</v>
      </c>
      <c r="F2542" t="inlineStr">
        <is>
          <t>Поступление</t>
        </is>
      </c>
      <c r="H2542">
        <f>VLOOKUP(C2542,Магазин!$A$2:$C$1000,2,0)</f>
        <v/>
      </c>
      <c r="I2542">
        <f>VLOOKUP(D2542,Товар!$A$2:$F$1000,3,0)</f>
        <v/>
      </c>
      <c r="J2542">
        <f>VLOOKUP(D2542,Товар!$A$2:$F$1000,5,0)</f>
        <v/>
      </c>
      <c r="K2542">
        <f>IF(AND(H2542="Промышленный",LEFT(I2542,18)="Порошок стиральный",F2542="Продажа",B2542=DATE(2023,6,7)),E2542*J2542/1000,0)</f>
        <v/>
      </c>
    </row>
    <row r="2543">
      <c r="A2543" t="n">
        <v>2542</v>
      </c>
      <c r="B2543" s="1" t="n">
        <v>45086</v>
      </c>
      <c r="C2543" s="5" t="inlineStr">
        <is>
          <t>M12</t>
        </is>
      </c>
      <c r="D2543" s="5" t="n">
        <v>22</v>
      </c>
      <c r="E2543" s="5" t="n">
        <v>400</v>
      </c>
      <c r="F2543" t="inlineStr">
        <is>
          <t>Поступление</t>
        </is>
      </c>
      <c r="H2543">
        <f>VLOOKUP(C2543,Магазин!$A$2:$C$1000,2,0)</f>
        <v/>
      </c>
      <c r="I2543">
        <f>VLOOKUP(D2543,Товар!$A$2:$F$1000,3,0)</f>
        <v/>
      </c>
      <c r="J2543">
        <f>VLOOKUP(D2543,Товар!$A$2:$F$1000,5,0)</f>
        <v/>
      </c>
      <c r="K2543">
        <f>IF(AND(H2543="Промышленный",LEFT(I2543,18)="Порошок стиральный",F2543="Продажа",B2543=DATE(2023,6,7)),E2543*J2543/1000,0)</f>
        <v/>
      </c>
    </row>
    <row r="2544">
      <c r="A2544" t="n">
        <v>2543</v>
      </c>
      <c r="B2544" s="1" t="n">
        <v>45086</v>
      </c>
      <c r="C2544" s="5" t="inlineStr">
        <is>
          <t>M12</t>
        </is>
      </c>
      <c r="D2544" s="5" t="n">
        <v>23</v>
      </c>
      <c r="E2544" s="5" t="n">
        <v>400</v>
      </c>
      <c r="F2544" t="inlineStr">
        <is>
          <t>Поступление</t>
        </is>
      </c>
      <c r="H2544">
        <f>VLOOKUP(C2544,Магазин!$A$2:$C$1000,2,0)</f>
        <v/>
      </c>
      <c r="I2544">
        <f>VLOOKUP(D2544,Товар!$A$2:$F$1000,3,0)</f>
        <v/>
      </c>
      <c r="J2544">
        <f>VLOOKUP(D2544,Товар!$A$2:$F$1000,5,0)</f>
        <v/>
      </c>
      <c r="K2544">
        <f>IF(AND(H2544="Промышленный",LEFT(I2544,18)="Порошок стиральный",F2544="Продажа",B2544=DATE(2023,6,7)),E2544*J2544/1000,0)</f>
        <v/>
      </c>
    </row>
    <row r="2545">
      <c r="A2545" t="n">
        <v>2544</v>
      </c>
      <c r="B2545" s="1" t="n">
        <v>45086</v>
      </c>
      <c r="C2545" s="5" t="inlineStr">
        <is>
          <t>M12</t>
        </is>
      </c>
      <c r="D2545" s="5" t="n">
        <v>24</v>
      </c>
      <c r="E2545" s="5" t="n">
        <v>400</v>
      </c>
      <c r="F2545" t="inlineStr">
        <is>
          <t>Поступление</t>
        </is>
      </c>
      <c r="H2545">
        <f>VLOOKUP(C2545,Магазин!$A$2:$C$1000,2,0)</f>
        <v/>
      </c>
      <c r="I2545">
        <f>VLOOKUP(D2545,Товар!$A$2:$F$1000,3,0)</f>
        <v/>
      </c>
      <c r="J2545">
        <f>VLOOKUP(D2545,Товар!$A$2:$F$1000,5,0)</f>
        <v/>
      </c>
      <c r="K2545">
        <f>IF(AND(H2545="Промышленный",LEFT(I2545,18)="Порошок стиральный",F2545="Продажа",B2545=DATE(2023,6,7)),E2545*J2545/1000,0)</f>
        <v/>
      </c>
    </row>
    <row r="2546">
      <c r="A2546" t="n">
        <v>2545</v>
      </c>
      <c r="B2546" s="1" t="n">
        <v>45086</v>
      </c>
      <c r="C2546" s="5" t="inlineStr">
        <is>
          <t>M12</t>
        </is>
      </c>
      <c r="D2546" s="5" t="n">
        <v>25</v>
      </c>
      <c r="E2546" s="5" t="n">
        <v>400</v>
      </c>
      <c r="F2546" t="inlineStr">
        <is>
          <t>Поступление</t>
        </is>
      </c>
      <c r="H2546">
        <f>VLOOKUP(C2546,Магазин!$A$2:$C$1000,2,0)</f>
        <v/>
      </c>
      <c r="I2546">
        <f>VLOOKUP(D2546,Товар!$A$2:$F$1000,3,0)</f>
        <v/>
      </c>
      <c r="J2546">
        <f>VLOOKUP(D2546,Товар!$A$2:$F$1000,5,0)</f>
        <v/>
      </c>
      <c r="K2546">
        <f>IF(AND(H2546="Промышленный",LEFT(I2546,18)="Порошок стиральный",F2546="Продажа",B2546=DATE(2023,6,7)),E2546*J2546/1000,0)</f>
        <v/>
      </c>
    </row>
    <row r="2547">
      <c r="A2547" t="n">
        <v>2546</v>
      </c>
      <c r="B2547" s="1" t="n">
        <v>45086</v>
      </c>
      <c r="C2547" s="5" t="inlineStr">
        <is>
          <t>M12</t>
        </is>
      </c>
      <c r="D2547" s="5" t="n">
        <v>26</v>
      </c>
      <c r="E2547" s="5" t="n">
        <v>400</v>
      </c>
      <c r="F2547" t="inlineStr">
        <is>
          <t>Поступление</t>
        </is>
      </c>
      <c r="H2547">
        <f>VLOOKUP(C2547,Магазин!$A$2:$C$1000,2,0)</f>
        <v/>
      </c>
      <c r="I2547">
        <f>VLOOKUP(D2547,Товар!$A$2:$F$1000,3,0)</f>
        <v/>
      </c>
      <c r="J2547">
        <f>VLOOKUP(D2547,Товар!$A$2:$F$1000,5,0)</f>
        <v/>
      </c>
      <c r="K2547">
        <f>IF(AND(H2547="Промышленный",LEFT(I2547,18)="Порошок стиральный",F2547="Продажа",B2547=DATE(2023,6,7)),E2547*J2547/1000,0)</f>
        <v/>
      </c>
    </row>
    <row r="2548">
      <c r="A2548" t="n">
        <v>2547</v>
      </c>
      <c r="B2548" s="1" t="n">
        <v>45086</v>
      </c>
      <c r="C2548" s="5" t="inlineStr">
        <is>
          <t>M12</t>
        </is>
      </c>
      <c r="D2548" s="5" t="n">
        <v>27</v>
      </c>
      <c r="E2548" s="5" t="n">
        <v>400</v>
      </c>
      <c r="F2548" t="inlineStr">
        <is>
          <t>Поступление</t>
        </is>
      </c>
      <c r="H2548">
        <f>VLOOKUP(C2548,Магазин!$A$2:$C$1000,2,0)</f>
        <v/>
      </c>
      <c r="I2548">
        <f>VLOOKUP(D2548,Товар!$A$2:$F$1000,3,0)</f>
        <v/>
      </c>
      <c r="J2548">
        <f>VLOOKUP(D2548,Товар!$A$2:$F$1000,5,0)</f>
        <v/>
      </c>
      <c r="K2548">
        <f>IF(AND(H2548="Промышленный",LEFT(I2548,18)="Порошок стиральный",F2548="Продажа",B2548=DATE(2023,6,7)),E2548*J2548/1000,0)</f>
        <v/>
      </c>
    </row>
    <row r="2549">
      <c r="A2549" t="n">
        <v>2548</v>
      </c>
      <c r="B2549" s="1" t="n">
        <v>45086</v>
      </c>
      <c r="C2549" s="5" t="inlineStr">
        <is>
          <t>M12</t>
        </is>
      </c>
      <c r="D2549" s="5" t="n">
        <v>28</v>
      </c>
      <c r="E2549" s="5" t="n">
        <v>400</v>
      </c>
      <c r="F2549" t="inlineStr">
        <is>
          <t>Поступление</t>
        </is>
      </c>
      <c r="H2549">
        <f>VLOOKUP(C2549,Магазин!$A$2:$C$1000,2,0)</f>
        <v/>
      </c>
      <c r="I2549">
        <f>VLOOKUP(D2549,Товар!$A$2:$F$1000,3,0)</f>
        <v/>
      </c>
      <c r="J2549">
        <f>VLOOKUP(D2549,Товар!$A$2:$F$1000,5,0)</f>
        <v/>
      </c>
      <c r="K2549">
        <f>IF(AND(H2549="Промышленный",LEFT(I2549,18)="Порошок стиральный",F2549="Продажа",B2549=DATE(2023,6,7)),E2549*J2549/1000,0)</f>
        <v/>
      </c>
    </row>
    <row r="2550">
      <c r="A2550" t="n">
        <v>2549</v>
      </c>
      <c r="B2550" s="1" t="n">
        <v>45086</v>
      </c>
      <c r="C2550" s="5" t="inlineStr">
        <is>
          <t>M12</t>
        </is>
      </c>
      <c r="D2550" s="5" t="n">
        <v>29</v>
      </c>
      <c r="E2550" s="5" t="n">
        <v>400</v>
      </c>
      <c r="F2550" t="inlineStr">
        <is>
          <t>Поступление</t>
        </is>
      </c>
      <c r="H2550">
        <f>VLOOKUP(C2550,Магазин!$A$2:$C$1000,2,0)</f>
        <v/>
      </c>
      <c r="I2550">
        <f>VLOOKUP(D2550,Товар!$A$2:$F$1000,3,0)</f>
        <v/>
      </c>
      <c r="J2550">
        <f>VLOOKUP(D2550,Товар!$A$2:$F$1000,5,0)</f>
        <v/>
      </c>
      <c r="K2550">
        <f>IF(AND(H2550="Промышленный",LEFT(I2550,18)="Порошок стиральный",F2550="Продажа",B2550=DATE(2023,6,7)),E2550*J2550/1000,0)</f>
        <v/>
      </c>
    </row>
    <row r="2551">
      <c r="A2551" t="n">
        <v>2550</v>
      </c>
      <c r="B2551" s="1" t="n">
        <v>45086</v>
      </c>
      <c r="C2551" s="5" t="inlineStr">
        <is>
          <t>M12</t>
        </is>
      </c>
      <c r="D2551" s="5" t="n">
        <v>30</v>
      </c>
      <c r="E2551" s="5" t="n">
        <v>400</v>
      </c>
      <c r="F2551" t="inlineStr">
        <is>
          <t>Поступление</t>
        </is>
      </c>
      <c r="H2551">
        <f>VLOOKUP(C2551,Магазин!$A$2:$C$1000,2,0)</f>
        <v/>
      </c>
      <c r="I2551">
        <f>VLOOKUP(D2551,Товар!$A$2:$F$1000,3,0)</f>
        <v/>
      </c>
      <c r="J2551">
        <f>VLOOKUP(D2551,Товар!$A$2:$F$1000,5,0)</f>
        <v/>
      </c>
      <c r="K2551">
        <f>IF(AND(H2551="Промышленный",LEFT(I2551,18)="Порошок стиральный",F2551="Продажа",B2551=DATE(2023,6,7)),E2551*J2551/1000,0)</f>
        <v/>
      </c>
    </row>
    <row r="2552">
      <c r="A2552" t="n">
        <v>2551</v>
      </c>
      <c r="B2552" s="1" t="n">
        <v>45086</v>
      </c>
      <c r="C2552" s="5" t="inlineStr">
        <is>
          <t>M12</t>
        </is>
      </c>
      <c r="D2552" s="5" t="n">
        <v>31</v>
      </c>
      <c r="E2552" s="5" t="n">
        <v>400</v>
      </c>
      <c r="F2552" t="inlineStr">
        <is>
          <t>Поступление</t>
        </is>
      </c>
      <c r="H2552">
        <f>VLOOKUP(C2552,Магазин!$A$2:$C$1000,2,0)</f>
        <v/>
      </c>
      <c r="I2552">
        <f>VLOOKUP(D2552,Товар!$A$2:$F$1000,3,0)</f>
        <v/>
      </c>
      <c r="J2552">
        <f>VLOOKUP(D2552,Товар!$A$2:$F$1000,5,0)</f>
        <v/>
      </c>
      <c r="K2552">
        <f>IF(AND(H2552="Промышленный",LEFT(I2552,18)="Порошок стиральный",F2552="Продажа",B2552=DATE(2023,6,7)),E2552*J2552/1000,0)</f>
        <v/>
      </c>
    </row>
    <row r="2553">
      <c r="A2553" t="n">
        <v>2552</v>
      </c>
      <c r="B2553" s="1" t="n">
        <v>45086</v>
      </c>
      <c r="C2553" s="5" t="inlineStr">
        <is>
          <t>M12</t>
        </is>
      </c>
      <c r="D2553" s="5" t="n">
        <v>32</v>
      </c>
      <c r="E2553" s="5" t="n">
        <v>400</v>
      </c>
      <c r="F2553" t="inlineStr">
        <is>
          <t>Поступление</t>
        </is>
      </c>
      <c r="H2553">
        <f>VLOOKUP(C2553,Магазин!$A$2:$C$1000,2,0)</f>
        <v/>
      </c>
      <c r="I2553">
        <f>VLOOKUP(D2553,Товар!$A$2:$F$1000,3,0)</f>
        <v/>
      </c>
      <c r="J2553">
        <f>VLOOKUP(D2553,Товар!$A$2:$F$1000,5,0)</f>
        <v/>
      </c>
      <c r="K2553">
        <f>IF(AND(H2553="Промышленный",LEFT(I2553,18)="Порошок стиральный",F2553="Продажа",B2553=DATE(2023,6,7)),E2553*J2553/1000,0)</f>
        <v/>
      </c>
    </row>
    <row r="2554">
      <c r="A2554" t="n">
        <v>2553</v>
      </c>
      <c r="B2554" s="1" t="n">
        <v>45086</v>
      </c>
      <c r="C2554" s="5" t="inlineStr">
        <is>
          <t>M12</t>
        </is>
      </c>
      <c r="D2554" s="5" t="n">
        <v>33</v>
      </c>
      <c r="E2554" s="5" t="n">
        <v>400</v>
      </c>
      <c r="F2554" t="inlineStr">
        <is>
          <t>Поступление</t>
        </is>
      </c>
      <c r="H2554">
        <f>VLOOKUP(C2554,Магазин!$A$2:$C$1000,2,0)</f>
        <v/>
      </c>
      <c r="I2554">
        <f>VLOOKUP(D2554,Товар!$A$2:$F$1000,3,0)</f>
        <v/>
      </c>
      <c r="J2554">
        <f>VLOOKUP(D2554,Товар!$A$2:$F$1000,5,0)</f>
        <v/>
      </c>
      <c r="K2554">
        <f>IF(AND(H2554="Промышленный",LEFT(I2554,18)="Порошок стиральный",F2554="Продажа",B2554=DATE(2023,6,7)),E2554*J2554/1000,0)</f>
        <v/>
      </c>
    </row>
    <row r="2555">
      <c r="A2555" t="n">
        <v>2554</v>
      </c>
      <c r="B2555" s="1" t="n">
        <v>45086</v>
      </c>
      <c r="C2555" s="5" t="inlineStr">
        <is>
          <t>M12</t>
        </is>
      </c>
      <c r="D2555" s="5" t="n">
        <v>34</v>
      </c>
      <c r="E2555" s="5" t="n">
        <v>400</v>
      </c>
      <c r="F2555" t="inlineStr">
        <is>
          <t>Поступление</t>
        </is>
      </c>
      <c r="H2555">
        <f>VLOOKUP(C2555,Магазин!$A$2:$C$1000,2,0)</f>
        <v/>
      </c>
      <c r="I2555">
        <f>VLOOKUP(D2555,Товар!$A$2:$F$1000,3,0)</f>
        <v/>
      </c>
      <c r="J2555">
        <f>VLOOKUP(D2555,Товар!$A$2:$F$1000,5,0)</f>
        <v/>
      </c>
      <c r="K2555">
        <f>IF(AND(H2555="Промышленный",LEFT(I2555,18)="Порошок стиральный",F2555="Продажа",B2555=DATE(2023,6,7)),E2555*J2555/1000,0)</f>
        <v/>
      </c>
    </row>
    <row r="2556">
      <c r="A2556" t="n">
        <v>2555</v>
      </c>
      <c r="B2556" s="1" t="n">
        <v>45086</v>
      </c>
      <c r="C2556" s="5" t="inlineStr">
        <is>
          <t>M12</t>
        </is>
      </c>
      <c r="D2556" s="5" t="n">
        <v>35</v>
      </c>
      <c r="E2556" s="5" t="n">
        <v>400</v>
      </c>
      <c r="F2556" t="inlineStr">
        <is>
          <t>Поступление</t>
        </is>
      </c>
      <c r="H2556">
        <f>VLOOKUP(C2556,Магазин!$A$2:$C$1000,2,0)</f>
        <v/>
      </c>
      <c r="I2556">
        <f>VLOOKUP(D2556,Товар!$A$2:$F$1000,3,0)</f>
        <v/>
      </c>
      <c r="J2556">
        <f>VLOOKUP(D2556,Товар!$A$2:$F$1000,5,0)</f>
        <v/>
      </c>
      <c r="K2556">
        <f>IF(AND(H2556="Промышленный",LEFT(I2556,18)="Порошок стиральный",F2556="Продажа",B2556=DATE(2023,6,7)),E2556*J2556/1000,0)</f>
        <v/>
      </c>
    </row>
    <row r="2557">
      <c r="A2557" t="n">
        <v>2556</v>
      </c>
      <c r="B2557" s="1" t="n">
        <v>45086</v>
      </c>
      <c r="C2557" s="5" t="inlineStr">
        <is>
          <t>M12</t>
        </is>
      </c>
      <c r="D2557" s="5" t="n">
        <v>36</v>
      </c>
      <c r="E2557" s="5" t="n">
        <v>400</v>
      </c>
      <c r="F2557" t="inlineStr">
        <is>
          <t>Поступление</t>
        </is>
      </c>
      <c r="H2557">
        <f>VLOOKUP(C2557,Магазин!$A$2:$C$1000,2,0)</f>
        <v/>
      </c>
      <c r="I2557">
        <f>VLOOKUP(D2557,Товар!$A$2:$F$1000,3,0)</f>
        <v/>
      </c>
      <c r="J2557">
        <f>VLOOKUP(D2557,Товар!$A$2:$F$1000,5,0)</f>
        <v/>
      </c>
      <c r="K2557">
        <f>IF(AND(H2557="Промышленный",LEFT(I2557,18)="Порошок стиральный",F2557="Продажа",B2557=DATE(2023,6,7)),E2557*J2557/1000,0)</f>
        <v/>
      </c>
    </row>
    <row r="2558">
      <c r="A2558" t="n">
        <v>2557</v>
      </c>
      <c r="B2558" s="1" t="n">
        <v>45086</v>
      </c>
      <c r="C2558" s="5" t="inlineStr">
        <is>
          <t>M13</t>
        </is>
      </c>
      <c r="D2558" s="5" t="n">
        <v>1</v>
      </c>
      <c r="E2558" s="5" t="n">
        <v>400</v>
      </c>
      <c r="F2558" t="inlineStr">
        <is>
          <t>Поступление</t>
        </is>
      </c>
      <c r="H2558">
        <f>VLOOKUP(C2558,Магазин!$A$2:$C$1000,2,0)</f>
        <v/>
      </c>
      <c r="I2558">
        <f>VLOOKUP(D2558,Товар!$A$2:$F$1000,3,0)</f>
        <v/>
      </c>
      <c r="J2558">
        <f>VLOOKUP(D2558,Товар!$A$2:$F$1000,5,0)</f>
        <v/>
      </c>
      <c r="K2558">
        <f>IF(AND(H2558="Промышленный",LEFT(I2558,18)="Порошок стиральный",F2558="Продажа",B2558=DATE(2023,6,7)),E2558*J2558/1000,0)</f>
        <v/>
      </c>
    </row>
    <row r="2559">
      <c r="A2559" t="n">
        <v>2558</v>
      </c>
      <c r="B2559" s="1" t="n">
        <v>45086</v>
      </c>
      <c r="C2559" s="5" t="inlineStr">
        <is>
          <t>M13</t>
        </is>
      </c>
      <c r="D2559" s="5" t="n">
        <v>2</v>
      </c>
      <c r="E2559" s="5" t="n">
        <v>400</v>
      </c>
      <c r="F2559" t="inlineStr">
        <is>
          <t>Поступление</t>
        </is>
      </c>
      <c r="H2559">
        <f>VLOOKUP(C2559,Магазин!$A$2:$C$1000,2,0)</f>
        <v/>
      </c>
      <c r="I2559">
        <f>VLOOKUP(D2559,Товар!$A$2:$F$1000,3,0)</f>
        <v/>
      </c>
      <c r="J2559">
        <f>VLOOKUP(D2559,Товар!$A$2:$F$1000,5,0)</f>
        <v/>
      </c>
      <c r="K2559">
        <f>IF(AND(H2559="Промышленный",LEFT(I2559,18)="Порошок стиральный",F2559="Продажа",B2559=DATE(2023,6,7)),E2559*J2559/1000,0)</f>
        <v/>
      </c>
    </row>
    <row r="2560">
      <c r="A2560" t="n">
        <v>2559</v>
      </c>
      <c r="B2560" s="1" t="n">
        <v>45086</v>
      </c>
      <c r="C2560" s="5" t="inlineStr">
        <is>
          <t>M13</t>
        </is>
      </c>
      <c r="D2560" s="5" t="n">
        <v>3</v>
      </c>
      <c r="E2560" s="5" t="n">
        <v>400</v>
      </c>
      <c r="F2560" t="inlineStr">
        <is>
          <t>Поступление</t>
        </is>
      </c>
      <c r="H2560">
        <f>VLOOKUP(C2560,Магазин!$A$2:$C$1000,2,0)</f>
        <v/>
      </c>
      <c r="I2560">
        <f>VLOOKUP(D2560,Товар!$A$2:$F$1000,3,0)</f>
        <v/>
      </c>
      <c r="J2560">
        <f>VLOOKUP(D2560,Товар!$A$2:$F$1000,5,0)</f>
        <v/>
      </c>
      <c r="K2560">
        <f>IF(AND(H2560="Промышленный",LEFT(I2560,18)="Порошок стиральный",F2560="Продажа",B2560=DATE(2023,6,7)),E2560*J2560/1000,0)</f>
        <v/>
      </c>
    </row>
    <row r="2561">
      <c r="A2561" t="n">
        <v>2560</v>
      </c>
      <c r="B2561" s="1" t="n">
        <v>45086</v>
      </c>
      <c r="C2561" s="5" t="inlineStr">
        <is>
          <t>M13</t>
        </is>
      </c>
      <c r="D2561" s="5" t="n">
        <v>4</v>
      </c>
      <c r="E2561" s="5" t="n">
        <v>400</v>
      </c>
      <c r="F2561" t="inlineStr">
        <is>
          <t>Поступление</t>
        </is>
      </c>
      <c r="H2561">
        <f>VLOOKUP(C2561,Магазин!$A$2:$C$1000,2,0)</f>
        <v/>
      </c>
      <c r="I2561">
        <f>VLOOKUP(D2561,Товар!$A$2:$F$1000,3,0)</f>
        <v/>
      </c>
      <c r="J2561">
        <f>VLOOKUP(D2561,Товар!$A$2:$F$1000,5,0)</f>
        <v/>
      </c>
      <c r="K2561">
        <f>IF(AND(H2561="Промышленный",LEFT(I2561,18)="Порошок стиральный",F2561="Продажа",B2561=DATE(2023,6,7)),E2561*J2561/1000,0)</f>
        <v/>
      </c>
    </row>
    <row r="2562">
      <c r="A2562" t="n">
        <v>2561</v>
      </c>
      <c r="B2562" s="1" t="n">
        <v>45086</v>
      </c>
      <c r="C2562" s="5" t="inlineStr">
        <is>
          <t>M13</t>
        </is>
      </c>
      <c r="D2562" s="5" t="n">
        <v>5</v>
      </c>
      <c r="E2562" s="5" t="n">
        <v>400</v>
      </c>
      <c r="F2562" t="inlineStr">
        <is>
          <t>Поступление</t>
        </is>
      </c>
      <c r="H2562">
        <f>VLOOKUP(C2562,Магазин!$A$2:$C$1000,2,0)</f>
        <v/>
      </c>
      <c r="I2562">
        <f>VLOOKUP(D2562,Товар!$A$2:$F$1000,3,0)</f>
        <v/>
      </c>
      <c r="J2562">
        <f>VLOOKUP(D2562,Товар!$A$2:$F$1000,5,0)</f>
        <v/>
      </c>
      <c r="K2562">
        <f>IF(AND(H2562="Промышленный",LEFT(I2562,18)="Порошок стиральный",F2562="Продажа",B2562=DATE(2023,6,7)),E2562*J2562/1000,0)</f>
        <v/>
      </c>
    </row>
    <row r="2563">
      <c r="A2563" t="n">
        <v>2562</v>
      </c>
      <c r="B2563" s="1" t="n">
        <v>45086</v>
      </c>
      <c r="C2563" s="5" t="inlineStr">
        <is>
          <t>M13</t>
        </is>
      </c>
      <c r="D2563" s="5" t="n">
        <v>6</v>
      </c>
      <c r="E2563" s="5" t="n">
        <v>400</v>
      </c>
      <c r="F2563" t="inlineStr">
        <is>
          <t>Поступление</t>
        </is>
      </c>
      <c r="H2563">
        <f>VLOOKUP(C2563,Магазин!$A$2:$C$1000,2,0)</f>
        <v/>
      </c>
      <c r="I2563">
        <f>VLOOKUP(D2563,Товар!$A$2:$F$1000,3,0)</f>
        <v/>
      </c>
      <c r="J2563">
        <f>VLOOKUP(D2563,Товар!$A$2:$F$1000,5,0)</f>
        <v/>
      </c>
      <c r="K2563">
        <f>IF(AND(H2563="Промышленный",LEFT(I2563,18)="Порошок стиральный",F2563="Продажа",B2563=DATE(2023,6,7)),E2563*J2563/1000,0)</f>
        <v/>
      </c>
    </row>
    <row r="2564">
      <c r="A2564" t="n">
        <v>2563</v>
      </c>
      <c r="B2564" s="1" t="n">
        <v>45086</v>
      </c>
      <c r="C2564" s="5" t="inlineStr">
        <is>
          <t>M13</t>
        </is>
      </c>
      <c r="D2564" s="5" t="n">
        <v>7</v>
      </c>
      <c r="E2564" s="5" t="n">
        <v>400</v>
      </c>
      <c r="F2564" t="inlineStr">
        <is>
          <t>Поступление</t>
        </is>
      </c>
      <c r="H2564">
        <f>VLOOKUP(C2564,Магазин!$A$2:$C$1000,2,0)</f>
        <v/>
      </c>
      <c r="I2564">
        <f>VLOOKUP(D2564,Товар!$A$2:$F$1000,3,0)</f>
        <v/>
      </c>
      <c r="J2564">
        <f>VLOOKUP(D2564,Товар!$A$2:$F$1000,5,0)</f>
        <v/>
      </c>
      <c r="K2564">
        <f>IF(AND(H2564="Промышленный",LEFT(I2564,18)="Порошок стиральный",F2564="Продажа",B2564=DATE(2023,6,7)),E2564*J2564/1000,0)</f>
        <v/>
      </c>
    </row>
    <row r="2565">
      <c r="A2565" t="n">
        <v>2564</v>
      </c>
      <c r="B2565" s="1" t="n">
        <v>45086</v>
      </c>
      <c r="C2565" s="5" t="inlineStr">
        <is>
          <t>M13</t>
        </is>
      </c>
      <c r="D2565" s="5" t="n">
        <v>8</v>
      </c>
      <c r="E2565" s="5" t="n">
        <v>400</v>
      </c>
      <c r="F2565" t="inlineStr">
        <is>
          <t>Поступление</t>
        </is>
      </c>
      <c r="H2565">
        <f>VLOOKUP(C2565,Магазин!$A$2:$C$1000,2,0)</f>
        <v/>
      </c>
      <c r="I2565">
        <f>VLOOKUP(D2565,Товар!$A$2:$F$1000,3,0)</f>
        <v/>
      </c>
      <c r="J2565">
        <f>VLOOKUP(D2565,Товар!$A$2:$F$1000,5,0)</f>
        <v/>
      </c>
      <c r="K2565">
        <f>IF(AND(H2565="Промышленный",LEFT(I2565,18)="Порошок стиральный",F2565="Продажа",B2565=DATE(2023,6,7)),E2565*J2565/1000,0)</f>
        <v/>
      </c>
    </row>
    <row r="2566">
      <c r="A2566" t="n">
        <v>2565</v>
      </c>
      <c r="B2566" s="1" t="n">
        <v>45086</v>
      </c>
      <c r="C2566" s="5" t="inlineStr">
        <is>
          <t>M13</t>
        </is>
      </c>
      <c r="D2566" s="5" t="n">
        <v>9</v>
      </c>
      <c r="E2566" s="5" t="n">
        <v>400</v>
      </c>
      <c r="F2566" t="inlineStr">
        <is>
          <t>Поступление</t>
        </is>
      </c>
      <c r="H2566">
        <f>VLOOKUP(C2566,Магазин!$A$2:$C$1000,2,0)</f>
        <v/>
      </c>
      <c r="I2566">
        <f>VLOOKUP(D2566,Товар!$A$2:$F$1000,3,0)</f>
        <v/>
      </c>
      <c r="J2566">
        <f>VLOOKUP(D2566,Товар!$A$2:$F$1000,5,0)</f>
        <v/>
      </c>
      <c r="K2566">
        <f>IF(AND(H2566="Промышленный",LEFT(I2566,18)="Порошок стиральный",F2566="Продажа",B2566=DATE(2023,6,7)),E2566*J2566/1000,0)</f>
        <v/>
      </c>
    </row>
    <row r="2567">
      <c r="A2567" t="n">
        <v>2566</v>
      </c>
      <c r="B2567" s="1" t="n">
        <v>45086</v>
      </c>
      <c r="C2567" s="5" t="inlineStr">
        <is>
          <t>M13</t>
        </is>
      </c>
      <c r="D2567" s="5" t="n">
        <v>10</v>
      </c>
      <c r="E2567" s="5" t="n">
        <v>400</v>
      </c>
      <c r="F2567" t="inlineStr">
        <is>
          <t>Поступление</t>
        </is>
      </c>
      <c r="H2567">
        <f>VLOOKUP(C2567,Магазин!$A$2:$C$1000,2,0)</f>
        <v/>
      </c>
      <c r="I2567">
        <f>VLOOKUP(D2567,Товар!$A$2:$F$1000,3,0)</f>
        <v/>
      </c>
      <c r="J2567">
        <f>VLOOKUP(D2567,Товар!$A$2:$F$1000,5,0)</f>
        <v/>
      </c>
      <c r="K2567">
        <f>IF(AND(H2567="Промышленный",LEFT(I2567,18)="Порошок стиральный",F2567="Продажа",B2567=DATE(2023,6,7)),E2567*J2567/1000,0)</f>
        <v/>
      </c>
    </row>
    <row r="2568">
      <c r="A2568" t="n">
        <v>2567</v>
      </c>
      <c r="B2568" s="1" t="n">
        <v>45086</v>
      </c>
      <c r="C2568" s="5" t="inlineStr">
        <is>
          <t>M13</t>
        </is>
      </c>
      <c r="D2568" s="5" t="n">
        <v>11</v>
      </c>
      <c r="E2568" s="5" t="n">
        <v>400</v>
      </c>
      <c r="F2568" t="inlineStr">
        <is>
          <t>Поступление</t>
        </is>
      </c>
      <c r="H2568">
        <f>VLOOKUP(C2568,Магазин!$A$2:$C$1000,2,0)</f>
        <v/>
      </c>
      <c r="I2568">
        <f>VLOOKUP(D2568,Товар!$A$2:$F$1000,3,0)</f>
        <v/>
      </c>
      <c r="J2568">
        <f>VLOOKUP(D2568,Товар!$A$2:$F$1000,5,0)</f>
        <v/>
      </c>
      <c r="K2568">
        <f>IF(AND(H2568="Промышленный",LEFT(I2568,18)="Порошок стиральный",F2568="Продажа",B2568=DATE(2023,6,7)),E2568*J2568/1000,0)</f>
        <v/>
      </c>
    </row>
    <row r="2569">
      <c r="A2569" t="n">
        <v>2568</v>
      </c>
      <c r="B2569" s="1" t="n">
        <v>45086</v>
      </c>
      <c r="C2569" s="5" t="inlineStr">
        <is>
          <t>M13</t>
        </is>
      </c>
      <c r="D2569" s="5" t="n">
        <v>12</v>
      </c>
      <c r="E2569" s="5" t="n">
        <v>400</v>
      </c>
      <c r="F2569" t="inlineStr">
        <is>
          <t>Поступление</t>
        </is>
      </c>
      <c r="H2569">
        <f>VLOOKUP(C2569,Магазин!$A$2:$C$1000,2,0)</f>
        <v/>
      </c>
      <c r="I2569">
        <f>VLOOKUP(D2569,Товар!$A$2:$F$1000,3,0)</f>
        <v/>
      </c>
      <c r="J2569">
        <f>VLOOKUP(D2569,Товар!$A$2:$F$1000,5,0)</f>
        <v/>
      </c>
      <c r="K2569">
        <f>IF(AND(H2569="Промышленный",LEFT(I2569,18)="Порошок стиральный",F2569="Продажа",B2569=DATE(2023,6,7)),E2569*J2569/1000,0)</f>
        <v/>
      </c>
    </row>
    <row r="2570">
      <c r="A2570" t="n">
        <v>2569</v>
      </c>
      <c r="B2570" s="1" t="n">
        <v>45086</v>
      </c>
      <c r="C2570" s="5" t="inlineStr">
        <is>
          <t>M13</t>
        </is>
      </c>
      <c r="D2570" s="5" t="n">
        <v>13</v>
      </c>
      <c r="E2570" s="5" t="n">
        <v>400</v>
      </c>
      <c r="F2570" t="inlineStr">
        <is>
          <t>Поступление</t>
        </is>
      </c>
      <c r="H2570">
        <f>VLOOKUP(C2570,Магазин!$A$2:$C$1000,2,0)</f>
        <v/>
      </c>
      <c r="I2570">
        <f>VLOOKUP(D2570,Товар!$A$2:$F$1000,3,0)</f>
        <v/>
      </c>
      <c r="J2570">
        <f>VLOOKUP(D2570,Товар!$A$2:$F$1000,5,0)</f>
        <v/>
      </c>
      <c r="K2570">
        <f>IF(AND(H2570="Промышленный",LEFT(I2570,18)="Порошок стиральный",F2570="Продажа",B2570=DATE(2023,6,7)),E2570*J2570/1000,0)</f>
        <v/>
      </c>
    </row>
    <row r="2571">
      <c r="A2571" t="n">
        <v>2570</v>
      </c>
      <c r="B2571" s="1" t="n">
        <v>45086</v>
      </c>
      <c r="C2571" s="5" t="inlineStr">
        <is>
          <t>M13</t>
        </is>
      </c>
      <c r="D2571" s="5" t="n">
        <v>14</v>
      </c>
      <c r="E2571" s="5" t="n">
        <v>400</v>
      </c>
      <c r="F2571" t="inlineStr">
        <is>
          <t>Поступление</t>
        </is>
      </c>
      <c r="H2571">
        <f>VLOOKUP(C2571,Магазин!$A$2:$C$1000,2,0)</f>
        <v/>
      </c>
      <c r="I2571">
        <f>VLOOKUP(D2571,Товар!$A$2:$F$1000,3,0)</f>
        <v/>
      </c>
      <c r="J2571">
        <f>VLOOKUP(D2571,Товар!$A$2:$F$1000,5,0)</f>
        <v/>
      </c>
      <c r="K2571">
        <f>IF(AND(H2571="Промышленный",LEFT(I2571,18)="Порошок стиральный",F2571="Продажа",B2571=DATE(2023,6,7)),E2571*J2571/1000,0)</f>
        <v/>
      </c>
    </row>
    <row r="2572">
      <c r="A2572" t="n">
        <v>2571</v>
      </c>
      <c r="B2572" s="1" t="n">
        <v>45086</v>
      </c>
      <c r="C2572" s="5" t="inlineStr">
        <is>
          <t>M13</t>
        </is>
      </c>
      <c r="D2572" s="5" t="n">
        <v>15</v>
      </c>
      <c r="E2572" s="5" t="n">
        <v>400</v>
      </c>
      <c r="F2572" t="inlineStr">
        <is>
          <t>Поступление</t>
        </is>
      </c>
      <c r="H2572">
        <f>VLOOKUP(C2572,Магазин!$A$2:$C$1000,2,0)</f>
        <v/>
      </c>
      <c r="I2572">
        <f>VLOOKUP(D2572,Товар!$A$2:$F$1000,3,0)</f>
        <v/>
      </c>
      <c r="J2572">
        <f>VLOOKUP(D2572,Товар!$A$2:$F$1000,5,0)</f>
        <v/>
      </c>
      <c r="K2572">
        <f>IF(AND(H2572="Промышленный",LEFT(I2572,18)="Порошок стиральный",F2572="Продажа",B2572=DATE(2023,6,7)),E2572*J2572/1000,0)</f>
        <v/>
      </c>
    </row>
    <row r="2573">
      <c r="A2573" t="n">
        <v>2572</v>
      </c>
      <c r="B2573" s="1" t="n">
        <v>45086</v>
      </c>
      <c r="C2573" s="5" t="inlineStr">
        <is>
          <t>M13</t>
        </is>
      </c>
      <c r="D2573" s="5" t="n">
        <v>16</v>
      </c>
      <c r="E2573" s="5" t="n">
        <v>400</v>
      </c>
      <c r="F2573" t="inlineStr">
        <is>
          <t>Поступление</t>
        </is>
      </c>
      <c r="H2573">
        <f>VLOOKUP(C2573,Магазин!$A$2:$C$1000,2,0)</f>
        <v/>
      </c>
      <c r="I2573">
        <f>VLOOKUP(D2573,Товар!$A$2:$F$1000,3,0)</f>
        <v/>
      </c>
      <c r="J2573">
        <f>VLOOKUP(D2573,Товар!$A$2:$F$1000,5,0)</f>
        <v/>
      </c>
      <c r="K2573">
        <f>IF(AND(H2573="Промышленный",LEFT(I2573,18)="Порошок стиральный",F2573="Продажа",B2573=DATE(2023,6,7)),E2573*J2573/1000,0)</f>
        <v/>
      </c>
    </row>
    <row r="2574">
      <c r="A2574" t="n">
        <v>2573</v>
      </c>
      <c r="B2574" s="1" t="n">
        <v>45086</v>
      </c>
      <c r="C2574" s="5" t="inlineStr">
        <is>
          <t>M13</t>
        </is>
      </c>
      <c r="D2574" s="5" t="n">
        <v>17</v>
      </c>
      <c r="E2574" s="5" t="n">
        <v>400</v>
      </c>
      <c r="F2574" t="inlineStr">
        <is>
          <t>Поступление</t>
        </is>
      </c>
      <c r="H2574">
        <f>VLOOKUP(C2574,Магазин!$A$2:$C$1000,2,0)</f>
        <v/>
      </c>
      <c r="I2574">
        <f>VLOOKUP(D2574,Товар!$A$2:$F$1000,3,0)</f>
        <v/>
      </c>
      <c r="J2574">
        <f>VLOOKUP(D2574,Товар!$A$2:$F$1000,5,0)</f>
        <v/>
      </c>
      <c r="K2574">
        <f>IF(AND(H2574="Промышленный",LEFT(I2574,18)="Порошок стиральный",F2574="Продажа",B2574=DATE(2023,6,7)),E2574*J2574/1000,0)</f>
        <v/>
      </c>
    </row>
    <row r="2575">
      <c r="A2575" t="n">
        <v>2574</v>
      </c>
      <c r="B2575" s="1" t="n">
        <v>45086</v>
      </c>
      <c r="C2575" s="5" t="inlineStr">
        <is>
          <t>M13</t>
        </is>
      </c>
      <c r="D2575" s="5" t="n">
        <v>18</v>
      </c>
      <c r="E2575" s="5" t="n">
        <v>400</v>
      </c>
      <c r="F2575" t="inlineStr">
        <is>
          <t>Поступление</t>
        </is>
      </c>
      <c r="H2575">
        <f>VLOOKUP(C2575,Магазин!$A$2:$C$1000,2,0)</f>
        <v/>
      </c>
      <c r="I2575">
        <f>VLOOKUP(D2575,Товар!$A$2:$F$1000,3,0)</f>
        <v/>
      </c>
      <c r="J2575">
        <f>VLOOKUP(D2575,Товар!$A$2:$F$1000,5,0)</f>
        <v/>
      </c>
      <c r="K2575">
        <f>IF(AND(H2575="Промышленный",LEFT(I2575,18)="Порошок стиральный",F2575="Продажа",B2575=DATE(2023,6,7)),E2575*J2575/1000,0)</f>
        <v/>
      </c>
    </row>
    <row r="2576">
      <c r="A2576" t="n">
        <v>2575</v>
      </c>
      <c r="B2576" s="1" t="n">
        <v>45086</v>
      </c>
      <c r="C2576" s="5" t="inlineStr">
        <is>
          <t>M13</t>
        </is>
      </c>
      <c r="D2576" s="5" t="n">
        <v>19</v>
      </c>
      <c r="E2576" s="5" t="n">
        <v>400</v>
      </c>
      <c r="F2576" t="inlineStr">
        <is>
          <t>Поступление</t>
        </is>
      </c>
      <c r="H2576">
        <f>VLOOKUP(C2576,Магазин!$A$2:$C$1000,2,0)</f>
        <v/>
      </c>
      <c r="I2576">
        <f>VLOOKUP(D2576,Товар!$A$2:$F$1000,3,0)</f>
        <v/>
      </c>
      <c r="J2576">
        <f>VLOOKUP(D2576,Товар!$A$2:$F$1000,5,0)</f>
        <v/>
      </c>
      <c r="K2576">
        <f>IF(AND(H2576="Промышленный",LEFT(I2576,18)="Порошок стиральный",F2576="Продажа",B2576=DATE(2023,6,7)),E2576*J2576/1000,0)</f>
        <v/>
      </c>
    </row>
    <row r="2577">
      <c r="A2577" t="n">
        <v>2576</v>
      </c>
      <c r="B2577" s="1" t="n">
        <v>45086</v>
      </c>
      <c r="C2577" s="5" t="inlineStr">
        <is>
          <t>M13</t>
        </is>
      </c>
      <c r="D2577" s="5" t="n">
        <v>20</v>
      </c>
      <c r="E2577" s="5" t="n">
        <v>400</v>
      </c>
      <c r="F2577" t="inlineStr">
        <is>
          <t>Поступление</t>
        </is>
      </c>
      <c r="H2577">
        <f>VLOOKUP(C2577,Магазин!$A$2:$C$1000,2,0)</f>
        <v/>
      </c>
      <c r="I2577">
        <f>VLOOKUP(D2577,Товар!$A$2:$F$1000,3,0)</f>
        <v/>
      </c>
      <c r="J2577">
        <f>VLOOKUP(D2577,Товар!$A$2:$F$1000,5,0)</f>
        <v/>
      </c>
      <c r="K2577">
        <f>IF(AND(H2577="Промышленный",LEFT(I2577,18)="Порошок стиральный",F2577="Продажа",B2577=DATE(2023,6,7)),E2577*J2577/1000,0)</f>
        <v/>
      </c>
    </row>
    <row r="2578">
      <c r="A2578" t="n">
        <v>2577</v>
      </c>
      <c r="B2578" s="1" t="n">
        <v>45086</v>
      </c>
      <c r="C2578" s="5" t="inlineStr">
        <is>
          <t>M13</t>
        </is>
      </c>
      <c r="D2578" s="5" t="n">
        <v>21</v>
      </c>
      <c r="E2578" s="5" t="n">
        <v>400</v>
      </c>
      <c r="F2578" t="inlineStr">
        <is>
          <t>Поступление</t>
        </is>
      </c>
      <c r="H2578">
        <f>VLOOKUP(C2578,Магазин!$A$2:$C$1000,2,0)</f>
        <v/>
      </c>
      <c r="I2578">
        <f>VLOOKUP(D2578,Товар!$A$2:$F$1000,3,0)</f>
        <v/>
      </c>
      <c r="J2578">
        <f>VLOOKUP(D2578,Товар!$A$2:$F$1000,5,0)</f>
        <v/>
      </c>
      <c r="K2578">
        <f>IF(AND(H2578="Промышленный",LEFT(I2578,18)="Порошок стиральный",F2578="Продажа",B2578=DATE(2023,6,7)),E2578*J2578/1000,0)</f>
        <v/>
      </c>
    </row>
    <row r="2579">
      <c r="A2579" t="n">
        <v>2578</v>
      </c>
      <c r="B2579" s="1" t="n">
        <v>45086</v>
      </c>
      <c r="C2579" s="5" t="inlineStr">
        <is>
          <t>M13</t>
        </is>
      </c>
      <c r="D2579" s="5" t="n">
        <v>22</v>
      </c>
      <c r="E2579" s="5" t="n">
        <v>400</v>
      </c>
      <c r="F2579" t="inlineStr">
        <is>
          <t>Поступление</t>
        </is>
      </c>
      <c r="H2579">
        <f>VLOOKUP(C2579,Магазин!$A$2:$C$1000,2,0)</f>
        <v/>
      </c>
      <c r="I2579">
        <f>VLOOKUP(D2579,Товар!$A$2:$F$1000,3,0)</f>
        <v/>
      </c>
      <c r="J2579">
        <f>VLOOKUP(D2579,Товар!$A$2:$F$1000,5,0)</f>
        <v/>
      </c>
      <c r="K2579">
        <f>IF(AND(H2579="Промышленный",LEFT(I2579,18)="Порошок стиральный",F2579="Продажа",B2579=DATE(2023,6,7)),E2579*J2579/1000,0)</f>
        <v/>
      </c>
    </row>
    <row r="2580">
      <c r="A2580" t="n">
        <v>2579</v>
      </c>
      <c r="B2580" s="1" t="n">
        <v>45086</v>
      </c>
      <c r="C2580" s="5" t="inlineStr">
        <is>
          <t>M13</t>
        </is>
      </c>
      <c r="D2580" s="5" t="n">
        <v>23</v>
      </c>
      <c r="E2580" s="5" t="n">
        <v>400</v>
      </c>
      <c r="F2580" t="inlineStr">
        <is>
          <t>Поступление</t>
        </is>
      </c>
      <c r="H2580">
        <f>VLOOKUP(C2580,Магазин!$A$2:$C$1000,2,0)</f>
        <v/>
      </c>
      <c r="I2580">
        <f>VLOOKUP(D2580,Товар!$A$2:$F$1000,3,0)</f>
        <v/>
      </c>
      <c r="J2580">
        <f>VLOOKUP(D2580,Товар!$A$2:$F$1000,5,0)</f>
        <v/>
      </c>
      <c r="K2580">
        <f>IF(AND(H2580="Промышленный",LEFT(I2580,18)="Порошок стиральный",F2580="Продажа",B2580=DATE(2023,6,7)),E2580*J2580/1000,0)</f>
        <v/>
      </c>
    </row>
    <row r="2581">
      <c r="A2581" t="n">
        <v>2580</v>
      </c>
      <c r="B2581" s="1" t="n">
        <v>45086</v>
      </c>
      <c r="C2581" s="5" t="inlineStr">
        <is>
          <t>M13</t>
        </is>
      </c>
      <c r="D2581" s="5" t="n">
        <v>24</v>
      </c>
      <c r="E2581" s="5" t="n">
        <v>400</v>
      </c>
      <c r="F2581" t="inlineStr">
        <is>
          <t>Поступление</t>
        </is>
      </c>
      <c r="H2581">
        <f>VLOOKUP(C2581,Магазин!$A$2:$C$1000,2,0)</f>
        <v/>
      </c>
      <c r="I2581">
        <f>VLOOKUP(D2581,Товар!$A$2:$F$1000,3,0)</f>
        <v/>
      </c>
      <c r="J2581">
        <f>VLOOKUP(D2581,Товар!$A$2:$F$1000,5,0)</f>
        <v/>
      </c>
      <c r="K2581">
        <f>IF(AND(H2581="Промышленный",LEFT(I2581,18)="Порошок стиральный",F2581="Продажа",B2581=DATE(2023,6,7)),E2581*J2581/1000,0)</f>
        <v/>
      </c>
    </row>
    <row r="2582">
      <c r="A2582" t="n">
        <v>2581</v>
      </c>
      <c r="B2582" s="1" t="n">
        <v>45086</v>
      </c>
      <c r="C2582" s="5" t="inlineStr">
        <is>
          <t>M13</t>
        </is>
      </c>
      <c r="D2582" s="5" t="n">
        <v>25</v>
      </c>
      <c r="E2582" s="5" t="n">
        <v>400</v>
      </c>
      <c r="F2582" t="inlineStr">
        <is>
          <t>Поступление</t>
        </is>
      </c>
      <c r="H2582">
        <f>VLOOKUP(C2582,Магазин!$A$2:$C$1000,2,0)</f>
        <v/>
      </c>
      <c r="I2582">
        <f>VLOOKUP(D2582,Товар!$A$2:$F$1000,3,0)</f>
        <v/>
      </c>
      <c r="J2582">
        <f>VLOOKUP(D2582,Товар!$A$2:$F$1000,5,0)</f>
        <v/>
      </c>
      <c r="K2582">
        <f>IF(AND(H2582="Промышленный",LEFT(I2582,18)="Порошок стиральный",F2582="Продажа",B2582=DATE(2023,6,7)),E2582*J2582/1000,0)</f>
        <v/>
      </c>
    </row>
    <row r="2583">
      <c r="A2583" t="n">
        <v>2582</v>
      </c>
      <c r="B2583" s="1" t="n">
        <v>45086</v>
      </c>
      <c r="C2583" s="5" t="inlineStr">
        <is>
          <t>M13</t>
        </is>
      </c>
      <c r="D2583" s="5" t="n">
        <v>26</v>
      </c>
      <c r="E2583" s="5" t="n">
        <v>400</v>
      </c>
      <c r="F2583" t="inlineStr">
        <is>
          <t>Поступление</t>
        </is>
      </c>
      <c r="H2583">
        <f>VLOOKUP(C2583,Магазин!$A$2:$C$1000,2,0)</f>
        <v/>
      </c>
      <c r="I2583">
        <f>VLOOKUP(D2583,Товар!$A$2:$F$1000,3,0)</f>
        <v/>
      </c>
      <c r="J2583">
        <f>VLOOKUP(D2583,Товар!$A$2:$F$1000,5,0)</f>
        <v/>
      </c>
      <c r="K2583">
        <f>IF(AND(H2583="Промышленный",LEFT(I2583,18)="Порошок стиральный",F2583="Продажа",B2583=DATE(2023,6,7)),E2583*J2583/1000,0)</f>
        <v/>
      </c>
    </row>
    <row r="2584">
      <c r="A2584" t="n">
        <v>2583</v>
      </c>
      <c r="B2584" s="1" t="n">
        <v>45086</v>
      </c>
      <c r="C2584" s="5" t="inlineStr">
        <is>
          <t>M13</t>
        </is>
      </c>
      <c r="D2584" s="5" t="n">
        <v>27</v>
      </c>
      <c r="E2584" s="5" t="n">
        <v>400</v>
      </c>
      <c r="F2584" t="inlineStr">
        <is>
          <t>Поступление</t>
        </is>
      </c>
      <c r="H2584">
        <f>VLOOKUP(C2584,Магазин!$A$2:$C$1000,2,0)</f>
        <v/>
      </c>
      <c r="I2584">
        <f>VLOOKUP(D2584,Товар!$A$2:$F$1000,3,0)</f>
        <v/>
      </c>
      <c r="J2584">
        <f>VLOOKUP(D2584,Товар!$A$2:$F$1000,5,0)</f>
        <v/>
      </c>
      <c r="K2584">
        <f>IF(AND(H2584="Промышленный",LEFT(I2584,18)="Порошок стиральный",F2584="Продажа",B2584=DATE(2023,6,7)),E2584*J2584/1000,0)</f>
        <v/>
      </c>
    </row>
    <row r="2585">
      <c r="A2585" t="n">
        <v>2584</v>
      </c>
      <c r="B2585" s="1" t="n">
        <v>45086</v>
      </c>
      <c r="C2585" s="5" t="inlineStr">
        <is>
          <t>M13</t>
        </is>
      </c>
      <c r="D2585" s="5" t="n">
        <v>28</v>
      </c>
      <c r="E2585" s="5" t="n">
        <v>400</v>
      </c>
      <c r="F2585" t="inlineStr">
        <is>
          <t>Поступление</t>
        </is>
      </c>
      <c r="H2585">
        <f>VLOOKUP(C2585,Магазин!$A$2:$C$1000,2,0)</f>
        <v/>
      </c>
      <c r="I2585">
        <f>VLOOKUP(D2585,Товар!$A$2:$F$1000,3,0)</f>
        <v/>
      </c>
      <c r="J2585">
        <f>VLOOKUP(D2585,Товар!$A$2:$F$1000,5,0)</f>
        <v/>
      </c>
      <c r="K2585">
        <f>IF(AND(H2585="Промышленный",LEFT(I2585,18)="Порошок стиральный",F2585="Продажа",B2585=DATE(2023,6,7)),E2585*J2585/1000,0)</f>
        <v/>
      </c>
    </row>
    <row r="2586">
      <c r="A2586" t="n">
        <v>2585</v>
      </c>
      <c r="B2586" s="1" t="n">
        <v>45086</v>
      </c>
      <c r="C2586" s="5" t="inlineStr">
        <is>
          <t>M13</t>
        </is>
      </c>
      <c r="D2586" s="5" t="n">
        <v>29</v>
      </c>
      <c r="E2586" s="5" t="n">
        <v>400</v>
      </c>
      <c r="F2586" t="inlineStr">
        <is>
          <t>Поступление</t>
        </is>
      </c>
      <c r="H2586">
        <f>VLOOKUP(C2586,Магазин!$A$2:$C$1000,2,0)</f>
        <v/>
      </c>
      <c r="I2586">
        <f>VLOOKUP(D2586,Товар!$A$2:$F$1000,3,0)</f>
        <v/>
      </c>
      <c r="J2586">
        <f>VLOOKUP(D2586,Товар!$A$2:$F$1000,5,0)</f>
        <v/>
      </c>
      <c r="K2586">
        <f>IF(AND(H2586="Промышленный",LEFT(I2586,18)="Порошок стиральный",F2586="Продажа",B2586=DATE(2023,6,7)),E2586*J2586/1000,0)</f>
        <v/>
      </c>
    </row>
    <row r="2587">
      <c r="A2587" t="n">
        <v>2586</v>
      </c>
      <c r="B2587" s="1" t="n">
        <v>45086</v>
      </c>
      <c r="C2587" s="5" t="inlineStr">
        <is>
          <t>M13</t>
        </is>
      </c>
      <c r="D2587" s="5" t="n">
        <v>30</v>
      </c>
      <c r="E2587" s="5" t="n">
        <v>400</v>
      </c>
      <c r="F2587" t="inlineStr">
        <is>
          <t>Поступление</t>
        </is>
      </c>
      <c r="H2587">
        <f>VLOOKUP(C2587,Магазин!$A$2:$C$1000,2,0)</f>
        <v/>
      </c>
      <c r="I2587">
        <f>VLOOKUP(D2587,Товар!$A$2:$F$1000,3,0)</f>
        <v/>
      </c>
      <c r="J2587">
        <f>VLOOKUP(D2587,Товар!$A$2:$F$1000,5,0)</f>
        <v/>
      </c>
      <c r="K2587">
        <f>IF(AND(H2587="Промышленный",LEFT(I2587,18)="Порошок стиральный",F2587="Продажа",B2587=DATE(2023,6,7)),E2587*J2587/1000,0)</f>
        <v/>
      </c>
    </row>
    <row r="2588">
      <c r="A2588" t="n">
        <v>2587</v>
      </c>
      <c r="B2588" s="1" t="n">
        <v>45086</v>
      </c>
      <c r="C2588" s="5" t="inlineStr">
        <is>
          <t>M13</t>
        </is>
      </c>
      <c r="D2588" s="5" t="n">
        <v>31</v>
      </c>
      <c r="E2588" s="5" t="n">
        <v>400</v>
      </c>
      <c r="F2588" t="inlineStr">
        <is>
          <t>Поступление</t>
        </is>
      </c>
      <c r="H2588">
        <f>VLOOKUP(C2588,Магазин!$A$2:$C$1000,2,0)</f>
        <v/>
      </c>
      <c r="I2588">
        <f>VLOOKUP(D2588,Товар!$A$2:$F$1000,3,0)</f>
        <v/>
      </c>
      <c r="J2588">
        <f>VLOOKUP(D2588,Товар!$A$2:$F$1000,5,0)</f>
        <v/>
      </c>
      <c r="K2588">
        <f>IF(AND(H2588="Промышленный",LEFT(I2588,18)="Порошок стиральный",F2588="Продажа",B2588=DATE(2023,6,7)),E2588*J2588/1000,0)</f>
        <v/>
      </c>
    </row>
    <row r="2589">
      <c r="A2589" t="n">
        <v>2588</v>
      </c>
      <c r="B2589" s="1" t="n">
        <v>45086</v>
      </c>
      <c r="C2589" s="5" t="inlineStr">
        <is>
          <t>M13</t>
        </is>
      </c>
      <c r="D2589" s="5" t="n">
        <v>32</v>
      </c>
      <c r="E2589" s="5" t="n">
        <v>400</v>
      </c>
      <c r="F2589" t="inlineStr">
        <is>
          <t>Поступление</t>
        </is>
      </c>
      <c r="H2589">
        <f>VLOOKUP(C2589,Магазин!$A$2:$C$1000,2,0)</f>
        <v/>
      </c>
      <c r="I2589">
        <f>VLOOKUP(D2589,Товар!$A$2:$F$1000,3,0)</f>
        <v/>
      </c>
      <c r="J2589">
        <f>VLOOKUP(D2589,Товар!$A$2:$F$1000,5,0)</f>
        <v/>
      </c>
      <c r="K2589">
        <f>IF(AND(H2589="Промышленный",LEFT(I2589,18)="Порошок стиральный",F2589="Продажа",B2589=DATE(2023,6,7)),E2589*J2589/1000,0)</f>
        <v/>
      </c>
    </row>
    <row r="2590">
      <c r="A2590" t="n">
        <v>2589</v>
      </c>
      <c r="B2590" s="1" t="n">
        <v>45086</v>
      </c>
      <c r="C2590" s="5" t="inlineStr">
        <is>
          <t>M13</t>
        </is>
      </c>
      <c r="D2590" s="5" t="n">
        <v>33</v>
      </c>
      <c r="E2590" s="5" t="n">
        <v>400</v>
      </c>
      <c r="F2590" t="inlineStr">
        <is>
          <t>Поступление</t>
        </is>
      </c>
      <c r="H2590">
        <f>VLOOKUP(C2590,Магазин!$A$2:$C$1000,2,0)</f>
        <v/>
      </c>
      <c r="I2590">
        <f>VLOOKUP(D2590,Товар!$A$2:$F$1000,3,0)</f>
        <v/>
      </c>
      <c r="J2590">
        <f>VLOOKUP(D2590,Товар!$A$2:$F$1000,5,0)</f>
        <v/>
      </c>
      <c r="K2590">
        <f>IF(AND(H2590="Промышленный",LEFT(I2590,18)="Порошок стиральный",F2590="Продажа",B2590=DATE(2023,6,7)),E2590*J2590/1000,0)</f>
        <v/>
      </c>
    </row>
    <row r="2591">
      <c r="A2591" t="n">
        <v>2590</v>
      </c>
      <c r="B2591" s="1" t="n">
        <v>45086</v>
      </c>
      <c r="C2591" s="5" t="inlineStr">
        <is>
          <t>M13</t>
        </is>
      </c>
      <c r="D2591" s="5" t="n">
        <v>34</v>
      </c>
      <c r="E2591" s="5" t="n">
        <v>400</v>
      </c>
      <c r="F2591" t="inlineStr">
        <is>
          <t>Поступление</t>
        </is>
      </c>
      <c r="H2591">
        <f>VLOOKUP(C2591,Магазин!$A$2:$C$1000,2,0)</f>
        <v/>
      </c>
      <c r="I2591">
        <f>VLOOKUP(D2591,Товар!$A$2:$F$1000,3,0)</f>
        <v/>
      </c>
      <c r="J2591">
        <f>VLOOKUP(D2591,Товар!$A$2:$F$1000,5,0)</f>
        <v/>
      </c>
      <c r="K2591">
        <f>IF(AND(H2591="Промышленный",LEFT(I2591,18)="Порошок стиральный",F2591="Продажа",B2591=DATE(2023,6,7)),E2591*J2591/1000,0)</f>
        <v/>
      </c>
    </row>
    <row r="2592">
      <c r="A2592" t="n">
        <v>2591</v>
      </c>
      <c r="B2592" s="1" t="n">
        <v>45086</v>
      </c>
      <c r="C2592" s="5" t="inlineStr">
        <is>
          <t>M13</t>
        </is>
      </c>
      <c r="D2592" s="5" t="n">
        <v>35</v>
      </c>
      <c r="E2592" s="5" t="n">
        <v>400</v>
      </c>
      <c r="F2592" t="inlineStr">
        <is>
          <t>Поступление</t>
        </is>
      </c>
      <c r="H2592">
        <f>VLOOKUP(C2592,Магазин!$A$2:$C$1000,2,0)</f>
        <v/>
      </c>
      <c r="I2592">
        <f>VLOOKUP(D2592,Товар!$A$2:$F$1000,3,0)</f>
        <v/>
      </c>
      <c r="J2592">
        <f>VLOOKUP(D2592,Товар!$A$2:$F$1000,5,0)</f>
        <v/>
      </c>
      <c r="K2592">
        <f>IF(AND(H2592="Промышленный",LEFT(I2592,18)="Порошок стиральный",F2592="Продажа",B2592=DATE(2023,6,7)),E2592*J2592/1000,0)</f>
        <v/>
      </c>
    </row>
    <row r="2593">
      <c r="A2593" t="n">
        <v>2592</v>
      </c>
      <c r="B2593" s="1" t="n">
        <v>45086</v>
      </c>
      <c r="C2593" s="5" t="inlineStr">
        <is>
          <t>M13</t>
        </is>
      </c>
      <c r="D2593" s="5" t="n">
        <v>36</v>
      </c>
      <c r="E2593" s="5" t="n">
        <v>400</v>
      </c>
      <c r="F2593" t="inlineStr">
        <is>
          <t>Поступление</t>
        </is>
      </c>
      <c r="H2593">
        <f>VLOOKUP(C2593,Магазин!$A$2:$C$1000,2,0)</f>
        <v/>
      </c>
      <c r="I2593">
        <f>VLOOKUP(D2593,Товар!$A$2:$F$1000,3,0)</f>
        <v/>
      </c>
      <c r="J2593">
        <f>VLOOKUP(D2593,Товар!$A$2:$F$1000,5,0)</f>
        <v/>
      </c>
      <c r="K2593">
        <f>IF(AND(H2593="Промышленный",LEFT(I2593,18)="Порошок стиральный",F2593="Продажа",B2593=DATE(2023,6,7)),E2593*J2593/1000,0)</f>
        <v/>
      </c>
    </row>
    <row r="2594">
      <c r="A2594" t="n">
        <v>2593</v>
      </c>
      <c r="B2594" s="1" t="n">
        <v>45086</v>
      </c>
      <c r="C2594" s="5" t="inlineStr">
        <is>
          <t>M16</t>
        </is>
      </c>
      <c r="D2594" s="5" t="n">
        <v>1</v>
      </c>
      <c r="E2594" s="5" t="n">
        <v>400</v>
      </c>
      <c r="F2594" t="inlineStr">
        <is>
          <t>Поступление</t>
        </is>
      </c>
      <c r="H2594">
        <f>VLOOKUP(C2594,Магазин!$A$2:$C$1000,2,0)</f>
        <v/>
      </c>
      <c r="I2594">
        <f>VLOOKUP(D2594,Товар!$A$2:$F$1000,3,0)</f>
        <v/>
      </c>
      <c r="J2594">
        <f>VLOOKUP(D2594,Товар!$A$2:$F$1000,5,0)</f>
        <v/>
      </c>
      <c r="K2594">
        <f>IF(AND(H2594="Промышленный",LEFT(I2594,18)="Порошок стиральный",F2594="Продажа",B2594=DATE(2023,6,7)),E2594*J2594/1000,0)</f>
        <v/>
      </c>
    </row>
    <row r="2595">
      <c r="A2595" t="n">
        <v>2594</v>
      </c>
      <c r="B2595" s="1" t="n">
        <v>45086</v>
      </c>
      <c r="C2595" s="5" t="inlineStr">
        <is>
          <t>M16</t>
        </is>
      </c>
      <c r="D2595" s="5" t="n">
        <v>2</v>
      </c>
      <c r="E2595" s="5" t="n">
        <v>400</v>
      </c>
      <c r="F2595" t="inlineStr">
        <is>
          <t>Поступление</t>
        </is>
      </c>
      <c r="H2595">
        <f>VLOOKUP(C2595,Магазин!$A$2:$C$1000,2,0)</f>
        <v/>
      </c>
      <c r="I2595">
        <f>VLOOKUP(D2595,Товар!$A$2:$F$1000,3,0)</f>
        <v/>
      </c>
      <c r="J2595">
        <f>VLOOKUP(D2595,Товар!$A$2:$F$1000,5,0)</f>
        <v/>
      </c>
      <c r="K2595">
        <f>IF(AND(H2595="Промышленный",LEFT(I2595,18)="Порошок стиральный",F2595="Продажа",B2595=DATE(2023,6,7)),E2595*J2595/1000,0)</f>
        <v/>
      </c>
    </row>
    <row r="2596">
      <c r="A2596" t="n">
        <v>2595</v>
      </c>
      <c r="B2596" s="1" t="n">
        <v>45086</v>
      </c>
      <c r="C2596" s="5" t="inlineStr">
        <is>
          <t>M16</t>
        </is>
      </c>
      <c r="D2596" s="5" t="n">
        <v>3</v>
      </c>
      <c r="E2596" s="5" t="n">
        <v>400</v>
      </c>
      <c r="F2596" t="inlineStr">
        <is>
          <t>Поступление</t>
        </is>
      </c>
      <c r="H2596">
        <f>VLOOKUP(C2596,Магазин!$A$2:$C$1000,2,0)</f>
        <v/>
      </c>
      <c r="I2596">
        <f>VLOOKUP(D2596,Товар!$A$2:$F$1000,3,0)</f>
        <v/>
      </c>
      <c r="J2596">
        <f>VLOOKUP(D2596,Товар!$A$2:$F$1000,5,0)</f>
        <v/>
      </c>
      <c r="K2596">
        <f>IF(AND(H2596="Промышленный",LEFT(I2596,18)="Порошок стиральный",F2596="Продажа",B2596=DATE(2023,6,7)),E2596*J2596/1000,0)</f>
        <v/>
      </c>
    </row>
    <row r="2597">
      <c r="A2597" t="n">
        <v>2596</v>
      </c>
      <c r="B2597" s="1" t="n">
        <v>45086</v>
      </c>
      <c r="C2597" s="5" t="inlineStr">
        <is>
          <t>M16</t>
        </is>
      </c>
      <c r="D2597" s="5" t="n">
        <v>4</v>
      </c>
      <c r="E2597" s="5" t="n">
        <v>400</v>
      </c>
      <c r="F2597" t="inlineStr">
        <is>
          <t>Поступление</t>
        </is>
      </c>
      <c r="H2597">
        <f>VLOOKUP(C2597,Магазин!$A$2:$C$1000,2,0)</f>
        <v/>
      </c>
      <c r="I2597">
        <f>VLOOKUP(D2597,Товар!$A$2:$F$1000,3,0)</f>
        <v/>
      </c>
      <c r="J2597">
        <f>VLOOKUP(D2597,Товар!$A$2:$F$1000,5,0)</f>
        <v/>
      </c>
      <c r="K2597">
        <f>IF(AND(H2597="Промышленный",LEFT(I2597,18)="Порошок стиральный",F2597="Продажа",B2597=DATE(2023,6,7)),E2597*J2597/1000,0)</f>
        <v/>
      </c>
    </row>
    <row r="2598">
      <c r="A2598" t="n">
        <v>2597</v>
      </c>
      <c r="B2598" s="1" t="n">
        <v>45086</v>
      </c>
      <c r="C2598" s="5" t="inlineStr">
        <is>
          <t>M16</t>
        </is>
      </c>
      <c r="D2598" s="5" t="n">
        <v>5</v>
      </c>
      <c r="E2598" s="5" t="n">
        <v>400</v>
      </c>
      <c r="F2598" t="inlineStr">
        <is>
          <t>Поступление</t>
        </is>
      </c>
      <c r="H2598">
        <f>VLOOKUP(C2598,Магазин!$A$2:$C$1000,2,0)</f>
        <v/>
      </c>
      <c r="I2598">
        <f>VLOOKUP(D2598,Товар!$A$2:$F$1000,3,0)</f>
        <v/>
      </c>
      <c r="J2598">
        <f>VLOOKUP(D2598,Товар!$A$2:$F$1000,5,0)</f>
        <v/>
      </c>
      <c r="K2598">
        <f>IF(AND(H2598="Промышленный",LEFT(I2598,18)="Порошок стиральный",F2598="Продажа",B2598=DATE(2023,6,7)),E2598*J2598/1000,0)</f>
        <v/>
      </c>
    </row>
    <row r="2599">
      <c r="A2599" t="n">
        <v>2598</v>
      </c>
      <c r="B2599" s="1" t="n">
        <v>45086</v>
      </c>
      <c r="C2599" s="5" t="inlineStr">
        <is>
          <t>M16</t>
        </is>
      </c>
      <c r="D2599" s="5" t="n">
        <v>6</v>
      </c>
      <c r="E2599" s="5" t="n">
        <v>400</v>
      </c>
      <c r="F2599" t="inlineStr">
        <is>
          <t>Поступление</t>
        </is>
      </c>
      <c r="H2599">
        <f>VLOOKUP(C2599,Магазин!$A$2:$C$1000,2,0)</f>
        <v/>
      </c>
      <c r="I2599">
        <f>VLOOKUP(D2599,Товар!$A$2:$F$1000,3,0)</f>
        <v/>
      </c>
      <c r="J2599">
        <f>VLOOKUP(D2599,Товар!$A$2:$F$1000,5,0)</f>
        <v/>
      </c>
      <c r="K2599">
        <f>IF(AND(H2599="Промышленный",LEFT(I2599,18)="Порошок стиральный",F2599="Продажа",B2599=DATE(2023,6,7)),E2599*J2599/1000,0)</f>
        <v/>
      </c>
    </row>
    <row r="2600">
      <c r="A2600" t="n">
        <v>2599</v>
      </c>
      <c r="B2600" s="1" t="n">
        <v>45086</v>
      </c>
      <c r="C2600" s="5" t="inlineStr">
        <is>
          <t>M16</t>
        </is>
      </c>
      <c r="D2600" s="5" t="n">
        <v>7</v>
      </c>
      <c r="E2600" s="5" t="n">
        <v>400</v>
      </c>
      <c r="F2600" t="inlineStr">
        <is>
          <t>Поступление</t>
        </is>
      </c>
      <c r="H2600">
        <f>VLOOKUP(C2600,Магазин!$A$2:$C$1000,2,0)</f>
        <v/>
      </c>
      <c r="I2600">
        <f>VLOOKUP(D2600,Товар!$A$2:$F$1000,3,0)</f>
        <v/>
      </c>
      <c r="J2600">
        <f>VLOOKUP(D2600,Товар!$A$2:$F$1000,5,0)</f>
        <v/>
      </c>
      <c r="K2600">
        <f>IF(AND(H2600="Промышленный",LEFT(I2600,18)="Порошок стиральный",F2600="Продажа",B2600=DATE(2023,6,7)),E2600*J2600/1000,0)</f>
        <v/>
      </c>
    </row>
    <row r="2601">
      <c r="A2601" t="n">
        <v>2600</v>
      </c>
      <c r="B2601" s="1" t="n">
        <v>45086</v>
      </c>
      <c r="C2601" s="5" t="inlineStr">
        <is>
          <t>M16</t>
        </is>
      </c>
      <c r="D2601" s="5" t="n">
        <v>8</v>
      </c>
      <c r="E2601" s="5" t="n">
        <v>400</v>
      </c>
      <c r="F2601" t="inlineStr">
        <is>
          <t>Поступление</t>
        </is>
      </c>
      <c r="H2601">
        <f>VLOOKUP(C2601,Магазин!$A$2:$C$1000,2,0)</f>
        <v/>
      </c>
      <c r="I2601">
        <f>VLOOKUP(D2601,Товар!$A$2:$F$1000,3,0)</f>
        <v/>
      </c>
      <c r="J2601">
        <f>VLOOKUP(D2601,Товар!$A$2:$F$1000,5,0)</f>
        <v/>
      </c>
      <c r="K2601">
        <f>IF(AND(H2601="Промышленный",LEFT(I2601,18)="Порошок стиральный",F2601="Продажа",B2601=DATE(2023,6,7)),E2601*J2601/1000,0)</f>
        <v/>
      </c>
    </row>
    <row r="2602">
      <c r="A2602" t="n">
        <v>2601</v>
      </c>
      <c r="B2602" s="1" t="n">
        <v>45086</v>
      </c>
      <c r="C2602" s="5" t="inlineStr">
        <is>
          <t>M16</t>
        </is>
      </c>
      <c r="D2602" s="5" t="n">
        <v>9</v>
      </c>
      <c r="E2602" s="5" t="n">
        <v>400</v>
      </c>
      <c r="F2602" t="inlineStr">
        <is>
          <t>Поступление</t>
        </is>
      </c>
      <c r="H2602">
        <f>VLOOKUP(C2602,Магазин!$A$2:$C$1000,2,0)</f>
        <v/>
      </c>
      <c r="I2602">
        <f>VLOOKUP(D2602,Товар!$A$2:$F$1000,3,0)</f>
        <v/>
      </c>
      <c r="J2602">
        <f>VLOOKUP(D2602,Товар!$A$2:$F$1000,5,0)</f>
        <v/>
      </c>
      <c r="K2602">
        <f>IF(AND(H2602="Промышленный",LEFT(I2602,18)="Порошок стиральный",F2602="Продажа",B2602=DATE(2023,6,7)),E2602*J2602/1000,0)</f>
        <v/>
      </c>
    </row>
    <row r="2603">
      <c r="A2603" t="n">
        <v>2602</v>
      </c>
      <c r="B2603" s="1" t="n">
        <v>45086</v>
      </c>
      <c r="C2603" s="5" t="inlineStr">
        <is>
          <t>M16</t>
        </is>
      </c>
      <c r="D2603" s="5" t="n">
        <v>10</v>
      </c>
      <c r="E2603" s="5" t="n">
        <v>400</v>
      </c>
      <c r="F2603" t="inlineStr">
        <is>
          <t>Поступление</t>
        </is>
      </c>
      <c r="H2603">
        <f>VLOOKUP(C2603,Магазин!$A$2:$C$1000,2,0)</f>
        <v/>
      </c>
      <c r="I2603">
        <f>VLOOKUP(D2603,Товар!$A$2:$F$1000,3,0)</f>
        <v/>
      </c>
      <c r="J2603">
        <f>VLOOKUP(D2603,Товар!$A$2:$F$1000,5,0)</f>
        <v/>
      </c>
      <c r="K2603">
        <f>IF(AND(H2603="Промышленный",LEFT(I2603,18)="Порошок стиральный",F2603="Продажа",B2603=DATE(2023,6,7)),E2603*J2603/1000,0)</f>
        <v/>
      </c>
    </row>
    <row r="2604">
      <c r="A2604" t="n">
        <v>2603</v>
      </c>
      <c r="B2604" s="1" t="n">
        <v>45086</v>
      </c>
      <c r="C2604" s="5" t="inlineStr">
        <is>
          <t>M16</t>
        </is>
      </c>
      <c r="D2604" s="5" t="n">
        <v>11</v>
      </c>
      <c r="E2604" s="5" t="n">
        <v>400</v>
      </c>
      <c r="F2604" t="inlineStr">
        <is>
          <t>Поступление</t>
        </is>
      </c>
      <c r="H2604">
        <f>VLOOKUP(C2604,Магазин!$A$2:$C$1000,2,0)</f>
        <v/>
      </c>
      <c r="I2604">
        <f>VLOOKUP(D2604,Товар!$A$2:$F$1000,3,0)</f>
        <v/>
      </c>
      <c r="J2604">
        <f>VLOOKUP(D2604,Товар!$A$2:$F$1000,5,0)</f>
        <v/>
      </c>
      <c r="K2604">
        <f>IF(AND(H2604="Промышленный",LEFT(I2604,18)="Порошок стиральный",F2604="Продажа",B2604=DATE(2023,6,7)),E2604*J2604/1000,0)</f>
        <v/>
      </c>
    </row>
    <row r="2605">
      <c r="A2605" t="n">
        <v>2604</v>
      </c>
      <c r="B2605" s="1" t="n">
        <v>45086</v>
      </c>
      <c r="C2605" s="5" t="inlineStr">
        <is>
          <t>M16</t>
        </is>
      </c>
      <c r="D2605" s="5" t="n">
        <v>12</v>
      </c>
      <c r="E2605" s="5" t="n">
        <v>400</v>
      </c>
      <c r="F2605" t="inlineStr">
        <is>
          <t>Поступление</t>
        </is>
      </c>
      <c r="H2605">
        <f>VLOOKUP(C2605,Магазин!$A$2:$C$1000,2,0)</f>
        <v/>
      </c>
      <c r="I2605">
        <f>VLOOKUP(D2605,Товар!$A$2:$F$1000,3,0)</f>
        <v/>
      </c>
      <c r="J2605">
        <f>VLOOKUP(D2605,Товар!$A$2:$F$1000,5,0)</f>
        <v/>
      </c>
      <c r="K2605">
        <f>IF(AND(H2605="Промышленный",LEFT(I2605,18)="Порошок стиральный",F2605="Продажа",B2605=DATE(2023,6,7)),E2605*J2605/1000,0)</f>
        <v/>
      </c>
    </row>
    <row r="2606">
      <c r="A2606" t="n">
        <v>2605</v>
      </c>
      <c r="B2606" s="1" t="n">
        <v>45086</v>
      </c>
      <c r="C2606" s="5" t="inlineStr">
        <is>
          <t>M16</t>
        </is>
      </c>
      <c r="D2606" s="5" t="n">
        <v>13</v>
      </c>
      <c r="E2606" s="5" t="n">
        <v>400</v>
      </c>
      <c r="F2606" t="inlineStr">
        <is>
          <t>Поступление</t>
        </is>
      </c>
      <c r="H2606">
        <f>VLOOKUP(C2606,Магазин!$A$2:$C$1000,2,0)</f>
        <v/>
      </c>
      <c r="I2606">
        <f>VLOOKUP(D2606,Товар!$A$2:$F$1000,3,0)</f>
        <v/>
      </c>
      <c r="J2606">
        <f>VLOOKUP(D2606,Товар!$A$2:$F$1000,5,0)</f>
        <v/>
      </c>
      <c r="K2606">
        <f>IF(AND(H2606="Промышленный",LEFT(I2606,18)="Порошок стиральный",F2606="Продажа",B2606=DATE(2023,6,7)),E2606*J2606/1000,0)</f>
        <v/>
      </c>
    </row>
    <row r="2607">
      <c r="A2607" t="n">
        <v>2606</v>
      </c>
      <c r="B2607" s="1" t="n">
        <v>45086</v>
      </c>
      <c r="C2607" s="5" t="inlineStr">
        <is>
          <t>M16</t>
        </is>
      </c>
      <c r="D2607" s="5" t="n">
        <v>14</v>
      </c>
      <c r="E2607" s="5" t="n">
        <v>400</v>
      </c>
      <c r="F2607" t="inlineStr">
        <is>
          <t>Поступление</t>
        </is>
      </c>
      <c r="H2607">
        <f>VLOOKUP(C2607,Магазин!$A$2:$C$1000,2,0)</f>
        <v/>
      </c>
      <c r="I2607">
        <f>VLOOKUP(D2607,Товар!$A$2:$F$1000,3,0)</f>
        <v/>
      </c>
      <c r="J2607">
        <f>VLOOKUP(D2607,Товар!$A$2:$F$1000,5,0)</f>
        <v/>
      </c>
      <c r="K2607">
        <f>IF(AND(H2607="Промышленный",LEFT(I2607,18)="Порошок стиральный",F2607="Продажа",B2607=DATE(2023,6,7)),E2607*J2607/1000,0)</f>
        <v/>
      </c>
    </row>
    <row r="2608">
      <c r="A2608" t="n">
        <v>2607</v>
      </c>
      <c r="B2608" s="1" t="n">
        <v>45086</v>
      </c>
      <c r="C2608" s="5" t="inlineStr">
        <is>
          <t>M16</t>
        </is>
      </c>
      <c r="D2608" s="5" t="n">
        <v>15</v>
      </c>
      <c r="E2608" s="5" t="n">
        <v>400</v>
      </c>
      <c r="F2608" t="inlineStr">
        <is>
          <t>Поступление</t>
        </is>
      </c>
      <c r="H2608">
        <f>VLOOKUP(C2608,Магазин!$A$2:$C$1000,2,0)</f>
        <v/>
      </c>
      <c r="I2608">
        <f>VLOOKUP(D2608,Товар!$A$2:$F$1000,3,0)</f>
        <v/>
      </c>
      <c r="J2608">
        <f>VLOOKUP(D2608,Товар!$A$2:$F$1000,5,0)</f>
        <v/>
      </c>
      <c r="K2608">
        <f>IF(AND(H2608="Промышленный",LEFT(I2608,18)="Порошок стиральный",F2608="Продажа",B2608=DATE(2023,6,7)),E2608*J2608/1000,0)</f>
        <v/>
      </c>
    </row>
    <row r="2609">
      <c r="A2609" t="n">
        <v>2608</v>
      </c>
      <c r="B2609" s="1" t="n">
        <v>45086</v>
      </c>
      <c r="C2609" s="5" t="inlineStr">
        <is>
          <t>M16</t>
        </is>
      </c>
      <c r="D2609" s="5" t="n">
        <v>16</v>
      </c>
      <c r="E2609" s="5" t="n">
        <v>400</v>
      </c>
      <c r="F2609" t="inlineStr">
        <is>
          <t>Поступление</t>
        </is>
      </c>
      <c r="H2609">
        <f>VLOOKUP(C2609,Магазин!$A$2:$C$1000,2,0)</f>
        <v/>
      </c>
      <c r="I2609">
        <f>VLOOKUP(D2609,Товар!$A$2:$F$1000,3,0)</f>
        <v/>
      </c>
      <c r="J2609">
        <f>VLOOKUP(D2609,Товар!$A$2:$F$1000,5,0)</f>
        <v/>
      </c>
      <c r="K2609">
        <f>IF(AND(H2609="Промышленный",LEFT(I2609,18)="Порошок стиральный",F2609="Продажа",B2609=DATE(2023,6,7)),E2609*J2609/1000,0)</f>
        <v/>
      </c>
    </row>
    <row r="2610">
      <c r="A2610" t="n">
        <v>2609</v>
      </c>
      <c r="B2610" s="1" t="n">
        <v>45086</v>
      </c>
      <c r="C2610" s="5" t="inlineStr">
        <is>
          <t>M16</t>
        </is>
      </c>
      <c r="D2610" s="5" t="n">
        <v>17</v>
      </c>
      <c r="E2610" s="5" t="n">
        <v>400</v>
      </c>
      <c r="F2610" t="inlineStr">
        <is>
          <t>Поступление</t>
        </is>
      </c>
      <c r="H2610">
        <f>VLOOKUP(C2610,Магазин!$A$2:$C$1000,2,0)</f>
        <v/>
      </c>
      <c r="I2610">
        <f>VLOOKUP(D2610,Товар!$A$2:$F$1000,3,0)</f>
        <v/>
      </c>
      <c r="J2610">
        <f>VLOOKUP(D2610,Товар!$A$2:$F$1000,5,0)</f>
        <v/>
      </c>
      <c r="K2610">
        <f>IF(AND(H2610="Промышленный",LEFT(I2610,18)="Порошок стиральный",F2610="Продажа",B2610=DATE(2023,6,7)),E2610*J2610/1000,0)</f>
        <v/>
      </c>
    </row>
    <row r="2611">
      <c r="A2611" t="n">
        <v>2610</v>
      </c>
      <c r="B2611" s="1" t="n">
        <v>45086</v>
      </c>
      <c r="C2611" s="5" t="inlineStr">
        <is>
          <t>M16</t>
        </is>
      </c>
      <c r="D2611" s="5" t="n">
        <v>18</v>
      </c>
      <c r="E2611" s="5" t="n">
        <v>400</v>
      </c>
      <c r="F2611" t="inlineStr">
        <is>
          <t>Поступление</t>
        </is>
      </c>
      <c r="H2611">
        <f>VLOOKUP(C2611,Магазин!$A$2:$C$1000,2,0)</f>
        <v/>
      </c>
      <c r="I2611">
        <f>VLOOKUP(D2611,Товар!$A$2:$F$1000,3,0)</f>
        <v/>
      </c>
      <c r="J2611">
        <f>VLOOKUP(D2611,Товар!$A$2:$F$1000,5,0)</f>
        <v/>
      </c>
      <c r="K2611">
        <f>IF(AND(H2611="Промышленный",LEFT(I2611,18)="Порошок стиральный",F2611="Продажа",B2611=DATE(2023,6,7)),E2611*J2611/1000,0)</f>
        <v/>
      </c>
    </row>
    <row r="2612">
      <c r="A2612" t="n">
        <v>2611</v>
      </c>
      <c r="B2612" s="1" t="n">
        <v>45086</v>
      </c>
      <c r="C2612" s="5" t="inlineStr">
        <is>
          <t>M16</t>
        </is>
      </c>
      <c r="D2612" s="5" t="n">
        <v>19</v>
      </c>
      <c r="E2612" s="5" t="n">
        <v>400</v>
      </c>
      <c r="F2612" t="inlineStr">
        <is>
          <t>Поступление</t>
        </is>
      </c>
      <c r="H2612">
        <f>VLOOKUP(C2612,Магазин!$A$2:$C$1000,2,0)</f>
        <v/>
      </c>
      <c r="I2612">
        <f>VLOOKUP(D2612,Товар!$A$2:$F$1000,3,0)</f>
        <v/>
      </c>
      <c r="J2612">
        <f>VLOOKUP(D2612,Товар!$A$2:$F$1000,5,0)</f>
        <v/>
      </c>
      <c r="K2612">
        <f>IF(AND(H2612="Промышленный",LEFT(I2612,18)="Порошок стиральный",F2612="Продажа",B2612=DATE(2023,6,7)),E2612*J2612/1000,0)</f>
        <v/>
      </c>
    </row>
    <row r="2613">
      <c r="A2613" t="n">
        <v>2612</v>
      </c>
      <c r="B2613" s="1" t="n">
        <v>45086</v>
      </c>
      <c r="C2613" s="5" t="inlineStr">
        <is>
          <t>M16</t>
        </is>
      </c>
      <c r="D2613" s="5" t="n">
        <v>20</v>
      </c>
      <c r="E2613" s="5" t="n">
        <v>400</v>
      </c>
      <c r="F2613" t="inlineStr">
        <is>
          <t>Поступление</t>
        </is>
      </c>
      <c r="H2613">
        <f>VLOOKUP(C2613,Магазин!$A$2:$C$1000,2,0)</f>
        <v/>
      </c>
      <c r="I2613">
        <f>VLOOKUP(D2613,Товар!$A$2:$F$1000,3,0)</f>
        <v/>
      </c>
      <c r="J2613">
        <f>VLOOKUP(D2613,Товар!$A$2:$F$1000,5,0)</f>
        <v/>
      </c>
      <c r="K2613">
        <f>IF(AND(H2613="Промышленный",LEFT(I2613,18)="Порошок стиральный",F2613="Продажа",B2613=DATE(2023,6,7)),E2613*J2613/1000,0)</f>
        <v/>
      </c>
    </row>
    <row r="2614">
      <c r="A2614" t="n">
        <v>2613</v>
      </c>
      <c r="B2614" s="1" t="n">
        <v>45086</v>
      </c>
      <c r="C2614" s="5" t="inlineStr">
        <is>
          <t>M16</t>
        </is>
      </c>
      <c r="D2614" s="5" t="n">
        <v>21</v>
      </c>
      <c r="E2614" s="5" t="n">
        <v>400</v>
      </c>
      <c r="F2614" t="inlineStr">
        <is>
          <t>Поступление</t>
        </is>
      </c>
      <c r="H2614">
        <f>VLOOKUP(C2614,Магазин!$A$2:$C$1000,2,0)</f>
        <v/>
      </c>
      <c r="I2614">
        <f>VLOOKUP(D2614,Товар!$A$2:$F$1000,3,0)</f>
        <v/>
      </c>
      <c r="J2614">
        <f>VLOOKUP(D2614,Товар!$A$2:$F$1000,5,0)</f>
        <v/>
      </c>
      <c r="K2614">
        <f>IF(AND(H2614="Промышленный",LEFT(I2614,18)="Порошок стиральный",F2614="Продажа",B2614=DATE(2023,6,7)),E2614*J2614/1000,0)</f>
        <v/>
      </c>
    </row>
    <row r="2615">
      <c r="A2615" t="n">
        <v>2614</v>
      </c>
      <c r="B2615" s="1" t="n">
        <v>45086</v>
      </c>
      <c r="C2615" s="5" t="inlineStr">
        <is>
          <t>M16</t>
        </is>
      </c>
      <c r="D2615" s="5" t="n">
        <v>22</v>
      </c>
      <c r="E2615" s="5" t="n">
        <v>400</v>
      </c>
      <c r="F2615" t="inlineStr">
        <is>
          <t>Поступление</t>
        </is>
      </c>
      <c r="H2615">
        <f>VLOOKUP(C2615,Магазин!$A$2:$C$1000,2,0)</f>
        <v/>
      </c>
      <c r="I2615">
        <f>VLOOKUP(D2615,Товар!$A$2:$F$1000,3,0)</f>
        <v/>
      </c>
      <c r="J2615">
        <f>VLOOKUP(D2615,Товар!$A$2:$F$1000,5,0)</f>
        <v/>
      </c>
      <c r="K2615">
        <f>IF(AND(H2615="Промышленный",LEFT(I2615,18)="Порошок стиральный",F2615="Продажа",B2615=DATE(2023,6,7)),E2615*J2615/1000,0)</f>
        <v/>
      </c>
    </row>
    <row r="2616">
      <c r="A2616" t="n">
        <v>2615</v>
      </c>
      <c r="B2616" s="1" t="n">
        <v>45086</v>
      </c>
      <c r="C2616" s="5" t="inlineStr">
        <is>
          <t>M16</t>
        </is>
      </c>
      <c r="D2616" s="5" t="n">
        <v>23</v>
      </c>
      <c r="E2616" s="5" t="n">
        <v>400</v>
      </c>
      <c r="F2616" t="inlineStr">
        <is>
          <t>Поступление</t>
        </is>
      </c>
      <c r="H2616">
        <f>VLOOKUP(C2616,Магазин!$A$2:$C$1000,2,0)</f>
        <v/>
      </c>
      <c r="I2616">
        <f>VLOOKUP(D2616,Товар!$A$2:$F$1000,3,0)</f>
        <v/>
      </c>
      <c r="J2616">
        <f>VLOOKUP(D2616,Товар!$A$2:$F$1000,5,0)</f>
        <v/>
      </c>
      <c r="K2616">
        <f>IF(AND(H2616="Промышленный",LEFT(I2616,18)="Порошок стиральный",F2616="Продажа",B2616=DATE(2023,6,7)),E2616*J2616/1000,0)</f>
        <v/>
      </c>
    </row>
    <row r="2617">
      <c r="A2617" t="n">
        <v>2616</v>
      </c>
      <c r="B2617" s="1" t="n">
        <v>45086</v>
      </c>
      <c r="C2617" s="5" t="inlineStr">
        <is>
          <t>M16</t>
        </is>
      </c>
      <c r="D2617" s="5" t="n">
        <v>24</v>
      </c>
      <c r="E2617" s="5" t="n">
        <v>400</v>
      </c>
      <c r="F2617" t="inlineStr">
        <is>
          <t>Поступление</t>
        </is>
      </c>
      <c r="H2617">
        <f>VLOOKUP(C2617,Магазин!$A$2:$C$1000,2,0)</f>
        <v/>
      </c>
      <c r="I2617">
        <f>VLOOKUP(D2617,Товар!$A$2:$F$1000,3,0)</f>
        <v/>
      </c>
      <c r="J2617">
        <f>VLOOKUP(D2617,Товар!$A$2:$F$1000,5,0)</f>
        <v/>
      </c>
      <c r="K2617">
        <f>IF(AND(H2617="Промышленный",LEFT(I2617,18)="Порошок стиральный",F2617="Продажа",B2617=DATE(2023,6,7)),E2617*J2617/1000,0)</f>
        <v/>
      </c>
    </row>
    <row r="2618">
      <c r="A2618" t="n">
        <v>2617</v>
      </c>
      <c r="B2618" s="1" t="n">
        <v>45086</v>
      </c>
      <c r="C2618" s="5" t="inlineStr">
        <is>
          <t>M16</t>
        </is>
      </c>
      <c r="D2618" s="5" t="n">
        <v>25</v>
      </c>
      <c r="E2618" s="5" t="n">
        <v>400</v>
      </c>
      <c r="F2618" t="inlineStr">
        <is>
          <t>Поступление</t>
        </is>
      </c>
      <c r="H2618">
        <f>VLOOKUP(C2618,Магазин!$A$2:$C$1000,2,0)</f>
        <v/>
      </c>
      <c r="I2618">
        <f>VLOOKUP(D2618,Товар!$A$2:$F$1000,3,0)</f>
        <v/>
      </c>
      <c r="J2618">
        <f>VLOOKUP(D2618,Товар!$A$2:$F$1000,5,0)</f>
        <v/>
      </c>
      <c r="K2618">
        <f>IF(AND(H2618="Промышленный",LEFT(I2618,18)="Порошок стиральный",F2618="Продажа",B2618=DATE(2023,6,7)),E2618*J2618/1000,0)</f>
        <v/>
      </c>
    </row>
    <row r="2619">
      <c r="A2619" t="n">
        <v>2618</v>
      </c>
      <c r="B2619" s="1" t="n">
        <v>45086</v>
      </c>
      <c r="C2619" s="5" t="inlineStr">
        <is>
          <t>M16</t>
        </is>
      </c>
      <c r="D2619" s="5" t="n">
        <v>26</v>
      </c>
      <c r="E2619" s="5" t="n">
        <v>400</v>
      </c>
      <c r="F2619" t="inlineStr">
        <is>
          <t>Поступление</t>
        </is>
      </c>
      <c r="H2619">
        <f>VLOOKUP(C2619,Магазин!$A$2:$C$1000,2,0)</f>
        <v/>
      </c>
      <c r="I2619">
        <f>VLOOKUP(D2619,Товар!$A$2:$F$1000,3,0)</f>
        <v/>
      </c>
      <c r="J2619">
        <f>VLOOKUP(D2619,Товар!$A$2:$F$1000,5,0)</f>
        <v/>
      </c>
      <c r="K2619">
        <f>IF(AND(H2619="Промышленный",LEFT(I2619,18)="Порошок стиральный",F2619="Продажа",B2619=DATE(2023,6,7)),E2619*J2619/1000,0)</f>
        <v/>
      </c>
    </row>
    <row r="2620">
      <c r="A2620" t="n">
        <v>2619</v>
      </c>
      <c r="B2620" s="1" t="n">
        <v>45086</v>
      </c>
      <c r="C2620" s="5" t="inlineStr">
        <is>
          <t>M16</t>
        </is>
      </c>
      <c r="D2620" s="5" t="n">
        <v>27</v>
      </c>
      <c r="E2620" s="5" t="n">
        <v>400</v>
      </c>
      <c r="F2620" t="inlineStr">
        <is>
          <t>Поступление</t>
        </is>
      </c>
      <c r="H2620">
        <f>VLOOKUP(C2620,Магазин!$A$2:$C$1000,2,0)</f>
        <v/>
      </c>
      <c r="I2620">
        <f>VLOOKUP(D2620,Товар!$A$2:$F$1000,3,0)</f>
        <v/>
      </c>
      <c r="J2620">
        <f>VLOOKUP(D2620,Товар!$A$2:$F$1000,5,0)</f>
        <v/>
      </c>
      <c r="K2620">
        <f>IF(AND(H2620="Промышленный",LEFT(I2620,18)="Порошок стиральный",F2620="Продажа",B2620=DATE(2023,6,7)),E2620*J2620/1000,0)</f>
        <v/>
      </c>
    </row>
    <row r="2621">
      <c r="A2621" t="n">
        <v>2620</v>
      </c>
      <c r="B2621" s="1" t="n">
        <v>45086</v>
      </c>
      <c r="C2621" s="5" t="inlineStr">
        <is>
          <t>M16</t>
        </is>
      </c>
      <c r="D2621" s="5" t="n">
        <v>28</v>
      </c>
      <c r="E2621" s="5" t="n">
        <v>400</v>
      </c>
      <c r="F2621" t="inlineStr">
        <is>
          <t>Поступление</t>
        </is>
      </c>
      <c r="H2621">
        <f>VLOOKUP(C2621,Магазин!$A$2:$C$1000,2,0)</f>
        <v/>
      </c>
      <c r="I2621">
        <f>VLOOKUP(D2621,Товар!$A$2:$F$1000,3,0)</f>
        <v/>
      </c>
      <c r="J2621">
        <f>VLOOKUP(D2621,Товар!$A$2:$F$1000,5,0)</f>
        <v/>
      </c>
      <c r="K2621">
        <f>IF(AND(H2621="Промышленный",LEFT(I2621,18)="Порошок стиральный",F2621="Продажа",B2621=DATE(2023,6,7)),E2621*J2621/1000,0)</f>
        <v/>
      </c>
    </row>
    <row r="2622">
      <c r="A2622" t="n">
        <v>2621</v>
      </c>
      <c r="B2622" s="1" t="n">
        <v>45086</v>
      </c>
      <c r="C2622" s="5" t="inlineStr">
        <is>
          <t>M16</t>
        </is>
      </c>
      <c r="D2622" s="5" t="n">
        <v>29</v>
      </c>
      <c r="E2622" s="5" t="n">
        <v>400</v>
      </c>
      <c r="F2622" t="inlineStr">
        <is>
          <t>Поступление</t>
        </is>
      </c>
      <c r="H2622">
        <f>VLOOKUP(C2622,Магазин!$A$2:$C$1000,2,0)</f>
        <v/>
      </c>
      <c r="I2622">
        <f>VLOOKUP(D2622,Товар!$A$2:$F$1000,3,0)</f>
        <v/>
      </c>
      <c r="J2622">
        <f>VLOOKUP(D2622,Товар!$A$2:$F$1000,5,0)</f>
        <v/>
      </c>
      <c r="K2622">
        <f>IF(AND(H2622="Промышленный",LEFT(I2622,18)="Порошок стиральный",F2622="Продажа",B2622=DATE(2023,6,7)),E2622*J2622/1000,0)</f>
        <v/>
      </c>
    </row>
    <row r="2623">
      <c r="A2623" t="n">
        <v>2622</v>
      </c>
      <c r="B2623" s="1" t="n">
        <v>45086</v>
      </c>
      <c r="C2623" s="5" t="inlineStr">
        <is>
          <t>M16</t>
        </is>
      </c>
      <c r="D2623" s="5" t="n">
        <v>30</v>
      </c>
      <c r="E2623" s="5" t="n">
        <v>400</v>
      </c>
      <c r="F2623" t="inlineStr">
        <is>
          <t>Поступление</t>
        </is>
      </c>
      <c r="H2623">
        <f>VLOOKUP(C2623,Магазин!$A$2:$C$1000,2,0)</f>
        <v/>
      </c>
      <c r="I2623">
        <f>VLOOKUP(D2623,Товар!$A$2:$F$1000,3,0)</f>
        <v/>
      </c>
      <c r="J2623">
        <f>VLOOKUP(D2623,Товар!$A$2:$F$1000,5,0)</f>
        <v/>
      </c>
      <c r="K2623">
        <f>IF(AND(H2623="Промышленный",LEFT(I2623,18)="Порошок стиральный",F2623="Продажа",B2623=DATE(2023,6,7)),E2623*J2623/1000,0)</f>
        <v/>
      </c>
    </row>
    <row r="2624">
      <c r="A2624" t="n">
        <v>2623</v>
      </c>
      <c r="B2624" s="1" t="n">
        <v>45086</v>
      </c>
      <c r="C2624" s="5" t="inlineStr">
        <is>
          <t>M16</t>
        </is>
      </c>
      <c r="D2624" s="5" t="n">
        <v>31</v>
      </c>
      <c r="E2624" s="5" t="n">
        <v>400</v>
      </c>
      <c r="F2624" t="inlineStr">
        <is>
          <t>Поступление</t>
        </is>
      </c>
      <c r="H2624">
        <f>VLOOKUP(C2624,Магазин!$A$2:$C$1000,2,0)</f>
        <v/>
      </c>
      <c r="I2624">
        <f>VLOOKUP(D2624,Товар!$A$2:$F$1000,3,0)</f>
        <v/>
      </c>
      <c r="J2624">
        <f>VLOOKUP(D2624,Товар!$A$2:$F$1000,5,0)</f>
        <v/>
      </c>
      <c r="K2624">
        <f>IF(AND(H2624="Промышленный",LEFT(I2624,18)="Порошок стиральный",F2624="Продажа",B2624=DATE(2023,6,7)),E2624*J2624/1000,0)</f>
        <v/>
      </c>
    </row>
    <row r="2625">
      <c r="A2625" t="n">
        <v>2624</v>
      </c>
      <c r="B2625" s="1" t="n">
        <v>45086</v>
      </c>
      <c r="C2625" s="5" t="inlineStr">
        <is>
          <t>M16</t>
        </is>
      </c>
      <c r="D2625" s="5" t="n">
        <v>32</v>
      </c>
      <c r="E2625" s="5" t="n">
        <v>400</v>
      </c>
      <c r="F2625" t="inlineStr">
        <is>
          <t>Поступление</t>
        </is>
      </c>
      <c r="H2625">
        <f>VLOOKUP(C2625,Магазин!$A$2:$C$1000,2,0)</f>
        <v/>
      </c>
      <c r="I2625">
        <f>VLOOKUP(D2625,Товар!$A$2:$F$1000,3,0)</f>
        <v/>
      </c>
      <c r="J2625">
        <f>VLOOKUP(D2625,Товар!$A$2:$F$1000,5,0)</f>
        <v/>
      </c>
      <c r="K2625">
        <f>IF(AND(H2625="Промышленный",LEFT(I2625,18)="Порошок стиральный",F2625="Продажа",B2625=DATE(2023,6,7)),E2625*J2625/1000,0)</f>
        <v/>
      </c>
    </row>
    <row r="2626">
      <c r="A2626" t="n">
        <v>2625</v>
      </c>
      <c r="B2626" s="1" t="n">
        <v>45086</v>
      </c>
      <c r="C2626" s="5" t="inlineStr">
        <is>
          <t>M16</t>
        </is>
      </c>
      <c r="D2626" s="5" t="n">
        <v>33</v>
      </c>
      <c r="E2626" s="5" t="n">
        <v>400</v>
      </c>
      <c r="F2626" t="inlineStr">
        <is>
          <t>Поступление</t>
        </is>
      </c>
      <c r="H2626">
        <f>VLOOKUP(C2626,Магазин!$A$2:$C$1000,2,0)</f>
        <v/>
      </c>
      <c r="I2626">
        <f>VLOOKUP(D2626,Товар!$A$2:$F$1000,3,0)</f>
        <v/>
      </c>
      <c r="J2626">
        <f>VLOOKUP(D2626,Товар!$A$2:$F$1000,5,0)</f>
        <v/>
      </c>
      <c r="K2626">
        <f>IF(AND(H2626="Промышленный",LEFT(I2626,18)="Порошок стиральный",F2626="Продажа",B2626=DATE(2023,6,7)),E2626*J2626/1000,0)</f>
        <v/>
      </c>
    </row>
    <row r="2627">
      <c r="A2627" t="n">
        <v>2626</v>
      </c>
      <c r="B2627" s="1" t="n">
        <v>45086</v>
      </c>
      <c r="C2627" s="5" t="inlineStr">
        <is>
          <t>M16</t>
        </is>
      </c>
      <c r="D2627" s="5" t="n">
        <v>34</v>
      </c>
      <c r="E2627" s="5" t="n">
        <v>400</v>
      </c>
      <c r="F2627" t="inlineStr">
        <is>
          <t>Поступление</t>
        </is>
      </c>
      <c r="H2627">
        <f>VLOOKUP(C2627,Магазин!$A$2:$C$1000,2,0)</f>
        <v/>
      </c>
      <c r="I2627">
        <f>VLOOKUP(D2627,Товар!$A$2:$F$1000,3,0)</f>
        <v/>
      </c>
      <c r="J2627">
        <f>VLOOKUP(D2627,Товар!$A$2:$F$1000,5,0)</f>
        <v/>
      </c>
      <c r="K2627">
        <f>IF(AND(H2627="Промышленный",LEFT(I2627,18)="Порошок стиральный",F2627="Продажа",B2627=DATE(2023,6,7)),E2627*J2627/1000,0)</f>
        <v/>
      </c>
    </row>
    <row r="2628">
      <c r="A2628" t="n">
        <v>2627</v>
      </c>
      <c r="B2628" s="1" t="n">
        <v>45086</v>
      </c>
      <c r="C2628" s="5" t="inlineStr">
        <is>
          <t>M16</t>
        </is>
      </c>
      <c r="D2628" s="5" t="n">
        <v>35</v>
      </c>
      <c r="E2628" s="5" t="n">
        <v>400</v>
      </c>
      <c r="F2628" t="inlineStr">
        <is>
          <t>Поступление</t>
        </is>
      </c>
      <c r="H2628">
        <f>VLOOKUP(C2628,Магазин!$A$2:$C$1000,2,0)</f>
        <v/>
      </c>
      <c r="I2628">
        <f>VLOOKUP(D2628,Товар!$A$2:$F$1000,3,0)</f>
        <v/>
      </c>
      <c r="J2628">
        <f>VLOOKUP(D2628,Товар!$A$2:$F$1000,5,0)</f>
        <v/>
      </c>
      <c r="K2628">
        <f>IF(AND(H2628="Промышленный",LEFT(I2628,18)="Порошок стиральный",F2628="Продажа",B2628=DATE(2023,6,7)),E2628*J2628/1000,0)</f>
        <v/>
      </c>
    </row>
    <row r="2629">
      <c r="A2629" t="n">
        <v>2628</v>
      </c>
      <c r="B2629" s="1" t="n">
        <v>45086</v>
      </c>
      <c r="C2629" s="5" t="inlineStr">
        <is>
          <t>M16</t>
        </is>
      </c>
      <c r="D2629" s="5" t="n">
        <v>36</v>
      </c>
      <c r="E2629" s="5" t="n">
        <v>400</v>
      </c>
      <c r="F2629" t="inlineStr">
        <is>
          <t>Поступление</t>
        </is>
      </c>
      <c r="H2629">
        <f>VLOOKUP(C2629,Магазин!$A$2:$C$1000,2,0)</f>
        <v/>
      </c>
      <c r="I2629">
        <f>VLOOKUP(D2629,Товар!$A$2:$F$1000,3,0)</f>
        <v/>
      </c>
      <c r="J2629">
        <f>VLOOKUP(D2629,Товар!$A$2:$F$1000,5,0)</f>
        <v/>
      </c>
      <c r="K2629">
        <f>IF(AND(H2629="Промышленный",LEFT(I2629,18)="Порошок стиральный",F2629="Продажа",B2629=DATE(2023,6,7)),E2629*J2629/1000,0)</f>
        <v/>
      </c>
    </row>
    <row r="2630">
      <c r="A2630" t="n">
        <v>2629</v>
      </c>
      <c r="B2630" s="1" t="n">
        <v>45086</v>
      </c>
      <c r="C2630" s="5" t="inlineStr">
        <is>
          <t>M3</t>
        </is>
      </c>
      <c r="D2630" s="5" t="n">
        <v>1</v>
      </c>
      <c r="E2630" s="5" t="n">
        <v>200</v>
      </c>
      <c r="F2630" t="inlineStr">
        <is>
          <t>Поступление</t>
        </is>
      </c>
      <c r="H2630">
        <f>VLOOKUP(C2630,Магазин!$A$2:$C$1000,2,0)</f>
        <v/>
      </c>
      <c r="I2630">
        <f>VLOOKUP(D2630,Товар!$A$2:$F$1000,3,0)</f>
        <v/>
      </c>
      <c r="J2630">
        <f>VLOOKUP(D2630,Товар!$A$2:$F$1000,5,0)</f>
        <v/>
      </c>
      <c r="K2630">
        <f>IF(AND(H2630="Промышленный",LEFT(I2630,18)="Порошок стиральный",F2630="Продажа",B2630=DATE(2023,6,7)),E2630*J2630/1000,0)</f>
        <v/>
      </c>
    </row>
    <row r="2631">
      <c r="A2631" t="n">
        <v>2630</v>
      </c>
      <c r="B2631" s="1" t="n">
        <v>45086</v>
      </c>
      <c r="C2631" s="5" t="inlineStr">
        <is>
          <t>M3</t>
        </is>
      </c>
      <c r="D2631" s="5" t="n">
        <v>2</v>
      </c>
      <c r="E2631" s="5" t="n">
        <v>200</v>
      </c>
      <c r="F2631" t="inlineStr">
        <is>
          <t>Поступление</t>
        </is>
      </c>
      <c r="H2631">
        <f>VLOOKUP(C2631,Магазин!$A$2:$C$1000,2,0)</f>
        <v/>
      </c>
      <c r="I2631">
        <f>VLOOKUP(D2631,Товар!$A$2:$F$1000,3,0)</f>
        <v/>
      </c>
      <c r="J2631">
        <f>VLOOKUP(D2631,Товар!$A$2:$F$1000,5,0)</f>
        <v/>
      </c>
      <c r="K2631">
        <f>IF(AND(H2631="Промышленный",LEFT(I2631,18)="Порошок стиральный",F2631="Продажа",B2631=DATE(2023,6,7)),E2631*J2631/1000,0)</f>
        <v/>
      </c>
    </row>
    <row r="2632">
      <c r="A2632" t="n">
        <v>2631</v>
      </c>
      <c r="B2632" s="1" t="n">
        <v>45086</v>
      </c>
      <c r="C2632" s="5" t="inlineStr">
        <is>
          <t>M3</t>
        </is>
      </c>
      <c r="D2632" s="5" t="n">
        <v>3</v>
      </c>
      <c r="E2632" s="5" t="n">
        <v>200</v>
      </c>
      <c r="F2632" t="inlineStr">
        <is>
          <t>Поступление</t>
        </is>
      </c>
      <c r="H2632">
        <f>VLOOKUP(C2632,Магазин!$A$2:$C$1000,2,0)</f>
        <v/>
      </c>
      <c r="I2632">
        <f>VLOOKUP(D2632,Товар!$A$2:$F$1000,3,0)</f>
        <v/>
      </c>
      <c r="J2632">
        <f>VLOOKUP(D2632,Товар!$A$2:$F$1000,5,0)</f>
        <v/>
      </c>
      <c r="K2632">
        <f>IF(AND(H2632="Промышленный",LEFT(I2632,18)="Порошок стиральный",F2632="Продажа",B2632=DATE(2023,6,7)),E2632*J2632/1000,0)</f>
        <v/>
      </c>
    </row>
    <row r="2633">
      <c r="A2633" t="n">
        <v>2632</v>
      </c>
      <c r="B2633" s="1" t="n">
        <v>45086</v>
      </c>
      <c r="C2633" s="5" t="inlineStr">
        <is>
          <t>M3</t>
        </is>
      </c>
      <c r="D2633" s="5" t="n">
        <v>4</v>
      </c>
      <c r="E2633" s="5" t="n">
        <v>200</v>
      </c>
      <c r="F2633" t="inlineStr">
        <is>
          <t>Поступление</t>
        </is>
      </c>
      <c r="H2633">
        <f>VLOOKUP(C2633,Магазин!$A$2:$C$1000,2,0)</f>
        <v/>
      </c>
      <c r="I2633">
        <f>VLOOKUP(D2633,Товар!$A$2:$F$1000,3,0)</f>
        <v/>
      </c>
      <c r="J2633">
        <f>VLOOKUP(D2633,Товар!$A$2:$F$1000,5,0)</f>
        <v/>
      </c>
      <c r="K2633">
        <f>IF(AND(H2633="Промышленный",LEFT(I2633,18)="Порошок стиральный",F2633="Продажа",B2633=DATE(2023,6,7)),E2633*J2633/1000,0)</f>
        <v/>
      </c>
    </row>
    <row r="2634">
      <c r="A2634" t="n">
        <v>2633</v>
      </c>
      <c r="B2634" s="1" t="n">
        <v>45086</v>
      </c>
      <c r="C2634" s="5" t="inlineStr">
        <is>
          <t>M3</t>
        </is>
      </c>
      <c r="D2634" s="5" t="n">
        <v>5</v>
      </c>
      <c r="E2634" s="5" t="n">
        <v>200</v>
      </c>
      <c r="F2634" t="inlineStr">
        <is>
          <t>Поступление</t>
        </is>
      </c>
      <c r="H2634">
        <f>VLOOKUP(C2634,Магазин!$A$2:$C$1000,2,0)</f>
        <v/>
      </c>
      <c r="I2634">
        <f>VLOOKUP(D2634,Товар!$A$2:$F$1000,3,0)</f>
        <v/>
      </c>
      <c r="J2634">
        <f>VLOOKUP(D2634,Товар!$A$2:$F$1000,5,0)</f>
        <v/>
      </c>
      <c r="K2634">
        <f>IF(AND(H2634="Промышленный",LEFT(I2634,18)="Порошок стиральный",F2634="Продажа",B2634=DATE(2023,6,7)),E2634*J2634/1000,0)</f>
        <v/>
      </c>
    </row>
    <row r="2635">
      <c r="A2635" t="n">
        <v>2634</v>
      </c>
      <c r="B2635" s="1" t="n">
        <v>45086</v>
      </c>
      <c r="C2635" s="5" t="inlineStr">
        <is>
          <t>M3</t>
        </is>
      </c>
      <c r="D2635" s="5" t="n">
        <v>6</v>
      </c>
      <c r="E2635" s="5" t="n">
        <v>200</v>
      </c>
      <c r="F2635" t="inlineStr">
        <is>
          <t>Поступление</t>
        </is>
      </c>
      <c r="H2635">
        <f>VLOOKUP(C2635,Магазин!$A$2:$C$1000,2,0)</f>
        <v/>
      </c>
      <c r="I2635">
        <f>VLOOKUP(D2635,Товар!$A$2:$F$1000,3,0)</f>
        <v/>
      </c>
      <c r="J2635">
        <f>VLOOKUP(D2635,Товар!$A$2:$F$1000,5,0)</f>
        <v/>
      </c>
      <c r="K2635">
        <f>IF(AND(H2635="Промышленный",LEFT(I2635,18)="Порошок стиральный",F2635="Продажа",B2635=DATE(2023,6,7)),E2635*J2635/1000,0)</f>
        <v/>
      </c>
    </row>
    <row r="2636">
      <c r="A2636" t="n">
        <v>2635</v>
      </c>
      <c r="B2636" s="1" t="n">
        <v>45086</v>
      </c>
      <c r="C2636" s="5" t="inlineStr">
        <is>
          <t>M3</t>
        </is>
      </c>
      <c r="D2636" s="5" t="n">
        <v>7</v>
      </c>
      <c r="E2636" s="5" t="n">
        <v>200</v>
      </c>
      <c r="F2636" t="inlineStr">
        <is>
          <t>Поступление</t>
        </is>
      </c>
      <c r="H2636">
        <f>VLOOKUP(C2636,Магазин!$A$2:$C$1000,2,0)</f>
        <v/>
      </c>
      <c r="I2636">
        <f>VLOOKUP(D2636,Товар!$A$2:$F$1000,3,0)</f>
        <v/>
      </c>
      <c r="J2636">
        <f>VLOOKUP(D2636,Товар!$A$2:$F$1000,5,0)</f>
        <v/>
      </c>
      <c r="K2636">
        <f>IF(AND(H2636="Промышленный",LEFT(I2636,18)="Порошок стиральный",F2636="Продажа",B2636=DATE(2023,6,7)),E2636*J2636/1000,0)</f>
        <v/>
      </c>
    </row>
    <row r="2637">
      <c r="A2637" t="n">
        <v>2636</v>
      </c>
      <c r="B2637" s="1" t="n">
        <v>45086</v>
      </c>
      <c r="C2637" s="5" t="inlineStr">
        <is>
          <t>M3</t>
        </is>
      </c>
      <c r="D2637" s="5" t="n">
        <v>8</v>
      </c>
      <c r="E2637" s="5" t="n">
        <v>200</v>
      </c>
      <c r="F2637" t="inlineStr">
        <is>
          <t>Поступление</t>
        </is>
      </c>
      <c r="H2637">
        <f>VLOOKUP(C2637,Магазин!$A$2:$C$1000,2,0)</f>
        <v/>
      </c>
      <c r="I2637">
        <f>VLOOKUP(D2637,Товар!$A$2:$F$1000,3,0)</f>
        <v/>
      </c>
      <c r="J2637">
        <f>VLOOKUP(D2637,Товар!$A$2:$F$1000,5,0)</f>
        <v/>
      </c>
      <c r="K2637">
        <f>IF(AND(H2637="Промышленный",LEFT(I2637,18)="Порошок стиральный",F2637="Продажа",B2637=DATE(2023,6,7)),E2637*J2637/1000,0)</f>
        <v/>
      </c>
    </row>
    <row r="2638">
      <c r="A2638" t="n">
        <v>2637</v>
      </c>
      <c r="B2638" s="1" t="n">
        <v>45086</v>
      </c>
      <c r="C2638" s="5" t="inlineStr">
        <is>
          <t>M3</t>
        </is>
      </c>
      <c r="D2638" s="5" t="n">
        <v>9</v>
      </c>
      <c r="E2638" s="5" t="n">
        <v>200</v>
      </c>
      <c r="F2638" t="inlineStr">
        <is>
          <t>Поступление</t>
        </is>
      </c>
      <c r="H2638">
        <f>VLOOKUP(C2638,Магазин!$A$2:$C$1000,2,0)</f>
        <v/>
      </c>
      <c r="I2638">
        <f>VLOOKUP(D2638,Товар!$A$2:$F$1000,3,0)</f>
        <v/>
      </c>
      <c r="J2638">
        <f>VLOOKUP(D2638,Товар!$A$2:$F$1000,5,0)</f>
        <v/>
      </c>
      <c r="K2638">
        <f>IF(AND(H2638="Промышленный",LEFT(I2638,18)="Порошок стиральный",F2638="Продажа",B2638=DATE(2023,6,7)),E2638*J2638/1000,0)</f>
        <v/>
      </c>
    </row>
    <row r="2639">
      <c r="A2639" t="n">
        <v>2638</v>
      </c>
      <c r="B2639" s="1" t="n">
        <v>45086</v>
      </c>
      <c r="C2639" s="5" t="inlineStr">
        <is>
          <t>M3</t>
        </is>
      </c>
      <c r="D2639" s="5" t="n">
        <v>10</v>
      </c>
      <c r="E2639" s="5" t="n">
        <v>200</v>
      </c>
      <c r="F2639" t="inlineStr">
        <is>
          <t>Поступление</t>
        </is>
      </c>
      <c r="H2639">
        <f>VLOOKUP(C2639,Магазин!$A$2:$C$1000,2,0)</f>
        <v/>
      </c>
      <c r="I2639">
        <f>VLOOKUP(D2639,Товар!$A$2:$F$1000,3,0)</f>
        <v/>
      </c>
      <c r="J2639">
        <f>VLOOKUP(D2639,Товар!$A$2:$F$1000,5,0)</f>
        <v/>
      </c>
      <c r="K2639">
        <f>IF(AND(H2639="Промышленный",LEFT(I2639,18)="Порошок стиральный",F2639="Продажа",B2639=DATE(2023,6,7)),E2639*J2639/1000,0)</f>
        <v/>
      </c>
    </row>
    <row r="2640">
      <c r="A2640" t="n">
        <v>2639</v>
      </c>
      <c r="B2640" s="1" t="n">
        <v>45086</v>
      </c>
      <c r="C2640" s="5" t="inlineStr">
        <is>
          <t>M3</t>
        </is>
      </c>
      <c r="D2640" s="5" t="n">
        <v>11</v>
      </c>
      <c r="E2640" s="5" t="n">
        <v>200</v>
      </c>
      <c r="F2640" t="inlineStr">
        <is>
          <t>Поступление</t>
        </is>
      </c>
      <c r="H2640">
        <f>VLOOKUP(C2640,Магазин!$A$2:$C$1000,2,0)</f>
        <v/>
      </c>
      <c r="I2640">
        <f>VLOOKUP(D2640,Товар!$A$2:$F$1000,3,0)</f>
        <v/>
      </c>
      <c r="J2640">
        <f>VLOOKUP(D2640,Товар!$A$2:$F$1000,5,0)</f>
        <v/>
      </c>
      <c r="K2640">
        <f>IF(AND(H2640="Промышленный",LEFT(I2640,18)="Порошок стиральный",F2640="Продажа",B2640=DATE(2023,6,7)),E2640*J2640/1000,0)</f>
        <v/>
      </c>
    </row>
    <row r="2641">
      <c r="A2641" t="n">
        <v>2640</v>
      </c>
      <c r="B2641" s="1" t="n">
        <v>45086</v>
      </c>
      <c r="C2641" s="5" t="inlineStr">
        <is>
          <t>M3</t>
        </is>
      </c>
      <c r="D2641" s="5" t="n">
        <v>12</v>
      </c>
      <c r="E2641" s="5" t="n">
        <v>200</v>
      </c>
      <c r="F2641" t="inlineStr">
        <is>
          <t>Поступление</t>
        </is>
      </c>
      <c r="H2641">
        <f>VLOOKUP(C2641,Магазин!$A$2:$C$1000,2,0)</f>
        <v/>
      </c>
      <c r="I2641">
        <f>VLOOKUP(D2641,Товар!$A$2:$F$1000,3,0)</f>
        <v/>
      </c>
      <c r="J2641">
        <f>VLOOKUP(D2641,Товар!$A$2:$F$1000,5,0)</f>
        <v/>
      </c>
      <c r="K2641">
        <f>IF(AND(H2641="Промышленный",LEFT(I2641,18)="Порошок стиральный",F2641="Продажа",B2641=DATE(2023,6,7)),E2641*J2641/1000,0)</f>
        <v/>
      </c>
    </row>
    <row r="2642">
      <c r="A2642" t="n">
        <v>2641</v>
      </c>
      <c r="B2642" s="1" t="n">
        <v>45086</v>
      </c>
      <c r="C2642" s="5" t="inlineStr">
        <is>
          <t>M3</t>
        </is>
      </c>
      <c r="D2642" s="5" t="n">
        <v>13</v>
      </c>
      <c r="E2642" s="5" t="n">
        <v>200</v>
      </c>
      <c r="F2642" t="inlineStr">
        <is>
          <t>Поступление</t>
        </is>
      </c>
      <c r="H2642">
        <f>VLOOKUP(C2642,Магазин!$A$2:$C$1000,2,0)</f>
        <v/>
      </c>
      <c r="I2642">
        <f>VLOOKUP(D2642,Товар!$A$2:$F$1000,3,0)</f>
        <v/>
      </c>
      <c r="J2642">
        <f>VLOOKUP(D2642,Товар!$A$2:$F$1000,5,0)</f>
        <v/>
      </c>
      <c r="K2642">
        <f>IF(AND(H2642="Промышленный",LEFT(I2642,18)="Порошок стиральный",F2642="Продажа",B2642=DATE(2023,6,7)),E2642*J2642/1000,0)</f>
        <v/>
      </c>
    </row>
    <row r="2643">
      <c r="A2643" t="n">
        <v>2642</v>
      </c>
      <c r="B2643" s="1" t="n">
        <v>45086</v>
      </c>
      <c r="C2643" s="5" t="inlineStr">
        <is>
          <t>M3</t>
        </is>
      </c>
      <c r="D2643" s="5" t="n">
        <v>14</v>
      </c>
      <c r="E2643" s="5" t="n">
        <v>200</v>
      </c>
      <c r="F2643" t="inlineStr">
        <is>
          <t>Поступление</t>
        </is>
      </c>
      <c r="H2643">
        <f>VLOOKUP(C2643,Магазин!$A$2:$C$1000,2,0)</f>
        <v/>
      </c>
      <c r="I2643">
        <f>VLOOKUP(D2643,Товар!$A$2:$F$1000,3,0)</f>
        <v/>
      </c>
      <c r="J2643">
        <f>VLOOKUP(D2643,Товар!$A$2:$F$1000,5,0)</f>
        <v/>
      </c>
      <c r="K2643">
        <f>IF(AND(H2643="Промышленный",LEFT(I2643,18)="Порошок стиральный",F2643="Продажа",B2643=DATE(2023,6,7)),E2643*J2643/1000,0)</f>
        <v/>
      </c>
    </row>
    <row r="2644">
      <c r="A2644" t="n">
        <v>2643</v>
      </c>
      <c r="B2644" s="1" t="n">
        <v>45086</v>
      </c>
      <c r="C2644" s="5" t="inlineStr">
        <is>
          <t>M3</t>
        </is>
      </c>
      <c r="D2644" s="5" t="n">
        <v>15</v>
      </c>
      <c r="E2644" s="5" t="n">
        <v>200</v>
      </c>
      <c r="F2644" t="inlineStr">
        <is>
          <t>Поступление</t>
        </is>
      </c>
      <c r="H2644">
        <f>VLOOKUP(C2644,Магазин!$A$2:$C$1000,2,0)</f>
        <v/>
      </c>
      <c r="I2644">
        <f>VLOOKUP(D2644,Товар!$A$2:$F$1000,3,0)</f>
        <v/>
      </c>
      <c r="J2644">
        <f>VLOOKUP(D2644,Товар!$A$2:$F$1000,5,0)</f>
        <v/>
      </c>
      <c r="K2644">
        <f>IF(AND(H2644="Промышленный",LEFT(I2644,18)="Порошок стиральный",F2644="Продажа",B2644=DATE(2023,6,7)),E2644*J2644/1000,0)</f>
        <v/>
      </c>
    </row>
    <row r="2645">
      <c r="A2645" t="n">
        <v>2644</v>
      </c>
      <c r="B2645" s="1" t="n">
        <v>45086</v>
      </c>
      <c r="C2645" s="5" t="inlineStr">
        <is>
          <t>M3</t>
        </is>
      </c>
      <c r="D2645" s="5" t="n">
        <v>16</v>
      </c>
      <c r="E2645" s="5" t="n">
        <v>200</v>
      </c>
      <c r="F2645" t="inlineStr">
        <is>
          <t>Поступление</t>
        </is>
      </c>
      <c r="H2645">
        <f>VLOOKUP(C2645,Магазин!$A$2:$C$1000,2,0)</f>
        <v/>
      </c>
      <c r="I2645">
        <f>VLOOKUP(D2645,Товар!$A$2:$F$1000,3,0)</f>
        <v/>
      </c>
      <c r="J2645">
        <f>VLOOKUP(D2645,Товар!$A$2:$F$1000,5,0)</f>
        <v/>
      </c>
      <c r="K2645">
        <f>IF(AND(H2645="Промышленный",LEFT(I2645,18)="Порошок стиральный",F2645="Продажа",B2645=DATE(2023,6,7)),E2645*J2645/1000,0)</f>
        <v/>
      </c>
    </row>
    <row r="2646">
      <c r="A2646" t="n">
        <v>2645</v>
      </c>
      <c r="B2646" s="1" t="n">
        <v>45086</v>
      </c>
      <c r="C2646" s="5" t="inlineStr">
        <is>
          <t>M3</t>
        </is>
      </c>
      <c r="D2646" s="5" t="n">
        <v>17</v>
      </c>
      <c r="E2646" s="5" t="n">
        <v>200</v>
      </c>
      <c r="F2646" t="inlineStr">
        <is>
          <t>Поступление</t>
        </is>
      </c>
      <c r="H2646">
        <f>VLOOKUP(C2646,Магазин!$A$2:$C$1000,2,0)</f>
        <v/>
      </c>
      <c r="I2646">
        <f>VLOOKUP(D2646,Товар!$A$2:$F$1000,3,0)</f>
        <v/>
      </c>
      <c r="J2646">
        <f>VLOOKUP(D2646,Товар!$A$2:$F$1000,5,0)</f>
        <v/>
      </c>
      <c r="K2646">
        <f>IF(AND(H2646="Промышленный",LEFT(I2646,18)="Порошок стиральный",F2646="Продажа",B2646=DATE(2023,6,7)),E2646*J2646/1000,0)</f>
        <v/>
      </c>
    </row>
    <row r="2647">
      <c r="A2647" t="n">
        <v>2646</v>
      </c>
      <c r="B2647" s="1" t="n">
        <v>45086</v>
      </c>
      <c r="C2647" s="5" t="inlineStr">
        <is>
          <t>M3</t>
        </is>
      </c>
      <c r="D2647" s="5" t="n">
        <v>18</v>
      </c>
      <c r="E2647" s="5" t="n">
        <v>200</v>
      </c>
      <c r="F2647" t="inlineStr">
        <is>
          <t>Поступление</t>
        </is>
      </c>
      <c r="H2647">
        <f>VLOOKUP(C2647,Магазин!$A$2:$C$1000,2,0)</f>
        <v/>
      </c>
      <c r="I2647">
        <f>VLOOKUP(D2647,Товар!$A$2:$F$1000,3,0)</f>
        <v/>
      </c>
      <c r="J2647">
        <f>VLOOKUP(D2647,Товар!$A$2:$F$1000,5,0)</f>
        <v/>
      </c>
      <c r="K2647">
        <f>IF(AND(H2647="Промышленный",LEFT(I2647,18)="Порошок стиральный",F2647="Продажа",B2647=DATE(2023,6,7)),E2647*J2647/1000,0)</f>
        <v/>
      </c>
    </row>
    <row r="2648">
      <c r="A2648" t="n">
        <v>2647</v>
      </c>
      <c r="B2648" s="1" t="n">
        <v>45086</v>
      </c>
      <c r="C2648" s="5" t="inlineStr">
        <is>
          <t>M3</t>
        </is>
      </c>
      <c r="D2648" s="5" t="n">
        <v>19</v>
      </c>
      <c r="E2648" s="5" t="n">
        <v>200</v>
      </c>
      <c r="F2648" t="inlineStr">
        <is>
          <t>Поступление</t>
        </is>
      </c>
      <c r="H2648">
        <f>VLOOKUP(C2648,Магазин!$A$2:$C$1000,2,0)</f>
        <v/>
      </c>
      <c r="I2648">
        <f>VLOOKUP(D2648,Товар!$A$2:$F$1000,3,0)</f>
        <v/>
      </c>
      <c r="J2648">
        <f>VLOOKUP(D2648,Товар!$A$2:$F$1000,5,0)</f>
        <v/>
      </c>
      <c r="K2648">
        <f>IF(AND(H2648="Промышленный",LEFT(I2648,18)="Порошок стиральный",F2648="Продажа",B2648=DATE(2023,6,7)),E2648*J2648/1000,0)</f>
        <v/>
      </c>
    </row>
    <row r="2649">
      <c r="A2649" t="n">
        <v>2648</v>
      </c>
      <c r="B2649" s="1" t="n">
        <v>45086</v>
      </c>
      <c r="C2649" s="5" t="inlineStr">
        <is>
          <t>M3</t>
        </is>
      </c>
      <c r="D2649" s="5" t="n">
        <v>20</v>
      </c>
      <c r="E2649" s="5" t="n">
        <v>200</v>
      </c>
      <c r="F2649" t="inlineStr">
        <is>
          <t>Поступление</t>
        </is>
      </c>
      <c r="H2649">
        <f>VLOOKUP(C2649,Магазин!$A$2:$C$1000,2,0)</f>
        <v/>
      </c>
      <c r="I2649">
        <f>VLOOKUP(D2649,Товар!$A$2:$F$1000,3,0)</f>
        <v/>
      </c>
      <c r="J2649">
        <f>VLOOKUP(D2649,Товар!$A$2:$F$1000,5,0)</f>
        <v/>
      </c>
      <c r="K2649">
        <f>IF(AND(H2649="Промышленный",LEFT(I2649,18)="Порошок стиральный",F2649="Продажа",B2649=DATE(2023,6,7)),E2649*J2649/1000,0)</f>
        <v/>
      </c>
    </row>
    <row r="2650">
      <c r="A2650" t="n">
        <v>2649</v>
      </c>
      <c r="B2650" s="1" t="n">
        <v>45086</v>
      </c>
      <c r="C2650" s="5" t="inlineStr">
        <is>
          <t>M3</t>
        </is>
      </c>
      <c r="D2650" s="5" t="n">
        <v>21</v>
      </c>
      <c r="E2650" s="5" t="n">
        <v>200</v>
      </c>
      <c r="F2650" t="inlineStr">
        <is>
          <t>Поступление</t>
        </is>
      </c>
      <c r="H2650">
        <f>VLOOKUP(C2650,Магазин!$A$2:$C$1000,2,0)</f>
        <v/>
      </c>
      <c r="I2650">
        <f>VLOOKUP(D2650,Товар!$A$2:$F$1000,3,0)</f>
        <v/>
      </c>
      <c r="J2650">
        <f>VLOOKUP(D2650,Товар!$A$2:$F$1000,5,0)</f>
        <v/>
      </c>
      <c r="K2650">
        <f>IF(AND(H2650="Промышленный",LEFT(I2650,18)="Порошок стиральный",F2650="Продажа",B2650=DATE(2023,6,7)),E2650*J2650/1000,0)</f>
        <v/>
      </c>
    </row>
    <row r="2651">
      <c r="A2651" t="n">
        <v>2650</v>
      </c>
      <c r="B2651" s="1" t="n">
        <v>45086</v>
      </c>
      <c r="C2651" s="5" t="inlineStr">
        <is>
          <t>M3</t>
        </is>
      </c>
      <c r="D2651" s="5" t="n">
        <v>22</v>
      </c>
      <c r="E2651" s="5" t="n">
        <v>200</v>
      </c>
      <c r="F2651" t="inlineStr">
        <is>
          <t>Поступление</t>
        </is>
      </c>
      <c r="H2651">
        <f>VLOOKUP(C2651,Магазин!$A$2:$C$1000,2,0)</f>
        <v/>
      </c>
      <c r="I2651">
        <f>VLOOKUP(D2651,Товар!$A$2:$F$1000,3,0)</f>
        <v/>
      </c>
      <c r="J2651">
        <f>VLOOKUP(D2651,Товар!$A$2:$F$1000,5,0)</f>
        <v/>
      </c>
      <c r="K2651">
        <f>IF(AND(H2651="Промышленный",LEFT(I2651,18)="Порошок стиральный",F2651="Продажа",B2651=DATE(2023,6,7)),E2651*J2651/1000,0)</f>
        <v/>
      </c>
    </row>
    <row r="2652">
      <c r="A2652" t="n">
        <v>2651</v>
      </c>
      <c r="B2652" s="1" t="n">
        <v>45086</v>
      </c>
      <c r="C2652" s="5" t="inlineStr">
        <is>
          <t>M3</t>
        </is>
      </c>
      <c r="D2652" s="5" t="n">
        <v>23</v>
      </c>
      <c r="E2652" s="5" t="n">
        <v>200</v>
      </c>
      <c r="F2652" t="inlineStr">
        <is>
          <t>Поступление</t>
        </is>
      </c>
      <c r="H2652">
        <f>VLOOKUP(C2652,Магазин!$A$2:$C$1000,2,0)</f>
        <v/>
      </c>
      <c r="I2652">
        <f>VLOOKUP(D2652,Товар!$A$2:$F$1000,3,0)</f>
        <v/>
      </c>
      <c r="J2652">
        <f>VLOOKUP(D2652,Товар!$A$2:$F$1000,5,0)</f>
        <v/>
      </c>
      <c r="K2652">
        <f>IF(AND(H2652="Промышленный",LEFT(I2652,18)="Порошок стиральный",F2652="Продажа",B2652=DATE(2023,6,7)),E2652*J2652/1000,0)</f>
        <v/>
      </c>
    </row>
    <row r="2653">
      <c r="A2653" t="n">
        <v>2652</v>
      </c>
      <c r="B2653" s="1" t="n">
        <v>45086</v>
      </c>
      <c r="C2653" s="5" t="inlineStr">
        <is>
          <t>M3</t>
        </is>
      </c>
      <c r="D2653" s="5" t="n">
        <v>24</v>
      </c>
      <c r="E2653" s="5" t="n">
        <v>200</v>
      </c>
      <c r="F2653" t="inlineStr">
        <is>
          <t>Поступление</t>
        </is>
      </c>
      <c r="H2653">
        <f>VLOOKUP(C2653,Магазин!$A$2:$C$1000,2,0)</f>
        <v/>
      </c>
      <c r="I2653">
        <f>VLOOKUP(D2653,Товар!$A$2:$F$1000,3,0)</f>
        <v/>
      </c>
      <c r="J2653">
        <f>VLOOKUP(D2653,Товар!$A$2:$F$1000,5,0)</f>
        <v/>
      </c>
      <c r="K2653">
        <f>IF(AND(H2653="Промышленный",LEFT(I2653,18)="Порошок стиральный",F2653="Продажа",B2653=DATE(2023,6,7)),E2653*J2653/1000,0)</f>
        <v/>
      </c>
    </row>
    <row r="2654">
      <c r="A2654" t="n">
        <v>2653</v>
      </c>
      <c r="B2654" s="1" t="n">
        <v>45086</v>
      </c>
      <c r="C2654" s="5" t="inlineStr">
        <is>
          <t>M3</t>
        </is>
      </c>
      <c r="D2654" s="5" t="n">
        <v>25</v>
      </c>
      <c r="E2654" s="5" t="n">
        <v>200</v>
      </c>
      <c r="F2654" t="inlineStr">
        <is>
          <t>Поступление</t>
        </is>
      </c>
      <c r="H2654">
        <f>VLOOKUP(C2654,Магазин!$A$2:$C$1000,2,0)</f>
        <v/>
      </c>
      <c r="I2654">
        <f>VLOOKUP(D2654,Товар!$A$2:$F$1000,3,0)</f>
        <v/>
      </c>
      <c r="J2654">
        <f>VLOOKUP(D2654,Товар!$A$2:$F$1000,5,0)</f>
        <v/>
      </c>
      <c r="K2654">
        <f>IF(AND(H2654="Промышленный",LEFT(I2654,18)="Порошок стиральный",F2654="Продажа",B2654=DATE(2023,6,7)),E2654*J2654/1000,0)</f>
        <v/>
      </c>
    </row>
    <row r="2655">
      <c r="A2655" t="n">
        <v>2654</v>
      </c>
      <c r="B2655" s="1" t="n">
        <v>45086</v>
      </c>
      <c r="C2655" s="5" t="inlineStr">
        <is>
          <t>M3</t>
        </is>
      </c>
      <c r="D2655" s="5" t="n">
        <v>26</v>
      </c>
      <c r="E2655" s="5" t="n">
        <v>200</v>
      </c>
      <c r="F2655" t="inlineStr">
        <is>
          <t>Поступление</t>
        </is>
      </c>
      <c r="H2655">
        <f>VLOOKUP(C2655,Магазин!$A$2:$C$1000,2,0)</f>
        <v/>
      </c>
      <c r="I2655">
        <f>VLOOKUP(D2655,Товар!$A$2:$F$1000,3,0)</f>
        <v/>
      </c>
      <c r="J2655">
        <f>VLOOKUP(D2655,Товар!$A$2:$F$1000,5,0)</f>
        <v/>
      </c>
      <c r="K2655">
        <f>IF(AND(H2655="Промышленный",LEFT(I2655,18)="Порошок стиральный",F2655="Продажа",B2655=DATE(2023,6,7)),E2655*J2655/1000,0)</f>
        <v/>
      </c>
    </row>
    <row r="2656">
      <c r="A2656" t="n">
        <v>2655</v>
      </c>
      <c r="B2656" s="1" t="n">
        <v>45086</v>
      </c>
      <c r="C2656" s="5" t="inlineStr">
        <is>
          <t>M3</t>
        </is>
      </c>
      <c r="D2656" s="5" t="n">
        <v>27</v>
      </c>
      <c r="E2656" s="5" t="n">
        <v>200</v>
      </c>
      <c r="F2656" t="inlineStr">
        <is>
          <t>Поступление</t>
        </is>
      </c>
      <c r="H2656">
        <f>VLOOKUP(C2656,Магазин!$A$2:$C$1000,2,0)</f>
        <v/>
      </c>
      <c r="I2656">
        <f>VLOOKUP(D2656,Товар!$A$2:$F$1000,3,0)</f>
        <v/>
      </c>
      <c r="J2656">
        <f>VLOOKUP(D2656,Товар!$A$2:$F$1000,5,0)</f>
        <v/>
      </c>
      <c r="K2656">
        <f>IF(AND(H2656="Промышленный",LEFT(I2656,18)="Порошок стиральный",F2656="Продажа",B2656=DATE(2023,6,7)),E2656*J2656/1000,0)</f>
        <v/>
      </c>
    </row>
    <row r="2657">
      <c r="A2657" t="n">
        <v>2656</v>
      </c>
      <c r="B2657" s="1" t="n">
        <v>45086</v>
      </c>
      <c r="C2657" s="5" t="inlineStr">
        <is>
          <t>M3</t>
        </is>
      </c>
      <c r="D2657" s="5" t="n">
        <v>28</v>
      </c>
      <c r="E2657" s="5" t="n">
        <v>200</v>
      </c>
      <c r="F2657" t="inlineStr">
        <is>
          <t>Поступление</t>
        </is>
      </c>
      <c r="H2657">
        <f>VLOOKUP(C2657,Магазин!$A$2:$C$1000,2,0)</f>
        <v/>
      </c>
      <c r="I2657">
        <f>VLOOKUP(D2657,Товар!$A$2:$F$1000,3,0)</f>
        <v/>
      </c>
      <c r="J2657">
        <f>VLOOKUP(D2657,Товар!$A$2:$F$1000,5,0)</f>
        <v/>
      </c>
      <c r="K2657">
        <f>IF(AND(H2657="Промышленный",LEFT(I2657,18)="Порошок стиральный",F2657="Продажа",B2657=DATE(2023,6,7)),E2657*J2657/1000,0)</f>
        <v/>
      </c>
    </row>
    <row r="2658">
      <c r="A2658" t="n">
        <v>2657</v>
      </c>
      <c r="B2658" s="1" t="n">
        <v>45086</v>
      </c>
      <c r="C2658" s="5" t="inlineStr">
        <is>
          <t>M3</t>
        </is>
      </c>
      <c r="D2658" s="5" t="n">
        <v>29</v>
      </c>
      <c r="E2658" s="5" t="n">
        <v>200</v>
      </c>
      <c r="F2658" t="inlineStr">
        <is>
          <t>Поступление</t>
        </is>
      </c>
      <c r="H2658">
        <f>VLOOKUP(C2658,Магазин!$A$2:$C$1000,2,0)</f>
        <v/>
      </c>
      <c r="I2658">
        <f>VLOOKUP(D2658,Товар!$A$2:$F$1000,3,0)</f>
        <v/>
      </c>
      <c r="J2658">
        <f>VLOOKUP(D2658,Товар!$A$2:$F$1000,5,0)</f>
        <v/>
      </c>
      <c r="K2658">
        <f>IF(AND(H2658="Промышленный",LEFT(I2658,18)="Порошок стиральный",F2658="Продажа",B2658=DATE(2023,6,7)),E2658*J2658/1000,0)</f>
        <v/>
      </c>
    </row>
    <row r="2659">
      <c r="A2659" t="n">
        <v>2658</v>
      </c>
      <c r="B2659" s="1" t="n">
        <v>45086</v>
      </c>
      <c r="C2659" s="5" t="inlineStr">
        <is>
          <t>M3</t>
        </is>
      </c>
      <c r="D2659" s="5" t="n">
        <v>30</v>
      </c>
      <c r="E2659" s="5" t="n">
        <v>200</v>
      </c>
      <c r="F2659" t="inlineStr">
        <is>
          <t>Поступление</t>
        </is>
      </c>
      <c r="H2659">
        <f>VLOOKUP(C2659,Магазин!$A$2:$C$1000,2,0)</f>
        <v/>
      </c>
      <c r="I2659">
        <f>VLOOKUP(D2659,Товар!$A$2:$F$1000,3,0)</f>
        <v/>
      </c>
      <c r="J2659">
        <f>VLOOKUP(D2659,Товар!$A$2:$F$1000,5,0)</f>
        <v/>
      </c>
      <c r="K2659">
        <f>IF(AND(H2659="Промышленный",LEFT(I2659,18)="Порошок стиральный",F2659="Продажа",B2659=DATE(2023,6,7)),E2659*J2659/1000,0)</f>
        <v/>
      </c>
    </row>
    <row r="2660">
      <c r="A2660" t="n">
        <v>2659</v>
      </c>
      <c r="B2660" s="1" t="n">
        <v>45086</v>
      </c>
      <c r="C2660" s="5" t="inlineStr">
        <is>
          <t>M3</t>
        </is>
      </c>
      <c r="D2660" s="5" t="n">
        <v>31</v>
      </c>
      <c r="E2660" s="5" t="n">
        <v>200</v>
      </c>
      <c r="F2660" t="inlineStr">
        <is>
          <t>Поступление</t>
        </is>
      </c>
      <c r="H2660">
        <f>VLOOKUP(C2660,Магазин!$A$2:$C$1000,2,0)</f>
        <v/>
      </c>
      <c r="I2660">
        <f>VLOOKUP(D2660,Товар!$A$2:$F$1000,3,0)</f>
        <v/>
      </c>
      <c r="J2660">
        <f>VLOOKUP(D2660,Товар!$A$2:$F$1000,5,0)</f>
        <v/>
      </c>
      <c r="K2660">
        <f>IF(AND(H2660="Промышленный",LEFT(I2660,18)="Порошок стиральный",F2660="Продажа",B2660=DATE(2023,6,7)),E2660*J2660/1000,0)</f>
        <v/>
      </c>
    </row>
    <row r="2661">
      <c r="A2661" t="n">
        <v>2660</v>
      </c>
      <c r="B2661" s="1" t="n">
        <v>45086</v>
      </c>
      <c r="C2661" s="5" t="inlineStr">
        <is>
          <t>M3</t>
        </is>
      </c>
      <c r="D2661" s="5" t="n">
        <v>32</v>
      </c>
      <c r="E2661" s="5" t="n">
        <v>200</v>
      </c>
      <c r="F2661" t="inlineStr">
        <is>
          <t>Поступление</t>
        </is>
      </c>
      <c r="H2661">
        <f>VLOOKUP(C2661,Магазин!$A$2:$C$1000,2,0)</f>
        <v/>
      </c>
      <c r="I2661">
        <f>VLOOKUP(D2661,Товар!$A$2:$F$1000,3,0)</f>
        <v/>
      </c>
      <c r="J2661">
        <f>VLOOKUP(D2661,Товар!$A$2:$F$1000,5,0)</f>
        <v/>
      </c>
      <c r="K2661">
        <f>IF(AND(H2661="Промышленный",LEFT(I2661,18)="Порошок стиральный",F2661="Продажа",B2661=DATE(2023,6,7)),E2661*J2661/1000,0)</f>
        <v/>
      </c>
    </row>
    <row r="2662">
      <c r="A2662" t="n">
        <v>2661</v>
      </c>
      <c r="B2662" s="1" t="n">
        <v>45086</v>
      </c>
      <c r="C2662" s="5" t="inlineStr">
        <is>
          <t>M3</t>
        </is>
      </c>
      <c r="D2662" s="5" t="n">
        <v>33</v>
      </c>
      <c r="E2662" s="5" t="n">
        <v>200</v>
      </c>
      <c r="F2662" t="inlineStr">
        <is>
          <t>Поступление</t>
        </is>
      </c>
      <c r="H2662">
        <f>VLOOKUP(C2662,Магазин!$A$2:$C$1000,2,0)</f>
        <v/>
      </c>
      <c r="I2662">
        <f>VLOOKUP(D2662,Товар!$A$2:$F$1000,3,0)</f>
        <v/>
      </c>
      <c r="J2662">
        <f>VLOOKUP(D2662,Товар!$A$2:$F$1000,5,0)</f>
        <v/>
      </c>
      <c r="K2662">
        <f>IF(AND(H2662="Промышленный",LEFT(I2662,18)="Порошок стиральный",F2662="Продажа",B2662=DATE(2023,6,7)),E2662*J2662/1000,0)</f>
        <v/>
      </c>
    </row>
    <row r="2663">
      <c r="A2663" t="n">
        <v>2662</v>
      </c>
      <c r="B2663" s="1" t="n">
        <v>45086</v>
      </c>
      <c r="C2663" s="5" t="inlineStr">
        <is>
          <t>M3</t>
        </is>
      </c>
      <c r="D2663" s="5" t="n">
        <v>34</v>
      </c>
      <c r="E2663" s="5" t="n">
        <v>200</v>
      </c>
      <c r="F2663" t="inlineStr">
        <is>
          <t>Поступление</t>
        </is>
      </c>
      <c r="H2663">
        <f>VLOOKUP(C2663,Магазин!$A$2:$C$1000,2,0)</f>
        <v/>
      </c>
      <c r="I2663">
        <f>VLOOKUP(D2663,Товар!$A$2:$F$1000,3,0)</f>
        <v/>
      </c>
      <c r="J2663">
        <f>VLOOKUP(D2663,Товар!$A$2:$F$1000,5,0)</f>
        <v/>
      </c>
      <c r="K2663">
        <f>IF(AND(H2663="Промышленный",LEFT(I2663,18)="Порошок стиральный",F2663="Продажа",B2663=DATE(2023,6,7)),E2663*J2663/1000,0)</f>
        <v/>
      </c>
    </row>
    <row r="2664">
      <c r="A2664" t="n">
        <v>2663</v>
      </c>
      <c r="B2664" s="1" t="n">
        <v>45086</v>
      </c>
      <c r="C2664" s="5" t="inlineStr">
        <is>
          <t>M3</t>
        </is>
      </c>
      <c r="D2664" s="5" t="n">
        <v>35</v>
      </c>
      <c r="E2664" s="5" t="n">
        <v>200</v>
      </c>
      <c r="F2664" t="inlineStr">
        <is>
          <t>Поступление</t>
        </is>
      </c>
      <c r="H2664">
        <f>VLOOKUP(C2664,Магазин!$A$2:$C$1000,2,0)</f>
        <v/>
      </c>
      <c r="I2664">
        <f>VLOOKUP(D2664,Товар!$A$2:$F$1000,3,0)</f>
        <v/>
      </c>
      <c r="J2664">
        <f>VLOOKUP(D2664,Товар!$A$2:$F$1000,5,0)</f>
        <v/>
      </c>
      <c r="K2664">
        <f>IF(AND(H2664="Промышленный",LEFT(I2664,18)="Порошок стиральный",F2664="Продажа",B2664=DATE(2023,6,7)),E2664*J2664/1000,0)</f>
        <v/>
      </c>
    </row>
    <row r="2665">
      <c r="A2665" t="n">
        <v>2664</v>
      </c>
      <c r="B2665" s="1" t="n">
        <v>45086</v>
      </c>
      <c r="C2665" s="5" t="inlineStr">
        <is>
          <t>M3</t>
        </is>
      </c>
      <c r="D2665" s="5" t="n">
        <v>36</v>
      </c>
      <c r="E2665" s="5" t="n">
        <v>200</v>
      </c>
      <c r="F2665" t="inlineStr">
        <is>
          <t>Поступление</t>
        </is>
      </c>
      <c r="H2665">
        <f>VLOOKUP(C2665,Магазин!$A$2:$C$1000,2,0)</f>
        <v/>
      </c>
      <c r="I2665">
        <f>VLOOKUP(D2665,Товар!$A$2:$F$1000,3,0)</f>
        <v/>
      </c>
      <c r="J2665">
        <f>VLOOKUP(D2665,Товар!$A$2:$F$1000,5,0)</f>
        <v/>
      </c>
      <c r="K2665">
        <f>IF(AND(H2665="Промышленный",LEFT(I2665,18)="Порошок стиральный",F2665="Продажа",B2665=DATE(2023,6,7)),E2665*J2665/1000,0)</f>
        <v/>
      </c>
    </row>
    <row r="2666">
      <c r="A2666" t="n">
        <v>2665</v>
      </c>
      <c r="B2666" s="1" t="n">
        <v>45086</v>
      </c>
      <c r="C2666" s="5" t="inlineStr">
        <is>
          <t>M9</t>
        </is>
      </c>
      <c r="D2666" s="5" t="n">
        <v>1</v>
      </c>
      <c r="E2666" s="5" t="n">
        <v>200</v>
      </c>
      <c r="F2666" t="inlineStr">
        <is>
          <t>Поступление</t>
        </is>
      </c>
      <c r="H2666">
        <f>VLOOKUP(C2666,Магазин!$A$2:$C$1000,2,0)</f>
        <v/>
      </c>
      <c r="I2666">
        <f>VLOOKUP(D2666,Товар!$A$2:$F$1000,3,0)</f>
        <v/>
      </c>
      <c r="J2666">
        <f>VLOOKUP(D2666,Товар!$A$2:$F$1000,5,0)</f>
        <v/>
      </c>
      <c r="K2666">
        <f>IF(AND(H2666="Промышленный",LEFT(I2666,18)="Порошок стиральный",F2666="Продажа",B2666=DATE(2023,6,7)),E2666*J2666/1000,0)</f>
        <v/>
      </c>
    </row>
    <row r="2667">
      <c r="A2667" t="n">
        <v>2666</v>
      </c>
      <c r="B2667" s="1" t="n">
        <v>45086</v>
      </c>
      <c r="C2667" s="5" t="inlineStr">
        <is>
          <t>M9</t>
        </is>
      </c>
      <c r="D2667" s="5" t="n">
        <v>2</v>
      </c>
      <c r="E2667" s="5" t="n">
        <v>200</v>
      </c>
      <c r="F2667" t="inlineStr">
        <is>
          <t>Поступление</t>
        </is>
      </c>
      <c r="H2667">
        <f>VLOOKUP(C2667,Магазин!$A$2:$C$1000,2,0)</f>
        <v/>
      </c>
      <c r="I2667">
        <f>VLOOKUP(D2667,Товар!$A$2:$F$1000,3,0)</f>
        <v/>
      </c>
      <c r="J2667">
        <f>VLOOKUP(D2667,Товар!$A$2:$F$1000,5,0)</f>
        <v/>
      </c>
      <c r="K2667">
        <f>IF(AND(H2667="Промышленный",LEFT(I2667,18)="Порошок стиральный",F2667="Продажа",B2667=DATE(2023,6,7)),E2667*J2667/1000,0)</f>
        <v/>
      </c>
    </row>
    <row r="2668">
      <c r="A2668" t="n">
        <v>2667</v>
      </c>
      <c r="B2668" s="1" t="n">
        <v>45086</v>
      </c>
      <c r="C2668" s="5" t="inlineStr">
        <is>
          <t>M9</t>
        </is>
      </c>
      <c r="D2668" s="5" t="n">
        <v>3</v>
      </c>
      <c r="E2668" s="5" t="n">
        <v>200</v>
      </c>
      <c r="F2668" t="inlineStr">
        <is>
          <t>Поступление</t>
        </is>
      </c>
      <c r="H2668">
        <f>VLOOKUP(C2668,Магазин!$A$2:$C$1000,2,0)</f>
        <v/>
      </c>
      <c r="I2668">
        <f>VLOOKUP(D2668,Товар!$A$2:$F$1000,3,0)</f>
        <v/>
      </c>
      <c r="J2668">
        <f>VLOOKUP(D2668,Товар!$A$2:$F$1000,5,0)</f>
        <v/>
      </c>
      <c r="K2668">
        <f>IF(AND(H2668="Промышленный",LEFT(I2668,18)="Порошок стиральный",F2668="Продажа",B2668=DATE(2023,6,7)),E2668*J2668/1000,0)</f>
        <v/>
      </c>
    </row>
    <row r="2669">
      <c r="A2669" t="n">
        <v>2668</v>
      </c>
      <c r="B2669" s="1" t="n">
        <v>45086</v>
      </c>
      <c r="C2669" s="5" t="inlineStr">
        <is>
          <t>M9</t>
        </is>
      </c>
      <c r="D2669" s="5" t="n">
        <v>4</v>
      </c>
      <c r="E2669" s="5" t="n">
        <v>200</v>
      </c>
      <c r="F2669" t="inlineStr">
        <is>
          <t>Поступление</t>
        </is>
      </c>
      <c r="H2669">
        <f>VLOOKUP(C2669,Магазин!$A$2:$C$1000,2,0)</f>
        <v/>
      </c>
      <c r="I2669">
        <f>VLOOKUP(D2669,Товар!$A$2:$F$1000,3,0)</f>
        <v/>
      </c>
      <c r="J2669">
        <f>VLOOKUP(D2669,Товар!$A$2:$F$1000,5,0)</f>
        <v/>
      </c>
      <c r="K2669">
        <f>IF(AND(H2669="Промышленный",LEFT(I2669,18)="Порошок стиральный",F2669="Продажа",B2669=DATE(2023,6,7)),E2669*J2669/1000,0)</f>
        <v/>
      </c>
    </row>
    <row r="2670">
      <c r="A2670" t="n">
        <v>2669</v>
      </c>
      <c r="B2670" s="1" t="n">
        <v>45086</v>
      </c>
      <c r="C2670" s="5" t="inlineStr">
        <is>
          <t>M9</t>
        </is>
      </c>
      <c r="D2670" s="5" t="n">
        <v>5</v>
      </c>
      <c r="E2670" s="5" t="n">
        <v>200</v>
      </c>
      <c r="F2670" t="inlineStr">
        <is>
          <t>Поступление</t>
        </is>
      </c>
      <c r="H2670">
        <f>VLOOKUP(C2670,Магазин!$A$2:$C$1000,2,0)</f>
        <v/>
      </c>
      <c r="I2670">
        <f>VLOOKUP(D2670,Товар!$A$2:$F$1000,3,0)</f>
        <v/>
      </c>
      <c r="J2670">
        <f>VLOOKUP(D2670,Товар!$A$2:$F$1000,5,0)</f>
        <v/>
      </c>
      <c r="K2670">
        <f>IF(AND(H2670="Промышленный",LEFT(I2670,18)="Порошок стиральный",F2670="Продажа",B2670=DATE(2023,6,7)),E2670*J2670/1000,0)</f>
        <v/>
      </c>
    </row>
    <row r="2671">
      <c r="A2671" t="n">
        <v>2670</v>
      </c>
      <c r="B2671" s="1" t="n">
        <v>45086</v>
      </c>
      <c r="C2671" s="5" t="inlineStr">
        <is>
          <t>M9</t>
        </is>
      </c>
      <c r="D2671" s="5" t="n">
        <v>6</v>
      </c>
      <c r="E2671" s="5" t="n">
        <v>200</v>
      </c>
      <c r="F2671" t="inlineStr">
        <is>
          <t>Поступление</t>
        </is>
      </c>
      <c r="H2671">
        <f>VLOOKUP(C2671,Магазин!$A$2:$C$1000,2,0)</f>
        <v/>
      </c>
      <c r="I2671">
        <f>VLOOKUP(D2671,Товар!$A$2:$F$1000,3,0)</f>
        <v/>
      </c>
      <c r="J2671">
        <f>VLOOKUP(D2671,Товар!$A$2:$F$1000,5,0)</f>
        <v/>
      </c>
      <c r="K2671">
        <f>IF(AND(H2671="Промышленный",LEFT(I2671,18)="Порошок стиральный",F2671="Продажа",B2671=DATE(2023,6,7)),E2671*J2671/1000,0)</f>
        <v/>
      </c>
    </row>
    <row r="2672">
      <c r="A2672" t="n">
        <v>2671</v>
      </c>
      <c r="B2672" s="1" t="n">
        <v>45086</v>
      </c>
      <c r="C2672" s="5" t="inlineStr">
        <is>
          <t>M9</t>
        </is>
      </c>
      <c r="D2672" s="5" t="n">
        <v>7</v>
      </c>
      <c r="E2672" s="5" t="n">
        <v>200</v>
      </c>
      <c r="F2672" t="inlineStr">
        <is>
          <t>Поступление</t>
        </is>
      </c>
      <c r="H2672">
        <f>VLOOKUP(C2672,Магазин!$A$2:$C$1000,2,0)</f>
        <v/>
      </c>
      <c r="I2672">
        <f>VLOOKUP(D2672,Товар!$A$2:$F$1000,3,0)</f>
        <v/>
      </c>
      <c r="J2672">
        <f>VLOOKUP(D2672,Товар!$A$2:$F$1000,5,0)</f>
        <v/>
      </c>
      <c r="K2672">
        <f>IF(AND(H2672="Промышленный",LEFT(I2672,18)="Порошок стиральный",F2672="Продажа",B2672=DATE(2023,6,7)),E2672*J2672/1000,0)</f>
        <v/>
      </c>
    </row>
    <row r="2673">
      <c r="A2673" t="n">
        <v>2672</v>
      </c>
      <c r="B2673" s="1" t="n">
        <v>45086</v>
      </c>
      <c r="C2673" s="5" t="inlineStr">
        <is>
          <t>M9</t>
        </is>
      </c>
      <c r="D2673" s="5" t="n">
        <v>8</v>
      </c>
      <c r="E2673" s="5" t="n">
        <v>200</v>
      </c>
      <c r="F2673" t="inlineStr">
        <is>
          <t>Поступление</t>
        </is>
      </c>
      <c r="H2673">
        <f>VLOOKUP(C2673,Магазин!$A$2:$C$1000,2,0)</f>
        <v/>
      </c>
      <c r="I2673">
        <f>VLOOKUP(D2673,Товар!$A$2:$F$1000,3,0)</f>
        <v/>
      </c>
      <c r="J2673">
        <f>VLOOKUP(D2673,Товар!$A$2:$F$1000,5,0)</f>
        <v/>
      </c>
      <c r="K2673">
        <f>IF(AND(H2673="Промышленный",LEFT(I2673,18)="Порошок стиральный",F2673="Продажа",B2673=DATE(2023,6,7)),E2673*J2673/1000,0)</f>
        <v/>
      </c>
    </row>
    <row r="2674">
      <c r="A2674" t="n">
        <v>2673</v>
      </c>
      <c r="B2674" s="1" t="n">
        <v>45086</v>
      </c>
      <c r="C2674" s="5" t="inlineStr">
        <is>
          <t>M9</t>
        </is>
      </c>
      <c r="D2674" s="5" t="n">
        <v>9</v>
      </c>
      <c r="E2674" s="5" t="n">
        <v>200</v>
      </c>
      <c r="F2674" t="inlineStr">
        <is>
          <t>Поступление</t>
        </is>
      </c>
      <c r="H2674">
        <f>VLOOKUP(C2674,Магазин!$A$2:$C$1000,2,0)</f>
        <v/>
      </c>
      <c r="I2674">
        <f>VLOOKUP(D2674,Товар!$A$2:$F$1000,3,0)</f>
        <v/>
      </c>
      <c r="J2674">
        <f>VLOOKUP(D2674,Товар!$A$2:$F$1000,5,0)</f>
        <v/>
      </c>
      <c r="K2674">
        <f>IF(AND(H2674="Промышленный",LEFT(I2674,18)="Порошок стиральный",F2674="Продажа",B2674=DATE(2023,6,7)),E2674*J2674/1000,0)</f>
        <v/>
      </c>
    </row>
    <row r="2675">
      <c r="A2675" t="n">
        <v>2674</v>
      </c>
      <c r="B2675" s="1" t="n">
        <v>45086</v>
      </c>
      <c r="C2675" s="5" t="inlineStr">
        <is>
          <t>M9</t>
        </is>
      </c>
      <c r="D2675" s="5" t="n">
        <v>10</v>
      </c>
      <c r="E2675" s="5" t="n">
        <v>200</v>
      </c>
      <c r="F2675" t="inlineStr">
        <is>
          <t>Поступление</t>
        </is>
      </c>
      <c r="H2675">
        <f>VLOOKUP(C2675,Магазин!$A$2:$C$1000,2,0)</f>
        <v/>
      </c>
      <c r="I2675">
        <f>VLOOKUP(D2675,Товар!$A$2:$F$1000,3,0)</f>
        <v/>
      </c>
      <c r="J2675">
        <f>VLOOKUP(D2675,Товар!$A$2:$F$1000,5,0)</f>
        <v/>
      </c>
      <c r="K2675">
        <f>IF(AND(H2675="Промышленный",LEFT(I2675,18)="Порошок стиральный",F2675="Продажа",B2675=DATE(2023,6,7)),E2675*J2675/1000,0)</f>
        <v/>
      </c>
    </row>
    <row r="2676">
      <c r="A2676" t="n">
        <v>2675</v>
      </c>
      <c r="B2676" s="1" t="n">
        <v>45086</v>
      </c>
      <c r="C2676" s="5" t="inlineStr">
        <is>
          <t>M9</t>
        </is>
      </c>
      <c r="D2676" s="5" t="n">
        <v>11</v>
      </c>
      <c r="E2676" s="5" t="n">
        <v>200</v>
      </c>
      <c r="F2676" t="inlineStr">
        <is>
          <t>Поступление</t>
        </is>
      </c>
      <c r="H2676">
        <f>VLOOKUP(C2676,Магазин!$A$2:$C$1000,2,0)</f>
        <v/>
      </c>
      <c r="I2676">
        <f>VLOOKUP(D2676,Товар!$A$2:$F$1000,3,0)</f>
        <v/>
      </c>
      <c r="J2676">
        <f>VLOOKUP(D2676,Товар!$A$2:$F$1000,5,0)</f>
        <v/>
      </c>
      <c r="K2676">
        <f>IF(AND(H2676="Промышленный",LEFT(I2676,18)="Порошок стиральный",F2676="Продажа",B2676=DATE(2023,6,7)),E2676*J2676/1000,0)</f>
        <v/>
      </c>
    </row>
    <row r="2677">
      <c r="A2677" t="n">
        <v>2676</v>
      </c>
      <c r="B2677" s="1" t="n">
        <v>45086</v>
      </c>
      <c r="C2677" s="5" t="inlineStr">
        <is>
          <t>M9</t>
        </is>
      </c>
      <c r="D2677" s="5" t="n">
        <v>12</v>
      </c>
      <c r="E2677" s="5" t="n">
        <v>200</v>
      </c>
      <c r="F2677" t="inlineStr">
        <is>
          <t>Поступление</t>
        </is>
      </c>
      <c r="H2677">
        <f>VLOOKUP(C2677,Магазин!$A$2:$C$1000,2,0)</f>
        <v/>
      </c>
      <c r="I2677">
        <f>VLOOKUP(D2677,Товар!$A$2:$F$1000,3,0)</f>
        <v/>
      </c>
      <c r="J2677">
        <f>VLOOKUP(D2677,Товар!$A$2:$F$1000,5,0)</f>
        <v/>
      </c>
      <c r="K2677">
        <f>IF(AND(H2677="Промышленный",LEFT(I2677,18)="Порошок стиральный",F2677="Продажа",B2677=DATE(2023,6,7)),E2677*J2677/1000,0)</f>
        <v/>
      </c>
    </row>
    <row r="2678">
      <c r="A2678" t="n">
        <v>2677</v>
      </c>
      <c r="B2678" s="1" t="n">
        <v>45086</v>
      </c>
      <c r="C2678" s="5" t="inlineStr">
        <is>
          <t>M9</t>
        </is>
      </c>
      <c r="D2678" s="5" t="n">
        <v>13</v>
      </c>
      <c r="E2678" s="5" t="n">
        <v>200</v>
      </c>
      <c r="F2678" t="inlineStr">
        <is>
          <t>Поступление</t>
        </is>
      </c>
      <c r="H2678">
        <f>VLOOKUP(C2678,Магазин!$A$2:$C$1000,2,0)</f>
        <v/>
      </c>
      <c r="I2678">
        <f>VLOOKUP(D2678,Товар!$A$2:$F$1000,3,0)</f>
        <v/>
      </c>
      <c r="J2678">
        <f>VLOOKUP(D2678,Товар!$A$2:$F$1000,5,0)</f>
        <v/>
      </c>
      <c r="K2678">
        <f>IF(AND(H2678="Промышленный",LEFT(I2678,18)="Порошок стиральный",F2678="Продажа",B2678=DATE(2023,6,7)),E2678*J2678/1000,0)</f>
        <v/>
      </c>
    </row>
    <row r="2679">
      <c r="A2679" t="n">
        <v>2678</v>
      </c>
      <c r="B2679" s="1" t="n">
        <v>45086</v>
      </c>
      <c r="C2679" s="5" t="inlineStr">
        <is>
          <t>M9</t>
        </is>
      </c>
      <c r="D2679" s="5" t="n">
        <v>14</v>
      </c>
      <c r="E2679" s="5" t="n">
        <v>200</v>
      </c>
      <c r="F2679" t="inlineStr">
        <is>
          <t>Поступление</t>
        </is>
      </c>
      <c r="H2679">
        <f>VLOOKUP(C2679,Магазин!$A$2:$C$1000,2,0)</f>
        <v/>
      </c>
      <c r="I2679">
        <f>VLOOKUP(D2679,Товар!$A$2:$F$1000,3,0)</f>
        <v/>
      </c>
      <c r="J2679">
        <f>VLOOKUP(D2679,Товар!$A$2:$F$1000,5,0)</f>
        <v/>
      </c>
      <c r="K2679">
        <f>IF(AND(H2679="Промышленный",LEFT(I2679,18)="Порошок стиральный",F2679="Продажа",B2679=DATE(2023,6,7)),E2679*J2679/1000,0)</f>
        <v/>
      </c>
    </row>
    <row r="2680">
      <c r="A2680" t="n">
        <v>2679</v>
      </c>
      <c r="B2680" s="1" t="n">
        <v>45086</v>
      </c>
      <c r="C2680" s="5" t="inlineStr">
        <is>
          <t>M9</t>
        </is>
      </c>
      <c r="D2680" s="5" t="n">
        <v>15</v>
      </c>
      <c r="E2680" s="5" t="n">
        <v>200</v>
      </c>
      <c r="F2680" t="inlineStr">
        <is>
          <t>Поступление</t>
        </is>
      </c>
      <c r="H2680">
        <f>VLOOKUP(C2680,Магазин!$A$2:$C$1000,2,0)</f>
        <v/>
      </c>
      <c r="I2680">
        <f>VLOOKUP(D2680,Товар!$A$2:$F$1000,3,0)</f>
        <v/>
      </c>
      <c r="J2680">
        <f>VLOOKUP(D2680,Товар!$A$2:$F$1000,5,0)</f>
        <v/>
      </c>
      <c r="K2680">
        <f>IF(AND(H2680="Промышленный",LEFT(I2680,18)="Порошок стиральный",F2680="Продажа",B2680=DATE(2023,6,7)),E2680*J2680/1000,0)</f>
        <v/>
      </c>
    </row>
    <row r="2681">
      <c r="A2681" t="n">
        <v>2680</v>
      </c>
      <c r="B2681" s="1" t="n">
        <v>45086</v>
      </c>
      <c r="C2681" s="5" t="inlineStr">
        <is>
          <t>M9</t>
        </is>
      </c>
      <c r="D2681" s="5" t="n">
        <v>16</v>
      </c>
      <c r="E2681" s="5" t="n">
        <v>200</v>
      </c>
      <c r="F2681" t="inlineStr">
        <is>
          <t>Поступление</t>
        </is>
      </c>
      <c r="H2681">
        <f>VLOOKUP(C2681,Магазин!$A$2:$C$1000,2,0)</f>
        <v/>
      </c>
      <c r="I2681">
        <f>VLOOKUP(D2681,Товар!$A$2:$F$1000,3,0)</f>
        <v/>
      </c>
      <c r="J2681">
        <f>VLOOKUP(D2681,Товар!$A$2:$F$1000,5,0)</f>
        <v/>
      </c>
      <c r="K2681">
        <f>IF(AND(H2681="Промышленный",LEFT(I2681,18)="Порошок стиральный",F2681="Продажа",B2681=DATE(2023,6,7)),E2681*J2681/1000,0)</f>
        <v/>
      </c>
    </row>
    <row r="2682">
      <c r="A2682" t="n">
        <v>2681</v>
      </c>
      <c r="B2682" s="1" t="n">
        <v>45086</v>
      </c>
      <c r="C2682" s="5" t="inlineStr">
        <is>
          <t>M9</t>
        </is>
      </c>
      <c r="D2682" s="5" t="n">
        <v>17</v>
      </c>
      <c r="E2682" s="5" t="n">
        <v>200</v>
      </c>
      <c r="F2682" t="inlineStr">
        <is>
          <t>Поступление</t>
        </is>
      </c>
      <c r="H2682">
        <f>VLOOKUP(C2682,Магазин!$A$2:$C$1000,2,0)</f>
        <v/>
      </c>
      <c r="I2682">
        <f>VLOOKUP(D2682,Товар!$A$2:$F$1000,3,0)</f>
        <v/>
      </c>
      <c r="J2682">
        <f>VLOOKUP(D2682,Товар!$A$2:$F$1000,5,0)</f>
        <v/>
      </c>
      <c r="K2682">
        <f>IF(AND(H2682="Промышленный",LEFT(I2682,18)="Порошок стиральный",F2682="Продажа",B2682=DATE(2023,6,7)),E2682*J2682/1000,0)</f>
        <v/>
      </c>
    </row>
    <row r="2683">
      <c r="A2683" t="n">
        <v>2682</v>
      </c>
      <c r="B2683" s="1" t="n">
        <v>45086</v>
      </c>
      <c r="C2683" s="5" t="inlineStr">
        <is>
          <t>M9</t>
        </is>
      </c>
      <c r="D2683" s="5" t="n">
        <v>18</v>
      </c>
      <c r="E2683" s="5" t="n">
        <v>200</v>
      </c>
      <c r="F2683" t="inlineStr">
        <is>
          <t>Поступление</t>
        </is>
      </c>
      <c r="H2683">
        <f>VLOOKUP(C2683,Магазин!$A$2:$C$1000,2,0)</f>
        <v/>
      </c>
      <c r="I2683">
        <f>VLOOKUP(D2683,Товар!$A$2:$F$1000,3,0)</f>
        <v/>
      </c>
      <c r="J2683">
        <f>VLOOKUP(D2683,Товар!$A$2:$F$1000,5,0)</f>
        <v/>
      </c>
      <c r="K2683">
        <f>IF(AND(H2683="Промышленный",LEFT(I2683,18)="Порошок стиральный",F2683="Продажа",B2683=DATE(2023,6,7)),E2683*J2683/1000,0)</f>
        <v/>
      </c>
    </row>
    <row r="2684">
      <c r="A2684" t="n">
        <v>2683</v>
      </c>
      <c r="B2684" s="1" t="n">
        <v>45086</v>
      </c>
      <c r="C2684" s="5" t="inlineStr">
        <is>
          <t>M9</t>
        </is>
      </c>
      <c r="D2684" s="5" t="n">
        <v>19</v>
      </c>
      <c r="E2684" s="5" t="n">
        <v>200</v>
      </c>
      <c r="F2684" t="inlineStr">
        <is>
          <t>Поступление</t>
        </is>
      </c>
      <c r="H2684">
        <f>VLOOKUP(C2684,Магазин!$A$2:$C$1000,2,0)</f>
        <v/>
      </c>
      <c r="I2684">
        <f>VLOOKUP(D2684,Товар!$A$2:$F$1000,3,0)</f>
        <v/>
      </c>
      <c r="J2684">
        <f>VLOOKUP(D2684,Товар!$A$2:$F$1000,5,0)</f>
        <v/>
      </c>
      <c r="K2684">
        <f>IF(AND(H2684="Промышленный",LEFT(I2684,18)="Порошок стиральный",F2684="Продажа",B2684=DATE(2023,6,7)),E2684*J2684/1000,0)</f>
        <v/>
      </c>
    </row>
    <row r="2685">
      <c r="A2685" t="n">
        <v>2684</v>
      </c>
      <c r="B2685" s="1" t="n">
        <v>45086</v>
      </c>
      <c r="C2685" s="5" t="inlineStr">
        <is>
          <t>M9</t>
        </is>
      </c>
      <c r="D2685" s="5" t="n">
        <v>20</v>
      </c>
      <c r="E2685" s="5" t="n">
        <v>200</v>
      </c>
      <c r="F2685" t="inlineStr">
        <is>
          <t>Поступление</t>
        </is>
      </c>
      <c r="H2685">
        <f>VLOOKUP(C2685,Магазин!$A$2:$C$1000,2,0)</f>
        <v/>
      </c>
      <c r="I2685">
        <f>VLOOKUP(D2685,Товар!$A$2:$F$1000,3,0)</f>
        <v/>
      </c>
      <c r="J2685">
        <f>VLOOKUP(D2685,Товар!$A$2:$F$1000,5,0)</f>
        <v/>
      </c>
      <c r="K2685">
        <f>IF(AND(H2685="Промышленный",LEFT(I2685,18)="Порошок стиральный",F2685="Продажа",B2685=DATE(2023,6,7)),E2685*J2685/1000,0)</f>
        <v/>
      </c>
    </row>
    <row r="2686">
      <c r="A2686" t="n">
        <v>2685</v>
      </c>
      <c r="B2686" s="1" t="n">
        <v>45086</v>
      </c>
      <c r="C2686" s="5" t="inlineStr">
        <is>
          <t>M9</t>
        </is>
      </c>
      <c r="D2686" s="5" t="n">
        <v>21</v>
      </c>
      <c r="E2686" s="5" t="n">
        <v>200</v>
      </c>
      <c r="F2686" t="inlineStr">
        <is>
          <t>Поступление</t>
        </is>
      </c>
      <c r="H2686">
        <f>VLOOKUP(C2686,Магазин!$A$2:$C$1000,2,0)</f>
        <v/>
      </c>
      <c r="I2686">
        <f>VLOOKUP(D2686,Товар!$A$2:$F$1000,3,0)</f>
        <v/>
      </c>
      <c r="J2686">
        <f>VLOOKUP(D2686,Товар!$A$2:$F$1000,5,0)</f>
        <v/>
      </c>
      <c r="K2686">
        <f>IF(AND(H2686="Промышленный",LEFT(I2686,18)="Порошок стиральный",F2686="Продажа",B2686=DATE(2023,6,7)),E2686*J2686/1000,0)</f>
        <v/>
      </c>
    </row>
    <row r="2687">
      <c r="A2687" t="n">
        <v>2686</v>
      </c>
      <c r="B2687" s="1" t="n">
        <v>45086</v>
      </c>
      <c r="C2687" s="5" t="inlineStr">
        <is>
          <t>M9</t>
        </is>
      </c>
      <c r="D2687" s="5" t="n">
        <v>22</v>
      </c>
      <c r="E2687" s="5" t="n">
        <v>200</v>
      </c>
      <c r="F2687" t="inlineStr">
        <is>
          <t>Поступление</t>
        </is>
      </c>
      <c r="H2687">
        <f>VLOOKUP(C2687,Магазин!$A$2:$C$1000,2,0)</f>
        <v/>
      </c>
      <c r="I2687">
        <f>VLOOKUP(D2687,Товар!$A$2:$F$1000,3,0)</f>
        <v/>
      </c>
      <c r="J2687">
        <f>VLOOKUP(D2687,Товар!$A$2:$F$1000,5,0)</f>
        <v/>
      </c>
      <c r="K2687">
        <f>IF(AND(H2687="Промышленный",LEFT(I2687,18)="Порошок стиральный",F2687="Продажа",B2687=DATE(2023,6,7)),E2687*J2687/1000,0)</f>
        <v/>
      </c>
    </row>
    <row r="2688">
      <c r="A2688" t="n">
        <v>2687</v>
      </c>
      <c r="B2688" s="1" t="n">
        <v>45086</v>
      </c>
      <c r="C2688" s="5" t="inlineStr">
        <is>
          <t>M9</t>
        </is>
      </c>
      <c r="D2688" s="5" t="n">
        <v>23</v>
      </c>
      <c r="E2688" s="5" t="n">
        <v>200</v>
      </c>
      <c r="F2688" t="inlineStr">
        <is>
          <t>Поступление</t>
        </is>
      </c>
      <c r="H2688">
        <f>VLOOKUP(C2688,Магазин!$A$2:$C$1000,2,0)</f>
        <v/>
      </c>
      <c r="I2688">
        <f>VLOOKUP(D2688,Товар!$A$2:$F$1000,3,0)</f>
        <v/>
      </c>
      <c r="J2688">
        <f>VLOOKUP(D2688,Товар!$A$2:$F$1000,5,0)</f>
        <v/>
      </c>
      <c r="K2688">
        <f>IF(AND(H2688="Промышленный",LEFT(I2688,18)="Порошок стиральный",F2688="Продажа",B2688=DATE(2023,6,7)),E2688*J2688/1000,0)</f>
        <v/>
      </c>
    </row>
    <row r="2689">
      <c r="A2689" t="n">
        <v>2688</v>
      </c>
      <c r="B2689" s="1" t="n">
        <v>45086</v>
      </c>
      <c r="C2689" s="5" t="inlineStr">
        <is>
          <t>M9</t>
        </is>
      </c>
      <c r="D2689" s="5" t="n">
        <v>24</v>
      </c>
      <c r="E2689" s="5" t="n">
        <v>200</v>
      </c>
      <c r="F2689" t="inlineStr">
        <is>
          <t>Поступление</t>
        </is>
      </c>
      <c r="H2689">
        <f>VLOOKUP(C2689,Магазин!$A$2:$C$1000,2,0)</f>
        <v/>
      </c>
      <c r="I2689">
        <f>VLOOKUP(D2689,Товар!$A$2:$F$1000,3,0)</f>
        <v/>
      </c>
      <c r="J2689">
        <f>VLOOKUP(D2689,Товар!$A$2:$F$1000,5,0)</f>
        <v/>
      </c>
      <c r="K2689">
        <f>IF(AND(H2689="Промышленный",LEFT(I2689,18)="Порошок стиральный",F2689="Продажа",B2689=DATE(2023,6,7)),E2689*J2689/1000,0)</f>
        <v/>
      </c>
    </row>
    <row r="2690">
      <c r="A2690" t="n">
        <v>2689</v>
      </c>
      <c r="B2690" s="1" t="n">
        <v>45086</v>
      </c>
      <c r="C2690" s="5" t="inlineStr">
        <is>
          <t>M9</t>
        </is>
      </c>
      <c r="D2690" s="5" t="n">
        <v>25</v>
      </c>
      <c r="E2690" s="5" t="n">
        <v>200</v>
      </c>
      <c r="F2690" t="inlineStr">
        <is>
          <t>Поступление</t>
        </is>
      </c>
      <c r="H2690">
        <f>VLOOKUP(C2690,Магазин!$A$2:$C$1000,2,0)</f>
        <v/>
      </c>
      <c r="I2690">
        <f>VLOOKUP(D2690,Товар!$A$2:$F$1000,3,0)</f>
        <v/>
      </c>
      <c r="J2690">
        <f>VLOOKUP(D2690,Товар!$A$2:$F$1000,5,0)</f>
        <v/>
      </c>
      <c r="K2690">
        <f>IF(AND(H2690="Промышленный",LEFT(I2690,18)="Порошок стиральный",F2690="Продажа",B2690=DATE(2023,6,7)),E2690*J2690/1000,0)</f>
        <v/>
      </c>
    </row>
    <row r="2691">
      <c r="A2691" t="n">
        <v>2690</v>
      </c>
      <c r="B2691" s="1" t="n">
        <v>45086</v>
      </c>
      <c r="C2691" s="5" t="inlineStr">
        <is>
          <t>M9</t>
        </is>
      </c>
      <c r="D2691" s="5" t="n">
        <v>26</v>
      </c>
      <c r="E2691" s="5" t="n">
        <v>200</v>
      </c>
      <c r="F2691" t="inlineStr">
        <is>
          <t>Поступление</t>
        </is>
      </c>
      <c r="H2691">
        <f>VLOOKUP(C2691,Магазин!$A$2:$C$1000,2,0)</f>
        <v/>
      </c>
      <c r="I2691">
        <f>VLOOKUP(D2691,Товар!$A$2:$F$1000,3,0)</f>
        <v/>
      </c>
      <c r="J2691">
        <f>VLOOKUP(D2691,Товар!$A$2:$F$1000,5,0)</f>
        <v/>
      </c>
      <c r="K2691">
        <f>IF(AND(H2691="Промышленный",LEFT(I2691,18)="Порошок стиральный",F2691="Продажа",B2691=DATE(2023,6,7)),E2691*J2691/1000,0)</f>
        <v/>
      </c>
    </row>
    <row r="2692">
      <c r="A2692" t="n">
        <v>2691</v>
      </c>
      <c r="B2692" s="1" t="n">
        <v>45086</v>
      </c>
      <c r="C2692" s="5" t="inlineStr">
        <is>
          <t>M9</t>
        </is>
      </c>
      <c r="D2692" s="5" t="n">
        <v>27</v>
      </c>
      <c r="E2692" s="5" t="n">
        <v>200</v>
      </c>
      <c r="F2692" t="inlineStr">
        <is>
          <t>Поступление</t>
        </is>
      </c>
      <c r="H2692">
        <f>VLOOKUP(C2692,Магазин!$A$2:$C$1000,2,0)</f>
        <v/>
      </c>
      <c r="I2692">
        <f>VLOOKUP(D2692,Товар!$A$2:$F$1000,3,0)</f>
        <v/>
      </c>
      <c r="J2692">
        <f>VLOOKUP(D2692,Товар!$A$2:$F$1000,5,0)</f>
        <v/>
      </c>
      <c r="K2692">
        <f>IF(AND(H2692="Промышленный",LEFT(I2692,18)="Порошок стиральный",F2692="Продажа",B2692=DATE(2023,6,7)),E2692*J2692/1000,0)</f>
        <v/>
      </c>
    </row>
    <row r="2693">
      <c r="A2693" t="n">
        <v>2692</v>
      </c>
      <c r="B2693" s="1" t="n">
        <v>45086</v>
      </c>
      <c r="C2693" s="5" t="inlineStr">
        <is>
          <t>M9</t>
        </is>
      </c>
      <c r="D2693" s="5" t="n">
        <v>28</v>
      </c>
      <c r="E2693" s="5" t="n">
        <v>200</v>
      </c>
      <c r="F2693" t="inlineStr">
        <is>
          <t>Поступление</t>
        </is>
      </c>
      <c r="H2693">
        <f>VLOOKUP(C2693,Магазин!$A$2:$C$1000,2,0)</f>
        <v/>
      </c>
      <c r="I2693">
        <f>VLOOKUP(D2693,Товар!$A$2:$F$1000,3,0)</f>
        <v/>
      </c>
      <c r="J2693">
        <f>VLOOKUP(D2693,Товар!$A$2:$F$1000,5,0)</f>
        <v/>
      </c>
      <c r="K2693">
        <f>IF(AND(H2693="Промышленный",LEFT(I2693,18)="Порошок стиральный",F2693="Продажа",B2693=DATE(2023,6,7)),E2693*J2693/1000,0)</f>
        <v/>
      </c>
    </row>
    <row r="2694">
      <c r="A2694" t="n">
        <v>2693</v>
      </c>
      <c r="B2694" s="1" t="n">
        <v>45086</v>
      </c>
      <c r="C2694" s="5" t="inlineStr">
        <is>
          <t>M9</t>
        </is>
      </c>
      <c r="D2694" s="5" t="n">
        <v>29</v>
      </c>
      <c r="E2694" s="5" t="n">
        <v>200</v>
      </c>
      <c r="F2694" t="inlineStr">
        <is>
          <t>Поступление</t>
        </is>
      </c>
      <c r="H2694">
        <f>VLOOKUP(C2694,Магазин!$A$2:$C$1000,2,0)</f>
        <v/>
      </c>
      <c r="I2694">
        <f>VLOOKUP(D2694,Товар!$A$2:$F$1000,3,0)</f>
        <v/>
      </c>
      <c r="J2694">
        <f>VLOOKUP(D2694,Товар!$A$2:$F$1000,5,0)</f>
        <v/>
      </c>
      <c r="K2694">
        <f>IF(AND(H2694="Промышленный",LEFT(I2694,18)="Порошок стиральный",F2694="Продажа",B2694=DATE(2023,6,7)),E2694*J2694/1000,0)</f>
        <v/>
      </c>
    </row>
    <row r="2695">
      <c r="A2695" t="n">
        <v>2694</v>
      </c>
      <c r="B2695" s="1" t="n">
        <v>45086</v>
      </c>
      <c r="C2695" s="5" t="inlineStr">
        <is>
          <t>M9</t>
        </is>
      </c>
      <c r="D2695" s="5" t="n">
        <v>30</v>
      </c>
      <c r="E2695" s="5" t="n">
        <v>200</v>
      </c>
      <c r="F2695" t="inlineStr">
        <is>
          <t>Поступление</t>
        </is>
      </c>
      <c r="H2695">
        <f>VLOOKUP(C2695,Магазин!$A$2:$C$1000,2,0)</f>
        <v/>
      </c>
      <c r="I2695">
        <f>VLOOKUP(D2695,Товар!$A$2:$F$1000,3,0)</f>
        <v/>
      </c>
      <c r="J2695">
        <f>VLOOKUP(D2695,Товар!$A$2:$F$1000,5,0)</f>
        <v/>
      </c>
      <c r="K2695">
        <f>IF(AND(H2695="Промышленный",LEFT(I2695,18)="Порошок стиральный",F2695="Продажа",B2695=DATE(2023,6,7)),E2695*J2695/1000,0)</f>
        <v/>
      </c>
    </row>
    <row r="2696">
      <c r="A2696" t="n">
        <v>2695</v>
      </c>
      <c r="B2696" s="1" t="n">
        <v>45086</v>
      </c>
      <c r="C2696" s="5" t="inlineStr">
        <is>
          <t>M9</t>
        </is>
      </c>
      <c r="D2696" s="5" t="n">
        <v>31</v>
      </c>
      <c r="E2696" s="5" t="n">
        <v>200</v>
      </c>
      <c r="F2696" t="inlineStr">
        <is>
          <t>Поступление</t>
        </is>
      </c>
      <c r="H2696">
        <f>VLOOKUP(C2696,Магазин!$A$2:$C$1000,2,0)</f>
        <v/>
      </c>
      <c r="I2696">
        <f>VLOOKUP(D2696,Товар!$A$2:$F$1000,3,0)</f>
        <v/>
      </c>
      <c r="J2696">
        <f>VLOOKUP(D2696,Товар!$A$2:$F$1000,5,0)</f>
        <v/>
      </c>
      <c r="K2696">
        <f>IF(AND(H2696="Промышленный",LEFT(I2696,18)="Порошок стиральный",F2696="Продажа",B2696=DATE(2023,6,7)),E2696*J2696/1000,0)</f>
        <v/>
      </c>
    </row>
    <row r="2697">
      <c r="A2697" t="n">
        <v>2696</v>
      </c>
      <c r="B2697" s="1" t="n">
        <v>45086</v>
      </c>
      <c r="C2697" s="5" t="inlineStr">
        <is>
          <t>M9</t>
        </is>
      </c>
      <c r="D2697" s="5" t="n">
        <v>32</v>
      </c>
      <c r="E2697" s="5" t="n">
        <v>200</v>
      </c>
      <c r="F2697" t="inlineStr">
        <is>
          <t>Поступление</t>
        </is>
      </c>
      <c r="H2697">
        <f>VLOOKUP(C2697,Магазин!$A$2:$C$1000,2,0)</f>
        <v/>
      </c>
      <c r="I2697">
        <f>VLOOKUP(D2697,Товар!$A$2:$F$1000,3,0)</f>
        <v/>
      </c>
      <c r="J2697">
        <f>VLOOKUP(D2697,Товар!$A$2:$F$1000,5,0)</f>
        <v/>
      </c>
      <c r="K2697">
        <f>IF(AND(H2697="Промышленный",LEFT(I2697,18)="Порошок стиральный",F2697="Продажа",B2697=DATE(2023,6,7)),E2697*J2697/1000,0)</f>
        <v/>
      </c>
    </row>
    <row r="2698">
      <c r="A2698" t="n">
        <v>2697</v>
      </c>
      <c r="B2698" s="1" t="n">
        <v>45086</v>
      </c>
      <c r="C2698" s="5" t="inlineStr">
        <is>
          <t>M9</t>
        </is>
      </c>
      <c r="D2698" s="5" t="n">
        <v>33</v>
      </c>
      <c r="E2698" s="5" t="n">
        <v>200</v>
      </c>
      <c r="F2698" t="inlineStr">
        <is>
          <t>Поступление</t>
        </is>
      </c>
      <c r="H2698">
        <f>VLOOKUP(C2698,Магазин!$A$2:$C$1000,2,0)</f>
        <v/>
      </c>
      <c r="I2698">
        <f>VLOOKUP(D2698,Товар!$A$2:$F$1000,3,0)</f>
        <v/>
      </c>
      <c r="J2698">
        <f>VLOOKUP(D2698,Товар!$A$2:$F$1000,5,0)</f>
        <v/>
      </c>
      <c r="K2698">
        <f>IF(AND(H2698="Промышленный",LEFT(I2698,18)="Порошок стиральный",F2698="Продажа",B2698=DATE(2023,6,7)),E2698*J2698/1000,0)</f>
        <v/>
      </c>
    </row>
    <row r="2699">
      <c r="A2699" t="n">
        <v>2698</v>
      </c>
      <c r="B2699" s="1" t="n">
        <v>45086</v>
      </c>
      <c r="C2699" s="5" t="inlineStr">
        <is>
          <t>M9</t>
        </is>
      </c>
      <c r="D2699" s="5" t="n">
        <v>34</v>
      </c>
      <c r="E2699" s="5" t="n">
        <v>200</v>
      </c>
      <c r="F2699" t="inlineStr">
        <is>
          <t>Поступление</t>
        </is>
      </c>
      <c r="H2699">
        <f>VLOOKUP(C2699,Магазин!$A$2:$C$1000,2,0)</f>
        <v/>
      </c>
      <c r="I2699">
        <f>VLOOKUP(D2699,Товар!$A$2:$F$1000,3,0)</f>
        <v/>
      </c>
      <c r="J2699">
        <f>VLOOKUP(D2699,Товар!$A$2:$F$1000,5,0)</f>
        <v/>
      </c>
      <c r="K2699">
        <f>IF(AND(H2699="Промышленный",LEFT(I2699,18)="Порошок стиральный",F2699="Продажа",B2699=DATE(2023,6,7)),E2699*J2699/1000,0)</f>
        <v/>
      </c>
    </row>
    <row r="2700">
      <c r="A2700" t="n">
        <v>2699</v>
      </c>
      <c r="B2700" s="1" t="n">
        <v>45086</v>
      </c>
      <c r="C2700" s="5" t="inlineStr">
        <is>
          <t>M9</t>
        </is>
      </c>
      <c r="D2700" s="5" t="n">
        <v>35</v>
      </c>
      <c r="E2700" s="5" t="n">
        <v>200</v>
      </c>
      <c r="F2700" t="inlineStr">
        <is>
          <t>Поступление</t>
        </is>
      </c>
      <c r="H2700">
        <f>VLOOKUP(C2700,Магазин!$A$2:$C$1000,2,0)</f>
        <v/>
      </c>
      <c r="I2700">
        <f>VLOOKUP(D2700,Товар!$A$2:$F$1000,3,0)</f>
        <v/>
      </c>
      <c r="J2700">
        <f>VLOOKUP(D2700,Товар!$A$2:$F$1000,5,0)</f>
        <v/>
      </c>
      <c r="K2700">
        <f>IF(AND(H2700="Промышленный",LEFT(I2700,18)="Порошок стиральный",F2700="Продажа",B2700=DATE(2023,6,7)),E2700*J2700/1000,0)</f>
        <v/>
      </c>
    </row>
    <row r="2701">
      <c r="A2701" t="n">
        <v>2700</v>
      </c>
      <c r="B2701" s="1" t="n">
        <v>45086</v>
      </c>
      <c r="C2701" s="5" t="inlineStr">
        <is>
          <t>M9</t>
        </is>
      </c>
      <c r="D2701" s="5" t="n">
        <v>36</v>
      </c>
      <c r="E2701" s="5" t="n">
        <v>200</v>
      </c>
      <c r="F2701" t="inlineStr">
        <is>
          <t>Поступление</t>
        </is>
      </c>
      <c r="H2701">
        <f>VLOOKUP(C2701,Магазин!$A$2:$C$1000,2,0)</f>
        <v/>
      </c>
      <c r="I2701">
        <f>VLOOKUP(D2701,Товар!$A$2:$F$1000,3,0)</f>
        <v/>
      </c>
      <c r="J2701">
        <f>VLOOKUP(D2701,Товар!$A$2:$F$1000,5,0)</f>
        <v/>
      </c>
      <c r="K2701">
        <f>IF(AND(H2701="Промышленный",LEFT(I2701,18)="Порошок стиральный",F2701="Продажа",B2701=DATE(2023,6,7)),E2701*J2701/1000,0)</f>
        <v/>
      </c>
    </row>
    <row r="2702">
      <c r="A2702" t="n">
        <v>2701</v>
      </c>
      <c r="B2702" s="1" t="n">
        <v>45086</v>
      </c>
      <c r="C2702" s="5" t="inlineStr">
        <is>
          <t>M11</t>
        </is>
      </c>
      <c r="D2702" s="5" t="n">
        <v>1</v>
      </c>
      <c r="E2702" s="5" t="n">
        <v>200</v>
      </c>
      <c r="F2702" t="inlineStr">
        <is>
          <t>Поступление</t>
        </is>
      </c>
      <c r="H2702">
        <f>VLOOKUP(C2702,Магазин!$A$2:$C$1000,2,0)</f>
        <v/>
      </c>
      <c r="I2702">
        <f>VLOOKUP(D2702,Товар!$A$2:$F$1000,3,0)</f>
        <v/>
      </c>
      <c r="J2702">
        <f>VLOOKUP(D2702,Товар!$A$2:$F$1000,5,0)</f>
        <v/>
      </c>
      <c r="K2702">
        <f>IF(AND(H2702="Промышленный",LEFT(I2702,18)="Порошок стиральный",F2702="Продажа",B2702=DATE(2023,6,7)),E2702*J2702/1000,0)</f>
        <v/>
      </c>
    </row>
    <row r="2703">
      <c r="A2703" t="n">
        <v>2702</v>
      </c>
      <c r="B2703" s="1" t="n">
        <v>45086</v>
      </c>
      <c r="C2703" s="5" t="inlineStr">
        <is>
          <t>M11</t>
        </is>
      </c>
      <c r="D2703" s="5" t="n">
        <v>2</v>
      </c>
      <c r="E2703" s="5" t="n">
        <v>200</v>
      </c>
      <c r="F2703" t="inlineStr">
        <is>
          <t>Поступление</t>
        </is>
      </c>
      <c r="H2703">
        <f>VLOOKUP(C2703,Магазин!$A$2:$C$1000,2,0)</f>
        <v/>
      </c>
      <c r="I2703">
        <f>VLOOKUP(D2703,Товар!$A$2:$F$1000,3,0)</f>
        <v/>
      </c>
      <c r="J2703">
        <f>VLOOKUP(D2703,Товар!$A$2:$F$1000,5,0)</f>
        <v/>
      </c>
      <c r="K2703">
        <f>IF(AND(H2703="Промышленный",LEFT(I2703,18)="Порошок стиральный",F2703="Продажа",B2703=DATE(2023,6,7)),E2703*J2703/1000,0)</f>
        <v/>
      </c>
    </row>
    <row r="2704">
      <c r="A2704" t="n">
        <v>2703</v>
      </c>
      <c r="B2704" s="1" t="n">
        <v>45086</v>
      </c>
      <c r="C2704" s="5" t="inlineStr">
        <is>
          <t>M11</t>
        </is>
      </c>
      <c r="D2704" s="5" t="n">
        <v>3</v>
      </c>
      <c r="E2704" s="5" t="n">
        <v>200</v>
      </c>
      <c r="F2704" t="inlineStr">
        <is>
          <t>Поступление</t>
        </is>
      </c>
      <c r="H2704">
        <f>VLOOKUP(C2704,Магазин!$A$2:$C$1000,2,0)</f>
        <v/>
      </c>
      <c r="I2704">
        <f>VLOOKUP(D2704,Товар!$A$2:$F$1000,3,0)</f>
        <v/>
      </c>
      <c r="J2704">
        <f>VLOOKUP(D2704,Товар!$A$2:$F$1000,5,0)</f>
        <v/>
      </c>
      <c r="K2704">
        <f>IF(AND(H2704="Промышленный",LEFT(I2704,18)="Порошок стиральный",F2704="Продажа",B2704=DATE(2023,6,7)),E2704*J2704/1000,0)</f>
        <v/>
      </c>
    </row>
    <row r="2705">
      <c r="A2705" t="n">
        <v>2704</v>
      </c>
      <c r="B2705" s="1" t="n">
        <v>45086</v>
      </c>
      <c r="C2705" s="5" t="inlineStr">
        <is>
          <t>M11</t>
        </is>
      </c>
      <c r="D2705" s="5" t="n">
        <v>4</v>
      </c>
      <c r="E2705" s="5" t="n">
        <v>200</v>
      </c>
      <c r="F2705" t="inlineStr">
        <is>
          <t>Поступление</t>
        </is>
      </c>
      <c r="H2705">
        <f>VLOOKUP(C2705,Магазин!$A$2:$C$1000,2,0)</f>
        <v/>
      </c>
      <c r="I2705">
        <f>VLOOKUP(D2705,Товар!$A$2:$F$1000,3,0)</f>
        <v/>
      </c>
      <c r="J2705">
        <f>VLOOKUP(D2705,Товар!$A$2:$F$1000,5,0)</f>
        <v/>
      </c>
      <c r="K2705">
        <f>IF(AND(H2705="Промышленный",LEFT(I2705,18)="Порошок стиральный",F2705="Продажа",B2705=DATE(2023,6,7)),E2705*J2705/1000,0)</f>
        <v/>
      </c>
    </row>
    <row r="2706">
      <c r="A2706" t="n">
        <v>2705</v>
      </c>
      <c r="B2706" s="1" t="n">
        <v>45086</v>
      </c>
      <c r="C2706" s="5" t="inlineStr">
        <is>
          <t>M11</t>
        </is>
      </c>
      <c r="D2706" s="5" t="n">
        <v>5</v>
      </c>
      <c r="E2706" s="5" t="n">
        <v>200</v>
      </c>
      <c r="F2706" t="inlineStr">
        <is>
          <t>Поступление</t>
        </is>
      </c>
      <c r="H2706">
        <f>VLOOKUP(C2706,Магазин!$A$2:$C$1000,2,0)</f>
        <v/>
      </c>
      <c r="I2706">
        <f>VLOOKUP(D2706,Товар!$A$2:$F$1000,3,0)</f>
        <v/>
      </c>
      <c r="J2706">
        <f>VLOOKUP(D2706,Товар!$A$2:$F$1000,5,0)</f>
        <v/>
      </c>
      <c r="K2706">
        <f>IF(AND(H2706="Промышленный",LEFT(I2706,18)="Порошок стиральный",F2706="Продажа",B2706=DATE(2023,6,7)),E2706*J2706/1000,0)</f>
        <v/>
      </c>
    </row>
    <row r="2707">
      <c r="A2707" t="n">
        <v>2706</v>
      </c>
      <c r="B2707" s="1" t="n">
        <v>45086</v>
      </c>
      <c r="C2707" s="5" t="inlineStr">
        <is>
          <t>M11</t>
        </is>
      </c>
      <c r="D2707" s="5" t="n">
        <v>6</v>
      </c>
      <c r="E2707" s="5" t="n">
        <v>200</v>
      </c>
      <c r="F2707" t="inlineStr">
        <is>
          <t>Поступление</t>
        </is>
      </c>
      <c r="H2707">
        <f>VLOOKUP(C2707,Магазин!$A$2:$C$1000,2,0)</f>
        <v/>
      </c>
      <c r="I2707">
        <f>VLOOKUP(D2707,Товар!$A$2:$F$1000,3,0)</f>
        <v/>
      </c>
      <c r="J2707">
        <f>VLOOKUP(D2707,Товар!$A$2:$F$1000,5,0)</f>
        <v/>
      </c>
      <c r="K2707">
        <f>IF(AND(H2707="Промышленный",LEFT(I2707,18)="Порошок стиральный",F2707="Продажа",B2707=DATE(2023,6,7)),E2707*J2707/1000,0)</f>
        <v/>
      </c>
    </row>
    <row r="2708">
      <c r="A2708" t="n">
        <v>2707</v>
      </c>
      <c r="B2708" s="1" t="n">
        <v>45086</v>
      </c>
      <c r="C2708" s="5" t="inlineStr">
        <is>
          <t>M11</t>
        </is>
      </c>
      <c r="D2708" s="5" t="n">
        <v>7</v>
      </c>
      <c r="E2708" s="5" t="n">
        <v>200</v>
      </c>
      <c r="F2708" t="inlineStr">
        <is>
          <t>Поступление</t>
        </is>
      </c>
      <c r="H2708">
        <f>VLOOKUP(C2708,Магазин!$A$2:$C$1000,2,0)</f>
        <v/>
      </c>
      <c r="I2708">
        <f>VLOOKUP(D2708,Товар!$A$2:$F$1000,3,0)</f>
        <v/>
      </c>
      <c r="J2708">
        <f>VLOOKUP(D2708,Товар!$A$2:$F$1000,5,0)</f>
        <v/>
      </c>
      <c r="K2708">
        <f>IF(AND(H2708="Промышленный",LEFT(I2708,18)="Порошок стиральный",F2708="Продажа",B2708=DATE(2023,6,7)),E2708*J2708/1000,0)</f>
        <v/>
      </c>
    </row>
    <row r="2709">
      <c r="A2709" t="n">
        <v>2708</v>
      </c>
      <c r="B2709" s="1" t="n">
        <v>45086</v>
      </c>
      <c r="C2709" s="5" t="inlineStr">
        <is>
          <t>M11</t>
        </is>
      </c>
      <c r="D2709" s="5" t="n">
        <v>8</v>
      </c>
      <c r="E2709" s="5" t="n">
        <v>200</v>
      </c>
      <c r="F2709" t="inlineStr">
        <is>
          <t>Поступление</t>
        </is>
      </c>
      <c r="H2709">
        <f>VLOOKUP(C2709,Магазин!$A$2:$C$1000,2,0)</f>
        <v/>
      </c>
      <c r="I2709">
        <f>VLOOKUP(D2709,Товар!$A$2:$F$1000,3,0)</f>
        <v/>
      </c>
      <c r="J2709">
        <f>VLOOKUP(D2709,Товар!$A$2:$F$1000,5,0)</f>
        <v/>
      </c>
      <c r="K2709">
        <f>IF(AND(H2709="Промышленный",LEFT(I2709,18)="Порошок стиральный",F2709="Продажа",B2709=DATE(2023,6,7)),E2709*J2709/1000,0)</f>
        <v/>
      </c>
    </row>
    <row r="2710">
      <c r="A2710" t="n">
        <v>2709</v>
      </c>
      <c r="B2710" s="1" t="n">
        <v>45086</v>
      </c>
      <c r="C2710" s="5" t="inlineStr">
        <is>
          <t>M11</t>
        </is>
      </c>
      <c r="D2710" s="5" t="n">
        <v>9</v>
      </c>
      <c r="E2710" s="5" t="n">
        <v>200</v>
      </c>
      <c r="F2710" t="inlineStr">
        <is>
          <t>Поступление</t>
        </is>
      </c>
      <c r="H2710">
        <f>VLOOKUP(C2710,Магазин!$A$2:$C$1000,2,0)</f>
        <v/>
      </c>
      <c r="I2710">
        <f>VLOOKUP(D2710,Товар!$A$2:$F$1000,3,0)</f>
        <v/>
      </c>
      <c r="J2710">
        <f>VLOOKUP(D2710,Товар!$A$2:$F$1000,5,0)</f>
        <v/>
      </c>
      <c r="K2710">
        <f>IF(AND(H2710="Промышленный",LEFT(I2710,18)="Порошок стиральный",F2710="Продажа",B2710=DATE(2023,6,7)),E2710*J2710/1000,0)</f>
        <v/>
      </c>
    </row>
    <row r="2711">
      <c r="A2711" t="n">
        <v>2710</v>
      </c>
      <c r="B2711" s="1" t="n">
        <v>45086</v>
      </c>
      <c r="C2711" s="5" t="inlineStr">
        <is>
          <t>M11</t>
        </is>
      </c>
      <c r="D2711" s="5" t="n">
        <v>10</v>
      </c>
      <c r="E2711" s="5" t="n">
        <v>200</v>
      </c>
      <c r="F2711" t="inlineStr">
        <is>
          <t>Поступление</t>
        </is>
      </c>
      <c r="H2711">
        <f>VLOOKUP(C2711,Магазин!$A$2:$C$1000,2,0)</f>
        <v/>
      </c>
      <c r="I2711">
        <f>VLOOKUP(D2711,Товар!$A$2:$F$1000,3,0)</f>
        <v/>
      </c>
      <c r="J2711">
        <f>VLOOKUP(D2711,Товар!$A$2:$F$1000,5,0)</f>
        <v/>
      </c>
      <c r="K2711">
        <f>IF(AND(H2711="Промышленный",LEFT(I2711,18)="Порошок стиральный",F2711="Продажа",B2711=DATE(2023,6,7)),E2711*J2711/1000,0)</f>
        <v/>
      </c>
    </row>
    <row r="2712">
      <c r="A2712" t="n">
        <v>2711</v>
      </c>
      <c r="B2712" s="1" t="n">
        <v>45086</v>
      </c>
      <c r="C2712" s="5" t="inlineStr">
        <is>
          <t>M11</t>
        </is>
      </c>
      <c r="D2712" s="5" t="n">
        <v>11</v>
      </c>
      <c r="E2712" s="5" t="n">
        <v>200</v>
      </c>
      <c r="F2712" t="inlineStr">
        <is>
          <t>Поступление</t>
        </is>
      </c>
      <c r="H2712">
        <f>VLOOKUP(C2712,Магазин!$A$2:$C$1000,2,0)</f>
        <v/>
      </c>
      <c r="I2712">
        <f>VLOOKUP(D2712,Товар!$A$2:$F$1000,3,0)</f>
        <v/>
      </c>
      <c r="J2712">
        <f>VLOOKUP(D2712,Товар!$A$2:$F$1000,5,0)</f>
        <v/>
      </c>
      <c r="K2712">
        <f>IF(AND(H2712="Промышленный",LEFT(I2712,18)="Порошок стиральный",F2712="Продажа",B2712=DATE(2023,6,7)),E2712*J2712/1000,0)</f>
        <v/>
      </c>
    </row>
    <row r="2713">
      <c r="A2713" t="n">
        <v>2712</v>
      </c>
      <c r="B2713" s="1" t="n">
        <v>45086</v>
      </c>
      <c r="C2713" s="5" t="inlineStr">
        <is>
          <t>M11</t>
        </is>
      </c>
      <c r="D2713" s="5" t="n">
        <v>12</v>
      </c>
      <c r="E2713" s="5" t="n">
        <v>200</v>
      </c>
      <c r="F2713" t="inlineStr">
        <is>
          <t>Поступление</t>
        </is>
      </c>
      <c r="H2713">
        <f>VLOOKUP(C2713,Магазин!$A$2:$C$1000,2,0)</f>
        <v/>
      </c>
      <c r="I2713">
        <f>VLOOKUP(D2713,Товар!$A$2:$F$1000,3,0)</f>
        <v/>
      </c>
      <c r="J2713">
        <f>VLOOKUP(D2713,Товар!$A$2:$F$1000,5,0)</f>
        <v/>
      </c>
      <c r="K2713">
        <f>IF(AND(H2713="Промышленный",LEFT(I2713,18)="Порошок стиральный",F2713="Продажа",B2713=DATE(2023,6,7)),E2713*J2713/1000,0)</f>
        <v/>
      </c>
    </row>
    <row r="2714">
      <c r="A2714" t="n">
        <v>2713</v>
      </c>
      <c r="B2714" s="1" t="n">
        <v>45086</v>
      </c>
      <c r="C2714" s="5" t="inlineStr">
        <is>
          <t>M11</t>
        </is>
      </c>
      <c r="D2714" s="5" t="n">
        <v>13</v>
      </c>
      <c r="E2714" s="5" t="n">
        <v>200</v>
      </c>
      <c r="F2714" t="inlineStr">
        <is>
          <t>Поступление</t>
        </is>
      </c>
      <c r="H2714">
        <f>VLOOKUP(C2714,Магазин!$A$2:$C$1000,2,0)</f>
        <v/>
      </c>
      <c r="I2714">
        <f>VLOOKUP(D2714,Товар!$A$2:$F$1000,3,0)</f>
        <v/>
      </c>
      <c r="J2714">
        <f>VLOOKUP(D2714,Товар!$A$2:$F$1000,5,0)</f>
        <v/>
      </c>
      <c r="K2714">
        <f>IF(AND(H2714="Промышленный",LEFT(I2714,18)="Порошок стиральный",F2714="Продажа",B2714=DATE(2023,6,7)),E2714*J2714/1000,0)</f>
        <v/>
      </c>
    </row>
    <row r="2715">
      <c r="A2715" t="n">
        <v>2714</v>
      </c>
      <c r="B2715" s="1" t="n">
        <v>45086</v>
      </c>
      <c r="C2715" s="5" t="inlineStr">
        <is>
          <t>M11</t>
        </is>
      </c>
      <c r="D2715" s="5" t="n">
        <v>14</v>
      </c>
      <c r="E2715" s="5" t="n">
        <v>200</v>
      </c>
      <c r="F2715" t="inlineStr">
        <is>
          <t>Поступление</t>
        </is>
      </c>
      <c r="H2715">
        <f>VLOOKUP(C2715,Магазин!$A$2:$C$1000,2,0)</f>
        <v/>
      </c>
      <c r="I2715">
        <f>VLOOKUP(D2715,Товар!$A$2:$F$1000,3,0)</f>
        <v/>
      </c>
      <c r="J2715">
        <f>VLOOKUP(D2715,Товар!$A$2:$F$1000,5,0)</f>
        <v/>
      </c>
      <c r="K2715">
        <f>IF(AND(H2715="Промышленный",LEFT(I2715,18)="Порошок стиральный",F2715="Продажа",B2715=DATE(2023,6,7)),E2715*J2715/1000,0)</f>
        <v/>
      </c>
    </row>
    <row r="2716">
      <c r="A2716" t="n">
        <v>2715</v>
      </c>
      <c r="B2716" s="1" t="n">
        <v>45086</v>
      </c>
      <c r="C2716" s="5" t="inlineStr">
        <is>
          <t>M11</t>
        </is>
      </c>
      <c r="D2716" s="5" t="n">
        <v>15</v>
      </c>
      <c r="E2716" s="5" t="n">
        <v>200</v>
      </c>
      <c r="F2716" t="inlineStr">
        <is>
          <t>Поступление</t>
        </is>
      </c>
      <c r="H2716">
        <f>VLOOKUP(C2716,Магазин!$A$2:$C$1000,2,0)</f>
        <v/>
      </c>
      <c r="I2716">
        <f>VLOOKUP(D2716,Товар!$A$2:$F$1000,3,0)</f>
        <v/>
      </c>
      <c r="J2716">
        <f>VLOOKUP(D2716,Товар!$A$2:$F$1000,5,0)</f>
        <v/>
      </c>
      <c r="K2716">
        <f>IF(AND(H2716="Промышленный",LEFT(I2716,18)="Порошок стиральный",F2716="Продажа",B2716=DATE(2023,6,7)),E2716*J2716/1000,0)</f>
        <v/>
      </c>
    </row>
    <row r="2717">
      <c r="A2717" t="n">
        <v>2716</v>
      </c>
      <c r="B2717" s="1" t="n">
        <v>45086</v>
      </c>
      <c r="C2717" s="5" t="inlineStr">
        <is>
          <t>M11</t>
        </is>
      </c>
      <c r="D2717" s="5" t="n">
        <v>16</v>
      </c>
      <c r="E2717" s="5" t="n">
        <v>200</v>
      </c>
      <c r="F2717" t="inlineStr">
        <is>
          <t>Поступление</t>
        </is>
      </c>
      <c r="H2717">
        <f>VLOOKUP(C2717,Магазин!$A$2:$C$1000,2,0)</f>
        <v/>
      </c>
      <c r="I2717">
        <f>VLOOKUP(D2717,Товар!$A$2:$F$1000,3,0)</f>
        <v/>
      </c>
      <c r="J2717">
        <f>VLOOKUP(D2717,Товар!$A$2:$F$1000,5,0)</f>
        <v/>
      </c>
      <c r="K2717">
        <f>IF(AND(H2717="Промышленный",LEFT(I2717,18)="Порошок стиральный",F2717="Продажа",B2717=DATE(2023,6,7)),E2717*J2717/1000,0)</f>
        <v/>
      </c>
    </row>
    <row r="2718">
      <c r="A2718" t="n">
        <v>2717</v>
      </c>
      <c r="B2718" s="1" t="n">
        <v>45086</v>
      </c>
      <c r="C2718" s="5" t="inlineStr">
        <is>
          <t>M11</t>
        </is>
      </c>
      <c r="D2718" s="5" t="n">
        <v>17</v>
      </c>
      <c r="E2718" s="5" t="n">
        <v>200</v>
      </c>
      <c r="F2718" t="inlineStr">
        <is>
          <t>Поступление</t>
        </is>
      </c>
      <c r="H2718">
        <f>VLOOKUP(C2718,Магазин!$A$2:$C$1000,2,0)</f>
        <v/>
      </c>
      <c r="I2718">
        <f>VLOOKUP(D2718,Товар!$A$2:$F$1000,3,0)</f>
        <v/>
      </c>
      <c r="J2718">
        <f>VLOOKUP(D2718,Товар!$A$2:$F$1000,5,0)</f>
        <v/>
      </c>
      <c r="K2718">
        <f>IF(AND(H2718="Промышленный",LEFT(I2718,18)="Порошок стиральный",F2718="Продажа",B2718=DATE(2023,6,7)),E2718*J2718/1000,0)</f>
        <v/>
      </c>
    </row>
    <row r="2719">
      <c r="A2719" t="n">
        <v>2718</v>
      </c>
      <c r="B2719" s="1" t="n">
        <v>45086</v>
      </c>
      <c r="C2719" s="5" t="inlineStr">
        <is>
          <t>M11</t>
        </is>
      </c>
      <c r="D2719" s="5" t="n">
        <v>18</v>
      </c>
      <c r="E2719" s="5" t="n">
        <v>200</v>
      </c>
      <c r="F2719" t="inlineStr">
        <is>
          <t>Поступление</t>
        </is>
      </c>
      <c r="H2719">
        <f>VLOOKUP(C2719,Магазин!$A$2:$C$1000,2,0)</f>
        <v/>
      </c>
      <c r="I2719">
        <f>VLOOKUP(D2719,Товар!$A$2:$F$1000,3,0)</f>
        <v/>
      </c>
      <c r="J2719">
        <f>VLOOKUP(D2719,Товар!$A$2:$F$1000,5,0)</f>
        <v/>
      </c>
      <c r="K2719">
        <f>IF(AND(H2719="Промышленный",LEFT(I2719,18)="Порошок стиральный",F2719="Продажа",B2719=DATE(2023,6,7)),E2719*J2719/1000,0)</f>
        <v/>
      </c>
    </row>
    <row r="2720">
      <c r="A2720" t="n">
        <v>2719</v>
      </c>
      <c r="B2720" s="1" t="n">
        <v>45086</v>
      </c>
      <c r="C2720" s="5" t="inlineStr">
        <is>
          <t>M11</t>
        </is>
      </c>
      <c r="D2720" s="5" t="n">
        <v>19</v>
      </c>
      <c r="E2720" s="5" t="n">
        <v>200</v>
      </c>
      <c r="F2720" t="inlineStr">
        <is>
          <t>Поступление</t>
        </is>
      </c>
      <c r="H2720">
        <f>VLOOKUP(C2720,Магазин!$A$2:$C$1000,2,0)</f>
        <v/>
      </c>
      <c r="I2720">
        <f>VLOOKUP(D2720,Товар!$A$2:$F$1000,3,0)</f>
        <v/>
      </c>
      <c r="J2720">
        <f>VLOOKUP(D2720,Товар!$A$2:$F$1000,5,0)</f>
        <v/>
      </c>
      <c r="K2720">
        <f>IF(AND(H2720="Промышленный",LEFT(I2720,18)="Порошок стиральный",F2720="Продажа",B2720=DATE(2023,6,7)),E2720*J2720/1000,0)</f>
        <v/>
      </c>
    </row>
    <row r="2721">
      <c r="A2721" t="n">
        <v>2720</v>
      </c>
      <c r="B2721" s="1" t="n">
        <v>45086</v>
      </c>
      <c r="C2721" s="5" t="inlineStr">
        <is>
          <t>M11</t>
        </is>
      </c>
      <c r="D2721" s="5" t="n">
        <v>20</v>
      </c>
      <c r="E2721" s="5" t="n">
        <v>200</v>
      </c>
      <c r="F2721" t="inlineStr">
        <is>
          <t>Поступление</t>
        </is>
      </c>
      <c r="H2721">
        <f>VLOOKUP(C2721,Магазин!$A$2:$C$1000,2,0)</f>
        <v/>
      </c>
      <c r="I2721">
        <f>VLOOKUP(D2721,Товар!$A$2:$F$1000,3,0)</f>
        <v/>
      </c>
      <c r="J2721">
        <f>VLOOKUP(D2721,Товар!$A$2:$F$1000,5,0)</f>
        <v/>
      </c>
      <c r="K2721">
        <f>IF(AND(H2721="Промышленный",LEFT(I2721,18)="Порошок стиральный",F2721="Продажа",B2721=DATE(2023,6,7)),E2721*J2721/1000,0)</f>
        <v/>
      </c>
    </row>
    <row r="2722">
      <c r="A2722" t="n">
        <v>2721</v>
      </c>
      <c r="B2722" s="1" t="n">
        <v>45086</v>
      </c>
      <c r="C2722" s="5" t="inlineStr">
        <is>
          <t>M11</t>
        </is>
      </c>
      <c r="D2722" s="5" t="n">
        <v>21</v>
      </c>
      <c r="E2722" s="5" t="n">
        <v>200</v>
      </c>
      <c r="F2722" t="inlineStr">
        <is>
          <t>Поступление</t>
        </is>
      </c>
      <c r="H2722">
        <f>VLOOKUP(C2722,Магазин!$A$2:$C$1000,2,0)</f>
        <v/>
      </c>
      <c r="I2722">
        <f>VLOOKUP(D2722,Товар!$A$2:$F$1000,3,0)</f>
        <v/>
      </c>
      <c r="J2722">
        <f>VLOOKUP(D2722,Товар!$A$2:$F$1000,5,0)</f>
        <v/>
      </c>
      <c r="K2722">
        <f>IF(AND(H2722="Промышленный",LEFT(I2722,18)="Порошок стиральный",F2722="Продажа",B2722=DATE(2023,6,7)),E2722*J2722/1000,0)</f>
        <v/>
      </c>
    </row>
    <row r="2723">
      <c r="A2723" t="n">
        <v>2722</v>
      </c>
      <c r="B2723" s="1" t="n">
        <v>45086</v>
      </c>
      <c r="C2723" s="5" t="inlineStr">
        <is>
          <t>M11</t>
        </is>
      </c>
      <c r="D2723" s="5" t="n">
        <v>22</v>
      </c>
      <c r="E2723" s="5" t="n">
        <v>200</v>
      </c>
      <c r="F2723" t="inlineStr">
        <is>
          <t>Поступление</t>
        </is>
      </c>
      <c r="H2723">
        <f>VLOOKUP(C2723,Магазин!$A$2:$C$1000,2,0)</f>
        <v/>
      </c>
      <c r="I2723">
        <f>VLOOKUP(D2723,Товар!$A$2:$F$1000,3,0)</f>
        <v/>
      </c>
      <c r="J2723">
        <f>VLOOKUP(D2723,Товар!$A$2:$F$1000,5,0)</f>
        <v/>
      </c>
      <c r="K2723">
        <f>IF(AND(H2723="Промышленный",LEFT(I2723,18)="Порошок стиральный",F2723="Продажа",B2723=DATE(2023,6,7)),E2723*J2723/1000,0)</f>
        <v/>
      </c>
    </row>
    <row r="2724">
      <c r="A2724" t="n">
        <v>2723</v>
      </c>
      <c r="B2724" s="1" t="n">
        <v>45086</v>
      </c>
      <c r="C2724" s="5" t="inlineStr">
        <is>
          <t>M11</t>
        </is>
      </c>
      <c r="D2724" s="5" t="n">
        <v>23</v>
      </c>
      <c r="E2724" s="5" t="n">
        <v>200</v>
      </c>
      <c r="F2724" t="inlineStr">
        <is>
          <t>Поступление</t>
        </is>
      </c>
      <c r="H2724">
        <f>VLOOKUP(C2724,Магазин!$A$2:$C$1000,2,0)</f>
        <v/>
      </c>
      <c r="I2724">
        <f>VLOOKUP(D2724,Товар!$A$2:$F$1000,3,0)</f>
        <v/>
      </c>
      <c r="J2724">
        <f>VLOOKUP(D2724,Товар!$A$2:$F$1000,5,0)</f>
        <v/>
      </c>
      <c r="K2724">
        <f>IF(AND(H2724="Промышленный",LEFT(I2724,18)="Порошок стиральный",F2724="Продажа",B2724=DATE(2023,6,7)),E2724*J2724/1000,0)</f>
        <v/>
      </c>
    </row>
    <row r="2725">
      <c r="A2725" t="n">
        <v>2724</v>
      </c>
      <c r="B2725" s="1" t="n">
        <v>45086</v>
      </c>
      <c r="C2725" s="5" t="inlineStr">
        <is>
          <t>M11</t>
        </is>
      </c>
      <c r="D2725" s="5" t="n">
        <v>24</v>
      </c>
      <c r="E2725" s="5" t="n">
        <v>200</v>
      </c>
      <c r="F2725" t="inlineStr">
        <is>
          <t>Поступление</t>
        </is>
      </c>
      <c r="H2725">
        <f>VLOOKUP(C2725,Магазин!$A$2:$C$1000,2,0)</f>
        <v/>
      </c>
      <c r="I2725">
        <f>VLOOKUP(D2725,Товар!$A$2:$F$1000,3,0)</f>
        <v/>
      </c>
      <c r="J2725">
        <f>VLOOKUP(D2725,Товар!$A$2:$F$1000,5,0)</f>
        <v/>
      </c>
      <c r="K2725">
        <f>IF(AND(H2725="Промышленный",LEFT(I2725,18)="Порошок стиральный",F2725="Продажа",B2725=DATE(2023,6,7)),E2725*J2725/1000,0)</f>
        <v/>
      </c>
    </row>
    <row r="2726">
      <c r="A2726" t="n">
        <v>2725</v>
      </c>
      <c r="B2726" s="1" t="n">
        <v>45086</v>
      </c>
      <c r="C2726" s="5" t="inlineStr">
        <is>
          <t>M11</t>
        </is>
      </c>
      <c r="D2726" s="5" t="n">
        <v>25</v>
      </c>
      <c r="E2726" s="5" t="n">
        <v>200</v>
      </c>
      <c r="F2726" t="inlineStr">
        <is>
          <t>Поступление</t>
        </is>
      </c>
      <c r="H2726">
        <f>VLOOKUP(C2726,Магазин!$A$2:$C$1000,2,0)</f>
        <v/>
      </c>
      <c r="I2726">
        <f>VLOOKUP(D2726,Товар!$A$2:$F$1000,3,0)</f>
        <v/>
      </c>
      <c r="J2726">
        <f>VLOOKUP(D2726,Товар!$A$2:$F$1000,5,0)</f>
        <v/>
      </c>
      <c r="K2726">
        <f>IF(AND(H2726="Промышленный",LEFT(I2726,18)="Порошок стиральный",F2726="Продажа",B2726=DATE(2023,6,7)),E2726*J2726/1000,0)</f>
        <v/>
      </c>
    </row>
    <row r="2727">
      <c r="A2727" t="n">
        <v>2726</v>
      </c>
      <c r="B2727" s="1" t="n">
        <v>45086</v>
      </c>
      <c r="C2727" s="5" t="inlineStr">
        <is>
          <t>M11</t>
        </is>
      </c>
      <c r="D2727" s="5" t="n">
        <v>26</v>
      </c>
      <c r="E2727" s="5" t="n">
        <v>200</v>
      </c>
      <c r="F2727" t="inlineStr">
        <is>
          <t>Поступление</t>
        </is>
      </c>
      <c r="H2727">
        <f>VLOOKUP(C2727,Магазин!$A$2:$C$1000,2,0)</f>
        <v/>
      </c>
      <c r="I2727">
        <f>VLOOKUP(D2727,Товар!$A$2:$F$1000,3,0)</f>
        <v/>
      </c>
      <c r="J2727">
        <f>VLOOKUP(D2727,Товар!$A$2:$F$1000,5,0)</f>
        <v/>
      </c>
      <c r="K2727">
        <f>IF(AND(H2727="Промышленный",LEFT(I2727,18)="Порошок стиральный",F2727="Продажа",B2727=DATE(2023,6,7)),E2727*J2727/1000,0)</f>
        <v/>
      </c>
    </row>
    <row r="2728">
      <c r="A2728" t="n">
        <v>2727</v>
      </c>
      <c r="B2728" s="1" t="n">
        <v>45086</v>
      </c>
      <c r="C2728" s="5" t="inlineStr">
        <is>
          <t>M11</t>
        </is>
      </c>
      <c r="D2728" s="5" t="n">
        <v>27</v>
      </c>
      <c r="E2728" s="5" t="n">
        <v>200</v>
      </c>
      <c r="F2728" t="inlineStr">
        <is>
          <t>Поступление</t>
        </is>
      </c>
      <c r="H2728">
        <f>VLOOKUP(C2728,Магазин!$A$2:$C$1000,2,0)</f>
        <v/>
      </c>
      <c r="I2728">
        <f>VLOOKUP(D2728,Товар!$A$2:$F$1000,3,0)</f>
        <v/>
      </c>
      <c r="J2728">
        <f>VLOOKUP(D2728,Товар!$A$2:$F$1000,5,0)</f>
        <v/>
      </c>
      <c r="K2728">
        <f>IF(AND(H2728="Промышленный",LEFT(I2728,18)="Порошок стиральный",F2728="Продажа",B2728=DATE(2023,6,7)),E2728*J2728/1000,0)</f>
        <v/>
      </c>
    </row>
    <row r="2729">
      <c r="A2729" t="n">
        <v>2728</v>
      </c>
      <c r="B2729" s="1" t="n">
        <v>45086</v>
      </c>
      <c r="C2729" s="5" t="inlineStr">
        <is>
          <t>M11</t>
        </is>
      </c>
      <c r="D2729" s="5" t="n">
        <v>28</v>
      </c>
      <c r="E2729" s="5" t="n">
        <v>200</v>
      </c>
      <c r="F2729" t="inlineStr">
        <is>
          <t>Поступление</t>
        </is>
      </c>
      <c r="H2729">
        <f>VLOOKUP(C2729,Магазин!$A$2:$C$1000,2,0)</f>
        <v/>
      </c>
      <c r="I2729">
        <f>VLOOKUP(D2729,Товар!$A$2:$F$1000,3,0)</f>
        <v/>
      </c>
      <c r="J2729">
        <f>VLOOKUP(D2729,Товар!$A$2:$F$1000,5,0)</f>
        <v/>
      </c>
      <c r="K2729">
        <f>IF(AND(H2729="Промышленный",LEFT(I2729,18)="Порошок стиральный",F2729="Продажа",B2729=DATE(2023,6,7)),E2729*J2729/1000,0)</f>
        <v/>
      </c>
    </row>
    <row r="2730">
      <c r="A2730" t="n">
        <v>2729</v>
      </c>
      <c r="B2730" s="1" t="n">
        <v>45086</v>
      </c>
      <c r="C2730" s="5" t="inlineStr">
        <is>
          <t>M11</t>
        </is>
      </c>
      <c r="D2730" s="5" t="n">
        <v>29</v>
      </c>
      <c r="E2730" s="5" t="n">
        <v>200</v>
      </c>
      <c r="F2730" t="inlineStr">
        <is>
          <t>Поступление</t>
        </is>
      </c>
      <c r="H2730">
        <f>VLOOKUP(C2730,Магазин!$A$2:$C$1000,2,0)</f>
        <v/>
      </c>
      <c r="I2730">
        <f>VLOOKUP(D2730,Товар!$A$2:$F$1000,3,0)</f>
        <v/>
      </c>
      <c r="J2730">
        <f>VLOOKUP(D2730,Товар!$A$2:$F$1000,5,0)</f>
        <v/>
      </c>
      <c r="K2730">
        <f>IF(AND(H2730="Промышленный",LEFT(I2730,18)="Порошок стиральный",F2730="Продажа",B2730=DATE(2023,6,7)),E2730*J2730/1000,0)</f>
        <v/>
      </c>
    </row>
    <row r="2731">
      <c r="A2731" t="n">
        <v>2730</v>
      </c>
      <c r="B2731" s="1" t="n">
        <v>45086</v>
      </c>
      <c r="C2731" s="5" t="inlineStr">
        <is>
          <t>M11</t>
        </is>
      </c>
      <c r="D2731" s="5" t="n">
        <v>30</v>
      </c>
      <c r="E2731" s="5" t="n">
        <v>200</v>
      </c>
      <c r="F2731" t="inlineStr">
        <is>
          <t>Поступление</t>
        </is>
      </c>
      <c r="H2731">
        <f>VLOOKUP(C2731,Магазин!$A$2:$C$1000,2,0)</f>
        <v/>
      </c>
      <c r="I2731">
        <f>VLOOKUP(D2731,Товар!$A$2:$F$1000,3,0)</f>
        <v/>
      </c>
      <c r="J2731">
        <f>VLOOKUP(D2731,Товар!$A$2:$F$1000,5,0)</f>
        <v/>
      </c>
      <c r="K2731">
        <f>IF(AND(H2731="Промышленный",LEFT(I2731,18)="Порошок стиральный",F2731="Продажа",B2731=DATE(2023,6,7)),E2731*J2731/1000,0)</f>
        <v/>
      </c>
    </row>
    <row r="2732">
      <c r="A2732" t="n">
        <v>2731</v>
      </c>
      <c r="B2732" s="1" t="n">
        <v>45086</v>
      </c>
      <c r="C2732" s="5" t="inlineStr">
        <is>
          <t>M11</t>
        </is>
      </c>
      <c r="D2732" s="5" t="n">
        <v>31</v>
      </c>
      <c r="E2732" s="5" t="n">
        <v>200</v>
      </c>
      <c r="F2732" t="inlineStr">
        <is>
          <t>Поступление</t>
        </is>
      </c>
      <c r="H2732">
        <f>VLOOKUP(C2732,Магазин!$A$2:$C$1000,2,0)</f>
        <v/>
      </c>
      <c r="I2732">
        <f>VLOOKUP(D2732,Товар!$A$2:$F$1000,3,0)</f>
        <v/>
      </c>
      <c r="J2732">
        <f>VLOOKUP(D2732,Товар!$A$2:$F$1000,5,0)</f>
        <v/>
      </c>
      <c r="K2732">
        <f>IF(AND(H2732="Промышленный",LEFT(I2732,18)="Порошок стиральный",F2732="Продажа",B2732=DATE(2023,6,7)),E2732*J2732/1000,0)</f>
        <v/>
      </c>
    </row>
    <row r="2733">
      <c r="A2733" t="n">
        <v>2732</v>
      </c>
      <c r="B2733" s="1" t="n">
        <v>45086</v>
      </c>
      <c r="C2733" s="5" t="inlineStr">
        <is>
          <t>M11</t>
        </is>
      </c>
      <c r="D2733" s="5" t="n">
        <v>32</v>
      </c>
      <c r="E2733" s="5" t="n">
        <v>200</v>
      </c>
      <c r="F2733" t="inlineStr">
        <is>
          <t>Поступление</t>
        </is>
      </c>
      <c r="H2733">
        <f>VLOOKUP(C2733,Магазин!$A$2:$C$1000,2,0)</f>
        <v/>
      </c>
      <c r="I2733">
        <f>VLOOKUP(D2733,Товар!$A$2:$F$1000,3,0)</f>
        <v/>
      </c>
      <c r="J2733">
        <f>VLOOKUP(D2733,Товар!$A$2:$F$1000,5,0)</f>
        <v/>
      </c>
      <c r="K2733">
        <f>IF(AND(H2733="Промышленный",LEFT(I2733,18)="Порошок стиральный",F2733="Продажа",B2733=DATE(2023,6,7)),E2733*J2733/1000,0)</f>
        <v/>
      </c>
    </row>
    <row r="2734">
      <c r="A2734" t="n">
        <v>2733</v>
      </c>
      <c r="B2734" s="1" t="n">
        <v>45086</v>
      </c>
      <c r="C2734" s="5" t="inlineStr">
        <is>
          <t>M11</t>
        </is>
      </c>
      <c r="D2734" s="5" t="n">
        <v>33</v>
      </c>
      <c r="E2734" s="5" t="n">
        <v>200</v>
      </c>
      <c r="F2734" t="inlineStr">
        <is>
          <t>Поступление</t>
        </is>
      </c>
      <c r="H2734">
        <f>VLOOKUP(C2734,Магазин!$A$2:$C$1000,2,0)</f>
        <v/>
      </c>
      <c r="I2734">
        <f>VLOOKUP(D2734,Товар!$A$2:$F$1000,3,0)</f>
        <v/>
      </c>
      <c r="J2734">
        <f>VLOOKUP(D2734,Товар!$A$2:$F$1000,5,0)</f>
        <v/>
      </c>
      <c r="K2734">
        <f>IF(AND(H2734="Промышленный",LEFT(I2734,18)="Порошок стиральный",F2734="Продажа",B2734=DATE(2023,6,7)),E2734*J2734/1000,0)</f>
        <v/>
      </c>
    </row>
    <row r="2735">
      <c r="A2735" t="n">
        <v>2734</v>
      </c>
      <c r="B2735" s="1" t="n">
        <v>45086</v>
      </c>
      <c r="C2735" s="5" t="inlineStr">
        <is>
          <t>M11</t>
        </is>
      </c>
      <c r="D2735" s="5" t="n">
        <v>34</v>
      </c>
      <c r="E2735" s="5" t="n">
        <v>200</v>
      </c>
      <c r="F2735" t="inlineStr">
        <is>
          <t>Поступление</t>
        </is>
      </c>
      <c r="H2735">
        <f>VLOOKUP(C2735,Магазин!$A$2:$C$1000,2,0)</f>
        <v/>
      </c>
      <c r="I2735">
        <f>VLOOKUP(D2735,Товар!$A$2:$F$1000,3,0)</f>
        <v/>
      </c>
      <c r="J2735">
        <f>VLOOKUP(D2735,Товар!$A$2:$F$1000,5,0)</f>
        <v/>
      </c>
      <c r="K2735">
        <f>IF(AND(H2735="Промышленный",LEFT(I2735,18)="Порошок стиральный",F2735="Продажа",B2735=DATE(2023,6,7)),E2735*J2735/1000,0)</f>
        <v/>
      </c>
    </row>
    <row r="2736">
      <c r="A2736" t="n">
        <v>2735</v>
      </c>
      <c r="B2736" s="1" t="n">
        <v>45086</v>
      </c>
      <c r="C2736" s="5" t="inlineStr">
        <is>
          <t>M11</t>
        </is>
      </c>
      <c r="D2736" s="5" t="n">
        <v>35</v>
      </c>
      <c r="E2736" s="5" t="n">
        <v>200</v>
      </c>
      <c r="F2736" t="inlineStr">
        <is>
          <t>Поступление</t>
        </is>
      </c>
      <c r="H2736">
        <f>VLOOKUP(C2736,Магазин!$A$2:$C$1000,2,0)</f>
        <v/>
      </c>
      <c r="I2736">
        <f>VLOOKUP(D2736,Товар!$A$2:$F$1000,3,0)</f>
        <v/>
      </c>
      <c r="J2736">
        <f>VLOOKUP(D2736,Товар!$A$2:$F$1000,5,0)</f>
        <v/>
      </c>
      <c r="K2736">
        <f>IF(AND(H2736="Промышленный",LEFT(I2736,18)="Порошок стиральный",F2736="Продажа",B2736=DATE(2023,6,7)),E2736*J2736/1000,0)</f>
        <v/>
      </c>
    </row>
    <row r="2737">
      <c r="A2737" t="n">
        <v>2736</v>
      </c>
      <c r="B2737" s="1" t="n">
        <v>45086</v>
      </c>
      <c r="C2737" s="5" t="inlineStr">
        <is>
          <t>M11</t>
        </is>
      </c>
      <c r="D2737" s="5" t="n">
        <v>36</v>
      </c>
      <c r="E2737" s="5" t="n">
        <v>200</v>
      </c>
      <c r="F2737" t="inlineStr">
        <is>
          <t>Поступление</t>
        </is>
      </c>
      <c r="H2737">
        <f>VLOOKUP(C2737,Магазин!$A$2:$C$1000,2,0)</f>
        <v/>
      </c>
      <c r="I2737">
        <f>VLOOKUP(D2737,Товар!$A$2:$F$1000,3,0)</f>
        <v/>
      </c>
      <c r="J2737">
        <f>VLOOKUP(D2737,Товар!$A$2:$F$1000,5,0)</f>
        <v/>
      </c>
      <c r="K2737">
        <f>IF(AND(H2737="Промышленный",LEFT(I2737,18)="Порошок стиральный",F2737="Продажа",B2737=DATE(2023,6,7)),E2737*J2737/1000,0)</f>
        <v/>
      </c>
    </row>
    <row r="2738">
      <c r="A2738" t="n">
        <v>2737</v>
      </c>
      <c r="B2738" s="1" t="n">
        <v>45086</v>
      </c>
      <c r="C2738" s="5" t="inlineStr">
        <is>
          <t>M14</t>
        </is>
      </c>
      <c r="D2738" s="5" t="n">
        <v>1</v>
      </c>
      <c r="E2738" s="5" t="n">
        <v>200</v>
      </c>
      <c r="F2738" t="inlineStr">
        <is>
          <t>Поступление</t>
        </is>
      </c>
      <c r="H2738">
        <f>VLOOKUP(C2738,Магазин!$A$2:$C$1000,2,0)</f>
        <v/>
      </c>
      <c r="I2738">
        <f>VLOOKUP(D2738,Товар!$A$2:$F$1000,3,0)</f>
        <v/>
      </c>
      <c r="J2738">
        <f>VLOOKUP(D2738,Товар!$A$2:$F$1000,5,0)</f>
        <v/>
      </c>
      <c r="K2738">
        <f>IF(AND(H2738="Промышленный",LEFT(I2738,18)="Порошок стиральный",F2738="Продажа",B2738=DATE(2023,6,7)),E2738*J2738/1000,0)</f>
        <v/>
      </c>
    </row>
    <row r="2739">
      <c r="A2739" t="n">
        <v>2738</v>
      </c>
      <c r="B2739" s="1" t="n">
        <v>45086</v>
      </c>
      <c r="C2739" s="5" t="inlineStr">
        <is>
          <t>M14</t>
        </is>
      </c>
      <c r="D2739" s="5" t="n">
        <v>2</v>
      </c>
      <c r="E2739" s="5" t="n">
        <v>200</v>
      </c>
      <c r="F2739" t="inlineStr">
        <is>
          <t>Поступление</t>
        </is>
      </c>
      <c r="H2739">
        <f>VLOOKUP(C2739,Магазин!$A$2:$C$1000,2,0)</f>
        <v/>
      </c>
      <c r="I2739">
        <f>VLOOKUP(D2739,Товар!$A$2:$F$1000,3,0)</f>
        <v/>
      </c>
      <c r="J2739">
        <f>VLOOKUP(D2739,Товар!$A$2:$F$1000,5,0)</f>
        <v/>
      </c>
      <c r="K2739">
        <f>IF(AND(H2739="Промышленный",LEFT(I2739,18)="Порошок стиральный",F2739="Продажа",B2739=DATE(2023,6,7)),E2739*J2739/1000,0)</f>
        <v/>
      </c>
    </row>
    <row r="2740">
      <c r="A2740" t="n">
        <v>2739</v>
      </c>
      <c r="B2740" s="1" t="n">
        <v>45086</v>
      </c>
      <c r="C2740" s="5" t="inlineStr">
        <is>
          <t>M14</t>
        </is>
      </c>
      <c r="D2740" s="5" t="n">
        <v>3</v>
      </c>
      <c r="E2740" s="5" t="n">
        <v>200</v>
      </c>
      <c r="F2740" t="inlineStr">
        <is>
          <t>Поступление</t>
        </is>
      </c>
      <c r="H2740">
        <f>VLOOKUP(C2740,Магазин!$A$2:$C$1000,2,0)</f>
        <v/>
      </c>
      <c r="I2740">
        <f>VLOOKUP(D2740,Товар!$A$2:$F$1000,3,0)</f>
        <v/>
      </c>
      <c r="J2740">
        <f>VLOOKUP(D2740,Товар!$A$2:$F$1000,5,0)</f>
        <v/>
      </c>
      <c r="K2740">
        <f>IF(AND(H2740="Промышленный",LEFT(I2740,18)="Порошок стиральный",F2740="Продажа",B2740=DATE(2023,6,7)),E2740*J2740/1000,0)</f>
        <v/>
      </c>
    </row>
    <row r="2741">
      <c r="A2741" t="n">
        <v>2740</v>
      </c>
      <c r="B2741" s="1" t="n">
        <v>45086</v>
      </c>
      <c r="C2741" s="5" t="inlineStr">
        <is>
          <t>M14</t>
        </is>
      </c>
      <c r="D2741" s="5" t="n">
        <v>4</v>
      </c>
      <c r="E2741" s="5" t="n">
        <v>200</v>
      </c>
      <c r="F2741" t="inlineStr">
        <is>
          <t>Поступление</t>
        </is>
      </c>
      <c r="H2741">
        <f>VLOOKUP(C2741,Магазин!$A$2:$C$1000,2,0)</f>
        <v/>
      </c>
      <c r="I2741">
        <f>VLOOKUP(D2741,Товар!$A$2:$F$1000,3,0)</f>
        <v/>
      </c>
      <c r="J2741">
        <f>VLOOKUP(D2741,Товар!$A$2:$F$1000,5,0)</f>
        <v/>
      </c>
      <c r="K2741">
        <f>IF(AND(H2741="Промышленный",LEFT(I2741,18)="Порошок стиральный",F2741="Продажа",B2741=DATE(2023,6,7)),E2741*J2741/1000,0)</f>
        <v/>
      </c>
    </row>
    <row r="2742">
      <c r="A2742" t="n">
        <v>2741</v>
      </c>
      <c r="B2742" s="1" t="n">
        <v>45086</v>
      </c>
      <c r="C2742" s="5" t="inlineStr">
        <is>
          <t>M14</t>
        </is>
      </c>
      <c r="D2742" s="5" t="n">
        <v>5</v>
      </c>
      <c r="E2742" s="5" t="n">
        <v>200</v>
      </c>
      <c r="F2742" t="inlineStr">
        <is>
          <t>Поступление</t>
        </is>
      </c>
      <c r="H2742">
        <f>VLOOKUP(C2742,Магазин!$A$2:$C$1000,2,0)</f>
        <v/>
      </c>
      <c r="I2742">
        <f>VLOOKUP(D2742,Товар!$A$2:$F$1000,3,0)</f>
        <v/>
      </c>
      <c r="J2742">
        <f>VLOOKUP(D2742,Товар!$A$2:$F$1000,5,0)</f>
        <v/>
      </c>
      <c r="K2742">
        <f>IF(AND(H2742="Промышленный",LEFT(I2742,18)="Порошок стиральный",F2742="Продажа",B2742=DATE(2023,6,7)),E2742*J2742/1000,0)</f>
        <v/>
      </c>
    </row>
    <row r="2743">
      <c r="A2743" t="n">
        <v>2742</v>
      </c>
      <c r="B2743" s="1" t="n">
        <v>45086</v>
      </c>
      <c r="C2743" s="5" t="inlineStr">
        <is>
          <t>M14</t>
        </is>
      </c>
      <c r="D2743" s="5" t="n">
        <v>6</v>
      </c>
      <c r="E2743" s="5" t="n">
        <v>200</v>
      </c>
      <c r="F2743" t="inlineStr">
        <is>
          <t>Поступление</t>
        </is>
      </c>
      <c r="H2743">
        <f>VLOOKUP(C2743,Магазин!$A$2:$C$1000,2,0)</f>
        <v/>
      </c>
      <c r="I2743">
        <f>VLOOKUP(D2743,Товар!$A$2:$F$1000,3,0)</f>
        <v/>
      </c>
      <c r="J2743">
        <f>VLOOKUP(D2743,Товар!$A$2:$F$1000,5,0)</f>
        <v/>
      </c>
      <c r="K2743">
        <f>IF(AND(H2743="Промышленный",LEFT(I2743,18)="Порошок стиральный",F2743="Продажа",B2743=DATE(2023,6,7)),E2743*J2743/1000,0)</f>
        <v/>
      </c>
    </row>
    <row r="2744">
      <c r="A2744" t="n">
        <v>2743</v>
      </c>
      <c r="B2744" s="1" t="n">
        <v>45086</v>
      </c>
      <c r="C2744" s="5" t="inlineStr">
        <is>
          <t>M14</t>
        </is>
      </c>
      <c r="D2744" s="5" t="n">
        <v>7</v>
      </c>
      <c r="E2744" s="5" t="n">
        <v>200</v>
      </c>
      <c r="F2744" t="inlineStr">
        <is>
          <t>Поступление</t>
        </is>
      </c>
      <c r="H2744">
        <f>VLOOKUP(C2744,Магазин!$A$2:$C$1000,2,0)</f>
        <v/>
      </c>
      <c r="I2744">
        <f>VLOOKUP(D2744,Товар!$A$2:$F$1000,3,0)</f>
        <v/>
      </c>
      <c r="J2744">
        <f>VLOOKUP(D2744,Товар!$A$2:$F$1000,5,0)</f>
        <v/>
      </c>
      <c r="K2744">
        <f>IF(AND(H2744="Промышленный",LEFT(I2744,18)="Порошок стиральный",F2744="Продажа",B2744=DATE(2023,6,7)),E2744*J2744/1000,0)</f>
        <v/>
      </c>
    </row>
    <row r="2745">
      <c r="A2745" t="n">
        <v>2744</v>
      </c>
      <c r="B2745" s="1" t="n">
        <v>45086</v>
      </c>
      <c r="C2745" s="5" t="inlineStr">
        <is>
          <t>M14</t>
        </is>
      </c>
      <c r="D2745" s="5" t="n">
        <v>8</v>
      </c>
      <c r="E2745" s="5" t="n">
        <v>200</v>
      </c>
      <c r="F2745" t="inlineStr">
        <is>
          <t>Поступление</t>
        </is>
      </c>
      <c r="H2745">
        <f>VLOOKUP(C2745,Магазин!$A$2:$C$1000,2,0)</f>
        <v/>
      </c>
      <c r="I2745">
        <f>VLOOKUP(D2745,Товар!$A$2:$F$1000,3,0)</f>
        <v/>
      </c>
      <c r="J2745">
        <f>VLOOKUP(D2745,Товар!$A$2:$F$1000,5,0)</f>
        <v/>
      </c>
      <c r="K2745">
        <f>IF(AND(H2745="Промышленный",LEFT(I2745,18)="Порошок стиральный",F2745="Продажа",B2745=DATE(2023,6,7)),E2745*J2745/1000,0)</f>
        <v/>
      </c>
    </row>
    <row r="2746">
      <c r="A2746" t="n">
        <v>2745</v>
      </c>
      <c r="B2746" s="1" t="n">
        <v>45086</v>
      </c>
      <c r="C2746" s="5" t="inlineStr">
        <is>
          <t>M14</t>
        </is>
      </c>
      <c r="D2746" s="5" t="n">
        <v>9</v>
      </c>
      <c r="E2746" s="5" t="n">
        <v>200</v>
      </c>
      <c r="F2746" t="inlineStr">
        <is>
          <t>Поступление</t>
        </is>
      </c>
      <c r="H2746">
        <f>VLOOKUP(C2746,Магазин!$A$2:$C$1000,2,0)</f>
        <v/>
      </c>
      <c r="I2746">
        <f>VLOOKUP(D2746,Товар!$A$2:$F$1000,3,0)</f>
        <v/>
      </c>
      <c r="J2746">
        <f>VLOOKUP(D2746,Товар!$A$2:$F$1000,5,0)</f>
        <v/>
      </c>
      <c r="K2746">
        <f>IF(AND(H2746="Промышленный",LEFT(I2746,18)="Порошок стиральный",F2746="Продажа",B2746=DATE(2023,6,7)),E2746*J2746/1000,0)</f>
        <v/>
      </c>
    </row>
    <row r="2747">
      <c r="A2747" t="n">
        <v>2746</v>
      </c>
      <c r="B2747" s="1" t="n">
        <v>45086</v>
      </c>
      <c r="C2747" s="5" t="inlineStr">
        <is>
          <t>M14</t>
        </is>
      </c>
      <c r="D2747" s="5" t="n">
        <v>10</v>
      </c>
      <c r="E2747" s="5" t="n">
        <v>200</v>
      </c>
      <c r="F2747" t="inlineStr">
        <is>
          <t>Поступление</t>
        </is>
      </c>
      <c r="H2747">
        <f>VLOOKUP(C2747,Магазин!$A$2:$C$1000,2,0)</f>
        <v/>
      </c>
      <c r="I2747">
        <f>VLOOKUP(D2747,Товар!$A$2:$F$1000,3,0)</f>
        <v/>
      </c>
      <c r="J2747">
        <f>VLOOKUP(D2747,Товар!$A$2:$F$1000,5,0)</f>
        <v/>
      </c>
      <c r="K2747">
        <f>IF(AND(H2747="Промышленный",LEFT(I2747,18)="Порошок стиральный",F2747="Продажа",B2747=DATE(2023,6,7)),E2747*J2747/1000,0)</f>
        <v/>
      </c>
    </row>
    <row r="2748">
      <c r="A2748" t="n">
        <v>2747</v>
      </c>
      <c r="B2748" s="1" t="n">
        <v>45086</v>
      </c>
      <c r="C2748" s="5" t="inlineStr">
        <is>
          <t>M14</t>
        </is>
      </c>
      <c r="D2748" s="5" t="n">
        <v>11</v>
      </c>
      <c r="E2748" s="5" t="n">
        <v>200</v>
      </c>
      <c r="F2748" t="inlineStr">
        <is>
          <t>Поступление</t>
        </is>
      </c>
      <c r="H2748">
        <f>VLOOKUP(C2748,Магазин!$A$2:$C$1000,2,0)</f>
        <v/>
      </c>
      <c r="I2748">
        <f>VLOOKUP(D2748,Товар!$A$2:$F$1000,3,0)</f>
        <v/>
      </c>
      <c r="J2748">
        <f>VLOOKUP(D2748,Товар!$A$2:$F$1000,5,0)</f>
        <v/>
      </c>
      <c r="K2748">
        <f>IF(AND(H2748="Промышленный",LEFT(I2748,18)="Порошок стиральный",F2748="Продажа",B2748=DATE(2023,6,7)),E2748*J2748/1000,0)</f>
        <v/>
      </c>
    </row>
    <row r="2749">
      <c r="A2749" t="n">
        <v>2748</v>
      </c>
      <c r="B2749" s="1" t="n">
        <v>45086</v>
      </c>
      <c r="C2749" s="5" t="inlineStr">
        <is>
          <t>M14</t>
        </is>
      </c>
      <c r="D2749" s="5" t="n">
        <v>12</v>
      </c>
      <c r="E2749" s="5" t="n">
        <v>200</v>
      </c>
      <c r="F2749" t="inlineStr">
        <is>
          <t>Поступление</t>
        </is>
      </c>
      <c r="H2749">
        <f>VLOOKUP(C2749,Магазин!$A$2:$C$1000,2,0)</f>
        <v/>
      </c>
      <c r="I2749">
        <f>VLOOKUP(D2749,Товар!$A$2:$F$1000,3,0)</f>
        <v/>
      </c>
      <c r="J2749">
        <f>VLOOKUP(D2749,Товар!$A$2:$F$1000,5,0)</f>
        <v/>
      </c>
      <c r="K2749">
        <f>IF(AND(H2749="Промышленный",LEFT(I2749,18)="Порошок стиральный",F2749="Продажа",B2749=DATE(2023,6,7)),E2749*J2749/1000,0)</f>
        <v/>
      </c>
    </row>
    <row r="2750">
      <c r="A2750" t="n">
        <v>2749</v>
      </c>
      <c r="B2750" s="1" t="n">
        <v>45086</v>
      </c>
      <c r="C2750" s="5" t="inlineStr">
        <is>
          <t>M14</t>
        </is>
      </c>
      <c r="D2750" s="5" t="n">
        <v>13</v>
      </c>
      <c r="E2750" s="5" t="n">
        <v>200</v>
      </c>
      <c r="F2750" t="inlineStr">
        <is>
          <t>Поступление</t>
        </is>
      </c>
      <c r="H2750">
        <f>VLOOKUP(C2750,Магазин!$A$2:$C$1000,2,0)</f>
        <v/>
      </c>
      <c r="I2750">
        <f>VLOOKUP(D2750,Товар!$A$2:$F$1000,3,0)</f>
        <v/>
      </c>
      <c r="J2750">
        <f>VLOOKUP(D2750,Товар!$A$2:$F$1000,5,0)</f>
        <v/>
      </c>
      <c r="K2750">
        <f>IF(AND(H2750="Промышленный",LEFT(I2750,18)="Порошок стиральный",F2750="Продажа",B2750=DATE(2023,6,7)),E2750*J2750/1000,0)</f>
        <v/>
      </c>
    </row>
    <row r="2751">
      <c r="A2751" t="n">
        <v>2750</v>
      </c>
      <c r="B2751" s="1" t="n">
        <v>45086</v>
      </c>
      <c r="C2751" s="5" t="inlineStr">
        <is>
          <t>M14</t>
        </is>
      </c>
      <c r="D2751" s="5" t="n">
        <v>14</v>
      </c>
      <c r="E2751" s="5" t="n">
        <v>200</v>
      </c>
      <c r="F2751" t="inlineStr">
        <is>
          <t>Поступление</t>
        </is>
      </c>
      <c r="H2751">
        <f>VLOOKUP(C2751,Магазин!$A$2:$C$1000,2,0)</f>
        <v/>
      </c>
      <c r="I2751">
        <f>VLOOKUP(D2751,Товар!$A$2:$F$1000,3,0)</f>
        <v/>
      </c>
      <c r="J2751">
        <f>VLOOKUP(D2751,Товар!$A$2:$F$1000,5,0)</f>
        <v/>
      </c>
      <c r="K2751">
        <f>IF(AND(H2751="Промышленный",LEFT(I2751,18)="Порошок стиральный",F2751="Продажа",B2751=DATE(2023,6,7)),E2751*J2751/1000,0)</f>
        <v/>
      </c>
    </row>
    <row r="2752">
      <c r="A2752" t="n">
        <v>2751</v>
      </c>
      <c r="B2752" s="1" t="n">
        <v>45086</v>
      </c>
      <c r="C2752" s="5" t="inlineStr">
        <is>
          <t>M14</t>
        </is>
      </c>
      <c r="D2752" s="5" t="n">
        <v>15</v>
      </c>
      <c r="E2752" s="5" t="n">
        <v>200</v>
      </c>
      <c r="F2752" t="inlineStr">
        <is>
          <t>Поступление</t>
        </is>
      </c>
      <c r="H2752">
        <f>VLOOKUP(C2752,Магазин!$A$2:$C$1000,2,0)</f>
        <v/>
      </c>
      <c r="I2752">
        <f>VLOOKUP(D2752,Товар!$A$2:$F$1000,3,0)</f>
        <v/>
      </c>
      <c r="J2752">
        <f>VLOOKUP(D2752,Товар!$A$2:$F$1000,5,0)</f>
        <v/>
      </c>
      <c r="K2752">
        <f>IF(AND(H2752="Промышленный",LEFT(I2752,18)="Порошок стиральный",F2752="Продажа",B2752=DATE(2023,6,7)),E2752*J2752/1000,0)</f>
        <v/>
      </c>
    </row>
    <row r="2753">
      <c r="A2753" t="n">
        <v>2752</v>
      </c>
      <c r="B2753" s="1" t="n">
        <v>45086</v>
      </c>
      <c r="C2753" s="5" t="inlineStr">
        <is>
          <t>M14</t>
        </is>
      </c>
      <c r="D2753" s="5" t="n">
        <v>16</v>
      </c>
      <c r="E2753" s="5" t="n">
        <v>200</v>
      </c>
      <c r="F2753" t="inlineStr">
        <is>
          <t>Поступление</t>
        </is>
      </c>
      <c r="H2753">
        <f>VLOOKUP(C2753,Магазин!$A$2:$C$1000,2,0)</f>
        <v/>
      </c>
      <c r="I2753">
        <f>VLOOKUP(D2753,Товар!$A$2:$F$1000,3,0)</f>
        <v/>
      </c>
      <c r="J2753">
        <f>VLOOKUP(D2753,Товар!$A$2:$F$1000,5,0)</f>
        <v/>
      </c>
      <c r="K2753">
        <f>IF(AND(H2753="Промышленный",LEFT(I2753,18)="Порошок стиральный",F2753="Продажа",B2753=DATE(2023,6,7)),E2753*J2753/1000,0)</f>
        <v/>
      </c>
    </row>
    <row r="2754">
      <c r="A2754" t="n">
        <v>2753</v>
      </c>
      <c r="B2754" s="1" t="n">
        <v>45086</v>
      </c>
      <c r="C2754" s="5" t="inlineStr">
        <is>
          <t>M14</t>
        </is>
      </c>
      <c r="D2754" s="5" t="n">
        <v>17</v>
      </c>
      <c r="E2754" s="5" t="n">
        <v>200</v>
      </c>
      <c r="F2754" t="inlineStr">
        <is>
          <t>Поступление</t>
        </is>
      </c>
      <c r="H2754">
        <f>VLOOKUP(C2754,Магазин!$A$2:$C$1000,2,0)</f>
        <v/>
      </c>
      <c r="I2754">
        <f>VLOOKUP(D2754,Товар!$A$2:$F$1000,3,0)</f>
        <v/>
      </c>
      <c r="J2754">
        <f>VLOOKUP(D2754,Товар!$A$2:$F$1000,5,0)</f>
        <v/>
      </c>
      <c r="K2754">
        <f>IF(AND(H2754="Промышленный",LEFT(I2754,18)="Порошок стиральный",F2754="Продажа",B2754=DATE(2023,6,7)),E2754*J2754/1000,0)</f>
        <v/>
      </c>
    </row>
    <row r="2755">
      <c r="A2755" t="n">
        <v>2754</v>
      </c>
      <c r="B2755" s="1" t="n">
        <v>45086</v>
      </c>
      <c r="C2755" s="5" t="inlineStr">
        <is>
          <t>M14</t>
        </is>
      </c>
      <c r="D2755" s="5" t="n">
        <v>18</v>
      </c>
      <c r="E2755" s="5" t="n">
        <v>200</v>
      </c>
      <c r="F2755" t="inlineStr">
        <is>
          <t>Поступление</t>
        </is>
      </c>
      <c r="H2755">
        <f>VLOOKUP(C2755,Магазин!$A$2:$C$1000,2,0)</f>
        <v/>
      </c>
      <c r="I2755">
        <f>VLOOKUP(D2755,Товар!$A$2:$F$1000,3,0)</f>
        <v/>
      </c>
      <c r="J2755">
        <f>VLOOKUP(D2755,Товар!$A$2:$F$1000,5,0)</f>
        <v/>
      </c>
      <c r="K2755">
        <f>IF(AND(H2755="Промышленный",LEFT(I2755,18)="Порошок стиральный",F2755="Продажа",B2755=DATE(2023,6,7)),E2755*J2755/1000,0)</f>
        <v/>
      </c>
    </row>
    <row r="2756">
      <c r="A2756" t="n">
        <v>2755</v>
      </c>
      <c r="B2756" s="1" t="n">
        <v>45086</v>
      </c>
      <c r="C2756" s="5" t="inlineStr">
        <is>
          <t>M14</t>
        </is>
      </c>
      <c r="D2756" s="5" t="n">
        <v>19</v>
      </c>
      <c r="E2756" s="5" t="n">
        <v>200</v>
      </c>
      <c r="F2756" t="inlineStr">
        <is>
          <t>Поступление</t>
        </is>
      </c>
      <c r="H2756">
        <f>VLOOKUP(C2756,Магазин!$A$2:$C$1000,2,0)</f>
        <v/>
      </c>
      <c r="I2756">
        <f>VLOOKUP(D2756,Товар!$A$2:$F$1000,3,0)</f>
        <v/>
      </c>
      <c r="J2756">
        <f>VLOOKUP(D2756,Товар!$A$2:$F$1000,5,0)</f>
        <v/>
      </c>
      <c r="K2756">
        <f>IF(AND(H2756="Промышленный",LEFT(I2756,18)="Порошок стиральный",F2756="Продажа",B2756=DATE(2023,6,7)),E2756*J2756/1000,0)</f>
        <v/>
      </c>
    </row>
    <row r="2757">
      <c r="A2757" t="n">
        <v>2756</v>
      </c>
      <c r="B2757" s="1" t="n">
        <v>45086</v>
      </c>
      <c r="C2757" s="5" t="inlineStr">
        <is>
          <t>M14</t>
        </is>
      </c>
      <c r="D2757" s="5" t="n">
        <v>20</v>
      </c>
      <c r="E2757" s="5" t="n">
        <v>200</v>
      </c>
      <c r="F2757" t="inlineStr">
        <is>
          <t>Поступление</t>
        </is>
      </c>
      <c r="H2757">
        <f>VLOOKUP(C2757,Магазин!$A$2:$C$1000,2,0)</f>
        <v/>
      </c>
      <c r="I2757">
        <f>VLOOKUP(D2757,Товар!$A$2:$F$1000,3,0)</f>
        <v/>
      </c>
      <c r="J2757">
        <f>VLOOKUP(D2757,Товар!$A$2:$F$1000,5,0)</f>
        <v/>
      </c>
      <c r="K2757">
        <f>IF(AND(H2757="Промышленный",LEFT(I2757,18)="Порошок стиральный",F2757="Продажа",B2757=DATE(2023,6,7)),E2757*J2757/1000,0)</f>
        <v/>
      </c>
    </row>
    <row r="2758">
      <c r="A2758" t="n">
        <v>2757</v>
      </c>
      <c r="B2758" s="1" t="n">
        <v>45086</v>
      </c>
      <c r="C2758" s="5" t="inlineStr">
        <is>
          <t>M14</t>
        </is>
      </c>
      <c r="D2758" s="5" t="n">
        <v>21</v>
      </c>
      <c r="E2758" s="5" t="n">
        <v>200</v>
      </c>
      <c r="F2758" t="inlineStr">
        <is>
          <t>Поступление</t>
        </is>
      </c>
      <c r="H2758">
        <f>VLOOKUP(C2758,Магазин!$A$2:$C$1000,2,0)</f>
        <v/>
      </c>
      <c r="I2758">
        <f>VLOOKUP(D2758,Товар!$A$2:$F$1000,3,0)</f>
        <v/>
      </c>
      <c r="J2758">
        <f>VLOOKUP(D2758,Товар!$A$2:$F$1000,5,0)</f>
        <v/>
      </c>
      <c r="K2758">
        <f>IF(AND(H2758="Промышленный",LEFT(I2758,18)="Порошок стиральный",F2758="Продажа",B2758=DATE(2023,6,7)),E2758*J2758/1000,0)</f>
        <v/>
      </c>
    </row>
    <row r="2759">
      <c r="A2759" t="n">
        <v>2758</v>
      </c>
      <c r="B2759" s="1" t="n">
        <v>45086</v>
      </c>
      <c r="C2759" s="5" t="inlineStr">
        <is>
          <t>M14</t>
        </is>
      </c>
      <c r="D2759" s="5" t="n">
        <v>22</v>
      </c>
      <c r="E2759" s="5" t="n">
        <v>200</v>
      </c>
      <c r="F2759" t="inlineStr">
        <is>
          <t>Поступление</t>
        </is>
      </c>
      <c r="H2759">
        <f>VLOOKUP(C2759,Магазин!$A$2:$C$1000,2,0)</f>
        <v/>
      </c>
      <c r="I2759">
        <f>VLOOKUP(D2759,Товар!$A$2:$F$1000,3,0)</f>
        <v/>
      </c>
      <c r="J2759">
        <f>VLOOKUP(D2759,Товар!$A$2:$F$1000,5,0)</f>
        <v/>
      </c>
      <c r="K2759">
        <f>IF(AND(H2759="Промышленный",LEFT(I2759,18)="Порошок стиральный",F2759="Продажа",B2759=DATE(2023,6,7)),E2759*J2759/1000,0)</f>
        <v/>
      </c>
    </row>
    <row r="2760">
      <c r="A2760" t="n">
        <v>2759</v>
      </c>
      <c r="B2760" s="1" t="n">
        <v>45086</v>
      </c>
      <c r="C2760" s="5" t="inlineStr">
        <is>
          <t>M14</t>
        </is>
      </c>
      <c r="D2760" s="5" t="n">
        <v>23</v>
      </c>
      <c r="E2760" s="5" t="n">
        <v>200</v>
      </c>
      <c r="F2760" t="inlineStr">
        <is>
          <t>Поступление</t>
        </is>
      </c>
      <c r="H2760">
        <f>VLOOKUP(C2760,Магазин!$A$2:$C$1000,2,0)</f>
        <v/>
      </c>
      <c r="I2760">
        <f>VLOOKUP(D2760,Товар!$A$2:$F$1000,3,0)</f>
        <v/>
      </c>
      <c r="J2760">
        <f>VLOOKUP(D2760,Товар!$A$2:$F$1000,5,0)</f>
        <v/>
      </c>
      <c r="K2760">
        <f>IF(AND(H2760="Промышленный",LEFT(I2760,18)="Порошок стиральный",F2760="Продажа",B2760=DATE(2023,6,7)),E2760*J2760/1000,0)</f>
        <v/>
      </c>
    </row>
    <row r="2761">
      <c r="A2761" t="n">
        <v>2760</v>
      </c>
      <c r="B2761" s="1" t="n">
        <v>45086</v>
      </c>
      <c r="C2761" s="5" t="inlineStr">
        <is>
          <t>M14</t>
        </is>
      </c>
      <c r="D2761" s="5" t="n">
        <v>24</v>
      </c>
      <c r="E2761" s="5" t="n">
        <v>200</v>
      </c>
      <c r="F2761" t="inlineStr">
        <is>
          <t>Поступление</t>
        </is>
      </c>
      <c r="H2761">
        <f>VLOOKUP(C2761,Магазин!$A$2:$C$1000,2,0)</f>
        <v/>
      </c>
      <c r="I2761">
        <f>VLOOKUP(D2761,Товар!$A$2:$F$1000,3,0)</f>
        <v/>
      </c>
      <c r="J2761">
        <f>VLOOKUP(D2761,Товар!$A$2:$F$1000,5,0)</f>
        <v/>
      </c>
      <c r="K2761">
        <f>IF(AND(H2761="Промышленный",LEFT(I2761,18)="Порошок стиральный",F2761="Продажа",B2761=DATE(2023,6,7)),E2761*J2761/1000,0)</f>
        <v/>
      </c>
    </row>
    <row r="2762">
      <c r="A2762" t="n">
        <v>2761</v>
      </c>
      <c r="B2762" s="1" t="n">
        <v>45086</v>
      </c>
      <c r="C2762" s="5" t="inlineStr">
        <is>
          <t>M14</t>
        </is>
      </c>
      <c r="D2762" s="5" t="n">
        <v>25</v>
      </c>
      <c r="E2762" s="5" t="n">
        <v>200</v>
      </c>
      <c r="F2762" t="inlineStr">
        <is>
          <t>Поступление</t>
        </is>
      </c>
      <c r="H2762">
        <f>VLOOKUP(C2762,Магазин!$A$2:$C$1000,2,0)</f>
        <v/>
      </c>
      <c r="I2762">
        <f>VLOOKUP(D2762,Товар!$A$2:$F$1000,3,0)</f>
        <v/>
      </c>
      <c r="J2762">
        <f>VLOOKUP(D2762,Товар!$A$2:$F$1000,5,0)</f>
        <v/>
      </c>
      <c r="K2762">
        <f>IF(AND(H2762="Промышленный",LEFT(I2762,18)="Порошок стиральный",F2762="Продажа",B2762=DATE(2023,6,7)),E2762*J2762/1000,0)</f>
        <v/>
      </c>
    </row>
    <row r="2763">
      <c r="A2763" t="n">
        <v>2762</v>
      </c>
      <c r="B2763" s="1" t="n">
        <v>45086</v>
      </c>
      <c r="C2763" s="5" t="inlineStr">
        <is>
          <t>M14</t>
        </is>
      </c>
      <c r="D2763" s="5" t="n">
        <v>26</v>
      </c>
      <c r="E2763" s="5" t="n">
        <v>200</v>
      </c>
      <c r="F2763" t="inlineStr">
        <is>
          <t>Поступление</t>
        </is>
      </c>
      <c r="H2763">
        <f>VLOOKUP(C2763,Магазин!$A$2:$C$1000,2,0)</f>
        <v/>
      </c>
      <c r="I2763">
        <f>VLOOKUP(D2763,Товар!$A$2:$F$1000,3,0)</f>
        <v/>
      </c>
      <c r="J2763">
        <f>VLOOKUP(D2763,Товар!$A$2:$F$1000,5,0)</f>
        <v/>
      </c>
      <c r="K2763">
        <f>IF(AND(H2763="Промышленный",LEFT(I2763,18)="Порошок стиральный",F2763="Продажа",B2763=DATE(2023,6,7)),E2763*J2763/1000,0)</f>
        <v/>
      </c>
    </row>
    <row r="2764">
      <c r="A2764" t="n">
        <v>2763</v>
      </c>
      <c r="B2764" s="1" t="n">
        <v>45086</v>
      </c>
      <c r="C2764" s="5" t="inlineStr">
        <is>
          <t>M14</t>
        </is>
      </c>
      <c r="D2764" s="5" t="n">
        <v>27</v>
      </c>
      <c r="E2764" s="5" t="n">
        <v>200</v>
      </c>
      <c r="F2764" t="inlineStr">
        <is>
          <t>Поступление</t>
        </is>
      </c>
      <c r="H2764">
        <f>VLOOKUP(C2764,Магазин!$A$2:$C$1000,2,0)</f>
        <v/>
      </c>
      <c r="I2764">
        <f>VLOOKUP(D2764,Товар!$A$2:$F$1000,3,0)</f>
        <v/>
      </c>
      <c r="J2764">
        <f>VLOOKUP(D2764,Товар!$A$2:$F$1000,5,0)</f>
        <v/>
      </c>
      <c r="K2764">
        <f>IF(AND(H2764="Промышленный",LEFT(I2764,18)="Порошок стиральный",F2764="Продажа",B2764=DATE(2023,6,7)),E2764*J2764/1000,0)</f>
        <v/>
      </c>
    </row>
    <row r="2765">
      <c r="A2765" t="n">
        <v>2764</v>
      </c>
      <c r="B2765" s="1" t="n">
        <v>45086</v>
      </c>
      <c r="C2765" s="5" t="inlineStr">
        <is>
          <t>M14</t>
        </is>
      </c>
      <c r="D2765" s="5" t="n">
        <v>28</v>
      </c>
      <c r="E2765" s="5" t="n">
        <v>200</v>
      </c>
      <c r="F2765" t="inlineStr">
        <is>
          <t>Поступление</t>
        </is>
      </c>
      <c r="H2765">
        <f>VLOOKUP(C2765,Магазин!$A$2:$C$1000,2,0)</f>
        <v/>
      </c>
      <c r="I2765">
        <f>VLOOKUP(D2765,Товар!$A$2:$F$1000,3,0)</f>
        <v/>
      </c>
      <c r="J2765">
        <f>VLOOKUP(D2765,Товар!$A$2:$F$1000,5,0)</f>
        <v/>
      </c>
      <c r="K2765">
        <f>IF(AND(H2765="Промышленный",LEFT(I2765,18)="Порошок стиральный",F2765="Продажа",B2765=DATE(2023,6,7)),E2765*J2765/1000,0)</f>
        <v/>
      </c>
    </row>
    <row r="2766">
      <c r="A2766" t="n">
        <v>2765</v>
      </c>
      <c r="B2766" s="1" t="n">
        <v>45086</v>
      </c>
      <c r="C2766" s="5" t="inlineStr">
        <is>
          <t>M14</t>
        </is>
      </c>
      <c r="D2766" s="5" t="n">
        <v>29</v>
      </c>
      <c r="E2766" s="5" t="n">
        <v>200</v>
      </c>
      <c r="F2766" t="inlineStr">
        <is>
          <t>Поступление</t>
        </is>
      </c>
      <c r="H2766">
        <f>VLOOKUP(C2766,Магазин!$A$2:$C$1000,2,0)</f>
        <v/>
      </c>
      <c r="I2766">
        <f>VLOOKUP(D2766,Товар!$A$2:$F$1000,3,0)</f>
        <v/>
      </c>
      <c r="J2766">
        <f>VLOOKUP(D2766,Товар!$A$2:$F$1000,5,0)</f>
        <v/>
      </c>
      <c r="K2766">
        <f>IF(AND(H2766="Промышленный",LEFT(I2766,18)="Порошок стиральный",F2766="Продажа",B2766=DATE(2023,6,7)),E2766*J2766/1000,0)</f>
        <v/>
      </c>
    </row>
    <row r="2767">
      <c r="A2767" t="n">
        <v>2766</v>
      </c>
      <c r="B2767" s="1" t="n">
        <v>45086</v>
      </c>
      <c r="C2767" s="5" t="inlineStr">
        <is>
          <t>M14</t>
        </is>
      </c>
      <c r="D2767" s="5" t="n">
        <v>30</v>
      </c>
      <c r="E2767" s="5" t="n">
        <v>200</v>
      </c>
      <c r="F2767" t="inlineStr">
        <is>
          <t>Поступление</t>
        </is>
      </c>
      <c r="H2767">
        <f>VLOOKUP(C2767,Магазин!$A$2:$C$1000,2,0)</f>
        <v/>
      </c>
      <c r="I2767">
        <f>VLOOKUP(D2767,Товар!$A$2:$F$1000,3,0)</f>
        <v/>
      </c>
      <c r="J2767">
        <f>VLOOKUP(D2767,Товар!$A$2:$F$1000,5,0)</f>
        <v/>
      </c>
      <c r="K2767">
        <f>IF(AND(H2767="Промышленный",LEFT(I2767,18)="Порошок стиральный",F2767="Продажа",B2767=DATE(2023,6,7)),E2767*J2767/1000,0)</f>
        <v/>
      </c>
    </row>
    <row r="2768">
      <c r="A2768" t="n">
        <v>2767</v>
      </c>
      <c r="B2768" s="1" t="n">
        <v>45086</v>
      </c>
      <c r="C2768" s="5" t="inlineStr">
        <is>
          <t>M14</t>
        </is>
      </c>
      <c r="D2768" s="5" t="n">
        <v>31</v>
      </c>
      <c r="E2768" s="5" t="n">
        <v>200</v>
      </c>
      <c r="F2768" t="inlineStr">
        <is>
          <t>Поступление</t>
        </is>
      </c>
      <c r="H2768">
        <f>VLOOKUP(C2768,Магазин!$A$2:$C$1000,2,0)</f>
        <v/>
      </c>
      <c r="I2768">
        <f>VLOOKUP(D2768,Товар!$A$2:$F$1000,3,0)</f>
        <v/>
      </c>
      <c r="J2768">
        <f>VLOOKUP(D2768,Товар!$A$2:$F$1000,5,0)</f>
        <v/>
      </c>
      <c r="K2768">
        <f>IF(AND(H2768="Промышленный",LEFT(I2768,18)="Порошок стиральный",F2768="Продажа",B2768=DATE(2023,6,7)),E2768*J2768/1000,0)</f>
        <v/>
      </c>
    </row>
    <row r="2769">
      <c r="A2769" t="n">
        <v>2768</v>
      </c>
      <c r="B2769" s="1" t="n">
        <v>45086</v>
      </c>
      <c r="C2769" s="5" t="inlineStr">
        <is>
          <t>M14</t>
        </is>
      </c>
      <c r="D2769" s="5" t="n">
        <v>32</v>
      </c>
      <c r="E2769" s="5" t="n">
        <v>200</v>
      </c>
      <c r="F2769" t="inlineStr">
        <is>
          <t>Поступление</t>
        </is>
      </c>
      <c r="H2769">
        <f>VLOOKUP(C2769,Магазин!$A$2:$C$1000,2,0)</f>
        <v/>
      </c>
      <c r="I2769">
        <f>VLOOKUP(D2769,Товар!$A$2:$F$1000,3,0)</f>
        <v/>
      </c>
      <c r="J2769">
        <f>VLOOKUP(D2769,Товар!$A$2:$F$1000,5,0)</f>
        <v/>
      </c>
      <c r="K2769">
        <f>IF(AND(H2769="Промышленный",LEFT(I2769,18)="Порошок стиральный",F2769="Продажа",B2769=DATE(2023,6,7)),E2769*J2769/1000,0)</f>
        <v/>
      </c>
    </row>
    <row r="2770">
      <c r="A2770" t="n">
        <v>2769</v>
      </c>
      <c r="B2770" s="1" t="n">
        <v>45086</v>
      </c>
      <c r="C2770" s="5" t="inlineStr">
        <is>
          <t>M14</t>
        </is>
      </c>
      <c r="D2770" s="5" t="n">
        <v>33</v>
      </c>
      <c r="E2770" s="5" t="n">
        <v>200</v>
      </c>
      <c r="F2770" t="inlineStr">
        <is>
          <t>Поступление</t>
        </is>
      </c>
      <c r="H2770">
        <f>VLOOKUP(C2770,Магазин!$A$2:$C$1000,2,0)</f>
        <v/>
      </c>
      <c r="I2770">
        <f>VLOOKUP(D2770,Товар!$A$2:$F$1000,3,0)</f>
        <v/>
      </c>
      <c r="J2770">
        <f>VLOOKUP(D2770,Товар!$A$2:$F$1000,5,0)</f>
        <v/>
      </c>
      <c r="K2770">
        <f>IF(AND(H2770="Промышленный",LEFT(I2770,18)="Порошок стиральный",F2770="Продажа",B2770=DATE(2023,6,7)),E2770*J2770/1000,0)</f>
        <v/>
      </c>
    </row>
    <row r="2771">
      <c r="A2771" t="n">
        <v>2770</v>
      </c>
      <c r="B2771" s="1" t="n">
        <v>45086</v>
      </c>
      <c r="C2771" s="5" t="inlineStr">
        <is>
          <t>M14</t>
        </is>
      </c>
      <c r="D2771" s="5" t="n">
        <v>34</v>
      </c>
      <c r="E2771" s="5" t="n">
        <v>200</v>
      </c>
      <c r="F2771" t="inlineStr">
        <is>
          <t>Поступление</t>
        </is>
      </c>
      <c r="H2771">
        <f>VLOOKUP(C2771,Магазин!$A$2:$C$1000,2,0)</f>
        <v/>
      </c>
      <c r="I2771">
        <f>VLOOKUP(D2771,Товар!$A$2:$F$1000,3,0)</f>
        <v/>
      </c>
      <c r="J2771">
        <f>VLOOKUP(D2771,Товар!$A$2:$F$1000,5,0)</f>
        <v/>
      </c>
      <c r="K2771">
        <f>IF(AND(H2771="Промышленный",LEFT(I2771,18)="Порошок стиральный",F2771="Продажа",B2771=DATE(2023,6,7)),E2771*J2771/1000,0)</f>
        <v/>
      </c>
    </row>
    <row r="2772">
      <c r="A2772" t="n">
        <v>2771</v>
      </c>
      <c r="B2772" s="1" t="n">
        <v>45086</v>
      </c>
      <c r="C2772" s="5" t="inlineStr">
        <is>
          <t>M14</t>
        </is>
      </c>
      <c r="D2772" s="5" t="n">
        <v>35</v>
      </c>
      <c r="E2772" s="5" t="n">
        <v>200</v>
      </c>
      <c r="F2772" t="inlineStr">
        <is>
          <t>Поступление</t>
        </is>
      </c>
      <c r="H2772">
        <f>VLOOKUP(C2772,Магазин!$A$2:$C$1000,2,0)</f>
        <v/>
      </c>
      <c r="I2772">
        <f>VLOOKUP(D2772,Товар!$A$2:$F$1000,3,0)</f>
        <v/>
      </c>
      <c r="J2772">
        <f>VLOOKUP(D2772,Товар!$A$2:$F$1000,5,0)</f>
        <v/>
      </c>
      <c r="K2772">
        <f>IF(AND(H2772="Промышленный",LEFT(I2772,18)="Порошок стиральный",F2772="Продажа",B2772=DATE(2023,6,7)),E2772*J2772/1000,0)</f>
        <v/>
      </c>
    </row>
    <row r="2773">
      <c r="A2773" t="n">
        <v>2772</v>
      </c>
      <c r="B2773" s="1" t="n">
        <v>45086</v>
      </c>
      <c r="C2773" s="5" t="inlineStr">
        <is>
          <t>M14</t>
        </is>
      </c>
      <c r="D2773" s="5" t="n">
        <v>36</v>
      </c>
      <c r="E2773" s="5" t="n">
        <v>200</v>
      </c>
      <c r="F2773" t="inlineStr">
        <is>
          <t>Поступление</t>
        </is>
      </c>
      <c r="H2773">
        <f>VLOOKUP(C2773,Магазин!$A$2:$C$1000,2,0)</f>
        <v/>
      </c>
      <c r="I2773">
        <f>VLOOKUP(D2773,Товар!$A$2:$F$1000,3,0)</f>
        <v/>
      </c>
      <c r="J2773">
        <f>VLOOKUP(D2773,Товар!$A$2:$F$1000,5,0)</f>
        <v/>
      </c>
      <c r="K2773">
        <f>IF(AND(H2773="Промышленный",LEFT(I2773,18)="Порошок стиральный",F2773="Продажа",B2773=DATE(2023,6,7)),E2773*J2773/1000,0)</f>
        <v/>
      </c>
    </row>
    <row r="2774">
      <c r="A2774" t="n">
        <v>2773</v>
      </c>
      <c r="B2774" s="1" t="n">
        <v>45086</v>
      </c>
      <c r="C2774" s="5" t="inlineStr">
        <is>
          <t>M17</t>
        </is>
      </c>
      <c r="D2774" s="5" t="n">
        <v>1</v>
      </c>
      <c r="E2774" s="5" t="n">
        <v>200</v>
      </c>
      <c r="F2774" t="inlineStr">
        <is>
          <t>Поступление</t>
        </is>
      </c>
      <c r="H2774">
        <f>VLOOKUP(C2774,Магазин!$A$2:$C$1000,2,0)</f>
        <v/>
      </c>
      <c r="I2774">
        <f>VLOOKUP(D2774,Товар!$A$2:$F$1000,3,0)</f>
        <v/>
      </c>
      <c r="J2774">
        <f>VLOOKUP(D2774,Товар!$A$2:$F$1000,5,0)</f>
        <v/>
      </c>
      <c r="K2774">
        <f>IF(AND(H2774="Промышленный",LEFT(I2774,18)="Порошок стиральный",F2774="Продажа",B2774=DATE(2023,6,7)),E2774*J2774/1000,0)</f>
        <v/>
      </c>
    </row>
    <row r="2775">
      <c r="A2775" t="n">
        <v>2774</v>
      </c>
      <c r="B2775" s="1" t="n">
        <v>45086</v>
      </c>
      <c r="C2775" s="5" t="inlineStr">
        <is>
          <t>M17</t>
        </is>
      </c>
      <c r="D2775" s="5" t="n">
        <v>2</v>
      </c>
      <c r="E2775" s="5" t="n">
        <v>200</v>
      </c>
      <c r="F2775" t="inlineStr">
        <is>
          <t>Поступление</t>
        </is>
      </c>
      <c r="H2775">
        <f>VLOOKUP(C2775,Магазин!$A$2:$C$1000,2,0)</f>
        <v/>
      </c>
      <c r="I2775">
        <f>VLOOKUP(D2775,Товар!$A$2:$F$1000,3,0)</f>
        <v/>
      </c>
      <c r="J2775">
        <f>VLOOKUP(D2775,Товар!$A$2:$F$1000,5,0)</f>
        <v/>
      </c>
      <c r="K2775">
        <f>IF(AND(H2775="Промышленный",LEFT(I2775,18)="Порошок стиральный",F2775="Продажа",B2775=DATE(2023,6,7)),E2775*J2775/1000,0)</f>
        <v/>
      </c>
    </row>
    <row r="2776">
      <c r="A2776" t="n">
        <v>2775</v>
      </c>
      <c r="B2776" s="1" t="n">
        <v>45086</v>
      </c>
      <c r="C2776" s="5" t="inlineStr">
        <is>
          <t>M17</t>
        </is>
      </c>
      <c r="D2776" s="5" t="n">
        <v>3</v>
      </c>
      <c r="E2776" s="5" t="n">
        <v>200</v>
      </c>
      <c r="F2776" t="inlineStr">
        <is>
          <t>Поступление</t>
        </is>
      </c>
      <c r="H2776">
        <f>VLOOKUP(C2776,Магазин!$A$2:$C$1000,2,0)</f>
        <v/>
      </c>
      <c r="I2776">
        <f>VLOOKUP(D2776,Товар!$A$2:$F$1000,3,0)</f>
        <v/>
      </c>
      <c r="J2776">
        <f>VLOOKUP(D2776,Товар!$A$2:$F$1000,5,0)</f>
        <v/>
      </c>
      <c r="K2776">
        <f>IF(AND(H2776="Промышленный",LEFT(I2776,18)="Порошок стиральный",F2776="Продажа",B2776=DATE(2023,6,7)),E2776*J2776/1000,0)</f>
        <v/>
      </c>
    </row>
    <row r="2777">
      <c r="A2777" t="n">
        <v>2776</v>
      </c>
      <c r="B2777" s="1" t="n">
        <v>45086</v>
      </c>
      <c r="C2777" s="5" t="inlineStr">
        <is>
          <t>M17</t>
        </is>
      </c>
      <c r="D2777" s="5" t="n">
        <v>4</v>
      </c>
      <c r="E2777" s="5" t="n">
        <v>200</v>
      </c>
      <c r="F2777" t="inlineStr">
        <is>
          <t>Поступление</t>
        </is>
      </c>
      <c r="H2777">
        <f>VLOOKUP(C2777,Магазин!$A$2:$C$1000,2,0)</f>
        <v/>
      </c>
      <c r="I2777">
        <f>VLOOKUP(D2777,Товар!$A$2:$F$1000,3,0)</f>
        <v/>
      </c>
      <c r="J2777">
        <f>VLOOKUP(D2777,Товар!$A$2:$F$1000,5,0)</f>
        <v/>
      </c>
      <c r="K2777">
        <f>IF(AND(H2777="Промышленный",LEFT(I2777,18)="Порошок стиральный",F2777="Продажа",B2777=DATE(2023,6,7)),E2777*J2777/1000,0)</f>
        <v/>
      </c>
    </row>
    <row r="2778">
      <c r="A2778" t="n">
        <v>2777</v>
      </c>
      <c r="B2778" s="1" t="n">
        <v>45086</v>
      </c>
      <c r="C2778" s="5" t="inlineStr">
        <is>
          <t>M17</t>
        </is>
      </c>
      <c r="D2778" s="5" t="n">
        <v>5</v>
      </c>
      <c r="E2778" s="5" t="n">
        <v>200</v>
      </c>
      <c r="F2778" t="inlineStr">
        <is>
          <t>Поступление</t>
        </is>
      </c>
      <c r="H2778">
        <f>VLOOKUP(C2778,Магазин!$A$2:$C$1000,2,0)</f>
        <v/>
      </c>
      <c r="I2778">
        <f>VLOOKUP(D2778,Товар!$A$2:$F$1000,3,0)</f>
        <v/>
      </c>
      <c r="J2778">
        <f>VLOOKUP(D2778,Товар!$A$2:$F$1000,5,0)</f>
        <v/>
      </c>
      <c r="K2778">
        <f>IF(AND(H2778="Промышленный",LEFT(I2778,18)="Порошок стиральный",F2778="Продажа",B2778=DATE(2023,6,7)),E2778*J2778/1000,0)</f>
        <v/>
      </c>
    </row>
    <row r="2779">
      <c r="A2779" t="n">
        <v>2778</v>
      </c>
      <c r="B2779" s="1" t="n">
        <v>45086</v>
      </c>
      <c r="C2779" s="5" t="inlineStr">
        <is>
          <t>M17</t>
        </is>
      </c>
      <c r="D2779" s="5" t="n">
        <v>6</v>
      </c>
      <c r="E2779" s="5" t="n">
        <v>200</v>
      </c>
      <c r="F2779" t="inlineStr">
        <is>
          <t>Поступление</t>
        </is>
      </c>
      <c r="H2779">
        <f>VLOOKUP(C2779,Магазин!$A$2:$C$1000,2,0)</f>
        <v/>
      </c>
      <c r="I2779">
        <f>VLOOKUP(D2779,Товар!$A$2:$F$1000,3,0)</f>
        <v/>
      </c>
      <c r="J2779">
        <f>VLOOKUP(D2779,Товар!$A$2:$F$1000,5,0)</f>
        <v/>
      </c>
      <c r="K2779">
        <f>IF(AND(H2779="Промышленный",LEFT(I2779,18)="Порошок стиральный",F2779="Продажа",B2779=DATE(2023,6,7)),E2779*J2779/1000,0)</f>
        <v/>
      </c>
    </row>
    <row r="2780">
      <c r="A2780" t="n">
        <v>2779</v>
      </c>
      <c r="B2780" s="1" t="n">
        <v>45086</v>
      </c>
      <c r="C2780" s="5" t="inlineStr">
        <is>
          <t>M17</t>
        </is>
      </c>
      <c r="D2780" s="5" t="n">
        <v>7</v>
      </c>
      <c r="E2780" s="5" t="n">
        <v>200</v>
      </c>
      <c r="F2780" t="inlineStr">
        <is>
          <t>Поступление</t>
        </is>
      </c>
      <c r="H2780">
        <f>VLOOKUP(C2780,Магазин!$A$2:$C$1000,2,0)</f>
        <v/>
      </c>
      <c r="I2780">
        <f>VLOOKUP(D2780,Товар!$A$2:$F$1000,3,0)</f>
        <v/>
      </c>
      <c r="J2780">
        <f>VLOOKUP(D2780,Товар!$A$2:$F$1000,5,0)</f>
        <v/>
      </c>
      <c r="K2780">
        <f>IF(AND(H2780="Промышленный",LEFT(I2780,18)="Порошок стиральный",F2780="Продажа",B2780=DATE(2023,6,7)),E2780*J2780/1000,0)</f>
        <v/>
      </c>
    </row>
    <row r="2781">
      <c r="A2781" t="n">
        <v>2780</v>
      </c>
      <c r="B2781" s="1" t="n">
        <v>45086</v>
      </c>
      <c r="C2781" s="5" t="inlineStr">
        <is>
          <t>M17</t>
        </is>
      </c>
      <c r="D2781" s="5" t="n">
        <v>8</v>
      </c>
      <c r="E2781" s="5" t="n">
        <v>200</v>
      </c>
      <c r="F2781" t="inlineStr">
        <is>
          <t>Поступление</t>
        </is>
      </c>
      <c r="H2781">
        <f>VLOOKUP(C2781,Магазин!$A$2:$C$1000,2,0)</f>
        <v/>
      </c>
      <c r="I2781">
        <f>VLOOKUP(D2781,Товар!$A$2:$F$1000,3,0)</f>
        <v/>
      </c>
      <c r="J2781">
        <f>VLOOKUP(D2781,Товар!$A$2:$F$1000,5,0)</f>
        <v/>
      </c>
      <c r="K2781">
        <f>IF(AND(H2781="Промышленный",LEFT(I2781,18)="Порошок стиральный",F2781="Продажа",B2781=DATE(2023,6,7)),E2781*J2781/1000,0)</f>
        <v/>
      </c>
    </row>
    <row r="2782">
      <c r="A2782" t="n">
        <v>2781</v>
      </c>
      <c r="B2782" s="1" t="n">
        <v>45086</v>
      </c>
      <c r="C2782" s="5" t="inlineStr">
        <is>
          <t>M17</t>
        </is>
      </c>
      <c r="D2782" s="5" t="n">
        <v>9</v>
      </c>
      <c r="E2782" s="5" t="n">
        <v>200</v>
      </c>
      <c r="F2782" t="inlineStr">
        <is>
          <t>Поступление</t>
        </is>
      </c>
      <c r="H2782">
        <f>VLOOKUP(C2782,Магазин!$A$2:$C$1000,2,0)</f>
        <v/>
      </c>
      <c r="I2782">
        <f>VLOOKUP(D2782,Товар!$A$2:$F$1000,3,0)</f>
        <v/>
      </c>
      <c r="J2782">
        <f>VLOOKUP(D2782,Товар!$A$2:$F$1000,5,0)</f>
        <v/>
      </c>
      <c r="K2782">
        <f>IF(AND(H2782="Промышленный",LEFT(I2782,18)="Порошок стиральный",F2782="Продажа",B2782=DATE(2023,6,7)),E2782*J2782/1000,0)</f>
        <v/>
      </c>
    </row>
    <row r="2783">
      <c r="A2783" t="n">
        <v>2782</v>
      </c>
      <c r="B2783" s="1" t="n">
        <v>45086</v>
      </c>
      <c r="C2783" s="5" t="inlineStr">
        <is>
          <t>M17</t>
        </is>
      </c>
      <c r="D2783" s="5" t="n">
        <v>10</v>
      </c>
      <c r="E2783" s="5" t="n">
        <v>200</v>
      </c>
      <c r="F2783" t="inlineStr">
        <is>
          <t>Поступление</t>
        </is>
      </c>
      <c r="H2783">
        <f>VLOOKUP(C2783,Магазин!$A$2:$C$1000,2,0)</f>
        <v/>
      </c>
      <c r="I2783">
        <f>VLOOKUP(D2783,Товар!$A$2:$F$1000,3,0)</f>
        <v/>
      </c>
      <c r="J2783">
        <f>VLOOKUP(D2783,Товар!$A$2:$F$1000,5,0)</f>
        <v/>
      </c>
      <c r="K2783">
        <f>IF(AND(H2783="Промышленный",LEFT(I2783,18)="Порошок стиральный",F2783="Продажа",B2783=DATE(2023,6,7)),E2783*J2783/1000,0)</f>
        <v/>
      </c>
    </row>
    <row r="2784">
      <c r="A2784" t="n">
        <v>2783</v>
      </c>
      <c r="B2784" s="1" t="n">
        <v>45086</v>
      </c>
      <c r="C2784" s="5" t="inlineStr">
        <is>
          <t>M17</t>
        </is>
      </c>
      <c r="D2784" s="5" t="n">
        <v>11</v>
      </c>
      <c r="E2784" s="5" t="n">
        <v>200</v>
      </c>
      <c r="F2784" t="inlineStr">
        <is>
          <t>Поступление</t>
        </is>
      </c>
      <c r="H2784">
        <f>VLOOKUP(C2784,Магазин!$A$2:$C$1000,2,0)</f>
        <v/>
      </c>
      <c r="I2784">
        <f>VLOOKUP(D2784,Товар!$A$2:$F$1000,3,0)</f>
        <v/>
      </c>
      <c r="J2784">
        <f>VLOOKUP(D2784,Товар!$A$2:$F$1000,5,0)</f>
        <v/>
      </c>
      <c r="K2784">
        <f>IF(AND(H2784="Промышленный",LEFT(I2784,18)="Порошок стиральный",F2784="Продажа",B2784=DATE(2023,6,7)),E2784*J2784/1000,0)</f>
        <v/>
      </c>
    </row>
    <row r="2785">
      <c r="A2785" t="n">
        <v>2784</v>
      </c>
      <c r="B2785" s="1" t="n">
        <v>45086</v>
      </c>
      <c r="C2785" s="5" t="inlineStr">
        <is>
          <t>M17</t>
        </is>
      </c>
      <c r="D2785" s="5" t="n">
        <v>12</v>
      </c>
      <c r="E2785" s="5" t="n">
        <v>200</v>
      </c>
      <c r="F2785" t="inlineStr">
        <is>
          <t>Поступление</t>
        </is>
      </c>
      <c r="H2785">
        <f>VLOOKUP(C2785,Магазин!$A$2:$C$1000,2,0)</f>
        <v/>
      </c>
      <c r="I2785">
        <f>VLOOKUP(D2785,Товар!$A$2:$F$1000,3,0)</f>
        <v/>
      </c>
      <c r="J2785">
        <f>VLOOKUP(D2785,Товар!$A$2:$F$1000,5,0)</f>
        <v/>
      </c>
      <c r="K2785">
        <f>IF(AND(H2785="Промышленный",LEFT(I2785,18)="Порошок стиральный",F2785="Продажа",B2785=DATE(2023,6,7)),E2785*J2785/1000,0)</f>
        <v/>
      </c>
    </row>
    <row r="2786">
      <c r="A2786" t="n">
        <v>2785</v>
      </c>
      <c r="B2786" s="1" t="n">
        <v>45086</v>
      </c>
      <c r="C2786" s="5" t="inlineStr">
        <is>
          <t>M17</t>
        </is>
      </c>
      <c r="D2786" s="5" t="n">
        <v>13</v>
      </c>
      <c r="E2786" s="5" t="n">
        <v>200</v>
      </c>
      <c r="F2786" t="inlineStr">
        <is>
          <t>Поступление</t>
        </is>
      </c>
      <c r="H2786">
        <f>VLOOKUP(C2786,Магазин!$A$2:$C$1000,2,0)</f>
        <v/>
      </c>
      <c r="I2786">
        <f>VLOOKUP(D2786,Товар!$A$2:$F$1000,3,0)</f>
        <v/>
      </c>
      <c r="J2786">
        <f>VLOOKUP(D2786,Товар!$A$2:$F$1000,5,0)</f>
        <v/>
      </c>
      <c r="K2786">
        <f>IF(AND(H2786="Промышленный",LEFT(I2786,18)="Порошок стиральный",F2786="Продажа",B2786=DATE(2023,6,7)),E2786*J2786/1000,0)</f>
        <v/>
      </c>
    </row>
    <row r="2787">
      <c r="A2787" t="n">
        <v>2786</v>
      </c>
      <c r="B2787" s="1" t="n">
        <v>45086</v>
      </c>
      <c r="C2787" s="5" t="inlineStr">
        <is>
          <t>M17</t>
        </is>
      </c>
      <c r="D2787" s="5" t="n">
        <v>14</v>
      </c>
      <c r="E2787" s="5" t="n">
        <v>200</v>
      </c>
      <c r="F2787" t="inlineStr">
        <is>
          <t>Поступление</t>
        </is>
      </c>
      <c r="H2787">
        <f>VLOOKUP(C2787,Магазин!$A$2:$C$1000,2,0)</f>
        <v/>
      </c>
      <c r="I2787">
        <f>VLOOKUP(D2787,Товар!$A$2:$F$1000,3,0)</f>
        <v/>
      </c>
      <c r="J2787">
        <f>VLOOKUP(D2787,Товар!$A$2:$F$1000,5,0)</f>
        <v/>
      </c>
      <c r="K2787">
        <f>IF(AND(H2787="Промышленный",LEFT(I2787,18)="Порошок стиральный",F2787="Продажа",B2787=DATE(2023,6,7)),E2787*J2787/1000,0)</f>
        <v/>
      </c>
    </row>
    <row r="2788">
      <c r="A2788" t="n">
        <v>2787</v>
      </c>
      <c r="B2788" s="1" t="n">
        <v>45086</v>
      </c>
      <c r="C2788" s="5" t="inlineStr">
        <is>
          <t>M17</t>
        </is>
      </c>
      <c r="D2788" s="5" t="n">
        <v>15</v>
      </c>
      <c r="E2788" s="5" t="n">
        <v>200</v>
      </c>
      <c r="F2788" t="inlineStr">
        <is>
          <t>Поступление</t>
        </is>
      </c>
      <c r="H2788">
        <f>VLOOKUP(C2788,Магазин!$A$2:$C$1000,2,0)</f>
        <v/>
      </c>
      <c r="I2788">
        <f>VLOOKUP(D2788,Товар!$A$2:$F$1000,3,0)</f>
        <v/>
      </c>
      <c r="J2788">
        <f>VLOOKUP(D2788,Товар!$A$2:$F$1000,5,0)</f>
        <v/>
      </c>
      <c r="K2788">
        <f>IF(AND(H2788="Промышленный",LEFT(I2788,18)="Порошок стиральный",F2788="Продажа",B2788=DATE(2023,6,7)),E2788*J2788/1000,0)</f>
        <v/>
      </c>
    </row>
    <row r="2789">
      <c r="A2789" t="n">
        <v>2788</v>
      </c>
      <c r="B2789" s="1" t="n">
        <v>45086</v>
      </c>
      <c r="C2789" s="5" t="inlineStr">
        <is>
          <t>M17</t>
        </is>
      </c>
      <c r="D2789" s="5" t="n">
        <v>16</v>
      </c>
      <c r="E2789" s="5" t="n">
        <v>200</v>
      </c>
      <c r="F2789" t="inlineStr">
        <is>
          <t>Поступление</t>
        </is>
      </c>
      <c r="H2789">
        <f>VLOOKUP(C2789,Магазин!$A$2:$C$1000,2,0)</f>
        <v/>
      </c>
      <c r="I2789">
        <f>VLOOKUP(D2789,Товар!$A$2:$F$1000,3,0)</f>
        <v/>
      </c>
      <c r="J2789">
        <f>VLOOKUP(D2789,Товар!$A$2:$F$1000,5,0)</f>
        <v/>
      </c>
      <c r="K2789">
        <f>IF(AND(H2789="Промышленный",LEFT(I2789,18)="Порошок стиральный",F2789="Продажа",B2789=DATE(2023,6,7)),E2789*J2789/1000,0)</f>
        <v/>
      </c>
    </row>
    <row r="2790">
      <c r="A2790" t="n">
        <v>2789</v>
      </c>
      <c r="B2790" s="1" t="n">
        <v>45086</v>
      </c>
      <c r="C2790" s="5" t="inlineStr">
        <is>
          <t>M17</t>
        </is>
      </c>
      <c r="D2790" s="5" t="n">
        <v>17</v>
      </c>
      <c r="E2790" s="5" t="n">
        <v>200</v>
      </c>
      <c r="F2790" t="inlineStr">
        <is>
          <t>Поступление</t>
        </is>
      </c>
      <c r="H2790">
        <f>VLOOKUP(C2790,Магазин!$A$2:$C$1000,2,0)</f>
        <v/>
      </c>
      <c r="I2790">
        <f>VLOOKUP(D2790,Товар!$A$2:$F$1000,3,0)</f>
        <v/>
      </c>
      <c r="J2790">
        <f>VLOOKUP(D2790,Товар!$A$2:$F$1000,5,0)</f>
        <v/>
      </c>
      <c r="K2790">
        <f>IF(AND(H2790="Промышленный",LEFT(I2790,18)="Порошок стиральный",F2790="Продажа",B2790=DATE(2023,6,7)),E2790*J2790/1000,0)</f>
        <v/>
      </c>
    </row>
    <row r="2791">
      <c r="A2791" t="n">
        <v>2790</v>
      </c>
      <c r="B2791" s="1" t="n">
        <v>45086</v>
      </c>
      <c r="C2791" s="5" t="inlineStr">
        <is>
          <t>M17</t>
        </is>
      </c>
      <c r="D2791" s="5" t="n">
        <v>18</v>
      </c>
      <c r="E2791" s="5" t="n">
        <v>200</v>
      </c>
      <c r="F2791" t="inlineStr">
        <is>
          <t>Поступление</t>
        </is>
      </c>
      <c r="H2791">
        <f>VLOOKUP(C2791,Магазин!$A$2:$C$1000,2,0)</f>
        <v/>
      </c>
      <c r="I2791">
        <f>VLOOKUP(D2791,Товар!$A$2:$F$1000,3,0)</f>
        <v/>
      </c>
      <c r="J2791">
        <f>VLOOKUP(D2791,Товар!$A$2:$F$1000,5,0)</f>
        <v/>
      </c>
      <c r="K2791">
        <f>IF(AND(H2791="Промышленный",LEFT(I2791,18)="Порошок стиральный",F2791="Продажа",B2791=DATE(2023,6,7)),E2791*J2791/1000,0)</f>
        <v/>
      </c>
    </row>
    <row r="2792">
      <c r="A2792" t="n">
        <v>2791</v>
      </c>
      <c r="B2792" s="1" t="n">
        <v>45086</v>
      </c>
      <c r="C2792" s="5" t="inlineStr">
        <is>
          <t>M17</t>
        </is>
      </c>
      <c r="D2792" s="5" t="n">
        <v>19</v>
      </c>
      <c r="E2792" s="5" t="n">
        <v>200</v>
      </c>
      <c r="F2792" t="inlineStr">
        <is>
          <t>Поступление</t>
        </is>
      </c>
      <c r="H2792">
        <f>VLOOKUP(C2792,Магазин!$A$2:$C$1000,2,0)</f>
        <v/>
      </c>
      <c r="I2792">
        <f>VLOOKUP(D2792,Товар!$A$2:$F$1000,3,0)</f>
        <v/>
      </c>
      <c r="J2792">
        <f>VLOOKUP(D2792,Товар!$A$2:$F$1000,5,0)</f>
        <v/>
      </c>
      <c r="K2792">
        <f>IF(AND(H2792="Промышленный",LEFT(I2792,18)="Порошок стиральный",F2792="Продажа",B2792=DATE(2023,6,7)),E2792*J2792/1000,0)</f>
        <v/>
      </c>
    </row>
    <row r="2793">
      <c r="A2793" t="n">
        <v>2792</v>
      </c>
      <c r="B2793" s="1" t="n">
        <v>45086</v>
      </c>
      <c r="C2793" s="5" t="inlineStr">
        <is>
          <t>M17</t>
        </is>
      </c>
      <c r="D2793" s="5" t="n">
        <v>20</v>
      </c>
      <c r="E2793" s="5" t="n">
        <v>200</v>
      </c>
      <c r="F2793" t="inlineStr">
        <is>
          <t>Поступление</t>
        </is>
      </c>
      <c r="H2793">
        <f>VLOOKUP(C2793,Магазин!$A$2:$C$1000,2,0)</f>
        <v/>
      </c>
      <c r="I2793">
        <f>VLOOKUP(D2793,Товар!$A$2:$F$1000,3,0)</f>
        <v/>
      </c>
      <c r="J2793">
        <f>VLOOKUP(D2793,Товар!$A$2:$F$1000,5,0)</f>
        <v/>
      </c>
      <c r="K2793">
        <f>IF(AND(H2793="Промышленный",LEFT(I2793,18)="Порошок стиральный",F2793="Продажа",B2793=DATE(2023,6,7)),E2793*J2793/1000,0)</f>
        <v/>
      </c>
    </row>
    <row r="2794">
      <c r="A2794" t="n">
        <v>2793</v>
      </c>
      <c r="B2794" s="1" t="n">
        <v>45086</v>
      </c>
      <c r="C2794" s="5" t="inlineStr">
        <is>
          <t>M17</t>
        </is>
      </c>
      <c r="D2794" s="5" t="n">
        <v>21</v>
      </c>
      <c r="E2794" s="5" t="n">
        <v>200</v>
      </c>
      <c r="F2794" t="inlineStr">
        <is>
          <t>Поступление</t>
        </is>
      </c>
      <c r="H2794">
        <f>VLOOKUP(C2794,Магазин!$A$2:$C$1000,2,0)</f>
        <v/>
      </c>
      <c r="I2794">
        <f>VLOOKUP(D2794,Товар!$A$2:$F$1000,3,0)</f>
        <v/>
      </c>
      <c r="J2794">
        <f>VLOOKUP(D2794,Товар!$A$2:$F$1000,5,0)</f>
        <v/>
      </c>
      <c r="K2794">
        <f>IF(AND(H2794="Промышленный",LEFT(I2794,18)="Порошок стиральный",F2794="Продажа",B2794=DATE(2023,6,7)),E2794*J2794/1000,0)</f>
        <v/>
      </c>
    </row>
    <row r="2795">
      <c r="A2795" t="n">
        <v>2794</v>
      </c>
      <c r="B2795" s="1" t="n">
        <v>45086</v>
      </c>
      <c r="C2795" s="5" t="inlineStr">
        <is>
          <t>M17</t>
        </is>
      </c>
      <c r="D2795" s="5" t="n">
        <v>22</v>
      </c>
      <c r="E2795" s="5" t="n">
        <v>200</v>
      </c>
      <c r="F2795" t="inlineStr">
        <is>
          <t>Поступление</t>
        </is>
      </c>
      <c r="H2795">
        <f>VLOOKUP(C2795,Магазин!$A$2:$C$1000,2,0)</f>
        <v/>
      </c>
      <c r="I2795">
        <f>VLOOKUP(D2795,Товар!$A$2:$F$1000,3,0)</f>
        <v/>
      </c>
      <c r="J2795">
        <f>VLOOKUP(D2795,Товар!$A$2:$F$1000,5,0)</f>
        <v/>
      </c>
      <c r="K2795">
        <f>IF(AND(H2795="Промышленный",LEFT(I2795,18)="Порошок стиральный",F2795="Продажа",B2795=DATE(2023,6,7)),E2795*J2795/1000,0)</f>
        <v/>
      </c>
    </row>
    <row r="2796">
      <c r="A2796" t="n">
        <v>2795</v>
      </c>
      <c r="B2796" s="1" t="n">
        <v>45086</v>
      </c>
      <c r="C2796" s="5" t="inlineStr">
        <is>
          <t>M17</t>
        </is>
      </c>
      <c r="D2796" s="5" t="n">
        <v>23</v>
      </c>
      <c r="E2796" s="5" t="n">
        <v>200</v>
      </c>
      <c r="F2796" t="inlineStr">
        <is>
          <t>Поступление</t>
        </is>
      </c>
      <c r="H2796">
        <f>VLOOKUP(C2796,Магазин!$A$2:$C$1000,2,0)</f>
        <v/>
      </c>
      <c r="I2796">
        <f>VLOOKUP(D2796,Товар!$A$2:$F$1000,3,0)</f>
        <v/>
      </c>
      <c r="J2796">
        <f>VLOOKUP(D2796,Товар!$A$2:$F$1000,5,0)</f>
        <v/>
      </c>
      <c r="K2796">
        <f>IF(AND(H2796="Промышленный",LEFT(I2796,18)="Порошок стиральный",F2796="Продажа",B2796=DATE(2023,6,7)),E2796*J2796/1000,0)</f>
        <v/>
      </c>
    </row>
    <row r="2797">
      <c r="A2797" t="n">
        <v>2796</v>
      </c>
      <c r="B2797" s="1" t="n">
        <v>45086</v>
      </c>
      <c r="C2797" s="5" t="inlineStr">
        <is>
          <t>M17</t>
        </is>
      </c>
      <c r="D2797" s="5" t="n">
        <v>24</v>
      </c>
      <c r="E2797" s="5" t="n">
        <v>200</v>
      </c>
      <c r="F2797" t="inlineStr">
        <is>
          <t>Поступление</t>
        </is>
      </c>
      <c r="H2797">
        <f>VLOOKUP(C2797,Магазин!$A$2:$C$1000,2,0)</f>
        <v/>
      </c>
      <c r="I2797">
        <f>VLOOKUP(D2797,Товар!$A$2:$F$1000,3,0)</f>
        <v/>
      </c>
      <c r="J2797">
        <f>VLOOKUP(D2797,Товар!$A$2:$F$1000,5,0)</f>
        <v/>
      </c>
      <c r="K2797">
        <f>IF(AND(H2797="Промышленный",LEFT(I2797,18)="Порошок стиральный",F2797="Продажа",B2797=DATE(2023,6,7)),E2797*J2797/1000,0)</f>
        <v/>
      </c>
    </row>
    <row r="2798">
      <c r="A2798" t="n">
        <v>2797</v>
      </c>
      <c r="B2798" s="1" t="n">
        <v>45086</v>
      </c>
      <c r="C2798" s="5" t="inlineStr">
        <is>
          <t>M17</t>
        </is>
      </c>
      <c r="D2798" s="5" t="n">
        <v>25</v>
      </c>
      <c r="E2798" s="5" t="n">
        <v>200</v>
      </c>
      <c r="F2798" t="inlineStr">
        <is>
          <t>Поступление</t>
        </is>
      </c>
      <c r="H2798">
        <f>VLOOKUP(C2798,Магазин!$A$2:$C$1000,2,0)</f>
        <v/>
      </c>
      <c r="I2798">
        <f>VLOOKUP(D2798,Товар!$A$2:$F$1000,3,0)</f>
        <v/>
      </c>
      <c r="J2798">
        <f>VLOOKUP(D2798,Товар!$A$2:$F$1000,5,0)</f>
        <v/>
      </c>
      <c r="K2798">
        <f>IF(AND(H2798="Промышленный",LEFT(I2798,18)="Порошок стиральный",F2798="Продажа",B2798=DATE(2023,6,7)),E2798*J2798/1000,0)</f>
        <v/>
      </c>
    </row>
    <row r="2799">
      <c r="A2799" t="n">
        <v>2798</v>
      </c>
      <c r="B2799" s="1" t="n">
        <v>45086</v>
      </c>
      <c r="C2799" s="5" t="inlineStr">
        <is>
          <t>M17</t>
        </is>
      </c>
      <c r="D2799" s="5" t="n">
        <v>26</v>
      </c>
      <c r="E2799" s="5" t="n">
        <v>200</v>
      </c>
      <c r="F2799" t="inlineStr">
        <is>
          <t>Поступление</t>
        </is>
      </c>
      <c r="H2799">
        <f>VLOOKUP(C2799,Магазин!$A$2:$C$1000,2,0)</f>
        <v/>
      </c>
      <c r="I2799">
        <f>VLOOKUP(D2799,Товар!$A$2:$F$1000,3,0)</f>
        <v/>
      </c>
      <c r="J2799">
        <f>VLOOKUP(D2799,Товар!$A$2:$F$1000,5,0)</f>
        <v/>
      </c>
      <c r="K2799">
        <f>IF(AND(H2799="Промышленный",LEFT(I2799,18)="Порошок стиральный",F2799="Продажа",B2799=DATE(2023,6,7)),E2799*J2799/1000,0)</f>
        <v/>
      </c>
    </row>
    <row r="2800">
      <c r="A2800" t="n">
        <v>2799</v>
      </c>
      <c r="B2800" s="1" t="n">
        <v>45086</v>
      </c>
      <c r="C2800" s="5" t="inlineStr">
        <is>
          <t>M17</t>
        </is>
      </c>
      <c r="D2800" s="5" t="n">
        <v>27</v>
      </c>
      <c r="E2800" s="5" t="n">
        <v>200</v>
      </c>
      <c r="F2800" t="inlineStr">
        <is>
          <t>Поступление</t>
        </is>
      </c>
      <c r="H2800">
        <f>VLOOKUP(C2800,Магазин!$A$2:$C$1000,2,0)</f>
        <v/>
      </c>
      <c r="I2800">
        <f>VLOOKUP(D2800,Товар!$A$2:$F$1000,3,0)</f>
        <v/>
      </c>
      <c r="J2800">
        <f>VLOOKUP(D2800,Товар!$A$2:$F$1000,5,0)</f>
        <v/>
      </c>
      <c r="K2800">
        <f>IF(AND(H2800="Промышленный",LEFT(I2800,18)="Порошок стиральный",F2800="Продажа",B2800=DATE(2023,6,7)),E2800*J2800/1000,0)</f>
        <v/>
      </c>
    </row>
    <row r="2801">
      <c r="A2801" t="n">
        <v>2800</v>
      </c>
      <c r="B2801" s="1" t="n">
        <v>45086</v>
      </c>
      <c r="C2801" s="5" t="inlineStr">
        <is>
          <t>M17</t>
        </is>
      </c>
      <c r="D2801" s="5" t="n">
        <v>28</v>
      </c>
      <c r="E2801" s="5" t="n">
        <v>200</v>
      </c>
      <c r="F2801" t="inlineStr">
        <is>
          <t>Поступление</t>
        </is>
      </c>
      <c r="H2801">
        <f>VLOOKUP(C2801,Магазин!$A$2:$C$1000,2,0)</f>
        <v/>
      </c>
      <c r="I2801">
        <f>VLOOKUP(D2801,Товар!$A$2:$F$1000,3,0)</f>
        <v/>
      </c>
      <c r="J2801">
        <f>VLOOKUP(D2801,Товар!$A$2:$F$1000,5,0)</f>
        <v/>
      </c>
      <c r="K2801">
        <f>IF(AND(H2801="Промышленный",LEFT(I2801,18)="Порошок стиральный",F2801="Продажа",B2801=DATE(2023,6,7)),E2801*J2801/1000,0)</f>
        <v/>
      </c>
    </row>
    <row r="2802">
      <c r="A2802" t="n">
        <v>2801</v>
      </c>
      <c r="B2802" s="1" t="n">
        <v>45086</v>
      </c>
      <c r="C2802" s="5" t="inlineStr">
        <is>
          <t>M17</t>
        </is>
      </c>
      <c r="D2802" s="5" t="n">
        <v>29</v>
      </c>
      <c r="E2802" s="5" t="n">
        <v>200</v>
      </c>
      <c r="F2802" t="inlineStr">
        <is>
          <t>Поступление</t>
        </is>
      </c>
      <c r="H2802">
        <f>VLOOKUP(C2802,Магазин!$A$2:$C$1000,2,0)</f>
        <v/>
      </c>
      <c r="I2802">
        <f>VLOOKUP(D2802,Товар!$A$2:$F$1000,3,0)</f>
        <v/>
      </c>
      <c r="J2802">
        <f>VLOOKUP(D2802,Товар!$A$2:$F$1000,5,0)</f>
        <v/>
      </c>
      <c r="K2802">
        <f>IF(AND(H2802="Промышленный",LEFT(I2802,18)="Порошок стиральный",F2802="Продажа",B2802=DATE(2023,6,7)),E2802*J2802/1000,0)</f>
        <v/>
      </c>
    </row>
    <row r="2803">
      <c r="A2803" t="n">
        <v>2802</v>
      </c>
      <c r="B2803" s="1" t="n">
        <v>45086</v>
      </c>
      <c r="C2803" s="5" t="inlineStr">
        <is>
          <t>M17</t>
        </is>
      </c>
      <c r="D2803" s="5" t="n">
        <v>30</v>
      </c>
      <c r="E2803" s="5" t="n">
        <v>200</v>
      </c>
      <c r="F2803" t="inlineStr">
        <is>
          <t>Поступление</t>
        </is>
      </c>
      <c r="H2803">
        <f>VLOOKUP(C2803,Магазин!$A$2:$C$1000,2,0)</f>
        <v/>
      </c>
      <c r="I2803">
        <f>VLOOKUP(D2803,Товар!$A$2:$F$1000,3,0)</f>
        <v/>
      </c>
      <c r="J2803">
        <f>VLOOKUP(D2803,Товар!$A$2:$F$1000,5,0)</f>
        <v/>
      </c>
      <c r="K2803">
        <f>IF(AND(H2803="Промышленный",LEFT(I2803,18)="Порошок стиральный",F2803="Продажа",B2803=DATE(2023,6,7)),E2803*J2803/1000,0)</f>
        <v/>
      </c>
    </row>
    <row r="2804">
      <c r="A2804" t="n">
        <v>2803</v>
      </c>
      <c r="B2804" s="1" t="n">
        <v>45086</v>
      </c>
      <c r="C2804" s="5" t="inlineStr">
        <is>
          <t>M17</t>
        </is>
      </c>
      <c r="D2804" s="5" t="n">
        <v>31</v>
      </c>
      <c r="E2804" s="5" t="n">
        <v>200</v>
      </c>
      <c r="F2804" t="inlineStr">
        <is>
          <t>Поступление</t>
        </is>
      </c>
      <c r="H2804">
        <f>VLOOKUP(C2804,Магазин!$A$2:$C$1000,2,0)</f>
        <v/>
      </c>
      <c r="I2804">
        <f>VLOOKUP(D2804,Товар!$A$2:$F$1000,3,0)</f>
        <v/>
      </c>
      <c r="J2804">
        <f>VLOOKUP(D2804,Товар!$A$2:$F$1000,5,0)</f>
        <v/>
      </c>
      <c r="K2804">
        <f>IF(AND(H2804="Промышленный",LEFT(I2804,18)="Порошок стиральный",F2804="Продажа",B2804=DATE(2023,6,7)),E2804*J2804/1000,0)</f>
        <v/>
      </c>
    </row>
    <row r="2805">
      <c r="A2805" t="n">
        <v>2804</v>
      </c>
      <c r="B2805" s="1" t="n">
        <v>45086</v>
      </c>
      <c r="C2805" s="5" t="inlineStr">
        <is>
          <t>M17</t>
        </is>
      </c>
      <c r="D2805" s="5" t="n">
        <v>32</v>
      </c>
      <c r="E2805" s="5" t="n">
        <v>200</v>
      </c>
      <c r="F2805" t="inlineStr">
        <is>
          <t>Поступление</t>
        </is>
      </c>
      <c r="H2805">
        <f>VLOOKUP(C2805,Магазин!$A$2:$C$1000,2,0)</f>
        <v/>
      </c>
      <c r="I2805">
        <f>VLOOKUP(D2805,Товар!$A$2:$F$1000,3,0)</f>
        <v/>
      </c>
      <c r="J2805">
        <f>VLOOKUP(D2805,Товар!$A$2:$F$1000,5,0)</f>
        <v/>
      </c>
      <c r="K2805">
        <f>IF(AND(H2805="Промышленный",LEFT(I2805,18)="Порошок стиральный",F2805="Продажа",B2805=DATE(2023,6,7)),E2805*J2805/1000,0)</f>
        <v/>
      </c>
    </row>
    <row r="2806">
      <c r="A2806" t="n">
        <v>2805</v>
      </c>
      <c r="B2806" s="1" t="n">
        <v>45086</v>
      </c>
      <c r="C2806" s="5" t="inlineStr">
        <is>
          <t>M17</t>
        </is>
      </c>
      <c r="D2806" s="5" t="n">
        <v>33</v>
      </c>
      <c r="E2806" s="5" t="n">
        <v>200</v>
      </c>
      <c r="F2806" t="inlineStr">
        <is>
          <t>Поступление</t>
        </is>
      </c>
      <c r="H2806">
        <f>VLOOKUP(C2806,Магазин!$A$2:$C$1000,2,0)</f>
        <v/>
      </c>
      <c r="I2806">
        <f>VLOOKUP(D2806,Товар!$A$2:$F$1000,3,0)</f>
        <v/>
      </c>
      <c r="J2806">
        <f>VLOOKUP(D2806,Товар!$A$2:$F$1000,5,0)</f>
        <v/>
      </c>
      <c r="K2806">
        <f>IF(AND(H2806="Промышленный",LEFT(I2806,18)="Порошок стиральный",F2806="Продажа",B2806=DATE(2023,6,7)),E2806*J2806/1000,0)</f>
        <v/>
      </c>
    </row>
    <row r="2807">
      <c r="A2807" t="n">
        <v>2806</v>
      </c>
      <c r="B2807" s="1" t="n">
        <v>45086</v>
      </c>
      <c r="C2807" s="5" t="inlineStr">
        <is>
          <t>M17</t>
        </is>
      </c>
      <c r="D2807" s="5" t="n">
        <v>34</v>
      </c>
      <c r="E2807" s="5" t="n">
        <v>200</v>
      </c>
      <c r="F2807" t="inlineStr">
        <is>
          <t>Поступление</t>
        </is>
      </c>
      <c r="H2807">
        <f>VLOOKUP(C2807,Магазин!$A$2:$C$1000,2,0)</f>
        <v/>
      </c>
      <c r="I2807">
        <f>VLOOKUP(D2807,Товар!$A$2:$F$1000,3,0)</f>
        <v/>
      </c>
      <c r="J2807">
        <f>VLOOKUP(D2807,Товар!$A$2:$F$1000,5,0)</f>
        <v/>
      </c>
      <c r="K2807">
        <f>IF(AND(H2807="Промышленный",LEFT(I2807,18)="Порошок стиральный",F2807="Продажа",B2807=DATE(2023,6,7)),E2807*J2807/1000,0)</f>
        <v/>
      </c>
    </row>
    <row r="2808">
      <c r="A2808" t="n">
        <v>2807</v>
      </c>
      <c r="B2808" s="1" t="n">
        <v>45086</v>
      </c>
      <c r="C2808" s="5" t="inlineStr">
        <is>
          <t>M17</t>
        </is>
      </c>
      <c r="D2808" s="5" t="n">
        <v>35</v>
      </c>
      <c r="E2808" s="5" t="n">
        <v>200</v>
      </c>
      <c r="F2808" t="inlineStr">
        <is>
          <t>Поступление</t>
        </is>
      </c>
      <c r="H2808">
        <f>VLOOKUP(C2808,Магазин!$A$2:$C$1000,2,0)</f>
        <v/>
      </c>
      <c r="I2808">
        <f>VLOOKUP(D2808,Товар!$A$2:$F$1000,3,0)</f>
        <v/>
      </c>
      <c r="J2808">
        <f>VLOOKUP(D2808,Товар!$A$2:$F$1000,5,0)</f>
        <v/>
      </c>
      <c r="K2808">
        <f>IF(AND(H2808="Промышленный",LEFT(I2808,18)="Порошок стиральный",F2808="Продажа",B2808=DATE(2023,6,7)),E2808*J2808/1000,0)</f>
        <v/>
      </c>
    </row>
    <row r="2809">
      <c r="A2809" t="n">
        <v>2808</v>
      </c>
      <c r="B2809" s="1" t="n">
        <v>45086</v>
      </c>
      <c r="C2809" s="5" t="inlineStr">
        <is>
          <t>M17</t>
        </is>
      </c>
      <c r="D2809" s="5" t="n">
        <v>36</v>
      </c>
      <c r="E2809" s="5" t="n">
        <v>200</v>
      </c>
      <c r="F2809" t="inlineStr">
        <is>
          <t>Поступление</t>
        </is>
      </c>
      <c r="H2809">
        <f>VLOOKUP(C2809,Магазин!$A$2:$C$1000,2,0)</f>
        <v/>
      </c>
      <c r="I2809">
        <f>VLOOKUP(D2809,Товар!$A$2:$F$1000,3,0)</f>
        <v/>
      </c>
      <c r="J2809">
        <f>VLOOKUP(D2809,Товар!$A$2:$F$1000,5,0)</f>
        <v/>
      </c>
      <c r="K2809">
        <f>IF(AND(H2809="Промышленный",LEFT(I2809,18)="Порошок стиральный",F2809="Продажа",B2809=DATE(2023,6,7)),E2809*J2809/1000,0)</f>
        <v/>
      </c>
    </row>
    <row r="2810">
      <c r="A2810" t="n">
        <v>2809</v>
      </c>
      <c r="B2810" s="1" t="n">
        <v>45086</v>
      </c>
      <c r="C2810" s="5" t="inlineStr">
        <is>
          <t>M1</t>
        </is>
      </c>
      <c r="D2810" s="5" t="n">
        <v>37</v>
      </c>
      <c r="E2810" s="5" t="n">
        <v>300</v>
      </c>
      <c r="F2810" t="inlineStr">
        <is>
          <t>Поступление</t>
        </is>
      </c>
      <c r="H2810">
        <f>VLOOKUP(C2810,Магазин!$A$2:$C$1000,2,0)</f>
        <v/>
      </c>
      <c r="I2810">
        <f>VLOOKUP(D2810,Товар!$A$2:$F$1000,3,0)</f>
        <v/>
      </c>
      <c r="J2810">
        <f>VLOOKUP(D2810,Товар!$A$2:$F$1000,5,0)</f>
        <v/>
      </c>
      <c r="K2810">
        <f>IF(AND(H2810="Промышленный",LEFT(I2810,18)="Порошок стиральный",F2810="Продажа",B2810=DATE(2023,6,7)),E2810*J2810/1000,0)</f>
        <v/>
      </c>
    </row>
    <row r="2811">
      <c r="A2811" t="n">
        <v>2810</v>
      </c>
      <c r="B2811" s="1" t="n">
        <v>45086</v>
      </c>
      <c r="C2811" s="5" t="inlineStr">
        <is>
          <t>M1</t>
        </is>
      </c>
      <c r="D2811" s="5" t="n">
        <v>38</v>
      </c>
      <c r="E2811" s="5" t="n">
        <v>300</v>
      </c>
      <c r="F2811" t="inlineStr">
        <is>
          <t>Поступление</t>
        </is>
      </c>
      <c r="H2811">
        <f>VLOOKUP(C2811,Магазин!$A$2:$C$1000,2,0)</f>
        <v/>
      </c>
      <c r="I2811">
        <f>VLOOKUP(D2811,Товар!$A$2:$F$1000,3,0)</f>
        <v/>
      </c>
      <c r="J2811">
        <f>VLOOKUP(D2811,Товар!$A$2:$F$1000,5,0)</f>
        <v/>
      </c>
      <c r="K2811">
        <f>IF(AND(H2811="Промышленный",LEFT(I2811,18)="Порошок стиральный",F2811="Продажа",B2811=DATE(2023,6,7)),E2811*J2811/1000,0)</f>
        <v/>
      </c>
    </row>
    <row r="2812">
      <c r="A2812" t="n">
        <v>2811</v>
      </c>
      <c r="B2812" s="1" t="n">
        <v>45086</v>
      </c>
      <c r="C2812" s="5" t="inlineStr">
        <is>
          <t>M1</t>
        </is>
      </c>
      <c r="D2812" s="5" t="n">
        <v>39</v>
      </c>
      <c r="E2812" s="5" t="n">
        <v>300</v>
      </c>
      <c r="F2812" t="inlineStr">
        <is>
          <t>Поступление</t>
        </is>
      </c>
      <c r="H2812">
        <f>VLOOKUP(C2812,Магазин!$A$2:$C$1000,2,0)</f>
        <v/>
      </c>
      <c r="I2812">
        <f>VLOOKUP(D2812,Товар!$A$2:$F$1000,3,0)</f>
        <v/>
      </c>
      <c r="J2812">
        <f>VLOOKUP(D2812,Товар!$A$2:$F$1000,5,0)</f>
        <v/>
      </c>
      <c r="K2812">
        <f>IF(AND(H2812="Промышленный",LEFT(I2812,18)="Порошок стиральный",F2812="Продажа",B2812=DATE(2023,6,7)),E2812*J2812/1000,0)</f>
        <v/>
      </c>
    </row>
    <row r="2813">
      <c r="A2813" t="n">
        <v>2812</v>
      </c>
      <c r="B2813" s="1" t="n">
        <v>45086</v>
      </c>
      <c r="C2813" s="5" t="inlineStr">
        <is>
          <t>M1</t>
        </is>
      </c>
      <c r="D2813" s="5" t="n">
        <v>40</v>
      </c>
      <c r="E2813" s="5" t="n">
        <v>300</v>
      </c>
      <c r="F2813" t="inlineStr">
        <is>
          <t>Поступление</t>
        </is>
      </c>
      <c r="H2813">
        <f>VLOOKUP(C2813,Магазин!$A$2:$C$1000,2,0)</f>
        <v/>
      </c>
      <c r="I2813">
        <f>VLOOKUP(D2813,Товар!$A$2:$F$1000,3,0)</f>
        <v/>
      </c>
      <c r="J2813">
        <f>VLOOKUP(D2813,Товар!$A$2:$F$1000,5,0)</f>
        <v/>
      </c>
      <c r="K2813">
        <f>IF(AND(H2813="Промышленный",LEFT(I2813,18)="Порошок стиральный",F2813="Продажа",B2813=DATE(2023,6,7)),E2813*J2813/1000,0)</f>
        <v/>
      </c>
    </row>
    <row r="2814">
      <c r="A2814" t="n">
        <v>2813</v>
      </c>
      <c r="B2814" s="1" t="n">
        <v>45086</v>
      </c>
      <c r="C2814" s="5" t="inlineStr">
        <is>
          <t>M1</t>
        </is>
      </c>
      <c r="D2814" s="5" t="n">
        <v>41</v>
      </c>
      <c r="E2814" s="5" t="n">
        <v>300</v>
      </c>
      <c r="F2814" t="inlineStr">
        <is>
          <t>Поступление</t>
        </is>
      </c>
      <c r="H2814">
        <f>VLOOKUP(C2814,Магазин!$A$2:$C$1000,2,0)</f>
        <v/>
      </c>
      <c r="I2814">
        <f>VLOOKUP(D2814,Товар!$A$2:$F$1000,3,0)</f>
        <v/>
      </c>
      <c r="J2814">
        <f>VLOOKUP(D2814,Товар!$A$2:$F$1000,5,0)</f>
        <v/>
      </c>
      <c r="K2814">
        <f>IF(AND(H2814="Промышленный",LEFT(I2814,18)="Порошок стиральный",F2814="Продажа",B2814=DATE(2023,6,7)),E2814*J2814/1000,0)</f>
        <v/>
      </c>
    </row>
    <row r="2815">
      <c r="A2815" t="n">
        <v>2814</v>
      </c>
      <c r="B2815" s="1" t="n">
        <v>45086</v>
      </c>
      <c r="C2815" s="5" t="inlineStr">
        <is>
          <t>M1</t>
        </is>
      </c>
      <c r="D2815" s="5" t="n">
        <v>42</v>
      </c>
      <c r="E2815" s="5" t="n">
        <v>300</v>
      </c>
      <c r="F2815" t="inlineStr">
        <is>
          <t>Поступление</t>
        </is>
      </c>
      <c r="H2815">
        <f>VLOOKUP(C2815,Магазин!$A$2:$C$1000,2,0)</f>
        <v/>
      </c>
      <c r="I2815">
        <f>VLOOKUP(D2815,Товар!$A$2:$F$1000,3,0)</f>
        <v/>
      </c>
      <c r="J2815">
        <f>VLOOKUP(D2815,Товар!$A$2:$F$1000,5,0)</f>
        <v/>
      </c>
      <c r="K2815">
        <f>IF(AND(H2815="Промышленный",LEFT(I2815,18)="Порошок стиральный",F2815="Продажа",B2815=DATE(2023,6,7)),E2815*J2815/1000,0)</f>
        <v/>
      </c>
    </row>
    <row r="2816">
      <c r="A2816" t="n">
        <v>2815</v>
      </c>
      <c r="B2816" s="1" t="n">
        <v>45086</v>
      </c>
      <c r="C2816" s="5" t="inlineStr">
        <is>
          <t>M1</t>
        </is>
      </c>
      <c r="D2816" s="5" t="n">
        <v>43</v>
      </c>
      <c r="E2816" s="5" t="n">
        <v>300</v>
      </c>
      <c r="F2816" t="inlineStr">
        <is>
          <t>Поступление</t>
        </is>
      </c>
      <c r="H2816">
        <f>VLOOKUP(C2816,Магазин!$A$2:$C$1000,2,0)</f>
        <v/>
      </c>
      <c r="I2816">
        <f>VLOOKUP(D2816,Товар!$A$2:$F$1000,3,0)</f>
        <v/>
      </c>
      <c r="J2816">
        <f>VLOOKUP(D2816,Товар!$A$2:$F$1000,5,0)</f>
        <v/>
      </c>
      <c r="K2816">
        <f>IF(AND(H2816="Промышленный",LEFT(I2816,18)="Порошок стиральный",F2816="Продажа",B2816=DATE(2023,6,7)),E2816*J2816/1000,0)</f>
        <v/>
      </c>
    </row>
    <row r="2817">
      <c r="A2817" t="n">
        <v>2816</v>
      </c>
      <c r="B2817" s="1" t="n">
        <v>45086</v>
      </c>
      <c r="C2817" s="5" t="inlineStr">
        <is>
          <t>M1</t>
        </is>
      </c>
      <c r="D2817" s="5" t="n">
        <v>44</v>
      </c>
      <c r="E2817" s="5" t="n">
        <v>300</v>
      </c>
      <c r="F2817" t="inlineStr">
        <is>
          <t>Поступление</t>
        </is>
      </c>
      <c r="H2817">
        <f>VLOOKUP(C2817,Магазин!$A$2:$C$1000,2,0)</f>
        <v/>
      </c>
      <c r="I2817">
        <f>VLOOKUP(D2817,Товар!$A$2:$F$1000,3,0)</f>
        <v/>
      </c>
      <c r="J2817">
        <f>VLOOKUP(D2817,Товар!$A$2:$F$1000,5,0)</f>
        <v/>
      </c>
      <c r="K2817">
        <f>IF(AND(H2817="Промышленный",LEFT(I2817,18)="Порошок стиральный",F2817="Продажа",B2817=DATE(2023,6,7)),E2817*J2817/1000,0)</f>
        <v/>
      </c>
    </row>
    <row r="2818">
      <c r="A2818" t="n">
        <v>2817</v>
      </c>
      <c r="B2818" s="1" t="n">
        <v>45086</v>
      </c>
      <c r="C2818" s="5" t="inlineStr">
        <is>
          <t>M1</t>
        </is>
      </c>
      <c r="D2818" s="5" t="n">
        <v>45</v>
      </c>
      <c r="E2818" s="5" t="n">
        <v>300</v>
      </c>
      <c r="F2818" t="inlineStr">
        <is>
          <t>Поступление</t>
        </is>
      </c>
      <c r="H2818">
        <f>VLOOKUP(C2818,Магазин!$A$2:$C$1000,2,0)</f>
        <v/>
      </c>
      <c r="I2818">
        <f>VLOOKUP(D2818,Товар!$A$2:$F$1000,3,0)</f>
        <v/>
      </c>
      <c r="J2818">
        <f>VLOOKUP(D2818,Товар!$A$2:$F$1000,5,0)</f>
        <v/>
      </c>
      <c r="K2818">
        <f>IF(AND(H2818="Промышленный",LEFT(I2818,18)="Порошок стиральный",F2818="Продажа",B2818=DATE(2023,6,7)),E2818*J2818/1000,0)</f>
        <v/>
      </c>
    </row>
    <row r="2819">
      <c r="A2819" t="n">
        <v>2818</v>
      </c>
      <c r="B2819" s="1" t="n">
        <v>45086</v>
      </c>
      <c r="C2819" s="5" t="inlineStr">
        <is>
          <t>M1</t>
        </is>
      </c>
      <c r="D2819" s="5" t="n">
        <v>46</v>
      </c>
      <c r="E2819" s="5" t="n">
        <v>300</v>
      </c>
      <c r="F2819" t="inlineStr">
        <is>
          <t>Поступление</t>
        </is>
      </c>
      <c r="H2819">
        <f>VLOOKUP(C2819,Магазин!$A$2:$C$1000,2,0)</f>
        <v/>
      </c>
      <c r="I2819">
        <f>VLOOKUP(D2819,Товар!$A$2:$F$1000,3,0)</f>
        <v/>
      </c>
      <c r="J2819">
        <f>VLOOKUP(D2819,Товар!$A$2:$F$1000,5,0)</f>
        <v/>
      </c>
      <c r="K2819">
        <f>IF(AND(H2819="Промышленный",LEFT(I2819,18)="Порошок стиральный",F2819="Продажа",B2819=DATE(2023,6,7)),E2819*J2819/1000,0)</f>
        <v/>
      </c>
    </row>
    <row r="2820">
      <c r="A2820" t="n">
        <v>2819</v>
      </c>
      <c r="B2820" s="1" t="n">
        <v>45086</v>
      </c>
      <c r="C2820" s="5" t="inlineStr">
        <is>
          <t>M1</t>
        </is>
      </c>
      <c r="D2820" s="5" t="n">
        <v>47</v>
      </c>
      <c r="E2820" s="5" t="n">
        <v>300</v>
      </c>
      <c r="F2820" t="inlineStr">
        <is>
          <t>Поступление</t>
        </is>
      </c>
      <c r="H2820">
        <f>VLOOKUP(C2820,Магазин!$A$2:$C$1000,2,0)</f>
        <v/>
      </c>
      <c r="I2820">
        <f>VLOOKUP(D2820,Товар!$A$2:$F$1000,3,0)</f>
        <v/>
      </c>
      <c r="J2820">
        <f>VLOOKUP(D2820,Товар!$A$2:$F$1000,5,0)</f>
        <v/>
      </c>
      <c r="K2820">
        <f>IF(AND(H2820="Промышленный",LEFT(I2820,18)="Порошок стиральный",F2820="Продажа",B2820=DATE(2023,6,7)),E2820*J2820/1000,0)</f>
        <v/>
      </c>
    </row>
    <row r="2821">
      <c r="A2821" t="n">
        <v>2820</v>
      </c>
      <c r="B2821" s="1" t="n">
        <v>45086</v>
      </c>
      <c r="C2821" s="5" t="inlineStr">
        <is>
          <t>M1</t>
        </is>
      </c>
      <c r="D2821" s="5" t="n">
        <v>48</v>
      </c>
      <c r="E2821" s="5" t="n">
        <v>300</v>
      </c>
      <c r="F2821" t="inlineStr">
        <is>
          <t>Поступление</t>
        </is>
      </c>
      <c r="H2821">
        <f>VLOOKUP(C2821,Магазин!$A$2:$C$1000,2,0)</f>
        <v/>
      </c>
      <c r="I2821">
        <f>VLOOKUP(D2821,Товар!$A$2:$F$1000,3,0)</f>
        <v/>
      </c>
      <c r="J2821">
        <f>VLOOKUP(D2821,Товар!$A$2:$F$1000,5,0)</f>
        <v/>
      </c>
      <c r="K2821">
        <f>IF(AND(H2821="Промышленный",LEFT(I2821,18)="Порошок стиральный",F2821="Продажа",B2821=DATE(2023,6,7)),E2821*J2821/1000,0)</f>
        <v/>
      </c>
    </row>
    <row r="2822">
      <c r="A2822" t="n">
        <v>2821</v>
      </c>
      <c r="B2822" s="1" t="n">
        <v>45086</v>
      </c>
      <c r="C2822" s="5" t="inlineStr">
        <is>
          <t>M1</t>
        </is>
      </c>
      <c r="D2822" s="5" t="n">
        <v>49</v>
      </c>
      <c r="E2822" s="5" t="n">
        <v>300</v>
      </c>
      <c r="F2822" t="inlineStr">
        <is>
          <t>Поступление</t>
        </is>
      </c>
      <c r="H2822">
        <f>VLOOKUP(C2822,Магазин!$A$2:$C$1000,2,0)</f>
        <v/>
      </c>
      <c r="I2822">
        <f>VLOOKUP(D2822,Товар!$A$2:$F$1000,3,0)</f>
        <v/>
      </c>
      <c r="J2822">
        <f>VLOOKUP(D2822,Товар!$A$2:$F$1000,5,0)</f>
        <v/>
      </c>
      <c r="K2822">
        <f>IF(AND(H2822="Промышленный",LEFT(I2822,18)="Порошок стиральный",F2822="Продажа",B2822=DATE(2023,6,7)),E2822*J2822/1000,0)</f>
        <v/>
      </c>
    </row>
    <row r="2823">
      <c r="A2823" t="n">
        <v>2822</v>
      </c>
      <c r="B2823" s="1" t="n">
        <v>45086</v>
      </c>
      <c r="C2823" s="5" t="inlineStr">
        <is>
          <t>M1</t>
        </is>
      </c>
      <c r="D2823" s="5" t="n">
        <v>50</v>
      </c>
      <c r="E2823" s="5" t="n">
        <v>300</v>
      </c>
      <c r="F2823" t="inlineStr">
        <is>
          <t>Поступление</t>
        </is>
      </c>
      <c r="H2823">
        <f>VLOOKUP(C2823,Магазин!$A$2:$C$1000,2,0)</f>
        <v/>
      </c>
      <c r="I2823">
        <f>VLOOKUP(D2823,Товар!$A$2:$F$1000,3,0)</f>
        <v/>
      </c>
      <c r="J2823">
        <f>VLOOKUP(D2823,Товар!$A$2:$F$1000,5,0)</f>
        <v/>
      </c>
      <c r="K2823">
        <f>IF(AND(H2823="Промышленный",LEFT(I2823,18)="Порошок стиральный",F2823="Продажа",B2823=DATE(2023,6,7)),E2823*J2823/1000,0)</f>
        <v/>
      </c>
    </row>
    <row r="2824">
      <c r="A2824" t="n">
        <v>2823</v>
      </c>
      <c r="B2824" s="1" t="n">
        <v>45086</v>
      </c>
      <c r="C2824" s="5" t="inlineStr">
        <is>
          <t>M1</t>
        </is>
      </c>
      <c r="D2824" s="5" t="n">
        <v>51</v>
      </c>
      <c r="E2824" s="5" t="n">
        <v>300</v>
      </c>
      <c r="F2824" t="inlineStr">
        <is>
          <t>Поступление</t>
        </is>
      </c>
      <c r="H2824">
        <f>VLOOKUP(C2824,Магазин!$A$2:$C$1000,2,0)</f>
        <v/>
      </c>
      <c r="I2824">
        <f>VLOOKUP(D2824,Товар!$A$2:$F$1000,3,0)</f>
        <v/>
      </c>
      <c r="J2824">
        <f>VLOOKUP(D2824,Товар!$A$2:$F$1000,5,0)</f>
        <v/>
      </c>
      <c r="K2824">
        <f>IF(AND(H2824="Промышленный",LEFT(I2824,18)="Порошок стиральный",F2824="Продажа",B2824=DATE(2023,6,7)),E2824*J2824/1000,0)</f>
        <v/>
      </c>
    </row>
    <row r="2825">
      <c r="A2825" t="n">
        <v>2824</v>
      </c>
      <c r="B2825" s="1" t="n">
        <v>45086</v>
      </c>
      <c r="C2825" s="5" t="inlineStr">
        <is>
          <t>M1</t>
        </is>
      </c>
      <c r="D2825" s="5" t="n">
        <v>52</v>
      </c>
      <c r="E2825" s="5" t="n">
        <v>300</v>
      </c>
      <c r="F2825" t="inlineStr">
        <is>
          <t>Поступление</t>
        </is>
      </c>
      <c r="H2825">
        <f>VLOOKUP(C2825,Магазин!$A$2:$C$1000,2,0)</f>
        <v/>
      </c>
      <c r="I2825">
        <f>VLOOKUP(D2825,Товар!$A$2:$F$1000,3,0)</f>
        <v/>
      </c>
      <c r="J2825">
        <f>VLOOKUP(D2825,Товар!$A$2:$F$1000,5,0)</f>
        <v/>
      </c>
      <c r="K2825">
        <f>IF(AND(H2825="Промышленный",LEFT(I2825,18)="Порошок стиральный",F2825="Продажа",B2825=DATE(2023,6,7)),E2825*J2825/1000,0)</f>
        <v/>
      </c>
    </row>
    <row r="2826">
      <c r="A2826" t="n">
        <v>2825</v>
      </c>
      <c r="B2826" s="1" t="n">
        <v>45086</v>
      </c>
      <c r="C2826" s="5" t="inlineStr">
        <is>
          <t>M1</t>
        </is>
      </c>
      <c r="D2826" s="5" t="n">
        <v>53</v>
      </c>
      <c r="E2826" s="5" t="n">
        <v>300</v>
      </c>
      <c r="F2826" t="inlineStr">
        <is>
          <t>Поступление</t>
        </is>
      </c>
      <c r="H2826">
        <f>VLOOKUP(C2826,Магазин!$A$2:$C$1000,2,0)</f>
        <v/>
      </c>
      <c r="I2826">
        <f>VLOOKUP(D2826,Товар!$A$2:$F$1000,3,0)</f>
        <v/>
      </c>
      <c r="J2826">
        <f>VLOOKUP(D2826,Товар!$A$2:$F$1000,5,0)</f>
        <v/>
      </c>
      <c r="K2826">
        <f>IF(AND(H2826="Промышленный",LEFT(I2826,18)="Порошок стиральный",F2826="Продажа",B2826=DATE(2023,6,7)),E2826*J2826/1000,0)</f>
        <v/>
      </c>
    </row>
    <row r="2827">
      <c r="A2827" t="n">
        <v>2826</v>
      </c>
      <c r="B2827" s="1" t="n">
        <v>45086</v>
      </c>
      <c r="C2827" s="5" t="inlineStr">
        <is>
          <t>M1</t>
        </is>
      </c>
      <c r="D2827" s="5" t="n">
        <v>54</v>
      </c>
      <c r="E2827" s="5" t="n">
        <v>300</v>
      </c>
      <c r="F2827" t="inlineStr">
        <is>
          <t>Поступление</t>
        </is>
      </c>
      <c r="H2827">
        <f>VLOOKUP(C2827,Магазин!$A$2:$C$1000,2,0)</f>
        <v/>
      </c>
      <c r="I2827">
        <f>VLOOKUP(D2827,Товар!$A$2:$F$1000,3,0)</f>
        <v/>
      </c>
      <c r="J2827">
        <f>VLOOKUP(D2827,Товар!$A$2:$F$1000,5,0)</f>
        <v/>
      </c>
      <c r="K2827">
        <f>IF(AND(H2827="Промышленный",LEFT(I2827,18)="Порошок стиральный",F2827="Продажа",B2827=DATE(2023,6,7)),E2827*J2827/1000,0)</f>
        <v/>
      </c>
    </row>
    <row r="2828">
      <c r="A2828" t="n">
        <v>2827</v>
      </c>
      <c r="B2828" s="1" t="n">
        <v>45086</v>
      </c>
      <c r="C2828" s="5" t="inlineStr">
        <is>
          <t>M1</t>
        </is>
      </c>
      <c r="D2828" s="5" t="n">
        <v>55</v>
      </c>
      <c r="E2828" s="5" t="n">
        <v>300</v>
      </c>
      <c r="F2828" t="inlineStr">
        <is>
          <t>Поступление</t>
        </is>
      </c>
      <c r="H2828">
        <f>VLOOKUP(C2828,Магазин!$A$2:$C$1000,2,0)</f>
        <v/>
      </c>
      <c r="I2828">
        <f>VLOOKUP(D2828,Товар!$A$2:$F$1000,3,0)</f>
        <v/>
      </c>
      <c r="J2828">
        <f>VLOOKUP(D2828,Товар!$A$2:$F$1000,5,0)</f>
        <v/>
      </c>
      <c r="K2828">
        <f>IF(AND(H2828="Промышленный",LEFT(I2828,18)="Порошок стиральный",F2828="Продажа",B2828=DATE(2023,6,7)),E2828*J2828/1000,0)</f>
        <v/>
      </c>
    </row>
    <row r="2829">
      <c r="A2829" t="n">
        <v>2828</v>
      </c>
      <c r="B2829" s="1" t="n">
        <v>45086</v>
      </c>
      <c r="C2829" s="5" t="inlineStr">
        <is>
          <t>M1</t>
        </is>
      </c>
      <c r="D2829" s="5" t="n">
        <v>56</v>
      </c>
      <c r="E2829" s="5" t="n">
        <v>300</v>
      </c>
      <c r="F2829" t="inlineStr">
        <is>
          <t>Поступление</t>
        </is>
      </c>
      <c r="H2829">
        <f>VLOOKUP(C2829,Магазин!$A$2:$C$1000,2,0)</f>
        <v/>
      </c>
      <c r="I2829">
        <f>VLOOKUP(D2829,Товар!$A$2:$F$1000,3,0)</f>
        <v/>
      </c>
      <c r="J2829">
        <f>VLOOKUP(D2829,Товар!$A$2:$F$1000,5,0)</f>
        <v/>
      </c>
      <c r="K2829">
        <f>IF(AND(H2829="Промышленный",LEFT(I2829,18)="Порошок стиральный",F2829="Продажа",B2829=DATE(2023,6,7)),E2829*J2829/1000,0)</f>
        <v/>
      </c>
    </row>
    <row r="2830">
      <c r="A2830" t="n">
        <v>2829</v>
      </c>
      <c r="B2830" s="1" t="n">
        <v>45086</v>
      </c>
      <c r="C2830" s="5" t="inlineStr">
        <is>
          <t>M1</t>
        </is>
      </c>
      <c r="D2830" s="5" t="n">
        <v>57</v>
      </c>
      <c r="E2830" s="5" t="n">
        <v>300</v>
      </c>
      <c r="F2830" t="inlineStr">
        <is>
          <t>Поступление</t>
        </is>
      </c>
      <c r="H2830">
        <f>VLOOKUP(C2830,Магазин!$A$2:$C$1000,2,0)</f>
        <v/>
      </c>
      <c r="I2830">
        <f>VLOOKUP(D2830,Товар!$A$2:$F$1000,3,0)</f>
        <v/>
      </c>
      <c r="J2830">
        <f>VLOOKUP(D2830,Товар!$A$2:$F$1000,5,0)</f>
        <v/>
      </c>
      <c r="K2830">
        <f>IF(AND(H2830="Промышленный",LEFT(I2830,18)="Порошок стиральный",F2830="Продажа",B2830=DATE(2023,6,7)),E2830*J2830/1000,0)</f>
        <v/>
      </c>
    </row>
    <row r="2831">
      <c r="A2831" t="n">
        <v>2830</v>
      </c>
      <c r="B2831" s="1" t="n">
        <v>45086</v>
      </c>
      <c r="C2831" s="5" t="inlineStr">
        <is>
          <t>M1</t>
        </is>
      </c>
      <c r="D2831" s="5" t="n">
        <v>58</v>
      </c>
      <c r="E2831" s="5" t="n">
        <v>300</v>
      </c>
      <c r="F2831" t="inlineStr">
        <is>
          <t>Поступление</t>
        </is>
      </c>
      <c r="H2831">
        <f>VLOOKUP(C2831,Магазин!$A$2:$C$1000,2,0)</f>
        <v/>
      </c>
      <c r="I2831">
        <f>VLOOKUP(D2831,Товар!$A$2:$F$1000,3,0)</f>
        <v/>
      </c>
      <c r="J2831">
        <f>VLOOKUP(D2831,Товар!$A$2:$F$1000,5,0)</f>
        <v/>
      </c>
      <c r="K2831">
        <f>IF(AND(H2831="Промышленный",LEFT(I2831,18)="Порошок стиральный",F2831="Продажа",B2831=DATE(2023,6,7)),E2831*J2831/1000,0)</f>
        <v/>
      </c>
    </row>
    <row r="2832">
      <c r="A2832" t="n">
        <v>2831</v>
      </c>
      <c r="B2832" s="1" t="n">
        <v>45086</v>
      </c>
      <c r="C2832" s="5" t="inlineStr">
        <is>
          <t>M1</t>
        </is>
      </c>
      <c r="D2832" s="5" t="n">
        <v>59</v>
      </c>
      <c r="E2832" s="5" t="n">
        <v>300</v>
      </c>
      <c r="F2832" t="inlineStr">
        <is>
          <t>Поступление</t>
        </is>
      </c>
      <c r="H2832">
        <f>VLOOKUP(C2832,Магазин!$A$2:$C$1000,2,0)</f>
        <v/>
      </c>
      <c r="I2832">
        <f>VLOOKUP(D2832,Товар!$A$2:$F$1000,3,0)</f>
        <v/>
      </c>
      <c r="J2832">
        <f>VLOOKUP(D2832,Товар!$A$2:$F$1000,5,0)</f>
        <v/>
      </c>
      <c r="K2832">
        <f>IF(AND(H2832="Промышленный",LEFT(I2832,18)="Порошок стиральный",F2832="Продажа",B2832=DATE(2023,6,7)),E2832*J2832/1000,0)</f>
        <v/>
      </c>
    </row>
    <row r="2833">
      <c r="A2833" t="n">
        <v>2832</v>
      </c>
      <c r="B2833" s="1" t="n">
        <v>45086</v>
      </c>
      <c r="C2833" s="5" t="inlineStr">
        <is>
          <t>M1</t>
        </is>
      </c>
      <c r="D2833" s="5" t="n">
        <v>60</v>
      </c>
      <c r="E2833" s="5" t="n">
        <v>300</v>
      </c>
      <c r="F2833" t="inlineStr">
        <is>
          <t>Поступление</t>
        </is>
      </c>
      <c r="H2833">
        <f>VLOOKUP(C2833,Магазин!$A$2:$C$1000,2,0)</f>
        <v/>
      </c>
      <c r="I2833">
        <f>VLOOKUP(D2833,Товар!$A$2:$F$1000,3,0)</f>
        <v/>
      </c>
      <c r="J2833">
        <f>VLOOKUP(D2833,Товар!$A$2:$F$1000,5,0)</f>
        <v/>
      </c>
      <c r="K2833">
        <f>IF(AND(H2833="Промышленный",LEFT(I2833,18)="Порошок стиральный",F2833="Продажа",B2833=DATE(2023,6,7)),E2833*J2833/1000,0)</f>
        <v/>
      </c>
    </row>
    <row r="2834">
      <c r="A2834" t="n">
        <v>2833</v>
      </c>
      <c r="B2834" s="1" t="n">
        <v>45086</v>
      </c>
      <c r="C2834" s="5" t="inlineStr">
        <is>
          <t>M5</t>
        </is>
      </c>
      <c r="D2834" s="5" t="n">
        <v>37</v>
      </c>
      <c r="E2834" s="5" t="n">
        <v>300</v>
      </c>
      <c r="F2834" t="inlineStr">
        <is>
          <t>Поступление</t>
        </is>
      </c>
      <c r="H2834">
        <f>VLOOKUP(C2834,Магазин!$A$2:$C$1000,2,0)</f>
        <v/>
      </c>
      <c r="I2834">
        <f>VLOOKUP(D2834,Товар!$A$2:$F$1000,3,0)</f>
        <v/>
      </c>
      <c r="J2834">
        <f>VLOOKUP(D2834,Товар!$A$2:$F$1000,5,0)</f>
        <v/>
      </c>
      <c r="K2834">
        <f>IF(AND(H2834="Промышленный",LEFT(I2834,18)="Порошок стиральный",F2834="Продажа",B2834=DATE(2023,6,7)),E2834*J2834/1000,0)</f>
        <v/>
      </c>
    </row>
    <row r="2835">
      <c r="A2835" t="n">
        <v>2834</v>
      </c>
      <c r="B2835" s="1" t="n">
        <v>45086</v>
      </c>
      <c r="C2835" s="5" t="inlineStr">
        <is>
          <t>M5</t>
        </is>
      </c>
      <c r="D2835" s="5" t="n">
        <v>38</v>
      </c>
      <c r="E2835" s="5" t="n">
        <v>300</v>
      </c>
      <c r="F2835" t="inlineStr">
        <is>
          <t>Поступление</t>
        </is>
      </c>
      <c r="H2835">
        <f>VLOOKUP(C2835,Магазин!$A$2:$C$1000,2,0)</f>
        <v/>
      </c>
      <c r="I2835">
        <f>VLOOKUP(D2835,Товар!$A$2:$F$1000,3,0)</f>
        <v/>
      </c>
      <c r="J2835">
        <f>VLOOKUP(D2835,Товар!$A$2:$F$1000,5,0)</f>
        <v/>
      </c>
      <c r="K2835">
        <f>IF(AND(H2835="Промышленный",LEFT(I2835,18)="Порошок стиральный",F2835="Продажа",B2835=DATE(2023,6,7)),E2835*J2835/1000,0)</f>
        <v/>
      </c>
    </row>
    <row r="2836">
      <c r="A2836" t="n">
        <v>2835</v>
      </c>
      <c r="B2836" s="1" t="n">
        <v>45086</v>
      </c>
      <c r="C2836" s="5" t="inlineStr">
        <is>
          <t>M5</t>
        </is>
      </c>
      <c r="D2836" s="5" t="n">
        <v>39</v>
      </c>
      <c r="E2836" s="5" t="n">
        <v>300</v>
      </c>
      <c r="F2836" t="inlineStr">
        <is>
          <t>Поступление</t>
        </is>
      </c>
      <c r="H2836">
        <f>VLOOKUP(C2836,Магазин!$A$2:$C$1000,2,0)</f>
        <v/>
      </c>
      <c r="I2836">
        <f>VLOOKUP(D2836,Товар!$A$2:$F$1000,3,0)</f>
        <v/>
      </c>
      <c r="J2836">
        <f>VLOOKUP(D2836,Товар!$A$2:$F$1000,5,0)</f>
        <v/>
      </c>
      <c r="K2836">
        <f>IF(AND(H2836="Промышленный",LEFT(I2836,18)="Порошок стиральный",F2836="Продажа",B2836=DATE(2023,6,7)),E2836*J2836/1000,0)</f>
        <v/>
      </c>
    </row>
    <row r="2837">
      <c r="A2837" t="n">
        <v>2836</v>
      </c>
      <c r="B2837" s="1" t="n">
        <v>45086</v>
      </c>
      <c r="C2837" s="5" t="inlineStr">
        <is>
          <t>M5</t>
        </is>
      </c>
      <c r="D2837" s="5" t="n">
        <v>40</v>
      </c>
      <c r="E2837" s="5" t="n">
        <v>300</v>
      </c>
      <c r="F2837" t="inlineStr">
        <is>
          <t>Поступление</t>
        </is>
      </c>
      <c r="H2837">
        <f>VLOOKUP(C2837,Магазин!$A$2:$C$1000,2,0)</f>
        <v/>
      </c>
      <c r="I2837">
        <f>VLOOKUP(D2837,Товар!$A$2:$F$1000,3,0)</f>
        <v/>
      </c>
      <c r="J2837">
        <f>VLOOKUP(D2837,Товар!$A$2:$F$1000,5,0)</f>
        <v/>
      </c>
      <c r="K2837">
        <f>IF(AND(H2837="Промышленный",LEFT(I2837,18)="Порошок стиральный",F2837="Продажа",B2837=DATE(2023,6,7)),E2837*J2837/1000,0)</f>
        <v/>
      </c>
    </row>
    <row r="2838">
      <c r="A2838" t="n">
        <v>2837</v>
      </c>
      <c r="B2838" s="1" t="n">
        <v>45086</v>
      </c>
      <c r="C2838" s="5" t="inlineStr">
        <is>
          <t>M5</t>
        </is>
      </c>
      <c r="D2838" s="5" t="n">
        <v>41</v>
      </c>
      <c r="E2838" s="5" t="n">
        <v>300</v>
      </c>
      <c r="F2838" t="inlineStr">
        <is>
          <t>Поступление</t>
        </is>
      </c>
      <c r="H2838">
        <f>VLOOKUP(C2838,Магазин!$A$2:$C$1000,2,0)</f>
        <v/>
      </c>
      <c r="I2838">
        <f>VLOOKUP(D2838,Товар!$A$2:$F$1000,3,0)</f>
        <v/>
      </c>
      <c r="J2838">
        <f>VLOOKUP(D2838,Товар!$A$2:$F$1000,5,0)</f>
        <v/>
      </c>
      <c r="K2838">
        <f>IF(AND(H2838="Промышленный",LEFT(I2838,18)="Порошок стиральный",F2838="Продажа",B2838=DATE(2023,6,7)),E2838*J2838/1000,0)</f>
        <v/>
      </c>
    </row>
    <row r="2839">
      <c r="A2839" t="n">
        <v>2838</v>
      </c>
      <c r="B2839" s="1" t="n">
        <v>45086</v>
      </c>
      <c r="C2839" s="5" t="inlineStr">
        <is>
          <t>M5</t>
        </is>
      </c>
      <c r="D2839" s="5" t="n">
        <v>42</v>
      </c>
      <c r="E2839" s="5" t="n">
        <v>300</v>
      </c>
      <c r="F2839" t="inlineStr">
        <is>
          <t>Поступление</t>
        </is>
      </c>
      <c r="H2839">
        <f>VLOOKUP(C2839,Магазин!$A$2:$C$1000,2,0)</f>
        <v/>
      </c>
      <c r="I2839">
        <f>VLOOKUP(D2839,Товар!$A$2:$F$1000,3,0)</f>
        <v/>
      </c>
      <c r="J2839">
        <f>VLOOKUP(D2839,Товар!$A$2:$F$1000,5,0)</f>
        <v/>
      </c>
      <c r="K2839">
        <f>IF(AND(H2839="Промышленный",LEFT(I2839,18)="Порошок стиральный",F2839="Продажа",B2839=DATE(2023,6,7)),E2839*J2839/1000,0)</f>
        <v/>
      </c>
    </row>
    <row r="2840">
      <c r="A2840" t="n">
        <v>2839</v>
      </c>
      <c r="B2840" s="1" t="n">
        <v>45086</v>
      </c>
      <c r="C2840" s="5" t="inlineStr">
        <is>
          <t>M5</t>
        </is>
      </c>
      <c r="D2840" s="5" t="n">
        <v>43</v>
      </c>
      <c r="E2840" s="5" t="n">
        <v>300</v>
      </c>
      <c r="F2840" t="inlineStr">
        <is>
          <t>Поступление</t>
        </is>
      </c>
      <c r="H2840">
        <f>VLOOKUP(C2840,Магазин!$A$2:$C$1000,2,0)</f>
        <v/>
      </c>
      <c r="I2840">
        <f>VLOOKUP(D2840,Товар!$A$2:$F$1000,3,0)</f>
        <v/>
      </c>
      <c r="J2840">
        <f>VLOOKUP(D2840,Товар!$A$2:$F$1000,5,0)</f>
        <v/>
      </c>
      <c r="K2840">
        <f>IF(AND(H2840="Промышленный",LEFT(I2840,18)="Порошок стиральный",F2840="Продажа",B2840=DATE(2023,6,7)),E2840*J2840/1000,0)</f>
        <v/>
      </c>
    </row>
    <row r="2841">
      <c r="A2841" t="n">
        <v>2840</v>
      </c>
      <c r="B2841" s="1" t="n">
        <v>45086</v>
      </c>
      <c r="C2841" s="5" t="inlineStr">
        <is>
          <t>M5</t>
        </is>
      </c>
      <c r="D2841" s="5" t="n">
        <v>44</v>
      </c>
      <c r="E2841" s="5" t="n">
        <v>300</v>
      </c>
      <c r="F2841" t="inlineStr">
        <is>
          <t>Поступление</t>
        </is>
      </c>
      <c r="H2841">
        <f>VLOOKUP(C2841,Магазин!$A$2:$C$1000,2,0)</f>
        <v/>
      </c>
      <c r="I2841">
        <f>VLOOKUP(D2841,Товар!$A$2:$F$1000,3,0)</f>
        <v/>
      </c>
      <c r="J2841">
        <f>VLOOKUP(D2841,Товар!$A$2:$F$1000,5,0)</f>
        <v/>
      </c>
      <c r="K2841">
        <f>IF(AND(H2841="Промышленный",LEFT(I2841,18)="Порошок стиральный",F2841="Продажа",B2841=DATE(2023,6,7)),E2841*J2841/1000,0)</f>
        <v/>
      </c>
    </row>
    <row r="2842">
      <c r="A2842" t="n">
        <v>2841</v>
      </c>
      <c r="B2842" s="1" t="n">
        <v>45086</v>
      </c>
      <c r="C2842" s="5" t="inlineStr">
        <is>
          <t>M5</t>
        </is>
      </c>
      <c r="D2842" s="5" t="n">
        <v>45</v>
      </c>
      <c r="E2842" s="5" t="n">
        <v>300</v>
      </c>
      <c r="F2842" t="inlineStr">
        <is>
          <t>Поступление</t>
        </is>
      </c>
      <c r="H2842">
        <f>VLOOKUP(C2842,Магазин!$A$2:$C$1000,2,0)</f>
        <v/>
      </c>
      <c r="I2842">
        <f>VLOOKUP(D2842,Товар!$A$2:$F$1000,3,0)</f>
        <v/>
      </c>
      <c r="J2842">
        <f>VLOOKUP(D2842,Товар!$A$2:$F$1000,5,0)</f>
        <v/>
      </c>
      <c r="K2842">
        <f>IF(AND(H2842="Промышленный",LEFT(I2842,18)="Порошок стиральный",F2842="Продажа",B2842=DATE(2023,6,7)),E2842*J2842/1000,0)</f>
        <v/>
      </c>
    </row>
    <row r="2843">
      <c r="A2843" t="n">
        <v>2842</v>
      </c>
      <c r="B2843" s="1" t="n">
        <v>45086</v>
      </c>
      <c r="C2843" s="5" t="inlineStr">
        <is>
          <t>M5</t>
        </is>
      </c>
      <c r="D2843" s="5" t="n">
        <v>46</v>
      </c>
      <c r="E2843" s="5" t="n">
        <v>300</v>
      </c>
      <c r="F2843" t="inlineStr">
        <is>
          <t>Поступление</t>
        </is>
      </c>
      <c r="H2843">
        <f>VLOOKUP(C2843,Магазин!$A$2:$C$1000,2,0)</f>
        <v/>
      </c>
      <c r="I2843">
        <f>VLOOKUP(D2843,Товар!$A$2:$F$1000,3,0)</f>
        <v/>
      </c>
      <c r="J2843">
        <f>VLOOKUP(D2843,Товар!$A$2:$F$1000,5,0)</f>
        <v/>
      </c>
      <c r="K2843">
        <f>IF(AND(H2843="Промышленный",LEFT(I2843,18)="Порошок стиральный",F2843="Продажа",B2843=DATE(2023,6,7)),E2843*J2843/1000,0)</f>
        <v/>
      </c>
    </row>
    <row r="2844">
      <c r="A2844" t="n">
        <v>2843</v>
      </c>
      <c r="B2844" s="1" t="n">
        <v>45086</v>
      </c>
      <c r="C2844" s="5" t="inlineStr">
        <is>
          <t>M5</t>
        </is>
      </c>
      <c r="D2844" s="5" t="n">
        <v>47</v>
      </c>
      <c r="E2844" s="5" t="n">
        <v>300</v>
      </c>
      <c r="F2844" t="inlineStr">
        <is>
          <t>Поступление</t>
        </is>
      </c>
      <c r="H2844">
        <f>VLOOKUP(C2844,Магазин!$A$2:$C$1000,2,0)</f>
        <v/>
      </c>
      <c r="I2844">
        <f>VLOOKUP(D2844,Товар!$A$2:$F$1000,3,0)</f>
        <v/>
      </c>
      <c r="J2844">
        <f>VLOOKUP(D2844,Товар!$A$2:$F$1000,5,0)</f>
        <v/>
      </c>
      <c r="K2844">
        <f>IF(AND(H2844="Промышленный",LEFT(I2844,18)="Порошок стиральный",F2844="Продажа",B2844=DATE(2023,6,7)),E2844*J2844/1000,0)</f>
        <v/>
      </c>
    </row>
    <row r="2845">
      <c r="A2845" t="n">
        <v>2844</v>
      </c>
      <c r="B2845" s="1" t="n">
        <v>45086</v>
      </c>
      <c r="C2845" s="5" t="inlineStr">
        <is>
          <t>M5</t>
        </is>
      </c>
      <c r="D2845" s="5" t="n">
        <v>48</v>
      </c>
      <c r="E2845" s="5" t="n">
        <v>300</v>
      </c>
      <c r="F2845" t="inlineStr">
        <is>
          <t>Поступление</t>
        </is>
      </c>
      <c r="H2845">
        <f>VLOOKUP(C2845,Магазин!$A$2:$C$1000,2,0)</f>
        <v/>
      </c>
      <c r="I2845">
        <f>VLOOKUP(D2845,Товар!$A$2:$F$1000,3,0)</f>
        <v/>
      </c>
      <c r="J2845">
        <f>VLOOKUP(D2845,Товар!$A$2:$F$1000,5,0)</f>
        <v/>
      </c>
      <c r="K2845">
        <f>IF(AND(H2845="Промышленный",LEFT(I2845,18)="Порошок стиральный",F2845="Продажа",B2845=DATE(2023,6,7)),E2845*J2845/1000,0)</f>
        <v/>
      </c>
    </row>
    <row r="2846">
      <c r="A2846" t="n">
        <v>2845</v>
      </c>
      <c r="B2846" s="1" t="n">
        <v>45086</v>
      </c>
      <c r="C2846" s="5" t="inlineStr">
        <is>
          <t>M5</t>
        </is>
      </c>
      <c r="D2846" s="5" t="n">
        <v>49</v>
      </c>
      <c r="E2846" s="5" t="n">
        <v>300</v>
      </c>
      <c r="F2846" t="inlineStr">
        <is>
          <t>Поступление</t>
        </is>
      </c>
      <c r="H2846">
        <f>VLOOKUP(C2846,Магазин!$A$2:$C$1000,2,0)</f>
        <v/>
      </c>
      <c r="I2846">
        <f>VLOOKUP(D2846,Товар!$A$2:$F$1000,3,0)</f>
        <v/>
      </c>
      <c r="J2846">
        <f>VLOOKUP(D2846,Товар!$A$2:$F$1000,5,0)</f>
        <v/>
      </c>
      <c r="K2846">
        <f>IF(AND(H2846="Промышленный",LEFT(I2846,18)="Порошок стиральный",F2846="Продажа",B2846=DATE(2023,6,7)),E2846*J2846/1000,0)</f>
        <v/>
      </c>
    </row>
    <row r="2847">
      <c r="A2847" t="n">
        <v>2846</v>
      </c>
      <c r="B2847" s="1" t="n">
        <v>45086</v>
      </c>
      <c r="C2847" s="5" t="inlineStr">
        <is>
          <t>M5</t>
        </is>
      </c>
      <c r="D2847" s="5" t="n">
        <v>50</v>
      </c>
      <c r="E2847" s="5" t="n">
        <v>300</v>
      </c>
      <c r="F2847" t="inlineStr">
        <is>
          <t>Поступление</t>
        </is>
      </c>
      <c r="H2847">
        <f>VLOOKUP(C2847,Магазин!$A$2:$C$1000,2,0)</f>
        <v/>
      </c>
      <c r="I2847">
        <f>VLOOKUP(D2847,Товар!$A$2:$F$1000,3,0)</f>
        <v/>
      </c>
      <c r="J2847">
        <f>VLOOKUP(D2847,Товар!$A$2:$F$1000,5,0)</f>
        <v/>
      </c>
      <c r="K2847">
        <f>IF(AND(H2847="Промышленный",LEFT(I2847,18)="Порошок стиральный",F2847="Продажа",B2847=DATE(2023,6,7)),E2847*J2847/1000,0)</f>
        <v/>
      </c>
    </row>
    <row r="2848">
      <c r="A2848" t="n">
        <v>2847</v>
      </c>
      <c r="B2848" s="1" t="n">
        <v>45086</v>
      </c>
      <c r="C2848" s="5" t="inlineStr">
        <is>
          <t>M5</t>
        </is>
      </c>
      <c r="D2848" s="5" t="n">
        <v>51</v>
      </c>
      <c r="E2848" s="5" t="n">
        <v>300</v>
      </c>
      <c r="F2848" t="inlineStr">
        <is>
          <t>Поступление</t>
        </is>
      </c>
      <c r="H2848">
        <f>VLOOKUP(C2848,Магазин!$A$2:$C$1000,2,0)</f>
        <v/>
      </c>
      <c r="I2848">
        <f>VLOOKUP(D2848,Товар!$A$2:$F$1000,3,0)</f>
        <v/>
      </c>
      <c r="J2848">
        <f>VLOOKUP(D2848,Товар!$A$2:$F$1000,5,0)</f>
        <v/>
      </c>
      <c r="K2848">
        <f>IF(AND(H2848="Промышленный",LEFT(I2848,18)="Порошок стиральный",F2848="Продажа",B2848=DATE(2023,6,7)),E2848*J2848/1000,0)</f>
        <v/>
      </c>
    </row>
    <row r="2849">
      <c r="A2849" t="n">
        <v>2848</v>
      </c>
      <c r="B2849" s="1" t="n">
        <v>45086</v>
      </c>
      <c r="C2849" s="5" t="inlineStr">
        <is>
          <t>M5</t>
        </is>
      </c>
      <c r="D2849" s="5" t="n">
        <v>52</v>
      </c>
      <c r="E2849" s="5" t="n">
        <v>300</v>
      </c>
      <c r="F2849" t="inlineStr">
        <is>
          <t>Поступление</t>
        </is>
      </c>
      <c r="H2849">
        <f>VLOOKUP(C2849,Магазин!$A$2:$C$1000,2,0)</f>
        <v/>
      </c>
      <c r="I2849">
        <f>VLOOKUP(D2849,Товар!$A$2:$F$1000,3,0)</f>
        <v/>
      </c>
      <c r="J2849">
        <f>VLOOKUP(D2849,Товар!$A$2:$F$1000,5,0)</f>
        <v/>
      </c>
      <c r="K2849">
        <f>IF(AND(H2849="Промышленный",LEFT(I2849,18)="Порошок стиральный",F2849="Продажа",B2849=DATE(2023,6,7)),E2849*J2849/1000,0)</f>
        <v/>
      </c>
    </row>
    <row r="2850">
      <c r="A2850" t="n">
        <v>2849</v>
      </c>
      <c r="B2850" s="1" t="n">
        <v>45086</v>
      </c>
      <c r="C2850" s="5" t="inlineStr">
        <is>
          <t>M5</t>
        </is>
      </c>
      <c r="D2850" s="5" t="n">
        <v>53</v>
      </c>
      <c r="E2850" s="5" t="n">
        <v>300</v>
      </c>
      <c r="F2850" t="inlineStr">
        <is>
          <t>Поступление</t>
        </is>
      </c>
      <c r="H2850">
        <f>VLOOKUP(C2850,Магазин!$A$2:$C$1000,2,0)</f>
        <v/>
      </c>
      <c r="I2850">
        <f>VLOOKUP(D2850,Товар!$A$2:$F$1000,3,0)</f>
        <v/>
      </c>
      <c r="J2850">
        <f>VLOOKUP(D2850,Товар!$A$2:$F$1000,5,0)</f>
        <v/>
      </c>
      <c r="K2850">
        <f>IF(AND(H2850="Промышленный",LEFT(I2850,18)="Порошок стиральный",F2850="Продажа",B2850=DATE(2023,6,7)),E2850*J2850/1000,0)</f>
        <v/>
      </c>
    </row>
    <row r="2851">
      <c r="A2851" t="n">
        <v>2850</v>
      </c>
      <c r="B2851" s="1" t="n">
        <v>45086</v>
      </c>
      <c r="C2851" s="5" t="inlineStr">
        <is>
          <t>M5</t>
        </is>
      </c>
      <c r="D2851" s="5" t="n">
        <v>54</v>
      </c>
      <c r="E2851" s="5" t="n">
        <v>300</v>
      </c>
      <c r="F2851" t="inlineStr">
        <is>
          <t>Поступление</t>
        </is>
      </c>
      <c r="H2851">
        <f>VLOOKUP(C2851,Магазин!$A$2:$C$1000,2,0)</f>
        <v/>
      </c>
      <c r="I2851">
        <f>VLOOKUP(D2851,Товар!$A$2:$F$1000,3,0)</f>
        <v/>
      </c>
      <c r="J2851">
        <f>VLOOKUP(D2851,Товар!$A$2:$F$1000,5,0)</f>
        <v/>
      </c>
      <c r="K2851">
        <f>IF(AND(H2851="Промышленный",LEFT(I2851,18)="Порошок стиральный",F2851="Продажа",B2851=DATE(2023,6,7)),E2851*J2851/1000,0)</f>
        <v/>
      </c>
    </row>
    <row r="2852">
      <c r="A2852" t="n">
        <v>2851</v>
      </c>
      <c r="B2852" s="1" t="n">
        <v>45086</v>
      </c>
      <c r="C2852" s="5" t="inlineStr">
        <is>
          <t>M5</t>
        </is>
      </c>
      <c r="D2852" s="5" t="n">
        <v>55</v>
      </c>
      <c r="E2852" s="5" t="n">
        <v>300</v>
      </c>
      <c r="F2852" t="inlineStr">
        <is>
          <t>Поступление</t>
        </is>
      </c>
      <c r="H2852">
        <f>VLOOKUP(C2852,Магазин!$A$2:$C$1000,2,0)</f>
        <v/>
      </c>
      <c r="I2852">
        <f>VLOOKUP(D2852,Товар!$A$2:$F$1000,3,0)</f>
        <v/>
      </c>
      <c r="J2852">
        <f>VLOOKUP(D2852,Товар!$A$2:$F$1000,5,0)</f>
        <v/>
      </c>
      <c r="K2852">
        <f>IF(AND(H2852="Промышленный",LEFT(I2852,18)="Порошок стиральный",F2852="Продажа",B2852=DATE(2023,6,7)),E2852*J2852/1000,0)</f>
        <v/>
      </c>
    </row>
    <row r="2853">
      <c r="A2853" t="n">
        <v>2852</v>
      </c>
      <c r="B2853" s="1" t="n">
        <v>45086</v>
      </c>
      <c r="C2853" s="5" t="inlineStr">
        <is>
          <t>M5</t>
        </is>
      </c>
      <c r="D2853" s="5" t="n">
        <v>56</v>
      </c>
      <c r="E2853" s="5" t="n">
        <v>300</v>
      </c>
      <c r="F2853" t="inlineStr">
        <is>
          <t>Поступление</t>
        </is>
      </c>
      <c r="H2853">
        <f>VLOOKUP(C2853,Магазин!$A$2:$C$1000,2,0)</f>
        <v/>
      </c>
      <c r="I2853">
        <f>VLOOKUP(D2853,Товар!$A$2:$F$1000,3,0)</f>
        <v/>
      </c>
      <c r="J2853">
        <f>VLOOKUP(D2853,Товар!$A$2:$F$1000,5,0)</f>
        <v/>
      </c>
      <c r="K2853">
        <f>IF(AND(H2853="Промышленный",LEFT(I2853,18)="Порошок стиральный",F2853="Продажа",B2853=DATE(2023,6,7)),E2853*J2853/1000,0)</f>
        <v/>
      </c>
    </row>
    <row r="2854">
      <c r="A2854" t="n">
        <v>2853</v>
      </c>
      <c r="B2854" s="1" t="n">
        <v>45086</v>
      </c>
      <c r="C2854" s="5" t="inlineStr">
        <is>
          <t>M5</t>
        </is>
      </c>
      <c r="D2854" s="5" t="n">
        <v>57</v>
      </c>
      <c r="E2854" s="5" t="n">
        <v>300</v>
      </c>
      <c r="F2854" t="inlineStr">
        <is>
          <t>Поступление</t>
        </is>
      </c>
      <c r="H2854">
        <f>VLOOKUP(C2854,Магазин!$A$2:$C$1000,2,0)</f>
        <v/>
      </c>
      <c r="I2854">
        <f>VLOOKUP(D2854,Товар!$A$2:$F$1000,3,0)</f>
        <v/>
      </c>
      <c r="J2854">
        <f>VLOOKUP(D2854,Товар!$A$2:$F$1000,5,0)</f>
        <v/>
      </c>
      <c r="K2854">
        <f>IF(AND(H2854="Промышленный",LEFT(I2854,18)="Порошок стиральный",F2854="Продажа",B2854=DATE(2023,6,7)),E2854*J2854/1000,0)</f>
        <v/>
      </c>
    </row>
    <row r="2855">
      <c r="A2855" t="n">
        <v>2854</v>
      </c>
      <c r="B2855" s="1" t="n">
        <v>45086</v>
      </c>
      <c r="C2855" s="5" t="inlineStr">
        <is>
          <t>M5</t>
        </is>
      </c>
      <c r="D2855" s="5" t="n">
        <v>58</v>
      </c>
      <c r="E2855" s="5" t="n">
        <v>300</v>
      </c>
      <c r="F2855" t="inlineStr">
        <is>
          <t>Поступление</t>
        </is>
      </c>
      <c r="H2855">
        <f>VLOOKUP(C2855,Магазин!$A$2:$C$1000,2,0)</f>
        <v/>
      </c>
      <c r="I2855">
        <f>VLOOKUP(D2855,Товар!$A$2:$F$1000,3,0)</f>
        <v/>
      </c>
      <c r="J2855">
        <f>VLOOKUP(D2855,Товар!$A$2:$F$1000,5,0)</f>
        <v/>
      </c>
      <c r="K2855">
        <f>IF(AND(H2855="Промышленный",LEFT(I2855,18)="Порошок стиральный",F2855="Продажа",B2855=DATE(2023,6,7)),E2855*J2855/1000,0)</f>
        <v/>
      </c>
    </row>
    <row r="2856">
      <c r="A2856" t="n">
        <v>2855</v>
      </c>
      <c r="B2856" s="1" t="n">
        <v>45086</v>
      </c>
      <c r="C2856" s="5" t="inlineStr">
        <is>
          <t>M5</t>
        </is>
      </c>
      <c r="D2856" s="5" t="n">
        <v>59</v>
      </c>
      <c r="E2856" s="5" t="n">
        <v>300</v>
      </c>
      <c r="F2856" t="inlineStr">
        <is>
          <t>Поступление</t>
        </is>
      </c>
      <c r="H2856">
        <f>VLOOKUP(C2856,Магазин!$A$2:$C$1000,2,0)</f>
        <v/>
      </c>
      <c r="I2856">
        <f>VLOOKUP(D2856,Товар!$A$2:$F$1000,3,0)</f>
        <v/>
      </c>
      <c r="J2856">
        <f>VLOOKUP(D2856,Товар!$A$2:$F$1000,5,0)</f>
        <v/>
      </c>
      <c r="K2856">
        <f>IF(AND(H2856="Промышленный",LEFT(I2856,18)="Порошок стиральный",F2856="Продажа",B2856=DATE(2023,6,7)),E2856*J2856/1000,0)</f>
        <v/>
      </c>
    </row>
    <row r="2857">
      <c r="A2857" t="n">
        <v>2856</v>
      </c>
      <c r="B2857" s="1" t="n">
        <v>45086</v>
      </c>
      <c r="C2857" s="5" t="inlineStr">
        <is>
          <t>M5</t>
        </is>
      </c>
      <c r="D2857" s="5" t="n">
        <v>60</v>
      </c>
      <c r="E2857" s="5" t="n">
        <v>300</v>
      </c>
      <c r="F2857" t="inlineStr">
        <is>
          <t>Поступление</t>
        </is>
      </c>
      <c r="H2857">
        <f>VLOOKUP(C2857,Магазин!$A$2:$C$1000,2,0)</f>
        <v/>
      </c>
      <c r="I2857">
        <f>VLOOKUP(D2857,Товар!$A$2:$F$1000,3,0)</f>
        <v/>
      </c>
      <c r="J2857">
        <f>VLOOKUP(D2857,Товар!$A$2:$F$1000,5,0)</f>
        <v/>
      </c>
      <c r="K2857">
        <f>IF(AND(H2857="Промышленный",LEFT(I2857,18)="Порошок стиральный",F2857="Продажа",B2857=DATE(2023,6,7)),E2857*J2857/1000,0)</f>
        <v/>
      </c>
    </row>
    <row r="2858">
      <c r="A2858" t="n">
        <v>2857</v>
      </c>
      <c r="B2858" s="1" t="n">
        <v>45086</v>
      </c>
      <c r="C2858" s="5" t="inlineStr">
        <is>
          <t>M6</t>
        </is>
      </c>
      <c r="D2858" s="5" t="n">
        <v>37</v>
      </c>
      <c r="E2858" s="5" t="n">
        <v>300</v>
      </c>
      <c r="F2858" t="inlineStr">
        <is>
          <t>Поступление</t>
        </is>
      </c>
      <c r="H2858">
        <f>VLOOKUP(C2858,Магазин!$A$2:$C$1000,2,0)</f>
        <v/>
      </c>
      <c r="I2858">
        <f>VLOOKUP(D2858,Товар!$A$2:$F$1000,3,0)</f>
        <v/>
      </c>
      <c r="J2858">
        <f>VLOOKUP(D2858,Товар!$A$2:$F$1000,5,0)</f>
        <v/>
      </c>
      <c r="K2858">
        <f>IF(AND(H2858="Промышленный",LEFT(I2858,18)="Порошок стиральный",F2858="Продажа",B2858=DATE(2023,6,7)),E2858*J2858/1000,0)</f>
        <v/>
      </c>
    </row>
    <row r="2859">
      <c r="A2859" t="n">
        <v>2858</v>
      </c>
      <c r="B2859" s="1" t="n">
        <v>45086</v>
      </c>
      <c r="C2859" s="5" t="inlineStr">
        <is>
          <t>M6</t>
        </is>
      </c>
      <c r="D2859" s="5" t="n">
        <v>38</v>
      </c>
      <c r="E2859" s="5" t="n">
        <v>300</v>
      </c>
      <c r="F2859" t="inlineStr">
        <is>
          <t>Поступление</t>
        </is>
      </c>
      <c r="H2859">
        <f>VLOOKUP(C2859,Магазин!$A$2:$C$1000,2,0)</f>
        <v/>
      </c>
      <c r="I2859">
        <f>VLOOKUP(D2859,Товар!$A$2:$F$1000,3,0)</f>
        <v/>
      </c>
      <c r="J2859">
        <f>VLOOKUP(D2859,Товар!$A$2:$F$1000,5,0)</f>
        <v/>
      </c>
      <c r="K2859">
        <f>IF(AND(H2859="Промышленный",LEFT(I2859,18)="Порошок стиральный",F2859="Продажа",B2859=DATE(2023,6,7)),E2859*J2859/1000,0)</f>
        <v/>
      </c>
    </row>
    <row r="2860">
      <c r="A2860" t="n">
        <v>2859</v>
      </c>
      <c r="B2860" s="1" t="n">
        <v>45086</v>
      </c>
      <c r="C2860" s="5" t="inlineStr">
        <is>
          <t>M6</t>
        </is>
      </c>
      <c r="D2860" s="5" t="n">
        <v>39</v>
      </c>
      <c r="E2860" s="5" t="n">
        <v>300</v>
      </c>
      <c r="F2860" t="inlineStr">
        <is>
          <t>Поступление</t>
        </is>
      </c>
      <c r="H2860">
        <f>VLOOKUP(C2860,Магазин!$A$2:$C$1000,2,0)</f>
        <v/>
      </c>
      <c r="I2860">
        <f>VLOOKUP(D2860,Товар!$A$2:$F$1000,3,0)</f>
        <v/>
      </c>
      <c r="J2860">
        <f>VLOOKUP(D2860,Товар!$A$2:$F$1000,5,0)</f>
        <v/>
      </c>
      <c r="K2860">
        <f>IF(AND(H2860="Промышленный",LEFT(I2860,18)="Порошок стиральный",F2860="Продажа",B2860=DATE(2023,6,7)),E2860*J2860/1000,0)</f>
        <v/>
      </c>
    </row>
    <row r="2861">
      <c r="A2861" t="n">
        <v>2860</v>
      </c>
      <c r="B2861" s="1" t="n">
        <v>45086</v>
      </c>
      <c r="C2861" s="5" t="inlineStr">
        <is>
          <t>M6</t>
        </is>
      </c>
      <c r="D2861" s="5" t="n">
        <v>40</v>
      </c>
      <c r="E2861" s="5" t="n">
        <v>300</v>
      </c>
      <c r="F2861" t="inlineStr">
        <is>
          <t>Поступление</t>
        </is>
      </c>
      <c r="H2861">
        <f>VLOOKUP(C2861,Магазин!$A$2:$C$1000,2,0)</f>
        <v/>
      </c>
      <c r="I2861">
        <f>VLOOKUP(D2861,Товар!$A$2:$F$1000,3,0)</f>
        <v/>
      </c>
      <c r="J2861">
        <f>VLOOKUP(D2861,Товар!$A$2:$F$1000,5,0)</f>
        <v/>
      </c>
      <c r="K2861">
        <f>IF(AND(H2861="Промышленный",LEFT(I2861,18)="Порошок стиральный",F2861="Продажа",B2861=DATE(2023,6,7)),E2861*J2861/1000,0)</f>
        <v/>
      </c>
    </row>
    <row r="2862">
      <c r="A2862" t="n">
        <v>2861</v>
      </c>
      <c r="B2862" s="1" t="n">
        <v>45086</v>
      </c>
      <c r="C2862" s="5" t="inlineStr">
        <is>
          <t>M6</t>
        </is>
      </c>
      <c r="D2862" s="5" t="n">
        <v>41</v>
      </c>
      <c r="E2862" s="5" t="n">
        <v>300</v>
      </c>
      <c r="F2862" t="inlineStr">
        <is>
          <t>Поступление</t>
        </is>
      </c>
      <c r="H2862">
        <f>VLOOKUP(C2862,Магазин!$A$2:$C$1000,2,0)</f>
        <v/>
      </c>
      <c r="I2862">
        <f>VLOOKUP(D2862,Товар!$A$2:$F$1000,3,0)</f>
        <v/>
      </c>
      <c r="J2862">
        <f>VLOOKUP(D2862,Товар!$A$2:$F$1000,5,0)</f>
        <v/>
      </c>
      <c r="K2862">
        <f>IF(AND(H2862="Промышленный",LEFT(I2862,18)="Порошок стиральный",F2862="Продажа",B2862=DATE(2023,6,7)),E2862*J2862/1000,0)</f>
        <v/>
      </c>
    </row>
    <row r="2863">
      <c r="A2863" t="n">
        <v>2862</v>
      </c>
      <c r="B2863" s="1" t="n">
        <v>45086</v>
      </c>
      <c r="C2863" s="5" t="inlineStr">
        <is>
          <t>M6</t>
        </is>
      </c>
      <c r="D2863" s="5" t="n">
        <v>42</v>
      </c>
      <c r="E2863" s="5" t="n">
        <v>300</v>
      </c>
      <c r="F2863" t="inlineStr">
        <is>
          <t>Поступление</t>
        </is>
      </c>
      <c r="H2863">
        <f>VLOOKUP(C2863,Магазин!$A$2:$C$1000,2,0)</f>
        <v/>
      </c>
      <c r="I2863">
        <f>VLOOKUP(D2863,Товар!$A$2:$F$1000,3,0)</f>
        <v/>
      </c>
      <c r="J2863">
        <f>VLOOKUP(D2863,Товар!$A$2:$F$1000,5,0)</f>
        <v/>
      </c>
      <c r="K2863">
        <f>IF(AND(H2863="Промышленный",LEFT(I2863,18)="Порошок стиральный",F2863="Продажа",B2863=DATE(2023,6,7)),E2863*J2863/1000,0)</f>
        <v/>
      </c>
    </row>
    <row r="2864">
      <c r="A2864" t="n">
        <v>2863</v>
      </c>
      <c r="B2864" s="1" t="n">
        <v>45086</v>
      </c>
      <c r="C2864" s="5" t="inlineStr">
        <is>
          <t>M6</t>
        </is>
      </c>
      <c r="D2864" s="5" t="n">
        <v>43</v>
      </c>
      <c r="E2864" s="5" t="n">
        <v>300</v>
      </c>
      <c r="F2864" t="inlineStr">
        <is>
          <t>Поступление</t>
        </is>
      </c>
      <c r="H2864">
        <f>VLOOKUP(C2864,Магазин!$A$2:$C$1000,2,0)</f>
        <v/>
      </c>
      <c r="I2864">
        <f>VLOOKUP(D2864,Товар!$A$2:$F$1000,3,0)</f>
        <v/>
      </c>
      <c r="J2864">
        <f>VLOOKUP(D2864,Товар!$A$2:$F$1000,5,0)</f>
        <v/>
      </c>
      <c r="K2864">
        <f>IF(AND(H2864="Промышленный",LEFT(I2864,18)="Порошок стиральный",F2864="Продажа",B2864=DATE(2023,6,7)),E2864*J2864/1000,0)</f>
        <v/>
      </c>
    </row>
    <row r="2865">
      <c r="A2865" t="n">
        <v>2864</v>
      </c>
      <c r="B2865" s="1" t="n">
        <v>45086</v>
      </c>
      <c r="C2865" s="5" t="inlineStr">
        <is>
          <t>M6</t>
        </is>
      </c>
      <c r="D2865" s="5" t="n">
        <v>44</v>
      </c>
      <c r="E2865" s="5" t="n">
        <v>300</v>
      </c>
      <c r="F2865" t="inlineStr">
        <is>
          <t>Поступление</t>
        </is>
      </c>
      <c r="H2865">
        <f>VLOOKUP(C2865,Магазин!$A$2:$C$1000,2,0)</f>
        <v/>
      </c>
      <c r="I2865">
        <f>VLOOKUP(D2865,Товар!$A$2:$F$1000,3,0)</f>
        <v/>
      </c>
      <c r="J2865">
        <f>VLOOKUP(D2865,Товар!$A$2:$F$1000,5,0)</f>
        <v/>
      </c>
      <c r="K2865">
        <f>IF(AND(H2865="Промышленный",LEFT(I2865,18)="Порошок стиральный",F2865="Продажа",B2865=DATE(2023,6,7)),E2865*J2865/1000,0)</f>
        <v/>
      </c>
    </row>
    <row r="2866">
      <c r="A2866" t="n">
        <v>2865</v>
      </c>
      <c r="B2866" s="1" t="n">
        <v>45086</v>
      </c>
      <c r="C2866" s="5" t="inlineStr">
        <is>
          <t>M6</t>
        </is>
      </c>
      <c r="D2866" s="5" t="n">
        <v>45</v>
      </c>
      <c r="E2866" s="5" t="n">
        <v>300</v>
      </c>
      <c r="F2866" t="inlineStr">
        <is>
          <t>Поступление</t>
        </is>
      </c>
      <c r="H2866">
        <f>VLOOKUP(C2866,Магазин!$A$2:$C$1000,2,0)</f>
        <v/>
      </c>
      <c r="I2866">
        <f>VLOOKUP(D2866,Товар!$A$2:$F$1000,3,0)</f>
        <v/>
      </c>
      <c r="J2866">
        <f>VLOOKUP(D2866,Товар!$A$2:$F$1000,5,0)</f>
        <v/>
      </c>
      <c r="K2866">
        <f>IF(AND(H2866="Промышленный",LEFT(I2866,18)="Порошок стиральный",F2866="Продажа",B2866=DATE(2023,6,7)),E2866*J2866/1000,0)</f>
        <v/>
      </c>
    </row>
    <row r="2867">
      <c r="A2867" t="n">
        <v>2866</v>
      </c>
      <c r="B2867" s="1" t="n">
        <v>45086</v>
      </c>
      <c r="C2867" s="5" t="inlineStr">
        <is>
          <t>M6</t>
        </is>
      </c>
      <c r="D2867" s="5" t="n">
        <v>46</v>
      </c>
      <c r="E2867" s="5" t="n">
        <v>300</v>
      </c>
      <c r="F2867" t="inlineStr">
        <is>
          <t>Поступление</t>
        </is>
      </c>
      <c r="H2867">
        <f>VLOOKUP(C2867,Магазин!$A$2:$C$1000,2,0)</f>
        <v/>
      </c>
      <c r="I2867">
        <f>VLOOKUP(D2867,Товар!$A$2:$F$1000,3,0)</f>
        <v/>
      </c>
      <c r="J2867">
        <f>VLOOKUP(D2867,Товар!$A$2:$F$1000,5,0)</f>
        <v/>
      </c>
      <c r="K2867">
        <f>IF(AND(H2867="Промышленный",LEFT(I2867,18)="Порошок стиральный",F2867="Продажа",B2867=DATE(2023,6,7)),E2867*J2867/1000,0)</f>
        <v/>
      </c>
    </row>
    <row r="2868">
      <c r="A2868" t="n">
        <v>2867</v>
      </c>
      <c r="B2868" s="1" t="n">
        <v>45086</v>
      </c>
      <c r="C2868" s="5" t="inlineStr">
        <is>
          <t>M6</t>
        </is>
      </c>
      <c r="D2868" s="5" t="n">
        <v>47</v>
      </c>
      <c r="E2868" s="5" t="n">
        <v>300</v>
      </c>
      <c r="F2868" t="inlineStr">
        <is>
          <t>Поступление</t>
        </is>
      </c>
      <c r="H2868">
        <f>VLOOKUP(C2868,Магазин!$A$2:$C$1000,2,0)</f>
        <v/>
      </c>
      <c r="I2868">
        <f>VLOOKUP(D2868,Товар!$A$2:$F$1000,3,0)</f>
        <v/>
      </c>
      <c r="J2868">
        <f>VLOOKUP(D2868,Товар!$A$2:$F$1000,5,0)</f>
        <v/>
      </c>
      <c r="K2868">
        <f>IF(AND(H2868="Промышленный",LEFT(I2868,18)="Порошок стиральный",F2868="Продажа",B2868=DATE(2023,6,7)),E2868*J2868/1000,0)</f>
        <v/>
      </c>
    </row>
    <row r="2869">
      <c r="A2869" t="n">
        <v>2868</v>
      </c>
      <c r="B2869" s="1" t="n">
        <v>45086</v>
      </c>
      <c r="C2869" s="5" t="inlineStr">
        <is>
          <t>M6</t>
        </is>
      </c>
      <c r="D2869" s="5" t="n">
        <v>48</v>
      </c>
      <c r="E2869" s="5" t="n">
        <v>300</v>
      </c>
      <c r="F2869" t="inlineStr">
        <is>
          <t>Поступление</t>
        </is>
      </c>
      <c r="H2869">
        <f>VLOOKUP(C2869,Магазин!$A$2:$C$1000,2,0)</f>
        <v/>
      </c>
      <c r="I2869">
        <f>VLOOKUP(D2869,Товар!$A$2:$F$1000,3,0)</f>
        <v/>
      </c>
      <c r="J2869">
        <f>VLOOKUP(D2869,Товар!$A$2:$F$1000,5,0)</f>
        <v/>
      </c>
      <c r="K2869">
        <f>IF(AND(H2869="Промышленный",LEFT(I2869,18)="Порошок стиральный",F2869="Продажа",B2869=DATE(2023,6,7)),E2869*J2869/1000,0)</f>
        <v/>
      </c>
    </row>
    <row r="2870">
      <c r="A2870" t="n">
        <v>2869</v>
      </c>
      <c r="B2870" s="1" t="n">
        <v>45086</v>
      </c>
      <c r="C2870" s="5" t="inlineStr">
        <is>
          <t>M6</t>
        </is>
      </c>
      <c r="D2870" s="5" t="n">
        <v>49</v>
      </c>
      <c r="E2870" s="5" t="n">
        <v>300</v>
      </c>
      <c r="F2870" t="inlineStr">
        <is>
          <t>Поступление</t>
        </is>
      </c>
      <c r="H2870">
        <f>VLOOKUP(C2870,Магазин!$A$2:$C$1000,2,0)</f>
        <v/>
      </c>
      <c r="I2870">
        <f>VLOOKUP(D2870,Товар!$A$2:$F$1000,3,0)</f>
        <v/>
      </c>
      <c r="J2870">
        <f>VLOOKUP(D2870,Товар!$A$2:$F$1000,5,0)</f>
        <v/>
      </c>
      <c r="K2870">
        <f>IF(AND(H2870="Промышленный",LEFT(I2870,18)="Порошок стиральный",F2870="Продажа",B2870=DATE(2023,6,7)),E2870*J2870/1000,0)</f>
        <v/>
      </c>
    </row>
    <row r="2871">
      <c r="A2871" t="n">
        <v>2870</v>
      </c>
      <c r="B2871" s="1" t="n">
        <v>45086</v>
      </c>
      <c r="C2871" s="5" t="inlineStr">
        <is>
          <t>M6</t>
        </is>
      </c>
      <c r="D2871" s="5" t="n">
        <v>50</v>
      </c>
      <c r="E2871" s="5" t="n">
        <v>300</v>
      </c>
      <c r="F2871" t="inlineStr">
        <is>
          <t>Поступление</t>
        </is>
      </c>
      <c r="H2871">
        <f>VLOOKUP(C2871,Магазин!$A$2:$C$1000,2,0)</f>
        <v/>
      </c>
      <c r="I2871">
        <f>VLOOKUP(D2871,Товар!$A$2:$F$1000,3,0)</f>
        <v/>
      </c>
      <c r="J2871">
        <f>VLOOKUP(D2871,Товар!$A$2:$F$1000,5,0)</f>
        <v/>
      </c>
      <c r="K2871">
        <f>IF(AND(H2871="Промышленный",LEFT(I2871,18)="Порошок стиральный",F2871="Продажа",B2871=DATE(2023,6,7)),E2871*J2871/1000,0)</f>
        <v/>
      </c>
    </row>
    <row r="2872">
      <c r="A2872" t="n">
        <v>2871</v>
      </c>
      <c r="B2872" s="1" t="n">
        <v>45086</v>
      </c>
      <c r="C2872" s="5" t="inlineStr">
        <is>
          <t>M6</t>
        </is>
      </c>
      <c r="D2872" s="5" t="n">
        <v>51</v>
      </c>
      <c r="E2872" s="5" t="n">
        <v>300</v>
      </c>
      <c r="F2872" t="inlineStr">
        <is>
          <t>Поступление</t>
        </is>
      </c>
      <c r="H2872">
        <f>VLOOKUP(C2872,Магазин!$A$2:$C$1000,2,0)</f>
        <v/>
      </c>
      <c r="I2872">
        <f>VLOOKUP(D2872,Товар!$A$2:$F$1000,3,0)</f>
        <v/>
      </c>
      <c r="J2872">
        <f>VLOOKUP(D2872,Товар!$A$2:$F$1000,5,0)</f>
        <v/>
      </c>
      <c r="K2872">
        <f>IF(AND(H2872="Промышленный",LEFT(I2872,18)="Порошок стиральный",F2872="Продажа",B2872=DATE(2023,6,7)),E2872*J2872/1000,0)</f>
        <v/>
      </c>
    </row>
    <row r="2873">
      <c r="A2873" t="n">
        <v>2872</v>
      </c>
      <c r="B2873" s="1" t="n">
        <v>45086</v>
      </c>
      <c r="C2873" s="5" t="inlineStr">
        <is>
          <t>M6</t>
        </is>
      </c>
      <c r="D2873" s="5" t="n">
        <v>52</v>
      </c>
      <c r="E2873" s="5" t="n">
        <v>300</v>
      </c>
      <c r="F2873" t="inlineStr">
        <is>
          <t>Поступление</t>
        </is>
      </c>
      <c r="H2873">
        <f>VLOOKUP(C2873,Магазин!$A$2:$C$1000,2,0)</f>
        <v/>
      </c>
      <c r="I2873">
        <f>VLOOKUP(D2873,Товар!$A$2:$F$1000,3,0)</f>
        <v/>
      </c>
      <c r="J2873">
        <f>VLOOKUP(D2873,Товар!$A$2:$F$1000,5,0)</f>
        <v/>
      </c>
      <c r="K2873">
        <f>IF(AND(H2873="Промышленный",LEFT(I2873,18)="Порошок стиральный",F2873="Продажа",B2873=DATE(2023,6,7)),E2873*J2873/1000,0)</f>
        <v/>
      </c>
    </row>
    <row r="2874">
      <c r="A2874" t="n">
        <v>2873</v>
      </c>
      <c r="B2874" s="1" t="n">
        <v>45086</v>
      </c>
      <c r="C2874" s="5" t="inlineStr">
        <is>
          <t>M6</t>
        </is>
      </c>
      <c r="D2874" s="5" t="n">
        <v>53</v>
      </c>
      <c r="E2874" s="5" t="n">
        <v>300</v>
      </c>
      <c r="F2874" t="inlineStr">
        <is>
          <t>Поступление</t>
        </is>
      </c>
      <c r="H2874">
        <f>VLOOKUP(C2874,Магазин!$A$2:$C$1000,2,0)</f>
        <v/>
      </c>
      <c r="I2874">
        <f>VLOOKUP(D2874,Товар!$A$2:$F$1000,3,0)</f>
        <v/>
      </c>
      <c r="J2874">
        <f>VLOOKUP(D2874,Товар!$A$2:$F$1000,5,0)</f>
        <v/>
      </c>
      <c r="K2874">
        <f>IF(AND(H2874="Промышленный",LEFT(I2874,18)="Порошок стиральный",F2874="Продажа",B2874=DATE(2023,6,7)),E2874*J2874/1000,0)</f>
        <v/>
      </c>
    </row>
    <row r="2875">
      <c r="A2875" t="n">
        <v>2874</v>
      </c>
      <c r="B2875" s="1" t="n">
        <v>45086</v>
      </c>
      <c r="C2875" s="5" t="inlineStr">
        <is>
          <t>M6</t>
        </is>
      </c>
      <c r="D2875" s="5" t="n">
        <v>54</v>
      </c>
      <c r="E2875" s="5" t="n">
        <v>300</v>
      </c>
      <c r="F2875" t="inlineStr">
        <is>
          <t>Поступление</t>
        </is>
      </c>
      <c r="H2875">
        <f>VLOOKUP(C2875,Магазин!$A$2:$C$1000,2,0)</f>
        <v/>
      </c>
      <c r="I2875">
        <f>VLOOKUP(D2875,Товар!$A$2:$F$1000,3,0)</f>
        <v/>
      </c>
      <c r="J2875">
        <f>VLOOKUP(D2875,Товар!$A$2:$F$1000,5,0)</f>
        <v/>
      </c>
      <c r="K2875">
        <f>IF(AND(H2875="Промышленный",LEFT(I2875,18)="Порошок стиральный",F2875="Продажа",B2875=DATE(2023,6,7)),E2875*J2875/1000,0)</f>
        <v/>
      </c>
    </row>
    <row r="2876">
      <c r="A2876" t="n">
        <v>2875</v>
      </c>
      <c r="B2876" s="1" t="n">
        <v>45086</v>
      </c>
      <c r="C2876" s="5" t="inlineStr">
        <is>
          <t>M6</t>
        </is>
      </c>
      <c r="D2876" s="5" t="n">
        <v>55</v>
      </c>
      <c r="E2876" s="5" t="n">
        <v>300</v>
      </c>
      <c r="F2876" t="inlineStr">
        <is>
          <t>Поступление</t>
        </is>
      </c>
      <c r="H2876">
        <f>VLOOKUP(C2876,Магазин!$A$2:$C$1000,2,0)</f>
        <v/>
      </c>
      <c r="I2876">
        <f>VLOOKUP(D2876,Товар!$A$2:$F$1000,3,0)</f>
        <v/>
      </c>
      <c r="J2876">
        <f>VLOOKUP(D2876,Товар!$A$2:$F$1000,5,0)</f>
        <v/>
      </c>
      <c r="K2876">
        <f>IF(AND(H2876="Промышленный",LEFT(I2876,18)="Порошок стиральный",F2876="Продажа",B2876=DATE(2023,6,7)),E2876*J2876/1000,0)</f>
        <v/>
      </c>
    </row>
    <row r="2877">
      <c r="A2877" t="n">
        <v>2876</v>
      </c>
      <c r="B2877" s="1" t="n">
        <v>45086</v>
      </c>
      <c r="C2877" s="5" t="inlineStr">
        <is>
          <t>M6</t>
        </is>
      </c>
      <c r="D2877" s="5" t="n">
        <v>56</v>
      </c>
      <c r="E2877" s="5" t="n">
        <v>300</v>
      </c>
      <c r="F2877" t="inlineStr">
        <is>
          <t>Поступление</t>
        </is>
      </c>
      <c r="H2877">
        <f>VLOOKUP(C2877,Магазин!$A$2:$C$1000,2,0)</f>
        <v/>
      </c>
      <c r="I2877">
        <f>VLOOKUP(D2877,Товар!$A$2:$F$1000,3,0)</f>
        <v/>
      </c>
      <c r="J2877">
        <f>VLOOKUP(D2877,Товар!$A$2:$F$1000,5,0)</f>
        <v/>
      </c>
      <c r="K2877">
        <f>IF(AND(H2877="Промышленный",LEFT(I2877,18)="Порошок стиральный",F2877="Продажа",B2877=DATE(2023,6,7)),E2877*J2877/1000,0)</f>
        <v/>
      </c>
    </row>
    <row r="2878">
      <c r="A2878" t="n">
        <v>2877</v>
      </c>
      <c r="B2878" s="1" t="n">
        <v>45086</v>
      </c>
      <c r="C2878" s="5" t="inlineStr">
        <is>
          <t>M6</t>
        </is>
      </c>
      <c r="D2878" s="5" t="n">
        <v>57</v>
      </c>
      <c r="E2878" s="5" t="n">
        <v>300</v>
      </c>
      <c r="F2878" t="inlineStr">
        <is>
          <t>Поступление</t>
        </is>
      </c>
      <c r="H2878">
        <f>VLOOKUP(C2878,Магазин!$A$2:$C$1000,2,0)</f>
        <v/>
      </c>
      <c r="I2878">
        <f>VLOOKUP(D2878,Товар!$A$2:$F$1000,3,0)</f>
        <v/>
      </c>
      <c r="J2878">
        <f>VLOOKUP(D2878,Товар!$A$2:$F$1000,5,0)</f>
        <v/>
      </c>
      <c r="K2878">
        <f>IF(AND(H2878="Промышленный",LEFT(I2878,18)="Порошок стиральный",F2878="Продажа",B2878=DATE(2023,6,7)),E2878*J2878/1000,0)</f>
        <v/>
      </c>
    </row>
    <row r="2879">
      <c r="A2879" t="n">
        <v>2878</v>
      </c>
      <c r="B2879" s="1" t="n">
        <v>45086</v>
      </c>
      <c r="C2879" s="5" t="inlineStr">
        <is>
          <t>M6</t>
        </is>
      </c>
      <c r="D2879" s="5" t="n">
        <v>58</v>
      </c>
      <c r="E2879" s="5" t="n">
        <v>300</v>
      </c>
      <c r="F2879" t="inlineStr">
        <is>
          <t>Поступление</t>
        </is>
      </c>
      <c r="H2879">
        <f>VLOOKUP(C2879,Магазин!$A$2:$C$1000,2,0)</f>
        <v/>
      </c>
      <c r="I2879">
        <f>VLOOKUP(D2879,Товар!$A$2:$F$1000,3,0)</f>
        <v/>
      </c>
      <c r="J2879">
        <f>VLOOKUP(D2879,Товар!$A$2:$F$1000,5,0)</f>
        <v/>
      </c>
      <c r="K2879">
        <f>IF(AND(H2879="Промышленный",LEFT(I2879,18)="Порошок стиральный",F2879="Продажа",B2879=DATE(2023,6,7)),E2879*J2879/1000,0)</f>
        <v/>
      </c>
    </row>
    <row r="2880">
      <c r="A2880" t="n">
        <v>2879</v>
      </c>
      <c r="B2880" s="1" t="n">
        <v>45086</v>
      </c>
      <c r="C2880" s="5" t="inlineStr">
        <is>
          <t>M6</t>
        </is>
      </c>
      <c r="D2880" s="5" t="n">
        <v>59</v>
      </c>
      <c r="E2880" s="5" t="n">
        <v>300</v>
      </c>
      <c r="F2880" t="inlineStr">
        <is>
          <t>Поступление</t>
        </is>
      </c>
      <c r="H2880">
        <f>VLOOKUP(C2880,Магазин!$A$2:$C$1000,2,0)</f>
        <v/>
      </c>
      <c r="I2880">
        <f>VLOOKUP(D2880,Товар!$A$2:$F$1000,3,0)</f>
        <v/>
      </c>
      <c r="J2880">
        <f>VLOOKUP(D2880,Товар!$A$2:$F$1000,5,0)</f>
        <v/>
      </c>
      <c r="K2880">
        <f>IF(AND(H2880="Промышленный",LEFT(I2880,18)="Порошок стиральный",F2880="Продажа",B2880=DATE(2023,6,7)),E2880*J2880/1000,0)</f>
        <v/>
      </c>
    </row>
    <row r="2881">
      <c r="A2881" t="n">
        <v>2880</v>
      </c>
      <c r="B2881" s="1" t="n">
        <v>45086</v>
      </c>
      <c r="C2881" s="5" t="inlineStr">
        <is>
          <t>M6</t>
        </is>
      </c>
      <c r="D2881" s="5" t="n">
        <v>60</v>
      </c>
      <c r="E2881" s="5" t="n">
        <v>300</v>
      </c>
      <c r="F2881" t="inlineStr">
        <is>
          <t>Поступление</t>
        </is>
      </c>
      <c r="H2881">
        <f>VLOOKUP(C2881,Магазин!$A$2:$C$1000,2,0)</f>
        <v/>
      </c>
      <c r="I2881">
        <f>VLOOKUP(D2881,Товар!$A$2:$F$1000,3,0)</f>
        <v/>
      </c>
      <c r="J2881">
        <f>VLOOKUP(D2881,Товар!$A$2:$F$1000,5,0)</f>
        <v/>
      </c>
      <c r="K2881">
        <f>IF(AND(H2881="Промышленный",LEFT(I2881,18)="Порошок стиральный",F2881="Продажа",B2881=DATE(2023,6,7)),E2881*J2881/1000,0)</f>
        <v/>
      </c>
    </row>
    <row r="2882">
      <c r="A2882" t="n">
        <v>2881</v>
      </c>
      <c r="B2882" s="1" t="n">
        <v>45086</v>
      </c>
      <c r="C2882" s="5" t="inlineStr">
        <is>
          <t>M10</t>
        </is>
      </c>
      <c r="D2882" s="5" t="n">
        <v>37</v>
      </c>
      <c r="E2882" s="5" t="n">
        <v>300</v>
      </c>
      <c r="F2882" t="inlineStr">
        <is>
          <t>Поступление</t>
        </is>
      </c>
      <c r="H2882">
        <f>VLOOKUP(C2882,Магазин!$A$2:$C$1000,2,0)</f>
        <v/>
      </c>
      <c r="I2882">
        <f>VLOOKUP(D2882,Товар!$A$2:$F$1000,3,0)</f>
        <v/>
      </c>
      <c r="J2882">
        <f>VLOOKUP(D2882,Товар!$A$2:$F$1000,5,0)</f>
        <v/>
      </c>
      <c r="K2882">
        <f>IF(AND(H2882="Промышленный",LEFT(I2882,18)="Порошок стиральный",F2882="Продажа",B2882=DATE(2023,6,7)),E2882*J2882/1000,0)</f>
        <v/>
      </c>
    </row>
    <row r="2883">
      <c r="A2883" t="n">
        <v>2882</v>
      </c>
      <c r="B2883" s="1" t="n">
        <v>45086</v>
      </c>
      <c r="C2883" s="5" t="inlineStr">
        <is>
          <t>M10</t>
        </is>
      </c>
      <c r="D2883" s="5" t="n">
        <v>38</v>
      </c>
      <c r="E2883" s="5" t="n">
        <v>300</v>
      </c>
      <c r="F2883" t="inlineStr">
        <is>
          <t>Поступление</t>
        </is>
      </c>
      <c r="H2883">
        <f>VLOOKUP(C2883,Магазин!$A$2:$C$1000,2,0)</f>
        <v/>
      </c>
      <c r="I2883">
        <f>VLOOKUP(D2883,Товар!$A$2:$F$1000,3,0)</f>
        <v/>
      </c>
      <c r="J2883">
        <f>VLOOKUP(D2883,Товар!$A$2:$F$1000,5,0)</f>
        <v/>
      </c>
      <c r="K2883">
        <f>IF(AND(H2883="Промышленный",LEFT(I2883,18)="Порошок стиральный",F2883="Продажа",B2883=DATE(2023,6,7)),E2883*J2883/1000,0)</f>
        <v/>
      </c>
    </row>
    <row r="2884">
      <c r="A2884" t="n">
        <v>2883</v>
      </c>
      <c r="B2884" s="1" t="n">
        <v>45086</v>
      </c>
      <c r="C2884" s="5" t="inlineStr">
        <is>
          <t>M10</t>
        </is>
      </c>
      <c r="D2884" s="5" t="n">
        <v>39</v>
      </c>
      <c r="E2884" s="5" t="n">
        <v>300</v>
      </c>
      <c r="F2884" t="inlineStr">
        <is>
          <t>Поступление</t>
        </is>
      </c>
      <c r="H2884">
        <f>VLOOKUP(C2884,Магазин!$A$2:$C$1000,2,0)</f>
        <v/>
      </c>
      <c r="I2884">
        <f>VLOOKUP(D2884,Товар!$A$2:$F$1000,3,0)</f>
        <v/>
      </c>
      <c r="J2884">
        <f>VLOOKUP(D2884,Товар!$A$2:$F$1000,5,0)</f>
        <v/>
      </c>
      <c r="K2884">
        <f>IF(AND(H2884="Промышленный",LEFT(I2884,18)="Порошок стиральный",F2884="Продажа",B2884=DATE(2023,6,7)),E2884*J2884/1000,0)</f>
        <v/>
      </c>
    </row>
    <row r="2885">
      <c r="A2885" t="n">
        <v>2884</v>
      </c>
      <c r="B2885" s="1" t="n">
        <v>45086</v>
      </c>
      <c r="C2885" s="5" t="inlineStr">
        <is>
          <t>M10</t>
        </is>
      </c>
      <c r="D2885" s="5" t="n">
        <v>40</v>
      </c>
      <c r="E2885" s="5" t="n">
        <v>300</v>
      </c>
      <c r="F2885" t="inlineStr">
        <is>
          <t>Поступление</t>
        </is>
      </c>
      <c r="H2885">
        <f>VLOOKUP(C2885,Магазин!$A$2:$C$1000,2,0)</f>
        <v/>
      </c>
      <c r="I2885">
        <f>VLOOKUP(D2885,Товар!$A$2:$F$1000,3,0)</f>
        <v/>
      </c>
      <c r="J2885">
        <f>VLOOKUP(D2885,Товар!$A$2:$F$1000,5,0)</f>
        <v/>
      </c>
      <c r="K2885">
        <f>IF(AND(H2885="Промышленный",LEFT(I2885,18)="Порошок стиральный",F2885="Продажа",B2885=DATE(2023,6,7)),E2885*J2885/1000,0)</f>
        <v/>
      </c>
    </row>
    <row r="2886">
      <c r="A2886" t="n">
        <v>2885</v>
      </c>
      <c r="B2886" s="1" t="n">
        <v>45086</v>
      </c>
      <c r="C2886" s="5" t="inlineStr">
        <is>
          <t>M10</t>
        </is>
      </c>
      <c r="D2886" s="5" t="n">
        <v>41</v>
      </c>
      <c r="E2886" s="5" t="n">
        <v>300</v>
      </c>
      <c r="F2886" t="inlineStr">
        <is>
          <t>Поступление</t>
        </is>
      </c>
      <c r="H2886">
        <f>VLOOKUP(C2886,Магазин!$A$2:$C$1000,2,0)</f>
        <v/>
      </c>
      <c r="I2886">
        <f>VLOOKUP(D2886,Товар!$A$2:$F$1000,3,0)</f>
        <v/>
      </c>
      <c r="J2886">
        <f>VLOOKUP(D2886,Товар!$A$2:$F$1000,5,0)</f>
        <v/>
      </c>
      <c r="K2886">
        <f>IF(AND(H2886="Промышленный",LEFT(I2886,18)="Порошок стиральный",F2886="Продажа",B2886=DATE(2023,6,7)),E2886*J2886/1000,0)</f>
        <v/>
      </c>
    </row>
    <row r="2887">
      <c r="A2887" t="n">
        <v>2886</v>
      </c>
      <c r="B2887" s="1" t="n">
        <v>45086</v>
      </c>
      <c r="C2887" s="5" t="inlineStr">
        <is>
          <t>M10</t>
        </is>
      </c>
      <c r="D2887" s="5" t="n">
        <v>42</v>
      </c>
      <c r="E2887" s="5" t="n">
        <v>300</v>
      </c>
      <c r="F2887" t="inlineStr">
        <is>
          <t>Поступление</t>
        </is>
      </c>
      <c r="H2887">
        <f>VLOOKUP(C2887,Магазин!$A$2:$C$1000,2,0)</f>
        <v/>
      </c>
      <c r="I2887">
        <f>VLOOKUP(D2887,Товар!$A$2:$F$1000,3,0)</f>
        <v/>
      </c>
      <c r="J2887">
        <f>VLOOKUP(D2887,Товар!$A$2:$F$1000,5,0)</f>
        <v/>
      </c>
      <c r="K2887">
        <f>IF(AND(H2887="Промышленный",LEFT(I2887,18)="Порошок стиральный",F2887="Продажа",B2887=DATE(2023,6,7)),E2887*J2887/1000,0)</f>
        <v/>
      </c>
    </row>
    <row r="2888">
      <c r="A2888" t="n">
        <v>2887</v>
      </c>
      <c r="B2888" s="1" t="n">
        <v>45086</v>
      </c>
      <c r="C2888" s="5" t="inlineStr">
        <is>
          <t>M10</t>
        </is>
      </c>
      <c r="D2888" s="5" t="n">
        <v>43</v>
      </c>
      <c r="E2888" s="5" t="n">
        <v>300</v>
      </c>
      <c r="F2888" t="inlineStr">
        <is>
          <t>Поступление</t>
        </is>
      </c>
      <c r="H2888">
        <f>VLOOKUP(C2888,Магазин!$A$2:$C$1000,2,0)</f>
        <v/>
      </c>
      <c r="I2888">
        <f>VLOOKUP(D2888,Товар!$A$2:$F$1000,3,0)</f>
        <v/>
      </c>
      <c r="J2888">
        <f>VLOOKUP(D2888,Товар!$A$2:$F$1000,5,0)</f>
        <v/>
      </c>
      <c r="K2888">
        <f>IF(AND(H2888="Промышленный",LEFT(I2888,18)="Порошок стиральный",F2888="Продажа",B2888=DATE(2023,6,7)),E2888*J2888/1000,0)</f>
        <v/>
      </c>
    </row>
    <row r="2889">
      <c r="A2889" t="n">
        <v>2888</v>
      </c>
      <c r="B2889" s="1" t="n">
        <v>45086</v>
      </c>
      <c r="C2889" s="5" t="inlineStr">
        <is>
          <t>M10</t>
        </is>
      </c>
      <c r="D2889" s="5" t="n">
        <v>44</v>
      </c>
      <c r="E2889" s="5" t="n">
        <v>300</v>
      </c>
      <c r="F2889" t="inlineStr">
        <is>
          <t>Поступление</t>
        </is>
      </c>
      <c r="H2889">
        <f>VLOOKUP(C2889,Магазин!$A$2:$C$1000,2,0)</f>
        <v/>
      </c>
      <c r="I2889">
        <f>VLOOKUP(D2889,Товар!$A$2:$F$1000,3,0)</f>
        <v/>
      </c>
      <c r="J2889">
        <f>VLOOKUP(D2889,Товар!$A$2:$F$1000,5,0)</f>
        <v/>
      </c>
      <c r="K2889">
        <f>IF(AND(H2889="Промышленный",LEFT(I2889,18)="Порошок стиральный",F2889="Продажа",B2889=DATE(2023,6,7)),E2889*J2889/1000,0)</f>
        <v/>
      </c>
    </row>
    <row r="2890">
      <c r="A2890" t="n">
        <v>2889</v>
      </c>
      <c r="B2890" s="1" t="n">
        <v>45086</v>
      </c>
      <c r="C2890" s="5" t="inlineStr">
        <is>
          <t>M10</t>
        </is>
      </c>
      <c r="D2890" s="5" t="n">
        <v>45</v>
      </c>
      <c r="E2890" s="5" t="n">
        <v>300</v>
      </c>
      <c r="F2890" t="inlineStr">
        <is>
          <t>Поступление</t>
        </is>
      </c>
      <c r="H2890">
        <f>VLOOKUP(C2890,Магазин!$A$2:$C$1000,2,0)</f>
        <v/>
      </c>
      <c r="I2890">
        <f>VLOOKUP(D2890,Товар!$A$2:$F$1000,3,0)</f>
        <v/>
      </c>
      <c r="J2890">
        <f>VLOOKUP(D2890,Товар!$A$2:$F$1000,5,0)</f>
        <v/>
      </c>
      <c r="K2890">
        <f>IF(AND(H2890="Промышленный",LEFT(I2890,18)="Порошок стиральный",F2890="Продажа",B2890=DATE(2023,6,7)),E2890*J2890/1000,0)</f>
        <v/>
      </c>
    </row>
    <row r="2891">
      <c r="A2891" t="n">
        <v>2890</v>
      </c>
      <c r="B2891" s="1" t="n">
        <v>45086</v>
      </c>
      <c r="C2891" s="5" t="inlineStr">
        <is>
          <t>M10</t>
        </is>
      </c>
      <c r="D2891" s="5" t="n">
        <v>46</v>
      </c>
      <c r="E2891" s="5" t="n">
        <v>300</v>
      </c>
      <c r="F2891" t="inlineStr">
        <is>
          <t>Поступление</t>
        </is>
      </c>
      <c r="H2891">
        <f>VLOOKUP(C2891,Магазин!$A$2:$C$1000,2,0)</f>
        <v/>
      </c>
      <c r="I2891">
        <f>VLOOKUP(D2891,Товар!$A$2:$F$1000,3,0)</f>
        <v/>
      </c>
      <c r="J2891">
        <f>VLOOKUP(D2891,Товар!$A$2:$F$1000,5,0)</f>
        <v/>
      </c>
      <c r="K2891">
        <f>IF(AND(H2891="Промышленный",LEFT(I2891,18)="Порошок стиральный",F2891="Продажа",B2891=DATE(2023,6,7)),E2891*J2891/1000,0)</f>
        <v/>
      </c>
    </row>
    <row r="2892">
      <c r="A2892" t="n">
        <v>2891</v>
      </c>
      <c r="B2892" s="1" t="n">
        <v>45086</v>
      </c>
      <c r="C2892" s="5" t="inlineStr">
        <is>
          <t>M10</t>
        </is>
      </c>
      <c r="D2892" s="5" t="n">
        <v>47</v>
      </c>
      <c r="E2892" s="5" t="n">
        <v>300</v>
      </c>
      <c r="F2892" t="inlineStr">
        <is>
          <t>Поступление</t>
        </is>
      </c>
      <c r="H2892">
        <f>VLOOKUP(C2892,Магазин!$A$2:$C$1000,2,0)</f>
        <v/>
      </c>
      <c r="I2892">
        <f>VLOOKUP(D2892,Товар!$A$2:$F$1000,3,0)</f>
        <v/>
      </c>
      <c r="J2892">
        <f>VLOOKUP(D2892,Товар!$A$2:$F$1000,5,0)</f>
        <v/>
      </c>
      <c r="K2892">
        <f>IF(AND(H2892="Промышленный",LEFT(I2892,18)="Порошок стиральный",F2892="Продажа",B2892=DATE(2023,6,7)),E2892*J2892/1000,0)</f>
        <v/>
      </c>
    </row>
    <row r="2893">
      <c r="A2893" t="n">
        <v>2892</v>
      </c>
      <c r="B2893" s="1" t="n">
        <v>45086</v>
      </c>
      <c r="C2893" s="5" t="inlineStr">
        <is>
          <t>M10</t>
        </is>
      </c>
      <c r="D2893" s="5" t="n">
        <v>48</v>
      </c>
      <c r="E2893" s="5" t="n">
        <v>300</v>
      </c>
      <c r="F2893" t="inlineStr">
        <is>
          <t>Поступление</t>
        </is>
      </c>
      <c r="H2893">
        <f>VLOOKUP(C2893,Магазин!$A$2:$C$1000,2,0)</f>
        <v/>
      </c>
      <c r="I2893">
        <f>VLOOKUP(D2893,Товар!$A$2:$F$1000,3,0)</f>
        <v/>
      </c>
      <c r="J2893">
        <f>VLOOKUP(D2893,Товар!$A$2:$F$1000,5,0)</f>
        <v/>
      </c>
      <c r="K2893">
        <f>IF(AND(H2893="Промышленный",LEFT(I2893,18)="Порошок стиральный",F2893="Продажа",B2893=DATE(2023,6,7)),E2893*J2893/1000,0)</f>
        <v/>
      </c>
    </row>
    <row r="2894">
      <c r="A2894" t="n">
        <v>2893</v>
      </c>
      <c r="B2894" s="1" t="n">
        <v>45086</v>
      </c>
      <c r="C2894" s="5" t="inlineStr">
        <is>
          <t>M10</t>
        </is>
      </c>
      <c r="D2894" s="5" t="n">
        <v>49</v>
      </c>
      <c r="E2894" s="5" t="n">
        <v>300</v>
      </c>
      <c r="F2894" t="inlineStr">
        <is>
          <t>Поступление</t>
        </is>
      </c>
      <c r="H2894">
        <f>VLOOKUP(C2894,Магазин!$A$2:$C$1000,2,0)</f>
        <v/>
      </c>
      <c r="I2894">
        <f>VLOOKUP(D2894,Товар!$A$2:$F$1000,3,0)</f>
        <v/>
      </c>
      <c r="J2894">
        <f>VLOOKUP(D2894,Товар!$A$2:$F$1000,5,0)</f>
        <v/>
      </c>
      <c r="K2894">
        <f>IF(AND(H2894="Промышленный",LEFT(I2894,18)="Порошок стиральный",F2894="Продажа",B2894=DATE(2023,6,7)),E2894*J2894/1000,0)</f>
        <v/>
      </c>
    </row>
    <row r="2895">
      <c r="A2895" t="n">
        <v>2894</v>
      </c>
      <c r="B2895" s="1" t="n">
        <v>45086</v>
      </c>
      <c r="C2895" s="5" t="inlineStr">
        <is>
          <t>M10</t>
        </is>
      </c>
      <c r="D2895" s="5" t="n">
        <v>50</v>
      </c>
      <c r="E2895" s="5" t="n">
        <v>300</v>
      </c>
      <c r="F2895" t="inlineStr">
        <is>
          <t>Поступление</t>
        </is>
      </c>
      <c r="H2895">
        <f>VLOOKUP(C2895,Магазин!$A$2:$C$1000,2,0)</f>
        <v/>
      </c>
      <c r="I2895">
        <f>VLOOKUP(D2895,Товар!$A$2:$F$1000,3,0)</f>
        <v/>
      </c>
      <c r="J2895">
        <f>VLOOKUP(D2895,Товар!$A$2:$F$1000,5,0)</f>
        <v/>
      </c>
      <c r="K2895">
        <f>IF(AND(H2895="Промышленный",LEFT(I2895,18)="Порошок стиральный",F2895="Продажа",B2895=DATE(2023,6,7)),E2895*J2895/1000,0)</f>
        <v/>
      </c>
    </row>
    <row r="2896">
      <c r="A2896" t="n">
        <v>2895</v>
      </c>
      <c r="B2896" s="1" t="n">
        <v>45086</v>
      </c>
      <c r="C2896" s="5" t="inlineStr">
        <is>
          <t>M10</t>
        </is>
      </c>
      <c r="D2896" s="5" t="n">
        <v>51</v>
      </c>
      <c r="E2896" s="5" t="n">
        <v>300</v>
      </c>
      <c r="F2896" t="inlineStr">
        <is>
          <t>Поступление</t>
        </is>
      </c>
      <c r="H2896">
        <f>VLOOKUP(C2896,Магазин!$A$2:$C$1000,2,0)</f>
        <v/>
      </c>
      <c r="I2896">
        <f>VLOOKUP(D2896,Товар!$A$2:$F$1000,3,0)</f>
        <v/>
      </c>
      <c r="J2896">
        <f>VLOOKUP(D2896,Товар!$A$2:$F$1000,5,0)</f>
        <v/>
      </c>
      <c r="K2896">
        <f>IF(AND(H2896="Промышленный",LEFT(I2896,18)="Порошок стиральный",F2896="Продажа",B2896=DATE(2023,6,7)),E2896*J2896/1000,0)</f>
        <v/>
      </c>
    </row>
    <row r="2897">
      <c r="A2897" t="n">
        <v>2896</v>
      </c>
      <c r="B2897" s="1" t="n">
        <v>45086</v>
      </c>
      <c r="C2897" s="5" t="inlineStr">
        <is>
          <t>M10</t>
        </is>
      </c>
      <c r="D2897" s="5" t="n">
        <v>52</v>
      </c>
      <c r="E2897" s="5" t="n">
        <v>300</v>
      </c>
      <c r="F2897" t="inlineStr">
        <is>
          <t>Поступление</t>
        </is>
      </c>
      <c r="H2897">
        <f>VLOOKUP(C2897,Магазин!$A$2:$C$1000,2,0)</f>
        <v/>
      </c>
      <c r="I2897">
        <f>VLOOKUP(D2897,Товар!$A$2:$F$1000,3,0)</f>
        <v/>
      </c>
      <c r="J2897">
        <f>VLOOKUP(D2897,Товар!$A$2:$F$1000,5,0)</f>
        <v/>
      </c>
      <c r="K2897">
        <f>IF(AND(H2897="Промышленный",LEFT(I2897,18)="Порошок стиральный",F2897="Продажа",B2897=DATE(2023,6,7)),E2897*J2897/1000,0)</f>
        <v/>
      </c>
    </row>
    <row r="2898">
      <c r="A2898" t="n">
        <v>2897</v>
      </c>
      <c r="B2898" s="1" t="n">
        <v>45086</v>
      </c>
      <c r="C2898" s="5" t="inlineStr">
        <is>
          <t>M10</t>
        </is>
      </c>
      <c r="D2898" s="5" t="n">
        <v>53</v>
      </c>
      <c r="E2898" s="5" t="n">
        <v>300</v>
      </c>
      <c r="F2898" t="inlineStr">
        <is>
          <t>Поступление</t>
        </is>
      </c>
      <c r="H2898">
        <f>VLOOKUP(C2898,Магазин!$A$2:$C$1000,2,0)</f>
        <v/>
      </c>
      <c r="I2898">
        <f>VLOOKUP(D2898,Товар!$A$2:$F$1000,3,0)</f>
        <v/>
      </c>
      <c r="J2898">
        <f>VLOOKUP(D2898,Товар!$A$2:$F$1000,5,0)</f>
        <v/>
      </c>
      <c r="K2898">
        <f>IF(AND(H2898="Промышленный",LEFT(I2898,18)="Порошок стиральный",F2898="Продажа",B2898=DATE(2023,6,7)),E2898*J2898/1000,0)</f>
        <v/>
      </c>
    </row>
    <row r="2899">
      <c r="A2899" t="n">
        <v>2898</v>
      </c>
      <c r="B2899" s="1" t="n">
        <v>45086</v>
      </c>
      <c r="C2899" s="5" t="inlineStr">
        <is>
          <t>M10</t>
        </is>
      </c>
      <c r="D2899" s="5" t="n">
        <v>54</v>
      </c>
      <c r="E2899" s="5" t="n">
        <v>300</v>
      </c>
      <c r="F2899" t="inlineStr">
        <is>
          <t>Поступление</t>
        </is>
      </c>
      <c r="H2899">
        <f>VLOOKUP(C2899,Магазин!$A$2:$C$1000,2,0)</f>
        <v/>
      </c>
      <c r="I2899">
        <f>VLOOKUP(D2899,Товар!$A$2:$F$1000,3,0)</f>
        <v/>
      </c>
      <c r="J2899">
        <f>VLOOKUP(D2899,Товар!$A$2:$F$1000,5,0)</f>
        <v/>
      </c>
      <c r="K2899">
        <f>IF(AND(H2899="Промышленный",LEFT(I2899,18)="Порошок стиральный",F2899="Продажа",B2899=DATE(2023,6,7)),E2899*J2899/1000,0)</f>
        <v/>
      </c>
    </row>
    <row r="2900">
      <c r="A2900" t="n">
        <v>2899</v>
      </c>
      <c r="B2900" s="1" t="n">
        <v>45086</v>
      </c>
      <c r="C2900" s="5" t="inlineStr">
        <is>
          <t>M10</t>
        </is>
      </c>
      <c r="D2900" s="5" t="n">
        <v>55</v>
      </c>
      <c r="E2900" s="5" t="n">
        <v>300</v>
      </c>
      <c r="F2900" t="inlineStr">
        <is>
          <t>Поступление</t>
        </is>
      </c>
      <c r="H2900">
        <f>VLOOKUP(C2900,Магазин!$A$2:$C$1000,2,0)</f>
        <v/>
      </c>
      <c r="I2900">
        <f>VLOOKUP(D2900,Товар!$A$2:$F$1000,3,0)</f>
        <v/>
      </c>
      <c r="J2900">
        <f>VLOOKUP(D2900,Товар!$A$2:$F$1000,5,0)</f>
        <v/>
      </c>
      <c r="K2900">
        <f>IF(AND(H2900="Промышленный",LEFT(I2900,18)="Порошок стиральный",F2900="Продажа",B2900=DATE(2023,6,7)),E2900*J2900/1000,0)</f>
        <v/>
      </c>
    </row>
    <row r="2901">
      <c r="A2901" t="n">
        <v>2900</v>
      </c>
      <c r="B2901" s="1" t="n">
        <v>45086</v>
      </c>
      <c r="C2901" s="5" t="inlineStr">
        <is>
          <t>M10</t>
        </is>
      </c>
      <c r="D2901" s="5" t="n">
        <v>56</v>
      </c>
      <c r="E2901" s="5" t="n">
        <v>300</v>
      </c>
      <c r="F2901" t="inlineStr">
        <is>
          <t>Поступление</t>
        </is>
      </c>
      <c r="H2901">
        <f>VLOOKUP(C2901,Магазин!$A$2:$C$1000,2,0)</f>
        <v/>
      </c>
      <c r="I2901">
        <f>VLOOKUP(D2901,Товар!$A$2:$F$1000,3,0)</f>
        <v/>
      </c>
      <c r="J2901">
        <f>VLOOKUP(D2901,Товар!$A$2:$F$1000,5,0)</f>
        <v/>
      </c>
      <c r="K2901">
        <f>IF(AND(H2901="Промышленный",LEFT(I2901,18)="Порошок стиральный",F2901="Продажа",B2901=DATE(2023,6,7)),E2901*J2901/1000,0)</f>
        <v/>
      </c>
    </row>
    <row r="2902">
      <c r="A2902" t="n">
        <v>2901</v>
      </c>
      <c r="B2902" s="1" t="n">
        <v>45086</v>
      </c>
      <c r="C2902" s="5" t="inlineStr">
        <is>
          <t>M10</t>
        </is>
      </c>
      <c r="D2902" s="5" t="n">
        <v>57</v>
      </c>
      <c r="E2902" s="5" t="n">
        <v>300</v>
      </c>
      <c r="F2902" t="inlineStr">
        <is>
          <t>Поступление</t>
        </is>
      </c>
      <c r="H2902">
        <f>VLOOKUP(C2902,Магазин!$A$2:$C$1000,2,0)</f>
        <v/>
      </c>
      <c r="I2902">
        <f>VLOOKUP(D2902,Товар!$A$2:$F$1000,3,0)</f>
        <v/>
      </c>
      <c r="J2902">
        <f>VLOOKUP(D2902,Товар!$A$2:$F$1000,5,0)</f>
        <v/>
      </c>
      <c r="K2902">
        <f>IF(AND(H2902="Промышленный",LEFT(I2902,18)="Порошок стиральный",F2902="Продажа",B2902=DATE(2023,6,7)),E2902*J2902/1000,0)</f>
        <v/>
      </c>
    </row>
    <row r="2903">
      <c r="A2903" t="n">
        <v>2902</v>
      </c>
      <c r="B2903" s="1" t="n">
        <v>45086</v>
      </c>
      <c r="C2903" s="5" t="inlineStr">
        <is>
          <t>M10</t>
        </is>
      </c>
      <c r="D2903" s="5" t="n">
        <v>58</v>
      </c>
      <c r="E2903" s="5" t="n">
        <v>300</v>
      </c>
      <c r="F2903" t="inlineStr">
        <is>
          <t>Поступление</t>
        </is>
      </c>
      <c r="H2903">
        <f>VLOOKUP(C2903,Магазин!$A$2:$C$1000,2,0)</f>
        <v/>
      </c>
      <c r="I2903">
        <f>VLOOKUP(D2903,Товар!$A$2:$F$1000,3,0)</f>
        <v/>
      </c>
      <c r="J2903">
        <f>VLOOKUP(D2903,Товар!$A$2:$F$1000,5,0)</f>
        <v/>
      </c>
      <c r="K2903">
        <f>IF(AND(H2903="Промышленный",LEFT(I2903,18)="Порошок стиральный",F2903="Продажа",B2903=DATE(2023,6,7)),E2903*J2903/1000,0)</f>
        <v/>
      </c>
    </row>
    <row r="2904">
      <c r="A2904" t="n">
        <v>2903</v>
      </c>
      <c r="B2904" s="1" t="n">
        <v>45086</v>
      </c>
      <c r="C2904" s="5" t="inlineStr">
        <is>
          <t>M10</t>
        </is>
      </c>
      <c r="D2904" s="5" t="n">
        <v>59</v>
      </c>
      <c r="E2904" s="5" t="n">
        <v>300</v>
      </c>
      <c r="F2904" t="inlineStr">
        <is>
          <t>Поступление</t>
        </is>
      </c>
      <c r="H2904">
        <f>VLOOKUP(C2904,Магазин!$A$2:$C$1000,2,0)</f>
        <v/>
      </c>
      <c r="I2904">
        <f>VLOOKUP(D2904,Товар!$A$2:$F$1000,3,0)</f>
        <v/>
      </c>
      <c r="J2904">
        <f>VLOOKUP(D2904,Товар!$A$2:$F$1000,5,0)</f>
        <v/>
      </c>
      <c r="K2904">
        <f>IF(AND(H2904="Промышленный",LEFT(I2904,18)="Порошок стиральный",F2904="Продажа",B2904=DATE(2023,6,7)),E2904*J2904/1000,0)</f>
        <v/>
      </c>
    </row>
    <row r="2905">
      <c r="A2905" t="n">
        <v>2904</v>
      </c>
      <c r="B2905" s="1" t="n">
        <v>45086</v>
      </c>
      <c r="C2905" s="5" t="inlineStr">
        <is>
          <t>M10</t>
        </is>
      </c>
      <c r="D2905" s="5" t="n">
        <v>60</v>
      </c>
      <c r="E2905" s="5" t="n">
        <v>300</v>
      </c>
      <c r="F2905" t="inlineStr">
        <is>
          <t>Поступление</t>
        </is>
      </c>
      <c r="H2905">
        <f>VLOOKUP(C2905,Магазин!$A$2:$C$1000,2,0)</f>
        <v/>
      </c>
      <c r="I2905">
        <f>VLOOKUP(D2905,Товар!$A$2:$F$1000,3,0)</f>
        <v/>
      </c>
      <c r="J2905">
        <f>VLOOKUP(D2905,Товар!$A$2:$F$1000,5,0)</f>
        <v/>
      </c>
      <c r="K2905">
        <f>IF(AND(H2905="Промышленный",LEFT(I2905,18)="Порошок стиральный",F2905="Продажа",B2905=DATE(2023,6,7)),E2905*J2905/1000,0)</f>
        <v/>
      </c>
    </row>
    <row r="2906">
      <c r="A2906" t="n">
        <v>2905</v>
      </c>
      <c r="B2906" s="1" t="n">
        <v>45086</v>
      </c>
      <c r="C2906" s="5" t="inlineStr">
        <is>
          <t>M15</t>
        </is>
      </c>
      <c r="D2906" s="5" t="n">
        <v>37</v>
      </c>
      <c r="E2906" s="5" t="n">
        <v>300</v>
      </c>
      <c r="F2906" t="inlineStr">
        <is>
          <t>Поступление</t>
        </is>
      </c>
      <c r="H2906">
        <f>VLOOKUP(C2906,Магазин!$A$2:$C$1000,2,0)</f>
        <v/>
      </c>
      <c r="I2906">
        <f>VLOOKUP(D2906,Товар!$A$2:$F$1000,3,0)</f>
        <v/>
      </c>
      <c r="J2906">
        <f>VLOOKUP(D2906,Товар!$A$2:$F$1000,5,0)</f>
        <v/>
      </c>
      <c r="K2906">
        <f>IF(AND(H2906="Промышленный",LEFT(I2906,18)="Порошок стиральный",F2906="Продажа",B2906=DATE(2023,6,7)),E2906*J2906/1000,0)</f>
        <v/>
      </c>
    </row>
    <row r="2907">
      <c r="A2907" t="n">
        <v>2906</v>
      </c>
      <c r="B2907" s="1" t="n">
        <v>45086</v>
      </c>
      <c r="C2907" s="5" t="inlineStr">
        <is>
          <t>M15</t>
        </is>
      </c>
      <c r="D2907" s="5" t="n">
        <v>38</v>
      </c>
      <c r="E2907" s="5" t="n">
        <v>300</v>
      </c>
      <c r="F2907" t="inlineStr">
        <is>
          <t>Поступление</t>
        </is>
      </c>
      <c r="H2907">
        <f>VLOOKUP(C2907,Магазин!$A$2:$C$1000,2,0)</f>
        <v/>
      </c>
      <c r="I2907">
        <f>VLOOKUP(D2907,Товар!$A$2:$F$1000,3,0)</f>
        <v/>
      </c>
      <c r="J2907">
        <f>VLOOKUP(D2907,Товар!$A$2:$F$1000,5,0)</f>
        <v/>
      </c>
      <c r="K2907">
        <f>IF(AND(H2907="Промышленный",LEFT(I2907,18)="Порошок стиральный",F2907="Продажа",B2907=DATE(2023,6,7)),E2907*J2907/1000,0)</f>
        <v/>
      </c>
    </row>
    <row r="2908">
      <c r="A2908" t="n">
        <v>2907</v>
      </c>
      <c r="B2908" s="1" t="n">
        <v>45086</v>
      </c>
      <c r="C2908" s="5" t="inlineStr">
        <is>
          <t>M15</t>
        </is>
      </c>
      <c r="D2908" s="5" t="n">
        <v>39</v>
      </c>
      <c r="E2908" s="5" t="n">
        <v>300</v>
      </c>
      <c r="F2908" t="inlineStr">
        <is>
          <t>Поступление</t>
        </is>
      </c>
      <c r="H2908">
        <f>VLOOKUP(C2908,Магазин!$A$2:$C$1000,2,0)</f>
        <v/>
      </c>
      <c r="I2908">
        <f>VLOOKUP(D2908,Товар!$A$2:$F$1000,3,0)</f>
        <v/>
      </c>
      <c r="J2908">
        <f>VLOOKUP(D2908,Товар!$A$2:$F$1000,5,0)</f>
        <v/>
      </c>
      <c r="K2908">
        <f>IF(AND(H2908="Промышленный",LEFT(I2908,18)="Порошок стиральный",F2908="Продажа",B2908=DATE(2023,6,7)),E2908*J2908/1000,0)</f>
        <v/>
      </c>
    </row>
    <row r="2909">
      <c r="A2909" t="n">
        <v>2908</v>
      </c>
      <c r="B2909" s="1" t="n">
        <v>45086</v>
      </c>
      <c r="C2909" s="5" t="inlineStr">
        <is>
          <t>M15</t>
        </is>
      </c>
      <c r="D2909" s="5" t="n">
        <v>40</v>
      </c>
      <c r="E2909" s="5" t="n">
        <v>300</v>
      </c>
      <c r="F2909" t="inlineStr">
        <is>
          <t>Поступление</t>
        </is>
      </c>
      <c r="H2909">
        <f>VLOOKUP(C2909,Магазин!$A$2:$C$1000,2,0)</f>
        <v/>
      </c>
      <c r="I2909">
        <f>VLOOKUP(D2909,Товар!$A$2:$F$1000,3,0)</f>
        <v/>
      </c>
      <c r="J2909">
        <f>VLOOKUP(D2909,Товар!$A$2:$F$1000,5,0)</f>
        <v/>
      </c>
      <c r="K2909">
        <f>IF(AND(H2909="Промышленный",LEFT(I2909,18)="Порошок стиральный",F2909="Продажа",B2909=DATE(2023,6,7)),E2909*J2909/1000,0)</f>
        <v/>
      </c>
    </row>
    <row r="2910">
      <c r="A2910" t="n">
        <v>2909</v>
      </c>
      <c r="B2910" s="1" t="n">
        <v>45086</v>
      </c>
      <c r="C2910" s="5" t="inlineStr">
        <is>
          <t>M15</t>
        </is>
      </c>
      <c r="D2910" s="5" t="n">
        <v>41</v>
      </c>
      <c r="E2910" s="5" t="n">
        <v>300</v>
      </c>
      <c r="F2910" t="inlineStr">
        <is>
          <t>Поступление</t>
        </is>
      </c>
      <c r="H2910">
        <f>VLOOKUP(C2910,Магазин!$A$2:$C$1000,2,0)</f>
        <v/>
      </c>
      <c r="I2910">
        <f>VLOOKUP(D2910,Товар!$A$2:$F$1000,3,0)</f>
        <v/>
      </c>
      <c r="J2910">
        <f>VLOOKUP(D2910,Товар!$A$2:$F$1000,5,0)</f>
        <v/>
      </c>
      <c r="K2910">
        <f>IF(AND(H2910="Промышленный",LEFT(I2910,18)="Порошок стиральный",F2910="Продажа",B2910=DATE(2023,6,7)),E2910*J2910/1000,0)</f>
        <v/>
      </c>
    </row>
    <row r="2911">
      <c r="A2911" t="n">
        <v>2910</v>
      </c>
      <c r="B2911" s="1" t="n">
        <v>45086</v>
      </c>
      <c r="C2911" s="5" t="inlineStr">
        <is>
          <t>M15</t>
        </is>
      </c>
      <c r="D2911" s="5" t="n">
        <v>42</v>
      </c>
      <c r="E2911" s="5" t="n">
        <v>300</v>
      </c>
      <c r="F2911" t="inlineStr">
        <is>
          <t>Поступление</t>
        </is>
      </c>
      <c r="H2911">
        <f>VLOOKUP(C2911,Магазин!$A$2:$C$1000,2,0)</f>
        <v/>
      </c>
      <c r="I2911">
        <f>VLOOKUP(D2911,Товар!$A$2:$F$1000,3,0)</f>
        <v/>
      </c>
      <c r="J2911">
        <f>VLOOKUP(D2911,Товар!$A$2:$F$1000,5,0)</f>
        <v/>
      </c>
      <c r="K2911">
        <f>IF(AND(H2911="Промышленный",LEFT(I2911,18)="Порошок стиральный",F2911="Продажа",B2911=DATE(2023,6,7)),E2911*J2911/1000,0)</f>
        <v/>
      </c>
    </row>
    <row r="2912">
      <c r="A2912" t="n">
        <v>2911</v>
      </c>
      <c r="B2912" s="1" t="n">
        <v>45086</v>
      </c>
      <c r="C2912" s="5" t="inlineStr">
        <is>
          <t>M15</t>
        </is>
      </c>
      <c r="D2912" s="5" t="n">
        <v>43</v>
      </c>
      <c r="E2912" s="5" t="n">
        <v>300</v>
      </c>
      <c r="F2912" t="inlineStr">
        <is>
          <t>Поступление</t>
        </is>
      </c>
      <c r="H2912">
        <f>VLOOKUP(C2912,Магазин!$A$2:$C$1000,2,0)</f>
        <v/>
      </c>
      <c r="I2912">
        <f>VLOOKUP(D2912,Товар!$A$2:$F$1000,3,0)</f>
        <v/>
      </c>
      <c r="J2912">
        <f>VLOOKUP(D2912,Товар!$A$2:$F$1000,5,0)</f>
        <v/>
      </c>
      <c r="K2912">
        <f>IF(AND(H2912="Промышленный",LEFT(I2912,18)="Порошок стиральный",F2912="Продажа",B2912=DATE(2023,6,7)),E2912*J2912/1000,0)</f>
        <v/>
      </c>
    </row>
    <row r="2913">
      <c r="A2913" t="n">
        <v>2912</v>
      </c>
      <c r="B2913" s="1" t="n">
        <v>45086</v>
      </c>
      <c r="C2913" s="5" t="inlineStr">
        <is>
          <t>M15</t>
        </is>
      </c>
      <c r="D2913" s="5" t="n">
        <v>44</v>
      </c>
      <c r="E2913" s="5" t="n">
        <v>300</v>
      </c>
      <c r="F2913" t="inlineStr">
        <is>
          <t>Поступление</t>
        </is>
      </c>
      <c r="H2913">
        <f>VLOOKUP(C2913,Магазин!$A$2:$C$1000,2,0)</f>
        <v/>
      </c>
      <c r="I2913">
        <f>VLOOKUP(D2913,Товар!$A$2:$F$1000,3,0)</f>
        <v/>
      </c>
      <c r="J2913">
        <f>VLOOKUP(D2913,Товар!$A$2:$F$1000,5,0)</f>
        <v/>
      </c>
      <c r="K2913">
        <f>IF(AND(H2913="Промышленный",LEFT(I2913,18)="Порошок стиральный",F2913="Продажа",B2913=DATE(2023,6,7)),E2913*J2913/1000,0)</f>
        <v/>
      </c>
    </row>
    <row r="2914">
      <c r="A2914" t="n">
        <v>2913</v>
      </c>
      <c r="B2914" s="1" t="n">
        <v>45086</v>
      </c>
      <c r="C2914" s="5" t="inlineStr">
        <is>
          <t>M15</t>
        </is>
      </c>
      <c r="D2914" s="5" t="n">
        <v>45</v>
      </c>
      <c r="E2914" s="5" t="n">
        <v>300</v>
      </c>
      <c r="F2914" t="inlineStr">
        <is>
          <t>Поступление</t>
        </is>
      </c>
      <c r="H2914">
        <f>VLOOKUP(C2914,Магазин!$A$2:$C$1000,2,0)</f>
        <v/>
      </c>
      <c r="I2914">
        <f>VLOOKUP(D2914,Товар!$A$2:$F$1000,3,0)</f>
        <v/>
      </c>
      <c r="J2914">
        <f>VLOOKUP(D2914,Товар!$A$2:$F$1000,5,0)</f>
        <v/>
      </c>
      <c r="K2914">
        <f>IF(AND(H2914="Промышленный",LEFT(I2914,18)="Порошок стиральный",F2914="Продажа",B2914=DATE(2023,6,7)),E2914*J2914/1000,0)</f>
        <v/>
      </c>
    </row>
    <row r="2915">
      <c r="A2915" t="n">
        <v>2914</v>
      </c>
      <c r="B2915" s="1" t="n">
        <v>45086</v>
      </c>
      <c r="C2915" s="5" t="inlineStr">
        <is>
          <t>M15</t>
        </is>
      </c>
      <c r="D2915" s="5" t="n">
        <v>46</v>
      </c>
      <c r="E2915" s="5" t="n">
        <v>300</v>
      </c>
      <c r="F2915" t="inlineStr">
        <is>
          <t>Поступление</t>
        </is>
      </c>
      <c r="H2915">
        <f>VLOOKUP(C2915,Магазин!$A$2:$C$1000,2,0)</f>
        <v/>
      </c>
      <c r="I2915">
        <f>VLOOKUP(D2915,Товар!$A$2:$F$1000,3,0)</f>
        <v/>
      </c>
      <c r="J2915">
        <f>VLOOKUP(D2915,Товар!$A$2:$F$1000,5,0)</f>
        <v/>
      </c>
      <c r="K2915">
        <f>IF(AND(H2915="Промышленный",LEFT(I2915,18)="Порошок стиральный",F2915="Продажа",B2915=DATE(2023,6,7)),E2915*J2915/1000,0)</f>
        <v/>
      </c>
    </row>
    <row r="2916">
      <c r="A2916" t="n">
        <v>2915</v>
      </c>
      <c r="B2916" s="1" t="n">
        <v>45086</v>
      </c>
      <c r="C2916" s="5" t="inlineStr">
        <is>
          <t>M15</t>
        </is>
      </c>
      <c r="D2916" s="5" t="n">
        <v>47</v>
      </c>
      <c r="E2916" s="5" t="n">
        <v>300</v>
      </c>
      <c r="F2916" t="inlineStr">
        <is>
          <t>Поступление</t>
        </is>
      </c>
      <c r="H2916">
        <f>VLOOKUP(C2916,Магазин!$A$2:$C$1000,2,0)</f>
        <v/>
      </c>
      <c r="I2916">
        <f>VLOOKUP(D2916,Товар!$A$2:$F$1000,3,0)</f>
        <v/>
      </c>
      <c r="J2916">
        <f>VLOOKUP(D2916,Товар!$A$2:$F$1000,5,0)</f>
        <v/>
      </c>
      <c r="K2916">
        <f>IF(AND(H2916="Промышленный",LEFT(I2916,18)="Порошок стиральный",F2916="Продажа",B2916=DATE(2023,6,7)),E2916*J2916/1000,0)</f>
        <v/>
      </c>
    </row>
    <row r="2917">
      <c r="A2917" t="n">
        <v>2916</v>
      </c>
      <c r="B2917" s="1" t="n">
        <v>45086</v>
      </c>
      <c r="C2917" s="5" t="inlineStr">
        <is>
          <t>M15</t>
        </is>
      </c>
      <c r="D2917" s="5" t="n">
        <v>48</v>
      </c>
      <c r="E2917" s="5" t="n">
        <v>300</v>
      </c>
      <c r="F2917" t="inlineStr">
        <is>
          <t>Поступление</t>
        </is>
      </c>
      <c r="H2917">
        <f>VLOOKUP(C2917,Магазин!$A$2:$C$1000,2,0)</f>
        <v/>
      </c>
      <c r="I2917">
        <f>VLOOKUP(D2917,Товар!$A$2:$F$1000,3,0)</f>
        <v/>
      </c>
      <c r="J2917">
        <f>VLOOKUP(D2917,Товар!$A$2:$F$1000,5,0)</f>
        <v/>
      </c>
      <c r="K2917">
        <f>IF(AND(H2917="Промышленный",LEFT(I2917,18)="Порошок стиральный",F2917="Продажа",B2917=DATE(2023,6,7)),E2917*J2917/1000,0)</f>
        <v/>
      </c>
    </row>
    <row r="2918">
      <c r="A2918" t="n">
        <v>2917</v>
      </c>
      <c r="B2918" s="1" t="n">
        <v>45086</v>
      </c>
      <c r="C2918" s="5" t="inlineStr">
        <is>
          <t>M15</t>
        </is>
      </c>
      <c r="D2918" s="5" t="n">
        <v>49</v>
      </c>
      <c r="E2918" s="5" t="n">
        <v>300</v>
      </c>
      <c r="F2918" t="inlineStr">
        <is>
          <t>Поступление</t>
        </is>
      </c>
      <c r="H2918">
        <f>VLOOKUP(C2918,Магазин!$A$2:$C$1000,2,0)</f>
        <v/>
      </c>
      <c r="I2918">
        <f>VLOOKUP(D2918,Товар!$A$2:$F$1000,3,0)</f>
        <v/>
      </c>
      <c r="J2918">
        <f>VLOOKUP(D2918,Товар!$A$2:$F$1000,5,0)</f>
        <v/>
      </c>
      <c r="K2918">
        <f>IF(AND(H2918="Промышленный",LEFT(I2918,18)="Порошок стиральный",F2918="Продажа",B2918=DATE(2023,6,7)),E2918*J2918/1000,0)</f>
        <v/>
      </c>
    </row>
    <row r="2919">
      <c r="A2919" t="n">
        <v>2918</v>
      </c>
      <c r="B2919" s="1" t="n">
        <v>45086</v>
      </c>
      <c r="C2919" s="5" t="inlineStr">
        <is>
          <t>M15</t>
        </is>
      </c>
      <c r="D2919" s="5" t="n">
        <v>50</v>
      </c>
      <c r="E2919" s="5" t="n">
        <v>300</v>
      </c>
      <c r="F2919" t="inlineStr">
        <is>
          <t>Поступление</t>
        </is>
      </c>
      <c r="H2919">
        <f>VLOOKUP(C2919,Магазин!$A$2:$C$1000,2,0)</f>
        <v/>
      </c>
      <c r="I2919">
        <f>VLOOKUP(D2919,Товар!$A$2:$F$1000,3,0)</f>
        <v/>
      </c>
      <c r="J2919">
        <f>VLOOKUP(D2919,Товар!$A$2:$F$1000,5,0)</f>
        <v/>
      </c>
      <c r="K2919">
        <f>IF(AND(H2919="Промышленный",LEFT(I2919,18)="Порошок стиральный",F2919="Продажа",B2919=DATE(2023,6,7)),E2919*J2919/1000,0)</f>
        <v/>
      </c>
    </row>
    <row r="2920">
      <c r="A2920" t="n">
        <v>2919</v>
      </c>
      <c r="B2920" s="1" t="n">
        <v>45086</v>
      </c>
      <c r="C2920" s="5" t="inlineStr">
        <is>
          <t>M15</t>
        </is>
      </c>
      <c r="D2920" s="5" t="n">
        <v>51</v>
      </c>
      <c r="E2920" s="5" t="n">
        <v>300</v>
      </c>
      <c r="F2920" t="inlineStr">
        <is>
          <t>Поступление</t>
        </is>
      </c>
      <c r="H2920">
        <f>VLOOKUP(C2920,Магазин!$A$2:$C$1000,2,0)</f>
        <v/>
      </c>
      <c r="I2920">
        <f>VLOOKUP(D2920,Товар!$A$2:$F$1000,3,0)</f>
        <v/>
      </c>
      <c r="J2920">
        <f>VLOOKUP(D2920,Товар!$A$2:$F$1000,5,0)</f>
        <v/>
      </c>
      <c r="K2920">
        <f>IF(AND(H2920="Промышленный",LEFT(I2920,18)="Порошок стиральный",F2920="Продажа",B2920=DATE(2023,6,7)),E2920*J2920/1000,0)</f>
        <v/>
      </c>
    </row>
    <row r="2921">
      <c r="A2921" t="n">
        <v>2920</v>
      </c>
      <c r="B2921" s="1" t="n">
        <v>45086</v>
      </c>
      <c r="C2921" s="5" t="inlineStr">
        <is>
          <t>M15</t>
        </is>
      </c>
      <c r="D2921" s="5" t="n">
        <v>52</v>
      </c>
      <c r="E2921" s="5" t="n">
        <v>300</v>
      </c>
      <c r="F2921" t="inlineStr">
        <is>
          <t>Поступление</t>
        </is>
      </c>
      <c r="H2921">
        <f>VLOOKUP(C2921,Магазин!$A$2:$C$1000,2,0)</f>
        <v/>
      </c>
      <c r="I2921">
        <f>VLOOKUP(D2921,Товар!$A$2:$F$1000,3,0)</f>
        <v/>
      </c>
      <c r="J2921">
        <f>VLOOKUP(D2921,Товар!$A$2:$F$1000,5,0)</f>
        <v/>
      </c>
      <c r="K2921">
        <f>IF(AND(H2921="Промышленный",LEFT(I2921,18)="Порошок стиральный",F2921="Продажа",B2921=DATE(2023,6,7)),E2921*J2921/1000,0)</f>
        <v/>
      </c>
    </row>
    <row r="2922">
      <c r="A2922" t="n">
        <v>2921</v>
      </c>
      <c r="B2922" s="1" t="n">
        <v>45086</v>
      </c>
      <c r="C2922" s="5" t="inlineStr">
        <is>
          <t>M15</t>
        </is>
      </c>
      <c r="D2922" s="5" t="n">
        <v>53</v>
      </c>
      <c r="E2922" s="5" t="n">
        <v>300</v>
      </c>
      <c r="F2922" t="inlineStr">
        <is>
          <t>Поступление</t>
        </is>
      </c>
      <c r="H2922">
        <f>VLOOKUP(C2922,Магазин!$A$2:$C$1000,2,0)</f>
        <v/>
      </c>
      <c r="I2922">
        <f>VLOOKUP(D2922,Товар!$A$2:$F$1000,3,0)</f>
        <v/>
      </c>
      <c r="J2922">
        <f>VLOOKUP(D2922,Товар!$A$2:$F$1000,5,0)</f>
        <v/>
      </c>
      <c r="K2922">
        <f>IF(AND(H2922="Промышленный",LEFT(I2922,18)="Порошок стиральный",F2922="Продажа",B2922=DATE(2023,6,7)),E2922*J2922/1000,0)</f>
        <v/>
      </c>
    </row>
    <row r="2923">
      <c r="A2923" t="n">
        <v>2922</v>
      </c>
      <c r="B2923" s="1" t="n">
        <v>45086</v>
      </c>
      <c r="C2923" s="5" t="inlineStr">
        <is>
          <t>M15</t>
        </is>
      </c>
      <c r="D2923" s="5" t="n">
        <v>54</v>
      </c>
      <c r="E2923" s="5" t="n">
        <v>300</v>
      </c>
      <c r="F2923" t="inlineStr">
        <is>
          <t>Поступление</t>
        </is>
      </c>
      <c r="H2923">
        <f>VLOOKUP(C2923,Магазин!$A$2:$C$1000,2,0)</f>
        <v/>
      </c>
      <c r="I2923">
        <f>VLOOKUP(D2923,Товар!$A$2:$F$1000,3,0)</f>
        <v/>
      </c>
      <c r="J2923">
        <f>VLOOKUP(D2923,Товар!$A$2:$F$1000,5,0)</f>
        <v/>
      </c>
      <c r="K2923">
        <f>IF(AND(H2923="Промышленный",LEFT(I2923,18)="Порошок стиральный",F2923="Продажа",B2923=DATE(2023,6,7)),E2923*J2923/1000,0)</f>
        <v/>
      </c>
    </row>
    <row r="2924">
      <c r="A2924" t="n">
        <v>2923</v>
      </c>
      <c r="B2924" s="1" t="n">
        <v>45086</v>
      </c>
      <c r="C2924" s="5" t="inlineStr">
        <is>
          <t>M15</t>
        </is>
      </c>
      <c r="D2924" s="5" t="n">
        <v>55</v>
      </c>
      <c r="E2924" s="5" t="n">
        <v>300</v>
      </c>
      <c r="F2924" t="inlineStr">
        <is>
          <t>Поступление</t>
        </is>
      </c>
      <c r="H2924">
        <f>VLOOKUP(C2924,Магазин!$A$2:$C$1000,2,0)</f>
        <v/>
      </c>
      <c r="I2924">
        <f>VLOOKUP(D2924,Товар!$A$2:$F$1000,3,0)</f>
        <v/>
      </c>
      <c r="J2924">
        <f>VLOOKUP(D2924,Товар!$A$2:$F$1000,5,0)</f>
        <v/>
      </c>
      <c r="K2924">
        <f>IF(AND(H2924="Промышленный",LEFT(I2924,18)="Порошок стиральный",F2924="Продажа",B2924=DATE(2023,6,7)),E2924*J2924/1000,0)</f>
        <v/>
      </c>
    </row>
    <row r="2925">
      <c r="A2925" t="n">
        <v>2924</v>
      </c>
      <c r="B2925" s="1" t="n">
        <v>45086</v>
      </c>
      <c r="C2925" s="5" t="inlineStr">
        <is>
          <t>M15</t>
        </is>
      </c>
      <c r="D2925" s="5" t="n">
        <v>56</v>
      </c>
      <c r="E2925" s="5" t="n">
        <v>300</v>
      </c>
      <c r="F2925" t="inlineStr">
        <is>
          <t>Поступление</t>
        </is>
      </c>
      <c r="H2925">
        <f>VLOOKUP(C2925,Магазин!$A$2:$C$1000,2,0)</f>
        <v/>
      </c>
      <c r="I2925">
        <f>VLOOKUP(D2925,Товар!$A$2:$F$1000,3,0)</f>
        <v/>
      </c>
      <c r="J2925">
        <f>VLOOKUP(D2925,Товар!$A$2:$F$1000,5,0)</f>
        <v/>
      </c>
      <c r="K2925">
        <f>IF(AND(H2925="Промышленный",LEFT(I2925,18)="Порошок стиральный",F2925="Продажа",B2925=DATE(2023,6,7)),E2925*J2925/1000,0)</f>
        <v/>
      </c>
    </row>
    <row r="2926">
      <c r="A2926" t="n">
        <v>2925</v>
      </c>
      <c r="B2926" s="1" t="n">
        <v>45086</v>
      </c>
      <c r="C2926" s="5" t="inlineStr">
        <is>
          <t>M15</t>
        </is>
      </c>
      <c r="D2926" s="5" t="n">
        <v>57</v>
      </c>
      <c r="E2926" s="5" t="n">
        <v>300</v>
      </c>
      <c r="F2926" t="inlineStr">
        <is>
          <t>Поступление</t>
        </is>
      </c>
      <c r="H2926">
        <f>VLOOKUP(C2926,Магазин!$A$2:$C$1000,2,0)</f>
        <v/>
      </c>
      <c r="I2926">
        <f>VLOOKUP(D2926,Товар!$A$2:$F$1000,3,0)</f>
        <v/>
      </c>
      <c r="J2926">
        <f>VLOOKUP(D2926,Товар!$A$2:$F$1000,5,0)</f>
        <v/>
      </c>
      <c r="K2926">
        <f>IF(AND(H2926="Промышленный",LEFT(I2926,18)="Порошок стиральный",F2926="Продажа",B2926=DATE(2023,6,7)),E2926*J2926/1000,0)</f>
        <v/>
      </c>
    </row>
    <row r="2927">
      <c r="A2927" t="n">
        <v>2926</v>
      </c>
      <c r="B2927" s="1" t="n">
        <v>45086</v>
      </c>
      <c r="C2927" s="5" t="inlineStr">
        <is>
          <t>M15</t>
        </is>
      </c>
      <c r="D2927" s="5" t="n">
        <v>58</v>
      </c>
      <c r="E2927" s="5" t="n">
        <v>300</v>
      </c>
      <c r="F2927" t="inlineStr">
        <is>
          <t>Поступление</t>
        </is>
      </c>
      <c r="H2927">
        <f>VLOOKUP(C2927,Магазин!$A$2:$C$1000,2,0)</f>
        <v/>
      </c>
      <c r="I2927">
        <f>VLOOKUP(D2927,Товар!$A$2:$F$1000,3,0)</f>
        <v/>
      </c>
      <c r="J2927">
        <f>VLOOKUP(D2927,Товар!$A$2:$F$1000,5,0)</f>
        <v/>
      </c>
      <c r="K2927">
        <f>IF(AND(H2927="Промышленный",LEFT(I2927,18)="Порошок стиральный",F2927="Продажа",B2927=DATE(2023,6,7)),E2927*J2927/1000,0)</f>
        <v/>
      </c>
    </row>
    <row r="2928">
      <c r="A2928" t="n">
        <v>2927</v>
      </c>
      <c r="B2928" s="1" t="n">
        <v>45086</v>
      </c>
      <c r="C2928" s="5" t="inlineStr">
        <is>
          <t>M15</t>
        </is>
      </c>
      <c r="D2928" s="5" t="n">
        <v>59</v>
      </c>
      <c r="E2928" s="5" t="n">
        <v>300</v>
      </c>
      <c r="F2928" t="inlineStr">
        <is>
          <t>Поступление</t>
        </is>
      </c>
      <c r="H2928">
        <f>VLOOKUP(C2928,Магазин!$A$2:$C$1000,2,0)</f>
        <v/>
      </c>
      <c r="I2928">
        <f>VLOOKUP(D2928,Товар!$A$2:$F$1000,3,0)</f>
        <v/>
      </c>
      <c r="J2928">
        <f>VLOOKUP(D2928,Товар!$A$2:$F$1000,5,0)</f>
        <v/>
      </c>
      <c r="K2928">
        <f>IF(AND(H2928="Промышленный",LEFT(I2928,18)="Порошок стиральный",F2928="Продажа",B2928=DATE(2023,6,7)),E2928*J2928/1000,0)</f>
        <v/>
      </c>
    </row>
    <row r="2929">
      <c r="A2929" t="n">
        <v>2928</v>
      </c>
      <c r="B2929" s="1" t="n">
        <v>45086</v>
      </c>
      <c r="C2929" s="5" t="inlineStr">
        <is>
          <t>M15</t>
        </is>
      </c>
      <c r="D2929" s="5" t="n">
        <v>60</v>
      </c>
      <c r="E2929" s="5" t="n">
        <v>300</v>
      </c>
      <c r="F2929" t="inlineStr">
        <is>
          <t>Поступление</t>
        </is>
      </c>
      <c r="H2929">
        <f>VLOOKUP(C2929,Магазин!$A$2:$C$1000,2,0)</f>
        <v/>
      </c>
      <c r="I2929">
        <f>VLOOKUP(D2929,Товар!$A$2:$F$1000,3,0)</f>
        <v/>
      </c>
      <c r="J2929">
        <f>VLOOKUP(D2929,Товар!$A$2:$F$1000,5,0)</f>
        <v/>
      </c>
      <c r="K2929">
        <f>IF(AND(H2929="Промышленный",LEFT(I2929,18)="Порошок стиральный",F2929="Продажа",B2929=DATE(2023,6,7)),E2929*J2929/1000,0)</f>
        <v/>
      </c>
    </row>
    <row r="2930">
      <c r="A2930" t="n">
        <v>2929</v>
      </c>
      <c r="B2930" s="1" t="n">
        <v>45086</v>
      </c>
      <c r="C2930" s="5" t="inlineStr">
        <is>
          <t>M18</t>
        </is>
      </c>
      <c r="D2930" s="5" t="n">
        <v>37</v>
      </c>
      <c r="E2930" s="5" t="n">
        <v>300</v>
      </c>
      <c r="F2930" t="inlineStr">
        <is>
          <t>Поступление</t>
        </is>
      </c>
      <c r="H2930">
        <f>VLOOKUP(C2930,Магазин!$A$2:$C$1000,2,0)</f>
        <v/>
      </c>
      <c r="I2930">
        <f>VLOOKUP(D2930,Товар!$A$2:$F$1000,3,0)</f>
        <v/>
      </c>
      <c r="J2930">
        <f>VLOOKUP(D2930,Товар!$A$2:$F$1000,5,0)</f>
        <v/>
      </c>
      <c r="K2930">
        <f>IF(AND(H2930="Промышленный",LEFT(I2930,18)="Порошок стиральный",F2930="Продажа",B2930=DATE(2023,6,7)),E2930*J2930/1000,0)</f>
        <v/>
      </c>
    </row>
    <row r="2931">
      <c r="A2931" t="n">
        <v>2930</v>
      </c>
      <c r="B2931" s="1" t="n">
        <v>45086</v>
      </c>
      <c r="C2931" s="5" t="inlineStr">
        <is>
          <t>M18</t>
        </is>
      </c>
      <c r="D2931" s="5" t="n">
        <v>38</v>
      </c>
      <c r="E2931" s="5" t="n">
        <v>300</v>
      </c>
      <c r="F2931" t="inlineStr">
        <is>
          <t>Поступление</t>
        </is>
      </c>
      <c r="H2931">
        <f>VLOOKUP(C2931,Магазин!$A$2:$C$1000,2,0)</f>
        <v/>
      </c>
      <c r="I2931">
        <f>VLOOKUP(D2931,Товар!$A$2:$F$1000,3,0)</f>
        <v/>
      </c>
      <c r="J2931">
        <f>VLOOKUP(D2931,Товар!$A$2:$F$1000,5,0)</f>
        <v/>
      </c>
      <c r="K2931">
        <f>IF(AND(H2931="Промышленный",LEFT(I2931,18)="Порошок стиральный",F2931="Продажа",B2931=DATE(2023,6,7)),E2931*J2931/1000,0)</f>
        <v/>
      </c>
    </row>
    <row r="2932">
      <c r="A2932" t="n">
        <v>2931</v>
      </c>
      <c r="B2932" s="1" t="n">
        <v>45086</v>
      </c>
      <c r="C2932" s="5" t="inlineStr">
        <is>
          <t>M18</t>
        </is>
      </c>
      <c r="D2932" s="5" t="n">
        <v>39</v>
      </c>
      <c r="E2932" s="5" t="n">
        <v>300</v>
      </c>
      <c r="F2932" t="inlineStr">
        <is>
          <t>Поступление</t>
        </is>
      </c>
      <c r="H2932">
        <f>VLOOKUP(C2932,Магазин!$A$2:$C$1000,2,0)</f>
        <v/>
      </c>
      <c r="I2932">
        <f>VLOOKUP(D2932,Товар!$A$2:$F$1000,3,0)</f>
        <v/>
      </c>
      <c r="J2932">
        <f>VLOOKUP(D2932,Товар!$A$2:$F$1000,5,0)</f>
        <v/>
      </c>
      <c r="K2932">
        <f>IF(AND(H2932="Промышленный",LEFT(I2932,18)="Порошок стиральный",F2932="Продажа",B2932=DATE(2023,6,7)),E2932*J2932/1000,0)</f>
        <v/>
      </c>
    </row>
    <row r="2933">
      <c r="A2933" t="n">
        <v>2932</v>
      </c>
      <c r="B2933" s="1" t="n">
        <v>45086</v>
      </c>
      <c r="C2933" s="5" t="inlineStr">
        <is>
          <t>M18</t>
        </is>
      </c>
      <c r="D2933" s="5" t="n">
        <v>40</v>
      </c>
      <c r="E2933" s="5" t="n">
        <v>300</v>
      </c>
      <c r="F2933" t="inlineStr">
        <is>
          <t>Поступление</t>
        </is>
      </c>
      <c r="H2933">
        <f>VLOOKUP(C2933,Магазин!$A$2:$C$1000,2,0)</f>
        <v/>
      </c>
      <c r="I2933">
        <f>VLOOKUP(D2933,Товар!$A$2:$F$1000,3,0)</f>
        <v/>
      </c>
      <c r="J2933">
        <f>VLOOKUP(D2933,Товар!$A$2:$F$1000,5,0)</f>
        <v/>
      </c>
      <c r="K2933">
        <f>IF(AND(H2933="Промышленный",LEFT(I2933,18)="Порошок стиральный",F2933="Продажа",B2933=DATE(2023,6,7)),E2933*J2933/1000,0)</f>
        <v/>
      </c>
    </row>
    <row r="2934">
      <c r="A2934" t="n">
        <v>2933</v>
      </c>
      <c r="B2934" s="1" t="n">
        <v>45086</v>
      </c>
      <c r="C2934" s="5" t="inlineStr">
        <is>
          <t>M18</t>
        </is>
      </c>
      <c r="D2934" s="5" t="n">
        <v>41</v>
      </c>
      <c r="E2934" s="5" t="n">
        <v>300</v>
      </c>
      <c r="F2934" t="inlineStr">
        <is>
          <t>Поступление</t>
        </is>
      </c>
      <c r="H2934">
        <f>VLOOKUP(C2934,Магазин!$A$2:$C$1000,2,0)</f>
        <v/>
      </c>
      <c r="I2934">
        <f>VLOOKUP(D2934,Товар!$A$2:$F$1000,3,0)</f>
        <v/>
      </c>
      <c r="J2934">
        <f>VLOOKUP(D2934,Товар!$A$2:$F$1000,5,0)</f>
        <v/>
      </c>
      <c r="K2934">
        <f>IF(AND(H2934="Промышленный",LEFT(I2934,18)="Порошок стиральный",F2934="Продажа",B2934=DATE(2023,6,7)),E2934*J2934/1000,0)</f>
        <v/>
      </c>
    </row>
    <row r="2935">
      <c r="A2935" t="n">
        <v>2934</v>
      </c>
      <c r="B2935" s="1" t="n">
        <v>45086</v>
      </c>
      <c r="C2935" s="5" t="inlineStr">
        <is>
          <t>M18</t>
        </is>
      </c>
      <c r="D2935" s="5" t="n">
        <v>42</v>
      </c>
      <c r="E2935" s="5" t="n">
        <v>300</v>
      </c>
      <c r="F2935" t="inlineStr">
        <is>
          <t>Поступление</t>
        </is>
      </c>
      <c r="H2935">
        <f>VLOOKUP(C2935,Магазин!$A$2:$C$1000,2,0)</f>
        <v/>
      </c>
      <c r="I2935">
        <f>VLOOKUP(D2935,Товар!$A$2:$F$1000,3,0)</f>
        <v/>
      </c>
      <c r="J2935">
        <f>VLOOKUP(D2935,Товар!$A$2:$F$1000,5,0)</f>
        <v/>
      </c>
      <c r="K2935">
        <f>IF(AND(H2935="Промышленный",LEFT(I2935,18)="Порошок стиральный",F2935="Продажа",B2935=DATE(2023,6,7)),E2935*J2935/1000,0)</f>
        <v/>
      </c>
    </row>
    <row r="2936">
      <c r="A2936" t="n">
        <v>2935</v>
      </c>
      <c r="B2936" s="1" t="n">
        <v>45086</v>
      </c>
      <c r="C2936" s="5" t="inlineStr">
        <is>
          <t>M18</t>
        </is>
      </c>
      <c r="D2936" s="5" t="n">
        <v>43</v>
      </c>
      <c r="E2936" s="5" t="n">
        <v>300</v>
      </c>
      <c r="F2936" t="inlineStr">
        <is>
          <t>Поступление</t>
        </is>
      </c>
      <c r="H2936">
        <f>VLOOKUP(C2936,Магазин!$A$2:$C$1000,2,0)</f>
        <v/>
      </c>
      <c r="I2936">
        <f>VLOOKUP(D2936,Товар!$A$2:$F$1000,3,0)</f>
        <v/>
      </c>
      <c r="J2936">
        <f>VLOOKUP(D2936,Товар!$A$2:$F$1000,5,0)</f>
        <v/>
      </c>
      <c r="K2936">
        <f>IF(AND(H2936="Промышленный",LEFT(I2936,18)="Порошок стиральный",F2936="Продажа",B2936=DATE(2023,6,7)),E2936*J2936/1000,0)</f>
        <v/>
      </c>
    </row>
    <row r="2937">
      <c r="A2937" t="n">
        <v>2936</v>
      </c>
      <c r="B2937" s="1" t="n">
        <v>45086</v>
      </c>
      <c r="C2937" s="5" t="inlineStr">
        <is>
          <t>M18</t>
        </is>
      </c>
      <c r="D2937" s="5" t="n">
        <v>44</v>
      </c>
      <c r="E2937" s="5" t="n">
        <v>300</v>
      </c>
      <c r="F2937" t="inlineStr">
        <is>
          <t>Поступление</t>
        </is>
      </c>
      <c r="H2937">
        <f>VLOOKUP(C2937,Магазин!$A$2:$C$1000,2,0)</f>
        <v/>
      </c>
      <c r="I2937">
        <f>VLOOKUP(D2937,Товар!$A$2:$F$1000,3,0)</f>
        <v/>
      </c>
      <c r="J2937">
        <f>VLOOKUP(D2937,Товар!$A$2:$F$1000,5,0)</f>
        <v/>
      </c>
      <c r="K2937">
        <f>IF(AND(H2937="Промышленный",LEFT(I2937,18)="Порошок стиральный",F2937="Продажа",B2937=DATE(2023,6,7)),E2937*J2937/1000,0)</f>
        <v/>
      </c>
    </row>
    <row r="2938">
      <c r="A2938" t="n">
        <v>2937</v>
      </c>
      <c r="B2938" s="1" t="n">
        <v>45086</v>
      </c>
      <c r="C2938" s="5" t="inlineStr">
        <is>
          <t>M18</t>
        </is>
      </c>
      <c r="D2938" s="5" t="n">
        <v>45</v>
      </c>
      <c r="E2938" s="5" t="n">
        <v>300</v>
      </c>
      <c r="F2938" t="inlineStr">
        <is>
          <t>Поступление</t>
        </is>
      </c>
      <c r="H2938">
        <f>VLOOKUP(C2938,Магазин!$A$2:$C$1000,2,0)</f>
        <v/>
      </c>
      <c r="I2938">
        <f>VLOOKUP(D2938,Товар!$A$2:$F$1000,3,0)</f>
        <v/>
      </c>
      <c r="J2938">
        <f>VLOOKUP(D2938,Товар!$A$2:$F$1000,5,0)</f>
        <v/>
      </c>
      <c r="K2938">
        <f>IF(AND(H2938="Промышленный",LEFT(I2938,18)="Порошок стиральный",F2938="Продажа",B2938=DATE(2023,6,7)),E2938*J2938/1000,0)</f>
        <v/>
      </c>
    </row>
    <row r="2939">
      <c r="A2939" t="n">
        <v>2938</v>
      </c>
      <c r="B2939" s="1" t="n">
        <v>45086</v>
      </c>
      <c r="C2939" s="5" t="inlineStr">
        <is>
          <t>M18</t>
        </is>
      </c>
      <c r="D2939" s="5" t="n">
        <v>46</v>
      </c>
      <c r="E2939" s="5" t="n">
        <v>300</v>
      </c>
      <c r="F2939" t="inlineStr">
        <is>
          <t>Поступление</t>
        </is>
      </c>
      <c r="H2939">
        <f>VLOOKUP(C2939,Магазин!$A$2:$C$1000,2,0)</f>
        <v/>
      </c>
      <c r="I2939">
        <f>VLOOKUP(D2939,Товар!$A$2:$F$1000,3,0)</f>
        <v/>
      </c>
      <c r="J2939">
        <f>VLOOKUP(D2939,Товар!$A$2:$F$1000,5,0)</f>
        <v/>
      </c>
      <c r="K2939">
        <f>IF(AND(H2939="Промышленный",LEFT(I2939,18)="Порошок стиральный",F2939="Продажа",B2939=DATE(2023,6,7)),E2939*J2939/1000,0)</f>
        <v/>
      </c>
    </row>
    <row r="2940">
      <c r="A2940" t="n">
        <v>2939</v>
      </c>
      <c r="B2940" s="1" t="n">
        <v>45086</v>
      </c>
      <c r="C2940" s="5" t="inlineStr">
        <is>
          <t>M18</t>
        </is>
      </c>
      <c r="D2940" s="5" t="n">
        <v>47</v>
      </c>
      <c r="E2940" s="5" t="n">
        <v>300</v>
      </c>
      <c r="F2940" t="inlineStr">
        <is>
          <t>Поступление</t>
        </is>
      </c>
      <c r="H2940">
        <f>VLOOKUP(C2940,Магазин!$A$2:$C$1000,2,0)</f>
        <v/>
      </c>
      <c r="I2940">
        <f>VLOOKUP(D2940,Товар!$A$2:$F$1000,3,0)</f>
        <v/>
      </c>
      <c r="J2940">
        <f>VLOOKUP(D2940,Товар!$A$2:$F$1000,5,0)</f>
        <v/>
      </c>
      <c r="K2940">
        <f>IF(AND(H2940="Промышленный",LEFT(I2940,18)="Порошок стиральный",F2940="Продажа",B2940=DATE(2023,6,7)),E2940*J2940/1000,0)</f>
        <v/>
      </c>
    </row>
    <row r="2941">
      <c r="A2941" t="n">
        <v>2940</v>
      </c>
      <c r="B2941" s="1" t="n">
        <v>45086</v>
      </c>
      <c r="C2941" s="5" t="inlineStr">
        <is>
          <t>M18</t>
        </is>
      </c>
      <c r="D2941" s="5" t="n">
        <v>48</v>
      </c>
      <c r="E2941" s="5" t="n">
        <v>300</v>
      </c>
      <c r="F2941" t="inlineStr">
        <is>
          <t>Поступление</t>
        </is>
      </c>
      <c r="H2941">
        <f>VLOOKUP(C2941,Магазин!$A$2:$C$1000,2,0)</f>
        <v/>
      </c>
      <c r="I2941">
        <f>VLOOKUP(D2941,Товар!$A$2:$F$1000,3,0)</f>
        <v/>
      </c>
      <c r="J2941">
        <f>VLOOKUP(D2941,Товар!$A$2:$F$1000,5,0)</f>
        <v/>
      </c>
      <c r="K2941">
        <f>IF(AND(H2941="Промышленный",LEFT(I2941,18)="Порошок стиральный",F2941="Продажа",B2941=DATE(2023,6,7)),E2941*J2941/1000,0)</f>
        <v/>
      </c>
    </row>
    <row r="2942">
      <c r="A2942" t="n">
        <v>2941</v>
      </c>
      <c r="B2942" s="1" t="n">
        <v>45086</v>
      </c>
      <c r="C2942" s="5" t="inlineStr">
        <is>
          <t>M18</t>
        </is>
      </c>
      <c r="D2942" s="5" t="n">
        <v>49</v>
      </c>
      <c r="E2942" s="5" t="n">
        <v>300</v>
      </c>
      <c r="F2942" t="inlineStr">
        <is>
          <t>Поступление</t>
        </is>
      </c>
      <c r="H2942">
        <f>VLOOKUP(C2942,Магазин!$A$2:$C$1000,2,0)</f>
        <v/>
      </c>
      <c r="I2942">
        <f>VLOOKUP(D2942,Товар!$A$2:$F$1000,3,0)</f>
        <v/>
      </c>
      <c r="J2942">
        <f>VLOOKUP(D2942,Товар!$A$2:$F$1000,5,0)</f>
        <v/>
      </c>
      <c r="K2942">
        <f>IF(AND(H2942="Промышленный",LEFT(I2942,18)="Порошок стиральный",F2942="Продажа",B2942=DATE(2023,6,7)),E2942*J2942/1000,0)</f>
        <v/>
      </c>
    </row>
    <row r="2943">
      <c r="A2943" t="n">
        <v>2942</v>
      </c>
      <c r="B2943" s="1" t="n">
        <v>45086</v>
      </c>
      <c r="C2943" s="5" t="inlineStr">
        <is>
          <t>M18</t>
        </is>
      </c>
      <c r="D2943" s="5" t="n">
        <v>50</v>
      </c>
      <c r="E2943" s="5" t="n">
        <v>300</v>
      </c>
      <c r="F2943" t="inlineStr">
        <is>
          <t>Поступление</t>
        </is>
      </c>
      <c r="H2943">
        <f>VLOOKUP(C2943,Магазин!$A$2:$C$1000,2,0)</f>
        <v/>
      </c>
      <c r="I2943">
        <f>VLOOKUP(D2943,Товар!$A$2:$F$1000,3,0)</f>
        <v/>
      </c>
      <c r="J2943">
        <f>VLOOKUP(D2943,Товар!$A$2:$F$1000,5,0)</f>
        <v/>
      </c>
      <c r="K2943">
        <f>IF(AND(H2943="Промышленный",LEFT(I2943,18)="Порошок стиральный",F2943="Продажа",B2943=DATE(2023,6,7)),E2943*J2943/1000,0)</f>
        <v/>
      </c>
    </row>
    <row r="2944">
      <c r="A2944" t="n">
        <v>2943</v>
      </c>
      <c r="B2944" s="1" t="n">
        <v>45086</v>
      </c>
      <c r="C2944" s="5" t="inlineStr">
        <is>
          <t>M18</t>
        </is>
      </c>
      <c r="D2944" s="5" t="n">
        <v>51</v>
      </c>
      <c r="E2944" s="5" t="n">
        <v>300</v>
      </c>
      <c r="F2944" t="inlineStr">
        <is>
          <t>Поступление</t>
        </is>
      </c>
      <c r="H2944">
        <f>VLOOKUP(C2944,Магазин!$A$2:$C$1000,2,0)</f>
        <v/>
      </c>
      <c r="I2944">
        <f>VLOOKUP(D2944,Товар!$A$2:$F$1000,3,0)</f>
        <v/>
      </c>
      <c r="J2944">
        <f>VLOOKUP(D2944,Товар!$A$2:$F$1000,5,0)</f>
        <v/>
      </c>
      <c r="K2944">
        <f>IF(AND(H2944="Промышленный",LEFT(I2944,18)="Порошок стиральный",F2944="Продажа",B2944=DATE(2023,6,7)),E2944*J2944/1000,0)</f>
        <v/>
      </c>
    </row>
    <row r="2945">
      <c r="A2945" t="n">
        <v>2944</v>
      </c>
      <c r="B2945" s="1" t="n">
        <v>45086</v>
      </c>
      <c r="C2945" s="5" t="inlineStr">
        <is>
          <t>M18</t>
        </is>
      </c>
      <c r="D2945" s="5" t="n">
        <v>52</v>
      </c>
      <c r="E2945" s="5" t="n">
        <v>300</v>
      </c>
      <c r="F2945" t="inlineStr">
        <is>
          <t>Поступление</t>
        </is>
      </c>
      <c r="H2945">
        <f>VLOOKUP(C2945,Магазин!$A$2:$C$1000,2,0)</f>
        <v/>
      </c>
      <c r="I2945">
        <f>VLOOKUP(D2945,Товар!$A$2:$F$1000,3,0)</f>
        <v/>
      </c>
      <c r="J2945">
        <f>VLOOKUP(D2945,Товар!$A$2:$F$1000,5,0)</f>
        <v/>
      </c>
      <c r="K2945">
        <f>IF(AND(H2945="Промышленный",LEFT(I2945,18)="Порошок стиральный",F2945="Продажа",B2945=DATE(2023,6,7)),E2945*J2945/1000,0)</f>
        <v/>
      </c>
    </row>
    <row r="2946">
      <c r="A2946" t="n">
        <v>2945</v>
      </c>
      <c r="B2946" s="1" t="n">
        <v>45086</v>
      </c>
      <c r="C2946" s="5" t="inlineStr">
        <is>
          <t>M18</t>
        </is>
      </c>
      <c r="D2946" s="5" t="n">
        <v>53</v>
      </c>
      <c r="E2946" s="5" t="n">
        <v>300</v>
      </c>
      <c r="F2946" t="inlineStr">
        <is>
          <t>Поступление</t>
        </is>
      </c>
      <c r="H2946">
        <f>VLOOKUP(C2946,Магазин!$A$2:$C$1000,2,0)</f>
        <v/>
      </c>
      <c r="I2946">
        <f>VLOOKUP(D2946,Товар!$A$2:$F$1000,3,0)</f>
        <v/>
      </c>
      <c r="J2946">
        <f>VLOOKUP(D2946,Товар!$A$2:$F$1000,5,0)</f>
        <v/>
      </c>
      <c r="K2946">
        <f>IF(AND(H2946="Промышленный",LEFT(I2946,18)="Порошок стиральный",F2946="Продажа",B2946=DATE(2023,6,7)),E2946*J2946/1000,0)</f>
        <v/>
      </c>
    </row>
    <row r="2947">
      <c r="A2947" t="n">
        <v>2946</v>
      </c>
      <c r="B2947" s="1" t="n">
        <v>45086</v>
      </c>
      <c r="C2947" s="5" t="inlineStr">
        <is>
          <t>M18</t>
        </is>
      </c>
      <c r="D2947" s="5" t="n">
        <v>54</v>
      </c>
      <c r="E2947" s="5" t="n">
        <v>300</v>
      </c>
      <c r="F2947" t="inlineStr">
        <is>
          <t>Поступление</t>
        </is>
      </c>
      <c r="H2947">
        <f>VLOOKUP(C2947,Магазин!$A$2:$C$1000,2,0)</f>
        <v/>
      </c>
      <c r="I2947">
        <f>VLOOKUP(D2947,Товар!$A$2:$F$1000,3,0)</f>
        <v/>
      </c>
      <c r="J2947">
        <f>VLOOKUP(D2947,Товар!$A$2:$F$1000,5,0)</f>
        <v/>
      </c>
      <c r="K2947">
        <f>IF(AND(H2947="Промышленный",LEFT(I2947,18)="Порошок стиральный",F2947="Продажа",B2947=DATE(2023,6,7)),E2947*J2947/1000,0)</f>
        <v/>
      </c>
    </row>
    <row r="2948">
      <c r="A2948" t="n">
        <v>2947</v>
      </c>
      <c r="B2948" s="1" t="n">
        <v>45086</v>
      </c>
      <c r="C2948" s="5" t="inlineStr">
        <is>
          <t>M18</t>
        </is>
      </c>
      <c r="D2948" s="5" t="n">
        <v>55</v>
      </c>
      <c r="E2948" s="5" t="n">
        <v>300</v>
      </c>
      <c r="F2948" t="inlineStr">
        <is>
          <t>Поступление</t>
        </is>
      </c>
      <c r="H2948">
        <f>VLOOKUP(C2948,Магазин!$A$2:$C$1000,2,0)</f>
        <v/>
      </c>
      <c r="I2948">
        <f>VLOOKUP(D2948,Товар!$A$2:$F$1000,3,0)</f>
        <v/>
      </c>
      <c r="J2948">
        <f>VLOOKUP(D2948,Товар!$A$2:$F$1000,5,0)</f>
        <v/>
      </c>
      <c r="K2948">
        <f>IF(AND(H2948="Промышленный",LEFT(I2948,18)="Порошок стиральный",F2948="Продажа",B2948=DATE(2023,6,7)),E2948*J2948/1000,0)</f>
        <v/>
      </c>
    </row>
    <row r="2949">
      <c r="A2949" t="n">
        <v>2948</v>
      </c>
      <c r="B2949" s="1" t="n">
        <v>45086</v>
      </c>
      <c r="C2949" s="5" t="inlineStr">
        <is>
          <t>M18</t>
        </is>
      </c>
      <c r="D2949" s="5" t="n">
        <v>56</v>
      </c>
      <c r="E2949" s="5" t="n">
        <v>300</v>
      </c>
      <c r="F2949" t="inlineStr">
        <is>
          <t>Поступление</t>
        </is>
      </c>
      <c r="H2949">
        <f>VLOOKUP(C2949,Магазин!$A$2:$C$1000,2,0)</f>
        <v/>
      </c>
      <c r="I2949">
        <f>VLOOKUP(D2949,Товар!$A$2:$F$1000,3,0)</f>
        <v/>
      </c>
      <c r="J2949">
        <f>VLOOKUP(D2949,Товар!$A$2:$F$1000,5,0)</f>
        <v/>
      </c>
      <c r="K2949">
        <f>IF(AND(H2949="Промышленный",LEFT(I2949,18)="Порошок стиральный",F2949="Продажа",B2949=DATE(2023,6,7)),E2949*J2949/1000,0)</f>
        <v/>
      </c>
    </row>
    <row r="2950">
      <c r="A2950" t="n">
        <v>2949</v>
      </c>
      <c r="B2950" s="1" t="n">
        <v>45086</v>
      </c>
      <c r="C2950" s="5" t="inlineStr">
        <is>
          <t>M18</t>
        </is>
      </c>
      <c r="D2950" s="5" t="n">
        <v>57</v>
      </c>
      <c r="E2950" s="5" t="n">
        <v>300</v>
      </c>
      <c r="F2950" t="inlineStr">
        <is>
          <t>Поступление</t>
        </is>
      </c>
      <c r="H2950">
        <f>VLOOKUP(C2950,Магазин!$A$2:$C$1000,2,0)</f>
        <v/>
      </c>
      <c r="I2950">
        <f>VLOOKUP(D2950,Товар!$A$2:$F$1000,3,0)</f>
        <v/>
      </c>
      <c r="J2950">
        <f>VLOOKUP(D2950,Товар!$A$2:$F$1000,5,0)</f>
        <v/>
      </c>
      <c r="K2950">
        <f>IF(AND(H2950="Промышленный",LEFT(I2950,18)="Порошок стиральный",F2950="Продажа",B2950=DATE(2023,6,7)),E2950*J2950/1000,0)</f>
        <v/>
      </c>
    </row>
    <row r="2951">
      <c r="A2951" t="n">
        <v>2950</v>
      </c>
      <c r="B2951" s="1" t="n">
        <v>45086</v>
      </c>
      <c r="C2951" s="5" t="inlineStr">
        <is>
          <t>M18</t>
        </is>
      </c>
      <c r="D2951" s="5" t="n">
        <v>58</v>
      </c>
      <c r="E2951" s="5" t="n">
        <v>300</v>
      </c>
      <c r="F2951" t="inlineStr">
        <is>
          <t>Поступление</t>
        </is>
      </c>
      <c r="H2951">
        <f>VLOOKUP(C2951,Магазин!$A$2:$C$1000,2,0)</f>
        <v/>
      </c>
      <c r="I2951">
        <f>VLOOKUP(D2951,Товар!$A$2:$F$1000,3,0)</f>
        <v/>
      </c>
      <c r="J2951">
        <f>VLOOKUP(D2951,Товар!$A$2:$F$1000,5,0)</f>
        <v/>
      </c>
      <c r="K2951">
        <f>IF(AND(H2951="Промышленный",LEFT(I2951,18)="Порошок стиральный",F2951="Продажа",B2951=DATE(2023,6,7)),E2951*J2951/1000,0)</f>
        <v/>
      </c>
    </row>
    <row r="2952">
      <c r="A2952" t="n">
        <v>2951</v>
      </c>
      <c r="B2952" s="1" t="n">
        <v>45086</v>
      </c>
      <c r="C2952" s="5" t="inlineStr">
        <is>
          <t>M18</t>
        </is>
      </c>
      <c r="D2952" s="5" t="n">
        <v>59</v>
      </c>
      <c r="E2952" s="5" t="n">
        <v>300</v>
      </c>
      <c r="F2952" t="inlineStr">
        <is>
          <t>Поступление</t>
        </is>
      </c>
      <c r="H2952">
        <f>VLOOKUP(C2952,Магазин!$A$2:$C$1000,2,0)</f>
        <v/>
      </c>
      <c r="I2952">
        <f>VLOOKUP(D2952,Товар!$A$2:$F$1000,3,0)</f>
        <v/>
      </c>
      <c r="J2952">
        <f>VLOOKUP(D2952,Товар!$A$2:$F$1000,5,0)</f>
        <v/>
      </c>
      <c r="K2952">
        <f>IF(AND(H2952="Промышленный",LEFT(I2952,18)="Порошок стиральный",F2952="Продажа",B2952=DATE(2023,6,7)),E2952*J2952/1000,0)</f>
        <v/>
      </c>
    </row>
    <row r="2953">
      <c r="A2953" t="n">
        <v>2952</v>
      </c>
      <c r="B2953" s="1" t="n">
        <v>45086</v>
      </c>
      <c r="C2953" s="5" t="inlineStr">
        <is>
          <t>M18</t>
        </is>
      </c>
      <c r="D2953" s="5" t="n">
        <v>60</v>
      </c>
      <c r="E2953" s="5" t="n">
        <v>300</v>
      </c>
      <c r="F2953" t="inlineStr">
        <is>
          <t>Поступление</t>
        </is>
      </c>
      <c r="H2953">
        <f>VLOOKUP(C2953,Магазин!$A$2:$C$1000,2,0)</f>
        <v/>
      </c>
      <c r="I2953">
        <f>VLOOKUP(D2953,Товар!$A$2:$F$1000,3,0)</f>
        <v/>
      </c>
      <c r="J2953">
        <f>VLOOKUP(D2953,Товар!$A$2:$F$1000,5,0)</f>
        <v/>
      </c>
      <c r="K2953">
        <f>IF(AND(H2953="Промышленный",LEFT(I2953,18)="Порошок стиральный",F2953="Продажа",B2953=DATE(2023,6,7)),E2953*J2953/1000,0)</f>
        <v/>
      </c>
    </row>
    <row r="2954">
      <c r="A2954" t="n">
        <v>2953</v>
      </c>
      <c r="B2954" s="1" t="n">
        <v>45086</v>
      </c>
      <c r="C2954" s="5" t="inlineStr">
        <is>
          <t>M2</t>
        </is>
      </c>
      <c r="D2954" s="5" t="n">
        <v>37</v>
      </c>
      <c r="E2954" s="5" t="n">
        <v>400</v>
      </c>
      <c r="F2954" t="inlineStr">
        <is>
          <t>Поступление</t>
        </is>
      </c>
      <c r="H2954">
        <f>VLOOKUP(C2954,Магазин!$A$2:$C$1000,2,0)</f>
        <v/>
      </c>
      <c r="I2954">
        <f>VLOOKUP(D2954,Товар!$A$2:$F$1000,3,0)</f>
        <v/>
      </c>
      <c r="J2954">
        <f>VLOOKUP(D2954,Товар!$A$2:$F$1000,5,0)</f>
        <v/>
      </c>
      <c r="K2954">
        <f>IF(AND(H2954="Промышленный",LEFT(I2954,18)="Порошок стиральный",F2954="Продажа",B2954=DATE(2023,6,7)),E2954*J2954/1000,0)</f>
        <v/>
      </c>
    </row>
    <row r="2955">
      <c r="A2955" t="n">
        <v>2954</v>
      </c>
      <c r="B2955" s="1" t="n">
        <v>45086</v>
      </c>
      <c r="C2955" s="5" t="inlineStr">
        <is>
          <t>M2</t>
        </is>
      </c>
      <c r="D2955" s="5" t="n">
        <v>38</v>
      </c>
      <c r="E2955" s="5" t="n">
        <v>400</v>
      </c>
      <c r="F2955" t="inlineStr">
        <is>
          <t>Поступление</t>
        </is>
      </c>
      <c r="H2955">
        <f>VLOOKUP(C2955,Магазин!$A$2:$C$1000,2,0)</f>
        <v/>
      </c>
      <c r="I2955">
        <f>VLOOKUP(D2955,Товар!$A$2:$F$1000,3,0)</f>
        <v/>
      </c>
      <c r="J2955">
        <f>VLOOKUP(D2955,Товар!$A$2:$F$1000,5,0)</f>
        <v/>
      </c>
      <c r="K2955">
        <f>IF(AND(H2955="Промышленный",LEFT(I2955,18)="Порошок стиральный",F2955="Продажа",B2955=DATE(2023,6,7)),E2955*J2955/1000,0)</f>
        <v/>
      </c>
    </row>
    <row r="2956">
      <c r="A2956" t="n">
        <v>2955</v>
      </c>
      <c r="B2956" s="1" t="n">
        <v>45086</v>
      </c>
      <c r="C2956" s="5" t="inlineStr">
        <is>
          <t>M2</t>
        </is>
      </c>
      <c r="D2956" s="5" t="n">
        <v>39</v>
      </c>
      <c r="E2956" s="5" t="n">
        <v>400</v>
      </c>
      <c r="F2956" t="inlineStr">
        <is>
          <t>Поступление</t>
        </is>
      </c>
      <c r="H2956">
        <f>VLOOKUP(C2956,Магазин!$A$2:$C$1000,2,0)</f>
        <v/>
      </c>
      <c r="I2956">
        <f>VLOOKUP(D2956,Товар!$A$2:$F$1000,3,0)</f>
        <v/>
      </c>
      <c r="J2956">
        <f>VLOOKUP(D2956,Товар!$A$2:$F$1000,5,0)</f>
        <v/>
      </c>
      <c r="K2956">
        <f>IF(AND(H2956="Промышленный",LEFT(I2956,18)="Порошок стиральный",F2956="Продажа",B2956=DATE(2023,6,7)),E2956*J2956/1000,0)</f>
        <v/>
      </c>
    </row>
    <row r="2957">
      <c r="A2957" t="n">
        <v>2956</v>
      </c>
      <c r="B2957" s="1" t="n">
        <v>45086</v>
      </c>
      <c r="C2957" s="5" t="inlineStr">
        <is>
          <t>M2</t>
        </is>
      </c>
      <c r="D2957" s="5" t="n">
        <v>40</v>
      </c>
      <c r="E2957" s="5" t="n">
        <v>400</v>
      </c>
      <c r="F2957" t="inlineStr">
        <is>
          <t>Поступление</t>
        </is>
      </c>
      <c r="H2957">
        <f>VLOOKUP(C2957,Магазин!$A$2:$C$1000,2,0)</f>
        <v/>
      </c>
      <c r="I2957">
        <f>VLOOKUP(D2957,Товар!$A$2:$F$1000,3,0)</f>
        <v/>
      </c>
      <c r="J2957">
        <f>VLOOKUP(D2957,Товар!$A$2:$F$1000,5,0)</f>
        <v/>
      </c>
      <c r="K2957">
        <f>IF(AND(H2957="Промышленный",LEFT(I2957,18)="Порошок стиральный",F2957="Продажа",B2957=DATE(2023,6,7)),E2957*J2957/1000,0)</f>
        <v/>
      </c>
    </row>
    <row r="2958">
      <c r="A2958" t="n">
        <v>2957</v>
      </c>
      <c r="B2958" s="1" t="n">
        <v>45086</v>
      </c>
      <c r="C2958" s="5" t="inlineStr">
        <is>
          <t>M2</t>
        </is>
      </c>
      <c r="D2958" s="5" t="n">
        <v>41</v>
      </c>
      <c r="E2958" s="5" t="n">
        <v>400</v>
      </c>
      <c r="F2958" t="inlineStr">
        <is>
          <t>Поступление</t>
        </is>
      </c>
      <c r="H2958">
        <f>VLOOKUP(C2958,Магазин!$A$2:$C$1000,2,0)</f>
        <v/>
      </c>
      <c r="I2958">
        <f>VLOOKUP(D2958,Товар!$A$2:$F$1000,3,0)</f>
        <v/>
      </c>
      <c r="J2958">
        <f>VLOOKUP(D2958,Товар!$A$2:$F$1000,5,0)</f>
        <v/>
      </c>
      <c r="K2958">
        <f>IF(AND(H2958="Промышленный",LEFT(I2958,18)="Порошок стиральный",F2958="Продажа",B2958=DATE(2023,6,7)),E2958*J2958/1000,0)</f>
        <v/>
      </c>
    </row>
    <row r="2959">
      <c r="A2959" t="n">
        <v>2958</v>
      </c>
      <c r="B2959" s="1" t="n">
        <v>45086</v>
      </c>
      <c r="C2959" s="5" t="inlineStr">
        <is>
          <t>M2</t>
        </is>
      </c>
      <c r="D2959" s="5" t="n">
        <v>42</v>
      </c>
      <c r="E2959" s="5" t="n">
        <v>400</v>
      </c>
      <c r="F2959" t="inlineStr">
        <is>
          <t>Поступление</t>
        </is>
      </c>
      <c r="H2959">
        <f>VLOOKUP(C2959,Магазин!$A$2:$C$1000,2,0)</f>
        <v/>
      </c>
      <c r="I2959">
        <f>VLOOKUP(D2959,Товар!$A$2:$F$1000,3,0)</f>
        <v/>
      </c>
      <c r="J2959">
        <f>VLOOKUP(D2959,Товар!$A$2:$F$1000,5,0)</f>
        <v/>
      </c>
      <c r="K2959">
        <f>IF(AND(H2959="Промышленный",LEFT(I2959,18)="Порошок стиральный",F2959="Продажа",B2959=DATE(2023,6,7)),E2959*J2959/1000,0)</f>
        <v/>
      </c>
    </row>
    <row r="2960">
      <c r="A2960" t="n">
        <v>2959</v>
      </c>
      <c r="B2960" s="1" t="n">
        <v>45086</v>
      </c>
      <c r="C2960" s="5" t="inlineStr">
        <is>
          <t>M2</t>
        </is>
      </c>
      <c r="D2960" s="5" t="n">
        <v>43</v>
      </c>
      <c r="E2960" s="5" t="n">
        <v>400</v>
      </c>
      <c r="F2960" t="inlineStr">
        <is>
          <t>Поступление</t>
        </is>
      </c>
      <c r="H2960">
        <f>VLOOKUP(C2960,Магазин!$A$2:$C$1000,2,0)</f>
        <v/>
      </c>
      <c r="I2960">
        <f>VLOOKUP(D2960,Товар!$A$2:$F$1000,3,0)</f>
        <v/>
      </c>
      <c r="J2960">
        <f>VLOOKUP(D2960,Товар!$A$2:$F$1000,5,0)</f>
        <v/>
      </c>
      <c r="K2960">
        <f>IF(AND(H2960="Промышленный",LEFT(I2960,18)="Порошок стиральный",F2960="Продажа",B2960=DATE(2023,6,7)),E2960*J2960/1000,0)</f>
        <v/>
      </c>
    </row>
    <row r="2961">
      <c r="A2961" t="n">
        <v>2960</v>
      </c>
      <c r="B2961" s="1" t="n">
        <v>45086</v>
      </c>
      <c r="C2961" s="5" t="inlineStr">
        <is>
          <t>M2</t>
        </is>
      </c>
      <c r="D2961" s="5" t="n">
        <v>44</v>
      </c>
      <c r="E2961" s="5" t="n">
        <v>400</v>
      </c>
      <c r="F2961" t="inlineStr">
        <is>
          <t>Поступление</t>
        </is>
      </c>
      <c r="H2961">
        <f>VLOOKUP(C2961,Магазин!$A$2:$C$1000,2,0)</f>
        <v/>
      </c>
      <c r="I2961">
        <f>VLOOKUP(D2961,Товар!$A$2:$F$1000,3,0)</f>
        <v/>
      </c>
      <c r="J2961">
        <f>VLOOKUP(D2961,Товар!$A$2:$F$1000,5,0)</f>
        <v/>
      </c>
      <c r="K2961">
        <f>IF(AND(H2961="Промышленный",LEFT(I2961,18)="Порошок стиральный",F2961="Продажа",B2961=DATE(2023,6,7)),E2961*J2961/1000,0)</f>
        <v/>
      </c>
    </row>
    <row r="2962">
      <c r="A2962" t="n">
        <v>2961</v>
      </c>
      <c r="B2962" s="1" t="n">
        <v>45086</v>
      </c>
      <c r="C2962" s="5" t="inlineStr">
        <is>
          <t>M2</t>
        </is>
      </c>
      <c r="D2962" s="5" t="n">
        <v>45</v>
      </c>
      <c r="E2962" s="5" t="n">
        <v>400</v>
      </c>
      <c r="F2962" t="inlineStr">
        <is>
          <t>Поступление</t>
        </is>
      </c>
      <c r="H2962">
        <f>VLOOKUP(C2962,Магазин!$A$2:$C$1000,2,0)</f>
        <v/>
      </c>
      <c r="I2962">
        <f>VLOOKUP(D2962,Товар!$A$2:$F$1000,3,0)</f>
        <v/>
      </c>
      <c r="J2962">
        <f>VLOOKUP(D2962,Товар!$A$2:$F$1000,5,0)</f>
        <v/>
      </c>
      <c r="K2962">
        <f>IF(AND(H2962="Промышленный",LEFT(I2962,18)="Порошок стиральный",F2962="Продажа",B2962=DATE(2023,6,7)),E2962*J2962/1000,0)</f>
        <v/>
      </c>
    </row>
    <row r="2963">
      <c r="A2963" t="n">
        <v>2962</v>
      </c>
      <c r="B2963" s="1" t="n">
        <v>45086</v>
      </c>
      <c r="C2963" s="5" t="inlineStr">
        <is>
          <t>M2</t>
        </is>
      </c>
      <c r="D2963" s="5" t="n">
        <v>46</v>
      </c>
      <c r="E2963" s="5" t="n">
        <v>400</v>
      </c>
      <c r="F2963" t="inlineStr">
        <is>
          <t>Поступление</t>
        </is>
      </c>
      <c r="H2963">
        <f>VLOOKUP(C2963,Магазин!$A$2:$C$1000,2,0)</f>
        <v/>
      </c>
      <c r="I2963">
        <f>VLOOKUP(D2963,Товар!$A$2:$F$1000,3,0)</f>
        <v/>
      </c>
      <c r="J2963">
        <f>VLOOKUP(D2963,Товар!$A$2:$F$1000,5,0)</f>
        <v/>
      </c>
      <c r="K2963">
        <f>IF(AND(H2963="Промышленный",LEFT(I2963,18)="Порошок стиральный",F2963="Продажа",B2963=DATE(2023,6,7)),E2963*J2963/1000,0)</f>
        <v/>
      </c>
    </row>
    <row r="2964">
      <c r="A2964" t="n">
        <v>2963</v>
      </c>
      <c r="B2964" s="1" t="n">
        <v>45086</v>
      </c>
      <c r="C2964" s="5" t="inlineStr">
        <is>
          <t>M2</t>
        </is>
      </c>
      <c r="D2964" s="5" t="n">
        <v>47</v>
      </c>
      <c r="E2964" s="5" t="n">
        <v>400</v>
      </c>
      <c r="F2964" t="inlineStr">
        <is>
          <t>Поступление</t>
        </is>
      </c>
      <c r="H2964">
        <f>VLOOKUP(C2964,Магазин!$A$2:$C$1000,2,0)</f>
        <v/>
      </c>
      <c r="I2964">
        <f>VLOOKUP(D2964,Товар!$A$2:$F$1000,3,0)</f>
        <v/>
      </c>
      <c r="J2964">
        <f>VLOOKUP(D2964,Товар!$A$2:$F$1000,5,0)</f>
        <v/>
      </c>
      <c r="K2964">
        <f>IF(AND(H2964="Промышленный",LEFT(I2964,18)="Порошок стиральный",F2964="Продажа",B2964=DATE(2023,6,7)),E2964*J2964/1000,0)</f>
        <v/>
      </c>
    </row>
    <row r="2965">
      <c r="A2965" t="n">
        <v>2964</v>
      </c>
      <c r="B2965" s="1" t="n">
        <v>45086</v>
      </c>
      <c r="C2965" s="5" t="inlineStr">
        <is>
          <t>M2</t>
        </is>
      </c>
      <c r="D2965" s="5" t="n">
        <v>48</v>
      </c>
      <c r="E2965" s="5" t="n">
        <v>400</v>
      </c>
      <c r="F2965" t="inlineStr">
        <is>
          <t>Поступление</t>
        </is>
      </c>
      <c r="H2965">
        <f>VLOOKUP(C2965,Магазин!$A$2:$C$1000,2,0)</f>
        <v/>
      </c>
      <c r="I2965">
        <f>VLOOKUP(D2965,Товар!$A$2:$F$1000,3,0)</f>
        <v/>
      </c>
      <c r="J2965">
        <f>VLOOKUP(D2965,Товар!$A$2:$F$1000,5,0)</f>
        <v/>
      </c>
      <c r="K2965">
        <f>IF(AND(H2965="Промышленный",LEFT(I2965,18)="Порошок стиральный",F2965="Продажа",B2965=DATE(2023,6,7)),E2965*J2965/1000,0)</f>
        <v/>
      </c>
    </row>
    <row r="2966">
      <c r="A2966" t="n">
        <v>2965</v>
      </c>
      <c r="B2966" s="1" t="n">
        <v>45086</v>
      </c>
      <c r="C2966" s="5" t="inlineStr">
        <is>
          <t>M2</t>
        </is>
      </c>
      <c r="D2966" s="5" t="n">
        <v>49</v>
      </c>
      <c r="E2966" s="5" t="n">
        <v>400</v>
      </c>
      <c r="F2966" t="inlineStr">
        <is>
          <t>Поступление</t>
        </is>
      </c>
      <c r="H2966">
        <f>VLOOKUP(C2966,Магазин!$A$2:$C$1000,2,0)</f>
        <v/>
      </c>
      <c r="I2966">
        <f>VLOOKUP(D2966,Товар!$A$2:$F$1000,3,0)</f>
        <v/>
      </c>
      <c r="J2966">
        <f>VLOOKUP(D2966,Товар!$A$2:$F$1000,5,0)</f>
        <v/>
      </c>
      <c r="K2966">
        <f>IF(AND(H2966="Промышленный",LEFT(I2966,18)="Порошок стиральный",F2966="Продажа",B2966=DATE(2023,6,7)),E2966*J2966/1000,0)</f>
        <v/>
      </c>
    </row>
    <row r="2967">
      <c r="A2967" t="n">
        <v>2966</v>
      </c>
      <c r="B2967" s="1" t="n">
        <v>45086</v>
      </c>
      <c r="C2967" s="5" t="inlineStr">
        <is>
          <t>M2</t>
        </is>
      </c>
      <c r="D2967" s="5" t="n">
        <v>50</v>
      </c>
      <c r="E2967" s="5" t="n">
        <v>400</v>
      </c>
      <c r="F2967" t="inlineStr">
        <is>
          <t>Поступление</t>
        </is>
      </c>
      <c r="H2967">
        <f>VLOOKUP(C2967,Магазин!$A$2:$C$1000,2,0)</f>
        <v/>
      </c>
      <c r="I2967">
        <f>VLOOKUP(D2967,Товар!$A$2:$F$1000,3,0)</f>
        <v/>
      </c>
      <c r="J2967">
        <f>VLOOKUP(D2967,Товар!$A$2:$F$1000,5,0)</f>
        <v/>
      </c>
      <c r="K2967">
        <f>IF(AND(H2967="Промышленный",LEFT(I2967,18)="Порошок стиральный",F2967="Продажа",B2967=DATE(2023,6,7)),E2967*J2967/1000,0)</f>
        <v/>
      </c>
    </row>
    <row r="2968">
      <c r="A2968" t="n">
        <v>2967</v>
      </c>
      <c r="B2968" s="1" t="n">
        <v>45086</v>
      </c>
      <c r="C2968" s="5" t="inlineStr">
        <is>
          <t>M2</t>
        </is>
      </c>
      <c r="D2968" s="5" t="n">
        <v>51</v>
      </c>
      <c r="E2968" s="5" t="n">
        <v>400</v>
      </c>
      <c r="F2968" t="inlineStr">
        <is>
          <t>Поступление</t>
        </is>
      </c>
      <c r="H2968">
        <f>VLOOKUP(C2968,Магазин!$A$2:$C$1000,2,0)</f>
        <v/>
      </c>
      <c r="I2968">
        <f>VLOOKUP(D2968,Товар!$A$2:$F$1000,3,0)</f>
        <v/>
      </c>
      <c r="J2968">
        <f>VLOOKUP(D2968,Товар!$A$2:$F$1000,5,0)</f>
        <v/>
      </c>
      <c r="K2968">
        <f>IF(AND(H2968="Промышленный",LEFT(I2968,18)="Порошок стиральный",F2968="Продажа",B2968=DATE(2023,6,7)),E2968*J2968/1000,0)</f>
        <v/>
      </c>
    </row>
    <row r="2969">
      <c r="A2969" t="n">
        <v>2968</v>
      </c>
      <c r="B2969" s="1" t="n">
        <v>45086</v>
      </c>
      <c r="C2969" s="5" t="inlineStr">
        <is>
          <t>M2</t>
        </is>
      </c>
      <c r="D2969" s="5" t="n">
        <v>52</v>
      </c>
      <c r="E2969" s="5" t="n">
        <v>400</v>
      </c>
      <c r="F2969" t="inlineStr">
        <is>
          <t>Поступление</t>
        </is>
      </c>
      <c r="H2969">
        <f>VLOOKUP(C2969,Магазин!$A$2:$C$1000,2,0)</f>
        <v/>
      </c>
      <c r="I2969">
        <f>VLOOKUP(D2969,Товар!$A$2:$F$1000,3,0)</f>
        <v/>
      </c>
      <c r="J2969">
        <f>VLOOKUP(D2969,Товар!$A$2:$F$1000,5,0)</f>
        <v/>
      </c>
      <c r="K2969">
        <f>IF(AND(H2969="Промышленный",LEFT(I2969,18)="Порошок стиральный",F2969="Продажа",B2969=DATE(2023,6,7)),E2969*J2969/1000,0)</f>
        <v/>
      </c>
    </row>
    <row r="2970">
      <c r="A2970" t="n">
        <v>2969</v>
      </c>
      <c r="B2970" s="1" t="n">
        <v>45086</v>
      </c>
      <c r="C2970" s="5" t="inlineStr">
        <is>
          <t>M2</t>
        </is>
      </c>
      <c r="D2970" s="5" t="n">
        <v>53</v>
      </c>
      <c r="E2970" s="5" t="n">
        <v>400</v>
      </c>
      <c r="F2970" t="inlineStr">
        <is>
          <t>Поступление</t>
        </is>
      </c>
      <c r="H2970">
        <f>VLOOKUP(C2970,Магазин!$A$2:$C$1000,2,0)</f>
        <v/>
      </c>
      <c r="I2970">
        <f>VLOOKUP(D2970,Товар!$A$2:$F$1000,3,0)</f>
        <v/>
      </c>
      <c r="J2970">
        <f>VLOOKUP(D2970,Товар!$A$2:$F$1000,5,0)</f>
        <v/>
      </c>
      <c r="K2970">
        <f>IF(AND(H2970="Промышленный",LEFT(I2970,18)="Порошок стиральный",F2970="Продажа",B2970=DATE(2023,6,7)),E2970*J2970/1000,0)</f>
        <v/>
      </c>
    </row>
    <row r="2971">
      <c r="A2971" t="n">
        <v>2970</v>
      </c>
      <c r="B2971" s="1" t="n">
        <v>45086</v>
      </c>
      <c r="C2971" s="5" t="inlineStr">
        <is>
          <t>M2</t>
        </is>
      </c>
      <c r="D2971" s="5" t="n">
        <v>54</v>
      </c>
      <c r="E2971" s="5" t="n">
        <v>400</v>
      </c>
      <c r="F2971" t="inlineStr">
        <is>
          <t>Поступление</t>
        </is>
      </c>
      <c r="H2971">
        <f>VLOOKUP(C2971,Магазин!$A$2:$C$1000,2,0)</f>
        <v/>
      </c>
      <c r="I2971">
        <f>VLOOKUP(D2971,Товар!$A$2:$F$1000,3,0)</f>
        <v/>
      </c>
      <c r="J2971">
        <f>VLOOKUP(D2971,Товар!$A$2:$F$1000,5,0)</f>
        <v/>
      </c>
      <c r="K2971">
        <f>IF(AND(H2971="Промышленный",LEFT(I2971,18)="Порошок стиральный",F2971="Продажа",B2971=DATE(2023,6,7)),E2971*J2971/1000,0)</f>
        <v/>
      </c>
    </row>
    <row r="2972">
      <c r="A2972" t="n">
        <v>2971</v>
      </c>
      <c r="B2972" s="1" t="n">
        <v>45086</v>
      </c>
      <c r="C2972" s="5" t="inlineStr">
        <is>
          <t>M2</t>
        </is>
      </c>
      <c r="D2972" s="5" t="n">
        <v>55</v>
      </c>
      <c r="E2972" s="5" t="n">
        <v>400</v>
      </c>
      <c r="F2972" t="inlineStr">
        <is>
          <t>Поступление</t>
        </is>
      </c>
      <c r="H2972">
        <f>VLOOKUP(C2972,Магазин!$A$2:$C$1000,2,0)</f>
        <v/>
      </c>
      <c r="I2972">
        <f>VLOOKUP(D2972,Товар!$A$2:$F$1000,3,0)</f>
        <v/>
      </c>
      <c r="J2972">
        <f>VLOOKUP(D2972,Товар!$A$2:$F$1000,5,0)</f>
        <v/>
      </c>
      <c r="K2972">
        <f>IF(AND(H2972="Промышленный",LEFT(I2972,18)="Порошок стиральный",F2972="Продажа",B2972=DATE(2023,6,7)),E2972*J2972/1000,0)</f>
        <v/>
      </c>
    </row>
    <row r="2973">
      <c r="A2973" t="n">
        <v>2972</v>
      </c>
      <c r="B2973" s="1" t="n">
        <v>45086</v>
      </c>
      <c r="C2973" s="5" t="inlineStr">
        <is>
          <t>M2</t>
        </is>
      </c>
      <c r="D2973" s="5" t="n">
        <v>56</v>
      </c>
      <c r="E2973" s="5" t="n">
        <v>400</v>
      </c>
      <c r="F2973" t="inlineStr">
        <is>
          <t>Поступление</t>
        </is>
      </c>
      <c r="H2973">
        <f>VLOOKUP(C2973,Магазин!$A$2:$C$1000,2,0)</f>
        <v/>
      </c>
      <c r="I2973">
        <f>VLOOKUP(D2973,Товар!$A$2:$F$1000,3,0)</f>
        <v/>
      </c>
      <c r="J2973">
        <f>VLOOKUP(D2973,Товар!$A$2:$F$1000,5,0)</f>
        <v/>
      </c>
      <c r="K2973">
        <f>IF(AND(H2973="Промышленный",LEFT(I2973,18)="Порошок стиральный",F2973="Продажа",B2973=DATE(2023,6,7)),E2973*J2973/1000,0)</f>
        <v/>
      </c>
    </row>
    <row r="2974">
      <c r="A2974" t="n">
        <v>2973</v>
      </c>
      <c r="B2974" s="1" t="n">
        <v>45086</v>
      </c>
      <c r="C2974" s="5" t="inlineStr">
        <is>
          <t>M2</t>
        </is>
      </c>
      <c r="D2974" s="5" t="n">
        <v>57</v>
      </c>
      <c r="E2974" s="5" t="n">
        <v>400</v>
      </c>
      <c r="F2974" t="inlineStr">
        <is>
          <t>Поступление</t>
        </is>
      </c>
      <c r="H2974">
        <f>VLOOKUP(C2974,Магазин!$A$2:$C$1000,2,0)</f>
        <v/>
      </c>
      <c r="I2974">
        <f>VLOOKUP(D2974,Товар!$A$2:$F$1000,3,0)</f>
        <v/>
      </c>
      <c r="J2974">
        <f>VLOOKUP(D2974,Товар!$A$2:$F$1000,5,0)</f>
        <v/>
      </c>
      <c r="K2974">
        <f>IF(AND(H2974="Промышленный",LEFT(I2974,18)="Порошок стиральный",F2974="Продажа",B2974=DATE(2023,6,7)),E2974*J2974/1000,0)</f>
        <v/>
      </c>
    </row>
    <row r="2975">
      <c r="A2975" t="n">
        <v>2974</v>
      </c>
      <c r="B2975" s="1" t="n">
        <v>45086</v>
      </c>
      <c r="C2975" s="5" t="inlineStr">
        <is>
          <t>M2</t>
        </is>
      </c>
      <c r="D2975" s="5" t="n">
        <v>58</v>
      </c>
      <c r="E2975" s="5" t="n">
        <v>400</v>
      </c>
      <c r="F2975" t="inlineStr">
        <is>
          <t>Поступление</t>
        </is>
      </c>
      <c r="H2975">
        <f>VLOOKUP(C2975,Магазин!$A$2:$C$1000,2,0)</f>
        <v/>
      </c>
      <c r="I2975">
        <f>VLOOKUP(D2975,Товар!$A$2:$F$1000,3,0)</f>
        <v/>
      </c>
      <c r="J2975">
        <f>VLOOKUP(D2975,Товар!$A$2:$F$1000,5,0)</f>
        <v/>
      </c>
      <c r="K2975">
        <f>IF(AND(H2975="Промышленный",LEFT(I2975,18)="Порошок стиральный",F2975="Продажа",B2975=DATE(2023,6,7)),E2975*J2975/1000,0)</f>
        <v/>
      </c>
    </row>
    <row r="2976">
      <c r="A2976" t="n">
        <v>2975</v>
      </c>
      <c r="B2976" s="1" t="n">
        <v>45086</v>
      </c>
      <c r="C2976" s="5" t="inlineStr">
        <is>
          <t>M2</t>
        </is>
      </c>
      <c r="D2976" s="5" t="n">
        <v>59</v>
      </c>
      <c r="E2976" s="5" t="n">
        <v>400</v>
      </c>
      <c r="F2976" t="inlineStr">
        <is>
          <t>Поступление</t>
        </is>
      </c>
      <c r="H2976">
        <f>VLOOKUP(C2976,Магазин!$A$2:$C$1000,2,0)</f>
        <v/>
      </c>
      <c r="I2976">
        <f>VLOOKUP(D2976,Товар!$A$2:$F$1000,3,0)</f>
        <v/>
      </c>
      <c r="J2976">
        <f>VLOOKUP(D2976,Товар!$A$2:$F$1000,5,0)</f>
        <v/>
      </c>
      <c r="K2976">
        <f>IF(AND(H2976="Промышленный",LEFT(I2976,18)="Порошок стиральный",F2976="Продажа",B2976=DATE(2023,6,7)),E2976*J2976/1000,0)</f>
        <v/>
      </c>
    </row>
    <row r="2977">
      <c r="A2977" t="n">
        <v>2976</v>
      </c>
      <c r="B2977" s="1" t="n">
        <v>45086</v>
      </c>
      <c r="C2977" s="5" t="inlineStr">
        <is>
          <t>M2</t>
        </is>
      </c>
      <c r="D2977" s="5" t="n">
        <v>60</v>
      </c>
      <c r="E2977" s="5" t="n">
        <v>400</v>
      </c>
      <c r="F2977" t="inlineStr">
        <is>
          <t>Поступление</t>
        </is>
      </c>
      <c r="H2977">
        <f>VLOOKUP(C2977,Магазин!$A$2:$C$1000,2,0)</f>
        <v/>
      </c>
      <c r="I2977">
        <f>VLOOKUP(D2977,Товар!$A$2:$F$1000,3,0)</f>
        <v/>
      </c>
      <c r="J2977">
        <f>VLOOKUP(D2977,Товар!$A$2:$F$1000,5,0)</f>
        <v/>
      </c>
      <c r="K2977">
        <f>IF(AND(H2977="Промышленный",LEFT(I2977,18)="Порошок стиральный",F2977="Продажа",B2977=DATE(2023,6,7)),E2977*J2977/1000,0)</f>
        <v/>
      </c>
    </row>
    <row r="2978">
      <c r="A2978" t="n">
        <v>2977</v>
      </c>
      <c r="B2978" s="1" t="n">
        <v>45086</v>
      </c>
      <c r="C2978" s="5" t="inlineStr">
        <is>
          <t>M4</t>
        </is>
      </c>
      <c r="D2978" s="5" t="n">
        <v>37</v>
      </c>
      <c r="E2978" s="5" t="n">
        <v>400</v>
      </c>
      <c r="F2978" t="inlineStr">
        <is>
          <t>Поступление</t>
        </is>
      </c>
      <c r="H2978">
        <f>VLOOKUP(C2978,Магазин!$A$2:$C$1000,2,0)</f>
        <v/>
      </c>
      <c r="I2978">
        <f>VLOOKUP(D2978,Товар!$A$2:$F$1000,3,0)</f>
        <v/>
      </c>
      <c r="J2978">
        <f>VLOOKUP(D2978,Товар!$A$2:$F$1000,5,0)</f>
        <v/>
      </c>
      <c r="K2978">
        <f>IF(AND(H2978="Промышленный",LEFT(I2978,18)="Порошок стиральный",F2978="Продажа",B2978=DATE(2023,6,7)),E2978*J2978/1000,0)</f>
        <v/>
      </c>
    </row>
    <row r="2979">
      <c r="A2979" t="n">
        <v>2978</v>
      </c>
      <c r="B2979" s="1" t="n">
        <v>45086</v>
      </c>
      <c r="C2979" s="5" t="inlineStr">
        <is>
          <t>M4</t>
        </is>
      </c>
      <c r="D2979" s="5" t="n">
        <v>38</v>
      </c>
      <c r="E2979" s="5" t="n">
        <v>400</v>
      </c>
      <c r="F2979" t="inlineStr">
        <is>
          <t>Поступление</t>
        </is>
      </c>
      <c r="H2979">
        <f>VLOOKUP(C2979,Магазин!$A$2:$C$1000,2,0)</f>
        <v/>
      </c>
      <c r="I2979">
        <f>VLOOKUP(D2979,Товар!$A$2:$F$1000,3,0)</f>
        <v/>
      </c>
      <c r="J2979">
        <f>VLOOKUP(D2979,Товар!$A$2:$F$1000,5,0)</f>
        <v/>
      </c>
      <c r="K2979">
        <f>IF(AND(H2979="Промышленный",LEFT(I2979,18)="Порошок стиральный",F2979="Продажа",B2979=DATE(2023,6,7)),E2979*J2979/1000,0)</f>
        <v/>
      </c>
    </row>
    <row r="2980">
      <c r="A2980" t="n">
        <v>2979</v>
      </c>
      <c r="B2980" s="1" t="n">
        <v>45086</v>
      </c>
      <c r="C2980" s="5" t="inlineStr">
        <is>
          <t>M4</t>
        </is>
      </c>
      <c r="D2980" s="5" t="n">
        <v>39</v>
      </c>
      <c r="E2980" s="5" t="n">
        <v>400</v>
      </c>
      <c r="F2980" t="inlineStr">
        <is>
          <t>Поступление</t>
        </is>
      </c>
      <c r="H2980">
        <f>VLOOKUP(C2980,Магазин!$A$2:$C$1000,2,0)</f>
        <v/>
      </c>
      <c r="I2980">
        <f>VLOOKUP(D2980,Товар!$A$2:$F$1000,3,0)</f>
        <v/>
      </c>
      <c r="J2980">
        <f>VLOOKUP(D2980,Товар!$A$2:$F$1000,5,0)</f>
        <v/>
      </c>
      <c r="K2980">
        <f>IF(AND(H2980="Промышленный",LEFT(I2980,18)="Порошок стиральный",F2980="Продажа",B2980=DATE(2023,6,7)),E2980*J2980/1000,0)</f>
        <v/>
      </c>
    </row>
    <row r="2981">
      <c r="A2981" t="n">
        <v>2980</v>
      </c>
      <c r="B2981" s="1" t="n">
        <v>45086</v>
      </c>
      <c r="C2981" s="5" t="inlineStr">
        <is>
          <t>M4</t>
        </is>
      </c>
      <c r="D2981" s="5" t="n">
        <v>40</v>
      </c>
      <c r="E2981" s="5" t="n">
        <v>400</v>
      </c>
      <c r="F2981" t="inlineStr">
        <is>
          <t>Поступление</t>
        </is>
      </c>
      <c r="H2981">
        <f>VLOOKUP(C2981,Магазин!$A$2:$C$1000,2,0)</f>
        <v/>
      </c>
      <c r="I2981">
        <f>VLOOKUP(D2981,Товар!$A$2:$F$1000,3,0)</f>
        <v/>
      </c>
      <c r="J2981">
        <f>VLOOKUP(D2981,Товар!$A$2:$F$1000,5,0)</f>
        <v/>
      </c>
      <c r="K2981">
        <f>IF(AND(H2981="Промышленный",LEFT(I2981,18)="Порошок стиральный",F2981="Продажа",B2981=DATE(2023,6,7)),E2981*J2981/1000,0)</f>
        <v/>
      </c>
    </row>
    <row r="2982">
      <c r="A2982" t="n">
        <v>2981</v>
      </c>
      <c r="B2982" s="1" t="n">
        <v>45086</v>
      </c>
      <c r="C2982" s="5" t="inlineStr">
        <is>
          <t>M4</t>
        </is>
      </c>
      <c r="D2982" s="5" t="n">
        <v>41</v>
      </c>
      <c r="E2982" s="5" t="n">
        <v>400</v>
      </c>
      <c r="F2982" t="inlineStr">
        <is>
          <t>Поступление</t>
        </is>
      </c>
      <c r="H2982">
        <f>VLOOKUP(C2982,Магазин!$A$2:$C$1000,2,0)</f>
        <v/>
      </c>
      <c r="I2982">
        <f>VLOOKUP(D2982,Товар!$A$2:$F$1000,3,0)</f>
        <v/>
      </c>
      <c r="J2982">
        <f>VLOOKUP(D2982,Товар!$A$2:$F$1000,5,0)</f>
        <v/>
      </c>
      <c r="K2982">
        <f>IF(AND(H2982="Промышленный",LEFT(I2982,18)="Порошок стиральный",F2982="Продажа",B2982=DATE(2023,6,7)),E2982*J2982/1000,0)</f>
        <v/>
      </c>
    </row>
    <row r="2983">
      <c r="A2983" t="n">
        <v>2982</v>
      </c>
      <c r="B2983" s="1" t="n">
        <v>45086</v>
      </c>
      <c r="C2983" s="5" t="inlineStr">
        <is>
          <t>M4</t>
        </is>
      </c>
      <c r="D2983" s="5" t="n">
        <v>42</v>
      </c>
      <c r="E2983" s="5" t="n">
        <v>400</v>
      </c>
      <c r="F2983" t="inlineStr">
        <is>
          <t>Поступление</t>
        </is>
      </c>
      <c r="H2983">
        <f>VLOOKUP(C2983,Магазин!$A$2:$C$1000,2,0)</f>
        <v/>
      </c>
      <c r="I2983">
        <f>VLOOKUP(D2983,Товар!$A$2:$F$1000,3,0)</f>
        <v/>
      </c>
      <c r="J2983">
        <f>VLOOKUP(D2983,Товар!$A$2:$F$1000,5,0)</f>
        <v/>
      </c>
      <c r="K2983">
        <f>IF(AND(H2983="Промышленный",LEFT(I2983,18)="Порошок стиральный",F2983="Продажа",B2983=DATE(2023,6,7)),E2983*J2983/1000,0)</f>
        <v/>
      </c>
    </row>
    <row r="2984">
      <c r="A2984" t="n">
        <v>2983</v>
      </c>
      <c r="B2984" s="1" t="n">
        <v>45086</v>
      </c>
      <c r="C2984" s="5" t="inlineStr">
        <is>
          <t>M4</t>
        </is>
      </c>
      <c r="D2984" s="5" t="n">
        <v>43</v>
      </c>
      <c r="E2984" s="5" t="n">
        <v>400</v>
      </c>
      <c r="F2984" t="inlineStr">
        <is>
          <t>Поступление</t>
        </is>
      </c>
      <c r="H2984">
        <f>VLOOKUP(C2984,Магазин!$A$2:$C$1000,2,0)</f>
        <v/>
      </c>
      <c r="I2984">
        <f>VLOOKUP(D2984,Товар!$A$2:$F$1000,3,0)</f>
        <v/>
      </c>
      <c r="J2984">
        <f>VLOOKUP(D2984,Товар!$A$2:$F$1000,5,0)</f>
        <v/>
      </c>
      <c r="K2984">
        <f>IF(AND(H2984="Промышленный",LEFT(I2984,18)="Порошок стиральный",F2984="Продажа",B2984=DATE(2023,6,7)),E2984*J2984/1000,0)</f>
        <v/>
      </c>
    </row>
    <row r="2985">
      <c r="A2985" t="n">
        <v>2984</v>
      </c>
      <c r="B2985" s="1" t="n">
        <v>45086</v>
      </c>
      <c r="C2985" s="5" t="inlineStr">
        <is>
          <t>M4</t>
        </is>
      </c>
      <c r="D2985" s="5" t="n">
        <v>44</v>
      </c>
      <c r="E2985" s="5" t="n">
        <v>400</v>
      </c>
      <c r="F2985" t="inlineStr">
        <is>
          <t>Поступление</t>
        </is>
      </c>
      <c r="H2985">
        <f>VLOOKUP(C2985,Магазин!$A$2:$C$1000,2,0)</f>
        <v/>
      </c>
      <c r="I2985">
        <f>VLOOKUP(D2985,Товар!$A$2:$F$1000,3,0)</f>
        <v/>
      </c>
      <c r="J2985">
        <f>VLOOKUP(D2985,Товар!$A$2:$F$1000,5,0)</f>
        <v/>
      </c>
      <c r="K2985">
        <f>IF(AND(H2985="Промышленный",LEFT(I2985,18)="Порошок стиральный",F2985="Продажа",B2985=DATE(2023,6,7)),E2985*J2985/1000,0)</f>
        <v/>
      </c>
    </row>
    <row r="2986">
      <c r="A2986" t="n">
        <v>2985</v>
      </c>
      <c r="B2986" s="1" t="n">
        <v>45086</v>
      </c>
      <c r="C2986" s="5" t="inlineStr">
        <is>
          <t>M4</t>
        </is>
      </c>
      <c r="D2986" s="5" t="n">
        <v>45</v>
      </c>
      <c r="E2986" s="5" t="n">
        <v>400</v>
      </c>
      <c r="F2986" t="inlineStr">
        <is>
          <t>Поступление</t>
        </is>
      </c>
      <c r="H2986">
        <f>VLOOKUP(C2986,Магазин!$A$2:$C$1000,2,0)</f>
        <v/>
      </c>
      <c r="I2986">
        <f>VLOOKUP(D2986,Товар!$A$2:$F$1000,3,0)</f>
        <v/>
      </c>
      <c r="J2986">
        <f>VLOOKUP(D2986,Товар!$A$2:$F$1000,5,0)</f>
        <v/>
      </c>
      <c r="K2986">
        <f>IF(AND(H2986="Промышленный",LEFT(I2986,18)="Порошок стиральный",F2986="Продажа",B2986=DATE(2023,6,7)),E2986*J2986/1000,0)</f>
        <v/>
      </c>
    </row>
    <row r="2987">
      <c r="A2987" t="n">
        <v>2986</v>
      </c>
      <c r="B2987" s="1" t="n">
        <v>45086</v>
      </c>
      <c r="C2987" s="5" t="inlineStr">
        <is>
          <t>M4</t>
        </is>
      </c>
      <c r="D2987" s="5" t="n">
        <v>46</v>
      </c>
      <c r="E2987" s="5" t="n">
        <v>400</v>
      </c>
      <c r="F2987" t="inlineStr">
        <is>
          <t>Поступление</t>
        </is>
      </c>
      <c r="H2987">
        <f>VLOOKUP(C2987,Магазин!$A$2:$C$1000,2,0)</f>
        <v/>
      </c>
      <c r="I2987">
        <f>VLOOKUP(D2987,Товар!$A$2:$F$1000,3,0)</f>
        <v/>
      </c>
      <c r="J2987">
        <f>VLOOKUP(D2987,Товар!$A$2:$F$1000,5,0)</f>
        <v/>
      </c>
      <c r="K2987">
        <f>IF(AND(H2987="Промышленный",LEFT(I2987,18)="Порошок стиральный",F2987="Продажа",B2987=DATE(2023,6,7)),E2987*J2987/1000,0)</f>
        <v/>
      </c>
    </row>
    <row r="2988">
      <c r="A2988" t="n">
        <v>2987</v>
      </c>
      <c r="B2988" s="1" t="n">
        <v>45086</v>
      </c>
      <c r="C2988" s="5" t="inlineStr">
        <is>
          <t>M4</t>
        </is>
      </c>
      <c r="D2988" s="5" t="n">
        <v>47</v>
      </c>
      <c r="E2988" s="5" t="n">
        <v>400</v>
      </c>
      <c r="F2988" t="inlineStr">
        <is>
          <t>Поступление</t>
        </is>
      </c>
      <c r="H2988">
        <f>VLOOKUP(C2988,Магазин!$A$2:$C$1000,2,0)</f>
        <v/>
      </c>
      <c r="I2988">
        <f>VLOOKUP(D2988,Товар!$A$2:$F$1000,3,0)</f>
        <v/>
      </c>
      <c r="J2988">
        <f>VLOOKUP(D2988,Товар!$A$2:$F$1000,5,0)</f>
        <v/>
      </c>
      <c r="K2988">
        <f>IF(AND(H2988="Промышленный",LEFT(I2988,18)="Порошок стиральный",F2988="Продажа",B2988=DATE(2023,6,7)),E2988*J2988/1000,0)</f>
        <v/>
      </c>
    </row>
    <row r="2989">
      <c r="A2989" t="n">
        <v>2988</v>
      </c>
      <c r="B2989" s="1" t="n">
        <v>45086</v>
      </c>
      <c r="C2989" s="5" t="inlineStr">
        <is>
          <t>M4</t>
        </is>
      </c>
      <c r="D2989" s="5" t="n">
        <v>48</v>
      </c>
      <c r="E2989" s="5" t="n">
        <v>400</v>
      </c>
      <c r="F2989" t="inlineStr">
        <is>
          <t>Поступление</t>
        </is>
      </c>
      <c r="H2989">
        <f>VLOOKUP(C2989,Магазин!$A$2:$C$1000,2,0)</f>
        <v/>
      </c>
      <c r="I2989">
        <f>VLOOKUP(D2989,Товар!$A$2:$F$1000,3,0)</f>
        <v/>
      </c>
      <c r="J2989">
        <f>VLOOKUP(D2989,Товар!$A$2:$F$1000,5,0)</f>
        <v/>
      </c>
      <c r="K2989">
        <f>IF(AND(H2989="Промышленный",LEFT(I2989,18)="Порошок стиральный",F2989="Продажа",B2989=DATE(2023,6,7)),E2989*J2989/1000,0)</f>
        <v/>
      </c>
    </row>
    <row r="2990">
      <c r="A2990" t="n">
        <v>2989</v>
      </c>
      <c r="B2990" s="1" t="n">
        <v>45086</v>
      </c>
      <c r="C2990" s="5" t="inlineStr">
        <is>
          <t>M4</t>
        </is>
      </c>
      <c r="D2990" s="5" t="n">
        <v>49</v>
      </c>
      <c r="E2990" s="5" t="n">
        <v>400</v>
      </c>
      <c r="F2990" t="inlineStr">
        <is>
          <t>Поступление</t>
        </is>
      </c>
      <c r="H2990">
        <f>VLOOKUP(C2990,Магазин!$A$2:$C$1000,2,0)</f>
        <v/>
      </c>
      <c r="I2990">
        <f>VLOOKUP(D2990,Товар!$A$2:$F$1000,3,0)</f>
        <v/>
      </c>
      <c r="J2990">
        <f>VLOOKUP(D2990,Товар!$A$2:$F$1000,5,0)</f>
        <v/>
      </c>
      <c r="K2990">
        <f>IF(AND(H2990="Промышленный",LEFT(I2990,18)="Порошок стиральный",F2990="Продажа",B2990=DATE(2023,6,7)),E2990*J2990/1000,0)</f>
        <v/>
      </c>
    </row>
    <row r="2991">
      <c r="A2991" t="n">
        <v>2990</v>
      </c>
      <c r="B2991" s="1" t="n">
        <v>45086</v>
      </c>
      <c r="C2991" s="5" t="inlineStr">
        <is>
          <t>M4</t>
        </is>
      </c>
      <c r="D2991" s="5" t="n">
        <v>50</v>
      </c>
      <c r="E2991" s="5" t="n">
        <v>400</v>
      </c>
      <c r="F2991" t="inlineStr">
        <is>
          <t>Поступление</t>
        </is>
      </c>
      <c r="H2991">
        <f>VLOOKUP(C2991,Магазин!$A$2:$C$1000,2,0)</f>
        <v/>
      </c>
      <c r="I2991">
        <f>VLOOKUP(D2991,Товар!$A$2:$F$1000,3,0)</f>
        <v/>
      </c>
      <c r="J2991">
        <f>VLOOKUP(D2991,Товар!$A$2:$F$1000,5,0)</f>
        <v/>
      </c>
      <c r="K2991">
        <f>IF(AND(H2991="Промышленный",LEFT(I2991,18)="Порошок стиральный",F2991="Продажа",B2991=DATE(2023,6,7)),E2991*J2991/1000,0)</f>
        <v/>
      </c>
    </row>
    <row r="2992">
      <c r="A2992" t="n">
        <v>2991</v>
      </c>
      <c r="B2992" s="1" t="n">
        <v>45086</v>
      </c>
      <c r="C2992" s="5" t="inlineStr">
        <is>
          <t>M4</t>
        </is>
      </c>
      <c r="D2992" s="5" t="n">
        <v>51</v>
      </c>
      <c r="E2992" s="5" t="n">
        <v>400</v>
      </c>
      <c r="F2992" t="inlineStr">
        <is>
          <t>Поступление</t>
        </is>
      </c>
      <c r="H2992">
        <f>VLOOKUP(C2992,Магазин!$A$2:$C$1000,2,0)</f>
        <v/>
      </c>
      <c r="I2992">
        <f>VLOOKUP(D2992,Товар!$A$2:$F$1000,3,0)</f>
        <v/>
      </c>
      <c r="J2992">
        <f>VLOOKUP(D2992,Товар!$A$2:$F$1000,5,0)</f>
        <v/>
      </c>
      <c r="K2992">
        <f>IF(AND(H2992="Промышленный",LEFT(I2992,18)="Порошок стиральный",F2992="Продажа",B2992=DATE(2023,6,7)),E2992*J2992/1000,0)</f>
        <v/>
      </c>
    </row>
    <row r="2993">
      <c r="A2993" t="n">
        <v>2992</v>
      </c>
      <c r="B2993" s="1" t="n">
        <v>45086</v>
      </c>
      <c r="C2993" s="5" t="inlineStr">
        <is>
          <t>M4</t>
        </is>
      </c>
      <c r="D2993" s="5" t="n">
        <v>52</v>
      </c>
      <c r="E2993" s="5" t="n">
        <v>400</v>
      </c>
      <c r="F2993" t="inlineStr">
        <is>
          <t>Поступление</t>
        </is>
      </c>
      <c r="H2993">
        <f>VLOOKUP(C2993,Магазин!$A$2:$C$1000,2,0)</f>
        <v/>
      </c>
      <c r="I2993">
        <f>VLOOKUP(D2993,Товар!$A$2:$F$1000,3,0)</f>
        <v/>
      </c>
      <c r="J2993">
        <f>VLOOKUP(D2993,Товар!$A$2:$F$1000,5,0)</f>
        <v/>
      </c>
      <c r="K2993">
        <f>IF(AND(H2993="Промышленный",LEFT(I2993,18)="Порошок стиральный",F2993="Продажа",B2993=DATE(2023,6,7)),E2993*J2993/1000,0)</f>
        <v/>
      </c>
    </row>
    <row r="2994">
      <c r="A2994" t="n">
        <v>2993</v>
      </c>
      <c r="B2994" s="1" t="n">
        <v>45086</v>
      </c>
      <c r="C2994" s="5" t="inlineStr">
        <is>
          <t>M4</t>
        </is>
      </c>
      <c r="D2994" s="5" t="n">
        <v>53</v>
      </c>
      <c r="E2994" s="5" t="n">
        <v>400</v>
      </c>
      <c r="F2994" t="inlineStr">
        <is>
          <t>Поступление</t>
        </is>
      </c>
      <c r="H2994">
        <f>VLOOKUP(C2994,Магазин!$A$2:$C$1000,2,0)</f>
        <v/>
      </c>
      <c r="I2994">
        <f>VLOOKUP(D2994,Товар!$A$2:$F$1000,3,0)</f>
        <v/>
      </c>
      <c r="J2994">
        <f>VLOOKUP(D2994,Товар!$A$2:$F$1000,5,0)</f>
        <v/>
      </c>
      <c r="K2994">
        <f>IF(AND(H2994="Промышленный",LEFT(I2994,18)="Порошок стиральный",F2994="Продажа",B2994=DATE(2023,6,7)),E2994*J2994/1000,0)</f>
        <v/>
      </c>
    </row>
    <row r="2995">
      <c r="A2995" t="n">
        <v>2994</v>
      </c>
      <c r="B2995" s="1" t="n">
        <v>45086</v>
      </c>
      <c r="C2995" s="5" t="inlineStr">
        <is>
          <t>M4</t>
        </is>
      </c>
      <c r="D2995" s="5" t="n">
        <v>54</v>
      </c>
      <c r="E2995" s="5" t="n">
        <v>400</v>
      </c>
      <c r="F2995" t="inlineStr">
        <is>
          <t>Поступление</t>
        </is>
      </c>
      <c r="H2995">
        <f>VLOOKUP(C2995,Магазин!$A$2:$C$1000,2,0)</f>
        <v/>
      </c>
      <c r="I2995">
        <f>VLOOKUP(D2995,Товар!$A$2:$F$1000,3,0)</f>
        <v/>
      </c>
      <c r="J2995">
        <f>VLOOKUP(D2995,Товар!$A$2:$F$1000,5,0)</f>
        <v/>
      </c>
      <c r="K2995">
        <f>IF(AND(H2995="Промышленный",LEFT(I2995,18)="Порошок стиральный",F2995="Продажа",B2995=DATE(2023,6,7)),E2995*J2995/1000,0)</f>
        <v/>
      </c>
    </row>
    <row r="2996">
      <c r="A2996" t="n">
        <v>2995</v>
      </c>
      <c r="B2996" s="1" t="n">
        <v>45086</v>
      </c>
      <c r="C2996" s="5" t="inlineStr">
        <is>
          <t>M4</t>
        </is>
      </c>
      <c r="D2996" s="5" t="n">
        <v>55</v>
      </c>
      <c r="E2996" s="5" t="n">
        <v>400</v>
      </c>
      <c r="F2996" t="inlineStr">
        <is>
          <t>Поступление</t>
        </is>
      </c>
      <c r="H2996">
        <f>VLOOKUP(C2996,Магазин!$A$2:$C$1000,2,0)</f>
        <v/>
      </c>
      <c r="I2996">
        <f>VLOOKUP(D2996,Товар!$A$2:$F$1000,3,0)</f>
        <v/>
      </c>
      <c r="J2996">
        <f>VLOOKUP(D2996,Товар!$A$2:$F$1000,5,0)</f>
        <v/>
      </c>
      <c r="K2996">
        <f>IF(AND(H2996="Промышленный",LEFT(I2996,18)="Порошок стиральный",F2996="Продажа",B2996=DATE(2023,6,7)),E2996*J2996/1000,0)</f>
        <v/>
      </c>
    </row>
    <row r="2997">
      <c r="A2997" t="n">
        <v>2996</v>
      </c>
      <c r="B2997" s="1" t="n">
        <v>45086</v>
      </c>
      <c r="C2997" s="5" t="inlineStr">
        <is>
          <t>M4</t>
        </is>
      </c>
      <c r="D2997" s="5" t="n">
        <v>56</v>
      </c>
      <c r="E2997" s="5" t="n">
        <v>400</v>
      </c>
      <c r="F2997" t="inlineStr">
        <is>
          <t>Поступление</t>
        </is>
      </c>
      <c r="H2997">
        <f>VLOOKUP(C2997,Магазин!$A$2:$C$1000,2,0)</f>
        <v/>
      </c>
      <c r="I2997">
        <f>VLOOKUP(D2997,Товар!$A$2:$F$1000,3,0)</f>
        <v/>
      </c>
      <c r="J2997">
        <f>VLOOKUP(D2997,Товар!$A$2:$F$1000,5,0)</f>
        <v/>
      </c>
      <c r="K2997">
        <f>IF(AND(H2997="Промышленный",LEFT(I2997,18)="Порошок стиральный",F2997="Продажа",B2997=DATE(2023,6,7)),E2997*J2997/1000,0)</f>
        <v/>
      </c>
    </row>
    <row r="2998">
      <c r="A2998" t="n">
        <v>2997</v>
      </c>
      <c r="B2998" s="1" t="n">
        <v>45086</v>
      </c>
      <c r="C2998" s="5" t="inlineStr">
        <is>
          <t>M4</t>
        </is>
      </c>
      <c r="D2998" s="5" t="n">
        <v>57</v>
      </c>
      <c r="E2998" s="5" t="n">
        <v>400</v>
      </c>
      <c r="F2998" t="inlineStr">
        <is>
          <t>Поступление</t>
        </is>
      </c>
      <c r="H2998">
        <f>VLOOKUP(C2998,Магазин!$A$2:$C$1000,2,0)</f>
        <v/>
      </c>
      <c r="I2998">
        <f>VLOOKUP(D2998,Товар!$A$2:$F$1000,3,0)</f>
        <v/>
      </c>
      <c r="J2998">
        <f>VLOOKUP(D2998,Товар!$A$2:$F$1000,5,0)</f>
        <v/>
      </c>
      <c r="K2998">
        <f>IF(AND(H2998="Промышленный",LEFT(I2998,18)="Порошок стиральный",F2998="Продажа",B2998=DATE(2023,6,7)),E2998*J2998/1000,0)</f>
        <v/>
      </c>
    </row>
    <row r="2999">
      <c r="A2999" t="n">
        <v>2998</v>
      </c>
      <c r="B2999" s="1" t="n">
        <v>45086</v>
      </c>
      <c r="C2999" s="5" t="inlineStr">
        <is>
          <t>M4</t>
        </is>
      </c>
      <c r="D2999" s="5" t="n">
        <v>58</v>
      </c>
      <c r="E2999" s="5" t="n">
        <v>400</v>
      </c>
      <c r="F2999" t="inlineStr">
        <is>
          <t>Поступление</t>
        </is>
      </c>
      <c r="H2999">
        <f>VLOOKUP(C2999,Магазин!$A$2:$C$1000,2,0)</f>
        <v/>
      </c>
      <c r="I2999">
        <f>VLOOKUP(D2999,Товар!$A$2:$F$1000,3,0)</f>
        <v/>
      </c>
      <c r="J2999">
        <f>VLOOKUP(D2999,Товар!$A$2:$F$1000,5,0)</f>
        <v/>
      </c>
      <c r="K2999">
        <f>IF(AND(H2999="Промышленный",LEFT(I2999,18)="Порошок стиральный",F2999="Продажа",B2999=DATE(2023,6,7)),E2999*J2999/1000,0)</f>
        <v/>
      </c>
    </row>
    <row r="3000">
      <c r="A3000" t="n">
        <v>2999</v>
      </c>
      <c r="B3000" s="1" t="n">
        <v>45086</v>
      </c>
      <c r="C3000" s="5" t="inlineStr">
        <is>
          <t>M4</t>
        </is>
      </c>
      <c r="D3000" s="5" t="n">
        <v>59</v>
      </c>
      <c r="E3000" s="5" t="n">
        <v>400</v>
      </c>
      <c r="F3000" t="inlineStr">
        <is>
          <t>Поступление</t>
        </is>
      </c>
      <c r="H3000">
        <f>VLOOKUP(C3000,Магазин!$A$2:$C$1000,2,0)</f>
        <v/>
      </c>
      <c r="I3000">
        <f>VLOOKUP(D3000,Товар!$A$2:$F$1000,3,0)</f>
        <v/>
      </c>
      <c r="J3000">
        <f>VLOOKUP(D3000,Товар!$A$2:$F$1000,5,0)</f>
        <v/>
      </c>
      <c r="K3000">
        <f>IF(AND(H3000="Промышленный",LEFT(I3000,18)="Порошок стиральный",F3000="Продажа",B3000=DATE(2023,6,7)),E3000*J3000/1000,0)</f>
        <v/>
      </c>
    </row>
    <row r="3001">
      <c r="A3001" t="n">
        <v>3000</v>
      </c>
      <c r="B3001" s="1" t="n">
        <v>45086</v>
      </c>
      <c r="C3001" s="5" t="inlineStr">
        <is>
          <t>M4</t>
        </is>
      </c>
      <c r="D3001" s="5" t="n">
        <v>60</v>
      </c>
      <c r="E3001" s="5" t="n">
        <v>400</v>
      </c>
      <c r="F3001" t="inlineStr">
        <is>
          <t>Поступление</t>
        </is>
      </c>
      <c r="H3001">
        <f>VLOOKUP(C3001,Магазин!$A$2:$C$1000,2,0)</f>
        <v/>
      </c>
      <c r="I3001">
        <f>VLOOKUP(D3001,Товар!$A$2:$F$1000,3,0)</f>
        <v/>
      </c>
      <c r="J3001">
        <f>VLOOKUP(D3001,Товар!$A$2:$F$1000,5,0)</f>
        <v/>
      </c>
      <c r="K3001">
        <f>IF(AND(H3001="Промышленный",LEFT(I3001,18)="Порошок стиральный",F3001="Продажа",B3001=DATE(2023,6,7)),E3001*J3001/1000,0)</f>
        <v/>
      </c>
    </row>
    <row r="3002">
      <c r="A3002" t="n">
        <v>3001</v>
      </c>
      <c r="B3002" s="1" t="n">
        <v>45086</v>
      </c>
      <c r="C3002" s="5" t="inlineStr">
        <is>
          <t>M7</t>
        </is>
      </c>
      <c r="D3002" s="5" t="n">
        <v>37</v>
      </c>
      <c r="E3002" s="5" t="n">
        <v>400</v>
      </c>
      <c r="F3002" t="inlineStr">
        <is>
          <t>Поступление</t>
        </is>
      </c>
      <c r="H3002">
        <f>VLOOKUP(C3002,Магазин!$A$2:$C$1000,2,0)</f>
        <v/>
      </c>
      <c r="I3002">
        <f>VLOOKUP(D3002,Товар!$A$2:$F$1000,3,0)</f>
        <v/>
      </c>
      <c r="J3002">
        <f>VLOOKUP(D3002,Товар!$A$2:$F$1000,5,0)</f>
        <v/>
      </c>
      <c r="K3002">
        <f>IF(AND(H3002="Промышленный",LEFT(I3002,18)="Порошок стиральный",F3002="Продажа",B3002=DATE(2023,6,7)),E3002*J3002/1000,0)</f>
        <v/>
      </c>
    </row>
    <row r="3003">
      <c r="A3003" t="n">
        <v>3002</v>
      </c>
      <c r="B3003" s="1" t="n">
        <v>45086</v>
      </c>
      <c r="C3003" s="5" t="inlineStr">
        <is>
          <t>M7</t>
        </is>
      </c>
      <c r="D3003" s="5" t="n">
        <v>38</v>
      </c>
      <c r="E3003" s="5" t="n">
        <v>400</v>
      </c>
      <c r="F3003" t="inlineStr">
        <is>
          <t>Поступление</t>
        </is>
      </c>
      <c r="H3003">
        <f>VLOOKUP(C3003,Магазин!$A$2:$C$1000,2,0)</f>
        <v/>
      </c>
      <c r="I3003">
        <f>VLOOKUP(D3003,Товар!$A$2:$F$1000,3,0)</f>
        <v/>
      </c>
      <c r="J3003">
        <f>VLOOKUP(D3003,Товар!$A$2:$F$1000,5,0)</f>
        <v/>
      </c>
      <c r="K3003">
        <f>IF(AND(H3003="Промышленный",LEFT(I3003,18)="Порошок стиральный",F3003="Продажа",B3003=DATE(2023,6,7)),E3003*J3003/1000,0)</f>
        <v/>
      </c>
    </row>
    <row r="3004">
      <c r="A3004" t="n">
        <v>3003</v>
      </c>
      <c r="B3004" s="1" t="n">
        <v>45086</v>
      </c>
      <c r="C3004" s="5" t="inlineStr">
        <is>
          <t>M7</t>
        </is>
      </c>
      <c r="D3004" s="5" t="n">
        <v>39</v>
      </c>
      <c r="E3004" s="5" t="n">
        <v>400</v>
      </c>
      <c r="F3004" t="inlineStr">
        <is>
          <t>Поступление</t>
        </is>
      </c>
      <c r="H3004">
        <f>VLOOKUP(C3004,Магазин!$A$2:$C$1000,2,0)</f>
        <v/>
      </c>
      <c r="I3004">
        <f>VLOOKUP(D3004,Товар!$A$2:$F$1000,3,0)</f>
        <v/>
      </c>
      <c r="J3004">
        <f>VLOOKUP(D3004,Товар!$A$2:$F$1000,5,0)</f>
        <v/>
      </c>
      <c r="K3004">
        <f>IF(AND(H3004="Промышленный",LEFT(I3004,18)="Порошок стиральный",F3004="Продажа",B3004=DATE(2023,6,7)),E3004*J3004/1000,0)</f>
        <v/>
      </c>
    </row>
    <row r="3005">
      <c r="A3005" t="n">
        <v>3004</v>
      </c>
      <c r="B3005" s="1" t="n">
        <v>45086</v>
      </c>
      <c r="C3005" s="5" t="inlineStr">
        <is>
          <t>M7</t>
        </is>
      </c>
      <c r="D3005" s="5" t="n">
        <v>40</v>
      </c>
      <c r="E3005" s="5" t="n">
        <v>400</v>
      </c>
      <c r="F3005" t="inlineStr">
        <is>
          <t>Поступление</t>
        </is>
      </c>
      <c r="H3005">
        <f>VLOOKUP(C3005,Магазин!$A$2:$C$1000,2,0)</f>
        <v/>
      </c>
      <c r="I3005">
        <f>VLOOKUP(D3005,Товар!$A$2:$F$1000,3,0)</f>
        <v/>
      </c>
      <c r="J3005">
        <f>VLOOKUP(D3005,Товар!$A$2:$F$1000,5,0)</f>
        <v/>
      </c>
      <c r="K3005">
        <f>IF(AND(H3005="Промышленный",LEFT(I3005,18)="Порошок стиральный",F3005="Продажа",B3005=DATE(2023,6,7)),E3005*J3005/1000,0)</f>
        <v/>
      </c>
    </row>
    <row r="3006">
      <c r="A3006" t="n">
        <v>3005</v>
      </c>
      <c r="B3006" s="1" t="n">
        <v>45086</v>
      </c>
      <c r="C3006" s="5" t="inlineStr">
        <is>
          <t>M7</t>
        </is>
      </c>
      <c r="D3006" s="5" t="n">
        <v>41</v>
      </c>
      <c r="E3006" s="5" t="n">
        <v>400</v>
      </c>
      <c r="F3006" t="inlineStr">
        <is>
          <t>Поступление</t>
        </is>
      </c>
      <c r="H3006">
        <f>VLOOKUP(C3006,Магазин!$A$2:$C$1000,2,0)</f>
        <v/>
      </c>
      <c r="I3006">
        <f>VLOOKUP(D3006,Товар!$A$2:$F$1000,3,0)</f>
        <v/>
      </c>
      <c r="J3006">
        <f>VLOOKUP(D3006,Товар!$A$2:$F$1000,5,0)</f>
        <v/>
      </c>
      <c r="K3006">
        <f>IF(AND(H3006="Промышленный",LEFT(I3006,18)="Порошок стиральный",F3006="Продажа",B3006=DATE(2023,6,7)),E3006*J3006/1000,0)</f>
        <v/>
      </c>
    </row>
    <row r="3007">
      <c r="A3007" t="n">
        <v>3006</v>
      </c>
      <c r="B3007" s="1" t="n">
        <v>45086</v>
      </c>
      <c r="C3007" s="5" t="inlineStr">
        <is>
          <t>M7</t>
        </is>
      </c>
      <c r="D3007" s="5" t="n">
        <v>42</v>
      </c>
      <c r="E3007" s="5" t="n">
        <v>400</v>
      </c>
      <c r="F3007" t="inlineStr">
        <is>
          <t>Поступление</t>
        </is>
      </c>
      <c r="H3007">
        <f>VLOOKUP(C3007,Магазин!$A$2:$C$1000,2,0)</f>
        <v/>
      </c>
      <c r="I3007">
        <f>VLOOKUP(D3007,Товар!$A$2:$F$1000,3,0)</f>
        <v/>
      </c>
      <c r="J3007">
        <f>VLOOKUP(D3007,Товар!$A$2:$F$1000,5,0)</f>
        <v/>
      </c>
      <c r="K3007">
        <f>IF(AND(H3007="Промышленный",LEFT(I3007,18)="Порошок стиральный",F3007="Продажа",B3007=DATE(2023,6,7)),E3007*J3007/1000,0)</f>
        <v/>
      </c>
    </row>
    <row r="3008">
      <c r="A3008" t="n">
        <v>3007</v>
      </c>
      <c r="B3008" s="1" t="n">
        <v>45086</v>
      </c>
      <c r="C3008" s="5" t="inlineStr">
        <is>
          <t>M7</t>
        </is>
      </c>
      <c r="D3008" s="5" t="n">
        <v>43</v>
      </c>
      <c r="E3008" s="5" t="n">
        <v>400</v>
      </c>
      <c r="F3008" t="inlineStr">
        <is>
          <t>Поступление</t>
        </is>
      </c>
      <c r="H3008">
        <f>VLOOKUP(C3008,Магазин!$A$2:$C$1000,2,0)</f>
        <v/>
      </c>
      <c r="I3008">
        <f>VLOOKUP(D3008,Товар!$A$2:$F$1000,3,0)</f>
        <v/>
      </c>
      <c r="J3008">
        <f>VLOOKUP(D3008,Товар!$A$2:$F$1000,5,0)</f>
        <v/>
      </c>
      <c r="K3008">
        <f>IF(AND(H3008="Промышленный",LEFT(I3008,18)="Порошок стиральный",F3008="Продажа",B3008=DATE(2023,6,7)),E3008*J3008/1000,0)</f>
        <v/>
      </c>
    </row>
    <row r="3009">
      <c r="A3009" t="n">
        <v>3008</v>
      </c>
      <c r="B3009" s="1" t="n">
        <v>45086</v>
      </c>
      <c r="C3009" s="5" t="inlineStr">
        <is>
          <t>M7</t>
        </is>
      </c>
      <c r="D3009" s="5" t="n">
        <v>44</v>
      </c>
      <c r="E3009" s="5" t="n">
        <v>400</v>
      </c>
      <c r="F3009" t="inlineStr">
        <is>
          <t>Поступление</t>
        </is>
      </c>
      <c r="H3009">
        <f>VLOOKUP(C3009,Магазин!$A$2:$C$1000,2,0)</f>
        <v/>
      </c>
      <c r="I3009">
        <f>VLOOKUP(D3009,Товар!$A$2:$F$1000,3,0)</f>
        <v/>
      </c>
      <c r="J3009">
        <f>VLOOKUP(D3009,Товар!$A$2:$F$1000,5,0)</f>
        <v/>
      </c>
      <c r="K3009">
        <f>IF(AND(H3009="Промышленный",LEFT(I3009,18)="Порошок стиральный",F3009="Продажа",B3009=DATE(2023,6,7)),E3009*J3009/1000,0)</f>
        <v/>
      </c>
    </row>
    <row r="3010">
      <c r="A3010" t="n">
        <v>3009</v>
      </c>
      <c r="B3010" s="1" t="n">
        <v>45086</v>
      </c>
      <c r="C3010" s="5" t="inlineStr">
        <is>
          <t>M7</t>
        </is>
      </c>
      <c r="D3010" s="5" t="n">
        <v>45</v>
      </c>
      <c r="E3010" s="5" t="n">
        <v>400</v>
      </c>
      <c r="F3010" t="inlineStr">
        <is>
          <t>Поступление</t>
        </is>
      </c>
      <c r="H3010">
        <f>VLOOKUP(C3010,Магазин!$A$2:$C$1000,2,0)</f>
        <v/>
      </c>
      <c r="I3010">
        <f>VLOOKUP(D3010,Товар!$A$2:$F$1000,3,0)</f>
        <v/>
      </c>
      <c r="J3010">
        <f>VLOOKUP(D3010,Товар!$A$2:$F$1000,5,0)</f>
        <v/>
      </c>
      <c r="K3010">
        <f>IF(AND(H3010="Промышленный",LEFT(I3010,18)="Порошок стиральный",F3010="Продажа",B3010=DATE(2023,6,7)),E3010*J3010/1000,0)</f>
        <v/>
      </c>
    </row>
    <row r="3011">
      <c r="A3011" t="n">
        <v>3010</v>
      </c>
      <c r="B3011" s="1" t="n">
        <v>45086</v>
      </c>
      <c r="C3011" s="5" t="inlineStr">
        <is>
          <t>M7</t>
        </is>
      </c>
      <c r="D3011" s="5" t="n">
        <v>46</v>
      </c>
      <c r="E3011" s="5" t="n">
        <v>400</v>
      </c>
      <c r="F3011" t="inlineStr">
        <is>
          <t>Поступление</t>
        </is>
      </c>
      <c r="H3011">
        <f>VLOOKUP(C3011,Магазин!$A$2:$C$1000,2,0)</f>
        <v/>
      </c>
      <c r="I3011">
        <f>VLOOKUP(D3011,Товар!$A$2:$F$1000,3,0)</f>
        <v/>
      </c>
      <c r="J3011">
        <f>VLOOKUP(D3011,Товар!$A$2:$F$1000,5,0)</f>
        <v/>
      </c>
      <c r="K3011">
        <f>IF(AND(H3011="Промышленный",LEFT(I3011,18)="Порошок стиральный",F3011="Продажа",B3011=DATE(2023,6,7)),E3011*J3011/1000,0)</f>
        <v/>
      </c>
    </row>
    <row r="3012">
      <c r="A3012" t="n">
        <v>3011</v>
      </c>
      <c r="B3012" s="1" t="n">
        <v>45086</v>
      </c>
      <c r="C3012" s="5" t="inlineStr">
        <is>
          <t>M7</t>
        </is>
      </c>
      <c r="D3012" s="5" t="n">
        <v>47</v>
      </c>
      <c r="E3012" s="5" t="n">
        <v>400</v>
      </c>
      <c r="F3012" t="inlineStr">
        <is>
          <t>Поступление</t>
        </is>
      </c>
      <c r="H3012">
        <f>VLOOKUP(C3012,Магазин!$A$2:$C$1000,2,0)</f>
        <v/>
      </c>
      <c r="I3012">
        <f>VLOOKUP(D3012,Товар!$A$2:$F$1000,3,0)</f>
        <v/>
      </c>
      <c r="J3012">
        <f>VLOOKUP(D3012,Товар!$A$2:$F$1000,5,0)</f>
        <v/>
      </c>
      <c r="K3012">
        <f>IF(AND(H3012="Промышленный",LEFT(I3012,18)="Порошок стиральный",F3012="Продажа",B3012=DATE(2023,6,7)),E3012*J3012/1000,0)</f>
        <v/>
      </c>
    </row>
    <row r="3013">
      <c r="A3013" t="n">
        <v>3012</v>
      </c>
      <c r="B3013" s="1" t="n">
        <v>45086</v>
      </c>
      <c r="C3013" s="5" t="inlineStr">
        <is>
          <t>M7</t>
        </is>
      </c>
      <c r="D3013" s="5" t="n">
        <v>48</v>
      </c>
      <c r="E3013" s="5" t="n">
        <v>400</v>
      </c>
      <c r="F3013" t="inlineStr">
        <is>
          <t>Поступление</t>
        </is>
      </c>
      <c r="H3013">
        <f>VLOOKUP(C3013,Магазин!$A$2:$C$1000,2,0)</f>
        <v/>
      </c>
      <c r="I3013">
        <f>VLOOKUP(D3013,Товар!$A$2:$F$1000,3,0)</f>
        <v/>
      </c>
      <c r="J3013">
        <f>VLOOKUP(D3013,Товар!$A$2:$F$1000,5,0)</f>
        <v/>
      </c>
      <c r="K3013">
        <f>IF(AND(H3013="Промышленный",LEFT(I3013,18)="Порошок стиральный",F3013="Продажа",B3013=DATE(2023,6,7)),E3013*J3013/1000,0)</f>
        <v/>
      </c>
    </row>
    <row r="3014">
      <c r="A3014" t="n">
        <v>3013</v>
      </c>
      <c r="B3014" s="1" t="n">
        <v>45086</v>
      </c>
      <c r="C3014" s="5" t="inlineStr">
        <is>
          <t>M7</t>
        </is>
      </c>
      <c r="D3014" s="5" t="n">
        <v>49</v>
      </c>
      <c r="E3014" s="5" t="n">
        <v>400</v>
      </c>
      <c r="F3014" t="inlineStr">
        <is>
          <t>Поступление</t>
        </is>
      </c>
      <c r="H3014">
        <f>VLOOKUP(C3014,Магазин!$A$2:$C$1000,2,0)</f>
        <v/>
      </c>
      <c r="I3014">
        <f>VLOOKUP(D3014,Товар!$A$2:$F$1000,3,0)</f>
        <v/>
      </c>
      <c r="J3014">
        <f>VLOOKUP(D3014,Товар!$A$2:$F$1000,5,0)</f>
        <v/>
      </c>
      <c r="K3014">
        <f>IF(AND(H3014="Промышленный",LEFT(I3014,18)="Порошок стиральный",F3014="Продажа",B3014=DATE(2023,6,7)),E3014*J3014/1000,0)</f>
        <v/>
      </c>
    </row>
    <row r="3015">
      <c r="A3015" t="n">
        <v>3014</v>
      </c>
      <c r="B3015" s="1" t="n">
        <v>45086</v>
      </c>
      <c r="C3015" s="5" t="inlineStr">
        <is>
          <t>M7</t>
        </is>
      </c>
      <c r="D3015" s="5" t="n">
        <v>50</v>
      </c>
      <c r="E3015" s="5" t="n">
        <v>400</v>
      </c>
      <c r="F3015" t="inlineStr">
        <is>
          <t>Поступление</t>
        </is>
      </c>
      <c r="H3015">
        <f>VLOOKUP(C3015,Магазин!$A$2:$C$1000,2,0)</f>
        <v/>
      </c>
      <c r="I3015">
        <f>VLOOKUP(D3015,Товар!$A$2:$F$1000,3,0)</f>
        <v/>
      </c>
      <c r="J3015">
        <f>VLOOKUP(D3015,Товар!$A$2:$F$1000,5,0)</f>
        <v/>
      </c>
      <c r="K3015">
        <f>IF(AND(H3015="Промышленный",LEFT(I3015,18)="Порошок стиральный",F3015="Продажа",B3015=DATE(2023,6,7)),E3015*J3015/1000,0)</f>
        <v/>
      </c>
    </row>
    <row r="3016">
      <c r="A3016" t="n">
        <v>3015</v>
      </c>
      <c r="B3016" s="1" t="n">
        <v>45086</v>
      </c>
      <c r="C3016" s="5" t="inlineStr">
        <is>
          <t>M7</t>
        </is>
      </c>
      <c r="D3016" s="5" t="n">
        <v>51</v>
      </c>
      <c r="E3016" s="5" t="n">
        <v>400</v>
      </c>
      <c r="F3016" t="inlineStr">
        <is>
          <t>Поступление</t>
        </is>
      </c>
      <c r="H3016">
        <f>VLOOKUP(C3016,Магазин!$A$2:$C$1000,2,0)</f>
        <v/>
      </c>
      <c r="I3016">
        <f>VLOOKUP(D3016,Товар!$A$2:$F$1000,3,0)</f>
        <v/>
      </c>
      <c r="J3016">
        <f>VLOOKUP(D3016,Товар!$A$2:$F$1000,5,0)</f>
        <v/>
      </c>
      <c r="K3016">
        <f>IF(AND(H3016="Промышленный",LEFT(I3016,18)="Порошок стиральный",F3016="Продажа",B3016=DATE(2023,6,7)),E3016*J3016/1000,0)</f>
        <v/>
      </c>
    </row>
    <row r="3017">
      <c r="A3017" t="n">
        <v>3016</v>
      </c>
      <c r="B3017" s="1" t="n">
        <v>45086</v>
      </c>
      <c r="C3017" s="5" t="inlineStr">
        <is>
          <t>M7</t>
        </is>
      </c>
      <c r="D3017" s="5" t="n">
        <v>52</v>
      </c>
      <c r="E3017" s="5" t="n">
        <v>400</v>
      </c>
      <c r="F3017" t="inlineStr">
        <is>
          <t>Поступление</t>
        </is>
      </c>
      <c r="H3017">
        <f>VLOOKUP(C3017,Магазин!$A$2:$C$1000,2,0)</f>
        <v/>
      </c>
      <c r="I3017">
        <f>VLOOKUP(D3017,Товар!$A$2:$F$1000,3,0)</f>
        <v/>
      </c>
      <c r="J3017">
        <f>VLOOKUP(D3017,Товар!$A$2:$F$1000,5,0)</f>
        <v/>
      </c>
      <c r="K3017">
        <f>IF(AND(H3017="Промышленный",LEFT(I3017,18)="Порошок стиральный",F3017="Продажа",B3017=DATE(2023,6,7)),E3017*J3017/1000,0)</f>
        <v/>
      </c>
    </row>
    <row r="3018">
      <c r="A3018" t="n">
        <v>3017</v>
      </c>
      <c r="B3018" s="1" t="n">
        <v>45086</v>
      </c>
      <c r="C3018" s="5" t="inlineStr">
        <is>
          <t>M7</t>
        </is>
      </c>
      <c r="D3018" s="5" t="n">
        <v>53</v>
      </c>
      <c r="E3018" s="5" t="n">
        <v>400</v>
      </c>
      <c r="F3018" t="inlineStr">
        <is>
          <t>Поступление</t>
        </is>
      </c>
      <c r="H3018">
        <f>VLOOKUP(C3018,Магазин!$A$2:$C$1000,2,0)</f>
        <v/>
      </c>
      <c r="I3018">
        <f>VLOOKUP(D3018,Товар!$A$2:$F$1000,3,0)</f>
        <v/>
      </c>
      <c r="J3018">
        <f>VLOOKUP(D3018,Товар!$A$2:$F$1000,5,0)</f>
        <v/>
      </c>
      <c r="K3018">
        <f>IF(AND(H3018="Промышленный",LEFT(I3018,18)="Порошок стиральный",F3018="Продажа",B3018=DATE(2023,6,7)),E3018*J3018/1000,0)</f>
        <v/>
      </c>
    </row>
    <row r="3019">
      <c r="A3019" t="n">
        <v>3018</v>
      </c>
      <c r="B3019" s="1" t="n">
        <v>45086</v>
      </c>
      <c r="C3019" s="5" t="inlineStr">
        <is>
          <t>M7</t>
        </is>
      </c>
      <c r="D3019" s="5" t="n">
        <v>54</v>
      </c>
      <c r="E3019" s="5" t="n">
        <v>400</v>
      </c>
      <c r="F3019" t="inlineStr">
        <is>
          <t>Поступление</t>
        </is>
      </c>
      <c r="H3019">
        <f>VLOOKUP(C3019,Магазин!$A$2:$C$1000,2,0)</f>
        <v/>
      </c>
      <c r="I3019">
        <f>VLOOKUP(D3019,Товар!$A$2:$F$1000,3,0)</f>
        <v/>
      </c>
      <c r="J3019">
        <f>VLOOKUP(D3019,Товар!$A$2:$F$1000,5,0)</f>
        <v/>
      </c>
      <c r="K3019">
        <f>IF(AND(H3019="Промышленный",LEFT(I3019,18)="Порошок стиральный",F3019="Продажа",B3019=DATE(2023,6,7)),E3019*J3019/1000,0)</f>
        <v/>
      </c>
    </row>
    <row r="3020">
      <c r="A3020" t="n">
        <v>3019</v>
      </c>
      <c r="B3020" s="1" t="n">
        <v>45086</v>
      </c>
      <c r="C3020" s="5" t="inlineStr">
        <is>
          <t>M7</t>
        </is>
      </c>
      <c r="D3020" s="5" t="n">
        <v>55</v>
      </c>
      <c r="E3020" s="5" t="n">
        <v>400</v>
      </c>
      <c r="F3020" t="inlineStr">
        <is>
          <t>Поступление</t>
        </is>
      </c>
      <c r="H3020">
        <f>VLOOKUP(C3020,Магазин!$A$2:$C$1000,2,0)</f>
        <v/>
      </c>
      <c r="I3020">
        <f>VLOOKUP(D3020,Товар!$A$2:$F$1000,3,0)</f>
        <v/>
      </c>
      <c r="J3020">
        <f>VLOOKUP(D3020,Товар!$A$2:$F$1000,5,0)</f>
        <v/>
      </c>
      <c r="K3020">
        <f>IF(AND(H3020="Промышленный",LEFT(I3020,18)="Порошок стиральный",F3020="Продажа",B3020=DATE(2023,6,7)),E3020*J3020/1000,0)</f>
        <v/>
      </c>
    </row>
    <row r="3021">
      <c r="A3021" t="n">
        <v>3020</v>
      </c>
      <c r="B3021" s="1" t="n">
        <v>45086</v>
      </c>
      <c r="C3021" s="5" t="inlineStr">
        <is>
          <t>M7</t>
        </is>
      </c>
      <c r="D3021" s="5" t="n">
        <v>56</v>
      </c>
      <c r="E3021" s="5" t="n">
        <v>400</v>
      </c>
      <c r="F3021" t="inlineStr">
        <is>
          <t>Поступление</t>
        </is>
      </c>
      <c r="H3021">
        <f>VLOOKUP(C3021,Магазин!$A$2:$C$1000,2,0)</f>
        <v/>
      </c>
      <c r="I3021">
        <f>VLOOKUP(D3021,Товар!$A$2:$F$1000,3,0)</f>
        <v/>
      </c>
      <c r="J3021">
        <f>VLOOKUP(D3021,Товар!$A$2:$F$1000,5,0)</f>
        <v/>
      </c>
      <c r="K3021">
        <f>IF(AND(H3021="Промышленный",LEFT(I3021,18)="Порошок стиральный",F3021="Продажа",B3021=DATE(2023,6,7)),E3021*J3021/1000,0)</f>
        <v/>
      </c>
    </row>
    <row r="3022">
      <c r="A3022" t="n">
        <v>3021</v>
      </c>
      <c r="B3022" s="1" t="n">
        <v>45086</v>
      </c>
      <c r="C3022" s="5" t="inlineStr">
        <is>
          <t>M7</t>
        </is>
      </c>
      <c r="D3022" s="5" t="n">
        <v>57</v>
      </c>
      <c r="E3022" s="5" t="n">
        <v>400</v>
      </c>
      <c r="F3022" t="inlineStr">
        <is>
          <t>Поступление</t>
        </is>
      </c>
      <c r="H3022">
        <f>VLOOKUP(C3022,Магазин!$A$2:$C$1000,2,0)</f>
        <v/>
      </c>
      <c r="I3022">
        <f>VLOOKUP(D3022,Товар!$A$2:$F$1000,3,0)</f>
        <v/>
      </c>
      <c r="J3022">
        <f>VLOOKUP(D3022,Товар!$A$2:$F$1000,5,0)</f>
        <v/>
      </c>
      <c r="K3022">
        <f>IF(AND(H3022="Промышленный",LEFT(I3022,18)="Порошок стиральный",F3022="Продажа",B3022=DATE(2023,6,7)),E3022*J3022/1000,0)</f>
        <v/>
      </c>
    </row>
    <row r="3023">
      <c r="A3023" t="n">
        <v>3022</v>
      </c>
      <c r="B3023" s="1" t="n">
        <v>45086</v>
      </c>
      <c r="C3023" s="5" t="inlineStr">
        <is>
          <t>M7</t>
        </is>
      </c>
      <c r="D3023" s="5" t="n">
        <v>58</v>
      </c>
      <c r="E3023" s="5" t="n">
        <v>400</v>
      </c>
      <c r="F3023" t="inlineStr">
        <is>
          <t>Поступление</t>
        </is>
      </c>
      <c r="H3023">
        <f>VLOOKUP(C3023,Магазин!$A$2:$C$1000,2,0)</f>
        <v/>
      </c>
      <c r="I3023">
        <f>VLOOKUP(D3023,Товар!$A$2:$F$1000,3,0)</f>
        <v/>
      </c>
      <c r="J3023">
        <f>VLOOKUP(D3023,Товар!$A$2:$F$1000,5,0)</f>
        <v/>
      </c>
      <c r="K3023">
        <f>IF(AND(H3023="Промышленный",LEFT(I3023,18)="Порошок стиральный",F3023="Продажа",B3023=DATE(2023,6,7)),E3023*J3023/1000,0)</f>
        <v/>
      </c>
    </row>
    <row r="3024">
      <c r="A3024" t="n">
        <v>3023</v>
      </c>
      <c r="B3024" s="1" t="n">
        <v>45086</v>
      </c>
      <c r="C3024" s="5" t="inlineStr">
        <is>
          <t>M7</t>
        </is>
      </c>
      <c r="D3024" s="5" t="n">
        <v>59</v>
      </c>
      <c r="E3024" s="5" t="n">
        <v>400</v>
      </c>
      <c r="F3024" t="inlineStr">
        <is>
          <t>Поступление</t>
        </is>
      </c>
      <c r="H3024">
        <f>VLOOKUP(C3024,Магазин!$A$2:$C$1000,2,0)</f>
        <v/>
      </c>
      <c r="I3024">
        <f>VLOOKUP(D3024,Товар!$A$2:$F$1000,3,0)</f>
        <v/>
      </c>
      <c r="J3024">
        <f>VLOOKUP(D3024,Товар!$A$2:$F$1000,5,0)</f>
        <v/>
      </c>
      <c r="K3024">
        <f>IF(AND(H3024="Промышленный",LEFT(I3024,18)="Порошок стиральный",F3024="Продажа",B3024=DATE(2023,6,7)),E3024*J3024/1000,0)</f>
        <v/>
      </c>
    </row>
    <row r="3025">
      <c r="A3025" t="n">
        <v>3024</v>
      </c>
      <c r="B3025" s="1" t="n">
        <v>45086</v>
      </c>
      <c r="C3025" s="5" t="inlineStr">
        <is>
          <t>M7</t>
        </is>
      </c>
      <c r="D3025" s="5" t="n">
        <v>60</v>
      </c>
      <c r="E3025" s="5" t="n">
        <v>400</v>
      </c>
      <c r="F3025" t="inlineStr">
        <is>
          <t>Поступление</t>
        </is>
      </c>
      <c r="H3025">
        <f>VLOOKUP(C3025,Магазин!$A$2:$C$1000,2,0)</f>
        <v/>
      </c>
      <c r="I3025">
        <f>VLOOKUP(D3025,Товар!$A$2:$F$1000,3,0)</f>
        <v/>
      </c>
      <c r="J3025">
        <f>VLOOKUP(D3025,Товар!$A$2:$F$1000,5,0)</f>
        <v/>
      </c>
      <c r="K3025">
        <f>IF(AND(H3025="Промышленный",LEFT(I3025,18)="Порошок стиральный",F3025="Продажа",B3025=DATE(2023,6,7)),E3025*J3025/1000,0)</f>
        <v/>
      </c>
    </row>
    <row r="3026">
      <c r="A3026" t="n">
        <v>3025</v>
      </c>
      <c r="B3026" s="1" t="n">
        <v>45086</v>
      </c>
      <c r="C3026" s="5" t="inlineStr">
        <is>
          <t>M8</t>
        </is>
      </c>
      <c r="D3026" s="5" t="n">
        <v>37</v>
      </c>
      <c r="E3026" s="5" t="n">
        <v>400</v>
      </c>
      <c r="F3026" t="inlineStr">
        <is>
          <t>Поступление</t>
        </is>
      </c>
      <c r="H3026">
        <f>VLOOKUP(C3026,Магазин!$A$2:$C$1000,2,0)</f>
        <v/>
      </c>
      <c r="I3026">
        <f>VLOOKUP(D3026,Товар!$A$2:$F$1000,3,0)</f>
        <v/>
      </c>
      <c r="J3026">
        <f>VLOOKUP(D3026,Товар!$A$2:$F$1000,5,0)</f>
        <v/>
      </c>
      <c r="K3026">
        <f>IF(AND(H3026="Промышленный",LEFT(I3026,18)="Порошок стиральный",F3026="Продажа",B3026=DATE(2023,6,7)),E3026*J3026/1000,0)</f>
        <v/>
      </c>
    </row>
    <row r="3027">
      <c r="A3027" t="n">
        <v>3026</v>
      </c>
      <c r="B3027" s="1" t="n">
        <v>45086</v>
      </c>
      <c r="C3027" s="5" t="inlineStr">
        <is>
          <t>M8</t>
        </is>
      </c>
      <c r="D3027" s="5" t="n">
        <v>38</v>
      </c>
      <c r="E3027" s="5" t="n">
        <v>400</v>
      </c>
      <c r="F3027" t="inlineStr">
        <is>
          <t>Поступление</t>
        </is>
      </c>
      <c r="H3027">
        <f>VLOOKUP(C3027,Магазин!$A$2:$C$1000,2,0)</f>
        <v/>
      </c>
      <c r="I3027">
        <f>VLOOKUP(D3027,Товар!$A$2:$F$1000,3,0)</f>
        <v/>
      </c>
      <c r="J3027">
        <f>VLOOKUP(D3027,Товар!$A$2:$F$1000,5,0)</f>
        <v/>
      </c>
      <c r="K3027">
        <f>IF(AND(H3027="Промышленный",LEFT(I3027,18)="Порошок стиральный",F3027="Продажа",B3027=DATE(2023,6,7)),E3027*J3027/1000,0)</f>
        <v/>
      </c>
    </row>
    <row r="3028">
      <c r="A3028" t="n">
        <v>3027</v>
      </c>
      <c r="B3028" s="1" t="n">
        <v>45086</v>
      </c>
      <c r="C3028" s="5" t="inlineStr">
        <is>
          <t>M8</t>
        </is>
      </c>
      <c r="D3028" s="5" t="n">
        <v>39</v>
      </c>
      <c r="E3028" s="5" t="n">
        <v>400</v>
      </c>
      <c r="F3028" t="inlineStr">
        <is>
          <t>Поступление</t>
        </is>
      </c>
      <c r="H3028">
        <f>VLOOKUP(C3028,Магазин!$A$2:$C$1000,2,0)</f>
        <v/>
      </c>
      <c r="I3028">
        <f>VLOOKUP(D3028,Товар!$A$2:$F$1000,3,0)</f>
        <v/>
      </c>
      <c r="J3028">
        <f>VLOOKUP(D3028,Товар!$A$2:$F$1000,5,0)</f>
        <v/>
      </c>
      <c r="K3028">
        <f>IF(AND(H3028="Промышленный",LEFT(I3028,18)="Порошок стиральный",F3028="Продажа",B3028=DATE(2023,6,7)),E3028*J3028/1000,0)</f>
        <v/>
      </c>
    </row>
    <row r="3029">
      <c r="A3029" t="n">
        <v>3028</v>
      </c>
      <c r="B3029" s="1" t="n">
        <v>45086</v>
      </c>
      <c r="C3029" s="5" t="inlineStr">
        <is>
          <t>M8</t>
        </is>
      </c>
      <c r="D3029" s="5" t="n">
        <v>40</v>
      </c>
      <c r="E3029" s="5" t="n">
        <v>400</v>
      </c>
      <c r="F3029" t="inlineStr">
        <is>
          <t>Поступление</t>
        </is>
      </c>
      <c r="H3029">
        <f>VLOOKUP(C3029,Магазин!$A$2:$C$1000,2,0)</f>
        <v/>
      </c>
      <c r="I3029">
        <f>VLOOKUP(D3029,Товар!$A$2:$F$1000,3,0)</f>
        <v/>
      </c>
      <c r="J3029">
        <f>VLOOKUP(D3029,Товар!$A$2:$F$1000,5,0)</f>
        <v/>
      </c>
      <c r="K3029">
        <f>IF(AND(H3029="Промышленный",LEFT(I3029,18)="Порошок стиральный",F3029="Продажа",B3029=DATE(2023,6,7)),E3029*J3029/1000,0)</f>
        <v/>
      </c>
    </row>
    <row r="3030">
      <c r="A3030" t="n">
        <v>3029</v>
      </c>
      <c r="B3030" s="1" t="n">
        <v>45086</v>
      </c>
      <c r="C3030" s="5" t="inlineStr">
        <is>
          <t>M8</t>
        </is>
      </c>
      <c r="D3030" s="5" t="n">
        <v>41</v>
      </c>
      <c r="E3030" s="5" t="n">
        <v>400</v>
      </c>
      <c r="F3030" t="inlineStr">
        <is>
          <t>Поступление</t>
        </is>
      </c>
      <c r="H3030">
        <f>VLOOKUP(C3030,Магазин!$A$2:$C$1000,2,0)</f>
        <v/>
      </c>
      <c r="I3030">
        <f>VLOOKUP(D3030,Товар!$A$2:$F$1000,3,0)</f>
        <v/>
      </c>
      <c r="J3030">
        <f>VLOOKUP(D3030,Товар!$A$2:$F$1000,5,0)</f>
        <v/>
      </c>
      <c r="K3030">
        <f>IF(AND(H3030="Промышленный",LEFT(I3030,18)="Порошок стиральный",F3030="Продажа",B3030=DATE(2023,6,7)),E3030*J3030/1000,0)</f>
        <v/>
      </c>
    </row>
    <row r="3031">
      <c r="A3031" t="n">
        <v>3030</v>
      </c>
      <c r="B3031" s="1" t="n">
        <v>45086</v>
      </c>
      <c r="C3031" s="5" t="inlineStr">
        <is>
          <t>M8</t>
        </is>
      </c>
      <c r="D3031" s="5" t="n">
        <v>42</v>
      </c>
      <c r="E3031" s="5" t="n">
        <v>400</v>
      </c>
      <c r="F3031" t="inlineStr">
        <is>
          <t>Поступление</t>
        </is>
      </c>
      <c r="H3031">
        <f>VLOOKUP(C3031,Магазин!$A$2:$C$1000,2,0)</f>
        <v/>
      </c>
      <c r="I3031">
        <f>VLOOKUP(D3031,Товар!$A$2:$F$1000,3,0)</f>
        <v/>
      </c>
      <c r="J3031">
        <f>VLOOKUP(D3031,Товар!$A$2:$F$1000,5,0)</f>
        <v/>
      </c>
      <c r="K3031">
        <f>IF(AND(H3031="Промышленный",LEFT(I3031,18)="Порошок стиральный",F3031="Продажа",B3031=DATE(2023,6,7)),E3031*J3031/1000,0)</f>
        <v/>
      </c>
    </row>
    <row r="3032">
      <c r="A3032" t="n">
        <v>3031</v>
      </c>
      <c r="B3032" s="1" t="n">
        <v>45086</v>
      </c>
      <c r="C3032" s="5" t="inlineStr">
        <is>
          <t>M8</t>
        </is>
      </c>
      <c r="D3032" s="5" t="n">
        <v>43</v>
      </c>
      <c r="E3032" s="5" t="n">
        <v>400</v>
      </c>
      <c r="F3032" t="inlineStr">
        <is>
          <t>Поступление</t>
        </is>
      </c>
      <c r="H3032">
        <f>VLOOKUP(C3032,Магазин!$A$2:$C$1000,2,0)</f>
        <v/>
      </c>
      <c r="I3032">
        <f>VLOOKUP(D3032,Товар!$A$2:$F$1000,3,0)</f>
        <v/>
      </c>
      <c r="J3032">
        <f>VLOOKUP(D3032,Товар!$A$2:$F$1000,5,0)</f>
        <v/>
      </c>
      <c r="K3032">
        <f>IF(AND(H3032="Промышленный",LEFT(I3032,18)="Порошок стиральный",F3032="Продажа",B3032=DATE(2023,6,7)),E3032*J3032/1000,0)</f>
        <v/>
      </c>
    </row>
    <row r="3033">
      <c r="A3033" t="n">
        <v>3032</v>
      </c>
      <c r="B3033" s="1" t="n">
        <v>45086</v>
      </c>
      <c r="C3033" s="5" t="inlineStr">
        <is>
          <t>M8</t>
        </is>
      </c>
      <c r="D3033" s="5" t="n">
        <v>44</v>
      </c>
      <c r="E3033" s="5" t="n">
        <v>400</v>
      </c>
      <c r="F3033" t="inlineStr">
        <is>
          <t>Поступление</t>
        </is>
      </c>
      <c r="H3033">
        <f>VLOOKUP(C3033,Магазин!$A$2:$C$1000,2,0)</f>
        <v/>
      </c>
      <c r="I3033">
        <f>VLOOKUP(D3033,Товар!$A$2:$F$1000,3,0)</f>
        <v/>
      </c>
      <c r="J3033">
        <f>VLOOKUP(D3033,Товар!$A$2:$F$1000,5,0)</f>
        <v/>
      </c>
      <c r="K3033">
        <f>IF(AND(H3033="Промышленный",LEFT(I3033,18)="Порошок стиральный",F3033="Продажа",B3033=DATE(2023,6,7)),E3033*J3033/1000,0)</f>
        <v/>
      </c>
    </row>
    <row r="3034">
      <c r="A3034" t="n">
        <v>3033</v>
      </c>
      <c r="B3034" s="1" t="n">
        <v>45086</v>
      </c>
      <c r="C3034" s="5" t="inlineStr">
        <is>
          <t>M8</t>
        </is>
      </c>
      <c r="D3034" s="5" t="n">
        <v>45</v>
      </c>
      <c r="E3034" s="5" t="n">
        <v>400</v>
      </c>
      <c r="F3034" t="inlineStr">
        <is>
          <t>Поступление</t>
        </is>
      </c>
      <c r="H3034">
        <f>VLOOKUP(C3034,Магазин!$A$2:$C$1000,2,0)</f>
        <v/>
      </c>
      <c r="I3034">
        <f>VLOOKUP(D3034,Товар!$A$2:$F$1000,3,0)</f>
        <v/>
      </c>
      <c r="J3034">
        <f>VLOOKUP(D3034,Товар!$A$2:$F$1000,5,0)</f>
        <v/>
      </c>
      <c r="K3034">
        <f>IF(AND(H3034="Промышленный",LEFT(I3034,18)="Порошок стиральный",F3034="Продажа",B3034=DATE(2023,6,7)),E3034*J3034/1000,0)</f>
        <v/>
      </c>
    </row>
    <row r="3035">
      <c r="A3035" t="n">
        <v>3034</v>
      </c>
      <c r="B3035" s="1" t="n">
        <v>45086</v>
      </c>
      <c r="C3035" s="5" t="inlineStr">
        <is>
          <t>M8</t>
        </is>
      </c>
      <c r="D3035" s="5" t="n">
        <v>46</v>
      </c>
      <c r="E3035" s="5" t="n">
        <v>400</v>
      </c>
      <c r="F3035" t="inlineStr">
        <is>
          <t>Поступление</t>
        </is>
      </c>
      <c r="H3035">
        <f>VLOOKUP(C3035,Магазин!$A$2:$C$1000,2,0)</f>
        <v/>
      </c>
      <c r="I3035">
        <f>VLOOKUP(D3035,Товар!$A$2:$F$1000,3,0)</f>
        <v/>
      </c>
      <c r="J3035">
        <f>VLOOKUP(D3035,Товар!$A$2:$F$1000,5,0)</f>
        <v/>
      </c>
      <c r="K3035">
        <f>IF(AND(H3035="Промышленный",LEFT(I3035,18)="Порошок стиральный",F3035="Продажа",B3035=DATE(2023,6,7)),E3035*J3035/1000,0)</f>
        <v/>
      </c>
    </row>
    <row r="3036">
      <c r="A3036" t="n">
        <v>3035</v>
      </c>
      <c r="B3036" s="1" t="n">
        <v>45086</v>
      </c>
      <c r="C3036" s="5" t="inlineStr">
        <is>
          <t>M8</t>
        </is>
      </c>
      <c r="D3036" s="5" t="n">
        <v>47</v>
      </c>
      <c r="E3036" s="5" t="n">
        <v>400</v>
      </c>
      <c r="F3036" t="inlineStr">
        <is>
          <t>Поступление</t>
        </is>
      </c>
      <c r="H3036">
        <f>VLOOKUP(C3036,Магазин!$A$2:$C$1000,2,0)</f>
        <v/>
      </c>
      <c r="I3036">
        <f>VLOOKUP(D3036,Товар!$A$2:$F$1000,3,0)</f>
        <v/>
      </c>
      <c r="J3036">
        <f>VLOOKUP(D3036,Товар!$A$2:$F$1000,5,0)</f>
        <v/>
      </c>
      <c r="K3036">
        <f>IF(AND(H3036="Промышленный",LEFT(I3036,18)="Порошок стиральный",F3036="Продажа",B3036=DATE(2023,6,7)),E3036*J3036/1000,0)</f>
        <v/>
      </c>
    </row>
    <row r="3037">
      <c r="A3037" t="n">
        <v>3036</v>
      </c>
      <c r="B3037" s="1" t="n">
        <v>45086</v>
      </c>
      <c r="C3037" s="5" t="inlineStr">
        <is>
          <t>M8</t>
        </is>
      </c>
      <c r="D3037" s="5" t="n">
        <v>48</v>
      </c>
      <c r="E3037" s="5" t="n">
        <v>400</v>
      </c>
      <c r="F3037" t="inlineStr">
        <is>
          <t>Поступление</t>
        </is>
      </c>
      <c r="H3037">
        <f>VLOOKUP(C3037,Магазин!$A$2:$C$1000,2,0)</f>
        <v/>
      </c>
      <c r="I3037">
        <f>VLOOKUP(D3037,Товар!$A$2:$F$1000,3,0)</f>
        <v/>
      </c>
      <c r="J3037">
        <f>VLOOKUP(D3037,Товар!$A$2:$F$1000,5,0)</f>
        <v/>
      </c>
      <c r="K3037">
        <f>IF(AND(H3037="Промышленный",LEFT(I3037,18)="Порошок стиральный",F3037="Продажа",B3037=DATE(2023,6,7)),E3037*J3037/1000,0)</f>
        <v/>
      </c>
    </row>
    <row r="3038">
      <c r="A3038" t="n">
        <v>3037</v>
      </c>
      <c r="B3038" s="1" t="n">
        <v>45086</v>
      </c>
      <c r="C3038" s="5" t="inlineStr">
        <is>
          <t>M8</t>
        </is>
      </c>
      <c r="D3038" s="5" t="n">
        <v>49</v>
      </c>
      <c r="E3038" s="5" t="n">
        <v>400</v>
      </c>
      <c r="F3038" t="inlineStr">
        <is>
          <t>Поступление</t>
        </is>
      </c>
      <c r="H3038">
        <f>VLOOKUP(C3038,Магазин!$A$2:$C$1000,2,0)</f>
        <v/>
      </c>
      <c r="I3038">
        <f>VLOOKUP(D3038,Товар!$A$2:$F$1000,3,0)</f>
        <v/>
      </c>
      <c r="J3038">
        <f>VLOOKUP(D3038,Товар!$A$2:$F$1000,5,0)</f>
        <v/>
      </c>
      <c r="K3038">
        <f>IF(AND(H3038="Промышленный",LEFT(I3038,18)="Порошок стиральный",F3038="Продажа",B3038=DATE(2023,6,7)),E3038*J3038/1000,0)</f>
        <v/>
      </c>
    </row>
    <row r="3039">
      <c r="A3039" t="n">
        <v>3038</v>
      </c>
      <c r="B3039" s="1" t="n">
        <v>45086</v>
      </c>
      <c r="C3039" s="5" t="inlineStr">
        <is>
          <t>M8</t>
        </is>
      </c>
      <c r="D3039" s="5" t="n">
        <v>50</v>
      </c>
      <c r="E3039" s="5" t="n">
        <v>400</v>
      </c>
      <c r="F3039" t="inlineStr">
        <is>
          <t>Поступление</t>
        </is>
      </c>
      <c r="H3039">
        <f>VLOOKUP(C3039,Магазин!$A$2:$C$1000,2,0)</f>
        <v/>
      </c>
      <c r="I3039">
        <f>VLOOKUP(D3039,Товар!$A$2:$F$1000,3,0)</f>
        <v/>
      </c>
      <c r="J3039">
        <f>VLOOKUP(D3039,Товар!$A$2:$F$1000,5,0)</f>
        <v/>
      </c>
      <c r="K3039">
        <f>IF(AND(H3039="Промышленный",LEFT(I3039,18)="Порошок стиральный",F3039="Продажа",B3039=DATE(2023,6,7)),E3039*J3039/1000,0)</f>
        <v/>
      </c>
    </row>
    <row r="3040">
      <c r="A3040" t="n">
        <v>3039</v>
      </c>
      <c r="B3040" s="1" t="n">
        <v>45086</v>
      </c>
      <c r="C3040" s="5" t="inlineStr">
        <is>
          <t>M8</t>
        </is>
      </c>
      <c r="D3040" s="5" t="n">
        <v>51</v>
      </c>
      <c r="E3040" s="5" t="n">
        <v>400</v>
      </c>
      <c r="F3040" t="inlineStr">
        <is>
          <t>Поступление</t>
        </is>
      </c>
      <c r="H3040">
        <f>VLOOKUP(C3040,Магазин!$A$2:$C$1000,2,0)</f>
        <v/>
      </c>
      <c r="I3040">
        <f>VLOOKUP(D3040,Товар!$A$2:$F$1000,3,0)</f>
        <v/>
      </c>
      <c r="J3040">
        <f>VLOOKUP(D3040,Товар!$A$2:$F$1000,5,0)</f>
        <v/>
      </c>
      <c r="K3040">
        <f>IF(AND(H3040="Промышленный",LEFT(I3040,18)="Порошок стиральный",F3040="Продажа",B3040=DATE(2023,6,7)),E3040*J3040/1000,0)</f>
        <v/>
      </c>
    </row>
    <row r="3041">
      <c r="A3041" t="n">
        <v>3040</v>
      </c>
      <c r="B3041" s="1" t="n">
        <v>45086</v>
      </c>
      <c r="C3041" s="5" t="inlineStr">
        <is>
          <t>M8</t>
        </is>
      </c>
      <c r="D3041" s="5" t="n">
        <v>52</v>
      </c>
      <c r="E3041" s="5" t="n">
        <v>400</v>
      </c>
      <c r="F3041" t="inlineStr">
        <is>
          <t>Поступление</t>
        </is>
      </c>
      <c r="H3041">
        <f>VLOOKUP(C3041,Магазин!$A$2:$C$1000,2,0)</f>
        <v/>
      </c>
      <c r="I3041">
        <f>VLOOKUP(D3041,Товар!$A$2:$F$1000,3,0)</f>
        <v/>
      </c>
      <c r="J3041">
        <f>VLOOKUP(D3041,Товар!$A$2:$F$1000,5,0)</f>
        <v/>
      </c>
      <c r="K3041">
        <f>IF(AND(H3041="Промышленный",LEFT(I3041,18)="Порошок стиральный",F3041="Продажа",B3041=DATE(2023,6,7)),E3041*J3041/1000,0)</f>
        <v/>
      </c>
    </row>
    <row r="3042">
      <c r="A3042" t="n">
        <v>3041</v>
      </c>
      <c r="B3042" s="1" t="n">
        <v>45086</v>
      </c>
      <c r="C3042" s="5" t="inlineStr">
        <is>
          <t>M8</t>
        </is>
      </c>
      <c r="D3042" s="5" t="n">
        <v>53</v>
      </c>
      <c r="E3042" s="5" t="n">
        <v>400</v>
      </c>
      <c r="F3042" t="inlineStr">
        <is>
          <t>Поступление</t>
        </is>
      </c>
      <c r="H3042">
        <f>VLOOKUP(C3042,Магазин!$A$2:$C$1000,2,0)</f>
        <v/>
      </c>
      <c r="I3042">
        <f>VLOOKUP(D3042,Товар!$A$2:$F$1000,3,0)</f>
        <v/>
      </c>
      <c r="J3042">
        <f>VLOOKUP(D3042,Товар!$A$2:$F$1000,5,0)</f>
        <v/>
      </c>
      <c r="K3042">
        <f>IF(AND(H3042="Промышленный",LEFT(I3042,18)="Порошок стиральный",F3042="Продажа",B3042=DATE(2023,6,7)),E3042*J3042/1000,0)</f>
        <v/>
      </c>
    </row>
    <row r="3043">
      <c r="A3043" t="n">
        <v>3042</v>
      </c>
      <c r="B3043" s="1" t="n">
        <v>45086</v>
      </c>
      <c r="C3043" s="5" t="inlineStr">
        <is>
          <t>M8</t>
        </is>
      </c>
      <c r="D3043" s="5" t="n">
        <v>54</v>
      </c>
      <c r="E3043" s="5" t="n">
        <v>400</v>
      </c>
      <c r="F3043" t="inlineStr">
        <is>
          <t>Поступление</t>
        </is>
      </c>
      <c r="H3043">
        <f>VLOOKUP(C3043,Магазин!$A$2:$C$1000,2,0)</f>
        <v/>
      </c>
      <c r="I3043">
        <f>VLOOKUP(D3043,Товар!$A$2:$F$1000,3,0)</f>
        <v/>
      </c>
      <c r="J3043">
        <f>VLOOKUP(D3043,Товар!$A$2:$F$1000,5,0)</f>
        <v/>
      </c>
      <c r="K3043">
        <f>IF(AND(H3043="Промышленный",LEFT(I3043,18)="Порошок стиральный",F3043="Продажа",B3043=DATE(2023,6,7)),E3043*J3043/1000,0)</f>
        <v/>
      </c>
    </row>
    <row r="3044">
      <c r="A3044" t="n">
        <v>3043</v>
      </c>
      <c r="B3044" s="1" t="n">
        <v>45086</v>
      </c>
      <c r="C3044" s="5" t="inlineStr">
        <is>
          <t>M8</t>
        </is>
      </c>
      <c r="D3044" s="5" t="n">
        <v>55</v>
      </c>
      <c r="E3044" s="5" t="n">
        <v>400</v>
      </c>
      <c r="F3044" t="inlineStr">
        <is>
          <t>Поступление</t>
        </is>
      </c>
      <c r="H3044">
        <f>VLOOKUP(C3044,Магазин!$A$2:$C$1000,2,0)</f>
        <v/>
      </c>
      <c r="I3044">
        <f>VLOOKUP(D3044,Товар!$A$2:$F$1000,3,0)</f>
        <v/>
      </c>
      <c r="J3044">
        <f>VLOOKUP(D3044,Товар!$A$2:$F$1000,5,0)</f>
        <v/>
      </c>
      <c r="K3044">
        <f>IF(AND(H3044="Промышленный",LEFT(I3044,18)="Порошок стиральный",F3044="Продажа",B3044=DATE(2023,6,7)),E3044*J3044/1000,0)</f>
        <v/>
      </c>
    </row>
    <row r="3045">
      <c r="A3045" t="n">
        <v>3044</v>
      </c>
      <c r="B3045" s="1" t="n">
        <v>45086</v>
      </c>
      <c r="C3045" s="5" t="inlineStr">
        <is>
          <t>M8</t>
        </is>
      </c>
      <c r="D3045" s="5" t="n">
        <v>56</v>
      </c>
      <c r="E3045" s="5" t="n">
        <v>400</v>
      </c>
      <c r="F3045" t="inlineStr">
        <is>
          <t>Поступление</t>
        </is>
      </c>
      <c r="H3045">
        <f>VLOOKUP(C3045,Магазин!$A$2:$C$1000,2,0)</f>
        <v/>
      </c>
      <c r="I3045">
        <f>VLOOKUP(D3045,Товар!$A$2:$F$1000,3,0)</f>
        <v/>
      </c>
      <c r="J3045">
        <f>VLOOKUP(D3045,Товар!$A$2:$F$1000,5,0)</f>
        <v/>
      </c>
      <c r="K3045">
        <f>IF(AND(H3045="Промышленный",LEFT(I3045,18)="Порошок стиральный",F3045="Продажа",B3045=DATE(2023,6,7)),E3045*J3045/1000,0)</f>
        <v/>
      </c>
    </row>
    <row r="3046">
      <c r="A3046" t="n">
        <v>3045</v>
      </c>
      <c r="B3046" s="1" t="n">
        <v>45086</v>
      </c>
      <c r="C3046" s="5" t="inlineStr">
        <is>
          <t>M8</t>
        </is>
      </c>
      <c r="D3046" s="5" t="n">
        <v>57</v>
      </c>
      <c r="E3046" s="5" t="n">
        <v>400</v>
      </c>
      <c r="F3046" t="inlineStr">
        <is>
          <t>Поступление</t>
        </is>
      </c>
      <c r="H3046">
        <f>VLOOKUP(C3046,Магазин!$A$2:$C$1000,2,0)</f>
        <v/>
      </c>
      <c r="I3046">
        <f>VLOOKUP(D3046,Товар!$A$2:$F$1000,3,0)</f>
        <v/>
      </c>
      <c r="J3046">
        <f>VLOOKUP(D3046,Товар!$A$2:$F$1000,5,0)</f>
        <v/>
      </c>
      <c r="K3046">
        <f>IF(AND(H3046="Промышленный",LEFT(I3046,18)="Порошок стиральный",F3046="Продажа",B3046=DATE(2023,6,7)),E3046*J3046/1000,0)</f>
        <v/>
      </c>
    </row>
    <row r="3047">
      <c r="A3047" t="n">
        <v>3046</v>
      </c>
      <c r="B3047" s="1" t="n">
        <v>45086</v>
      </c>
      <c r="C3047" s="5" t="inlineStr">
        <is>
          <t>M8</t>
        </is>
      </c>
      <c r="D3047" s="5" t="n">
        <v>58</v>
      </c>
      <c r="E3047" s="5" t="n">
        <v>400</v>
      </c>
      <c r="F3047" t="inlineStr">
        <is>
          <t>Поступление</t>
        </is>
      </c>
      <c r="H3047">
        <f>VLOOKUP(C3047,Магазин!$A$2:$C$1000,2,0)</f>
        <v/>
      </c>
      <c r="I3047">
        <f>VLOOKUP(D3047,Товар!$A$2:$F$1000,3,0)</f>
        <v/>
      </c>
      <c r="J3047">
        <f>VLOOKUP(D3047,Товар!$A$2:$F$1000,5,0)</f>
        <v/>
      </c>
      <c r="K3047">
        <f>IF(AND(H3047="Промышленный",LEFT(I3047,18)="Порошок стиральный",F3047="Продажа",B3047=DATE(2023,6,7)),E3047*J3047/1000,0)</f>
        <v/>
      </c>
    </row>
    <row r="3048">
      <c r="A3048" t="n">
        <v>3047</v>
      </c>
      <c r="B3048" s="1" t="n">
        <v>45086</v>
      </c>
      <c r="C3048" s="5" t="inlineStr">
        <is>
          <t>M8</t>
        </is>
      </c>
      <c r="D3048" s="5" t="n">
        <v>59</v>
      </c>
      <c r="E3048" s="5" t="n">
        <v>400</v>
      </c>
      <c r="F3048" t="inlineStr">
        <is>
          <t>Поступление</t>
        </is>
      </c>
      <c r="H3048">
        <f>VLOOKUP(C3048,Магазин!$A$2:$C$1000,2,0)</f>
        <v/>
      </c>
      <c r="I3048">
        <f>VLOOKUP(D3048,Товар!$A$2:$F$1000,3,0)</f>
        <v/>
      </c>
      <c r="J3048">
        <f>VLOOKUP(D3048,Товар!$A$2:$F$1000,5,0)</f>
        <v/>
      </c>
      <c r="K3048">
        <f>IF(AND(H3048="Промышленный",LEFT(I3048,18)="Порошок стиральный",F3048="Продажа",B3048=DATE(2023,6,7)),E3048*J3048/1000,0)</f>
        <v/>
      </c>
    </row>
    <row r="3049">
      <c r="A3049" t="n">
        <v>3048</v>
      </c>
      <c r="B3049" s="1" t="n">
        <v>45086</v>
      </c>
      <c r="C3049" s="5" t="inlineStr">
        <is>
          <t>M8</t>
        </is>
      </c>
      <c r="D3049" s="5" t="n">
        <v>60</v>
      </c>
      <c r="E3049" s="5" t="n">
        <v>400</v>
      </c>
      <c r="F3049" t="inlineStr">
        <is>
          <t>Поступление</t>
        </is>
      </c>
      <c r="H3049">
        <f>VLOOKUP(C3049,Магазин!$A$2:$C$1000,2,0)</f>
        <v/>
      </c>
      <c r="I3049">
        <f>VLOOKUP(D3049,Товар!$A$2:$F$1000,3,0)</f>
        <v/>
      </c>
      <c r="J3049">
        <f>VLOOKUP(D3049,Товар!$A$2:$F$1000,5,0)</f>
        <v/>
      </c>
      <c r="K3049">
        <f>IF(AND(H3049="Промышленный",LEFT(I3049,18)="Порошок стиральный",F3049="Продажа",B3049=DATE(2023,6,7)),E3049*J3049/1000,0)</f>
        <v/>
      </c>
    </row>
    <row r="3050">
      <c r="A3050" t="n">
        <v>3049</v>
      </c>
      <c r="B3050" s="1" t="n">
        <v>45086</v>
      </c>
      <c r="C3050" s="5" t="inlineStr">
        <is>
          <t>M12</t>
        </is>
      </c>
      <c r="D3050" s="5" t="n">
        <v>37</v>
      </c>
      <c r="E3050" s="5" t="n">
        <v>400</v>
      </c>
      <c r="F3050" t="inlineStr">
        <is>
          <t>Поступление</t>
        </is>
      </c>
      <c r="H3050">
        <f>VLOOKUP(C3050,Магазин!$A$2:$C$1000,2,0)</f>
        <v/>
      </c>
      <c r="I3050">
        <f>VLOOKUP(D3050,Товар!$A$2:$F$1000,3,0)</f>
        <v/>
      </c>
      <c r="J3050">
        <f>VLOOKUP(D3050,Товар!$A$2:$F$1000,5,0)</f>
        <v/>
      </c>
      <c r="K3050">
        <f>IF(AND(H3050="Промышленный",LEFT(I3050,18)="Порошок стиральный",F3050="Продажа",B3050=DATE(2023,6,7)),E3050*J3050/1000,0)</f>
        <v/>
      </c>
    </row>
    <row r="3051">
      <c r="A3051" t="n">
        <v>3050</v>
      </c>
      <c r="B3051" s="1" t="n">
        <v>45086</v>
      </c>
      <c r="C3051" s="5" t="inlineStr">
        <is>
          <t>M12</t>
        </is>
      </c>
      <c r="D3051" s="5" t="n">
        <v>38</v>
      </c>
      <c r="E3051" s="5" t="n">
        <v>400</v>
      </c>
      <c r="F3051" t="inlineStr">
        <is>
          <t>Поступление</t>
        </is>
      </c>
      <c r="H3051">
        <f>VLOOKUP(C3051,Магазин!$A$2:$C$1000,2,0)</f>
        <v/>
      </c>
      <c r="I3051">
        <f>VLOOKUP(D3051,Товар!$A$2:$F$1000,3,0)</f>
        <v/>
      </c>
      <c r="J3051">
        <f>VLOOKUP(D3051,Товар!$A$2:$F$1000,5,0)</f>
        <v/>
      </c>
      <c r="K3051">
        <f>IF(AND(H3051="Промышленный",LEFT(I3051,18)="Порошок стиральный",F3051="Продажа",B3051=DATE(2023,6,7)),E3051*J3051/1000,0)</f>
        <v/>
      </c>
    </row>
    <row r="3052">
      <c r="A3052" t="n">
        <v>3051</v>
      </c>
      <c r="B3052" s="1" t="n">
        <v>45086</v>
      </c>
      <c r="C3052" s="5" t="inlineStr">
        <is>
          <t>M12</t>
        </is>
      </c>
      <c r="D3052" s="5" t="n">
        <v>39</v>
      </c>
      <c r="E3052" s="5" t="n">
        <v>400</v>
      </c>
      <c r="F3052" t="inlineStr">
        <is>
          <t>Поступление</t>
        </is>
      </c>
      <c r="H3052">
        <f>VLOOKUP(C3052,Магазин!$A$2:$C$1000,2,0)</f>
        <v/>
      </c>
      <c r="I3052">
        <f>VLOOKUP(D3052,Товар!$A$2:$F$1000,3,0)</f>
        <v/>
      </c>
      <c r="J3052">
        <f>VLOOKUP(D3052,Товар!$A$2:$F$1000,5,0)</f>
        <v/>
      </c>
      <c r="K3052">
        <f>IF(AND(H3052="Промышленный",LEFT(I3052,18)="Порошок стиральный",F3052="Продажа",B3052=DATE(2023,6,7)),E3052*J3052/1000,0)</f>
        <v/>
      </c>
    </row>
    <row r="3053">
      <c r="A3053" t="n">
        <v>3052</v>
      </c>
      <c r="B3053" s="1" t="n">
        <v>45086</v>
      </c>
      <c r="C3053" s="5" t="inlineStr">
        <is>
          <t>M12</t>
        </is>
      </c>
      <c r="D3053" s="5" t="n">
        <v>40</v>
      </c>
      <c r="E3053" s="5" t="n">
        <v>400</v>
      </c>
      <c r="F3053" t="inlineStr">
        <is>
          <t>Поступление</t>
        </is>
      </c>
      <c r="H3053">
        <f>VLOOKUP(C3053,Магазин!$A$2:$C$1000,2,0)</f>
        <v/>
      </c>
      <c r="I3053">
        <f>VLOOKUP(D3053,Товар!$A$2:$F$1000,3,0)</f>
        <v/>
      </c>
      <c r="J3053">
        <f>VLOOKUP(D3053,Товар!$A$2:$F$1000,5,0)</f>
        <v/>
      </c>
      <c r="K3053">
        <f>IF(AND(H3053="Промышленный",LEFT(I3053,18)="Порошок стиральный",F3053="Продажа",B3053=DATE(2023,6,7)),E3053*J3053/1000,0)</f>
        <v/>
      </c>
    </row>
    <row r="3054">
      <c r="A3054" t="n">
        <v>3053</v>
      </c>
      <c r="B3054" s="1" t="n">
        <v>45086</v>
      </c>
      <c r="C3054" s="5" t="inlineStr">
        <is>
          <t>M12</t>
        </is>
      </c>
      <c r="D3054" s="5" t="n">
        <v>41</v>
      </c>
      <c r="E3054" s="5" t="n">
        <v>400</v>
      </c>
      <c r="F3054" t="inlineStr">
        <is>
          <t>Поступление</t>
        </is>
      </c>
      <c r="H3054">
        <f>VLOOKUP(C3054,Магазин!$A$2:$C$1000,2,0)</f>
        <v/>
      </c>
      <c r="I3054">
        <f>VLOOKUP(D3054,Товар!$A$2:$F$1000,3,0)</f>
        <v/>
      </c>
      <c r="J3054">
        <f>VLOOKUP(D3054,Товар!$A$2:$F$1000,5,0)</f>
        <v/>
      </c>
      <c r="K3054">
        <f>IF(AND(H3054="Промышленный",LEFT(I3054,18)="Порошок стиральный",F3054="Продажа",B3054=DATE(2023,6,7)),E3054*J3054/1000,0)</f>
        <v/>
      </c>
    </row>
    <row r="3055">
      <c r="A3055" t="n">
        <v>3054</v>
      </c>
      <c r="B3055" s="1" t="n">
        <v>45086</v>
      </c>
      <c r="C3055" s="5" t="inlineStr">
        <is>
          <t>M12</t>
        </is>
      </c>
      <c r="D3055" s="5" t="n">
        <v>42</v>
      </c>
      <c r="E3055" s="5" t="n">
        <v>400</v>
      </c>
      <c r="F3055" t="inlineStr">
        <is>
          <t>Поступление</t>
        </is>
      </c>
      <c r="H3055">
        <f>VLOOKUP(C3055,Магазин!$A$2:$C$1000,2,0)</f>
        <v/>
      </c>
      <c r="I3055">
        <f>VLOOKUP(D3055,Товар!$A$2:$F$1000,3,0)</f>
        <v/>
      </c>
      <c r="J3055">
        <f>VLOOKUP(D3055,Товар!$A$2:$F$1000,5,0)</f>
        <v/>
      </c>
      <c r="K3055">
        <f>IF(AND(H3055="Промышленный",LEFT(I3055,18)="Порошок стиральный",F3055="Продажа",B3055=DATE(2023,6,7)),E3055*J3055/1000,0)</f>
        <v/>
      </c>
    </row>
    <row r="3056">
      <c r="A3056" t="n">
        <v>3055</v>
      </c>
      <c r="B3056" s="1" t="n">
        <v>45086</v>
      </c>
      <c r="C3056" s="5" t="inlineStr">
        <is>
          <t>M12</t>
        </is>
      </c>
      <c r="D3056" s="5" t="n">
        <v>43</v>
      </c>
      <c r="E3056" s="5" t="n">
        <v>400</v>
      </c>
      <c r="F3056" t="inlineStr">
        <is>
          <t>Поступление</t>
        </is>
      </c>
      <c r="H3056">
        <f>VLOOKUP(C3056,Магазин!$A$2:$C$1000,2,0)</f>
        <v/>
      </c>
      <c r="I3056">
        <f>VLOOKUP(D3056,Товар!$A$2:$F$1000,3,0)</f>
        <v/>
      </c>
      <c r="J3056">
        <f>VLOOKUP(D3056,Товар!$A$2:$F$1000,5,0)</f>
        <v/>
      </c>
      <c r="K3056">
        <f>IF(AND(H3056="Промышленный",LEFT(I3056,18)="Порошок стиральный",F3056="Продажа",B3056=DATE(2023,6,7)),E3056*J3056/1000,0)</f>
        <v/>
      </c>
    </row>
    <row r="3057">
      <c r="A3057" t="n">
        <v>3056</v>
      </c>
      <c r="B3057" s="1" t="n">
        <v>45086</v>
      </c>
      <c r="C3057" s="5" t="inlineStr">
        <is>
          <t>M12</t>
        </is>
      </c>
      <c r="D3057" s="5" t="n">
        <v>44</v>
      </c>
      <c r="E3057" s="5" t="n">
        <v>400</v>
      </c>
      <c r="F3057" t="inlineStr">
        <is>
          <t>Поступление</t>
        </is>
      </c>
      <c r="H3057">
        <f>VLOOKUP(C3057,Магазин!$A$2:$C$1000,2,0)</f>
        <v/>
      </c>
      <c r="I3057">
        <f>VLOOKUP(D3057,Товар!$A$2:$F$1000,3,0)</f>
        <v/>
      </c>
      <c r="J3057">
        <f>VLOOKUP(D3057,Товар!$A$2:$F$1000,5,0)</f>
        <v/>
      </c>
      <c r="K3057">
        <f>IF(AND(H3057="Промышленный",LEFT(I3057,18)="Порошок стиральный",F3057="Продажа",B3057=DATE(2023,6,7)),E3057*J3057/1000,0)</f>
        <v/>
      </c>
    </row>
    <row r="3058">
      <c r="A3058" t="n">
        <v>3057</v>
      </c>
      <c r="B3058" s="1" t="n">
        <v>45086</v>
      </c>
      <c r="C3058" s="5" t="inlineStr">
        <is>
          <t>M12</t>
        </is>
      </c>
      <c r="D3058" s="5" t="n">
        <v>45</v>
      </c>
      <c r="E3058" s="5" t="n">
        <v>400</v>
      </c>
      <c r="F3058" t="inlineStr">
        <is>
          <t>Поступление</t>
        </is>
      </c>
      <c r="H3058">
        <f>VLOOKUP(C3058,Магазин!$A$2:$C$1000,2,0)</f>
        <v/>
      </c>
      <c r="I3058">
        <f>VLOOKUP(D3058,Товар!$A$2:$F$1000,3,0)</f>
        <v/>
      </c>
      <c r="J3058">
        <f>VLOOKUP(D3058,Товар!$A$2:$F$1000,5,0)</f>
        <v/>
      </c>
      <c r="K3058">
        <f>IF(AND(H3058="Промышленный",LEFT(I3058,18)="Порошок стиральный",F3058="Продажа",B3058=DATE(2023,6,7)),E3058*J3058/1000,0)</f>
        <v/>
      </c>
    </row>
    <row r="3059">
      <c r="A3059" t="n">
        <v>3058</v>
      </c>
      <c r="B3059" s="1" t="n">
        <v>45086</v>
      </c>
      <c r="C3059" s="5" t="inlineStr">
        <is>
          <t>M12</t>
        </is>
      </c>
      <c r="D3059" s="5" t="n">
        <v>46</v>
      </c>
      <c r="E3059" s="5" t="n">
        <v>400</v>
      </c>
      <c r="F3059" t="inlineStr">
        <is>
          <t>Поступление</t>
        </is>
      </c>
      <c r="H3059">
        <f>VLOOKUP(C3059,Магазин!$A$2:$C$1000,2,0)</f>
        <v/>
      </c>
      <c r="I3059">
        <f>VLOOKUP(D3059,Товар!$A$2:$F$1000,3,0)</f>
        <v/>
      </c>
      <c r="J3059">
        <f>VLOOKUP(D3059,Товар!$A$2:$F$1000,5,0)</f>
        <v/>
      </c>
      <c r="K3059">
        <f>IF(AND(H3059="Промышленный",LEFT(I3059,18)="Порошок стиральный",F3059="Продажа",B3059=DATE(2023,6,7)),E3059*J3059/1000,0)</f>
        <v/>
      </c>
    </row>
    <row r="3060">
      <c r="A3060" t="n">
        <v>3059</v>
      </c>
      <c r="B3060" s="1" t="n">
        <v>45086</v>
      </c>
      <c r="C3060" s="5" t="inlineStr">
        <is>
          <t>M12</t>
        </is>
      </c>
      <c r="D3060" s="5" t="n">
        <v>47</v>
      </c>
      <c r="E3060" s="5" t="n">
        <v>400</v>
      </c>
      <c r="F3060" t="inlineStr">
        <is>
          <t>Поступление</t>
        </is>
      </c>
      <c r="H3060">
        <f>VLOOKUP(C3060,Магазин!$A$2:$C$1000,2,0)</f>
        <v/>
      </c>
      <c r="I3060">
        <f>VLOOKUP(D3060,Товар!$A$2:$F$1000,3,0)</f>
        <v/>
      </c>
      <c r="J3060">
        <f>VLOOKUP(D3060,Товар!$A$2:$F$1000,5,0)</f>
        <v/>
      </c>
      <c r="K3060">
        <f>IF(AND(H3060="Промышленный",LEFT(I3060,18)="Порошок стиральный",F3060="Продажа",B3060=DATE(2023,6,7)),E3060*J3060/1000,0)</f>
        <v/>
      </c>
    </row>
    <row r="3061">
      <c r="A3061" t="n">
        <v>3060</v>
      </c>
      <c r="B3061" s="1" t="n">
        <v>45086</v>
      </c>
      <c r="C3061" s="5" t="inlineStr">
        <is>
          <t>M12</t>
        </is>
      </c>
      <c r="D3061" s="5" t="n">
        <v>48</v>
      </c>
      <c r="E3061" s="5" t="n">
        <v>400</v>
      </c>
      <c r="F3061" t="inlineStr">
        <is>
          <t>Поступление</t>
        </is>
      </c>
      <c r="H3061">
        <f>VLOOKUP(C3061,Магазин!$A$2:$C$1000,2,0)</f>
        <v/>
      </c>
      <c r="I3061">
        <f>VLOOKUP(D3061,Товар!$A$2:$F$1000,3,0)</f>
        <v/>
      </c>
      <c r="J3061">
        <f>VLOOKUP(D3061,Товар!$A$2:$F$1000,5,0)</f>
        <v/>
      </c>
      <c r="K3061">
        <f>IF(AND(H3061="Промышленный",LEFT(I3061,18)="Порошок стиральный",F3061="Продажа",B3061=DATE(2023,6,7)),E3061*J3061/1000,0)</f>
        <v/>
      </c>
    </row>
    <row r="3062">
      <c r="A3062" t="n">
        <v>3061</v>
      </c>
      <c r="B3062" s="1" t="n">
        <v>45086</v>
      </c>
      <c r="C3062" s="5" t="inlineStr">
        <is>
          <t>M12</t>
        </is>
      </c>
      <c r="D3062" s="5" t="n">
        <v>49</v>
      </c>
      <c r="E3062" s="5" t="n">
        <v>400</v>
      </c>
      <c r="F3062" t="inlineStr">
        <is>
          <t>Поступление</t>
        </is>
      </c>
      <c r="H3062">
        <f>VLOOKUP(C3062,Магазин!$A$2:$C$1000,2,0)</f>
        <v/>
      </c>
      <c r="I3062">
        <f>VLOOKUP(D3062,Товар!$A$2:$F$1000,3,0)</f>
        <v/>
      </c>
      <c r="J3062">
        <f>VLOOKUP(D3062,Товар!$A$2:$F$1000,5,0)</f>
        <v/>
      </c>
      <c r="K3062">
        <f>IF(AND(H3062="Промышленный",LEFT(I3062,18)="Порошок стиральный",F3062="Продажа",B3062=DATE(2023,6,7)),E3062*J3062/1000,0)</f>
        <v/>
      </c>
    </row>
    <row r="3063">
      <c r="A3063" t="n">
        <v>3062</v>
      </c>
      <c r="B3063" s="1" t="n">
        <v>45086</v>
      </c>
      <c r="C3063" s="5" t="inlineStr">
        <is>
          <t>M12</t>
        </is>
      </c>
      <c r="D3063" s="5" t="n">
        <v>50</v>
      </c>
      <c r="E3063" s="5" t="n">
        <v>400</v>
      </c>
      <c r="F3063" t="inlineStr">
        <is>
          <t>Поступление</t>
        </is>
      </c>
      <c r="H3063">
        <f>VLOOKUP(C3063,Магазин!$A$2:$C$1000,2,0)</f>
        <v/>
      </c>
      <c r="I3063">
        <f>VLOOKUP(D3063,Товар!$A$2:$F$1000,3,0)</f>
        <v/>
      </c>
      <c r="J3063">
        <f>VLOOKUP(D3063,Товар!$A$2:$F$1000,5,0)</f>
        <v/>
      </c>
      <c r="K3063">
        <f>IF(AND(H3063="Промышленный",LEFT(I3063,18)="Порошок стиральный",F3063="Продажа",B3063=DATE(2023,6,7)),E3063*J3063/1000,0)</f>
        <v/>
      </c>
    </row>
    <row r="3064">
      <c r="A3064" t="n">
        <v>3063</v>
      </c>
      <c r="B3064" s="1" t="n">
        <v>45086</v>
      </c>
      <c r="C3064" s="5" t="inlineStr">
        <is>
          <t>M12</t>
        </is>
      </c>
      <c r="D3064" s="5" t="n">
        <v>51</v>
      </c>
      <c r="E3064" s="5" t="n">
        <v>400</v>
      </c>
      <c r="F3064" t="inlineStr">
        <is>
          <t>Поступление</t>
        </is>
      </c>
      <c r="H3064">
        <f>VLOOKUP(C3064,Магазин!$A$2:$C$1000,2,0)</f>
        <v/>
      </c>
      <c r="I3064">
        <f>VLOOKUP(D3064,Товар!$A$2:$F$1000,3,0)</f>
        <v/>
      </c>
      <c r="J3064">
        <f>VLOOKUP(D3064,Товар!$A$2:$F$1000,5,0)</f>
        <v/>
      </c>
      <c r="K3064">
        <f>IF(AND(H3064="Промышленный",LEFT(I3064,18)="Порошок стиральный",F3064="Продажа",B3064=DATE(2023,6,7)),E3064*J3064/1000,0)</f>
        <v/>
      </c>
    </row>
    <row r="3065">
      <c r="A3065" t="n">
        <v>3064</v>
      </c>
      <c r="B3065" s="1" t="n">
        <v>45086</v>
      </c>
      <c r="C3065" s="5" t="inlineStr">
        <is>
          <t>M12</t>
        </is>
      </c>
      <c r="D3065" s="5" t="n">
        <v>52</v>
      </c>
      <c r="E3065" s="5" t="n">
        <v>400</v>
      </c>
      <c r="F3065" t="inlineStr">
        <is>
          <t>Поступление</t>
        </is>
      </c>
      <c r="H3065">
        <f>VLOOKUP(C3065,Магазин!$A$2:$C$1000,2,0)</f>
        <v/>
      </c>
      <c r="I3065">
        <f>VLOOKUP(D3065,Товар!$A$2:$F$1000,3,0)</f>
        <v/>
      </c>
      <c r="J3065">
        <f>VLOOKUP(D3065,Товар!$A$2:$F$1000,5,0)</f>
        <v/>
      </c>
      <c r="K3065">
        <f>IF(AND(H3065="Промышленный",LEFT(I3065,18)="Порошок стиральный",F3065="Продажа",B3065=DATE(2023,6,7)),E3065*J3065/1000,0)</f>
        <v/>
      </c>
    </row>
    <row r="3066">
      <c r="A3066" t="n">
        <v>3065</v>
      </c>
      <c r="B3066" s="1" t="n">
        <v>45086</v>
      </c>
      <c r="C3066" s="5" t="inlineStr">
        <is>
          <t>M12</t>
        </is>
      </c>
      <c r="D3066" s="5" t="n">
        <v>53</v>
      </c>
      <c r="E3066" s="5" t="n">
        <v>400</v>
      </c>
      <c r="F3066" t="inlineStr">
        <is>
          <t>Поступление</t>
        </is>
      </c>
      <c r="H3066">
        <f>VLOOKUP(C3066,Магазин!$A$2:$C$1000,2,0)</f>
        <v/>
      </c>
      <c r="I3066">
        <f>VLOOKUP(D3066,Товар!$A$2:$F$1000,3,0)</f>
        <v/>
      </c>
      <c r="J3066">
        <f>VLOOKUP(D3066,Товар!$A$2:$F$1000,5,0)</f>
        <v/>
      </c>
      <c r="K3066">
        <f>IF(AND(H3066="Промышленный",LEFT(I3066,18)="Порошок стиральный",F3066="Продажа",B3066=DATE(2023,6,7)),E3066*J3066/1000,0)</f>
        <v/>
      </c>
    </row>
    <row r="3067">
      <c r="A3067" t="n">
        <v>3066</v>
      </c>
      <c r="B3067" s="1" t="n">
        <v>45086</v>
      </c>
      <c r="C3067" s="5" t="inlineStr">
        <is>
          <t>M12</t>
        </is>
      </c>
      <c r="D3067" s="5" t="n">
        <v>54</v>
      </c>
      <c r="E3067" s="5" t="n">
        <v>400</v>
      </c>
      <c r="F3067" t="inlineStr">
        <is>
          <t>Поступление</t>
        </is>
      </c>
      <c r="H3067">
        <f>VLOOKUP(C3067,Магазин!$A$2:$C$1000,2,0)</f>
        <v/>
      </c>
      <c r="I3067">
        <f>VLOOKUP(D3067,Товар!$A$2:$F$1000,3,0)</f>
        <v/>
      </c>
      <c r="J3067">
        <f>VLOOKUP(D3067,Товар!$A$2:$F$1000,5,0)</f>
        <v/>
      </c>
      <c r="K3067">
        <f>IF(AND(H3067="Промышленный",LEFT(I3067,18)="Порошок стиральный",F3067="Продажа",B3067=DATE(2023,6,7)),E3067*J3067/1000,0)</f>
        <v/>
      </c>
    </row>
    <row r="3068">
      <c r="A3068" t="n">
        <v>3067</v>
      </c>
      <c r="B3068" s="1" t="n">
        <v>45086</v>
      </c>
      <c r="C3068" s="5" t="inlineStr">
        <is>
          <t>M12</t>
        </is>
      </c>
      <c r="D3068" s="5" t="n">
        <v>55</v>
      </c>
      <c r="E3068" s="5" t="n">
        <v>400</v>
      </c>
      <c r="F3068" t="inlineStr">
        <is>
          <t>Поступление</t>
        </is>
      </c>
      <c r="H3068">
        <f>VLOOKUP(C3068,Магазин!$A$2:$C$1000,2,0)</f>
        <v/>
      </c>
      <c r="I3068">
        <f>VLOOKUP(D3068,Товар!$A$2:$F$1000,3,0)</f>
        <v/>
      </c>
      <c r="J3068">
        <f>VLOOKUP(D3068,Товар!$A$2:$F$1000,5,0)</f>
        <v/>
      </c>
      <c r="K3068">
        <f>IF(AND(H3068="Промышленный",LEFT(I3068,18)="Порошок стиральный",F3068="Продажа",B3068=DATE(2023,6,7)),E3068*J3068/1000,0)</f>
        <v/>
      </c>
    </row>
    <row r="3069">
      <c r="A3069" t="n">
        <v>3068</v>
      </c>
      <c r="B3069" s="1" t="n">
        <v>45086</v>
      </c>
      <c r="C3069" s="5" t="inlineStr">
        <is>
          <t>M12</t>
        </is>
      </c>
      <c r="D3069" s="5" t="n">
        <v>56</v>
      </c>
      <c r="E3069" s="5" t="n">
        <v>400</v>
      </c>
      <c r="F3069" t="inlineStr">
        <is>
          <t>Поступление</t>
        </is>
      </c>
      <c r="H3069">
        <f>VLOOKUP(C3069,Магазин!$A$2:$C$1000,2,0)</f>
        <v/>
      </c>
      <c r="I3069">
        <f>VLOOKUP(D3069,Товар!$A$2:$F$1000,3,0)</f>
        <v/>
      </c>
      <c r="J3069">
        <f>VLOOKUP(D3069,Товар!$A$2:$F$1000,5,0)</f>
        <v/>
      </c>
      <c r="K3069">
        <f>IF(AND(H3069="Промышленный",LEFT(I3069,18)="Порошок стиральный",F3069="Продажа",B3069=DATE(2023,6,7)),E3069*J3069/1000,0)</f>
        <v/>
      </c>
    </row>
    <row r="3070">
      <c r="A3070" t="n">
        <v>3069</v>
      </c>
      <c r="B3070" s="1" t="n">
        <v>45086</v>
      </c>
      <c r="C3070" s="5" t="inlineStr">
        <is>
          <t>M12</t>
        </is>
      </c>
      <c r="D3070" s="5" t="n">
        <v>57</v>
      </c>
      <c r="E3070" s="5" t="n">
        <v>400</v>
      </c>
      <c r="F3070" t="inlineStr">
        <is>
          <t>Поступление</t>
        </is>
      </c>
      <c r="H3070">
        <f>VLOOKUP(C3070,Магазин!$A$2:$C$1000,2,0)</f>
        <v/>
      </c>
      <c r="I3070">
        <f>VLOOKUP(D3070,Товар!$A$2:$F$1000,3,0)</f>
        <v/>
      </c>
      <c r="J3070">
        <f>VLOOKUP(D3070,Товар!$A$2:$F$1000,5,0)</f>
        <v/>
      </c>
      <c r="K3070">
        <f>IF(AND(H3070="Промышленный",LEFT(I3070,18)="Порошок стиральный",F3070="Продажа",B3070=DATE(2023,6,7)),E3070*J3070/1000,0)</f>
        <v/>
      </c>
    </row>
    <row r="3071">
      <c r="A3071" t="n">
        <v>3070</v>
      </c>
      <c r="B3071" s="1" t="n">
        <v>45086</v>
      </c>
      <c r="C3071" s="5" t="inlineStr">
        <is>
          <t>M12</t>
        </is>
      </c>
      <c r="D3071" s="5" t="n">
        <v>58</v>
      </c>
      <c r="E3071" s="5" t="n">
        <v>400</v>
      </c>
      <c r="F3071" t="inlineStr">
        <is>
          <t>Поступление</t>
        </is>
      </c>
      <c r="H3071">
        <f>VLOOKUP(C3071,Магазин!$A$2:$C$1000,2,0)</f>
        <v/>
      </c>
      <c r="I3071">
        <f>VLOOKUP(D3071,Товар!$A$2:$F$1000,3,0)</f>
        <v/>
      </c>
      <c r="J3071">
        <f>VLOOKUP(D3071,Товар!$A$2:$F$1000,5,0)</f>
        <v/>
      </c>
      <c r="K3071">
        <f>IF(AND(H3071="Промышленный",LEFT(I3071,18)="Порошок стиральный",F3071="Продажа",B3071=DATE(2023,6,7)),E3071*J3071/1000,0)</f>
        <v/>
      </c>
    </row>
    <row r="3072">
      <c r="A3072" t="n">
        <v>3071</v>
      </c>
      <c r="B3072" s="1" t="n">
        <v>45086</v>
      </c>
      <c r="C3072" s="5" t="inlineStr">
        <is>
          <t>M12</t>
        </is>
      </c>
      <c r="D3072" s="5" t="n">
        <v>59</v>
      </c>
      <c r="E3072" s="5" t="n">
        <v>400</v>
      </c>
      <c r="F3072" t="inlineStr">
        <is>
          <t>Поступление</t>
        </is>
      </c>
      <c r="H3072">
        <f>VLOOKUP(C3072,Магазин!$A$2:$C$1000,2,0)</f>
        <v/>
      </c>
      <c r="I3072">
        <f>VLOOKUP(D3072,Товар!$A$2:$F$1000,3,0)</f>
        <v/>
      </c>
      <c r="J3072">
        <f>VLOOKUP(D3072,Товар!$A$2:$F$1000,5,0)</f>
        <v/>
      </c>
      <c r="K3072">
        <f>IF(AND(H3072="Промышленный",LEFT(I3072,18)="Порошок стиральный",F3072="Продажа",B3072=DATE(2023,6,7)),E3072*J3072/1000,0)</f>
        <v/>
      </c>
    </row>
    <row r="3073">
      <c r="A3073" t="n">
        <v>3072</v>
      </c>
      <c r="B3073" s="1" t="n">
        <v>45086</v>
      </c>
      <c r="C3073" s="5" t="inlineStr">
        <is>
          <t>M12</t>
        </is>
      </c>
      <c r="D3073" s="5" t="n">
        <v>60</v>
      </c>
      <c r="E3073" s="5" t="n">
        <v>400</v>
      </c>
      <c r="F3073" t="inlineStr">
        <is>
          <t>Поступление</t>
        </is>
      </c>
      <c r="H3073">
        <f>VLOOKUP(C3073,Магазин!$A$2:$C$1000,2,0)</f>
        <v/>
      </c>
      <c r="I3073">
        <f>VLOOKUP(D3073,Товар!$A$2:$F$1000,3,0)</f>
        <v/>
      </c>
      <c r="J3073">
        <f>VLOOKUP(D3073,Товар!$A$2:$F$1000,5,0)</f>
        <v/>
      </c>
      <c r="K3073">
        <f>IF(AND(H3073="Промышленный",LEFT(I3073,18)="Порошок стиральный",F3073="Продажа",B3073=DATE(2023,6,7)),E3073*J3073/1000,0)</f>
        <v/>
      </c>
    </row>
    <row r="3074">
      <c r="A3074" t="n">
        <v>3073</v>
      </c>
      <c r="B3074" s="1" t="n">
        <v>45086</v>
      </c>
      <c r="C3074" s="5" t="inlineStr">
        <is>
          <t>M13</t>
        </is>
      </c>
      <c r="D3074" s="5" t="n">
        <v>37</v>
      </c>
      <c r="E3074" s="5" t="n">
        <v>400</v>
      </c>
      <c r="F3074" t="inlineStr">
        <is>
          <t>Поступление</t>
        </is>
      </c>
      <c r="H3074">
        <f>VLOOKUP(C3074,Магазин!$A$2:$C$1000,2,0)</f>
        <v/>
      </c>
      <c r="I3074">
        <f>VLOOKUP(D3074,Товар!$A$2:$F$1000,3,0)</f>
        <v/>
      </c>
      <c r="J3074">
        <f>VLOOKUP(D3074,Товар!$A$2:$F$1000,5,0)</f>
        <v/>
      </c>
      <c r="K3074">
        <f>IF(AND(H3074="Промышленный",LEFT(I3074,18)="Порошок стиральный",F3074="Продажа",B3074=DATE(2023,6,7)),E3074*J3074/1000,0)</f>
        <v/>
      </c>
    </row>
    <row r="3075">
      <c r="A3075" t="n">
        <v>3074</v>
      </c>
      <c r="B3075" s="1" t="n">
        <v>45086</v>
      </c>
      <c r="C3075" s="5" t="inlineStr">
        <is>
          <t>M13</t>
        </is>
      </c>
      <c r="D3075" s="5" t="n">
        <v>38</v>
      </c>
      <c r="E3075" s="5" t="n">
        <v>400</v>
      </c>
      <c r="F3075" t="inlineStr">
        <is>
          <t>Поступление</t>
        </is>
      </c>
      <c r="H3075">
        <f>VLOOKUP(C3075,Магазин!$A$2:$C$1000,2,0)</f>
        <v/>
      </c>
      <c r="I3075">
        <f>VLOOKUP(D3075,Товар!$A$2:$F$1000,3,0)</f>
        <v/>
      </c>
      <c r="J3075">
        <f>VLOOKUP(D3075,Товар!$A$2:$F$1000,5,0)</f>
        <v/>
      </c>
      <c r="K3075">
        <f>IF(AND(H3075="Промышленный",LEFT(I3075,18)="Порошок стиральный",F3075="Продажа",B3075=DATE(2023,6,7)),E3075*J3075/1000,0)</f>
        <v/>
      </c>
    </row>
    <row r="3076">
      <c r="A3076" t="n">
        <v>3075</v>
      </c>
      <c r="B3076" s="1" t="n">
        <v>45086</v>
      </c>
      <c r="C3076" s="5" t="inlineStr">
        <is>
          <t>M13</t>
        </is>
      </c>
      <c r="D3076" s="5" t="n">
        <v>39</v>
      </c>
      <c r="E3076" s="5" t="n">
        <v>400</v>
      </c>
      <c r="F3076" t="inlineStr">
        <is>
          <t>Поступление</t>
        </is>
      </c>
      <c r="H3076">
        <f>VLOOKUP(C3076,Магазин!$A$2:$C$1000,2,0)</f>
        <v/>
      </c>
      <c r="I3076">
        <f>VLOOKUP(D3076,Товар!$A$2:$F$1000,3,0)</f>
        <v/>
      </c>
      <c r="J3076">
        <f>VLOOKUP(D3076,Товар!$A$2:$F$1000,5,0)</f>
        <v/>
      </c>
      <c r="K3076">
        <f>IF(AND(H3076="Промышленный",LEFT(I3076,18)="Порошок стиральный",F3076="Продажа",B3076=DATE(2023,6,7)),E3076*J3076/1000,0)</f>
        <v/>
      </c>
    </row>
    <row r="3077">
      <c r="A3077" t="n">
        <v>3076</v>
      </c>
      <c r="B3077" s="1" t="n">
        <v>45086</v>
      </c>
      <c r="C3077" s="5" t="inlineStr">
        <is>
          <t>M13</t>
        </is>
      </c>
      <c r="D3077" s="5" t="n">
        <v>40</v>
      </c>
      <c r="E3077" s="5" t="n">
        <v>400</v>
      </c>
      <c r="F3077" t="inlineStr">
        <is>
          <t>Поступление</t>
        </is>
      </c>
      <c r="H3077">
        <f>VLOOKUP(C3077,Магазин!$A$2:$C$1000,2,0)</f>
        <v/>
      </c>
      <c r="I3077">
        <f>VLOOKUP(D3077,Товар!$A$2:$F$1000,3,0)</f>
        <v/>
      </c>
      <c r="J3077">
        <f>VLOOKUP(D3077,Товар!$A$2:$F$1000,5,0)</f>
        <v/>
      </c>
      <c r="K3077">
        <f>IF(AND(H3077="Промышленный",LEFT(I3077,18)="Порошок стиральный",F3077="Продажа",B3077=DATE(2023,6,7)),E3077*J3077/1000,0)</f>
        <v/>
      </c>
    </row>
    <row r="3078">
      <c r="A3078" t="n">
        <v>3077</v>
      </c>
      <c r="B3078" s="1" t="n">
        <v>45086</v>
      </c>
      <c r="C3078" s="5" t="inlineStr">
        <is>
          <t>M13</t>
        </is>
      </c>
      <c r="D3078" s="5" t="n">
        <v>41</v>
      </c>
      <c r="E3078" s="5" t="n">
        <v>400</v>
      </c>
      <c r="F3078" t="inlineStr">
        <is>
          <t>Поступление</t>
        </is>
      </c>
      <c r="H3078">
        <f>VLOOKUP(C3078,Магазин!$A$2:$C$1000,2,0)</f>
        <v/>
      </c>
      <c r="I3078">
        <f>VLOOKUP(D3078,Товар!$A$2:$F$1000,3,0)</f>
        <v/>
      </c>
      <c r="J3078">
        <f>VLOOKUP(D3078,Товар!$A$2:$F$1000,5,0)</f>
        <v/>
      </c>
      <c r="K3078">
        <f>IF(AND(H3078="Промышленный",LEFT(I3078,18)="Порошок стиральный",F3078="Продажа",B3078=DATE(2023,6,7)),E3078*J3078/1000,0)</f>
        <v/>
      </c>
    </row>
    <row r="3079">
      <c r="A3079" t="n">
        <v>3078</v>
      </c>
      <c r="B3079" s="1" t="n">
        <v>45086</v>
      </c>
      <c r="C3079" s="5" t="inlineStr">
        <is>
          <t>M13</t>
        </is>
      </c>
      <c r="D3079" s="5" t="n">
        <v>42</v>
      </c>
      <c r="E3079" s="5" t="n">
        <v>400</v>
      </c>
      <c r="F3079" t="inlineStr">
        <is>
          <t>Поступление</t>
        </is>
      </c>
      <c r="H3079">
        <f>VLOOKUP(C3079,Магазин!$A$2:$C$1000,2,0)</f>
        <v/>
      </c>
      <c r="I3079">
        <f>VLOOKUP(D3079,Товар!$A$2:$F$1000,3,0)</f>
        <v/>
      </c>
      <c r="J3079">
        <f>VLOOKUP(D3079,Товар!$A$2:$F$1000,5,0)</f>
        <v/>
      </c>
      <c r="K3079">
        <f>IF(AND(H3079="Промышленный",LEFT(I3079,18)="Порошок стиральный",F3079="Продажа",B3079=DATE(2023,6,7)),E3079*J3079/1000,0)</f>
        <v/>
      </c>
    </row>
    <row r="3080">
      <c r="A3080" t="n">
        <v>3079</v>
      </c>
      <c r="B3080" s="1" t="n">
        <v>45086</v>
      </c>
      <c r="C3080" s="5" t="inlineStr">
        <is>
          <t>M13</t>
        </is>
      </c>
      <c r="D3080" s="5" t="n">
        <v>43</v>
      </c>
      <c r="E3080" s="5" t="n">
        <v>400</v>
      </c>
      <c r="F3080" t="inlineStr">
        <is>
          <t>Поступление</t>
        </is>
      </c>
      <c r="H3080">
        <f>VLOOKUP(C3080,Магазин!$A$2:$C$1000,2,0)</f>
        <v/>
      </c>
      <c r="I3080">
        <f>VLOOKUP(D3080,Товар!$A$2:$F$1000,3,0)</f>
        <v/>
      </c>
      <c r="J3080">
        <f>VLOOKUP(D3080,Товар!$A$2:$F$1000,5,0)</f>
        <v/>
      </c>
      <c r="K3080">
        <f>IF(AND(H3080="Промышленный",LEFT(I3080,18)="Порошок стиральный",F3080="Продажа",B3080=DATE(2023,6,7)),E3080*J3080/1000,0)</f>
        <v/>
      </c>
    </row>
    <row r="3081">
      <c r="A3081" t="n">
        <v>3080</v>
      </c>
      <c r="B3081" s="1" t="n">
        <v>45086</v>
      </c>
      <c r="C3081" s="5" t="inlineStr">
        <is>
          <t>M13</t>
        </is>
      </c>
      <c r="D3081" s="5" t="n">
        <v>44</v>
      </c>
      <c r="E3081" s="5" t="n">
        <v>400</v>
      </c>
      <c r="F3081" t="inlineStr">
        <is>
          <t>Поступление</t>
        </is>
      </c>
      <c r="H3081">
        <f>VLOOKUP(C3081,Магазин!$A$2:$C$1000,2,0)</f>
        <v/>
      </c>
      <c r="I3081">
        <f>VLOOKUP(D3081,Товар!$A$2:$F$1000,3,0)</f>
        <v/>
      </c>
      <c r="J3081">
        <f>VLOOKUP(D3081,Товар!$A$2:$F$1000,5,0)</f>
        <v/>
      </c>
      <c r="K3081">
        <f>IF(AND(H3081="Промышленный",LEFT(I3081,18)="Порошок стиральный",F3081="Продажа",B3081=DATE(2023,6,7)),E3081*J3081/1000,0)</f>
        <v/>
      </c>
    </row>
    <row r="3082">
      <c r="A3082" t="n">
        <v>3081</v>
      </c>
      <c r="B3082" s="1" t="n">
        <v>45086</v>
      </c>
      <c r="C3082" s="5" t="inlineStr">
        <is>
          <t>M13</t>
        </is>
      </c>
      <c r="D3082" s="5" t="n">
        <v>45</v>
      </c>
      <c r="E3082" s="5" t="n">
        <v>400</v>
      </c>
      <c r="F3082" t="inlineStr">
        <is>
          <t>Поступление</t>
        </is>
      </c>
      <c r="H3082">
        <f>VLOOKUP(C3082,Магазин!$A$2:$C$1000,2,0)</f>
        <v/>
      </c>
      <c r="I3082">
        <f>VLOOKUP(D3082,Товар!$A$2:$F$1000,3,0)</f>
        <v/>
      </c>
      <c r="J3082">
        <f>VLOOKUP(D3082,Товар!$A$2:$F$1000,5,0)</f>
        <v/>
      </c>
      <c r="K3082">
        <f>IF(AND(H3082="Промышленный",LEFT(I3082,18)="Порошок стиральный",F3082="Продажа",B3082=DATE(2023,6,7)),E3082*J3082/1000,0)</f>
        <v/>
      </c>
    </row>
    <row r="3083">
      <c r="A3083" t="n">
        <v>3082</v>
      </c>
      <c r="B3083" s="1" t="n">
        <v>45086</v>
      </c>
      <c r="C3083" s="5" t="inlineStr">
        <is>
          <t>M13</t>
        </is>
      </c>
      <c r="D3083" s="5" t="n">
        <v>46</v>
      </c>
      <c r="E3083" s="5" t="n">
        <v>400</v>
      </c>
      <c r="F3083" t="inlineStr">
        <is>
          <t>Поступление</t>
        </is>
      </c>
      <c r="H3083">
        <f>VLOOKUP(C3083,Магазин!$A$2:$C$1000,2,0)</f>
        <v/>
      </c>
      <c r="I3083">
        <f>VLOOKUP(D3083,Товар!$A$2:$F$1000,3,0)</f>
        <v/>
      </c>
      <c r="J3083">
        <f>VLOOKUP(D3083,Товар!$A$2:$F$1000,5,0)</f>
        <v/>
      </c>
      <c r="K3083">
        <f>IF(AND(H3083="Промышленный",LEFT(I3083,18)="Порошок стиральный",F3083="Продажа",B3083=DATE(2023,6,7)),E3083*J3083/1000,0)</f>
        <v/>
      </c>
    </row>
    <row r="3084">
      <c r="A3084" t="n">
        <v>3083</v>
      </c>
      <c r="B3084" s="1" t="n">
        <v>45086</v>
      </c>
      <c r="C3084" s="5" t="inlineStr">
        <is>
          <t>M13</t>
        </is>
      </c>
      <c r="D3084" s="5" t="n">
        <v>47</v>
      </c>
      <c r="E3084" s="5" t="n">
        <v>400</v>
      </c>
      <c r="F3084" t="inlineStr">
        <is>
          <t>Поступление</t>
        </is>
      </c>
      <c r="H3084">
        <f>VLOOKUP(C3084,Магазин!$A$2:$C$1000,2,0)</f>
        <v/>
      </c>
      <c r="I3084">
        <f>VLOOKUP(D3084,Товар!$A$2:$F$1000,3,0)</f>
        <v/>
      </c>
      <c r="J3084">
        <f>VLOOKUP(D3084,Товар!$A$2:$F$1000,5,0)</f>
        <v/>
      </c>
      <c r="K3084">
        <f>IF(AND(H3084="Промышленный",LEFT(I3084,18)="Порошок стиральный",F3084="Продажа",B3084=DATE(2023,6,7)),E3084*J3084/1000,0)</f>
        <v/>
      </c>
    </row>
    <row r="3085">
      <c r="A3085" t="n">
        <v>3084</v>
      </c>
      <c r="B3085" s="1" t="n">
        <v>45086</v>
      </c>
      <c r="C3085" s="5" t="inlineStr">
        <is>
          <t>M13</t>
        </is>
      </c>
      <c r="D3085" s="5" t="n">
        <v>48</v>
      </c>
      <c r="E3085" s="5" t="n">
        <v>400</v>
      </c>
      <c r="F3085" t="inlineStr">
        <is>
          <t>Поступление</t>
        </is>
      </c>
      <c r="H3085">
        <f>VLOOKUP(C3085,Магазин!$A$2:$C$1000,2,0)</f>
        <v/>
      </c>
      <c r="I3085">
        <f>VLOOKUP(D3085,Товар!$A$2:$F$1000,3,0)</f>
        <v/>
      </c>
      <c r="J3085">
        <f>VLOOKUP(D3085,Товар!$A$2:$F$1000,5,0)</f>
        <v/>
      </c>
      <c r="K3085">
        <f>IF(AND(H3085="Промышленный",LEFT(I3085,18)="Порошок стиральный",F3085="Продажа",B3085=DATE(2023,6,7)),E3085*J3085/1000,0)</f>
        <v/>
      </c>
    </row>
    <row r="3086">
      <c r="A3086" t="n">
        <v>3085</v>
      </c>
      <c r="B3086" s="1" t="n">
        <v>45086</v>
      </c>
      <c r="C3086" s="5" t="inlineStr">
        <is>
          <t>M13</t>
        </is>
      </c>
      <c r="D3086" s="5" t="n">
        <v>49</v>
      </c>
      <c r="E3086" s="5" t="n">
        <v>400</v>
      </c>
      <c r="F3086" t="inlineStr">
        <is>
          <t>Поступление</t>
        </is>
      </c>
      <c r="H3086">
        <f>VLOOKUP(C3086,Магазин!$A$2:$C$1000,2,0)</f>
        <v/>
      </c>
      <c r="I3086">
        <f>VLOOKUP(D3086,Товар!$A$2:$F$1000,3,0)</f>
        <v/>
      </c>
      <c r="J3086">
        <f>VLOOKUP(D3086,Товар!$A$2:$F$1000,5,0)</f>
        <v/>
      </c>
      <c r="K3086">
        <f>IF(AND(H3086="Промышленный",LEFT(I3086,18)="Порошок стиральный",F3086="Продажа",B3086=DATE(2023,6,7)),E3086*J3086/1000,0)</f>
        <v/>
      </c>
    </row>
    <row r="3087">
      <c r="A3087" t="n">
        <v>3086</v>
      </c>
      <c r="B3087" s="1" t="n">
        <v>45086</v>
      </c>
      <c r="C3087" s="5" t="inlineStr">
        <is>
          <t>M13</t>
        </is>
      </c>
      <c r="D3087" s="5" t="n">
        <v>50</v>
      </c>
      <c r="E3087" s="5" t="n">
        <v>400</v>
      </c>
      <c r="F3087" t="inlineStr">
        <is>
          <t>Поступление</t>
        </is>
      </c>
      <c r="H3087">
        <f>VLOOKUP(C3087,Магазин!$A$2:$C$1000,2,0)</f>
        <v/>
      </c>
      <c r="I3087">
        <f>VLOOKUP(D3087,Товар!$A$2:$F$1000,3,0)</f>
        <v/>
      </c>
      <c r="J3087">
        <f>VLOOKUP(D3087,Товар!$A$2:$F$1000,5,0)</f>
        <v/>
      </c>
      <c r="K3087">
        <f>IF(AND(H3087="Промышленный",LEFT(I3087,18)="Порошок стиральный",F3087="Продажа",B3087=DATE(2023,6,7)),E3087*J3087/1000,0)</f>
        <v/>
      </c>
    </row>
    <row r="3088">
      <c r="A3088" t="n">
        <v>3087</v>
      </c>
      <c r="B3088" s="1" t="n">
        <v>45086</v>
      </c>
      <c r="C3088" s="5" t="inlineStr">
        <is>
          <t>M13</t>
        </is>
      </c>
      <c r="D3088" s="5" t="n">
        <v>51</v>
      </c>
      <c r="E3088" s="5" t="n">
        <v>400</v>
      </c>
      <c r="F3088" t="inlineStr">
        <is>
          <t>Поступление</t>
        </is>
      </c>
      <c r="H3088">
        <f>VLOOKUP(C3088,Магазин!$A$2:$C$1000,2,0)</f>
        <v/>
      </c>
      <c r="I3088">
        <f>VLOOKUP(D3088,Товар!$A$2:$F$1000,3,0)</f>
        <v/>
      </c>
      <c r="J3088">
        <f>VLOOKUP(D3088,Товар!$A$2:$F$1000,5,0)</f>
        <v/>
      </c>
      <c r="K3088">
        <f>IF(AND(H3088="Промышленный",LEFT(I3088,18)="Порошок стиральный",F3088="Продажа",B3088=DATE(2023,6,7)),E3088*J3088/1000,0)</f>
        <v/>
      </c>
    </row>
    <row r="3089">
      <c r="A3089" t="n">
        <v>3088</v>
      </c>
      <c r="B3089" s="1" t="n">
        <v>45086</v>
      </c>
      <c r="C3089" s="5" t="inlineStr">
        <is>
          <t>M13</t>
        </is>
      </c>
      <c r="D3089" s="5" t="n">
        <v>52</v>
      </c>
      <c r="E3089" s="5" t="n">
        <v>400</v>
      </c>
      <c r="F3089" t="inlineStr">
        <is>
          <t>Поступление</t>
        </is>
      </c>
      <c r="H3089">
        <f>VLOOKUP(C3089,Магазин!$A$2:$C$1000,2,0)</f>
        <v/>
      </c>
      <c r="I3089">
        <f>VLOOKUP(D3089,Товар!$A$2:$F$1000,3,0)</f>
        <v/>
      </c>
      <c r="J3089">
        <f>VLOOKUP(D3089,Товар!$A$2:$F$1000,5,0)</f>
        <v/>
      </c>
      <c r="K3089">
        <f>IF(AND(H3089="Промышленный",LEFT(I3089,18)="Порошок стиральный",F3089="Продажа",B3089=DATE(2023,6,7)),E3089*J3089/1000,0)</f>
        <v/>
      </c>
    </row>
    <row r="3090">
      <c r="A3090" t="n">
        <v>3089</v>
      </c>
      <c r="B3090" s="1" t="n">
        <v>45086</v>
      </c>
      <c r="C3090" s="5" t="inlineStr">
        <is>
          <t>M13</t>
        </is>
      </c>
      <c r="D3090" s="5" t="n">
        <v>53</v>
      </c>
      <c r="E3090" s="5" t="n">
        <v>400</v>
      </c>
      <c r="F3090" t="inlineStr">
        <is>
          <t>Поступление</t>
        </is>
      </c>
      <c r="H3090">
        <f>VLOOKUP(C3090,Магазин!$A$2:$C$1000,2,0)</f>
        <v/>
      </c>
      <c r="I3090">
        <f>VLOOKUP(D3090,Товар!$A$2:$F$1000,3,0)</f>
        <v/>
      </c>
      <c r="J3090">
        <f>VLOOKUP(D3090,Товар!$A$2:$F$1000,5,0)</f>
        <v/>
      </c>
      <c r="K3090">
        <f>IF(AND(H3090="Промышленный",LEFT(I3090,18)="Порошок стиральный",F3090="Продажа",B3090=DATE(2023,6,7)),E3090*J3090/1000,0)</f>
        <v/>
      </c>
    </row>
    <row r="3091">
      <c r="A3091" t="n">
        <v>3090</v>
      </c>
      <c r="B3091" s="1" t="n">
        <v>45086</v>
      </c>
      <c r="C3091" s="5" t="inlineStr">
        <is>
          <t>M13</t>
        </is>
      </c>
      <c r="D3091" s="5" t="n">
        <v>54</v>
      </c>
      <c r="E3091" s="5" t="n">
        <v>400</v>
      </c>
      <c r="F3091" t="inlineStr">
        <is>
          <t>Поступление</t>
        </is>
      </c>
      <c r="H3091">
        <f>VLOOKUP(C3091,Магазин!$A$2:$C$1000,2,0)</f>
        <v/>
      </c>
      <c r="I3091">
        <f>VLOOKUP(D3091,Товар!$A$2:$F$1000,3,0)</f>
        <v/>
      </c>
      <c r="J3091">
        <f>VLOOKUP(D3091,Товар!$A$2:$F$1000,5,0)</f>
        <v/>
      </c>
      <c r="K3091">
        <f>IF(AND(H3091="Промышленный",LEFT(I3091,18)="Порошок стиральный",F3091="Продажа",B3091=DATE(2023,6,7)),E3091*J3091/1000,0)</f>
        <v/>
      </c>
    </row>
    <row r="3092">
      <c r="A3092" t="n">
        <v>3091</v>
      </c>
      <c r="B3092" s="1" t="n">
        <v>45086</v>
      </c>
      <c r="C3092" s="5" t="inlineStr">
        <is>
          <t>M13</t>
        </is>
      </c>
      <c r="D3092" s="5" t="n">
        <v>55</v>
      </c>
      <c r="E3092" s="5" t="n">
        <v>400</v>
      </c>
      <c r="F3092" t="inlineStr">
        <is>
          <t>Поступление</t>
        </is>
      </c>
      <c r="H3092">
        <f>VLOOKUP(C3092,Магазин!$A$2:$C$1000,2,0)</f>
        <v/>
      </c>
      <c r="I3092">
        <f>VLOOKUP(D3092,Товар!$A$2:$F$1000,3,0)</f>
        <v/>
      </c>
      <c r="J3092">
        <f>VLOOKUP(D3092,Товар!$A$2:$F$1000,5,0)</f>
        <v/>
      </c>
      <c r="K3092">
        <f>IF(AND(H3092="Промышленный",LEFT(I3092,18)="Порошок стиральный",F3092="Продажа",B3092=DATE(2023,6,7)),E3092*J3092/1000,0)</f>
        <v/>
      </c>
    </row>
    <row r="3093">
      <c r="A3093" t="n">
        <v>3092</v>
      </c>
      <c r="B3093" s="1" t="n">
        <v>45086</v>
      </c>
      <c r="C3093" s="5" t="inlineStr">
        <is>
          <t>M13</t>
        </is>
      </c>
      <c r="D3093" s="5" t="n">
        <v>56</v>
      </c>
      <c r="E3093" s="5" t="n">
        <v>400</v>
      </c>
      <c r="F3093" t="inlineStr">
        <is>
          <t>Поступление</t>
        </is>
      </c>
      <c r="H3093">
        <f>VLOOKUP(C3093,Магазин!$A$2:$C$1000,2,0)</f>
        <v/>
      </c>
      <c r="I3093">
        <f>VLOOKUP(D3093,Товар!$A$2:$F$1000,3,0)</f>
        <v/>
      </c>
      <c r="J3093">
        <f>VLOOKUP(D3093,Товар!$A$2:$F$1000,5,0)</f>
        <v/>
      </c>
      <c r="K3093">
        <f>IF(AND(H3093="Промышленный",LEFT(I3093,18)="Порошок стиральный",F3093="Продажа",B3093=DATE(2023,6,7)),E3093*J3093/1000,0)</f>
        <v/>
      </c>
    </row>
    <row r="3094">
      <c r="A3094" t="n">
        <v>3093</v>
      </c>
      <c r="B3094" s="1" t="n">
        <v>45086</v>
      </c>
      <c r="C3094" s="5" t="inlineStr">
        <is>
          <t>M13</t>
        </is>
      </c>
      <c r="D3094" s="5" t="n">
        <v>57</v>
      </c>
      <c r="E3094" s="5" t="n">
        <v>400</v>
      </c>
      <c r="F3094" t="inlineStr">
        <is>
          <t>Поступление</t>
        </is>
      </c>
      <c r="H3094">
        <f>VLOOKUP(C3094,Магазин!$A$2:$C$1000,2,0)</f>
        <v/>
      </c>
      <c r="I3094">
        <f>VLOOKUP(D3094,Товар!$A$2:$F$1000,3,0)</f>
        <v/>
      </c>
      <c r="J3094">
        <f>VLOOKUP(D3094,Товар!$A$2:$F$1000,5,0)</f>
        <v/>
      </c>
      <c r="K3094">
        <f>IF(AND(H3094="Промышленный",LEFT(I3094,18)="Порошок стиральный",F3094="Продажа",B3094=DATE(2023,6,7)),E3094*J3094/1000,0)</f>
        <v/>
      </c>
    </row>
    <row r="3095">
      <c r="A3095" t="n">
        <v>3094</v>
      </c>
      <c r="B3095" s="1" t="n">
        <v>45086</v>
      </c>
      <c r="C3095" s="5" t="inlineStr">
        <is>
          <t>M13</t>
        </is>
      </c>
      <c r="D3095" s="5" t="n">
        <v>58</v>
      </c>
      <c r="E3095" s="5" t="n">
        <v>400</v>
      </c>
      <c r="F3095" t="inlineStr">
        <is>
          <t>Поступление</t>
        </is>
      </c>
      <c r="H3095">
        <f>VLOOKUP(C3095,Магазин!$A$2:$C$1000,2,0)</f>
        <v/>
      </c>
      <c r="I3095">
        <f>VLOOKUP(D3095,Товар!$A$2:$F$1000,3,0)</f>
        <v/>
      </c>
      <c r="J3095">
        <f>VLOOKUP(D3095,Товар!$A$2:$F$1000,5,0)</f>
        <v/>
      </c>
      <c r="K3095">
        <f>IF(AND(H3095="Промышленный",LEFT(I3095,18)="Порошок стиральный",F3095="Продажа",B3095=DATE(2023,6,7)),E3095*J3095/1000,0)</f>
        <v/>
      </c>
    </row>
    <row r="3096">
      <c r="A3096" t="n">
        <v>3095</v>
      </c>
      <c r="B3096" s="1" t="n">
        <v>45086</v>
      </c>
      <c r="C3096" s="5" t="inlineStr">
        <is>
          <t>M13</t>
        </is>
      </c>
      <c r="D3096" s="5" t="n">
        <v>59</v>
      </c>
      <c r="E3096" s="5" t="n">
        <v>400</v>
      </c>
      <c r="F3096" t="inlineStr">
        <is>
          <t>Поступление</t>
        </is>
      </c>
      <c r="H3096">
        <f>VLOOKUP(C3096,Магазин!$A$2:$C$1000,2,0)</f>
        <v/>
      </c>
      <c r="I3096">
        <f>VLOOKUP(D3096,Товар!$A$2:$F$1000,3,0)</f>
        <v/>
      </c>
      <c r="J3096">
        <f>VLOOKUP(D3096,Товар!$A$2:$F$1000,5,0)</f>
        <v/>
      </c>
      <c r="K3096">
        <f>IF(AND(H3096="Промышленный",LEFT(I3096,18)="Порошок стиральный",F3096="Продажа",B3096=DATE(2023,6,7)),E3096*J3096/1000,0)</f>
        <v/>
      </c>
    </row>
    <row r="3097">
      <c r="A3097" t="n">
        <v>3096</v>
      </c>
      <c r="B3097" s="1" t="n">
        <v>45086</v>
      </c>
      <c r="C3097" s="5" t="inlineStr">
        <is>
          <t>M13</t>
        </is>
      </c>
      <c r="D3097" s="5" t="n">
        <v>60</v>
      </c>
      <c r="E3097" s="5" t="n">
        <v>400</v>
      </c>
      <c r="F3097" t="inlineStr">
        <is>
          <t>Поступление</t>
        </is>
      </c>
      <c r="H3097">
        <f>VLOOKUP(C3097,Магазин!$A$2:$C$1000,2,0)</f>
        <v/>
      </c>
      <c r="I3097">
        <f>VLOOKUP(D3097,Товар!$A$2:$F$1000,3,0)</f>
        <v/>
      </c>
      <c r="J3097">
        <f>VLOOKUP(D3097,Товар!$A$2:$F$1000,5,0)</f>
        <v/>
      </c>
      <c r="K3097">
        <f>IF(AND(H3097="Промышленный",LEFT(I3097,18)="Порошок стиральный",F3097="Продажа",B3097=DATE(2023,6,7)),E3097*J3097/1000,0)</f>
        <v/>
      </c>
    </row>
    <row r="3098">
      <c r="A3098" t="n">
        <v>3097</v>
      </c>
      <c r="B3098" s="1" t="n">
        <v>45086</v>
      </c>
      <c r="C3098" s="5" t="inlineStr">
        <is>
          <t>M16</t>
        </is>
      </c>
      <c r="D3098" s="5" t="n">
        <v>37</v>
      </c>
      <c r="E3098" s="5" t="n">
        <v>400</v>
      </c>
      <c r="F3098" t="inlineStr">
        <is>
          <t>Поступление</t>
        </is>
      </c>
      <c r="H3098">
        <f>VLOOKUP(C3098,Магазин!$A$2:$C$1000,2,0)</f>
        <v/>
      </c>
      <c r="I3098">
        <f>VLOOKUP(D3098,Товар!$A$2:$F$1000,3,0)</f>
        <v/>
      </c>
      <c r="J3098">
        <f>VLOOKUP(D3098,Товар!$A$2:$F$1000,5,0)</f>
        <v/>
      </c>
      <c r="K3098">
        <f>IF(AND(H3098="Промышленный",LEFT(I3098,18)="Порошок стиральный",F3098="Продажа",B3098=DATE(2023,6,7)),E3098*J3098/1000,0)</f>
        <v/>
      </c>
    </row>
    <row r="3099">
      <c r="A3099" t="n">
        <v>3098</v>
      </c>
      <c r="B3099" s="1" t="n">
        <v>45086</v>
      </c>
      <c r="C3099" s="5" t="inlineStr">
        <is>
          <t>M16</t>
        </is>
      </c>
      <c r="D3099" s="5" t="n">
        <v>38</v>
      </c>
      <c r="E3099" s="5" t="n">
        <v>400</v>
      </c>
      <c r="F3099" t="inlineStr">
        <is>
          <t>Поступление</t>
        </is>
      </c>
      <c r="H3099">
        <f>VLOOKUP(C3099,Магазин!$A$2:$C$1000,2,0)</f>
        <v/>
      </c>
      <c r="I3099">
        <f>VLOOKUP(D3099,Товар!$A$2:$F$1000,3,0)</f>
        <v/>
      </c>
      <c r="J3099">
        <f>VLOOKUP(D3099,Товар!$A$2:$F$1000,5,0)</f>
        <v/>
      </c>
      <c r="K3099">
        <f>IF(AND(H3099="Промышленный",LEFT(I3099,18)="Порошок стиральный",F3099="Продажа",B3099=DATE(2023,6,7)),E3099*J3099/1000,0)</f>
        <v/>
      </c>
    </row>
    <row r="3100">
      <c r="A3100" t="n">
        <v>3099</v>
      </c>
      <c r="B3100" s="1" t="n">
        <v>45086</v>
      </c>
      <c r="C3100" s="5" t="inlineStr">
        <is>
          <t>M16</t>
        </is>
      </c>
      <c r="D3100" s="5" t="n">
        <v>39</v>
      </c>
      <c r="E3100" s="5" t="n">
        <v>400</v>
      </c>
      <c r="F3100" t="inlineStr">
        <is>
          <t>Поступление</t>
        </is>
      </c>
      <c r="H3100">
        <f>VLOOKUP(C3100,Магазин!$A$2:$C$1000,2,0)</f>
        <v/>
      </c>
      <c r="I3100">
        <f>VLOOKUP(D3100,Товар!$A$2:$F$1000,3,0)</f>
        <v/>
      </c>
      <c r="J3100">
        <f>VLOOKUP(D3100,Товар!$A$2:$F$1000,5,0)</f>
        <v/>
      </c>
      <c r="K3100">
        <f>IF(AND(H3100="Промышленный",LEFT(I3100,18)="Порошок стиральный",F3100="Продажа",B3100=DATE(2023,6,7)),E3100*J3100/1000,0)</f>
        <v/>
      </c>
    </row>
    <row r="3101">
      <c r="A3101" t="n">
        <v>3100</v>
      </c>
      <c r="B3101" s="1" t="n">
        <v>45086</v>
      </c>
      <c r="C3101" s="5" t="inlineStr">
        <is>
          <t>M16</t>
        </is>
      </c>
      <c r="D3101" s="5" t="n">
        <v>40</v>
      </c>
      <c r="E3101" s="5" t="n">
        <v>400</v>
      </c>
      <c r="F3101" t="inlineStr">
        <is>
          <t>Поступление</t>
        </is>
      </c>
      <c r="H3101">
        <f>VLOOKUP(C3101,Магазин!$A$2:$C$1000,2,0)</f>
        <v/>
      </c>
      <c r="I3101">
        <f>VLOOKUP(D3101,Товар!$A$2:$F$1000,3,0)</f>
        <v/>
      </c>
      <c r="J3101">
        <f>VLOOKUP(D3101,Товар!$A$2:$F$1000,5,0)</f>
        <v/>
      </c>
      <c r="K3101">
        <f>IF(AND(H3101="Промышленный",LEFT(I3101,18)="Порошок стиральный",F3101="Продажа",B3101=DATE(2023,6,7)),E3101*J3101/1000,0)</f>
        <v/>
      </c>
    </row>
    <row r="3102">
      <c r="A3102" t="n">
        <v>3101</v>
      </c>
      <c r="B3102" s="1" t="n">
        <v>45086</v>
      </c>
      <c r="C3102" s="5" t="inlineStr">
        <is>
          <t>M16</t>
        </is>
      </c>
      <c r="D3102" s="5" t="n">
        <v>41</v>
      </c>
      <c r="E3102" s="5" t="n">
        <v>400</v>
      </c>
      <c r="F3102" t="inlineStr">
        <is>
          <t>Поступление</t>
        </is>
      </c>
      <c r="H3102">
        <f>VLOOKUP(C3102,Магазин!$A$2:$C$1000,2,0)</f>
        <v/>
      </c>
      <c r="I3102">
        <f>VLOOKUP(D3102,Товар!$A$2:$F$1000,3,0)</f>
        <v/>
      </c>
      <c r="J3102">
        <f>VLOOKUP(D3102,Товар!$A$2:$F$1000,5,0)</f>
        <v/>
      </c>
      <c r="K3102">
        <f>IF(AND(H3102="Промышленный",LEFT(I3102,18)="Порошок стиральный",F3102="Продажа",B3102=DATE(2023,6,7)),E3102*J3102/1000,0)</f>
        <v/>
      </c>
    </row>
    <row r="3103">
      <c r="A3103" t="n">
        <v>3102</v>
      </c>
      <c r="B3103" s="1" t="n">
        <v>45086</v>
      </c>
      <c r="C3103" s="5" t="inlineStr">
        <is>
          <t>M16</t>
        </is>
      </c>
      <c r="D3103" s="5" t="n">
        <v>42</v>
      </c>
      <c r="E3103" s="5" t="n">
        <v>400</v>
      </c>
      <c r="F3103" t="inlineStr">
        <is>
          <t>Поступление</t>
        </is>
      </c>
      <c r="H3103">
        <f>VLOOKUP(C3103,Магазин!$A$2:$C$1000,2,0)</f>
        <v/>
      </c>
      <c r="I3103">
        <f>VLOOKUP(D3103,Товар!$A$2:$F$1000,3,0)</f>
        <v/>
      </c>
      <c r="J3103">
        <f>VLOOKUP(D3103,Товар!$A$2:$F$1000,5,0)</f>
        <v/>
      </c>
      <c r="K3103">
        <f>IF(AND(H3103="Промышленный",LEFT(I3103,18)="Порошок стиральный",F3103="Продажа",B3103=DATE(2023,6,7)),E3103*J3103/1000,0)</f>
        <v/>
      </c>
    </row>
    <row r="3104">
      <c r="A3104" t="n">
        <v>3103</v>
      </c>
      <c r="B3104" s="1" t="n">
        <v>45086</v>
      </c>
      <c r="C3104" s="5" t="inlineStr">
        <is>
          <t>M16</t>
        </is>
      </c>
      <c r="D3104" s="5" t="n">
        <v>43</v>
      </c>
      <c r="E3104" s="5" t="n">
        <v>400</v>
      </c>
      <c r="F3104" t="inlineStr">
        <is>
          <t>Поступление</t>
        </is>
      </c>
      <c r="H3104">
        <f>VLOOKUP(C3104,Магазин!$A$2:$C$1000,2,0)</f>
        <v/>
      </c>
      <c r="I3104">
        <f>VLOOKUP(D3104,Товар!$A$2:$F$1000,3,0)</f>
        <v/>
      </c>
      <c r="J3104">
        <f>VLOOKUP(D3104,Товар!$A$2:$F$1000,5,0)</f>
        <v/>
      </c>
      <c r="K3104">
        <f>IF(AND(H3104="Промышленный",LEFT(I3104,18)="Порошок стиральный",F3104="Продажа",B3104=DATE(2023,6,7)),E3104*J3104/1000,0)</f>
        <v/>
      </c>
    </row>
    <row r="3105">
      <c r="A3105" t="n">
        <v>3104</v>
      </c>
      <c r="B3105" s="1" t="n">
        <v>45086</v>
      </c>
      <c r="C3105" s="5" t="inlineStr">
        <is>
          <t>M16</t>
        </is>
      </c>
      <c r="D3105" s="5" t="n">
        <v>44</v>
      </c>
      <c r="E3105" s="5" t="n">
        <v>400</v>
      </c>
      <c r="F3105" t="inlineStr">
        <is>
          <t>Поступление</t>
        </is>
      </c>
      <c r="H3105">
        <f>VLOOKUP(C3105,Магазин!$A$2:$C$1000,2,0)</f>
        <v/>
      </c>
      <c r="I3105">
        <f>VLOOKUP(D3105,Товар!$A$2:$F$1000,3,0)</f>
        <v/>
      </c>
      <c r="J3105">
        <f>VLOOKUP(D3105,Товар!$A$2:$F$1000,5,0)</f>
        <v/>
      </c>
      <c r="K3105">
        <f>IF(AND(H3105="Промышленный",LEFT(I3105,18)="Порошок стиральный",F3105="Продажа",B3105=DATE(2023,6,7)),E3105*J3105/1000,0)</f>
        <v/>
      </c>
    </row>
    <row r="3106">
      <c r="A3106" t="n">
        <v>3105</v>
      </c>
      <c r="B3106" s="1" t="n">
        <v>45086</v>
      </c>
      <c r="C3106" s="5" t="inlineStr">
        <is>
          <t>M16</t>
        </is>
      </c>
      <c r="D3106" s="5" t="n">
        <v>45</v>
      </c>
      <c r="E3106" s="5" t="n">
        <v>400</v>
      </c>
      <c r="F3106" t="inlineStr">
        <is>
          <t>Поступление</t>
        </is>
      </c>
      <c r="H3106">
        <f>VLOOKUP(C3106,Магазин!$A$2:$C$1000,2,0)</f>
        <v/>
      </c>
      <c r="I3106">
        <f>VLOOKUP(D3106,Товар!$A$2:$F$1000,3,0)</f>
        <v/>
      </c>
      <c r="J3106">
        <f>VLOOKUP(D3106,Товар!$A$2:$F$1000,5,0)</f>
        <v/>
      </c>
      <c r="K3106">
        <f>IF(AND(H3106="Промышленный",LEFT(I3106,18)="Порошок стиральный",F3106="Продажа",B3106=DATE(2023,6,7)),E3106*J3106/1000,0)</f>
        <v/>
      </c>
    </row>
    <row r="3107">
      <c r="A3107" t="n">
        <v>3106</v>
      </c>
      <c r="B3107" s="1" t="n">
        <v>45086</v>
      </c>
      <c r="C3107" s="5" t="inlineStr">
        <is>
          <t>M16</t>
        </is>
      </c>
      <c r="D3107" s="5" t="n">
        <v>46</v>
      </c>
      <c r="E3107" s="5" t="n">
        <v>400</v>
      </c>
      <c r="F3107" t="inlineStr">
        <is>
          <t>Поступление</t>
        </is>
      </c>
      <c r="H3107">
        <f>VLOOKUP(C3107,Магазин!$A$2:$C$1000,2,0)</f>
        <v/>
      </c>
      <c r="I3107">
        <f>VLOOKUP(D3107,Товар!$A$2:$F$1000,3,0)</f>
        <v/>
      </c>
      <c r="J3107">
        <f>VLOOKUP(D3107,Товар!$A$2:$F$1000,5,0)</f>
        <v/>
      </c>
      <c r="K3107">
        <f>IF(AND(H3107="Промышленный",LEFT(I3107,18)="Порошок стиральный",F3107="Продажа",B3107=DATE(2023,6,7)),E3107*J3107/1000,0)</f>
        <v/>
      </c>
    </row>
    <row r="3108">
      <c r="A3108" t="n">
        <v>3107</v>
      </c>
      <c r="B3108" s="1" t="n">
        <v>45086</v>
      </c>
      <c r="C3108" s="5" t="inlineStr">
        <is>
          <t>M16</t>
        </is>
      </c>
      <c r="D3108" s="5" t="n">
        <v>47</v>
      </c>
      <c r="E3108" s="5" t="n">
        <v>400</v>
      </c>
      <c r="F3108" t="inlineStr">
        <is>
          <t>Поступление</t>
        </is>
      </c>
      <c r="H3108">
        <f>VLOOKUP(C3108,Магазин!$A$2:$C$1000,2,0)</f>
        <v/>
      </c>
      <c r="I3108">
        <f>VLOOKUP(D3108,Товар!$A$2:$F$1000,3,0)</f>
        <v/>
      </c>
      <c r="J3108">
        <f>VLOOKUP(D3108,Товар!$A$2:$F$1000,5,0)</f>
        <v/>
      </c>
      <c r="K3108">
        <f>IF(AND(H3108="Промышленный",LEFT(I3108,18)="Порошок стиральный",F3108="Продажа",B3108=DATE(2023,6,7)),E3108*J3108/1000,0)</f>
        <v/>
      </c>
    </row>
    <row r="3109">
      <c r="A3109" t="n">
        <v>3108</v>
      </c>
      <c r="B3109" s="1" t="n">
        <v>45086</v>
      </c>
      <c r="C3109" s="5" t="inlineStr">
        <is>
          <t>M16</t>
        </is>
      </c>
      <c r="D3109" s="5" t="n">
        <v>48</v>
      </c>
      <c r="E3109" s="5" t="n">
        <v>400</v>
      </c>
      <c r="F3109" t="inlineStr">
        <is>
          <t>Поступление</t>
        </is>
      </c>
      <c r="H3109">
        <f>VLOOKUP(C3109,Магазин!$A$2:$C$1000,2,0)</f>
        <v/>
      </c>
      <c r="I3109">
        <f>VLOOKUP(D3109,Товар!$A$2:$F$1000,3,0)</f>
        <v/>
      </c>
      <c r="J3109">
        <f>VLOOKUP(D3109,Товар!$A$2:$F$1000,5,0)</f>
        <v/>
      </c>
      <c r="K3109">
        <f>IF(AND(H3109="Промышленный",LEFT(I3109,18)="Порошок стиральный",F3109="Продажа",B3109=DATE(2023,6,7)),E3109*J3109/1000,0)</f>
        <v/>
      </c>
    </row>
    <row r="3110">
      <c r="A3110" t="n">
        <v>3109</v>
      </c>
      <c r="B3110" s="1" t="n">
        <v>45086</v>
      </c>
      <c r="C3110" s="5" t="inlineStr">
        <is>
          <t>M16</t>
        </is>
      </c>
      <c r="D3110" s="5" t="n">
        <v>49</v>
      </c>
      <c r="E3110" s="5" t="n">
        <v>400</v>
      </c>
      <c r="F3110" t="inlineStr">
        <is>
          <t>Поступление</t>
        </is>
      </c>
      <c r="H3110">
        <f>VLOOKUP(C3110,Магазин!$A$2:$C$1000,2,0)</f>
        <v/>
      </c>
      <c r="I3110">
        <f>VLOOKUP(D3110,Товар!$A$2:$F$1000,3,0)</f>
        <v/>
      </c>
      <c r="J3110">
        <f>VLOOKUP(D3110,Товар!$A$2:$F$1000,5,0)</f>
        <v/>
      </c>
      <c r="K3110">
        <f>IF(AND(H3110="Промышленный",LEFT(I3110,18)="Порошок стиральный",F3110="Продажа",B3110=DATE(2023,6,7)),E3110*J3110/1000,0)</f>
        <v/>
      </c>
    </row>
    <row r="3111">
      <c r="A3111" t="n">
        <v>3110</v>
      </c>
      <c r="B3111" s="1" t="n">
        <v>45086</v>
      </c>
      <c r="C3111" s="5" t="inlineStr">
        <is>
          <t>M16</t>
        </is>
      </c>
      <c r="D3111" s="5" t="n">
        <v>50</v>
      </c>
      <c r="E3111" s="5" t="n">
        <v>400</v>
      </c>
      <c r="F3111" t="inlineStr">
        <is>
          <t>Поступление</t>
        </is>
      </c>
      <c r="H3111">
        <f>VLOOKUP(C3111,Магазин!$A$2:$C$1000,2,0)</f>
        <v/>
      </c>
      <c r="I3111">
        <f>VLOOKUP(D3111,Товар!$A$2:$F$1000,3,0)</f>
        <v/>
      </c>
      <c r="J3111">
        <f>VLOOKUP(D3111,Товар!$A$2:$F$1000,5,0)</f>
        <v/>
      </c>
      <c r="K3111">
        <f>IF(AND(H3111="Промышленный",LEFT(I3111,18)="Порошок стиральный",F3111="Продажа",B3111=DATE(2023,6,7)),E3111*J3111/1000,0)</f>
        <v/>
      </c>
    </row>
    <row r="3112">
      <c r="A3112" t="n">
        <v>3111</v>
      </c>
      <c r="B3112" s="1" t="n">
        <v>45086</v>
      </c>
      <c r="C3112" s="5" t="inlineStr">
        <is>
          <t>M16</t>
        </is>
      </c>
      <c r="D3112" s="5" t="n">
        <v>51</v>
      </c>
      <c r="E3112" s="5" t="n">
        <v>400</v>
      </c>
      <c r="F3112" t="inlineStr">
        <is>
          <t>Поступление</t>
        </is>
      </c>
      <c r="H3112">
        <f>VLOOKUP(C3112,Магазин!$A$2:$C$1000,2,0)</f>
        <v/>
      </c>
      <c r="I3112">
        <f>VLOOKUP(D3112,Товар!$A$2:$F$1000,3,0)</f>
        <v/>
      </c>
      <c r="J3112">
        <f>VLOOKUP(D3112,Товар!$A$2:$F$1000,5,0)</f>
        <v/>
      </c>
      <c r="K3112">
        <f>IF(AND(H3112="Промышленный",LEFT(I3112,18)="Порошок стиральный",F3112="Продажа",B3112=DATE(2023,6,7)),E3112*J3112/1000,0)</f>
        <v/>
      </c>
    </row>
    <row r="3113">
      <c r="A3113" t="n">
        <v>3112</v>
      </c>
      <c r="B3113" s="1" t="n">
        <v>45086</v>
      </c>
      <c r="C3113" s="5" t="inlineStr">
        <is>
          <t>M16</t>
        </is>
      </c>
      <c r="D3113" s="5" t="n">
        <v>52</v>
      </c>
      <c r="E3113" s="5" t="n">
        <v>400</v>
      </c>
      <c r="F3113" t="inlineStr">
        <is>
          <t>Поступление</t>
        </is>
      </c>
      <c r="H3113">
        <f>VLOOKUP(C3113,Магазин!$A$2:$C$1000,2,0)</f>
        <v/>
      </c>
      <c r="I3113">
        <f>VLOOKUP(D3113,Товар!$A$2:$F$1000,3,0)</f>
        <v/>
      </c>
      <c r="J3113">
        <f>VLOOKUP(D3113,Товар!$A$2:$F$1000,5,0)</f>
        <v/>
      </c>
      <c r="K3113">
        <f>IF(AND(H3113="Промышленный",LEFT(I3113,18)="Порошок стиральный",F3113="Продажа",B3113=DATE(2023,6,7)),E3113*J3113/1000,0)</f>
        <v/>
      </c>
    </row>
    <row r="3114">
      <c r="A3114" t="n">
        <v>3113</v>
      </c>
      <c r="B3114" s="1" t="n">
        <v>45086</v>
      </c>
      <c r="C3114" s="5" t="inlineStr">
        <is>
          <t>M16</t>
        </is>
      </c>
      <c r="D3114" s="5" t="n">
        <v>53</v>
      </c>
      <c r="E3114" s="5" t="n">
        <v>400</v>
      </c>
      <c r="F3114" t="inlineStr">
        <is>
          <t>Поступление</t>
        </is>
      </c>
      <c r="H3114">
        <f>VLOOKUP(C3114,Магазин!$A$2:$C$1000,2,0)</f>
        <v/>
      </c>
      <c r="I3114">
        <f>VLOOKUP(D3114,Товар!$A$2:$F$1000,3,0)</f>
        <v/>
      </c>
      <c r="J3114">
        <f>VLOOKUP(D3114,Товар!$A$2:$F$1000,5,0)</f>
        <v/>
      </c>
      <c r="K3114">
        <f>IF(AND(H3114="Промышленный",LEFT(I3114,18)="Порошок стиральный",F3114="Продажа",B3114=DATE(2023,6,7)),E3114*J3114/1000,0)</f>
        <v/>
      </c>
    </row>
    <row r="3115">
      <c r="A3115" t="n">
        <v>3114</v>
      </c>
      <c r="B3115" s="1" t="n">
        <v>45086</v>
      </c>
      <c r="C3115" s="5" t="inlineStr">
        <is>
          <t>M16</t>
        </is>
      </c>
      <c r="D3115" s="5" t="n">
        <v>54</v>
      </c>
      <c r="E3115" s="5" t="n">
        <v>400</v>
      </c>
      <c r="F3115" t="inlineStr">
        <is>
          <t>Поступление</t>
        </is>
      </c>
      <c r="H3115">
        <f>VLOOKUP(C3115,Магазин!$A$2:$C$1000,2,0)</f>
        <v/>
      </c>
      <c r="I3115">
        <f>VLOOKUP(D3115,Товар!$A$2:$F$1000,3,0)</f>
        <v/>
      </c>
      <c r="J3115">
        <f>VLOOKUP(D3115,Товар!$A$2:$F$1000,5,0)</f>
        <v/>
      </c>
      <c r="K3115">
        <f>IF(AND(H3115="Промышленный",LEFT(I3115,18)="Порошок стиральный",F3115="Продажа",B3115=DATE(2023,6,7)),E3115*J3115/1000,0)</f>
        <v/>
      </c>
    </row>
    <row r="3116">
      <c r="A3116" t="n">
        <v>3115</v>
      </c>
      <c r="B3116" s="1" t="n">
        <v>45086</v>
      </c>
      <c r="C3116" s="5" t="inlineStr">
        <is>
          <t>M16</t>
        </is>
      </c>
      <c r="D3116" s="5" t="n">
        <v>55</v>
      </c>
      <c r="E3116" s="5" t="n">
        <v>400</v>
      </c>
      <c r="F3116" t="inlineStr">
        <is>
          <t>Поступление</t>
        </is>
      </c>
      <c r="H3116">
        <f>VLOOKUP(C3116,Магазин!$A$2:$C$1000,2,0)</f>
        <v/>
      </c>
      <c r="I3116">
        <f>VLOOKUP(D3116,Товар!$A$2:$F$1000,3,0)</f>
        <v/>
      </c>
      <c r="J3116">
        <f>VLOOKUP(D3116,Товар!$A$2:$F$1000,5,0)</f>
        <v/>
      </c>
      <c r="K3116">
        <f>IF(AND(H3116="Промышленный",LEFT(I3116,18)="Порошок стиральный",F3116="Продажа",B3116=DATE(2023,6,7)),E3116*J3116/1000,0)</f>
        <v/>
      </c>
    </row>
    <row r="3117">
      <c r="A3117" t="n">
        <v>3116</v>
      </c>
      <c r="B3117" s="1" t="n">
        <v>45086</v>
      </c>
      <c r="C3117" s="5" t="inlineStr">
        <is>
          <t>M16</t>
        </is>
      </c>
      <c r="D3117" s="5" t="n">
        <v>56</v>
      </c>
      <c r="E3117" s="5" t="n">
        <v>400</v>
      </c>
      <c r="F3117" t="inlineStr">
        <is>
          <t>Поступление</t>
        </is>
      </c>
      <c r="H3117">
        <f>VLOOKUP(C3117,Магазин!$A$2:$C$1000,2,0)</f>
        <v/>
      </c>
      <c r="I3117">
        <f>VLOOKUP(D3117,Товар!$A$2:$F$1000,3,0)</f>
        <v/>
      </c>
      <c r="J3117">
        <f>VLOOKUP(D3117,Товар!$A$2:$F$1000,5,0)</f>
        <v/>
      </c>
      <c r="K3117">
        <f>IF(AND(H3117="Промышленный",LEFT(I3117,18)="Порошок стиральный",F3117="Продажа",B3117=DATE(2023,6,7)),E3117*J3117/1000,0)</f>
        <v/>
      </c>
    </row>
    <row r="3118">
      <c r="A3118" t="n">
        <v>3117</v>
      </c>
      <c r="B3118" s="1" t="n">
        <v>45086</v>
      </c>
      <c r="C3118" s="5" t="inlineStr">
        <is>
          <t>M16</t>
        </is>
      </c>
      <c r="D3118" s="5" t="n">
        <v>57</v>
      </c>
      <c r="E3118" s="5" t="n">
        <v>400</v>
      </c>
      <c r="F3118" t="inlineStr">
        <is>
          <t>Поступление</t>
        </is>
      </c>
      <c r="H3118">
        <f>VLOOKUP(C3118,Магазин!$A$2:$C$1000,2,0)</f>
        <v/>
      </c>
      <c r="I3118">
        <f>VLOOKUP(D3118,Товар!$A$2:$F$1000,3,0)</f>
        <v/>
      </c>
      <c r="J3118">
        <f>VLOOKUP(D3118,Товар!$A$2:$F$1000,5,0)</f>
        <v/>
      </c>
      <c r="K3118">
        <f>IF(AND(H3118="Промышленный",LEFT(I3118,18)="Порошок стиральный",F3118="Продажа",B3118=DATE(2023,6,7)),E3118*J3118/1000,0)</f>
        <v/>
      </c>
    </row>
    <row r="3119">
      <c r="A3119" t="n">
        <v>3118</v>
      </c>
      <c r="B3119" s="1" t="n">
        <v>45086</v>
      </c>
      <c r="C3119" s="5" t="inlineStr">
        <is>
          <t>M16</t>
        </is>
      </c>
      <c r="D3119" s="5" t="n">
        <v>58</v>
      </c>
      <c r="E3119" s="5" t="n">
        <v>400</v>
      </c>
      <c r="F3119" t="inlineStr">
        <is>
          <t>Поступление</t>
        </is>
      </c>
      <c r="H3119">
        <f>VLOOKUP(C3119,Магазин!$A$2:$C$1000,2,0)</f>
        <v/>
      </c>
      <c r="I3119">
        <f>VLOOKUP(D3119,Товар!$A$2:$F$1000,3,0)</f>
        <v/>
      </c>
      <c r="J3119">
        <f>VLOOKUP(D3119,Товар!$A$2:$F$1000,5,0)</f>
        <v/>
      </c>
      <c r="K3119">
        <f>IF(AND(H3119="Промышленный",LEFT(I3119,18)="Порошок стиральный",F3119="Продажа",B3119=DATE(2023,6,7)),E3119*J3119/1000,0)</f>
        <v/>
      </c>
    </row>
    <row r="3120">
      <c r="A3120" t="n">
        <v>3119</v>
      </c>
      <c r="B3120" s="1" t="n">
        <v>45086</v>
      </c>
      <c r="C3120" s="5" t="inlineStr">
        <is>
          <t>M16</t>
        </is>
      </c>
      <c r="D3120" s="5" t="n">
        <v>59</v>
      </c>
      <c r="E3120" s="5" t="n">
        <v>400</v>
      </c>
      <c r="F3120" t="inlineStr">
        <is>
          <t>Поступление</t>
        </is>
      </c>
      <c r="H3120">
        <f>VLOOKUP(C3120,Магазин!$A$2:$C$1000,2,0)</f>
        <v/>
      </c>
      <c r="I3120">
        <f>VLOOKUP(D3120,Товар!$A$2:$F$1000,3,0)</f>
        <v/>
      </c>
      <c r="J3120">
        <f>VLOOKUP(D3120,Товар!$A$2:$F$1000,5,0)</f>
        <v/>
      </c>
      <c r="K3120">
        <f>IF(AND(H3120="Промышленный",LEFT(I3120,18)="Порошок стиральный",F3120="Продажа",B3120=DATE(2023,6,7)),E3120*J3120/1000,0)</f>
        <v/>
      </c>
    </row>
    <row r="3121">
      <c r="A3121" t="n">
        <v>3120</v>
      </c>
      <c r="B3121" s="1" t="n">
        <v>45086</v>
      </c>
      <c r="C3121" s="5" t="inlineStr">
        <is>
          <t>M16</t>
        </is>
      </c>
      <c r="D3121" s="5" t="n">
        <v>60</v>
      </c>
      <c r="E3121" s="5" t="n">
        <v>400</v>
      </c>
      <c r="F3121" t="inlineStr">
        <is>
          <t>Поступление</t>
        </is>
      </c>
      <c r="H3121">
        <f>VLOOKUP(C3121,Магазин!$A$2:$C$1000,2,0)</f>
        <v/>
      </c>
      <c r="I3121">
        <f>VLOOKUP(D3121,Товар!$A$2:$F$1000,3,0)</f>
        <v/>
      </c>
      <c r="J3121">
        <f>VLOOKUP(D3121,Товар!$A$2:$F$1000,5,0)</f>
        <v/>
      </c>
      <c r="K3121">
        <f>IF(AND(H3121="Промышленный",LEFT(I3121,18)="Порошок стиральный",F3121="Продажа",B3121=DATE(2023,6,7)),E3121*J3121/1000,0)</f>
        <v/>
      </c>
    </row>
    <row r="3122">
      <c r="A3122" t="n">
        <v>3121</v>
      </c>
      <c r="B3122" s="1" t="n">
        <v>45086</v>
      </c>
      <c r="C3122" s="5" t="inlineStr">
        <is>
          <t>M3</t>
        </is>
      </c>
      <c r="D3122" s="5" t="n">
        <v>37</v>
      </c>
      <c r="E3122" s="5" t="n">
        <v>200</v>
      </c>
      <c r="F3122" t="inlineStr">
        <is>
          <t>Поступление</t>
        </is>
      </c>
      <c r="H3122">
        <f>VLOOKUP(C3122,Магазин!$A$2:$C$1000,2,0)</f>
        <v/>
      </c>
      <c r="I3122">
        <f>VLOOKUP(D3122,Товар!$A$2:$F$1000,3,0)</f>
        <v/>
      </c>
      <c r="J3122">
        <f>VLOOKUP(D3122,Товар!$A$2:$F$1000,5,0)</f>
        <v/>
      </c>
      <c r="K3122">
        <f>IF(AND(H3122="Промышленный",LEFT(I3122,18)="Порошок стиральный",F3122="Продажа",B3122=DATE(2023,6,7)),E3122*J3122/1000,0)</f>
        <v/>
      </c>
    </row>
    <row r="3123">
      <c r="A3123" t="n">
        <v>3122</v>
      </c>
      <c r="B3123" s="1" t="n">
        <v>45086</v>
      </c>
      <c r="C3123" s="5" t="inlineStr">
        <is>
          <t>M3</t>
        </is>
      </c>
      <c r="D3123" s="5" t="n">
        <v>38</v>
      </c>
      <c r="E3123" s="5" t="n">
        <v>200</v>
      </c>
      <c r="F3123" t="inlineStr">
        <is>
          <t>Поступление</t>
        </is>
      </c>
      <c r="H3123">
        <f>VLOOKUP(C3123,Магазин!$A$2:$C$1000,2,0)</f>
        <v/>
      </c>
      <c r="I3123">
        <f>VLOOKUP(D3123,Товар!$A$2:$F$1000,3,0)</f>
        <v/>
      </c>
      <c r="J3123">
        <f>VLOOKUP(D3123,Товар!$A$2:$F$1000,5,0)</f>
        <v/>
      </c>
      <c r="K3123">
        <f>IF(AND(H3123="Промышленный",LEFT(I3123,18)="Порошок стиральный",F3123="Продажа",B3123=DATE(2023,6,7)),E3123*J3123/1000,0)</f>
        <v/>
      </c>
    </row>
    <row r="3124">
      <c r="A3124" t="n">
        <v>3123</v>
      </c>
      <c r="B3124" s="1" t="n">
        <v>45086</v>
      </c>
      <c r="C3124" s="5" t="inlineStr">
        <is>
          <t>M3</t>
        </is>
      </c>
      <c r="D3124" s="5" t="n">
        <v>39</v>
      </c>
      <c r="E3124" s="5" t="n">
        <v>200</v>
      </c>
      <c r="F3124" t="inlineStr">
        <is>
          <t>Поступление</t>
        </is>
      </c>
      <c r="H3124">
        <f>VLOOKUP(C3124,Магазин!$A$2:$C$1000,2,0)</f>
        <v/>
      </c>
      <c r="I3124">
        <f>VLOOKUP(D3124,Товар!$A$2:$F$1000,3,0)</f>
        <v/>
      </c>
      <c r="J3124">
        <f>VLOOKUP(D3124,Товар!$A$2:$F$1000,5,0)</f>
        <v/>
      </c>
      <c r="K3124">
        <f>IF(AND(H3124="Промышленный",LEFT(I3124,18)="Порошок стиральный",F3124="Продажа",B3124=DATE(2023,6,7)),E3124*J3124/1000,0)</f>
        <v/>
      </c>
    </row>
    <row r="3125">
      <c r="A3125" t="n">
        <v>3124</v>
      </c>
      <c r="B3125" s="1" t="n">
        <v>45086</v>
      </c>
      <c r="C3125" s="5" t="inlineStr">
        <is>
          <t>M3</t>
        </is>
      </c>
      <c r="D3125" s="5" t="n">
        <v>40</v>
      </c>
      <c r="E3125" s="5" t="n">
        <v>200</v>
      </c>
      <c r="F3125" t="inlineStr">
        <is>
          <t>Поступление</t>
        </is>
      </c>
      <c r="H3125">
        <f>VLOOKUP(C3125,Магазин!$A$2:$C$1000,2,0)</f>
        <v/>
      </c>
      <c r="I3125">
        <f>VLOOKUP(D3125,Товар!$A$2:$F$1000,3,0)</f>
        <v/>
      </c>
      <c r="J3125">
        <f>VLOOKUP(D3125,Товар!$A$2:$F$1000,5,0)</f>
        <v/>
      </c>
      <c r="K3125">
        <f>IF(AND(H3125="Промышленный",LEFT(I3125,18)="Порошок стиральный",F3125="Продажа",B3125=DATE(2023,6,7)),E3125*J3125/1000,0)</f>
        <v/>
      </c>
    </row>
    <row r="3126">
      <c r="A3126" t="n">
        <v>3125</v>
      </c>
      <c r="B3126" s="1" t="n">
        <v>45086</v>
      </c>
      <c r="C3126" s="5" t="inlineStr">
        <is>
          <t>M3</t>
        </is>
      </c>
      <c r="D3126" s="5" t="n">
        <v>41</v>
      </c>
      <c r="E3126" s="5" t="n">
        <v>200</v>
      </c>
      <c r="F3126" t="inlineStr">
        <is>
          <t>Поступление</t>
        </is>
      </c>
      <c r="H3126">
        <f>VLOOKUP(C3126,Магазин!$A$2:$C$1000,2,0)</f>
        <v/>
      </c>
      <c r="I3126">
        <f>VLOOKUP(D3126,Товар!$A$2:$F$1000,3,0)</f>
        <v/>
      </c>
      <c r="J3126">
        <f>VLOOKUP(D3126,Товар!$A$2:$F$1000,5,0)</f>
        <v/>
      </c>
      <c r="K3126">
        <f>IF(AND(H3126="Промышленный",LEFT(I3126,18)="Порошок стиральный",F3126="Продажа",B3126=DATE(2023,6,7)),E3126*J3126/1000,0)</f>
        <v/>
      </c>
    </row>
    <row r="3127">
      <c r="A3127" t="n">
        <v>3126</v>
      </c>
      <c r="B3127" s="1" t="n">
        <v>45086</v>
      </c>
      <c r="C3127" s="5" t="inlineStr">
        <is>
          <t>M3</t>
        </is>
      </c>
      <c r="D3127" s="5" t="n">
        <v>42</v>
      </c>
      <c r="E3127" s="5" t="n">
        <v>200</v>
      </c>
      <c r="F3127" t="inlineStr">
        <is>
          <t>Поступление</t>
        </is>
      </c>
      <c r="H3127">
        <f>VLOOKUP(C3127,Магазин!$A$2:$C$1000,2,0)</f>
        <v/>
      </c>
      <c r="I3127">
        <f>VLOOKUP(D3127,Товар!$A$2:$F$1000,3,0)</f>
        <v/>
      </c>
      <c r="J3127">
        <f>VLOOKUP(D3127,Товар!$A$2:$F$1000,5,0)</f>
        <v/>
      </c>
      <c r="K3127">
        <f>IF(AND(H3127="Промышленный",LEFT(I3127,18)="Порошок стиральный",F3127="Продажа",B3127=DATE(2023,6,7)),E3127*J3127/1000,0)</f>
        <v/>
      </c>
    </row>
    <row r="3128">
      <c r="A3128" t="n">
        <v>3127</v>
      </c>
      <c r="B3128" s="1" t="n">
        <v>45086</v>
      </c>
      <c r="C3128" s="5" t="inlineStr">
        <is>
          <t>M3</t>
        </is>
      </c>
      <c r="D3128" s="5" t="n">
        <v>43</v>
      </c>
      <c r="E3128" s="5" t="n">
        <v>200</v>
      </c>
      <c r="F3128" t="inlineStr">
        <is>
          <t>Поступление</t>
        </is>
      </c>
      <c r="H3128">
        <f>VLOOKUP(C3128,Магазин!$A$2:$C$1000,2,0)</f>
        <v/>
      </c>
      <c r="I3128">
        <f>VLOOKUP(D3128,Товар!$A$2:$F$1000,3,0)</f>
        <v/>
      </c>
      <c r="J3128">
        <f>VLOOKUP(D3128,Товар!$A$2:$F$1000,5,0)</f>
        <v/>
      </c>
      <c r="K3128">
        <f>IF(AND(H3128="Промышленный",LEFT(I3128,18)="Порошок стиральный",F3128="Продажа",B3128=DATE(2023,6,7)),E3128*J3128/1000,0)</f>
        <v/>
      </c>
    </row>
    <row r="3129">
      <c r="A3129" t="n">
        <v>3128</v>
      </c>
      <c r="B3129" s="1" t="n">
        <v>45086</v>
      </c>
      <c r="C3129" s="5" t="inlineStr">
        <is>
          <t>M3</t>
        </is>
      </c>
      <c r="D3129" s="5" t="n">
        <v>44</v>
      </c>
      <c r="E3129" s="5" t="n">
        <v>200</v>
      </c>
      <c r="F3129" t="inlineStr">
        <is>
          <t>Поступление</t>
        </is>
      </c>
      <c r="H3129">
        <f>VLOOKUP(C3129,Магазин!$A$2:$C$1000,2,0)</f>
        <v/>
      </c>
      <c r="I3129">
        <f>VLOOKUP(D3129,Товар!$A$2:$F$1000,3,0)</f>
        <v/>
      </c>
      <c r="J3129">
        <f>VLOOKUP(D3129,Товар!$A$2:$F$1000,5,0)</f>
        <v/>
      </c>
      <c r="K3129">
        <f>IF(AND(H3129="Промышленный",LEFT(I3129,18)="Порошок стиральный",F3129="Продажа",B3129=DATE(2023,6,7)),E3129*J3129/1000,0)</f>
        <v/>
      </c>
    </row>
    <row r="3130">
      <c r="A3130" t="n">
        <v>3129</v>
      </c>
      <c r="B3130" s="1" t="n">
        <v>45086</v>
      </c>
      <c r="C3130" s="5" t="inlineStr">
        <is>
          <t>M3</t>
        </is>
      </c>
      <c r="D3130" s="5" t="n">
        <v>45</v>
      </c>
      <c r="E3130" s="5" t="n">
        <v>200</v>
      </c>
      <c r="F3130" t="inlineStr">
        <is>
          <t>Поступление</t>
        </is>
      </c>
      <c r="H3130">
        <f>VLOOKUP(C3130,Магазин!$A$2:$C$1000,2,0)</f>
        <v/>
      </c>
      <c r="I3130">
        <f>VLOOKUP(D3130,Товар!$A$2:$F$1000,3,0)</f>
        <v/>
      </c>
      <c r="J3130">
        <f>VLOOKUP(D3130,Товар!$A$2:$F$1000,5,0)</f>
        <v/>
      </c>
      <c r="K3130">
        <f>IF(AND(H3130="Промышленный",LEFT(I3130,18)="Порошок стиральный",F3130="Продажа",B3130=DATE(2023,6,7)),E3130*J3130/1000,0)</f>
        <v/>
      </c>
    </row>
    <row r="3131">
      <c r="A3131" t="n">
        <v>3130</v>
      </c>
      <c r="B3131" s="1" t="n">
        <v>45086</v>
      </c>
      <c r="C3131" s="5" t="inlineStr">
        <is>
          <t>M3</t>
        </is>
      </c>
      <c r="D3131" s="5" t="n">
        <v>46</v>
      </c>
      <c r="E3131" s="5" t="n">
        <v>200</v>
      </c>
      <c r="F3131" t="inlineStr">
        <is>
          <t>Поступление</t>
        </is>
      </c>
      <c r="H3131">
        <f>VLOOKUP(C3131,Магазин!$A$2:$C$1000,2,0)</f>
        <v/>
      </c>
      <c r="I3131">
        <f>VLOOKUP(D3131,Товар!$A$2:$F$1000,3,0)</f>
        <v/>
      </c>
      <c r="J3131">
        <f>VLOOKUP(D3131,Товар!$A$2:$F$1000,5,0)</f>
        <v/>
      </c>
      <c r="K3131">
        <f>IF(AND(H3131="Промышленный",LEFT(I3131,18)="Порошок стиральный",F3131="Продажа",B3131=DATE(2023,6,7)),E3131*J3131/1000,0)</f>
        <v/>
      </c>
    </row>
    <row r="3132">
      <c r="A3132" t="n">
        <v>3131</v>
      </c>
      <c r="B3132" s="1" t="n">
        <v>45086</v>
      </c>
      <c r="C3132" s="5" t="inlineStr">
        <is>
          <t>M3</t>
        </is>
      </c>
      <c r="D3132" s="5" t="n">
        <v>47</v>
      </c>
      <c r="E3132" s="5" t="n">
        <v>200</v>
      </c>
      <c r="F3132" t="inlineStr">
        <is>
          <t>Поступление</t>
        </is>
      </c>
      <c r="H3132">
        <f>VLOOKUP(C3132,Магазин!$A$2:$C$1000,2,0)</f>
        <v/>
      </c>
      <c r="I3132">
        <f>VLOOKUP(D3132,Товар!$A$2:$F$1000,3,0)</f>
        <v/>
      </c>
      <c r="J3132">
        <f>VLOOKUP(D3132,Товар!$A$2:$F$1000,5,0)</f>
        <v/>
      </c>
      <c r="K3132">
        <f>IF(AND(H3132="Промышленный",LEFT(I3132,18)="Порошок стиральный",F3132="Продажа",B3132=DATE(2023,6,7)),E3132*J3132/1000,0)</f>
        <v/>
      </c>
    </row>
    <row r="3133">
      <c r="A3133" t="n">
        <v>3132</v>
      </c>
      <c r="B3133" s="1" t="n">
        <v>45086</v>
      </c>
      <c r="C3133" s="5" t="inlineStr">
        <is>
          <t>M3</t>
        </is>
      </c>
      <c r="D3133" s="5" t="n">
        <v>48</v>
      </c>
      <c r="E3133" s="5" t="n">
        <v>200</v>
      </c>
      <c r="F3133" t="inlineStr">
        <is>
          <t>Поступление</t>
        </is>
      </c>
      <c r="H3133">
        <f>VLOOKUP(C3133,Магазин!$A$2:$C$1000,2,0)</f>
        <v/>
      </c>
      <c r="I3133">
        <f>VLOOKUP(D3133,Товар!$A$2:$F$1000,3,0)</f>
        <v/>
      </c>
      <c r="J3133">
        <f>VLOOKUP(D3133,Товар!$A$2:$F$1000,5,0)</f>
        <v/>
      </c>
      <c r="K3133">
        <f>IF(AND(H3133="Промышленный",LEFT(I3133,18)="Порошок стиральный",F3133="Продажа",B3133=DATE(2023,6,7)),E3133*J3133/1000,0)</f>
        <v/>
      </c>
    </row>
    <row r="3134">
      <c r="A3134" t="n">
        <v>3133</v>
      </c>
      <c r="B3134" s="1" t="n">
        <v>45086</v>
      </c>
      <c r="C3134" s="5" t="inlineStr">
        <is>
          <t>M3</t>
        </is>
      </c>
      <c r="D3134" s="5" t="n">
        <v>49</v>
      </c>
      <c r="E3134" s="5" t="n">
        <v>200</v>
      </c>
      <c r="F3134" t="inlineStr">
        <is>
          <t>Поступление</t>
        </is>
      </c>
      <c r="H3134">
        <f>VLOOKUP(C3134,Магазин!$A$2:$C$1000,2,0)</f>
        <v/>
      </c>
      <c r="I3134">
        <f>VLOOKUP(D3134,Товар!$A$2:$F$1000,3,0)</f>
        <v/>
      </c>
      <c r="J3134">
        <f>VLOOKUP(D3134,Товар!$A$2:$F$1000,5,0)</f>
        <v/>
      </c>
      <c r="K3134">
        <f>IF(AND(H3134="Промышленный",LEFT(I3134,18)="Порошок стиральный",F3134="Продажа",B3134=DATE(2023,6,7)),E3134*J3134/1000,0)</f>
        <v/>
      </c>
    </row>
    <row r="3135">
      <c r="A3135" t="n">
        <v>3134</v>
      </c>
      <c r="B3135" s="1" t="n">
        <v>45086</v>
      </c>
      <c r="C3135" s="5" t="inlineStr">
        <is>
          <t>M3</t>
        </is>
      </c>
      <c r="D3135" s="5" t="n">
        <v>50</v>
      </c>
      <c r="E3135" s="5" t="n">
        <v>200</v>
      </c>
      <c r="F3135" t="inlineStr">
        <is>
          <t>Поступление</t>
        </is>
      </c>
      <c r="H3135">
        <f>VLOOKUP(C3135,Магазин!$A$2:$C$1000,2,0)</f>
        <v/>
      </c>
      <c r="I3135">
        <f>VLOOKUP(D3135,Товар!$A$2:$F$1000,3,0)</f>
        <v/>
      </c>
      <c r="J3135">
        <f>VLOOKUP(D3135,Товар!$A$2:$F$1000,5,0)</f>
        <v/>
      </c>
      <c r="K3135">
        <f>IF(AND(H3135="Промышленный",LEFT(I3135,18)="Порошок стиральный",F3135="Продажа",B3135=DATE(2023,6,7)),E3135*J3135/1000,0)</f>
        <v/>
      </c>
    </row>
    <row r="3136">
      <c r="A3136" t="n">
        <v>3135</v>
      </c>
      <c r="B3136" s="1" t="n">
        <v>45086</v>
      </c>
      <c r="C3136" s="5" t="inlineStr">
        <is>
          <t>M3</t>
        </is>
      </c>
      <c r="D3136" s="5" t="n">
        <v>51</v>
      </c>
      <c r="E3136" s="5" t="n">
        <v>200</v>
      </c>
      <c r="F3136" t="inlineStr">
        <is>
          <t>Поступление</t>
        </is>
      </c>
      <c r="H3136">
        <f>VLOOKUP(C3136,Магазин!$A$2:$C$1000,2,0)</f>
        <v/>
      </c>
      <c r="I3136">
        <f>VLOOKUP(D3136,Товар!$A$2:$F$1000,3,0)</f>
        <v/>
      </c>
      <c r="J3136">
        <f>VLOOKUP(D3136,Товар!$A$2:$F$1000,5,0)</f>
        <v/>
      </c>
      <c r="K3136">
        <f>IF(AND(H3136="Промышленный",LEFT(I3136,18)="Порошок стиральный",F3136="Продажа",B3136=DATE(2023,6,7)),E3136*J3136/1000,0)</f>
        <v/>
      </c>
    </row>
    <row r="3137">
      <c r="A3137" t="n">
        <v>3136</v>
      </c>
      <c r="B3137" s="1" t="n">
        <v>45086</v>
      </c>
      <c r="C3137" s="5" t="inlineStr">
        <is>
          <t>M3</t>
        </is>
      </c>
      <c r="D3137" s="5" t="n">
        <v>52</v>
      </c>
      <c r="E3137" s="5" t="n">
        <v>200</v>
      </c>
      <c r="F3137" t="inlineStr">
        <is>
          <t>Поступление</t>
        </is>
      </c>
      <c r="H3137">
        <f>VLOOKUP(C3137,Магазин!$A$2:$C$1000,2,0)</f>
        <v/>
      </c>
      <c r="I3137">
        <f>VLOOKUP(D3137,Товар!$A$2:$F$1000,3,0)</f>
        <v/>
      </c>
      <c r="J3137">
        <f>VLOOKUP(D3137,Товар!$A$2:$F$1000,5,0)</f>
        <v/>
      </c>
      <c r="K3137">
        <f>IF(AND(H3137="Промышленный",LEFT(I3137,18)="Порошок стиральный",F3137="Продажа",B3137=DATE(2023,6,7)),E3137*J3137/1000,0)</f>
        <v/>
      </c>
    </row>
    <row r="3138">
      <c r="A3138" t="n">
        <v>3137</v>
      </c>
      <c r="B3138" s="1" t="n">
        <v>45086</v>
      </c>
      <c r="C3138" s="5" t="inlineStr">
        <is>
          <t>M3</t>
        </is>
      </c>
      <c r="D3138" s="5" t="n">
        <v>53</v>
      </c>
      <c r="E3138" s="5" t="n">
        <v>200</v>
      </c>
      <c r="F3138" t="inlineStr">
        <is>
          <t>Поступление</t>
        </is>
      </c>
      <c r="H3138">
        <f>VLOOKUP(C3138,Магазин!$A$2:$C$1000,2,0)</f>
        <v/>
      </c>
      <c r="I3138">
        <f>VLOOKUP(D3138,Товар!$A$2:$F$1000,3,0)</f>
        <v/>
      </c>
      <c r="J3138">
        <f>VLOOKUP(D3138,Товар!$A$2:$F$1000,5,0)</f>
        <v/>
      </c>
      <c r="K3138">
        <f>IF(AND(H3138="Промышленный",LEFT(I3138,18)="Порошок стиральный",F3138="Продажа",B3138=DATE(2023,6,7)),E3138*J3138/1000,0)</f>
        <v/>
      </c>
    </row>
    <row r="3139">
      <c r="A3139" t="n">
        <v>3138</v>
      </c>
      <c r="B3139" s="1" t="n">
        <v>45086</v>
      </c>
      <c r="C3139" s="5" t="inlineStr">
        <is>
          <t>M3</t>
        </is>
      </c>
      <c r="D3139" s="5" t="n">
        <v>54</v>
      </c>
      <c r="E3139" s="5" t="n">
        <v>200</v>
      </c>
      <c r="F3139" t="inlineStr">
        <is>
          <t>Поступление</t>
        </is>
      </c>
      <c r="H3139">
        <f>VLOOKUP(C3139,Магазин!$A$2:$C$1000,2,0)</f>
        <v/>
      </c>
      <c r="I3139">
        <f>VLOOKUP(D3139,Товар!$A$2:$F$1000,3,0)</f>
        <v/>
      </c>
      <c r="J3139">
        <f>VLOOKUP(D3139,Товар!$A$2:$F$1000,5,0)</f>
        <v/>
      </c>
      <c r="K3139">
        <f>IF(AND(H3139="Промышленный",LEFT(I3139,18)="Порошок стиральный",F3139="Продажа",B3139=DATE(2023,6,7)),E3139*J3139/1000,0)</f>
        <v/>
      </c>
    </row>
    <row r="3140">
      <c r="A3140" t="n">
        <v>3139</v>
      </c>
      <c r="B3140" s="1" t="n">
        <v>45086</v>
      </c>
      <c r="C3140" s="5" t="inlineStr">
        <is>
          <t>M3</t>
        </is>
      </c>
      <c r="D3140" s="5" t="n">
        <v>55</v>
      </c>
      <c r="E3140" s="5" t="n">
        <v>200</v>
      </c>
      <c r="F3140" t="inlineStr">
        <is>
          <t>Поступление</t>
        </is>
      </c>
      <c r="H3140">
        <f>VLOOKUP(C3140,Магазин!$A$2:$C$1000,2,0)</f>
        <v/>
      </c>
      <c r="I3140">
        <f>VLOOKUP(D3140,Товар!$A$2:$F$1000,3,0)</f>
        <v/>
      </c>
      <c r="J3140">
        <f>VLOOKUP(D3140,Товар!$A$2:$F$1000,5,0)</f>
        <v/>
      </c>
      <c r="K3140">
        <f>IF(AND(H3140="Промышленный",LEFT(I3140,18)="Порошок стиральный",F3140="Продажа",B3140=DATE(2023,6,7)),E3140*J3140/1000,0)</f>
        <v/>
      </c>
    </row>
    <row r="3141">
      <c r="A3141" t="n">
        <v>3140</v>
      </c>
      <c r="B3141" s="1" t="n">
        <v>45086</v>
      </c>
      <c r="C3141" s="5" t="inlineStr">
        <is>
          <t>M3</t>
        </is>
      </c>
      <c r="D3141" s="5" t="n">
        <v>56</v>
      </c>
      <c r="E3141" s="5" t="n">
        <v>200</v>
      </c>
      <c r="F3141" t="inlineStr">
        <is>
          <t>Поступление</t>
        </is>
      </c>
      <c r="H3141">
        <f>VLOOKUP(C3141,Магазин!$A$2:$C$1000,2,0)</f>
        <v/>
      </c>
      <c r="I3141">
        <f>VLOOKUP(D3141,Товар!$A$2:$F$1000,3,0)</f>
        <v/>
      </c>
      <c r="J3141">
        <f>VLOOKUP(D3141,Товар!$A$2:$F$1000,5,0)</f>
        <v/>
      </c>
      <c r="K3141">
        <f>IF(AND(H3141="Промышленный",LEFT(I3141,18)="Порошок стиральный",F3141="Продажа",B3141=DATE(2023,6,7)),E3141*J3141/1000,0)</f>
        <v/>
      </c>
    </row>
    <row r="3142">
      <c r="A3142" t="n">
        <v>3141</v>
      </c>
      <c r="B3142" s="1" t="n">
        <v>45086</v>
      </c>
      <c r="C3142" s="5" t="inlineStr">
        <is>
          <t>M3</t>
        </is>
      </c>
      <c r="D3142" s="5" t="n">
        <v>57</v>
      </c>
      <c r="E3142" s="5" t="n">
        <v>200</v>
      </c>
      <c r="F3142" t="inlineStr">
        <is>
          <t>Поступление</t>
        </is>
      </c>
      <c r="H3142">
        <f>VLOOKUP(C3142,Магазин!$A$2:$C$1000,2,0)</f>
        <v/>
      </c>
      <c r="I3142">
        <f>VLOOKUP(D3142,Товар!$A$2:$F$1000,3,0)</f>
        <v/>
      </c>
      <c r="J3142">
        <f>VLOOKUP(D3142,Товар!$A$2:$F$1000,5,0)</f>
        <v/>
      </c>
      <c r="K3142">
        <f>IF(AND(H3142="Промышленный",LEFT(I3142,18)="Порошок стиральный",F3142="Продажа",B3142=DATE(2023,6,7)),E3142*J3142/1000,0)</f>
        <v/>
      </c>
    </row>
    <row r="3143">
      <c r="A3143" t="n">
        <v>3142</v>
      </c>
      <c r="B3143" s="1" t="n">
        <v>45086</v>
      </c>
      <c r="C3143" s="5" t="inlineStr">
        <is>
          <t>M3</t>
        </is>
      </c>
      <c r="D3143" s="5" t="n">
        <v>58</v>
      </c>
      <c r="E3143" s="5" t="n">
        <v>200</v>
      </c>
      <c r="F3143" t="inlineStr">
        <is>
          <t>Поступление</t>
        </is>
      </c>
      <c r="H3143">
        <f>VLOOKUP(C3143,Магазин!$A$2:$C$1000,2,0)</f>
        <v/>
      </c>
      <c r="I3143">
        <f>VLOOKUP(D3143,Товар!$A$2:$F$1000,3,0)</f>
        <v/>
      </c>
      <c r="J3143">
        <f>VLOOKUP(D3143,Товар!$A$2:$F$1000,5,0)</f>
        <v/>
      </c>
      <c r="K3143">
        <f>IF(AND(H3143="Промышленный",LEFT(I3143,18)="Порошок стиральный",F3143="Продажа",B3143=DATE(2023,6,7)),E3143*J3143/1000,0)</f>
        <v/>
      </c>
    </row>
    <row r="3144">
      <c r="A3144" t="n">
        <v>3143</v>
      </c>
      <c r="B3144" s="1" t="n">
        <v>45086</v>
      </c>
      <c r="C3144" s="5" t="inlineStr">
        <is>
          <t>M3</t>
        </is>
      </c>
      <c r="D3144" s="5" t="n">
        <v>59</v>
      </c>
      <c r="E3144" s="5" t="n">
        <v>200</v>
      </c>
      <c r="F3144" t="inlineStr">
        <is>
          <t>Поступление</t>
        </is>
      </c>
      <c r="H3144">
        <f>VLOOKUP(C3144,Магазин!$A$2:$C$1000,2,0)</f>
        <v/>
      </c>
      <c r="I3144">
        <f>VLOOKUP(D3144,Товар!$A$2:$F$1000,3,0)</f>
        <v/>
      </c>
      <c r="J3144">
        <f>VLOOKUP(D3144,Товар!$A$2:$F$1000,5,0)</f>
        <v/>
      </c>
      <c r="K3144">
        <f>IF(AND(H3144="Промышленный",LEFT(I3144,18)="Порошок стиральный",F3144="Продажа",B3144=DATE(2023,6,7)),E3144*J3144/1000,0)</f>
        <v/>
      </c>
    </row>
    <row r="3145">
      <c r="A3145" t="n">
        <v>3144</v>
      </c>
      <c r="B3145" s="1" t="n">
        <v>45086</v>
      </c>
      <c r="C3145" s="5" t="inlineStr">
        <is>
          <t>M3</t>
        </is>
      </c>
      <c r="D3145" s="5" t="n">
        <v>60</v>
      </c>
      <c r="E3145" s="5" t="n">
        <v>200</v>
      </c>
      <c r="F3145" t="inlineStr">
        <is>
          <t>Поступление</t>
        </is>
      </c>
      <c r="H3145">
        <f>VLOOKUP(C3145,Магазин!$A$2:$C$1000,2,0)</f>
        <v/>
      </c>
      <c r="I3145">
        <f>VLOOKUP(D3145,Товар!$A$2:$F$1000,3,0)</f>
        <v/>
      </c>
      <c r="J3145">
        <f>VLOOKUP(D3145,Товар!$A$2:$F$1000,5,0)</f>
        <v/>
      </c>
      <c r="K3145">
        <f>IF(AND(H3145="Промышленный",LEFT(I3145,18)="Порошок стиральный",F3145="Продажа",B3145=DATE(2023,6,7)),E3145*J3145/1000,0)</f>
        <v/>
      </c>
    </row>
    <row r="3146">
      <c r="A3146" t="n">
        <v>3145</v>
      </c>
      <c r="B3146" s="1" t="n">
        <v>45086</v>
      </c>
      <c r="C3146" s="5" t="inlineStr">
        <is>
          <t>M9</t>
        </is>
      </c>
      <c r="D3146" s="5" t="n">
        <v>37</v>
      </c>
      <c r="E3146" s="5" t="n">
        <v>200</v>
      </c>
      <c r="F3146" t="inlineStr">
        <is>
          <t>Поступление</t>
        </is>
      </c>
      <c r="H3146">
        <f>VLOOKUP(C3146,Магазин!$A$2:$C$1000,2,0)</f>
        <v/>
      </c>
      <c r="I3146">
        <f>VLOOKUP(D3146,Товар!$A$2:$F$1000,3,0)</f>
        <v/>
      </c>
      <c r="J3146">
        <f>VLOOKUP(D3146,Товар!$A$2:$F$1000,5,0)</f>
        <v/>
      </c>
      <c r="K3146">
        <f>IF(AND(H3146="Промышленный",LEFT(I3146,18)="Порошок стиральный",F3146="Продажа",B3146=DATE(2023,6,7)),E3146*J3146/1000,0)</f>
        <v/>
      </c>
    </row>
    <row r="3147">
      <c r="A3147" t="n">
        <v>3146</v>
      </c>
      <c r="B3147" s="1" t="n">
        <v>45086</v>
      </c>
      <c r="C3147" s="5" t="inlineStr">
        <is>
          <t>M9</t>
        </is>
      </c>
      <c r="D3147" s="5" t="n">
        <v>38</v>
      </c>
      <c r="E3147" s="5" t="n">
        <v>200</v>
      </c>
      <c r="F3147" t="inlineStr">
        <is>
          <t>Поступление</t>
        </is>
      </c>
      <c r="H3147">
        <f>VLOOKUP(C3147,Магазин!$A$2:$C$1000,2,0)</f>
        <v/>
      </c>
      <c r="I3147">
        <f>VLOOKUP(D3147,Товар!$A$2:$F$1000,3,0)</f>
        <v/>
      </c>
      <c r="J3147">
        <f>VLOOKUP(D3147,Товар!$A$2:$F$1000,5,0)</f>
        <v/>
      </c>
      <c r="K3147">
        <f>IF(AND(H3147="Промышленный",LEFT(I3147,18)="Порошок стиральный",F3147="Продажа",B3147=DATE(2023,6,7)),E3147*J3147/1000,0)</f>
        <v/>
      </c>
    </row>
    <row r="3148">
      <c r="A3148" t="n">
        <v>3147</v>
      </c>
      <c r="B3148" s="1" t="n">
        <v>45086</v>
      </c>
      <c r="C3148" s="5" t="inlineStr">
        <is>
          <t>M9</t>
        </is>
      </c>
      <c r="D3148" s="5" t="n">
        <v>39</v>
      </c>
      <c r="E3148" s="5" t="n">
        <v>200</v>
      </c>
      <c r="F3148" t="inlineStr">
        <is>
          <t>Поступление</t>
        </is>
      </c>
      <c r="H3148">
        <f>VLOOKUP(C3148,Магазин!$A$2:$C$1000,2,0)</f>
        <v/>
      </c>
      <c r="I3148">
        <f>VLOOKUP(D3148,Товар!$A$2:$F$1000,3,0)</f>
        <v/>
      </c>
      <c r="J3148">
        <f>VLOOKUP(D3148,Товар!$A$2:$F$1000,5,0)</f>
        <v/>
      </c>
      <c r="K3148">
        <f>IF(AND(H3148="Промышленный",LEFT(I3148,18)="Порошок стиральный",F3148="Продажа",B3148=DATE(2023,6,7)),E3148*J3148/1000,0)</f>
        <v/>
      </c>
    </row>
    <row r="3149">
      <c r="A3149" t="n">
        <v>3148</v>
      </c>
      <c r="B3149" s="1" t="n">
        <v>45086</v>
      </c>
      <c r="C3149" s="5" t="inlineStr">
        <is>
          <t>M9</t>
        </is>
      </c>
      <c r="D3149" s="5" t="n">
        <v>40</v>
      </c>
      <c r="E3149" s="5" t="n">
        <v>200</v>
      </c>
      <c r="F3149" t="inlineStr">
        <is>
          <t>Поступление</t>
        </is>
      </c>
      <c r="H3149">
        <f>VLOOKUP(C3149,Магазин!$A$2:$C$1000,2,0)</f>
        <v/>
      </c>
      <c r="I3149">
        <f>VLOOKUP(D3149,Товар!$A$2:$F$1000,3,0)</f>
        <v/>
      </c>
      <c r="J3149">
        <f>VLOOKUP(D3149,Товар!$A$2:$F$1000,5,0)</f>
        <v/>
      </c>
      <c r="K3149">
        <f>IF(AND(H3149="Промышленный",LEFT(I3149,18)="Порошок стиральный",F3149="Продажа",B3149=DATE(2023,6,7)),E3149*J3149/1000,0)</f>
        <v/>
      </c>
    </row>
    <row r="3150">
      <c r="A3150" t="n">
        <v>3149</v>
      </c>
      <c r="B3150" s="1" t="n">
        <v>45086</v>
      </c>
      <c r="C3150" s="5" t="inlineStr">
        <is>
          <t>M9</t>
        </is>
      </c>
      <c r="D3150" s="5" t="n">
        <v>41</v>
      </c>
      <c r="E3150" s="5" t="n">
        <v>200</v>
      </c>
      <c r="F3150" t="inlineStr">
        <is>
          <t>Поступление</t>
        </is>
      </c>
      <c r="H3150">
        <f>VLOOKUP(C3150,Магазин!$A$2:$C$1000,2,0)</f>
        <v/>
      </c>
      <c r="I3150">
        <f>VLOOKUP(D3150,Товар!$A$2:$F$1000,3,0)</f>
        <v/>
      </c>
      <c r="J3150">
        <f>VLOOKUP(D3150,Товар!$A$2:$F$1000,5,0)</f>
        <v/>
      </c>
      <c r="K3150">
        <f>IF(AND(H3150="Промышленный",LEFT(I3150,18)="Порошок стиральный",F3150="Продажа",B3150=DATE(2023,6,7)),E3150*J3150/1000,0)</f>
        <v/>
      </c>
    </row>
    <row r="3151">
      <c r="A3151" t="n">
        <v>3150</v>
      </c>
      <c r="B3151" s="1" t="n">
        <v>45086</v>
      </c>
      <c r="C3151" s="5" t="inlineStr">
        <is>
          <t>M9</t>
        </is>
      </c>
      <c r="D3151" s="5" t="n">
        <v>42</v>
      </c>
      <c r="E3151" s="5" t="n">
        <v>200</v>
      </c>
      <c r="F3151" t="inlineStr">
        <is>
          <t>Поступление</t>
        </is>
      </c>
      <c r="H3151">
        <f>VLOOKUP(C3151,Магазин!$A$2:$C$1000,2,0)</f>
        <v/>
      </c>
      <c r="I3151">
        <f>VLOOKUP(D3151,Товар!$A$2:$F$1000,3,0)</f>
        <v/>
      </c>
      <c r="J3151">
        <f>VLOOKUP(D3151,Товар!$A$2:$F$1000,5,0)</f>
        <v/>
      </c>
      <c r="K3151">
        <f>IF(AND(H3151="Промышленный",LEFT(I3151,18)="Порошок стиральный",F3151="Продажа",B3151=DATE(2023,6,7)),E3151*J3151/1000,0)</f>
        <v/>
      </c>
    </row>
    <row r="3152">
      <c r="A3152" t="n">
        <v>3151</v>
      </c>
      <c r="B3152" s="1" t="n">
        <v>45086</v>
      </c>
      <c r="C3152" s="5" t="inlineStr">
        <is>
          <t>M9</t>
        </is>
      </c>
      <c r="D3152" s="5" t="n">
        <v>43</v>
      </c>
      <c r="E3152" s="5" t="n">
        <v>200</v>
      </c>
      <c r="F3152" t="inlineStr">
        <is>
          <t>Поступление</t>
        </is>
      </c>
      <c r="H3152">
        <f>VLOOKUP(C3152,Магазин!$A$2:$C$1000,2,0)</f>
        <v/>
      </c>
      <c r="I3152">
        <f>VLOOKUP(D3152,Товар!$A$2:$F$1000,3,0)</f>
        <v/>
      </c>
      <c r="J3152">
        <f>VLOOKUP(D3152,Товар!$A$2:$F$1000,5,0)</f>
        <v/>
      </c>
      <c r="K3152">
        <f>IF(AND(H3152="Промышленный",LEFT(I3152,18)="Порошок стиральный",F3152="Продажа",B3152=DATE(2023,6,7)),E3152*J3152/1000,0)</f>
        <v/>
      </c>
    </row>
    <row r="3153">
      <c r="A3153" t="n">
        <v>3152</v>
      </c>
      <c r="B3153" s="1" t="n">
        <v>45086</v>
      </c>
      <c r="C3153" s="5" t="inlineStr">
        <is>
          <t>M9</t>
        </is>
      </c>
      <c r="D3153" s="5" t="n">
        <v>44</v>
      </c>
      <c r="E3153" s="5" t="n">
        <v>200</v>
      </c>
      <c r="F3153" t="inlineStr">
        <is>
          <t>Поступление</t>
        </is>
      </c>
      <c r="H3153">
        <f>VLOOKUP(C3153,Магазин!$A$2:$C$1000,2,0)</f>
        <v/>
      </c>
      <c r="I3153">
        <f>VLOOKUP(D3153,Товар!$A$2:$F$1000,3,0)</f>
        <v/>
      </c>
      <c r="J3153">
        <f>VLOOKUP(D3153,Товар!$A$2:$F$1000,5,0)</f>
        <v/>
      </c>
      <c r="K3153">
        <f>IF(AND(H3153="Промышленный",LEFT(I3153,18)="Порошок стиральный",F3153="Продажа",B3153=DATE(2023,6,7)),E3153*J3153/1000,0)</f>
        <v/>
      </c>
    </row>
    <row r="3154">
      <c r="A3154" t="n">
        <v>3153</v>
      </c>
      <c r="B3154" s="1" t="n">
        <v>45086</v>
      </c>
      <c r="C3154" s="5" t="inlineStr">
        <is>
          <t>M9</t>
        </is>
      </c>
      <c r="D3154" s="5" t="n">
        <v>45</v>
      </c>
      <c r="E3154" s="5" t="n">
        <v>200</v>
      </c>
      <c r="F3154" t="inlineStr">
        <is>
          <t>Поступление</t>
        </is>
      </c>
      <c r="H3154">
        <f>VLOOKUP(C3154,Магазин!$A$2:$C$1000,2,0)</f>
        <v/>
      </c>
      <c r="I3154">
        <f>VLOOKUP(D3154,Товар!$A$2:$F$1000,3,0)</f>
        <v/>
      </c>
      <c r="J3154">
        <f>VLOOKUP(D3154,Товар!$A$2:$F$1000,5,0)</f>
        <v/>
      </c>
      <c r="K3154">
        <f>IF(AND(H3154="Промышленный",LEFT(I3154,18)="Порошок стиральный",F3154="Продажа",B3154=DATE(2023,6,7)),E3154*J3154/1000,0)</f>
        <v/>
      </c>
    </row>
    <row r="3155">
      <c r="A3155" t="n">
        <v>3154</v>
      </c>
      <c r="B3155" s="1" t="n">
        <v>45086</v>
      </c>
      <c r="C3155" s="5" t="inlineStr">
        <is>
          <t>M9</t>
        </is>
      </c>
      <c r="D3155" s="5" t="n">
        <v>46</v>
      </c>
      <c r="E3155" s="5" t="n">
        <v>200</v>
      </c>
      <c r="F3155" t="inlineStr">
        <is>
          <t>Поступление</t>
        </is>
      </c>
      <c r="H3155">
        <f>VLOOKUP(C3155,Магазин!$A$2:$C$1000,2,0)</f>
        <v/>
      </c>
      <c r="I3155">
        <f>VLOOKUP(D3155,Товар!$A$2:$F$1000,3,0)</f>
        <v/>
      </c>
      <c r="J3155">
        <f>VLOOKUP(D3155,Товар!$A$2:$F$1000,5,0)</f>
        <v/>
      </c>
      <c r="K3155">
        <f>IF(AND(H3155="Промышленный",LEFT(I3155,18)="Порошок стиральный",F3155="Продажа",B3155=DATE(2023,6,7)),E3155*J3155/1000,0)</f>
        <v/>
      </c>
    </row>
    <row r="3156">
      <c r="A3156" t="n">
        <v>3155</v>
      </c>
      <c r="B3156" s="1" t="n">
        <v>45086</v>
      </c>
      <c r="C3156" s="5" t="inlineStr">
        <is>
          <t>M9</t>
        </is>
      </c>
      <c r="D3156" s="5" t="n">
        <v>47</v>
      </c>
      <c r="E3156" s="5" t="n">
        <v>200</v>
      </c>
      <c r="F3156" t="inlineStr">
        <is>
          <t>Поступление</t>
        </is>
      </c>
      <c r="H3156">
        <f>VLOOKUP(C3156,Магазин!$A$2:$C$1000,2,0)</f>
        <v/>
      </c>
      <c r="I3156">
        <f>VLOOKUP(D3156,Товар!$A$2:$F$1000,3,0)</f>
        <v/>
      </c>
      <c r="J3156">
        <f>VLOOKUP(D3156,Товар!$A$2:$F$1000,5,0)</f>
        <v/>
      </c>
      <c r="K3156">
        <f>IF(AND(H3156="Промышленный",LEFT(I3156,18)="Порошок стиральный",F3156="Продажа",B3156=DATE(2023,6,7)),E3156*J3156/1000,0)</f>
        <v/>
      </c>
    </row>
    <row r="3157">
      <c r="A3157" t="n">
        <v>3156</v>
      </c>
      <c r="B3157" s="1" t="n">
        <v>45086</v>
      </c>
      <c r="C3157" s="5" t="inlineStr">
        <is>
          <t>M9</t>
        </is>
      </c>
      <c r="D3157" s="5" t="n">
        <v>48</v>
      </c>
      <c r="E3157" s="5" t="n">
        <v>200</v>
      </c>
      <c r="F3157" t="inlineStr">
        <is>
          <t>Поступление</t>
        </is>
      </c>
      <c r="H3157">
        <f>VLOOKUP(C3157,Магазин!$A$2:$C$1000,2,0)</f>
        <v/>
      </c>
      <c r="I3157">
        <f>VLOOKUP(D3157,Товар!$A$2:$F$1000,3,0)</f>
        <v/>
      </c>
      <c r="J3157">
        <f>VLOOKUP(D3157,Товар!$A$2:$F$1000,5,0)</f>
        <v/>
      </c>
      <c r="K3157">
        <f>IF(AND(H3157="Промышленный",LEFT(I3157,18)="Порошок стиральный",F3157="Продажа",B3157=DATE(2023,6,7)),E3157*J3157/1000,0)</f>
        <v/>
      </c>
    </row>
    <row r="3158">
      <c r="A3158" t="n">
        <v>3157</v>
      </c>
      <c r="B3158" s="1" t="n">
        <v>45086</v>
      </c>
      <c r="C3158" s="5" t="inlineStr">
        <is>
          <t>M9</t>
        </is>
      </c>
      <c r="D3158" s="5" t="n">
        <v>49</v>
      </c>
      <c r="E3158" s="5" t="n">
        <v>200</v>
      </c>
      <c r="F3158" t="inlineStr">
        <is>
          <t>Поступление</t>
        </is>
      </c>
      <c r="H3158">
        <f>VLOOKUP(C3158,Магазин!$A$2:$C$1000,2,0)</f>
        <v/>
      </c>
      <c r="I3158">
        <f>VLOOKUP(D3158,Товар!$A$2:$F$1000,3,0)</f>
        <v/>
      </c>
      <c r="J3158">
        <f>VLOOKUP(D3158,Товар!$A$2:$F$1000,5,0)</f>
        <v/>
      </c>
      <c r="K3158">
        <f>IF(AND(H3158="Промышленный",LEFT(I3158,18)="Порошок стиральный",F3158="Продажа",B3158=DATE(2023,6,7)),E3158*J3158/1000,0)</f>
        <v/>
      </c>
    </row>
    <row r="3159">
      <c r="A3159" t="n">
        <v>3158</v>
      </c>
      <c r="B3159" s="1" t="n">
        <v>45086</v>
      </c>
      <c r="C3159" s="5" t="inlineStr">
        <is>
          <t>M9</t>
        </is>
      </c>
      <c r="D3159" s="5" t="n">
        <v>50</v>
      </c>
      <c r="E3159" s="5" t="n">
        <v>200</v>
      </c>
      <c r="F3159" t="inlineStr">
        <is>
          <t>Поступление</t>
        </is>
      </c>
      <c r="H3159">
        <f>VLOOKUP(C3159,Магазин!$A$2:$C$1000,2,0)</f>
        <v/>
      </c>
      <c r="I3159">
        <f>VLOOKUP(D3159,Товар!$A$2:$F$1000,3,0)</f>
        <v/>
      </c>
      <c r="J3159">
        <f>VLOOKUP(D3159,Товар!$A$2:$F$1000,5,0)</f>
        <v/>
      </c>
      <c r="K3159">
        <f>IF(AND(H3159="Промышленный",LEFT(I3159,18)="Порошок стиральный",F3159="Продажа",B3159=DATE(2023,6,7)),E3159*J3159/1000,0)</f>
        <v/>
      </c>
    </row>
    <row r="3160">
      <c r="A3160" t="n">
        <v>3159</v>
      </c>
      <c r="B3160" s="1" t="n">
        <v>45086</v>
      </c>
      <c r="C3160" s="5" t="inlineStr">
        <is>
          <t>M9</t>
        </is>
      </c>
      <c r="D3160" s="5" t="n">
        <v>51</v>
      </c>
      <c r="E3160" s="5" t="n">
        <v>200</v>
      </c>
      <c r="F3160" t="inlineStr">
        <is>
          <t>Поступление</t>
        </is>
      </c>
      <c r="H3160">
        <f>VLOOKUP(C3160,Магазин!$A$2:$C$1000,2,0)</f>
        <v/>
      </c>
      <c r="I3160">
        <f>VLOOKUP(D3160,Товар!$A$2:$F$1000,3,0)</f>
        <v/>
      </c>
      <c r="J3160">
        <f>VLOOKUP(D3160,Товар!$A$2:$F$1000,5,0)</f>
        <v/>
      </c>
      <c r="K3160">
        <f>IF(AND(H3160="Промышленный",LEFT(I3160,18)="Порошок стиральный",F3160="Продажа",B3160=DATE(2023,6,7)),E3160*J3160/1000,0)</f>
        <v/>
      </c>
    </row>
    <row r="3161">
      <c r="A3161" t="n">
        <v>3160</v>
      </c>
      <c r="B3161" s="1" t="n">
        <v>45086</v>
      </c>
      <c r="C3161" s="5" t="inlineStr">
        <is>
          <t>M9</t>
        </is>
      </c>
      <c r="D3161" s="5" t="n">
        <v>52</v>
      </c>
      <c r="E3161" s="5" t="n">
        <v>200</v>
      </c>
      <c r="F3161" t="inlineStr">
        <is>
          <t>Поступление</t>
        </is>
      </c>
      <c r="H3161">
        <f>VLOOKUP(C3161,Магазин!$A$2:$C$1000,2,0)</f>
        <v/>
      </c>
      <c r="I3161">
        <f>VLOOKUP(D3161,Товар!$A$2:$F$1000,3,0)</f>
        <v/>
      </c>
      <c r="J3161">
        <f>VLOOKUP(D3161,Товар!$A$2:$F$1000,5,0)</f>
        <v/>
      </c>
      <c r="K3161">
        <f>IF(AND(H3161="Промышленный",LEFT(I3161,18)="Порошок стиральный",F3161="Продажа",B3161=DATE(2023,6,7)),E3161*J3161/1000,0)</f>
        <v/>
      </c>
    </row>
    <row r="3162">
      <c r="A3162" t="n">
        <v>3161</v>
      </c>
      <c r="B3162" s="1" t="n">
        <v>45086</v>
      </c>
      <c r="C3162" s="5" t="inlineStr">
        <is>
          <t>M9</t>
        </is>
      </c>
      <c r="D3162" s="5" t="n">
        <v>53</v>
      </c>
      <c r="E3162" s="5" t="n">
        <v>200</v>
      </c>
      <c r="F3162" t="inlineStr">
        <is>
          <t>Поступление</t>
        </is>
      </c>
      <c r="H3162">
        <f>VLOOKUP(C3162,Магазин!$A$2:$C$1000,2,0)</f>
        <v/>
      </c>
      <c r="I3162">
        <f>VLOOKUP(D3162,Товар!$A$2:$F$1000,3,0)</f>
        <v/>
      </c>
      <c r="J3162">
        <f>VLOOKUP(D3162,Товар!$A$2:$F$1000,5,0)</f>
        <v/>
      </c>
      <c r="K3162">
        <f>IF(AND(H3162="Промышленный",LEFT(I3162,18)="Порошок стиральный",F3162="Продажа",B3162=DATE(2023,6,7)),E3162*J3162/1000,0)</f>
        <v/>
      </c>
    </row>
    <row r="3163">
      <c r="A3163" t="n">
        <v>3162</v>
      </c>
      <c r="B3163" s="1" t="n">
        <v>45086</v>
      </c>
      <c r="C3163" s="5" t="inlineStr">
        <is>
          <t>M9</t>
        </is>
      </c>
      <c r="D3163" s="5" t="n">
        <v>54</v>
      </c>
      <c r="E3163" s="5" t="n">
        <v>200</v>
      </c>
      <c r="F3163" t="inlineStr">
        <is>
          <t>Поступление</t>
        </is>
      </c>
      <c r="H3163">
        <f>VLOOKUP(C3163,Магазин!$A$2:$C$1000,2,0)</f>
        <v/>
      </c>
      <c r="I3163">
        <f>VLOOKUP(D3163,Товар!$A$2:$F$1000,3,0)</f>
        <v/>
      </c>
      <c r="J3163">
        <f>VLOOKUP(D3163,Товар!$A$2:$F$1000,5,0)</f>
        <v/>
      </c>
      <c r="K3163">
        <f>IF(AND(H3163="Промышленный",LEFT(I3163,18)="Порошок стиральный",F3163="Продажа",B3163=DATE(2023,6,7)),E3163*J3163/1000,0)</f>
        <v/>
      </c>
    </row>
    <row r="3164">
      <c r="A3164" t="n">
        <v>3163</v>
      </c>
      <c r="B3164" s="1" t="n">
        <v>45086</v>
      </c>
      <c r="C3164" s="5" t="inlineStr">
        <is>
          <t>M9</t>
        </is>
      </c>
      <c r="D3164" s="5" t="n">
        <v>55</v>
      </c>
      <c r="E3164" s="5" t="n">
        <v>200</v>
      </c>
      <c r="F3164" t="inlineStr">
        <is>
          <t>Поступление</t>
        </is>
      </c>
      <c r="H3164">
        <f>VLOOKUP(C3164,Магазин!$A$2:$C$1000,2,0)</f>
        <v/>
      </c>
      <c r="I3164">
        <f>VLOOKUP(D3164,Товар!$A$2:$F$1000,3,0)</f>
        <v/>
      </c>
      <c r="J3164">
        <f>VLOOKUP(D3164,Товар!$A$2:$F$1000,5,0)</f>
        <v/>
      </c>
      <c r="K3164">
        <f>IF(AND(H3164="Промышленный",LEFT(I3164,18)="Порошок стиральный",F3164="Продажа",B3164=DATE(2023,6,7)),E3164*J3164/1000,0)</f>
        <v/>
      </c>
    </row>
    <row r="3165">
      <c r="A3165" t="n">
        <v>3164</v>
      </c>
      <c r="B3165" s="1" t="n">
        <v>45086</v>
      </c>
      <c r="C3165" s="5" t="inlineStr">
        <is>
          <t>M9</t>
        </is>
      </c>
      <c r="D3165" s="5" t="n">
        <v>56</v>
      </c>
      <c r="E3165" s="5" t="n">
        <v>200</v>
      </c>
      <c r="F3165" t="inlineStr">
        <is>
          <t>Поступление</t>
        </is>
      </c>
      <c r="H3165">
        <f>VLOOKUP(C3165,Магазин!$A$2:$C$1000,2,0)</f>
        <v/>
      </c>
      <c r="I3165">
        <f>VLOOKUP(D3165,Товар!$A$2:$F$1000,3,0)</f>
        <v/>
      </c>
      <c r="J3165">
        <f>VLOOKUP(D3165,Товар!$A$2:$F$1000,5,0)</f>
        <v/>
      </c>
      <c r="K3165">
        <f>IF(AND(H3165="Промышленный",LEFT(I3165,18)="Порошок стиральный",F3165="Продажа",B3165=DATE(2023,6,7)),E3165*J3165/1000,0)</f>
        <v/>
      </c>
    </row>
    <row r="3166">
      <c r="A3166" t="n">
        <v>3165</v>
      </c>
      <c r="B3166" s="1" t="n">
        <v>45086</v>
      </c>
      <c r="C3166" s="5" t="inlineStr">
        <is>
          <t>M9</t>
        </is>
      </c>
      <c r="D3166" s="5" t="n">
        <v>57</v>
      </c>
      <c r="E3166" s="5" t="n">
        <v>200</v>
      </c>
      <c r="F3166" t="inlineStr">
        <is>
          <t>Поступление</t>
        </is>
      </c>
      <c r="H3166">
        <f>VLOOKUP(C3166,Магазин!$A$2:$C$1000,2,0)</f>
        <v/>
      </c>
      <c r="I3166">
        <f>VLOOKUP(D3166,Товар!$A$2:$F$1000,3,0)</f>
        <v/>
      </c>
      <c r="J3166">
        <f>VLOOKUP(D3166,Товар!$A$2:$F$1000,5,0)</f>
        <v/>
      </c>
      <c r="K3166">
        <f>IF(AND(H3166="Промышленный",LEFT(I3166,18)="Порошок стиральный",F3166="Продажа",B3166=DATE(2023,6,7)),E3166*J3166/1000,0)</f>
        <v/>
      </c>
    </row>
    <row r="3167">
      <c r="A3167" t="n">
        <v>3166</v>
      </c>
      <c r="B3167" s="1" t="n">
        <v>45086</v>
      </c>
      <c r="C3167" s="5" t="inlineStr">
        <is>
          <t>M9</t>
        </is>
      </c>
      <c r="D3167" s="5" t="n">
        <v>58</v>
      </c>
      <c r="E3167" s="5" t="n">
        <v>200</v>
      </c>
      <c r="F3167" t="inlineStr">
        <is>
          <t>Поступление</t>
        </is>
      </c>
      <c r="H3167">
        <f>VLOOKUP(C3167,Магазин!$A$2:$C$1000,2,0)</f>
        <v/>
      </c>
      <c r="I3167">
        <f>VLOOKUP(D3167,Товар!$A$2:$F$1000,3,0)</f>
        <v/>
      </c>
      <c r="J3167">
        <f>VLOOKUP(D3167,Товар!$A$2:$F$1000,5,0)</f>
        <v/>
      </c>
      <c r="K3167">
        <f>IF(AND(H3167="Промышленный",LEFT(I3167,18)="Порошок стиральный",F3167="Продажа",B3167=DATE(2023,6,7)),E3167*J3167/1000,0)</f>
        <v/>
      </c>
    </row>
    <row r="3168">
      <c r="A3168" t="n">
        <v>3167</v>
      </c>
      <c r="B3168" s="1" t="n">
        <v>45086</v>
      </c>
      <c r="C3168" s="5" t="inlineStr">
        <is>
          <t>M9</t>
        </is>
      </c>
      <c r="D3168" s="5" t="n">
        <v>59</v>
      </c>
      <c r="E3168" s="5" t="n">
        <v>200</v>
      </c>
      <c r="F3168" t="inlineStr">
        <is>
          <t>Поступление</t>
        </is>
      </c>
      <c r="H3168">
        <f>VLOOKUP(C3168,Магазин!$A$2:$C$1000,2,0)</f>
        <v/>
      </c>
      <c r="I3168">
        <f>VLOOKUP(D3168,Товар!$A$2:$F$1000,3,0)</f>
        <v/>
      </c>
      <c r="J3168">
        <f>VLOOKUP(D3168,Товар!$A$2:$F$1000,5,0)</f>
        <v/>
      </c>
      <c r="K3168">
        <f>IF(AND(H3168="Промышленный",LEFT(I3168,18)="Порошок стиральный",F3168="Продажа",B3168=DATE(2023,6,7)),E3168*J3168/1000,0)</f>
        <v/>
      </c>
    </row>
    <row r="3169">
      <c r="A3169" t="n">
        <v>3168</v>
      </c>
      <c r="B3169" s="1" t="n">
        <v>45086</v>
      </c>
      <c r="C3169" s="5" t="inlineStr">
        <is>
          <t>M9</t>
        </is>
      </c>
      <c r="D3169" s="5" t="n">
        <v>60</v>
      </c>
      <c r="E3169" s="5" t="n">
        <v>200</v>
      </c>
      <c r="F3169" t="inlineStr">
        <is>
          <t>Поступление</t>
        </is>
      </c>
      <c r="H3169">
        <f>VLOOKUP(C3169,Магазин!$A$2:$C$1000,2,0)</f>
        <v/>
      </c>
      <c r="I3169">
        <f>VLOOKUP(D3169,Товар!$A$2:$F$1000,3,0)</f>
        <v/>
      </c>
      <c r="J3169">
        <f>VLOOKUP(D3169,Товар!$A$2:$F$1000,5,0)</f>
        <v/>
      </c>
      <c r="K3169">
        <f>IF(AND(H3169="Промышленный",LEFT(I3169,18)="Порошок стиральный",F3169="Продажа",B3169=DATE(2023,6,7)),E3169*J3169/1000,0)</f>
        <v/>
      </c>
    </row>
    <row r="3170">
      <c r="A3170" t="n">
        <v>3169</v>
      </c>
      <c r="B3170" s="1" t="n">
        <v>45086</v>
      </c>
      <c r="C3170" s="5" t="inlineStr">
        <is>
          <t>M11</t>
        </is>
      </c>
      <c r="D3170" s="5" t="n">
        <v>37</v>
      </c>
      <c r="E3170" s="5" t="n">
        <v>200</v>
      </c>
      <c r="F3170" t="inlineStr">
        <is>
          <t>Поступление</t>
        </is>
      </c>
      <c r="H3170">
        <f>VLOOKUP(C3170,Магазин!$A$2:$C$1000,2,0)</f>
        <v/>
      </c>
      <c r="I3170">
        <f>VLOOKUP(D3170,Товар!$A$2:$F$1000,3,0)</f>
        <v/>
      </c>
      <c r="J3170">
        <f>VLOOKUP(D3170,Товар!$A$2:$F$1000,5,0)</f>
        <v/>
      </c>
      <c r="K3170">
        <f>IF(AND(H3170="Промышленный",LEFT(I3170,18)="Порошок стиральный",F3170="Продажа",B3170=DATE(2023,6,7)),E3170*J3170/1000,0)</f>
        <v/>
      </c>
    </row>
    <row r="3171">
      <c r="A3171" t="n">
        <v>3170</v>
      </c>
      <c r="B3171" s="1" t="n">
        <v>45086</v>
      </c>
      <c r="C3171" s="5" t="inlineStr">
        <is>
          <t>M11</t>
        </is>
      </c>
      <c r="D3171" s="5" t="n">
        <v>38</v>
      </c>
      <c r="E3171" s="5" t="n">
        <v>200</v>
      </c>
      <c r="F3171" t="inlineStr">
        <is>
          <t>Поступление</t>
        </is>
      </c>
      <c r="H3171">
        <f>VLOOKUP(C3171,Магазин!$A$2:$C$1000,2,0)</f>
        <v/>
      </c>
      <c r="I3171">
        <f>VLOOKUP(D3171,Товар!$A$2:$F$1000,3,0)</f>
        <v/>
      </c>
      <c r="J3171">
        <f>VLOOKUP(D3171,Товар!$A$2:$F$1000,5,0)</f>
        <v/>
      </c>
      <c r="K3171">
        <f>IF(AND(H3171="Промышленный",LEFT(I3171,18)="Порошок стиральный",F3171="Продажа",B3171=DATE(2023,6,7)),E3171*J3171/1000,0)</f>
        <v/>
      </c>
    </row>
    <row r="3172">
      <c r="A3172" t="n">
        <v>3171</v>
      </c>
      <c r="B3172" s="1" t="n">
        <v>45086</v>
      </c>
      <c r="C3172" s="5" t="inlineStr">
        <is>
          <t>M11</t>
        </is>
      </c>
      <c r="D3172" s="5" t="n">
        <v>39</v>
      </c>
      <c r="E3172" s="5" t="n">
        <v>200</v>
      </c>
      <c r="F3172" t="inlineStr">
        <is>
          <t>Поступление</t>
        </is>
      </c>
      <c r="H3172">
        <f>VLOOKUP(C3172,Магазин!$A$2:$C$1000,2,0)</f>
        <v/>
      </c>
      <c r="I3172">
        <f>VLOOKUP(D3172,Товар!$A$2:$F$1000,3,0)</f>
        <v/>
      </c>
      <c r="J3172">
        <f>VLOOKUP(D3172,Товар!$A$2:$F$1000,5,0)</f>
        <v/>
      </c>
      <c r="K3172">
        <f>IF(AND(H3172="Промышленный",LEFT(I3172,18)="Порошок стиральный",F3172="Продажа",B3172=DATE(2023,6,7)),E3172*J3172/1000,0)</f>
        <v/>
      </c>
    </row>
    <row r="3173">
      <c r="A3173" t="n">
        <v>3172</v>
      </c>
      <c r="B3173" s="1" t="n">
        <v>45086</v>
      </c>
      <c r="C3173" s="5" t="inlineStr">
        <is>
          <t>M11</t>
        </is>
      </c>
      <c r="D3173" s="5" t="n">
        <v>40</v>
      </c>
      <c r="E3173" s="5" t="n">
        <v>200</v>
      </c>
      <c r="F3173" t="inlineStr">
        <is>
          <t>Поступление</t>
        </is>
      </c>
      <c r="H3173">
        <f>VLOOKUP(C3173,Магазин!$A$2:$C$1000,2,0)</f>
        <v/>
      </c>
      <c r="I3173">
        <f>VLOOKUP(D3173,Товар!$A$2:$F$1000,3,0)</f>
        <v/>
      </c>
      <c r="J3173">
        <f>VLOOKUP(D3173,Товар!$A$2:$F$1000,5,0)</f>
        <v/>
      </c>
      <c r="K3173">
        <f>IF(AND(H3173="Промышленный",LEFT(I3173,18)="Порошок стиральный",F3173="Продажа",B3173=DATE(2023,6,7)),E3173*J3173/1000,0)</f>
        <v/>
      </c>
    </row>
    <row r="3174">
      <c r="A3174" t="n">
        <v>3173</v>
      </c>
      <c r="B3174" s="1" t="n">
        <v>45086</v>
      </c>
      <c r="C3174" s="5" t="inlineStr">
        <is>
          <t>M11</t>
        </is>
      </c>
      <c r="D3174" s="5" t="n">
        <v>41</v>
      </c>
      <c r="E3174" s="5" t="n">
        <v>200</v>
      </c>
      <c r="F3174" t="inlineStr">
        <is>
          <t>Поступление</t>
        </is>
      </c>
      <c r="H3174">
        <f>VLOOKUP(C3174,Магазин!$A$2:$C$1000,2,0)</f>
        <v/>
      </c>
      <c r="I3174">
        <f>VLOOKUP(D3174,Товар!$A$2:$F$1000,3,0)</f>
        <v/>
      </c>
      <c r="J3174">
        <f>VLOOKUP(D3174,Товар!$A$2:$F$1000,5,0)</f>
        <v/>
      </c>
      <c r="K3174">
        <f>IF(AND(H3174="Промышленный",LEFT(I3174,18)="Порошок стиральный",F3174="Продажа",B3174=DATE(2023,6,7)),E3174*J3174/1000,0)</f>
        <v/>
      </c>
    </row>
    <row r="3175">
      <c r="A3175" t="n">
        <v>3174</v>
      </c>
      <c r="B3175" s="1" t="n">
        <v>45086</v>
      </c>
      <c r="C3175" s="5" t="inlineStr">
        <is>
          <t>M11</t>
        </is>
      </c>
      <c r="D3175" s="5" t="n">
        <v>42</v>
      </c>
      <c r="E3175" s="5" t="n">
        <v>200</v>
      </c>
      <c r="F3175" t="inlineStr">
        <is>
          <t>Поступление</t>
        </is>
      </c>
      <c r="H3175">
        <f>VLOOKUP(C3175,Магазин!$A$2:$C$1000,2,0)</f>
        <v/>
      </c>
      <c r="I3175">
        <f>VLOOKUP(D3175,Товар!$A$2:$F$1000,3,0)</f>
        <v/>
      </c>
      <c r="J3175">
        <f>VLOOKUP(D3175,Товар!$A$2:$F$1000,5,0)</f>
        <v/>
      </c>
      <c r="K3175">
        <f>IF(AND(H3175="Промышленный",LEFT(I3175,18)="Порошок стиральный",F3175="Продажа",B3175=DATE(2023,6,7)),E3175*J3175/1000,0)</f>
        <v/>
      </c>
    </row>
    <row r="3176">
      <c r="A3176" t="n">
        <v>3175</v>
      </c>
      <c r="B3176" s="1" t="n">
        <v>45086</v>
      </c>
      <c r="C3176" s="5" t="inlineStr">
        <is>
          <t>M11</t>
        </is>
      </c>
      <c r="D3176" s="5" t="n">
        <v>43</v>
      </c>
      <c r="E3176" s="5" t="n">
        <v>200</v>
      </c>
      <c r="F3176" t="inlineStr">
        <is>
          <t>Поступление</t>
        </is>
      </c>
      <c r="H3176">
        <f>VLOOKUP(C3176,Магазин!$A$2:$C$1000,2,0)</f>
        <v/>
      </c>
      <c r="I3176">
        <f>VLOOKUP(D3176,Товар!$A$2:$F$1000,3,0)</f>
        <v/>
      </c>
      <c r="J3176">
        <f>VLOOKUP(D3176,Товар!$A$2:$F$1000,5,0)</f>
        <v/>
      </c>
      <c r="K3176">
        <f>IF(AND(H3176="Промышленный",LEFT(I3176,18)="Порошок стиральный",F3176="Продажа",B3176=DATE(2023,6,7)),E3176*J3176/1000,0)</f>
        <v/>
      </c>
    </row>
    <row r="3177">
      <c r="A3177" t="n">
        <v>3176</v>
      </c>
      <c r="B3177" s="1" t="n">
        <v>45086</v>
      </c>
      <c r="C3177" s="5" t="inlineStr">
        <is>
          <t>M11</t>
        </is>
      </c>
      <c r="D3177" s="5" t="n">
        <v>44</v>
      </c>
      <c r="E3177" s="5" t="n">
        <v>200</v>
      </c>
      <c r="F3177" t="inlineStr">
        <is>
          <t>Поступление</t>
        </is>
      </c>
      <c r="H3177">
        <f>VLOOKUP(C3177,Магазин!$A$2:$C$1000,2,0)</f>
        <v/>
      </c>
      <c r="I3177">
        <f>VLOOKUP(D3177,Товар!$A$2:$F$1000,3,0)</f>
        <v/>
      </c>
      <c r="J3177">
        <f>VLOOKUP(D3177,Товар!$A$2:$F$1000,5,0)</f>
        <v/>
      </c>
      <c r="K3177">
        <f>IF(AND(H3177="Промышленный",LEFT(I3177,18)="Порошок стиральный",F3177="Продажа",B3177=DATE(2023,6,7)),E3177*J3177/1000,0)</f>
        <v/>
      </c>
    </row>
    <row r="3178">
      <c r="A3178" t="n">
        <v>3177</v>
      </c>
      <c r="B3178" s="1" t="n">
        <v>45086</v>
      </c>
      <c r="C3178" s="5" t="inlineStr">
        <is>
          <t>M11</t>
        </is>
      </c>
      <c r="D3178" s="5" t="n">
        <v>45</v>
      </c>
      <c r="E3178" s="5" t="n">
        <v>200</v>
      </c>
      <c r="F3178" t="inlineStr">
        <is>
          <t>Поступление</t>
        </is>
      </c>
      <c r="H3178">
        <f>VLOOKUP(C3178,Магазин!$A$2:$C$1000,2,0)</f>
        <v/>
      </c>
      <c r="I3178">
        <f>VLOOKUP(D3178,Товар!$A$2:$F$1000,3,0)</f>
        <v/>
      </c>
      <c r="J3178">
        <f>VLOOKUP(D3178,Товар!$A$2:$F$1000,5,0)</f>
        <v/>
      </c>
      <c r="K3178">
        <f>IF(AND(H3178="Промышленный",LEFT(I3178,18)="Порошок стиральный",F3178="Продажа",B3178=DATE(2023,6,7)),E3178*J3178/1000,0)</f>
        <v/>
      </c>
    </row>
    <row r="3179">
      <c r="A3179" t="n">
        <v>3178</v>
      </c>
      <c r="B3179" s="1" t="n">
        <v>45086</v>
      </c>
      <c r="C3179" s="5" t="inlineStr">
        <is>
          <t>M11</t>
        </is>
      </c>
      <c r="D3179" s="5" t="n">
        <v>46</v>
      </c>
      <c r="E3179" s="5" t="n">
        <v>200</v>
      </c>
      <c r="F3179" t="inlineStr">
        <is>
          <t>Поступление</t>
        </is>
      </c>
      <c r="H3179">
        <f>VLOOKUP(C3179,Магазин!$A$2:$C$1000,2,0)</f>
        <v/>
      </c>
      <c r="I3179">
        <f>VLOOKUP(D3179,Товар!$A$2:$F$1000,3,0)</f>
        <v/>
      </c>
      <c r="J3179">
        <f>VLOOKUP(D3179,Товар!$A$2:$F$1000,5,0)</f>
        <v/>
      </c>
      <c r="K3179">
        <f>IF(AND(H3179="Промышленный",LEFT(I3179,18)="Порошок стиральный",F3179="Продажа",B3179=DATE(2023,6,7)),E3179*J3179/1000,0)</f>
        <v/>
      </c>
    </row>
    <row r="3180">
      <c r="A3180" t="n">
        <v>3179</v>
      </c>
      <c r="B3180" s="1" t="n">
        <v>45086</v>
      </c>
      <c r="C3180" s="5" t="inlineStr">
        <is>
          <t>M11</t>
        </is>
      </c>
      <c r="D3180" s="5" t="n">
        <v>47</v>
      </c>
      <c r="E3180" s="5" t="n">
        <v>200</v>
      </c>
      <c r="F3180" t="inlineStr">
        <is>
          <t>Поступление</t>
        </is>
      </c>
      <c r="H3180">
        <f>VLOOKUP(C3180,Магазин!$A$2:$C$1000,2,0)</f>
        <v/>
      </c>
      <c r="I3180">
        <f>VLOOKUP(D3180,Товар!$A$2:$F$1000,3,0)</f>
        <v/>
      </c>
      <c r="J3180">
        <f>VLOOKUP(D3180,Товар!$A$2:$F$1000,5,0)</f>
        <v/>
      </c>
      <c r="K3180">
        <f>IF(AND(H3180="Промышленный",LEFT(I3180,18)="Порошок стиральный",F3180="Продажа",B3180=DATE(2023,6,7)),E3180*J3180/1000,0)</f>
        <v/>
      </c>
    </row>
    <row r="3181">
      <c r="A3181" t="n">
        <v>3180</v>
      </c>
      <c r="B3181" s="1" t="n">
        <v>45086</v>
      </c>
      <c r="C3181" s="5" t="inlineStr">
        <is>
          <t>M11</t>
        </is>
      </c>
      <c r="D3181" s="5" t="n">
        <v>48</v>
      </c>
      <c r="E3181" s="5" t="n">
        <v>200</v>
      </c>
      <c r="F3181" t="inlineStr">
        <is>
          <t>Поступление</t>
        </is>
      </c>
      <c r="H3181">
        <f>VLOOKUP(C3181,Магазин!$A$2:$C$1000,2,0)</f>
        <v/>
      </c>
      <c r="I3181">
        <f>VLOOKUP(D3181,Товар!$A$2:$F$1000,3,0)</f>
        <v/>
      </c>
      <c r="J3181">
        <f>VLOOKUP(D3181,Товар!$A$2:$F$1000,5,0)</f>
        <v/>
      </c>
      <c r="K3181">
        <f>IF(AND(H3181="Промышленный",LEFT(I3181,18)="Порошок стиральный",F3181="Продажа",B3181=DATE(2023,6,7)),E3181*J3181/1000,0)</f>
        <v/>
      </c>
    </row>
    <row r="3182">
      <c r="A3182" t="n">
        <v>3181</v>
      </c>
      <c r="B3182" s="1" t="n">
        <v>45086</v>
      </c>
      <c r="C3182" s="5" t="inlineStr">
        <is>
          <t>M11</t>
        </is>
      </c>
      <c r="D3182" s="5" t="n">
        <v>49</v>
      </c>
      <c r="E3182" s="5" t="n">
        <v>200</v>
      </c>
      <c r="F3182" t="inlineStr">
        <is>
          <t>Поступление</t>
        </is>
      </c>
      <c r="H3182">
        <f>VLOOKUP(C3182,Магазин!$A$2:$C$1000,2,0)</f>
        <v/>
      </c>
      <c r="I3182">
        <f>VLOOKUP(D3182,Товар!$A$2:$F$1000,3,0)</f>
        <v/>
      </c>
      <c r="J3182">
        <f>VLOOKUP(D3182,Товар!$A$2:$F$1000,5,0)</f>
        <v/>
      </c>
      <c r="K3182">
        <f>IF(AND(H3182="Промышленный",LEFT(I3182,18)="Порошок стиральный",F3182="Продажа",B3182=DATE(2023,6,7)),E3182*J3182/1000,0)</f>
        <v/>
      </c>
    </row>
    <row r="3183">
      <c r="A3183" t="n">
        <v>3182</v>
      </c>
      <c r="B3183" s="1" t="n">
        <v>45086</v>
      </c>
      <c r="C3183" s="5" t="inlineStr">
        <is>
          <t>M11</t>
        </is>
      </c>
      <c r="D3183" s="5" t="n">
        <v>50</v>
      </c>
      <c r="E3183" s="5" t="n">
        <v>200</v>
      </c>
      <c r="F3183" t="inlineStr">
        <is>
          <t>Поступление</t>
        </is>
      </c>
      <c r="H3183">
        <f>VLOOKUP(C3183,Магазин!$A$2:$C$1000,2,0)</f>
        <v/>
      </c>
      <c r="I3183">
        <f>VLOOKUP(D3183,Товар!$A$2:$F$1000,3,0)</f>
        <v/>
      </c>
      <c r="J3183">
        <f>VLOOKUP(D3183,Товар!$A$2:$F$1000,5,0)</f>
        <v/>
      </c>
      <c r="K3183">
        <f>IF(AND(H3183="Промышленный",LEFT(I3183,18)="Порошок стиральный",F3183="Продажа",B3183=DATE(2023,6,7)),E3183*J3183/1000,0)</f>
        <v/>
      </c>
    </row>
    <row r="3184">
      <c r="A3184" t="n">
        <v>3183</v>
      </c>
      <c r="B3184" s="1" t="n">
        <v>45086</v>
      </c>
      <c r="C3184" s="5" t="inlineStr">
        <is>
          <t>M11</t>
        </is>
      </c>
      <c r="D3184" s="5" t="n">
        <v>51</v>
      </c>
      <c r="E3184" s="5" t="n">
        <v>200</v>
      </c>
      <c r="F3184" t="inlineStr">
        <is>
          <t>Поступление</t>
        </is>
      </c>
      <c r="H3184">
        <f>VLOOKUP(C3184,Магазин!$A$2:$C$1000,2,0)</f>
        <v/>
      </c>
      <c r="I3184">
        <f>VLOOKUP(D3184,Товар!$A$2:$F$1000,3,0)</f>
        <v/>
      </c>
      <c r="J3184">
        <f>VLOOKUP(D3184,Товар!$A$2:$F$1000,5,0)</f>
        <v/>
      </c>
      <c r="K3184">
        <f>IF(AND(H3184="Промышленный",LEFT(I3184,18)="Порошок стиральный",F3184="Продажа",B3184=DATE(2023,6,7)),E3184*J3184/1000,0)</f>
        <v/>
      </c>
    </row>
    <row r="3185">
      <c r="A3185" t="n">
        <v>3184</v>
      </c>
      <c r="B3185" s="1" t="n">
        <v>45086</v>
      </c>
      <c r="C3185" s="5" t="inlineStr">
        <is>
          <t>M11</t>
        </is>
      </c>
      <c r="D3185" s="5" t="n">
        <v>52</v>
      </c>
      <c r="E3185" s="5" t="n">
        <v>200</v>
      </c>
      <c r="F3185" t="inlineStr">
        <is>
          <t>Поступление</t>
        </is>
      </c>
      <c r="H3185">
        <f>VLOOKUP(C3185,Магазин!$A$2:$C$1000,2,0)</f>
        <v/>
      </c>
      <c r="I3185">
        <f>VLOOKUP(D3185,Товар!$A$2:$F$1000,3,0)</f>
        <v/>
      </c>
      <c r="J3185">
        <f>VLOOKUP(D3185,Товар!$A$2:$F$1000,5,0)</f>
        <v/>
      </c>
      <c r="K3185">
        <f>IF(AND(H3185="Промышленный",LEFT(I3185,18)="Порошок стиральный",F3185="Продажа",B3185=DATE(2023,6,7)),E3185*J3185/1000,0)</f>
        <v/>
      </c>
    </row>
    <row r="3186">
      <c r="A3186" t="n">
        <v>3185</v>
      </c>
      <c r="B3186" s="1" t="n">
        <v>45086</v>
      </c>
      <c r="C3186" s="5" t="inlineStr">
        <is>
          <t>M11</t>
        </is>
      </c>
      <c r="D3186" s="5" t="n">
        <v>53</v>
      </c>
      <c r="E3186" s="5" t="n">
        <v>200</v>
      </c>
      <c r="F3186" t="inlineStr">
        <is>
          <t>Поступление</t>
        </is>
      </c>
      <c r="H3186">
        <f>VLOOKUP(C3186,Магазин!$A$2:$C$1000,2,0)</f>
        <v/>
      </c>
      <c r="I3186">
        <f>VLOOKUP(D3186,Товар!$A$2:$F$1000,3,0)</f>
        <v/>
      </c>
      <c r="J3186">
        <f>VLOOKUP(D3186,Товар!$A$2:$F$1000,5,0)</f>
        <v/>
      </c>
      <c r="K3186">
        <f>IF(AND(H3186="Промышленный",LEFT(I3186,18)="Порошок стиральный",F3186="Продажа",B3186=DATE(2023,6,7)),E3186*J3186/1000,0)</f>
        <v/>
      </c>
    </row>
    <row r="3187">
      <c r="A3187" t="n">
        <v>3186</v>
      </c>
      <c r="B3187" s="1" t="n">
        <v>45086</v>
      </c>
      <c r="C3187" s="5" t="inlineStr">
        <is>
          <t>M11</t>
        </is>
      </c>
      <c r="D3187" s="5" t="n">
        <v>54</v>
      </c>
      <c r="E3187" s="5" t="n">
        <v>200</v>
      </c>
      <c r="F3187" t="inlineStr">
        <is>
          <t>Поступление</t>
        </is>
      </c>
      <c r="H3187">
        <f>VLOOKUP(C3187,Магазин!$A$2:$C$1000,2,0)</f>
        <v/>
      </c>
      <c r="I3187">
        <f>VLOOKUP(D3187,Товар!$A$2:$F$1000,3,0)</f>
        <v/>
      </c>
      <c r="J3187">
        <f>VLOOKUP(D3187,Товар!$A$2:$F$1000,5,0)</f>
        <v/>
      </c>
      <c r="K3187">
        <f>IF(AND(H3187="Промышленный",LEFT(I3187,18)="Порошок стиральный",F3187="Продажа",B3187=DATE(2023,6,7)),E3187*J3187/1000,0)</f>
        <v/>
      </c>
    </row>
    <row r="3188">
      <c r="A3188" t="n">
        <v>3187</v>
      </c>
      <c r="B3188" s="1" t="n">
        <v>45086</v>
      </c>
      <c r="C3188" s="5" t="inlineStr">
        <is>
          <t>M11</t>
        </is>
      </c>
      <c r="D3188" s="5" t="n">
        <v>55</v>
      </c>
      <c r="E3188" s="5" t="n">
        <v>200</v>
      </c>
      <c r="F3188" t="inlineStr">
        <is>
          <t>Поступление</t>
        </is>
      </c>
      <c r="H3188">
        <f>VLOOKUP(C3188,Магазин!$A$2:$C$1000,2,0)</f>
        <v/>
      </c>
      <c r="I3188">
        <f>VLOOKUP(D3188,Товар!$A$2:$F$1000,3,0)</f>
        <v/>
      </c>
      <c r="J3188">
        <f>VLOOKUP(D3188,Товар!$A$2:$F$1000,5,0)</f>
        <v/>
      </c>
      <c r="K3188">
        <f>IF(AND(H3188="Промышленный",LEFT(I3188,18)="Порошок стиральный",F3188="Продажа",B3188=DATE(2023,6,7)),E3188*J3188/1000,0)</f>
        <v/>
      </c>
    </row>
    <row r="3189">
      <c r="A3189" t="n">
        <v>3188</v>
      </c>
      <c r="B3189" s="1" t="n">
        <v>45086</v>
      </c>
      <c r="C3189" s="5" t="inlineStr">
        <is>
          <t>M11</t>
        </is>
      </c>
      <c r="D3189" s="5" t="n">
        <v>56</v>
      </c>
      <c r="E3189" s="5" t="n">
        <v>200</v>
      </c>
      <c r="F3189" t="inlineStr">
        <is>
          <t>Поступление</t>
        </is>
      </c>
      <c r="H3189">
        <f>VLOOKUP(C3189,Магазин!$A$2:$C$1000,2,0)</f>
        <v/>
      </c>
      <c r="I3189">
        <f>VLOOKUP(D3189,Товар!$A$2:$F$1000,3,0)</f>
        <v/>
      </c>
      <c r="J3189">
        <f>VLOOKUP(D3189,Товар!$A$2:$F$1000,5,0)</f>
        <v/>
      </c>
      <c r="K3189">
        <f>IF(AND(H3189="Промышленный",LEFT(I3189,18)="Порошок стиральный",F3189="Продажа",B3189=DATE(2023,6,7)),E3189*J3189/1000,0)</f>
        <v/>
      </c>
    </row>
    <row r="3190">
      <c r="A3190" t="n">
        <v>3189</v>
      </c>
      <c r="B3190" s="1" t="n">
        <v>45086</v>
      </c>
      <c r="C3190" s="5" t="inlineStr">
        <is>
          <t>M11</t>
        </is>
      </c>
      <c r="D3190" s="5" t="n">
        <v>57</v>
      </c>
      <c r="E3190" s="5" t="n">
        <v>200</v>
      </c>
      <c r="F3190" t="inlineStr">
        <is>
          <t>Поступление</t>
        </is>
      </c>
      <c r="H3190">
        <f>VLOOKUP(C3190,Магазин!$A$2:$C$1000,2,0)</f>
        <v/>
      </c>
      <c r="I3190">
        <f>VLOOKUP(D3190,Товар!$A$2:$F$1000,3,0)</f>
        <v/>
      </c>
      <c r="J3190">
        <f>VLOOKUP(D3190,Товар!$A$2:$F$1000,5,0)</f>
        <v/>
      </c>
      <c r="K3190">
        <f>IF(AND(H3190="Промышленный",LEFT(I3190,18)="Порошок стиральный",F3190="Продажа",B3190=DATE(2023,6,7)),E3190*J3190/1000,0)</f>
        <v/>
      </c>
    </row>
    <row r="3191">
      <c r="A3191" t="n">
        <v>3190</v>
      </c>
      <c r="B3191" s="1" t="n">
        <v>45086</v>
      </c>
      <c r="C3191" s="5" t="inlineStr">
        <is>
          <t>M11</t>
        </is>
      </c>
      <c r="D3191" s="5" t="n">
        <v>58</v>
      </c>
      <c r="E3191" s="5" t="n">
        <v>200</v>
      </c>
      <c r="F3191" t="inlineStr">
        <is>
          <t>Поступление</t>
        </is>
      </c>
      <c r="H3191">
        <f>VLOOKUP(C3191,Магазин!$A$2:$C$1000,2,0)</f>
        <v/>
      </c>
      <c r="I3191">
        <f>VLOOKUP(D3191,Товар!$A$2:$F$1000,3,0)</f>
        <v/>
      </c>
      <c r="J3191">
        <f>VLOOKUP(D3191,Товар!$A$2:$F$1000,5,0)</f>
        <v/>
      </c>
      <c r="K3191">
        <f>IF(AND(H3191="Промышленный",LEFT(I3191,18)="Порошок стиральный",F3191="Продажа",B3191=DATE(2023,6,7)),E3191*J3191/1000,0)</f>
        <v/>
      </c>
    </row>
    <row r="3192">
      <c r="A3192" t="n">
        <v>3191</v>
      </c>
      <c r="B3192" s="1" t="n">
        <v>45086</v>
      </c>
      <c r="C3192" s="5" t="inlineStr">
        <is>
          <t>M11</t>
        </is>
      </c>
      <c r="D3192" s="5" t="n">
        <v>59</v>
      </c>
      <c r="E3192" s="5" t="n">
        <v>200</v>
      </c>
      <c r="F3192" t="inlineStr">
        <is>
          <t>Поступление</t>
        </is>
      </c>
      <c r="H3192">
        <f>VLOOKUP(C3192,Магазин!$A$2:$C$1000,2,0)</f>
        <v/>
      </c>
      <c r="I3192">
        <f>VLOOKUP(D3192,Товар!$A$2:$F$1000,3,0)</f>
        <v/>
      </c>
      <c r="J3192">
        <f>VLOOKUP(D3192,Товар!$A$2:$F$1000,5,0)</f>
        <v/>
      </c>
      <c r="K3192">
        <f>IF(AND(H3192="Промышленный",LEFT(I3192,18)="Порошок стиральный",F3192="Продажа",B3192=DATE(2023,6,7)),E3192*J3192/1000,0)</f>
        <v/>
      </c>
    </row>
    <row r="3193">
      <c r="A3193" t="n">
        <v>3192</v>
      </c>
      <c r="B3193" s="1" t="n">
        <v>45086</v>
      </c>
      <c r="C3193" s="5" t="inlineStr">
        <is>
          <t>M11</t>
        </is>
      </c>
      <c r="D3193" s="5" t="n">
        <v>60</v>
      </c>
      <c r="E3193" s="5" t="n">
        <v>200</v>
      </c>
      <c r="F3193" t="inlineStr">
        <is>
          <t>Поступление</t>
        </is>
      </c>
      <c r="H3193">
        <f>VLOOKUP(C3193,Магазин!$A$2:$C$1000,2,0)</f>
        <v/>
      </c>
      <c r="I3193">
        <f>VLOOKUP(D3193,Товар!$A$2:$F$1000,3,0)</f>
        <v/>
      </c>
      <c r="J3193">
        <f>VLOOKUP(D3193,Товар!$A$2:$F$1000,5,0)</f>
        <v/>
      </c>
      <c r="K3193">
        <f>IF(AND(H3193="Промышленный",LEFT(I3193,18)="Порошок стиральный",F3193="Продажа",B3193=DATE(2023,6,7)),E3193*J3193/1000,0)</f>
        <v/>
      </c>
    </row>
    <row r="3194">
      <c r="A3194" t="n">
        <v>3193</v>
      </c>
      <c r="B3194" s="1" t="n">
        <v>45086</v>
      </c>
      <c r="C3194" s="5" t="inlineStr">
        <is>
          <t>M14</t>
        </is>
      </c>
      <c r="D3194" s="5" t="n">
        <v>37</v>
      </c>
      <c r="E3194" s="5" t="n">
        <v>200</v>
      </c>
      <c r="F3194" t="inlineStr">
        <is>
          <t>Поступление</t>
        </is>
      </c>
      <c r="H3194">
        <f>VLOOKUP(C3194,Магазин!$A$2:$C$1000,2,0)</f>
        <v/>
      </c>
      <c r="I3194">
        <f>VLOOKUP(D3194,Товар!$A$2:$F$1000,3,0)</f>
        <v/>
      </c>
      <c r="J3194">
        <f>VLOOKUP(D3194,Товар!$A$2:$F$1000,5,0)</f>
        <v/>
      </c>
      <c r="K3194">
        <f>IF(AND(H3194="Промышленный",LEFT(I3194,18)="Порошок стиральный",F3194="Продажа",B3194=DATE(2023,6,7)),E3194*J3194/1000,0)</f>
        <v/>
      </c>
    </row>
    <row r="3195">
      <c r="A3195" t="n">
        <v>3194</v>
      </c>
      <c r="B3195" s="1" t="n">
        <v>45086</v>
      </c>
      <c r="C3195" s="5" t="inlineStr">
        <is>
          <t>M14</t>
        </is>
      </c>
      <c r="D3195" s="5" t="n">
        <v>38</v>
      </c>
      <c r="E3195" s="5" t="n">
        <v>200</v>
      </c>
      <c r="F3195" t="inlineStr">
        <is>
          <t>Поступление</t>
        </is>
      </c>
      <c r="H3195">
        <f>VLOOKUP(C3195,Магазин!$A$2:$C$1000,2,0)</f>
        <v/>
      </c>
      <c r="I3195">
        <f>VLOOKUP(D3195,Товар!$A$2:$F$1000,3,0)</f>
        <v/>
      </c>
      <c r="J3195">
        <f>VLOOKUP(D3195,Товар!$A$2:$F$1000,5,0)</f>
        <v/>
      </c>
      <c r="K3195">
        <f>IF(AND(H3195="Промышленный",LEFT(I3195,18)="Порошок стиральный",F3195="Продажа",B3195=DATE(2023,6,7)),E3195*J3195/1000,0)</f>
        <v/>
      </c>
    </row>
    <row r="3196">
      <c r="A3196" t="n">
        <v>3195</v>
      </c>
      <c r="B3196" s="1" t="n">
        <v>45086</v>
      </c>
      <c r="C3196" s="5" t="inlineStr">
        <is>
          <t>M14</t>
        </is>
      </c>
      <c r="D3196" s="5" t="n">
        <v>39</v>
      </c>
      <c r="E3196" s="5" t="n">
        <v>200</v>
      </c>
      <c r="F3196" t="inlineStr">
        <is>
          <t>Поступление</t>
        </is>
      </c>
      <c r="H3196">
        <f>VLOOKUP(C3196,Магазин!$A$2:$C$1000,2,0)</f>
        <v/>
      </c>
      <c r="I3196">
        <f>VLOOKUP(D3196,Товар!$A$2:$F$1000,3,0)</f>
        <v/>
      </c>
      <c r="J3196">
        <f>VLOOKUP(D3196,Товар!$A$2:$F$1000,5,0)</f>
        <v/>
      </c>
      <c r="K3196">
        <f>IF(AND(H3196="Промышленный",LEFT(I3196,18)="Порошок стиральный",F3196="Продажа",B3196=DATE(2023,6,7)),E3196*J3196/1000,0)</f>
        <v/>
      </c>
    </row>
    <row r="3197">
      <c r="A3197" t="n">
        <v>3196</v>
      </c>
      <c r="B3197" s="1" t="n">
        <v>45086</v>
      </c>
      <c r="C3197" s="5" t="inlineStr">
        <is>
          <t>M14</t>
        </is>
      </c>
      <c r="D3197" s="5" t="n">
        <v>40</v>
      </c>
      <c r="E3197" s="5" t="n">
        <v>200</v>
      </c>
      <c r="F3197" t="inlineStr">
        <is>
          <t>Поступление</t>
        </is>
      </c>
      <c r="H3197">
        <f>VLOOKUP(C3197,Магазин!$A$2:$C$1000,2,0)</f>
        <v/>
      </c>
      <c r="I3197">
        <f>VLOOKUP(D3197,Товар!$A$2:$F$1000,3,0)</f>
        <v/>
      </c>
      <c r="J3197">
        <f>VLOOKUP(D3197,Товар!$A$2:$F$1000,5,0)</f>
        <v/>
      </c>
      <c r="K3197">
        <f>IF(AND(H3197="Промышленный",LEFT(I3197,18)="Порошок стиральный",F3197="Продажа",B3197=DATE(2023,6,7)),E3197*J3197/1000,0)</f>
        <v/>
      </c>
    </row>
    <row r="3198">
      <c r="A3198" t="n">
        <v>3197</v>
      </c>
      <c r="B3198" s="1" t="n">
        <v>45086</v>
      </c>
      <c r="C3198" s="5" t="inlineStr">
        <is>
          <t>M14</t>
        </is>
      </c>
      <c r="D3198" s="5" t="n">
        <v>41</v>
      </c>
      <c r="E3198" s="5" t="n">
        <v>200</v>
      </c>
      <c r="F3198" t="inlineStr">
        <is>
          <t>Поступление</t>
        </is>
      </c>
      <c r="H3198">
        <f>VLOOKUP(C3198,Магазин!$A$2:$C$1000,2,0)</f>
        <v/>
      </c>
      <c r="I3198">
        <f>VLOOKUP(D3198,Товар!$A$2:$F$1000,3,0)</f>
        <v/>
      </c>
      <c r="J3198">
        <f>VLOOKUP(D3198,Товар!$A$2:$F$1000,5,0)</f>
        <v/>
      </c>
      <c r="K3198">
        <f>IF(AND(H3198="Промышленный",LEFT(I3198,18)="Порошок стиральный",F3198="Продажа",B3198=DATE(2023,6,7)),E3198*J3198/1000,0)</f>
        <v/>
      </c>
    </row>
    <row r="3199">
      <c r="A3199" t="n">
        <v>3198</v>
      </c>
      <c r="B3199" s="1" t="n">
        <v>45086</v>
      </c>
      <c r="C3199" s="5" t="inlineStr">
        <is>
          <t>M14</t>
        </is>
      </c>
      <c r="D3199" s="5" t="n">
        <v>42</v>
      </c>
      <c r="E3199" s="5" t="n">
        <v>200</v>
      </c>
      <c r="F3199" t="inlineStr">
        <is>
          <t>Поступление</t>
        </is>
      </c>
      <c r="H3199">
        <f>VLOOKUP(C3199,Магазин!$A$2:$C$1000,2,0)</f>
        <v/>
      </c>
      <c r="I3199">
        <f>VLOOKUP(D3199,Товар!$A$2:$F$1000,3,0)</f>
        <v/>
      </c>
      <c r="J3199">
        <f>VLOOKUP(D3199,Товар!$A$2:$F$1000,5,0)</f>
        <v/>
      </c>
      <c r="K3199">
        <f>IF(AND(H3199="Промышленный",LEFT(I3199,18)="Порошок стиральный",F3199="Продажа",B3199=DATE(2023,6,7)),E3199*J3199/1000,0)</f>
        <v/>
      </c>
    </row>
    <row r="3200">
      <c r="A3200" t="n">
        <v>3199</v>
      </c>
      <c r="B3200" s="1" t="n">
        <v>45086</v>
      </c>
      <c r="C3200" s="5" t="inlineStr">
        <is>
          <t>M14</t>
        </is>
      </c>
      <c r="D3200" s="5" t="n">
        <v>43</v>
      </c>
      <c r="E3200" s="5" t="n">
        <v>200</v>
      </c>
      <c r="F3200" t="inlineStr">
        <is>
          <t>Поступление</t>
        </is>
      </c>
      <c r="H3200">
        <f>VLOOKUP(C3200,Магазин!$A$2:$C$1000,2,0)</f>
        <v/>
      </c>
      <c r="I3200">
        <f>VLOOKUP(D3200,Товар!$A$2:$F$1000,3,0)</f>
        <v/>
      </c>
      <c r="J3200">
        <f>VLOOKUP(D3200,Товар!$A$2:$F$1000,5,0)</f>
        <v/>
      </c>
      <c r="K3200">
        <f>IF(AND(H3200="Промышленный",LEFT(I3200,18)="Порошок стиральный",F3200="Продажа",B3200=DATE(2023,6,7)),E3200*J3200/1000,0)</f>
        <v/>
      </c>
    </row>
    <row r="3201">
      <c r="A3201" t="n">
        <v>3200</v>
      </c>
      <c r="B3201" s="1" t="n">
        <v>45086</v>
      </c>
      <c r="C3201" s="5" t="inlineStr">
        <is>
          <t>M14</t>
        </is>
      </c>
      <c r="D3201" s="5" t="n">
        <v>44</v>
      </c>
      <c r="E3201" s="5" t="n">
        <v>200</v>
      </c>
      <c r="F3201" t="inlineStr">
        <is>
          <t>Поступление</t>
        </is>
      </c>
      <c r="H3201">
        <f>VLOOKUP(C3201,Магазин!$A$2:$C$1000,2,0)</f>
        <v/>
      </c>
      <c r="I3201">
        <f>VLOOKUP(D3201,Товар!$A$2:$F$1000,3,0)</f>
        <v/>
      </c>
      <c r="J3201">
        <f>VLOOKUP(D3201,Товар!$A$2:$F$1000,5,0)</f>
        <v/>
      </c>
      <c r="K3201">
        <f>IF(AND(H3201="Промышленный",LEFT(I3201,18)="Порошок стиральный",F3201="Продажа",B3201=DATE(2023,6,7)),E3201*J3201/1000,0)</f>
        <v/>
      </c>
    </row>
    <row r="3202">
      <c r="A3202" t="n">
        <v>3201</v>
      </c>
      <c r="B3202" s="1" t="n">
        <v>45086</v>
      </c>
      <c r="C3202" s="5" t="inlineStr">
        <is>
          <t>M14</t>
        </is>
      </c>
      <c r="D3202" s="5" t="n">
        <v>45</v>
      </c>
      <c r="E3202" s="5" t="n">
        <v>200</v>
      </c>
      <c r="F3202" t="inlineStr">
        <is>
          <t>Поступление</t>
        </is>
      </c>
      <c r="H3202">
        <f>VLOOKUP(C3202,Магазин!$A$2:$C$1000,2,0)</f>
        <v/>
      </c>
      <c r="I3202">
        <f>VLOOKUP(D3202,Товар!$A$2:$F$1000,3,0)</f>
        <v/>
      </c>
      <c r="J3202">
        <f>VLOOKUP(D3202,Товар!$A$2:$F$1000,5,0)</f>
        <v/>
      </c>
      <c r="K3202">
        <f>IF(AND(H3202="Промышленный",LEFT(I3202,18)="Порошок стиральный",F3202="Продажа",B3202=DATE(2023,6,7)),E3202*J3202/1000,0)</f>
        <v/>
      </c>
    </row>
    <row r="3203">
      <c r="A3203" t="n">
        <v>3202</v>
      </c>
      <c r="B3203" s="1" t="n">
        <v>45086</v>
      </c>
      <c r="C3203" s="5" t="inlineStr">
        <is>
          <t>M14</t>
        </is>
      </c>
      <c r="D3203" s="5" t="n">
        <v>46</v>
      </c>
      <c r="E3203" s="5" t="n">
        <v>200</v>
      </c>
      <c r="F3203" t="inlineStr">
        <is>
          <t>Поступление</t>
        </is>
      </c>
      <c r="H3203">
        <f>VLOOKUP(C3203,Магазин!$A$2:$C$1000,2,0)</f>
        <v/>
      </c>
      <c r="I3203">
        <f>VLOOKUP(D3203,Товар!$A$2:$F$1000,3,0)</f>
        <v/>
      </c>
      <c r="J3203">
        <f>VLOOKUP(D3203,Товар!$A$2:$F$1000,5,0)</f>
        <v/>
      </c>
      <c r="K3203">
        <f>IF(AND(H3203="Промышленный",LEFT(I3203,18)="Порошок стиральный",F3203="Продажа",B3203=DATE(2023,6,7)),E3203*J3203/1000,0)</f>
        <v/>
      </c>
    </row>
    <row r="3204">
      <c r="A3204" t="n">
        <v>3203</v>
      </c>
      <c r="B3204" s="1" t="n">
        <v>45086</v>
      </c>
      <c r="C3204" s="5" t="inlineStr">
        <is>
          <t>M14</t>
        </is>
      </c>
      <c r="D3204" s="5" t="n">
        <v>47</v>
      </c>
      <c r="E3204" s="5" t="n">
        <v>200</v>
      </c>
      <c r="F3204" t="inlineStr">
        <is>
          <t>Поступление</t>
        </is>
      </c>
      <c r="H3204">
        <f>VLOOKUP(C3204,Магазин!$A$2:$C$1000,2,0)</f>
        <v/>
      </c>
      <c r="I3204">
        <f>VLOOKUP(D3204,Товар!$A$2:$F$1000,3,0)</f>
        <v/>
      </c>
      <c r="J3204">
        <f>VLOOKUP(D3204,Товар!$A$2:$F$1000,5,0)</f>
        <v/>
      </c>
      <c r="K3204">
        <f>IF(AND(H3204="Промышленный",LEFT(I3204,18)="Порошок стиральный",F3204="Продажа",B3204=DATE(2023,6,7)),E3204*J3204/1000,0)</f>
        <v/>
      </c>
    </row>
    <row r="3205">
      <c r="A3205" t="n">
        <v>3204</v>
      </c>
      <c r="B3205" s="1" t="n">
        <v>45086</v>
      </c>
      <c r="C3205" s="5" t="inlineStr">
        <is>
          <t>M14</t>
        </is>
      </c>
      <c r="D3205" s="5" t="n">
        <v>48</v>
      </c>
      <c r="E3205" s="5" t="n">
        <v>200</v>
      </c>
      <c r="F3205" t="inlineStr">
        <is>
          <t>Поступление</t>
        </is>
      </c>
      <c r="H3205">
        <f>VLOOKUP(C3205,Магазин!$A$2:$C$1000,2,0)</f>
        <v/>
      </c>
      <c r="I3205">
        <f>VLOOKUP(D3205,Товар!$A$2:$F$1000,3,0)</f>
        <v/>
      </c>
      <c r="J3205">
        <f>VLOOKUP(D3205,Товар!$A$2:$F$1000,5,0)</f>
        <v/>
      </c>
      <c r="K3205">
        <f>IF(AND(H3205="Промышленный",LEFT(I3205,18)="Порошок стиральный",F3205="Продажа",B3205=DATE(2023,6,7)),E3205*J3205/1000,0)</f>
        <v/>
      </c>
    </row>
    <row r="3206">
      <c r="A3206" t="n">
        <v>3205</v>
      </c>
      <c r="B3206" s="1" t="n">
        <v>45086</v>
      </c>
      <c r="C3206" s="5" t="inlineStr">
        <is>
          <t>M14</t>
        </is>
      </c>
      <c r="D3206" s="5" t="n">
        <v>49</v>
      </c>
      <c r="E3206" s="5" t="n">
        <v>200</v>
      </c>
      <c r="F3206" t="inlineStr">
        <is>
          <t>Поступление</t>
        </is>
      </c>
      <c r="H3206">
        <f>VLOOKUP(C3206,Магазин!$A$2:$C$1000,2,0)</f>
        <v/>
      </c>
      <c r="I3206">
        <f>VLOOKUP(D3206,Товар!$A$2:$F$1000,3,0)</f>
        <v/>
      </c>
      <c r="J3206">
        <f>VLOOKUP(D3206,Товар!$A$2:$F$1000,5,0)</f>
        <v/>
      </c>
      <c r="K3206">
        <f>IF(AND(H3206="Промышленный",LEFT(I3206,18)="Порошок стиральный",F3206="Продажа",B3206=DATE(2023,6,7)),E3206*J3206/1000,0)</f>
        <v/>
      </c>
    </row>
    <row r="3207">
      <c r="A3207" t="n">
        <v>3206</v>
      </c>
      <c r="B3207" s="1" t="n">
        <v>45086</v>
      </c>
      <c r="C3207" s="5" t="inlineStr">
        <is>
          <t>M14</t>
        </is>
      </c>
      <c r="D3207" s="5" t="n">
        <v>50</v>
      </c>
      <c r="E3207" s="5" t="n">
        <v>200</v>
      </c>
      <c r="F3207" t="inlineStr">
        <is>
          <t>Поступление</t>
        </is>
      </c>
      <c r="H3207">
        <f>VLOOKUP(C3207,Магазин!$A$2:$C$1000,2,0)</f>
        <v/>
      </c>
      <c r="I3207">
        <f>VLOOKUP(D3207,Товар!$A$2:$F$1000,3,0)</f>
        <v/>
      </c>
      <c r="J3207">
        <f>VLOOKUP(D3207,Товар!$A$2:$F$1000,5,0)</f>
        <v/>
      </c>
      <c r="K3207">
        <f>IF(AND(H3207="Промышленный",LEFT(I3207,18)="Порошок стиральный",F3207="Продажа",B3207=DATE(2023,6,7)),E3207*J3207/1000,0)</f>
        <v/>
      </c>
    </row>
    <row r="3208">
      <c r="A3208" t="n">
        <v>3207</v>
      </c>
      <c r="B3208" s="1" t="n">
        <v>45086</v>
      </c>
      <c r="C3208" s="5" t="inlineStr">
        <is>
          <t>M14</t>
        </is>
      </c>
      <c r="D3208" s="5" t="n">
        <v>51</v>
      </c>
      <c r="E3208" s="5" t="n">
        <v>200</v>
      </c>
      <c r="F3208" t="inlineStr">
        <is>
          <t>Поступление</t>
        </is>
      </c>
      <c r="H3208">
        <f>VLOOKUP(C3208,Магазин!$A$2:$C$1000,2,0)</f>
        <v/>
      </c>
      <c r="I3208">
        <f>VLOOKUP(D3208,Товар!$A$2:$F$1000,3,0)</f>
        <v/>
      </c>
      <c r="J3208">
        <f>VLOOKUP(D3208,Товар!$A$2:$F$1000,5,0)</f>
        <v/>
      </c>
      <c r="K3208">
        <f>IF(AND(H3208="Промышленный",LEFT(I3208,18)="Порошок стиральный",F3208="Продажа",B3208=DATE(2023,6,7)),E3208*J3208/1000,0)</f>
        <v/>
      </c>
    </row>
    <row r="3209">
      <c r="A3209" t="n">
        <v>3208</v>
      </c>
      <c r="B3209" s="1" t="n">
        <v>45086</v>
      </c>
      <c r="C3209" s="5" t="inlineStr">
        <is>
          <t>M14</t>
        </is>
      </c>
      <c r="D3209" s="5" t="n">
        <v>52</v>
      </c>
      <c r="E3209" s="5" t="n">
        <v>200</v>
      </c>
      <c r="F3209" t="inlineStr">
        <is>
          <t>Поступление</t>
        </is>
      </c>
      <c r="H3209">
        <f>VLOOKUP(C3209,Магазин!$A$2:$C$1000,2,0)</f>
        <v/>
      </c>
      <c r="I3209">
        <f>VLOOKUP(D3209,Товар!$A$2:$F$1000,3,0)</f>
        <v/>
      </c>
      <c r="J3209">
        <f>VLOOKUP(D3209,Товар!$A$2:$F$1000,5,0)</f>
        <v/>
      </c>
      <c r="K3209">
        <f>IF(AND(H3209="Промышленный",LEFT(I3209,18)="Порошок стиральный",F3209="Продажа",B3209=DATE(2023,6,7)),E3209*J3209/1000,0)</f>
        <v/>
      </c>
    </row>
    <row r="3210">
      <c r="A3210" t="n">
        <v>3209</v>
      </c>
      <c r="B3210" s="1" t="n">
        <v>45086</v>
      </c>
      <c r="C3210" s="5" t="inlineStr">
        <is>
          <t>M14</t>
        </is>
      </c>
      <c r="D3210" s="5" t="n">
        <v>53</v>
      </c>
      <c r="E3210" s="5" t="n">
        <v>200</v>
      </c>
      <c r="F3210" t="inlineStr">
        <is>
          <t>Поступление</t>
        </is>
      </c>
      <c r="H3210">
        <f>VLOOKUP(C3210,Магазин!$A$2:$C$1000,2,0)</f>
        <v/>
      </c>
      <c r="I3210">
        <f>VLOOKUP(D3210,Товар!$A$2:$F$1000,3,0)</f>
        <v/>
      </c>
      <c r="J3210">
        <f>VLOOKUP(D3210,Товар!$A$2:$F$1000,5,0)</f>
        <v/>
      </c>
      <c r="K3210">
        <f>IF(AND(H3210="Промышленный",LEFT(I3210,18)="Порошок стиральный",F3210="Продажа",B3210=DATE(2023,6,7)),E3210*J3210/1000,0)</f>
        <v/>
      </c>
    </row>
    <row r="3211">
      <c r="A3211" t="n">
        <v>3210</v>
      </c>
      <c r="B3211" s="1" t="n">
        <v>45086</v>
      </c>
      <c r="C3211" s="5" t="inlineStr">
        <is>
          <t>M14</t>
        </is>
      </c>
      <c r="D3211" s="5" t="n">
        <v>54</v>
      </c>
      <c r="E3211" s="5" t="n">
        <v>200</v>
      </c>
      <c r="F3211" t="inlineStr">
        <is>
          <t>Поступление</t>
        </is>
      </c>
      <c r="H3211">
        <f>VLOOKUP(C3211,Магазин!$A$2:$C$1000,2,0)</f>
        <v/>
      </c>
      <c r="I3211">
        <f>VLOOKUP(D3211,Товар!$A$2:$F$1000,3,0)</f>
        <v/>
      </c>
      <c r="J3211">
        <f>VLOOKUP(D3211,Товар!$A$2:$F$1000,5,0)</f>
        <v/>
      </c>
      <c r="K3211">
        <f>IF(AND(H3211="Промышленный",LEFT(I3211,18)="Порошок стиральный",F3211="Продажа",B3211=DATE(2023,6,7)),E3211*J3211/1000,0)</f>
        <v/>
      </c>
    </row>
    <row r="3212">
      <c r="A3212" t="n">
        <v>3211</v>
      </c>
      <c r="B3212" s="1" t="n">
        <v>45086</v>
      </c>
      <c r="C3212" s="5" t="inlineStr">
        <is>
          <t>M14</t>
        </is>
      </c>
      <c r="D3212" s="5" t="n">
        <v>55</v>
      </c>
      <c r="E3212" s="5" t="n">
        <v>200</v>
      </c>
      <c r="F3212" t="inlineStr">
        <is>
          <t>Поступление</t>
        </is>
      </c>
      <c r="H3212">
        <f>VLOOKUP(C3212,Магазин!$A$2:$C$1000,2,0)</f>
        <v/>
      </c>
      <c r="I3212">
        <f>VLOOKUP(D3212,Товар!$A$2:$F$1000,3,0)</f>
        <v/>
      </c>
      <c r="J3212">
        <f>VLOOKUP(D3212,Товар!$A$2:$F$1000,5,0)</f>
        <v/>
      </c>
      <c r="K3212">
        <f>IF(AND(H3212="Промышленный",LEFT(I3212,18)="Порошок стиральный",F3212="Продажа",B3212=DATE(2023,6,7)),E3212*J3212/1000,0)</f>
        <v/>
      </c>
    </row>
    <row r="3213">
      <c r="A3213" t="n">
        <v>3212</v>
      </c>
      <c r="B3213" s="1" t="n">
        <v>45086</v>
      </c>
      <c r="C3213" s="5" t="inlineStr">
        <is>
          <t>M14</t>
        </is>
      </c>
      <c r="D3213" s="5" t="n">
        <v>56</v>
      </c>
      <c r="E3213" s="5" t="n">
        <v>200</v>
      </c>
      <c r="F3213" t="inlineStr">
        <is>
          <t>Поступление</t>
        </is>
      </c>
      <c r="H3213">
        <f>VLOOKUP(C3213,Магазин!$A$2:$C$1000,2,0)</f>
        <v/>
      </c>
      <c r="I3213">
        <f>VLOOKUP(D3213,Товар!$A$2:$F$1000,3,0)</f>
        <v/>
      </c>
      <c r="J3213">
        <f>VLOOKUP(D3213,Товар!$A$2:$F$1000,5,0)</f>
        <v/>
      </c>
      <c r="K3213">
        <f>IF(AND(H3213="Промышленный",LEFT(I3213,18)="Порошок стиральный",F3213="Продажа",B3213=DATE(2023,6,7)),E3213*J3213/1000,0)</f>
        <v/>
      </c>
    </row>
    <row r="3214">
      <c r="A3214" t="n">
        <v>3213</v>
      </c>
      <c r="B3214" s="1" t="n">
        <v>45086</v>
      </c>
      <c r="C3214" s="5" t="inlineStr">
        <is>
          <t>M14</t>
        </is>
      </c>
      <c r="D3214" s="5" t="n">
        <v>57</v>
      </c>
      <c r="E3214" s="5" t="n">
        <v>200</v>
      </c>
      <c r="F3214" t="inlineStr">
        <is>
          <t>Поступление</t>
        </is>
      </c>
      <c r="H3214">
        <f>VLOOKUP(C3214,Магазин!$A$2:$C$1000,2,0)</f>
        <v/>
      </c>
      <c r="I3214">
        <f>VLOOKUP(D3214,Товар!$A$2:$F$1000,3,0)</f>
        <v/>
      </c>
      <c r="J3214">
        <f>VLOOKUP(D3214,Товар!$A$2:$F$1000,5,0)</f>
        <v/>
      </c>
      <c r="K3214">
        <f>IF(AND(H3214="Промышленный",LEFT(I3214,18)="Порошок стиральный",F3214="Продажа",B3214=DATE(2023,6,7)),E3214*J3214/1000,0)</f>
        <v/>
      </c>
    </row>
    <row r="3215">
      <c r="A3215" t="n">
        <v>3214</v>
      </c>
      <c r="B3215" s="1" t="n">
        <v>45086</v>
      </c>
      <c r="C3215" s="5" t="inlineStr">
        <is>
          <t>M14</t>
        </is>
      </c>
      <c r="D3215" s="5" t="n">
        <v>58</v>
      </c>
      <c r="E3215" s="5" t="n">
        <v>200</v>
      </c>
      <c r="F3215" t="inlineStr">
        <is>
          <t>Поступление</t>
        </is>
      </c>
      <c r="H3215">
        <f>VLOOKUP(C3215,Магазин!$A$2:$C$1000,2,0)</f>
        <v/>
      </c>
      <c r="I3215">
        <f>VLOOKUP(D3215,Товар!$A$2:$F$1000,3,0)</f>
        <v/>
      </c>
      <c r="J3215">
        <f>VLOOKUP(D3215,Товар!$A$2:$F$1000,5,0)</f>
        <v/>
      </c>
      <c r="K3215">
        <f>IF(AND(H3215="Промышленный",LEFT(I3215,18)="Порошок стиральный",F3215="Продажа",B3215=DATE(2023,6,7)),E3215*J3215/1000,0)</f>
        <v/>
      </c>
    </row>
    <row r="3216">
      <c r="A3216" t="n">
        <v>3215</v>
      </c>
      <c r="B3216" s="1" t="n">
        <v>45086</v>
      </c>
      <c r="C3216" s="5" t="inlineStr">
        <is>
          <t>M14</t>
        </is>
      </c>
      <c r="D3216" s="5" t="n">
        <v>59</v>
      </c>
      <c r="E3216" s="5" t="n">
        <v>200</v>
      </c>
      <c r="F3216" t="inlineStr">
        <is>
          <t>Поступление</t>
        </is>
      </c>
      <c r="H3216">
        <f>VLOOKUP(C3216,Магазин!$A$2:$C$1000,2,0)</f>
        <v/>
      </c>
      <c r="I3216">
        <f>VLOOKUP(D3216,Товар!$A$2:$F$1000,3,0)</f>
        <v/>
      </c>
      <c r="J3216">
        <f>VLOOKUP(D3216,Товар!$A$2:$F$1000,5,0)</f>
        <v/>
      </c>
      <c r="K3216">
        <f>IF(AND(H3216="Промышленный",LEFT(I3216,18)="Порошок стиральный",F3216="Продажа",B3216=DATE(2023,6,7)),E3216*J3216/1000,0)</f>
        <v/>
      </c>
    </row>
    <row r="3217">
      <c r="A3217" t="n">
        <v>3216</v>
      </c>
      <c r="B3217" s="1" t="n">
        <v>45086</v>
      </c>
      <c r="C3217" s="5" t="inlineStr">
        <is>
          <t>M14</t>
        </is>
      </c>
      <c r="D3217" s="5" t="n">
        <v>60</v>
      </c>
      <c r="E3217" s="5" t="n">
        <v>200</v>
      </c>
      <c r="F3217" t="inlineStr">
        <is>
          <t>Поступление</t>
        </is>
      </c>
      <c r="H3217">
        <f>VLOOKUP(C3217,Магазин!$A$2:$C$1000,2,0)</f>
        <v/>
      </c>
      <c r="I3217">
        <f>VLOOKUP(D3217,Товар!$A$2:$F$1000,3,0)</f>
        <v/>
      </c>
      <c r="J3217">
        <f>VLOOKUP(D3217,Товар!$A$2:$F$1000,5,0)</f>
        <v/>
      </c>
      <c r="K3217">
        <f>IF(AND(H3217="Промышленный",LEFT(I3217,18)="Порошок стиральный",F3217="Продажа",B3217=DATE(2023,6,7)),E3217*J3217/1000,0)</f>
        <v/>
      </c>
    </row>
    <row r="3218">
      <c r="A3218" t="n">
        <v>3217</v>
      </c>
      <c r="B3218" s="1" t="n">
        <v>45086</v>
      </c>
      <c r="C3218" s="5" t="inlineStr">
        <is>
          <t>M17</t>
        </is>
      </c>
      <c r="D3218" s="5" t="n">
        <v>37</v>
      </c>
      <c r="E3218" s="5" t="n">
        <v>200</v>
      </c>
      <c r="F3218" t="inlineStr">
        <is>
          <t>Поступление</t>
        </is>
      </c>
      <c r="H3218">
        <f>VLOOKUP(C3218,Магазин!$A$2:$C$1000,2,0)</f>
        <v/>
      </c>
      <c r="I3218">
        <f>VLOOKUP(D3218,Товар!$A$2:$F$1000,3,0)</f>
        <v/>
      </c>
      <c r="J3218">
        <f>VLOOKUP(D3218,Товар!$A$2:$F$1000,5,0)</f>
        <v/>
      </c>
      <c r="K3218">
        <f>IF(AND(H3218="Промышленный",LEFT(I3218,18)="Порошок стиральный",F3218="Продажа",B3218=DATE(2023,6,7)),E3218*J3218/1000,0)</f>
        <v/>
      </c>
    </row>
    <row r="3219">
      <c r="A3219" t="n">
        <v>3218</v>
      </c>
      <c r="B3219" s="1" t="n">
        <v>45086</v>
      </c>
      <c r="C3219" s="5" t="inlineStr">
        <is>
          <t>M17</t>
        </is>
      </c>
      <c r="D3219" s="5" t="n">
        <v>38</v>
      </c>
      <c r="E3219" s="5" t="n">
        <v>200</v>
      </c>
      <c r="F3219" t="inlineStr">
        <is>
          <t>Поступление</t>
        </is>
      </c>
      <c r="H3219">
        <f>VLOOKUP(C3219,Магазин!$A$2:$C$1000,2,0)</f>
        <v/>
      </c>
      <c r="I3219">
        <f>VLOOKUP(D3219,Товар!$A$2:$F$1000,3,0)</f>
        <v/>
      </c>
      <c r="J3219">
        <f>VLOOKUP(D3219,Товар!$A$2:$F$1000,5,0)</f>
        <v/>
      </c>
      <c r="K3219">
        <f>IF(AND(H3219="Промышленный",LEFT(I3219,18)="Порошок стиральный",F3219="Продажа",B3219=DATE(2023,6,7)),E3219*J3219/1000,0)</f>
        <v/>
      </c>
    </row>
    <row r="3220">
      <c r="A3220" t="n">
        <v>3219</v>
      </c>
      <c r="B3220" s="1" t="n">
        <v>45086</v>
      </c>
      <c r="C3220" s="5" t="inlineStr">
        <is>
          <t>M17</t>
        </is>
      </c>
      <c r="D3220" s="5" t="n">
        <v>39</v>
      </c>
      <c r="E3220" s="5" t="n">
        <v>200</v>
      </c>
      <c r="F3220" t="inlineStr">
        <is>
          <t>Поступление</t>
        </is>
      </c>
      <c r="H3220">
        <f>VLOOKUP(C3220,Магазин!$A$2:$C$1000,2,0)</f>
        <v/>
      </c>
      <c r="I3220">
        <f>VLOOKUP(D3220,Товар!$A$2:$F$1000,3,0)</f>
        <v/>
      </c>
      <c r="J3220">
        <f>VLOOKUP(D3220,Товар!$A$2:$F$1000,5,0)</f>
        <v/>
      </c>
      <c r="K3220">
        <f>IF(AND(H3220="Промышленный",LEFT(I3220,18)="Порошок стиральный",F3220="Продажа",B3220=DATE(2023,6,7)),E3220*J3220/1000,0)</f>
        <v/>
      </c>
    </row>
    <row r="3221">
      <c r="A3221" t="n">
        <v>3220</v>
      </c>
      <c r="B3221" s="1" t="n">
        <v>45086</v>
      </c>
      <c r="C3221" s="5" t="inlineStr">
        <is>
          <t>M17</t>
        </is>
      </c>
      <c r="D3221" s="5" t="n">
        <v>40</v>
      </c>
      <c r="E3221" s="5" t="n">
        <v>200</v>
      </c>
      <c r="F3221" t="inlineStr">
        <is>
          <t>Поступление</t>
        </is>
      </c>
      <c r="H3221">
        <f>VLOOKUP(C3221,Магазин!$A$2:$C$1000,2,0)</f>
        <v/>
      </c>
      <c r="I3221">
        <f>VLOOKUP(D3221,Товар!$A$2:$F$1000,3,0)</f>
        <v/>
      </c>
      <c r="J3221">
        <f>VLOOKUP(D3221,Товар!$A$2:$F$1000,5,0)</f>
        <v/>
      </c>
      <c r="K3221">
        <f>IF(AND(H3221="Промышленный",LEFT(I3221,18)="Порошок стиральный",F3221="Продажа",B3221=DATE(2023,6,7)),E3221*J3221/1000,0)</f>
        <v/>
      </c>
    </row>
    <row r="3222">
      <c r="A3222" t="n">
        <v>3221</v>
      </c>
      <c r="B3222" s="1" t="n">
        <v>45086</v>
      </c>
      <c r="C3222" s="5" t="inlineStr">
        <is>
          <t>M17</t>
        </is>
      </c>
      <c r="D3222" s="5" t="n">
        <v>41</v>
      </c>
      <c r="E3222" s="5" t="n">
        <v>200</v>
      </c>
      <c r="F3222" t="inlineStr">
        <is>
          <t>Поступление</t>
        </is>
      </c>
      <c r="H3222">
        <f>VLOOKUP(C3222,Магазин!$A$2:$C$1000,2,0)</f>
        <v/>
      </c>
      <c r="I3222">
        <f>VLOOKUP(D3222,Товар!$A$2:$F$1000,3,0)</f>
        <v/>
      </c>
      <c r="J3222">
        <f>VLOOKUP(D3222,Товар!$A$2:$F$1000,5,0)</f>
        <v/>
      </c>
      <c r="K3222">
        <f>IF(AND(H3222="Промышленный",LEFT(I3222,18)="Порошок стиральный",F3222="Продажа",B3222=DATE(2023,6,7)),E3222*J3222/1000,0)</f>
        <v/>
      </c>
    </row>
    <row r="3223">
      <c r="A3223" t="n">
        <v>3222</v>
      </c>
      <c r="B3223" s="1" t="n">
        <v>45086</v>
      </c>
      <c r="C3223" s="5" t="inlineStr">
        <is>
          <t>M17</t>
        </is>
      </c>
      <c r="D3223" s="5" t="n">
        <v>42</v>
      </c>
      <c r="E3223" s="5" t="n">
        <v>200</v>
      </c>
      <c r="F3223" t="inlineStr">
        <is>
          <t>Поступление</t>
        </is>
      </c>
      <c r="H3223">
        <f>VLOOKUP(C3223,Магазин!$A$2:$C$1000,2,0)</f>
        <v/>
      </c>
      <c r="I3223">
        <f>VLOOKUP(D3223,Товар!$A$2:$F$1000,3,0)</f>
        <v/>
      </c>
      <c r="J3223">
        <f>VLOOKUP(D3223,Товар!$A$2:$F$1000,5,0)</f>
        <v/>
      </c>
      <c r="K3223">
        <f>IF(AND(H3223="Промышленный",LEFT(I3223,18)="Порошок стиральный",F3223="Продажа",B3223=DATE(2023,6,7)),E3223*J3223/1000,0)</f>
        <v/>
      </c>
    </row>
    <row r="3224">
      <c r="A3224" t="n">
        <v>3223</v>
      </c>
      <c r="B3224" s="1" t="n">
        <v>45086</v>
      </c>
      <c r="C3224" s="5" t="inlineStr">
        <is>
          <t>M17</t>
        </is>
      </c>
      <c r="D3224" s="5" t="n">
        <v>43</v>
      </c>
      <c r="E3224" s="5" t="n">
        <v>200</v>
      </c>
      <c r="F3224" t="inlineStr">
        <is>
          <t>Поступление</t>
        </is>
      </c>
      <c r="H3224">
        <f>VLOOKUP(C3224,Магазин!$A$2:$C$1000,2,0)</f>
        <v/>
      </c>
      <c r="I3224">
        <f>VLOOKUP(D3224,Товар!$A$2:$F$1000,3,0)</f>
        <v/>
      </c>
      <c r="J3224">
        <f>VLOOKUP(D3224,Товар!$A$2:$F$1000,5,0)</f>
        <v/>
      </c>
      <c r="K3224">
        <f>IF(AND(H3224="Промышленный",LEFT(I3224,18)="Порошок стиральный",F3224="Продажа",B3224=DATE(2023,6,7)),E3224*J3224/1000,0)</f>
        <v/>
      </c>
    </row>
    <row r="3225">
      <c r="A3225" t="n">
        <v>3224</v>
      </c>
      <c r="B3225" s="1" t="n">
        <v>45086</v>
      </c>
      <c r="C3225" s="5" t="inlineStr">
        <is>
          <t>M17</t>
        </is>
      </c>
      <c r="D3225" s="5" t="n">
        <v>44</v>
      </c>
      <c r="E3225" s="5" t="n">
        <v>200</v>
      </c>
      <c r="F3225" t="inlineStr">
        <is>
          <t>Поступление</t>
        </is>
      </c>
      <c r="H3225">
        <f>VLOOKUP(C3225,Магазин!$A$2:$C$1000,2,0)</f>
        <v/>
      </c>
      <c r="I3225">
        <f>VLOOKUP(D3225,Товар!$A$2:$F$1000,3,0)</f>
        <v/>
      </c>
      <c r="J3225">
        <f>VLOOKUP(D3225,Товар!$A$2:$F$1000,5,0)</f>
        <v/>
      </c>
      <c r="K3225">
        <f>IF(AND(H3225="Промышленный",LEFT(I3225,18)="Порошок стиральный",F3225="Продажа",B3225=DATE(2023,6,7)),E3225*J3225/1000,0)</f>
        <v/>
      </c>
    </row>
    <row r="3226">
      <c r="A3226" t="n">
        <v>3225</v>
      </c>
      <c r="B3226" s="1" t="n">
        <v>45086</v>
      </c>
      <c r="C3226" s="5" t="inlineStr">
        <is>
          <t>M17</t>
        </is>
      </c>
      <c r="D3226" s="5" t="n">
        <v>45</v>
      </c>
      <c r="E3226" s="5" t="n">
        <v>200</v>
      </c>
      <c r="F3226" t="inlineStr">
        <is>
          <t>Поступление</t>
        </is>
      </c>
      <c r="H3226">
        <f>VLOOKUP(C3226,Магазин!$A$2:$C$1000,2,0)</f>
        <v/>
      </c>
      <c r="I3226">
        <f>VLOOKUP(D3226,Товар!$A$2:$F$1000,3,0)</f>
        <v/>
      </c>
      <c r="J3226">
        <f>VLOOKUP(D3226,Товар!$A$2:$F$1000,5,0)</f>
        <v/>
      </c>
      <c r="K3226">
        <f>IF(AND(H3226="Промышленный",LEFT(I3226,18)="Порошок стиральный",F3226="Продажа",B3226=DATE(2023,6,7)),E3226*J3226/1000,0)</f>
        <v/>
      </c>
    </row>
    <row r="3227">
      <c r="A3227" t="n">
        <v>3226</v>
      </c>
      <c r="B3227" s="1" t="n">
        <v>45086</v>
      </c>
      <c r="C3227" s="5" t="inlineStr">
        <is>
          <t>M17</t>
        </is>
      </c>
      <c r="D3227" s="5" t="n">
        <v>46</v>
      </c>
      <c r="E3227" s="5" t="n">
        <v>200</v>
      </c>
      <c r="F3227" t="inlineStr">
        <is>
          <t>Поступление</t>
        </is>
      </c>
      <c r="H3227">
        <f>VLOOKUP(C3227,Магазин!$A$2:$C$1000,2,0)</f>
        <v/>
      </c>
      <c r="I3227">
        <f>VLOOKUP(D3227,Товар!$A$2:$F$1000,3,0)</f>
        <v/>
      </c>
      <c r="J3227">
        <f>VLOOKUP(D3227,Товар!$A$2:$F$1000,5,0)</f>
        <v/>
      </c>
      <c r="K3227">
        <f>IF(AND(H3227="Промышленный",LEFT(I3227,18)="Порошок стиральный",F3227="Продажа",B3227=DATE(2023,6,7)),E3227*J3227/1000,0)</f>
        <v/>
      </c>
    </row>
    <row r="3228">
      <c r="A3228" t="n">
        <v>3227</v>
      </c>
      <c r="B3228" s="1" t="n">
        <v>45086</v>
      </c>
      <c r="C3228" s="5" t="inlineStr">
        <is>
          <t>M17</t>
        </is>
      </c>
      <c r="D3228" s="5" t="n">
        <v>47</v>
      </c>
      <c r="E3228" s="5" t="n">
        <v>200</v>
      </c>
      <c r="F3228" t="inlineStr">
        <is>
          <t>Поступление</t>
        </is>
      </c>
      <c r="H3228">
        <f>VLOOKUP(C3228,Магазин!$A$2:$C$1000,2,0)</f>
        <v/>
      </c>
      <c r="I3228">
        <f>VLOOKUP(D3228,Товар!$A$2:$F$1000,3,0)</f>
        <v/>
      </c>
      <c r="J3228">
        <f>VLOOKUP(D3228,Товар!$A$2:$F$1000,5,0)</f>
        <v/>
      </c>
      <c r="K3228">
        <f>IF(AND(H3228="Промышленный",LEFT(I3228,18)="Порошок стиральный",F3228="Продажа",B3228=DATE(2023,6,7)),E3228*J3228/1000,0)</f>
        <v/>
      </c>
    </row>
    <row r="3229">
      <c r="A3229" t="n">
        <v>3228</v>
      </c>
      <c r="B3229" s="1" t="n">
        <v>45086</v>
      </c>
      <c r="C3229" s="5" t="inlineStr">
        <is>
          <t>M17</t>
        </is>
      </c>
      <c r="D3229" s="5" t="n">
        <v>48</v>
      </c>
      <c r="E3229" s="5" t="n">
        <v>200</v>
      </c>
      <c r="F3229" t="inlineStr">
        <is>
          <t>Поступление</t>
        </is>
      </c>
      <c r="H3229">
        <f>VLOOKUP(C3229,Магазин!$A$2:$C$1000,2,0)</f>
        <v/>
      </c>
      <c r="I3229">
        <f>VLOOKUP(D3229,Товар!$A$2:$F$1000,3,0)</f>
        <v/>
      </c>
      <c r="J3229">
        <f>VLOOKUP(D3229,Товар!$A$2:$F$1000,5,0)</f>
        <v/>
      </c>
      <c r="K3229">
        <f>IF(AND(H3229="Промышленный",LEFT(I3229,18)="Порошок стиральный",F3229="Продажа",B3229=DATE(2023,6,7)),E3229*J3229/1000,0)</f>
        <v/>
      </c>
    </row>
    <row r="3230">
      <c r="A3230" t="n">
        <v>3229</v>
      </c>
      <c r="B3230" s="1" t="n">
        <v>45086</v>
      </c>
      <c r="C3230" s="5" t="inlineStr">
        <is>
          <t>M17</t>
        </is>
      </c>
      <c r="D3230" s="5" t="n">
        <v>49</v>
      </c>
      <c r="E3230" s="5" t="n">
        <v>200</v>
      </c>
      <c r="F3230" t="inlineStr">
        <is>
          <t>Поступление</t>
        </is>
      </c>
      <c r="H3230">
        <f>VLOOKUP(C3230,Магазин!$A$2:$C$1000,2,0)</f>
        <v/>
      </c>
      <c r="I3230">
        <f>VLOOKUP(D3230,Товар!$A$2:$F$1000,3,0)</f>
        <v/>
      </c>
      <c r="J3230">
        <f>VLOOKUP(D3230,Товар!$A$2:$F$1000,5,0)</f>
        <v/>
      </c>
      <c r="K3230">
        <f>IF(AND(H3230="Промышленный",LEFT(I3230,18)="Порошок стиральный",F3230="Продажа",B3230=DATE(2023,6,7)),E3230*J3230/1000,0)</f>
        <v/>
      </c>
    </row>
    <row r="3231">
      <c r="A3231" t="n">
        <v>3230</v>
      </c>
      <c r="B3231" s="1" t="n">
        <v>45086</v>
      </c>
      <c r="C3231" s="5" t="inlineStr">
        <is>
          <t>M17</t>
        </is>
      </c>
      <c r="D3231" s="5" t="n">
        <v>50</v>
      </c>
      <c r="E3231" s="5" t="n">
        <v>200</v>
      </c>
      <c r="F3231" t="inlineStr">
        <is>
          <t>Поступление</t>
        </is>
      </c>
      <c r="H3231">
        <f>VLOOKUP(C3231,Магазин!$A$2:$C$1000,2,0)</f>
        <v/>
      </c>
      <c r="I3231">
        <f>VLOOKUP(D3231,Товар!$A$2:$F$1000,3,0)</f>
        <v/>
      </c>
      <c r="J3231">
        <f>VLOOKUP(D3231,Товар!$A$2:$F$1000,5,0)</f>
        <v/>
      </c>
      <c r="K3231">
        <f>IF(AND(H3231="Промышленный",LEFT(I3231,18)="Порошок стиральный",F3231="Продажа",B3231=DATE(2023,6,7)),E3231*J3231/1000,0)</f>
        <v/>
      </c>
    </row>
    <row r="3232">
      <c r="A3232" t="n">
        <v>3231</v>
      </c>
      <c r="B3232" s="1" t="n">
        <v>45086</v>
      </c>
      <c r="C3232" s="5" t="inlineStr">
        <is>
          <t>M17</t>
        </is>
      </c>
      <c r="D3232" s="5" t="n">
        <v>51</v>
      </c>
      <c r="E3232" s="5" t="n">
        <v>200</v>
      </c>
      <c r="F3232" t="inlineStr">
        <is>
          <t>Поступление</t>
        </is>
      </c>
      <c r="H3232">
        <f>VLOOKUP(C3232,Магазин!$A$2:$C$1000,2,0)</f>
        <v/>
      </c>
      <c r="I3232">
        <f>VLOOKUP(D3232,Товар!$A$2:$F$1000,3,0)</f>
        <v/>
      </c>
      <c r="J3232">
        <f>VLOOKUP(D3232,Товар!$A$2:$F$1000,5,0)</f>
        <v/>
      </c>
      <c r="K3232">
        <f>IF(AND(H3232="Промышленный",LEFT(I3232,18)="Порошок стиральный",F3232="Продажа",B3232=DATE(2023,6,7)),E3232*J3232/1000,0)</f>
        <v/>
      </c>
    </row>
    <row r="3233">
      <c r="A3233" t="n">
        <v>3232</v>
      </c>
      <c r="B3233" s="1" t="n">
        <v>45086</v>
      </c>
      <c r="C3233" s="5" t="inlineStr">
        <is>
          <t>M17</t>
        </is>
      </c>
      <c r="D3233" s="5" t="n">
        <v>52</v>
      </c>
      <c r="E3233" s="5" t="n">
        <v>200</v>
      </c>
      <c r="F3233" t="inlineStr">
        <is>
          <t>Поступление</t>
        </is>
      </c>
      <c r="H3233">
        <f>VLOOKUP(C3233,Магазин!$A$2:$C$1000,2,0)</f>
        <v/>
      </c>
      <c r="I3233">
        <f>VLOOKUP(D3233,Товар!$A$2:$F$1000,3,0)</f>
        <v/>
      </c>
      <c r="J3233">
        <f>VLOOKUP(D3233,Товар!$A$2:$F$1000,5,0)</f>
        <v/>
      </c>
      <c r="K3233">
        <f>IF(AND(H3233="Промышленный",LEFT(I3233,18)="Порошок стиральный",F3233="Продажа",B3233=DATE(2023,6,7)),E3233*J3233/1000,0)</f>
        <v/>
      </c>
    </row>
    <row r="3234">
      <c r="A3234" t="n">
        <v>3233</v>
      </c>
      <c r="B3234" s="1" t="n">
        <v>45086</v>
      </c>
      <c r="C3234" s="5" t="inlineStr">
        <is>
          <t>M17</t>
        </is>
      </c>
      <c r="D3234" s="5" t="n">
        <v>53</v>
      </c>
      <c r="E3234" s="5" t="n">
        <v>200</v>
      </c>
      <c r="F3234" t="inlineStr">
        <is>
          <t>Поступление</t>
        </is>
      </c>
      <c r="H3234">
        <f>VLOOKUP(C3234,Магазин!$A$2:$C$1000,2,0)</f>
        <v/>
      </c>
      <c r="I3234">
        <f>VLOOKUP(D3234,Товар!$A$2:$F$1000,3,0)</f>
        <v/>
      </c>
      <c r="J3234">
        <f>VLOOKUP(D3234,Товар!$A$2:$F$1000,5,0)</f>
        <v/>
      </c>
      <c r="K3234">
        <f>IF(AND(H3234="Промышленный",LEFT(I3234,18)="Порошок стиральный",F3234="Продажа",B3234=DATE(2023,6,7)),E3234*J3234/1000,0)</f>
        <v/>
      </c>
    </row>
    <row r="3235">
      <c r="A3235" t="n">
        <v>3234</v>
      </c>
      <c r="B3235" s="1" t="n">
        <v>45086</v>
      </c>
      <c r="C3235" s="5" t="inlineStr">
        <is>
          <t>M17</t>
        </is>
      </c>
      <c r="D3235" s="5" t="n">
        <v>54</v>
      </c>
      <c r="E3235" s="5" t="n">
        <v>200</v>
      </c>
      <c r="F3235" t="inlineStr">
        <is>
          <t>Поступление</t>
        </is>
      </c>
      <c r="H3235">
        <f>VLOOKUP(C3235,Магазин!$A$2:$C$1000,2,0)</f>
        <v/>
      </c>
      <c r="I3235">
        <f>VLOOKUP(D3235,Товар!$A$2:$F$1000,3,0)</f>
        <v/>
      </c>
      <c r="J3235">
        <f>VLOOKUP(D3235,Товар!$A$2:$F$1000,5,0)</f>
        <v/>
      </c>
      <c r="K3235">
        <f>IF(AND(H3235="Промышленный",LEFT(I3235,18)="Порошок стиральный",F3235="Продажа",B3235=DATE(2023,6,7)),E3235*J3235/1000,0)</f>
        <v/>
      </c>
    </row>
    <row r="3236">
      <c r="A3236" t="n">
        <v>3235</v>
      </c>
      <c r="B3236" s="1" t="n">
        <v>45086</v>
      </c>
      <c r="C3236" s="5" t="inlineStr">
        <is>
          <t>M17</t>
        </is>
      </c>
      <c r="D3236" s="5" t="n">
        <v>55</v>
      </c>
      <c r="E3236" s="5" t="n">
        <v>200</v>
      </c>
      <c r="F3236" t="inlineStr">
        <is>
          <t>Поступление</t>
        </is>
      </c>
      <c r="H3236">
        <f>VLOOKUP(C3236,Магазин!$A$2:$C$1000,2,0)</f>
        <v/>
      </c>
      <c r="I3236">
        <f>VLOOKUP(D3236,Товар!$A$2:$F$1000,3,0)</f>
        <v/>
      </c>
      <c r="J3236">
        <f>VLOOKUP(D3236,Товар!$A$2:$F$1000,5,0)</f>
        <v/>
      </c>
      <c r="K3236">
        <f>IF(AND(H3236="Промышленный",LEFT(I3236,18)="Порошок стиральный",F3236="Продажа",B3236=DATE(2023,6,7)),E3236*J3236/1000,0)</f>
        <v/>
      </c>
    </row>
    <row r="3237">
      <c r="A3237" t="n">
        <v>3236</v>
      </c>
      <c r="B3237" s="1" t="n">
        <v>45086</v>
      </c>
      <c r="C3237" s="5" t="inlineStr">
        <is>
          <t>M17</t>
        </is>
      </c>
      <c r="D3237" s="5" t="n">
        <v>56</v>
      </c>
      <c r="E3237" s="5" t="n">
        <v>200</v>
      </c>
      <c r="F3237" t="inlineStr">
        <is>
          <t>Поступление</t>
        </is>
      </c>
      <c r="H3237">
        <f>VLOOKUP(C3237,Магазин!$A$2:$C$1000,2,0)</f>
        <v/>
      </c>
      <c r="I3237">
        <f>VLOOKUP(D3237,Товар!$A$2:$F$1000,3,0)</f>
        <v/>
      </c>
      <c r="J3237">
        <f>VLOOKUP(D3237,Товар!$A$2:$F$1000,5,0)</f>
        <v/>
      </c>
      <c r="K3237">
        <f>IF(AND(H3237="Промышленный",LEFT(I3237,18)="Порошок стиральный",F3237="Продажа",B3237=DATE(2023,6,7)),E3237*J3237/1000,0)</f>
        <v/>
      </c>
    </row>
    <row r="3238">
      <c r="A3238" t="n">
        <v>3237</v>
      </c>
      <c r="B3238" s="1" t="n">
        <v>45086</v>
      </c>
      <c r="C3238" s="5" t="inlineStr">
        <is>
          <t>M17</t>
        </is>
      </c>
      <c r="D3238" s="5" t="n">
        <v>57</v>
      </c>
      <c r="E3238" s="5" t="n">
        <v>200</v>
      </c>
      <c r="F3238" t="inlineStr">
        <is>
          <t>Поступление</t>
        </is>
      </c>
      <c r="H3238">
        <f>VLOOKUP(C3238,Магазин!$A$2:$C$1000,2,0)</f>
        <v/>
      </c>
      <c r="I3238">
        <f>VLOOKUP(D3238,Товар!$A$2:$F$1000,3,0)</f>
        <v/>
      </c>
      <c r="J3238">
        <f>VLOOKUP(D3238,Товар!$A$2:$F$1000,5,0)</f>
        <v/>
      </c>
      <c r="K3238">
        <f>IF(AND(H3238="Промышленный",LEFT(I3238,18)="Порошок стиральный",F3238="Продажа",B3238=DATE(2023,6,7)),E3238*J3238/1000,0)</f>
        <v/>
      </c>
    </row>
    <row r="3239">
      <c r="A3239" t="n">
        <v>3238</v>
      </c>
      <c r="B3239" s="1" t="n">
        <v>45086</v>
      </c>
      <c r="C3239" s="5" t="inlineStr">
        <is>
          <t>M17</t>
        </is>
      </c>
      <c r="D3239" s="5" t="n">
        <v>58</v>
      </c>
      <c r="E3239" s="5" t="n">
        <v>200</v>
      </c>
      <c r="F3239" t="inlineStr">
        <is>
          <t>Поступление</t>
        </is>
      </c>
      <c r="H3239">
        <f>VLOOKUP(C3239,Магазин!$A$2:$C$1000,2,0)</f>
        <v/>
      </c>
      <c r="I3239">
        <f>VLOOKUP(D3239,Товар!$A$2:$F$1000,3,0)</f>
        <v/>
      </c>
      <c r="J3239">
        <f>VLOOKUP(D3239,Товар!$A$2:$F$1000,5,0)</f>
        <v/>
      </c>
      <c r="K3239">
        <f>IF(AND(H3239="Промышленный",LEFT(I3239,18)="Порошок стиральный",F3239="Продажа",B3239=DATE(2023,6,7)),E3239*J3239/1000,0)</f>
        <v/>
      </c>
    </row>
    <row r="3240">
      <c r="A3240" t="n">
        <v>3239</v>
      </c>
      <c r="B3240" s="1" t="n">
        <v>45086</v>
      </c>
      <c r="C3240" s="5" t="inlineStr">
        <is>
          <t>M17</t>
        </is>
      </c>
      <c r="D3240" s="5" t="n">
        <v>59</v>
      </c>
      <c r="E3240" s="5" t="n">
        <v>200</v>
      </c>
      <c r="F3240" t="inlineStr">
        <is>
          <t>Поступление</t>
        </is>
      </c>
      <c r="H3240">
        <f>VLOOKUP(C3240,Магазин!$A$2:$C$1000,2,0)</f>
        <v/>
      </c>
      <c r="I3240">
        <f>VLOOKUP(D3240,Товар!$A$2:$F$1000,3,0)</f>
        <v/>
      </c>
      <c r="J3240">
        <f>VLOOKUP(D3240,Товар!$A$2:$F$1000,5,0)</f>
        <v/>
      </c>
      <c r="K3240">
        <f>IF(AND(H3240="Промышленный",LEFT(I3240,18)="Порошок стиральный",F3240="Продажа",B3240=DATE(2023,6,7)),E3240*J3240/1000,0)</f>
        <v/>
      </c>
    </row>
    <row r="3241">
      <c r="A3241" t="n">
        <v>3240</v>
      </c>
      <c r="B3241" s="1" t="n">
        <v>45086</v>
      </c>
      <c r="C3241" s="5" t="inlineStr">
        <is>
          <t>M17</t>
        </is>
      </c>
      <c r="D3241" s="5" t="n">
        <v>60</v>
      </c>
      <c r="E3241" s="5" t="n">
        <v>200</v>
      </c>
      <c r="F3241" t="inlineStr">
        <is>
          <t>Поступление</t>
        </is>
      </c>
      <c r="H3241">
        <f>VLOOKUP(C3241,Магазин!$A$2:$C$1000,2,0)</f>
        <v/>
      </c>
      <c r="I3241">
        <f>VLOOKUP(D3241,Товар!$A$2:$F$1000,3,0)</f>
        <v/>
      </c>
      <c r="J3241">
        <f>VLOOKUP(D3241,Товар!$A$2:$F$1000,5,0)</f>
        <v/>
      </c>
      <c r="K3241">
        <f>IF(AND(H3241="Промышленный",LEFT(I3241,18)="Порошок стиральный",F3241="Продажа",B3241=DATE(2023,6,7)),E3241*J3241/1000,0)</f>
        <v/>
      </c>
    </row>
    <row r="3242">
      <c r="A3242" t="n">
        <v>3241</v>
      </c>
      <c r="B3242" s="1" t="n">
        <v>45091</v>
      </c>
      <c r="C3242" s="5" t="inlineStr">
        <is>
          <t>M1</t>
        </is>
      </c>
      <c r="D3242" s="5" t="n">
        <v>1</v>
      </c>
      <c r="E3242" s="5" t="n">
        <v>280</v>
      </c>
      <c r="F3242" t="inlineStr">
        <is>
          <t>Продажа</t>
        </is>
      </c>
      <c r="H3242">
        <f>VLOOKUP(C3242,Магазин!$A$2:$C$1000,2,0)</f>
        <v/>
      </c>
      <c r="I3242">
        <f>VLOOKUP(D3242,Товар!$A$2:$F$1000,3,0)</f>
        <v/>
      </c>
      <c r="J3242">
        <f>VLOOKUP(D3242,Товар!$A$2:$F$1000,5,0)</f>
        <v/>
      </c>
      <c r="K3242">
        <f>IF(AND(H3242="Промышленный",LEFT(I3242,18)="Порошок стиральный",F3242="Продажа",B3242=DATE(2023,6,7)),E3242*J3242/1000,0)</f>
        <v/>
      </c>
    </row>
    <row r="3243">
      <c r="A3243" t="n">
        <v>3242</v>
      </c>
      <c r="B3243" s="1" t="n">
        <v>45091</v>
      </c>
      <c r="C3243" s="5" t="inlineStr">
        <is>
          <t>M1</t>
        </is>
      </c>
      <c r="D3243" s="5" t="n">
        <v>2</v>
      </c>
      <c r="E3243" s="5" t="n">
        <v>180</v>
      </c>
      <c r="F3243" t="inlineStr">
        <is>
          <t>Продажа</t>
        </is>
      </c>
      <c r="H3243">
        <f>VLOOKUP(C3243,Магазин!$A$2:$C$1000,2,0)</f>
        <v/>
      </c>
      <c r="I3243">
        <f>VLOOKUP(D3243,Товар!$A$2:$F$1000,3,0)</f>
        <v/>
      </c>
      <c r="J3243">
        <f>VLOOKUP(D3243,Товар!$A$2:$F$1000,5,0)</f>
        <v/>
      </c>
      <c r="K3243">
        <f>IF(AND(H3243="Промышленный",LEFT(I3243,18)="Порошок стиральный",F3243="Продажа",B3243=DATE(2023,6,7)),E3243*J3243/1000,0)</f>
        <v/>
      </c>
    </row>
    <row r="3244">
      <c r="A3244" t="n">
        <v>3243</v>
      </c>
      <c r="B3244" s="1" t="n">
        <v>45091</v>
      </c>
      <c r="C3244" s="5" t="inlineStr">
        <is>
          <t>M1</t>
        </is>
      </c>
      <c r="D3244" s="5" t="n">
        <v>3</v>
      </c>
      <c r="E3244" s="5" t="n">
        <v>142</v>
      </c>
      <c r="F3244" t="inlineStr">
        <is>
          <t>Продажа</t>
        </is>
      </c>
      <c r="H3244">
        <f>VLOOKUP(C3244,Магазин!$A$2:$C$1000,2,0)</f>
        <v/>
      </c>
      <c r="I3244">
        <f>VLOOKUP(D3244,Товар!$A$2:$F$1000,3,0)</f>
        <v/>
      </c>
      <c r="J3244">
        <f>VLOOKUP(D3244,Товар!$A$2:$F$1000,5,0)</f>
        <v/>
      </c>
      <c r="K3244">
        <f>IF(AND(H3244="Промышленный",LEFT(I3244,18)="Порошок стиральный",F3244="Продажа",B3244=DATE(2023,6,7)),E3244*J3244/1000,0)</f>
        <v/>
      </c>
    </row>
    <row r="3245">
      <c r="A3245" t="n">
        <v>3244</v>
      </c>
      <c r="B3245" s="1" t="n">
        <v>45091</v>
      </c>
      <c r="C3245" s="5" t="inlineStr">
        <is>
          <t>M1</t>
        </is>
      </c>
      <c r="D3245" s="5" t="n">
        <v>4</v>
      </c>
      <c r="E3245" s="5" t="n">
        <v>156</v>
      </c>
      <c r="F3245" t="inlineStr">
        <is>
          <t>Продажа</t>
        </is>
      </c>
      <c r="H3245">
        <f>VLOOKUP(C3245,Магазин!$A$2:$C$1000,2,0)</f>
        <v/>
      </c>
      <c r="I3245">
        <f>VLOOKUP(D3245,Товар!$A$2:$F$1000,3,0)</f>
        <v/>
      </c>
      <c r="J3245">
        <f>VLOOKUP(D3245,Товар!$A$2:$F$1000,5,0)</f>
        <v/>
      </c>
      <c r="K3245">
        <f>IF(AND(H3245="Промышленный",LEFT(I3245,18)="Порошок стиральный",F3245="Продажа",B3245=DATE(2023,6,7)),E3245*J3245/1000,0)</f>
        <v/>
      </c>
    </row>
    <row r="3246">
      <c r="A3246" t="n">
        <v>3245</v>
      </c>
      <c r="B3246" s="1" t="n">
        <v>45091</v>
      </c>
      <c r="C3246" s="5" t="inlineStr">
        <is>
          <t>M1</t>
        </is>
      </c>
      <c r="D3246" s="5" t="n">
        <v>5</v>
      </c>
      <c r="E3246" s="5" t="n">
        <v>144</v>
      </c>
      <c r="F3246" t="inlineStr">
        <is>
          <t>Продажа</t>
        </is>
      </c>
      <c r="H3246">
        <f>VLOOKUP(C3246,Магазин!$A$2:$C$1000,2,0)</f>
        <v/>
      </c>
      <c r="I3246">
        <f>VLOOKUP(D3246,Товар!$A$2:$F$1000,3,0)</f>
        <v/>
      </c>
      <c r="J3246">
        <f>VLOOKUP(D3246,Товар!$A$2:$F$1000,5,0)</f>
        <v/>
      </c>
      <c r="K3246">
        <f>IF(AND(H3246="Промышленный",LEFT(I3246,18)="Порошок стиральный",F3246="Продажа",B3246=DATE(2023,6,7)),E3246*J3246/1000,0)</f>
        <v/>
      </c>
    </row>
    <row r="3247">
      <c r="A3247" t="n">
        <v>3246</v>
      </c>
      <c r="B3247" s="1" t="n">
        <v>45091</v>
      </c>
      <c r="C3247" s="5" t="inlineStr">
        <is>
          <t>M1</t>
        </is>
      </c>
      <c r="D3247" s="5" t="n">
        <v>6</v>
      </c>
      <c r="E3247" s="5" t="n">
        <v>178</v>
      </c>
      <c r="F3247" t="inlineStr">
        <is>
          <t>Продажа</t>
        </is>
      </c>
      <c r="H3247">
        <f>VLOOKUP(C3247,Магазин!$A$2:$C$1000,2,0)</f>
        <v/>
      </c>
      <c r="I3247">
        <f>VLOOKUP(D3247,Товар!$A$2:$F$1000,3,0)</f>
        <v/>
      </c>
      <c r="J3247">
        <f>VLOOKUP(D3247,Товар!$A$2:$F$1000,5,0)</f>
        <v/>
      </c>
      <c r="K3247">
        <f>IF(AND(H3247="Промышленный",LEFT(I3247,18)="Порошок стиральный",F3247="Продажа",B3247=DATE(2023,6,7)),E3247*J3247/1000,0)</f>
        <v/>
      </c>
    </row>
    <row r="3248">
      <c r="A3248" t="n">
        <v>3247</v>
      </c>
      <c r="B3248" s="1" t="n">
        <v>45091</v>
      </c>
      <c r="C3248" s="5" t="inlineStr">
        <is>
          <t>M1</t>
        </is>
      </c>
      <c r="D3248" s="5" t="n">
        <v>7</v>
      </c>
      <c r="E3248" s="5" t="n">
        <v>169</v>
      </c>
      <c r="F3248" t="inlineStr">
        <is>
          <t>Продажа</t>
        </is>
      </c>
      <c r="H3248">
        <f>VLOOKUP(C3248,Магазин!$A$2:$C$1000,2,0)</f>
        <v/>
      </c>
      <c r="I3248">
        <f>VLOOKUP(D3248,Товар!$A$2:$F$1000,3,0)</f>
        <v/>
      </c>
      <c r="J3248">
        <f>VLOOKUP(D3248,Товар!$A$2:$F$1000,5,0)</f>
        <v/>
      </c>
      <c r="K3248">
        <f>IF(AND(H3248="Промышленный",LEFT(I3248,18)="Порошок стиральный",F3248="Продажа",B3248=DATE(2023,6,7)),E3248*J3248/1000,0)</f>
        <v/>
      </c>
    </row>
    <row r="3249">
      <c r="A3249" t="n">
        <v>3248</v>
      </c>
      <c r="B3249" s="1" t="n">
        <v>45091</v>
      </c>
      <c r="C3249" s="5" t="inlineStr">
        <is>
          <t>M1</t>
        </is>
      </c>
      <c r="D3249" s="5" t="n">
        <v>8</v>
      </c>
      <c r="E3249" s="5" t="n">
        <v>196</v>
      </c>
      <c r="F3249" t="inlineStr">
        <is>
          <t>Продажа</t>
        </is>
      </c>
      <c r="H3249">
        <f>VLOOKUP(C3249,Магазин!$A$2:$C$1000,2,0)</f>
        <v/>
      </c>
      <c r="I3249">
        <f>VLOOKUP(D3249,Товар!$A$2:$F$1000,3,0)</f>
        <v/>
      </c>
      <c r="J3249">
        <f>VLOOKUP(D3249,Товар!$A$2:$F$1000,5,0)</f>
        <v/>
      </c>
      <c r="K3249">
        <f>IF(AND(H3249="Промышленный",LEFT(I3249,18)="Порошок стиральный",F3249="Продажа",B3249=DATE(2023,6,7)),E3249*J3249/1000,0)</f>
        <v/>
      </c>
    </row>
    <row r="3250">
      <c r="A3250" t="n">
        <v>3249</v>
      </c>
      <c r="B3250" s="1" t="n">
        <v>45091</v>
      </c>
      <c r="C3250" s="5" t="inlineStr">
        <is>
          <t>M1</t>
        </is>
      </c>
      <c r="D3250" s="5" t="n">
        <v>9</v>
      </c>
      <c r="E3250" s="5" t="n">
        <v>123</v>
      </c>
      <c r="F3250" t="inlineStr">
        <is>
          <t>Продажа</t>
        </is>
      </c>
      <c r="H3250">
        <f>VLOOKUP(C3250,Магазин!$A$2:$C$1000,2,0)</f>
        <v/>
      </c>
      <c r="I3250">
        <f>VLOOKUP(D3250,Товар!$A$2:$F$1000,3,0)</f>
        <v/>
      </c>
      <c r="J3250">
        <f>VLOOKUP(D3250,Товар!$A$2:$F$1000,5,0)</f>
        <v/>
      </c>
      <c r="K3250">
        <f>IF(AND(H3250="Промышленный",LEFT(I3250,18)="Порошок стиральный",F3250="Продажа",B3250=DATE(2023,6,7)),E3250*J3250/1000,0)</f>
        <v/>
      </c>
    </row>
    <row r="3251">
      <c r="A3251" t="n">
        <v>3250</v>
      </c>
      <c r="B3251" s="1" t="n">
        <v>45091</v>
      </c>
      <c r="C3251" s="5" t="inlineStr">
        <is>
          <t>M1</t>
        </is>
      </c>
      <c r="D3251" s="5" t="n">
        <v>10</v>
      </c>
      <c r="E3251" s="5" t="n">
        <v>111</v>
      </c>
      <c r="F3251" t="inlineStr">
        <is>
          <t>Продажа</t>
        </is>
      </c>
      <c r="H3251">
        <f>VLOOKUP(C3251,Магазин!$A$2:$C$1000,2,0)</f>
        <v/>
      </c>
      <c r="I3251">
        <f>VLOOKUP(D3251,Товар!$A$2:$F$1000,3,0)</f>
        <v/>
      </c>
      <c r="J3251">
        <f>VLOOKUP(D3251,Товар!$A$2:$F$1000,5,0)</f>
        <v/>
      </c>
      <c r="K3251">
        <f>IF(AND(H3251="Промышленный",LEFT(I3251,18)="Порошок стиральный",F3251="Продажа",B3251=DATE(2023,6,7)),E3251*J3251/1000,0)</f>
        <v/>
      </c>
    </row>
    <row r="3252">
      <c r="A3252" t="n">
        <v>3251</v>
      </c>
      <c r="B3252" s="1" t="n">
        <v>45091</v>
      </c>
      <c r="C3252" s="5" t="inlineStr">
        <is>
          <t>M1</t>
        </is>
      </c>
      <c r="D3252" s="5" t="n">
        <v>11</v>
      </c>
      <c r="E3252" s="5" t="n">
        <v>158</v>
      </c>
      <c r="F3252" t="inlineStr">
        <is>
          <t>Продажа</t>
        </is>
      </c>
      <c r="H3252">
        <f>VLOOKUP(C3252,Магазин!$A$2:$C$1000,2,0)</f>
        <v/>
      </c>
      <c r="I3252">
        <f>VLOOKUP(D3252,Товар!$A$2:$F$1000,3,0)</f>
        <v/>
      </c>
      <c r="J3252">
        <f>VLOOKUP(D3252,Товар!$A$2:$F$1000,5,0)</f>
        <v/>
      </c>
      <c r="K3252">
        <f>IF(AND(H3252="Промышленный",LEFT(I3252,18)="Порошок стиральный",F3252="Продажа",B3252=DATE(2023,6,7)),E3252*J3252/1000,0)</f>
        <v/>
      </c>
    </row>
    <row r="3253">
      <c r="A3253" t="n">
        <v>3252</v>
      </c>
      <c r="B3253" s="1" t="n">
        <v>45091</v>
      </c>
      <c r="C3253" s="5" t="inlineStr">
        <is>
          <t>M1</t>
        </is>
      </c>
      <c r="D3253" s="5" t="n">
        <v>12</v>
      </c>
      <c r="E3253" s="5" t="n">
        <v>175</v>
      </c>
      <c r="F3253" t="inlineStr">
        <is>
          <t>Продажа</t>
        </is>
      </c>
      <c r="H3253">
        <f>VLOOKUP(C3253,Магазин!$A$2:$C$1000,2,0)</f>
        <v/>
      </c>
      <c r="I3253">
        <f>VLOOKUP(D3253,Товар!$A$2:$F$1000,3,0)</f>
        <v/>
      </c>
      <c r="J3253">
        <f>VLOOKUP(D3253,Товар!$A$2:$F$1000,5,0)</f>
        <v/>
      </c>
      <c r="K3253">
        <f>IF(AND(H3253="Промышленный",LEFT(I3253,18)="Порошок стиральный",F3253="Продажа",B3253=DATE(2023,6,7)),E3253*J3253/1000,0)</f>
        <v/>
      </c>
    </row>
    <row r="3254">
      <c r="A3254" t="n">
        <v>3253</v>
      </c>
      <c r="B3254" s="1" t="n">
        <v>45091</v>
      </c>
      <c r="C3254" s="5" t="inlineStr">
        <is>
          <t>M1</t>
        </is>
      </c>
      <c r="D3254" s="5" t="n">
        <v>13</v>
      </c>
      <c r="E3254" s="5" t="n">
        <v>114</v>
      </c>
      <c r="F3254" t="inlineStr">
        <is>
          <t>Продажа</t>
        </is>
      </c>
      <c r="H3254">
        <f>VLOOKUP(C3254,Магазин!$A$2:$C$1000,2,0)</f>
        <v/>
      </c>
      <c r="I3254">
        <f>VLOOKUP(D3254,Товар!$A$2:$F$1000,3,0)</f>
        <v/>
      </c>
      <c r="J3254">
        <f>VLOOKUP(D3254,Товар!$A$2:$F$1000,5,0)</f>
        <v/>
      </c>
      <c r="K3254">
        <f>IF(AND(H3254="Промышленный",LEFT(I3254,18)="Порошок стиральный",F3254="Продажа",B3254=DATE(2023,6,7)),E3254*J3254/1000,0)</f>
        <v/>
      </c>
    </row>
    <row r="3255">
      <c r="A3255" t="n">
        <v>3254</v>
      </c>
      <c r="B3255" s="1" t="n">
        <v>45091</v>
      </c>
      <c r="C3255" s="5" t="inlineStr">
        <is>
          <t>M1</t>
        </is>
      </c>
      <c r="D3255" s="5" t="n">
        <v>14</v>
      </c>
      <c r="E3255" s="5" t="n">
        <v>139</v>
      </c>
      <c r="F3255" t="inlineStr">
        <is>
          <t>Продажа</t>
        </is>
      </c>
      <c r="H3255">
        <f>VLOOKUP(C3255,Магазин!$A$2:$C$1000,2,0)</f>
        <v/>
      </c>
      <c r="I3255">
        <f>VLOOKUP(D3255,Товар!$A$2:$F$1000,3,0)</f>
        <v/>
      </c>
      <c r="J3255">
        <f>VLOOKUP(D3255,Товар!$A$2:$F$1000,5,0)</f>
        <v/>
      </c>
      <c r="K3255">
        <f>IF(AND(H3255="Промышленный",LEFT(I3255,18)="Порошок стиральный",F3255="Продажа",B3255=DATE(2023,6,7)),E3255*J3255/1000,0)</f>
        <v/>
      </c>
    </row>
    <row r="3256">
      <c r="A3256" t="n">
        <v>3255</v>
      </c>
      <c r="B3256" s="1" t="n">
        <v>45091</v>
      </c>
      <c r="C3256" s="5" t="inlineStr">
        <is>
          <t>M1</t>
        </is>
      </c>
      <c r="D3256" s="5" t="n">
        <v>15</v>
      </c>
      <c r="E3256" s="5" t="n">
        <v>141</v>
      </c>
      <c r="F3256" t="inlineStr">
        <is>
          <t>Продажа</t>
        </is>
      </c>
      <c r="H3256">
        <f>VLOOKUP(C3256,Магазин!$A$2:$C$1000,2,0)</f>
        <v/>
      </c>
      <c r="I3256">
        <f>VLOOKUP(D3256,Товар!$A$2:$F$1000,3,0)</f>
        <v/>
      </c>
      <c r="J3256">
        <f>VLOOKUP(D3256,Товар!$A$2:$F$1000,5,0)</f>
        <v/>
      </c>
      <c r="K3256">
        <f>IF(AND(H3256="Промышленный",LEFT(I3256,18)="Порошок стиральный",F3256="Продажа",B3256=DATE(2023,6,7)),E3256*J3256/1000,0)</f>
        <v/>
      </c>
    </row>
    <row r="3257">
      <c r="A3257" t="n">
        <v>3256</v>
      </c>
      <c r="B3257" s="1" t="n">
        <v>45091</v>
      </c>
      <c r="C3257" s="5" t="inlineStr">
        <is>
          <t>M1</t>
        </is>
      </c>
      <c r="D3257" s="5" t="n">
        <v>16</v>
      </c>
      <c r="E3257" s="5" t="n">
        <v>122</v>
      </c>
      <c r="F3257" t="inlineStr">
        <is>
          <t>Продажа</t>
        </is>
      </c>
      <c r="H3257">
        <f>VLOOKUP(C3257,Магазин!$A$2:$C$1000,2,0)</f>
        <v/>
      </c>
      <c r="I3257">
        <f>VLOOKUP(D3257,Товар!$A$2:$F$1000,3,0)</f>
        <v/>
      </c>
      <c r="J3257">
        <f>VLOOKUP(D3257,Товар!$A$2:$F$1000,5,0)</f>
        <v/>
      </c>
      <c r="K3257">
        <f>IF(AND(H3257="Промышленный",LEFT(I3257,18)="Порошок стиральный",F3257="Продажа",B3257=DATE(2023,6,7)),E3257*J3257/1000,0)</f>
        <v/>
      </c>
    </row>
    <row r="3258">
      <c r="A3258" t="n">
        <v>3257</v>
      </c>
      <c r="B3258" s="1" t="n">
        <v>45091</v>
      </c>
      <c r="C3258" s="5" t="inlineStr">
        <is>
          <t>M1</t>
        </is>
      </c>
      <c r="D3258" s="5" t="n">
        <v>17</v>
      </c>
      <c r="E3258" s="5" t="n">
        <v>123</v>
      </c>
      <c r="F3258" t="inlineStr">
        <is>
          <t>Продажа</t>
        </is>
      </c>
      <c r="H3258">
        <f>VLOOKUP(C3258,Магазин!$A$2:$C$1000,2,0)</f>
        <v/>
      </c>
      <c r="I3258">
        <f>VLOOKUP(D3258,Товар!$A$2:$F$1000,3,0)</f>
        <v/>
      </c>
      <c r="J3258">
        <f>VLOOKUP(D3258,Товар!$A$2:$F$1000,5,0)</f>
        <v/>
      </c>
      <c r="K3258">
        <f>IF(AND(H3258="Промышленный",LEFT(I3258,18)="Порошок стиральный",F3258="Продажа",B3258=DATE(2023,6,7)),E3258*J3258/1000,0)</f>
        <v/>
      </c>
    </row>
    <row r="3259">
      <c r="A3259" t="n">
        <v>3258</v>
      </c>
      <c r="B3259" s="1" t="n">
        <v>45091</v>
      </c>
      <c r="C3259" s="5" t="inlineStr">
        <is>
          <t>M1</t>
        </is>
      </c>
      <c r="D3259" s="5" t="n">
        <v>18</v>
      </c>
      <c r="E3259" s="5" t="n">
        <v>158</v>
      </c>
      <c r="F3259" t="inlineStr">
        <is>
          <t>Продажа</t>
        </is>
      </c>
      <c r="H3259">
        <f>VLOOKUP(C3259,Магазин!$A$2:$C$1000,2,0)</f>
        <v/>
      </c>
      <c r="I3259">
        <f>VLOOKUP(D3259,Товар!$A$2:$F$1000,3,0)</f>
        <v/>
      </c>
      <c r="J3259">
        <f>VLOOKUP(D3259,Товар!$A$2:$F$1000,5,0)</f>
        <v/>
      </c>
      <c r="K3259">
        <f>IF(AND(H3259="Промышленный",LEFT(I3259,18)="Порошок стиральный",F3259="Продажа",B3259=DATE(2023,6,7)),E3259*J3259/1000,0)</f>
        <v/>
      </c>
    </row>
    <row r="3260">
      <c r="A3260" t="n">
        <v>3259</v>
      </c>
      <c r="B3260" s="1" t="n">
        <v>45091</v>
      </c>
      <c r="C3260" s="5" t="inlineStr">
        <is>
          <t>M1</t>
        </is>
      </c>
      <c r="D3260" s="5" t="n">
        <v>19</v>
      </c>
      <c r="E3260" s="5" t="n">
        <v>146</v>
      </c>
      <c r="F3260" t="inlineStr">
        <is>
          <t>Продажа</t>
        </is>
      </c>
      <c r="H3260">
        <f>VLOOKUP(C3260,Магазин!$A$2:$C$1000,2,0)</f>
        <v/>
      </c>
      <c r="I3260">
        <f>VLOOKUP(D3260,Товар!$A$2:$F$1000,3,0)</f>
        <v/>
      </c>
      <c r="J3260">
        <f>VLOOKUP(D3260,Товар!$A$2:$F$1000,5,0)</f>
        <v/>
      </c>
      <c r="K3260">
        <f>IF(AND(H3260="Промышленный",LEFT(I3260,18)="Порошок стиральный",F3260="Продажа",B3260=DATE(2023,6,7)),E3260*J3260/1000,0)</f>
        <v/>
      </c>
    </row>
    <row r="3261">
      <c r="A3261" t="n">
        <v>3260</v>
      </c>
      <c r="B3261" s="1" t="n">
        <v>45091</v>
      </c>
      <c r="C3261" s="5" t="inlineStr">
        <is>
          <t>M1</t>
        </is>
      </c>
      <c r="D3261" s="5" t="n">
        <v>20</v>
      </c>
      <c r="E3261" s="5" t="n">
        <v>147</v>
      </c>
      <c r="F3261" t="inlineStr">
        <is>
          <t>Продажа</t>
        </is>
      </c>
      <c r="H3261">
        <f>VLOOKUP(C3261,Магазин!$A$2:$C$1000,2,0)</f>
        <v/>
      </c>
      <c r="I3261">
        <f>VLOOKUP(D3261,Товар!$A$2:$F$1000,3,0)</f>
        <v/>
      </c>
      <c r="J3261">
        <f>VLOOKUP(D3261,Товар!$A$2:$F$1000,5,0)</f>
        <v/>
      </c>
      <c r="K3261">
        <f>IF(AND(H3261="Промышленный",LEFT(I3261,18)="Порошок стиральный",F3261="Продажа",B3261=DATE(2023,6,7)),E3261*J3261/1000,0)</f>
        <v/>
      </c>
    </row>
    <row r="3262">
      <c r="A3262" t="n">
        <v>3261</v>
      </c>
      <c r="B3262" s="1" t="n">
        <v>45091</v>
      </c>
      <c r="C3262" s="5" t="inlineStr">
        <is>
          <t>M1</t>
        </is>
      </c>
      <c r="D3262" s="5" t="n">
        <v>21</v>
      </c>
      <c r="E3262" s="5" t="n">
        <v>169</v>
      </c>
      <c r="F3262" t="inlineStr">
        <is>
          <t>Продажа</t>
        </is>
      </c>
      <c r="H3262">
        <f>VLOOKUP(C3262,Магазин!$A$2:$C$1000,2,0)</f>
        <v/>
      </c>
      <c r="I3262">
        <f>VLOOKUP(D3262,Товар!$A$2:$F$1000,3,0)</f>
        <v/>
      </c>
      <c r="J3262">
        <f>VLOOKUP(D3262,Товар!$A$2:$F$1000,5,0)</f>
        <v/>
      </c>
      <c r="K3262">
        <f>IF(AND(H3262="Промышленный",LEFT(I3262,18)="Порошок стиральный",F3262="Продажа",B3262=DATE(2023,6,7)),E3262*J3262/1000,0)</f>
        <v/>
      </c>
    </row>
    <row r="3263">
      <c r="A3263" t="n">
        <v>3262</v>
      </c>
      <c r="B3263" s="1" t="n">
        <v>45091</v>
      </c>
      <c r="C3263" s="5" t="inlineStr">
        <is>
          <t>M1</t>
        </is>
      </c>
      <c r="D3263" s="5" t="n">
        <v>22</v>
      </c>
      <c r="E3263" s="5" t="n">
        <v>199</v>
      </c>
      <c r="F3263" t="inlineStr">
        <is>
          <t>Продажа</t>
        </is>
      </c>
      <c r="H3263">
        <f>VLOOKUP(C3263,Магазин!$A$2:$C$1000,2,0)</f>
        <v/>
      </c>
      <c r="I3263">
        <f>VLOOKUP(D3263,Товар!$A$2:$F$1000,3,0)</f>
        <v/>
      </c>
      <c r="J3263">
        <f>VLOOKUP(D3263,Товар!$A$2:$F$1000,5,0)</f>
        <v/>
      </c>
      <c r="K3263">
        <f>IF(AND(H3263="Промышленный",LEFT(I3263,18)="Порошок стиральный",F3263="Продажа",B3263=DATE(2023,6,7)),E3263*J3263/1000,0)</f>
        <v/>
      </c>
    </row>
    <row r="3264">
      <c r="A3264" t="n">
        <v>3263</v>
      </c>
      <c r="B3264" s="1" t="n">
        <v>45091</v>
      </c>
      <c r="C3264" s="5" t="inlineStr">
        <is>
          <t>M1</t>
        </is>
      </c>
      <c r="D3264" s="5" t="n">
        <v>23</v>
      </c>
      <c r="E3264" s="5" t="n">
        <v>147</v>
      </c>
      <c r="F3264" t="inlineStr">
        <is>
          <t>Продажа</t>
        </is>
      </c>
      <c r="H3264">
        <f>VLOOKUP(C3264,Магазин!$A$2:$C$1000,2,0)</f>
        <v/>
      </c>
      <c r="I3264">
        <f>VLOOKUP(D3264,Товар!$A$2:$F$1000,3,0)</f>
        <v/>
      </c>
      <c r="J3264">
        <f>VLOOKUP(D3264,Товар!$A$2:$F$1000,5,0)</f>
        <v/>
      </c>
      <c r="K3264">
        <f>IF(AND(H3264="Промышленный",LEFT(I3264,18)="Порошок стиральный",F3264="Продажа",B3264=DATE(2023,6,7)),E3264*J3264/1000,0)</f>
        <v/>
      </c>
    </row>
    <row r="3265">
      <c r="A3265" t="n">
        <v>3264</v>
      </c>
      <c r="B3265" s="1" t="n">
        <v>45091</v>
      </c>
      <c r="C3265" s="5" t="inlineStr">
        <is>
          <t>M1</t>
        </is>
      </c>
      <c r="D3265" s="5" t="n">
        <v>24</v>
      </c>
      <c r="E3265" s="5" t="n">
        <v>138</v>
      </c>
      <c r="F3265" t="inlineStr">
        <is>
          <t>Продажа</t>
        </is>
      </c>
      <c r="H3265">
        <f>VLOOKUP(C3265,Магазин!$A$2:$C$1000,2,0)</f>
        <v/>
      </c>
      <c r="I3265">
        <f>VLOOKUP(D3265,Товар!$A$2:$F$1000,3,0)</f>
        <v/>
      </c>
      <c r="J3265">
        <f>VLOOKUP(D3265,Товар!$A$2:$F$1000,5,0)</f>
        <v/>
      </c>
      <c r="K3265">
        <f>IF(AND(H3265="Промышленный",LEFT(I3265,18)="Порошок стиральный",F3265="Продажа",B3265=DATE(2023,6,7)),E3265*J3265/1000,0)</f>
        <v/>
      </c>
    </row>
    <row r="3266">
      <c r="A3266" t="n">
        <v>3265</v>
      </c>
      <c r="B3266" s="1" t="n">
        <v>45091</v>
      </c>
      <c r="C3266" s="5" t="inlineStr">
        <is>
          <t>M1</t>
        </is>
      </c>
      <c r="D3266" s="5" t="n">
        <v>25</v>
      </c>
      <c r="E3266" s="5" t="n">
        <v>129</v>
      </c>
      <c r="F3266" t="inlineStr">
        <is>
          <t>Продажа</t>
        </is>
      </c>
      <c r="H3266">
        <f>VLOOKUP(C3266,Магазин!$A$2:$C$1000,2,0)</f>
        <v/>
      </c>
      <c r="I3266">
        <f>VLOOKUP(D3266,Товар!$A$2:$F$1000,3,0)</f>
        <v/>
      </c>
      <c r="J3266">
        <f>VLOOKUP(D3266,Товар!$A$2:$F$1000,5,0)</f>
        <v/>
      </c>
      <c r="K3266">
        <f>IF(AND(H3266="Промышленный",LEFT(I3266,18)="Порошок стиральный",F3266="Продажа",B3266=DATE(2023,6,7)),E3266*J3266/1000,0)</f>
        <v/>
      </c>
    </row>
    <row r="3267">
      <c r="A3267" t="n">
        <v>3266</v>
      </c>
      <c r="B3267" s="1" t="n">
        <v>45091</v>
      </c>
      <c r="C3267" s="5" t="inlineStr">
        <is>
          <t>M1</t>
        </is>
      </c>
      <c r="D3267" s="5" t="n">
        <v>26</v>
      </c>
      <c r="E3267" s="5" t="n">
        <v>191</v>
      </c>
      <c r="F3267" t="inlineStr">
        <is>
          <t>Продажа</t>
        </is>
      </c>
      <c r="H3267">
        <f>VLOOKUP(C3267,Магазин!$A$2:$C$1000,2,0)</f>
        <v/>
      </c>
      <c r="I3267">
        <f>VLOOKUP(D3267,Товар!$A$2:$F$1000,3,0)</f>
        <v/>
      </c>
      <c r="J3267">
        <f>VLOOKUP(D3267,Товар!$A$2:$F$1000,5,0)</f>
        <v/>
      </c>
      <c r="K3267">
        <f>IF(AND(H3267="Промышленный",LEFT(I3267,18)="Порошок стиральный",F3267="Продажа",B3267=DATE(2023,6,7)),E3267*J3267/1000,0)</f>
        <v/>
      </c>
    </row>
    <row r="3268">
      <c r="A3268" t="n">
        <v>3267</v>
      </c>
      <c r="B3268" s="1" t="n">
        <v>45091</v>
      </c>
      <c r="C3268" s="5" t="inlineStr">
        <is>
          <t>M1</t>
        </is>
      </c>
      <c r="D3268" s="5" t="n">
        <v>27</v>
      </c>
      <c r="E3268" s="5" t="n">
        <v>155</v>
      </c>
      <c r="F3268" t="inlineStr">
        <is>
          <t>Продажа</t>
        </is>
      </c>
      <c r="H3268">
        <f>VLOOKUP(C3268,Магазин!$A$2:$C$1000,2,0)</f>
        <v/>
      </c>
      <c r="I3268">
        <f>VLOOKUP(D3268,Товар!$A$2:$F$1000,3,0)</f>
        <v/>
      </c>
      <c r="J3268">
        <f>VLOOKUP(D3268,Товар!$A$2:$F$1000,5,0)</f>
        <v/>
      </c>
      <c r="K3268">
        <f>IF(AND(H3268="Промышленный",LEFT(I3268,18)="Порошок стиральный",F3268="Продажа",B3268=DATE(2023,6,7)),E3268*J3268/1000,0)</f>
        <v/>
      </c>
    </row>
    <row r="3269">
      <c r="A3269" t="n">
        <v>3268</v>
      </c>
      <c r="B3269" s="1" t="n">
        <v>45091</v>
      </c>
      <c r="C3269" s="5" t="inlineStr">
        <is>
          <t>M1</t>
        </is>
      </c>
      <c r="D3269" s="5" t="n">
        <v>28</v>
      </c>
      <c r="E3269" s="5" t="n">
        <v>143</v>
      </c>
      <c r="F3269" t="inlineStr">
        <is>
          <t>Продажа</t>
        </is>
      </c>
      <c r="H3269">
        <f>VLOOKUP(C3269,Магазин!$A$2:$C$1000,2,0)</f>
        <v/>
      </c>
      <c r="I3269">
        <f>VLOOKUP(D3269,Товар!$A$2:$F$1000,3,0)</f>
        <v/>
      </c>
      <c r="J3269">
        <f>VLOOKUP(D3269,Товар!$A$2:$F$1000,5,0)</f>
        <v/>
      </c>
      <c r="K3269">
        <f>IF(AND(H3269="Промышленный",LEFT(I3269,18)="Порошок стиральный",F3269="Продажа",B3269=DATE(2023,6,7)),E3269*J3269/1000,0)</f>
        <v/>
      </c>
    </row>
    <row r="3270">
      <c r="A3270" t="n">
        <v>3269</v>
      </c>
      <c r="B3270" s="1" t="n">
        <v>45091</v>
      </c>
      <c r="C3270" s="5" t="inlineStr">
        <is>
          <t>M1</t>
        </is>
      </c>
      <c r="D3270" s="5" t="n">
        <v>29</v>
      </c>
      <c r="E3270" s="5" t="n">
        <v>178</v>
      </c>
      <c r="F3270" t="inlineStr">
        <is>
          <t>Продажа</t>
        </is>
      </c>
      <c r="H3270">
        <f>VLOOKUP(C3270,Магазин!$A$2:$C$1000,2,0)</f>
        <v/>
      </c>
      <c r="I3270">
        <f>VLOOKUP(D3270,Товар!$A$2:$F$1000,3,0)</f>
        <v/>
      </c>
      <c r="J3270">
        <f>VLOOKUP(D3270,Товар!$A$2:$F$1000,5,0)</f>
        <v/>
      </c>
      <c r="K3270">
        <f>IF(AND(H3270="Промышленный",LEFT(I3270,18)="Порошок стиральный",F3270="Продажа",B3270=DATE(2023,6,7)),E3270*J3270/1000,0)</f>
        <v/>
      </c>
    </row>
    <row r="3271">
      <c r="A3271" t="n">
        <v>3270</v>
      </c>
      <c r="B3271" s="1" t="n">
        <v>45091</v>
      </c>
      <c r="C3271" s="5" t="inlineStr">
        <is>
          <t>M1</t>
        </is>
      </c>
      <c r="D3271" s="5" t="n">
        <v>30</v>
      </c>
      <c r="E3271" s="5" t="n">
        <v>146</v>
      </c>
      <c r="F3271" t="inlineStr">
        <is>
          <t>Продажа</t>
        </is>
      </c>
      <c r="H3271">
        <f>VLOOKUP(C3271,Магазин!$A$2:$C$1000,2,0)</f>
        <v/>
      </c>
      <c r="I3271">
        <f>VLOOKUP(D3271,Товар!$A$2:$F$1000,3,0)</f>
        <v/>
      </c>
      <c r="J3271">
        <f>VLOOKUP(D3271,Товар!$A$2:$F$1000,5,0)</f>
        <v/>
      </c>
      <c r="K3271">
        <f>IF(AND(H3271="Промышленный",LEFT(I3271,18)="Порошок стиральный",F3271="Продажа",B3271=DATE(2023,6,7)),E3271*J3271/1000,0)</f>
        <v/>
      </c>
    </row>
    <row r="3272">
      <c r="A3272" t="n">
        <v>3271</v>
      </c>
      <c r="B3272" s="1" t="n">
        <v>45091</v>
      </c>
      <c r="C3272" s="5" t="inlineStr">
        <is>
          <t>M1</t>
        </is>
      </c>
      <c r="D3272" s="5" t="n">
        <v>31</v>
      </c>
      <c r="E3272" s="5" t="n">
        <v>128</v>
      </c>
      <c r="F3272" t="inlineStr">
        <is>
          <t>Продажа</t>
        </is>
      </c>
      <c r="H3272">
        <f>VLOOKUP(C3272,Магазин!$A$2:$C$1000,2,0)</f>
        <v/>
      </c>
      <c r="I3272">
        <f>VLOOKUP(D3272,Товар!$A$2:$F$1000,3,0)</f>
        <v/>
      </c>
      <c r="J3272">
        <f>VLOOKUP(D3272,Товар!$A$2:$F$1000,5,0)</f>
        <v/>
      </c>
      <c r="K3272">
        <f>IF(AND(H3272="Промышленный",LEFT(I3272,18)="Порошок стиральный",F3272="Продажа",B3272=DATE(2023,6,7)),E3272*J3272/1000,0)</f>
        <v/>
      </c>
    </row>
    <row r="3273">
      <c r="A3273" t="n">
        <v>3272</v>
      </c>
      <c r="B3273" s="1" t="n">
        <v>45091</v>
      </c>
      <c r="C3273" s="5" t="inlineStr">
        <is>
          <t>M1</t>
        </is>
      </c>
      <c r="D3273" s="5" t="n">
        <v>32</v>
      </c>
      <c r="E3273" s="5" t="n">
        <v>191</v>
      </c>
      <c r="F3273" t="inlineStr">
        <is>
          <t>Продажа</t>
        </is>
      </c>
      <c r="H3273">
        <f>VLOOKUP(C3273,Магазин!$A$2:$C$1000,2,0)</f>
        <v/>
      </c>
      <c r="I3273">
        <f>VLOOKUP(D3273,Товар!$A$2:$F$1000,3,0)</f>
        <v/>
      </c>
      <c r="J3273">
        <f>VLOOKUP(D3273,Товар!$A$2:$F$1000,5,0)</f>
        <v/>
      </c>
      <c r="K3273">
        <f>IF(AND(H3273="Промышленный",LEFT(I3273,18)="Порошок стиральный",F3273="Продажа",B3273=DATE(2023,6,7)),E3273*J3273/1000,0)</f>
        <v/>
      </c>
    </row>
    <row r="3274">
      <c r="A3274" t="n">
        <v>3273</v>
      </c>
      <c r="B3274" s="1" t="n">
        <v>45091</v>
      </c>
      <c r="C3274" s="5" t="inlineStr">
        <is>
          <t>M1</t>
        </is>
      </c>
      <c r="D3274" s="5" t="n">
        <v>33</v>
      </c>
      <c r="E3274" s="5" t="n">
        <v>165</v>
      </c>
      <c r="F3274" t="inlineStr">
        <is>
          <t>Продажа</t>
        </is>
      </c>
      <c r="H3274">
        <f>VLOOKUP(C3274,Магазин!$A$2:$C$1000,2,0)</f>
        <v/>
      </c>
      <c r="I3274">
        <f>VLOOKUP(D3274,Товар!$A$2:$F$1000,3,0)</f>
        <v/>
      </c>
      <c r="J3274">
        <f>VLOOKUP(D3274,Товар!$A$2:$F$1000,5,0)</f>
        <v/>
      </c>
      <c r="K3274">
        <f>IF(AND(H3274="Промышленный",LEFT(I3274,18)="Порошок стиральный",F3274="Продажа",B3274=DATE(2023,6,7)),E3274*J3274/1000,0)</f>
        <v/>
      </c>
    </row>
    <row r="3275">
      <c r="A3275" t="n">
        <v>3274</v>
      </c>
      <c r="B3275" s="1" t="n">
        <v>45091</v>
      </c>
      <c r="C3275" s="5" t="inlineStr">
        <is>
          <t>M1</t>
        </is>
      </c>
      <c r="D3275" s="5" t="n">
        <v>34</v>
      </c>
      <c r="E3275" s="5" t="n">
        <v>167</v>
      </c>
      <c r="F3275" t="inlineStr">
        <is>
          <t>Продажа</t>
        </is>
      </c>
      <c r="H3275">
        <f>VLOOKUP(C3275,Магазин!$A$2:$C$1000,2,0)</f>
        <v/>
      </c>
      <c r="I3275">
        <f>VLOOKUP(D3275,Товар!$A$2:$F$1000,3,0)</f>
        <v/>
      </c>
      <c r="J3275">
        <f>VLOOKUP(D3275,Товар!$A$2:$F$1000,5,0)</f>
        <v/>
      </c>
      <c r="K3275">
        <f>IF(AND(H3275="Промышленный",LEFT(I3275,18)="Порошок стиральный",F3275="Продажа",B3275=DATE(2023,6,7)),E3275*J3275/1000,0)</f>
        <v/>
      </c>
    </row>
    <row r="3276">
      <c r="A3276" t="n">
        <v>3275</v>
      </c>
      <c r="B3276" s="1" t="n">
        <v>45091</v>
      </c>
      <c r="C3276" s="5" t="inlineStr">
        <is>
          <t>M1</t>
        </is>
      </c>
      <c r="D3276" s="5" t="n">
        <v>35</v>
      </c>
      <c r="E3276" s="5" t="n">
        <v>132</v>
      </c>
      <c r="F3276" t="inlineStr">
        <is>
          <t>Продажа</t>
        </is>
      </c>
      <c r="H3276">
        <f>VLOOKUP(C3276,Магазин!$A$2:$C$1000,2,0)</f>
        <v/>
      </c>
      <c r="I3276">
        <f>VLOOKUP(D3276,Товар!$A$2:$F$1000,3,0)</f>
        <v/>
      </c>
      <c r="J3276">
        <f>VLOOKUP(D3276,Товар!$A$2:$F$1000,5,0)</f>
        <v/>
      </c>
      <c r="K3276">
        <f>IF(AND(H3276="Промышленный",LEFT(I3276,18)="Порошок стиральный",F3276="Продажа",B3276=DATE(2023,6,7)),E3276*J3276/1000,0)</f>
        <v/>
      </c>
    </row>
    <row r="3277">
      <c r="A3277" t="n">
        <v>3276</v>
      </c>
      <c r="B3277" s="1" t="n">
        <v>45091</v>
      </c>
      <c r="C3277" s="5" t="inlineStr">
        <is>
          <t>M1</t>
        </is>
      </c>
      <c r="D3277" s="5" t="n">
        <v>36</v>
      </c>
      <c r="E3277" s="5" t="n">
        <v>105</v>
      </c>
      <c r="F3277" t="inlineStr">
        <is>
          <t>Продажа</t>
        </is>
      </c>
      <c r="H3277">
        <f>VLOOKUP(C3277,Магазин!$A$2:$C$1000,2,0)</f>
        <v/>
      </c>
      <c r="I3277">
        <f>VLOOKUP(D3277,Товар!$A$2:$F$1000,3,0)</f>
        <v/>
      </c>
      <c r="J3277">
        <f>VLOOKUP(D3277,Товар!$A$2:$F$1000,5,0)</f>
        <v/>
      </c>
      <c r="K3277">
        <f>IF(AND(H3277="Промышленный",LEFT(I3277,18)="Порошок стиральный",F3277="Продажа",B3277=DATE(2023,6,7)),E3277*J3277/1000,0)</f>
        <v/>
      </c>
    </row>
    <row r="3278">
      <c r="A3278" t="n">
        <v>3277</v>
      </c>
      <c r="B3278" s="1" t="n">
        <v>45091</v>
      </c>
      <c r="C3278" s="5" t="inlineStr">
        <is>
          <t>M5</t>
        </is>
      </c>
      <c r="D3278" s="5" t="n">
        <v>1</v>
      </c>
      <c r="E3278" s="5" t="n">
        <v>114</v>
      </c>
      <c r="F3278" t="inlineStr">
        <is>
          <t>Продажа</t>
        </is>
      </c>
      <c r="H3278">
        <f>VLOOKUP(C3278,Магазин!$A$2:$C$1000,2,0)</f>
        <v/>
      </c>
      <c r="I3278">
        <f>VLOOKUP(D3278,Товар!$A$2:$F$1000,3,0)</f>
        <v/>
      </c>
      <c r="J3278">
        <f>VLOOKUP(D3278,Товар!$A$2:$F$1000,5,0)</f>
        <v/>
      </c>
      <c r="K3278">
        <f>IF(AND(H3278="Промышленный",LEFT(I3278,18)="Порошок стиральный",F3278="Продажа",B3278=DATE(2023,6,7)),E3278*J3278/1000,0)</f>
        <v/>
      </c>
    </row>
    <row r="3279">
      <c r="A3279" t="n">
        <v>3278</v>
      </c>
      <c r="B3279" s="1" t="n">
        <v>45091</v>
      </c>
      <c r="C3279" s="5" t="inlineStr">
        <is>
          <t>M5</t>
        </is>
      </c>
      <c r="D3279" s="5" t="n">
        <v>2</v>
      </c>
      <c r="E3279" s="5" t="n">
        <v>192</v>
      </c>
      <c r="F3279" t="inlineStr">
        <is>
          <t>Продажа</t>
        </is>
      </c>
      <c r="H3279">
        <f>VLOOKUP(C3279,Магазин!$A$2:$C$1000,2,0)</f>
        <v/>
      </c>
      <c r="I3279">
        <f>VLOOKUP(D3279,Товар!$A$2:$F$1000,3,0)</f>
        <v/>
      </c>
      <c r="J3279">
        <f>VLOOKUP(D3279,Товар!$A$2:$F$1000,5,0)</f>
        <v/>
      </c>
      <c r="K3279">
        <f>IF(AND(H3279="Промышленный",LEFT(I3279,18)="Порошок стиральный",F3279="Продажа",B3279=DATE(2023,6,7)),E3279*J3279/1000,0)</f>
        <v/>
      </c>
    </row>
    <row r="3280">
      <c r="A3280" t="n">
        <v>3279</v>
      </c>
      <c r="B3280" s="1" t="n">
        <v>45091</v>
      </c>
      <c r="C3280" s="5" t="inlineStr">
        <is>
          <t>M5</t>
        </is>
      </c>
      <c r="D3280" s="5" t="n">
        <v>3</v>
      </c>
      <c r="E3280" s="5" t="n">
        <v>145</v>
      </c>
      <c r="F3280" t="inlineStr">
        <is>
          <t>Продажа</t>
        </is>
      </c>
      <c r="H3280">
        <f>VLOOKUP(C3280,Магазин!$A$2:$C$1000,2,0)</f>
        <v/>
      </c>
      <c r="I3280">
        <f>VLOOKUP(D3280,Товар!$A$2:$F$1000,3,0)</f>
        <v/>
      </c>
      <c r="J3280">
        <f>VLOOKUP(D3280,Товар!$A$2:$F$1000,5,0)</f>
        <v/>
      </c>
      <c r="K3280">
        <f>IF(AND(H3280="Промышленный",LEFT(I3280,18)="Порошок стиральный",F3280="Продажа",B3280=DATE(2023,6,7)),E3280*J3280/1000,0)</f>
        <v/>
      </c>
    </row>
    <row r="3281">
      <c r="A3281" t="n">
        <v>3280</v>
      </c>
      <c r="B3281" s="1" t="n">
        <v>45091</v>
      </c>
      <c r="C3281" s="5" t="inlineStr">
        <is>
          <t>M5</t>
        </is>
      </c>
      <c r="D3281" s="5" t="n">
        <v>4</v>
      </c>
      <c r="E3281" s="5" t="n">
        <v>163</v>
      </c>
      <c r="F3281" t="inlineStr">
        <is>
          <t>Продажа</t>
        </is>
      </c>
      <c r="H3281">
        <f>VLOOKUP(C3281,Магазин!$A$2:$C$1000,2,0)</f>
        <v/>
      </c>
      <c r="I3281">
        <f>VLOOKUP(D3281,Товар!$A$2:$F$1000,3,0)</f>
        <v/>
      </c>
      <c r="J3281">
        <f>VLOOKUP(D3281,Товар!$A$2:$F$1000,5,0)</f>
        <v/>
      </c>
      <c r="K3281">
        <f>IF(AND(H3281="Промышленный",LEFT(I3281,18)="Порошок стиральный",F3281="Продажа",B3281=DATE(2023,6,7)),E3281*J3281/1000,0)</f>
        <v/>
      </c>
    </row>
    <row r="3282">
      <c r="A3282" t="n">
        <v>3281</v>
      </c>
      <c r="B3282" s="1" t="n">
        <v>45091</v>
      </c>
      <c r="C3282" s="5" t="inlineStr">
        <is>
          <t>M5</t>
        </is>
      </c>
      <c r="D3282" s="5" t="n">
        <v>5</v>
      </c>
      <c r="E3282" s="5" t="n">
        <v>128</v>
      </c>
      <c r="F3282" t="inlineStr">
        <is>
          <t>Продажа</t>
        </is>
      </c>
      <c r="H3282">
        <f>VLOOKUP(C3282,Магазин!$A$2:$C$1000,2,0)</f>
        <v/>
      </c>
      <c r="I3282">
        <f>VLOOKUP(D3282,Товар!$A$2:$F$1000,3,0)</f>
        <v/>
      </c>
      <c r="J3282">
        <f>VLOOKUP(D3282,Товар!$A$2:$F$1000,5,0)</f>
        <v/>
      </c>
      <c r="K3282">
        <f>IF(AND(H3282="Промышленный",LEFT(I3282,18)="Порошок стиральный",F3282="Продажа",B3282=DATE(2023,6,7)),E3282*J3282/1000,0)</f>
        <v/>
      </c>
    </row>
    <row r="3283">
      <c r="A3283" t="n">
        <v>3282</v>
      </c>
      <c r="B3283" s="1" t="n">
        <v>45091</v>
      </c>
      <c r="C3283" s="5" t="inlineStr">
        <is>
          <t>M5</t>
        </is>
      </c>
      <c r="D3283" s="5" t="n">
        <v>6</v>
      </c>
      <c r="E3283" s="5" t="n">
        <v>145</v>
      </c>
      <c r="F3283" t="inlineStr">
        <is>
          <t>Продажа</t>
        </is>
      </c>
      <c r="H3283">
        <f>VLOOKUP(C3283,Магазин!$A$2:$C$1000,2,0)</f>
        <v/>
      </c>
      <c r="I3283">
        <f>VLOOKUP(D3283,Товар!$A$2:$F$1000,3,0)</f>
        <v/>
      </c>
      <c r="J3283">
        <f>VLOOKUP(D3283,Товар!$A$2:$F$1000,5,0)</f>
        <v/>
      </c>
      <c r="K3283">
        <f>IF(AND(H3283="Промышленный",LEFT(I3283,18)="Порошок стиральный",F3283="Продажа",B3283=DATE(2023,6,7)),E3283*J3283/1000,0)</f>
        <v/>
      </c>
    </row>
    <row r="3284">
      <c r="A3284" t="n">
        <v>3283</v>
      </c>
      <c r="B3284" s="1" t="n">
        <v>45091</v>
      </c>
      <c r="C3284" s="5" t="inlineStr">
        <is>
          <t>M5</t>
        </is>
      </c>
      <c r="D3284" s="5" t="n">
        <v>7</v>
      </c>
      <c r="E3284" s="5" t="n">
        <v>138</v>
      </c>
      <c r="F3284" t="inlineStr">
        <is>
          <t>Продажа</t>
        </is>
      </c>
      <c r="H3284">
        <f>VLOOKUP(C3284,Магазин!$A$2:$C$1000,2,0)</f>
        <v/>
      </c>
      <c r="I3284">
        <f>VLOOKUP(D3284,Товар!$A$2:$F$1000,3,0)</f>
        <v/>
      </c>
      <c r="J3284">
        <f>VLOOKUP(D3284,Товар!$A$2:$F$1000,5,0)</f>
        <v/>
      </c>
      <c r="K3284">
        <f>IF(AND(H3284="Промышленный",LEFT(I3284,18)="Порошок стиральный",F3284="Продажа",B3284=DATE(2023,6,7)),E3284*J3284/1000,0)</f>
        <v/>
      </c>
    </row>
    <row r="3285">
      <c r="A3285" t="n">
        <v>3284</v>
      </c>
      <c r="B3285" s="1" t="n">
        <v>45091</v>
      </c>
      <c r="C3285" s="5" t="inlineStr">
        <is>
          <t>M5</t>
        </is>
      </c>
      <c r="D3285" s="5" t="n">
        <v>8</v>
      </c>
      <c r="E3285" s="5" t="n">
        <v>164</v>
      </c>
      <c r="F3285" t="inlineStr">
        <is>
          <t>Продажа</t>
        </is>
      </c>
      <c r="H3285">
        <f>VLOOKUP(C3285,Магазин!$A$2:$C$1000,2,0)</f>
        <v/>
      </c>
      <c r="I3285">
        <f>VLOOKUP(D3285,Товар!$A$2:$F$1000,3,0)</f>
        <v/>
      </c>
      <c r="J3285">
        <f>VLOOKUP(D3285,Товар!$A$2:$F$1000,5,0)</f>
        <v/>
      </c>
      <c r="K3285">
        <f>IF(AND(H3285="Промышленный",LEFT(I3285,18)="Порошок стиральный",F3285="Продажа",B3285=DATE(2023,6,7)),E3285*J3285/1000,0)</f>
        <v/>
      </c>
    </row>
    <row r="3286">
      <c r="A3286" t="n">
        <v>3285</v>
      </c>
      <c r="B3286" s="1" t="n">
        <v>45091</v>
      </c>
      <c r="C3286" s="5" t="inlineStr">
        <is>
          <t>M5</t>
        </is>
      </c>
      <c r="D3286" s="5" t="n">
        <v>9</v>
      </c>
      <c r="E3286" s="5" t="n">
        <v>176</v>
      </c>
      <c r="F3286" t="inlineStr">
        <is>
          <t>Продажа</t>
        </is>
      </c>
      <c r="H3286">
        <f>VLOOKUP(C3286,Магазин!$A$2:$C$1000,2,0)</f>
        <v/>
      </c>
      <c r="I3286">
        <f>VLOOKUP(D3286,Товар!$A$2:$F$1000,3,0)</f>
        <v/>
      </c>
      <c r="J3286">
        <f>VLOOKUP(D3286,Товар!$A$2:$F$1000,5,0)</f>
        <v/>
      </c>
      <c r="K3286">
        <f>IF(AND(H3286="Промышленный",LEFT(I3286,18)="Порошок стиральный",F3286="Продажа",B3286=DATE(2023,6,7)),E3286*J3286/1000,0)</f>
        <v/>
      </c>
    </row>
    <row r="3287">
      <c r="A3287" t="n">
        <v>3286</v>
      </c>
      <c r="B3287" s="1" t="n">
        <v>45091</v>
      </c>
      <c r="C3287" s="5" t="inlineStr">
        <is>
          <t>M5</t>
        </is>
      </c>
      <c r="D3287" s="5" t="n">
        <v>10</v>
      </c>
      <c r="E3287" s="5" t="n">
        <v>128</v>
      </c>
      <c r="F3287" t="inlineStr">
        <is>
          <t>Продажа</t>
        </is>
      </c>
      <c r="H3287">
        <f>VLOOKUP(C3287,Магазин!$A$2:$C$1000,2,0)</f>
        <v/>
      </c>
      <c r="I3287">
        <f>VLOOKUP(D3287,Товар!$A$2:$F$1000,3,0)</f>
        <v/>
      </c>
      <c r="J3287">
        <f>VLOOKUP(D3287,Товар!$A$2:$F$1000,5,0)</f>
        <v/>
      </c>
      <c r="K3287">
        <f>IF(AND(H3287="Промышленный",LEFT(I3287,18)="Порошок стиральный",F3287="Продажа",B3287=DATE(2023,6,7)),E3287*J3287/1000,0)</f>
        <v/>
      </c>
    </row>
    <row r="3288">
      <c r="A3288" t="n">
        <v>3287</v>
      </c>
      <c r="B3288" s="1" t="n">
        <v>45091</v>
      </c>
      <c r="C3288" s="5" t="inlineStr">
        <is>
          <t>M5</t>
        </is>
      </c>
      <c r="D3288" s="5" t="n">
        <v>11</v>
      </c>
      <c r="E3288" s="5" t="n">
        <v>146</v>
      </c>
      <c r="F3288" t="inlineStr">
        <is>
          <t>Продажа</t>
        </is>
      </c>
      <c r="H3288">
        <f>VLOOKUP(C3288,Магазин!$A$2:$C$1000,2,0)</f>
        <v/>
      </c>
      <c r="I3288">
        <f>VLOOKUP(D3288,Товар!$A$2:$F$1000,3,0)</f>
        <v/>
      </c>
      <c r="J3288">
        <f>VLOOKUP(D3288,Товар!$A$2:$F$1000,5,0)</f>
        <v/>
      </c>
      <c r="K3288">
        <f>IF(AND(H3288="Промышленный",LEFT(I3288,18)="Порошок стиральный",F3288="Продажа",B3288=DATE(2023,6,7)),E3288*J3288/1000,0)</f>
        <v/>
      </c>
    </row>
    <row r="3289">
      <c r="A3289" t="n">
        <v>3288</v>
      </c>
      <c r="B3289" s="1" t="n">
        <v>45091</v>
      </c>
      <c r="C3289" s="5" t="inlineStr">
        <is>
          <t>M5</t>
        </is>
      </c>
      <c r="D3289" s="5" t="n">
        <v>12</v>
      </c>
      <c r="E3289" s="5" t="n">
        <v>173</v>
      </c>
      <c r="F3289" t="inlineStr">
        <is>
          <t>Продажа</t>
        </is>
      </c>
      <c r="H3289">
        <f>VLOOKUP(C3289,Магазин!$A$2:$C$1000,2,0)</f>
        <v/>
      </c>
      <c r="I3289">
        <f>VLOOKUP(D3289,Товар!$A$2:$F$1000,3,0)</f>
        <v/>
      </c>
      <c r="J3289">
        <f>VLOOKUP(D3289,Товар!$A$2:$F$1000,5,0)</f>
        <v/>
      </c>
      <c r="K3289">
        <f>IF(AND(H3289="Промышленный",LEFT(I3289,18)="Порошок стиральный",F3289="Продажа",B3289=DATE(2023,6,7)),E3289*J3289/1000,0)</f>
        <v/>
      </c>
    </row>
    <row r="3290">
      <c r="A3290" t="n">
        <v>3289</v>
      </c>
      <c r="B3290" s="1" t="n">
        <v>45091</v>
      </c>
      <c r="C3290" s="5" t="inlineStr">
        <is>
          <t>M5</t>
        </is>
      </c>
      <c r="D3290" s="5" t="n">
        <v>13</v>
      </c>
      <c r="E3290" s="5" t="n">
        <v>180</v>
      </c>
      <c r="F3290" t="inlineStr">
        <is>
          <t>Продажа</t>
        </is>
      </c>
      <c r="H3290">
        <f>VLOOKUP(C3290,Магазин!$A$2:$C$1000,2,0)</f>
        <v/>
      </c>
      <c r="I3290">
        <f>VLOOKUP(D3290,Товар!$A$2:$F$1000,3,0)</f>
        <v/>
      </c>
      <c r="J3290">
        <f>VLOOKUP(D3290,Товар!$A$2:$F$1000,5,0)</f>
        <v/>
      </c>
      <c r="K3290">
        <f>IF(AND(H3290="Промышленный",LEFT(I3290,18)="Порошок стиральный",F3290="Продажа",B3290=DATE(2023,6,7)),E3290*J3290/1000,0)</f>
        <v/>
      </c>
    </row>
    <row r="3291">
      <c r="A3291" t="n">
        <v>3290</v>
      </c>
      <c r="B3291" s="1" t="n">
        <v>45091</v>
      </c>
      <c r="C3291" s="5" t="inlineStr">
        <is>
          <t>M5</t>
        </is>
      </c>
      <c r="D3291" s="5" t="n">
        <v>14</v>
      </c>
      <c r="E3291" s="5" t="n">
        <v>142</v>
      </c>
      <c r="F3291" t="inlineStr">
        <is>
          <t>Продажа</t>
        </is>
      </c>
      <c r="H3291">
        <f>VLOOKUP(C3291,Магазин!$A$2:$C$1000,2,0)</f>
        <v/>
      </c>
      <c r="I3291">
        <f>VLOOKUP(D3291,Товар!$A$2:$F$1000,3,0)</f>
        <v/>
      </c>
      <c r="J3291">
        <f>VLOOKUP(D3291,Товар!$A$2:$F$1000,5,0)</f>
        <v/>
      </c>
      <c r="K3291">
        <f>IF(AND(H3291="Промышленный",LEFT(I3291,18)="Порошок стиральный",F3291="Продажа",B3291=DATE(2023,6,7)),E3291*J3291/1000,0)</f>
        <v/>
      </c>
    </row>
    <row r="3292">
      <c r="A3292" t="n">
        <v>3291</v>
      </c>
      <c r="B3292" s="1" t="n">
        <v>45091</v>
      </c>
      <c r="C3292" s="5" t="inlineStr">
        <is>
          <t>M5</t>
        </is>
      </c>
      <c r="D3292" s="5" t="n">
        <v>15</v>
      </c>
      <c r="E3292" s="5" t="n">
        <v>156</v>
      </c>
      <c r="F3292" t="inlineStr">
        <is>
          <t>Продажа</t>
        </is>
      </c>
      <c r="H3292">
        <f>VLOOKUP(C3292,Магазин!$A$2:$C$1000,2,0)</f>
        <v/>
      </c>
      <c r="I3292">
        <f>VLOOKUP(D3292,Товар!$A$2:$F$1000,3,0)</f>
        <v/>
      </c>
      <c r="J3292">
        <f>VLOOKUP(D3292,Товар!$A$2:$F$1000,5,0)</f>
        <v/>
      </c>
      <c r="K3292">
        <f>IF(AND(H3292="Промышленный",LEFT(I3292,18)="Порошок стиральный",F3292="Продажа",B3292=DATE(2023,6,7)),E3292*J3292/1000,0)</f>
        <v/>
      </c>
    </row>
    <row r="3293">
      <c r="A3293" t="n">
        <v>3292</v>
      </c>
      <c r="B3293" s="1" t="n">
        <v>45091</v>
      </c>
      <c r="C3293" s="5" t="inlineStr">
        <is>
          <t>M5</t>
        </is>
      </c>
      <c r="D3293" s="5" t="n">
        <v>16</v>
      </c>
      <c r="E3293" s="5" t="n">
        <v>144</v>
      </c>
      <c r="F3293" t="inlineStr">
        <is>
          <t>Продажа</t>
        </is>
      </c>
      <c r="H3293">
        <f>VLOOKUP(C3293,Магазин!$A$2:$C$1000,2,0)</f>
        <v/>
      </c>
      <c r="I3293">
        <f>VLOOKUP(D3293,Товар!$A$2:$F$1000,3,0)</f>
        <v/>
      </c>
      <c r="J3293">
        <f>VLOOKUP(D3293,Товар!$A$2:$F$1000,5,0)</f>
        <v/>
      </c>
      <c r="K3293">
        <f>IF(AND(H3293="Промышленный",LEFT(I3293,18)="Порошок стиральный",F3293="Продажа",B3293=DATE(2023,6,7)),E3293*J3293/1000,0)</f>
        <v/>
      </c>
    </row>
    <row r="3294">
      <c r="A3294" t="n">
        <v>3293</v>
      </c>
      <c r="B3294" s="1" t="n">
        <v>45091</v>
      </c>
      <c r="C3294" s="5" t="inlineStr">
        <is>
          <t>M5</t>
        </is>
      </c>
      <c r="D3294" s="5" t="n">
        <v>17</v>
      </c>
      <c r="E3294" s="5" t="n">
        <v>178</v>
      </c>
      <c r="F3294" t="inlineStr">
        <is>
          <t>Продажа</t>
        </is>
      </c>
      <c r="H3294">
        <f>VLOOKUP(C3294,Магазин!$A$2:$C$1000,2,0)</f>
        <v/>
      </c>
      <c r="I3294">
        <f>VLOOKUP(D3294,Товар!$A$2:$F$1000,3,0)</f>
        <v/>
      </c>
      <c r="J3294">
        <f>VLOOKUP(D3294,Товар!$A$2:$F$1000,5,0)</f>
        <v/>
      </c>
      <c r="K3294">
        <f>IF(AND(H3294="Промышленный",LEFT(I3294,18)="Порошок стиральный",F3294="Продажа",B3294=DATE(2023,6,7)),E3294*J3294/1000,0)</f>
        <v/>
      </c>
    </row>
    <row r="3295">
      <c r="A3295" t="n">
        <v>3294</v>
      </c>
      <c r="B3295" s="1" t="n">
        <v>45091</v>
      </c>
      <c r="C3295" s="5" t="inlineStr">
        <is>
          <t>M5</t>
        </is>
      </c>
      <c r="D3295" s="5" t="n">
        <v>18</v>
      </c>
      <c r="E3295" s="5" t="n">
        <v>169</v>
      </c>
      <c r="F3295" t="inlineStr">
        <is>
          <t>Продажа</t>
        </is>
      </c>
      <c r="H3295">
        <f>VLOOKUP(C3295,Магазин!$A$2:$C$1000,2,0)</f>
        <v/>
      </c>
      <c r="I3295">
        <f>VLOOKUP(D3295,Товар!$A$2:$F$1000,3,0)</f>
        <v/>
      </c>
      <c r="J3295">
        <f>VLOOKUP(D3295,Товар!$A$2:$F$1000,5,0)</f>
        <v/>
      </c>
      <c r="K3295">
        <f>IF(AND(H3295="Промышленный",LEFT(I3295,18)="Порошок стиральный",F3295="Продажа",B3295=DATE(2023,6,7)),E3295*J3295/1000,0)</f>
        <v/>
      </c>
    </row>
    <row r="3296">
      <c r="A3296" t="n">
        <v>3295</v>
      </c>
      <c r="B3296" s="1" t="n">
        <v>45091</v>
      </c>
      <c r="C3296" s="5" t="inlineStr">
        <is>
          <t>M5</t>
        </is>
      </c>
      <c r="D3296" s="5" t="n">
        <v>19</v>
      </c>
      <c r="E3296" s="5" t="n">
        <v>196</v>
      </c>
      <c r="F3296" t="inlineStr">
        <is>
          <t>Продажа</t>
        </is>
      </c>
      <c r="H3296">
        <f>VLOOKUP(C3296,Магазин!$A$2:$C$1000,2,0)</f>
        <v/>
      </c>
      <c r="I3296">
        <f>VLOOKUP(D3296,Товар!$A$2:$F$1000,3,0)</f>
        <v/>
      </c>
      <c r="J3296">
        <f>VLOOKUP(D3296,Товар!$A$2:$F$1000,5,0)</f>
        <v/>
      </c>
      <c r="K3296">
        <f>IF(AND(H3296="Промышленный",LEFT(I3296,18)="Порошок стиральный",F3296="Продажа",B3296=DATE(2023,6,7)),E3296*J3296/1000,0)</f>
        <v/>
      </c>
    </row>
    <row r="3297">
      <c r="A3297" t="n">
        <v>3296</v>
      </c>
      <c r="B3297" s="1" t="n">
        <v>45091</v>
      </c>
      <c r="C3297" s="5" t="inlineStr">
        <is>
          <t>M5</t>
        </is>
      </c>
      <c r="D3297" s="5" t="n">
        <v>20</v>
      </c>
      <c r="E3297" s="5" t="n">
        <v>123</v>
      </c>
      <c r="F3297" t="inlineStr">
        <is>
          <t>Продажа</t>
        </is>
      </c>
      <c r="H3297">
        <f>VLOOKUP(C3297,Магазин!$A$2:$C$1000,2,0)</f>
        <v/>
      </c>
      <c r="I3297">
        <f>VLOOKUP(D3297,Товар!$A$2:$F$1000,3,0)</f>
        <v/>
      </c>
      <c r="J3297">
        <f>VLOOKUP(D3297,Товар!$A$2:$F$1000,5,0)</f>
        <v/>
      </c>
      <c r="K3297">
        <f>IF(AND(H3297="Промышленный",LEFT(I3297,18)="Порошок стиральный",F3297="Продажа",B3297=DATE(2023,6,7)),E3297*J3297/1000,0)</f>
        <v/>
      </c>
    </row>
    <row r="3298">
      <c r="A3298" t="n">
        <v>3297</v>
      </c>
      <c r="B3298" s="1" t="n">
        <v>45091</v>
      </c>
      <c r="C3298" s="5" t="inlineStr">
        <is>
          <t>M5</t>
        </is>
      </c>
      <c r="D3298" s="5" t="n">
        <v>21</v>
      </c>
      <c r="E3298" s="5" t="n">
        <v>111</v>
      </c>
      <c r="F3298" t="inlineStr">
        <is>
          <t>Продажа</t>
        </is>
      </c>
      <c r="H3298">
        <f>VLOOKUP(C3298,Магазин!$A$2:$C$1000,2,0)</f>
        <v/>
      </c>
      <c r="I3298">
        <f>VLOOKUP(D3298,Товар!$A$2:$F$1000,3,0)</f>
        <v/>
      </c>
      <c r="J3298">
        <f>VLOOKUP(D3298,Товар!$A$2:$F$1000,5,0)</f>
        <v/>
      </c>
      <c r="K3298">
        <f>IF(AND(H3298="Промышленный",LEFT(I3298,18)="Порошок стиральный",F3298="Продажа",B3298=DATE(2023,6,7)),E3298*J3298/1000,0)</f>
        <v/>
      </c>
    </row>
    <row r="3299">
      <c r="A3299" t="n">
        <v>3298</v>
      </c>
      <c r="B3299" s="1" t="n">
        <v>45091</v>
      </c>
      <c r="C3299" s="5" t="inlineStr">
        <is>
          <t>M5</t>
        </is>
      </c>
      <c r="D3299" s="5" t="n">
        <v>22</v>
      </c>
      <c r="E3299" s="5" t="n">
        <v>158</v>
      </c>
      <c r="F3299" t="inlineStr">
        <is>
          <t>Продажа</t>
        </is>
      </c>
      <c r="H3299">
        <f>VLOOKUP(C3299,Магазин!$A$2:$C$1000,2,0)</f>
        <v/>
      </c>
      <c r="I3299">
        <f>VLOOKUP(D3299,Товар!$A$2:$F$1000,3,0)</f>
        <v/>
      </c>
      <c r="J3299">
        <f>VLOOKUP(D3299,Товар!$A$2:$F$1000,5,0)</f>
        <v/>
      </c>
      <c r="K3299">
        <f>IF(AND(H3299="Промышленный",LEFT(I3299,18)="Порошок стиральный",F3299="Продажа",B3299=DATE(2023,6,7)),E3299*J3299/1000,0)</f>
        <v/>
      </c>
    </row>
    <row r="3300">
      <c r="A3300" t="n">
        <v>3299</v>
      </c>
      <c r="B3300" s="1" t="n">
        <v>45091</v>
      </c>
      <c r="C3300" s="5" t="inlineStr">
        <is>
          <t>M5</t>
        </is>
      </c>
      <c r="D3300" s="5" t="n">
        <v>23</v>
      </c>
      <c r="E3300" s="5" t="n">
        <v>175</v>
      </c>
      <c r="F3300" t="inlineStr">
        <is>
          <t>Продажа</t>
        </is>
      </c>
      <c r="H3300">
        <f>VLOOKUP(C3300,Магазин!$A$2:$C$1000,2,0)</f>
        <v/>
      </c>
      <c r="I3300">
        <f>VLOOKUP(D3300,Товар!$A$2:$F$1000,3,0)</f>
        <v/>
      </c>
      <c r="J3300">
        <f>VLOOKUP(D3300,Товар!$A$2:$F$1000,5,0)</f>
        <v/>
      </c>
      <c r="K3300">
        <f>IF(AND(H3300="Промышленный",LEFT(I3300,18)="Порошок стиральный",F3300="Продажа",B3300=DATE(2023,6,7)),E3300*J3300/1000,0)</f>
        <v/>
      </c>
    </row>
    <row r="3301">
      <c r="A3301" t="n">
        <v>3300</v>
      </c>
      <c r="B3301" s="1" t="n">
        <v>45091</v>
      </c>
      <c r="C3301" s="5" t="inlineStr">
        <is>
          <t>M5</t>
        </is>
      </c>
      <c r="D3301" s="5" t="n">
        <v>24</v>
      </c>
      <c r="E3301" s="5" t="n">
        <v>114</v>
      </c>
      <c r="F3301" t="inlineStr">
        <is>
          <t>Продажа</t>
        </is>
      </c>
      <c r="H3301">
        <f>VLOOKUP(C3301,Магазин!$A$2:$C$1000,2,0)</f>
        <v/>
      </c>
      <c r="I3301">
        <f>VLOOKUP(D3301,Товар!$A$2:$F$1000,3,0)</f>
        <v/>
      </c>
      <c r="J3301">
        <f>VLOOKUP(D3301,Товар!$A$2:$F$1000,5,0)</f>
        <v/>
      </c>
      <c r="K3301">
        <f>IF(AND(H3301="Промышленный",LEFT(I3301,18)="Порошок стиральный",F3301="Продажа",B3301=DATE(2023,6,7)),E3301*J3301/1000,0)</f>
        <v/>
      </c>
    </row>
    <row r="3302">
      <c r="A3302" t="n">
        <v>3301</v>
      </c>
      <c r="B3302" s="1" t="n">
        <v>45091</v>
      </c>
      <c r="C3302" s="5" t="inlineStr">
        <is>
          <t>M5</t>
        </is>
      </c>
      <c r="D3302" s="5" t="n">
        <v>25</v>
      </c>
      <c r="E3302" s="5" t="n">
        <v>139</v>
      </c>
      <c r="F3302" t="inlineStr">
        <is>
          <t>Продажа</t>
        </is>
      </c>
      <c r="H3302">
        <f>VLOOKUP(C3302,Магазин!$A$2:$C$1000,2,0)</f>
        <v/>
      </c>
      <c r="I3302">
        <f>VLOOKUP(D3302,Товар!$A$2:$F$1000,3,0)</f>
        <v/>
      </c>
      <c r="J3302">
        <f>VLOOKUP(D3302,Товар!$A$2:$F$1000,5,0)</f>
        <v/>
      </c>
      <c r="K3302">
        <f>IF(AND(H3302="Промышленный",LEFT(I3302,18)="Порошок стиральный",F3302="Продажа",B3302=DATE(2023,6,7)),E3302*J3302/1000,0)</f>
        <v/>
      </c>
    </row>
    <row r="3303">
      <c r="A3303" t="n">
        <v>3302</v>
      </c>
      <c r="B3303" s="1" t="n">
        <v>45091</v>
      </c>
      <c r="C3303" s="5" t="inlineStr">
        <is>
          <t>M5</t>
        </is>
      </c>
      <c r="D3303" s="5" t="n">
        <v>26</v>
      </c>
      <c r="E3303" s="5" t="n">
        <v>141</v>
      </c>
      <c r="F3303" t="inlineStr">
        <is>
          <t>Продажа</t>
        </is>
      </c>
      <c r="H3303">
        <f>VLOOKUP(C3303,Магазин!$A$2:$C$1000,2,0)</f>
        <v/>
      </c>
      <c r="I3303">
        <f>VLOOKUP(D3303,Товар!$A$2:$F$1000,3,0)</f>
        <v/>
      </c>
      <c r="J3303">
        <f>VLOOKUP(D3303,Товар!$A$2:$F$1000,5,0)</f>
        <v/>
      </c>
      <c r="K3303">
        <f>IF(AND(H3303="Промышленный",LEFT(I3303,18)="Порошок стиральный",F3303="Продажа",B3303=DATE(2023,6,7)),E3303*J3303/1000,0)</f>
        <v/>
      </c>
    </row>
    <row r="3304">
      <c r="A3304" t="n">
        <v>3303</v>
      </c>
      <c r="B3304" s="1" t="n">
        <v>45091</v>
      </c>
      <c r="C3304" s="5" t="inlineStr">
        <is>
          <t>M5</t>
        </is>
      </c>
      <c r="D3304" s="5" t="n">
        <v>27</v>
      </c>
      <c r="E3304" s="5" t="n">
        <v>122</v>
      </c>
      <c r="F3304" t="inlineStr">
        <is>
          <t>Продажа</t>
        </is>
      </c>
      <c r="H3304">
        <f>VLOOKUP(C3304,Магазин!$A$2:$C$1000,2,0)</f>
        <v/>
      </c>
      <c r="I3304">
        <f>VLOOKUP(D3304,Товар!$A$2:$F$1000,3,0)</f>
        <v/>
      </c>
      <c r="J3304">
        <f>VLOOKUP(D3304,Товар!$A$2:$F$1000,5,0)</f>
        <v/>
      </c>
      <c r="K3304">
        <f>IF(AND(H3304="Промышленный",LEFT(I3304,18)="Порошок стиральный",F3304="Продажа",B3304=DATE(2023,6,7)),E3304*J3304/1000,0)</f>
        <v/>
      </c>
    </row>
    <row r="3305">
      <c r="A3305" t="n">
        <v>3304</v>
      </c>
      <c r="B3305" s="1" t="n">
        <v>45091</v>
      </c>
      <c r="C3305" s="5" t="inlineStr">
        <is>
          <t>M5</t>
        </is>
      </c>
      <c r="D3305" s="5" t="n">
        <v>28</v>
      </c>
      <c r="E3305" s="5" t="n">
        <v>123</v>
      </c>
      <c r="F3305" t="inlineStr">
        <is>
          <t>Продажа</t>
        </is>
      </c>
      <c r="H3305">
        <f>VLOOKUP(C3305,Магазин!$A$2:$C$1000,2,0)</f>
        <v/>
      </c>
      <c r="I3305">
        <f>VLOOKUP(D3305,Товар!$A$2:$F$1000,3,0)</f>
        <v/>
      </c>
      <c r="J3305">
        <f>VLOOKUP(D3305,Товар!$A$2:$F$1000,5,0)</f>
        <v/>
      </c>
      <c r="K3305">
        <f>IF(AND(H3305="Промышленный",LEFT(I3305,18)="Порошок стиральный",F3305="Продажа",B3305=DATE(2023,6,7)),E3305*J3305/1000,0)</f>
        <v/>
      </c>
    </row>
    <row r="3306">
      <c r="A3306" t="n">
        <v>3305</v>
      </c>
      <c r="B3306" s="1" t="n">
        <v>45091</v>
      </c>
      <c r="C3306" s="5" t="inlineStr">
        <is>
          <t>M5</t>
        </is>
      </c>
      <c r="D3306" s="5" t="n">
        <v>29</v>
      </c>
      <c r="E3306" s="5" t="n">
        <v>158</v>
      </c>
      <c r="F3306" t="inlineStr">
        <is>
          <t>Продажа</t>
        </is>
      </c>
      <c r="H3306">
        <f>VLOOKUP(C3306,Магазин!$A$2:$C$1000,2,0)</f>
        <v/>
      </c>
      <c r="I3306">
        <f>VLOOKUP(D3306,Товар!$A$2:$F$1000,3,0)</f>
        <v/>
      </c>
      <c r="J3306">
        <f>VLOOKUP(D3306,Товар!$A$2:$F$1000,5,0)</f>
        <v/>
      </c>
      <c r="K3306">
        <f>IF(AND(H3306="Промышленный",LEFT(I3306,18)="Порошок стиральный",F3306="Продажа",B3306=DATE(2023,6,7)),E3306*J3306/1000,0)</f>
        <v/>
      </c>
    </row>
    <row r="3307">
      <c r="A3307" t="n">
        <v>3306</v>
      </c>
      <c r="B3307" s="1" t="n">
        <v>45091</v>
      </c>
      <c r="C3307" s="5" t="inlineStr">
        <is>
          <t>M5</t>
        </is>
      </c>
      <c r="D3307" s="5" t="n">
        <v>30</v>
      </c>
      <c r="E3307" s="5" t="n">
        <v>146</v>
      </c>
      <c r="F3307" t="inlineStr">
        <is>
          <t>Продажа</t>
        </is>
      </c>
      <c r="H3307">
        <f>VLOOKUP(C3307,Магазин!$A$2:$C$1000,2,0)</f>
        <v/>
      </c>
      <c r="I3307">
        <f>VLOOKUP(D3307,Товар!$A$2:$F$1000,3,0)</f>
        <v/>
      </c>
      <c r="J3307">
        <f>VLOOKUP(D3307,Товар!$A$2:$F$1000,5,0)</f>
        <v/>
      </c>
      <c r="K3307">
        <f>IF(AND(H3307="Промышленный",LEFT(I3307,18)="Порошок стиральный",F3307="Продажа",B3307=DATE(2023,6,7)),E3307*J3307/1000,0)</f>
        <v/>
      </c>
    </row>
    <row r="3308">
      <c r="A3308" t="n">
        <v>3307</v>
      </c>
      <c r="B3308" s="1" t="n">
        <v>45091</v>
      </c>
      <c r="C3308" s="5" t="inlineStr">
        <is>
          <t>M5</t>
        </is>
      </c>
      <c r="D3308" s="5" t="n">
        <v>31</v>
      </c>
      <c r="E3308" s="5" t="n">
        <v>147</v>
      </c>
      <c r="F3308" t="inlineStr">
        <is>
          <t>Продажа</t>
        </is>
      </c>
      <c r="H3308">
        <f>VLOOKUP(C3308,Магазин!$A$2:$C$1000,2,0)</f>
        <v/>
      </c>
      <c r="I3308">
        <f>VLOOKUP(D3308,Товар!$A$2:$F$1000,3,0)</f>
        <v/>
      </c>
      <c r="J3308">
        <f>VLOOKUP(D3308,Товар!$A$2:$F$1000,5,0)</f>
        <v/>
      </c>
      <c r="K3308">
        <f>IF(AND(H3308="Промышленный",LEFT(I3308,18)="Порошок стиральный",F3308="Продажа",B3308=DATE(2023,6,7)),E3308*J3308/1000,0)</f>
        <v/>
      </c>
    </row>
    <row r="3309">
      <c r="A3309" t="n">
        <v>3308</v>
      </c>
      <c r="B3309" s="1" t="n">
        <v>45091</v>
      </c>
      <c r="C3309" s="5" t="inlineStr">
        <is>
          <t>M5</t>
        </is>
      </c>
      <c r="D3309" s="5" t="n">
        <v>32</v>
      </c>
      <c r="E3309" s="5" t="n">
        <v>169</v>
      </c>
      <c r="F3309" t="inlineStr">
        <is>
          <t>Продажа</t>
        </is>
      </c>
      <c r="H3309">
        <f>VLOOKUP(C3309,Магазин!$A$2:$C$1000,2,0)</f>
        <v/>
      </c>
      <c r="I3309">
        <f>VLOOKUP(D3309,Товар!$A$2:$F$1000,3,0)</f>
        <v/>
      </c>
      <c r="J3309">
        <f>VLOOKUP(D3309,Товар!$A$2:$F$1000,5,0)</f>
        <v/>
      </c>
      <c r="K3309">
        <f>IF(AND(H3309="Промышленный",LEFT(I3309,18)="Порошок стиральный",F3309="Продажа",B3309=DATE(2023,6,7)),E3309*J3309/1000,0)</f>
        <v/>
      </c>
    </row>
    <row r="3310">
      <c r="A3310" t="n">
        <v>3309</v>
      </c>
      <c r="B3310" s="1" t="n">
        <v>45091</v>
      </c>
      <c r="C3310" s="5" t="inlineStr">
        <is>
          <t>M5</t>
        </is>
      </c>
      <c r="D3310" s="5" t="n">
        <v>33</v>
      </c>
      <c r="E3310" s="5" t="n">
        <v>199</v>
      </c>
      <c r="F3310" t="inlineStr">
        <is>
          <t>Продажа</t>
        </is>
      </c>
      <c r="H3310">
        <f>VLOOKUP(C3310,Магазин!$A$2:$C$1000,2,0)</f>
        <v/>
      </c>
      <c r="I3310">
        <f>VLOOKUP(D3310,Товар!$A$2:$F$1000,3,0)</f>
        <v/>
      </c>
      <c r="J3310">
        <f>VLOOKUP(D3310,Товар!$A$2:$F$1000,5,0)</f>
        <v/>
      </c>
      <c r="K3310">
        <f>IF(AND(H3310="Промышленный",LEFT(I3310,18)="Порошок стиральный",F3310="Продажа",B3310=DATE(2023,6,7)),E3310*J3310/1000,0)</f>
        <v/>
      </c>
    </row>
    <row r="3311">
      <c r="A3311" t="n">
        <v>3310</v>
      </c>
      <c r="B3311" s="1" t="n">
        <v>45091</v>
      </c>
      <c r="C3311" s="5" t="inlineStr">
        <is>
          <t>M5</t>
        </is>
      </c>
      <c r="D3311" s="5" t="n">
        <v>34</v>
      </c>
      <c r="E3311" s="5" t="n">
        <v>147</v>
      </c>
      <c r="F3311" t="inlineStr">
        <is>
          <t>Продажа</t>
        </is>
      </c>
      <c r="H3311">
        <f>VLOOKUP(C3311,Магазин!$A$2:$C$1000,2,0)</f>
        <v/>
      </c>
      <c r="I3311">
        <f>VLOOKUP(D3311,Товар!$A$2:$F$1000,3,0)</f>
        <v/>
      </c>
      <c r="J3311">
        <f>VLOOKUP(D3311,Товар!$A$2:$F$1000,5,0)</f>
        <v/>
      </c>
      <c r="K3311">
        <f>IF(AND(H3311="Промышленный",LEFT(I3311,18)="Порошок стиральный",F3311="Продажа",B3311=DATE(2023,6,7)),E3311*J3311/1000,0)</f>
        <v/>
      </c>
    </row>
    <row r="3312">
      <c r="A3312" t="n">
        <v>3311</v>
      </c>
      <c r="B3312" s="1" t="n">
        <v>45091</v>
      </c>
      <c r="C3312" s="5" t="inlineStr">
        <is>
          <t>M5</t>
        </is>
      </c>
      <c r="D3312" s="5" t="n">
        <v>35</v>
      </c>
      <c r="E3312" s="5" t="n">
        <v>138</v>
      </c>
      <c r="F3312" t="inlineStr">
        <is>
          <t>Продажа</t>
        </is>
      </c>
      <c r="H3312">
        <f>VLOOKUP(C3312,Магазин!$A$2:$C$1000,2,0)</f>
        <v/>
      </c>
      <c r="I3312">
        <f>VLOOKUP(D3312,Товар!$A$2:$F$1000,3,0)</f>
        <v/>
      </c>
      <c r="J3312">
        <f>VLOOKUP(D3312,Товар!$A$2:$F$1000,5,0)</f>
        <v/>
      </c>
      <c r="K3312">
        <f>IF(AND(H3312="Промышленный",LEFT(I3312,18)="Порошок стиральный",F3312="Продажа",B3312=DATE(2023,6,7)),E3312*J3312/1000,0)</f>
        <v/>
      </c>
    </row>
    <row r="3313">
      <c r="A3313" t="n">
        <v>3312</v>
      </c>
      <c r="B3313" s="1" t="n">
        <v>45091</v>
      </c>
      <c r="C3313" s="5" t="inlineStr">
        <is>
          <t>M5</t>
        </is>
      </c>
      <c r="D3313" s="5" t="n">
        <v>36</v>
      </c>
      <c r="E3313" s="5" t="n">
        <v>129</v>
      </c>
      <c r="F3313" t="inlineStr">
        <is>
          <t>Продажа</t>
        </is>
      </c>
      <c r="H3313">
        <f>VLOOKUP(C3313,Магазин!$A$2:$C$1000,2,0)</f>
        <v/>
      </c>
      <c r="I3313">
        <f>VLOOKUP(D3313,Товар!$A$2:$F$1000,3,0)</f>
        <v/>
      </c>
      <c r="J3313">
        <f>VLOOKUP(D3313,Товар!$A$2:$F$1000,5,0)</f>
        <v/>
      </c>
      <c r="K3313">
        <f>IF(AND(H3313="Промышленный",LEFT(I3313,18)="Порошок стиральный",F3313="Продажа",B3313=DATE(2023,6,7)),E3313*J3313/1000,0)</f>
        <v/>
      </c>
    </row>
    <row r="3314">
      <c r="A3314" t="n">
        <v>3313</v>
      </c>
      <c r="B3314" s="1" t="n">
        <v>45091</v>
      </c>
      <c r="C3314" s="5" t="inlineStr">
        <is>
          <t>M6</t>
        </is>
      </c>
      <c r="D3314" s="5" t="n">
        <v>1</v>
      </c>
      <c r="E3314" s="5" t="n">
        <v>191</v>
      </c>
      <c r="F3314" t="inlineStr">
        <is>
          <t>Продажа</t>
        </is>
      </c>
      <c r="H3314">
        <f>VLOOKUP(C3314,Магазин!$A$2:$C$1000,2,0)</f>
        <v/>
      </c>
      <c r="I3314">
        <f>VLOOKUP(D3314,Товар!$A$2:$F$1000,3,0)</f>
        <v/>
      </c>
      <c r="J3314">
        <f>VLOOKUP(D3314,Товар!$A$2:$F$1000,5,0)</f>
        <v/>
      </c>
      <c r="K3314">
        <f>IF(AND(H3314="Промышленный",LEFT(I3314,18)="Порошок стиральный",F3314="Продажа",B3314=DATE(2023,6,7)),E3314*J3314/1000,0)</f>
        <v/>
      </c>
    </row>
    <row r="3315">
      <c r="A3315" t="n">
        <v>3314</v>
      </c>
      <c r="B3315" s="1" t="n">
        <v>45091</v>
      </c>
      <c r="C3315" s="5" t="inlineStr">
        <is>
          <t>M6</t>
        </is>
      </c>
      <c r="D3315" s="5" t="n">
        <v>2</v>
      </c>
      <c r="E3315" s="5" t="n">
        <v>155</v>
      </c>
      <c r="F3315" t="inlineStr">
        <is>
          <t>Продажа</t>
        </is>
      </c>
      <c r="H3315">
        <f>VLOOKUP(C3315,Магазин!$A$2:$C$1000,2,0)</f>
        <v/>
      </c>
      <c r="I3315">
        <f>VLOOKUP(D3315,Товар!$A$2:$F$1000,3,0)</f>
        <v/>
      </c>
      <c r="J3315">
        <f>VLOOKUP(D3315,Товар!$A$2:$F$1000,5,0)</f>
        <v/>
      </c>
      <c r="K3315">
        <f>IF(AND(H3315="Промышленный",LEFT(I3315,18)="Порошок стиральный",F3315="Продажа",B3315=DATE(2023,6,7)),E3315*J3315/1000,0)</f>
        <v/>
      </c>
    </row>
    <row r="3316">
      <c r="A3316" t="n">
        <v>3315</v>
      </c>
      <c r="B3316" s="1" t="n">
        <v>45091</v>
      </c>
      <c r="C3316" s="5" t="inlineStr">
        <is>
          <t>M6</t>
        </is>
      </c>
      <c r="D3316" s="5" t="n">
        <v>3</v>
      </c>
      <c r="E3316" s="5" t="n">
        <v>143</v>
      </c>
      <c r="F3316" t="inlineStr">
        <is>
          <t>Продажа</t>
        </is>
      </c>
      <c r="H3316">
        <f>VLOOKUP(C3316,Магазин!$A$2:$C$1000,2,0)</f>
        <v/>
      </c>
      <c r="I3316">
        <f>VLOOKUP(D3316,Товар!$A$2:$F$1000,3,0)</f>
        <v/>
      </c>
      <c r="J3316">
        <f>VLOOKUP(D3316,Товар!$A$2:$F$1000,5,0)</f>
        <v/>
      </c>
      <c r="K3316">
        <f>IF(AND(H3316="Промышленный",LEFT(I3316,18)="Порошок стиральный",F3316="Продажа",B3316=DATE(2023,6,7)),E3316*J3316/1000,0)</f>
        <v/>
      </c>
    </row>
    <row r="3317">
      <c r="A3317" t="n">
        <v>3316</v>
      </c>
      <c r="B3317" s="1" t="n">
        <v>45091</v>
      </c>
      <c r="C3317" s="5" t="inlineStr">
        <is>
          <t>M6</t>
        </is>
      </c>
      <c r="D3317" s="5" t="n">
        <v>4</v>
      </c>
      <c r="E3317" s="5" t="n">
        <v>178</v>
      </c>
      <c r="F3317" t="inlineStr">
        <is>
          <t>Продажа</t>
        </is>
      </c>
      <c r="H3317">
        <f>VLOOKUP(C3317,Магазин!$A$2:$C$1000,2,0)</f>
        <v/>
      </c>
      <c r="I3317">
        <f>VLOOKUP(D3317,Товар!$A$2:$F$1000,3,0)</f>
        <v/>
      </c>
      <c r="J3317">
        <f>VLOOKUP(D3317,Товар!$A$2:$F$1000,5,0)</f>
        <v/>
      </c>
      <c r="K3317">
        <f>IF(AND(H3317="Промышленный",LEFT(I3317,18)="Порошок стиральный",F3317="Продажа",B3317=DATE(2023,6,7)),E3317*J3317/1000,0)</f>
        <v/>
      </c>
    </row>
    <row r="3318">
      <c r="A3318" t="n">
        <v>3317</v>
      </c>
      <c r="B3318" s="1" t="n">
        <v>45091</v>
      </c>
      <c r="C3318" s="5" t="inlineStr">
        <is>
          <t>M6</t>
        </is>
      </c>
      <c r="D3318" s="5" t="n">
        <v>5</v>
      </c>
      <c r="E3318" s="5" t="n">
        <v>146</v>
      </c>
      <c r="F3318" t="inlineStr">
        <is>
          <t>Продажа</t>
        </is>
      </c>
      <c r="H3318">
        <f>VLOOKUP(C3318,Магазин!$A$2:$C$1000,2,0)</f>
        <v/>
      </c>
      <c r="I3318">
        <f>VLOOKUP(D3318,Товар!$A$2:$F$1000,3,0)</f>
        <v/>
      </c>
      <c r="J3318">
        <f>VLOOKUP(D3318,Товар!$A$2:$F$1000,5,0)</f>
        <v/>
      </c>
      <c r="K3318">
        <f>IF(AND(H3318="Промышленный",LEFT(I3318,18)="Порошок стиральный",F3318="Продажа",B3318=DATE(2023,6,7)),E3318*J3318/1000,0)</f>
        <v/>
      </c>
    </row>
    <row r="3319">
      <c r="A3319" t="n">
        <v>3318</v>
      </c>
      <c r="B3319" s="1" t="n">
        <v>45091</v>
      </c>
      <c r="C3319" s="5" t="inlineStr">
        <is>
          <t>M6</t>
        </is>
      </c>
      <c r="D3319" s="5" t="n">
        <v>6</v>
      </c>
      <c r="E3319" s="5" t="n">
        <v>128</v>
      </c>
      <c r="F3319" t="inlineStr">
        <is>
          <t>Продажа</t>
        </is>
      </c>
      <c r="H3319">
        <f>VLOOKUP(C3319,Магазин!$A$2:$C$1000,2,0)</f>
        <v/>
      </c>
      <c r="I3319">
        <f>VLOOKUP(D3319,Товар!$A$2:$F$1000,3,0)</f>
        <v/>
      </c>
      <c r="J3319">
        <f>VLOOKUP(D3319,Товар!$A$2:$F$1000,5,0)</f>
        <v/>
      </c>
      <c r="K3319">
        <f>IF(AND(H3319="Промышленный",LEFT(I3319,18)="Порошок стиральный",F3319="Продажа",B3319=DATE(2023,6,7)),E3319*J3319/1000,0)</f>
        <v/>
      </c>
    </row>
    <row r="3320">
      <c r="A3320" t="n">
        <v>3319</v>
      </c>
      <c r="B3320" s="1" t="n">
        <v>45091</v>
      </c>
      <c r="C3320" s="5" t="inlineStr">
        <is>
          <t>M6</t>
        </is>
      </c>
      <c r="D3320" s="5" t="n">
        <v>7</v>
      </c>
      <c r="E3320" s="5" t="n">
        <v>191</v>
      </c>
      <c r="F3320" t="inlineStr">
        <is>
          <t>Продажа</t>
        </is>
      </c>
      <c r="H3320">
        <f>VLOOKUP(C3320,Магазин!$A$2:$C$1000,2,0)</f>
        <v/>
      </c>
      <c r="I3320">
        <f>VLOOKUP(D3320,Товар!$A$2:$F$1000,3,0)</f>
        <v/>
      </c>
      <c r="J3320">
        <f>VLOOKUP(D3320,Товар!$A$2:$F$1000,5,0)</f>
        <v/>
      </c>
      <c r="K3320">
        <f>IF(AND(H3320="Промышленный",LEFT(I3320,18)="Порошок стиральный",F3320="Продажа",B3320=DATE(2023,6,7)),E3320*J3320/1000,0)</f>
        <v/>
      </c>
    </row>
    <row r="3321">
      <c r="A3321" t="n">
        <v>3320</v>
      </c>
      <c r="B3321" s="1" t="n">
        <v>45091</v>
      </c>
      <c r="C3321" s="5" t="inlineStr">
        <is>
          <t>M6</t>
        </is>
      </c>
      <c r="D3321" s="5" t="n">
        <v>8</v>
      </c>
      <c r="E3321" s="5" t="n">
        <v>165</v>
      </c>
      <c r="F3321" t="inlineStr">
        <is>
          <t>Продажа</t>
        </is>
      </c>
      <c r="H3321">
        <f>VLOOKUP(C3321,Магазин!$A$2:$C$1000,2,0)</f>
        <v/>
      </c>
      <c r="I3321">
        <f>VLOOKUP(D3321,Товар!$A$2:$F$1000,3,0)</f>
        <v/>
      </c>
      <c r="J3321">
        <f>VLOOKUP(D3321,Товар!$A$2:$F$1000,5,0)</f>
        <v/>
      </c>
      <c r="K3321">
        <f>IF(AND(H3321="Промышленный",LEFT(I3321,18)="Порошок стиральный",F3321="Продажа",B3321=DATE(2023,6,7)),E3321*J3321/1000,0)</f>
        <v/>
      </c>
    </row>
    <row r="3322">
      <c r="A3322" t="n">
        <v>3321</v>
      </c>
      <c r="B3322" s="1" t="n">
        <v>45091</v>
      </c>
      <c r="C3322" s="5" t="inlineStr">
        <is>
          <t>M6</t>
        </is>
      </c>
      <c r="D3322" s="5" t="n">
        <v>9</v>
      </c>
      <c r="E3322" s="5" t="n">
        <v>167</v>
      </c>
      <c r="F3322" t="inlineStr">
        <is>
          <t>Продажа</t>
        </is>
      </c>
      <c r="H3322">
        <f>VLOOKUP(C3322,Магазин!$A$2:$C$1000,2,0)</f>
        <v/>
      </c>
      <c r="I3322">
        <f>VLOOKUP(D3322,Товар!$A$2:$F$1000,3,0)</f>
        <v/>
      </c>
      <c r="J3322">
        <f>VLOOKUP(D3322,Товар!$A$2:$F$1000,5,0)</f>
        <v/>
      </c>
      <c r="K3322">
        <f>IF(AND(H3322="Промышленный",LEFT(I3322,18)="Порошок стиральный",F3322="Продажа",B3322=DATE(2023,6,7)),E3322*J3322/1000,0)</f>
        <v/>
      </c>
    </row>
    <row r="3323">
      <c r="A3323" t="n">
        <v>3322</v>
      </c>
      <c r="B3323" s="1" t="n">
        <v>45091</v>
      </c>
      <c r="C3323" s="5" t="inlineStr">
        <is>
          <t>M6</t>
        </is>
      </c>
      <c r="D3323" s="5" t="n">
        <v>10</v>
      </c>
      <c r="E3323" s="5" t="n">
        <v>132</v>
      </c>
      <c r="F3323" t="inlineStr">
        <is>
          <t>Продажа</t>
        </is>
      </c>
      <c r="H3323">
        <f>VLOOKUP(C3323,Магазин!$A$2:$C$1000,2,0)</f>
        <v/>
      </c>
      <c r="I3323">
        <f>VLOOKUP(D3323,Товар!$A$2:$F$1000,3,0)</f>
        <v/>
      </c>
      <c r="J3323">
        <f>VLOOKUP(D3323,Товар!$A$2:$F$1000,5,0)</f>
        <v/>
      </c>
      <c r="K3323">
        <f>IF(AND(H3323="Промышленный",LEFT(I3323,18)="Порошок стиральный",F3323="Продажа",B3323=DATE(2023,6,7)),E3323*J3323/1000,0)</f>
        <v/>
      </c>
    </row>
    <row r="3324">
      <c r="A3324" t="n">
        <v>3323</v>
      </c>
      <c r="B3324" s="1" t="n">
        <v>45091</v>
      </c>
      <c r="C3324" s="5" t="inlineStr">
        <is>
          <t>M6</t>
        </is>
      </c>
      <c r="D3324" s="5" t="n">
        <v>11</v>
      </c>
      <c r="E3324" s="5" t="n">
        <v>105</v>
      </c>
      <c r="F3324" t="inlineStr">
        <is>
          <t>Продажа</t>
        </is>
      </c>
      <c r="H3324">
        <f>VLOOKUP(C3324,Магазин!$A$2:$C$1000,2,0)</f>
        <v/>
      </c>
      <c r="I3324">
        <f>VLOOKUP(D3324,Товар!$A$2:$F$1000,3,0)</f>
        <v/>
      </c>
      <c r="J3324">
        <f>VLOOKUP(D3324,Товар!$A$2:$F$1000,5,0)</f>
        <v/>
      </c>
      <c r="K3324">
        <f>IF(AND(H3324="Промышленный",LEFT(I3324,18)="Порошок стиральный",F3324="Продажа",B3324=DATE(2023,6,7)),E3324*J3324/1000,0)</f>
        <v/>
      </c>
    </row>
    <row r="3325">
      <c r="A3325" t="n">
        <v>3324</v>
      </c>
      <c r="B3325" s="1" t="n">
        <v>45091</v>
      </c>
      <c r="C3325" s="5" t="inlineStr">
        <is>
          <t>M6</t>
        </is>
      </c>
      <c r="D3325" s="5" t="n">
        <v>12</v>
      </c>
      <c r="E3325" s="5" t="n">
        <v>114</v>
      </c>
      <c r="F3325" t="inlineStr">
        <is>
          <t>Продажа</t>
        </is>
      </c>
      <c r="H3325">
        <f>VLOOKUP(C3325,Магазин!$A$2:$C$1000,2,0)</f>
        <v/>
      </c>
      <c r="I3325">
        <f>VLOOKUP(D3325,Товар!$A$2:$F$1000,3,0)</f>
        <v/>
      </c>
      <c r="J3325">
        <f>VLOOKUP(D3325,Товар!$A$2:$F$1000,5,0)</f>
        <v/>
      </c>
      <c r="K3325">
        <f>IF(AND(H3325="Промышленный",LEFT(I3325,18)="Порошок стиральный",F3325="Продажа",B3325=DATE(2023,6,7)),E3325*J3325/1000,0)</f>
        <v/>
      </c>
    </row>
    <row r="3326">
      <c r="A3326" t="n">
        <v>3325</v>
      </c>
      <c r="B3326" s="1" t="n">
        <v>45091</v>
      </c>
      <c r="C3326" s="5" t="inlineStr">
        <is>
          <t>M6</t>
        </is>
      </c>
      <c r="D3326" s="5" t="n">
        <v>13</v>
      </c>
      <c r="E3326" s="5" t="n">
        <v>192</v>
      </c>
      <c r="F3326" t="inlineStr">
        <is>
          <t>Продажа</t>
        </is>
      </c>
      <c r="H3326">
        <f>VLOOKUP(C3326,Магазин!$A$2:$C$1000,2,0)</f>
        <v/>
      </c>
      <c r="I3326">
        <f>VLOOKUP(D3326,Товар!$A$2:$F$1000,3,0)</f>
        <v/>
      </c>
      <c r="J3326">
        <f>VLOOKUP(D3326,Товар!$A$2:$F$1000,5,0)</f>
        <v/>
      </c>
      <c r="K3326">
        <f>IF(AND(H3326="Промышленный",LEFT(I3326,18)="Порошок стиральный",F3326="Продажа",B3326=DATE(2023,6,7)),E3326*J3326/1000,0)</f>
        <v/>
      </c>
    </row>
    <row r="3327">
      <c r="A3327" t="n">
        <v>3326</v>
      </c>
      <c r="B3327" s="1" t="n">
        <v>45091</v>
      </c>
      <c r="C3327" s="5" t="inlineStr">
        <is>
          <t>M6</t>
        </is>
      </c>
      <c r="D3327" s="5" t="n">
        <v>14</v>
      </c>
      <c r="E3327" s="5" t="n">
        <v>145</v>
      </c>
      <c r="F3327" t="inlineStr">
        <is>
          <t>Продажа</t>
        </is>
      </c>
      <c r="H3327">
        <f>VLOOKUP(C3327,Магазин!$A$2:$C$1000,2,0)</f>
        <v/>
      </c>
      <c r="I3327">
        <f>VLOOKUP(D3327,Товар!$A$2:$F$1000,3,0)</f>
        <v/>
      </c>
      <c r="J3327">
        <f>VLOOKUP(D3327,Товар!$A$2:$F$1000,5,0)</f>
        <v/>
      </c>
      <c r="K3327">
        <f>IF(AND(H3327="Промышленный",LEFT(I3327,18)="Порошок стиральный",F3327="Продажа",B3327=DATE(2023,6,7)),E3327*J3327/1000,0)</f>
        <v/>
      </c>
    </row>
    <row r="3328">
      <c r="A3328" t="n">
        <v>3327</v>
      </c>
      <c r="B3328" s="1" t="n">
        <v>45091</v>
      </c>
      <c r="C3328" s="5" t="inlineStr">
        <is>
          <t>M6</t>
        </is>
      </c>
      <c r="D3328" s="5" t="n">
        <v>15</v>
      </c>
      <c r="E3328" s="5" t="n">
        <v>163</v>
      </c>
      <c r="F3328" t="inlineStr">
        <is>
          <t>Продажа</t>
        </is>
      </c>
      <c r="H3328">
        <f>VLOOKUP(C3328,Магазин!$A$2:$C$1000,2,0)</f>
        <v/>
      </c>
      <c r="I3328">
        <f>VLOOKUP(D3328,Товар!$A$2:$F$1000,3,0)</f>
        <v/>
      </c>
      <c r="J3328">
        <f>VLOOKUP(D3328,Товар!$A$2:$F$1000,5,0)</f>
        <v/>
      </c>
      <c r="K3328">
        <f>IF(AND(H3328="Промышленный",LEFT(I3328,18)="Порошок стиральный",F3328="Продажа",B3328=DATE(2023,6,7)),E3328*J3328/1000,0)</f>
        <v/>
      </c>
    </row>
    <row r="3329">
      <c r="A3329" t="n">
        <v>3328</v>
      </c>
      <c r="B3329" s="1" t="n">
        <v>45091</v>
      </c>
      <c r="C3329" s="5" t="inlineStr">
        <is>
          <t>M6</t>
        </is>
      </c>
      <c r="D3329" s="5" t="n">
        <v>16</v>
      </c>
      <c r="E3329" s="5" t="n">
        <v>128</v>
      </c>
      <c r="F3329" t="inlineStr">
        <is>
          <t>Продажа</t>
        </is>
      </c>
      <c r="H3329">
        <f>VLOOKUP(C3329,Магазин!$A$2:$C$1000,2,0)</f>
        <v/>
      </c>
      <c r="I3329">
        <f>VLOOKUP(D3329,Товар!$A$2:$F$1000,3,0)</f>
        <v/>
      </c>
      <c r="J3329">
        <f>VLOOKUP(D3329,Товар!$A$2:$F$1000,5,0)</f>
        <v/>
      </c>
      <c r="K3329">
        <f>IF(AND(H3329="Промышленный",LEFT(I3329,18)="Порошок стиральный",F3329="Продажа",B3329=DATE(2023,6,7)),E3329*J3329/1000,0)</f>
        <v/>
      </c>
    </row>
    <row r="3330">
      <c r="A3330" t="n">
        <v>3329</v>
      </c>
      <c r="B3330" s="1" t="n">
        <v>45091</v>
      </c>
      <c r="C3330" s="5" t="inlineStr">
        <is>
          <t>M6</t>
        </is>
      </c>
      <c r="D3330" s="5" t="n">
        <v>17</v>
      </c>
      <c r="E3330" s="5" t="n">
        <v>145</v>
      </c>
      <c r="F3330" t="inlineStr">
        <is>
          <t>Продажа</t>
        </is>
      </c>
      <c r="H3330">
        <f>VLOOKUP(C3330,Магазин!$A$2:$C$1000,2,0)</f>
        <v/>
      </c>
      <c r="I3330">
        <f>VLOOKUP(D3330,Товар!$A$2:$F$1000,3,0)</f>
        <v/>
      </c>
      <c r="J3330">
        <f>VLOOKUP(D3330,Товар!$A$2:$F$1000,5,0)</f>
        <v/>
      </c>
      <c r="K3330">
        <f>IF(AND(H3330="Промышленный",LEFT(I3330,18)="Порошок стиральный",F3330="Продажа",B3330=DATE(2023,6,7)),E3330*J3330/1000,0)</f>
        <v/>
      </c>
    </row>
    <row r="3331">
      <c r="A3331" t="n">
        <v>3330</v>
      </c>
      <c r="B3331" s="1" t="n">
        <v>45091</v>
      </c>
      <c r="C3331" s="5" t="inlineStr">
        <is>
          <t>M6</t>
        </is>
      </c>
      <c r="D3331" s="5" t="n">
        <v>18</v>
      </c>
      <c r="E3331" s="5" t="n">
        <v>138</v>
      </c>
      <c r="F3331" t="inlineStr">
        <is>
          <t>Продажа</t>
        </is>
      </c>
      <c r="H3331">
        <f>VLOOKUP(C3331,Магазин!$A$2:$C$1000,2,0)</f>
        <v/>
      </c>
      <c r="I3331">
        <f>VLOOKUP(D3331,Товар!$A$2:$F$1000,3,0)</f>
        <v/>
      </c>
      <c r="J3331">
        <f>VLOOKUP(D3331,Товар!$A$2:$F$1000,5,0)</f>
        <v/>
      </c>
      <c r="K3331">
        <f>IF(AND(H3331="Промышленный",LEFT(I3331,18)="Порошок стиральный",F3331="Продажа",B3331=DATE(2023,6,7)),E3331*J3331/1000,0)</f>
        <v/>
      </c>
    </row>
    <row r="3332">
      <c r="A3332" t="n">
        <v>3331</v>
      </c>
      <c r="B3332" s="1" t="n">
        <v>45091</v>
      </c>
      <c r="C3332" s="5" t="inlineStr">
        <is>
          <t>M6</t>
        </is>
      </c>
      <c r="D3332" s="5" t="n">
        <v>19</v>
      </c>
      <c r="E3332" s="5" t="n">
        <v>164</v>
      </c>
      <c r="F3332" t="inlineStr">
        <is>
          <t>Продажа</t>
        </is>
      </c>
      <c r="H3332">
        <f>VLOOKUP(C3332,Магазин!$A$2:$C$1000,2,0)</f>
        <v/>
      </c>
      <c r="I3332">
        <f>VLOOKUP(D3332,Товар!$A$2:$F$1000,3,0)</f>
        <v/>
      </c>
      <c r="J3332">
        <f>VLOOKUP(D3332,Товар!$A$2:$F$1000,5,0)</f>
        <v/>
      </c>
      <c r="K3332">
        <f>IF(AND(H3332="Промышленный",LEFT(I3332,18)="Порошок стиральный",F3332="Продажа",B3332=DATE(2023,6,7)),E3332*J3332/1000,0)</f>
        <v/>
      </c>
    </row>
    <row r="3333">
      <c r="A3333" t="n">
        <v>3332</v>
      </c>
      <c r="B3333" s="1" t="n">
        <v>45091</v>
      </c>
      <c r="C3333" s="5" t="inlineStr">
        <is>
          <t>M6</t>
        </is>
      </c>
      <c r="D3333" s="5" t="n">
        <v>20</v>
      </c>
      <c r="E3333" s="5" t="n">
        <v>176</v>
      </c>
      <c r="F3333" t="inlineStr">
        <is>
          <t>Продажа</t>
        </is>
      </c>
      <c r="H3333">
        <f>VLOOKUP(C3333,Магазин!$A$2:$C$1000,2,0)</f>
        <v/>
      </c>
      <c r="I3333">
        <f>VLOOKUP(D3333,Товар!$A$2:$F$1000,3,0)</f>
        <v/>
      </c>
      <c r="J3333">
        <f>VLOOKUP(D3333,Товар!$A$2:$F$1000,5,0)</f>
        <v/>
      </c>
      <c r="K3333">
        <f>IF(AND(H3333="Промышленный",LEFT(I3333,18)="Порошок стиральный",F3333="Продажа",B3333=DATE(2023,6,7)),E3333*J3333/1000,0)</f>
        <v/>
      </c>
    </row>
    <row r="3334">
      <c r="A3334" t="n">
        <v>3333</v>
      </c>
      <c r="B3334" s="1" t="n">
        <v>45091</v>
      </c>
      <c r="C3334" s="5" t="inlineStr">
        <is>
          <t>M6</t>
        </is>
      </c>
      <c r="D3334" s="5" t="n">
        <v>21</v>
      </c>
      <c r="E3334" s="5" t="n">
        <v>128</v>
      </c>
      <c r="F3334" t="inlineStr">
        <is>
          <t>Продажа</t>
        </is>
      </c>
      <c r="H3334">
        <f>VLOOKUP(C3334,Магазин!$A$2:$C$1000,2,0)</f>
        <v/>
      </c>
      <c r="I3334">
        <f>VLOOKUP(D3334,Товар!$A$2:$F$1000,3,0)</f>
        <v/>
      </c>
      <c r="J3334">
        <f>VLOOKUP(D3334,Товар!$A$2:$F$1000,5,0)</f>
        <v/>
      </c>
      <c r="K3334">
        <f>IF(AND(H3334="Промышленный",LEFT(I3334,18)="Порошок стиральный",F3334="Продажа",B3334=DATE(2023,6,7)),E3334*J3334/1000,0)</f>
        <v/>
      </c>
    </row>
    <row r="3335">
      <c r="A3335" t="n">
        <v>3334</v>
      </c>
      <c r="B3335" s="1" t="n">
        <v>45091</v>
      </c>
      <c r="C3335" s="5" t="inlineStr">
        <is>
          <t>M6</t>
        </is>
      </c>
      <c r="D3335" s="5" t="n">
        <v>22</v>
      </c>
      <c r="E3335" s="5" t="n">
        <v>146</v>
      </c>
      <c r="F3335" t="inlineStr">
        <is>
          <t>Продажа</t>
        </is>
      </c>
      <c r="H3335">
        <f>VLOOKUP(C3335,Магазин!$A$2:$C$1000,2,0)</f>
        <v/>
      </c>
      <c r="I3335">
        <f>VLOOKUP(D3335,Товар!$A$2:$F$1000,3,0)</f>
        <v/>
      </c>
      <c r="J3335">
        <f>VLOOKUP(D3335,Товар!$A$2:$F$1000,5,0)</f>
        <v/>
      </c>
      <c r="K3335">
        <f>IF(AND(H3335="Промышленный",LEFT(I3335,18)="Порошок стиральный",F3335="Продажа",B3335=DATE(2023,6,7)),E3335*J3335/1000,0)</f>
        <v/>
      </c>
    </row>
    <row r="3336">
      <c r="A3336" t="n">
        <v>3335</v>
      </c>
      <c r="B3336" s="1" t="n">
        <v>45091</v>
      </c>
      <c r="C3336" s="5" t="inlineStr">
        <is>
          <t>M6</t>
        </is>
      </c>
      <c r="D3336" s="5" t="n">
        <v>23</v>
      </c>
      <c r="E3336" s="5" t="n">
        <v>173</v>
      </c>
      <c r="F3336" t="inlineStr">
        <is>
          <t>Продажа</t>
        </is>
      </c>
      <c r="H3336">
        <f>VLOOKUP(C3336,Магазин!$A$2:$C$1000,2,0)</f>
        <v/>
      </c>
      <c r="I3336">
        <f>VLOOKUP(D3336,Товар!$A$2:$F$1000,3,0)</f>
        <v/>
      </c>
      <c r="J3336">
        <f>VLOOKUP(D3336,Товар!$A$2:$F$1000,5,0)</f>
        <v/>
      </c>
      <c r="K3336">
        <f>IF(AND(H3336="Промышленный",LEFT(I3336,18)="Порошок стиральный",F3336="Продажа",B3336=DATE(2023,6,7)),E3336*J3336/1000,0)</f>
        <v/>
      </c>
    </row>
    <row r="3337">
      <c r="A3337" t="n">
        <v>3336</v>
      </c>
      <c r="B3337" s="1" t="n">
        <v>45091</v>
      </c>
      <c r="C3337" s="5" t="inlineStr">
        <is>
          <t>M6</t>
        </is>
      </c>
      <c r="D3337" s="5" t="n">
        <v>24</v>
      </c>
      <c r="E3337" s="5" t="n">
        <v>180</v>
      </c>
      <c r="F3337" t="inlineStr">
        <is>
          <t>Продажа</t>
        </is>
      </c>
      <c r="H3337">
        <f>VLOOKUP(C3337,Магазин!$A$2:$C$1000,2,0)</f>
        <v/>
      </c>
      <c r="I3337">
        <f>VLOOKUP(D3337,Товар!$A$2:$F$1000,3,0)</f>
        <v/>
      </c>
      <c r="J3337">
        <f>VLOOKUP(D3337,Товар!$A$2:$F$1000,5,0)</f>
        <v/>
      </c>
      <c r="K3337">
        <f>IF(AND(H3337="Промышленный",LEFT(I3337,18)="Порошок стиральный",F3337="Продажа",B3337=DATE(2023,6,7)),E3337*J3337/1000,0)</f>
        <v/>
      </c>
    </row>
    <row r="3338">
      <c r="A3338" t="n">
        <v>3337</v>
      </c>
      <c r="B3338" s="1" t="n">
        <v>45091</v>
      </c>
      <c r="C3338" s="5" t="inlineStr">
        <is>
          <t>M6</t>
        </is>
      </c>
      <c r="D3338" s="5" t="n">
        <v>25</v>
      </c>
      <c r="E3338" s="5" t="n">
        <v>142</v>
      </c>
      <c r="F3338" t="inlineStr">
        <is>
          <t>Продажа</t>
        </is>
      </c>
      <c r="H3338">
        <f>VLOOKUP(C3338,Магазин!$A$2:$C$1000,2,0)</f>
        <v/>
      </c>
      <c r="I3338">
        <f>VLOOKUP(D3338,Товар!$A$2:$F$1000,3,0)</f>
        <v/>
      </c>
      <c r="J3338">
        <f>VLOOKUP(D3338,Товар!$A$2:$F$1000,5,0)</f>
        <v/>
      </c>
      <c r="K3338">
        <f>IF(AND(H3338="Промышленный",LEFT(I3338,18)="Порошок стиральный",F3338="Продажа",B3338=DATE(2023,6,7)),E3338*J3338/1000,0)</f>
        <v/>
      </c>
    </row>
    <row r="3339">
      <c r="A3339" t="n">
        <v>3338</v>
      </c>
      <c r="B3339" s="1" t="n">
        <v>45091</v>
      </c>
      <c r="C3339" s="5" t="inlineStr">
        <is>
          <t>M6</t>
        </is>
      </c>
      <c r="D3339" s="5" t="n">
        <v>26</v>
      </c>
      <c r="E3339" s="5" t="n">
        <v>156</v>
      </c>
      <c r="F3339" t="inlineStr">
        <is>
          <t>Продажа</t>
        </is>
      </c>
      <c r="H3339">
        <f>VLOOKUP(C3339,Магазин!$A$2:$C$1000,2,0)</f>
        <v/>
      </c>
      <c r="I3339">
        <f>VLOOKUP(D3339,Товар!$A$2:$F$1000,3,0)</f>
        <v/>
      </c>
      <c r="J3339">
        <f>VLOOKUP(D3339,Товар!$A$2:$F$1000,5,0)</f>
        <v/>
      </c>
      <c r="K3339">
        <f>IF(AND(H3339="Промышленный",LEFT(I3339,18)="Порошок стиральный",F3339="Продажа",B3339=DATE(2023,6,7)),E3339*J3339/1000,0)</f>
        <v/>
      </c>
    </row>
    <row r="3340">
      <c r="A3340" t="n">
        <v>3339</v>
      </c>
      <c r="B3340" s="1" t="n">
        <v>45091</v>
      </c>
      <c r="C3340" s="5" t="inlineStr">
        <is>
          <t>M6</t>
        </is>
      </c>
      <c r="D3340" s="5" t="n">
        <v>27</v>
      </c>
      <c r="E3340" s="5" t="n">
        <v>144</v>
      </c>
      <c r="F3340" t="inlineStr">
        <is>
          <t>Продажа</t>
        </is>
      </c>
      <c r="H3340">
        <f>VLOOKUP(C3340,Магазин!$A$2:$C$1000,2,0)</f>
        <v/>
      </c>
      <c r="I3340">
        <f>VLOOKUP(D3340,Товар!$A$2:$F$1000,3,0)</f>
        <v/>
      </c>
      <c r="J3340">
        <f>VLOOKUP(D3340,Товар!$A$2:$F$1000,5,0)</f>
        <v/>
      </c>
      <c r="K3340">
        <f>IF(AND(H3340="Промышленный",LEFT(I3340,18)="Порошок стиральный",F3340="Продажа",B3340=DATE(2023,6,7)),E3340*J3340/1000,0)</f>
        <v/>
      </c>
    </row>
    <row r="3341">
      <c r="A3341" t="n">
        <v>3340</v>
      </c>
      <c r="B3341" s="1" t="n">
        <v>45091</v>
      </c>
      <c r="C3341" s="5" t="inlineStr">
        <is>
          <t>M6</t>
        </is>
      </c>
      <c r="D3341" s="5" t="n">
        <v>28</v>
      </c>
      <c r="E3341" s="5" t="n">
        <v>178</v>
      </c>
      <c r="F3341" t="inlineStr">
        <is>
          <t>Продажа</t>
        </is>
      </c>
      <c r="H3341">
        <f>VLOOKUP(C3341,Магазин!$A$2:$C$1000,2,0)</f>
        <v/>
      </c>
      <c r="I3341">
        <f>VLOOKUP(D3341,Товар!$A$2:$F$1000,3,0)</f>
        <v/>
      </c>
      <c r="J3341">
        <f>VLOOKUP(D3341,Товар!$A$2:$F$1000,5,0)</f>
        <v/>
      </c>
      <c r="K3341">
        <f>IF(AND(H3341="Промышленный",LEFT(I3341,18)="Порошок стиральный",F3341="Продажа",B3341=DATE(2023,6,7)),E3341*J3341/1000,0)</f>
        <v/>
      </c>
    </row>
    <row r="3342">
      <c r="A3342" t="n">
        <v>3341</v>
      </c>
      <c r="B3342" s="1" t="n">
        <v>45091</v>
      </c>
      <c r="C3342" s="5" t="inlineStr">
        <is>
          <t>M6</t>
        </is>
      </c>
      <c r="D3342" s="5" t="n">
        <v>29</v>
      </c>
      <c r="E3342" s="5" t="n">
        <v>169</v>
      </c>
      <c r="F3342" t="inlineStr">
        <is>
          <t>Продажа</t>
        </is>
      </c>
      <c r="H3342">
        <f>VLOOKUP(C3342,Магазин!$A$2:$C$1000,2,0)</f>
        <v/>
      </c>
      <c r="I3342">
        <f>VLOOKUP(D3342,Товар!$A$2:$F$1000,3,0)</f>
        <v/>
      </c>
      <c r="J3342">
        <f>VLOOKUP(D3342,Товар!$A$2:$F$1000,5,0)</f>
        <v/>
      </c>
      <c r="K3342">
        <f>IF(AND(H3342="Промышленный",LEFT(I3342,18)="Порошок стиральный",F3342="Продажа",B3342=DATE(2023,6,7)),E3342*J3342/1000,0)</f>
        <v/>
      </c>
    </row>
    <row r="3343">
      <c r="A3343" t="n">
        <v>3342</v>
      </c>
      <c r="B3343" s="1" t="n">
        <v>45091</v>
      </c>
      <c r="C3343" s="5" t="inlineStr">
        <is>
          <t>M6</t>
        </is>
      </c>
      <c r="D3343" s="5" t="n">
        <v>30</v>
      </c>
      <c r="E3343" s="5" t="n">
        <v>196</v>
      </c>
      <c r="F3343" t="inlineStr">
        <is>
          <t>Продажа</t>
        </is>
      </c>
      <c r="H3343">
        <f>VLOOKUP(C3343,Магазин!$A$2:$C$1000,2,0)</f>
        <v/>
      </c>
      <c r="I3343">
        <f>VLOOKUP(D3343,Товар!$A$2:$F$1000,3,0)</f>
        <v/>
      </c>
      <c r="J3343">
        <f>VLOOKUP(D3343,Товар!$A$2:$F$1000,5,0)</f>
        <v/>
      </c>
      <c r="K3343">
        <f>IF(AND(H3343="Промышленный",LEFT(I3343,18)="Порошок стиральный",F3343="Продажа",B3343=DATE(2023,6,7)),E3343*J3343/1000,0)</f>
        <v/>
      </c>
    </row>
    <row r="3344">
      <c r="A3344" t="n">
        <v>3343</v>
      </c>
      <c r="B3344" s="1" t="n">
        <v>45091</v>
      </c>
      <c r="C3344" s="5" t="inlineStr">
        <is>
          <t>M6</t>
        </is>
      </c>
      <c r="D3344" s="5" t="n">
        <v>31</v>
      </c>
      <c r="E3344" s="5" t="n">
        <v>123</v>
      </c>
      <c r="F3344" t="inlineStr">
        <is>
          <t>Продажа</t>
        </is>
      </c>
      <c r="H3344">
        <f>VLOOKUP(C3344,Магазин!$A$2:$C$1000,2,0)</f>
        <v/>
      </c>
      <c r="I3344">
        <f>VLOOKUP(D3344,Товар!$A$2:$F$1000,3,0)</f>
        <v/>
      </c>
      <c r="J3344">
        <f>VLOOKUP(D3344,Товар!$A$2:$F$1000,5,0)</f>
        <v/>
      </c>
      <c r="K3344">
        <f>IF(AND(H3344="Промышленный",LEFT(I3344,18)="Порошок стиральный",F3344="Продажа",B3344=DATE(2023,6,7)),E3344*J3344/1000,0)</f>
        <v/>
      </c>
    </row>
    <row r="3345">
      <c r="A3345" t="n">
        <v>3344</v>
      </c>
      <c r="B3345" s="1" t="n">
        <v>45091</v>
      </c>
      <c r="C3345" s="5" t="inlineStr">
        <is>
          <t>M6</t>
        </is>
      </c>
      <c r="D3345" s="5" t="n">
        <v>32</v>
      </c>
      <c r="E3345" s="5" t="n">
        <v>111</v>
      </c>
      <c r="F3345" t="inlineStr">
        <is>
          <t>Продажа</t>
        </is>
      </c>
      <c r="H3345">
        <f>VLOOKUP(C3345,Магазин!$A$2:$C$1000,2,0)</f>
        <v/>
      </c>
      <c r="I3345">
        <f>VLOOKUP(D3345,Товар!$A$2:$F$1000,3,0)</f>
        <v/>
      </c>
      <c r="J3345">
        <f>VLOOKUP(D3345,Товар!$A$2:$F$1000,5,0)</f>
        <v/>
      </c>
      <c r="K3345">
        <f>IF(AND(H3345="Промышленный",LEFT(I3345,18)="Порошок стиральный",F3345="Продажа",B3345=DATE(2023,6,7)),E3345*J3345/1000,0)</f>
        <v/>
      </c>
    </row>
    <row r="3346">
      <c r="A3346" t="n">
        <v>3345</v>
      </c>
      <c r="B3346" s="1" t="n">
        <v>45091</v>
      </c>
      <c r="C3346" s="5" t="inlineStr">
        <is>
          <t>M6</t>
        </is>
      </c>
      <c r="D3346" s="5" t="n">
        <v>33</v>
      </c>
      <c r="E3346" s="5" t="n">
        <v>158</v>
      </c>
      <c r="F3346" t="inlineStr">
        <is>
          <t>Продажа</t>
        </is>
      </c>
      <c r="H3346">
        <f>VLOOKUP(C3346,Магазин!$A$2:$C$1000,2,0)</f>
        <v/>
      </c>
      <c r="I3346">
        <f>VLOOKUP(D3346,Товар!$A$2:$F$1000,3,0)</f>
        <v/>
      </c>
      <c r="J3346">
        <f>VLOOKUP(D3346,Товар!$A$2:$F$1000,5,0)</f>
        <v/>
      </c>
      <c r="K3346">
        <f>IF(AND(H3346="Промышленный",LEFT(I3346,18)="Порошок стиральный",F3346="Продажа",B3346=DATE(2023,6,7)),E3346*J3346/1000,0)</f>
        <v/>
      </c>
    </row>
    <row r="3347">
      <c r="A3347" t="n">
        <v>3346</v>
      </c>
      <c r="B3347" s="1" t="n">
        <v>45091</v>
      </c>
      <c r="C3347" s="5" t="inlineStr">
        <is>
          <t>M6</t>
        </is>
      </c>
      <c r="D3347" s="5" t="n">
        <v>34</v>
      </c>
      <c r="E3347" s="5" t="n">
        <v>175</v>
      </c>
      <c r="F3347" t="inlineStr">
        <is>
          <t>Продажа</t>
        </is>
      </c>
      <c r="H3347">
        <f>VLOOKUP(C3347,Магазин!$A$2:$C$1000,2,0)</f>
        <v/>
      </c>
      <c r="I3347">
        <f>VLOOKUP(D3347,Товар!$A$2:$F$1000,3,0)</f>
        <v/>
      </c>
      <c r="J3347">
        <f>VLOOKUP(D3347,Товар!$A$2:$F$1000,5,0)</f>
        <v/>
      </c>
      <c r="K3347">
        <f>IF(AND(H3347="Промышленный",LEFT(I3347,18)="Порошок стиральный",F3347="Продажа",B3347=DATE(2023,6,7)),E3347*J3347/1000,0)</f>
        <v/>
      </c>
    </row>
    <row r="3348">
      <c r="A3348" t="n">
        <v>3347</v>
      </c>
      <c r="B3348" s="1" t="n">
        <v>45091</v>
      </c>
      <c r="C3348" s="5" t="inlineStr">
        <is>
          <t>M6</t>
        </is>
      </c>
      <c r="D3348" s="5" t="n">
        <v>35</v>
      </c>
      <c r="E3348" s="5" t="n">
        <v>114</v>
      </c>
      <c r="F3348" t="inlineStr">
        <is>
          <t>Продажа</t>
        </is>
      </c>
      <c r="H3348">
        <f>VLOOKUP(C3348,Магазин!$A$2:$C$1000,2,0)</f>
        <v/>
      </c>
      <c r="I3348">
        <f>VLOOKUP(D3348,Товар!$A$2:$F$1000,3,0)</f>
        <v/>
      </c>
      <c r="J3348">
        <f>VLOOKUP(D3348,Товар!$A$2:$F$1000,5,0)</f>
        <v/>
      </c>
      <c r="K3348">
        <f>IF(AND(H3348="Промышленный",LEFT(I3348,18)="Порошок стиральный",F3348="Продажа",B3348=DATE(2023,6,7)),E3348*J3348/1000,0)</f>
        <v/>
      </c>
    </row>
    <row r="3349">
      <c r="A3349" t="n">
        <v>3348</v>
      </c>
      <c r="B3349" s="1" t="n">
        <v>45091</v>
      </c>
      <c r="C3349" s="5" t="inlineStr">
        <is>
          <t>M6</t>
        </is>
      </c>
      <c r="D3349" s="5" t="n">
        <v>36</v>
      </c>
      <c r="E3349" s="5" t="n">
        <v>139</v>
      </c>
      <c r="F3349" t="inlineStr">
        <is>
          <t>Продажа</t>
        </is>
      </c>
      <c r="H3349">
        <f>VLOOKUP(C3349,Магазин!$A$2:$C$1000,2,0)</f>
        <v/>
      </c>
      <c r="I3349">
        <f>VLOOKUP(D3349,Товар!$A$2:$F$1000,3,0)</f>
        <v/>
      </c>
      <c r="J3349">
        <f>VLOOKUP(D3349,Товар!$A$2:$F$1000,5,0)</f>
        <v/>
      </c>
      <c r="K3349">
        <f>IF(AND(H3349="Промышленный",LEFT(I3349,18)="Порошок стиральный",F3349="Продажа",B3349=DATE(2023,6,7)),E3349*J3349/1000,0)</f>
        <v/>
      </c>
    </row>
    <row r="3350">
      <c r="A3350" t="n">
        <v>3349</v>
      </c>
      <c r="B3350" s="1" t="n">
        <v>45091</v>
      </c>
      <c r="C3350" s="5" t="inlineStr">
        <is>
          <t>M10</t>
        </is>
      </c>
      <c r="D3350" s="5" t="n">
        <v>1</v>
      </c>
      <c r="E3350" s="5" t="n">
        <v>141</v>
      </c>
      <c r="F3350" t="inlineStr">
        <is>
          <t>Продажа</t>
        </is>
      </c>
      <c r="H3350">
        <f>VLOOKUP(C3350,Магазин!$A$2:$C$1000,2,0)</f>
        <v/>
      </c>
      <c r="I3350">
        <f>VLOOKUP(D3350,Товар!$A$2:$F$1000,3,0)</f>
        <v/>
      </c>
      <c r="J3350">
        <f>VLOOKUP(D3350,Товар!$A$2:$F$1000,5,0)</f>
        <v/>
      </c>
      <c r="K3350">
        <f>IF(AND(H3350="Промышленный",LEFT(I3350,18)="Порошок стиральный",F3350="Продажа",B3350=DATE(2023,6,7)),E3350*J3350/1000,0)</f>
        <v/>
      </c>
    </row>
    <row r="3351">
      <c r="A3351" t="n">
        <v>3350</v>
      </c>
      <c r="B3351" s="1" t="n">
        <v>45091</v>
      </c>
      <c r="C3351" s="5" t="inlineStr">
        <is>
          <t>M10</t>
        </is>
      </c>
      <c r="D3351" s="5" t="n">
        <v>2</v>
      </c>
      <c r="E3351" s="5" t="n">
        <v>122</v>
      </c>
      <c r="F3351" t="inlineStr">
        <is>
          <t>Продажа</t>
        </is>
      </c>
      <c r="H3351">
        <f>VLOOKUP(C3351,Магазин!$A$2:$C$1000,2,0)</f>
        <v/>
      </c>
      <c r="I3351">
        <f>VLOOKUP(D3351,Товар!$A$2:$F$1000,3,0)</f>
        <v/>
      </c>
      <c r="J3351">
        <f>VLOOKUP(D3351,Товар!$A$2:$F$1000,5,0)</f>
        <v/>
      </c>
      <c r="K3351">
        <f>IF(AND(H3351="Промышленный",LEFT(I3351,18)="Порошок стиральный",F3351="Продажа",B3351=DATE(2023,6,7)),E3351*J3351/1000,0)</f>
        <v/>
      </c>
    </row>
    <row r="3352">
      <c r="A3352" t="n">
        <v>3351</v>
      </c>
      <c r="B3352" s="1" t="n">
        <v>45091</v>
      </c>
      <c r="C3352" s="5" t="inlineStr">
        <is>
          <t>M10</t>
        </is>
      </c>
      <c r="D3352" s="5" t="n">
        <v>3</v>
      </c>
      <c r="E3352" s="5" t="n">
        <v>123</v>
      </c>
      <c r="F3352" t="inlineStr">
        <is>
          <t>Продажа</t>
        </is>
      </c>
      <c r="H3352">
        <f>VLOOKUP(C3352,Магазин!$A$2:$C$1000,2,0)</f>
        <v/>
      </c>
      <c r="I3352">
        <f>VLOOKUP(D3352,Товар!$A$2:$F$1000,3,0)</f>
        <v/>
      </c>
      <c r="J3352">
        <f>VLOOKUP(D3352,Товар!$A$2:$F$1000,5,0)</f>
        <v/>
      </c>
      <c r="K3352">
        <f>IF(AND(H3352="Промышленный",LEFT(I3352,18)="Порошок стиральный",F3352="Продажа",B3352=DATE(2023,6,7)),E3352*J3352/1000,0)</f>
        <v/>
      </c>
    </row>
    <row r="3353">
      <c r="A3353" t="n">
        <v>3352</v>
      </c>
      <c r="B3353" s="1" t="n">
        <v>45091</v>
      </c>
      <c r="C3353" s="5" t="inlineStr">
        <is>
          <t>M10</t>
        </is>
      </c>
      <c r="D3353" s="5" t="n">
        <v>4</v>
      </c>
      <c r="E3353" s="5" t="n">
        <v>158</v>
      </c>
      <c r="F3353" t="inlineStr">
        <is>
          <t>Продажа</t>
        </is>
      </c>
      <c r="H3353">
        <f>VLOOKUP(C3353,Магазин!$A$2:$C$1000,2,0)</f>
        <v/>
      </c>
      <c r="I3353">
        <f>VLOOKUP(D3353,Товар!$A$2:$F$1000,3,0)</f>
        <v/>
      </c>
      <c r="J3353">
        <f>VLOOKUP(D3353,Товар!$A$2:$F$1000,5,0)</f>
        <v/>
      </c>
      <c r="K3353">
        <f>IF(AND(H3353="Промышленный",LEFT(I3353,18)="Порошок стиральный",F3353="Продажа",B3353=DATE(2023,6,7)),E3353*J3353/1000,0)</f>
        <v/>
      </c>
    </row>
    <row r="3354">
      <c r="A3354" t="n">
        <v>3353</v>
      </c>
      <c r="B3354" s="1" t="n">
        <v>45091</v>
      </c>
      <c r="C3354" s="5" t="inlineStr">
        <is>
          <t>M10</t>
        </is>
      </c>
      <c r="D3354" s="5" t="n">
        <v>5</v>
      </c>
      <c r="E3354" s="5" t="n">
        <v>146</v>
      </c>
      <c r="F3354" t="inlineStr">
        <is>
          <t>Продажа</t>
        </is>
      </c>
      <c r="H3354">
        <f>VLOOKUP(C3354,Магазин!$A$2:$C$1000,2,0)</f>
        <v/>
      </c>
      <c r="I3354">
        <f>VLOOKUP(D3354,Товар!$A$2:$F$1000,3,0)</f>
        <v/>
      </c>
      <c r="J3354">
        <f>VLOOKUP(D3354,Товар!$A$2:$F$1000,5,0)</f>
        <v/>
      </c>
      <c r="K3354">
        <f>IF(AND(H3354="Промышленный",LEFT(I3354,18)="Порошок стиральный",F3354="Продажа",B3354=DATE(2023,6,7)),E3354*J3354/1000,0)</f>
        <v/>
      </c>
    </row>
    <row r="3355">
      <c r="A3355" t="n">
        <v>3354</v>
      </c>
      <c r="B3355" s="1" t="n">
        <v>45091</v>
      </c>
      <c r="C3355" s="5" t="inlineStr">
        <is>
          <t>M10</t>
        </is>
      </c>
      <c r="D3355" s="5" t="n">
        <v>6</v>
      </c>
      <c r="E3355" s="5" t="n">
        <v>147</v>
      </c>
      <c r="F3355" t="inlineStr">
        <is>
          <t>Продажа</t>
        </is>
      </c>
      <c r="H3355">
        <f>VLOOKUP(C3355,Магазин!$A$2:$C$1000,2,0)</f>
        <v/>
      </c>
      <c r="I3355">
        <f>VLOOKUP(D3355,Товар!$A$2:$F$1000,3,0)</f>
        <v/>
      </c>
      <c r="J3355">
        <f>VLOOKUP(D3355,Товар!$A$2:$F$1000,5,0)</f>
        <v/>
      </c>
      <c r="K3355">
        <f>IF(AND(H3355="Промышленный",LEFT(I3355,18)="Порошок стиральный",F3355="Продажа",B3355=DATE(2023,6,7)),E3355*J3355/1000,0)</f>
        <v/>
      </c>
    </row>
    <row r="3356">
      <c r="A3356" t="n">
        <v>3355</v>
      </c>
      <c r="B3356" s="1" t="n">
        <v>45091</v>
      </c>
      <c r="C3356" s="5" t="inlineStr">
        <is>
          <t>M10</t>
        </is>
      </c>
      <c r="D3356" s="5" t="n">
        <v>7</v>
      </c>
      <c r="E3356" s="5" t="n">
        <v>169</v>
      </c>
      <c r="F3356" t="inlineStr">
        <is>
          <t>Продажа</t>
        </is>
      </c>
      <c r="H3356">
        <f>VLOOKUP(C3356,Магазин!$A$2:$C$1000,2,0)</f>
        <v/>
      </c>
      <c r="I3356">
        <f>VLOOKUP(D3356,Товар!$A$2:$F$1000,3,0)</f>
        <v/>
      </c>
      <c r="J3356">
        <f>VLOOKUP(D3356,Товар!$A$2:$F$1000,5,0)</f>
        <v/>
      </c>
      <c r="K3356">
        <f>IF(AND(H3356="Промышленный",LEFT(I3356,18)="Порошок стиральный",F3356="Продажа",B3356=DATE(2023,6,7)),E3356*J3356/1000,0)</f>
        <v/>
      </c>
    </row>
    <row r="3357">
      <c r="A3357" t="n">
        <v>3356</v>
      </c>
      <c r="B3357" s="1" t="n">
        <v>45091</v>
      </c>
      <c r="C3357" s="5" t="inlineStr">
        <is>
          <t>M10</t>
        </is>
      </c>
      <c r="D3357" s="5" t="n">
        <v>8</v>
      </c>
      <c r="E3357" s="5" t="n">
        <v>199</v>
      </c>
      <c r="F3357" t="inlineStr">
        <is>
          <t>Продажа</t>
        </is>
      </c>
      <c r="H3357">
        <f>VLOOKUP(C3357,Магазин!$A$2:$C$1000,2,0)</f>
        <v/>
      </c>
      <c r="I3357">
        <f>VLOOKUP(D3357,Товар!$A$2:$F$1000,3,0)</f>
        <v/>
      </c>
      <c r="J3357">
        <f>VLOOKUP(D3357,Товар!$A$2:$F$1000,5,0)</f>
        <v/>
      </c>
      <c r="K3357">
        <f>IF(AND(H3357="Промышленный",LEFT(I3357,18)="Порошок стиральный",F3357="Продажа",B3357=DATE(2023,6,7)),E3357*J3357/1000,0)</f>
        <v/>
      </c>
    </row>
    <row r="3358">
      <c r="A3358" t="n">
        <v>3357</v>
      </c>
      <c r="B3358" s="1" t="n">
        <v>45091</v>
      </c>
      <c r="C3358" s="5" t="inlineStr">
        <is>
          <t>M10</t>
        </is>
      </c>
      <c r="D3358" s="5" t="n">
        <v>9</v>
      </c>
      <c r="E3358" s="5" t="n">
        <v>147</v>
      </c>
      <c r="F3358" t="inlineStr">
        <is>
          <t>Продажа</t>
        </is>
      </c>
      <c r="H3358">
        <f>VLOOKUP(C3358,Магазин!$A$2:$C$1000,2,0)</f>
        <v/>
      </c>
      <c r="I3358">
        <f>VLOOKUP(D3358,Товар!$A$2:$F$1000,3,0)</f>
        <v/>
      </c>
      <c r="J3358">
        <f>VLOOKUP(D3358,Товар!$A$2:$F$1000,5,0)</f>
        <v/>
      </c>
      <c r="K3358">
        <f>IF(AND(H3358="Промышленный",LEFT(I3358,18)="Порошок стиральный",F3358="Продажа",B3358=DATE(2023,6,7)),E3358*J3358/1000,0)</f>
        <v/>
      </c>
    </row>
    <row r="3359">
      <c r="A3359" t="n">
        <v>3358</v>
      </c>
      <c r="B3359" s="1" t="n">
        <v>45091</v>
      </c>
      <c r="C3359" s="5" t="inlineStr">
        <is>
          <t>M10</t>
        </is>
      </c>
      <c r="D3359" s="5" t="n">
        <v>10</v>
      </c>
      <c r="E3359" s="5" t="n">
        <v>138</v>
      </c>
      <c r="F3359" t="inlineStr">
        <is>
          <t>Продажа</t>
        </is>
      </c>
      <c r="H3359">
        <f>VLOOKUP(C3359,Магазин!$A$2:$C$1000,2,0)</f>
        <v/>
      </c>
      <c r="I3359">
        <f>VLOOKUP(D3359,Товар!$A$2:$F$1000,3,0)</f>
        <v/>
      </c>
      <c r="J3359">
        <f>VLOOKUP(D3359,Товар!$A$2:$F$1000,5,0)</f>
        <v/>
      </c>
      <c r="K3359">
        <f>IF(AND(H3359="Промышленный",LEFT(I3359,18)="Порошок стиральный",F3359="Продажа",B3359=DATE(2023,6,7)),E3359*J3359/1000,0)</f>
        <v/>
      </c>
    </row>
    <row r="3360">
      <c r="A3360" t="n">
        <v>3359</v>
      </c>
      <c r="B3360" s="1" t="n">
        <v>45091</v>
      </c>
      <c r="C3360" s="5" t="inlineStr">
        <is>
          <t>M10</t>
        </is>
      </c>
      <c r="D3360" s="5" t="n">
        <v>11</v>
      </c>
      <c r="E3360" s="5" t="n">
        <v>129</v>
      </c>
      <c r="F3360" t="inlineStr">
        <is>
          <t>Продажа</t>
        </is>
      </c>
      <c r="H3360">
        <f>VLOOKUP(C3360,Магазин!$A$2:$C$1000,2,0)</f>
        <v/>
      </c>
      <c r="I3360">
        <f>VLOOKUP(D3360,Товар!$A$2:$F$1000,3,0)</f>
        <v/>
      </c>
      <c r="J3360">
        <f>VLOOKUP(D3360,Товар!$A$2:$F$1000,5,0)</f>
        <v/>
      </c>
      <c r="K3360">
        <f>IF(AND(H3360="Промышленный",LEFT(I3360,18)="Порошок стиральный",F3360="Продажа",B3360=DATE(2023,6,7)),E3360*J3360/1000,0)</f>
        <v/>
      </c>
    </row>
    <row r="3361">
      <c r="A3361" t="n">
        <v>3360</v>
      </c>
      <c r="B3361" s="1" t="n">
        <v>45091</v>
      </c>
      <c r="C3361" s="5" t="inlineStr">
        <is>
          <t>M10</t>
        </is>
      </c>
      <c r="D3361" s="5" t="n">
        <v>12</v>
      </c>
      <c r="E3361" s="5" t="n">
        <v>191</v>
      </c>
      <c r="F3361" t="inlineStr">
        <is>
          <t>Продажа</t>
        </is>
      </c>
      <c r="H3361">
        <f>VLOOKUP(C3361,Магазин!$A$2:$C$1000,2,0)</f>
        <v/>
      </c>
      <c r="I3361">
        <f>VLOOKUP(D3361,Товар!$A$2:$F$1000,3,0)</f>
        <v/>
      </c>
      <c r="J3361">
        <f>VLOOKUP(D3361,Товар!$A$2:$F$1000,5,0)</f>
        <v/>
      </c>
      <c r="K3361">
        <f>IF(AND(H3361="Промышленный",LEFT(I3361,18)="Порошок стиральный",F3361="Продажа",B3361=DATE(2023,6,7)),E3361*J3361/1000,0)</f>
        <v/>
      </c>
    </row>
    <row r="3362">
      <c r="A3362" t="n">
        <v>3361</v>
      </c>
      <c r="B3362" s="1" t="n">
        <v>45091</v>
      </c>
      <c r="C3362" s="5" t="inlineStr">
        <is>
          <t>M10</t>
        </is>
      </c>
      <c r="D3362" s="5" t="n">
        <v>13</v>
      </c>
      <c r="E3362" s="5" t="n">
        <v>155</v>
      </c>
      <c r="F3362" t="inlineStr">
        <is>
          <t>Продажа</t>
        </is>
      </c>
      <c r="H3362">
        <f>VLOOKUP(C3362,Магазин!$A$2:$C$1000,2,0)</f>
        <v/>
      </c>
      <c r="I3362">
        <f>VLOOKUP(D3362,Товар!$A$2:$F$1000,3,0)</f>
        <v/>
      </c>
      <c r="J3362">
        <f>VLOOKUP(D3362,Товар!$A$2:$F$1000,5,0)</f>
        <v/>
      </c>
      <c r="K3362">
        <f>IF(AND(H3362="Промышленный",LEFT(I3362,18)="Порошок стиральный",F3362="Продажа",B3362=DATE(2023,6,7)),E3362*J3362/1000,0)</f>
        <v/>
      </c>
    </row>
    <row r="3363">
      <c r="A3363" t="n">
        <v>3362</v>
      </c>
      <c r="B3363" s="1" t="n">
        <v>45091</v>
      </c>
      <c r="C3363" s="5" t="inlineStr">
        <is>
          <t>M10</t>
        </is>
      </c>
      <c r="D3363" s="5" t="n">
        <v>14</v>
      </c>
      <c r="E3363" s="5" t="n">
        <v>143</v>
      </c>
      <c r="F3363" t="inlineStr">
        <is>
          <t>Продажа</t>
        </is>
      </c>
      <c r="H3363">
        <f>VLOOKUP(C3363,Магазин!$A$2:$C$1000,2,0)</f>
        <v/>
      </c>
      <c r="I3363">
        <f>VLOOKUP(D3363,Товар!$A$2:$F$1000,3,0)</f>
        <v/>
      </c>
      <c r="J3363">
        <f>VLOOKUP(D3363,Товар!$A$2:$F$1000,5,0)</f>
        <v/>
      </c>
      <c r="K3363">
        <f>IF(AND(H3363="Промышленный",LEFT(I3363,18)="Порошок стиральный",F3363="Продажа",B3363=DATE(2023,6,7)),E3363*J3363/1000,0)</f>
        <v/>
      </c>
    </row>
    <row r="3364">
      <c r="A3364" t="n">
        <v>3363</v>
      </c>
      <c r="B3364" s="1" t="n">
        <v>45091</v>
      </c>
      <c r="C3364" s="5" t="inlineStr">
        <is>
          <t>M10</t>
        </is>
      </c>
      <c r="D3364" s="5" t="n">
        <v>15</v>
      </c>
      <c r="E3364" s="5" t="n">
        <v>178</v>
      </c>
      <c r="F3364" t="inlineStr">
        <is>
          <t>Продажа</t>
        </is>
      </c>
      <c r="H3364">
        <f>VLOOKUP(C3364,Магазин!$A$2:$C$1000,2,0)</f>
        <v/>
      </c>
      <c r="I3364">
        <f>VLOOKUP(D3364,Товар!$A$2:$F$1000,3,0)</f>
        <v/>
      </c>
      <c r="J3364">
        <f>VLOOKUP(D3364,Товар!$A$2:$F$1000,5,0)</f>
        <v/>
      </c>
      <c r="K3364">
        <f>IF(AND(H3364="Промышленный",LEFT(I3364,18)="Порошок стиральный",F3364="Продажа",B3364=DATE(2023,6,7)),E3364*J3364/1000,0)</f>
        <v/>
      </c>
    </row>
    <row r="3365">
      <c r="A3365" t="n">
        <v>3364</v>
      </c>
      <c r="B3365" s="1" t="n">
        <v>45091</v>
      </c>
      <c r="C3365" s="5" t="inlineStr">
        <is>
          <t>M10</t>
        </is>
      </c>
      <c r="D3365" s="5" t="n">
        <v>16</v>
      </c>
      <c r="E3365" s="5" t="n">
        <v>146</v>
      </c>
      <c r="F3365" t="inlineStr">
        <is>
          <t>Продажа</t>
        </is>
      </c>
      <c r="H3365">
        <f>VLOOKUP(C3365,Магазин!$A$2:$C$1000,2,0)</f>
        <v/>
      </c>
      <c r="I3365">
        <f>VLOOKUP(D3365,Товар!$A$2:$F$1000,3,0)</f>
        <v/>
      </c>
      <c r="J3365">
        <f>VLOOKUP(D3365,Товар!$A$2:$F$1000,5,0)</f>
        <v/>
      </c>
      <c r="K3365">
        <f>IF(AND(H3365="Промышленный",LEFT(I3365,18)="Порошок стиральный",F3365="Продажа",B3365=DATE(2023,6,7)),E3365*J3365/1000,0)</f>
        <v/>
      </c>
    </row>
    <row r="3366">
      <c r="A3366" t="n">
        <v>3365</v>
      </c>
      <c r="B3366" s="1" t="n">
        <v>45091</v>
      </c>
      <c r="C3366" s="5" t="inlineStr">
        <is>
          <t>M10</t>
        </is>
      </c>
      <c r="D3366" s="5" t="n">
        <v>17</v>
      </c>
      <c r="E3366" s="5" t="n">
        <v>128</v>
      </c>
      <c r="F3366" t="inlineStr">
        <is>
          <t>Продажа</t>
        </is>
      </c>
      <c r="H3366">
        <f>VLOOKUP(C3366,Магазин!$A$2:$C$1000,2,0)</f>
        <v/>
      </c>
      <c r="I3366">
        <f>VLOOKUP(D3366,Товар!$A$2:$F$1000,3,0)</f>
        <v/>
      </c>
      <c r="J3366">
        <f>VLOOKUP(D3366,Товар!$A$2:$F$1000,5,0)</f>
        <v/>
      </c>
      <c r="K3366">
        <f>IF(AND(H3366="Промышленный",LEFT(I3366,18)="Порошок стиральный",F3366="Продажа",B3366=DATE(2023,6,7)),E3366*J3366/1000,0)</f>
        <v/>
      </c>
    </row>
    <row r="3367">
      <c r="A3367" t="n">
        <v>3366</v>
      </c>
      <c r="B3367" s="1" t="n">
        <v>45091</v>
      </c>
      <c r="C3367" s="5" t="inlineStr">
        <is>
          <t>M10</t>
        </is>
      </c>
      <c r="D3367" s="5" t="n">
        <v>18</v>
      </c>
      <c r="E3367" s="5" t="n">
        <v>191</v>
      </c>
      <c r="F3367" t="inlineStr">
        <is>
          <t>Продажа</t>
        </is>
      </c>
      <c r="H3367">
        <f>VLOOKUP(C3367,Магазин!$A$2:$C$1000,2,0)</f>
        <v/>
      </c>
      <c r="I3367">
        <f>VLOOKUP(D3367,Товар!$A$2:$F$1000,3,0)</f>
        <v/>
      </c>
      <c r="J3367">
        <f>VLOOKUP(D3367,Товар!$A$2:$F$1000,5,0)</f>
        <v/>
      </c>
      <c r="K3367">
        <f>IF(AND(H3367="Промышленный",LEFT(I3367,18)="Порошок стиральный",F3367="Продажа",B3367=DATE(2023,6,7)),E3367*J3367/1000,0)</f>
        <v/>
      </c>
    </row>
    <row r="3368">
      <c r="A3368" t="n">
        <v>3367</v>
      </c>
      <c r="B3368" s="1" t="n">
        <v>45091</v>
      </c>
      <c r="C3368" s="5" t="inlineStr">
        <is>
          <t>M10</t>
        </is>
      </c>
      <c r="D3368" s="5" t="n">
        <v>19</v>
      </c>
      <c r="E3368" s="5" t="n">
        <v>165</v>
      </c>
      <c r="F3368" t="inlineStr">
        <is>
          <t>Продажа</t>
        </is>
      </c>
      <c r="H3368">
        <f>VLOOKUP(C3368,Магазин!$A$2:$C$1000,2,0)</f>
        <v/>
      </c>
      <c r="I3368">
        <f>VLOOKUP(D3368,Товар!$A$2:$F$1000,3,0)</f>
        <v/>
      </c>
      <c r="J3368">
        <f>VLOOKUP(D3368,Товар!$A$2:$F$1000,5,0)</f>
        <v/>
      </c>
      <c r="K3368">
        <f>IF(AND(H3368="Промышленный",LEFT(I3368,18)="Порошок стиральный",F3368="Продажа",B3368=DATE(2023,6,7)),E3368*J3368/1000,0)</f>
        <v/>
      </c>
    </row>
    <row r="3369">
      <c r="A3369" t="n">
        <v>3368</v>
      </c>
      <c r="B3369" s="1" t="n">
        <v>45091</v>
      </c>
      <c r="C3369" s="5" t="inlineStr">
        <is>
          <t>M10</t>
        </is>
      </c>
      <c r="D3369" s="5" t="n">
        <v>20</v>
      </c>
      <c r="E3369" s="5" t="n">
        <v>167</v>
      </c>
      <c r="F3369" t="inlineStr">
        <is>
          <t>Продажа</t>
        </is>
      </c>
      <c r="H3369">
        <f>VLOOKUP(C3369,Магазин!$A$2:$C$1000,2,0)</f>
        <v/>
      </c>
      <c r="I3369">
        <f>VLOOKUP(D3369,Товар!$A$2:$F$1000,3,0)</f>
        <v/>
      </c>
      <c r="J3369">
        <f>VLOOKUP(D3369,Товар!$A$2:$F$1000,5,0)</f>
        <v/>
      </c>
      <c r="K3369">
        <f>IF(AND(H3369="Промышленный",LEFT(I3369,18)="Порошок стиральный",F3369="Продажа",B3369=DATE(2023,6,7)),E3369*J3369/1000,0)</f>
        <v/>
      </c>
    </row>
    <row r="3370">
      <c r="A3370" t="n">
        <v>3369</v>
      </c>
      <c r="B3370" s="1" t="n">
        <v>45091</v>
      </c>
      <c r="C3370" s="5" t="inlineStr">
        <is>
          <t>M10</t>
        </is>
      </c>
      <c r="D3370" s="5" t="n">
        <v>21</v>
      </c>
      <c r="E3370" s="5" t="n">
        <v>132</v>
      </c>
      <c r="F3370" t="inlineStr">
        <is>
          <t>Продажа</t>
        </is>
      </c>
      <c r="H3370">
        <f>VLOOKUP(C3370,Магазин!$A$2:$C$1000,2,0)</f>
        <v/>
      </c>
      <c r="I3370">
        <f>VLOOKUP(D3370,Товар!$A$2:$F$1000,3,0)</f>
        <v/>
      </c>
      <c r="J3370">
        <f>VLOOKUP(D3370,Товар!$A$2:$F$1000,5,0)</f>
        <v/>
      </c>
      <c r="K3370">
        <f>IF(AND(H3370="Промышленный",LEFT(I3370,18)="Порошок стиральный",F3370="Продажа",B3370=DATE(2023,6,7)),E3370*J3370/1000,0)</f>
        <v/>
      </c>
    </row>
    <row r="3371">
      <c r="A3371" t="n">
        <v>3370</v>
      </c>
      <c r="B3371" s="1" t="n">
        <v>45091</v>
      </c>
      <c r="C3371" s="5" t="inlineStr">
        <is>
          <t>M10</t>
        </is>
      </c>
      <c r="D3371" s="5" t="n">
        <v>22</v>
      </c>
      <c r="E3371" s="5" t="n">
        <v>105</v>
      </c>
      <c r="F3371" t="inlineStr">
        <is>
          <t>Продажа</t>
        </is>
      </c>
      <c r="H3371">
        <f>VLOOKUP(C3371,Магазин!$A$2:$C$1000,2,0)</f>
        <v/>
      </c>
      <c r="I3371">
        <f>VLOOKUP(D3371,Товар!$A$2:$F$1000,3,0)</f>
        <v/>
      </c>
      <c r="J3371">
        <f>VLOOKUP(D3371,Товар!$A$2:$F$1000,5,0)</f>
        <v/>
      </c>
      <c r="K3371">
        <f>IF(AND(H3371="Промышленный",LEFT(I3371,18)="Порошок стиральный",F3371="Продажа",B3371=DATE(2023,6,7)),E3371*J3371/1000,0)</f>
        <v/>
      </c>
    </row>
    <row r="3372">
      <c r="A3372" t="n">
        <v>3371</v>
      </c>
      <c r="B3372" s="1" t="n">
        <v>45091</v>
      </c>
      <c r="C3372" s="5" t="inlineStr">
        <is>
          <t>M10</t>
        </is>
      </c>
      <c r="D3372" s="5" t="n">
        <v>23</v>
      </c>
      <c r="E3372" s="5" t="n">
        <v>114</v>
      </c>
      <c r="F3372" t="inlineStr">
        <is>
          <t>Продажа</t>
        </is>
      </c>
      <c r="H3372">
        <f>VLOOKUP(C3372,Магазин!$A$2:$C$1000,2,0)</f>
        <v/>
      </c>
      <c r="I3372">
        <f>VLOOKUP(D3372,Товар!$A$2:$F$1000,3,0)</f>
        <v/>
      </c>
      <c r="J3372">
        <f>VLOOKUP(D3372,Товар!$A$2:$F$1000,5,0)</f>
        <v/>
      </c>
      <c r="K3372">
        <f>IF(AND(H3372="Промышленный",LEFT(I3372,18)="Порошок стиральный",F3372="Продажа",B3372=DATE(2023,6,7)),E3372*J3372/1000,0)</f>
        <v/>
      </c>
    </row>
    <row r="3373">
      <c r="A3373" t="n">
        <v>3372</v>
      </c>
      <c r="B3373" s="1" t="n">
        <v>45091</v>
      </c>
      <c r="C3373" s="5" t="inlineStr">
        <is>
          <t>M10</t>
        </is>
      </c>
      <c r="D3373" s="5" t="n">
        <v>24</v>
      </c>
      <c r="E3373" s="5" t="n">
        <v>192</v>
      </c>
      <c r="F3373" t="inlineStr">
        <is>
          <t>Продажа</t>
        </is>
      </c>
      <c r="H3373">
        <f>VLOOKUP(C3373,Магазин!$A$2:$C$1000,2,0)</f>
        <v/>
      </c>
      <c r="I3373">
        <f>VLOOKUP(D3373,Товар!$A$2:$F$1000,3,0)</f>
        <v/>
      </c>
      <c r="J3373">
        <f>VLOOKUP(D3373,Товар!$A$2:$F$1000,5,0)</f>
        <v/>
      </c>
      <c r="K3373">
        <f>IF(AND(H3373="Промышленный",LEFT(I3373,18)="Порошок стиральный",F3373="Продажа",B3373=DATE(2023,6,7)),E3373*J3373/1000,0)</f>
        <v/>
      </c>
    </row>
    <row r="3374">
      <c r="A3374" t="n">
        <v>3373</v>
      </c>
      <c r="B3374" s="1" t="n">
        <v>45091</v>
      </c>
      <c r="C3374" s="5" t="inlineStr">
        <is>
          <t>M10</t>
        </is>
      </c>
      <c r="D3374" s="5" t="n">
        <v>25</v>
      </c>
      <c r="E3374" s="5" t="n">
        <v>145</v>
      </c>
      <c r="F3374" t="inlineStr">
        <is>
          <t>Продажа</t>
        </is>
      </c>
      <c r="H3374">
        <f>VLOOKUP(C3374,Магазин!$A$2:$C$1000,2,0)</f>
        <v/>
      </c>
      <c r="I3374">
        <f>VLOOKUP(D3374,Товар!$A$2:$F$1000,3,0)</f>
        <v/>
      </c>
      <c r="J3374">
        <f>VLOOKUP(D3374,Товар!$A$2:$F$1000,5,0)</f>
        <v/>
      </c>
      <c r="K3374">
        <f>IF(AND(H3374="Промышленный",LEFT(I3374,18)="Порошок стиральный",F3374="Продажа",B3374=DATE(2023,6,7)),E3374*J3374/1000,0)</f>
        <v/>
      </c>
    </row>
    <row r="3375">
      <c r="A3375" t="n">
        <v>3374</v>
      </c>
      <c r="B3375" s="1" t="n">
        <v>45091</v>
      </c>
      <c r="C3375" s="5" t="inlineStr">
        <is>
          <t>M10</t>
        </is>
      </c>
      <c r="D3375" s="5" t="n">
        <v>26</v>
      </c>
      <c r="E3375" s="5" t="n">
        <v>163</v>
      </c>
      <c r="F3375" t="inlineStr">
        <is>
          <t>Продажа</t>
        </is>
      </c>
      <c r="H3375">
        <f>VLOOKUP(C3375,Магазин!$A$2:$C$1000,2,0)</f>
        <v/>
      </c>
      <c r="I3375">
        <f>VLOOKUP(D3375,Товар!$A$2:$F$1000,3,0)</f>
        <v/>
      </c>
      <c r="J3375">
        <f>VLOOKUP(D3375,Товар!$A$2:$F$1000,5,0)</f>
        <v/>
      </c>
      <c r="K3375">
        <f>IF(AND(H3375="Промышленный",LEFT(I3375,18)="Порошок стиральный",F3375="Продажа",B3375=DATE(2023,6,7)),E3375*J3375/1000,0)</f>
        <v/>
      </c>
    </row>
    <row r="3376">
      <c r="A3376" t="n">
        <v>3375</v>
      </c>
      <c r="B3376" s="1" t="n">
        <v>45091</v>
      </c>
      <c r="C3376" s="5" t="inlineStr">
        <is>
          <t>M10</t>
        </is>
      </c>
      <c r="D3376" s="5" t="n">
        <v>27</v>
      </c>
      <c r="E3376" s="5" t="n">
        <v>128</v>
      </c>
      <c r="F3376" t="inlineStr">
        <is>
          <t>Продажа</t>
        </is>
      </c>
      <c r="H3376">
        <f>VLOOKUP(C3376,Магазин!$A$2:$C$1000,2,0)</f>
        <v/>
      </c>
      <c r="I3376">
        <f>VLOOKUP(D3376,Товар!$A$2:$F$1000,3,0)</f>
        <v/>
      </c>
      <c r="J3376">
        <f>VLOOKUP(D3376,Товар!$A$2:$F$1000,5,0)</f>
        <v/>
      </c>
      <c r="K3376">
        <f>IF(AND(H3376="Промышленный",LEFT(I3376,18)="Порошок стиральный",F3376="Продажа",B3376=DATE(2023,6,7)),E3376*J3376/1000,0)</f>
        <v/>
      </c>
    </row>
    <row r="3377">
      <c r="A3377" t="n">
        <v>3376</v>
      </c>
      <c r="B3377" s="1" t="n">
        <v>45091</v>
      </c>
      <c r="C3377" s="5" t="inlineStr">
        <is>
          <t>M10</t>
        </is>
      </c>
      <c r="D3377" s="5" t="n">
        <v>28</v>
      </c>
      <c r="E3377" s="5" t="n">
        <v>145</v>
      </c>
      <c r="F3377" t="inlineStr">
        <is>
          <t>Продажа</t>
        </is>
      </c>
      <c r="H3377">
        <f>VLOOKUP(C3377,Магазин!$A$2:$C$1000,2,0)</f>
        <v/>
      </c>
      <c r="I3377">
        <f>VLOOKUP(D3377,Товар!$A$2:$F$1000,3,0)</f>
        <v/>
      </c>
      <c r="J3377">
        <f>VLOOKUP(D3377,Товар!$A$2:$F$1000,5,0)</f>
        <v/>
      </c>
      <c r="K3377">
        <f>IF(AND(H3377="Промышленный",LEFT(I3377,18)="Порошок стиральный",F3377="Продажа",B3377=DATE(2023,6,7)),E3377*J3377/1000,0)</f>
        <v/>
      </c>
    </row>
    <row r="3378">
      <c r="A3378" t="n">
        <v>3377</v>
      </c>
      <c r="B3378" s="1" t="n">
        <v>45091</v>
      </c>
      <c r="C3378" s="5" t="inlineStr">
        <is>
          <t>M10</t>
        </is>
      </c>
      <c r="D3378" s="5" t="n">
        <v>29</v>
      </c>
      <c r="E3378" s="5" t="n">
        <v>138</v>
      </c>
      <c r="F3378" t="inlineStr">
        <is>
          <t>Продажа</t>
        </is>
      </c>
      <c r="H3378">
        <f>VLOOKUP(C3378,Магазин!$A$2:$C$1000,2,0)</f>
        <v/>
      </c>
      <c r="I3378">
        <f>VLOOKUP(D3378,Товар!$A$2:$F$1000,3,0)</f>
        <v/>
      </c>
      <c r="J3378">
        <f>VLOOKUP(D3378,Товар!$A$2:$F$1000,5,0)</f>
        <v/>
      </c>
      <c r="K3378">
        <f>IF(AND(H3378="Промышленный",LEFT(I3378,18)="Порошок стиральный",F3378="Продажа",B3378=DATE(2023,6,7)),E3378*J3378/1000,0)</f>
        <v/>
      </c>
    </row>
    <row r="3379">
      <c r="A3379" t="n">
        <v>3378</v>
      </c>
      <c r="B3379" s="1" t="n">
        <v>45091</v>
      </c>
      <c r="C3379" s="5" t="inlineStr">
        <is>
          <t>M10</t>
        </is>
      </c>
      <c r="D3379" s="5" t="n">
        <v>30</v>
      </c>
      <c r="E3379" s="5" t="n">
        <v>164</v>
      </c>
      <c r="F3379" t="inlineStr">
        <is>
          <t>Продажа</t>
        </is>
      </c>
      <c r="H3379">
        <f>VLOOKUP(C3379,Магазин!$A$2:$C$1000,2,0)</f>
        <v/>
      </c>
      <c r="I3379">
        <f>VLOOKUP(D3379,Товар!$A$2:$F$1000,3,0)</f>
        <v/>
      </c>
      <c r="J3379">
        <f>VLOOKUP(D3379,Товар!$A$2:$F$1000,5,0)</f>
        <v/>
      </c>
      <c r="K3379">
        <f>IF(AND(H3379="Промышленный",LEFT(I3379,18)="Порошок стиральный",F3379="Продажа",B3379=DATE(2023,6,7)),E3379*J3379/1000,0)</f>
        <v/>
      </c>
    </row>
    <row r="3380">
      <c r="A3380" t="n">
        <v>3379</v>
      </c>
      <c r="B3380" s="1" t="n">
        <v>45091</v>
      </c>
      <c r="C3380" s="5" t="inlineStr">
        <is>
          <t>M10</t>
        </is>
      </c>
      <c r="D3380" s="5" t="n">
        <v>31</v>
      </c>
      <c r="E3380" s="5" t="n">
        <v>176</v>
      </c>
      <c r="F3380" t="inlineStr">
        <is>
          <t>Продажа</t>
        </is>
      </c>
      <c r="H3380">
        <f>VLOOKUP(C3380,Магазин!$A$2:$C$1000,2,0)</f>
        <v/>
      </c>
      <c r="I3380">
        <f>VLOOKUP(D3380,Товар!$A$2:$F$1000,3,0)</f>
        <v/>
      </c>
      <c r="J3380">
        <f>VLOOKUP(D3380,Товар!$A$2:$F$1000,5,0)</f>
        <v/>
      </c>
      <c r="K3380">
        <f>IF(AND(H3380="Промышленный",LEFT(I3380,18)="Порошок стиральный",F3380="Продажа",B3380=DATE(2023,6,7)),E3380*J3380/1000,0)</f>
        <v/>
      </c>
    </row>
    <row r="3381">
      <c r="A3381" t="n">
        <v>3380</v>
      </c>
      <c r="B3381" s="1" t="n">
        <v>45091</v>
      </c>
      <c r="C3381" s="5" t="inlineStr">
        <is>
          <t>M10</t>
        </is>
      </c>
      <c r="D3381" s="5" t="n">
        <v>32</v>
      </c>
      <c r="E3381" s="5" t="n">
        <v>128</v>
      </c>
      <c r="F3381" t="inlineStr">
        <is>
          <t>Продажа</t>
        </is>
      </c>
      <c r="H3381">
        <f>VLOOKUP(C3381,Магазин!$A$2:$C$1000,2,0)</f>
        <v/>
      </c>
      <c r="I3381">
        <f>VLOOKUP(D3381,Товар!$A$2:$F$1000,3,0)</f>
        <v/>
      </c>
      <c r="J3381">
        <f>VLOOKUP(D3381,Товар!$A$2:$F$1000,5,0)</f>
        <v/>
      </c>
      <c r="K3381">
        <f>IF(AND(H3381="Промышленный",LEFT(I3381,18)="Порошок стиральный",F3381="Продажа",B3381=DATE(2023,6,7)),E3381*J3381/1000,0)</f>
        <v/>
      </c>
    </row>
    <row r="3382">
      <c r="A3382" t="n">
        <v>3381</v>
      </c>
      <c r="B3382" s="1" t="n">
        <v>45091</v>
      </c>
      <c r="C3382" s="5" t="inlineStr">
        <is>
          <t>M10</t>
        </is>
      </c>
      <c r="D3382" s="5" t="n">
        <v>33</v>
      </c>
      <c r="E3382" s="5" t="n">
        <v>146</v>
      </c>
      <c r="F3382" t="inlineStr">
        <is>
          <t>Продажа</t>
        </is>
      </c>
      <c r="H3382">
        <f>VLOOKUP(C3382,Магазин!$A$2:$C$1000,2,0)</f>
        <v/>
      </c>
      <c r="I3382">
        <f>VLOOKUP(D3382,Товар!$A$2:$F$1000,3,0)</f>
        <v/>
      </c>
      <c r="J3382">
        <f>VLOOKUP(D3382,Товар!$A$2:$F$1000,5,0)</f>
        <v/>
      </c>
      <c r="K3382">
        <f>IF(AND(H3382="Промышленный",LEFT(I3382,18)="Порошок стиральный",F3382="Продажа",B3382=DATE(2023,6,7)),E3382*J3382/1000,0)</f>
        <v/>
      </c>
    </row>
    <row r="3383">
      <c r="A3383" t="n">
        <v>3382</v>
      </c>
      <c r="B3383" s="1" t="n">
        <v>45091</v>
      </c>
      <c r="C3383" s="5" t="inlineStr">
        <is>
          <t>M10</t>
        </is>
      </c>
      <c r="D3383" s="5" t="n">
        <v>34</v>
      </c>
      <c r="E3383" s="5" t="n">
        <v>173</v>
      </c>
      <c r="F3383" t="inlineStr">
        <is>
          <t>Продажа</t>
        </is>
      </c>
      <c r="H3383">
        <f>VLOOKUP(C3383,Магазин!$A$2:$C$1000,2,0)</f>
        <v/>
      </c>
      <c r="I3383">
        <f>VLOOKUP(D3383,Товар!$A$2:$F$1000,3,0)</f>
        <v/>
      </c>
      <c r="J3383">
        <f>VLOOKUP(D3383,Товар!$A$2:$F$1000,5,0)</f>
        <v/>
      </c>
      <c r="K3383">
        <f>IF(AND(H3383="Промышленный",LEFT(I3383,18)="Порошок стиральный",F3383="Продажа",B3383=DATE(2023,6,7)),E3383*J3383/1000,0)</f>
        <v/>
      </c>
    </row>
    <row r="3384">
      <c r="A3384" t="n">
        <v>3383</v>
      </c>
      <c r="B3384" s="1" t="n">
        <v>45091</v>
      </c>
      <c r="C3384" s="5" t="inlineStr">
        <is>
          <t>M10</t>
        </is>
      </c>
      <c r="D3384" s="5" t="n">
        <v>35</v>
      </c>
      <c r="E3384" s="5" t="n">
        <v>180</v>
      </c>
      <c r="F3384" t="inlineStr">
        <is>
          <t>Продажа</t>
        </is>
      </c>
      <c r="H3384">
        <f>VLOOKUP(C3384,Магазин!$A$2:$C$1000,2,0)</f>
        <v/>
      </c>
      <c r="I3384">
        <f>VLOOKUP(D3384,Товар!$A$2:$F$1000,3,0)</f>
        <v/>
      </c>
      <c r="J3384">
        <f>VLOOKUP(D3384,Товар!$A$2:$F$1000,5,0)</f>
        <v/>
      </c>
      <c r="K3384">
        <f>IF(AND(H3384="Промышленный",LEFT(I3384,18)="Порошок стиральный",F3384="Продажа",B3384=DATE(2023,6,7)),E3384*J3384/1000,0)</f>
        <v/>
      </c>
    </row>
    <row r="3385">
      <c r="A3385" t="n">
        <v>3384</v>
      </c>
      <c r="B3385" s="1" t="n">
        <v>45091</v>
      </c>
      <c r="C3385" s="5" t="inlineStr">
        <is>
          <t>M10</t>
        </is>
      </c>
      <c r="D3385" s="5" t="n">
        <v>36</v>
      </c>
      <c r="E3385" s="5" t="n">
        <v>142</v>
      </c>
      <c r="F3385" t="inlineStr">
        <is>
          <t>Продажа</t>
        </is>
      </c>
      <c r="H3385">
        <f>VLOOKUP(C3385,Магазин!$A$2:$C$1000,2,0)</f>
        <v/>
      </c>
      <c r="I3385">
        <f>VLOOKUP(D3385,Товар!$A$2:$F$1000,3,0)</f>
        <v/>
      </c>
      <c r="J3385">
        <f>VLOOKUP(D3385,Товар!$A$2:$F$1000,5,0)</f>
        <v/>
      </c>
      <c r="K3385">
        <f>IF(AND(H3385="Промышленный",LEFT(I3385,18)="Порошок стиральный",F3385="Продажа",B3385=DATE(2023,6,7)),E3385*J3385/1000,0)</f>
        <v/>
      </c>
    </row>
    <row r="3386">
      <c r="A3386" t="n">
        <v>3385</v>
      </c>
      <c r="B3386" s="1" t="n">
        <v>45091</v>
      </c>
      <c r="C3386" s="5" t="inlineStr">
        <is>
          <t>M15</t>
        </is>
      </c>
      <c r="D3386" s="5" t="n">
        <v>1</v>
      </c>
      <c r="E3386" s="5" t="n">
        <v>156</v>
      </c>
      <c r="F3386" t="inlineStr">
        <is>
          <t>Продажа</t>
        </is>
      </c>
      <c r="H3386">
        <f>VLOOKUP(C3386,Магазин!$A$2:$C$1000,2,0)</f>
        <v/>
      </c>
      <c r="I3386">
        <f>VLOOKUP(D3386,Товар!$A$2:$F$1000,3,0)</f>
        <v/>
      </c>
      <c r="J3386">
        <f>VLOOKUP(D3386,Товар!$A$2:$F$1000,5,0)</f>
        <v/>
      </c>
      <c r="K3386">
        <f>IF(AND(H3386="Промышленный",LEFT(I3386,18)="Порошок стиральный",F3386="Продажа",B3386=DATE(2023,6,7)),E3386*J3386/1000,0)</f>
        <v/>
      </c>
    </row>
    <row r="3387">
      <c r="A3387" t="n">
        <v>3386</v>
      </c>
      <c r="B3387" s="1" t="n">
        <v>45091</v>
      </c>
      <c r="C3387" s="5" t="inlineStr">
        <is>
          <t>M15</t>
        </is>
      </c>
      <c r="D3387" s="5" t="n">
        <v>2</v>
      </c>
      <c r="E3387" s="5" t="n">
        <v>144</v>
      </c>
      <c r="F3387" t="inlineStr">
        <is>
          <t>Продажа</t>
        </is>
      </c>
      <c r="H3387">
        <f>VLOOKUP(C3387,Магазин!$A$2:$C$1000,2,0)</f>
        <v/>
      </c>
      <c r="I3387">
        <f>VLOOKUP(D3387,Товар!$A$2:$F$1000,3,0)</f>
        <v/>
      </c>
      <c r="J3387">
        <f>VLOOKUP(D3387,Товар!$A$2:$F$1000,5,0)</f>
        <v/>
      </c>
      <c r="K3387">
        <f>IF(AND(H3387="Промышленный",LEFT(I3387,18)="Порошок стиральный",F3387="Продажа",B3387=DATE(2023,6,7)),E3387*J3387/1000,0)</f>
        <v/>
      </c>
    </row>
    <row r="3388">
      <c r="A3388" t="n">
        <v>3387</v>
      </c>
      <c r="B3388" s="1" t="n">
        <v>45091</v>
      </c>
      <c r="C3388" s="5" t="inlineStr">
        <is>
          <t>M15</t>
        </is>
      </c>
      <c r="D3388" s="5" t="n">
        <v>3</v>
      </c>
      <c r="E3388" s="5" t="n">
        <v>178</v>
      </c>
      <c r="F3388" t="inlineStr">
        <is>
          <t>Продажа</t>
        </is>
      </c>
      <c r="H3388">
        <f>VLOOKUP(C3388,Магазин!$A$2:$C$1000,2,0)</f>
        <v/>
      </c>
      <c r="I3388">
        <f>VLOOKUP(D3388,Товар!$A$2:$F$1000,3,0)</f>
        <v/>
      </c>
      <c r="J3388">
        <f>VLOOKUP(D3388,Товар!$A$2:$F$1000,5,0)</f>
        <v/>
      </c>
      <c r="K3388">
        <f>IF(AND(H3388="Промышленный",LEFT(I3388,18)="Порошок стиральный",F3388="Продажа",B3388=DATE(2023,6,7)),E3388*J3388/1000,0)</f>
        <v/>
      </c>
    </row>
    <row r="3389">
      <c r="A3389" t="n">
        <v>3388</v>
      </c>
      <c r="B3389" s="1" t="n">
        <v>45091</v>
      </c>
      <c r="C3389" s="5" t="inlineStr">
        <is>
          <t>M15</t>
        </is>
      </c>
      <c r="D3389" s="5" t="n">
        <v>4</v>
      </c>
      <c r="E3389" s="5" t="n">
        <v>169</v>
      </c>
      <c r="F3389" t="inlineStr">
        <is>
          <t>Продажа</t>
        </is>
      </c>
      <c r="H3389">
        <f>VLOOKUP(C3389,Магазин!$A$2:$C$1000,2,0)</f>
        <v/>
      </c>
      <c r="I3389">
        <f>VLOOKUP(D3389,Товар!$A$2:$F$1000,3,0)</f>
        <v/>
      </c>
      <c r="J3389">
        <f>VLOOKUP(D3389,Товар!$A$2:$F$1000,5,0)</f>
        <v/>
      </c>
      <c r="K3389">
        <f>IF(AND(H3389="Промышленный",LEFT(I3389,18)="Порошок стиральный",F3389="Продажа",B3389=DATE(2023,6,7)),E3389*J3389/1000,0)</f>
        <v/>
      </c>
    </row>
    <row r="3390">
      <c r="A3390" t="n">
        <v>3389</v>
      </c>
      <c r="B3390" s="1" t="n">
        <v>45091</v>
      </c>
      <c r="C3390" s="5" t="inlineStr">
        <is>
          <t>M15</t>
        </is>
      </c>
      <c r="D3390" s="5" t="n">
        <v>5</v>
      </c>
      <c r="E3390" s="5" t="n">
        <v>196</v>
      </c>
      <c r="F3390" t="inlineStr">
        <is>
          <t>Продажа</t>
        </is>
      </c>
      <c r="H3390">
        <f>VLOOKUP(C3390,Магазин!$A$2:$C$1000,2,0)</f>
        <v/>
      </c>
      <c r="I3390">
        <f>VLOOKUP(D3390,Товар!$A$2:$F$1000,3,0)</f>
        <v/>
      </c>
      <c r="J3390">
        <f>VLOOKUP(D3390,Товар!$A$2:$F$1000,5,0)</f>
        <v/>
      </c>
      <c r="K3390">
        <f>IF(AND(H3390="Промышленный",LEFT(I3390,18)="Порошок стиральный",F3390="Продажа",B3390=DATE(2023,6,7)),E3390*J3390/1000,0)</f>
        <v/>
      </c>
    </row>
    <row r="3391">
      <c r="A3391" t="n">
        <v>3390</v>
      </c>
      <c r="B3391" s="1" t="n">
        <v>45091</v>
      </c>
      <c r="C3391" s="5" t="inlineStr">
        <is>
          <t>M15</t>
        </is>
      </c>
      <c r="D3391" s="5" t="n">
        <v>6</v>
      </c>
      <c r="E3391" s="5" t="n">
        <v>123</v>
      </c>
      <c r="F3391" t="inlineStr">
        <is>
          <t>Продажа</t>
        </is>
      </c>
      <c r="H3391">
        <f>VLOOKUP(C3391,Магазин!$A$2:$C$1000,2,0)</f>
        <v/>
      </c>
      <c r="I3391">
        <f>VLOOKUP(D3391,Товар!$A$2:$F$1000,3,0)</f>
        <v/>
      </c>
      <c r="J3391">
        <f>VLOOKUP(D3391,Товар!$A$2:$F$1000,5,0)</f>
        <v/>
      </c>
      <c r="K3391">
        <f>IF(AND(H3391="Промышленный",LEFT(I3391,18)="Порошок стиральный",F3391="Продажа",B3391=DATE(2023,6,7)),E3391*J3391/1000,0)</f>
        <v/>
      </c>
    </row>
    <row r="3392">
      <c r="A3392" t="n">
        <v>3391</v>
      </c>
      <c r="B3392" s="1" t="n">
        <v>45091</v>
      </c>
      <c r="C3392" s="5" t="inlineStr">
        <is>
          <t>M15</t>
        </is>
      </c>
      <c r="D3392" s="5" t="n">
        <v>7</v>
      </c>
      <c r="E3392" s="5" t="n">
        <v>111</v>
      </c>
      <c r="F3392" t="inlineStr">
        <is>
          <t>Продажа</t>
        </is>
      </c>
      <c r="H3392">
        <f>VLOOKUP(C3392,Магазин!$A$2:$C$1000,2,0)</f>
        <v/>
      </c>
      <c r="I3392">
        <f>VLOOKUP(D3392,Товар!$A$2:$F$1000,3,0)</f>
        <v/>
      </c>
      <c r="J3392">
        <f>VLOOKUP(D3392,Товар!$A$2:$F$1000,5,0)</f>
        <v/>
      </c>
      <c r="K3392">
        <f>IF(AND(H3392="Промышленный",LEFT(I3392,18)="Порошок стиральный",F3392="Продажа",B3392=DATE(2023,6,7)),E3392*J3392/1000,0)</f>
        <v/>
      </c>
    </row>
    <row r="3393">
      <c r="A3393" t="n">
        <v>3392</v>
      </c>
      <c r="B3393" s="1" t="n">
        <v>45091</v>
      </c>
      <c r="C3393" s="5" t="inlineStr">
        <is>
          <t>M15</t>
        </is>
      </c>
      <c r="D3393" s="5" t="n">
        <v>8</v>
      </c>
      <c r="E3393" s="5" t="n">
        <v>158</v>
      </c>
      <c r="F3393" t="inlineStr">
        <is>
          <t>Продажа</t>
        </is>
      </c>
      <c r="H3393">
        <f>VLOOKUP(C3393,Магазин!$A$2:$C$1000,2,0)</f>
        <v/>
      </c>
      <c r="I3393">
        <f>VLOOKUP(D3393,Товар!$A$2:$F$1000,3,0)</f>
        <v/>
      </c>
      <c r="J3393">
        <f>VLOOKUP(D3393,Товар!$A$2:$F$1000,5,0)</f>
        <v/>
      </c>
      <c r="K3393">
        <f>IF(AND(H3393="Промышленный",LEFT(I3393,18)="Порошок стиральный",F3393="Продажа",B3393=DATE(2023,6,7)),E3393*J3393/1000,0)</f>
        <v/>
      </c>
    </row>
    <row r="3394">
      <c r="A3394" t="n">
        <v>3393</v>
      </c>
      <c r="B3394" s="1" t="n">
        <v>45091</v>
      </c>
      <c r="C3394" s="5" t="inlineStr">
        <is>
          <t>M15</t>
        </is>
      </c>
      <c r="D3394" s="5" t="n">
        <v>9</v>
      </c>
      <c r="E3394" s="5" t="n">
        <v>175</v>
      </c>
      <c r="F3394" t="inlineStr">
        <is>
          <t>Продажа</t>
        </is>
      </c>
      <c r="H3394">
        <f>VLOOKUP(C3394,Магазин!$A$2:$C$1000,2,0)</f>
        <v/>
      </c>
      <c r="I3394">
        <f>VLOOKUP(D3394,Товар!$A$2:$F$1000,3,0)</f>
        <v/>
      </c>
      <c r="J3394">
        <f>VLOOKUP(D3394,Товар!$A$2:$F$1000,5,0)</f>
        <v/>
      </c>
      <c r="K3394">
        <f>IF(AND(H3394="Промышленный",LEFT(I3394,18)="Порошок стиральный",F3394="Продажа",B3394=DATE(2023,6,7)),E3394*J3394/1000,0)</f>
        <v/>
      </c>
    </row>
    <row r="3395">
      <c r="A3395" t="n">
        <v>3394</v>
      </c>
      <c r="B3395" s="1" t="n">
        <v>45091</v>
      </c>
      <c r="C3395" s="5" t="inlineStr">
        <is>
          <t>M15</t>
        </is>
      </c>
      <c r="D3395" s="5" t="n">
        <v>10</v>
      </c>
      <c r="E3395" s="5" t="n">
        <v>114</v>
      </c>
      <c r="F3395" t="inlineStr">
        <is>
          <t>Продажа</t>
        </is>
      </c>
      <c r="H3395">
        <f>VLOOKUP(C3395,Магазин!$A$2:$C$1000,2,0)</f>
        <v/>
      </c>
      <c r="I3395">
        <f>VLOOKUP(D3395,Товар!$A$2:$F$1000,3,0)</f>
        <v/>
      </c>
      <c r="J3395">
        <f>VLOOKUP(D3395,Товар!$A$2:$F$1000,5,0)</f>
        <v/>
      </c>
      <c r="K3395">
        <f>IF(AND(H3395="Промышленный",LEFT(I3395,18)="Порошок стиральный",F3395="Продажа",B3395=DATE(2023,6,7)),E3395*J3395/1000,0)</f>
        <v/>
      </c>
    </row>
    <row r="3396">
      <c r="A3396" t="n">
        <v>3395</v>
      </c>
      <c r="B3396" s="1" t="n">
        <v>45091</v>
      </c>
      <c r="C3396" s="5" t="inlineStr">
        <is>
          <t>M15</t>
        </is>
      </c>
      <c r="D3396" s="5" t="n">
        <v>11</v>
      </c>
      <c r="E3396" s="5" t="n">
        <v>139</v>
      </c>
      <c r="F3396" t="inlineStr">
        <is>
          <t>Продажа</t>
        </is>
      </c>
      <c r="H3396">
        <f>VLOOKUP(C3396,Магазин!$A$2:$C$1000,2,0)</f>
        <v/>
      </c>
      <c r="I3396">
        <f>VLOOKUP(D3396,Товар!$A$2:$F$1000,3,0)</f>
        <v/>
      </c>
      <c r="J3396">
        <f>VLOOKUP(D3396,Товар!$A$2:$F$1000,5,0)</f>
        <v/>
      </c>
      <c r="K3396">
        <f>IF(AND(H3396="Промышленный",LEFT(I3396,18)="Порошок стиральный",F3396="Продажа",B3396=DATE(2023,6,7)),E3396*J3396/1000,0)</f>
        <v/>
      </c>
    </row>
    <row r="3397">
      <c r="A3397" t="n">
        <v>3396</v>
      </c>
      <c r="B3397" s="1" t="n">
        <v>45091</v>
      </c>
      <c r="C3397" s="5" t="inlineStr">
        <is>
          <t>M15</t>
        </is>
      </c>
      <c r="D3397" s="5" t="n">
        <v>12</v>
      </c>
      <c r="E3397" s="5" t="n">
        <v>141</v>
      </c>
      <c r="F3397" t="inlineStr">
        <is>
          <t>Продажа</t>
        </is>
      </c>
      <c r="H3397">
        <f>VLOOKUP(C3397,Магазин!$A$2:$C$1000,2,0)</f>
        <v/>
      </c>
      <c r="I3397">
        <f>VLOOKUP(D3397,Товар!$A$2:$F$1000,3,0)</f>
        <v/>
      </c>
      <c r="J3397">
        <f>VLOOKUP(D3397,Товар!$A$2:$F$1000,5,0)</f>
        <v/>
      </c>
      <c r="K3397">
        <f>IF(AND(H3397="Промышленный",LEFT(I3397,18)="Порошок стиральный",F3397="Продажа",B3397=DATE(2023,6,7)),E3397*J3397/1000,0)</f>
        <v/>
      </c>
    </row>
    <row r="3398">
      <c r="A3398" t="n">
        <v>3397</v>
      </c>
      <c r="B3398" s="1" t="n">
        <v>45091</v>
      </c>
      <c r="C3398" s="5" t="inlineStr">
        <is>
          <t>M15</t>
        </is>
      </c>
      <c r="D3398" s="5" t="n">
        <v>13</v>
      </c>
      <c r="E3398" s="5" t="n">
        <v>122</v>
      </c>
      <c r="F3398" t="inlineStr">
        <is>
          <t>Продажа</t>
        </is>
      </c>
      <c r="H3398">
        <f>VLOOKUP(C3398,Магазин!$A$2:$C$1000,2,0)</f>
        <v/>
      </c>
      <c r="I3398">
        <f>VLOOKUP(D3398,Товар!$A$2:$F$1000,3,0)</f>
        <v/>
      </c>
      <c r="J3398">
        <f>VLOOKUP(D3398,Товар!$A$2:$F$1000,5,0)</f>
        <v/>
      </c>
      <c r="K3398">
        <f>IF(AND(H3398="Промышленный",LEFT(I3398,18)="Порошок стиральный",F3398="Продажа",B3398=DATE(2023,6,7)),E3398*J3398/1000,0)</f>
        <v/>
      </c>
    </row>
    <row r="3399">
      <c r="A3399" t="n">
        <v>3398</v>
      </c>
      <c r="B3399" s="1" t="n">
        <v>45091</v>
      </c>
      <c r="C3399" s="5" t="inlineStr">
        <is>
          <t>M15</t>
        </is>
      </c>
      <c r="D3399" s="5" t="n">
        <v>14</v>
      </c>
      <c r="E3399" s="5" t="n">
        <v>123</v>
      </c>
      <c r="F3399" t="inlineStr">
        <is>
          <t>Продажа</t>
        </is>
      </c>
      <c r="H3399">
        <f>VLOOKUP(C3399,Магазин!$A$2:$C$1000,2,0)</f>
        <v/>
      </c>
      <c r="I3399">
        <f>VLOOKUP(D3399,Товар!$A$2:$F$1000,3,0)</f>
        <v/>
      </c>
      <c r="J3399">
        <f>VLOOKUP(D3399,Товар!$A$2:$F$1000,5,0)</f>
        <v/>
      </c>
      <c r="K3399">
        <f>IF(AND(H3399="Промышленный",LEFT(I3399,18)="Порошок стиральный",F3399="Продажа",B3399=DATE(2023,6,7)),E3399*J3399/1000,0)</f>
        <v/>
      </c>
    </row>
    <row r="3400">
      <c r="A3400" t="n">
        <v>3399</v>
      </c>
      <c r="B3400" s="1" t="n">
        <v>45091</v>
      </c>
      <c r="C3400" s="5" t="inlineStr">
        <is>
          <t>M15</t>
        </is>
      </c>
      <c r="D3400" s="5" t="n">
        <v>15</v>
      </c>
      <c r="E3400" s="5" t="n">
        <v>158</v>
      </c>
      <c r="F3400" t="inlineStr">
        <is>
          <t>Продажа</t>
        </is>
      </c>
      <c r="H3400">
        <f>VLOOKUP(C3400,Магазин!$A$2:$C$1000,2,0)</f>
        <v/>
      </c>
      <c r="I3400">
        <f>VLOOKUP(D3400,Товар!$A$2:$F$1000,3,0)</f>
        <v/>
      </c>
      <c r="J3400">
        <f>VLOOKUP(D3400,Товар!$A$2:$F$1000,5,0)</f>
        <v/>
      </c>
      <c r="K3400">
        <f>IF(AND(H3400="Промышленный",LEFT(I3400,18)="Порошок стиральный",F3400="Продажа",B3400=DATE(2023,6,7)),E3400*J3400/1000,0)</f>
        <v/>
      </c>
    </row>
    <row r="3401">
      <c r="A3401" t="n">
        <v>3400</v>
      </c>
      <c r="B3401" s="1" t="n">
        <v>45091</v>
      </c>
      <c r="C3401" s="5" t="inlineStr">
        <is>
          <t>M15</t>
        </is>
      </c>
      <c r="D3401" s="5" t="n">
        <v>16</v>
      </c>
      <c r="E3401" s="5" t="n">
        <v>146</v>
      </c>
      <c r="F3401" t="inlineStr">
        <is>
          <t>Продажа</t>
        </is>
      </c>
      <c r="H3401">
        <f>VLOOKUP(C3401,Магазин!$A$2:$C$1000,2,0)</f>
        <v/>
      </c>
      <c r="I3401">
        <f>VLOOKUP(D3401,Товар!$A$2:$F$1000,3,0)</f>
        <v/>
      </c>
      <c r="J3401">
        <f>VLOOKUP(D3401,Товар!$A$2:$F$1000,5,0)</f>
        <v/>
      </c>
      <c r="K3401">
        <f>IF(AND(H3401="Промышленный",LEFT(I3401,18)="Порошок стиральный",F3401="Продажа",B3401=DATE(2023,6,7)),E3401*J3401/1000,0)</f>
        <v/>
      </c>
    </row>
    <row r="3402">
      <c r="A3402" t="n">
        <v>3401</v>
      </c>
      <c r="B3402" s="1" t="n">
        <v>45091</v>
      </c>
      <c r="C3402" s="5" t="inlineStr">
        <is>
          <t>M15</t>
        </is>
      </c>
      <c r="D3402" s="5" t="n">
        <v>17</v>
      </c>
      <c r="E3402" s="5" t="n">
        <v>147</v>
      </c>
      <c r="F3402" t="inlineStr">
        <is>
          <t>Продажа</t>
        </is>
      </c>
      <c r="H3402">
        <f>VLOOKUP(C3402,Магазин!$A$2:$C$1000,2,0)</f>
        <v/>
      </c>
      <c r="I3402">
        <f>VLOOKUP(D3402,Товар!$A$2:$F$1000,3,0)</f>
        <v/>
      </c>
      <c r="J3402">
        <f>VLOOKUP(D3402,Товар!$A$2:$F$1000,5,0)</f>
        <v/>
      </c>
      <c r="K3402">
        <f>IF(AND(H3402="Промышленный",LEFT(I3402,18)="Порошок стиральный",F3402="Продажа",B3402=DATE(2023,6,7)),E3402*J3402/1000,0)</f>
        <v/>
      </c>
    </row>
    <row r="3403">
      <c r="A3403" t="n">
        <v>3402</v>
      </c>
      <c r="B3403" s="1" t="n">
        <v>45091</v>
      </c>
      <c r="C3403" s="5" t="inlineStr">
        <is>
          <t>M15</t>
        </is>
      </c>
      <c r="D3403" s="5" t="n">
        <v>18</v>
      </c>
      <c r="E3403" s="5" t="n">
        <v>169</v>
      </c>
      <c r="F3403" t="inlineStr">
        <is>
          <t>Продажа</t>
        </is>
      </c>
      <c r="H3403">
        <f>VLOOKUP(C3403,Магазин!$A$2:$C$1000,2,0)</f>
        <v/>
      </c>
      <c r="I3403">
        <f>VLOOKUP(D3403,Товар!$A$2:$F$1000,3,0)</f>
        <v/>
      </c>
      <c r="J3403">
        <f>VLOOKUP(D3403,Товар!$A$2:$F$1000,5,0)</f>
        <v/>
      </c>
      <c r="K3403">
        <f>IF(AND(H3403="Промышленный",LEFT(I3403,18)="Порошок стиральный",F3403="Продажа",B3403=DATE(2023,6,7)),E3403*J3403/1000,0)</f>
        <v/>
      </c>
    </row>
    <row r="3404">
      <c r="A3404" t="n">
        <v>3403</v>
      </c>
      <c r="B3404" s="1" t="n">
        <v>45091</v>
      </c>
      <c r="C3404" s="5" t="inlineStr">
        <is>
          <t>M15</t>
        </is>
      </c>
      <c r="D3404" s="5" t="n">
        <v>19</v>
      </c>
      <c r="E3404" s="5" t="n">
        <v>199</v>
      </c>
      <c r="F3404" t="inlineStr">
        <is>
          <t>Продажа</t>
        </is>
      </c>
      <c r="H3404">
        <f>VLOOKUP(C3404,Магазин!$A$2:$C$1000,2,0)</f>
        <v/>
      </c>
      <c r="I3404">
        <f>VLOOKUP(D3404,Товар!$A$2:$F$1000,3,0)</f>
        <v/>
      </c>
      <c r="J3404">
        <f>VLOOKUP(D3404,Товар!$A$2:$F$1000,5,0)</f>
        <v/>
      </c>
      <c r="K3404">
        <f>IF(AND(H3404="Промышленный",LEFT(I3404,18)="Порошок стиральный",F3404="Продажа",B3404=DATE(2023,6,7)),E3404*J3404/1000,0)</f>
        <v/>
      </c>
    </row>
    <row r="3405">
      <c r="A3405" t="n">
        <v>3404</v>
      </c>
      <c r="B3405" s="1" t="n">
        <v>45091</v>
      </c>
      <c r="C3405" s="5" t="inlineStr">
        <is>
          <t>M15</t>
        </is>
      </c>
      <c r="D3405" s="5" t="n">
        <v>20</v>
      </c>
      <c r="E3405" s="5" t="n">
        <v>147</v>
      </c>
      <c r="F3405" t="inlineStr">
        <is>
          <t>Продажа</t>
        </is>
      </c>
      <c r="H3405">
        <f>VLOOKUP(C3405,Магазин!$A$2:$C$1000,2,0)</f>
        <v/>
      </c>
      <c r="I3405">
        <f>VLOOKUP(D3405,Товар!$A$2:$F$1000,3,0)</f>
        <v/>
      </c>
      <c r="J3405">
        <f>VLOOKUP(D3405,Товар!$A$2:$F$1000,5,0)</f>
        <v/>
      </c>
      <c r="K3405">
        <f>IF(AND(H3405="Промышленный",LEFT(I3405,18)="Порошок стиральный",F3405="Продажа",B3405=DATE(2023,6,7)),E3405*J3405/1000,0)</f>
        <v/>
      </c>
    </row>
    <row r="3406">
      <c r="A3406" t="n">
        <v>3405</v>
      </c>
      <c r="B3406" s="1" t="n">
        <v>45091</v>
      </c>
      <c r="C3406" s="5" t="inlineStr">
        <is>
          <t>M15</t>
        </is>
      </c>
      <c r="D3406" s="5" t="n">
        <v>21</v>
      </c>
      <c r="E3406" s="5" t="n">
        <v>138</v>
      </c>
      <c r="F3406" t="inlineStr">
        <is>
          <t>Продажа</t>
        </is>
      </c>
      <c r="H3406">
        <f>VLOOKUP(C3406,Магазин!$A$2:$C$1000,2,0)</f>
        <v/>
      </c>
      <c r="I3406">
        <f>VLOOKUP(D3406,Товар!$A$2:$F$1000,3,0)</f>
        <v/>
      </c>
      <c r="J3406">
        <f>VLOOKUP(D3406,Товар!$A$2:$F$1000,5,0)</f>
        <v/>
      </c>
      <c r="K3406">
        <f>IF(AND(H3406="Промышленный",LEFT(I3406,18)="Порошок стиральный",F3406="Продажа",B3406=DATE(2023,6,7)),E3406*J3406/1000,0)</f>
        <v/>
      </c>
    </row>
    <row r="3407">
      <c r="A3407" t="n">
        <v>3406</v>
      </c>
      <c r="B3407" s="1" t="n">
        <v>45091</v>
      </c>
      <c r="C3407" s="5" t="inlineStr">
        <is>
          <t>M15</t>
        </is>
      </c>
      <c r="D3407" s="5" t="n">
        <v>22</v>
      </c>
      <c r="E3407" s="5" t="n">
        <v>129</v>
      </c>
      <c r="F3407" t="inlineStr">
        <is>
          <t>Продажа</t>
        </is>
      </c>
      <c r="H3407">
        <f>VLOOKUP(C3407,Магазин!$A$2:$C$1000,2,0)</f>
        <v/>
      </c>
      <c r="I3407">
        <f>VLOOKUP(D3407,Товар!$A$2:$F$1000,3,0)</f>
        <v/>
      </c>
      <c r="J3407">
        <f>VLOOKUP(D3407,Товар!$A$2:$F$1000,5,0)</f>
        <v/>
      </c>
      <c r="K3407">
        <f>IF(AND(H3407="Промышленный",LEFT(I3407,18)="Порошок стиральный",F3407="Продажа",B3407=DATE(2023,6,7)),E3407*J3407/1000,0)</f>
        <v/>
      </c>
    </row>
    <row r="3408">
      <c r="A3408" t="n">
        <v>3407</v>
      </c>
      <c r="B3408" s="1" t="n">
        <v>45091</v>
      </c>
      <c r="C3408" s="5" t="inlineStr">
        <is>
          <t>M15</t>
        </is>
      </c>
      <c r="D3408" s="5" t="n">
        <v>23</v>
      </c>
      <c r="E3408" s="5" t="n">
        <v>191</v>
      </c>
      <c r="F3408" t="inlineStr">
        <is>
          <t>Продажа</t>
        </is>
      </c>
      <c r="H3408">
        <f>VLOOKUP(C3408,Магазин!$A$2:$C$1000,2,0)</f>
        <v/>
      </c>
      <c r="I3408">
        <f>VLOOKUP(D3408,Товар!$A$2:$F$1000,3,0)</f>
        <v/>
      </c>
      <c r="J3408">
        <f>VLOOKUP(D3408,Товар!$A$2:$F$1000,5,0)</f>
        <v/>
      </c>
      <c r="K3408">
        <f>IF(AND(H3408="Промышленный",LEFT(I3408,18)="Порошок стиральный",F3408="Продажа",B3408=DATE(2023,6,7)),E3408*J3408/1000,0)</f>
        <v/>
      </c>
    </row>
    <row r="3409">
      <c r="A3409" t="n">
        <v>3408</v>
      </c>
      <c r="B3409" s="1" t="n">
        <v>45091</v>
      </c>
      <c r="C3409" s="5" t="inlineStr">
        <is>
          <t>M15</t>
        </is>
      </c>
      <c r="D3409" s="5" t="n">
        <v>24</v>
      </c>
      <c r="E3409" s="5" t="n">
        <v>155</v>
      </c>
      <c r="F3409" t="inlineStr">
        <is>
          <t>Продажа</t>
        </is>
      </c>
      <c r="H3409">
        <f>VLOOKUP(C3409,Магазин!$A$2:$C$1000,2,0)</f>
        <v/>
      </c>
      <c r="I3409">
        <f>VLOOKUP(D3409,Товар!$A$2:$F$1000,3,0)</f>
        <v/>
      </c>
      <c r="J3409">
        <f>VLOOKUP(D3409,Товар!$A$2:$F$1000,5,0)</f>
        <v/>
      </c>
      <c r="K3409">
        <f>IF(AND(H3409="Промышленный",LEFT(I3409,18)="Порошок стиральный",F3409="Продажа",B3409=DATE(2023,6,7)),E3409*J3409/1000,0)</f>
        <v/>
      </c>
    </row>
    <row r="3410">
      <c r="A3410" t="n">
        <v>3409</v>
      </c>
      <c r="B3410" s="1" t="n">
        <v>45091</v>
      </c>
      <c r="C3410" s="5" t="inlineStr">
        <is>
          <t>M15</t>
        </is>
      </c>
      <c r="D3410" s="5" t="n">
        <v>25</v>
      </c>
      <c r="E3410" s="5" t="n">
        <v>143</v>
      </c>
      <c r="F3410" t="inlineStr">
        <is>
          <t>Продажа</t>
        </is>
      </c>
      <c r="H3410">
        <f>VLOOKUP(C3410,Магазин!$A$2:$C$1000,2,0)</f>
        <v/>
      </c>
      <c r="I3410">
        <f>VLOOKUP(D3410,Товар!$A$2:$F$1000,3,0)</f>
        <v/>
      </c>
      <c r="J3410">
        <f>VLOOKUP(D3410,Товар!$A$2:$F$1000,5,0)</f>
        <v/>
      </c>
      <c r="K3410">
        <f>IF(AND(H3410="Промышленный",LEFT(I3410,18)="Порошок стиральный",F3410="Продажа",B3410=DATE(2023,6,7)),E3410*J3410/1000,0)</f>
        <v/>
      </c>
    </row>
    <row r="3411">
      <c r="A3411" t="n">
        <v>3410</v>
      </c>
      <c r="B3411" s="1" t="n">
        <v>45091</v>
      </c>
      <c r="C3411" s="5" t="inlineStr">
        <is>
          <t>M15</t>
        </is>
      </c>
      <c r="D3411" s="5" t="n">
        <v>26</v>
      </c>
      <c r="E3411" s="5" t="n">
        <v>178</v>
      </c>
      <c r="F3411" t="inlineStr">
        <is>
          <t>Продажа</t>
        </is>
      </c>
      <c r="H3411">
        <f>VLOOKUP(C3411,Магазин!$A$2:$C$1000,2,0)</f>
        <v/>
      </c>
      <c r="I3411">
        <f>VLOOKUP(D3411,Товар!$A$2:$F$1000,3,0)</f>
        <v/>
      </c>
      <c r="J3411">
        <f>VLOOKUP(D3411,Товар!$A$2:$F$1000,5,0)</f>
        <v/>
      </c>
      <c r="K3411">
        <f>IF(AND(H3411="Промышленный",LEFT(I3411,18)="Порошок стиральный",F3411="Продажа",B3411=DATE(2023,6,7)),E3411*J3411/1000,0)</f>
        <v/>
      </c>
    </row>
    <row r="3412">
      <c r="A3412" t="n">
        <v>3411</v>
      </c>
      <c r="B3412" s="1" t="n">
        <v>45091</v>
      </c>
      <c r="C3412" s="5" t="inlineStr">
        <is>
          <t>M15</t>
        </is>
      </c>
      <c r="D3412" s="5" t="n">
        <v>27</v>
      </c>
      <c r="E3412" s="5" t="n">
        <v>146</v>
      </c>
      <c r="F3412" t="inlineStr">
        <is>
          <t>Продажа</t>
        </is>
      </c>
      <c r="H3412">
        <f>VLOOKUP(C3412,Магазин!$A$2:$C$1000,2,0)</f>
        <v/>
      </c>
      <c r="I3412">
        <f>VLOOKUP(D3412,Товар!$A$2:$F$1000,3,0)</f>
        <v/>
      </c>
      <c r="J3412">
        <f>VLOOKUP(D3412,Товар!$A$2:$F$1000,5,0)</f>
        <v/>
      </c>
      <c r="K3412">
        <f>IF(AND(H3412="Промышленный",LEFT(I3412,18)="Порошок стиральный",F3412="Продажа",B3412=DATE(2023,6,7)),E3412*J3412/1000,0)</f>
        <v/>
      </c>
    </row>
    <row r="3413">
      <c r="A3413" t="n">
        <v>3412</v>
      </c>
      <c r="B3413" s="1" t="n">
        <v>45091</v>
      </c>
      <c r="C3413" s="5" t="inlineStr">
        <is>
          <t>M15</t>
        </is>
      </c>
      <c r="D3413" s="5" t="n">
        <v>28</v>
      </c>
      <c r="E3413" s="5" t="n">
        <v>128</v>
      </c>
      <c r="F3413" t="inlineStr">
        <is>
          <t>Продажа</t>
        </is>
      </c>
      <c r="H3413">
        <f>VLOOKUP(C3413,Магазин!$A$2:$C$1000,2,0)</f>
        <v/>
      </c>
      <c r="I3413">
        <f>VLOOKUP(D3413,Товар!$A$2:$F$1000,3,0)</f>
        <v/>
      </c>
      <c r="J3413">
        <f>VLOOKUP(D3413,Товар!$A$2:$F$1000,5,0)</f>
        <v/>
      </c>
      <c r="K3413">
        <f>IF(AND(H3413="Промышленный",LEFT(I3413,18)="Порошок стиральный",F3413="Продажа",B3413=DATE(2023,6,7)),E3413*J3413/1000,0)</f>
        <v/>
      </c>
    </row>
    <row r="3414">
      <c r="A3414" t="n">
        <v>3413</v>
      </c>
      <c r="B3414" s="1" t="n">
        <v>45091</v>
      </c>
      <c r="C3414" s="5" t="inlineStr">
        <is>
          <t>M15</t>
        </is>
      </c>
      <c r="D3414" s="5" t="n">
        <v>29</v>
      </c>
      <c r="E3414" s="5" t="n">
        <v>191</v>
      </c>
      <c r="F3414" t="inlineStr">
        <is>
          <t>Продажа</t>
        </is>
      </c>
      <c r="H3414">
        <f>VLOOKUP(C3414,Магазин!$A$2:$C$1000,2,0)</f>
        <v/>
      </c>
      <c r="I3414">
        <f>VLOOKUP(D3414,Товар!$A$2:$F$1000,3,0)</f>
        <v/>
      </c>
      <c r="J3414">
        <f>VLOOKUP(D3414,Товар!$A$2:$F$1000,5,0)</f>
        <v/>
      </c>
      <c r="K3414">
        <f>IF(AND(H3414="Промышленный",LEFT(I3414,18)="Порошок стиральный",F3414="Продажа",B3414=DATE(2023,6,7)),E3414*J3414/1000,0)</f>
        <v/>
      </c>
    </row>
    <row r="3415">
      <c r="A3415" t="n">
        <v>3414</v>
      </c>
      <c r="B3415" s="1" t="n">
        <v>45091</v>
      </c>
      <c r="C3415" s="5" t="inlineStr">
        <is>
          <t>M15</t>
        </is>
      </c>
      <c r="D3415" s="5" t="n">
        <v>30</v>
      </c>
      <c r="E3415" s="5" t="n">
        <v>165</v>
      </c>
      <c r="F3415" t="inlineStr">
        <is>
          <t>Продажа</t>
        </is>
      </c>
      <c r="H3415">
        <f>VLOOKUP(C3415,Магазин!$A$2:$C$1000,2,0)</f>
        <v/>
      </c>
      <c r="I3415">
        <f>VLOOKUP(D3415,Товар!$A$2:$F$1000,3,0)</f>
        <v/>
      </c>
      <c r="J3415">
        <f>VLOOKUP(D3415,Товар!$A$2:$F$1000,5,0)</f>
        <v/>
      </c>
      <c r="K3415">
        <f>IF(AND(H3415="Промышленный",LEFT(I3415,18)="Порошок стиральный",F3415="Продажа",B3415=DATE(2023,6,7)),E3415*J3415/1000,0)</f>
        <v/>
      </c>
    </row>
    <row r="3416">
      <c r="A3416" t="n">
        <v>3415</v>
      </c>
      <c r="B3416" s="1" t="n">
        <v>45091</v>
      </c>
      <c r="C3416" s="5" t="inlineStr">
        <is>
          <t>M15</t>
        </is>
      </c>
      <c r="D3416" s="5" t="n">
        <v>31</v>
      </c>
      <c r="E3416" s="5" t="n">
        <v>167</v>
      </c>
      <c r="F3416" t="inlineStr">
        <is>
          <t>Продажа</t>
        </is>
      </c>
      <c r="H3416">
        <f>VLOOKUP(C3416,Магазин!$A$2:$C$1000,2,0)</f>
        <v/>
      </c>
      <c r="I3416">
        <f>VLOOKUP(D3416,Товар!$A$2:$F$1000,3,0)</f>
        <v/>
      </c>
      <c r="J3416">
        <f>VLOOKUP(D3416,Товар!$A$2:$F$1000,5,0)</f>
        <v/>
      </c>
      <c r="K3416">
        <f>IF(AND(H3416="Промышленный",LEFT(I3416,18)="Порошок стиральный",F3416="Продажа",B3416=DATE(2023,6,7)),E3416*J3416/1000,0)</f>
        <v/>
      </c>
    </row>
    <row r="3417">
      <c r="A3417" t="n">
        <v>3416</v>
      </c>
      <c r="B3417" s="1" t="n">
        <v>45091</v>
      </c>
      <c r="C3417" s="5" t="inlineStr">
        <is>
          <t>M15</t>
        </is>
      </c>
      <c r="D3417" s="5" t="n">
        <v>32</v>
      </c>
      <c r="E3417" s="5" t="n">
        <v>132</v>
      </c>
      <c r="F3417" t="inlineStr">
        <is>
          <t>Продажа</t>
        </is>
      </c>
      <c r="H3417">
        <f>VLOOKUP(C3417,Магазин!$A$2:$C$1000,2,0)</f>
        <v/>
      </c>
      <c r="I3417">
        <f>VLOOKUP(D3417,Товар!$A$2:$F$1000,3,0)</f>
        <v/>
      </c>
      <c r="J3417">
        <f>VLOOKUP(D3417,Товар!$A$2:$F$1000,5,0)</f>
        <v/>
      </c>
      <c r="K3417">
        <f>IF(AND(H3417="Промышленный",LEFT(I3417,18)="Порошок стиральный",F3417="Продажа",B3417=DATE(2023,6,7)),E3417*J3417/1000,0)</f>
        <v/>
      </c>
    </row>
    <row r="3418">
      <c r="A3418" t="n">
        <v>3417</v>
      </c>
      <c r="B3418" s="1" t="n">
        <v>45091</v>
      </c>
      <c r="C3418" s="5" t="inlineStr">
        <is>
          <t>M15</t>
        </is>
      </c>
      <c r="D3418" s="5" t="n">
        <v>33</v>
      </c>
      <c r="E3418" s="5" t="n">
        <v>105</v>
      </c>
      <c r="F3418" t="inlineStr">
        <is>
          <t>Продажа</t>
        </is>
      </c>
      <c r="H3418">
        <f>VLOOKUP(C3418,Магазин!$A$2:$C$1000,2,0)</f>
        <v/>
      </c>
      <c r="I3418">
        <f>VLOOKUP(D3418,Товар!$A$2:$F$1000,3,0)</f>
        <v/>
      </c>
      <c r="J3418">
        <f>VLOOKUP(D3418,Товар!$A$2:$F$1000,5,0)</f>
        <v/>
      </c>
      <c r="K3418">
        <f>IF(AND(H3418="Промышленный",LEFT(I3418,18)="Порошок стиральный",F3418="Продажа",B3418=DATE(2023,6,7)),E3418*J3418/1000,0)</f>
        <v/>
      </c>
    </row>
    <row r="3419">
      <c r="A3419" t="n">
        <v>3418</v>
      </c>
      <c r="B3419" s="1" t="n">
        <v>45091</v>
      </c>
      <c r="C3419" s="5" t="inlineStr">
        <is>
          <t>M15</t>
        </is>
      </c>
      <c r="D3419" s="5" t="n">
        <v>34</v>
      </c>
      <c r="E3419" s="5" t="n">
        <v>114</v>
      </c>
      <c r="F3419" t="inlineStr">
        <is>
          <t>Продажа</t>
        </is>
      </c>
      <c r="H3419">
        <f>VLOOKUP(C3419,Магазин!$A$2:$C$1000,2,0)</f>
        <v/>
      </c>
      <c r="I3419">
        <f>VLOOKUP(D3419,Товар!$A$2:$F$1000,3,0)</f>
        <v/>
      </c>
      <c r="J3419">
        <f>VLOOKUP(D3419,Товар!$A$2:$F$1000,5,0)</f>
        <v/>
      </c>
      <c r="K3419">
        <f>IF(AND(H3419="Промышленный",LEFT(I3419,18)="Порошок стиральный",F3419="Продажа",B3419=DATE(2023,6,7)),E3419*J3419/1000,0)</f>
        <v/>
      </c>
    </row>
    <row r="3420">
      <c r="A3420" t="n">
        <v>3419</v>
      </c>
      <c r="B3420" s="1" t="n">
        <v>45091</v>
      </c>
      <c r="C3420" s="5" t="inlineStr">
        <is>
          <t>M15</t>
        </is>
      </c>
      <c r="D3420" s="5" t="n">
        <v>35</v>
      </c>
      <c r="E3420" s="5" t="n">
        <v>192</v>
      </c>
      <c r="F3420" t="inlineStr">
        <is>
          <t>Продажа</t>
        </is>
      </c>
      <c r="H3420">
        <f>VLOOKUP(C3420,Магазин!$A$2:$C$1000,2,0)</f>
        <v/>
      </c>
      <c r="I3420">
        <f>VLOOKUP(D3420,Товар!$A$2:$F$1000,3,0)</f>
        <v/>
      </c>
      <c r="J3420">
        <f>VLOOKUP(D3420,Товар!$A$2:$F$1000,5,0)</f>
        <v/>
      </c>
      <c r="K3420">
        <f>IF(AND(H3420="Промышленный",LEFT(I3420,18)="Порошок стиральный",F3420="Продажа",B3420=DATE(2023,6,7)),E3420*J3420/1000,0)</f>
        <v/>
      </c>
    </row>
    <row r="3421">
      <c r="A3421" t="n">
        <v>3420</v>
      </c>
      <c r="B3421" s="1" t="n">
        <v>45091</v>
      </c>
      <c r="C3421" s="5" t="inlineStr">
        <is>
          <t>M15</t>
        </is>
      </c>
      <c r="D3421" s="5" t="n">
        <v>36</v>
      </c>
      <c r="E3421" s="5" t="n">
        <v>145</v>
      </c>
      <c r="F3421" t="inlineStr">
        <is>
          <t>Продажа</t>
        </is>
      </c>
      <c r="H3421">
        <f>VLOOKUP(C3421,Магазин!$A$2:$C$1000,2,0)</f>
        <v/>
      </c>
      <c r="I3421">
        <f>VLOOKUP(D3421,Товар!$A$2:$F$1000,3,0)</f>
        <v/>
      </c>
      <c r="J3421">
        <f>VLOOKUP(D3421,Товар!$A$2:$F$1000,5,0)</f>
        <v/>
      </c>
      <c r="K3421">
        <f>IF(AND(H3421="Промышленный",LEFT(I3421,18)="Порошок стиральный",F3421="Продажа",B3421=DATE(2023,6,7)),E3421*J3421/1000,0)</f>
        <v/>
      </c>
    </row>
    <row r="3422">
      <c r="A3422" t="n">
        <v>3421</v>
      </c>
      <c r="B3422" s="1" t="n">
        <v>45091</v>
      </c>
      <c r="C3422" s="5" t="inlineStr">
        <is>
          <t>M18</t>
        </is>
      </c>
      <c r="D3422" s="5" t="n">
        <v>1</v>
      </c>
      <c r="E3422" s="5" t="n">
        <v>163</v>
      </c>
      <c r="F3422" t="inlineStr">
        <is>
          <t>Продажа</t>
        </is>
      </c>
      <c r="H3422">
        <f>VLOOKUP(C3422,Магазин!$A$2:$C$1000,2,0)</f>
        <v/>
      </c>
      <c r="I3422">
        <f>VLOOKUP(D3422,Товар!$A$2:$F$1000,3,0)</f>
        <v/>
      </c>
      <c r="J3422">
        <f>VLOOKUP(D3422,Товар!$A$2:$F$1000,5,0)</f>
        <v/>
      </c>
      <c r="K3422">
        <f>IF(AND(H3422="Промышленный",LEFT(I3422,18)="Порошок стиральный",F3422="Продажа",B3422=DATE(2023,6,7)),E3422*J3422/1000,0)</f>
        <v/>
      </c>
    </row>
    <row r="3423">
      <c r="A3423" t="n">
        <v>3422</v>
      </c>
      <c r="B3423" s="1" t="n">
        <v>45091</v>
      </c>
      <c r="C3423" s="5" t="inlineStr">
        <is>
          <t>M18</t>
        </is>
      </c>
      <c r="D3423" s="5" t="n">
        <v>2</v>
      </c>
      <c r="E3423" s="5" t="n">
        <v>128</v>
      </c>
      <c r="F3423" t="inlineStr">
        <is>
          <t>Продажа</t>
        </is>
      </c>
      <c r="H3423">
        <f>VLOOKUP(C3423,Магазин!$A$2:$C$1000,2,0)</f>
        <v/>
      </c>
      <c r="I3423">
        <f>VLOOKUP(D3423,Товар!$A$2:$F$1000,3,0)</f>
        <v/>
      </c>
      <c r="J3423">
        <f>VLOOKUP(D3423,Товар!$A$2:$F$1000,5,0)</f>
        <v/>
      </c>
      <c r="K3423">
        <f>IF(AND(H3423="Промышленный",LEFT(I3423,18)="Порошок стиральный",F3423="Продажа",B3423=DATE(2023,6,7)),E3423*J3423/1000,0)</f>
        <v/>
      </c>
    </row>
    <row r="3424">
      <c r="A3424" t="n">
        <v>3423</v>
      </c>
      <c r="B3424" s="1" t="n">
        <v>45091</v>
      </c>
      <c r="C3424" s="5" t="inlineStr">
        <is>
          <t>M18</t>
        </is>
      </c>
      <c r="D3424" s="5" t="n">
        <v>3</v>
      </c>
      <c r="E3424" s="5" t="n">
        <v>145</v>
      </c>
      <c r="F3424" t="inlineStr">
        <is>
          <t>Продажа</t>
        </is>
      </c>
      <c r="H3424">
        <f>VLOOKUP(C3424,Магазин!$A$2:$C$1000,2,0)</f>
        <v/>
      </c>
      <c r="I3424">
        <f>VLOOKUP(D3424,Товар!$A$2:$F$1000,3,0)</f>
        <v/>
      </c>
      <c r="J3424">
        <f>VLOOKUP(D3424,Товар!$A$2:$F$1000,5,0)</f>
        <v/>
      </c>
      <c r="K3424">
        <f>IF(AND(H3424="Промышленный",LEFT(I3424,18)="Порошок стиральный",F3424="Продажа",B3424=DATE(2023,6,7)),E3424*J3424/1000,0)</f>
        <v/>
      </c>
    </row>
    <row r="3425">
      <c r="A3425" t="n">
        <v>3424</v>
      </c>
      <c r="B3425" s="1" t="n">
        <v>45091</v>
      </c>
      <c r="C3425" s="5" t="inlineStr">
        <is>
          <t>M18</t>
        </is>
      </c>
      <c r="D3425" s="5" t="n">
        <v>4</v>
      </c>
      <c r="E3425" s="5" t="n">
        <v>138</v>
      </c>
      <c r="F3425" t="inlineStr">
        <is>
          <t>Продажа</t>
        </is>
      </c>
      <c r="H3425">
        <f>VLOOKUP(C3425,Магазин!$A$2:$C$1000,2,0)</f>
        <v/>
      </c>
      <c r="I3425">
        <f>VLOOKUP(D3425,Товар!$A$2:$F$1000,3,0)</f>
        <v/>
      </c>
      <c r="J3425">
        <f>VLOOKUP(D3425,Товар!$A$2:$F$1000,5,0)</f>
        <v/>
      </c>
      <c r="K3425">
        <f>IF(AND(H3425="Промышленный",LEFT(I3425,18)="Порошок стиральный",F3425="Продажа",B3425=DATE(2023,6,7)),E3425*J3425/1000,0)</f>
        <v/>
      </c>
    </row>
    <row r="3426">
      <c r="A3426" t="n">
        <v>3425</v>
      </c>
      <c r="B3426" s="1" t="n">
        <v>45091</v>
      </c>
      <c r="C3426" s="5" t="inlineStr">
        <is>
          <t>M18</t>
        </is>
      </c>
      <c r="D3426" s="5" t="n">
        <v>5</v>
      </c>
      <c r="E3426" s="5" t="n">
        <v>164</v>
      </c>
      <c r="F3426" t="inlineStr">
        <is>
          <t>Продажа</t>
        </is>
      </c>
      <c r="H3426">
        <f>VLOOKUP(C3426,Магазин!$A$2:$C$1000,2,0)</f>
        <v/>
      </c>
      <c r="I3426">
        <f>VLOOKUP(D3426,Товар!$A$2:$F$1000,3,0)</f>
        <v/>
      </c>
      <c r="J3426">
        <f>VLOOKUP(D3426,Товар!$A$2:$F$1000,5,0)</f>
        <v/>
      </c>
      <c r="K3426">
        <f>IF(AND(H3426="Промышленный",LEFT(I3426,18)="Порошок стиральный",F3426="Продажа",B3426=DATE(2023,6,7)),E3426*J3426/1000,0)</f>
        <v/>
      </c>
    </row>
    <row r="3427">
      <c r="A3427" t="n">
        <v>3426</v>
      </c>
      <c r="B3427" s="1" t="n">
        <v>45091</v>
      </c>
      <c r="C3427" s="5" t="inlineStr">
        <is>
          <t>M18</t>
        </is>
      </c>
      <c r="D3427" s="5" t="n">
        <v>6</v>
      </c>
      <c r="E3427" s="5" t="n">
        <v>176</v>
      </c>
      <c r="F3427" t="inlineStr">
        <is>
          <t>Продажа</t>
        </is>
      </c>
      <c r="H3427">
        <f>VLOOKUP(C3427,Магазин!$A$2:$C$1000,2,0)</f>
        <v/>
      </c>
      <c r="I3427">
        <f>VLOOKUP(D3427,Товар!$A$2:$F$1000,3,0)</f>
        <v/>
      </c>
      <c r="J3427">
        <f>VLOOKUP(D3427,Товар!$A$2:$F$1000,5,0)</f>
        <v/>
      </c>
      <c r="K3427">
        <f>IF(AND(H3427="Промышленный",LEFT(I3427,18)="Порошок стиральный",F3427="Продажа",B3427=DATE(2023,6,7)),E3427*J3427/1000,0)</f>
        <v/>
      </c>
    </row>
    <row r="3428">
      <c r="A3428" t="n">
        <v>3427</v>
      </c>
      <c r="B3428" s="1" t="n">
        <v>45091</v>
      </c>
      <c r="C3428" s="5" t="inlineStr">
        <is>
          <t>M18</t>
        </is>
      </c>
      <c r="D3428" s="5" t="n">
        <v>7</v>
      </c>
      <c r="E3428" s="5" t="n">
        <v>128</v>
      </c>
      <c r="F3428" t="inlineStr">
        <is>
          <t>Продажа</t>
        </is>
      </c>
      <c r="H3428">
        <f>VLOOKUP(C3428,Магазин!$A$2:$C$1000,2,0)</f>
        <v/>
      </c>
      <c r="I3428">
        <f>VLOOKUP(D3428,Товар!$A$2:$F$1000,3,0)</f>
        <v/>
      </c>
      <c r="J3428">
        <f>VLOOKUP(D3428,Товар!$A$2:$F$1000,5,0)</f>
        <v/>
      </c>
      <c r="K3428">
        <f>IF(AND(H3428="Промышленный",LEFT(I3428,18)="Порошок стиральный",F3428="Продажа",B3428=DATE(2023,6,7)),E3428*J3428/1000,0)</f>
        <v/>
      </c>
    </row>
    <row r="3429">
      <c r="A3429" t="n">
        <v>3428</v>
      </c>
      <c r="B3429" s="1" t="n">
        <v>45091</v>
      </c>
      <c r="C3429" s="5" t="inlineStr">
        <is>
          <t>M18</t>
        </is>
      </c>
      <c r="D3429" s="5" t="n">
        <v>8</v>
      </c>
      <c r="E3429" s="5" t="n">
        <v>146</v>
      </c>
      <c r="F3429" t="inlineStr">
        <is>
          <t>Продажа</t>
        </is>
      </c>
      <c r="H3429">
        <f>VLOOKUP(C3429,Магазин!$A$2:$C$1000,2,0)</f>
        <v/>
      </c>
      <c r="I3429">
        <f>VLOOKUP(D3429,Товар!$A$2:$F$1000,3,0)</f>
        <v/>
      </c>
      <c r="J3429">
        <f>VLOOKUP(D3429,Товар!$A$2:$F$1000,5,0)</f>
        <v/>
      </c>
      <c r="K3429">
        <f>IF(AND(H3429="Промышленный",LEFT(I3429,18)="Порошок стиральный",F3429="Продажа",B3429=DATE(2023,6,7)),E3429*J3429/1000,0)</f>
        <v/>
      </c>
    </row>
    <row r="3430">
      <c r="A3430" t="n">
        <v>3429</v>
      </c>
      <c r="B3430" s="1" t="n">
        <v>45091</v>
      </c>
      <c r="C3430" s="5" t="inlineStr">
        <is>
          <t>M18</t>
        </is>
      </c>
      <c r="D3430" s="5" t="n">
        <v>9</v>
      </c>
      <c r="E3430" s="5" t="n">
        <v>173</v>
      </c>
      <c r="F3430" t="inlineStr">
        <is>
          <t>Продажа</t>
        </is>
      </c>
      <c r="H3430">
        <f>VLOOKUP(C3430,Магазин!$A$2:$C$1000,2,0)</f>
        <v/>
      </c>
      <c r="I3430">
        <f>VLOOKUP(D3430,Товар!$A$2:$F$1000,3,0)</f>
        <v/>
      </c>
      <c r="J3430">
        <f>VLOOKUP(D3430,Товар!$A$2:$F$1000,5,0)</f>
        <v/>
      </c>
      <c r="K3430">
        <f>IF(AND(H3430="Промышленный",LEFT(I3430,18)="Порошок стиральный",F3430="Продажа",B3430=DATE(2023,6,7)),E3430*J3430/1000,0)</f>
        <v/>
      </c>
    </row>
    <row r="3431">
      <c r="A3431" t="n">
        <v>3430</v>
      </c>
      <c r="B3431" s="1" t="n">
        <v>45091</v>
      </c>
      <c r="C3431" s="5" t="inlineStr">
        <is>
          <t>M18</t>
        </is>
      </c>
      <c r="D3431" s="5" t="n">
        <v>10</v>
      </c>
      <c r="E3431" s="5" t="n">
        <v>164</v>
      </c>
      <c r="F3431" t="inlineStr">
        <is>
          <t>Продажа</t>
        </is>
      </c>
      <c r="H3431">
        <f>VLOOKUP(C3431,Магазин!$A$2:$C$1000,2,0)</f>
        <v/>
      </c>
      <c r="I3431">
        <f>VLOOKUP(D3431,Товар!$A$2:$F$1000,3,0)</f>
        <v/>
      </c>
      <c r="J3431">
        <f>VLOOKUP(D3431,Товар!$A$2:$F$1000,5,0)</f>
        <v/>
      </c>
      <c r="K3431">
        <f>IF(AND(H3431="Промышленный",LEFT(I3431,18)="Порошок стиральный",F3431="Продажа",B3431=DATE(2023,6,7)),E3431*J3431/1000,0)</f>
        <v/>
      </c>
    </row>
    <row r="3432">
      <c r="A3432" t="n">
        <v>3431</v>
      </c>
      <c r="B3432" s="1" t="n">
        <v>45091</v>
      </c>
      <c r="C3432" s="5" t="inlineStr">
        <is>
          <t>M18</t>
        </is>
      </c>
      <c r="D3432" s="5" t="n">
        <v>11</v>
      </c>
      <c r="E3432" s="5" t="n">
        <v>176</v>
      </c>
      <c r="F3432" t="inlineStr">
        <is>
          <t>Продажа</t>
        </is>
      </c>
      <c r="H3432">
        <f>VLOOKUP(C3432,Магазин!$A$2:$C$1000,2,0)</f>
        <v/>
      </c>
      <c r="I3432">
        <f>VLOOKUP(D3432,Товар!$A$2:$F$1000,3,0)</f>
        <v/>
      </c>
      <c r="J3432">
        <f>VLOOKUP(D3432,Товар!$A$2:$F$1000,5,0)</f>
        <v/>
      </c>
      <c r="K3432">
        <f>IF(AND(H3432="Промышленный",LEFT(I3432,18)="Порошок стиральный",F3432="Продажа",B3432=DATE(2023,6,7)),E3432*J3432/1000,0)</f>
        <v/>
      </c>
    </row>
    <row r="3433">
      <c r="A3433" t="n">
        <v>3432</v>
      </c>
      <c r="B3433" s="1" t="n">
        <v>45091</v>
      </c>
      <c r="C3433" s="5" t="inlineStr">
        <is>
          <t>M18</t>
        </is>
      </c>
      <c r="D3433" s="5" t="n">
        <v>12</v>
      </c>
      <c r="E3433" s="5" t="n">
        <v>128</v>
      </c>
      <c r="F3433" t="inlineStr">
        <is>
          <t>Продажа</t>
        </is>
      </c>
      <c r="H3433">
        <f>VLOOKUP(C3433,Магазин!$A$2:$C$1000,2,0)</f>
        <v/>
      </c>
      <c r="I3433">
        <f>VLOOKUP(D3433,Товар!$A$2:$F$1000,3,0)</f>
        <v/>
      </c>
      <c r="J3433">
        <f>VLOOKUP(D3433,Товар!$A$2:$F$1000,5,0)</f>
        <v/>
      </c>
      <c r="K3433">
        <f>IF(AND(H3433="Промышленный",LEFT(I3433,18)="Порошок стиральный",F3433="Продажа",B3433=DATE(2023,6,7)),E3433*J3433/1000,0)</f>
        <v/>
      </c>
    </row>
    <row r="3434">
      <c r="A3434" t="n">
        <v>3433</v>
      </c>
      <c r="B3434" s="1" t="n">
        <v>45091</v>
      </c>
      <c r="C3434" s="5" t="inlineStr">
        <is>
          <t>M18</t>
        </is>
      </c>
      <c r="D3434" s="5" t="n">
        <v>13</v>
      </c>
      <c r="E3434" s="5" t="n">
        <v>146</v>
      </c>
      <c r="F3434" t="inlineStr">
        <is>
          <t>Продажа</t>
        </is>
      </c>
      <c r="H3434">
        <f>VLOOKUP(C3434,Магазин!$A$2:$C$1000,2,0)</f>
        <v/>
      </c>
      <c r="I3434">
        <f>VLOOKUP(D3434,Товар!$A$2:$F$1000,3,0)</f>
        <v/>
      </c>
      <c r="J3434">
        <f>VLOOKUP(D3434,Товар!$A$2:$F$1000,5,0)</f>
        <v/>
      </c>
      <c r="K3434">
        <f>IF(AND(H3434="Промышленный",LEFT(I3434,18)="Порошок стиральный",F3434="Продажа",B3434=DATE(2023,6,7)),E3434*J3434/1000,0)</f>
        <v/>
      </c>
    </row>
    <row r="3435">
      <c r="A3435" t="n">
        <v>3434</v>
      </c>
      <c r="B3435" s="1" t="n">
        <v>45091</v>
      </c>
      <c r="C3435" s="5" t="inlineStr">
        <is>
          <t>M18</t>
        </is>
      </c>
      <c r="D3435" s="5" t="n">
        <v>14</v>
      </c>
      <c r="E3435" s="5" t="n">
        <v>173</v>
      </c>
      <c r="F3435" t="inlineStr">
        <is>
          <t>Продажа</t>
        </is>
      </c>
      <c r="H3435">
        <f>VLOOKUP(C3435,Магазин!$A$2:$C$1000,2,0)</f>
        <v/>
      </c>
      <c r="I3435">
        <f>VLOOKUP(D3435,Товар!$A$2:$F$1000,3,0)</f>
        <v/>
      </c>
      <c r="J3435">
        <f>VLOOKUP(D3435,Товар!$A$2:$F$1000,5,0)</f>
        <v/>
      </c>
      <c r="K3435">
        <f>IF(AND(H3435="Промышленный",LEFT(I3435,18)="Порошок стиральный",F3435="Продажа",B3435=DATE(2023,6,7)),E3435*J3435/1000,0)</f>
        <v/>
      </c>
    </row>
    <row r="3436">
      <c r="A3436" t="n">
        <v>3435</v>
      </c>
      <c r="B3436" s="1" t="n">
        <v>45091</v>
      </c>
      <c r="C3436" s="5" t="inlineStr">
        <is>
          <t>M18</t>
        </is>
      </c>
      <c r="D3436" s="5" t="n">
        <v>15</v>
      </c>
      <c r="E3436" s="5" t="n">
        <v>180</v>
      </c>
      <c r="F3436" t="inlineStr">
        <is>
          <t>Продажа</t>
        </is>
      </c>
      <c r="H3436">
        <f>VLOOKUP(C3436,Магазин!$A$2:$C$1000,2,0)</f>
        <v/>
      </c>
      <c r="I3436">
        <f>VLOOKUP(D3436,Товар!$A$2:$F$1000,3,0)</f>
        <v/>
      </c>
      <c r="J3436">
        <f>VLOOKUP(D3436,Товар!$A$2:$F$1000,5,0)</f>
        <v/>
      </c>
      <c r="K3436">
        <f>IF(AND(H3436="Промышленный",LEFT(I3436,18)="Порошок стиральный",F3436="Продажа",B3436=DATE(2023,6,7)),E3436*J3436/1000,0)</f>
        <v/>
      </c>
    </row>
    <row r="3437">
      <c r="A3437" t="n">
        <v>3436</v>
      </c>
      <c r="B3437" s="1" t="n">
        <v>45091</v>
      </c>
      <c r="C3437" s="5" t="inlineStr">
        <is>
          <t>M18</t>
        </is>
      </c>
      <c r="D3437" s="5" t="n">
        <v>16</v>
      </c>
      <c r="E3437" s="5" t="n">
        <v>142</v>
      </c>
      <c r="F3437" t="inlineStr">
        <is>
          <t>Продажа</t>
        </is>
      </c>
      <c r="H3437">
        <f>VLOOKUP(C3437,Магазин!$A$2:$C$1000,2,0)</f>
        <v/>
      </c>
      <c r="I3437">
        <f>VLOOKUP(D3437,Товар!$A$2:$F$1000,3,0)</f>
        <v/>
      </c>
      <c r="J3437">
        <f>VLOOKUP(D3437,Товар!$A$2:$F$1000,5,0)</f>
        <v/>
      </c>
      <c r="K3437">
        <f>IF(AND(H3437="Промышленный",LEFT(I3437,18)="Порошок стиральный",F3437="Продажа",B3437=DATE(2023,6,7)),E3437*J3437/1000,0)</f>
        <v/>
      </c>
    </row>
    <row r="3438">
      <c r="A3438" t="n">
        <v>3437</v>
      </c>
      <c r="B3438" s="1" t="n">
        <v>45091</v>
      </c>
      <c r="C3438" s="5" t="inlineStr">
        <is>
          <t>M18</t>
        </is>
      </c>
      <c r="D3438" s="5" t="n">
        <v>17</v>
      </c>
      <c r="E3438" s="5" t="n">
        <v>156</v>
      </c>
      <c r="F3438" t="inlineStr">
        <is>
          <t>Продажа</t>
        </is>
      </c>
      <c r="H3438">
        <f>VLOOKUP(C3438,Магазин!$A$2:$C$1000,2,0)</f>
        <v/>
      </c>
      <c r="I3438">
        <f>VLOOKUP(D3438,Товар!$A$2:$F$1000,3,0)</f>
        <v/>
      </c>
      <c r="J3438">
        <f>VLOOKUP(D3438,Товар!$A$2:$F$1000,5,0)</f>
        <v/>
      </c>
      <c r="K3438">
        <f>IF(AND(H3438="Промышленный",LEFT(I3438,18)="Порошок стиральный",F3438="Продажа",B3438=DATE(2023,6,7)),E3438*J3438/1000,0)</f>
        <v/>
      </c>
    </row>
    <row r="3439">
      <c r="A3439" t="n">
        <v>3438</v>
      </c>
      <c r="B3439" s="1" t="n">
        <v>45091</v>
      </c>
      <c r="C3439" s="5" t="inlineStr">
        <is>
          <t>M18</t>
        </is>
      </c>
      <c r="D3439" s="5" t="n">
        <v>18</v>
      </c>
      <c r="E3439" s="5" t="n">
        <v>144</v>
      </c>
      <c r="F3439" t="inlineStr">
        <is>
          <t>Продажа</t>
        </is>
      </c>
      <c r="H3439">
        <f>VLOOKUP(C3439,Магазин!$A$2:$C$1000,2,0)</f>
        <v/>
      </c>
      <c r="I3439">
        <f>VLOOKUP(D3439,Товар!$A$2:$F$1000,3,0)</f>
        <v/>
      </c>
      <c r="J3439">
        <f>VLOOKUP(D3439,Товар!$A$2:$F$1000,5,0)</f>
        <v/>
      </c>
      <c r="K3439">
        <f>IF(AND(H3439="Промышленный",LEFT(I3439,18)="Порошок стиральный",F3439="Продажа",B3439=DATE(2023,6,7)),E3439*J3439/1000,0)</f>
        <v/>
      </c>
    </row>
    <row r="3440">
      <c r="A3440" t="n">
        <v>3439</v>
      </c>
      <c r="B3440" s="1" t="n">
        <v>45091</v>
      </c>
      <c r="C3440" s="5" t="inlineStr">
        <is>
          <t>M18</t>
        </is>
      </c>
      <c r="D3440" s="5" t="n">
        <v>19</v>
      </c>
      <c r="E3440" s="5" t="n">
        <v>178</v>
      </c>
      <c r="F3440" t="inlineStr">
        <is>
          <t>Продажа</t>
        </is>
      </c>
      <c r="H3440">
        <f>VLOOKUP(C3440,Магазин!$A$2:$C$1000,2,0)</f>
        <v/>
      </c>
      <c r="I3440">
        <f>VLOOKUP(D3440,Товар!$A$2:$F$1000,3,0)</f>
        <v/>
      </c>
      <c r="J3440">
        <f>VLOOKUP(D3440,Товар!$A$2:$F$1000,5,0)</f>
        <v/>
      </c>
      <c r="K3440">
        <f>IF(AND(H3440="Промышленный",LEFT(I3440,18)="Порошок стиральный",F3440="Продажа",B3440=DATE(2023,6,7)),E3440*J3440/1000,0)</f>
        <v/>
      </c>
    </row>
    <row r="3441">
      <c r="A3441" t="n">
        <v>3440</v>
      </c>
      <c r="B3441" s="1" t="n">
        <v>45091</v>
      </c>
      <c r="C3441" s="5" t="inlineStr">
        <is>
          <t>M18</t>
        </is>
      </c>
      <c r="D3441" s="5" t="n">
        <v>20</v>
      </c>
      <c r="E3441" s="5" t="n">
        <v>169</v>
      </c>
      <c r="F3441" t="inlineStr">
        <is>
          <t>Продажа</t>
        </is>
      </c>
      <c r="H3441">
        <f>VLOOKUP(C3441,Магазин!$A$2:$C$1000,2,0)</f>
        <v/>
      </c>
      <c r="I3441">
        <f>VLOOKUP(D3441,Товар!$A$2:$F$1000,3,0)</f>
        <v/>
      </c>
      <c r="J3441">
        <f>VLOOKUP(D3441,Товар!$A$2:$F$1000,5,0)</f>
        <v/>
      </c>
      <c r="K3441">
        <f>IF(AND(H3441="Промышленный",LEFT(I3441,18)="Порошок стиральный",F3441="Продажа",B3441=DATE(2023,6,7)),E3441*J3441/1000,0)</f>
        <v/>
      </c>
    </row>
    <row r="3442">
      <c r="A3442" t="n">
        <v>3441</v>
      </c>
      <c r="B3442" s="1" t="n">
        <v>45091</v>
      </c>
      <c r="C3442" s="5" t="inlineStr">
        <is>
          <t>M18</t>
        </is>
      </c>
      <c r="D3442" s="5" t="n">
        <v>21</v>
      </c>
      <c r="E3442" s="5" t="n">
        <v>196</v>
      </c>
      <c r="F3442" t="inlineStr">
        <is>
          <t>Продажа</t>
        </is>
      </c>
      <c r="H3442">
        <f>VLOOKUP(C3442,Магазин!$A$2:$C$1000,2,0)</f>
        <v/>
      </c>
      <c r="I3442">
        <f>VLOOKUP(D3442,Товар!$A$2:$F$1000,3,0)</f>
        <v/>
      </c>
      <c r="J3442">
        <f>VLOOKUP(D3442,Товар!$A$2:$F$1000,5,0)</f>
        <v/>
      </c>
      <c r="K3442">
        <f>IF(AND(H3442="Промышленный",LEFT(I3442,18)="Порошок стиральный",F3442="Продажа",B3442=DATE(2023,6,7)),E3442*J3442/1000,0)</f>
        <v/>
      </c>
    </row>
    <row r="3443">
      <c r="A3443" t="n">
        <v>3442</v>
      </c>
      <c r="B3443" s="1" t="n">
        <v>45091</v>
      </c>
      <c r="C3443" s="5" t="inlineStr">
        <is>
          <t>M18</t>
        </is>
      </c>
      <c r="D3443" s="5" t="n">
        <v>22</v>
      </c>
      <c r="E3443" s="5" t="n">
        <v>123</v>
      </c>
      <c r="F3443" t="inlineStr">
        <is>
          <t>Продажа</t>
        </is>
      </c>
      <c r="H3443">
        <f>VLOOKUP(C3443,Магазин!$A$2:$C$1000,2,0)</f>
        <v/>
      </c>
      <c r="I3443">
        <f>VLOOKUP(D3443,Товар!$A$2:$F$1000,3,0)</f>
        <v/>
      </c>
      <c r="J3443">
        <f>VLOOKUP(D3443,Товар!$A$2:$F$1000,5,0)</f>
        <v/>
      </c>
      <c r="K3443">
        <f>IF(AND(H3443="Промышленный",LEFT(I3443,18)="Порошок стиральный",F3443="Продажа",B3443=DATE(2023,6,7)),E3443*J3443/1000,0)</f>
        <v/>
      </c>
    </row>
    <row r="3444">
      <c r="A3444" t="n">
        <v>3443</v>
      </c>
      <c r="B3444" s="1" t="n">
        <v>45091</v>
      </c>
      <c r="C3444" s="5" t="inlineStr">
        <is>
          <t>M18</t>
        </is>
      </c>
      <c r="D3444" s="5" t="n">
        <v>23</v>
      </c>
      <c r="E3444" s="5" t="n">
        <v>111</v>
      </c>
      <c r="F3444" t="inlineStr">
        <is>
          <t>Продажа</t>
        </is>
      </c>
      <c r="H3444">
        <f>VLOOKUP(C3444,Магазин!$A$2:$C$1000,2,0)</f>
        <v/>
      </c>
      <c r="I3444">
        <f>VLOOKUP(D3444,Товар!$A$2:$F$1000,3,0)</f>
        <v/>
      </c>
      <c r="J3444">
        <f>VLOOKUP(D3444,Товар!$A$2:$F$1000,5,0)</f>
        <v/>
      </c>
      <c r="K3444">
        <f>IF(AND(H3444="Промышленный",LEFT(I3444,18)="Порошок стиральный",F3444="Продажа",B3444=DATE(2023,6,7)),E3444*J3444/1000,0)</f>
        <v/>
      </c>
    </row>
    <row r="3445">
      <c r="A3445" t="n">
        <v>3444</v>
      </c>
      <c r="B3445" s="1" t="n">
        <v>45091</v>
      </c>
      <c r="C3445" s="5" t="inlineStr">
        <is>
          <t>M18</t>
        </is>
      </c>
      <c r="D3445" s="5" t="n">
        <v>24</v>
      </c>
      <c r="E3445" s="5" t="n">
        <v>158</v>
      </c>
      <c r="F3445" t="inlineStr">
        <is>
          <t>Продажа</t>
        </is>
      </c>
      <c r="H3445">
        <f>VLOOKUP(C3445,Магазин!$A$2:$C$1000,2,0)</f>
        <v/>
      </c>
      <c r="I3445">
        <f>VLOOKUP(D3445,Товар!$A$2:$F$1000,3,0)</f>
        <v/>
      </c>
      <c r="J3445">
        <f>VLOOKUP(D3445,Товар!$A$2:$F$1000,5,0)</f>
        <v/>
      </c>
      <c r="K3445">
        <f>IF(AND(H3445="Промышленный",LEFT(I3445,18)="Порошок стиральный",F3445="Продажа",B3445=DATE(2023,6,7)),E3445*J3445/1000,0)</f>
        <v/>
      </c>
    </row>
    <row r="3446">
      <c r="A3446" t="n">
        <v>3445</v>
      </c>
      <c r="B3446" s="1" t="n">
        <v>45091</v>
      </c>
      <c r="C3446" s="5" t="inlineStr">
        <is>
          <t>M18</t>
        </is>
      </c>
      <c r="D3446" s="5" t="n">
        <v>25</v>
      </c>
      <c r="E3446" s="5" t="n">
        <v>174</v>
      </c>
      <c r="F3446" t="inlineStr">
        <is>
          <t>Продажа</t>
        </is>
      </c>
      <c r="H3446">
        <f>VLOOKUP(C3446,Магазин!$A$2:$C$1000,2,0)</f>
        <v/>
      </c>
      <c r="I3446">
        <f>VLOOKUP(D3446,Товар!$A$2:$F$1000,3,0)</f>
        <v/>
      </c>
      <c r="J3446">
        <f>VLOOKUP(D3446,Товар!$A$2:$F$1000,5,0)</f>
        <v/>
      </c>
      <c r="K3446">
        <f>IF(AND(H3446="Промышленный",LEFT(I3446,18)="Порошок стиральный",F3446="Продажа",B3446=DATE(2023,6,7)),E3446*J3446/1000,0)</f>
        <v/>
      </c>
    </row>
    <row r="3447">
      <c r="A3447" t="n">
        <v>3446</v>
      </c>
      <c r="B3447" s="1" t="n">
        <v>45091</v>
      </c>
      <c r="C3447" s="5" t="inlineStr">
        <is>
          <t>M18</t>
        </is>
      </c>
      <c r="D3447" s="5" t="n">
        <v>26</v>
      </c>
      <c r="E3447" s="5" t="n">
        <v>121</v>
      </c>
      <c r="F3447" t="inlineStr">
        <is>
          <t>Продажа</t>
        </is>
      </c>
      <c r="H3447">
        <f>VLOOKUP(C3447,Магазин!$A$2:$C$1000,2,0)</f>
        <v/>
      </c>
      <c r="I3447">
        <f>VLOOKUP(D3447,Товар!$A$2:$F$1000,3,0)</f>
        <v/>
      </c>
      <c r="J3447">
        <f>VLOOKUP(D3447,Товар!$A$2:$F$1000,5,0)</f>
        <v/>
      </c>
      <c r="K3447">
        <f>IF(AND(H3447="Промышленный",LEFT(I3447,18)="Порошок стиральный",F3447="Продажа",B3447=DATE(2023,6,7)),E3447*J3447/1000,0)</f>
        <v/>
      </c>
    </row>
    <row r="3448">
      <c r="A3448" t="n">
        <v>3447</v>
      </c>
      <c r="B3448" s="1" t="n">
        <v>45091</v>
      </c>
      <c r="C3448" s="5" t="inlineStr">
        <is>
          <t>M18</t>
        </is>
      </c>
      <c r="D3448" s="5" t="n">
        <v>27</v>
      </c>
      <c r="E3448" s="5" t="n">
        <v>144</v>
      </c>
      <c r="F3448" t="inlineStr">
        <is>
          <t>Продажа</t>
        </is>
      </c>
      <c r="H3448">
        <f>VLOOKUP(C3448,Магазин!$A$2:$C$1000,2,0)</f>
        <v/>
      </c>
      <c r="I3448">
        <f>VLOOKUP(D3448,Товар!$A$2:$F$1000,3,0)</f>
        <v/>
      </c>
      <c r="J3448">
        <f>VLOOKUP(D3448,Товар!$A$2:$F$1000,5,0)</f>
        <v/>
      </c>
      <c r="K3448">
        <f>IF(AND(H3448="Промышленный",LEFT(I3448,18)="Порошок стиральный",F3448="Продажа",B3448=DATE(2023,6,7)),E3448*J3448/1000,0)</f>
        <v/>
      </c>
    </row>
    <row r="3449">
      <c r="A3449" t="n">
        <v>3448</v>
      </c>
      <c r="B3449" s="1" t="n">
        <v>45091</v>
      </c>
      <c r="C3449" s="5" t="inlineStr">
        <is>
          <t>M18</t>
        </is>
      </c>
      <c r="D3449" s="5" t="n">
        <v>28</v>
      </c>
      <c r="E3449" s="5" t="n">
        <v>169</v>
      </c>
      <c r="F3449" t="inlineStr">
        <is>
          <t>Продажа</t>
        </is>
      </c>
      <c r="H3449">
        <f>VLOOKUP(C3449,Магазин!$A$2:$C$1000,2,0)</f>
        <v/>
      </c>
      <c r="I3449">
        <f>VLOOKUP(D3449,Товар!$A$2:$F$1000,3,0)</f>
        <v/>
      </c>
      <c r="J3449">
        <f>VLOOKUP(D3449,Товар!$A$2:$F$1000,5,0)</f>
        <v/>
      </c>
      <c r="K3449">
        <f>IF(AND(H3449="Промышленный",LEFT(I3449,18)="Порошок стиральный",F3449="Продажа",B3449=DATE(2023,6,7)),E3449*J3449/1000,0)</f>
        <v/>
      </c>
    </row>
    <row r="3450">
      <c r="A3450" t="n">
        <v>3449</v>
      </c>
      <c r="B3450" s="1" t="n">
        <v>45091</v>
      </c>
      <c r="C3450" s="5" t="inlineStr">
        <is>
          <t>M18</t>
        </is>
      </c>
      <c r="D3450" s="5" t="n">
        <v>29</v>
      </c>
      <c r="E3450" s="5" t="n">
        <v>184</v>
      </c>
      <c r="F3450" t="inlineStr">
        <is>
          <t>Продажа</t>
        </is>
      </c>
      <c r="H3450">
        <f>VLOOKUP(C3450,Магазин!$A$2:$C$1000,2,0)</f>
        <v/>
      </c>
      <c r="I3450">
        <f>VLOOKUP(D3450,Товар!$A$2:$F$1000,3,0)</f>
        <v/>
      </c>
      <c r="J3450">
        <f>VLOOKUP(D3450,Товар!$A$2:$F$1000,5,0)</f>
        <v/>
      </c>
      <c r="K3450">
        <f>IF(AND(H3450="Промышленный",LEFT(I3450,18)="Порошок стиральный",F3450="Продажа",B3450=DATE(2023,6,7)),E3450*J3450/1000,0)</f>
        <v/>
      </c>
    </row>
    <row r="3451">
      <c r="A3451" t="n">
        <v>3450</v>
      </c>
      <c r="B3451" s="1" t="n">
        <v>45091</v>
      </c>
      <c r="C3451" s="5" t="inlineStr">
        <is>
          <t>M18</t>
        </is>
      </c>
      <c r="D3451" s="5" t="n">
        <v>30</v>
      </c>
      <c r="E3451" s="5" t="n">
        <v>136</v>
      </c>
      <c r="F3451" t="inlineStr">
        <is>
          <t>Продажа</t>
        </is>
      </c>
      <c r="H3451">
        <f>VLOOKUP(C3451,Магазин!$A$2:$C$1000,2,0)</f>
        <v/>
      </c>
      <c r="I3451">
        <f>VLOOKUP(D3451,Товар!$A$2:$F$1000,3,0)</f>
        <v/>
      </c>
      <c r="J3451">
        <f>VLOOKUP(D3451,Товар!$A$2:$F$1000,5,0)</f>
        <v/>
      </c>
      <c r="K3451">
        <f>IF(AND(H3451="Промышленный",LEFT(I3451,18)="Порошок стиральный",F3451="Продажа",B3451=DATE(2023,6,7)),E3451*J3451/1000,0)</f>
        <v/>
      </c>
    </row>
    <row r="3452">
      <c r="A3452" t="n">
        <v>3451</v>
      </c>
      <c r="B3452" s="1" t="n">
        <v>45091</v>
      </c>
      <c r="C3452" s="5" t="inlineStr">
        <is>
          <t>M18</t>
        </is>
      </c>
      <c r="D3452" s="5" t="n">
        <v>31</v>
      </c>
      <c r="E3452" s="5" t="n">
        <v>107</v>
      </c>
      <c r="F3452" t="inlineStr">
        <is>
          <t>Продажа</t>
        </is>
      </c>
      <c r="H3452">
        <f>VLOOKUP(C3452,Магазин!$A$2:$C$1000,2,0)</f>
        <v/>
      </c>
      <c r="I3452">
        <f>VLOOKUP(D3452,Товар!$A$2:$F$1000,3,0)</f>
        <v/>
      </c>
      <c r="J3452">
        <f>VLOOKUP(D3452,Товар!$A$2:$F$1000,5,0)</f>
        <v/>
      </c>
      <c r="K3452">
        <f>IF(AND(H3452="Промышленный",LEFT(I3452,18)="Порошок стиральный",F3452="Продажа",B3452=DATE(2023,6,7)),E3452*J3452/1000,0)</f>
        <v/>
      </c>
    </row>
    <row r="3453">
      <c r="A3453" t="n">
        <v>3452</v>
      </c>
      <c r="B3453" s="1" t="n">
        <v>45091</v>
      </c>
      <c r="C3453" s="5" t="inlineStr">
        <is>
          <t>M18</t>
        </is>
      </c>
      <c r="D3453" s="5" t="n">
        <v>32</v>
      </c>
      <c r="E3453" s="5" t="n">
        <v>111</v>
      </c>
      <c r="F3453" t="inlineStr">
        <is>
          <t>Продажа</t>
        </is>
      </c>
      <c r="H3453">
        <f>VLOOKUP(C3453,Магазин!$A$2:$C$1000,2,0)</f>
        <v/>
      </c>
      <c r="I3453">
        <f>VLOOKUP(D3453,Товар!$A$2:$F$1000,3,0)</f>
        <v/>
      </c>
      <c r="J3453">
        <f>VLOOKUP(D3453,Товар!$A$2:$F$1000,5,0)</f>
        <v/>
      </c>
      <c r="K3453">
        <f>IF(AND(H3453="Промышленный",LEFT(I3453,18)="Порошок стиральный",F3453="Продажа",B3453=DATE(2023,6,7)),E3453*J3453/1000,0)</f>
        <v/>
      </c>
    </row>
    <row r="3454">
      <c r="A3454" t="n">
        <v>3453</v>
      </c>
      <c r="B3454" s="1" t="n">
        <v>45091</v>
      </c>
      <c r="C3454" s="5" t="inlineStr">
        <is>
          <t>M18</t>
        </is>
      </c>
      <c r="D3454" s="5" t="n">
        <v>33</v>
      </c>
      <c r="E3454" s="5" t="n">
        <v>113</v>
      </c>
      <c r="F3454" t="inlineStr">
        <is>
          <t>Продажа</t>
        </is>
      </c>
      <c r="H3454">
        <f>VLOOKUP(C3454,Магазин!$A$2:$C$1000,2,0)</f>
        <v/>
      </c>
      <c r="I3454">
        <f>VLOOKUP(D3454,Товар!$A$2:$F$1000,3,0)</f>
        <v/>
      </c>
      <c r="J3454">
        <f>VLOOKUP(D3454,Товар!$A$2:$F$1000,5,0)</f>
        <v/>
      </c>
      <c r="K3454">
        <f>IF(AND(H3454="Промышленный",LEFT(I3454,18)="Порошок стиральный",F3454="Продажа",B3454=DATE(2023,6,7)),E3454*J3454/1000,0)</f>
        <v/>
      </c>
    </row>
    <row r="3455">
      <c r="A3455" t="n">
        <v>3454</v>
      </c>
      <c r="B3455" s="1" t="n">
        <v>45091</v>
      </c>
      <c r="C3455" s="5" t="inlineStr">
        <is>
          <t>M18</t>
        </is>
      </c>
      <c r="D3455" s="5" t="n">
        <v>34</v>
      </c>
      <c r="E3455" s="5" t="n">
        <v>133</v>
      </c>
      <c r="F3455" t="inlineStr">
        <is>
          <t>Продажа</t>
        </is>
      </c>
      <c r="H3455">
        <f>VLOOKUP(C3455,Магазин!$A$2:$C$1000,2,0)</f>
        <v/>
      </c>
      <c r="I3455">
        <f>VLOOKUP(D3455,Товар!$A$2:$F$1000,3,0)</f>
        <v/>
      </c>
      <c r="J3455">
        <f>VLOOKUP(D3455,Товар!$A$2:$F$1000,5,0)</f>
        <v/>
      </c>
      <c r="K3455">
        <f>IF(AND(H3455="Промышленный",LEFT(I3455,18)="Порошок стиральный",F3455="Продажа",B3455=DATE(2023,6,7)),E3455*J3455/1000,0)</f>
        <v/>
      </c>
    </row>
    <row r="3456">
      <c r="A3456" t="n">
        <v>3455</v>
      </c>
      <c r="B3456" s="1" t="n">
        <v>45091</v>
      </c>
      <c r="C3456" s="5" t="inlineStr">
        <is>
          <t>M18</t>
        </is>
      </c>
      <c r="D3456" s="5" t="n">
        <v>35</v>
      </c>
      <c r="E3456" s="5" t="n">
        <v>144</v>
      </c>
      <c r="F3456" t="inlineStr">
        <is>
          <t>Продажа</t>
        </is>
      </c>
      <c r="H3456">
        <f>VLOOKUP(C3456,Магазин!$A$2:$C$1000,2,0)</f>
        <v/>
      </c>
      <c r="I3456">
        <f>VLOOKUP(D3456,Товар!$A$2:$F$1000,3,0)</f>
        <v/>
      </c>
      <c r="J3456">
        <f>VLOOKUP(D3456,Товар!$A$2:$F$1000,5,0)</f>
        <v/>
      </c>
      <c r="K3456">
        <f>IF(AND(H3456="Промышленный",LEFT(I3456,18)="Порошок стиральный",F3456="Продажа",B3456=DATE(2023,6,7)),E3456*J3456/1000,0)</f>
        <v/>
      </c>
    </row>
    <row r="3457">
      <c r="A3457" t="n">
        <v>3456</v>
      </c>
      <c r="B3457" s="1" t="n">
        <v>45091</v>
      </c>
      <c r="C3457" s="5" t="inlineStr">
        <is>
          <t>M18</t>
        </is>
      </c>
      <c r="D3457" s="5" t="n">
        <v>36</v>
      </c>
      <c r="E3457" s="5" t="n">
        <v>155</v>
      </c>
      <c r="F3457" t="inlineStr">
        <is>
          <t>Продажа</t>
        </is>
      </c>
      <c r="H3457">
        <f>VLOOKUP(C3457,Магазин!$A$2:$C$1000,2,0)</f>
        <v/>
      </c>
      <c r="I3457">
        <f>VLOOKUP(D3457,Товар!$A$2:$F$1000,3,0)</f>
        <v/>
      </c>
      <c r="J3457">
        <f>VLOOKUP(D3457,Товар!$A$2:$F$1000,5,0)</f>
        <v/>
      </c>
      <c r="K3457">
        <f>IF(AND(H3457="Промышленный",LEFT(I3457,18)="Порошок стиральный",F3457="Продажа",B3457=DATE(2023,6,7)),E3457*J3457/1000,0)</f>
        <v/>
      </c>
    </row>
    <row r="3458">
      <c r="A3458" t="n">
        <v>3457</v>
      </c>
      <c r="B3458" s="1" t="n">
        <v>45091</v>
      </c>
      <c r="C3458" s="5" t="inlineStr">
        <is>
          <t>M2</t>
        </is>
      </c>
      <c r="D3458" s="5" t="n">
        <v>1</v>
      </c>
      <c r="E3458" s="5" t="n">
        <v>366</v>
      </c>
      <c r="F3458" t="inlineStr">
        <is>
          <t>Продажа</t>
        </is>
      </c>
      <c r="H3458">
        <f>VLOOKUP(C3458,Магазин!$A$2:$C$1000,2,0)</f>
        <v/>
      </c>
      <c r="I3458">
        <f>VLOOKUP(D3458,Товар!$A$2:$F$1000,3,0)</f>
        <v/>
      </c>
      <c r="J3458">
        <f>VLOOKUP(D3458,Товар!$A$2:$F$1000,5,0)</f>
        <v/>
      </c>
      <c r="K3458">
        <f>IF(AND(H3458="Промышленный",LEFT(I3458,18)="Порошок стиральный",F3458="Продажа",B3458=DATE(2023,6,7)),E3458*J3458/1000,0)</f>
        <v/>
      </c>
    </row>
    <row r="3459">
      <c r="A3459" t="n">
        <v>3458</v>
      </c>
      <c r="B3459" s="1" t="n">
        <v>45091</v>
      </c>
      <c r="C3459" s="5" t="inlineStr">
        <is>
          <t>M2</t>
        </is>
      </c>
      <c r="D3459" s="5" t="n">
        <v>2</v>
      </c>
      <c r="E3459" s="5" t="n">
        <v>275</v>
      </c>
      <c r="F3459" t="inlineStr">
        <is>
          <t>Продажа</t>
        </is>
      </c>
      <c r="H3459">
        <f>VLOOKUP(C3459,Магазин!$A$2:$C$1000,2,0)</f>
        <v/>
      </c>
      <c r="I3459">
        <f>VLOOKUP(D3459,Товар!$A$2:$F$1000,3,0)</f>
        <v/>
      </c>
      <c r="J3459">
        <f>VLOOKUP(D3459,Товар!$A$2:$F$1000,5,0)</f>
        <v/>
      </c>
      <c r="K3459">
        <f>IF(AND(H3459="Промышленный",LEFT(I3459,18)="Порошок стиральный",F3459="Продажа",B3459=DATE(2023,6,7)),E3459*J3459/1000,0)</f>
        <v/>
      </c>
    </row>
    <row r="3460">
      <c r="A3460" t="n">
        <v>3459</v>
      </c>
      <c r="B3460" s="1" t="n">
        <v>45091</v>
      </c>
      <c r="C3460" s="5" t="inlineStr">
        <is>
          <t>M2</t>
        </is>
      </c>
      <c r="D3460" s="5" t="n">
        <v>3</v>
      </c>
      <c r="E3460" s="5" t="n">
        <v>234</v>
      </c>
      <c r="F3460" t="inlineStr">
        <is>
          <t>Продажа</t>
        </is>
      </c>
      <c r="H3460">
        <f>VLOOKUP(C3460,Магазин!$A$2:$C$1000,2,0)</f>
        <v/>
      </c>
      <c r="I3460">
        <f>VLOOKUP(D3460,Товар!$A$2:$F$1000,3,0)</f>
        <v/>
      </c>
      <c r="J3460">
        <f>VLOOKUP(D3460,Товар!$A$2:$F$1000,5,0)</f>
        <v/>
      </c>
      <c r="K3460">
        <f>IF(AND(H3460="Промышленный",LEFT(I3460,18)="Порошок стиральный",F3460="Продажа",B3460=DATE(2023,6,7)),E3460*J3460/1000,0)</f>
        <v/>
      </c>
    </row>
    <row r="3461">
      <c r="A3461" t="n">
        <v>3460</v>
      </c>
      <c r="B3461" s="1" t="n">
        <v>45091</v>
      </c>
      <c r="C3461" s="5" t="inlineStr">
        <is>
          <t>M2</t>
        </is>
      </c>
      <c r="D3461" s="5" t="n">
        <v>4</v>
      </c>
      <c r="E3461" s="5" t="n">
        <v>228</v>
      </c>
      <c r="F3461" t="inlineStr">
        <is>
          <t>Продажа</t>
        </is>
      </c>
      <c r="H3461">
        <f>VLOOKUP(C3461,Магазин!$A$2:$C$1000,2,0)</f>
        <v/>
      </c>
      <c r="I3461">
        <f>VLOOKUP(D3461,Товар!$A$2:$F$1000,3,0)</f>
        <v/>
      </c>
      <c r="J3461">
        <f>VLOOKUP(D3461,Товар!$A$2:$F$1000,5,0)</f>
        <v/>
      </c>
      <c r="K3461">
        <f>IF(AND(H3461="Промышленный",LEFT(I3461,18)="Порошок стиральный",F3461="Продажа",B3461=DATE(2023,6,7)),E3461*J3461/1000,0)</f>
        <v/>
      </c>
    </row>
    <row r="3462">
      <c r="A3462" t="n">
        <v>3461</v>
      </c>
      <c r="B3462" s="1" t="n">
        <v>45091</v>
      </c>
      <c r="C3462" s="5" t="inlineStr">
        <is>
          <t>M2</t>
        </is>
      </c>
      <c r="D3462" s="5" t="n">
        <v>5</v>
      </c>
      <c r="E3462" s="5" t="n">
        <v>217</v>
      </c>
      <c r="F3462" t="inlineStr">
        <is>
          <t>Продажа</t>
        </is>
      </c>
      <c r="H3462">
        <f>VLOOKUP(C3462,Магазин!$A$2:$C$1000,2,0)</f>
        <v/>
      </c>
      <c r="I3462">
        <f>VLOOKUP(D3462,Товар!$A$2:$F$1000,3,0)</f>
        <v/>
      </c>
      <c r="J3462">
        <f>VLOOKUP(D3462,Товар!$A$2:$F$1000,5,0)</f>
        <v/>
      </c>
      <c r="K3462">
        <f>IF(AND(H3462="Промышленный",LEFT(I3462,18)="Порошок стиральный",F3462="Продажа",B3462=DATE(2023,6,7)),E3462*J3462/1000,0)</f>
        <v/>
      </c>
    </row>
    <row r="3463">
      <c r="A3463" t="n">
        <v>3462</v>
      </c>
      <c r="B3463" s="1" t="n">
        <v>45091</v>
      </c>
      <c r="C3463" s="5" t="inlineStr">
        <is>
          <t>M2</t>
        </is>
      </c>
      <c r="D3463" s="5" t="n">
        <v>6</v>
      </c>
      <c r="E3463" s="5" t="n">
        <v>258</v>
      </c>
      <c r="F3463" t="inlineStr">
        <is>
          <t>Продажа</t>
        </is>
      </c>
      <c r="H3463">
        <f>VLOOKUP(C3463,Магазин!$A$2:$C$1000,2,0)</f>
        <v/>
      </c>
      <c r="I3463">
        <f>VLOOKUP(D3463,Товар!$A$2:$F$1000,3,0)</f>
        <v/>
      </c>
      <c r="J3463">
        <f>VLOOKUP(D3463,Товар!$A$2:$F$1000,5,0)</f>
        <v/>
      </c>
      <c r="K3463">
        <f>IF(AND(H3463="Промышленный",LEFT(I3463,18)="Порошок стиральный",F3463="Продажа",B3463=DATE(2023,6,7)),E3463*J3463/1000,0)</f>
        <v/>
      </c>
    </row>
    <row r="3464">
      <c r="A3464" t="n">
        <v>3463</v>
      </c>
      <c r="B3464" s="1" t="n">
        <v>45091</v>
      </c>
      <c r="C3464" s="5" t="inlineStr">
        <is>
          <t>M2</t>
        </is>
      </c>
      <c r="D3464" s="5" t="n">
        <v>7</v>
      </c>
      <c r="E3464" s="5" t="n">
        <v>199</v>
      </c>
      <c r="F3464" t="inlineStr">
        <is>
          <t>Продажа</t>
        </is>
      </c>
      <c r="H3464">
        <f>VLOOKUP(C3464,Магазин!$A$2:$C$1000,2,0)</f>
        <v/>
      </c>
      <c r="I3464">
        <f>VLOOKUP(D3464,Товар!$A$2:$F$1000,3,0)</f>
        <v/>
      </c>
      <c r="J3464">
        <f>VLOOKUP(D3464,Товар!$A$2:$F$1000,5,0)</f>
        <v/>
      </c>
      <c r="K3464">
        <f>IF(AND(H3464="Промышленный",LEFT(I3464,18)="Порошок стиральный",F3464="Продажа",B3464=DATE(2023,6,7)),E3464*J3464/1000,0)</f>
        <v/>
      </c>
    </row>
    <row r="3465">
      <c r="A3465" t="n">
        <v>3464</v>
      </c>
      <c r="B3465" s="1" t="n">
        <v>45091</v>
      </c>
      <c r="C3465" s="5" t="inlineStr">
        <is>
          <t>M2</t>
        </is>
      </c>
      <c r="D3465" s="5" t="n">
        <v>8</v>
      </c>
      <c r="E3465" s="5" t="n">
        <v>248</v>
      </c>
      <c r="F3465" t="inlineStr">
        <is>
          <t>Продажа</t>
        </is>
      </c>
      <c r="H3465">
        <f>VLOOKUP(C3465,Магазин!$A$2:$C$1000,2,0)</f>
        <v/>
      </c>
      <c r="I3465">
        <f>VLOOKUP(D3465,Товар!$A$2:$F$1000,3,0)</f>
        <v/>
      </c>
      <c r="J3465">
        <f>VLOOKUP(D3465,Товар!$A$2:$F$1000,5,0)</f>
        <v/>
      </c>
      <c r="K3465">
        <f>IF(AND(H3465="Промышленный",LEFT(I3465,18)="Порошок стиральный",F3465="Продажа",B3465=DATE(2023,6,7)),E3465*J3465/1000,0)</f>
        <v/>
      </c>
    </row>
    <row r="3466">
      <c r="A3466" t="n">
        <v>3465</v>
      </c>
      <c r="B3466" s="1" t="n">
        <v>45091</v>
      </c>
      <c r="C3466" s="5" t="inlineStr">
        <is>
          <t>M2</t>
        </is>
      </c>
      <c r="D3466" s="5" t="n">
        <v>9</v>
      </c>
      <c r="E3466" s="5" t="n">
        <v>236</v>
      </c>
      <c r="F3466" t="inlineStr">
        <is>
          <t>Продажа</t>
        </is>
      </c>
      <c r="H3466">
        <f>VLOOKUP(C3466,Магазин!$A$2:$C$1000,2,0)</f>
        <v/>
      </c>
      <c r="I3466">
        <f>VLOOKUP(D3466,Товар!$A$2:$F$1000,3,0)</f>
        <v/>
      </c>
      <c r="J3466">
        <f>VLOOKUP(D3466,Товар!$A$2:$F$1000,5,0)</f>
        <v/>
      </c>
      <c r="K3466">
        <f>IF(AND(H3466="Промышленный",LEFT(I3466,18)="Порошок стиральный",F3466="Продажа",B3466=DATE(2023,6,7)),E3466*J3466/1000,0)</f>
        <v/>
      </c>
    </row>
    <row r="3467">
      <c r="A3467" t="n">
        <v>3466</v>
      </c>
      <c r="B3467" s="1" t="n">
        <v>45091</v>
      </c>
      <c r="C3467" s="5" t="inlineStr">
        <is>
          <t>M2</t>
        </is>
      </c>
      <c r="D3467" s="5" t="n">
        <v>10</v>
      </c>
      <c r="E3467" s="5" t="n">
        <v>287</v>
      </c>
      <c r="F3467" t="inlineStr">
        <is>
          <t>Продажа</t>
        </is>
      </c>
      <c r="H3467">
        <f>VLOOKUP(C3467,Магазин!$A$2:$C$1000,2,0)</f>
        <v/>
      </c>
      <c r="I3467">
        <f>VLOOKUP(D3467,Товар!$A$2:$F$1000,3,0)</f>
        <v/>
      </c>
      <c r="J3467">
        <f>VLOOKUP(D3467,Товар!$A$2:$F$1000,5,0)</f>
        <v/>
      </c>
      <c r="K3467">
        <f>IF(AND(H3467="Промышленный",LEFT(I3467,18)="Порошок стиральный",F3467="Продажа",B3467=DATE(2023,6,7)),E3467*J3467/1000,0)</f>
        <v/>
      </c>
    </row>
    <row r="3468">
      <c r="A3468" t="n">
        <v>3467</v>
      </c>
      <c r="B3468" s="1" t="n">
        <v>45091</v>
      </c>
      <c r="C3468" s="5" t="inlineStr">
        <is>
          <t>M2</t>
        </is>
      </c>
      <c r="D3468" s="5" t="n">
        <v>11</v>
      </c>
      <c r="E3468" s="5" t="n">
        <v>265</v>
      </c>
      <c r="F3468" t="inlineStr">
        <is>
          <t>Продажа</t>
        </is>
      </c>
      <c r="H3468">
        <f>VLOOKUP(C3468,Магазин!$A$2:$C$1000,2,0)</f>
        <v/>
      </c>
      <c r="I3468">
        <f>VLOOKUP(D3468,Товар!$A$2:$F$1000,3,0)</f>
        <v/>
      </c>
      <c r="J3468">
        <f>VLOOKUP(D3468,Товар!$A$2:$F$1000,5,0)</f>
        <v/>
      </c>
      <c r="K3468">
        <f>IF(AND(H3468="Промышленный",LEFT(I3468,18)="Порошок стиральный",F3468="Продажа",B3468=DATE(2023,6,7)),E3468*J3468/1000,0)</f>
        <v/>
      </c>
    </row>
    <row r="3469">
      <c r="A3469" t="n">
        <v>3468</v>
      </c>
      <c r="B3469" s="1" t="n">
        <v>45091</v>
      </c>
      <c r="C3469" s="5" t="inlineStr">
        <is>
          <t>M2</t>
        </is>
      </c>
      <c r="D3469" s="5" t="n">
        <v>12</v>
      </c>
      <c r="E3469" s="5" t="n">
        <v>234</v>
      </c>
      <c r="F3469" t="inlineStr">
        <is>
          <t>Продажа</t>
        </is>
      </c>
      <c r="H3469">
        <f>VLOOKUP(C3469,Магазин!$A$2:$C$1000,2,0)</f>
        <v/>
      </c>
      <c r="I3469">
        <f>VLOOKUP(D3469,Товар!$A$2:$F$1000,3,0)</f>
        <v/>
      </c>
      <c r="J3469">
        <f>VLOOKUP(D3469,Товар!$A$2:$F$1000,5,0)</f>
        <v/>
      </c>
      <c r="K3469">
        <f>IF(AND(H3469="Промышленный",LEFT(I3469,18)="Порошок стиральный",F3469="Продажа",B3469=DATE(2023,6,7)),E3469*J3469/1000,0)</f>
        <v/>
      </c>
    </row>
    <row r="3470">
      <c r="A3470" t="n">
        <v>3469</v>
      </c>
      <c r="B3470" s="1" t="n">
        <v>45091</v>
      </c>
      <c r="C3470" s="5" t="inlineStr">
        <is>
          <t>M2</t>
        </is>
      </c>
      <c r="D3470" s="5" t="n">
        <v>13</v>
      </c>
      <c r="E3470" s="5" t="n">
        <v>258</v>
      </c>
      <c r="F3470" t="inlineStr">
        <is>
          <t>Продажа</t>
        </is>
      </c>
      <c r="H3470">
        <f>VLOOKUP(C3470,Магазин!$A$2:$C$1000,2,0)</f>
        <v/>
      </c>
      <c r="I3470">
        <f>VLOOKUP(D3470,Товар!$A$2:$F$1000,3,0)</f>
        <v/>
      </c>
      <c r="J3470">
        <f>VLOOKUP(D3470,Товар!$A$2:$F$1000,5,0)</f>
        <v/>
      </c>
      <c r="K3470">
        <f>IF(AND(H3470="Промышленный",LEFT(I3470,18)="Порошок стиральный",F3470="Продажа",B3470=DATE(2023,6,7)),E3470*J3470/1000,0)</f>
        <v/>
      </c>
    </row>
    <row r="3471">
      <c r="A3471" t="n">
        <v>3470</v>
      </c>
      <c r="B3471" s="1" t="n">
        <v>45091</v>
      </c>
      <c r="C3471" s="5" t="inlineStr">
        <is>
          <t>M2</t>
        </is>
      </c>
      <c r="D3471" s="5" t="n">
        <v>14</v>
      </c>
      <c r="E3471" s="5" t="n">
        <v>264</v>
      </c>
      <c r="F3471" t="inlineStr">
        <is>
          <t>Продажа</t>
        </is>
      </c>
      <c r="H3471">
        <f>VLOOKUP(C3471,Магазин!$A$2:$C$1000,2,0)</f>
        <v/>
      </c>
      <c r="I3471">
        <f>VLOOKUP(D3471,Товар!$A$2:$F$1000,3,0)</f>
        <v/>
      </c>
      <c r="J3471">
        <f>VLOOKUP(D3471,Товар!$A$2:$F$1000,5,0)</f>
        <v/>
      </c>
      <c r="K3471">
        <f>IF(AND(H3471="Промышленный",LEFT(I3471,18)="Порошок стиральный",F3471="Продажа",B3471=DATE(2023,6,7)),E3471*J3471/1000,0)</f>
        <v/>
      </c>
    </row>
    <row r="3472">
      <c r="A3472" t="n">
        <v>3471</v>
      </c>
      <c r="B3472" s="1" t="n">
        <v>45091</v>
      </c>
      <c r="C3472" s="5" t="inlineStr">
        <is>
          <t>M2</t>
        </is>
      </c>
      <c r="D3472" s="5" t="n">
        <v>15</v>
      </c>
      <c r="E3472" s="5" t="n">
        <v>237</v>
      </c>
      <c r="F3472" t="inlineStr">
        <is>
          <t>Продажа</t>
        </is>
      </c>
      <c r="H3472">
        <f>VLOOKUP(C3472,Магазин!$A$2:$C$1000,2,0)</f>
        <v/>
      </c>
      <c r="I3472">
        <f>VLOOKUP(D3472,Товар!$A$2:$F$1000,3,0)</f>
        <v/>
      </c>
      <c r="J3472">
        <f>VLOOKUP(D3472,Товар!$A$2:$F$1000,5,0)</f>
        <v/>
      </c>
      <c r="K3472">
        <f>IF(AND(H3472="Промышленный",LEFT(I3472,18)="Порошок стиральный",F3472="Продажа",B3472=DATE(2023,6,7)),E3472*J3472/1000,0)</f>
        <v/>
      </c>
    </row>
    <row r="3473">
      <c r="A3473" t="n">
        <v>3472</v>
      </c>
      <c r="B3473" s="1" t="n">
        <v>45091</v>
      </c>
      <c r="C3473" s="5" t="inlineStr">
        <is>
          <t>M2</t>
        </is>
      </c>
      <c r="D3473" s="5" t="n">
        <v>16</v>
      </c>
      <c r="E3473" s="5" t="n">
        <v>218</v>
      </c>
      <c r="F3473" t="inlineStr">
        <is>
          <t>Продажа</t>
        </is>
      </c>
      <c r="H3473">
        <f>VLOOKUP(C3473,Магазин!$A$2:$C$1000,2,0)</f>
        <v/>
      </c>
      <c r="I3473">
        <f>VLOOKUP(D3473,Товар!$A$2:$F$1000,3,0)</f>
        <v/>
      </c>
      <c r="J3473">
        <f>VLOOKUP(D3473,Товар!$A$2:$F$1000,5,0)</f>
        <v/>
      </c>
      <c r="K3473">
        <f>IF(AND(H3473="Промышленный",LEFT(I3473,18)="Порошок стиральный",F3473="Продажа",B3473=DATE(2023,6,7)),E3473*J3473/1000,0)</f>
        <v/>
      </c>
    </row>
    <row r="3474">
      <c r="A3474" t="n">
        <v>3473</v>
      </c>
      <c r="B3474" s="1" t="n">
        <v>45091</v>
      </c>
      <c r="C3474" s="5" t="inlineStr">
        <is>
          <t>M2</t>
        </is>
      </c>
      <c r="D3474" s="5" t="n">
        <v>17</v>
      </c>
      <c r="E3474" s="5" t="n">
        <v>249</v>
      </c>
      <c r="F3474" t="inlineStr">
        <is>
          <t>Продажа</t>
        </is>
      </c>
      <c r="H3474">
        <f>VLOOKUP(C3474,Магазин!$A$2:$C$1000,2,0)</f>
        <v/>
      </c>
      <c r="I3474">
        <f>VLOOKUP(D3474,Товар!$A$2:$F$1000,3,0)</f>
        <v/>
      </c>
      <c r="J3474">
        <f>VLOOKUP(D3474,Товар!$A$2:$F$1000,5,0)</f>
        <v/>
      </c>
      <c r="K3474">
        <f>IF(AND(H3474="Промышленный",LEFT(I3474,18)="Порошок стиральный",F3474="Продажа",B3474=DATE(2023,6,7)),E3474*J3474/1000,0)</f>
        <v/>
      </c>
    </row>
    <row r="3475">
      <c r="A3475" t="n">
        <v>3474</v>
      </c>
      <c r="B3475" s="1" t="n">
        <v>45091</v>
      </c>
      <c r="C3475" s="5" t="inlineStr">
        <is>
          <t>M2</t>
        </is>
      </c>
      <c r="D3475" s="5" t="n">
        <v>18</v>
      </c>
      <c r="E3475" s="5" t="n">
        <v>273</v>
      </c>
      <c r="F3475" t="inlineStr">
        <is>
          <t>Продажа</t>
        </is>
      </c>
      <c r="H3475">
        <f>VLOOKUP(C3475,Магазин!$A$2:$C$1000,2,0)</f>
        <v/>
      </c>
      <c r="I3475">
        <f>VLOOKUP(D3475,Товар!$A$2:$F$1000,3,0)</f>
        <v/>
      </c>
      <c r="J3475">
        <f>VLOOKUP(D3475,Товар!$A$2:$F$1000,5,0)</f>
        <v/>
      </c>
      <c r="K3475">
        <f>IF(AND(H3475="Промышленный",LEFT(I3475,18)="Порошок стиральный",F3475="Продажа",B3475=DATE(2023,6,7)),E3475*J3475/1000,0)</f>
        <v/>
      </c>
    </row>
    <row r="3476">
      <c r="A3476" t="n">
        <v>3475</v>
      </c>
      <c r="B3476" s="1" t="n">
        <v>45091</v>
      </c>
      <c r="C3476" s="5" t="inlineStr">
        <is>
          <t>M2</t>
        </is>
      </c>
      <c r="D3476" s="5" t="n">
        <v>19</v>
      </c>
      <c r="E3476" s="5" t="n">
        <v>284</v>
      </c>
      <c r="F3476" t="inlineStr">
        <is>
          <t>Продажа</t>
        </is>
      </c>
      <c r="H3476">
        <f>VLOOKUP(C3476,Магазин!$A$2:$C$1000,2,0)</f>
        <v/>
      </c>
      <c r="I3476">
        <f>VLOOKUP(D3476,Товар!$A$2:$F$1000,3,0)</f>
        <v/>
      </c>
      <c r="J3476">
        <f>VLOOKUP(D3476,Товар!$A$2:$F$1000,5,0)</f>
        <v/>
      </c>
      <c r="K3476">
        <f>IF(AND(H3476="Промышленный",LEFT(I3476,18)="Порошок стиральный",F3476="Продажа",B3476=DATE(2023,6,7)),E3476*J3476/1000,0)</f>
        <v/>
      </c>
    </row>
    <row r="3477">
      <c r="A3477" t="n">
        <v>3476</v>
      </c>
      <c r="B3477" s="1" t="n">
        <v>45091</v>
      </c>
      <c r="C3477" s="5" t="inlineStr">
        <is>
          <t>M2</t>
        </is>
      </c>
      <c r="D3477" s="5" t="n">
        <v>20</v>
      </c>
      <c r="E3477" s="5" t="n">
        <v>253</v>
      </c>
      <c r="F3477" t="inlineStr">
        <is>
          <t>Продажа</t>
        </is>
      </c>
      <c r="H3477">
        <f>VLOOKUP(C3477,Магазин!$A$2:$C$1000,2,0)</f>
        <v/>
      </c>
      <c r="I3477">
        <f>VLOOKUP(D3477,Товар!$A$2:$F$1000,3,0)</f>
        <v/>
      </c>
      <c r="J3477">
        <f>VLOOKUP(D3477,Товар!$A$2:$F$1000,5,0)</f>
        <v/>
      </c>
      <c r="K3477">
        <f>IF(AND(H3477="Промышленный",LEFT(I3477,18)="Порошок стиральный",F3477="Продажа",B3477=DATE(2023,6,7)),E3477*J3477/1000,0)</f>
        <v/>
      </c>
    </row>
    <row r="3478">
      <c r="A3478" t="n">
        <v>3477</v>
      </c>
      <c r="B3478" s="1" t="n">
        <v>45091</v>
      </c>
      <c r="C3478" s="5" t="inlineStr">
        <is>
          <t>M2</t>
        </is>
      </c>
      <c r="D3478" s="5" t="n">
        <v>21</v>
      </c>
      <c r="E3478" s="5" t="n">
        <v>261</v>
      </c>
      <c r="F3478" t="inlineStr">
        <is>
          <t>Продажа</t>
        </is>
      </c>
      <c r="H3478">
        <f>VLOOKUP(C3478,Магазин!$A$2:$C$1000,2,0)</f>
        <v/>
      </c>
      <c r="I3478">
        <f>VLOOKUP(D3478,Товар!$A$2:$F$1000,3,0)</f>
        <v/>
      </c>
      <c r="J3478">
        <f>VLOOKUP(D3478,Товар!$A$2:$F$1000,5,0)</f>
        <v/>
      </c>
      <c r="K3478">
        <f>IF(AND(H3478="Промышленный",LEFT(I3478,18)="Порошок стиральный",F3478="Продажа",B3478=DATE(2023,6,7)),E3478*J3478/1000,0)</f>
        <v/>
      </c>
    </row>
    <row r="3479">
      <c r="A3479" t="n">
        <v>3478</v>
      </c>
      <c r="B3479" s="1" t="n">
        <v>45091</v>
      </c>
      <c r="C3479" s="5" t="inlineStr">
        <is>
          <t>M2</t>
        </is>
      </c>
      <c r="D3479" s="5" t="n">
        <v>22</v>
      </c>
      <c r="E3479" s="5" t="n">
        <v>276</v>
      </c>
      <c r="F3479" t="inlineStr">
        <is>
          <t>Продажа</t>
        </is>
      </c>
      <c r="H3479">
        <f>VLOOKUP(C3479,Магазин!$A$2:$C$1000,2,0)</f>
        <v/>
      </c>
      <c r="I3479">
        <f>VLOOKUP(D3479,Товар!$A$2:$F$1000,3,0)</f>
        <v/>
      </c>
      <c r="J3479">
        <f>VLOOKUP(D3479,Товар!$A$2:$F$1000,5,0)</f>
        <v/>
      </c>
      <c r="K3479">
        <f>IF(AND(H3479="Промышленный",LEFT(I3479,18)="Порошок стиральный",F3479="Продажа",B3479=DATE(2023,6,7)),E3479*J3479/1000,0)</f>
        <v/>
      </c>
    </row>
    <row r="3480">
      <c r="A3480" t="n">
        <v>3479</v>
      </c>
      <c r="B3480" s="1" t="n">
        <v>45091</v>
      </c>
      <c r="C3480" s="5" t="inlineStr">
        <is>
          <t>M2</t>
        </is>
      </c>
      <c r="D3480" s="5" t="n">
        <v>23</v>
      </c>
      <c r="E3480" s="5" t="n">
        <v>248</v>
      </c>
      <c r="F3480" t="inlineStr">
        <is>
          <t>Продажа</t>
        </is>
      </c>
      <c r="H3480">
        <f>VLOOKUP(C3480,Магазин!$A$2:$C$1000,2,0)</f>
        <v/>
      </c>
      <c r="I3480">
        <f>VLOOKUP(D3480,Товар!$A$2:$F$1000,3,0)</f>
        <v/>
      </c>
      <c r="J3480">
        <f>VLOOKUP(D3480,Товар!$A$2:$F$1000,5,0)</f>
        <v/>
      </c>
      <c r="K3480">
        <f>IF(AND(H3480="Промышленный",LEFT(I3480,18)="Порошок стиральный",F3480="Продажа",B3480=DATE(2023,6,7)),E3480*J3480/1000,0)</f>
        <v/>
      </c>
    </row>
    <row r="3481">
      <c r="A3481" t="n">
        <v>3480</v>
      </c>
      <c r="B3481" s="1" t="n">
        <v>45091</v>
      </c>
      <c r="C3481" s="5" t="inlineStr">
        <is>
          <t>M2</t>
        </is>
      </c>
      <c r="D3481" s="5" t="n">
        <v>24</v>
      </c>
      <c r="E3481" s="5" t="n">
        <v>249</v>
      </c>
      <c r="F3481" t="inlineStr">
        <is>
          <t>Продажа</t>
        </is>
      </c>
      <c r="H3481">
        <f>VLOOKUP(C3481,Магазин!$A$2:$C$1000,2,0)</f>
        <v/>
      </c>
      <c r="I3481">
        <f>VLOOKUP(D3481,Товар!$A$2:$F$1000,3,0)</f>
        <v/>
      </c>
      <c r="J3481">
        <f>VLOOKUP(D3481,Товар!$A$2:$F$1000,5,0)</f>
        <v/>
      </c>
      <c r="K3481">
        <f>IF(AND(H3481="Промышленный",LEFT(I3481,18)="Порошок стиральный",F3481="Продажа",B3481=DATE(2023,6,7)),E3481*J3481/1000,0)</f>
        <v/>
      </c>
    </row>
    <row r="3482">
      <c r="A3482" t="n">
        <v>3481</v>
      </c>
      <c r="B3482" s="1" t="n">
        <v>45091</v>
      </c>
      <c r="C3482" s="5" t="inlineStr">
        <is>
          <t>M2</t>
        </is>
      </c>
      <c r="D3482" s="5" t="n">
        <v>25</v>
      </c>
      <c r="E3482" s="5" t="n">
        <v>234</v>
      </c>
      <c r="F3482" t="inlineStr">
        <is>
          <t>Продажа</t>
        </is>
      </c>
      <c r="H3482">
        <f>VLOOKUP(C3482,Магазин!$A$2:$C$1000,2,0)</f>
        <v/>
      </c>
      <c r="I3482">
        <f>VLOOKUP(D3482,Товар!$A$2:$F$1000,3,0)</f>
        <v/>
      </c>
      <c r="J3482">
        <f>VLOOKUP(D3482,Товар!$A$2:$F$1000,5,0)</f>
        <v/>
      </c>
      <c r="K3482">
        <f>IF(AND(H3482="Промышленный",LEFT(I3482,18)="Порошок стиральный",F3482="Продажа",B3482=DATE(2023,6,7)),E3482*J3482/1000,0)</f>
        <v/>
      </c>
    </row>
    <row r="3483">
      <c r="A3483" t="n">
        <v>3482</v>
      </c>
      <c r="B3483" s="1" t="n">
        <v>45091</v>
      </c>
      <c r="C3483" s="5" t="inlineStr">
        <is>
          <t>M2</t>
        </is>
      </c>
      <c r="D3483" s="5" t="n">
        <v>26</v>
      </c>
      <c r="E3483" s="5" t="n">
        <v>238</v>
      </c>
      <c r="F3483" t="inlineStr">
        <is>
          <t>Продажа</t>
        </is>
      </c>
      <c r="H3483">
        <f>VLOOKUP(C3483,Магазин!$A$2:$C$1000,2,0)</f>
        <v/>
      </c>
      <c r="I3483">
        <f>VLOOKUP(D3483,Товар!$A$2:$F$1000,3,0)</f>
        <v/>
      </c>
      <c r="J3483">
        <f>VLOOKUP(D3483,Товар!$A$2:$F$1000,5,0)</f>
        <v/>
      </c>
      <c r="K3483">
        <f>IF(AND(H3483="Промышленный",LEFT(I3483,18)="Порошок стиральный",F3483="Продажа",B3483=DATE(2023,6,7)),E3483*J3483/1000,0)</f>
        <v/>
      </c>
    </row>
    <row r="3484">
      <c r="A3484" t="n">
        <v>3483</v>
      </c>
      <c r="B3484" s="1" t="n">
        <v>45091</v>
      </c>
      <c r="C3484" s="5" t="inlineStr">
        <is>
          <t>M2</t>
        </is>
      </c>
      <c r="D3484" s="5" t="n">
        <v>27</v>
      </c>
      <c r="E3484" s="5" t="n">
        <v>295</v>
      </c>
      <c r="F3484" t="inlineStr">
        <is>
          <t>Продажа</t>
        </is>
      </c>
      <c r="H3484">
        <f>VLOOKUP(C3484,Магазин!$A$2:$C$1000,2,0)</f>
        <v/>
      </c>
      <c r="I3484">
        <f>VLOOKUP(D3484,Товар!$A$2:$F$1000,3,0)</f>
        <v/>
      </c>
      <c r="J3484">
        <f>VLOOKUP(D3484,Товар!$A$2:$F$1000,5,0)</f>
        <v/>
      </c>
      <c r="K3484">
        <f>IF(AND(H3484="Промышленный",LEFT(I3484,18)="Порошок стиральный",F3484="Продажа",B3484=DATE(2023,6,7)),E3484*J3484/1000,0)</f>
        <v/>
      </c>
    </row>
    <row r="3485">
      <c r="A3485" t="n">
        <v>3484</v>
      </c>
      <c r="B3485" s="1" t="n">
        <v>45091</v>
      </c>
      <c r="C3485" s="5" t="inlineStr">
        <is>
          <t>M2</t>
        </is>
      </c>
      <c r="D3485" s="5" t="n">
        <v>28</v>
      </c>
      <c r="E3485" s="5" t="n">
        <v>211</v>
      </c>
      <c r="F3485" t="inlineStr">
        <is>
          <t>Продажа</t>
        </is>
      </c>
      <c r="H3485">
        <f>VLOOKUP(C3485,Магазин!$A$2:$C$1000,2,0)</f>
        <v/>
      </c>
      <c r="I3485">
        <f>VLOOKUP(D3485,Товар!$A$2:$F$1000,3,0)</f>
        <v/>
      </c>
      <c r="J3485">
        <f>VLOOKUP(D3485,Товар!$A$2:$F$1000,5,0)</f>
        <v/>
      </c>
      <c r="K3485">
        <f>IF(AND(H3485="Промышленный",LEFT(I3485,18)="Порошок стиральный",F3485="Продажа",B3485=DATE(2023,6,7)),E3485*J3485/1000,0)</f>
        <v/>
      </c>
    </row>
    <row r="3486">
      <c r="A3486" t="n">
        <v>3485</v>
      </c>
      <c r="B3486" s="1" t="n">
        <v>45091</v>
      </c>
      <c r="C3486" s="5" t="inlineStr">
        <is>
          <t>M2</t>
        </is>
      </c>
      <c r="D3486" s="5" t="n">
        <v>29</v>
      </c>
      <c r="E3486" s="5" t="n">
        <v>233</v>
      </c>
      <c r="F3486" t="inlineStr">
        <is>
          <t>Продажа</t>
        </is>
      </c>
      <c r="H3486">
        <f>VLOOKUP(C3486,Магазин!$A$2:$C$1000,2,0)</f>
        <v/>
      </c>
      <c r="I3486">
        <f>VLOOKUP(D3486,Товар!$A$2:$F$1000,3,0)</f>
        <v/>
      </c>
      <c r="J3486">
        <f>VLOOKUP(D3486,Товар!$A$2:$F$1000,5,0)</f>
        <v/>
      </c>
      <c r="K3486">
        <f>IF(AND(H3486="Промышленный",LEFT(I3486,18)="Порошок стиральный",F3486="Продажа",B3486=DATE(2023,6,7)),E3486*J3486/1000,0)</f>
        <v/>
      </c>
    </row>
    <row r="3487">
      <c r="A3487" t="n">
        <v>3486</v>
      </c>
      <c r="B3487" s="1" t="n">
        <v>45091</v>
      </c>
      <c r="C3487" s="5" t="inlineStr">
        <is>
          <t>M2</t>
        </is>
      </c>
      <c r="D3487" s="5" t="n">
        <v>30</v>
      </c>
      <c r="E3487" s="5" t="n">
        <v>244</v>
      </c>
      <c r="F3487" t="inlineStr">
        <is>
          <t>Продажа</t>
        </is>
      </c>
      <c r="H3487">
        <f>VLOOKUP(C3487,Магазин!$A$2:$C$1000,2,0)</f>
        <v/>
      </c>
      <c r="I3487">
        <f>VLOOKUP(D3487,Товар!$A$2:$F$1000,3,0)</f>
        <v/>
      </c>
      <c r="J3487">
        <f>VLOOKUP(D3487,Товар!$A$2:$F$1000,5,0)</f>
        <v/>
      </c>
      <c r="K3487">
        <f>IF(AND(H3487="Промышленный",LEFT(I3487,18)="Порошок стиральный",F3487="Продажа",B3487=DATE(2023,6,7)),E3487*J3487/1000,0)</f>
        <v/>
      </c>
    </row>
    <row r="3488">
      <c r="A3488" t="n">
        <v>3487</v>
      </c>
      <c r="B3488" s="1" t="n">
        <v>45091</v>
      </c>
      <c r="C3488" s="5" t="inlineStr">
        <is>
          <t>M2</t>
        </is>
      </c>
      <c r="D3488" s="5" t="n">
        <v>31</v>
      </c>
      <c r="E3488" s="5" t="n">
        <v>255</v>
      </c>
      <c r="F3488" t="inlineStr">
        <is>
          <t>Продажа</t>
        </is>
      </c>
      <c r="H3488">
        <f>VLOOKUP(C3488,Магазин!$A$2:$C$1000,2,0)</f>
        <v/>
      </c>
      <c r="I3488">
        <f>VLOOKUP(D3488,Товар!$A$2:$F$1000,3,0)</f>
        <v/>
      </c>
      <c r="J3488">
        <f>VLOOKUP(D3488,Товар!$A$2:$F$1000,5,0)</f>
        <v/>
      </c>
      <c r="K3488">
        <f>IF(AND(H3488="Промышленный",LEFT(I3488,18)="Порошок стиральный",F3488="Продажа",B3488=DATE(2023,6,7)),E3488*J3488/1000,0)</f>
        <v/>
      </c>
    </row>
    <row r="3489">
      <c r="A3489" t="n">
        <v>3488</v>
      </c>
      <c r="B3489" s="1" t="n">
        <v>45091</v>
      </c>
      <c r="C3489" s="5" t="inlineStr">
        <is>
          <t>M2</t>
        </is>
      </c>
      <c r="D3489" s="5" t="n">
        <v>32</v>
      </c>
      <c r="E3489" s="5" t="n">
        <v>266</v>
      </c>
      <c r="F3489" t="inlineStr">
        <is>
          <t>Продажа</t>
        </is>
      </c>
      <c r="H3489">
        <f>VLOOKUP(C3489,Магазин!$A$2:$C$1000,2,0)</f>
        <v/>
      </c>
      <c r="I3489">
        <f>VLOOKUP(D3489,Товар!$A$2:$F$1000,3,0)</f>
        <v/>
      </c>
      <c r="J3489">
        <f>VLOOKUP(D3489,Товар!$A$2:$F$1000,5,0)</f>
        <v/>
      </c>
      <c r="K3489">
        <f>IF(AND(H3489="Промышленный",LEFT(I3489,18)="Порошок стиральный",F3489="Продажа",B3489=DATE(2023,6,7)),E3489*J3489/1000,0)</f>
        <v/>
      </c>
    </row>
    <row r="3490">
      <c r="A3490" t="n">
        <v>3489</v>
      </c>
      <c r="B3490" s="1" t="n">
        <v>45091</v>
      </c>
      <c r="C3490" s="5" t="inlineStr">
        <is>
          <t>M2</t>
        </is>
      </c>
      <c r="D3490" s="5" t="n">
        <v>33</v>
      </c>
      <c r="E3490" s="5" t="n">
        <v>277</v>
      </c>
      <c r="F3490" t="inlineStr">
        <is>
          <t>Продажа</t>
        </is>
      </c>
      <c r="H3490">
        <f>VLOOKUP(C3490,Магазин!$A$2:$C$1000,2,0)</f>
        <v/>
      </c>
      <c r="I3490">
        <f>VLOOKUP(D3490,Товар!$A$2:$F$1000,3,0)</f>
        <v/>
      </c>
      <c r="J3490">
        <f>VLOOKUP(D3490,Товар!$A$2:$F$1000,5,0)</f>
        <v/>
      </c>
      <c r="K3490">
        <f>IF(AND(H3490="Промышленный",LEFT(I3490,18)="Порошок стиральный",F3490="Продажа",B3490=DATE(2023,6,7)),E3490*J3490/1000,0)</f>
        <v/>
      </c>
    </row>
    <row r="3491">
      <c r="A3491" t="n">
        <v>3490</v>
      </c>
      <c r="B3491" s="1" t="n">
        <v>45091</v>
      </c>
      <c r="C3491" s="5" t="inlineStr">
        <is>
          <t>M2</t>
        </is>
      </c>
      <c r="D3491" s="5" t="n">
        <v>34</v>
      </c>
      <c r="E3491" s="5" t="n">
        <v>288</v>
      </c>
      <c r="F3491" t="inlineStr">
        <is>
          <t>Продажа</t>
        </is>
      </c>
      <c r="H3491">
        <f>VLOOKUP(C3491,Магазин!$A$2:$C$1000,2,0)</f>
        <v/>
      </c>
      <c r="I3491">
        <f>VLOOKUP(D3491,Товар!$A$2:$F$1000,3,0)</f>
        <v/>
      </c>
      <c r="J3491">
        <f>VLOOKUP(D3491,Товар!$A$2:$F$1000,5,0)</f>
        <v/>
      </c>
      <c r="K3491">
        <f>IF(AND(H3491="Промышленный",LEFT(I3491,18)="Порошок стиральный",F3491="Продажа",B3491=DATE(2023,6,7)),E3491*J3491/1000,0)</f>
        <v/>
      </c>
    </row>
    <row r="3492">
      <c r="A3492" t="n">
        <v>3491</v>
      </c>
      <c r="B3492" s="1" t="n">
        <v>45091</v>
      </c>
      <c r="C3492" s="5" t="inlineStr">
        <is>
          <t>M2</t>
        </is>
      </c>
      <c r="D3492" s="5" t="n">
        <v>35</v>
      </c>
      <c r="E3492" s="5" t="n">
        <v>299</v>
      </c>
      <c r="F3492" t="inlineStr">
        <is>
          <t>Продажа</t>
        </is>
      </c>
      <c r="H3492">
        <f>VLOOKUP(C3492,Магазин!$A$2:$C$1000,2,0)</f>
        <v/>
      </c>
      <c r="I3492">
        <f>VLOOKUP(D3492,Товар!$A$2:$F$1000,3,0)</f>
        <v/>
      </c>
      <c r="J3492">
        <f>VLOOKUP(D3492,Товар!$A$2:$F$1000,5,0)</f>
        <v/>
      </c>
      <c r="K3492">
        <f>IF(AND(H3492="Промышленный",LEFT(I3492,18)="Порошок стиральный",F3492="Продажа",B3492=DATE(2023,6,7)),E3492*J3492/1000,0)</f>
        <v/>
      </c>
    </row>
    <row r="3493">
      <c r="A3493" t="n">
        <v>3492</v>
      </c>
      <c r="B3493" s="1" t="n">
        <v>45091</v>
      </c>
      <c r="C3493" s="5" t="inlineStr">
        <is>
          <t>M2</t>
        </is>
      </c>
      <c r="D3493" s="5" t="n">
        <v>36</v>
      </c>
      <c r="E3493" s="5" t="n">
        <v>201</v>
      </c>
      <c r="F3493" t="inlineStr">
        <is>
          <t>Продажа</t>
        </is>
      </c>
      <c r="H3493">
        <f>VLOOKUP(C3493,Магазин!$A$2:$C$1000,2,0)</f>
        <v/>
      </c>
      <c r="I3493">
        <f>VLOOKUP(D3493,Товар!$A$2:$F$1000,3,0)</f>
        <v/>
      </c>
      <c r="J3493">
        <f>VLOOKUP(D3493,Товар!$A$2:$F$1000,5,0)</f>
        <v/>
      </c>
      <c r="K3493">
        <f>IF(AND(H3493="Промышленный",LEFT(I3493,18)="Порошок стиральный",F3493="Продажа",B3493=DATE(2023,6,7)),E3493*J3493/1000,0)</f>
        <v/>
      </c>
    </row>
    <row r="3494">
      <c r="A3494" t="n">
        <v>3493</v>
      </c>
      <c r="B3494" s="1" t="n">
        <v>45091</v>
      </c>
      <c r="C3494" s="5" t="inlineStr">
        <is>
          <t>M4</t>
        </is>
      </c>
      <c r="D3494" s="5" t="n">
        <v>1</v>
      </c>
      <c r="E3494" s="5" t="n">
        <v>205</v>
      </c>
      <c r="F3494" t="inlineStr">
        <is>
          <t>Продажа</t>
        </is>
      </c>
      <c r="H3494">
        <f>VLOOKUP(C3494,Магазин!$A$2:$C$1000,2,0)</f>
        <v/>
      </c>
      <c r="I3494">
        <f>VLOOKUP(D3494,Товар!$A$2:$F$1000,3,0)</f>
        <v/>
      </c>
      <c r="J3494">
        <f>VLOOKUP(D3494,Товар!$A$2:$F$1000,5,0)</f>
        <v/>
      </c>
      <c r="K3494">
        <f>IF(AND(H3494="Промышленный",LEFT(I3494,18)="Порошок стиральный",F3494="Продажа",B3494=DATE(2023,6,7)),E3494*J3494/1000,0)</f>
        <v/>
      </c>
    </row>
    <row r="3495">
      <c r="A3495" t="n">
        <v>3494</v>
      </c>
      <c r="B3495" s="1" t="n">
        <v>45091</v>
      </c>
      <c r="C3495" s="5" t="inlineStr">
        <is>
          <t>M4</t>
        </is>
      </c>
      <c r="D3495" s="5" t="n">
        <v>2</v>
      </c>
      <c r="E3495" s="5" t="n">
        <v>357</v>
      </c>
      <c r="F3495" t="inlineStr">
        <is>
          <t>Продажа</t>
        </is>
      </c>
      <c r="H3495">
        <f>VLOOKUP(C3495,Магазин!$A$2:$C$1000,2,0)</f>
        <v/>
      </c>
      <c r="I3495">
        <f>VLOOKUP(D3495,Товар!$A$2:$F$1000,3,0)</f>
        <v/>
      </c>
      <c r="J3495">
        <f>VLOOKUP(D3495,Товар!$A$2:$F$1000,5,0)</f>
        <v/>
      </c>
      <c r="K3495">
        <f>IF(AND(H3495="Промышленный",LEFT(I3495,18)="Порошок стиральный",F3495="Продажа",B3495=DATE(2023,6,7)),E3495*J3495/1000,0)</f>
        <v/>
      </c>
    </row>
    <row r="3496">
      <c r="A3496" t="n">
        <v>3495</v>
      </c>
      <c r="B3496" s="1" t="n">
        <v>45091</v>
      </c>
      <c r="C3496" s="5" t="inlineStr">
        <is>
          <t>M4</t>
        </is>
      </c>
      <c r="D3496" s="5" t="n">
        <v>3</v>
      </c>
      <c r="E3496" s="5" t="n">
        <v>268</v>
      </c>
      <c r="F3496" t="inlineStr">
        <is>
          <t>Продажа</t>
        </is>
      </c>
      <c r="H3496">
        <f>VLOOKUP(C3496,Магазин!$A$2:$C$1000,2,0)</f>
        <v/>
      </c>
      <c r="I3496">
        <f>VLOOKUP(D3496,Товар!$A$2:$F$1000,3,0)</f>
        <v/>
      </c>
      <c r="J3496">
        <f>VLOOKUP(D3496,Товар!$A$2:$F$1000,5,0)</f>
        <v/>
      </c>
      <c r="K3496">
        <f>IF(AND(H3496="Промышленный",LEFT(I3496,18)="Порошок стиральный",F3496="Продажа",B3496=DATE(2023,6,7)),E3496*J3496/1000,0)</f>
        <v/>
      </c>
    </row>
    <row r="3497">
      <c r="A3497" t="n">
        <v>3496</v>
      </c>
      <c r="B3497" s="1" t="n">
        <v>45091</v>
      </c>
      <c r="C3497" s="5" t="inlineStr">
        <is>
          <t>M4</t>
        </is>
      </c>
      <c r="D3497" s="5" t="n">
        <v>4</v>
      </c>
      <c r="E3497" s="5" t="n">
        <v>279</v>
      </c>
      <c r="F3497" t="inlineStr">
        <is>
          <t>Продажа</t>
        </is>
      </c>
      <c r="H3497">
        <f>VLOOKUP(C3497,Магазин!$A$2:$C$1000,2,0)</f>
        <v/>
      </c>
      <c r="I3497">
        <f>VLOOKUP(D3497,Товар!$A$2:$F$1000,3,0)</f>
        <v/>
      </c>
      <c r="J3497">
        <f>VLOOKUP(D3497,Товар!$A$2:$F$1000,5,0)</f>
        <v/>
      </c>
      <c r="K3497">
        <f>IF(AND(H3497="Промышленный",LEFT(I3497,18)="Порошок стиральный",F3497="Продажа",B3497=DATE(2023,6,7)),E3497*J3497/1000,0)</f>
        <v/>
      </c>
    </row>
    <row r="3498">
      <c r="A3498" t="n">
        <v>3497</v>
      </c>
      <c r="B3498" s="1" t="n">
        <v>45091</v>
      </c>
      <c r="C3498" s="5" t="inlineStr">
        <is>
          <t>M4</t>
        </is>
      </c>
      <c r="D3498" s="5" t="n">
        <v>5</v>
      </c>
      <c r="E3498" s="5" t="n">
        <v>281</v>
      </c>
      <c r="F3498" t="inlineStr">
        <is>
          <t>Продажа</t>
        </is>
      </c>
      <c r="H3498">
        <f>VLOOKUP(C3498,Магазин!$A$2:$C$1000,2,0)</f>
        <v/>
      </c>
      <c r="I3498">
        <f>VLOOKUP(D3498,Товар!$A$2:$F$1000,3,0)</f>
        <v/>
      </c>
      <c r="J3498">
        <f>VLOOKUP(D3498,Товар!$A$2:$F$1000,5,0)</f>
        <v/>
      </c>
      <c r="K3498">
        <f>IF(AND(H3498="Промышленный",LEFT(I3498,18)="Порошок стиральный",F3498="Продажа",B3498=DATE(2023,6,7)),E3498*J3498/1000,0)</f>
        <v/>
      </c>
    </row>
    <row r="3499">
      <c r="A3499" t="n">
        <v>3498</v>
      </c>
      <c r="B3499" s="1" t="n">
        <v>45091</v>
      </c>
      <c r="C3499" s="5" t="inlineStr">
        <is>
          <t>M4</t>
        </is>
      </c>
      <c r="D3499" s="5" t="n">
        <v>6</v>
      </c>
      <c r="E3499" s="5" t="n">
        <v>292</v>
      </c>
      <c r="F3499" t="inlineStr">
        <is>
          <t>Продажа</t>
        </is>
      </c>
      <c r="H3499">
        <f>VLOOKUP(C3499,Магазин!$A$2:$C$1000,2,0)</f>
        <v/>
      </c>
      <c r="I3499">
        <f>VLOOKUP(D3499,Товар!$A$2:$F$1000,3,0)</f>
        <v/>
      </c>
      <c r="J3499">
        <f>VLOOKUP(D3499,Товар!$A$2:$F$1000,5,0)</f>
        <v/>
      </c>
      <c r="K3499">
        <f>IF(AND(H3499="Промышленный",LEFT(I3499,18)="Порошок стиральный",F3499="Продажа",B3499=DATE(2023,6,7)),E3499*J3499/1000,0)</f>
        <v/>
      </c>
    </row>
    <row r="3500">
      <c r="A3500" t="n">
        <v>3499</v>
      </c>
      <c r="B3500" s="1" t="n">
        <v>45091</v>
      </c>
      <c r="C3500" s="5" t="inlineStr">
        <is>
          <t>M4</t>
        </is>
      </c>
      <c r="D3500" s="5" t="n">
        <v>7</v>
      </c>
      <c r="E3500" s="5" t="n">
        <v>203</v>
      </c>
      <c r="F3500" t="inlineStr">
        <is>
          <t>Продажа</t>
        </is>
      </c>
      <c r="H3500">
        <f>VLOOKUP(C3500,Магазин!$A$2:$C$1000,2,0)</f>
        <v/>
      </c>
      <c r="I3500">
        <f>VLOOKUP(D3500,Товар!$A$2:$F$1000,3,0)</f>
        <v/>
      </c>
      <c r="J3500">
        <f>VLOOKUP(D3500,Товар!$A$2:$F$1000,5,0)</f>
        <v/>
      </c>
      <c r="K3500">
        <f>IF(AND(H3500="Промышленный",LEFT(I3500,18)="Порошок стиральный",F3500="Продажа",B3500=DATE(2023,6,7)),E3500*J3500/1000,0)</f>
        <v/>
      </c>
    </row>
    <row r="3501">
      <c r="A3501" t="n">
        <v>3500</v>
      </c>
      <c r="B3501" s="1" t="n">
        <v>45091</v>
      </c>
      <c r="C3501" s="5" t="inlineStr">
        <is>
          <t>M4</t>
        </is>
      </c>
      <c r="D3501" s="5" t="n">
        <v>8</v>
      </c>
      <c r="E3501" s="5" t="n">
        <v>214</v>
      </c>
      <c r="F3501" t="inlineStr">
        <is>
          <t>Продажа</t>
        </is>
      </c>
      <c r="H3501">
        <f>VLOOKUP(C3501,Магазин!$A$2:$C$1000,2,0)</f>
        <v/>
      </c>
      <c r="I3501">
        <f>VLOOKUP(D3501,Товар!$A$2:$F$1000,3,0)</f>
        <v/>
      </c>
      <c r="J3501">
        <f>VLOOKUP(D3501,Товар!$A$2:$F$1000,5,0)</f>
        <v/>
      </c>
      <c r="K3501">
        <f>IF(AND(H3501="Промышленный",LEFT(I3501,18)="Порошок стиральный",F3501="Продажа",B3501=DATE(2023,6,7)),E3501*J3501/1000,0)</f>
        <v/>
      </c>
    </row>
    <row r="3502">
      <c r="A3502" t="n">
        <v>3501</v>
      </c>
      <c r="B3502" s="1" t="n">
        <v>45091</v>
      </c>
      <c r="C3502" s="5" t="inlineStr">
        <is>
          <t>M4</t>
        </is>
      </c>
      <c r="D3502" s="5" t="n">
        <v>9</v>
      </c>
      <c r="E3502" s="5" t="n">
        <v>225</v>
      </c>
      <c r="F3502" t="inlineStr">
        <is>
          <t>Продажа</t>
        </is>
      </c>
      <c r="H3502">
        <f>VLOOKUP(C3502,Магазин!$A$2:$C$1000,2,0)</f>
        <v/>
      </c>
      <c r="I3502">
        <f>VLOOKUP(D3502,Товар!$A$2:$F$1000,3,0)</f>
        <v/>
      </c>
      <c r="J3502">
        <f>VLOOKUP(D3502,Товар!$A$2:$F$1000,5,0)</f>
        <v/>
      </c>
      <c r="K3502">
        <f>IF(AND(H3502="Промышленный",LEFT(I3502,18)="Порошок стиральный",F3502="Продажа",B3502=DATE(2023,6,7)),E3502*J3502/1000,0)</f>
        <v/>
      </c>
    </row>
    <row r="3503">
      <c r="A3503" t="n">
        <v>3502</v>
      </c>
      <c r="B3503" s="1" t="n">
        <v>45091</v>
      </c>
      <c r="C3503" s="5" t="inlineStr">
        <is>
          <t>M4</t>
        </is>
      </c>
      <c r="D3503" s="5" t="n">
        <v>10</v>
      </c>
      <c r="E3503" s="5" t="n">
        <v>236</v>
      </c>
      <c r="F3503" t="inlineStr">
        <is>
          <t>Продажа</t>
        </is>
      </c>
      <c r="H3503">
        <f>VLOOKUP(C3503,Магазин!$A$2:$C$1000,2,0)</f>
        <v/>
      </c>
      <c r="I3503">
        <f>VLOOKUP(D3503,Товар!$A$2:$F$1000,3,0)</f>
        <v/>
      </c>
      <c r="J3503">
        <f>VLOOKUP(D3503,Товар!$A$2:$F$1000,5,0)</f>
        <v/>
      </c>
      <c r="K3503">
        <f>IF(AND(H3503="Промышленный",LEFT(I3503,18)="Порошок стиральный",F3503="Продажа",B3503=DATE(2023,6,7)),E3503*J3503/1000,0)</f>
        <v/>
      </c>
    </row>
    <row r="3504">
      <c r="A3504" t="n">
        <v>3503</v>
      </c>
      <c r="B3504" s="1" t="n">
        <v>45091</v>
      </c>
      <c r="C3504" s="5" t="inlineStr">
        <is>
          <t>M4</t>
        </is>
      </c>
      <c r="D3504" s="5" t="n">
        <v>11</v>
      </c>
      <c r="E3504" s="5" t="n">
        <v>247</v>
      </c>
      <c r="F3504" t="inlineStr">
        <is>
          <t>Продажа</t>
        </is>
      </c>
      <c r="H3504">
        <f>VLOOKUP(C3504,Магазин!$A$2:$C$1000,2,0)</f>
        <v/>
      </c>
      <c r="I3504">
        <f>VLOOKUP(D3504,Товар!$A$2:$F$1000,3,0)</f>
        <v/>
      </c>
      <c r="J3504">
        <f>VLOOKUP(D3504,Товар!$A$2:$F$1000,5,0)</f>
        <v/>
      </c>
      <c r="K3504">
        <f>IF(AND(H3504="Промышленный",LEFT(I3504,18)="Порошок стиральный",F3504="Продажа",B3504=DATE(2023,6,7)),E3504*J3504/1000,0)</f>
        <v/>
      </c>
    </row>
    <row r="3505">
      <c r="A3505" t="n">
        <v>3504</v>
      </c>
      <c r="B3505" s="1" t="n">
        <v>45091</v>
      </c>
      <c r="C3505" s="5" t="inlineStr">
        <is>
          <t>M4</t>
        </is>
      </c>
      <c r="D3505" s="5" t="n">
        <v>12</v>
      </c>
      <c r="E3505" s="5" t="n">
        <v>258</v>
      </c>
      <c r="F3505" t="inlineStr">
        <is>
          <t>Продажа</t>
        </is>
      </c>
      <c r="H3505">
        <f>VLOOKUP(C3505,Магазин!$A$2:$C$1000,2,0)</f>
        <v/>
      </c>
      <c r="I3505">
        <f>VLOOKUP(D3505,Товар!$A$2:$F$1000,3,0)</f>
        <v/>
      </c>
      <c r="J3505">
        <f>VLOOKUP(D3505,Товар!$A$2:$F$1000,5,0)</f>
        <v/>
      </c>
      <c r="K3505">
        <f>IF(AND(H3505="Промышленный",LEFT(I3505,18)="Порошок стиральный",F3505="Продажа",B3505=DATE(2023,6,7)),E3505*J3505/1000,0)</f>
        <v/>
      </c>
    </row>
    <row r="3506">
      <c r="A3506" t="n">
        <v>3505</v>
      </c>
      <c r="B3506" s="1" t="n">
        <v>45091</v>
      </c>
      <c r="C3506" s="5" t="inlineStr">
        <is>
          <t>M4</t>
        </is>
      </c>
      <c r="D3506" s="5" t="n">
        <v>13</v>
      </c>
      <c r="E3506" s="5" t="n">
        <v>256</v>
      </c>
      <c r="F3506" t="inlineStr">
        <is>
          <t>Продажа</t>
        </is>
      </c>
      <c r="H3506">
        <f>VLOOKUP(C3506,Магазин!$A$2:$C$1000,2,0)</f>
        <v/>
      </c>
      <c r="I3506">
        <f>VLOOKUP(D3506,Товар!$A$2:$F$1000,3,0)</f>
        <v/>
      </c>
      <c r="J3506">
        <f>VLOOKUP(D3506,Товар!$A$2:$F$1000,5,0)</f>
        <v/>
      </c>
      <c r="K3506">
        <f>IF(AND(H3506="Промышленный",LEFT(I3506,18)="Порошок стиральный",F3506="Продажа",B3506=DATE(2023,6,7)),E3506*J3506/1000,0)</f>
        <v/>
      </c>
    </row>
    <row r="3507">
      <c r="A3507" t="n">
        <v>3506</v>
      </c>
      <c r="B3507" s="1" t="n">
        <v>45091</v>
      </c>
      <c r="C3507" s="5" t="inlineStr">
        <is>
          <t>M4</t>
        </is>
      </c>
      <c r="D3507" s="5" t="n">
        <v>14</v>
      </c>
      <c r="E3507" s="5" t="n">
        <v>269</v>
      </c>
      <c r="F3507" t="inlineStr">
        <is>
          <t>Продажа</t>
        </is>
      </c>
      <c r="H3507">
        <f>VLOOKUP(C3507,Магазин!$A$2:$C$1000,2,0)</f>
        <v/>
      </c>
      <c r="I3507">
        <f>VLOOKUP(D3507,Товар!$A$2:$F$1000,3,0)</f>
        <v/>
      </c>
      <c r="J3507">
        <f>VLOOKUP(D3507,Товар!$A$2:$F$1000,5,0)</f>
        <v/>
      </c>
      <c r="K3507">
        <f>IF(AND(H3507="Промышленный",LEFT(I3507,18)="Порошок стиральный",F3507="Продажа",B3507=DATE(2023,6,7)),E3507*J3507/1000,0)</f>
        <v/>
      </c>
    </row>
    <row r="3508">
      <c r="A3508" t="n">
        <v>3507</v>
      </c>
      <c r="B3508" s="1" t="n">
        <v>45091</v>
      </c>
      <c r="C3508" s="5" t="inlineStr">
        <is>
          <t>M4</t>
        </is>
      </c>
      <c r="D3508" s="5" t="n">
        <v>15</v>
      </c>
      <c r="E3508" s="5" t="n">
        <v>204</v>
      </c>
      <c r="F3508" t="inlineStr">
        <is>
          <t>Продажа</t>
        </is>
      </c>
      <c r="H3508">
        <f>VLOOKUP(C3508,Магазин!$A$2:$C$1000,2,0)</f>
        <v/>
      </c>
      <c r="I3508">
        <f>VLOOKUP(D3508,Товар!$A$2:$F$1000,3,0)</f>
        <v/>
      </c>
      <c r="J3508">
        <f>VLOOKUP(D3508,Товар!$A$2:$F$1000,5,0)</f>
        <v/>
      </c>
      <c r="K3508">
        <f>IF(AND(H3508="Промышленный",LEFT(I3508,18)="Порошок стиральный",F3508="Продажа",B3508=DATE(2023,6,7)),E3508*J3508/1000,0)</f>
        <v/>
      </c>
    </row>
    <row r="3509">
      <c r="A3509" t="n">
        <v>3508</v>
      </c>
      <c r="B3509" s="1" t="n">
        <v>45091</v>
      </c>
      <c r="C3509" s="5" t="inlineStr">
        <is>
          <t>M4</t>
        </is>
      </c>
      <c r="D3509" s="5" t="n">
        <v>16</v>
      </c>
      <c r="E3509" s="5" t="n">
        <v>206</v>
      </c>
      <c r="F3509" t="inlineStr">
        <is>
          <t>Продажа</t>
        </is>
      </c>
      <c r="H3509">
        <f>VLOOKUP(C3509,Магазин!$A$2:$C$1000,2,0)</f>
        <v/>
      </c>
      <c r="I3509">
        <f>VLOOKUP(D3509,Товар!$A$2:$F$1000,3,0)</f>
        <v/>
      </c>
      <c r="J3509">
        <f>VLOOKUP(D3509,Товар!$A$2:$F$1000,5,0)</f>
        <v/>
      </c>
      <c r="K3509">
        <f>IF(AND(H3509="Промышленный",LEFT(I3509,18)="Порошок стиральный",F3509="Продажа",B3509=DATE(2023,6,7)),E3509*J3509/1000,0)</f>
        <v/>
      </c>
    </row>
    <row r="3510">
      <c r="A3510" t="n">
        <v>3509</v>
      </c>
      <c r="B3510" s="1" t="n">
        <v>45091</v>
      </c>
      <c r="C3510" s="5" t="inlineStr">
        <is>
          <t>M4</t>
        </is>
      </c>
      <c r="D3510" s="5" t="n">
        <v>17</v>
      </c>
      <c r="E3510" s="5" t="n">
        <v>208</v>
      </c>
      <c r="F3510" t="inlineStr">
        <is>
          <t>Продажа</t>
        </is>
      </c>
      <c r="H3510">
        <f>VLOOKUP(C3510,Магазин!$A$2:$C$1000,2,0)</f>
        <v/>
      </c>
      <c r="I3510">
        <f>VLOOKUP(D3510,Товар!$A$2:$F$1000,3,0)</f>
        <v/>
      </c>
      <c r="J3510">
        <f>VLOOKUP(D3510,Товар!$A$2:$F$1000,5,0)</f>
        <v/>
      </c>
      <c r="K3510">
        <f>IF(AND(H3510="Промышленный",LEFT(I3510,18)="Порошок стиральный",F3510="Продажа",B3510=DATE(2023,6,7)),E3510*J3510/1000,0)</f>
        <v/>
      </c>
    </row>
    <row r="3511">
      <c r="A3511" t="n">
        <v>3510</v>
      </c>
      <c r="B3511" s="1" t="n">
        <v>45091</v>
      </c>
      <c r="C3511" s="5" t="inlineStr">
        <is>
          <t>M4</t>
        </is>
      </c>
      <c r="D3511" s="5" t="n">
        <v>18</v>
      </c>
      <c r="E3511" s="5" t="n">
        <v>209</v>
      </c>
      <c r="F3511" t="inlineStr">
        <is>
          <t>Продажа</t>
        </is>
      </c>
      <c r="H3511">
        <f>VLOOKUP(C3511,Магазин!$A$2:$C$1000,2,0)</f>
        <v/>
      </c>
      <c r="I3511">
        <f>VLOOKUP(D3511,Товар!$A$2:$F$1000,3,0)</f>
        <v/>
      </c>
      <c r="J3511">
        <f>VLOOKUP(D3511,Товар!$A$2:$F$1000,5,0)</f>
        <v/>
      </c>
      <c r="K3511">
        <f>IF(AND(H3511="Промышленный",LEFT(I3511,18)="Порошок стиральный",F3511="Продажа",B3511=DATE(2023,6,7)),E3511*J3511/1000,0)</f>
        <v/>
      </c>
    </row>
    <row r="3512">
      <c r="A3512" t="n">
        <v>3511</v>
      </c>
      <c r="B3512" s="1" t="n">
        <v>45091</v>
      </c>
      <c r="C3512" s="5" t="inlineStr">
        <is>
          <t>M4</t>
        </is>
      </c>
      <c r="D3512" s="5" t="n">
        <v>19</v>
      </c>
      <c r="E3512" s="5" t="n">
        <v>299</v>
      </c>
      <c r="F3512" t="inlineStr">
        <is>
          <t>Продажа</t>
        </is>
      </c>
      <c r="H3512">
        <f>VLOOKUP(C3512,Магазин!$A$2:$C$1000,2,0)</f>
        <v/>
      </c>
      <c r="I3512">
        <f>VLOOKUP(D3512,Товар!$A$2:$F$1000,3,0)</f>
        <v/>
      </c>
      <c r="J3512">
        <f>VLOOKUP(D3512,Товар!$A$2:$F$1000,5,0)</f>
        <v/>
      </c>
      <c r="K3512">
        <f>IF(AND(H3512="Промышленный",LEFT(I3512,18)="Порошок стиральный",F3512="Продажа",B3512=DATE(2023,6,7)),E3512*J3512/1000,0)</f>
        <v/>
      </c>
    </row>
    <row r="3513">
      <c r="A3513" t="n">
        <v>3512</v>
      </c>
      <c r="B3513" s="1" t="n">
        <v>45091</v>
      </c>
      <c r="C3513" s="5" t="inlineStr">
        <is>
          <t>M4</t>
        </is>
      </c>
      <c r="D3513" s="5" t="n">
        <v>20</v>
      </c>
      <c r="E3513" s="5" t="n">
        <v>275</v>
      </c>
      <c r="F3513" t="inlineStr">
        <is>
          <t>Продажа</t>
        </is>
      </c>
      <c r="H3513">
        <f>VLOOKUP(C3513,Магазин!$A$2:$C$1000,2,0)</f>
        <v/>
      </c>
      <c r="I3513">
        <f>VLOOKUP(D3513,Товар!$A$2:$F$1000,3,0)</f>
        <v/>
      </c>
      <c r="J3513">
        <f>VLOOKUP(D3513,Товар!$A$2:$F$1000,5,0)</f>
        <v/>
      </c>
      <c r="K3513">
        <f>IF(AND(H3513="Промышленный",LEFT(I3513,18)="Порошок стиральный",F3513="Продажа",B3513=DATE(2023,6,7)),E3513*J3513/1000,0)</f>
        <v/>
      </c>
    </row>
    <row r="3514">
      <c r="A3514" t="n">
        <v>3513</v>
      </c>
      <c r="B3514" s="1" t="n">
        <v>45091</v>
      </c>
      <c r="C3514" s="5" t="inlineStr">
        <is>
          <t>M4</t>
        </is>
      </c>
      <c r="D3514" s="5" t="n">
        <v>21</v>
      </c>
      <c r="E3514" s="5" t="n">
        <v>234</v>
      </c>
      <c r="F3514" t="inlineStr">
        <is>
          <t>Продажа</t>
        </is>
      </c>
      <c r="H3514">
        <f>VLOOKUP(C3514,Магазин!$A$2:$C$1000,2,0)</f>
        <v/>
      </c>
      <c r="I3514">
        <f>VLOOKUP(D3514,Товар!$A$2:$F$1000,3,0)</f>
        <v/>
      </c>
      <c r="J3514">
        <f>VLOOKUP(D3514,Товар!$A$2:$F$1000,5,0)</f>
        <v/>
      </c>
      <c r="K3514">
        <f>IF(AND(H3514="Промышленный",LEFT(I3514,18)="Порошок стиральный",F3514="Продажа",B3514=DATE(2023,6,7)),E3514*J3514/1000,0)</f>
        <v/>
      </c>
    </row>
    <row r="3515">
      <c r="A3515" t="n">
        <v>3514</v>
      </c>
      <c r="B3515" s="1" t="n">
        <v>45091</v>
      </c>
      <c r="C3515" s="5" t="inlineStr">
        <is>
          <t>M4</t>
        </is>
      </c>
      <c r="D3515" s="5" t="n">
        <v>22</v>
      </c>
      <c r="E3515" s="5" t="n">
        <v>228</v>
      </c>
      <c r="F3515" t="inlineStr">
        <is>
          <t>Продажа</t>
        </is>
      </c>
      <c r="H3515">
        <f>VLOOKUP(C3515,Магазин!$A$2:$C$1000,2,0)</f>
        <v/>
      </c>
      <c r="I3515">
        <f>VLOOKUP(D3515,Товар!$A$2:$F$1000,3,0)</f>
        <v/>
      </c>
      <c r="J3515">
        <f>VLOOKUP(D3515,Товар!$A$2:$F$1000,5,0)</f>
        <v/>
      </c>
      <c r="K3515">
        <f>IF(AND(H3515="Промышленный",LEFT(I3515,18)="Порошок стиральный",F3515="Продажа",B3515=DATE(2023,6,7)),E3515*J3515/1000,0)</f>
        <v/>
      </c>
    </row>
    <row r="3516">
      <c r="A3516" t="n">
        <v>3515</v>
      </c>
      <c r="B3516" s="1" t="n">
        <v>45091</v>
      </c>
      <c r="C3516" s="5" t="inlineStr">
        <is>
          <t>M4</t>
        </is>
      </c>
      <c r="D3516" s="5" t="n">
        <v>23</v>
      </c>
      <c r="E3516" s="5" t="n">
        <v>217</v>
      </c>
      <c r="F3516" t="inlineStr">
        <is>
          <t>Продажа</t>
        </is>
      </c>
      <c r="H3516">
        <f>VLOOKUP(C3516,Магазин!$A$2:$C$1000,2,0)</f>
        <v/>
      </c>
      <c r="I3516">
        <f>VLOOKUP(D3516,Товар!$A$2:$F$1000,3,0)</f>
        <v/>
      </c>
      <c r="J3516">
        <f>VLOOKUP(D3516,Товар!$A$2:$F$1000,5,0)</f>
        <v/>
      </c>
      <c r="K3516">
        <f>IF(AND(H3516="Промышленный",LEFT(I3516,18)="Порошок стиральный",F3516="Продажа",B3516=DATE(2023,6,7)),E3516*J3516/1000,0)</f>
        <v/>
      </c>
    </row>
    <row r="3517">
      <c r="A3517" t="n">
        <v>3516</v>
      </c>
      <c r="B3517" s="1" t="n">
        <v>45091</v>
      </c>
      <c r="C3517" s="5" t="inlineStr">
        <is>
          <t>M4</t>
        </is>
      </c>
      <c r="D3517" s="5" t="n">
        <v>24</v>
      </c>
      <c r="E3517" s="5" t="n">
        <v>258</v>
      </c>
      <c r="F3517" t="inlineStr">
        <is>
          <t>Продажа</t>
        </is>
      </c>
      <c r="H3517">
        <f>VLOOKUP(C3517,Магазин!$A$2:$C$1000,2,0)</f>
        <v/>
      </c>
      <c r="I3517">
        <f>VLOOKUP(D3517,Товар!$A$2:$F$1000,3,0)</f>
        <v/>
      </c>
      <c r="J3517">
        <f>VLOOKUP(D3517,Товар!$A$2:$F$1000,5,0)</f>
        <v/>
      </c>
      <c r="K3517">
        <f>IF(AND(H3517="Промышленный",LEFT(I3517,18)="Порошок стиральный",F3517="Продажа",B3517=DATE(2023,6,7)),E3517*J3517/1000,0)</f>
        <v/>
      </c>
    </row>
    <row r="3518">
      <c r="A3518" t="n">
        <v>3517</v>
      </c>
      <c r="B3518" s="1" t="n">
        <v>45091</v>
      </c>
      <c r="C3518" s="5" t="inlineStr">
        <is>
          <t>M4</t>
        </is>
      </c>
      <c r="D3518" s="5" t="n">
        <v>25</v>
      </c>
      <c r="E3518" s="5" t="n">
        <v>199</v>
      </c>
      <c r="F3518" t="inlineStr">
        <is>
          <t>Продажа</t>
        </is>
      </c>
      <c r="H3518">
        <f>VLOOKUP(C3518,Магазин!$A$2:$C$1000,2,0)</f>
        <v/>
      </c>
      <c r="I3518">
        <f>VLOOKUP(D3518,Товар!$A$2:$F$1000,3,0)</f>
        <v/>
      </c>
      <c r="J3518">
        <f>VLOOKUP(D3518,Товар!$A$2:$F$1000,5,0)</f>
        <v/>
      </c>
      <c r="K3518">
        <f>IF(AND(H3518="Промышленный",LEFT(I3518,18)="Порошок стиральный",F3518="Продажа",B3518=DATE(2023,6,7)),E3518*J3518/1000,0)</f>
        <v/>
      </c>
    </row>
    <row r="3519">
      <c r="A3519" t="n">
        <v>3518</v>
      </c>
      <c r="B3519" s="1" t="n">
        <v>45091</v>
      </c>
      <c r="C3519" s="5" t="inlineStr">
        <is>
          <t>M4</t>
        </is>
      </c>
      <c r="D3519" s="5" t="n">
        <v>26</v>
      </c>
      <c r="E3519" s="5" t="n">
        <v>248</v>
      </c>
      <c r="F3519" t="inlineStr">
        <is>
          <t>Продажа</t>
        </is>
      </c>
      <c r="H3519">
        <f>VLOOKUP(C3519,Магазин!$A$2:$C$1000,2,0)</f>
        <v/>
      </c>
      <c r="I3519">
        <f>VLOOKUP(D3519,Товар!$A$2:$F$1000,3,0)</f>
        <v/>
      </c>
      <c r="J3519">
        <f>VLOOKUP(D3519,Товар!$A$2:$F$1000,5,0)</f>
        <v/>
      </c>
      <c r="K3519">
        <f>IF(AND(H3519="Промышленный",LEFT(I3519,18)="Порошок стиральный",F3519="Продажа",B3519=DATE(2023,6,7)),E3519*J3519/1000,0)</f>
        <v/>
      </c>
    </row>
    <row r="3520">
      <c r="A3520" t="n">
        <v>3519</v>
      </c>
      <c r="B3520" s="1" t="n">
        <v>45091</v>
      </c>
      <c r="C3520" s="5" t="inlineStr">
        <is>
          <t>M4</t>
        </is>
      </c>
      <c r="D3520" s="5" t="n">
        <v>27</v>
      </c>
      <c r="E3520" s="5" t="n">
        <v>236</v>
      </c>
      <c r="F3520" t="inlineStr">
        <is>
          <t>Продажа</t>
        </is>
      </c>
      <c r="H3520">
        <f>VLOOKUP(C3520,Магазин!$A$2:$C$1000,2,0)</f>
        <v/>
      </c>
      <c r="I3520">
        <f>VLOOKUP(D3520,Товар!$A$2:$F$1000,3,0)</f>
        <v/>
      </c>
      <c r="J3520">
        <f>VLOOKUP(D3520,Товар!$A$2:$F$1000,5,0)</f>
        <v/>
      </c>
      <c r="K3520">
        <f>IF(AND(H3520="Промышленный",LEFT(I3520,18)="Порошок стиральный",F3520="Продажа",B3520=DATE(2023,6,7)),E3520*J3520/1000,0)</f>
        <v/>
      </c>
    </row>
    <row r="3521">
      <c r="A3521" t="n">
        <v>3520</v>
      </c>
      <c r="B3521" s="1" t="n">
        <v>45091</v>
      </c>
      <c r="C3521" s="5" t="inlineStr">
        <is>
          <t>M4</t>
        </is>
      </c>
      <c r="D3521" s="5" t="n">
        <v>28</v>
      </c>
      <c r="E3521" s="5" t="n">
        <v>287</v>
      </c>
      <c r="F3521" t="inlineStr">
        <is>
          <t>Продажа</t>
        </is>
      </c>
      <c r="H3521">
        <f>VLOOKUP(C3521,Магазин!$A$2:$C$1000,2,0)</f>
        <v/>
      </c>
      <c r="I3521">
        <f>VLOOKUP(D3521,Товар!$A$2:$F$1000,3,0)</f>
        <v/>
      </c>
      <c r="J3521">
        <f>VLOOKUP(D3521,Товар!$A$2:$F$1000,5,0)</f>
        <v/>
      </c>
      <c r="K3521">
        <f>IF(AND(H3521="Промышленный",LEFT(I3521,18)="Порошок стиральный",F3521="Продажа",B3521=DATE(2023,6,7)),E3521*J3521/1000,0)</f>
        <v/>
      </c>
    </row>
    <row r="3522">
      <c r="A3522" t="n">
        <v>3521</v>
      </c>
      <c r="B3522" s="1" t="n">
        <v>45091</v>
      </c>
      <c r="C3522" s="5" t="inlineStr">
        <is>
          <t>M4</t>
        </is>
      </c>
      <c r="D3522" s="5" t="n">
        <v>29</v>
      </c>
      <c r="E3522" s="5" t="n">
        <v>265</v>
      </c>
      <c r="F3522" t="inlineStr">
        <is>
          <t>Продажа</t>
        </is>
      </c>
      <c r="H3522">
        <f>VLOOKUP(C3522,Магазин!$A$2:$C$1000,2,0)</f>
        <v/>
      </c>
      <c r="I3522">
        <f>VLOOKUP(D3522,Товар!$A$2:$F$1000,3,0)</f>
        <v/>
      </c>
      <c r="J3522">
        <f>VLOOKUP(D3522,Товар!$A$2:$F$1000,5,0)</f>
        <v/>
      </c>
      <c r="K3522">
        <f>IF(AND(H3522="Промышленный",LEFT(I3522,18)="Порошок стиральный",F3522="Продажа",B3522=DATE(2023,6,7)),E3522*J3522/1000,0)</f>
        <v/>
      </c>
    </row>
    <row r="3523">
      <c r="A3523" t="n">
        <v>3522</v>
      </c>
      <c r="B3523" s="1" t="n">
        <v>45091</v>
      </c>
      <c r="C3523" s="5" t="inlineStr">
        <is>
          <t>M4</t>
        </is>
      </c>
      <c r="D3523" s="5" t="n">
        <v>30</v>
      </c>
      <c r="E3523" s="5" t="n">
        <v>234</v>
      </c>
      <c r="F3523" t="inlineStr">
        <is>
          <t>Продажа</t>
        </is>
      </c>
      <c r="H3523">
        <f>VLOOKUP(C3523,Магазин!$A$2:$C$1000,2,0)</f>
        <v/>
      </c>
      <c r="I3523">
        <f>VLOOKUP(D3523,Товар!$A$2:$F$1000,3,0)</f>
        <v/>
      </c>
      <c r="J3523">
        <f>VLOOKUP(D3523,Товар!$A$2:$F$1000,5,0)</f>
        <v/>
      </c>
      <c r="K3523">
        <f>IF(AND(H3523="Промышленный",LEFT(I3523,18)="Порошок стиральный",F3523="Продажа",B3523=DATE(2023,6,7)),E3523*J3523/1000,0)</f>
        <v/>
      </c>
    </row>
    <row r="3524">
      <c r="A3524" t="n">
        <v>3523</v>
      </c>
      <c r="B3524" s="1" t="n">
        <v>45091</v>
      </c>
      <c r="C3524" s="5" t="inlineStr">
        <is>
          <t>M4</t>
        </is>
      </c>
      <c r="D3524" s="5" t="n">
        <v>31</v>
      </c>
      <c r="E3524" s="5" t="n">
        <v>258</v>
      </c>
      <c r="F3524" t="inlineStr">
        <is>
          <t>Продажа</t>
        </is>
      </c>
      <c r="H3524">
        <f>VLOOKUP(C3524,Магазин!$A$2:$C$1000,2,0)</f>
        <v/>
      </c>
      <c r="I3524">
        <f>VLOOKUP(D3524,Товар!$A$2:$F$1000,3,0)</f>
        <v/>
      </c>
      <c r="J3524">
        <f>VLOOKUP(D3524,Товар!$A$2:$F$1000,5,0)</f>
        <v/>
      </c>
      <c r="K3524">
        <f>IF(AND(H3524="Промышленный",LEFT(I3524,18)="Порошок стиральный",F3524="Продажа",B3524=DATE(2023,6,7)),E3524*J3524/1000,0)</f>
        <v/>
      </c>
    </row>
    <row r="3525">
      <c r="A3525" t="n">
        <v>3524</v>
      </c>
      <c r="B3525" s="1" t="n">
        <v>45091</v>
      </c>
      <c r="C3525" s="5" t="inlineStr">
        <is>
          <t>M4</t>
        </is>
      </c>
      <c r="D3525" s="5" t="n">
        <v>32</v>
      </c>
      <c r="E3525" s="5" t="n">
        <v>264</v>
      </c>
      <c r="F3525" t="inlineStr">
        <is>
          <t>Продажа</t>
        </is>
      </c>
      <c r="H3525">
        <f>VLOOKUP(C3525,Магазин!$A$2:$C$1000,2,0)</f>
        <v/>
      </c>
      <c r="I3525">
        <f>VLOOKUP(D3525,Товар!$A$2:$F$1000,3,0)</f>
        <v/>
      </c>
      <c r="J3525">
        <f>VLOOKUP(D3525,Товар!$A$2:$F$1000,5,0)</f>
        <v/>
      </c>
      <c r="K3525">
        <f>IF(AND(H3525="Промышленный",LEFT(I3525,18)="Порошок стиральный",F3525="Продажа",B3525=DATE(2023,6,7)),E3525*J3525/1000,0)</f>
        <v/>
      </c>
    </row>
    <row r="3526">
      <c r="A3526" t="n">
        <v>3525</v>
      </c>
      <c r="B3526" s="1" t="n">
        <v>45091</v>
      </c>
      <c r="C3526" s="5" t="inlineStr">
        <is>
          <t>M4</t>
        </is>
      </c>
      <c r="D3526" s="5" t="n">
        <v>33</v>
      </c>
      <c r="E3526" s="5" t="n">
        <v>237</v>
      </c>
      <c r="F3526" t="inlineStr">
        <is>
          <t>Продажа</t>
        </is>
      </c>
      <c r="H3526">
        <f>VLOOKUP(C3526,Магазин!$A$2:$C$1000,2,0)</f>
        <v/>
      </c>
      <c r="I3526">
        <f>VLOOKUP(D3526,Товар!$A$2:$F$1000,3,0)</f>
        <v/>
      </c>
      <c r="J3526">
        <f>VLOOKUP(D3526,Товар!$A$2:$F$1000,5,0)</f>
        <v/>
      </c>
      <c r="K3526">
        <f>IF(AND(H3526="Промышленный",LEFT(I3526,18)="Порошок стиральный",F3526="Продажа",B3526=DATE(2023,6,7)),E3526*J3526/1000,0)</f>
        <v/>
      </c>
    </row>
    <row r="3527">
      <c r="A3527" t="n">
        <v>3526</v>
      </c>
      <c r="B3527" s="1" t="n">
        <v>45091</v>
      </c>
      <c r="C3527" s="5" t="inlineStr">
        <is>
          <t>M4</t>
        </is>
      </c>
      <c r="D3527" s="5" t="n">
        <v>34</v>
      </c>
      <c r="E3527" s="5" t="n">
        <v>218</v>
      </c>
      <c r="F3527" t="inlineStr">
        <is>
          <t>Продажа</t>
        </is>
      </c>
      <c r="H3527">
        <f>VLOOKUP(C3527,Магазин!$A$2:$C$1000,2,0)</f>
        <v/>
      </c>
      <c r="I3527">
        <f>VLOOKUP(D3527,Товар!$A$2:$F$1000,3,0)</f>
        <v/>
      </c>
      <c r="J3527">
        <f>VLOOKUP(D3527,Товар!$A$2:$F$1000,5,0)</f>
        <v/>
      </c>
      <c r="K3527">
        <f>IF(AND(H3527="Промышленный",LEFT(I3527,18)="Порошок стиральный",F3527="Продажа",B3527=DATE(2023,6,7)),E3527*J3527/1000,0)</f>
        <v/>
      </c>
    </row>
    <row r="3528">
      <c r="A3528" t="n">
        <v>3527</v>
      </c>
      <c r="B3528" s="1" t="n">
        <v>45091</v>
      </c>
      <c r="C3528" s="5" t="inlineStr">
        <is>
          <t>M4</t>
        </is>
      </c>
      <c r="D3528" s="5" t="n">
        <v>35</v>
      </c>
      <c r="E3528" s="5" t="n">
        <v>249</v>
      </c>
      <c r="F3528" t="inlineStr">
        <is>
          <t>Продажа</t>
        </is>
      </c>
      <c r="H3528">
        <f>VLOOKUP(C3528,Магазин!$A$2:$C$1000,2,0)</f>
        <v/>
      </c>
      <c r="I3528">
        <f>VLOOKUP(D3528,Товар!$A$2:$F$1000,3,0)</f>
        <v/>
      </c>
      <c r="J3528">
        <f>VLOOKUP(D3528,Товар!$A$2:$F$1000,5,0)</f>
        <v/>
      </c>
      <c r="K3528">
        <f>IF(AND(H3528="Промышленный",LEFT(I3528,18)="Порошок стиральный",F3528="Продажа",B3528=DATE(2023,6,7)),E3528*J3528/1000,0)</f>
        <v/>
      </c>
    </row>
    <row r="3529">
      <c r="A3529" t="n">
        <v>3528</v>
      </c>
      <c r="B3529" s="1" t="n">
        <v>45091</v>
      </c>
      <c r="C3529" s="5" t="inlineStr">
        <is>
          <t>M4</t>
        </is>
      </c>
      <c r="D3529" s="5" t="n">
        <v>36</v>
      </c>
      <c r="E3529" s="5" t="n">
        <v>273</v>
      </c>
      <c r="F3529" t="inlineStr">
        <is>
          <t>Продажа</t>
        </is>
      </c>
      <c r="H3529">
        <f>VLOOKUP(C3529,Магазин!$A$2:$C$1000,2,0)</f>
        <v/>
      </c>
      <c r="I3529">
        <f>VLOOKUP(D3529,Товар!$A$2:$F$1000,3,0)</f>
        <v/>
      </c>
      <c r="J3529">
        <f>VLOOKUP(D3529,Товар!$A$2:$F$1000,5,0)</f>
        <v/>
      </c>
      <c r="K3529">
        <f>IF(AND(H3529="Промышленный",LEFT(I3529,18)="Порошок стиральный",F3529="Продажа",B3529=DATE(2023,6,7)),E3529*J3529/1000,0)</f>
        <v/>
      </c>
    </row>
    <row r="3530">
      <c r="A3530" t="n">
        <v>3529</v>
      </c>
      <c r="B3530" s="1" t="n">
        <v>45091</v>
      </c>
      <c r="C3530" s="5" t="inlineStr">
        <is>
          <t>M7</t>
        </is>
      </c>
      <c r="D3530" s="5" t="n">
        <v>1</v>
      </c>
      <c r="E3530" s="5" t="n">
        <v>284</v>
      </c>
      <c r="F3530" t="inlineStr">
        <is>
          <t>Продажа</t>
        </is>
      </c>
      <c r="H3530">
        <f>VLOOKUP(C3530,Магазин!$A$2:$C$1000,2,0)</f>
        <v/>
      </c>
      <c r="I3530">
        <f>VLOOKUP(D3530,Товар!$A$2:$F$1000,3,0)</f>
        <v/>
      </c>
      <c r="J3530">
        <f>VLOOKUP(D3530,Товар!$A$2:$F$1000,5,0)</f>
        <v/>
      </c>
      <c r="K3530">
        <f>IF(AND(H3530="Промышленный",LEFT(I3530,18)="Порошок стиральный",F3530="Продажа",B3530=DATE(2023,6,7)),E3530*J3530/1000,0)</f>
        <v/>
      </c>
    </row>
    <row r="3531">
      <c r="A3531" t="n">
        <v>3530</v>
      </c>
      <c r="B3531" s="1" t="n">
        <v>45091</v>
      </c>
      <c r="C3531" s="5" t="inlineStr">
        <is>
          <t>M7</t>
        </is>
      </c>
      <c r="D3531" s="5" t="n">
        <v>2</v>
      </c>
      <c r="E3531" s="5" t="n">
        <v>253</v>
      </c>
      <c r="F3531" t="inlineStr">
        <is>
          <t>Продажа</t>
        </is>
      </c>
      <c r="H3531">
        <f>VLOOKUP(C3531,Магазин!$A$2:$C$1000,2,0)</f>
        <v/>
      </c>
      <c r="I3531">
        <f>VLOOKUP(D3531,Товар!$A$2:$F$1000,3,0)</f>
        <v/>
      </c>
      <c r="J3531">
        <f>VLOOKUP(D3531,Товар!$A$2:$F$1000,5,0)</f>
        <v/>
      </c>
      <c r="K3531">
        <f>IF(AND(H3531="Промышленный",LEFT(I3531,18)="Порошок стиральный",F3531="Продажа",B3531=DATE(2023,6,7)),E3531*J3531/1000,0)</f>
        <v/>
      </c>
    </row>
    <row r="3532">
      <c r="A3532" t="n">
        <v>3531</v>
      </c>
      <c r="B3532" s="1" t="n">
        <v>45091</v>
      </c>
      <c r="C3532" s="5" t="inlineStr">
        <is>
          <t>M7</t>
        </is>
      </c>
      <c r="D3532" s="5" t="n">
        <v>3</v>
      </c>
      <c r="E3532" s="5" t="n">
        <v>261</v>
      </c>
      <c r="F3532" t="inlineStr">
        <is>
          <t>Продажа</t>
        </is>
      </c>
      <c r="H3532">
        <f>VLOOKUP(C3532,Магазин!$A$2:$C$1000,2,0)</f>
        <v/>
      </c>
      <c r="I3532">
        <f>VLOOKUP(D3532,Товар!$A$2:$F$1000,3,0)</f>
        <v/>
      </c>
      <c r="J3532">
        <f>VLOOKUP(D3532,Товар!$A$2:$F$1000,5,0)</f>
        <v/>
      </c>
      <c r="K3532">
        <f>IF(AND(H3532="Промышленный",LEFT(I3532,18)="Порошок стиральный",F3532="Продажа",B3532=DATE(2023,6,7)),E3532*J3532/1000,0)</f>
        <v/>
      </c>
    </row>
    <row r="3533">
      <c r="A3533" t="n">
        <v>3532</v>
      </c>
      <c r="B3533" s="1" t="n">
        <v>45091</v>
      </c>
      <c r="C3533" s="5" t="inlineStr">
        <is>
          <t>M7</t>
        </is>
      </c>
      <c r="D3533" s="5" t="n">
        <v>4</v>
      </c>
      <c r="E3533" s="5" t="n">
        <v>276</v>
      </c>
      <c r="F3533" t="inlineStr">
        <is>
          <t>Продажа</t>
        </is>
      </c>
      <c r="H3533">
        <f>VLOOKUP(C3533,Магазин!$A$2:$C$1000,2,0)</f>
        <v/>
      </c>
      <c r="I3533">
        <f>VLOOKUP(D3533,Товар!$A$2:$F$1000,3,0)</f>
        <v/>
      </c>
      <c r="J3533">
        <f>VLOOKUP(D3533,Товар!$A$2:$F$1000,5,0)</f>
        <v/>
      </c>
      <c r="K3533">
        <f>IF(AND(H3533="Промышленный",LEFT(I3533,18)="Порошок стиральный",F3533="Продажа",B3533=DATE(2023,6,7)),E3533*J3533/1000,0)</f>
        <v/>
      </c>
    </row>
    <row r="3534">
      <c r="A3534" t="n">
        <v>3533</v>
      </c>
      <c r="B3534" s="1" t="n">
        <v>45091</v>
      </c>
      <c r="C3534" s="5" t="inlineStr">
        <is>
          <t>M7</t>
        </is>
      </c>
      <c r="D3534" s="5" t="n">
        <v>5</v>
      </c>
      <c r="E3534" s="5" t="n">
        <v>248</v>
      </c>
      <c r="F3534" t="inlineStr">
        <is>
          <t>Продажа</t>
        </is>
      </c>
      <c r="H3534">
        <f>VLOOKUP(C3534,Магазин!$A$2:$C$1000,2,0)</f>
        <v/>
      </c>
      <c r="I3534">
        <f>VLOOKUP(D3534,Товар!$A$2:$F$1000,3,0)</f>
        <v/>
      </c>
      <c r="J3534">
        <f>VLOOKUP(D3534,Товар!$A$2:$F$1000,5,0)</f>
        <v/>
      </c>
      <c r="K3534">
        <f>IF(AND(H3534="Промышленный",LEFT(I3534,18)="Порошок стиральный",F3534="Продажа",B3534=DATE(2023,6,7)),E3534*J3534/1000,0)</f>
        <v/>
      </c>
    </row>
    <row r="3535">
      <c r="A3535" t="n">
        <v>3534</v>
      </c>
      <c r="B3535" s="1" t="n">
        <v>45091</v>
      </c>
      <c r="C3535" s="5" t="inlineStr">
        <is>
          <t>M7</t>
        </is>
      </c>
      <c r="D3535" s="5" t="n">
        <v>6</v>
      </c>
      <c r="E3535" s="5" t="n">
        <v>249</v>
      </c>
      <c r="F3535" t="inlineStr">
        <is>
          <t>Продажа</t>
        </is>
      </c>
      <c r="H3535">
        <f>VLOOKUP(C3535,Магазин!$A$2:$C$1000,2,0)</f>
        <v/>
      </c>
      <c r="I3535">
        <f>VLOOKUP(D3535,Товар!$A$2:$F$1000,3,0)</f>
        <v/>
      </c>
      <c r="J3535">
        <f>VLOOKUP(D3535,Товар!$A$2:$F$1000,5,0)</f>
        <v/>
      </c>
      <c r="K3535">
        <f>IF(AND(H3535="Промышленный",LEFT(I3535,18)="Порошок стиральный",F3535="Продажа",B3535=DATE(2023,6,7)),E3535*J3535/1000,0)</f>
        <v/>
      </c>
    </row>
    <row r="3536">
      <c r="A3536" t="n">
        <v>3535</v>
      </c>
      <c r="B3536" s="1" t="n">
        <v>45091</v>
      </c>
      <c r="C3536" s="5" t="inlineStr">
        <is>
          <t>M7</t>
        </is>
      </c>
      <c r="D3536" s="5" t="n">
        <v>7</v>
      </c>
      <c r="E3536" s="5" t="n">
        <v>234</v>
      </c>
      <c r="F3536" t="inlineStr">
        <is>
          <t>Продажа</t>
        </is>
      </c>
      <c r="H3536">
        <f>VLOOKUP(C3536,Магазин!$A$2:$C$1000,2,0)</f>
        <v/>
      </c>
      <c r="I3536">
        <f>VLOOKUP(D3536,Товар!$A$2:$F$1000,3,0)</f>
        <v/>
      </c>
      <c r="J3536">
        <f>VLOOKUP(D3536,Товар!$A$2:$F$1000,5,0)</f>
        <v/>
      </c>
      <c r="K3536">
        <f>IF(AND(H3536="Промышленный",LEFT(I3536,18)="Порошок стиральный",F3536="Продажа",B3536=DATE(2023,6,7)),E3536*J3536/1000,0)</f>
        <v/>
      </c>
    </row>
    <row r="3537">
      <c r="A3537" t="n">
        <v>3536</v>
      </c>
      <c r="B3537" s="1" t="n">
        <v>45091</v>
      </c>
      <c r="C3537" s="5" t="inlineStr">
        <is>
          <t>M7</t>
        </is>
      </c>
      <c r="D3537" s="5" t="n">
        <v>8</v>
      </c>
      <c r="E3537" s="5" t="n">
        <v>238</v>
      </c>
      <c r="F3537" t="inlineStr">
        <is>
          <t>Продажа</t>
        </is>
      </c>
      <c r="H3537">
        <f>VLOOKUP(C3537,Магазин!$A$2:$C$1000,2,0)</f>
        <v/>
      </c>
      <c r="I3537">
        <f>VLOOKUP(D3537,Товар!$A$2:$F$1000,3,0)</f>
        <v/>
      </c>
      <c r="J3537">
        <f>VLOOKUP(D3537,Товар!$A$2:$F$1000,5,0)</f>
        <v/>
      </c>
      <c r="K3537">
        <f>IF(AND(H3537="Промышленный",LEFT(I3537,18)="Порошок стиральный",F3537="Продажа",B3537=DATE(2023,6,7)),E3537*J3537/1000,0)</f>
        <v/>
      </c>
    </row>
    <row r="3538">
      <c r="A3538" t="n">
        <v>3537</v>
      </c>
      <c r="B3538" s="1" t="n">
        <v>45091</v>
      </c>
      <c r="C3538" s="5" t="inlineStr">
        <is>
          <t>M7</t>
        </is>
      </c>
      <c r="D3538" s="5" t="n">
        <v>9</v>
      </c>
      <c r="E3538" s="5" t="n">
        <v>295</v>
      </c>
      <c r="F3538" t="inlineStr">
        <is>
          <t>Продажа</t>
        </is>
      </c>
      <c r="H3538">
        <f>VLOOKUP(C3538,Магазин!$A$2:$C$1000,2,0)</f>
        <v/>
      </c>
      <c r="I3538">
        <f>VLOOKUP(D3538,Товар!$A$2:$F$1000,3,0)</f>
        <v/>
      </c>
      <c r="J3538">
        <f>VLOOKUP(D3538,Товар!$A$2:$F$1000,5,0)</f>
        <v/>
      </c>
      <c r="K3538">
        <f>IF(AND(H3538="Промышленный",LEFT(I3538,18)="Порошок стиральный",F3538="Продажа",B3538=DATE(2023,6,7)),E3538*J3538/1000,0)</f>
        <v/>
      </c>
    </row>
    <row r="3539">
      <c r="A3539" t="n">
        <v>3538</v>
      </c>
      <c r="B3539" s="1" t="n">
        <v>45091</v>
      </c>
      <c r="C3539" s="5" t="inlineStr">
        <is>
          <t>M7</t>
        </is>
      </c>
      <c r="D3539" s="5" t="n">
        <v>10</v>
      </c>
      <c r="E3539" s="5" t="n">
        <v>211</v>
      </c>
      <c r="F3539" t="inlineStr">
        <is>
          <t>Продажа</t>
        </is>
      </c>
      <c r="H3539">
        <f>VLOOKUP(C3539,Магазин!$A$2:$C$1000,2,0)</f>
        <v/>
      </c>
      <c r="I3539">
        <f>VLOOKUP(D3539,Товар!$A$2:$F$1000,3,0)</f>
        <v/>
      </c>
      <c r="J3539">
        <f>VLOOKUP(D3539,Товар!$A$2:$F$1000,5,0)</f>
        <v/>
      </c>
      <c r="K3539">
        <f>IF(AND(H3539="Промышленный",LEFT(I3539,18)="Порошок стиральный",F3539="Продажа",B3539=DATE(2023,6,7)),E3539*J3539/1000,0)</f>
        <v/>
      </c>
    </row>
    <row r="3540">
      <c r="A3540" t="n">
        <v>3539</v>
      </c>
      <c r="B3540" s="1" t="n">
        <v>45091</v>
      </c>
      <c r="C3540" s="5" t="inlineStr">
        <is>
          <t>M7</t>
        </is>
      </c>
      <c r="D3540" s="5" t="n">
        <v>11</v>
      </c>
      <c r="E3540" s="5" t="n">
        <v>233</v>
      </c>
      <c r="F3540" t="inlineStr">
        <is>
          <t>Продажа</t>
        </is>
      </c>
      <c r="H3540">
        <f>VLOOKUP(C3540,Магазин!$A$2:$C$1000,2,0)</f>
        <v/>
      </c>
      <c r="I3540">
        <f>VLOOKUP(D3540,Товар!$A$2:$F$1000,3,0)</f>
        <v/>
      </c>
      <c r="J3540">
        <f>VLOOKUP(D3540,Товар!$A$2:$F$1000,5,0)</f>
        <v/>
      </c>
      <c r="K3540">
        <f>IF(AND(H3540="Промышленный",LEFT(I3540,18)="Порошок стиральный",F3540="Продажа",B3540=DATE(2023,6,7)),E3540*J3540/1000,0)</f>
        <v/>
      </c>
    </row>
    <row r="3541">
      <c r="A3541" t="n">
        <v>3540</v>
      </c>
      <c r="B3541" s="1" t="n">
        <v>45091</v>
      </c>
      <c r="C3541" s="5" t="inlineStr">
        <is>
          <t>M7</t>
        </is>
      </c>
      <c r="D3541" s="5" t="n">
        <v>12</v>
      </c>
      <c r="E3541" s="5" t="n">
        <v>244</v>
      </c>
      <c r="F3541" t="inlineStr">
        <is>
          <t>Продажа</t>
        </is>
      </c>
      <c r="H3541">
        <f>VLOOKUP(C3541,Магазин!$A$2:$C$1000,2,0)</f>
        <v/>
      </c>
      <c r="I3541">
        <f>VLOOKUP(D3541,Товар!$A$2:$F$1000,3,0)</f>
        <v/>
      </c>
      <c r="J3541">
        <f>VLOOKUP(D3541,Товар!$A$2:$F$1000,5,0)</f>
        <v/>
      </c>
      <c r="K3541">
        <f>IF(AND(H3541="Промышленный",LEFT(I3541,18)="Порошок стиральный",F3541="Продажа",B3541=DATE(2023,6,7)),E3541*J3541/1000,0)</f>
        <v/>
      </c>
    </row>
    <row r="3542">
      <c r="A3542" t="n">
        <v>3541</v>
      </c>
      <c r="B3542" s="1" t="n">
        <v>45091</v>
      </c>
      <c r="C3542" s="5" t="inlineStr">
        <is>
          <t>M7</t>
        </is>
      </c>
      <c r="D3542" s="5" t="n">
        <v>13</v>
      </c>
      <c r="E3542" s="5" t="n">
        <v>255</v>
      </c>
      <c r="F3542" t="inlineStr">
        <is>
          <t>Продажа</t>
        </is>
      </c>
      <c r="H3542">
        <f>VLOOKUP(C3542,Магазин!$A$2:$C$1000,2,0)</f>
        <v/>
      </c>
      <c r="I3542">
        <f>VLOOKUP(D3542,Товар!$A$2:$F$1000,3,0)</f>
        <v/>
      </c>
      <c r="J3542">
        <f>VLOOKUP(D3542,Товар!$A$2:$F$1000,5,0)</f>
        <v/>
      </c>
      <c r="K3542">
        <f>IF(AND(H3542="Промышленный",LEFT(I3542,18)="Порошок стиральный",F3542="Продажа",B3542=DATE(2023,6,7)),E3542*J3542/1000,0)</f>
        <v/>
      </c>
    </row>
    <row r="3543">
      <c r="A3543" t="n">
        <v>3542</v>
      </c>
      <c r="B3543" s="1" t="n">
        <v>45091</v>
      </c>
      <c r="C3543" s="5" t="inlineStr">
        <is>
          <t>M7</t>
        </is>
      </c>
      <c r="D3543" s="5" t="n">
        <v>14</v>
      </c>
      <c r="E3543" s="5" t="n">
        <v>266</v>
      </c>
      <c r="F3543" t="inlineStr">
        <is>
          <t>Продажа</t>
        </is>
      </c>
      <c r="H3543">
        <f>VLOOKUP(C3543,Магазин!$A$2:$C$1000,2,0)</f>
        <v/>
      </c>
      <c r="I3543">
        <f>VLOOKUP(D3543,Товар!$A$2:$F$1000,3,0)</f>
        <v/>
      </c>
      <c r="J3543">
        <f>VLOOKUP(D3543,Товар!$A$2:$F$1000,5,0)</f>
        <v/>
      </c>
      <c r="K3543">
        <f>IF(AND(H3543="Промышленный",LEFT(I3543,18)="Порошок стиральный",F3543="Продажа",B3543=DATE(2023,6,7)),E3543*J3543/1000,0)</f>
        <v/>
      </c>
    </row>
    <row r="3544">
      <c r="A3544" t="n">
        <v>3543</v>
      </c>
      <c r="B3544" s="1" t="n">
        <v>45091</v>
      </c>
      <c r="C3544" s="5" t="inlineStr">
        <is>
          <t>M7</t>
        </is>
      </c>
      <c r="D3544" s="5" t="n">
        <v>15</v>
      </c>
      <c r="E3544" s="5" t="n">
        <v>277</v>
      </c>
      <c r="F3544" t="inlineStr">
        <is>
          <t>Продажа</t>
        </is>
      </c>
      <c r="H3544">
        <f>VLOOKUP(C3544,Магазин!$A$2:$C$1000,2,0)</f>
        <v/>
      </c>
      <c r="I3544">
        <f>VLOOKUP(D3544,Товар!$A$2:$F$1000,3,0)</f>
        <v/>
      </c>
      <c r="J3544">
        <f>VLOOKUP(D3544,Товар!$A$2:$F$1000,5,0)</f>
        <v/>
      </c>
      <c r="K3544">
        <f>IF(AND(H3544="Промышленный",LEFT(I3544,18)="Порошок стиральный",F3544="Продажа",B3544=DATE(2023,6,7)),E3544*J3544/1000,0)</f>
        <v/>
      </c>
    </row>
    <row r="3545">
      <c r="A3545" t="n">
        <v>3544</v>
      </c>
      <c r="B3545" s="1" t="n">
        <v>45091</v>
      </c>
      <c r="C3545" s="5" t="inlineStr">
        <is>
          <t>M7</t>
        </is>
      </c>
      <c r="D3545" s="5" t="n">
        <v>16</v>
      </c>
      <c r="E3545" s="5" t="n">
        <v>288</v>
      </c>
      <c r="F3545" t="inlineStr">
        <is>
          <t>Продажа</t>
        </is>
      </c>
      <c r="H3545">
        <f>VLOOKUP(C3545,Магазин!$A$2:$C$1000,2,0)</f>
        <v/>
      </c>
      <c r="I3545">
        <f>VLOOKUP(D3545,Товар!$A$2:$F$1000,3,0)</f>
        <v/>
      </c>
      <c r="J3545">
        <f>VLOOKUP(D3545,Товар!$A$2:$F$1000,5,0)</f>
        <v/>
      </c>
      <c r="K3545">
        <f>IF(AND(H3545="Промышленный",LEFT(I3545,18)="Порошок стиральный",F3545="Продажа",B3545=DATE(2023,6,7)),E3545*J3545/1000,0)</f>
        <v/>
      </c>
    </row>
    <row r="3546">
      <c r="A3546" t="n">
        <v>3545</v>
      </c>
      <c r="B3546" s="1" t="n">
        <v>45091</v>
      </c>
      <c r="C3546" s="5" t="inlineStr">
        <is>
          <t>M7</t>
        </is>
      </c>
      <c r="D3546" s="5" t="n">
        <v>17</v>
      </c>
      <c r="E3546" s="5" t="n">
        <v>299</v>
      </c>
      <c r="F3546" t="inlineStr">
        <is>
          <t>Продажа</t>
        </is>
      </c>
      <c r="H3546">
        <f>VLOOKUP(C3546,Магазин!$A$2:$C$1000,2,0)</f>
        <v/>
      </c>
      <c r="I3546">
        <f>VLOOKUP(D3546,Товар!$A$2:$F$1000,3,0)</f>
        <v/>
      </c>
      <c r="J3546">
        <f>VLOOKUP(D3546,Товар!$A$2:$F$1000,5,0)</f>
        <v/>
      </c>
      <c r="K3546">
        <f>IF(AND(H3546="Промышленный",LEFT(I3546,18)="Порошок стиральный",F3546="Продажа",B3546=DATE(2023,6,7)),E3546*J3546/1000,0)</f>
        <v/>
      </c>
    </row>
    <row r="3547">
      <c r="A3547" t="n">
        <v>3546</v>
      </c>
      <c r="B3547" s="1" t="n">
        <v>45091</v>
      </c>
      <c r="C3547" s="5" t="inlineStr">
        <is>
          <t>M7</t>
        </is>
      </c>
      <c r="D3547" s="5" t="n">
        <v>18</v>
      </c>
      <c r="E3547" s="5" t="n">
        <v>201</v>
      </c>
      <c r="F3547" t="inlineStr">
        <is>
          <t>Продажа</t>
        </is>
      </c>
      <c r="H3547">
        <f>VLOOKUP(C3547,Магазин!$A$2:$C$1000,2,0)</f>
        <v/>
      </c>
      <c r="I3547">
        <f>VLOOKUP(D3547,Товар!$A$2:$F$1000,3,0)</f>
        <v/>
      </c>
      <c r="J3547">
        <f>VLOOKUP(D3547,Товар!$A$2:$F$1000,5,0)</f>
        <v/>
      </c>
      <c r="K3547">
        <f>IF(AND(H3547="Промышленный",LEFT(I3547,18)="Порошок стиральный",F3547="Продажа",B3547=DATE(2023,6,7)),E3547*J3547/1000,0)</f>
        <v/>
      </c>
    </row>
    <row r="3548">
      <c r="A3548" t="n">
        <v>3547</v>
      </c>
      <c r="B3548" s="1" t="n">
        <v>45091</v>
      </c>
      <c r="C3548" s="5" t="inlineStr">
        <is>
          <t>M7</t>
        </is>
      </c>
      <c r="D3548" s="5" t="n">
        <v>19</v>
      </c>
      <c r="E3548" s="5" t="n">
        <v>205</v>
      </c>
      <c r="F3548" t="inlineStr">
        <is>
          <t>Продажа</t>
        </is>
      </c>
      <c r="H3548">
        <f>VLOOKUP(C3548,Магазин!$A$2:$C$1000,2,0)</f>
        <v/>
      </c>
      <c r="I3548">
        <f>VLOOKUP(D3548,Товар!$A$2:$F$1000,3,0)</f>
        <v/>
      </c>
      <c r="J3548">
        <f>VLOOKUP(D3548,Товар!$A$2:$F$1000,5,0)</f>
        <v/>
      </c>
      <c r="K3548">
        <f>IF(AND(H3548="Промышленный",LEFT(I3548,18)="Порошок стиральный",F3548="Продажа",B3548=DATE(2023,6,7)),E3548*J3548/1000,0)</f>
        <v/>
      </c>
    </row>
    <row r="3549">
      <c r="A3549" t="n">
        <v>3548</v>
      </c>
      <c r="B3549" s="1" t="n">
        <v>45091</v>
      </c>
      <c r="C3549" s="5" t="inlineStr">
        <is>
          <t>M7</t>
        </is>
      </c>
      <c r="D3549" s="5" t="n">
        <v>20</v>
      </c>
      <c r="E3549" s="5" t="n">
        <v>357</v>
      </c>
      <c r="F3549" t="inlineStr">
        <is>
          <t>Продажа</t>
        </is>
      </c>
      <c r="H3549">
        <f>VLOOKUP(C3549,Магазин!$A$2:$C$1000,2,0)</f>
        <v/>
      </c>
      <c r="I3549">
        <f>VLOOKUP(D3549,Товар!$A$2:$F$1000,3,0)</f>
        <v/>
      </c>
      <c r="J3549">
        <f>VLOOKUP(D3549,Товар!$A$2:$F$1000,5,0)</f>
        <v/>
      </c>
      <c r="K3549">
        <f>IF(AND(H3549="Промышленный",LEFT(I3549,18)="Порошок стиральный",F3549="Продажа",B3549=DATE(2023,6,7)),E3549*J3549/1000,0)</f>
        <v/>
      </c>
    </row>
    <row r="3550">
      <c r="A3550" t="n">
        <v>3549</v>
      </c>
      <c r="B3550" s="1" t="n">
        <v>45091</v>
      </c>
      <c r="C3550" s="5" t="inlineStr">
        <is>
          <t>M7</t>
        </is>
      </c>
      <c r="D3550" s="5" t="n">
        <v>21</v>
      </c>
      <c r="E3550" s="5" t="n">
        <v>268</v>
      </c>
      <c r="F3550" t="inlineStr">
        <is>
          <t>Продажа</t>
        </is>
      </c>
      <c r="H3550">
        <f>VLOOKUP(C3550,Магазин!$A$2:$C$1000,2,0)</f>
        <v/>
      </c>
      <c r="I3550">
        <f>VLOOKUP(D3550,Товар!$A$2:$F$1000,3,0)</f>
        <v/>
      </c>
      <c r="J3550">
        <f>VLOOKUP(D3550,Товар!$A$2:$F$1000,5,0)</f>
        <v/>
      </c>
      <c r="K3550">
        <f>IF(AND(H3550="Промышленный",LEFT(I3550,18)="Порошок стиральный",F3550="Продажа",B3550=DATE(2023,6,7)),E3550*J3550/1000,0)</f>
        <v/>
      </c>
    </row>
    <row r="3551">
      <c r="A3551" t="n">
        <v>3550</v>
      </c>
      <c r="B3551" s="1" t="n">
        <v>45091</v>
      </c>
      <c r="C3551" s="5" t="inlineStr">
        <is>
          <t>M7</t>
        </is>
      </c>
      <c r="D3551" s="5" t="n">
        <v>22</v>
      </c>
      <c r="E3551" s="5" t="n">
        <v>279</v>
      </c>
      <c r="F3551" t="inlineStr">
        <is>
          <t>Продажа</t>
        </is>
      </c>
      <c r="H3551">
        <f>VLOOKUP(C3551,Магазин!$A$2:$C$1000,2,0)</f>
        <v/>
      </c>
      <c r="I3551">
        <f>VLOOKUP(D3551,Товар!$A$2:$F$1000,3,0)</f>
        <v/>
      </c>
      <c r="J3551">
        <f>VLOOKUP(D3551,Товар!$A$2:$F$1000,5,0)</f>
        <v/>
      </c>
      <c r="K3551">
        <f>IF(AND(H3551="Промышленный",LEFT(I3551,18)="Порошок стиральный",F3551="Продажа",B3551=DATE(2023,6,7)),E3551*J3551/1000,0)</f>
        <v/>
      </c>
    </row>
    <row r="3552">
      <c r="A3552" t="n">
        <v>3551</v>
      </c>
      <c r="B3552" s="1" t="n">
        <v>45091</v>
      </c>
      <c r="C3552" s="5" t="inlineStr">
        <is>
          <t>M7</t>
        </is>
      </c>
      <c r="D3552" s="5" t="n">
        <v>23</v>
      </c>
      <c r="E3552" s="5" t="n">
        <v>281</v>
      </c>
      <c r="F3552" t="inlineStr">
        <is>
          <t>Продажа</t>
        </is>
      </c>
      <c r="H3552">
        <f>VLOOKUP(C3552,Магазин!$A$2:$C$1000,2,0)</f>
        <v/>
      </c>
      <c r="I3552">
        <f>VLOOKUP(D3552,Товар!$A$2:$F$1000,3,0)</f>
        <v/>
      </c>
      <c r="J3552">
        <f>VLOOKUP(D3552,Товар!$A$2:$F$1000,5,0)</f>
        <v/>
      </c>
      <c r="K3552">
        <f>IF(AND(H3552="Промышленный",LEFT(I3552,18)="Порошок стиральный",F3552="Продажа",B3552=DATE(2023,6,7)),E3552*J3552/1000,0)</f>
        <v/>
      </c>
    </row>
    <row r="3553">
      <c r="A3553" t="n">
        <v>3552</v>
      </c>
      <c r="B3553" s="1" t="n">
        <v>45091</v>
      </c>
      <c r="C3553" s="5" t="inlineStr">
        <is>
          <t>M7</t>
        </is>
      </c>
      <c r="D3553" s="5" t="n">
        <v>24</v>
      </c>
      <c r="E3553" s="5" t="n">
        <v>292</v>
      </c>
      <c r="F3553" t="inlineStr">
        <is>
          <t>Продажа</t>
        </is>
      </c>
      <c r="H3553">
        <f>VLOOKUP(C3553,Магазин!$A$2:$C$1000,2,0)</f>
        <v/>
      </c>
      <c r="I3553">
        <f>VLOOKUP(D3553,Товар!$A$2:$F$1000,3,0)</f>
        <v/>
      </c>
      <c r="J3553">
        <f>VLOOKUP(D3553,Товар!$A$2:$F$1000,5,0)</f>
        <v/>
      </c>
      <c r="K3553">
        <f>IF(AND(H3553="Промышленный",LEFT(I3553,18)="Порошок стиральный",F3553="Продажа",B3553=DATE(2023,6,7)),E3553*J3553/1000,0)</f>
        <v/>
      </c>
    </row>
    <row r="3554">
      <c r="A3554" t="n">
        <v>3553</v>
      </c>
      <c r="B3554" s="1" t="n">
        <v>45091</v>
      </c>
      <c r="C3554" s="5" t="inlineStr">
        <is>
          <t>M7</t>
        </is>
      </c>
      <c r="D3554" s="5" t="n">
        <v>25</v>
      </c>
      <c r="E3554" s="5" t="n">
        <v>203</v>
      </c>
      <c r="F3554" t="inlineStr">
        <is>
          <t>Продажа</t>
        </is>
      </c>
      <c r="H3554">
        <f>VLOOKUP(C3554,Магазин!$A$2:$C$1000,2,0)</f>
        <v/>
      </c>
      <c r="I3554">
        <f>VLOOKUP(D3554,Товар!$A$2:$F$1000,3,0)</f>
        <v/>
      </c>
      <c r="J3554">
        <f>VLOOKUP(D3554,Товар!$A$2:$F$1000,5,0)</f>
        <v/>
      </c>
      <c r="K3554">
        <f>IF(AND(H3554="Промышленный",LEFT(I3554,18)="Порошок стиральный",F3554="Продажа",B3554=DATE(2023,6,7)),E3554*J3554/1000,0)</f>
        <v/>
      </c>
    </row>
    <row r="3555">
      <c r="A3555" t="n">
        <v>3554</v>
      </c>
      <c r="B3555" s="1" t="n">
        <v>45091</v>
      </c>
      <c r="C3555" s="5" t="inlineStr">
        <is>
          <t>M7</t>
        </is>
      </c>
      <c r="D3555" s="5" t="n">
        <v>26</v>
      </c>
      <c r="E3555" s="5" t="n">
        <v>214</v>
      </c>
      <c r="F3555" t="inlineStr">
        <is>
          <t>Продажа</t>
        </is>
      </c>
      <c r="H3555">
        <f>VLOOKUP(C3555,Магазин!$A$2:$C$1000,2,0)</f>
        <v/>
      </c>
      <c r="I3555">
        <f>VLOOKUP(D3555,Товар!$A$2:$F$1000,3,0)</f>
        <v/>
      </c>
      <c r="J3555">
        <f>VLOOKUP(D3555,Товар!$A$2:$F$1000,5,0)</f>
        <v/>
      </c>
      <c r="K3555">
        <f>IF(AND(H3555="Промышленный",LEFT(I3555,18)="Порошок стиральный",F3555="Продажа",B3555=DATE(2023,6,7)),E3555*J3555/1000,0)</f>
        <v/>
      </c>
    </row>
    <row r="3556">
      <c r="A3556" t="n">
        <v>3555</v>
      </c>
      <c r="B3556" s="1" t="n">
        <v>45091</v>
      </c>
      <c r="C3556" s="5" t="inlineStr">
        <is>
          <t>M7</t>
        </is>
      </c>
      <c r="D3556" s="5" t="n">
        <v>27</v>
      </c>
      <c r="E3556" s="5" t="n">
        <v>225</v>
      </c>
      <c r="F3556" t="inlineStr">
        <is>
          <t>Продажа</t>
        </is>
      </c>
      <c r="H3556">
        <f>VLOOKUP(C3556,Магазин!$A$2:$C$1000,2,0)</f>
        <v/>
      </c>
      <c r="I3556">
        <f>VLOOKUP(D3556,Товар!$A$2:$F$1000,3,0)</f>
        <v/>
      </c>
      <c r="J3556">
        <f>VLOOKUP(D3556,Товар!$A$2:$F$1000,5,0)</f>
        <v/>
      </c>
      <c r="K3556">
        <f>IF(AND(H3556="Промышленный",LEFT(I3556,18)="Порошок стиральный",F3556="Продажа",B3556=DATE(2023,6,7)),E3556*J3556/1000,0)</f>
        <v/>
      </c>
    </row>
    <row r="3557">
      <c r="A3557" t="n">
        <v>3556</v>
      </c>
      <c r="B3557" s="1" t="n">
        <v>45091</v>
      </c>
      <c r="C3557" s="5" t="inlineStr">
        <is>
          <t>M7</t>
        </is>
      </c>
      <c r="D3557" s="5" t="n">
        <v>28</v>
      </c>
      <c r="E3557" s="5" t="n">
        <v>236</v>
      </c>
      <c r="F3557" t="inlineStr">
        <is>
          <t>Продажа</t>
        </is>
      </c>
      <c r="H3557">
        <f>VLOOKUP(C3557,Магазин!$A$2:$C$1000,2,0)</f>
        <v/>
      </c>
      <c r="I3557">
        <f>VLOOKUP(D3557,Товар!$A$2:$F$1000,3,0)</f>
        <v/>
      </c>
      <c r="J3557">
        <f>VLOOKUP(D3557,Товар!$A$2:$F$1000,5,0)</f>
        <v/>
      </c>
      <c r="K3557">
        <f>IF(AND(H3557="Промышленный",LEFT(I3557,18)="Порошок стиральный",F3557="Продажа",B3557=DATE(2023,6,7)),E3557*J3557/1000,0)</f>
        <v/>
      </c>
    </row>
    <row r="3558">
      <c r="A3558" t="n">
        <v>3557</v>
      </c>
      <c r="B3558" s="1" t="n">
        <v>45091</v>
      </c>
      <c r="C3558" s="5" t="inlineStr">
        <is>
          <t>M7</t>
        </is>
      </c>
      <c r="D3558" s="5" t="n">
        <v>29</v>
      </c>
      <c r="E3558" s="5" t="n">
        <v>247</v>
      </c>
      <c r="F3558" t="inlineStr">
        <is>
          <t>Продажа</t>
        </is>
      </c>
      <c r="H3558">
        <f>VLOOKUP(C3558,Магазин!$A$2:$C$1000,2,0)</f>
        <v/>
      </c>
      <c r="I3558">
        <f>VLOOKUP(D3558,Товар!$A$2:$F$1000,3,0)</f>
        <v/>
      </c>
      <c r="J3558">
        <f>VLOOKUP(D3558,Товар!$A$2:$F$1000,5,0)</f>
        <v/>
      </c>
      <c r="K3558">
        <f>IF(AND(H3558="Промышленный",LEFT(I3558,18)="Порошок стиральный",F3558="Продажа",B3558=DATE(2023,6,7)),E3558*J3558/1000,0)</f>
        <v/>
      </c>
    </row>
    <row r="3559">
      <c r="A3559" t="n">
        <v>3558</v>
      </c>
      <c r="B3559" s="1" t="n">
        <v>45091</v>
      </c>
      <c r="C3559" s="5" t="inlineStr">
        <is>
          <t>M7</t>
        </is>
      </c>
      <c r="D3559" s="5" t="n">
        <v>30</v>
      </c>
      <c r="E3559" s="5" t="n">
        <v>258</v>
      </c>
      <c r="F3559" t="inlineStr">
        <is>
          <t>Продажа</t>
        </is>
      </c>
      <c r="H3559">
        <f>VLOOKUP(C3559,Магазин!$A$2:$C$1000,2,0)</f>
        <v/>
      </c>
      <c r="I3559">
        <f>VLOOKUP(D3559,Товар!$A$2:$F$1000,3,0)</f>
        <v/>
      </c>
      <c r="J3559">
        <f>VLOOKUP(D3559,Товар!$A$2:$F$1000,5,0)</f>
        <v/>
      </c>
      <c r="K3559">
        <f>IF(AND(H3559="Промышленный",LEFT(I3559,18)="Порошок стиральный",F3559="Продажа",B3559=DATE(2023,6,7)),E3559*J3559/1000,0)</f>
        <v/>
      </c>
    </row>
    <row r="3560">
      <c r="A3560" t="n">
        <v>3559</v>
      </c>
      <c r="B3560" s="1" t="n">
        <v>45091</v>
      </c>
      <c r="C3560" s="5" t="inlineStr">
        <is>
          <t>M7</t>
        </is>
      </c>
      <c r="D3560" s="5" t="n">
        <v>31</v>
      </c>
      <c r="E3560" s="5" t="n">
        <v>256</v>
      </c>
      <c r="F3560" t="inlineStr">
        <is>
          <t>Продажа</t>
        </is>
      </c>
      <c r="H3560">
        <f>VLOOKUP(C3560,Магазин!$A$2:$C$1000,2,0)</f>
        <v/>
      </c>
      <c r="I3560">
        <f>VLOOKUP(D3560,Товар!$A$2:$F$1000,3,0)</f>
        <v/>
      </c>
      <c r="J3560">
        <f>VLOOKUP(D3560,Товар!$A$2:$F$1000,5,0)</f>
        <v/>
      </c>
      <c r="K3560">
        <f>IF(AND(H3560="Промышленный",LEFT(I3560,18)="Порошок стиральный",F3560="Продажа",B3560=DATE(2023,6,7)),E3560*J3560/1000,0)</f>
        <v/>
      </c>
    </row>
    <row r="3561">
      <c r="A3561" t="n">
        <v>3560</v>
      </c>
      <c r="B3561" s="1" t="n">
        <v>45091</v>
      </c>
      <c r="C3561" s="5" t="inlineStr">
        <is>
          <t>M7</t>
        </is>
      </c>
      <c r="D3561" s="5" t="n">
        <v>32</v>
      </c>
      <c r="E3561" s="5" t="n">
        <v>269</v>
      </c>
      <c r="F3561" t="inlineStr">
        <is>
          <t>Продажа</t>
        </is>
      </c>
      <c r="H3561">
        <f>VLOOKUP(C3561,Магазин!$A$2:$C$1000,2,0)</f>
        <v/>
      </c>
      <c r="I3561">
        <f>VLOOKUP(D3561,Товар!$A$2:$F$1000,3,0)</f>
        <v/>
      </c>
      <c r="J3561">
        <f>VLOOKUP(D3561,Товар!$A$2:$F$1000,5,0)</f>
        <v/>
      </c>
      <c r="K3561">
        <f>IF(AND(H3561="Промышленный",LEFT(I3561,18)="Порошок стиральный",F3561="Продажа",B3561=DATE(2023,6,7)),E3561*J3561/1000,0)</f>
        <v/>
      </c>
    </row>
    <row r="3562">
      <c r="A3562" t="n">
        <v>3561</v>
      </c>
      <c r="B3562" s="1" t="n">
        <v>45091</v>
      </c>
      <c r="C3562" s="5" t="inlineStr">
        <is>
          <t>M7</t>
        </is>
      </c>
      <c r="D3562" s="5" t="n">
        <v>33</v>
      </c>
      <c r="E3562" s="5" t="n">
        <v>204</v>
      </c>
      <c r="F3562" t="inlineStr">
        <is>
          <t>Продажа</t>
        </is>
      </c>
      <c r="H3562">
        <f>VLOOKUP(C3562,Магазин!$A$2:$C$1000,2,0)</f>
        <v/>
      </c>
      <c r="I3562">
        <f>VLOOKUP(D3562,Товар!$A$2:$F$1000,3,0)</f>
        <v/>
      </c>
      <c r="J3562">
        <f>VLOOKUP(D3562,Товар!$A$2:$F$1000,5,0)</f>
        <v/>
      </c>
      <c r="K3562">
        <f>IF(AND(H3562="Промышленный",LEFT(I3562,18)="Порошок стиральный",F3562="Продажа",B3562=DATE(2023,6,7)),E3562*J3562/1000,0)</f>
        <v/>
      </c>
    </row>
    <row r="3563">
      <c r="A3563" t="n">
        <v>3562</v>
      </c>
      <c r="B3563" s="1" t="n">
        <v>45091</v>
      </c>
      <c r="C3563" s="5" t="inlineStr">
        <is>
          <t>M7</t>
        </is>
      </c>
      <c r="D3563" s="5" t="n">
        <v>34</v>
      </c>
      <c r="E3563" s="5" t="n">
        <v>206</v>
      </c>
      <c r="F3563" t="inlineStr">
        <is>
          <t>Продажа</t>
        </is>
      </c>
      <c r="H3563">
        <f>VLOOKUP(C3563,Магазин!$A$2:$C$1000,2,0)</f>
        <v/>
      </c>
      <c r="I3563">
        <f>VLOOKUP(D3563,Товар!$A$2:$F$1000,3,0)</f>
        <v/>
      </c>
      <c r="J3563">
        <f>VLOOKUP(D3563,Товар!$A$2:$F$1000,5,0)</f>
        <v/>
      </c>
      <c r="K3563">
        <f>IF(AND(H3563="Промышленный",LEFT(I3563,18)="Порошок стиральный",F3563="Продажа",B3563=DATE(2023,6,7)),E3563*J3563/1000,0)</f>
        <v/>
      </c>
    </row>
    <row r="3564">
      <c r="A3564" t="n">
        <v>3563</v>
      </c>
      <c r="B3564" s="1" t="n">
        <v>45091</v>
      </c>
      <c r="C3564" s="5" t="inlineStr">
        <is>
          <t>M7</t>
        </is>
      </c>
      <c r="D3564" s="5" t="n">
        <v>35</v>
      </c>
      <c r="E3564" s="5" t="n">
        <v>208</v>
      </c>
      <c r="F3564" t="inlineStr">
        <is>
          <t>Продажа</t>
        </is>
      </c>
      <c r="H3564">
        <f>VLOOKUP(C3564,Магазин!$A$2:$C$1000,2,0)</f>
        <v/>
      </c>
      <c r="I3564">
        <f>VLOOKUP(D3564,Товар!$A$2:$F$1000,3,0)</f>
        <v/>
      </c>
      <c r="J3564">
        <f>VLOOKUP(D3564,Товар!$A$2:$F$1000,5,0)</f>
        <v/>
      </c>
      <c r="K3564">
        <f>IF(AND(H3564="Промышленный",LEFT(I3564,18)="Порошок стиральный",F3564="Продажа",B3564=DATE(2023,6,7)),E3564*J3564/1000,0)</f>
        <v/>
      </c>
    </row>
    <row r="3565">
      <c r="A3565" t="n">
        <v>3564</v>
      </c>
      <c r="B3565" s="1" t="n">
        <v>45091</v>
      </c>
      <c r="C3565" s="5" t="inlineStr">
        <is>
          <t>M7</t>
        </is>
      </c>
      <c r="D3565" s="5" t="n">
        <v>36</v>
      </c>
      <c r="E3565" s="5" t="n">
        <v>209</v>
      </c>
      <c r="F3565" t="inlineStr">
        <is>
          <t>Продажа</t>
        </is>
      </c>
      <c r="H3565">
        <f>VLOOKUP(C3565,Магазин!$A$2:$C$1000,2,0)</f>
        <v/>
      </c>
      <c r="I3565">
        <f>VLOOKUP(D3565,Товар!$A$2:$F$1000,3,0)</f>
        <v/>
      </c>
      <c r="J3565">
        <f>VLOOKUP(D3565,Товар!$A$2:$F$1000,5,0)</f>
        <v/>
      </c>
      <c r="K3565">
        <f>IF(AND(H3565="Промышленный",LEFT(I3565,18)="Порошок стиральный",F3565="Продажа",B3565=DATE(2023,6,7)),E3565*J3565/1000,0)</f>
        <v/>
      </c>
    </row>
    <row r="3566">
      <c r="A3566" t="n">
        <v>3565</v>
      </c>
      <c r="B3566" s="1" t="n">
        <v>45091</v>
      </c>
      <c r="C3566" s="5" t="inlineStr">
        <is>
          <t>M8</t>
        </is>
      </c>
      <c r="D3566" s="5" t="n">
        <v>1</v>
      </c>
      <c r="E3566" s="5" t="n">
        <v>299</v>
      </c>
      <c r="F3566" t="inlineStr">
        <is>
          <t>Продажа</t>
        </is>
      </c>
      <c r="H3566">
        <f>VLOOKUP(C3566,Магазин!$A$2:$C$1000,2,0)</f>
        <v/>
      </c>
      <c r="I3566">
        <f>VLOOKUP(D3566,Товар!$A$2:$F$1000,3,0)</f>
        <v/>
      </c>
      <c r="J3566">
        <f>VLOOKUP(D3566,Товар!$A$2:$F$1000,5,0)</f>
        <v/>
      </c>
      <c r="K3566">
        <f>IF(AND(H3566="Промышленный",LEFT(I3566,18)="Порошок стиральный",F3566="Продажа",B3566=DATE(2023,6,7)),E3566*J3566/1000,0)</f>
        <v/>
      </c>
    </row>
    <row r="3567">
      <c r="A3567" t="n">
        <v>3566</v>
      </c>
      <c r="B3567" s="1" t="n">
        <v>45091</v>
      </c>
      <c r="C3567" s="5" t="inlineStr">
        <is>
          <t>M8</t>
        </is>
      </c>
      <c r="D3567" s="5" t="n">
        <v>2</v>
      </c>
      <c r="E3567" s="5" t="n">
        <v>275</v>
      </c>
      <c r="F3567" t="inlineStr">
        <is>
          <t>Продажа</t>
        </is>
      </c>
      <c r="H3567">
        <f>VLOOKUP(C3567,Магазин!$A$2:$C$1000,2,0)</f>
        <v/>
      </c>
      <c r="I3567">
        <f>VLOOKUP(D3567,Товар!$A$2:$F$1000,3,0)</f>
        <v/>
      </c>
      <c r="J3567">
        <f>VLOOKUP(D3567,Товар!$A$2:$F$1000,5,0)</f>
        <v/>
      </c>
      <c r="K3567">
        <f>IF(AND(H3567="Промышленный",LEFT(I3567,18)="Порошок стиральный",F3567="Продажа",B3567=DATE(2023,6,7)),E3567*J3567/1000,0)</f>
        <v/>
      </c>
    </row>
    <row r="3568">
      <c r="A3568" t="n">
        <v>3567</v>
      </c>
      <c r="B3568" s="1" t="n">
        <v>45091</v>
      </c>
      <c r="C3568" s="5" t="inlineStr">
        <is>
          <t>M8</t>
        </is>
      </c>
      <c r="D3568" s="5" t="n">
        <v>3</v>
      </c>
      <c r="E3568" s="5" t="n">
        <v>234</v>
      </c>
      <c r="F3568" t="inlineStr">
        <is>
          <t>Продажа</t>
        </is>
      </c>
      <c r="H3568">
        <f>VLOOKUP(C3568,Магазин!$A$2:$C$1000,2,0)</f>
        <v/>
      </c>
      <c r="I3568">
        <f>VLOOKUP(D3568,Товар!$A$2:$F$1000,3,0)</f>
        <v/>
      </c>
      <c r="J3568">
        <f>VLOOKUP(D3568,Товар!$A$2:$F$1000,5,0)</f>
        <v/>
      </c>
      <c r="K3568">
        <f>IF(AND(H3568="Промышленный",LEFT(I3568,18)="Порошок стиральный",F3568="Продажа",B3568=DATE(2023,6,7)),E3568*J3568/1000,0)</f>
        <v/>
      </c>
    </row>
    <row r="3569">
      <c r="A3569" t="n">
        <v>3568</v>
      </c>
      <c r="B3569" s="1" t="n">
        <v>45091</v>
      </c>
      <c r="C3569" s="5" t="inlineStr">
        <is>
          <t>M8</t>
        </is>
      </c>
      <c r="D3569" s="5" t="n">
        <v>4</v>
      </c>
      <c r="E3569" s="5" t="n">
        <v>228</v>
      </c>
      <c r="F3569" t="inlineStr">
        <is>
          <t>Продажа</t>
        </is>
      </c>
      <c r="H3569">
        <f>VLOOKUP(C3569,Магазин!$A$2:$C$1000,2,0)</f>
        <v/>
      </c>
      <c r="I3569">
        <f>VLOOKUP(D3569,Товар!$A$2:$F$1000,3,0)</f>
        <v/>
      </c>
      <c r="J3569">
        <f>VLOOKUP(D3569,Товар!$A$2:$F$1000,5,0)</f>
        <v/>
      </c>
      <c r="K3569">
        <f>IF(AND(H3569="Промышленный",LEFT(I3569,18)="Порошок стиральный",F3569="Продажа",B3569=DATE(2023,6,7)),E3569*J3569/1000,0)</f>
        <v/>
      </c>
    </row>
    <row r="3570">
      <c r="A3570" t="n">
        <v>3569</v>
      </c>
      <c r="B3570" s="1" t="n">
        <v>45091</v>
      </c>
      <c r="C3570" s="5" t="inlineStr">
        <is>
          <t>M8</t>
        </is>
      </c>
      <c r="D3570" s="5" t="n">
        <v>5</v>
      </c>
      <c r="E3570" s="5" t="n">
        <v>217</v>
      </c>
      <c r="F3570" t="inlineStr">
        <is>
          <t>Продажа</t>
        </is>
      </c>
      <c r="H3570">
        <f>VLOOKUP(C3570,Магазин!$A$2:$C$1000,2,0)</f>
        <v/>
      </c>
      <c r="I3570">
        <f>VLOOKUP(D3570,Товар!$A$2:$F$1000,3,0)</f>
        <v/>
      </c>
      <c r="J3570">
        <f>VLOOKUP(D3570,Товар!$A$2:$F$1000,5,0)</f>
        <v/>
      </c>
      <c r="K3570">
        <f>IF(AND(H3570="Промышленный",LEFT(I3570,18)="Порошок стиральный",F3570="Продажа",B3570=DATE(2023,6,7)),E3570*J3570/1000,0)</f>
        <v/>
      </c>
    </row>
    <row r="3571">
      <c r="A3571" t="n">
        <v>3570</v>
      </c>
      <c r="B3571" s="1" t="n">
        <v>45091</v>
      </c>
      <c r="C3571" s="5" t="inlineStr">
        <is>
          <t>M8</t>
        </is>
      </c>
      <c r="D3571" s="5" t="n">
        <v>6</v>
      </c>
      <c r="E3571" s="5" t="n">
        <v>258</v>
      </c>
      <c r="F3571" t="inlineStr">
        <is>
          <t>Продажа</t>
        </is>
      </c>
      <c r="H3571">
        <f>VLOOKUP(C3571,Магазин!$A$2:$C$1000,2,0)</f>
        <v/>
      </c>
      <c r="I3571">
        <f>VLOOKUP(D3571,Товар!$A$2:$F$1000,3,0)</f>
        <v/>
      </c>
      <c r="J3571">
        <f>VLOOKUP(D3571,Товар!$A$2:$F$1000,5,0)</f>
        <v/>
      </c>
      <c r="K3571">
        <f>IF(AND(H3571="Промышленный",LEFT(I3571,18)="Порошок стиральный",F3571="Продажа",B3571=DATE(2023,6,7)),E3571*J3571/1000,0)</f>
        <v/>
      </c>
    </row>
    <row r="3572">
      <c r="A3572" t="n">
        <v>3571</v>
      </c>
      <c r="B3572" s="1" t="n">
        <v>45091</v>
      </c>
      <c r="C3572" s="5" t="inlineStr">
        <is>
          <t>M8</t>
        </is>
      </c>
      <c r="D3572" s="5" t="n">
        <v>7</v>
      </c>
      <c r="E3572" s="5" t="n">
        <v>199</v>
      </c>
      <c r="F3572" t="inlineStr">
        <is>
          <t>Продажа</t>
        </is>
      </c>
      <c r="H3572">
        <f>VLOOKUP(C3572,Магазин!$A$2:$C$1000,2,0)</f>
        <v/>
      </c>
      <c r="I3572">
        <f>VLOOKUP(D3572,Товар!$A$2:$F$1000,3,0)</f>
        <v/>
      </c>
      <c r="J3572">
        <f>VLOOKUP(D3572,Товар!$A$2:$F$1000,5,0)</f>
        <v/>
      </c>
      <c r="K3572">
        <f>IF(AND(H3572="Промышленный",LEFT(I3572,18)="Порошок стиральный",F3572="Продажа",B3572=DATE(2023,6,7)),E3572*J3572/1000,0)</f>
        <v/>
      </c>
    </row>
    <row r="3573">
      <c r="A3573" t="n">
        <v>3572</v>
      </c>
      <c r="B3573" s="1" t="n">
        <v>45091</v>
      </c>
      <c r="C3573" s="5" t="inlineStr">
        <is>
          <t>M8</t>
        </is>
      </c>
      <c r="D3573" s="5" t="n">
        <v>8</v>
      </c>
      <c r="E3573" s="5" t="n">
        <v>248</v>
      </c>
      <c r="F3573" t="inlineStr">
        <is>
          <t>Продажа</t>
        </is>
      </c>
      <c r="H3573">
        <f>VLOOKUP(C3573,Магазин!$A$2:$C$1000,2,0)</f>
        <v/>
      </c>
      <c r="I3573">
        <f>VLOOKUP(D3573,Товар!$A$2:$F$1000,3,0)</f>
        <v/>
      </c>
      <c r="J3573">
        <f>VLOOKUP(D3573,Товар!$A$2:$F$1000,5,0)</f>
        <v/>
      </c>
      <c r="K3573">
        <f>IF(AND(H3573="Промышленный",LEFT(I3573,18)="Порошок стиральный",F3573="Продажа",B3573=DATE(2023,6,7)),E3573*J3573/1000,0)</f>
        <v/>
      </c>
    </row>
    <row r="3574">
      <c r="A3574" t="n">
        <v>3573</v>
      </c>
      <c r="B3574" s="1" t="n">
        <v>45091</v>
      </c>
      <c r="C3574" s="5" t="inlineStr">
        <is>
          <t>M8</t>
        </is>
      </c>
      <c r="D3574" s="5" t="n">
        <v>9</v>
      </c>
      <c r="E3574" s="5" t="n">
        <v>236</v>
      </c>
      <c r="F3574" t="inlineStr">
        <is>
          <t>Продажа</t>
        </is>
      </c>
      <c r="H3574">
        <f>VLOOKUP(C3574,Магазин!$A$2:$C$1000,2,0)</f>
        <v/>
      </c>
      <c r="I3574">
        <f>VLOOKUP(D3574,Товар!$A$2:$F$1000,3,0)</f>
        <v/>
      </c>
      <c r="J3574">
        <f>VLOOKUP(D3574,Товар!$A$2:$F$1000,5,0)</f>
        <v/>
      </c>
      <c r="K3574">
        <f>IF(AND(H3574="Промышленный",LEFT(I3574,18)="Порошок стиральный",F3574="Продажа",B3574=DATE(2023,6,7)),E3574*J3574/1000,0)</f>
        <v/>
      </c>
    </row>
    <row r="3575">
      <c r="A3575" t="n">
        <v>3574</v>
      </c>
      <c r="B3575" s="1" t="n">
        <v>45091</v>
      </c>
      <c r="C3575" s="5" t="inlineStr">
        <is>
          <t>M8</t>
        </is>
      </c>
      <c r="D3575" s="5" t="n">
        <v>10</v>
      </c>
      <c r="E3575" s="5" t="n">
        <v>287</v>
      </c>
      <c r="F3575" t="inlineStr">
        <is>
          <t>Продажа</t>
        </is>
      </c>
      <c r="H3575">
        <f>VLOOKUP(C3575,Магазин!$A$2:$C$1000,2,0)</f>
        <v/>
      </c>
      <c r="I3575">
        <f>VLOOKUP(D3575,Товар!$A$2:$F$1000,3,0)</f>
        <v/>
      </c>
      <c r="J3575">
        <f>VLOOKUP(D3575,Товар!$A$2:$F$1000,5,0)</f>
        <v/>
      </c>
      <c r="K3575">
        <f>IF(AND(H3575="Промышленный",LEFT(I3575,18)="Порошок стиральный",F3575="Продажа",B3575=DATE(2023,6,7)),E3575*J3575/1000,0)</f>
        <v/>
      </c>
    </row>
    <row r="3576">
      <c r="A3576" t="n">
        <v>3575</v>
      </c>
      <c r="B3576" s="1" t="n">
        <v>45091</v>
      </c>
      <c r="C3576" s="5" t="inlineStr">
        <is>
          <t>M8</t>
        </is>
      </c>
      <c r="D3576" s="5" t="n">
        <v>11</v>
      </c>
      <c r="E3576" s="5" t="n">
        <v>265</v>
      </c>
      <c r="F3576" t="inlineStr">
        <is>
          <t>Продажа</t>
        </is>
      </c>
      <c r="H3576">
        <f>VLOOKUP(C3576,Магазин!$A$2:$C$1000,2,0)</f>
        <v/>
      </c>
      <c r="I3576">
        <f>VLOOKUP(D3576,Товар!$A$2:$F$1000,3,0)</f>
        <v/>
      </c>
      <c r="J3576">
        <f>VLOOKUP(D3576,Товар!$A$2:$F$1000,5,0)</f>
        <v/>
      </c>
      <c r="K3576">
        <f>IF(AND(H3576="Промышленный",LEFT(I3576,18)="Порошок стиральный",F3576="Продажа",B3576=DATE(2023,6,7)),E3576*J3576/1000,0)</f>
        <v/>
      </c>
    </row>
    <row r="3577">
      <c r="A3577" t="n">
        <v>3576</v>
      </c>
      <c r="B3577" s="1" t="n">
        <v>45091</v>
      </c>
      <c r="C3577" s="5" t="inlineStr">
        <is>
          <t>M8</t>
        </is>
      </c>
      <c r="D3577" s="5" t="n">
        <v>12</v>
      </c>
      <c r="E3577" s="5" t="n">
        <v>234</v>
      </c>
      <c r="F3577" t="inlineStr">
        <is>
          <t>Продажа</t>
        </is>
      </c>
      <c r="H3577">
        <f>VLOOKUP(C3577,Магазин!$A$2:$C$1000,2,0)</f>
        <v/>
      </c>
      <c r="I3577">
        <f>VLOOKUP(D3577,Товар!$A$2:$F$1000,3,0)</f>
        <v/>
      </c>
      <c r="J3577">
        <f>VLOOKUP(D3577,Товар!$A$2:$F$1000,5,0)</f>
        <v/>
      </c>
      <c r="K3577">
        <f>IF(AND(H3577="Промышленный",LEFT(I3577,18)="Порошок стиральный",F3577="Продажа",B3577=DATE(2023,6,7)),E3577*J3577/1000,0)</f>
        <v/>
      </c>
    </row>
    <row r="3578">
      <c r="A3578" t="n">
        <v>3577</v>
      </c>
      <c r="B3578" s="1" t="n">
        <v>45091</v>
      </c>
      <c r="C3578" s="5" t="inlineStr">
        <is>
          <t>M8</t>
        </is>
      </c>
      <c r="D3578" s="5" t="n">
        <v>13</v>
      </c>
      <c r="E3578" s="5" t="n">
        <v>258</v>
      </c>
      <c r="F3578" t="inlineStr">
        <is>
          <t>Продажа</t>
        </is>
      </c>
      <c r="H3578">
        <f>VLOOKUP(C3578,Магазин!$A$2:$C$1000,2,0)</f>
        <v/>
      </c>
      <c r="I3578">
        <f>VLOOKUP(D3578,Товар!$A$2:$F$1000,3,0)</f>
        <v/>
      </c>
      <c r="J3578">
        <f>VLOOKUP(D3578,Товар!$A$2:$F$1000,5,0)</f>
        <v/>
      </c>
      <c r="K3578">
        <f>IF(AND(H3578="Промышленный",LEFT(I3578,18)="Порошок стиральный",F3578="Продажа",B3578=DATE(2023,6,7)),E3578*J3578/1000,0)</f>
        <v/>
      </c>
    </row>
    <row r="3579">
      <c r="A3579" t="n">
        <v>3578</v>
      </c>
      <c r="B3579" s="1" t="n">
        <v>45091</v>
      </c>
      <c r="C3579" s="5" t="inlineStr">
        <is>
          <t>M8</t>
        </is>
      </c>
      <c r="D3579" s="5" t="n">
        <v>14</v>
      </c>
      <c r="E3579" s="5" t="n">
        <v>264</v>
      </c>
      <c r="F3579" t="inlineStr">
        <is>
          <t>Продажа</t>
        </is>
      </c>
      <c r="H3579">
        <f>VLOOKUP(C3579,Магазин!$A$2:$C$1000,2,0)</f>
        <v/>
      </c>
      <c r="I3579">
        <f>VLOOKUP(D3579,Товар!$A$2:$F$1000,3,0)</f>
        <v/>
      </c>
      <c r="J3579">
        <f>VLOOKUP(D3579,Товар!$A$2:$F$1000,5,0)</f>
        <v/>
      </c>
      <c r="K3579">
        <f>IF(AND(H3579="Промышленный",LEFT(I3579,18)="Порошок стиральный",F3579="Продажа",B3579=DATE(2023,6,7)),E3579*J3579/1000,0)</f>
        <v/>
      </c>
    </row>
    <row r="3580">
      <c r="A3580" t="n">
        <v>3579</v>
      </c>
      <c r="B3580" s="1" t="n">
        <v>45091</v>
      </c>
      <c r="C3580" s="5" t="inlineStr">
        <is>
          <t>M8</t>
        </is>
      </c>
      <c r="D3580" s="5" t="n">
        <v>15</v>
      </c>
      <c r="E3580" s="5" t="n">
        <v>237</v>
      </c>
      <c r="F3580" t="inlineStr">
        <is>
          <t>Продажа</t>
        </is>
      </c>
      <c r="H3580">
        <f>VLOOKUP(C3580,Магазин!$A$2:$C$1000,2,0)</f>
        <v/>
      </c>
      <c r="I3580">
        <f>VLOOKUP(D3580,Товар!$A$2:$F$1000,3,0)</f>
        <v/>
      </c>
      <c r="J3580">
        <f>VLOOKUP(D3580,Товар!$A$2:$F$1000,5,0)</f>
        <v/>
      </c>
      <c r="K3580">
        <f>IF(AND(H3580="Промышленный",LEFT(I3580,18)="Порошок стиральный",F3580="Продажа",B3580=DATE(2023,6,7)),E3580*J3580/1000,0)</f>
        <v/>
      </c>
    </row>
    <row r="3581">
      <c r="A3581" t="n">
        <v>3580</v>
      </c>
      <c r="B3581" s="1" t="n">
        <v>45091</v>
      </c>
      <c r="C3581" s="5" t="inlineStr">
        <is>
          <t>M8</t>
        </is>
      </c>
      <c r="D3581" s="5" t="n">
        <v>16</v>
      </c>
      <c r="E3581" s="5" t="n">
        <v>218</v>
      </c>
      <c r="F3581" t="inlineStr">
        <is>
          <t>Продажа</t>
        </is>
      </c>
      <c r="H3581">
        <f>VLOOKUP(C3581,Магазин!$A$2:$C$1000,2,0)</f>
        <v/>
      </c>
      <c r="I3581">
        <f>VLOOKUP(D3581,Товар!$A$2:$F$1000,3,0)</f>
        <v/>
      </c>
      <c r="J3581">
        <f>VLOOKUP(D3581,Товар!$A$2:$F$1000,5,0)</f>
        <v/>
      </c>
      <c r="K3581">
        <f>IF(AND(H3581="Промышленный",LEFT(I3581,18)="Порошок стиральный",F3581="Продажа",B3581=DATE(2023,6,7)),E3581*J3581/1000,0)</f>
        <v/>
      </c>
    </row>
    <row r="3582">
      <c r="A3582" t="n">
        <v>3581</v>
      </c>
      <c r="B3582" s="1" t="n">
        <v>45091</v>
      </c>
      <c r="C3582" s="5" t="inlineStr">
        <is>
          <t>M8</t>
        </is>
      </c>
      <c r="D3582" s="5" t="n">
        <v>17</v>
      </c>
      <c r="E3582" s="5" t="n">
        <v>249</v>
      </c>
      <c r="F3582" t="inlineStr">
        <is>
          <t>Продажа</t>
        </is>
      </c>
      <c r="H3582">
        <f>VLOOKUP(C3582,Магазин!$A$2:$C$1000,2,0)</f>
        <v/>
      </c>
      <c r="I3582">
        <f>VLOOKUP(D3582,Товар!$A$2:$F$1000,3,0)</f>
        <v/>
      </c>
      <c r="J3582">
        <f>VLOOKUP(D3582,Товар!$A$2:$F$1000,5,0)</f>
        <v/>
      </c>
      <c r="K3582">
        <f>IF(AND(H3582="Промышленный",LEFT(I3582,18)="Порошок стиральный",F3582="Продажа",B3582=DATE(2023,6,7)),E3582*J3582/1000,0)</f>
        <v/>
      </c>
    </row>
    <row r="3583">
      <c r="A3583" t="n">
        <v>3582</v>
      </c>
      <c r="B3583" s="1" t="n">
        <v>45091</v>
      </c>
      <c r="C3583" s="5" t="inlineStr">
        <is>
          <t>M8</t>
        </is>
      </c>
      <c r="D3583" s="5" t="n">
        <v>18</v>
      </c>
      <c r="E3583" s="5" t="n">
        <v>273</v>
      </c>
      <c r="F3583" t="inlineStr">
        <is>
          <t>Продажа</t>
        </is>
      </c>
      <c r="H3583">
        <f>VLOOKUP(C3583,Магазин!$A$2:$C$1000,2,0)</f>
        <v/>
      </c>
      <c r="I3583">
        <f>VLOOKUP(D3583,Товар!$A$2:$F$1000,3,0)</f>
        <v/>
      </c>
      <c r="J3583">
        <f>VLOOKUP(D3583,Товар!$A$2:$F$1000,5,0)</f>
        <v/>
      </c>
      <c r="K3583">
        <f>IF(AND(H3583="Промышленный",LEFT(I3583,18)="Порошок стиральный",F3583="Продажа",B3583=DATE(2023,6,7)),E3583*J3583/1000,0)</f>
        <v/>
      </c>
    </row>
    <row r="3584">
      <c r="A3584" t="n">
        <v>3583</v>
      </c>
      <c r="B3584" s="1" t="n">
        <v>45091</v>
      </c>
      <c r="C3584" s="5" t="inlineStr">
        <is>
          <t>M8</t>
        </is>
      </c>
      <c r="D3584" s="5" t="n">
        <v>19</v>
      </c>
      <c r="E3584" s="5" t="n">
        <v>284</v>
      </c>
      <c r="F3584" t="inlineStr">
        <is>
          <t>Продажа</t>
        </is>
      </c>
      <c r="H3584">
        <f>VLOOKUP(C3584,Магазин!$A$2:$C$1000,2,0)</f>
        <v/>
      </c>
      <c r="I3584">
        <f>VLOOKUP(D3584,Товар!$A$2:$F$1000,3,0)</f>
        <v/>
      </c>
      <c r="J3584">
        <f>VLOOKUP(D3584,Товар!$A$2:$F$1000,5,0)</f>
        <v/>
      </c>
      <c r="K3584">
        <f>IF(AND(H3584="Промышленный",LEFT(I3584,18)="Порошок стиральный",F3584="Продажа",B3584=DATE(2023,6,7)),E3584*J3584/1000,0)</f>
        <v/>
      </c>
    </row>
    <row r="3585">
      <c r="A3585" t="n">
        <v>3584</v>
      </c>
      <c r="B3585" s="1" t="n">
        <v>45091</v>
      </c>
      <c r="C3585" s="5" t="inlineStr">
        <is>
          <t>M8</t>
        </is>
      </c>
      <c r="D3585" s="5" t="n">
        <v>20</v>
      </c>
      <c r="E3585" s="5" t="n">
        <v>253</v>
      </c>
      <c r="F3585" t="inlineStr">
        <is>
          <t>Продажа</t>
        </is>
      </c>
      <c r="H3585">
        <f>VLOOKUP(C3585,Магазин!$A$2:$C$1000,2,0)</f>
        <v/>
      </c>
      <c r="I3585">
        <f>VLOOKUP(D3585,Товар!$A$2:$F$1000,3,0)</f>
        <v/>
      </c>
      <c r="J3585">
        <f>VLOOKUP(D3585,Товар!$A$2:$F$1000,5,0)</f>
        <v/>
      </c>
      <c r="K3585">
        <f>IF(AND(H3585="Промышленный",LEFT(I3585,18)="Порошок стиральный",F3585="Продажа",B3585=DATE(2023,6,7)),E3585*J3585/1000,0)</f>
        <v/>
      </c>
    </row>
    <row r="3586">
      <c r="A3586" t="n">
        <v>3585</v>
      </c>
      <c r="B3586" s="1" t="n">
        <v>45091</v>
      </c>
      <c r="C3586" s="5" t="inlineStr">
        <is>
          <t>M8</t>
        </is>
      </c>
      <c r="D3586" s="5" t="n">
        <v>21</v>
      </c>
      <c r="E3586" s="5" t="n">
        <v>261</v>
      </c>
      <c r="F3586" t="inlineStr">
        <is>
          <t>Продажа</t>
        </is>
      </c>
      <c r="H3586">
        <f>VLOOKUP(C3586,Магазин!$A$2:$C$1000,2,0)</f>
        <v/>
      </c>
      <c r="I3586">
        <f>VLOOKUP(D3586,Товар!$A$2:$F$1000,3,0)</f>
        <v/>
      </c>
      <c r="J3586">
        <f>VLOOKUP(D3586,Товар!$A$2:$F$1000,5,0)</f>
        <v/>
      </c>
      <c r="K3586">
        <f>IF(AND(H3586="Промышленный",LEFT(I3586,18)="Порошок стиральный",F3586="Продажа",B3586=DATE(2023,6,7)),E3586*J3586/1000,0)</f>
        <v/>
      </c>
    </row>
    <row r="3587">
      <c r="A3587" t="n">
        <v>3586</v>
      </c>
      <c r="B3587" s="1" t="n">
        <v>45091</v>
      </c>
      <c r="C3587" s="5" t="inlineStr">
        <is>
          <t>M8</t>
        </is>
      </c>
      <c r="D3587" s="5" t="n">
        <v>22</v>
      </c>
      <c r="E3587" s="5" t="n">
        <v>276</v>
      </c>
      <c r="F3587" t="inlineStr">
        <is>
          <t>Продажа</t>
        </is>
      </c>
      <c r="H3587">
        <f>VLOOKUP(C3587,Магазин!$A$2:$C$1000,2,0)</f>
        <v/>
      </c>
      <c r="I3587">
        <f>VLOOKUP(D3587,Товар!$A$2:$F$1000,3,0)</f>
        <v/>
      </c>
      <c r="J3587">
        <f>VLOOKUP(D3587,Товар!$A$2:$F$1000,5,0)</f>
        <v/>
      </c>
      <c r="K3587">
        <f>IF(AND(H3587="Промышленный",LEFT(I3587,18)="Порошок стиральный",F3587="Продажа",B3587=DATE(2023,6,7)),E3587*J3587/1000,0)</f>
        <v/>
      </c>
    </row>
    <row r="3588">
      <c r="A3588" t="n">
        <v>3587</v>
      </c>
      <c r="B3588" s="1" t="n">
        <v>45091</v>
      </c>
      <c r="C3588" s="5" t="inlineStr">
        <is>
          <t>M8</t>
        </is>
      </c>
      <c r="D3588" s="5" t="n">
        <v>23</v>
      </c>
      <c r="E3588" s="5" t="n">
        <v>248</v>
      </c>
      <c r="F3588" t="inlineStr">
        <is>
          <t>Продажа</t>
        </is>
      </c>
      <c r="H3588">
        <f>VLOOKUP(C3588,Магазин!$A$2:$C$1000,2,0)</f>
        <v/>
      </c>
      <c r="I3588">
        <f>VLOOKUP(D3588,Товар!$A$2:$F$1000,3,0)</f>
        <v/>
      </c>
      <c r="J3588">
        <f>VLOOKUP(D3588,Товар!$A$2:$F$1000,5,0)</f>
        <v/>
      </c>
      <c r="K3588">
        <f>IF(AND(H3588="Промышленный",LEFT(I3588,18)="Порошок стиральный",F3588="Продажа",B3588=DATE(2023,6,7)),E3588*J3588/1000,0)</f>
        <v/>
      </c>
    </row>
    <row r="3589">
      <c r="A3589" t="n">
        <v>3588</v>
      </c>
      <c r="B3589" s="1" t="n">
        <v>45091</v>
      </c>
      <c r="C3589" s="5" t="inlineStr">
        <is>
          <t>M8</t>
        </is>
      </c>
      <c r="D3589" s="5" t="n">
        <v>24</v>
      </c>
      <c r="E3589" s="5" t="n">
        <v>249</v>
      </c>
      <c r="F3589" t="inlineStr">
        <is>
          <t>Продажа</t>
        </is>
      </c>
      <c r="H3589">
        <f>VLOOKUP(C3589,Магазин!$A$2:$C$1000,2,0)</f>
        <v/>
      </c>
      <c r="I3589">
        <f>VLOOKUP(D3589,Товар!$A$2:$F$1000,3,0)</f>
        <v/>
      </c>
      <c r="J3589">
        <f>VLOOKUP(D3589,Товар!$A$2:$F$1000,5,0)</f>
        <v/>
      </c>
      <c r="K3589">
        <f>IF(AND(H3589="Промышленный",LEFT(I3589,18)="Порошок стиральный",F3589="Продажа",B3589=DATE(2023,6,7)),E3589*J3589/1000,0)</f>
        <v/>
      </c>
    </row>
    <row r="3590">
      <c r="A3590" t="n">
        <v>3589</v>
      </c>
      <c r="B3590" s="1" t="n">
        <v>45091</v>
      </c>
      <c r="C3590" s="5" t="inlineStr">
        <is>
          <t>M8</t>
        </is>
      </c>
      <c r="D3590" s="5" t="n">
        <v>25</v>
      </c>
      <c r="E3590" s="5" t="n">
        <v>234</v>
      </c>
      <c r="F3590" t="inlineStr">
        <is>
          <t>Продажа</t>
        </is>
      </c>
      <c r="H3590">
        <f>VLOOKUP(C3590,Магазин!$A$2:$C$1000,2,0)</f>
        <v/>
      </c>
      <c r="I3590">
        <f>VLOOKUP(D3590,Товар!$A$2:$F$1000,3,0)</f>
        <v/>
      </c>
      <c r="J3590">
        <f>VLOOKUP(D3590,Товар!$A$2:$F$1000,5,0)</f>
        <v/>
      </c>
      <c r="K3590">
        <f>IF(AND(H3590="Промышленный",LEFT(I3590,18)="Порошок стиральный",F3590="Продажа",B3590=DATE(2023,6,7)),E3590*J3590/1000,0)</f>
        <v/>
      </c>
    </row>
    <row r="3591">
      <c r="A3591" t="n">
        <v>3590</v>
      </c>
      <c r="B3591" s="1" t="n">
        <v>45091</v>
      </c>
      <c r="C3591" s="5" t="inlineStr">
        <is>
          <t>M8</t>
        </is>
      </c>
      <c r="D3591" s="5" t="n">
        <v>26</v>
      </c>
      <c r="E3591" s="5" t="n">
        <v>238</v>
      </c>
      <c r="F3591" t="inlineStr">
        <is>
          <t>Продажа</t>
        </is>
      </c>
      <c r="H3591">
        <f>VLOOKUP(C3591,Магазин!$A$2:$C$1000,2,0)</f>
        <v/>
      </c>
      <c r="I3591">
        <f>VLOOKUP(D3591,Товар!$A$2:$F$1000,3,0)</f>
        <v/>
      </c>
      <c r="J3591">
        <f>VLOOKUP(D3591,Товар!$A$2:$F$1000,5,0)</f>
        <v/>
      </c>
      <c r="K3591">
        <f>IF(AND(H3591="Промышленный",LEFT(I3591,18)="Порошок стиральный",F3591="Продажа",B3591=DATE(2023,6,7)),E3591*J3591/1000,0)</f>
        <v/>
      </c>
    </row>
    <row r="3592">
      <c r="A3592" t="n">
        <v>3591</v>
      </c>
      <c r="B3592" s="1" t="n">
        <v>45091</v>
      </c>
      <c r="C3592" s="5" t="inlineStr">
        <is>
          <t>M8</t>
        </is>
      </c>
      <c r="D3592" s="5" t="n">
        <v>27</v>
      </c>
      <c r="E3592" s="5" t="n">
        <v>295</v>
      </c>
      <c r="F3592" t="inlineStr">
        <is>
          <t>Продажа</t>
        </is>
      </c>
      <c r="H3592">
        <f>VLOOKUP(C3592,Магазин!$A$2:$C$1000,2,0)</f>
        <v/>
      </c>
      <c r="I3592">
        <f>VLOOKUP(D3592,Товар!$A$2:$F$1000,3,0)</f>
        <v/>
      </c>
      <c r="J3592">
        <f>VLOOKUP(D3592,Товар!$A$2:$F$1000,5,0)</f>
        <v/>
      </c>
      <c r="K3592">
        <f>IF(AND(H3592="Промышленный",LEFT(I3592,18)="Порошок стиральный",F3592="Продажа",B3592=DATE(2023,6,7)),E3592*J3592/1000,0)</f>
        <v/>
      </c>
    </row>
    <row r="3593">
      <c r="A3593" t="n">
        <v>3592</v>
      </c>
      <c r="B3593" s="1" t="n">
        <v>45091</v>
      </c>
      <c r="C3593" s="5" t="inlineStr">
        <is>
          <t>M8</t>
        </is>
      </c>
      <c r="D3593" s="5" t="n">
        <v>28</v>
      </c>
      <c r="E3593" s="5" t="n">
        <v>211</v>
      </c>
      <c r="F3593" t="inlineStr">
        <is>
          <t>Продажа</t>
        </is>
      </c>
      <c r="H3593">
        <f>VLOOKUP(C3593,Магазин!$A$2:$C$1000,2,0)</f>
        <v/>
      </c>
      <c r="I3593">
        <f>VLOOKUP(D3593,Товар!$A$2:$F$1000,3,0)</f>
        <v/>
      </c>
      <c r="J3593">
        <f>VLOOKUP(D3593,Товар!$A$2:$F$1000,5,0)</f>
        <v/>
      </c>
      <c r="K3593">
        <f>IF(AND(H3593="Промышленный",LEFT(I3593,18)="Порошок стиральный",F3593="Продажа",B3593=DATE(2023,6,7)),E3593*J3593/1000,0)</f>
        <v/>
      </c>
    </row>
    <row r="3594">
      <c r="A3594" t="n">
        <v>3593</v>
      </c>
      <c r="B3594" s="1" t="n">
        <v>45091</v>
      </c>
      <c r="C3594" s="5" t="inlineStr">
        <is>
          <t>M8</t>
        </is>
      </c>
      <c r="D3594" s="5" t="n">
        <v>29</v>
      </c>
      <c r="E3594" s="5" t="n">
        <v>233</v>
      </c>
      <c r="F3594" t="inlineStr">
        <is>
          <t>Продажа</t>
        </is>
      </c>
      <c r="H3594">
        <f>VLOOKUP(C3594,Магазин!$A$2:$C$1000,2,0)</f>
        <v/>
      </c>
      <c r="I3594">
        <f>VLOOKUP(D3594,Товар!$A$2:$F$1000,3,0)</f>
        <v/>
      </c>
      <c r="J3594">
        <f>VLOOKUP(D3594,Товар!$A$2:$F$1000,5,0)</f>
        <v/>
      </c>
      <c r="K3594">
        <f>IF(AND(H3594="Промышленный",LEFT(I3594,18)="Порошок стиральный",F3594="Продажа",B3594=DATE(2023,6,7)),E3594*J3594/1000,0)</f>
        <v/>
      </c>
    </row>
    <row r="3595">
      <c r="A3595" t="n">
        <v>3594</v>
      </c>
      <c r="B3595" s="1" t="n">
        <v>45091</v>
      </c>
      <c r="C3595" s="5" t="inlineStr">
        <is>
          <t>M8</t>
        </is>
      </c>
      <c r="D3595" s="5" t="n">
        <v>30</v>
      </c>
      <c r="E3595" s="5" t="n">
        <v>244</v>
      </c>
      <c r="F3595" t="inlineStr">
        <is>
          <t>Продажа</t>
        </is>
      </c>
      <c r="H3595">
        <f>VLOOKUP(C3595,Магазин!$A$2:$C$1000,2,0)</f>
        <v/>
      </c>
      <c r="I3595">
        <f>VLOOKUP(D3595,Товар!$A$2:$F$1000,3,0)</f>
        <v/>
      </c>
      <c r="J3595">
        <f>VLOOKUP(D3595,Товар!$A$2:$F$1000,5,0)</f>
        <v/>
      </c>
      <c r="K3595">
        <f>IF(AND(H3595="Промышленный",LEFT(I3595,18)="Порошок стиральный",F3595="Продажа",B3595=DATE(2023,6,7)),E3595*J3595/1000,0)</f>
        <v/>
      </c>
    </row>
    <row r="3596">
      <c r="A3596" t="n">
        <v>3595</v>
      </c>
      <c r="B3596" s="1" t="n">
        <v>45091</v>
      </c>
      <c r="C3596" s="5" t="inlineStr">
        <is>
          <t>M8</t>
        </is>
      </c>
      <c r="D3596" s="5" t="n">
        <v>31</v>
      </c>
      <c r="E3596" s="5" t="n">
        <v>255</v>
      </c>
      <c r="F3596" t="inlineStr">
        <is>
          <t>Продажа</t>
        </is>
      </c>
      <c r="H3596">
        <f>VLOOKUP(C3596,Магазин!$A$2:$C$1000,2,0)</f>
        <v/>
      </c>
      <c r="I3596">
        <f>VLOOKUP(D3596,Товар!$A$2:$F$1000,3,0)</f>
        <v/>
      </c>
      <c r="J3596">
        <f>VLOOKUP(D3596,Товар!$A$2:$F$1000,5,0)</f>
        <v/>
      </c>
      <c r="K3596">
        <f>IF(AND(H3596="Промышленный",LEFT(I3596,18)="Порошок стиральный",F3596="Продажа",B3596=DATE(2023,6,7)),E3596*J3596/1000,0)</f>
        <v/>
      </c>
    </row>
    <row r="3597">
      <c r="A3597" t="n">
        <v>3596</v>
      </c>
      <c r="B3597" s="1" t="n">
        <v>45091</v>
      </c>
      <c r="C3597" s="5" t="inlineStr">
        <is>
          <t>M8</t>
        </is>
      </c>
      <c r="D3597" s="5" t="n">
        <v>32</v>
      </c>
      <c r="E3597" s="5" t="n">
        <v>266</v>
      </c>
      <c r="F3597" t="inlineStr">
        <is>
          <t>Продажа</t>
        </is>
      </c>
      <c r="H3597">
        <f>VLOOKUP(C3597,Магазин!$A$2:$C$1000,2,0)</f>
        <v/>
      </c>
      <c r="I3597">
        <f>VLOOKUP(D3597,Товар!$A$2:$F$1000,3,0)</f>
        <v/>
      </c>
      <c r="J3597">
        <f>VLOOKUP(D3597,Товар!$A$2:$F$1000,5,0)</f>
        <v/>
      </c>
      <c r="K3597">
        <f>IF(AND(H3597="Промышленный",LEFT(I3597,18)="Порошок стиральный",F3597="Продажа",B3597=DATE(2023,6,7)),E3597*J3597/1000,0)</f>
        <v/>
      </c>
    </row>
    <row r="3598">
      <c r="A3598" t="n">
        <v>3597</v>
      </c>
      <c r="B3598" s="1" t="n">
        <v>45091</v>
      </c>
      <c r="C3598" s="5" t="inlineStr">
        <is>
          <t>M8</t>
        </is>
      </c>
      <c r="D3598" s="5" t="n">
        <v>33</v>
      </c>
      <c r="E3598" s="5" t="n">
        <v>277</v>
      </c>
      <c r="F3598" t="inlineStr">
        <is>
          <t>Продажа</t>
        </is>
      </c>
      <c r="H3598">
        <f>VLOOKUP(C3598,Магазин!$A$2:$C$1000,2,0)</f>
        <v/>
      </c>
      <c r="I3598">
        <f>VLOOKUP(D3598,Товар!$A$2:$F$1000,3,0)</f>
        <v/>
      </c>
      <c r="J3598">
        <f>VLOOKUP(D3598,Товар!$A$2:$F$1000,5,0)</f>
        <v/>
      </c>
      <c r="K3598">
        <f>IF(AND(H3598="Промышленный",LEFT(I3598,18)="Порошок стиральный",F3598="Продажа",B3598=DATE(2023,6,7)),E3598*J3598/1000,0)</f>
        <v/>
      </c>
    </row>
    <row r="3599">
      <c r="A3599" t="n">
        <v>3598</v>
      </c>
      <c r="B3599" s="1" t="n">
        <v>45091</v>
      </c>
      <c r="C3599" s="5" t="inlineStr">
        <is>
          <t>M8</t>
        </is>
      </c>
      <c r="D3599" s="5" t="n">
        <v>34</v>
      </c>
      <c r="E3599" s="5" t="n">
        <v>288</v>
      </c>
      <c r="F3599" t="inlineStr">
        <is>
          <t>Продажа</t>
        </is>
      </c>
      <c r="H3599">
        <f>VLOOKUP(C3599,Магазин!$A$2:$C$1000,2,0)</f>
        <v/>
      </c>
      <c r="I3599">
        <f>VLOOKUP(D3599,Товар!$A$2:$F$1000,3,0)</f>
        <v/>
      </c>
      <c r="J3599">
        <f>VLOOKUP(D3599,Товар!$A$2:$F$1000,5,0)</f>
        <v/>
      </c>
      <c r="K3599">
        <f>IF(AND(H3599="Промышленный",LEFT(I3599,18)="Порошок стиральный",F3599="Продажа",B3599=DATE(2023,6,7)),E3599*J3599/1000,0)</f>
        <v/>
      </c>
    </row>
    <row r="3600">
      <c r="A3600" t="n">
        <v>3599</v>
      </c>
      <c r="B3600" s="1" t="n">
        <v>45091</v>
      </c>
      <c r="C3600" s="5" t="inlineStr">
        <is>
          <t>M8</t>
        </is>
      </c>
      <c r="D3600" s="5" t="n">
        <v>35</v>
      </c>
      <c r="E3600" s="5" t="n">
        <v>299</v>
      </c>
      <c r="F3600" t="inlineStr">
        <is>
          <t>Продажа</t>
        </is>
      </c>
      <c r="H3600">
        <f>VLOOKUP(C3600,Магазин!$A$2:$C$1000,2,0)</f>
        <v/>
      </c>
      <c r="I3600">
        <f>VLOOKUP(D3600,Товар!$A$2:$F$1000,3,0)</f>
        <v/>
      </c>
      <c r="J3600">
        <f>VLOOKUP(D3600,Товар!$A$2:$F$1000,5,0)</f>
        <v/>
      </c>
      <c r="K3600">
        <f>IF(AND(H3600="Промышленный",LEFT(I3600,18)="Порошок стиральный",F3600="Продажа",B3600=DATE(2023,6,7)),E3600*J3600/1000,0)</f>
        <v/>
      </c>
    </row>
    <row r="3601">
      <c r="A3601" t="n">
        <v>3600</v>
      </c>
      <c r="B3601" s="1" t="n">
        <v>45091</v>
      </c>
      <c r="C3601" s="5" t="inlineStr">
        <is>
          <t>M8</t>
        </is>
      </c>
      <c r="D3601" s="5" t="n">
        <v>36</v>
      </c>
      <c r="E3601" s="5" t="n">
        <v>201</v>
      </c>
      <c r="F3601" t="inlineStr">
        <is>
          <t>Продажа</t>
        </is>
      </c>
      <c r="H3601">
        <f>VLOOKUP(C3601,Магазин!$A$2:$C$1000,2,0)</f>
        <v/>
      </c>
      <c r="I3601">
        <f>VLOOKUP(D3601,Товар!$A$2:$F$1000,3,0)</f>
        <v/>
      </c>
      <c r="J3601">
        <f>VLOOKUP(D3601,Товар!$A$2:$F$1000,5,0)</f>
        <v/>
      </c>
      <c r="K3601">
        <f>IF(AND(H3601="Промышленный",LEFT(I3601,18)="Порошок стиральный",F3601="Продажа",B3601=DATE(2023,6,7)),E3601*J3601/1000,0)</f>
        <v/>
      </c>
    </row>
    <row r="3602">
      <c r="A3602" t="n">
        <v>3601</v>
      </c>
      <c r="B3602" s="1" t="n">
        <v>45091</v>
      </c>
      <c r="C3602" s="5" t="inlineStr">
        <is>
          <t>M12</t>
        </is>
      </c>
      <c r="D3602" s="5" t="n">
        <v>1</v>
      </c>
      <c r="E3602" s="5" t="n">
        <v>205</v>
      </c>
      <c r="F3602" t="inlineStr">
        <is>
          <t>Продажа</t>
        </is>
      </c>
      <c r="H3602">
        <f>VLOOKUP(C3602,Магазин!$A$2:$C$1000,2,0)</f>
        <v/>
      </c>
      <c r="I3602">
        <f>VLOOKUP(D3602,Товар!$A$2:$F$1000,3,0)</f>
        <v/>
      </c>
      <c r="J3602">
        <f>VLOOKUP(D3602,Товар!$A$2:$F$1000,5,0)</f>
        <v/>
      </c>
      <c r="K3602">
        <f>IF(AND(H3602="Промышленный",LEFT(I3602,18)="Порошок стиральный",F3602="Продажа",B3602=DATE(2023,6,7)),E3602*J3602/1000,0)</f>
        <v/>
      </c>
    </row>
    <row r="3603">
      <c r="A3603" t="n">
        <v>3602</v>
      </c>
      <c r="B3603" s="1" t="n">
        <v>45091</v>
      </c>
      <c r="C3603" s="5" t="inlineStr">
        <is>
          <t>M12</t>
        </is>
      </c>
      <c r="D3603" s="5" t="n">
        <v>2</v>
      </c>
      <c r="E3603" s="5" t="n">
        <v>357</v>
      </c>
      <c r="F3603" t="inlineStr">
        <is>
          <t>Продажа</t>
        </is>
      </c>
      <c r="H3603">
        <f>VLOOKUP(C3603,Магазин!$A$2:$C$1000,2,0)</f>
        <v/>
      </c>
      <c r="I3603">
        <f>VLOOKUP(D3603,Товар!$A$2:$F$1000,3,0)</f>
        <v/>
      </c>
      <c r="J3603">
        <f>VLOOKUP(D3603,Товар!$A$2:$F$1000,5,0)</f>
        <v/>
      </c>
      <c r="K3603">
        <f>IF(AND(H3603="Промышленный",LEFT(I3603,18)="Порошок стиральный",F3603="Продажа",B3603=DATE(2023,6,7)),E3603*J3603/1000,0)</f>
        <v/>
      </c>
    </row>
    <row r="3604">
      <c r="A3604" t="n">
        <v>3603</v>
      </c>
      <c r="B3604" s="1" t="n">
        <v>45091</v>
      </c>
      <c r="C3604" s="5" t="inlineStr">
        <is>
          <t>M12</t>
        </is>
      </c>
      <c r="D3604" s="5" t="n">
        <v>3</v>
      </c>
      <c r="E3604" s="5" t="n">
        <v>268</v>
      </c>
      <c r="F3604" t="inlineStr">
        <is>
          <t>Продажа</t>
        </is>
      </c>
      <c r="H3604">
        <f>VLOOKUP(C3604,Магазин!$A$2:$C$1000,2,0)</f>
        <v/>
      </c>
      <c r="I3604">
        <f>VLOOKUP(D3604,Товар!$A$2:$F$1000,3,0)</f>
        <v/>
      </c>
      <c r="J3604">
        <f>VLOOKUP(D3604,Товар!$A$2:$F$1000,5,0)</f>
        <v/>
      </c>
      <c r="K3604">
        <f>IF(AND(H3604="Промышленный",LEFT(I3604,18)="Порошок стиральный",F3604="Продажа",B3604=DATE(2023,6,7)),E3604*J3604/1000,0)</f>
        <v/>
      </c>
    </row>
    <row r="3605">
      <c r="A3605" t="n">
        <v>3604</v>
      </c>
      <c r="B3605" s="1" t="n">
        <v>45091</v>
      </c>
      <c r="C3605" s="5" t="inlineStr">
        <is>
          <t>M12</t>
        </is>
      </c>
      <c r="D3605" s="5" t="n">
        <v>4</v>
      </c>
      <c r="E3605" s="5" t="n">
        <v>279</v>
      </c>
      <c r="F3605" t="inlineStr">
        <is>
          <t>Продажа</t>
        </is>
      </c>
      <c r="H3605">
        <f>VLOOKUP(C3605,Магазин!$A$2:$C$1000,2,0)</f>
        <v/>
      </c>
      <c r="I3605">
        <f>VLOOKUP(D3605,Товар!$A$2:$F$1000,3,0)</f>
        <v/>
      </c>
      <c r="J3605">
        <f>VLOOKUP(D3605,Товар!$A$2:$F$1000,5,0)</f>
        <v/>
      </c>
      <c r="K3605">
        <f>IF(AND(H3605="Промышленный",LEFT(I3605,18)="Порошок стиральный",F3605="Продажа",B3605=DATE(2023,6,7)),E3605*J3605/1000,0)</f>
        <v/>
      </c>
    </row>
    <row r="3606">
      <c r="A3606" t="n">
        <v>3605</v>
      </c>
      <c r="B3606" s="1" t="n">
        <v>45091</v>
      </c>
      <c r="C3606" s="5" t="inlineStr">
        <is>
          <t>M12</t>
        </is>
      </c>
      <c r="D3606" s="5" t="n">
        <v>5</v>
      </c>
      <c r="E3606" s="5" t="n">
        <v>281</v>
      </c>
      <c r="F3606" t="inlineStr">
        <is>
          <t>Продажа</t>
        </is>
      </c>
      <c r="H3606">
        <f>VLOOKUP(C3606,Магазин!$A$2:$C$1000,2,0)</f>
        <v/>
      </c>
      <c r="I3606">
        <f>VLOOKUP(D3606,Товар!$A$2:$F$1000,3,0)</f>
        <v/>
      </c>
      <c r="J3606">
        <f>VLOOKUP(D3606,Товар!$A$2:$F$1000,5,0)</f>
        <v/>
      </c>
      <c r="K3606">
        <f>IF(AND(H3606="Промышленный",LEFT(I3606,18)="Порошок стиральный",F3606="Продажа",B3606=DATE(2023,6,7)),E3606*J3606/1000,0)</f>
        <v/>
      </c>
    </row>
    <row r="3607">
      <c r="A3607" t="n">
        <v>3606</v>
      </c>
      <c r="B3607" s="1" t="n">
        <v>45091</v>
      </c>
      <c r="C3607" s="5" t="inlineStr">
        <is>
          <t>M12</t>
        </is>
      </c>
      <c r="D3607" s="5" t="n">
        <v>6</v>
      </c>
      <c r="E3607" s="5" t="n">
        <v>292</v>
      </c>
      <c r="F3607" t="inlineStr">
        <is>
          <t>Продажа</t>
        </is>
      </c>
      <c r="H3607">
        <f>VLOOKUP(C3607,Магазин!$A$2:$C$1000,2,0)</f>
        <v/>
      </c>
      <c r="I3607">
        <f>VLOOKUP(D3607,Товар!$A$2:$F$1000,3,0)</f>
        <v/>
      </c>
      <c r="J3607">
        <f>VLOOKUP(D3607,Товар!$A$2:$F$1000,5,0)</f>
        <v/>
      </c>
      <c r="K3607">
        <f>IF(AND(H3607="Промышленный",LEFT(I3607,18)="Порошок стиральный",F3607="Продажа",B3607=DATE(2023,6,7)),E3607*J3607/1000,0)</f>
        <v/>
      </c>
    </row>
    <row r="3608">
      <c r="A3608" t="n">
        <v>3607</v>
      </c>
      <c r="B3608" s="1" t="n">
        <v>45091</v>
      </c>
      <c r="C3608" s="5" t="inlineStr">
        <is>
          <t>M12</t>
        </is>
      </c>
      <c r="D3608" s="5" t="n">
        <v>7</v>
      </c>
      <c r="E3608" s="5" t="n">
        <v>203</v>
      </c>
      <c r="F3608" t="inlineStr">
        <is>
          <t>Продажа</t>
        </is>
      </c>
      <c r="H3608">
        <f>VLOOKUP(C3608,Магазин!$A$2:$C$1000,2,0)</f>
        <v/>
      </c>
      <c r="I3608">
        <f>VLOOKUP(D3608,Товар!$A$2:$F$1000,3,0)</f>
        <v/>
      </c>
      <c r="J3608">
        <f>VLOOKUP(D3608,Товар!$A$2:$F$1000,5,0)</f>
        <v/>
      </c>
      <c r="K3608">
        <f>IF(AND(H3608="Промышленный",LEFT(I3608,18)="Порошок стиральный",F3608="Продажа",B3608=DATE(2023,6,7)),E3608*J3608/1000,0)</f>
        <v/>
      </c>
    </row>
    <row r="3609">
      <c r="A3609" t="n">
        <v>3608</v>
      </c>
      <c r="B3609" s="1" t="n">
        <v>45091</v>
      </c>
      <c r="C3609" s="5" t="inlineStr">
        <is>
          <t>M12</t>
        </is>
      </c>
      <c r="D3609" s="5" t="n">
        <v>8</v>
      </c>
      <c r="E3609" s="5" t="n">
        <v>214</v>
      </c>
      <c r="F3609" t="inlineStr">
        <is>
          <t>Продажа</t>
        </is>
      </c>
      <c r="H3609">
        <f>VLOOKUP(C3609,Магазин!$A$2:$C$1000,2,0)</f>
        <v/>
      </c>
      <c r="I3609">
        <f>VLOOKUP(D3609,Товар!$A$2:$F$1000,3,0)</f>
        <v/>
      </c>
      <c r="J3609">
        <f>VLOOKUP(D3609,Товар!$A$2:$F$1000,5,0)</f>
        <v/>
      </c>
      <c r="K3609">
        <f>IF(AND(H3609="Промышленный",LEFT(I3609,18)="Порошок стиральный",F3609="Продажа",B3609=DATE(2023,6,7)),E3609*J3609/1000,0)</f>
        <v/>
      </c>
    </row>
    <row r="3610">
      <c r="A3610" t="n">
        <v>3609</v>
      </c>
      <c r="B3610" s="1" t="n">
        <v>45091</v>
      </c>
      <c r="C3610" s="5" t="inlineStr">
        <is>
          <t>M12</t>
        </is>
      </c>
      <c r="D3610" s="5" t="n">
        <v>9</v>
      </c>
      <c r="E3610" s="5" t="n">
        <v>225</v>
      </c>
      <c r="F3610" t="inlineStr">
        <is>
          <t>Продажа</t>
        </is>
      </c>
      <c r="H3610">
        <f>VLOOKUP(C3610,Магазин!$A$2:$C$1000,2,0)</f>
        <v/>
      </c>
      <c r="I3610">
        <f>VLOOKUP(D3610,Товар!$A$2:$F$1000,3,0)</f>
        <v/>
      </c>
      <c r="J3610">
        <f>VLOOKUP(D3610,Товар!$A$2:$F$1000,5,0)</f>
        <v/>
      </c>
      <c r="K3610">
        <f>IF(AND(H3610="Промышленный",LEFT(I3610,18)="Порошок стиральный",F3610="Продажа",B3610=DATE(2023,6,7)),E3610*J3610/1000,0)</f>
        <v/>
      </c>
    </row>
    <row r="3611">
      <c r="A3611" t="n">
        <v>3610</v>
      </c>
      <c r="B3611" s="1" t="n">
        <v>45091</v>
      </c>
      <c r="C3611" s="5" t="inlineStr">
        <is>
          <t>M12</t>
        </is>
      </c>
      <c r="D3611" s="5" t="n">
        <v>10</v>
      </c>
      <c r="E3611" s="5" t="n">
        <v>236</v>
      </c>
      <c r="F3611" t="inlineStr">
        <is>
          <t>Продажа</t>
        </is>
      </c>
      <c r="H3611">
        <f>VLOOKUP(C3611,Магазин!$A$2:$C$1000,2,0)</f>
        <v/>
      </c>
      <c r="I3611">
        <f>VLOOKUP(D3611,Товар!$A$2:$F$1000,3,0)</f>
        <v/>
      </c>
      <c r="J3611">
        <f>VLOOKUP(D3611,Товар!$A$2:$F$1000,5,0)</f>
        <v/>
      </c>
      <c r="K3611">
        <f>IF(AND(H3611="Промышленный",LEFT(I3611,18)="Порошок стиральный",F3611="Продажа",B3611=DATE(2023,6,7)),E3611*J3611/1000,0)</f>
        <v/>
      </c>
    </row>
    <row r="3612">
      <c r="A3612" t="n">
        <v>3611</v>
      </c>
      <c r="B3612" s="1" t="n">
        <v>45091</v>
      </c>
      <c r="C3612" s="5" t="inlineStr">
        <is>
          <t>M12</t>
        </is>
      </c>
      <c r="D3612" s="5" t="n">
        <v>11</v>
      </c>
      <c r="E3612" s="5" t="n">
        <v>247</v>
      </c>
      <c r="F3612" t="inlineStr">
        <is>
          <t>Продажа</t>
        </is>
      </c>
      <c r="H3612">
        <f>VLOOKUP(C3612,Магазин!$A$2:$C$1000,2,0)</f>
        <v/>
      </c>
      <c r="I3612">
        <f>VLOOKUP(D3612,Товар!$A$2:$F$1000,3,0)</f>
        <v/>
      </c>
      <c r="J3612">
        <f>VLOOKUP(D3612,Товар!$A$2:$F$1000,5,0)</f>
        <v/>
      </c>
      <c r="K3612">
        <f>IF(AND(H3612="Промышленный",LEFT(I3612,18)="Порошок стиральный",F3612="Продажа",B3612=DATE(2023,6,7)),E3612*J3612/1000,0)</f>
        <v/>
      </c>
    </row>
    <row r="3613">
      <c r="A3613" t="n">
        <v>3612</v>
      </c>
      <c r="B3613" s="1" t="n">
        <v>45091</v>
      </c>
      <c r="C3613" s="5" t="inlineStr">
        <is>
          <t>M12</t>
        </is>
      </c>
      <c r="D3613" s="5" t="n">
        <v>12</v>
      </c>
      <c r="E3613" s="5" t="n">
        <v>258</v>
      </c>
      <c r="F3613" t="inlineStr">
        <is>
          <t>Продажа</t>
        </is>
      </c>
      <c r="H3613">
        <f>VLOOKUP(C3613,Магазин!$A$2:$C$1000,2,0)</f>
        <v/>
      </c>
      <c r="I3613">
        <f>VLOOKUP(D3613,Товар!$A$2:$F$1000,3,0)</f>
        <v/>
      </c>
      <c r="J3613">
        <f>VLOOKUP(D3613,Товар!$A$2:$F$1000,5,0)</f>
        <v/>
      </c>
      <c r="K3613">
        <f>IF(AND(H3613="Промышленный",LEFT(I3613,18)="Порошок стиральный",F3613="Продажа",B3613=DATE(2023,6,7)),E3613*J3613/1000,0)</f>
        <v/>
      </c>
    </row>
    <row r="3614">
      <c r="A3614" t="n">
        <v>3613</v>
      </c>
      <c r="B3614" s="1" t="n">
        <v>45091</v>
      </c>
      <c r="C3614" s="5" t="inlineStr">
        <is>
          <t>M12</t>
        </is>
      </c>
      <c r="D3614" s="5" t="n">
        <v>13</v>
      </c>
      <c r="E3614" s="5" t="n">
        <v>256</v>
      </c>
      <c r="F3614" t="inlineStr">
        <is>
          <t>Продажа</t>
        </is>
      </c>
      <c r="H3614">
        <f>VLOOKUP(C3614,Магазин!$A$2:$C$1000,2,0)</f>
        <v/>
      </c>
      <c r="I3614">
        <f>VLOOKUP(D3614,Товар!$A$2:$F$1000,3,0)</f>
        <v/>
      </c>
      <c r="J3614">
        <f>VLOOKUP(D3614,Товар!$A$2:$F$1000,5,0)</f>
        <v/>
      </c>
      <c r="K3614">
        <f>IF(AND(H3614="Промышленный",LEFT(I3614,18)="Порошок стиральный",F3614="Продажа",B3614=DATE(2023,6,7)),E3614*J3614/1000,0)</f>
        <v/>
      </c>
    </row>
    <row r="3615">
      <c r="A3615" t="n">
        <v>3614</v>
      </c>
      <c r="B3615" s="1" t="n">
        <v>45091</v>
      </c>
      <c r="C3615" s="5" t="inlineStr">
        <is>
          <t>M12</t>
        </is>
      </c>
      <c r="D3615" s="5" t="n">
        <v>14</v>
      </c>
      <c r="E3615" s="5" t="n">
        <v>269</v>
      </c>
      <c r="F3615" t="inlineStr">
        <is>
          <t>Продажа</t>
        </is>
      </c>
      <c r="H3615">
        <f>VLOOKUP(C3615,Магазин!$A$2:$C$1000,2,0)</f>
        <v/>
      </c>
      <c r="I3615">
        <f>VLOOKUP(D3615,Товар!$A$2:$F$1000,3,0)</f>
        <v/>
      </c>
      <c r="J3615">
        <f>VLOOKUP(D3615,Товар!$A$2:$F$1000,5,0)</f>
        <v/>
      </c>
      <c r="K3615">
        <f>IF(AND(H3615="Промышленный",LEFT(I3615,18)="Порошок стиральный",F3615="Продажа",B3615=DATE(2023,6,7)),E3615*J3615/1000,0)</f>
        <v/>
      </c>
    </row>
    <row r="3616">
      <c r="A3616" t="n">
        <v>3615</v>
      </c>
      <c r="B3616" s="1" t="n">
        <v>45091</v>
      </c>
      <c r="C3616" s="5" t="inlineStr">
        <is>
          <t>M12</t>
        </is>
      </c>
      <c r="D3616" s="5" t="n">
        <v>15</v>
      </c>
      <c r="E3616" s="5" t="n">
        <v>204</v>
      </c>
      <c r="F3616" t="inlineStr">
        <is>
          <t>Продажа</t>
        </is>
      </c>
      <c r="H3616">
        <f>VLOOKUP(C3616,Магазин!$A$2:$C$1000,2,0)</f>
        <v/>
      </c>
      <c r="I3616">
        <f>VLOOKUP(D3616,Товар!$A$2:$F$1000,3,0)</f>
        <v/>
      </c>
      <c r="J3616">
        <f>VLOOKUP(D3616,Товар!$A$2:$F$1000,5,0)</f>
        <v/>
      </c>
      <c r="K3616">
        <f>IF(AND(H3616="Промышленный",LEFT(I3616,18)="Порошок стиральный",F3616="Продажа",B3616=DATE(2023,6,7)),E3616*J3616/1000,0)</f>
        <v/>
      </c>
    </row>
    <row r="3617">
      <c r="A3617" t="n">
        <v>3616</v>
      </c>
      <c r="B3617" s="1" t="n">
        <v>45091</v>
      </c>
      <c r="C3617" s="5" t="inlineStr">
        <is>
          <t>M12</t>
        </is>
      </c>
      <c r="D3617" s="5" t="n">
        <v>16</v>
      </c>
      <c r="E3617" s="5" t="n">
        <v>206</v>
      </c>
      <c r="F3617" t="inlineStr">
        <is>
          <t>Продажа</t>
        </is>
      </c>
      <c r="H3617">
        <f>VLOOKUP(C3617,Магазин!$A$2:$C$1000,2,0)</f>
        <v/>
      </c>
      <c r="I3617">
        <f>VLOOKUP(D3617,Товар!$A$2:$F$1000,3,0)</f>
        <v/>
      </c>
      <c r="J3617">
        <f>VLOOKUP(D3617,Товар!$A$2:$F$1000,5,0)</f>
        <v/>
      </c>
      <c r="K3617">
        <f>IF(AND(H3617="Промышленный",LEFT(I3617,18)="Порошок стиральный",F3617="Продажа",B3617=DATE(2023,6,7)),E3617*J3617/1000,0)</f>
        <v/>
      </c>
    </row>
    <row r="3618">
      <c r="A3618" t="n">
        <v>3617</v>
      </c>
      <c r="B3618" s="1" t="n">
        <v>45091</v>
      </c>
      <c r="C3618" s="5" t="inlineStr">
        <is>
          <t>M12</t>
        </is>
      </c>
      <c r="D3618" s="5" t="n">
        <v>17</v>
      </c>
      <c r="E3618" s="5" t="n">
        <v>208</v>
      </c>
      <c r="F3618" t="inlineStr">
        <is>
          <t>Продажа</t>
        </is>
      </c>
      <c r="H3618">
        <f>VLOOKUP(C3618,Магазин!$A$2:$C$1000,2,0)</f>
        <v/>
      </c>
      <c r="I3618">
        <f>VLOOKUP(D3618,Товар!$A$2:$F$1000,3,0)</f>
        <v/>
      </c>
      <c r="J3618">
        <f>VLOOKUP(D3618,Товар!$A$2:$F$1000,5,0)</f>
        <v/>
      </c>
      <c r="K3618">
        <f>IF(AND(H3618="Промышленный",LEFT(I3618,18)="Порошок стиральный",F3618="Продажа",B3618=DATE(2023,6,7)),E3618*J3618/1000,0)</f>
        <v/>
      </c>
    </row>
    <row r="3619">
      <c r="A3619" t="n">
        <v>3618</v>
      </c>
      <c r="B3619" s="1" t="n">
        <v>45091</v>
      </c>
      <c r="C3619" s="5" t="inlineStr">
        <is>
          <t>M12</t>
        </is>
      </c>
      <c r="D3619" s="5" t="n">
        <v>18</v>
      </c>
      <c r="E3619" s="5" t="n">
        <v>209</v>
      </c>
      <c r="F3619" t="inlineStr">
        <is>
          <t>Продажа</t>
        </is>
      </c>
      <c r="H3619">
        <f>VLOOKUP(C3619,Магазин!$A$2:$C$1000,2,0)</f>
        <v/>
      </c>
      <c r="I3619">
        <f>VLOOKUP(D3619,Товар!$A$2:$F$1000,3,0)</f>
        <v/>
      </c>
      <c r="J3619">
        <f>VLOOKUP(D3619,Товар!$A$2:$F$1000,5,0)</f>
        <v/>
      </c>
      <c r="K3619">
        <f>IF(AND(H3619="Промышленный",LEFT(I3619,18)="Порошок стиральный",F3619="Продажа",B3619=DATE(2023,6,7)),E3619*J3619/1000,0)</f>
        <v/>
      </c>
    </row>
    <row r="3620">
      <c r="A3620" t="n">
        <v>3619</v>
      </c>
      <c r="B3620" s="1" t="n">
        <v>45091</v>
      </c>
      <c r="C3620" s="5" t="inlineStr">
        <is>
          <t>M12</t>
        </is>
      </c>
      <c r="D3620" s="5" t="n">
        <v>19</v>
      </c>
      <c r="E3620" s="5" t="n">
        <v>299</v>
      </c>
      <c r="F3620" t="inlineStr">
        <is>
          <t>Продажа</t>
        </is>
      </c>
      <c r="H3620">
        <f>VLOOKUP(C3620,Магазин!$A$2:$C$1000,2,0)</f>
        <v/>
      </c>
      <c r="I3620">
        <f>VLOOKUP(D3620,Товар!$A$2:$F$1000,3,0)</f>
        <v/>
      </c>
      <c r="J3620">
        <f>VLOOKUP(D3620,Товар!$A$2:$F$1000,5,0)</f>
        <v/>
      </c>
      <c r="K3620">
        <f>IF(AND(H3620="Промышленный",LEFT(I3620,18)="Порошок стиральный",F3620="Продажа",B3620=DATE(2023,6,7)),E3620*J3620/1000,0)</f>
        <v/>
      </c>
    </row>
    <row r="3621">
      <c r="A3621" t="n">
        <v>3620</v>
      </c>
      <c r="B3621" s="1" t="n">
        <v>45091</v>
      </c>
      <c r="C3621" s="5" t="inlineStr">
        <is>
          <t>M12</t>
        </is>
      </c>
      <c r="D3621" s="5" t="n">
        <v>20</v>
      </c>
      <c r="E3621" s="5" t="n">
        <v>275</v>
      </c>
      <c r="F3621" t="inlineStr">
        <is>
          <t>Продажа</t>
        </is>
      </c>
      <c r="H3621">
        <f>VLOOKUP(C3621,Магазин!$A$2:$C$1000,2,0)</f>
        <v/>
      </c>
      <c r="I3621">
        <f>VLOOKUP(D3621,Товар!$A$2:$F$1000,3,0)</f>
        <v/>
      </c>
      <c r="J3621">
        <f>VLOOKUP(D3621,Товар!$A$2:$F$1000,5,0)</f>
        <v/>
      </c>
      <c r="K3621">
        <f>IF(AND(H3621="Промышленный",LEFT(I3621,18)="Порошок стиральный",F3621="Продажа",B3621=DATE(2023,6,7)),E3621*J3621/1000,0)</f>
        <v/>
      </c>
    </row>
    <row r="3622">
      <c r="A3622" t="n">
        <v>3621</v>
      </c>
      <c r="B3622" s="1" t="n">
        <v>45091</v>
      </c>
      <c r="C3622" s="5" t="inlineStr">
        <is>
          <t>M12</t>
        </is>
      </c>
      <c r="D3622" s="5" t="n">
        <v>21</v>
      </c>
      <c r="E3622" s="5" t="n">
        <v>234</v>
      </c>
      <c r="F3622" t="inlineStr">
        <is>
          <t>Продажа</t>
        </is>
      </c>
      <c r="H3622">
        <f>VLOOKUP(C3622,Магазин!$A$2:$C$1000,2,0)</f>
        <v/>
      </c>
      <c r="I3622">
        <f>VLOOKUP(D3622,Товар!$A$2:$F$1000,3,0)</f>
        <v/>
      </c>
      <c r="J3622">
        <f>VLOOKUP(D3622,Товар!$A$2:$F$1000,5,0)</f>
        <v/>
      </c>
      <c r="K3622">
        <f>IF(AND(H3622="Промышленный",LEFT(I3622,18)="Порошок стиральный",F3622="Продажа",B3622=DATE(2023,6,7)),E3622*J3622/1000,0)</f>
        <v/>
      </c>
    </row>
    <row r="3623">
      <c r="A3623" t="n">
        <v>3622</v>
      </c>
      <c r="B3623" s="1" t="n">
        <v>45091</v>
      </c>
      <c r="C3623" s="5" t="inlineStr">
        <is>
          <t>M12</t>
        </is>
      </c>
      <c r="D3623" s="5" t="n">
        <v>22</v>
      </c>
      <c r="E3623" s="5" t="n">
        <v>228</v>
      </c>
      <c r="F3623" t="inlineStr">
        <is>
          <t>Продажа</t>
        </is>
      </c>
      <c r="H3623">
        <f>VLOOKUP(C3623,Магазин!$A$2:$C$1000,2,0)</f>
        <v/>
      </c>
      <c r="I3623">
        <f>VLOOKUP(D3623,Товар!$A$2:$F$1000,3,0)</f>
        <v/>
      </c>
      <c r="J3623">
        <f>VLOOKUP(D3623,Товар!$A$2:$F$1000,5,0)</f>
        <v/>
      </c>
      <c r="K3623">
        <f>IF(AND(H3623="Промышленный",LEFT(I3623,18)="Порошок стиральный",F3623="Продажа",B3623=DATE(2023,6,7)),E3623*J3623/1000,0)</f>
        <v/>
      </c>
    </row>
    <row r="3624">
      <c r="A3624" t="n">
        <v>3623</v>
      </c>
      <c r="B3624" s="1" t="n">
        <v>45091</v>
      </c>
      <c r="C3624" s="5" t="inlineStr">
        <is>
          <t>M12</t>
        </is>
      </c>
      <c r="D3624" s="5" t="n">
        <v>23</v>
      </c>
      <c r="E3624" s="5" t="n">
        <v>217</v>
      </c>
      <c r="F3624" t="inlineStr">
        <is>
          <t>Продажа</t>
        </is>
      </c>
      <c r="H3624">
        <f>VLOOKUP(C3624,Магазин!$A$2:$C$1000,2,0)</f>
        <v/>
      </c>
      <c r="I3624">
        <f>VLOOKUP(D3624,Товар!$A$2:$F$1000,3,0)</f>
        <v/>
      </c>
      <c r="J3624">
        <f>VLOOKUP(D3624,Товар!$A$2:$F$1000,5,0)</f>
        <v/>
      </c>
      <c r="K3624">
        <f>IF(AND(H3624="Промышленный",LEFT(I3624,18)="Порошок стиральный",F3624="Продажа",B3624=DATE(2023,6,7)),E3624*J3624/1000,0)</f>
        <v/>
      </c>
    </row>
    <row r="3625">
      <c r="A3625" t="n">
        <v>3624</v>
      </c>
      <c r="B3625" s="1" t="n">
        <v>45091</v>
      </c>
      <c r="C3625" s="5" t="inlineStr">
        <is>
          <t>M12</t>
        </is>
      </c>
      <c r="D3625" s="5" t="n">
        <v>24</v>
      </c>
      <c r="E3625" s="5" t="n">
        <v>258</v>
      </c>
      <c r="F3625" t="inlineStr">
        <is>
          <t>Продажа</t>
        </is>
      </c>
      <c r="H3625">
        <f>VLOOKUP(C3625,Магазин!$A$2:$C$1000,2,0)</f>
        <v/>
      </c>
      <c r="I3625">
        <f>VLOOKUP(D3625,Товар!$A$2:$F$1000,3,0)</f>
        <v/>
      </c>
      <c r="J3625">
        <f>VLOOKUP(D3625,Товар!$A$2:$F$1000,5,0)</f>
        <v/>
      </c>
      <c r="K3625">
        <f>IF(AND(H3625="Промышленный",LEFT(I3625,18)="Порошок стиральный",F3625="Продажа",B3625=DATE(2023,6,7)),E3625*J3625/1000,0)</f>
        <v/>
      </c>
    </row>
    <row r="3626">
      <c r="A3626" t="n">
        <v>3625</v>
      </c>
      <c r="B3626" s="1" t="n">
        <v>45091</v>
      </c>
      <c r="C3626" s="5" t="inlineStr">
        <is>
          <t>M12</t>
        </is>
      </c>
      <c r="D3626" s="5" t="n">
        <v>25</v>
      </c>
      <c r="E3626" s="5" t="n">
        <v>199</v>
      </c>
      <c r="F3626" t="inlineStr">
        <is>
          <t>Продажа</t>
        </is>
      </c>
      <c r="H3626">
        <f>VLOOKUP(C3626,Магазин!$A$2:$C$1000,2,0)</f>
        <v/>
      </c>
      <c r="I3626">
        <f>VLOOKUP(D3626,Товар!$A$2:$F$1000,3,0)</f>
        <v/>
      </c>
      <c r="J3626">
        <f>VLOOKUP(D3626,Товар!$A$2:$F$1000,5,0)</f>
        <v/>
      </c>
      <c r="K3626">
        <f>IF(AND(H3626="Промышленный",LEFT(I3626,18)="Порошок стиральный",F3626="Продажа",B3626=DATE(2023,6,7)),E3626*J3626/1000,0)</f>
        <v/>
      </c>
    </row>
    <row r="3627">
      <c r="A3627" t="n">
        <v>3626</v>
      </c>
      <c r="B3627" s="1" t="n">
        <v>45091</v>
      </c>
      <c r="C3627" s="5" t="inlineStr">
        <is>
          <t>M12</t>
        </is>
      </c>
      <c r="D3627" s="5" t="n">
        <v>26</v>
      </c>
      <c r="E3627" s="5" t="n">
        <v>248</v>
      </c>
      <c r="F3627" t="inlineStr">
        <is>
          <t>Продажа</t>
        </is>
      </c>
      <c r="H3627">
        <f>VLOOKUP(C3627,Магазин!$A$2:$C$1000,2,0)</f>
        <v/>
      </c>
      <c r="I3627">
        <f>VLOOKUP(D3627,Товар!$A$2:$F$1000,3,0)</f>
        <v/>
      </c>
      <c r="J3627">
        <f>VLOOKUP(D3627,Товар!$A$2:$F$1000,5,0)</f>
        <v/>
      </c>
      <c r="K3627">
        <f>IF(AND(H3627="Промышленный",LEFT(I3627,18)="Порошок стиральный",F3627="Продажа",B3627=DATE(2023,6,7)),E3627*J3627/1000,0)</f>
        <v/>
      </c>
    </row>
    <row r="3628">
      <c r="A3628" t="n">
        <v>3627</v>
      </c>
      <c r="B3628" s="1" t="n">
        <v>45091</v>
      </c>
      <c r="C3628" s="5" t="inlineStr">
        <is>
          <t>M12</t>
        </is>
      </c>
      <c r="D3628" s="5" t="n">
        <v>27</v>
      </c>
      <c r="E3628" s="5" t="n">
        <v>236</v>
      </c>
      <c r="F3628" t="inlineStr">
        <is>
          <t>Продажа</t>
        </is>
      </c>
      <c r="H3628">
        <f>VLOOKUP(C3628,Магазин!$A$2:$C$1000,2,0)</f>
        <v/>
      </c>
      <c r="I3628">
        <f>VLOOKUP(D3628,Товар!$A$2:$F$1000,3,0)</f>
        <v/>
      </c>
      <c r="J3628">
        <f>VLOOKUP(D3628,Товар!$A$2:$F$1000,5,0)</f>
        <v/>
      </c>
      <c r="K3628">
        <f>IF(AND(H3628="Промышленный",LEFT(I3628,18)="Порошок стиральный",F3628="Продажа",B3628=DATE(2023,6,7)),E3628*J3628/1000,0)</f>
        <v/>
      </c>
    </row>
    <row r="3629">
      <c r="A3629" t="n">
        <v>3628</v>
      </c>
      <c r="B3629" s="1" t="n">
        <v>45091</v>
      </c>
      <c r="C3629" s="5" t="inlineStr">
        <is>
          <t>M12</t>
        </is>
      </c>
      <c r="D3629" s="5" t="n">
        <v>28</v>
      </c>
      <c r="E3629" s="5" t="n">
        <v>287</v>
      </c>
      <c r="F3629" t="inlineStr">
        <is>
          <t>Продажа</t>
        </is>
      </c>
      <c r="H3629">
        <f>VLOOKUP(C3629,Магазин!$A$2:$C$1000,2,0)</f>
        <v/>
      </c>
      <c r="I3629">
        <f>VLOOKUP(D3629,Товар!$A$2:$F$1000,3,0)</f>
        <v/>
      </c>
      <c r="J3629">
        <f>VLOOKUP(D3629,Товар!$A$2:$F$1000,5,0)</f>
        <v/>
      </c>
      <c r="K3629">
        <f>IF(AND(H3629="Промышленный",LEFT(I3629,18)="Порошок стиральный",F3629="Продажа",B3629=DATE(2023,6,7)),E3629*J3629/1000,0)</f>
        <v/>
      </c>
    </row>
    <row r="3630">
      <c r="A3630" t="n">
        <v>3629</v>
      </c>
      <c r="B3630" s="1" t="n">
        <v>45091</v>
      </c>
      <c r="C3630" s="5" t="inlineStr">
        <is>
          <t>M12</t>
        </is>
      </c>
      <c r="D3630" s="5" t="n">
        <v>29</v>
      </c>
      <c r="E3630" s="5" t="n">
        <v>265</v>
      </c>
      <c r="F3630" t="inlineStr">
        <is>
          <t>Продажа</t>
        </is>
      </c>
      <c r="H3630">
        <f>VLOOKUP(C3630,Магазин!$A$2:$C$1000,2,0)</f>
        <v/>
      </c>
      <c r="I3630">
        <f>VLOOKUP(D3630,Товар!$A$2:$F$1000,3,0)</f>
        <v/>
      </c>
      <c r="J3630">
        <f>VLOOKUP(D3630,Товар!$A$2:$F$1000,5,0)</f>
        <v/>
      </c>
      <c r="K3630">
        <f>IF(AND(H3630="Промышленный",LEFT(I3630,18)="Порошок стиральный",F3630="Продажа",B3630=DATE(2023,6,7)),E3630*J3630/1000,0)</f>
        <v/>
      </c>
    </row>
    <row r="3631">
      <c r="A3631" t="n">
        <v>3630</v>
      </c>
      <c r="B3631" s="1" t="n">
        <v>45091</v>
      </c>
      <c r="C3631" s="5" t="inlineStr">
        <is>
          <t>M12</t>
        </is>
      </c>
      <c r="D3631" s="5" t="n">
        <v>30</v>
      </c>
      <c r="E3631" s="5" t="n">
        <v>234</v>
      </c>
      <c r="F3631" t="inlineStr">
        <is>
          <t>Продажа</t>
        </is>
      </c>
      <c r="H3631">
        <f>VLOOKUP(C3631,Магазин!$A$2:$C$1000,2,0)</f>
        <v/>
      </c>
      <c r="I3631">
        <f>VLOOKUP(D3631,Товар!$A$2:$F$1000,3,0)</f>
        <v/>
      </c>
      <c r="J3631">
        <f>VLOOKUP(D3631,Товар!$A$2:$F$1000,5,0)</f>
        <v/>
      </c>
      <c r="K3631">
        <f>IF(AND(H3631="Промышленный",LEFT(I3631,18)="Порошок стиральный",F3631="Продажа",B3631=DATE(2023,6,7)),E3631*J3631/1000,0)</f>
        <v/>
      </c>
    </row>
    <row r="3632">
      <c r="A3632" t="n">
        <v>3631</v>
      </c>
      <c r="B3632" s="1" t="n">
        <v>45091</v>
      </c>
      <c r="C3632" s="5" t="inlineStr">
        <is>
          <t>M12</t>
        </is>
      </c>
      <c r="D3632" s="5" t="n">
        <v>31</v>
      </c>
      <c r="E3632" s="5" t="n">
        <v>258</v>
      </c>
      <c r="F3632" t="inlineStr">
        <is>
          <t>Продажа</t>
        </is>
      </c>
      <c r="H3632">
        <f>VLOOKUP(C3632,Магазин!$A$2:$C$1000,2,0)</f>
        <v/>
      </c>
      <c r="I3632">
        <f>VLOOKUP(D3632,Товар!$A$2:$F$1000,3,0)</f>
        <v/>
      </c>
      <c r="J3632">
        <f>VLOOKUP(D3632,Товар!$A$2:$F$1000,5,0)</f>
        <v/>
      </c>
      <c r="K3632">
        <f>IF(AND(H3632="Промышленный",LEFT(I3632,18)="Порошок стиральный",F3632="Продажа",B3632=DATE(2023,6,7)),E3632*J3632/1000,0)</f>
        <v/>
      </c>
    </row>
    <row r="3633">
      <c r="A3633" t="n">
        <v>3632</v>
      </c>
      <c r="B3633" s="1" t="n">
        <v>45091</v>
      </c>
      <c r="C3633" s="5" t="inlineStr">
        <is>
          <t>M12</t>
        </is>
      </c>
      <c r="D3633" s="5" t="n">
        <v>32</v>
      </c>
      <c r="E3633" s="5" t="n">
        <v>264</v>
      </c>
      <c r="F3633" t="inlineStr">
        <is>
          <t>Продажа</t>
        </is>
      </c>
      <c r="H3633">
        <f>VLOOKUP(C3633,Магазин!$A$2:$C$1000,2,0)</f>
        <v/>
      </c>
      <c r="I3633">
        <f>VLOOKUP(D3633,Товар!$A$2:$F$1000,3,0)</f>
        <v/>
      </c>
      <c r="J3633">
        <f>VLOOKUP(D3633,Товар!$A$2:$F$1000,5,0)</f>
        <v/>
      </c>
      <c r="K3633">
        <f>IF(AND(H3633="Промышленный",LEFT(I3633,18)="Порошок стиральный",F3633="Продажа",B3633=DATE(2023,6,7)),E3633*J3633/1000,0)</f>
        <v/>
      </c>
    </row>
    <row r="3634">
      <c r="A3634" t="n">
        <v>3633</v>
      </c>
      <c r="B3634" s="1" t="n">
        <v>45091</v>
      </c>
      <c r="C3634" s="5" t="inlineStr">
        <is>
          <t>M12</t>
        </is>
      </c>
      <c r="D3634" s="5" t="n">
        <v>33</v>
      </c>
      <c r="E3634" s="5" t="n">
        <v>237</v>
      </c>
      <c r="F3634" t="inlineStr">
        <is>
          <t>Продажа</t>
        </is>
      </c>
      <c r="H3634">
        <f>VLOOKUP(C3634,Магазин!$A$2:$C$1000,2,0)</f>
        <v/>
      </c>
      <c r="I3634">
        <f>VLOOKUP(D3634,Товар!$A$2:$F$1000,3,0)</f>
        <v/>
      </c>
      <c r="J3634">
        <f>VLOOKUP(D3634,Товар!$A$2:$F$1000,5,0)</f>
        <v/>
      </c>
      <c r="K3634">
        <f>IF(AND(H3634="Промышленный",LEFT(I3634,18)="Порошок стиральный",F3634="Продажа",B3634=DATE(2023,6,7)),E3634*J3634/1000,0)</f>
        <v/>
      </c>
    </row>
    <row r="3635">
      <c r="A3635" t="n">
        <v>3634</v>
      </c>
      <c r="B3635" s="1" t="n">
        <v>45091</v>
      </c>
      <c r="C3635" s="5" t="inlineStr">
        <is>
          <t>M12</t>
        </is>
      </c>
      <c r="D3635" s="5" t="n">
        <v>34</v>
      </c>
      <c r="E3635" s="5" t="n">
        <v>218</v>
      </c>
      <c r="F3635" t="inlineStr">
        <is>
          <t>Продажа</t>
        </is>
      </c>
      <c r="H3635">
        <f>VLOOKUP(C3635,Магазин!$A$2:$C$1000,2,0)</f>
        <v/>
      </c>
      <c r="I3635">
        <f>VLOOKUP(D3635,Товар!$A$2:$F$1000,3,0)</f>
        <v/>
      </c>
      <c r="J3635">
        <f>VLOOKUP(D3635,Товар!$A$2:$F$1000,5,0)</f>
        <v/>
      </c>
      <c r="K3635">
        <f>IF(AND(H3635="Промышленный",LEFT(I3635,18)="Порошок стиральный",F3635="Продажа",B3635=DATE(2023,6,7)),E3635*J3635/1000,0)</f>
        <v/>
      </c>
    </row>
    <row r="3636">
      <c r="A3636" t="n">
        <v>3635</v>
      </c>
      <c r="B3636" s="1" t="n">
        <v>45091</v>
      </c>
      <c r="C3636" s="5" t="inlineStr">
        <is>
          <t>M12</t>
        </is>
      </c>
      <c r="D3636" s="5" t="n">
        <v>35</v>
      </c>
      <c r="E3636" s="5" t="n">
        <v>249</v>
      </c>
      <c r="F3636" t="inlineStr">
        <is>
          <t>Продажа</t>
        </is>
      </c>
      <c r="H3636">
        <f>VLOOKUP(C3636,Магазин!$A$2:$C$1000,2,0)</f>
        <v/>
      </c>
      <c r="I3636">
        <f>VLOOKUP(D3636,Товар!$A$2:$F$1000,3,0)</f>
        <v/>
      </c>
      <c r="J3636">
        <f>VLOOKUP(D3636,Товар!$A$2:$F$1000,5,0)</f>
        <v/>
      </c>
      <c r="K3636">
        <f>IF(AND(H3636="Промышленный",LEFT(I3636,18)="Порошок стиральный",F3636="Продажа",B3636=DATE(2023,6,7)),E3636*J3636/1000,0)</f>
        <v/>
      </c>
    </row>
    <row r="3637">
      <c r="A3637" t="n">
        <v>3636</v>
      </c>
      <c r="B3637" s="1" t="n">
        <v>45091</v>
      </c>
      <c r="C3637" s="5" t="inlineStr">
        <is>
          <t>M12</t>
        </is>
      </c>
      <c r="D3637" s="5" t="n">
        <v>36</v>
      </c>
      <c r="E3637" s="5" t="n">
        <v>273</v>
      </c>
      <c r="F3637" t="inlineStr">
        <is>
          <t>Продажа</t>
        </is>
      </c>
      <c r="H3637">
        <f>VLOOKUP(C3637,Магазин!$A$2:$C$1000,2,0)</f>
        <v/>
      </c>
      <c r="I3637">
        <f>VLOOKUP(D3637,Товар!$A$2:$F$1000,3,0)</f>
        <v/>
      </c>
      <c r="J3637">
        <f>VLOOKUP(D3637,Товар!$A$2:$F$1000,5,0)</f>
        <v/>
      </c>
      <c r="K3637">
        <f>IF(AND(H3637="Промышленный",LEFT(I3637,18)="Порошок стиральный",F3637="Продажа",B3637=DATE(2023,6,7)),E3637*J3637/1000,0)</f>
        <v/>
      </c>
    </row>
    <row r="3638">
      <c r="A3638" t="n">
        <v>3637</v>
      </c>
      <c r="B3638" s="1" t="n">
        <v>45091</v>
      </c>
      <c r="C3638" s="5" t="inlineStr">
        <is>
          <t>M13</t>
        </is>
      </c>
      <c r="D3638" s="5" t="n">
        <v>1</v>
      </c>
      <c r="E3638" s="5" t="n">
        <v>284</v>
      </c>
      <c r="F3638" t="inlineStr">
        <is>
          <t>Продажа</t>
        </is>
      </c>
      <c r="H3638">
        <f>VLOOKUP(C3638,Магазин!$A$2:$C$1000,2,0)</f>
        <v/>
      </c>
      <c r="I3638">
        <f>VLOOKUP(D3638,Товар!$A$2:$F$1000,3,0)</f>
        <v/>
      </c>
      <c r="J3638">
        <f>VLOOKUP(D3638,Товар!$A$2:$F$1000,5,0)</f>
        <v/>
      </c>
      <c r="K3638">
        <f>IF(AND(H3638="Промышленный",LEFT(I3638,18)="Порошок стиральный",F3638="Продажа",B3638=DATE(2023,6,7)),E3638*J3638/1000,0)</f>
        <v/>
      </c>
    </row>
    <row r="3639">
      <c r="A3639" t="n">
        <v>3638</v>
      </c>
      <c r="B3639" s="1" t="n">
        <v>45091</v>
      </c>
      <c r="C3639" s="5" t="inlineStr">
        <is>
          <t>M13</t>
        </is>
      </c>
      <c r="D3639" s="5" t="n">
        <v>2</v>
      </c>
      <c r="E3639" s="5" t="n">
        <v>253</v>
      </c>
      <c r="F3639" t="inlineStr">
        <is>
          <t>Продажа</t>
        </is>
      </c>
      <c r="H3639">
        <f>VLOOKUP(C3639,Магазин!$A$2:$C$1000,2,0)</f>
        <v/>
      </c>
      <c r="I3639">
        <f>VLOOKUP(D3639,Товар!$A$2:$F$1000,3,0)</f>
        <v/>
      </c>
      <c r="J3639">
        <f>VLOOKUP(D3639,Товар!$A$2:$F$1000,5,0)</f>
        <v/>
      </c>
      <c r="K3639">
        <f>IF(AND(H3639="Промышленный",LEFT(I3639,18)="Порошок стиральный",F3639="Продажа",B3639=DATE(2023,6,7)),E3639*J3639/1000,0)</f>
        <v/>
      </c>
    </row>
    <row r="3640">
      <c r="A3640" t="n">
        <v>3639</v>
      </c>
      <c r="B3640" s="1" t="n">
        <v>45091</v>
      </c>
      <c r="C3640" s="5" t="inlineStr">
        <is>
          <t>M13</t>
        </is>
      </c>
      <c r="D3640" s="5" t="n">
        <v>3</v>
      </c>
      <c r="E3640" s="5" t="n">
        <v>261</v>
      </c>
      <c r="F3640" t="inlineStr">
        <is>
          <t>Продажа</t>
        </is>
      </c>
      <c r="H3640">
        <f>VLOOKUP(C3640,Магазин!$A$2:$C$1000,2,0)</f>
        <v/>
      </c>
      <c r="I3640">
        <f>VLOOKUP(D3640,Товар!$A$2:$F$1000,3,0)</f>
        <v/>
      </c>
      <c r="J3640">
        <f>VLOOKUP(D3640,Товар!$A$2:$F$1000,5,0)</f>
        <v/>
      </c>
      <c r="K3640">
        <f>IF(AND(H3640="Промышленный",LEFT(I3640,18)="Порошок стиральный",F3640="Продажа",B3640=DATE(2023,6,7)),E3640*J3640/1000,0)</f>
        <v/>
      </c>
    </row>
    <row r="3641">
      <c r="A3641" t="n">
        <v>3640</v>
      </c>
      <c r="B3641" s="1" t="n">
        <v>45091</v>
      </c>
      <c r="C3641" s="5" t="inlineStr">
        <is>
          <t>M13</t>
        </is>
      </c>
      <c r="D3641" s="5" t="n">
        <v>4</v>
      </c>
      <c r="E3641" s="5" t="n">
        <v>276</v>
      </c>
      <c r="F3641" t="inlineStr">
        <is>
          <t>Продажа</t>
        </is>
      </c>
      <c r="H3641">
        <f>VLOOKUP(C3641,Магазин!$A$2:$C$1000,2,0)</f>
        <v/>
      </c>
      <c r="I3641">
        <f>VLOOKUP(D3641,Товар!$A$2:$F$1000,3,0)</f>
        <v/>
      </c>
      <c r="J3641">
        <f>VLOOKUP(D3641,Товар!$A$2:$F$1000,5,0)</f>
        <v/>
      </c>
      <c r="K3641">
        <f>IF(AND(H3641="Промышленный",LEFT(I3641,18)="Порошок стиральный",F3641="Продажа",B3641=DATE(2023,6,7)),E3641*J3641/1000,0)</f>
        <v/>
      </c>
    </row>
    <row r="3642">
      <c r="A3642" t="n">
        <v>3641</v>
      </c>
      <c r="B3642" s="1" t="n">
        <v>45091</v>
      </c>
      <c r="C3642" s="5" t="inlineStr">
        <is>
          <t>M13</t>
        </is>
      </c>
      <c r="D3642" s="5" t="n">
        <v>5</v>
      </c>
      <c r="E3642" s="5" t="n">
        <v>248</v>
      </c>
      <c r="F3642" t="inlineStr">
        <is>
          <t>Продажа</t>
        </is>
      </c>
      <c r="H3642">
        <f>VLOOKUP(C3642,Магазин!$A$2:$C$1000,2,0)</f>
        <v/>
      </c>
      <c r="I3642">
        <f>VLOOKUP(D3642,Товар!$A$2:$F$1000,3,0)</f>
        <v/>
      </c>
      <c r="J3642">
        <f>VLOOKUP(D3642,Товар!$A$2:$F$1000,5,0)</f>
        <v/>
      </c>
      <c r="K3642">
        <f>IF(AND(H3642="Промышленный",LEFT(I3642,18)="Порошок стиральный",F3642="Продажа",B3642=DATE(2023,6,7)),E3642*J3642/1000,0)</f>
        <v/>
      </c>
    </row>
    <row r="3643">
      <c r="A3643" t="n">
        <v>3642</v>
      </c>
      <c r="B3643" s="1" t="n">
        <v>45091</v>
      </c>
      <c r="C3643" s="5" t="inlineStr">
        <is>
          <t>M13</t>
        </is>
      </c>
      <c r="D3643" s="5" t="n">
        <v>6</v>
      </c>
      <c r="E3643" s="5" t="n">
        <v>249</v>
      </c>
      <c r="F3643" t="inlineStr">
        <is>
          <t>Продажа</t>
        </is>
      </c>
      <c r="H3643">
        <f>VLOOKUP(C3643,Магазин!$A$2:$C$1000,2,0)</f>
        <v/>
      </c>
      <c r="I3643">
        <f>VLOOKUP(D3643,Товар!$A$2:$F$1000,3,0)</f>
        <v/>
      </c>
      <c r="J3643">
        <f>VLOOKUP(D3643,Товар!$A$2:$F$1000,5,0)</f>
        <v/>
      </c>
      <c r="K3643">
        <f>IF(AND(H3643="Промышленный",LEFT(I3643,18)="Порошок стиральный",F3643="Продажа",B3643=DATE(2023,6,7)),E3643*J3643/1000,0)</f>
        <v/>
      </c>
    </row>
    <row r="3644">
      <c r="A3644" t="n">
        <v>3643</v>
      </c>
      <c r="B3644" s="1" t="n">
        <v>45091</v>
      </c>
      <c r="C3644" s="5" t="inlineStr">
        <is>
          <t>M13</t>
        </is>
      </c>
      <c r="D3644" s="5" t="n">
        <v>7</v>
      </c>
      <c r="E3644" s="5" t="n">
        <v>234</v>
      </c>
      <c r="F3644" t="inlineStr">
        <is>
          <t>Продажа</t>
        </is>
      </c>
      <c r="H3644">
        <f>VLOOKUP(C3644,Магазин!$A$2:$C$1000,2,0)</f>
        <v/>
      </c>
      <c r="I3644">
        <f>VLOOKUP(D3644,Товар!$A$2:$F$1000,3,0)</f>
        <v/>
      </c>
      <c r="J3644">
        <f>VLOOKUP(D3644,Товар!$A$2:$F$1000,5,0)</f>
        <v/>
      </c>
      <c r="K3644">
        <f>IF(AND(H3644="Промышленный",LEFT(I3644,18)="Порошок стиральный",F3644="Продажа",B3644=DATE(2023,6,7)),E3644*J3644/1000,0)</f>
        <v/>
      </c>
    </row>
    <row r="3645">
      <c r="A3645" t="n">
        <v>3644</v>
      </c>
      <c r="B3645" s="1" t="n">
        <v>45091</v>
      </c>
      <c r="C3645" s="5" t="inlineStr">
        <is>
          <t>M13</t>
        </is>
      </c>
      <c r="D3645" s="5" t="n">
        <v>8</v>
      </c>
      <c r="E3645" s="5" t="n">
        <v>238</v>
      </c>
      <c r="F3645" t="inlineStr">
        <is>
          <t>Продажа</t>
        </is>
      </c>
      <c r="H3645">
        <f>VLOOKUP(C3645,Магазин!$A$2:$C$1000,2,0)</f>
        <v/>
      </c>
      <c r="I3645">
        <f>VLOOKUP(D3645,Товар!$A$2:$F$1000,3,0)</f>
        <v/>
      </c>
      <c r="J3645">
        <f>VLOOKUP(D3645,Товар!$A$2:$F$1000,5,0)</f>
        <v/>
      </c>
      <c r="K3645">
        <f>IF(AND(H3645="Промышленный",LEFT(I3645,18)="Порошок стиральный",F3645="Продажа",B3645=DATE(2023,6,7)),E3645*J3645/1000,0)</f>
        <v/>
      </c>
    </row>
    <row r="3646">
      <c r="A3646" t="n">
        <v>3645</v>
      </c>
      <c r="B3646" s="1" t="n">
        <v>45091</v>
      </c>
      <c r="C3646" s="5" t="inlineStr">
        <is>
          <t>M13</t>
        </is>
      </c>
      <c r="D3646" s="5" t="n">
        <v>9</v>
      </c>
      <c r="E3646" s="5" t="n">
        <v>295</v>
      </c>
      <c r="F3646" t="inlineStr">
        <is>
          <t>Продажа</t>
        </is>
      </c>
      <c r="H3646">
        <f>VLOOKUP(C3646,Магазин!$A$2:$C$1000,2,0)</f>
        <v/>
      </c>
      <c r="I3646">
        <f>VLOOKUP(D3646,Товар!$A$2:$F$1000,3,0)</f>
        <v/>
      </c>
      <c r="J3646">
        <f>VLOOKUP(D3646,Товар!$A$2:$F$1000,5,0)</f>
        <v/>
      </c>
      <c r="K3646">
        <f>IF(AND(H3646="Промышленный",LEFT(I3646,18)="Порошок стиральный",F3646="Продажа",B3646=DATE(2023,6,7)),E3646*J3646/1000,0)</f>
        <v/>
      </c>
    </row>
    <row r="3647">
      <c r="A3647" t="n">
        <v>3646</v>
      </c>
      <c r="B3647" s="1" t="n">
        <v>45091</v>
      </c>
      <c r="C3647" s="5" t="inlineStr">
        <is>
          <t>M13</t>
        </is>
      </c>
      <c r="D3647" s="5" t="n">
        <v>10</v>
      </c>
      <c r="E3647" s="5" t="n">
        <v>211</v>
      </c>
      <c r="F3647" t="inlineStr">
        <is>
          <t>Продажа</t>
        </is>
      </c>
      <c r="H3647">
        <f>VLOOKUP(C3647,Магазин!$A$2:$C$1000,2,0)</f>
        <v/>
      </c>
      <c r="I3647">
        <f>VLOOKUP(D3647,Товар!$A$2:$F$1000,3,0)</f>
        <v/>
      </c>
      <c r="J3647">
        <f>VLOOKUP(D3647,Товар!$A$2:$F$1000,5,0)</f>
        <v/>
      </c>
      <c r="K3647">
        <f>IF(AND(H3647="Промышленный",LEFT(I3647,18)="Порошок стиральный",F3647="Продажа",B3647=DATE(2023,6,7)),E3647*J3647/1000,0)</f>
        <v/>
      </c>
    </row>
    <row r="3648">
      <c r="A3648" t="n">
        <v>3647</v>
      </c>
      <c r="B3648" s="1" t="n">
        <v>45091</v>
      </c>
      <c r="C3648" s="5" t="inlineStr">
        <is>
          <t>M13</t>
        </is>
      </c>
      <c r="D3648" s="5" t="n">
        <v>11</v>
      </c>
      <c r="E3648" s="5" t="n">
        <v>233</v>
      </c>
      <c r="F3648" t="inlineStr">
        <is>
          <t>Продажа</t>
        </is>
      </c>
      <c r="H3648">
        <f>VLOOKUP(C3648,Магазин!$A$2:$C$1000,2,0)</f>
        <v/>
      </c>
      <c r="I3648">
        <f>VLOOKUP(D3648,Товар!$A$2:$F$1000,3,0)</f>
        <v/>
      </c>
      <c r="J3648">
        <f>VLOOKUP(D3648,Товар!$A$2:$F$1000,5,0)</f>
        <v/>
      </c>
      <c r="K3648">
        <f>IF(AND(H3648="Промышленный",LEFT(I3648,18)="Порошок стиральный",F3648="Продажа",B3648=DATE(2023,6,7)),E3648*J3648/1000,0)</f>
        <v/>
      </c>
    </row>
    <row r="3649">
      <c r="A3649" t="n">
        <v>3648</v>
      </c>
      <c r="B3649" s="1" t="n">
        <v>45091</v>
      </c>
      <c r="C3649" s="5" t="inlineStr">
        <is>
          <t>M13</t>
        </is>
      </c>
      <c r="D3649" s="5" t="n">
        <v>12</v>
      </c>
      <c r="E3649" s="5" t="n">
        <v>244</v>
      </c>
      <c r="F3649" t="inlineStr">
        <is>
          <t>Продажа</t>
        </is>
      </c>
      <c r="H3649">
        <f>VLOOKUP(C3649,Магазин!$A$2:$C$1000,2,0)</f>
        <v/>
      </c>
      <c r="I3649">
        <f>VLOOKUP(D3649,Товар!$A$2:$F$1000,3,0)</f>
        <v/>
      </c>
      <c r="J3649">
        <f>VLOOKUP(D3649,Товар!$A$2:$F$1000,5,0)</f>
        <v/>
      </c>
      <c r="K3649">
        <f>IF(AND(H3649="Промышленный",LEFT(I3649,18)="Порошок стиральный",F3649="Продажа",B3649=DATE(2023,6,7)),E3649*J3649/1000,0)</f>
        <v/>
      </c>
    </row>
    <row r="3650">
      <c r="A3650" t="n">
        <v>3649</v>
      </c>
      <c r="B3650" s="1" t="n">
        <v>45091</v>
      </c>
      <c r="C3650" s="5" t="inlineStr">
        <is>
          <t>M13</t>
        </is>
      </c>
      <c r="D3650" s="5" t="n">
        <v>13</v>
      </c>
      <c r="E3650" s="5" t="n">
        <v>255</v>
      </c>
      <c r="F3650" t="inlineStr">
        <is>
          <t>Продажа</t>
        </is>
      </c>
      <c r="H3650">
        <f>VLOOKUP(C3650,Магазин!$A$2:$C$1000,2,0)</f>
        <v/>
      </c>
      <c r="I3650">
        <f>VLOOKUP(D3650,Товар!$A$2:$F$1000,3,0)</f>
        <v/>
      </c>
      <c r="J3650">
        <f>VLOOKUP(D3650,Товар!$A$2:$F$1000,5,0)</f>
        <v/>
      </c>
      <c r="K3650">
        <f>IF(AND(H3650="Промышленный",LEFT(I3650,18)="Порошок стиральный",F3650="Продажа",B3650=DATE(2023,6,7)),E3650*J3650/1000,0)</f>
        <v/>
      </c>
    </row>
    <row r="3651">
      <c r="A3651" t="n">
        <v>3650</v>
      </c>
      <c r="B3651" s="1" t="n">
        <v>45091</v>
      </c>
      <c r="C3651" s="5" t="inlineStr">
        <is>
          <t>M13</t>
        </is>
      </c>
      <c r="D3651" s="5" t="n">
        <v>14</v>
      </c>
      <c r="E3651" s="5" t="n">
        <v>266</v>
      </c>
      <c r="F3651" t="inlineStr">
        <is>
          <t>Продажа</t>
        </is>
      </c>
      <c r="H3651">
        <f>VLOOKUP(C3651,Магазин!$A$2:$C$1000,2,0)</f>
        <v/>
      </c>
      <c r="I3651">
        <f>VLOOKUP(D3651,Товар!$A$2:$F$1000,3,0)</f>
        <v/>
      </c>
      <c r="J3651">
        <f>VLOOKUP(D3651,Товар!$A$2:$F$1000,5,0)</f>
        <v/>
      </c>
      <c r="K3651">
        <f>IF(AND(H3651="Промышленный",LEFT(I3651,18)="Порошок стиральный",F3651="Продажа",B3651=DATE(2023,6,7)),E3651*J3651/1000,0)</f>
        <v/>
      </c>
    </row>
    <row r="3652">
      <c r="A3652" t="n">
        <v>3651</v>
      </c>
      <c r="B3652" s="1" t="n">
        <v>45091</v>
      </c>
      <c r="C3652" s="5" t="inlineStr">
        <is>
          <t>M13</t>
        </is>
      </c>
      <c r="D3652" s="5" t="n">
        <v>15</v>
      </c>
      <c r="E3652" s="5" t="n">
        <v>277</v>
      </c>
      <c r="F3652" t="inlineStr">
        <is>
          <t>Продажа</t>
        </is>
      </c>
      <c r="H3652">
        <f>VLOOKUP(C3652,Магазин!$A$2:$C$1000,2,0)</f>
        <v/>
      </c>
      <c r="I3652">
        <f>VLOOKUP(D3652,Товар!$A$2:$F$1000,3,0)</f>
        <v/>
      </c>
      <c r="J3652">
        <f>VLOOKUP(D3652,Товар!$A$2:$F$1000,5,0)</f>
        <v/>
      </c>
      <c r="K3652">
        <f>IF(AND(H3652="Промышленный",LEFT(I3652,18)="Порошок стиральный",F3652="Продажа",B3652=DATE(2023,6,7)),E3652*J3652/1000,0)</f>
        <v/>
      </c>
    </row>
    <row r="3653">
      <c r="A3653" t="n">
        <v>3652</v>
      </c>
      <c r="B3653" s="1" t="n">
        <v>45091</v>
      </c>
      <c r="C3653" s="5" t="inlineStr">
        <is>
          <t>M13</t>
        </is>
      </c>
      <c r="D3653" s="5" t="n">
        <v>16</v>
      </c>
      <c r="E3653" s="5" t="n">
        <v>288</v>
      </c>
      <c r="F3653" t="inlineStr">
        <is>
          <t>Продажа</t>
        </is>
      </c>
      <c r="H3653">
        <f>VLOOKUP(C3653,Магазин!$A$2:$C$1000,2,0)</f>
        <v/>
      </c>
      <c r="I3653">
        <f>VLOOKUP(D3653,Товар!$A$2:$F$1000,3,0)</f>
        <v/>
      </c>
      <c r="J3653">
        <f>VLOOKUP(D3653,Товар!$A$2:$F$1000,5,0)</f>
        <v/>
      </c>
      <c r="K3653">
        <f>IF(AND(H3653="Промышленный",LEFT(I3653,18)="Порошок стиральный",F3653="Продажа",B3653=DATE(2023,6,7)),E3653*J3653/1000,0)</f>
        <v/>
      </c>
    </row>
    <row r="3654">
      <c r="A3654" t="n">
        <v>3653</v>
      </c>
      <c r="B3654" s="1" t="n">
        <v>45091</v>
      </c>
      <c r="C3654" s="5" t="inlineStr">
        <is>
          <t>M13</t>
        </is>
      </c>
      <c r="D3654" s="5" t="n">
        <v>17</v>
      </c>
      <c r="E3654" s="5" t="n">
        <v>299</v>
      </c>
      <c r="F3654" t="inlineStr">
        <is>
          <t>Продажа</t>
        </is>
      </c>
      <c r="H3654">
        <f>VLOOKUP(C3654,Магазин!$A$2:$C$1000,2,0)</f>
        <v/>
      </c>
      <c r="I3654">
        <f>VLOOKUP(D3654,Товар!$A$2:$F$1000,3,0)</f>
        <v/>
      </c>
      <c r="J3654">
        <f>VLOOKUP(D3654,Товар!$A$2:$F$1000,5,0)</f>
        <v/>
      </c>
      <c r="K3654">
        <f>IF(AND(H3654="Промышленный",LEFT(I3654,18)="Порошок стиральный",F3654="Продажа",B3654=DATE(2023,6,7)),E3654*J3654/1000,0)</f>
        <v/>
      </c>
    </row>
    <row r="3655">
      <c r="A3655" t="n">
        <v>3654</v>
      </c>
      <c r="B3655" s="1" t="n">
        <v>45091</v>
      </c>
      <c r="C3655" s="5" t="inlineStr">
        <is>
          <t>M13</t>
        </is>
      </c>
      <c r="D3655" s="5" t="n">
        <v>18</v>
      </c>
      <c r="E3655" s="5" t="n">
        <v>201</v>
      </c>
      <c r="F3655" t="inlineStr">
        <is>
          <t>Продажа</t>
        </is>
      </c>
      <c r="H3655">
        <f>VLOOKUP(C3655,Магазин!$A$2:$C$1000,2,0)</f>
        <v/>
      </c>
      <c r="I3655">
        <f>VLOOKUP(D3655,Товар!$A$2:$F$1000,3,0)</f>
        <v/>
      </c>
      <c r="J3655">
        <f>VLOOKUP(D3655,Товар!$A$2:$F$1000,5,0)</f>
        <v/>
      </c>
      <c r="K3655">
        <f>IF(AND(H3655="Промышленный",LEFT(I3655,18)="Порошок стиральный",F3655="Продажа",B3655=DATE(2023,6,7)),E3655*J3655/1000,0)</f>
        <v/>
      </c>
    </row>
    <row r="3656">
      <c r="A3656" t="n">
        <v>3655</v>
      </c>
      <c r="B3656" s="1" t="n">
        <v>45091</v>
      </c>
      <c r="C3656" s="5" t="inlineStr">
        <is>
          <t>M13</t>
        </is>
      </c>
      <c r="D3656" s="5" t="n">
        <v>19</v>
      </c>
      <c r="E3656" s="5" t="n">
        <v>205</v>
      </c>
      <c r="F3656" t="inlineStr">
        <is>
          <t>Продажа</t>
        </is>
      </c>
      <c r="H3656">
        <f>VLOOKUP(C3656,Магазин!$A$2:$C$1000,2,0)</f>
        <v/>
      </c>
      <c r="I3656">
        <f>VLOOKUP(D3656,Товар!$A$2:$F$1000,3,0)</f>
        <v/>
      </c>
      <c r="J3656">
        <f>VLOOKUP(D3656,Товар!$A$2:$F$1000,5,0)</f>
        <v/>
      </c>
      <c r="K3656">
        <f>IF(AND(H3656="Промышленный",LEFT(I3656,18)="Порошок стиральный",F3656="Продажа",B3656=DATE(2023,6,7)),E3656*J3656/1000,0)</f>
        <v/>
      </c>
    </row>
    <row r="3657">
      <c r="A3657" t="n">
        <v>3656</v>
      </c>
      <c r="B3657" s="1" t="n">
        <v>45091</v>
      </c>
      <c r="C3657" s="5" t="inlineStr">
        <is>
          <t>M13</t>
        </is>
      </c>
      <c r="D3657" s="5" t="n">
        <v>20</v>
      </c>
      <c r="E3657" s="5" t="n">
        <v>357</v>
      </c>
      <c r="F3657" t="inlineStr">
        <is>
          <t>Продажа</t>
        </is>
      </c>
      <c r="H3657">
        <f>VLOOKUP(C3657,Магазин!$A$2:$C$1000,2,0)</f>
        <v/>
      </c>
      <c r="I3657">
        <f>VLOOKUP(D3657,Товар!$A$2:$F$1000,3,0)</f>
        <v/>
      </c>
      <c r="J3657">
        <f>VLOOKUP(D3657,Товар!$A$2:$F$1000,5,0)</f>
        <v/>
      </c>
      <c r="K3657">
        <f>IF(AND(H3657="Промышленный",LEFT(I3657,18)="Порошок стиральный",F3657="Продажа",B3657=DATE(2023,6,7)),E3657*J3657/1000,0)</f>
        <v/>
      </c>
    </row>
    <row r="3658">
      <c r="A3658" t="n">
        <v>3657</v>
      </c>
      <c r="B3658" s="1" t="n">
        <v>45091</v>
      </c>
      <c r="C3658" s="5" t="inlineStr">
        <is>
          <t>M13</t>
        </is>
      </c>
      <c r="D3658" s="5" t="n">
        <v>21</v>
      </c>
      <c r="E3658" s="5" t="n">
        <v>268</v>
      </c>
      <c r="F3658" t="inlineStr">
        <is>
          <t>Продажа</t>
        </is>
      </c>
      <c r="H3658">
        <f>VLOOKUP(C3658,Магазин!$A$2:$C$1000,2,0)</f>
        <v/>
      </c>
      <c r="I3658">
        <f>VLOOKUP(D3658,Товар!$A$2:$F$1000,3,0)</f>
        <v/>
      </c>
      <c r="J3658">
        <f>VLOOKUP(D3658,Товар!$A$2:$F$1000,5,0)</f>
        <v/>
      </c>
      <c r="K3658">
        <f>IF(AND(H3658="Промышленный",LEFT(I3658,18)="Порошок стиральный",F3658="Продажа",B3658=DATE(2023,6,7)),E3658*J3658/1000,0)</f>
        <v/>
      </c>
    </row>
    <row r="3659">
      <c r="A3659" t="n">
        <v>3658</v>
      </c>
      <c r="B3659" s="1" t="n">
        <v>45091</v>
      </c>
      <c r="C3659" s="5" t="inlineStr">
        <is>
          <t>M13</t>
        </is>
      </c>
      <c r="D3659" s="5" t="n">
        <v>22</v>
      </c>
      <c r="E3659" s="5" t="n">
        <v>279</v>
      </c>
      <c r="F3659" t="inlineStr">
        <is>
          <t>Продажа</t>
        </is>
      </c>
      <c r="H3659">
        <f>VLOOKUP(C3659,Магазин!$A$2:$C$1000,2,0)</f>
        <v/>
      </c>
      <c r="I3659">
        <f>VLOOKUP(D3659,Товар!$A$2:$F$1000,3,0)</f>
        <v/>
      </c>
      <c r="J3659">
        <f>VLOOKUP(D3659,Товар!$A$2:$F$1000,5,0)</f>
        <v/>
      </c>
      <c r="K3659">
        <f>IF(AND(H3659="Промышленный",LEFT(I3659,18)="Порошок стиральный",F3659="Продажа",B3659=DATE(2023,6,7)),E3659*J3659/1000,0)</f>
        <v/>
      </c>
    </row>
    <row r="3660">
      <c r="A3660" t="n">
        <v>3659</v>
      </c>
      <c r="B3660" s="1" t="n">
        <v>45091</v>
      </c>
      <c r="C3660" s="5" t="inlineStr">
        <is>
          <t>M13</t>
        </is>
      </c>
      <c r="D3660" s="5" t="n">
        <v>23</v>
      </c>
      <c r="E3660" s="5" t="n">
        <v>281</v>
      </c>
      <c r="F3660" t="inlineStr">
        <is>
          <t>Продажа</t>
        </is>
      </c>
      <c r="H3660">
        <f>VLOOKUP(C3660,Магазин!$A$2:$C$1000,2,0)</f>
        <v/>
      </c>
      <c r="I3660">
        <f>VLOOKUP(D3660,Товар!$A$2:$F$1000,3,0)</f>
        <v/>
      </c>
      <c r="J3660">
        <f>VLOOKUP(D3660,Товар!$A$2:$F$1000,5,0)</f>
        <v/>
      </c>
      <c r="K3660">
        <f>IF(AND(H3660="Промышленный",LEFT(I3660,18)="Порошок стиральный",F3660="Продажа",B3660=DATE(2023,6,7)),E3660*J3660/1000,0)</f>
        <v/>
      </c>
    </row>
    <row r="3661">
      <c r="A3661" t="n">
        <v>3660</v>
      </c>
      <c r="B3661" s="1" t="n">
        <v>45091</v>
      </c>
      <c r="C3661" s="5" t="inlineStr">
        <is>
          <t>M13</t>
        </is>
      </c>
      <c r="D3661" s="5" t="n">
        <v>24</v>
      </c>
      <c r="E3661" s="5" t="n">
        <v>292</v>
      </c>
      <c r="F3661" t="inlineStr">
        <is>
          <t>Продажа</t>
        </is>
      </c>
      <c r="H3661">
        <f>VLOOKUP(C3661,Магазин!$A$2:$C$1000,2,0)</f>
        <v/>
      </c>
      <c r="I3661">
        <f>VLOOKUP(D3661,Товар!$A$2:$F$1000,3,0)</f>
        <v/>
      </c>
      <c r="J3661">
        <f>VLOOKUP(D3661,Товар!$A$2:$F$1000,5,0)</f>
        <v/>
      </c>
      <c r="K3661">
        <f>IF(AND(H3661="Промышленный",LEFT(I3661,18)="Порошок стиральный",F3661="Продажа",B3661=DATE(2023,6,7)),E3661*J3661/1000,0)</f>
        <v/>
      </c>
    </row>
    <row r="3662">
      <c r="A3662" t="n">
        <v>3661</v>
      </c>
      <c r="B3662" s="1" t="n">
        <v>45091</v>
      </c>
      <c r="C3662" s="5" t="inlineStr">
        <is>
          <t>M13</t>
        </is>
      </c>
      <c r="D3662" s="5" t="n">
        <v>25</v>
      </c>
      <c r="E3662" s="5" t="n">
        <v>203</v>
      </c>
      <c r="F3662" t="inlineStr">
        <is>
          <t>Продажа</t>
        </is>
      </c>
      <c r="H3662">
        <f>VLOOKUP(C3662,Магазин!$A$2:$C$1000,2,0)</f>
        <v/>
      </c>
      <c r="I3662">
        <f>VLOOKUP(D3662,Товар!$A$2:$F$1000,3,0)</f>
        <v/>
      </c>
      <c r="J3662">
        <f>VLOOKUP(D3662,Товар!$A$2:$F$1000,5,0)</f>
        <v/>
      </c>
      <c r="K3662">
        <f>IF(AND(H3662="Промышленный",LEFT(I3662,18)="Порошок стиральный",F3662="Продажа",B3662=DATE(2023,6,7)),E3662*J3662/1000,0)</f>
        <v/>
      </c>
    </row>
    <row r="3663">
      <c r="A3663" t="n">
        <v>3662</v>
      </c>
      <c r="B3663" s="1" t="n">
        <v>45091</v>
      </c>
      <c r="C3663" s="5" t="inlineStr">
        <is>
          <t>M13</t>
        </is>
      </c>
      <c r="D3663" s="5" t="n">
        <v>26</v>
      </c>
      <c r="E3663" s="5" t="n">
        <v>214</v>
      </c>
      <c r="F3663" t="inlineStr">
        <is>
          <t>Продажа</t>
        </is>
      </c>
      <c r="H3663">
        <f>VLOOKUP(C3663,Магазин!$A$2:$C$1000,2,0)</f>
        <v/>
      </c>
      <c r="I3663">
        <f>VLOOKUP(D3663,Товар!$A$2:$F$1000,3,0)</f>
        <v/>
      </c>
      <c r="J3663">
        <f>VLOOKUP(D3663,Товар!$A$2:$F$1000,5,0)</f>
        <v/>
      </c>
      <c r="K3663">
        <f>IF(AND(H3663="Промышленный",LEFT(I3663,18)="Порошок стиральный",F3663="Продажа",B3663=DATE(2023,6,7)),E3663*J3663/1000,0)</f>
        <v/>
      </c>
    </row>
    <row r="3664">
      <c r="A3664" t="n">
        <v>3663</v>
      </c>
      <c r="B3664" s="1" t="n">
        <v>45091</v>
      </c>
      <c r="C3664" s="5" t="inlineStr">
        <is>
          <t>M13</t>
        </is>
      </c>
      <c r="D3664" s="5" t="n">
        <v>27</v>
      </c>
      <c r="E3664" s="5" t="n">
        <v>225</v>
      </c>
      <c r="F3664" t="inlineStr">
        <is>
          <t>Продажа</t>
        </is>
      </c>
      <c r="H3664">
        <f>VLOOKUP(C3664,Магазин!$A$2:$C$1000,2,0)</f>
        <v/>
      </c>
      <c r="I3664">
        <f>VLOOKUP(D3664,Товар!$A$2:$F$1000,3,0)</f>
        <v/>
      </c>
      <c r="J3664">
        <f>VLOOKUP(D3664,Товар!$A$2:$F$1000,5,0)</f>
        <v/>
      </c>
      <c r="K3664">
        <f>IF(AND(H3664="Промышленный",LEFT(I3664,18)="Порошок стиральный",F3664="Продажа",B3664=DATE(2023,6,7)),E3664*J3664/1000,0)</f>
        <v/>
      </c>
    </row>
    <row r="3665">
      <c r="A3665" t="n">
        <v>3664</v>
      </c>
      <c r="B3665" s="1" t="n">
        <v>45091</v>
      </c>
      <c r="C3665" s="5" t="inlineStr">
        <is>
          <t>M13</t>
        </is>
      </c>
      <c r="D3665" s="5" t="n">
        <v>28</v>
      </c>
      <c r="E3665" s="5" t="n">
        <v>236</v>
      </c>
      <c r="F3665" t="inlineStr">
        <is>
          <t>Продажа</t>
        </is>
      </c>
      <c r="H3665">
        <f>VLOOKUP(C3665,Магазин!$A$2:$C$1000,2,0)</f>
        <v/>
      </c>
      <c r="I3665">
        <f>VLOOKUP(D3665,Товар!$A$2:$F$1000,3,0)</f>
        <v/>
      </c>
      <c r="J3665">
        <f>VLOOKUP(D3665,Товар!$A$2:$F$1000,5,0)</f>
        <v/>
      </c>
      <c r="K3665">
        <f>IF(AND(H3665="Промышленный",LEFT(I3665,18)="Порошок стиральный",F3665="Продажа",B3665=DATE(2023,6,7)),E3665*J3665/1000,0)</f>
        <v/>
      </c>
    </row>
    <row r="3666">
      <c r="A3666" t="n">
        <v>3665</v>
      </c>
      <c r="B3666" s="1" t="n">
        <v>45091</v>
      </c>
      <c r="C3666" s="5" t="inlineStr">
        <is>
          <t>M13</t>
        </is>
      </c>
      <c r="D3666" s="5" t="n">
        <v>29</v>
      </c>
      <c r="E3666" s="5" t="n">
        <v>247</v>
      </c>
      <c r="F3666" t="inlineStr">
        <is>
          <t>Продажа</t>
        </is>
      </c>
      <c r="H3666">
        <f>VLOOKUP(C3666,Магазин!$A$2:$C$1000,2,0)</f>
        <v/>
      </c>
      <c r="I3666">
        <f>VLOOKUP(D3666,Товар!$A$2:$F$1000,3,0)</f>
        <v/>
      </c>
      <c r="J3666">
        <f>VLOOKUP(D3666,Товар!$A$2:$F$1000,5,0)</f>
        <v/>
      </c>
      <c r="K3666">
        <f>IF(AND(H3666="Промышленный",LEFT(I3666,18)="Порошок стиральный",F3666="Продажа",B3666=DATE(2023,6,7)),E3666*J3666/1000,0)</f>
        <v/>
      </c>
    </row>
    <row r="3667">
      <c r="A3667" t="n">
        <v>3666</v>
      </c>
      <c r="B3667" s="1" t="n">
        <v>45091</v>
      </c>
      <c r="C3667" s="5" t="inlineStr">
        <is>
          <t>M13</t>
        </is>
      </c>
      <c r="D3667" s="5" t="n">
        <v>30</v>
      </c>
      <c r="E3667" s="5" t="n">
        <v>258</v>
      </c>
      <c r="F3667" t="inlineStr">
        <is>
          <t>Продажа</t>
        </is>
      </c>
      <c r="H3667">
        <f>VLOOKUP(C3667,Магазин!$A$2:$C$1000,2,0)</f>
        <v/>
      </c>
      <c r="I3667">
        <f>VLOOKUP(D3667,Товар!$A$2:$F$1000,3,0)</f>
        <v/>
      </c>
      <c r="J3667">
        <f>VLOOKUP(D3667,Товар!$A$2:$F$1000,5,0)</f>
        <v/>
      </c>
      <c r="K3667">
        <f>IF(AND(H3667="Промышленный",LEFT(I3667,18)="Порошок стиральный",F3667="Продажа",B3667=DATE(2023,6,7)),E3667*J3667/1000,0)</f>
        <v/>
      </c>
    </row>
    <row r="3668">
      <c r="A3668" t="n">
        <v>3667</v>
      </c>
      <c r="B3668" s="1" t="n">
        <v>45091</v>
      </c>
      <c r="C3668" s="5" t="inlineStr">
        <is>
          <t>M13</t>
        </is>
      </c>
      <c r="D3668" s="5" t="n">
        <v>31</v>
      </c>
      <c r="E3668" s="5" t="n">
        <v>256</v>
      </c>
      <c r="F3668" t="inlineStr">
        <is>
          <t>Продажа</t>
        </is>
      </c>
      <c r="H3668">
        <f>VLOOKUP(C3668,Магазин!$A$2:$C$1000,2,0)</f>
        <v/>
      </c>
      <c r="I3668">
        <f>VLOOKUP(D3668,Товар!$A$2:$F$1000,3,0)</f>
        <v/>
      </c>
      <c r="J3668">
        <f>VLOOKUP(D3668,Товар!$A$2:$F$1000,5,0)</f>
        <v/>
      </c>
      <c r="K3668">
        <f>IF(AND(H3668="Промышленный",LEFT(I3668,18)="Порошок стиральный",F3668="Продажа",B3668=DATE(2023,6,7)),E3668*J3668/1000,0)</f>
        <v/>
      </c>
    </row>
    <row r="3669">
      <c r="A3669" t="n">
        <v>3668</v>
      </c>
      <c r="B3669" s="1" t="n">
        <v>45091</v>
      </c>
      <c r="C3669" s="5" t="inlineStr">
        <is>
          <t>M13</t>
        </is>
      </c>
      <c r="D3669" s="5" t="n">
        <v>32</v>
      </c>
      <c r="E3669" s="5" t="n">
        <v>269</v>
      </c>
      <c r="F3669" t="inlineStr">
        <is>
          <t>Продажа</t>
        </is>
      </c>
      <c r="H3669">
        <f>VLOOKUP(C3669,Магазин!$A$2:$C$1000,2,0)</f>
        <v/>
      </c>
      <c r="I3669">
        <f>VLOOKUP(D3669,Товар!$A$2:$F$1000,3,0)</f>
        <v/>
      </c>
      <c r="J3669">
        <f>VLOOKUP(D3669,Товар!$A$2:$F$1000,5,0)</f>
        <v/>
      </c>
      <c r="K3669">
        <f>IF(AND(H3669="Промышленный",LEFT(I3669,18)="Порошок стиральный",F3669="Продажа",B3669=DATE(2023,6,7)),E3669*J3669/1000,0)</f>
        <v/>
      </c>
    </row>
    <row r="3670">
      <c r="A3670" t="n">
        <v>3669</v>
      </c>
      <c r="B3670" s="1" t="n">
        <v>45091</v>
      </c>
      <c r="C3670" s="5" t="inlineStr">
        <is>
          <t>M13</t>
        </is>
      </c>
      <c r="D3670" s="5" t="n">
        <v>33</v>
      </c>
      <c r="E3670" s="5" t="n">
        <v>204</v>
      </c>
      <c r="F3670" t="inlineStr">
        <is>
          <t>Продажа</t>
        </is>
      </c>
      <c r="H3670">
        <f>VLOOKUP(C3670,Магазин!$A$2:$C$1000,2,0)</f>
        <v/>
      </c>
      <c r="I3670">
        <f>VLOOKUP(D3670,Товар!$A$2:$F$1000,3,0)</f>
        <v/>
      </c>
      <c r="J3670">
        <f>VLOOKUP(D3670,Товар!$A$2:$F$1000,5,0)</f>
        <v/>
      </c>
      <c r="K3670">
        <f>IF(AND(H3670="Промышленный",LEFT(I3670,18)="Порошок стиральный",F3670="Продажа",B3670=DATE(2023,6,7)),E3670*J3670/1000,0)</f>
        <v/>
      </c>
    </row>
    <row r="3671">
      <c r="A3671" t="n">
        <v>3670</v>
      </c>
      <c r="B3671" s="1" t="n">
        <v>45091</v>
      </c>
      <c r="C3671" s="5" t="inlineStr">
        <is>
          <t>M13</t>
        </is>
      </c>
      <c r="D3671" s="5" t="n">
        <v>34</v>
      </c>
      <c r="E3671" s="5" t="n">
        <v>206</v>
      </c>
      <c r="F3671" t="inlineStr">
        <is>
          <t>Продажа</t>
        </is>
      </c>
      <c r="H3671">
        <f>VLOOKUP(C3671,Магазин!$A$2:$C$1000,2,0)</f>
        <v/>
      </c>
      <c r="I3671">
        <f>VLOOKUP(D3671,Товар!$A$2:$F$1000,3,0)</f>
        <v/>
      </c>
      <c r="J3671">
        <f>VLOOKUP(D3671,Товар!$A$2:$F$1000,5,0)</f>
        <v/>
      </c>
      <c r="K3671">
        <f>IF(AND(H3671="Промышленный",LEFT(I3671,18)="Порошок стиральный",F3671="Продажа",B3671=DATE(2023,6,7)),E3671*J3671/1000,0)</f>
        <v/>
      </c>
    </row>
    <row r="3672">
      <c r="A3672" t="n">
        <v>3671</v>
      </c>
      <c r="B3672" s="1" t="n">
        <v>45091</v>
      </c>
      <c r="C3672" s="5" t="inlineStr">
        <is>
          <t>M13</t>
        </is>
      </c>
      <c r="D3672" s="5" t="n">
        <v>35</v>
      </c>
      <c r="E3672" s="5" t="n">
        <v>208</v>
      </c>
      <c r="F3672" t="inlineStr">
        <is>
          <t>Продажа</t>
        </is>
      </c>
      <c r="H3672">
        <f>VLOOKUP(C3672,Магазин!$A$2:$C$1000,2,0)</f>
        <v/>
      </c>
      <c r="I3672">
        <f>VLOOKUP(D3672,Товар!$A$2:$F$1000,3,0)</f>
        <v/>
      </c>
      <c r="J3672">
        <f>VLOOKUP(D3672,Товар!$A$2:$F$1000,5,0)</f>
        <v/>
      </c>
      <c r="K3672">
        <f>IF(AND(H3672="Промышленный",LEFT(I3672,18)="Порошок стиральный",F3672="Продажа",B3672=DATE(2023,6,7)),E3672*J3672/1000,0)</f>
        <v/>
      </c>
    </row>
    <row r="3673">
      <c r="A3673" t="n">
        <v>3672</v>
      </c>
      <c r="B3673" s="1" t="n">
        <v>45091</v>
      </c>
      <c r="C3673" s="5" t="inlineStr">
        <is>
          <t>M13</t>
        </is>
      </c>
      <c r="D3673" s="5" t="n">
        <v>36</v>
      </c>
      <c r="E3673" s="5" t="n">
        <v>209</v>
      </c>
      <c r="F3673" t="inlineStr">
        <is>
          <t>Продажа</t>
        </is>
      </c>
      <c r="H3673">
        <f>VLOOKUP(C3673,Магазин!$A$2:$C$1000,2,0)</f>
        <v/>
      </c>
      <c r="I3673">
        <f>VLOOKUP(D3673,Товар!$A$2:$F$1000,3,0)</f>
        <v/>
      </c>
      <c r="J3673">
        <f>VLOOKUP(D3673,Товар!$A$2:$F$1000,5,0)</f>
        <v/>
      </c>
      <c r="K3673">
        <f>IF(AND(H3673="Промышленный",LEFT(I3673,18)="Порошок стиральный",F3673="Продажа",B3673=DATE(2023,6,7)),E3673*J3673/1000,0)</f>
        <v/>
      </c>
    </row>
    <row r="3674">
      <c r="A3674" t="n">
        <v>3673</v>
      </c>
      <c r="B3674" s="1" t="n">
        <v>45091</v>
      </c>
      <c r="C3674" s="5" t="inlineStr">
        <is>
          <t>M16</t>
        </is>
      </c>
      <c r="D3674" s="5" t="n">
        <v>1</v>
      </c>
      <c r="E3674" s="5" t="n">
        <v>299</v>
      </c>
      <c r="F3674" t="inlineStr">
        <is>
          <t>Продажа</t>
        </is>
      </c>
      <c r="H3674">
        <f>VLOOKUP(C3674,Магазин!$A$2:$C$1000,2,0)</f>
        <v/>
      </c>
      <c r="I3674">
        <f>VLOOKUP(D3674,Товар!$A$2:$F$1000,3,0)</f>
        <v/>
      </c>
      <c r="J3674">
        <f>VLOOKUP(D3674,Товар!$A$2:$F$1000,5,0)</f>
        <v/>
      </c>
      <c r="K3674">
        <f>IF(AND(H3674="Промышленный",LEFT(I3674,18)="Порошок стиральный",F3674="Продажа",B3674=DATE(2023,6,7)),E3674*J3674/1000,0)</f>
        <v/>
      </c>
    </row>
    <row r="3675">
      <c r="A3675" t="n">
        <v>3674</v>
      </c>
      <c r="B3675" s="1" t="n">
        <v>45091</v>
      </c>
      <c r="C3675" s="5" t="inlineStr">
        <is>
          <t>M16</t>
        </is>
      </c>
      <c r="D3675" s="5" t="n">
        <v>2</v>
      </c>
      <c r="E3675" s="5" t="n">
        <v>275</v>
      </c>
      <c r="F3675" t="inlineStr">
        <is>
          <t>Продажа</t>
        </is>
      </c>
      <c r="H3675">
        <f>VLOOKUP(C3675,Магазин!$A$2:$C$1000,2,0)</f>
        <v/>
      </c>
      <c r="I3675">
        <f>VLOOKUP(D3675,Товар!$A$2:$F$1000,3,0)</f>
        <v/>
      </c>
      <c r="J3675">
        <f>VLOOKUP(D3675,Товар!$A$2:$F$1000,5,0)</f>
        <v/>
      </c>
      <c r="K3675">
        <f>IF(AND(H3675="Промышленный",LEFT(I3675,18)="Порошок стиральный",F3675="Продажа",B3675=DATE(2023,6,7)),E3675*J3675/1000,0)</f>
        <v/>
      </c>
    </row>
    <row r="3676">
      <c r="A3676" t="n">
        <v>3675</v>
      </c>
      <c r="B3676" s="1" t="n">
        <v>45091</v>
      </c>
      <c r="C3676" s="5" t="inlineStr">
        <is>
          <t>M16</t>
        </is>
      </c>
      <c r="D3676" s="5" t="n">
        <v>3</v>
      </c>
      <c r="E3676" s="5" t="n">
        <v>234</v>
      </c>
      <c r="F3676" t="inlineStr">
        <is>
          <t>Продажа</t>
        </is>
      </c>
      <c r="H3676">
        <f>VLOOKUP(C3676,Магазин!$A$2:$C$1000,2,0)</f>
        <v/>
      </c>
      <c r="I3676">
        <f>VLOOKUP(D3676,Товар!$A$2:$F$1000,3,0)</f>
        <v/>
      </c>
      <c r="J3676">
        <f>VLOOKUP(D3676,Товар!$A$2:$F$1000,5,0)</f>
        <v/>
      </c>
      <c r="K3676">
        <f>IF(AND(H3676="Промышленный",LEFT(I3676,18)="Порошок стиральный",F3676="Продажа",B3676=DATE(2023,6,7)),E3676*J3676/1000,0)</f>
        <v/>
      </c>
    </row>
    <row r="3677">
      <c r="A3677" t="n">
        <v>3676</v>
      </c>
      <c r="B3677" s="1" t="n">
        <v>45091</v>
      </c>
      <c r="C3677" s="5" t="inlineStr">
        <is>
          <t>M16</t>
        </is>
      </c>
      <c r="D3677" s="5" t="n">
        <v>4</v>
      </c>
      <c r="E3677" s="5" t="n">
        <v>228</v>
      </c>
      <c r="F3677" t="inlineStr">
        <is>
          <t>Продажа</t>
        </is>
      </c>
      <c r="H3677">
        <f>VLOOKUP(C3677,Магазин!$A$2:$C$1000,2,0)</f>
        <v/>
      </c>
      <c r="I3677">
        <f>VLOOKUP(D3677,Товар!$A$2:$F$1000,3,0)</f>
        <v/>
      </c>
      <c r="J3677">
        <f>VLOOKUP(D3677,Товар!$A$2:$F$1000,5,0)</f>
        <v/>
      </c>
      <c r="K3677">
        <f>IF(AND(H3677="Промышленный",LEFT(I3677,18)="Порошок стиральный",F3677="Продажа",B3677=DATE(2023,6,7)),E3677*J3677/1000,0)</f>
        <v/>
      </c>
    </row>
    <row r="3678">
      <c r="A3678" t="n">
        <v>3677</v>
      </c>
      <c r="B3678" s="1" t="n">
        <v>45091</v>
      </c>
      <c r="C3678" s="5" t="inlineStr">
        <is>
          <t>M16</t>
        </is>
      </c>
      <c r="D3678" s="5" t="n">
        <v>5</v>
      </c>
      <c r="E3678" s="5" t="n">
        <v>217</v>
      </c>
      <c r="F3678" t="inlineStr">
        <is>
          <t>Продажа</t>
        </is>
      </c>
      <c r="H3678">
        <f>VLOOKUP(C3678,Магазин!$A$2:$C$1000,2,0)</f>
        <v/>
      </c>
      <c r="I3678">
        <f>VLOOKUP(D3678,Товар!$A$2:$F$1000,3,0)</f>
        <v/>
      </c>
      <c r="J3678">
        <f>VLOOKUP(D3678,Товар!$A$2:$F$1000,5,0)</f>
        <v/>
      </c>
      <c r="K3678">
        <f>IF(AND(H3678="Промышленный",LEFT(I3678,18)="Порошок стиральный",F3678="Продажа",B3678=DATE(2023,6,7)),E3678*J3678/1000,0)</f>
        <v/>
      </c>
    </row>
    <row r="3679">
      <c r="A3679" t="n">
        <v>3678</v>
      </c>
      <c r="B3679" s="1" t="n">
        <v>45091</v>
      </c>
      <c r="C3679" s="5" t="inlineStr">
        <is>
          <t>M16</t>
        </is>
      </c>
      <c r="D3679" s="5" t="n">
        <v>6</v>
      </c>
      <c r="E3679" s="5" t="n">
        <v>258</v>
      </c>
      <c r="F3679" t="inlineStr">
        <is>
          <t>Продажа</t>
        </is>
      </c>
      <c r="H3679">
        <f>VLOOKUP(C3679,Магазин!$A$2:$C$1000,2,0)</f>
        <v/>
      </c>
      <c r="I3679">
        <f>VLOOKUP(D3679,Товар!$A$2:$F$1000,3,0)</f>
        <v/>
      </c>
      <c r="J3679">
        <f>VLOOKUP(D3679,Товар!$A$2:$F$1000,5,0)</f>
        <v/>
      </c>
      <c r="K3679">
        <f>IF(AND(H3679="Промышленный",LEFT(I3679,18)="Порошок стиральный",F3679="Продажа",B3679=DATE(2023,6,7)),E3679*J3679/1000,0)</f>
        <v/>
      </c>
    </row>
    <row r="3680">
      <c r="A3680" t="n">
        <v>3679</v>
      </c>
      <c r="B3680" s="1" t="n">
        <v>45091</v>
      </c>
      <c r="C3680" s="5" t="inlineStr">
        <is>
          <t>M16</t>
        </is>
      </c>
      <c r="D3680" s="5" t="n">
        <v>7</v>
      </c>
      <c r="E3680" s="5" t="n">
        <v>199</v>
      </c>
      <c r="F3680" t="inlineStr">
        <is>
          <t>Продажа</t>
        </is>
      </c>
      <c r="H3680">
        <f>VLOOKUP(C3680,Магазин!$A$2:$C$1000,2,0)</f>
        <v/>
      </c>
      <c r="I3680">
        <f>VLOOKUP(D3680,Товар!$A$2:$F$1000,3,0)</f>
        <v/>
      </c>
      <c r="J3680">
        <f>VLOOKUP(D3680,Товар!$A$2:$F$1000,5,0)</f>
        <v/>
      </c>
      <c r="K3680">
        <f>IF(AND(H3680="Промышленный",LEFT(I3680,18)="Порошок стиральный",F3680="Продажа",B3680=DATE(2023,6,7)),E3680*J3680/1000,0)</f>
        <v/>
      </c>
    </row>
    <row r="3681">
      <c r="A3681" t="n">
        <v>3680</v>
      </c>
      <c r="B3681" s="1" t="n">
        <v>45091</v>
      </c>
      <c r="C3681" s="5" t="inlineStr">
        <is>
          <t>M16</t>
        </is>
      </c>
      <c r="D3681" s="5" t="n">
        <v>8</v>
      </c>
      <c r="E3681" s="5" t="n">
        <v>248</v>
      </c>
      <c r="F3681" t="inlineStr">
        <is>
          <t>Продажа</t>
        </is>
      </c>
      <c r="H3681">
        <f>VLOOKUP(C3681,Магазин!$A$2:$C$1000,2,0)</f>
        <v/>
      </c>
      <c r="I3681">
        <f>VLOOKUP(D3681,Товар!$A$2:$F$1000,3,0)</f>
        <v/>
      </c>
      <c r="J3681">
        <f>VLOOKUP(D3681,Товар!$A$2:$F$1000,5,0)</f>
        <v/>
      </c>
      <c r="K3681">
        <f>IF(AND(H3681="Промышленный",LEFT(I3681,18)="Порошок стиральный",F3681="Продажа",B3681=DATE(2023,6,7)),E3681*J3681/1000,0)</f>
        <v/>
      </c>
    </row>
    <row r="3682">
      <c r="A3682" t="n">
        <v>3681</v>
      </c>
      <c r="B3682" s="1" t="n">
        <v>45091</v>
      </c>
      <c r="C3682" s="5" t="inlineStr">
        <is>
          <t>M16</t>
        </is>
      </c>
      <c r="D3682" s="5" t="n">
        <v>9</v>
      </c>
      <c r="E3682" s="5" t="n">
        <v>236</v>
      </c>
      <c r="F3682" t="inlineStr">
        <is>
          <t>Продажа</t>
        </is>
      </c>
      <c r="H3682">
        <f>VLOOKUP(C3682,Магазин!$A$2:$C$1000,2,0)</f>
        <v/>
      </c>
      <c r="I3682">
        <f>VLOOKUP(D3682,Товар!$A$2:$F$1000,3,0)</f>
        <v/>
      </c>
      <c r="J3682">
        <f>VLOOKUP(D3682,Товар!$A$2:$F$1000,5,0)</f>
        <v/>
      </c>
      <c r="K3682">
        <f>IF(AND(H3682="Промышленный",LEFT(I3682,18)="Порошок стиральный",F3682="Продажа",B3682=DATE(2023,6,7)),E3682*J3682/1000,0)</f>
        <v/>
      </c>
    </row>
    <row r="3683">
      <c r="A3683" t="n">
        <v>3682</v>
      </c>
      <c r="B3683" s="1" t="n">
        <v>45091</v>
      </c>
      <c r="C3683" s="5" t="inlineStr">
        <is>
          <t>M16</t>
        </is>
      </c>
      <c r="D3683" s="5" t="n">
        <v>10</v>
      </c>
      <c r="E3683" s="5" t="n">
        <v>287</v>
      </c>
      <c r="F3683" t="inlineStr">
        <is>
          <t>Продажа</t>
        </is>
      </c>
      <c r="H3683">
        <f>VLOOKUP(C3683,Магазин!$A$2:$C$1000,2,0)</f>
        <v/>
      </c>
      <c r="I3683">
        <f>VLOOKUP(D3683,Товар!$A$2:$F$1000,3,0)</f>
        <v/>
      </c>
      <c r="J3683">
        <f>VLOOKUP(D3683,Товар!$A$2:$F$1000,5,0)</f>
        <v/>
      </c>
      <c r="K3683">
        <f>IF(AND(H3683="Промышленный",LEFT(I3683,18)="Порошок стиральный",F3683="Продажа",B3683=DATE(2023,6,7)),E3683*J3683/1000,0)</f>
        <v/>
      </c>
    </row>
    <row r="3684">
      <c r="A3684" t="n">
        <v>3683</v>
      </c>
      <c r="B3684" s="1" t="n">
        <v>45091</v>
      </c>
      <c r="C3684" s="5" t="inlineStr">
        <is>
          <t>M16</t>
        </is>
      </c>
      <c r="D3684" s="5" t="n">
        <v>11</v>
      </c>
      <c r="E3684" s="5" t="n">
        <v>265</v>
      </c>
      <c r="F3684" t="inlineStr">
        <is>
          <t>Продажа</t>
        </is>
      </c>
      <c r="H3684">
        <f>VLOOKUP(C3684,Магазин!$A$2:$C$1000,2,0)</f>
        <v/>
      </c>
      <c r="I3684">
        <f>VLOOKUP(D3684,Товар!$A$2:$F$1000,3,0)</f>
        <v/>
      </c>
      <c r="J3684">
        <f>VLOOKUP(D3684,Товар!$A$2:$F$1000,5,0)</f>
        <v/>
      </c>
      <c r="K3684">
        <f>IF(AND(H3684="Промышленный",LEFT(I3684,18)="Порошок стиральный",F3684="Продажа",B3684=DATE(2023,6,7)),E3684*J3684/1000,0)</f>
        <v/>
      </c>
    </row>
    <row r="3685">
      <c r="A3685" t="n">
        <v>3684</v>
      </c>
      <c r="B3685" s="1" t="n">
        <v>45091</v>
      </c>
      <c r="C3685" s="5" t="inlineStr">
        <is>
          <t>M16</t>
        </is>
      </c>
      <c r="D3685" s="5" t="n">
        <v>12</v>
      </c>
      <c r="E3685" s="5" t="n">
        <v>234</v>
      </c>
      <c r="F3685" t="inlineStr">
        <is>
          <t>Продажа</t>
        </is>
      </c>
      <c r="H3685">
        <f>VLOOKUP(C3685,Магазин!$A$2:$C$1000,2,0)</f>
        <v/>
      </c>
      <c r="I3685">
        <f>VLOOKUP(D3685,Товар!$A$2:$F$1000,3,0)</f>
        <v/>
      </c>
      <c r="J3685">
        <f>VLOOKUP(D3685,Товар!$A$2:$F$1000,5,0)</f>
        <v/>
      </c>
      <c r="K3685">
        <f>IF(AND(H3685="Промышленный",LEFT(I3685,18)="Порошок стиральный",F3685="Продажа",B3685=DATE(2023,6,7)),E3685*J3685/1000,0)</f>
        <v/>
      </c>
    </row>
    <row r="3686">
      <c r="A3686" t="n">
        <v>3685</v>
      </c>
      <c r="B3686" s="1" t="n">
        <v>45091</v>
      </c>
      <c r="C3686" s="5" t="inlineStr">
        <is>
          <t>M16</t>
        </is>
      </c>
      <c r="D3686" s="5" t="n">
        <v>13</v>
      </c>
      <c r="E3686" s="5" t="n">
        <v>258</v>
      </c>
      <c r="F3686" t="inlineStr">
        <is>
          <t>Продажа</t>
        </is>
      </c>
      <c r="H3686">
        <f>VLOOKUP(C3686,Магазин!$A$2:$C$1000,2,0)</f>
        <v/>
      </c>
      <c r="I3686">
        <f>VLOOKUP(D3686,Товар!$A$2:$F$1000,3,0)</f>
        <v/>
      </c>
      <c r="J3686">
        <f>VLOOKUP(D3686,Товар!$A$2:$F$1000,5,0)</f>
        <v/>
      </c>
      <c r="K3686">
        <f>IF(AND(H3686="Промышленный",LEFT(I3686,18)="Порошок стиральный",F3686="Продажа",B3686=DATE(2023,6,7)),E3686*J3686/1000,0)</f>
        <v/>
      </c>
    </row>
    <row r="3687">
      <c r="A3687" t="n">
        <v>3686</v>
      </c>
      <c r="B3687" s="1" t="n">
        <v>45091</v>
      </c>
      <c r="C3687" s="5" t="inlineStr">
        <is>
          <t>M16</t>
        </is>
      </c>
      <c r="D3687" s="5" t="n">
        <v>14</v>
      </c>
      <c r="E3687" s="5" t="n">
        <v>264</v>
      </c>
      <c r="F3687" t="inlineStr">
        <is>
          <t>Продажа</t>
        </is>
      </c>
      <c r="H3687">
        <f>VLOOKUP(C3687,Магазин!$A$2:$C$1000,2,0)</f>
        <v/>
      </c>
      <c r="I3687">
        <f>VLOOKUP(D3687,Товар!$A$2:$F$1000,3,0)</f>
        <v/>
      </c>
      <c r="J3687">
        <f>VLOOKUP(D3687,Товар!$A$2:$F$1000,5,0)</f>
        <v/>
      </c>
      <c r="K3687">
        <f>IF(AND(H3687="Промышленный",LEFT(I3687,18)="Порошок стиральный",F3687="Продажа",B3687=DATE(2023,6,7)),E3687*J3687/1000,0)</f>
        <v/>
      </c>
    </row>
    <row r="3688">
      <c r="A3688" t="n">
        <v>3687</v>
      </c>
      <c r="B3688" s="1" t="n">
        <v>45091</v>
      </c>
      <c r="C3688" s="5" t="inlineStr">
        <is>
          <t>M16</t>
        </is>
      </c>
      <c r="D3688" s="5" t="n">
        <v>15</v>
      </c>
      <c r="E3688" s="5" t="n">
        <v>237</v>
      </c>
      <c r="F3688" t="inlineStr">
        <is>
          <t>Продажа</t>
        </is>
      </c>
      <c r="H3688">
        <f>VLOOKUP(C3688,Магазин!$A$2:$C$1000,2,0)</f>
        <v/>
      </c>
      <c r="I3688">
        <f>VLOOKUP(D3688,Товар!$A$2:$F$1000,3,0)</f>
        <v/>
      </c>
      <c r="J3688">
        <f>VLOOKUP(D3688,Товар!$A$2:$F$1000,5,0)</f>
        <v/>
      </c>
      <c r="K3688">
        <f>IF(AND(H3688="Промышленный",LEFT(I3688,18)="Порошок стиральный",F3688="Продажа",B3688=DATE(2023,6,7)),E3688*J3688/1000,0)</f>
        <v/>
      </c>
    </row>
    <row r="3689">
      <c r="A3689" t="n">
        <v>3688</v>
      </c>
      <c r="B3689" s="1" t="n">
        <v>45091</v>
      </c>
      <c r="C3689" s="5" t="inlineStr">
        <is>
          <t>M16</t>
        </is>
      </c>
      <c r="D3689" s="5" t="n">
        <v>16</v>
      </c>
      <c r="E3689" s="5" t="n">
        <v>218</v>
      </c>
      <c r="F3689" t="inlineStr">
        <is>
          <t>Продажа</t>
        </is>
      </c>
      <c r="H3689">
        <f>VLOOKUP(C3689,Магазин!$A$2:$C$1000,2,0)</f>
        <v/>
      </c>
      <c r="I3689">
        <f>VLOOKUP(D3689,Товар!$A$2:$F$1000,3,0)</f>
        <v/>
      </c>
      <c r="J3689">
        <f>VLOOKUP(D3689,Товар!$A$2:$F$1000,5,0)</f>
        <v/>
      </c>
      <c r="K3689">
        <f>IF(AND(H3689="Промышленный",LEFT(I3689,18)="Порошок стиральный",F3689="Продажа",B3689=DATE(2023,6,7)),E3689*J3689/1000,0)</f>
        <v/>
      </c>
    </row>
    <row r="3690">
      <c r="A3690" t="n">
        <v>3689</v>
      </c>
      <c r="B3690" s="1" t="n">
        <v>45091</v>
      </c>
      <c r="C3690" s="5" t="inlineStr">
        <is>
          <t>M16</t>
        </is>
      </c>
      <c r="D3690" s="5" t="n">
        <v>17</v>
      </c>
      <c r="E3690" s="5" t="n">
        <v>249</v>
      </c>
      <c r="F3690" t="inlineStr">
        <is>
          <t>Продажа</t>
        </is>
      </c>
      <c r="H3690">
        <f>VLOOKUP(C3690,Магазин!$A$2:$C$1000,2,0)</f>
        <v/>
      </c>
      <c r="I3690">
        <f>VLOOKUP(D3690,Товар!$A$2:$F$1000,3,0)</f>
        <v/>
      </c>
      <c r="J3690">
        <f>VLOOKUP(D3690,Товар!$A$2:$F$1000,5,0)</f>
        <v/>
      </c>
      <c r="K3690">
        <f>IF(AND(H3690="Промышленный",LEFT(I3690,18)="Порошок стиральный",F3690="Продажа",B3690=DATE(2023,6,7)),E3690*J3690/1000,0)</f>
        <v/>
      </c>
    </row>
    <row r="3691">
      <c r="A3691" t="n">
        <v>3690</v>
      </c>
      <c r="B3691" s="1" t="n">
        <v>45091</v>
      </c>
      <c r="C3691" s="5" t="inlineStr">
        <is>
          <t>M16</t>
        </is>
      </c>
      <c r="D3691" s="5" t="n">
        <v>18</v>
      </c>
      <c r="E3691" s="5" t="n">
        <v>273</v>
      </c>
      <c r="F3691" t="inlineStr">
        <is>
          <t>Продажа</t>
        </is>
      </c>
      <c r="H3691">
        <f>VLOOKUP(C3691,Магазин!$A$2:$C$1000,2,0)</f>
        <v/>
      </c>
      <c r="I3691">
        <f>VLOOKUP(D3691,Товар!$A$2:$F$1000,3,0)</f>
        <v/>
      </c>
      <c r="J3691">
        <f>VLOOKUP(D3691,Товар!$A$2:$F$1000,5,0)</f>
        <v/>
      </c>
      <c r="K3691">
        <f>IF(AND(H3691="Промышленный",LEFT(I3691,18)="Порошок стиральный",F3691="Продажа",B3691=DATE(2023,6,7)),E3691*J3691/1000,0)</f>
        <v/>
      </c>
    </row>
    <row r="3692">
      <c r="A3692" t="n">
        <v>3691</v>
      </c>
      <c r="B3692" s="1" t="n">
        <v>45091</v>
      </c>
      <c r="C3692" s="5" t="inlineStr">
        <is>
          <t>M16</t>
        </is>
      </c>
      <c r="D3692" s="5" t="n">
        <v>19</v>
      </c>
      <c r="E3692" s="5" t="n">
        <v>284</v>
      </c>
      <c r="F3692" t="inlineStr">
        <is>
          <t>Продажа</t>
        </is>
      </c>
      <c r="H3692">
        <f>VLOOKUP(C3692,Магазин!$A$2:$C$1000,2,0)</f>
        <v/>
      </c>
      <c r="I3692">
        <f>VLOOKUP(D3692,Товар!$A$2:$F$1000,3,0)</f>
        <v/>
      </c>
      <c r="J3692">
        <f>VLOOKUP(D3692,Товар!$A$2:$F$1000,5,0)</f>
        <v/>
      </c>
      <c r="K3692">
        <f>IF(AND(H3692="Промышленный",LEFT(I3692,18)="Порошок стиральный",F3692="Продажа",B3692=DATE(2023,6,7)),E3692*J3692/1000,0)</f>
        <v/>
      </c>
    </row>
    <row r="3693">
      <c r="A3693" t="n">
        <v>3692</v>
      </c>
      <c r="B3693" s="1" t="n">
        <v>45091</v>
      </c>
      <c r="C3693" s="5" t="inlineStr">
        <is>
          <t>M16</t>
        </is>
      </c>
      <c r="D3693" s="5" t="n">
        <v>20</v>
      </c>
      <c r="E3693" s="5" t="n">
        <v>253</v>
      </c>
      <c r="F3693" t="inlineStr">
        <is>
          <t>Продажа</t>
        </is>
      </c>
      <c r="H3693">
        <f>VLOOKUP(C3693,Магазин!$A$2:$C$1000,2,0)</f>
        <v/>
      </c>
      <c r="I3693">
        <f>VLOOKUP(D3693,Товар!$A$2:$F$1000,3,0)</f>
        <v/>
      </c>
      <c r="J3693">
        <f>VLOOKUP(D3693,Товар!$A$2:$F$1000,5,0)</f>
        <v/>
      </c>
      <c r="K3693">
        <f>IF(AND(H3693="Промышленный",LEFT(I3693,18)="Порошок стиральный",F3693="Продажа",B3693=DATE(2023,6,7)),E3693*J3693/1000,0)</f>
        <v/>
      </c>
    </row>
    <row r="3694">
      <c r="A3694" t="n">
        <v>3693</v>
      </c>
      <c r="B3694" s="1" t="n">
        <v>45091</v>
      </c>
      <c r="C3694" s="5" t="inlineStr">
        <is>
          <t>M16</t>
        </is>
      </c>
      <c r="D3694" s="5" t="n">
        <v>21</v>
      </c>
      <c r="E3694" s="5" t="n">
        <v>261</v>
      </c>
      <c r="F3694" t="inlineStr">
        <is>
          <t>Продажа</t>
        </is>
      </c>
      <c r="H3694">
        <f>VLOOKUP(C3694,Магазин!$A$2:$C$1000,2,0)</f>
        <v/>
      </c>
      <c r="I3694">
        <f>VLOOKUP(D3694,Товар!$A$2:$F$1000,3,0)</f>
        <v/>
      </c>
      <c r="J3694">
        <f>VLOOKUP(D3694,Товар!$A$2:$F$1000,5,0)</f>
        <v/>
      </c>
      <c r="K3694">
        <f>IF(AND(H3694="Промышленный",LEFT(I3694,18)="Порошок стиральный",F3694="Продажа",B3694=DATE(2023,6,7)),E3694*J3694/1000,0)</f>
        <v/>
      </c>
    </row>
    <row r="3695">
      <c r="A3695" t="n">
        <v>3694</v>
      </c>
      <c r="B3695" s="1" t="n">
        <v>45091</v>
      </c>
      <c r="C3695" s="5" t="inlineStr">
        <is>
          <t>M16</t>
        </is>
      </c>
      <c r="D3695" s="5" t="n">
        <v>22</v>
      </c>
      <c r="E3695" s="5" t="n">
        <v>276</v>
      </c>
      <c r="F3695" t="inlineStr">
        <is>
          <t>Продажа</t>
        </is>
      </c>
      <c r="H3695">
        <f>VLOOKUP(C3695,Магазин!$A$2:$C$1000,2,0)</f>
        <v/>
      </c>
      <c r="I3695">
        <f>VLOOKUP(D3695,Товар!$A$2:$F$1000,3,0)</f>
        <v/>
      </c>
      <c r="J3695">
        <f>VLOOKUP(D3695,Товар!$A$2:$F$1000,5,0)</f>
        <v/>
      </c>
      <c r="K3695">
        <f>IF(AND(H3695="Промышленный",LEFT(I3695,18)="Порошок стиральный",F3695="Продажа",B3695=DATE(2023,6,7)),E3695*J3695/1000,0)</f>
        <v/>
      </c>
    </row>
    <row r="3696">
      <c r="A3696" t="n">
        <v>3695</v>
      </c>
      <c r="B3696" s="1" t="n">
        <v>45091</v>
      </c>
      <c r="C3696" s="5" t="inlineStr">
        <is>
          <t>M16</t>
        </is>
      </c>
      <c r="D3696" s="5" t="n">
        <v>23</v>
      </c>
      <c r="E3696" s="5" t="n">
        <v>248</v>
      </c>
      <c r="F3696" t="inlineStr">
        <is>
          <t>Продажа</t>
        </is>
      </c>
      <c r="H3696">
        <f>VLOOKUP(C3696,Магазин!$A$2:$C$1000,2,0)</f>
        <v/>
      </c>
      <c r="I3696">
        <f>VLOOKUP(D3696,Товар!$A$2:$F$1000,3,0)</f>
        <v/>
      </c>
      <c r="J3696">
        <f>VLOOKUP(D3696,Товар!$A$2:$F$1000,5,0)</f>
        <v/>
      </c>
      <c r="K3696">
        <f>IF(AND(H3696="Промышленный",LEFT(I3696,18)="Порошок стиральный",F3696="Продажа",B3696=DATE(2023,6,7)),E3696*J3696/1000,0)</f>
        <v/>
      </c>
    </row>
    <row r="3697">
      <c r="A3697" t="n">
        <v>3696</v>
      </c>
      <c r="B3697" s="1" t="n">
        <v>45091</v>
      </c>
      <c r="C3697" s="5" t="inlineStr">
        <is>
          <t>M16</t>
        </is>
      </c>
      <c r="D3697" s="5" t="n">
        <v>24</v>
      </c>
      <c r="E3697" s="5" t="n">
        <v>249</v>
      </c>
      <c r="F3697" t="inlineStr">
        <is>
          <t>Продажа</t>
        </is>
      </c>
      <c r="H3697">
        <f>VLOOKUP(C3697,Магазин!$A$2:$C$1000,2,0)</f>
        <v/>
      </c>
      <c r="I3697">
        <f>VLOOKUP(D3697,Товар!$A$2:$F$1000,3,0)</f>
        <v/>
      </c>
      <c r="J3697">
        <f>VLOOKUP(D3697,Товар!$A$2:$F$1000,5,0)</f>
        <v/>
      </c>
      <c r="K3697">
        <f>IF(AND(H3697="Промышленный",LEFT(I3697,18)="Порошок стиральный",F3697="Продажа",B3697=DATE(2023,6,7)),E3697*J3697/1000,0)</f>
        <v/>
      </c>
    </row>
    <row r="3698">
      <c r="A3698" t="n">
        <v>3697</v>
      </c>
      <c r="B3698" s="1" t="n">
        <v>45091</v>
      </c>
      <c r="C3698" s="5" t="inlineStr">
        <is>
          <t>M16</t>
        </is>
      </c>
      <c r="D3698" s="5" t="n">
        <v>25</v>
      </c>
      <c r="E3698" s="5" t="n">
        <v>234</v>
      </c>
      <c r="F3698" t="inlineStr">
        <is>
          <t>Продажа</t>
        </is>
      </c>
      <c r="H3698">
        <f>VLOOKUP(C3698,Магазин!$A$2:$C$1000,2,0)</f>
        <v/>
      </c>
      <c r="I3698">
        <f>VLOOKUP(D3698,Товар!$A$2:$F$1000,3,0)</f>
        <v/>
      </c>
      <c r="J3698">
        <f>VLOOKUP(D3698,Товар!$A$2:$F$1000,5,0)</f>
        <v/>
      </c>
      <c r="K3698">
        <f>IF(AND(H3698="Промышленный",LEFT(I3698,18)="Порошок стиральный",F3698="Продажа",B3698=DATE(2023,6,7)),E3698*J3698/1000,0)</f>
        <v/>
      </c>
    </row>
    <row r="3699">
      <c r="A3699" t="n">
        <v>3698</v>
      </c>
      <c r="B3699" s="1" t="n">
        <v>45091</v>
      </c>
      <c r="C3699" s="5" t="inlineStr">
        <is>
          <t>M16</t>
        </is>
      </c>
      <c r="D3699" s="5" t="n">
        <v>26</v>
      </c>
      <c r="E3699" s="5" t="n">
        <v>238</v>
      </c>
      <c r="F3699" t="inlineStr">
        <is>
          <t>Продажа</t>
        </is>
      </c>
      <c r="H3699">
        <f>VLOOKUP(C3699,Магазин!$A$2:$C$1000,2,0)</f>
        <v/>
      </c>
      <c r="I3699">
        <f>VLOOKUP(D3699,Товар!$A$2:$F$1000,3,0)</f>
        <v/>
      </c>
      <c r="J3699">
        <f>VLOOKUP(D3699,Товар!$A$2:$F$1000,5,0)</f>
        <v/>
      </c>
      <c r="K3699">
        <f>IF(AND(H3699="Промышленный",LEFT(I3699,18)="Порошок стиральный",F3699="Продажа",B3699=DATE(2023,6,7)),E3699*J3699/1000,0)</f>
        <v/>
      </c>
    </row>
    <row r="3700">
      <c r="A3700" t="n">
        <v>3699</v>
      </c>
      <c r="B3700" s="1" t="n">
        <v>45091</v>
      </c>
      <c r="C3700" s="5" t="inlineStr">
        <is>
          <t>M16</t>
        </is>
      </c>
      <c r="D3700" s="5" t="n">
        <v>27</v>
      </c>
      <c r="E3700" s="5" t="n">
        <v>295</v>
      </c>
      <c r="F3700" t="inlineStr">
        <is>
          <t>Продажа</t>
        </is>
      </c>
      <c r="H3700">
        <f>VLOOKUP(C3700,Магазин!$A$2:$C$1000,2,0)</f>
        <v/>
      </c>
      <c r="I3700">
        <f>VLOOKUP(D3700,Товар!$A$2:$F$1000,3,0)</f>
        <v/>
      </c>
      <c r="J3700">
        <f>VLOOKUP(D3700,Товар!$A$2:$F$1000,5,0)</f>
        <v/>
      </c>
      <c r="K3700">
        <f>IF(AND(H3700="Промышленный",LEFT(I3700,18)="Порошок стиральный",F3700="Продажа",B3700=DATE(2023,6,7)),E3700*J3700/1000,0)</f>
        <v/>
      </c>
    </row>
    <row r="3701">
      <c r="A3701" t="n">
        <v>3700</v>
      </c>
      <c r="B3701" s="1" t="n">
        <v>45091</v>
      </c>
      <c r="C3701" s="5" t="inlineStr">
        <is>
          <t>M16</t>
        </is>
      </c>
      <c r="D3701" s="5" t="n">
        <v>28</v>
      </c>
      <c r="E3701" s="5" t="n">
        <v>211</v>
      </c>
      <c r="F3701" t="inlineStr">
        <is>
          <t>Продажа</t>
        </is>
      </c>
      <c r="H3701">
        <f>VLOOKUP(C3701,Магазин!$A$2:$C$1000,2,0)</f>
        <v/>
      </c>
      <c r="I3701">
        <f>VLOOKUP(D3701,Товар!$A$2:$F$1000,3,0)</f>
        <v/>
      </c>
      <c r="J3701">
        <f>VLOOKUP(D3701,Товар!$A$2:$F$1000,5,0)</f>
        <v/>
      </c>
      <c r="K3701">
        <f>IF(AND(H3701="Промышленный",LEFT(I3701,18)="Порошок стиральный",F3701="Продажа",B3701=DATE(2023,6,7)),E3701*J3701/1000,0)</f>
        <v/>
      </c>
    </row>
    <row r="3702">
      <c r="A3702" t="n">
        <v>3701</v>
      </c>
      <c r="B3702" s="1" t="n">
        <v>45091</v>
      </c>
      <c r="C3702" s="5" t="inlineStr">
        <is>
          <t>M16</t>
        </is>
      </c>
      <c r="D3702" s="5" t="n">
        <v>29</v>
      </c>
      <c r="E3702" s="5" t="n">
        <v>233</v>
      </c>
      <c r="F3702" t="inlineStr">
        <is>
          <t>Продажа</t>
        </is>
      </c>
      <c r="H3702">
        <f>VLOOKUP(C3702,Магазин!$A$2:$C$1000,2,0)</f>
        <v/>
      </c>
      <c r="I3702">
        <f>VLOOKUP(D3702,Товар!$A$2:$F$1000,3,0)</f>
        <v/>
      </c>
      <c r="J3702">
        <f>VLOOKUP(D3702,Товар!$A$2:$F$1000,5,0)</f>
        <v/>
      </c>
      <c r="K3702">
        <f>IF(AND(H3702="Промышленный",LEFT(I3702,18)="Порошок стиральный",F3702="Продажа",B3702=DATE(2023,6,7)),E3702*J3702/1000,0)</f>
        <v/>
      </c>
    </row>
    <row r="3703">
      <c r="A3703" t="n">
        <v>3702</v>
      </c>
      <c r="B3703" s="1" t="n">
        <v>45091</v>
      </c>
      <c r="C3703" s="5" t="inlineStr">
        <is>
          <t>M16</t>
        </is>
      </c>
      <c r="D3703" s="5" t="n">
        <v>30</v>
      </c>
      <c r="E3703" s="5" t="n">
        <v>244</v>
      </c>
      <c r="F3703" t="inlineStr">
        <is>
          <t>Продажа</t>
        </is>
      </c>
      <c r="H3703">
        <f>VLOOKUP(C3703,Магазин!$A$2:$C$1000,2,0)</f>
        <v/>
      </c>
      <c r="I3703">
        <f>VLOOKUP(D3703,Товар!$A$2:$F$1000,3,0)</f>
        <v/>
      </c>
      <c r="J3703">
        <f>VLOOKUP(D3703,Товар!$A$2:$F$1000,5,0)</f>
        <v/>
      </c>
      <c r="K3703">
        <f>IF(AND(H3703="Промышленный",LEFT(I3703,18)="Порошок стиральный",F3703="Продажа",B3703=DATE(2023,6,7)),E3703*J3703/1000,0)</f>
        <v/>
      </c>
    </row>
    <row r="3704">
      <c r="A3704" t="n">
        <v>3703</v>
      </c>
      <c r="B3704" s="1" t="n">
        <v>45091</v>
      </c>
      <c r="C3704" s="5" t="inlineStr">
        <is>
          <t>M16</t>
        </is>
      </c>
      <c r="D3704" s="5" t="n">
        <v>31</v>
      </c>
      <c r="E3704" s="5" t="n">
        <v>255</v>
      </c>
      <c r="F3704" t="inlineStr">
        <is>
          <t>Продажа</t>
        </is>
      </c>
      <c r="H3704">
        <f>VLOOKUP(C3704,Магазин!$A$2:$C$1000,2,0)</f>
        <v/>
      </c>
      <c r="I3704">
        <f>VLOOKUP(D3704,Товар!$A$2:$F$1000,3,0)</f>
        <v/>
      </c>
      <c r="J3704">
        <f>VLOOKUP(D3704,Товар!$A$2:$F$1000,5,0)</f>
        <v/>
      </c>
      <c r="K3704">
        <f>IF(AND(H3704="Промышленный",LEFT(I3704,18)="Порошок стиральный",F3704="Продажа",B3704=DATE(2023,6,7)),E3704*J3704/1000,0)</f>
        <v/>
      </c>
    </row>
    <row r="3705">
      <c r="A3705" t="n">
        <v>3704</v>
      </c>
      <c r="B3705" s="1" t="n">
        <v>45091</v>
      </c>
      <c r="C3705" s="5" t="inlineStr">
        <is>
          <t>M16</t>
        </is>
      </c>
      <c r="D3705" s="5" t="n">
        <v>32</v>
      </c>
      <c r="E3705" s="5" t="n">
        <v>266</v>
      </c>
      <c r="F3705" t="inlineStr">
        <is>
          <t>Продажа</t>
        </is>
      </c>
      <c r="H3705">
        <f>VLOOKUP(C3705,Магазин!$A$2:$C$1000,2,0)</f>
        <v/>
      </c>
      <c r="I3705">
        <f>VLOOKUP(D3705,Товар!$A$2:$F$1000,3,0)</f>
        <v/>
      </c>
      <c r="J3705">
        <f>VLOOKUP(D3705,Товар!$A$2:$F$1000,5,0)</f>
        <v/>
      </c>
      <c r="K3705">
        <f>IF(AND(H3705="Промышленный",LEFT(I3705,18)="Порошок стиральный",F3705="Продажа",B3705=DATE(2023,6,7)),E3705*J3705/1000,0)</f>
        <v/>
      </c>
    </row>
    <row r="3706">
      <c r="A3706" t="n">
        <v>3705</v>
      </c>
      <c r="B3706" s="1" t="n">
        <v>45091</v>
      </c>
      <c r="C3706" s="5" t="inlineStr">
        <is>
          <t>M16</t>
        </is>
      </c>
      <c r="D3706" s="5" t="n">
        <v>33</v>
      </c>
      <c r="E3706" s="5" t="n">
        <v>277</v>
      </c>
      <c r="F3706" t="inlineStr">
        <is>
          <t>Продажа</t>
        </is>
      </c>
      <c r="H3706">
        <f>VLOOKUP(C3706,Магазин!$A$2:$C$1000,2,0)</f>
        <v/>
      </c>
      <c r="I3706">
        <f>VLOOKUP(D3706,Товар!$A$2:$F$1000,3,0)</f>
        <v/>
      </c>
      <c r="J3706">
        <f>VLOOKUP(D3706,Товар!$A$2:$F$1000,5,0)</f>
        <v/>
      </c>
      <c r="K3706">
        <f>IF(AND(H3706="Промышленный",LEFT(I3706,18)="Порошок стиральный",F3706="Продажа",B3706=DATE(2023,6,7)),E3706*J3706/1000,0)</f>
        <v/>
      </c>
    </row>
    <row r="3707">
      <c r="A3707" t="n">
        <v>3706</v>
      </c>
      <c r="B3707" s="1" t="n">
        <v>45091</v>
      </c>
      <c r="C3707" s="5" t="inlineStr">
        <is>
          <t>M16</t>
        </is>
      </c>
      <c r="D3707" s="5" t="n">
        <v>34</v>
      </c>
      <c r="E3707" s="5" t="n">
        <v>288</v>
      </c>
      <c r="F3707" t="inlineStr">
        <is>
          <t>Продажа</t>
        </is>
      </c>
      <c r="H3707">
        <f>VLOOKUP(C3707,Магазин!$A$2:$C$1000,2,0)</f>
        <v/>
      </c>
      <c r="I3707">
        <f>VLOOKUP(D3707,Товар!$A$2:$F$1000,3,0)</f>
        <v/>
      </c>
      <c r="J3707">
        <f>VLOOKUP(D3707,Товар!$A$2:$F$1000,5,0)</f>
        <v/>
      </c>
      <c r="K3707">
        <f>IF(AND(H3707="Промышленный",LEFT(I3707,18)="Порошок стиральный",F3707="Продажа",B3707=DATE(2023,6,7)),E3707*J3707/1000,0)</f>
        <v/>
      </c>
    </row>
    <row r="3708">
      <c r="A3708" t="n">
        <v>3707</v>
      </c>
      <c r="B3708" s="1" t="n">
        <v>45091</v>
      </c>
      <c r="C3708" s="5" t="inlineStr">
        <is>
          <t>M16</t>
        </is>
      </c>
      <c r="D3708" s="5" t="n">
        <v>35</v>
      </c>
      <c r="E3708" s="5" t="n">
        <v>299</v>
      </c>
      <c r="F3708" t="inlineStr">
        <is>
          <t>Продажа</t>
        </is>
      </c>
      <c r="H3708">
        <f>VLOOKUP(C3708,Магазин!$A$2:$C$1000,2,0)</f>
        <v/>
      </c>
      <c r="I3708">
        <f>VLOOKUP(D3708,Товар!$A$2:$F$1000,3,0)</f>
        <v/>
      </c>
      <c r="J3708">
        <f>VLOOKUP(D3708,Товар!$A$2:$F$1000,5,0)</f>
        <v/>
      </c>
      <c r="K3708">
        <f>IF(AND(H3708="Промышленный",LEFT(I3708,18)="Порошок стиральный",F3708="Продажа",B3708=DATE(2023,6,7)),E3708*J3708/1000,0)</f>
        <v/>
      </c>
    </row>
    <row r="3709">
      <c r="A3709" t="n">
        <v>3708</v>
      </c>
      <c r="B3709" s="1" t="n">
        <v>45091</v>
      </c>
      <c r="C3709" s="5" t="inlineStr">
        <is>
          <t>M16</t>
        </is>
      </c>
      <c r="D3709" s="5" t="n">
        <v>36</v>
      </c>
      <c r="E3709" s="5" t="n">
        <v>201</v>
      </c>
      <c r="F3709" t="inlineStr">
        <is>
          <t>Продажа</t>
        </is>
      </c>
      <c r="H3709">
        <f>VLOOKUP(C3709,Магазин!$A$2:$C$1000,2,0)</f>
        <v/>
      </c>
      <c r="I3709">
        <f>VLOOKUP(D3709,Товар!$A$2:$F$1000,3,0)</f>
        <v/>
      </c>
      <c r="J3709">
        <f>VLOOKUP(D3709,Товар!$A$2:$F$1000,5,0)</f>
        <v/>
      </c>
      <c r="K3709">
        <f>IF(AND(H3709="Промышленный",LEFT(I3709,18)="Порошок стиральный",F3709="Продажа",B3709=DATE(2023,6,7)),E3709*J3709/1000,0)</f>
        <v/>
      </c>
    </row>
    <row r="3710">
      <c r="A3710" t="n">
        <v>3709</v>
      </c>
      <c r="B3710" s="1" t="n">
        <v>45091</v>
      </c>
      <c r="C3710" s="5" t="inlineStr">
        <is>
          <t>M3</t>
        </is>
      </c>
      <c r="D3710" s="5" t="n">
        <v>1</v>
      </c>
      <c r="E3710" s="5" t="n">
        <v>109</v>
      </c>
      <c r="F3710" t="inlineStr">
        <is>
          <t>Продажа</t>
        </is>
      </c>
      <c r="H3710">
        <f>VLOOKUP(C3710,Магазин!$A$2:$C$1000,2,0)</f>
        <v/>
      </c>
      <c r="I3710">
        <f>VLOOKUP(D3710,Товар!$A$2:$F$1000,3,0)</f>
        <v/>
      </c>
      <c r="J3710">
        <f>VLOOKUP(D3710,Товар!$A$2:$F$1000,5,0)</f>
        <v/>
      </c>
      <c r="K3710">
        <f>IF(AND(H3710="Промышленный",LEFT(I3710,18)="Порошок стиральный",F3710="Продажа",B3710=DATE(2023,6,7)),E3710*J3710/1000,0)</f>
        <v/>
      </c>
    </row>
    <row r="3711">
      <c r="A3711" t="n">
        <v>3710</v>
      </c>
      <c r="B3711" s="1" t="n">
        <v>45091</v>
      </c>
      <c r="C3711" s="5" t="inlineStr">
        <is>
          <t>M3</t>
        </is>
      </c>
      <c r="D3711" s="5" t="n">
        <v>2</v>
      </c>
      <c r="E3711" s="5" t="n">
        <v>98</v>
      </c>
      <c r="F3711" t="inlineStr">
        <is>
          <t>Продажа</t>
        </is>
      </c>
      <c r="H3711">
        <f>VLOOKUP(C3711,Магазин!$A$2:$C$1000,2,0)</f>
        <v/>
      </c>
      <c r="I3711">
        <f>VLOOKUP(D3711,Товар!$A$2:$F$1000,3,0)</f>
        <v/>
      </c>
      <c r="J3711">
        <f>VLOOKUP(D3711,Товар!$A$2:$F$1000,5,0)</f>
        <v/>
      </c>
      <c r="K3711">
        <f>IF(AND(H3711="Промышленный",LEFT(I3711,18)="Порошок стиральный",F3711="Продажа",B3711=DATE(2023,6,7)),E3711*J3711/1000,0)</f>
        <v/>
      </c>
    </row>
    <row r="3712">
      <c r="A3712" t="n">
        <v>3711</v>
      </c>
      <c r="B3712" s="1" t="n">
        <v>45091</v>
      </c>
      <c r="C3712" s="5" t="inlineStr">
        <is>
          <t>M3</t>
        </is>
      </c>
      <c r="D3712" s="5" t="n">
        <v>3</v>
      </c>
      <c r="E3712" s="5" t="n">
        <v>95</v>
      </c>
      <c r="F3712" t="inlineStr">
        <is>
          <t>Продажа</t>
        </is>
      </c>
      <c r="H3712">
        <f>VLOOKUP(C3712,Магазин!$A$2:$C$1000,2,0)</f>
        <v/>
      </c>
      <c r="I3712">
        <f>VLOOKUP(D3712,Товар!$A$2:$F$1000,3,0)</f>
        <v/>
      </c>
      <c r="J3712">
        <f>VLOOKUP(D3712,Товар!$A$2:$F$1000,5,0)</f>
        <v/>
      </c>
      <c r="K3712">
        <f>IF(AND(H3712="Промышленный",LEFT(I3712,18)="Порошок стиральный",F3712="Продажа",B3712=DATE(2023,6,7)),E3712*J3712/1000,0)</f>
        <v/>
      </c>
    </row>
    <row r="3713">
      <c r="A3713" t="n">
        <v>3712</v>
      </c>
      <c r="B3713" s="1" t="n">
        <v>45091</v>
      </c>
      <c r="C3713" s="5" t="inlineStr">
        <is>
          <t>M3</t>
        </is>
      </c>
      <c r="D3713" s="5" t="n">
        <v>4</v>
      </c>
      <c r="E3713" s="5" t="n">
        <v>68</v>
      </c>
      <c r="F3713" t="inlineStr">
        <is>
          <t>Продажа</t>
        </is>
      </c>
      <c r="H3713">
        <f>VLOOKUP(C3713,Магазин!$A$2:$C$1000,2,0)</f>
        <v/>
      </c>
      <c r="I3713">
        <f>VLOOKUP(D3713,Товар!$A$2:$F$1000,3,0)</f>
        <v/>
      </c>
      <c r="J3713">
        <f>VLOOKUP(D3713,Товар!$A$2:$F$1000,5,0)</f>
        <v/>
      </c>
      <c r="K3713">
        <f>IF(AND(H3713="Промышленный",LEFT(I3713,18)="Порошок стиральный",F3713="Продажа",B3713=DATE(2023,6,7)),E3713*J3713/1000,0)</f>
        <v/>
      </c>
    </row>
    <row r="3714">
      <c r="A3714" t="n">
        <v>3713</v>
      </c>
      <c r="B3714" s="1" t="n">
        <v>45091</v>
      </c>
      <c r="C3714" s="5" t="inlineStr">
        <is>
          <t>M3</t>
        </is>
      </c>
      <c r="D3714" s="5" t="n">
        <v>5</v>
      </c>
      <c r="E3714" s="5" t="n">
        <v>79</v>
      </c>
      <c r="F3714" t="inlineStr">
        <is>
          <t>Продажа</t>
        </is>
      </c>
      <c r="H3714">
        <f>VLOOKUP(C3714,Магазин!$A$2:$C$1000,2,0)</f>
        <v/>
      </c>
      <c r="I3714">
        <f>VLOOKUP(D3714,Товар!$A$2:$F$1000,3,0)</f>
        <v/>
      </c>
      <c r="J3714">
        <f>VLOOKUP(D3714,Товар!$A$2:$F$1000,5,0)</f>
        <v/>
      </c>
      <c r="K3714">
        <f>IF(AND(H3714="Промышленный",LEFT(I3714,18)="Порошок стиральный",F3714="Продажа",B3714=DATE(2023,6,7)),E3714*J3714/1000,0)</f>
        <v/>
      </c>
    </row>
    <row r="3715">
      <c r="A3715" t="n">
        <v>3714</v>
      </c>
      <c r="B3715" s="1" t="n">
        <v>45091</v>
      </c>
      <c r="C3715" s="5" t="inlineStr">
        <is>
          <t>M3</t>
        </is>
      </c>
      <c r="D3715" s="5" t="n">
        <v>6</v>
      </c>
      <c r="E3715" s="5" t="n">
        <v>97</v>
      </c>
      <c r="F3715" t="inlineStr">
        <is>
          <t>Продажа</t>
        </is>
      </c>
      <c r="H3715">
        <f>VLOOKUP(C3715,Магазин!$A$2:$C$1000,2,0)</f>
        <v/>
      </c>
      <c r="I3715">
        <f>VLOOKUP(D3715,Товар!$A$2:$F$1000,3,0)</f>
        <v/>
      </c>
      <c r="J3715">
        <f>VLOOKUP(D3715,Товар!$A$2:$F$1000,5,0)</f>
        <v/>
      </c>
      <c r="K3715">
        <f>IF(AND(H3715="Промышленный",LEFT(I3715,18)="Порошок стиральный",F3715="Продажа",B3715=DATE(2023,6,7)),E3715*J3715/1000,0)</f>
        <v/>
      </c>
    </row>
    <row r="3716">
      <c r="A3716" t="n">
        <v>3715</v>
      </c>
      <c r="B3716" s="1" t="n">
        <v>45091</v>
      </c>
      <c r="C3716" s="5" t="inlineStr">
        <is>
          <t>M3</t>
        </is>
      </c>
      <c r="D3716" s="5" t="n">
        <v>7</v>
      </c>
      <c r="E3716" s="5" t="n">
        <v>95</v>
      </c>
      <c r="F3716" t="inlineStr">
        <is>
          <t>Продажа</t>
        </is>
      </c>
      <c r="H3716">
        <f>VLOOKUP(C3716,Магазин!$A$2:$C$1000,2,0)</f>
        <v/>
      </c>
      <c r="I3716">
        <f>VLOOKUP(D3716,Товар!$A$2:$F$1000,3,0)</f>
        <v/>
      </c>
      <c r="J3716">
        <f>VLOOKUP(D3716,Товар!$A$2:$F$1000,5,0)</f>
        <v/>
      </c>
      <c r="K3716">
        <f>IF(AND(H3716="Промышленный",LEFT(I3716,18)="Порошок стиральный",F3716="Продажа",B3716=DATE(2023,6,7)),E3716*J3716/1000,0)</f>
        <v/>
      </c>
    </row>
    <row r="3717">
      <c r="A3717" t="n">
        <v>3716</v>
      </c>
      <c r="B3717" s="1" t="n">
        <v>45091</v>
      </c>
      <c r="C3717" s="5" t="inlineStr">
        <is>
          <t>M3</t>
        </is>
      </c>
      <c r="D3717" s="5" t="n">
        <v>8</v>
      </c>
      <c r="E3717" s="5" t="n">
        <v>94</v>
      </c>
      <c r="F3717" t="inlineStr">
        <is>
          <t>Продажа</t>
        </is>
      </c>
      <c r="H3717">
        <f>VLOOKUP(C3717,Магазин!$A$2:$C$1000,2,0)</f>
        <v/>
      </c>
      <c r="I3717">
        <f>VLOOKUP(D3717,Товар!$A$2:$F$1000,3,0)</f>
        <v/>
      </c>
      <c r="J3717">
        <f>VLOOKUP(D3717,Товар!$A$2:$F$1000,5,0)</f>
        <v/>
      </c>
      <c r="K3717">
        <f>IF(AND(H3717="Промышленный",LEFT(I3717,18)="Порошок стиральный",F3717="Продажа",B3717=DATE(2023,6,7)),E3717*J3717/1000,0)</f>
        <v/>
      </c>
    </row>
    <row r="3718">
      <c r="A3718" t="n">
        <v>3717</v>
      </c>
      <c r="B3718" s="1" t="n">
        <v>45091</v>
      </c>
      <c r="C3718" s="5" t="inlineStr">
        <is>
          <t>M3</t>
        </is>
      </c>
      <c r="D3718" s="5" t="n">
        <v>9</v>
      </c>
      <c r="E3718" s="5" t="n">
        <v>86</v>
      </c>
      <c r="F3718" t="inlineStr">
        <is>
          <t>Продажа</t>
        </is>
      </c>
      <c r="H3718">
        <f>VLOOKUP(C3718,Магазин!$A$2:$C$1000,2,0)</f>
        <v/>
      </c>
      <c r="I3718">
        <f>VLOOKUP(D3718,Товар!$A$2:$F$1000,3,0)</f>
        <v/>
      </c>
      <c r="J3718">
        <f>VLOOKUP(D3718,Товар!$A$2:$F$1000,5,0)</f>
        <v/>
      </c>
      <c r="K3718">
        <f>IF(AND(H3718="Промышленный",LEFT(I3718,18)="Порошок стиральный",F3718="Продажа",B3718=DATE(2023,6,7)),E3718*J3718/1000,0)</f>
        <v/>
      </c>
    </row>
    <row r="3719">
      <c r="A3719" t="n">
        <v>3718</v>
      </c>
      <c r="B3719" s="1" t="n">
        <v>45091</v>
      </c>
      <c r="C3719" s="5" t="inlineStr">
        <is>
          <t>M3</t>
        </is>
      </c>
      <c r="D3719" s="5" t="n">
        <v>10</v>
      </c>
      <c r="E3719" s="5" t="n">
        <v>84</v>
      </c>
      <c r="F3719" t="inlineStr">
        <is>
          <t>Продажа</t>
        </is>
      </c>
      <c r="H3719">
        <f>VLOOKUP(C3719,Магазин!$A$2:$C$1000,2,0)</f>
        <v/>
      </c>
      <c r="I3719">
        <f>VLOOKUP(D3719,Товар!$A$2:$F$1000,3,0)</f>
        <v/>
      </c>
      <c r="J3719">
        <f>VLOOKUP(D3719,Товар!$A$2:$F$1000,5,0)</f>
        <v/>
      </c>
      <c r="K3719">
        <f>IF(AND(H3719="Промышленный",LEFT(I3719,18)="Порошок стиральный",F3719="Продажа",B3719=DATE(2023,6,7)),E3719*J3719/1000,0)</f>
        <v/>
      </c>
    </row>
    <row r="3720">
      <c r="A3720" t="n">
        <v>3719</v>
      </c>
      <c r="B3720" s="1" t="n">
        <v>45091</v>
      </c>
      <c r="C3720" s="5" t="inlineStr">
        <is>
          <t>M3</t>
        </is>
      </c>
      <c r="D3720" s="5" t="n">
        <v>11</v>
      </c>
      <c r="E3720" s="5" t="n">
        <v>81</v>
      </c>
      <c r="F3720" t="inlineStr">
        <is>
          <t>Продажа</t>
        </is>
      </c>
      <c r="H3720">
        <f>VLOOKUP(C3720,Магазин!$A$2:$C$1000,2,0)</f>
        <v/>
      </c>
      <c r="I3720">
        <f>VLOOKUP(D3720,Товар!$A$2:$F$1000,3,0)</f>
        <v/>
      </c>
      <c r="J3720">
        <f>VLOOKUP(D3720,Товар!$A$2:$F$1000,5,0)</f>
        <v/>
      </c>
      <c r="K3720">
        <f>IF(AND(H3720="Промышленный",LEFT(I3720,18)="Порошок стиральный",F3720="Продажа",B3720=DATE(2023,6,7)),E3720*J3720/1000,0)</f>
        <v/>
      </c>
    </row>
    <row r="3721">
      <c r="A3721" t="n">
        <v>3720</v>
      </c>
      <c r="B3721" s="1" t="n">
        <v>45091</v>
      </c>
      <c r="C3721" s="5" t="inlineStr">
        <is>
          <t>M3</t>
        </is>
      </c>
      <c r="D3721" s="5" t="n">
        <v>12</v>
      </c>
      <c r="E3721" s="5" t="n">
        <v>83</v>
      </c>
      <c r="F3721" t="inlineStr">
        <is>
          <t>Продажа</t>
        </is>
      </c>
      <c r="H3721">
        <f>VLOOKUP(C3721,Магазин!$A$2:$C$1000,2,0)</f>
        <v/>
      </c>
      <c r="I3721">
        <f>VLOOKUP(D3721,Товар!$A$2:$F$1000,3,0)</f>
        <v/>
      </c>
      <c r="J3721">
        <f>VLOOKUP(D3721,Товар!$A$2:$F$1000,5,0)</f>
        <v/>
      </c>
      <c r="K3721">
        <f>IF(AND(H3721="Промышленный",LEFT(I3721,18)="Порошок стиральный",F3721="Продажа",B3721=DATE(2023,6,7)),E3721*J3721/1000,0)</f>
        <v/>
      </c>
    </row>
    <row r="3722">
      <c r="A3722" t="n">
        <v>3721</v>
      </c>
      <c r="B3722" s="1" t="n">
        <v>45091</v>
      </c>
      <c r="C3722" s="5" t="inlineStr">
        <is>
          <t>M3</t>
        </is>
      </c>
      <c r="D3722" s="5" t="n">
        <v>13</v>
      </c>
      <c r="E3722" s="5" t="n">
        <v>82</v>
      </c>
      <c r="F3722" t="inlineStr">
        <is>
          <t>Продажа</t>
        </is>
      </c>
      <c r="H3722">
        <f>VLOOKUP(C3722,Магазин!$A$2:$C$1000,2,0)</f>
        <v/>
      </c>
      <c r="I3722">
        <f>VLOOKUP(D3722,Товар!$A$2:$F$1000,3,0)</f>
        <v/>
      </c>
      <c r="J3722">
        <f>VLOOKUP(D3722,Товар!$A$2:$F$1000,5,0)</f>
        <v/>
      </c>
      <c r="K3722">
        <f>IF(AND(H3722="Промышленный",LEFT(I3722,18)="Порошок стиральный",F3722="Продажа",B3722=DATE(2023,6,7)),E3722*J3722/1000,0)</f>
        <v/>
      </c>
    </row>
    <row r="3723">
      <c r="A3723" t="n">
        <v>3722</v>
      </c>
      <c r="B3723" s="1" t="n">
        <v>45091</v>
      </c>
      <c r="C3723" s="5" t="inlineStr">
        <is>
          <t>M3</t>
        </is>
      </c>
      <c r="D3723" s="5" t="n">
        <v>14</v>
      </c>
      <c r="E3723" s="5" t="n">
        <v>87</v>
      </c>
      <c r="F3723" t="inlineStr">
        <is>
          <t>Продажа</t>
        </is>
      </c>
      <c r="H3723">
        <f>VLOOKUP(C3723,Магазин!$A$2:$C$1000,2,0)</f>
        <v/>
      </c>
      <c r="I3723">
        <f>VLOOKUP(D3723,Товар!$A$2:$F$1000,3,0)</f>
        <v/>
      </c>
      <c r="J3723">
        <f>VLOOKUP(D3723,Товар!$A$2:$F$1000,5,0)</f>
        <v/>
      </c>
      <c r="K3723">
        <f>IF(AND(H3723="Промышленный",LEFT(I3723,18)="Порошок стиральный",F3723="Продажа",B3723=DATE(2023,6,7)),E3723*J3723/1000,0)</f>
        <v/>
      </c>
    </row>
    <row r="3724">
      <c r="A3724" t="n">
        <v>3723</v>
      </c>
      <c r="B3724" s="1" t="n">
        <v>45091</v>
      </c>
      <c r="C3724" s="5" t="inlineStr">
        <is>
          <t>M3</t>
        </is>
      </c>
      <c r="D3724" s="5" t="n">
        <v>15</v>
      </c>
      <c r="E3724" s="5" t="n">
        <v>94</v>
      </c>
      <c r="F3724" t="inlineStr">
        <is>
          <t>Продажа</t>
        </is>
      </c>
      <c r="H3724">
        <f>VLOOKUP(C3724,Магазин!$A$2:$C$1000,2,0)</f>
        <v/>
      </c>
      <c r="I3724">
        <f>VLOOKUP(D3724,Товар!$A$2:$F$1000,3,0)</f>
        <v/>
      </c>
      <c r="J3724">
        <f>VLOOKUP(D3724,Товар!$A$2:$F$1000,5,0)</f>
        <v/>
      </c>
      <c r="K3724">
        <f>IF(AND(H3724="Промышленный",LEFT(I3724,18)="Порошок стиральный",F3724="Продажа",B3724=DATE(2023,6,7)),E3724*J3724/1000,0)</f>
        <v/>
      </c>
    </row>
    <row r="3725">
      <c r="A3725" t="n">
        <v>3724</v>
      </c>
      <c r="B3725" s="1" t="n">
        <v>45091</v>
      </c>
      <c r="C3725" s="5" t="inlineStr">
        <is>
          <t>M3</t>
        </is>
      </c>
      <c r="D3725" s="5" t="n">
        <v>16</v>
      </c>
      <c r="E3725" s="5" t="n">
        <v>96</v>
      </c>
      <c r="F3725" t="inlineStr">
        <is>
          <t>Продажа</t>
        </is>
      </c>
      <c r="H3725">
        <f>VLOOKUP(C3725,Магазин!$A$2:$C$1000,2,0)</f>
        <v/>
      </c>
      <c r="I3725">
        <f>VLOOKUP(D3725,Товар!$A$2:$F$1000,3,0)</f>
        <v/>
      </c>
      <c r="J3725">
        <f>VLOOKUP(D3725,Товар!$A$2:$F$1000,5,0)</f>
        <v/>
      </c>
      <c r="K3725">
        <f>IF(AND(H3725="Промышленный",LEFT(I3725,18)="Порошок стиральный",F3725="Продажа",B3725=DATE(2023,6,7)),E3725*J3725/1000,0)</f>
        <v/>
      </c>
    </row>
    <row r="3726">
      <c r="A3726" t="n">
        <v>3725</v>
      </c>
      <c r="B3726" s="1" t="n">
        <v>45091</v>
      </c>
      <c r="C3726" s="5" t="inlineStr">
        <is>
          <t>M3</t>
        </is>
      </c>
      <c r="D3726" s="5" t="n">
        <v>17</v>
      </c>
      <c r="E3726" s="5" t="n">
        <v>93</v>
      </c>
      <c r="F3726" t="inlineStr">
        <is>
          <t>Продажа</t>
        </is>
      </c>
      <c r="H3726">
        <f>VLOOKUP(C3726,Магазин!$A$2:$C$1000,2,0)</f>
        <v/>
      </c>
      <c r="I3726">
        <f>VLOOKUP(D3726,Товар!$A$2:$F$1000,3,0)</f>
        <v/>
      </c>
      <c r="J3726">
        <f>VLOOKUP(D3726,Товар!$A$2:$F$1000,5,0)</f>
        <v/>
      </c>
      <c r="K3726">
        <f>IF(AND(H3726="Промышленный",LEFT(I3726,18)="Порошок стиральный",F3726="Продажа",B3726=DATE(2023,6,7)),E3726*J3726/1000,0)</f>
        <v/>
      </c>
    </row>
    <row r="3727">
      <c r="A3727" t="n">
        <v>3726</v>
      </c>
      <c r="B3727" s="1" t="n">
        <v>45091</v>
      </c>
      <c r="C3727" s="5" t="inlineStr">
        <is>
          <t>M3</t>
        </is>
      </c>
      <c r="D3727" s="5" t="n">
        <v>18</v>
      </c>
      <c r="E3727" s="5" t="n">
        <v>91</v>
      </c>
      <c r="F3727" t="inlineStr">
        <is>
          <t>Продажа</t>
        </is>
      </c>
      <c r="H3727">
        <f>VLOOKUP(C3727,Магазин!$A$2:$C$1000,2,0)</f>
        <v/>
      </c>
      <c r="I3727">
        <f>VLOOKUP(D3727,Товар!$A$2:$F$1000,3,0)</f>
        <v/>
      </c>
      <c r="J3727">
        <f>VLOOKUP(D3727,Товар!$A$2:$F$1000,5,0)</f>
        <v/>
      </c>
      <c r="K3727">
        <f>IF(AND(H3727="Промышленный",LEFT(I3727,18)="Порошок стиральный",F3727="Продажа",B3727=DATE(2023,6,7)),E3727*J3727/1000,0)</f>
        <v/>
      </c>
    </row>
    <row r="3728">
      <c r="A3728" t="n">
        <v>3727</v>
      </c>
      <c r="B3728" s="1" t="n">
        <v>45091</v>
      </c>
      <c r="C3728" s="5" t="inlineStr">
        <is>
          <t>M3</t>
        </is>
      </c>
      <c r="D3728" s="5" t="n">
        <v>19</v>
      </c>
      <c r="E3728" s="5" t="n">
        <v>73</v>
      </c>
      <c r="F3728" t="inlineStr">
        <is>
          <t>Продажа</t>
        </is>
      </c>
      <c r="H3728">
        <f>VLOOKUP(C3728,Магазин!$A$2:$C$1000,2,0)</f>
        <v/>
      </c>
      <c r="I3728">
        <f>VLOOKUP(D3728,Товар!$A$2:$F$1000,3,0)</f>
        <v/>
      </c>
      <c r="J3728">
        <f>VLOOKUP(D3728,Товар!$A$2:$F$1000,5,0)</f>
        <v/>
      </c>
      <c r="K3728">
        <f>IF(AND(H3728="Промышленный",LEFT(I3728,18)="Порошок стиральный",F3728="Продажа",B3728=DATE(2023,6,7)),E3728*J3728/1000,0)</f>
        <v/>
      </c>
    </row>
    <row r="3729">
      <c r="A3729" t="n">
        <v>3728</v>
      </c>
      <c r="B3729" s="1" t="n">
        <v>45091</v>
      </c>
      <c r="C3729" s="5" t="inlineStr">
        <is>
          <t>M3</t>
        </is>
      </c>
      <c r="D3729" s="5" t="n">
        <v>20</v>
      </c>
      <c r="E3729" s="5" t="n">
        <v>94</v>
      </c>
      <c r="F3729" t="inlineStr">
        <is>
          <t>Продажа</t>
        </is>
      </c>
      <c r="H3729">
        <f>VLOOKUP(C3729,Магазин!$A$2:$C$1000,2,0)</f>
        <v/>
      </c>
      <c r="I3729">
        <f>VLOOKUP(D3729,Товар!$A$2:$F$1000,3,0)</f>
        <v/>
      </c>
      <c r="J3729">
        <f>VLOOKUP(D3729,Товар!$A$2:$F$1000,5,0)</f>
        <v/>
      </c>
      <c r="K3729">
        <f>IF(AND(H3729="Промышленный",LEFT(I3729,18)="Порошок стиральный",F3729="Продажа",B3729=DATE(2023,6,7)),E3729*J3729/1000,0)</f>
        <v/>
      </c>
    </row>
    <row r="3730">
      <c r="A3730" t="n">
        <v>3729</v>
      </c>
      <c r="B3730" s="1" t="n">
        <v>45091</v>
      </c>
      <c r="C3730" s="5" t="inlineStr">
        <is>
          <t>M3</t>
        </is>
      </c>
      <c r="D3730" s="5" t="n">
        <v>21</v>
      </c>
      <c r="E3730" s="5" t="n">
        <v>96</v>
      </c>
      <c r="F3730" t="inlineStr">
        <is>
          <t>Продажа</t>
        </is>
      </c>
      <c r="H3730">
        <f>VLOOKUP(C3730,Магазин!$A$2:$C$1000,2,0)</f>
        <v/>
      </c>
      <c r="I3730">
        <f>VLOOKUP(D3730,Товар!$A$2:$F$1000,3,0)</f>
        <v/>
      </c>
      <c r="J3730">
        <f>VLOOKUP(D3730,Товар!$A$2:$F$1000,5,0)</f>
        <v/>
      </c>
      <c r="K3730">
        <f>IF(AND(H3730="Промышленный",LEFT(I3730,18)="Порошок стиральный",F3730="Продажа",B3730=DATE(2023,6,7)),E3730*J3730/1000,0)</f>
        <v/>
      </c>
    </row>
    <row r="3731">
      <c r="A3731" t="n">
        <v>3730</v>
      </c>
      <c r="B3731" s="1" t="n">
        <v>45091</v>
      </c>
      <c r="C3731" s="5" t="inlineStr">
        <is>
          <t>M3</t>
        </is>
      </c>
      <c r="D3731" s="5" t="n">
        <v>22</v>
      </c>
      <c r="E3731" s="5" t="n">
        <v>95</v>
      </c>
      <c r="F3731" t="inlineStr">
        <is>
          <t>Продажа</t>
        </is>
      </c>
      <c r="H3731">
        <f>VLOOKUP(C3731,Магазин!$A$2:$C$1000,2,0)</f>
        <v/>
      </c>
      <c r="I3731">
        <f>VLOOKUP(D3731,Товар!$A$2:$F$1000,3,0)</f>
        <v/>
      </c>
      <c r="J3731">
        <f>VLOOKUP(D3731,Товар!$A$2:$F$1000,5,0)</f>
        <v/>
      </c>
      <c r="K3731">
        <f>IF(AND(H3731="Промышленный",LEFT(I3731,18)="Порошок стиральный",F3731="Продажа",B3731=DATE(2023,6,7)),E3731*J3731/1000,0)</f>
        <v/>
      </c>
    </row>
    <row r="3732">
      <c r="A3732" t="n">
        <v>3731</v>
      </c>
      <c r="B3732" s="1" t="n">
        <v>45091</v>
      </c>
      <c r="C3732" s="5" t="inlineStr">
        <is>
          <t>M3</t>
        </is>
      </c>
      <c r="D3732" s="5" t="n">
        <v>23</v>
      </c>
      <c r="E3732" s="5" t="n">
        <v>97</v>
      </c>
      <c r="F3732" t="inlineStr">
        <is>
          <t>Продажа</t>
        </is>
      </c>
      <c r="H3732">
        <f>VLOOKUP(C3732,Магазин!$A$2:$C$1000,2,0)</f>
        <v/>
      </c>
      <c r="I3732">
        <f>VLOOKUP(D3732,Товар!$A$2:$F$1000,3,0)</f>
        <v/>
      </c>
      <c r="J3732">
        <f>VLOOKUP(D3732,Товар!$A$2:$F$1000,5,0)</f>
        <v/>
      </c>
      <c r="K3732">
        <f>IF(AND(H3732="Промышленный",LEFT(I3732,18)="Порошок стиральный",F3732="Продажа",B3732=DATE(2023,6,7)),E3732*J3732/1000,0)</f>
        <v/>
      </c>
    </row>
    <row r="3733">
      <c r="A3733" t="n">
        <v>3732</v>
      </c>
      <c r="B3733" s="1" t="n">
        <v>45091</v>
      </c>
      <c r="C3733" s="5" t="inlineStr">
        <is>
          <t>M3</t>
        </is>
      </c>
      <c r="D3733" s="5" t="n">
        <v>24</v>
      </c>
      <c r="E3733" s="5" t="n">
        <v>84</v>
      </c>
      <c r="F3733" t="inlineStr">
        <is>
          <t>Продажа</t>
        </is>
      </c>
      <c r="H3733">
        <f>VLOOKUP(C3733,Магазин!$A$2:$C$1000,2,0)</f>
        <v/>
      </c>
      <c r="I3733">
        <f>VLOOKUP(D3733,Товар!$A$2:$F$1000,3,0)</f>
        <v/>
      </c>
      <c r="J3733">
        <f>VLOOKUP(D3733,Товар!$A$2:$F$1000,5,0)</f>
        <v/>
      </c>
      <c r="K3733">
        <f>IF(AND(H3733="Промышленный",LEFT(I3733,18)="Порошок стиральный",F3733="Продажа",B3733=DATE(2023,6,7)),E3733*J3733/1000,0)</f>
        <v/>
      </c>
    </row>
    <row r="3734">
      <c r="A3734" t="n">
        <v>3733</v>
      </c>
      <c r="B3734" s="1" t="n">
        <v>45091</v>
      </c>
      <c r="C3734" s="5" t="inlineStr">
        <is>
          <t>M3</t>
        </is>
      </c>
      <c r="D3734" s="5" t="n">
        <v>25</v>
      </c>
      <c r="E3734" s="5" t="n">
        <v>83</v>
      </c>
      <c r="F3734" t="inlineStr">
        <is>
          <t>Продажа</t>
        </is>
      </c>
      <c r="H3734">
        <f>VLOOKUP(C3734,Магазин!$A$2:$C$1000,2,0)</f>
        <v/>
      </c>
      <c r="I3734">
        <f>VLOOKUP(D3734,Товар!$A$2:$F$1000,3,0)</f>
        <v/>
      </c>
      <c r="J3734">
        <f>VLOOKUP(D3734,Товар!$A$2:$F$1000,5,0)</f>
        <v/>
      </c>
      <c r="K3734">
        <f>IF(AND(H3734="Промышленный",LEFT(I3734,18)="Порошок стиральный",F3734="Продажа",B3734=DATE(2023,6,7)),E3734*J3734/1000,0)</f>
        <v/>
      </c>
    </row>
    <row r="3735">
      <c r="A3735" t="n">
        <v>3734</v>
      </c>
      <c r="B3735" s="1" t="n">
        <v>45091</v>
      </c>
      <c r="C3735" s="5" t="inlineStr">
        <is>
          <t>M3</t>
        </is>
      </c>
      <c r="D3735" s="5" t="n">
        <v>26</v>
      </c>
      <c r="E3735" s="5" t="n">
        <v>81</v>
      </c>
      <c r="F3735" t="inlineStr">
        <is>
          <t>Продажа</t>
        </is>
      </c>
      <c r="H3735">
        <f>VLOOKUP(C3735,Магазин!$A$2:$C$1000,2,0)</f>
        <v/>
      </c>
      <c r="I3735">
        <f>VLOOKUP(D3735,Товар!$A$2:$F$1000,3,0)</f>
        <v/>
      </c>
      <c r="J3735">
        <f>VLOOKUP(D3735,Товар!$A$2:$F$1000,5,0)</f>
        <v/>
      </c>
      <c r="K3735">
        <f>IF(AND(H3735="Промышленный",LEFT(I3735,18)="Порошок стиральный",F3735="Продажа",B3735=DATE(2023,6,7)),E3735*J3735/1000,0)</f>
        <v/>
      </c>
    </row>
    <row r="3736">
      <c r="A3736" t="n">
        <v>3735</v>
      </c>
      <c r="B3736" s="1" t="n">
        <v>45091</v>
      </c>
      <c r="C3736" s="5" t="inlineStr">
        <is>
          <t>M3</t>
        </is>
      </c>
      <c r="D3736" s="5" t="n">
        <v>27</v>
      </c>
      <c r="E3736" s="5" t="n">
        <v>87</v>
      </c>
      <c r="F3736" t="inlineStr">
        <is>
          <t>Продажа</t>
        </is>
      </c>
      <c r="H3736">
        <f>VLOOKUP(C3736,Магазин!$A$2:$C$1000,2,0)</f>
        <v/>
      </c>
      <c r="I3736">
        <f>VLOOKUP(D3736,Товар!$A$2:$F$1000,3,0)</f>
        <v/>
      </c>
      <c r="J3736">
        <f>VLOOKUP(D3736,Товар!$A$2:$F$1000,5,0)</f>
        <v/>
      </c>
      <c r="K3736">
        <f>IF(AND(H3736="Промышленный",LEFT(I3736,18)="Порошок стиральный",F3736="Продажа",B3736=DATE(2023,6,7)),E3736*J3736/1000,0)</f>
        <v/>
      </c>
    </row>
    <row r="3737">
      <c r="A3737" t="n">
        <v>3736</v>
      </c>
      <c r="B3737" s="1" t="n">
        <v>45091</v>
      </c>
      <c r="C3737" s="5" t="inlineStr">
        <is>
          <t>M3</t>
        </is>
      </c>
      <c r="D3737" s="5" t="n">
        <v>28</v>
      </c>
      <c r="E3737" s="5" t="n">
        <v>73</v>
      </c>
      <c r="F3737" t="inlineStr">
        <is>
          <t>Продажа</t>
        </is>
      </c>
      <c r="H3737">
        <f>VLOOKUP(C3737,Магазин!$A$2:$C$1000,2,0)</f>
        <v/>
      </c>
      <c r="I3737">
        <f>VLOOKUP(D3737,Товар!$A$2:$F$1000,3,0)</f>
        <v/>
      </c>
      <c r="J3737">
        <f>VLOOKUP(D3737,Товар!$A$2:$F$1000,5,0)</f>
        <v/>
      </c>
      <c r="K3737">
        <f>IF(AND(H3737="Промышленный",LEFT(I3737,18)="Порошок стиральный",F3737="Продажа",B3737=DATE(2023,6,7)),E3737*J3737/1000,0)</f>
        <v/>
      </c>
    </row>
    <row r="3738">
      <c r="A3738" t="n">
        <v>3737</v>
      </c>
      <c r="B3738" s="1" t="n">
        <v>45091</v>
      </c>
      <c r="C3738" s="5" t="inlineStr">
        <is>
          <t>M3</t>
        </is>
      </c>
      <c r="D3738" s="5" t="n">
        <v>29</v>
      </c>
      <c r="E3738" s="5" t="n">
        <v>71</v>
      </c>
      <c r="F3738" t="inlineStr">
        <is>
          <t>Продажа</t>
        </is>
      </c>
      <c r="H3738">
        <f>VLOOKUP(C3738,Магазин!$A$2:$C$1000,2,0)</f>
        <v/>
      </c>
      <c r="I3738">
        <f>VLOOKUP(D3738,Товар!$A$2:$F$1000,3,0)</f>
        <v/>
      </c>
      <c r="J3738">
        <f>VLOOKUP(D3738,Товар!$A$2:$F$1000,5,0)</f>
        <v/>
      </c>
      <c r="K3738">
        <f>IF(AND(H3738="Промышленный",LEFT(I3738,18)="Порошок стиральный",F3738="Продажа",B3738=DATE(2023,6,7)),E3738*J3738/1000,0)</f>
        <v/>
      </c>
    </row>
    <row r="3739">
      <c r="A3739" t="n">
        <v>3738</v>
      </c>
      <c r="B3739" s="1" t="n">
        <v>45091</v>
      </c>
      <c r="C3739" s="5" t="inlineStr">
        <is>
          <t>M3</t>
        </is>
      </c>
      <c r="D3739" s="5" t="n">
        <v>30</v>
      </c>
      <c r="E3739" s="5" t="n">
        <v>85</v>
      </c>
      <c r="F3739" t="inlineStr">
        <is>
          <t>Продажа</t>
        </is>
      </c>
      <c r="H3739">
        <f>VLOOKUP(C3739,Магазин!$A$2:$C$1000,2,0)</f>
        <v/>
      </c>
      <c r="I3739">
        <f>VLOOKUP(D3739,Товар!$A$2:$F$1000,3,0)</f>
        <v/>
      </c>
      <c r="J3739">
        <f>VLOOKUP(D3739,Товар!$A$2:$F$1000,5,0)</f>
        <v/>
      </c>
      <c r="K3739">
        <f>IF(AND(H3739="Промышленный",LEFT(I3739,18)="Порошок стиральный",F3739="Продажа",B3739=DATE(2023,6,7)),E3739*J3739/1000,0)</f>
        <v/>
      </c>
    </row>
    <row r="3740">
      <c r="A3740" t="n">
        <v>3739</v>
      </c>
      <c r="B3740" s="1" t="n">
        <v>45091</v>
      </c>
      <c r="C3740" s="5" t="inlineStr">
        <is>
          <t>M3</t>
        </is>
      </c>
      <c r="D3740" s="5" t="n">
        <v>31</v>
      </c>
      <c r="E3740" s="5" t="n">
        <v>67</v>
      </c>
      <c r="F3740" t="inlineStr">
        <is>
          <t>Продажа</t>
        </is>
      </c>
      <c r="H3740">
        <f>VLOOKUP(C3740,Магазин!$A$2:$C$1000,2,0)</f>
        <v/>
      </c>
      <c r="I3740">
        <f>VLOOKUP(D3740,Товар!$A$2:$F$1000,3,0)</f>
        <v/>
      </c>
      <c r="J3740">
        <f>VLOOKUP(D3740,Товар!$A$2:$F$1000,5,0)</f>
        <v/>
      </c>
      <c r="K3740">
        <f>IF(AND(H3740="Промышленный",LEFT(I3740,18)="Порошок стиральный",F3740="Продажа",B3740=DATE(2023,6,7)),E3740*J3740/1000,0)</f>
        <v/>
      </c>
    </row>
    <row r="3741">
      <c r="A3741" t="n">
        <v>3740</v>
      </c>
      <c r="B3741" s="1" t="n">
        <v>45091</v>
      </c>
      <c r="C3741" s="5" t="inlineStr">
        <is>
          <t>M3</t>
        </is>
      </c>
      <c r="D3741" s="5" t="n">
        <v>32</v>
      </c>
      <c r="E3741" s="5" t="n">
        <v>85</v>
      </c>
      <c r="F3741" t="inlineStr">
        <is>
          <t>Продажа</t>
        </is>
      </c>
      <c r="H3741">
        <f>VLOOKUP(C3741,Магазин!$A$2:$C$1000,2,0)</f>
        <v/>
      </c>
      <c r="I3741">
        <f>VLOOKUP(D3741,Товар!$A$2:$F$1000,3,0)</f>
        <v/>
      </c>
      <c r="J3741">
        <f>VLOOKUP(D3741,Товар!$A$2:$F$1000,5,0)</f>
        <v/>
      </c>
      <c r="K3741">
        <f>IF(AND(H3741="Промышленный",LEFT(I3741,18)="Порошок стиральный",F3741="Продажа",B3741=DATE(2023,6,7)),E3741*J3741/1000,0)</f>
        <v/>
      </c>
    </row>
    <row r="3742">
      <c r="A3742" t="n">
        <v>3741</v>
      </c>
      <c r="B3742" s="1" t="n">
        <v>45091</v>
      </c>
      <c r="C3742" s="5" t="inlineStr">
        <is>
          <t>M3</t>
        </is>
      </c>
      <c r="D3742" s="5" t="n">
        <v>33</v>
      </c>
      <c r="E3742" s="5" t="n">
        <v>83</v>
      </c>
      <c r="F3742" t="inlineStr">
        <is>
          <t>Продажа</t>
        </is>
      </c>
      <c r="H3742">
        <f>VLOOKUP(C3742,Магазин!$A$2:$C$1000,2,0)</f>
        <v/>
      </c>
      <c r="I3742">
        <f>VLOOKUP(D3742,Товар!$A$2:$F$1000,3,0)</f>
        <v/>
      </c>
      <c r="J3742">
        <f>VLOOKUP(D3742,Товар!$A$2:$F$1000,5,0)</f>
        <v/>
      </c>
      <c r="K3742">
        <f>IF(AND(H3742="Промышленный",LEFT(I3742,18)="Порошок стиральный",F3742="Продажа",B3742=DATE(2023,6,7)),E3742*J3742/1000,0)</f>
        <v/>
      </c>
    </row>
    <row r="3743">
      <c r="A3743" t="n">
        <v>3742</v>
      </c>
      <c r="B3743" s="1" t="n">
        <v>45091</v>
      </c>
      <c r="C3743" s="5" t="inlineStr">
        <is>
          <t>M3</t>
        </is>
      </c>
      <c r="D3743" s="5" t="n">
        <v>34</v>
      </c>
      <c r="E3743" s="5" t="n">
        <v>89</v>
      </c>
      <c r="F3743" t="inlineStr">
        <is>
          <t>Продажа</t>
        </is>
      </c>
      <c r="H3743">
        <f>VLOOKUP(C3743,Магазин!$A$2:$C$1000,2,0)</f>
        <v/>
      </c>
      <c r="I3743">
        <f>VLOOKUP(D3743,Товар!$A$2:$F$1000,3,0)</f>
        <v/>
      </c>
      <c r="J3743">
        <f>VLOOKUP(D3743,Товар!$A$2:$F$1000,5,0)</f>
        <v/>
      </c>
      <c r="K3743">
        <f>IF(AND(H3743="Промышленный",LEFT(I3743,18)="Порошок стиральный",F3743="Продажа",B3743=DATE(2023,6,7)),E3743*J3743/1000,0)</f>
        <v/>
      </c>
    </row>
    <row r="3744">
      <c r="A3744" t="n">
        <v>3743</v>
      </c>
      <c r="B3744" s="1" t="n">
        <v>45091</v>
      </c>
      <c r="C3744" s="5" t="inlineStr">
        <is>
          <t>M3</t>
        </is>
      </c>
      <c r="D3744" s="5" t="n">
        <v>35</v>
      </c>
      <c r="E3744" s="5" t="n">
        <v>94</v>
      </c>
      <c r="F3744" t="inlineStr">
        <is>
          <t>Продажа</t>
        </is>
      </c>
      <c r="H3744">
        <f>VLOOKUP(C3744,Магазин!$A$2:$C$1000,2,0)</f>
        <v/>
      </c>
      <c r="I3744">
        <f>VLOOKUP(D3744,Товар!$A$2:$F$1000,3,0)</f>
        <v/>
      </c>
      <c r="J3744">
        <f>VLOOKUP(D3744,Товар!$A$2:$F$1000,5,0)</f>
        <v/>
      </c>
      <c r="K3744">
        <f>IF(AND(H3744="Промышленный",LEFT(I3744,18)="Порошок стиральный",F3744="Продажа",B3744=DATE(2023,6,7)),E3744*J3744/1000,0)</f>
        <v/>
      </c>
    </row>
    <row r="3745">
      <c r="A3745" t="n">
        <v>3744</v>
      </c>
      <c r="B3745" s="1" t="n">
        <v>45091</v>
      </c>
      <c r="C3745" s="5" t="inlineStr">
        <is>
          <t>M3</t>
        </is>
      </c>
      <c r="D3745" s="5" t="n">
        <v>36</v>
      </c>
      <c r="E3745" s="5" t="n">
        <v>95</v>
      </c>
      <c r="F3745" t="inlineStr">
        <is>
          <t>Продажа</t>
        </is>
      </c>
      <c r="H3745">
        <f>VLOOKUP(C3745,Магазин!$A$2:$C$1000,2,0)</f>
        <v/>
      </c>
      <c r="I3745">
        <f>VLOOKUP(D3745,Товар!$A$2:$F$1000,3,0)</f>
        <v/>
      </c>
      <c r="J3745">
        <f>VLOOKUP(D3745,Товар!$A$2:$F$1000,5,0)</f>
        <v/>
      </c>
      <c r="K3745">
        <f>IF(AND(H3745="Промышленный",LEFT(I3745,18)="Порошок стиральный",F3745="Продажа",B3745=DATE(2023,6,7)),E3745*J3745/1000,0)</f>
        <v/>
      </c>
    </row>
    <row r="3746">
      <c r="A3746" t="n">
        <v>3745</v>
      </c>
      <c r="B3746" s="1" t="n">
        <v>45091</v>
      </c>
      <c r="C3746" s="5" t="inlineStr">
        <is>
          <t>M9</t>
        </is>
      </c>
      <c r="D3746" s="5" t="n">
        <v>1</v>
      </c>
      <c r="E3746" s="5" t="n">
        <v>92</v>
      </c>
      <c r="F3746" t="inlineStr">
        <is>
          <t>Продажа</t>
        </is>
      </c>
      <c r="H3746">
        <f>VLOOKUP(C3746,Магазин!$A$2:$C$1000,2,0)</f>
        <v/>
      </c>
      <c r="I3746">
        <f>VLOOKUP(D3746,Товар!$A$2:$F$1000,3,0)</f>
        <v/>
      </c>
      <c r="J3746">
        <f>VLOOKUP(D3746,Товар!$A$2:$F$1000,5,0)</f>
        <v/>
      </c>
      <c r="K3746">
        <f>IF(AND(H3746="Промышленный",LEFT(I3746,18)="Порошок стиральный",F3746="Продажа",B3746=DATE(2023,6,7)),E3746*J3746/1000,0)</f>
        <v/>
      </c>
    </row>
    <row r="3747">
      <c r="A3747" t="n">
        <v>3746</v>
      </c>
      <c r="B3747" s="1" t="n">
        <v>45091</v>
      </c>
      <c r="C3747" s="5" t="inlineStr">
        <is>
          <t>M9</t>
        </is>
      </c>
      <c r="D3747" s="5" t="n">
        <v>2</v>
      </c>
      <c r="E3747" s="5" t="n">
        <v>42</v>
      </c>
      <c r="F3747" t="inlineStr">
        <is>
          <t>Продажа</t>
        </is>
      </c>
      <c r="H3747">
        <f>VLOOKUP(C3747,Магазин!$A$2:$C$1000,2,0)</f>
        <v/>
      </c>
      <c r="I3747">
        <f>VLOOKUP(D3747,Товар!$A$2:$F$1000,3,0)</f>
        <v/>
      </c>
      <c r="J3747">
        <f>VLOOKUP(D3747,Товар!$A$2:$F$1000,5,0)</f>
        <v/>
      </c>
      <c r="K3747">
        <f>IF(AND(H3747="Промышленный",LEFT(I3747,18)="Порошок стиральный",F3747="Продажа",B3747=DATE(2023,6,7)),E3747*J3747/1000,0)</f>
        <v/>
      </c>
    </row>
    <row r="3748">
      <c r="A3748" t="n">
        <v>3747</v>
      </c>
      <c r="B3748" s="1" t="n">
        <v>45091</v>
      </c>
      <c r="C3748" s="5" t="inlineStr">
        <is>
          <t>M9</t>
        </is>
      </c>
      <c r="D3748" s="5" t="n">
        <v>3</v>
      </c>
      <c r="E3748" s="5" t="n">
        <v>56</v>
      </c>
      <c r="F3748" t="inlineStr">
        <is>
          <t>Продажа</t>
        </is>
      </c>
      <c r="H3748">
        <f>VLOOKUP(C3748,Магазин!$A$2:$C$1000,2,0)</f>
        <v/>
      </c>
      <c r="I3748">
        <f>VLOOKUP(D3748,Товар!$A$2:$F$1000,3,0)</f>
        <v/>
      </c>
      <c r="J3748">
        <f>VLOOKUP(D3748,Товар!$A$2:$F$1000,5,0)</f>
        <v/>
      </c>
      <c r="K3748">
        <f>IF(AND(H3748="Промышленный",LEFT(I3748,18)="Порошок стиральный",F3748="Продажа",B3748=DATE(2023,6,7)),E3748*J3748/1000,0)</f>
        <v/>
      </c>
    </row>
    <row r="3749">
      <c r="A3749" t="n">
        <v>3748</v>
      </c>
      <c r="B3749" s="1" t="n">
        <v>45091</v>
      </c>
      <c r="C3749" s="5" t="inlineStr">
        <is>
          <t>M9</t>
        </is>
      </c>
      <c r="D3749" s="5" t="n">
        <v>4</v>
      </c>
      <c r="E3749" s="5" t="n">
        <v>75</v>
      </c>
      <c r="F3749" t="inlineStr">
        <is>
          <t>Продажа</t>
        </is>
      </c>
      <c r="H3749">
        <f>VLOOKUP(C3749,Магазин!$A$2:$C$1000,2,0)</f>
        <v/>
      </c>
      <c r="I3749">
        <f>VLOOKUP(D3749,Товар!$A$2:$F$1000,3,0)</f>
        <v/>
      </c>
      <c r="J3749">
        <f>VLOOKUP(D3749,Товар!$A$2:$F$1000,5,0)</f>
        <v/>
      </c>
      <c r="K3749">
        <f>IF(AND(H3749="Промышленный",LEFT(I3749,18)="Порошок стиральный",F3749="Продажа",B3749=DATE(2023,6,7)),E3749*J3749/1000,0)</f>
        <v/>
      </c>
    </row>
    <row r="3750">
      <c r="A3750" t="n">
        <v>3749</v>
      </c>
      <c r="B3750" s="1" t="n">
        <v>45091</v>
      </c>
      <c r="C3750" s="5" t="inlineStr">
        <is>
          <t>M9</t>
        </is>
      </c>
      <c r="D3750" s="5" t="n">
        <v>5</v>
      </c>
      <c r="E3750" s="5" t="n">
        <v>64</v>
      </c>
      <c r="F3750" t="inlineStr">
        <is>
          <t>Продажа</t>
        </is>
      </c>
      <c r="H3750">
        <f>VLOOKUP(C3750,Магазин!$A$2:$C$1000,2,0)</f>
        <v/>
      </c>
      <c r="I3750">
        <f>VLOOKUP(D3750,Товар!$A$2:$F$1000,3,0)</f>
        <v/>
      </c>
      <c r="J3750">
        <f>VLOOKUP(D3750,Товар!$A$2:$F$1000,5,0)</f>
        <v/>
      </c>
      <c r="K3750">
        <f>IF(AND(H3750="Промышленный",LEFT(I3750,18)="Порошок стиральный",F3750="Продажа",B3750=DATE(2023,6,7)),E3750*J3750/1000,0)</f>
        <v/>
      </c>
    </row>
    <row r="3751">
      <c r="A3751" t="n">
        <v>3750</v>
      </c>
      <c r="B3751" s="1" t="n">
        <v>45091</v>
      </c>
      <c r="C3751" s="5" t="inlineStr">
        <is>
          <t>M9</t>
        </is>
      </c>
      <c r="D3751" s="5" t="n">
        <v>6</v>
      </c>
      <c r="E3751" s="5" t="n">
        <v>36</v>
      </c>
      <c r="F3751" t="inlineStr">
        <is>
          <t>Продажа</t>
        </is>
      </c>
      <c r="H3751">
        <f>VLOOKUP(C3751,Магазин!$A$2:$C$1000,2,0)</f>
        <v/>
      </c>
      <c r="I3751">
        <f>VLOOKUP(D3751,Товар!$A$2:$F$1000,3,0)</f>
        <v/>
      </c>
      <c r="J3751">
        <f>VLOOKUP(D3751,Товар!$A$2:$F$1000,5,0)</f>
        <v/>
      </c>
      <c r="K3751">
        <f>IF(AND(H3751="Промышленный",LEFT(I3751,18)="Порошок стиральный",F3751="Продажа",B3751=DATE(2023,6,7)),E3751*J3751/1000,0)</f>
        <v/>
      </c>
    </row>
    <row r="3752">
      <c r="A3752" t="n">
        <v>3751</v>
      </c>
      <c r="B3752" s="1" t="n">
        <v>45091</v>
      </c>
      <c r="C3752" s="5" t="inlineStr">
        <is>
          <t>M9</t>
        </is>
      </c>
      <c r="D3752" s="5" t="n">
        <v>7</v>
      </c>
      <c r="E3752" s="5" t="n">
        <v>48</v>
      </c>
      <c r="F3752" t="inlineStr">
        <is>
          <t>Продажа</t>
        </is>
      </c>
      <c r="H3752">
        <f>VLOOKUP(C3752,Магазин!$A$2:$C$1000,2,0)</f>
        <v/>
      </c>
      <c r="I3752">
        <f>VLOOKUP(D3752,Товар!$A$2:$F$1000,3,0)</f>
        <v/>
      </c>
      <c r="J3752">
        <f>VLOOKUP(D3752,Товар!$A$2:$F$1000,5,0)</f>
        <v/>
      </c>
      <c r="K3752">
        <f>IF(AND(H3752="Промышленный",LEFT(I3752,18)="Порошок стиральный",F3752="Продажа",B3752=DATE(2023,6,7)),E3752*J3752/1000,0)</f>
        <v/>
      </c>
    </row>
    <row r="3753">
      <c r="A3753" t="n">
        <v>3752</v>
      </c>
      <c r="B3753" s="1" t="n">
        <v>45091</v>
      </c>
      <c r="C3753" s="5" t="inlineStr">
        <is>
          <t>M9</t>
        </is>
      </c>
      <c r="D3753" s="5" t="n">
        <v>8</v>
      </c>
      <c r="E3753" s="5" t="n">
        <v>29</v>
      </c>
      <c r="F3753" t="inlineStr">
        <is>
          <t>Продажа</t>
        </is>
      </c>
      <c r="H3753">
        <f>VLOOKUP(C3753,Магазин!$A$2:$C$1000,2,0)</f>
        <v/>
      </c>
      <c r="I3753">
        <f>VLOOKUP(D3753,Товар!$A$2:$F$1000,3,0)</f>
        <v/>
      </c>
      <c r="J3753">
        <f>VLOOKUP(D3753,Товар!$A$2:$F$1000,5,0)</f>
        <v/>
      </c>
      <c r="K3753">
        <f>IF(AND(H3753="Промышленный",LEFT(I3753,18)="Порошок стиральный",F3753="Продажа",B3753=DATE(2023,6,7)),E3753*J3753/1000,0)</f>
        <v/>
      </c>
    </row>
    <row r="3754">
      <c r="A3754" t="n">
        <v>3753</v>
      </c>
      <c r="B3754" s="1" t="n">
        <v>45091</v>
      </c>
      <c r="C3754" s="5" t="inlineStr">
        <is>
          <t>M9</t>
        </is>
      </c>
      <c r="D3754" s="5" t="n">
        <v>9</v>
      </c>
      <c r="E3754" s="5" t="n">
        <v>97</v>
      </c>
      <c r="F3754" t="inlineStr">
        <is>
          <t>Продажа</t>
        </is>
      </c>
      <c r="H3754">
        <f>VLOOKUP(C3754,Магазин!$A$2:$C$1000,2,0)</f>
        <v/>
      </c>
      <c r="I3754">
        <f>VLOOKUP(D3754,Товар!$A$2:$F$1000,3,0)</f>
        <v/>
      </c>
      <c r="J3754">
        <f>VLOOKUP(D3754,Товар!$A$2:$F$1000,5,0)</f>
        <v/>
      </c>
      <c r="K3754">
        <f>IF(AND(H3754="Промышленный",LEFT(I3754,18)="Порошок стиральный",F3754="Продажа",B3754=DATE(2023,6,7)),E3754*J3754/1000,0)</f>
        <v/>
      </c>
    </row>
    <row r="3755">
      <c r="A3755" t="n">
        <v>3754</v>
      </c>
      <c r="B3755" s="1" t="n">
        <v>45091</v>
      </c>
      <c r="C3755" s="5" t="inlineStr">
        <is>
          <t>M9</t>
        </is>
      </c>
      <c r="D3755" s="5" t="n">
        <v>10</v>
      </c>
      <c r="E3755" s="5" t="n">
        <v>24</v>
      </c>
      <c r="F3755" t="inlineStr">
        <is>
          <t>Продажа</t>
        </is>
      </c>
      <c r="H3755">
        <f>VLOOKUP(C3755,Магазин!$A$2:$C$1000,2,0)</f>
        <v/>
      </c>
      <c r="I3755">
        <f>VLOOKUP(D3755,Товар!$A$2:$F$1000,3,0)</f>
        <v/>
      </c>
      <c r="J3755">
        <f>VLOOKUP(D3755,Товар!$A$2:$F$1000,5,0)</f>
        <v/>
      </c>
      <c r="K3755">
        <f>IF(AND(H3755="Промышленный",LEFT(I3755,18)="Порошок стиральный",F3755="Продажа",B3755=DATE(2023,6,7)),E3755*J3755/1000,0)</f>
        <v/>
      </c>
    </row>
    <row r="3756">
      <c r="A3756" t="n">
        <v>3755</v>
      </c>
      <c r="B3756" s="1" t="n">
        <v>45091</v>
      </c>
      <c r="C3756" s="5" t="inlineStr">
        <is>
          <t>M9</t>
        </is>
      </c>
      <c r="D3756" s="5" t="n">
        <v>11</v>
      </c>
      <c r="E3756" s="5" t="n">
        <v>84</v>
      </c>
      <c r="F3756" t="inlineStr">
        <is>
          <t>Продажа</t>
        </is>
      </c>
      <c r="H3756">
        <f>VLOOKUP(C3756,Магазин!$A$2:$C$1000,2,0)</f>
        <v/>
      </c>
      <c r="I3756">
        <f>VLOOKUP(D3756,Товар!$A$2:$F$1000,3,0)</f>
        <v/>
      </c>
      <c r="J3756">
        <f>VLOOKUP(D3756,Товар!$A$2:$F$1000,5,0)</f>
        <v/>
      </c>
      <c r="K3756">
        <f>IF(AND(H3756="Промышленный",LEFT(I3756,18)="Порошок стиральный",F3756="Продажа",B3756=DATE(2023,6,7)),E3756*J3756/1000,0)</f>
        <v/>
      </c>
    </row>
    <row r="3757">
      <c r="A3757" t="n">
        <v>3756</v>
      </c>
      <c r="B3757" s="1" t="n">
        <v>45091</v>
      </c>
      <c r="C3757" s="5" t="inlineStr">
        <is>
          <t>M9</t>
        </is>
      </c>
      <c r="D3757" s="5" t="n">
        <v>12</v>
      </c>
      <c r="E3757" s="5" t="n">
        <v>84</v>
      </c>
      <c r="F3757" t="inlineStr">
        <is>
          <t>Продажа</t>
        </is>
      </c>
      <c r="H3757">
        <f>VLOOKUP(C3757,Магазин!$A$2:$C$1000,2,0)</f>
        <v/>
      </c>
      <c r="I3757">
        <f>VLOOKUP(D3757,Товар!$A$2:$F$1000,3,0)</f>
        <v/>
      </c>
      <c r="J3757">
        <f>VLOOKUP(D3757,Товар!$A$2:$F$1000,5,0)</f>
        <v/>
      </c>
      <c r="K3757">
        <f>IF(AND(H3757="Промышленный",LEFT(I3757,18)="Порошок стиральный",F3757="Продажа",B3757=DATE(2023,6,7)),E3757*J3757/1000,0)</f>
        <v/>
      </c>
    </row>
    <row r="3758">
      <c r="A3758" t="n">
        <v>3757</v>
      </c>
      <c r="B3758" s="1" t="n">
        <v>45091</v>
      </c>
      <c r="C3758" s="5" t="inlineStr">
        <is>
          <t>M9</t>
        </is>
      </c>
      <c r="D3758" s="5" t="n">
        <v>13</v>
      </c>
      <c r="E3758" s="5" t="n">
        <v>85</v>
      </c>
      <c r="F3758" t="inlineStr">
        <is>
          <t>Продажа</t>
        </is>
      </c>
      <c r="H3758">
        <f>VLOOKUP(C3758,Магазин!$A$2:$C$1000,2,0)</f>
        <v/>
      </c>
      <c r="I3758">
        <f>VLOOKUP(D3758,Товар!$A$2:$F$1000,3,0)</f>
        <v/>
      </c>
      <c r="J3758">
        <f>VLOOKUP(D3758,Товар!$A$2:$F$1000,5,0)</f>
        <v/>
      </c>
      <c r="K3758">
        <f>IF(AND(H3758="Промышленный",LEFT(I3758,18)="Порошок стиральный",F3758="Продажа",B3758=DATE(2023,6,7)),E3758*J3758/1000,0)</f>
        <v/>
      </c>
    </row>
    <row r="3759">
      <c r="A3759" t="n">
        <v>3758</v>
      </c>
      <c r="B3759" s="1" t="n">
        <v>45091</v>
      </c>
      <c r="C3759" s="5" t="inlineStr">
        <is>
          <t>M9</t>
        </is>
      </c>
      <c r="D3759" s="5" t="n">
        <v>14</v>
      </c>
      <c r="E3759" s="5" t="n">
        <v>47</v>
      </c>
      <c r="F3759" t="inlineStr">
        <is>
          <t>Продажа</t>
        </is>
      </c>
      <c r="H3759">
        <f>VLOOKUP(C3759,Магазин!$A$2:$C$1000,2,0)</f>
        <v/>
      </c>
      <c r="I3759">
        <f>VLOOKUP(D3759,Товар!$A$2:$F$1000,3,0)</f>
        <v/>
      </c>
      <c r="J3759">
        <f>VLOOKUP(D3759,Товар!$A$2:$F$1000,5,0)</f>
        <v/>
      </c>
      <c r="K3759">
        <f>IF(AND(H3759="Промышленный",LEFT(I3759,18)="Порошок стиральный",F3759="Продажа",B3759=DATE(2023,6,7)),E3759*J3759/1000,0)</f>
        <v/>
      </c>
    </row>
    <row r="3760">
      <c r="A3760" t="n">
        <v>3759</v>
      </c>
      <c r="B3760" s="1" t="n">
        <v>45091</v>
      </c>
      <c r="C3760" s="5" t="inlineStr">
        <is>
          <t>M9</t>
        </is>
      </c>
      <c r="D3760" s="5" t="n">
        <v>15</v>
      </c>
      <c r="E3760" s="5" t="n">
        <v>74</v>
      </c>
      <c r="F3760" t="inlineStr">
        <is>
          <t>Продажа</t>
        </is>
      </c>
      <c r="H3760">
        <f>VLOOKUP(C3760,Магазин!$A$2:$C$1000,2,0)</f>
        <v/>
      </c>
      <c r="I3760">
        <f>VLOOKUP(D3760,Товар!$A$2:$F$1000,3,0)</f>
        <v/>
      </c>
      <c r="J3760">
        <f>VLOOKUP(D3760,Товар!$A$2:$F$1000,5,0)</f>
        <v/>
      </c>
      <c r="K3760">
        <f>IF(AND(H3760="Промышленный",LEFT(I3760,18)="Порошок стиральный",F3760="Продажа",B3760=DATE(2023,6,7)),E3760*J3760/1000,0)</f>
        <v/>
      </c>
    </row>
    <row r="3761">
      <c r="A3761" t="n">
        <v>3760</v>
      </c>
      <c r="B3761" s="1" t="n">
        <v>45091</v>
      </c>
      <c r="C3761" s="5" t="inlineStr">
        <is>
          <t>M9</t>
        </is>
      </c>
      <c r="D3761" s="5" t="n">
        <v>16</v>
      </c>
      <c r="E3761" s="5" t="n">
        <v>86</v>
      </c>
      <c r="F3761" t="inlineStr">
        <is>
          <t>Продажа</t>
        </is>
      </c>
      <c r="H3761">
        <f>VLOOKUP(C3761,Магазин!$A$2:$C$1000,2,0)</f>
        <v/>
      </c>
      <c r="I3761">
        <f>VLOOKUP(D3761,Товар!$A$2:$F$1000,3,0)</f>
        <v/>
      </c>
      <c r="J3761">
        <f>VLOOKUP(D3761,Товар!$A$2:$F$1000,5,0)</f>
        <v/>
      </c>
      <c r="K3761">
        <f>IF(AND(H3761="Промышленный",LEFT(I3761,18)="Порошок стиральный",F3761="Продажа",B3761=DATE(2023,6,7)),E3761*J3761/1000,0)</f>
        <v/>
      </c>
    </row>
    <row r="3762">
      <c r="A3762" t="n">
        <v>3761</v>
      </c>
      <c r="B3762" s="1" t="n">
        <v>45091</v>
      </c>
      <c r="C3762" s="5" t="inlineStr">
        <is>
          <t>M9</t>
        </is>
      </c>
      <c r="D3762" s="5" t="n">
        <v>17</v>
      </c>
      <c r="E3762" s="5" t="n">
        <v>68</v>
      </c>
      <c r="F3762" t="inlineStr">
        <is>
          <t>Продажа</t>
        </is>
      </c>
      <c r="H3762">
        <f>VLOOKUP(C3762,Магазин!$A$2:$C$1000,2,0)</f>
        <v/>
      </c>
      <c r="I3762">
        <f>VLOOKUP(D3762,Товар!$A$2:$F$1000,3,0)</f>
        <v/>
      </c>
      <c r="J3762">
        <f>VLOOKUP(D3762,Товар!$A$2:$F$1000,5,0)</f>
        <v/>
      </c>
      <c r="K3762">
        <f>IF(AND(H3762="Промышленный",LEFT(I3762,18)="Порошок стиральный",F3762="Продажа",B3762=DATE(2023,6,7)),E3762*J3762/1000,0)</f>
        <v/>
      </c>
    </row>
    <row r="3763">
      <c r="A3763" t="n">
        <v>3762</v>
      </c>
      <c r="B3763" s="1" t="n">
        <v>45091</v>
      </c>
      <c r="C3763" s="5" t="inlineStr">
        <is>
          <t>M9</t>
        </is>
      </c>
      <c r="D3763" s="5" t="n">
        <v>18</v>
      </c>
      <c r="E3763" s="5" t="n">
        <v>43</v>
      </c>
      <c r="F3763" t="inlineStr">
        <is>
          <t>Продажа</t>
        </is>
      </c>
      <c r="H3763">
        <f>VLOOKUP(C3763,Магазин!$A$2:$C$1000,2,0)</f>
        <v/>
      </c>
      <c r="I3763">
        <f>VLOOKUP(D3763,Товар!$A$2:$F$1000,3,0)</f>
        <v/>
      </c>
      <c r="J3763">
        <f>VLOOKUP(D3763,Товар!$A$2:$F$1000,5,0)</f>
        <v/>
      </c>
      <c r="K3763">
        <f>IF(AND(H3763="Промышленный",LEFT(I3763,18)="Порошок стиральный",F3763="Продажа",B3763=DATE(2023,6,7)),E3763*J3763/1000,0)</f>
        <v/>
      </c>
    </row>
    <row r="3764">
      <c r="A3764" t="n">
        <v>3763</v>
      </c>
      <c r="B3764" s="1" t="n">
        <v>45091</v>
      </c>
      <c r="C3764" s="5" t="inlineStr">
        <is>
          <t>M9</t>
        </is>
      </c>
      <c r="D3764" s="5" t="n">
        <v>19</v>
      </c>
      <c r="E3764" s="5" t="n">
        <v>48</v>
      </c>
      <c r="F3764" t="inlineStr">
        <is>
          <t>Продажа</t>
        </is>
      </c>
      <c r="H3764">
        <f>VLOOKUP(C3764,Магазин!$A$2:$C$1000,2,0)</f>
        <v/>
      </c>
      <c r="I3764">
        <f>VLOOKUP(D3764,Товар!$A$2:$F$1000,3,0)</f>
        <v/>
      </c>
      <c r="J3764">
        <f>VLOOKUP(D3764,Товар!$A$2:$F$1000,5,0)</f>
        <v/>
      </c>
      <c r="K3764">
        <f>IF(AND(H3764="Промышленный",LEFT(I3764,18)="Порошок стиральный",F3764="Продажа",B3764=DATE(2023,6,7)),E3764*J3764/1000,0)</f>
        <v/>
      </c>
    </row>
    <row r="3765">
      <c r="A3765" t="n">
        <v>3764</v>
      </c>
      <c r="B3765" s="1" t="n">
        <v>45091</v>
      </c>
      <c r="C3765" s="5" t="inlineStr">
        <is>
          <t>M9</t>
        </is>
      </c>
      <c r="D3765" s="5" t="n">
        <v>20</v>
      </c>
      <c r="E3765" s="5" t="n">
        <v>73</v>
      </c>
      <c r="F3765" t="inlineStr">
        <is>
          <t>Продажа</t>
        </is>
      </c>
      <c r="H3765">
        <f>VLOOKUP(C3765,Магазин!$A$2:$C$1000,2,0)</f>
        <v/>
      </c>
      <c r="I3765">
        <f>VLOOKUP(D3765,Товар!$A$2:$F$1000,3,0)</f>
        <v/>
      </c>
      <c r="J3765">
        <f>VLOOKUP(D3765,Товар!$A$2:$F$1000,5,0)</f>
        <v/>
      </c>
      <c r="K3765">
        <f>IF(AND(H3765="Промышленный",LEFT(I3765,18)="Порошок стиральный",F3765="Продажа",B3765=DATE(2023,6,7)),E3765*J3765/1000,0)</f>
        <v/>
      </c>
    </row>
    <row r="3766">
      <c r="A3766" t="n">
        <v>3765</v>
      </c>
      <c r="B3766" s="1" t="n">
        <v>45091</v>
      </c>
      <c r="C3766" s="5" t="inlineStr">
        <is>
          <t>M9</t>
        </is>
      </c>
      <c r="D3766" s="5" t="n">
        <v>21</v>
      </c>
      <c r="E3766" s="5" t="n">
        <v>61</v>
      </c>
      <c r="F3766" t="inlineStr">
        <is>
          <t>Продажа</t>
        </is>
      </c>
      <c r="H3766">
        <f>VLOOKUP(C3766,Магазин!$A$2:$C$1000,2,0)</f>
        <v/>
      </c>
      <c r="I3766">
        <f>VLOOKUP(D3766,Товар!$A$2:$F$1000,3,0)</f>
        <v/>
      </c>
      <c r="J3766">
        <f>VLOOKUP(D3766,Товар!$A$2:$F$1000,5,0)</f>
        <v/>
      </c>
      <c r="K3766">
        <f>IF(AND(H3766="Промышленный",LEFT(I3766,18)="Порошок стиральный",F3766="Продажа",B3766=DATE(2023,6,7)),E3766*J3766/1000,0)</f>
        <v/>
      </c>
    </row>
    <row r="3767">
      <c r="A3767" t="n">
        <v>3766</v>
      </c>
      <c r="B3767" s="1" t="n">
        <v>45091</v>
      </c>
      <c r="C3767" s="5" t="inlineStr">
        <is>
          <t>M9</t>
        </is>
      </c>
      <c r="D3767" s="5" t="n">
        <v>22</v>
      </c>
      <c r="E3767" s="5" t="n">
        <v>63</v>
      </c>
      <c r="F3767" t="inlineStr">
        <is>
          <t>Продажа</t>
        </is>
      </c>
      <c r="H3767">
        <f>VLOOKUP(C3767,Магазин!$A$2:$C$1000,2,0)</f>
        <v/>
      </c>
      <c r="I3767">
        <f>VLOOKUP(D3767,Товар!$A$2:$F$1000,3,0)</f>
        <v/>
      </c>
      <c r="J3767">
        <f>VLOOKUP(D3767,Товар!$A$2:$F$1000,5,0)</f>
        <v/>
      </c>
      <c r="K3767">
        <f>IF(AND(H3767="Промышленный",LEFT(I3767,18)="Порошок стиральный",F3767="Продажа",B3767=DATE(2023,6,7)),E3767*J3767/1000,0)</f>
        <v/>
      </c>
    </row>
    <row r="3768">
      <c r="A3768" t="n">
        <v>3767</v>
      </c>
      <c r="B3768" s="1" t="n">
        <v>45091</v>
      </c>
      <c r="C3768" s="5" t="inlineStr">
        <is>
          <t>M9</t>
        </is>
      </c>
      <c r="D3768" s="5" t="n">
        <v>23</v>
      </c>
      <c r="E3768" s="5" t="n">
        <v>66</v>
      </c>
      <c r="F3768" t="inlineStr">
        <is>
          <t>Продажа</t>
        </is>
      </c>
      <c r="H3768">
        <f>VLOOKUP(C3768,Магазин!$A$2:$C$1000,2,0)</f>
        <v/>
      </c>
      <c r="I3768">
        <f>VLOOKUP(D3768,Товар!$A$2:$F$1000,3,0)</f>
        <v/>
      </c>
      <c r="J3768">
        <f>VLOOKUP(D3768,Товар!$A$2:$F$1000,5,0)</f>
        <v/>
      </c>
      <c r="K3768">
        <f>IF(AND(H3768="Промышленный",LEFT(I3768,18)="Порошок стиральный",F3768="Продажа",B3768=DATE(2023,6,7)),E3768*J3768/1000,0)</f>
        <v/>
      </c>
    </row>
    <row r="3769">
      <c r="A3769" t="n">
        <v>3768</v>
      </c>
      <c r="B3769" s="1" t="n">
        <v>45091</v>
      </c>
      <c r="C3769" s="5" t="inlineStr">
        <is>
          <t>M9</t>
        </is>
      </c>
      <c r="D3769" s="5" t="n">
        <v>24</v>
      </c>
      <c r="E3769" s="5" t="n">
        <v>74</v>
      </c>
      <c r="F3769" t="inlineStr">
        <is>
          <t>Продажа</t>
        </is>
      </c>
      <c r="H3769">
        <f>VLOOKUP(C3769,Магазин!$A$2:$C$1000,2,0)</f>
        <v/>
      </c>
      <c r="I3769">
        <f>VLOOKUP(D3769,Товар!$A$2:$F$1000,3,0)</f>
        <v/>
      </c>
      <c r="J3769">
        <f>VLOOKUP(D3769,Товар!$A$2:$F$1000,5,0)</f>
        <v/>
      </c>
      <c r="K3769">
        <f>IF(AND(H3769="Промышленный",LEFT(I3769,18)="Порошок стиральный",F3769="Продажа",B3769=DATE(2023,6,7)),E3769*J3769/1000,0)</f>
        <v/>
      </c>
    </row>
    <row r="3770">
      <c r="A3770" t="n">
        <v>3769</v>
      </c>
      <c r="B3770" s="1" t="n">
        <v>45091</v>
      </c>
      <c r="C3770" s="5" t="inlineStr">
        <is>
          <t>M9</t>
        </is>
      </c>
      <c r="D3770" s="5" t="n">
        <v>25</v>
      </c>
      <c r="E3770" s="5" t="n">
        <v>38</v>
      </c>
      <c r="F3770" t="inlineStr">
        <is>
          <t>Продажа</t>
        </is>
      </c>
      <c r="H3770">
        <f>VLOOKUP(C3770,Магазин!$A$2:$C$1000,2,0)</f>
        <v/>
      </c>
      <c r="I3770">
        <f>VLOOKUP(D3770,Товар!$A$2:$F$1000,3,0)</f>
        <v/>
      </c>
      <c r="J3770">
        <f>VLOOKUP(D3770,Товар!$A$2:$F$1000,5,0)</f>
        <v/>
      </c>
      <c r="K3770">
        <f>IF(AND(H3770="Промышленный",LEFT(I3770,18)="Порошок стиральный",F3770="Продажа",B3770=DATE(2023,6,7)),E3770*J3770/1000,0)</f>
        <v/>
      </c>
    </row>
    <row r="3771">
      <c r="A3771" t="n">
        <v>3770</v>
      </c>
      <c r="B3771" s="1" t="n">
        <v>45091</v>
      </c>
      <c r="C3771" s="5" t="inlineStr">
        <is>
          <t>M9</t>
        </is>
      </c>
      <c r="D3771" s="5" t="n">
        <v>26</v>
      </c>
      <c r="E3771" s="5" t="n">
        <v>42</v>
      </c>
      <c r="F3771" t="inlineStr">
        <is>
          <t>Продажа</t>
        </is>
      </c>
      <c r="H3771">
        <f>VLOOKUP(C3771,Магазин!$A$2:$C$1000,2,0)</f>
        <v/>
      </c>
      <c r="I3771">
        <f>VLOOKUP(D3771,Товар!$A$2:$F$1000,3,0)</f>
        <v/>
      </c>
      <c r="J3771">
        <f>VLOOKUP(D3771,Товар!$A$2:$F$1000,5,0)</f>
        <v/>
      </c>
      <c r="K3771">
        <f>IF(AND(H3771="Промышленный",LEFT(I3771,18)="Порошок стиральный",F3771="Продажа",B3771=DATE(2023,6,7)),E3771*J3771/1000,0)</f>
        <v/>
      </c>
    </row>
    <row r="3772">
      <c r="A3772" t="n">
        <v>3771</v>
      </c>
      <c r="B3772" s="1" t="n">
        <v>45091</v>
      </c>
      <c r="C3772" s="5" t="inlineStr">
        <is>
          <t>M9</t>
        </is>
      </c>
      <c r="D3772" s="5" t="n">
        <v>27</v>
      </c>
      <c r="E3772" s="5" t="n">
        <v>57</v>
      </c>
      <c r="F3772" t="inlineStr">
        <is>
          <t>Продажа</t>
        </is>
      </c>
      <c r="H3772">
        <f>VLOOKUP(C3772,Магазин!$A$2:$C$1000,2,0)</f>
        <v/>
      </c>
      <c r="I3772">
        <f>VLOOKUP(D3772,Товар!$A$2:$F$1000,3,0)</f>
        <v/>
      </c>
      <c r="J3772">
        <f>VLOOKUP(D3772,Товар!$A$2:$F$1000,5,0)</f>
        <v/>
      </c>
      <c r="K3772">
        <f>IF(AND(H3772="Промышленный",LEFT(I3772,18)="Порошок стиральный",F3772="Продажа",B3772=DATE(2023,6,7)),E3772*J3772/1000,0)</f>
        <v/>
      </c>
    </row>
    <row r="3773">
      <c r="A3773" t="n">
        <v>3772</v>
      </c>
      <c r="B3773" s="1" t="n">
        <v>45091</v>
      </c>
      <c r="C3773" s="5" t="inlineStr">
        <is>
          <t>M9</t>
        </is>
      </c>
      <c r="D3773" s="5" t="n">
        <v>28</v>
      </c>
      <c r="E3773" s="5" t="n">
        <v>59</v>
      </c>
      <c r="F3773" t="inlineStr">
        <is>
          <t>Продажа</t>
        </is>
      </c>
      <c r="H3773">
        <f>VLOOKUP(C3773,Магазин!$A$2:$C$1000,2,0)</f>
        <v/>
      </c>
      <c r="I3773">
        <f>VLOOKUP(D3773,Товар!$A$2:$F$1000,3,0)</f>
        <v/>
      </c>
      <c r="J3773">
        <f>VLOOKUP(D3773,Товар!$A$2:$F$1000,5,0)</f>
        <v/>
      </c>
      <c r="K3773">
        <f>IF(AND(H3773="Промышленный",LEFT(I3773,18)="Порошок стиральный",F3773="Продажа",B3773=DATE(2023,6,7)),E3773*J3773/1000,0)</f>
        <v/>
      </c>
    </row>
    <row r="3774">
      <c r="A3774" t="n">
        <v>3773</v>
      </c>
      <c r="B3774" s="1" t="n">
        <v>45091</v>
      </c>
      <c r="C3774" s="5" t="inlineStr">
        <is>
          <t>M9</t>
        </is>
      </c>
      <c r="D3774" s="5" t="n">
        <v>29</v>
      </c>
      <c r="E3774" s="5" t="n">
        <v>57</v>
      </c>
      <c r="F3774" t="inlineStr">
        <is>
          <t>Продажа</t>
        </is>
      </c>
      <c r="H3774">
        <f>VLOOKUP(C3774,Магазин!$A$2:$C$1000,2,0)</f>
        <v/>
      </c>
      <c r="I3774">
        <f>VLOOKUP(D3774,Товар!$A$2:$F$1000,3,0)</f>
        <v/>
      </c>
      <c r="J3774">
        <f>VLOOKUP(D3774,Товар!$A$2:$F$1000,5,0)</f>
        <v/>
      </c>
      <c r="K3774">
        <f>IF(AND(H3774="Промышленный",LEFT(I3774,18)="Порошок стиральный",F3774="Продажа",B3774=DATE(2023,6,7)),E3774*J3774/1000,0)</f>
        <v/>
      </c>
    </row>
    <row r="3775">
      <c r="A3775" t="n">
        <v>3774</v>
      </c>
      <c r="B3775" s="1" t="n">
        <v>45091</v>
      </c>
      <c r="C3775" s="5" t="inlineStr">
        <is>
          <t>M9</t>
        </is>
      </c>
      <c r="D3775" s="5" t="n">
        <v>30</v>
      </c>
      <c r="E3775" s="5" t="n">
        <v>47</v>
      </c>
      <c r="F3775" t="inlineStr">
        <is>
          <t>Продажа</t>
        </is>
      </c>
      <c r="H3775">
        <f>VLOOKUP(C3775,Магазин!$A$2:$C$1000,2,0)</f>
        <v/>
      </c>
      <c r="I3775">
        <f>VLOOKUP(D3775,Товар!$A$2:$F$1000,3,0)</f>
        <v/>
      </c>
      <c r="J3775">
        <f>VLOOKUP(D3775,Товар!$A$2:$F$1000,5,0)</f>
        <v/>
      </c>
      <c r="K3775">
        <f>IF(AND(H3775="Промышленный",LEFT(I3775,18)="Порошок стиральный",F3775="Продажа",B3775=DATE(2023,6,7)),E3775*J3775/1000,0)</f>
        <v/>
      </c>
    </row>
    <row r="3776">
      <c r="A3776" t="n">
        <v>3775</v>
      </c>
      <c r="B3776" s="1" t="n">
        <v>45091</v>
      </c>
      <c r="C3776" s="5" t="inlineStr">
        <is>
          <t>M9</t>
        </is>
      </c>
      <c r="D3776" s="5" t="n">
        <v>31</v>
      </c>
      <c r="E3776" s="5" t="n">
        <v>44</v>
      </c>
      <c r="F3776" t="inlineStr">
        <is>
          <t>Продажа</t>
        </is>
      </c>
      <c r="H3776">
        <f>VLOOKUP(C3776,Магазин!$A$2:$C$1000,2,0)</f>
        <v/>
      </c>
      <c r="I3776">
        <f>VLOOKUP(D3776,Товар!$A$2:$F$1000,3,0)</f>
        <v/>
      </c>
      <c r="J3776">
        <f>VLOOKUP(D3776,Товар!$A$2:$F$1000,5,0)</f>
        <v/>
      </c>
      <c r="K3776">
        <f>IF(AND(H3776="Промышленный",LEFT(I3776,18)="Порошок стиральный",F3776="Продажа",B3776=DATE(2023,6,7)),E3776*J3776/1000,0)</f>
        <v/>
      </c>
    </row>
    <row r="3777">
      <c r="A3777" t="n">
        <v>3776</v>
      </c>
      <c r="B3777" s="1" t="n">
        <v>45091</v>
      </c>
      <c r="C3777" s="5" t="inlineStr">
        <is>
          <t>M9</t>
        </is>
      </c>
      <c r="D3777" s="5" t="n">
        <v>32</v>
      </c>
      <c r="E3777" s="5" t="n">
        <v>55</v>
      </c>
      <c r="F3777" t="inlineStr">
        <is>
          <t>Продажа</t>
        </is>
      </c>
      <c r="H3777">
        <f>VLOOKUP(C3777,Магазин!$A$2:$C$1000,2,0)</f>
        <v/>
      </c>
      <c r="I3777">
        <f>VLOOKUP(D3777,Товар!$A$2:$F$1000,3,0)</f>
        <v/>
      </c>
      <c r="J3777">
        <f>VLOOKUP(D3777,Товар!$A$2:$F$1000,5,0)</f>
        <v/>
      </c>
      <c r="K3777">
        <f>IF(AND(H3777="Промышленный",LEFT(I3777,18)="Порошок стиральный",F3777="Продажа",B3777=DATE(2023,6,7)),E3777*J3777/1000,0)</f>
        <v/>
      </c>
    </row>
    <row r="3778">
      <c r="A3778" t="n">
        <v>3777</v>
      </c>
      <c r="B3778" s="1" t="n">
        <v>45091</v>
      </c>
      <c r="C3778" s="5" t="inlineStr">
        <is>
          <t>M9</t>
        </is>
      </c>
      <c r="D3778" s="5" t="n">
        <v>33</v>
      </c>
      <c r="E3778" s="5" t="n">
        <v>66</v>
      </c>
      <c r="F3778" t="inlineStr">
        <is>
          <t>Продажа</t>
        </is>
      </c>
      <c r="H3778">
        <f>VLOOKUP(C3778,Магазин!$A$2:$C$1000,2,0)</f>
        <v/>
      </c>
      <c r="I3778">
        <f>VLOOKUP(D3778,Товар!$A$2:$F$1000,3,0)</f>
        <v/>
      </c>
      <c r="J3778">
        <f>VLOOKUP(D3778,Товар!$A$2:$F$1000,5,0)</f>
        <v/>
      </c>
      <c r="K3778">
        <f>IF(AND(H3778="Промышленный",LEFT(I3778,18)="Порошок стиральный",F3778="Продажа",B3778=DATE(2023,6,7)),E3778*J3778/1000,0)</f>
        <v/>
      </c>
    </row>
    <row r="3779">
      <c r="A3779" t="n">
        <v>3778</v>
      </c>
      <c r="B3779" s="1" t="n">
        <v>45091</v>
      </c>
      <c r="C3779" s="5" t="inlineStr">
        <is>
          <t>M9</t>
        </is>
      </c>
      <c r="D3779" s="5" t="n">
        <v>34</v>
      </c>
      <c r="E3779" s="5" t="n">
        <v>39</v>
      </c>
      <c r="F3779" t="inlineStr">
        <is>
          <t>Продажа</t>
        </is>
      </c>
      <c r="H3779">
        <f>VLOOKUP(C3779,Магазин!$A$2:$C$1000,2,0)</f>
        <v/>
      </c>
      <c r="I3779">
        <f>VLOOKUP(D3779,Товар!$A$2:$F$1000,3,0)</f>
        <v/>
      </c>
      <c r="J3779">
        <f>VLOOKUP(D3779,Товар!$A$2:$F$1000,5,0)</f>
        <v/>
      </c>
      <c r="K3779">
        <f>IF(AND(H3779="Промышленный",LEFT(I3779,18)="Порошок стиральный",F3779="Продажа",B3779=DATE(2023,6,7)),E3779*J3779/1000,0)</f>
        <v/>
      </c>
    </row>
    <row r="3780">
      <c r="A3780" t="n">
        <v>3779</v>
      </c>
      <c r="B3780" s="1" t="n">
        <v>45091</v>
      </c>
      <c r="C3780" s="5" t="inlineStr">
        <is>
          <t>M9</t>
        </is>
      </c>
      <c r="D3780" s="5" t="n">
        <v>35</v>
      </c>
      <c r="E3780" s="5" t="n">
        <v>36</v>
      </c>
      <c r="F3780" t="inlineStr">
        <is>
          <t>Продажа</t>
        </is>
      </c>
      <c r="H3780">
        <f>VLOOKUP(C3780,Магазин!$A$2:$C$1000,2,0)</f>
        <v/>
      </c>
      <c r="I3780">
        <f>VLOOKUP(D3780,Товар!$A$2:$F$1000,3,0)</f>
        <v/>
      </c>
      <c r="J3780">
        <f>VLOOKUP(D3780,Товар!$A$2:$F$1000,5,0)</f>
        <v/>
      </c>
      <c r="K3780">
        <f>IF(AND(H3780="Промышленный",LEFT(I3780,18)="Порошок стиральный",F3780="Продажа",B3780=DATE(2023,6,7)),E3780*J3780/1000,0)</f>
        <v/>
      </c>
    </row>
    <row r="3781">
      <c r="A3781" t="n">
        <v>3780</v>
      </c>
      <c r="B3781" s="1" t="n">
        <v>45091</v>
      </c>
      <c r="C3781" s="5" t="inlineStr">
        <is>
          <t>M9</t>
        </is>
      </c>
      <c r="D3781" s="5" t="n">
        <v>36</v>
      </c>
      <c r="E3781" s="5" t="n">
        <v>42</v>
      </c>
      <c r="F3781" t="inlineStr">
        <is>
          <t>Продажа</t>
        </is>
      </c>
      <c r="H3781">
        <f>VLOOKUP(C3781,Магазин!$A$2:$C$1000,2,0)</f>
        <v/>
      </c>
      <c r="I3781">
        <f>VLOOKUP(D3781,Товар!$A$2:$F$1000,3,0)</f>
        <v/>
      </c>
      <c r="J3781">
        <f>VLOOKUP(D3781,Товар!$A$2:$F$1000,5,0)</f>
        <v/>
      </c>
      <c r="K3781">
        <f>IF(AND(H3781="Промышленный",LEFT(I3781,18)="Порошок стиральный",F3781="Продажа",B3781=DATE(2023,6,7)),E3781*J3781/1000,0)</f>
        <v/>
      </c>
    </row>
    <row r="3782">
      <c r="A3782" t="n">
        <v>3781</v>
      </c>
      <c r="B3782" s="1" t="n">
        <v>45091</v>
      </c>
      <c r="C3782" s="5" t="inlineStr">
        <is>
          <t>M11</t>
        </is>
      </c>
      <c r="D3782" s="5" t="n">
        <v>1</v>
      </c>
      <c r="E3782" s="5" t="n">
        <v>68</v>
      </c>
      <c r="F3782" t="inlineStr">
        <is>
          <t>Продажа</t>
        </is>
      </c>
      <c r="H3782">
        <f>VLOOKUP(C3782,Магазин!$A$2:$C$1000,2,0)</f>
        <v/>
      </c>
      <c r="I3782">
        <f>VLOOKUP(D3782,Товар!$A$2:$F$1000,3,0)</f>
        <v/>
      </c>
      <c r="J3782">
        <f>VLOOKUP(D3782,Товар!$A$2:$F$1000,5,0)</f>
        <v/>
      </c>
      <c r="K3782">
        <f>IF(AND(H3782="Промышленный",LEFT(I3782,18)="Порошок стиральный",F3782="Продажа",B3782=DATE(2023,6,7)),E3782*J3782/1000,0)</f>
        <v/>
      </c>
    </row>
    <row r="3783">
      <c r="A3783" t="n">
        <v>3782</v>
      </c>
      <c r="B3783" s="1" t="n">
        <v>45091</v>
      </c>
      <c r="C3783" s="5" t="inlineStr">
        <is>
          <t>M11</t>
        </is>
      </c>
      <c r="D3783" s="5" t="n">
        <v>2</v>
      </c>
      <c r="E3783" s="5" t="n">
        <v>83</v>
      </c>
      <c r="F3783" t="inlineStr">
        <is>
          <t>Продажа</t>
        </is>
      </c>
      <c r="H3783">
        <f>VLOOKUP(C3783,Магазин!$A$2:$C$1000,2,0)</f>
        <v/>
      </c>
      <c r="I3783">
        <f>VLOOKUP(D3783,Товар!$A$2:$F$1000,3,0)</f>
        <v/>
      </c>
      <c r="J3783">
        <f>VLOOKUP(D3783,Товар!$A$2:$F$1000,5,0)</f>
        <v/>
      </c>
      <c r="K3783">
        <f>IF(AND(H3783="Промышленный",LEFT(I3783,18)="Порошок стиральный",F3783="Продажа",B3783=DATE(2023,6,7)),E3783*J3783/1000,0)</f>
        <v/>
      </c>
    </row>
    <row r="3784">
      <c r="A3784" t="n">
        <v>3783</v>
      </c>
      <c r="B3784" s="1" t="n">
        <v>45091</v>
      </c>
      <c r="C3784" s="5" t="inlineStr">
        <is>
          <t>M11</t>
        </is>
      </c>
      <c r="D3784" s="5" t="n">
        <v>3</v>
      </c>
      <c r="E3784" s="5" t="n">
        <v>85</v>
      </c>
      <c r="F3784" t="inlineStr">
        <is>
          <t>Продажа</t>
        </is>
      </c>
      <c r="H3784">
        <f>VLOOKUP(C3784,Магазин!$A$2:$C$1000,2,0)</f>
        <v/>
      </c>
      <c r="I3784">
        <f>VLOOKUP(D3784,Товар!$A$2:$F$1000,3,0)</f>
        <v/>
      </c>
      <c r="J3784">
        <f>VLOOKUP(D3784,Товар!$A$2:$F$1000,5,0)</f>
        <v/>
      </c>
      <c r="K3784">
        <f>IF(AND(H3784="Промышленный",LEFT(I3784,18)="Порошок стиральный",F3784="Продажа",B3784=DATE(2023,6,7)),E3784*J3784/1000,0)</f>
        <v/>
      </c>
    </row>
    <row r="3785">
      <c r="A3785" t="n">
        <v>3784</v>
      </c>
      <c r="B3785" s="1" t="n">
        <v>45091</v>
      </c>
      <c r="C3785" s="5" t="inlineStr">
        <is>
          <t>M11</t>
        </is>
      </c>
      <c r="D3785" s="5" t="n">
        <v>4</v>
      </c>
      <c r="E3785" s="5" t="n">
        <v>87</v>
      </c>
      <c r="F3785" t="inlineStr">
        <is>
          <t>Продажа</t>
        </is>
      </c>
      <c r="H3785">
        <f>VLOOKUP(C3785,Магазин!$A$2:$C$1000,2,0)</f>
        <v/>
      </c>
      <c r="I3785">
        <f>VLOOKUP(D3785,Товар!$A$2:$F$1000,3,0)</f>
        <v/>
      </c>
      <c r="J3785">
        <f>VLOOKUP(D3785,Товар!$A$2:$F$1000,5,0)</f>
        <v/>
      </c>
      <c r="K3785">
        <f>IF(AND(H3785="Промышленный",LEFT(I3785,18)="Порошок стиральный",F3785="Продажа",B3785=DATE(2023,6,7)),E3785*J3785/1000,0)</f>
        <v/>
      </c>
    </row>
    <row r="3786">
      <c r="A3786" t="n">
        <v>3785</v>
      </c>
      <c r="B3786" s="1" t="n">
        <v>45091</v>
      </c>
      <c r="C3786" s="5" t="inlineStr">
        <is>
          <t>M11</t>
        </is>
      </c>
      <c r="D3786" s="5" t="n">
        <v>5</v>
      </c>
      <c r="E3786" s="5" t="n">
        <v>98</v>
      </c>
      <c r="F3786" t="inlineStr">
        <is>
          <t>Продажа</t>
        </is>
      </c>
      <c r="H3786">
        <f>VLOOKUP(C3786,Магазин!$A$2:$C$1000,2,0)</f>
        <v/>
      </c>
      <c r="I3786">
        <f>VLOOKUP(D3786,Товар!$A$2:$F$1000,3,0)</f>
        <v/>
      </c>
      <c r="J3786">
        <f>VLOOKUP(D3786,Товар!$A$2:$F$1000,5,0)</f>
        <v/>
      </c>
      <c r="K3786">
        <f>IF(AND(H3786="Промышленный",LEFT(I3786,18)="Порошок стиральный",F3786="Продажа",B3786=DATE(2023,6,7)),E3786*J3786/1000,0)</f>
        <v/>
      </c>
    </row>
    <row r="3787">
      <c r="A3787" t="n">
        <v>3786</v>
      </c>
      <c r="B3787" s="1" t="n">
        <v>45091</v>
      </c>
      <c r="C3787" s="5" t="inlineStr">
        <is>
          <t>M11</t>
        </is>
      </c>
      <c r="D3787" s="5" t="n">
        <v>6</v>
      </c>
      <c r="E3787" s="5" t="n">
        <v>95</v>
      </c>
      <c r="F3787" t="inlineStr">
        <is>
          <t>Продажа</t>
        </is>
      </c>
      <c r="H3787">
        <f>VLOOKUP(C3787,Магазин!$A$2:$C$1000,2,0)</f>
        <v/>
      </c>
      <c r="I3787">
        <f>VLOOKUP(D3787,Товар!$A$2:$F$1000,3,0)</f>
        <v/>
      </c>
      <c r="J3787">
        <f>VLOOKUP(D3787,Товар!$A$2:$F$1000,5,0)</f>
        <v/>
      </c>
      <c r="K3787">
        <f>IF(AND(H3787="Промышленный",LEFT(I3787,18)="Порошок стиральный",F3787="Продажа",B3787=DATE(2023,6,7)),E3787*J3787/1000,0)</f>
        <v/>
      </c>
    </row>
    <row r="3788">
      <c r="A3788" t="n">
        <v>3787</v>
      </c>
      <c r="B3788" s="1" t="n">
        <v>45091</v>
      </c>
      <c r="C3788" s="5" t="inlineStr">
        <is>
          <t>M11</t>
        </is>
      </c>
      <c r="D3788" s="5" t="n">
        <v>7</v>
      </c>
      <c r="E3788" s="5" t="n">
        <v>68</v>
      </c>
      <c r="F3788" t="inlineStr">
        <is>
          <t>Продажа</t>
        </is>
      </c>
      <c r="H3788">
        <f>VLOOKUP(C3788,Магазин!$A$2:$C$1000,2,0)</f>
        <v/>
      </c>
      <c r="I3788">
        <f>VLOOKUP(D3788,Товар!$A$2:$F$1000,3,0)</f>
        <v/>
      </c>
      <c r="J3788">
        <f>VLOOKUP(D3788,Товар!$A$2:$F$1000,5,0)</f>
        <v/>
      </c>
      <c r="K3788">
        <f>IF(AND(H3788="Промышленный",LEFT(I3788,18)="Порошок стиральный",F3788="Продажа",B3788=DATE(2023,6,7)),E3788*J3788/1000,0)</f>
        <v/>
      </c>
    </row>
    <row r="3789">
      <c r="A3789" t="n">
        <v>3788</v>
      </c>
      <c r="B3789" s="1" t="n">
        <v>45091</v>
      </c>
      <c r="C3789" s="5" t="inlineStr">
        <is>
          <t>M11</t>
        </is>
      </c>
      <c r="D3789" s="5" t="n">
        <v>8</v>
      </c>
      <c r="E3789" s="5" t="n">
        <v>79</v>
      </c>
      <c r="F3789" t="inlineStr">
        <is>
          <t>Продажа</t>
        </is>
      </c>
      <c r="H3789">
        <f>VLOOKUP(C3789,Магазин!$A$2:$C$1000,2,0)</f>
        <v/>
      </c>
      <c r="I3789">
        <f>VLOOKUP(D3789,Товар!$A$2:$F$1000,3,0)</f>
        <v/>
      </c>
      <c r="J3789">
        <f>VLOOKUP(D3789,Товар!$A$2:$F$1000,5,0)</f>
        <v/>
      </c>
      <c r="K3789">
        <f>IF(AND(H3789="Промышленный",LEFT(I3789,18)="Порошок стиральный",F3789="Продажа",B3789=DATE(2023,6,7)),E3789*J3789/1000,0)</f>
        <v/>
      </c>
    </row>
    <row r="3790">
      <c r="A3790" t="n">
        <v>3789</v>
      </c>
      <c r="B3790" s="1" t="n">
        <v>45091</v>
      </c>
      <c r="C3790" s="5" t="inlineStr">
        <is>
          <t>M11</t>
        </is>
      </c>
      <c r="D3790" s="5" t="n">
        <v>9</v>
      </c>
      <c r="E3790" s="5" t="n">
        <v>97</v>
      </c>
      <c r="F3790" t="inlineStr">
        <is>
          <t>Продажа</t>
        </is>
      </c>
      <c r="H3790">
        <f>VLOOKUP(C3790,Магазин!$A$2:$C$1000,2,0)</f>
        <v/>
      </c>
      <c r="I3790">
        <f>VLOOKUP(D3790,Товар!$A$2:$F$1000,3,0)</f>
        <v/>
      </c>
      <c r="J3790">
        <f>VLOOKUP(D3790,Товар!$A$2:$F$1000,5,0)</f>
        <v/>
      </c>
      <c r="K3790">
        <f>IF(AND(H3790="Промышленный",LEFT(I3790,18)="Порошок стиральный",F3790="Продажа",B3790=DATE(2023,6,7)),E3790*J3790/1000,0)</f>
        <v/>
      </c>
    </row>
    <row r="3791">
      <c r="A3791" t="n">
        <v>3790</v>
      </c>
      <c r="B3791" s="1" t="n">
        <v>45091</v>
      </c>
      <c r="C3791" s="5" t="inlineStr">
        <is>
          <t>M11</t>
        </is>
      </c>
      <c r="D3791" s="5" t="n">
        <v>10</v>
      </c>
      <c r="E3791" s="5" t="n">
        <v>95</v>
      </c>
      <c r="F3791" t="inlineStr">
        <is>
          <t>Продажа</t>
        </is>
      </c>
      <c r="H3791">
        <f>VLOOKUP(C3791,Магазин!$A$2:$C$1000,2,0)</f>
        <v/>
      </c>
      <c r="I3791">
        <f>VLOOKUP(D3791,Товар!$A$2:$F$1000,3,0)</f>
        <v/>
      </c>
      <c r="J3791">
        <f>VLOOKUP(D3791,Товар!$A$2:$F$1000,5,0)</f>
        <v/>
      </c>
      <c r="K3791">
        <f>IF(AND(H3791="Промышленный",LEFT(I3791,18)="Порошок стиральный",F3791="Продажа",B3791=DATE(2023,6,7)),E3791*J3791/1000,0)</f>
        <v/>
      </c>
    </row>
    <row r="3792">
      <c r="A3792" t="n">
        <v>3791</v>
      </c>
      <c r="B3792" s="1" t="n">
        <v>45091</v>
      </c>
      <c r="C3792" s="5" t="inlineStr">
        <is>
          <t>M11</t>
        </is>
      </c>
      <c r="D3792" s="5" t="n">
        <v>11</v>
      </c>
      <c r="E3792" s="5" t="n">
        <v>94</v>
      </c>
      <c r="F3792" t="inlineStr">
        <is>
          <t>Продажа</t>
        </is>
      </c>
      <c r="H3792">
        <f>VLOOKUP(C3792,Магазин!$A$2:$C$1000,2,0)</f>
        <v/>
      </c>
      <c r="I3792">
        <f>VLOOKUP(D3792,Товар!$A$2:$F$1000,3,0)</f>
        <v/>
      </c>
      <c r="J3792">
        <f>VLOOKUP(D3792,Товар!$A$2:$F$1000,5,0)</f>
        <v/>
      </c>
      <c r="K3792">
        <f>IF(AND(H3792="Промышленный",LEFT(I3792,18)="Порошок стиральный",F3792="Продажа",B3792=DATE(2023,6,7)),E3792*J3792/1000,0)</f>
        <v/>
      </c>
    </row>
    <row r="3793">
      <c r="A3793" t="n">
        <v>3792</v>
      </c>
      <c r="B3793" s="1" t="n">
        <v>45091</v>
      </c>
      <c r="C3793" s="5" t="inlineStr">
        <is>
          <t>M11</t>
        </is>
      </c>
      <c r="D3793" s="5" t="n">
        <v>12</v>
      </c>
      <c r="E3793" s="5" t="n">
        <v>86</v>
      </c>
      <c r="F3793" t="inlineStr">
        <is>
          <t>Продажа</t>
        </is>
      </c>
      <c r="H3793">
        <f>VLOOKUP(C3793,Магазин!$A$2:$C$1000,2,0)</f>
        <v/>
      </c>
      <c r="I3793">
        <f>VLOOKUP(D3793,Товар!$A$2:$F$1000,3,0)</f>
        <v/>
      </c>
      <c r="J3793">
        <f>VLOOKUP(D3793,Товар!$A$2:$F$1000,5,0)</f>
        <v/>
      </c>
      <c r="K3793">
        <f>IF(AND(H3793="Промышленный",LEFT(I3793,18)="Порошок стиральный",F3793="Продажа",B3793=DATE(2023,6,7)),E3793*J3793/1000,0)</f>
        <v/>
      </c>
    </row>
    <row r="3794">
      <c r="A3794" t="n">
        <v>3793</v>
      </c>
      <c r="B3794" s="1" t="n">
        <v>45091</v>
      </c>
      <c r="C3794" s="5" t="inlineStr">
        <is>
          <t>M11</t>
        </is>
      </c>
      <c r="D3794" s="5" t="n">
        <v>13</v>
      </c>
      <c r="E3794" s="5" t="n">
        <v>84</v>
      </c>
      <c r="F3794" t="inlineStr">
        <is>
          <t>Продажа</t>
        </is>
      </c>
      <c r="H3794">
        <f>VLOOKUP(C3794,Магазин!$A$2:$C$1000,2,0)</f>
        <v/>
      </c>
      <c r="I3794">
        <f>VLOOKUP(D3794,Товар!$A$2:$F$1000,3,0)</f>
        <v/>
      </c>
      <c r="J3794">
        <f>VLOOKUP(D3794,Товар!$A$2:$F$1000,5,0)</f>
        <v/>
      </c>
      <c r="K3794">
        <f>IF(AND(H3794="Промышленный",LEFT(I3794,18)="Порошок стиральный",F3794="Продажа",B3794=DATE(2023,6,7)),E3794*J3794/1000,0)</f>
        <v/>
      </c>
    </row>
    <row r="3795">
      <c r="A3795" t="n">
        <v>3794</v>
      </c>
      <c r="B3795" s="1" t="n">
        <v>45091</v>
      </c>
      <c r="C3795" s="5" t="inlineStr">
        <is>
          <t>M11</t>
        </is>
      </c>
      <c r="D3795" s="5" t="n">
        <v>14</v>
      </c>
      <c r="E3795" s="5" t="n">
        <v>81</v>
      </c>
      <c r="F3795" t="inlineStr">
        <is>
          <t>Продажа</t>
        </is>
      </c>
      <c r="H3795">
        <f>VLOOKUP(C3795,Магазин!$A$2:$C$1000,2,0)</f>
        <v/>
      </c>
      <c r="I3795">
        <f>VLOOKUP(D3795,Товар!$A$2:$F$1000,3,0)</f>
        <v/>
      </c>
      <c r="J3795">
        <f>VLOOKUP(D3795,Товар!$A$2:$F$1000,5,0)</f>
        <v/>
      </c>
      <c r="K3795">
        <f>IF(AND(H3795="Промышленный",LEFT(I3795,18)="Порошок стиральный",F3795="Продажа",B3795=DATE(2023,6,7)),E3795*J3795/1000,0)</f>
        <v/>
      </c>
    </row>
    <row r="3796">
      <c r="A3796" t="n">
        <v>3795</v>
      </c>
      <c r="B3796" s="1" t="n">
        <v>45091</v>
      </c>
      <c r="C3796" s="5" t="inlineStr">
        <is>
          <t>M11</t>
        </is>
      </c>
      <c r="D3796" s="5" t="n">
        <v>15</v>
      </c>
      <c r="E3796" s="5" t="n">
        <v>83</v>
      </c>
      <c r="F3796" t="inlineStr">
        <is>
          <t>Продажа</t>
        </is>
      </c>
      <c r="H3796">
        <f>VLOOKUP(C3796,Магазин!$A$2:$C$1000,2,0)</f>
        <v/>
      </c>
      <c r="I3796">
        <f>VLOOKUP(D3796,Товар!$A$2:$F$1000,3,0)</f>
        <v/>
      </c>
      <c r="J3796">
        <f>VLOOKUP(D3796,Товар!$A$2:$F$1000,5,0)</f>
        <v/>
      </c>
      <c r="K3796">
        <f>IF(AND(H3796="Промышленный",LEFT(I3796,18)="Порошок стиральный",F3796="Продажа",B3796=DATE(2023,6,7)),E3796*J3796/1000,0)</f>
        <v/>
      </c>
    </row>
    <row r="3797">
      <c r="A3797" t="n">
        <v>3796</v>
      </c>
      <c r="B3797" s="1" t="n">
        <v>45091</v>
      </c>
      <c r="C3797" s="5" t="inlineStr">
        <is>
          <t>M11</t>
        </is>
      </c>
      <c r="D3797" s="5" t="n">
        <v>16</v>
      </c>
      <c r="E3797" s="5" t="n">
        <v>82</v>
      </c>
      <c r="F3797" t="inlineStr">
        <is>
          <t>Продажа</t>
        </is>
      </c>
      <c r="H3797">
        <f>VLOOKUP(C3797,Магазин!$A$2:$C$1000,2,0)</f>
        <v/>
      </c>
      <c r="I3797">
        <f>VLOOKUP(D3797,Товар!$A$2:$F$1000,3,0)</f>
        <v/>
      </c>
      <c r="J3797">
        <f>VLOOKUP(D3797,Товар!$A$2:$F$1000,5,0)</f>
        <v/>
      </c>
      <c r="K3797">
        <f>IF(AND(H3797="Промышленный",LEFT(I3797,18)="Порошок стиральный",F3797="Продажа",B3797=DATE(2023,6,7)),E3797*J3797/1000,0)</f>
        <v/>
      </c>
    </row>
    <row r="3798">
      <c r="A3798" t="n">
        <v>3797</v>
      </c>
      <c r="B3798" s="1" t="n">
        <v>45091</v>
      </c>
      <c r="C3798" s="5" t="inlineStr">
        <is>
          <t>M11</t>
        </is>
      </c>
      <c r="D3798" s="5" t="n">
        <v>17</v>
      </c>
      <c r="E3798" s="5" t="n">
        <v>87</v>
      </c>
      <c r="F3798" t="inlineStr">
        <is>
          <t>Продажа</t>
        </is>
      </c>
      <c r="H3798">
        <f>VLOOKUP(C3798,Магазин!$A$2:$C$1000,2,0)</f>
        <v/>
      </c>
      <c r="I3798">
        <f>VLOOKUP(D3798,Товар!$A$2:$F$1000,3,0)</f>
        <v/>
      </c>
      <c r="J3798">
        <f>VLOOKUP(D3798,Товар!$A$2:$F$1000,5,0)</f>
        <v/>
      </c>
      <c r="K3798">
        <f>IF(AND(H3798="Промышленный",LEFT(I3798,18)="Порошок стиральный",F3798="Продажа",B3798=DATE(2023,6,7)),E3798*J3798/1000,0)</f>
        <v/>
      </c>
    </row>
    <row r="3799">
      <c r="A3799" t="n">
        <v>3798</v>
      </c>
      <c r="B3799" s="1" t="n">
        <v>45091</v>
      </c>
      <c r="C3799" s="5" t="inlineStr">
        <is>
          <t>M11</t>
        </is>
      </c>
      <c r="D3799" s="5" t="n">
        <v>18</v>
      </c>
      <c r="E3799" s="5" t="n">
        <v>94</v>
      </c>
      <c r="F3799" t="inlineStr">
        <is>
          <t>Продажа</t>
        </is>
      </c>
      <c r="H3799">
        <f>VLOOKUP(C3799,Магазин!$A$2:$C$1000,2,0)</f>
        <v/>
      </c>
      <c r="I3799">
        <f>VLOOKUP(D3799,Товар!$A$2:$F$1000,3,0)</f>
        <v/>
      </c>
      <c r="J3799">
        <f>VLOOKUP(D3799,Товар!$A$2:$F$1000,5,0)</f>
        <v/>
      </c>
      <c r="K3799">
        <f>IF(AND(H3799="Промышленный",LEFT(I3799,18)="Порошок стиральный",F3799="Продажа",B3799=DATE(2023,6,7)),E3799*J3799/1000,0)</f>
        <v/>
      </c>
    </row>
    <row r="3800">
      <c r="A3800" t="n">
        <v>3799</v>
      </c>
      <c r="B3800" s="1" t="n">
        <v>45091</v>
      </c>
      <c r="C3800" s="5" t="inlineStr">
        <is>
          <t>M11</t>
        </is>
      </c>
      <c r="D3800" s="5" t="n">
        <v>19</v>
      </c>
      <c r="E3800" s="5" t="n">
        <v>96</v>
      </c>
      <c r="F3800" t="inlineStr">
        <is>
          <t>Продажа</t>
        </is>
      </c>
      <c r="H3800">
        <f>VLOOKUP(C3800,Магазин!$A$2:$C$1000,2,0)</f>
        <v/>
      </c>
      <c r="I3800">
        <f>VLOOKUP(D3800,Товар!$A$2:$F$1000,3,0)</f>
        <v/>
      </c>
      <c r="J3800">
        <f>VLOOKUP(D3800,Товар!$A$2:$F$1000,5,0)</f>
        <v/>
      </c>
      <c r="K3800">
        <f>IF(AND(H3800="Промышленный",LEFT(I3800,18)="Порошок стиральный",F3800="Продажа",B3800=DATE(2023,6,7)),E3800*J3800/1000,0)</f>
        <v/>
      </c>
    </row>
    <row r="3801">
      <c r="A3801" t="n">
        <v>3800</v>
      </c>
      <c r="B3801" s="1" t="n">
        <v>45091</v>
      </c>
      <c r="C3801" s="5" t="inlineStr">
        <is>
          <t>M11</t>
        </is>
      </c>
      <c r="D3801" s="5" t="n">
        <v>20</v>
      </c>
      <c r="E3801" s="5" t="n">
        <v>93</v>
      </c>
      <c r="F3801" t="inlineStr">
        <is>
          <t>Продажа</t>
        </is>
      </c>
      <c r="H3801">
        <f>VLOOKUP(C3801,Магазин!$A$2:$C$1000,2,0)</f>
        <v/>
      </c>
      <c r="I3801">
        <f>VLOOKUP(D3801,Товар!$A$2:$F$1000,3,0)</f>
        <v/>
      </c>
      <c r="J3801">
        <f>VLOOKUP(D3801,Товар!$A$2:$F$1000,5,0)</f>
        <v/>
      </c>
      <c r="K3801">
        <f>IF(AND(H3801="Промышленный",LEFT(I3801,18)="Порошок стиральный",F3801="Продажа",B3801=DATE(2023,6,7)),E3801*J3801/1000,0)</f>
        <v/>
      </c>
    </row>
    <row r="3802">
      <c r="A3802" t="n">
        <v>3801</v>
      </c>
      <c r="B3802" s="1" t="n">
        <v>45091</v>
      </c>
      <c r="C3802" s="5" t="inlineStr">
        <is>
          <t>M11</t>
        </is>
      </c>
      <c r="D3802" s="5" t="n">
        <v>21</v>
      </c>
      <c r="E3802" s="5" t="n">
        <v>91</v>
      </c>
      <c r="F3802" t="inlineStr">
        <is>
          <t>Продажа</t>
        </is>
      </c>
      <c r="H3802">
        <f>VLOOKUP(C3802,Магазин!$A$2:$C$1000,2,0)</f>
        <v/>
      </c>
      <c r="I3802">
        <f>VLOOKUP(D3802,Товар!$A$2:$F$1000,3,0)</f>
        <v/>
      </c>
      <c r="J3802">
        <f>VLOOKUP(D3802,Товар!$A$2:$F$1000,5,0)</f>
        <v/>
      </c>
      <c r="K3802">
        <f>IF(AND(H3802="Промышленный",LEFT(I3802,18)="Порошок стиральный",F3802="Продажа",B3802=DATE(2023,6,7)),E3802*J3802/1000,0)</f>
        <v/>
      </c>
    </row>
    <row r="3803">
      <c r="A3803" t="n">
        <v>3802</v>
      </c>
      <c r="B3803" s="1" t="n">
        <v>45091</v>
      </c>
      <c r="C3803" s="5" t="inlineStr">
        <is>
          <t>M11</t>
        </is>
      </c>
      <c r="D3803" s="5" t="n">
        <v>22</v>
      </c>
      <c r="E3803" s="5" t="n">
        <v>73</v>
      </c>
      <c r="F3803" t="inlineStr">
        <is>
          <t>Продажа</t>
        </is>
      </c>
      <c r="H3803">
        <f>VLOOKUP(C3803,Магазин!$A$2:$C$1000,2,0)</f>
        <v/>
      </c>
      <c r="I3803">
        <f>VLOOKUP(D3803,Товар!$A$2:$F$1000,3,0)</f>
        <v/>
      </c>
      <c r="J3803">
        <f>VLOOKUP(D3803,Товар!$A$2:$F$1000,5,0)</f>
        <v/>
      </c>
      <c r="K3803">
        <f>IF(AND(H3803="Промышленный",LEFT(I3803,18)="Порошок стиральный",F3803="Продажа",B3803=DATE(2023,6,7)),E3803*J3803/1000,0)</f>
        <v/>
      </c>
    </row>
    <row r="3804">
      <c r="A3804" t="n">
        <v>3803</v>
      </c>
      <c r="B3804" s="1" t="n">
        <v>45091</v>
      </c>
      <c r="C3804" s="5" t="inlineStr">
        <is>
          <t>M11</t>
        </is>
      </c>
      <c r="D3804" s="5" t="n">
        <v>23</v>
      </c>
      <c r="E3804" s="5" t="n">
        <v>94</v>
      </c>
      <c r="F3804" t="inlineStr">
        <is>
          <t>Продажа</t>
        </is>
      </c>
      <c r="H3804">
        <f>VLOOKUP(C3804,Магазин!$A$2:$C$1000,2,0)</f>
        <v/>
      </c>
      <c r="I3804">
        <f>VLOOKUP(D3804,Товар!$A$2:$F$1000,3,0)</f>
        <v/>
      </c>
      <c r="J3804">
        <f>VLOOKUP(D3804,Товар!$A$2:$F$1000,5,0)</f>
        <v/>
      </c>
      <c r="K3804">
        <f>IF(AND(H3804="Промышленный",LEFT(I3804,18)="Порошок стиральный",F3804="Продажа",B3804=DATE(2023,6,7)),E3804*J3804/1000,0)</f>
        <v/>
      </c>
    </row>
    <row r="3805">
      <c r="A3805" t="n">
        <v>3804</v>
      </c>
      <c r="B3805" s="1" t="n">
        <v>45091</v>
      </c>
      <c r="C3805" s="5" t="inlineStr">
        <is>
          <t>M11</t>
        </is>
      </c>
      <c r="D3805" s="5" t="n">
        <v>24</v>
      </c>
      <c r="E3805" s="5" t="n">
        <v>96</v>
      </c>
      <c r="F3805" t="inlineStr">
        <is>
          <t>Продажа</t>
        </is>
      </c>
      <c r="H3805">
        <f>VLOOKUP(C3805,Магазин!$A$2:$C$1000,2,0)</f>
        <v/>
      </c>
      <c r="I3805">
        <f>VLOOKUP(D3805,Товар!$A$2:$F$1000,3,0)</f>
        <v/>
      </c>
      <c r="J3805">
        <f>VLOOKUP(D3805,Товар!$A$2:$F$1000,5,0)</f>
        <v/>
      </c>
      <c r="K3805">
        <f>IF(AND(H3805="Промышленный",LEFT(I3805,18)="Порошок стиральный",F3805="Продажа",B3805=DATE(2023,6,7)),E3805*J3805/1000,0)</f>
        <v/>
      </c>
    </row>
    <row r="3806">
      <c r="A3806" t="n">
        <v>3805</v>
      </c>
      <c r="B3806" s="1" t="n">
        <v>45091</v>
      </c>
      <c r="C3806" s="5" t="inlineStr">
        <is>
          <t>M11</t>
        </is>
      </c>
      <c r="D3806" s="5" t="n">
        <v>25</v>
      </c>
      <c r="E3806" s="5" t="n">
        <v>95</v>
      </c>
      <c r="F3806" t="inlineStr">
        <is>
          <t>Продажа</t>
        </is>
      </c>
      <c r="H3806">
        <f>VLOOKUP(C3806,Магазин!$A$2:$C$1000,2,0)</f>
        <v/>
      </c>
      <c r="I3806">
        <f>VLOOKUP(D3806,Товар!$A$2:$F$1000,3,0)</f>
        <v/>
      </c>
      <c r="J3806">
        <f>VLOOKUP(D3806,Товар!$A$2:$F$1000,5,0)</f>
        <v/>
      </c>
      <c r="K3806">
        <f>IF(AND(H3806="Промышленный",LEFT(I3806,18)="Порошок стиральный",F3806="Продажа",B3806=DATE(2023,6,7)),E3806*J3806/1000,0)</f>
        <v/>
      </c>
    </row>
    <row r="3807">
      <c r="A3807" t="n">
        <v>3806</v>
      </c>
      <c r="B3807" s="1" t="n">
        <v>45091</v>
      </c>
      <c r="C3807" s="5" t="inlineStr">
        <is>
          <t>M11</t>
        </is>
      </c>
      <c r="D3807" s="5" t="n">
        <v>26</v>
      </c>
      <c r="E3807" s="5" t="n">
        <v>97</v>
      </c>
      <c r="F3807" t="inlineStr">
        <is>
          <t>Продажа</t>
        </is>
      </c>
      <c r="H3807">
        <f>VLOOKUP(C3807,Магазин!$A$2:$C$1000,2,0)</f>
        <v/>
      </c>
      <c r="I3807">
        <f>VLOOKUP(D3807,Товар!$A$2:$F$1000,3,0)</f>
        <v/>
      </c>
      <c r="J3807">
        <f>VLOOKUP(D3807,Товар!$A$2:$F$1000,5,0)</f>
        <v/>
      </c>
      <c r="K3807">
        <f>IF(AND(H3807="Промышленный",LEFT(I3807,18)="Порошок стиральный",F3807="Продажа",B3807=DATE(2023,6,7)),E3807*J3807/1000,0)</f>
        <v/>
      </c>
    </row>
    <row r="3808">
      <c r="A3808" t="n">
        <v>3807</v>
      </c>
      <c r="B3808" s="1" t="n">
        <v>45091</v>
      </c>
      <c r="C3808" s="5" t="inlineStr">
        <is>
          <t>M11</t>
        </is>
      </c>
      <c r="D3808" s="5" t="n">
        <v>27</v>
      </c>
      <c r="E3808" s="5" t="n">
        <v>84</v>
      </c>
      <c r="F3808" t="inlineStr">
        <is>
          <t>Продажа</t>
        </is>
      </c>
      <c r="H3808">
        <f>VLOOKUP(C3808,Магазин!$A$2:$C$1000,2,0)</f>
        <v/>
      </c>
      <c r="I3808">
        <f>VLOOKUP(D3808,Товар!$A$2:$F$1000,3,0)</f>
        <v/>
      </c>
      <c r="J3808">
        <f>VLOOKUP(D3808,Товар!$A$2:$F$1000,5,0)</f>
        <v/>
      </c>
      <c r="K3808">
        <f>IF(AND(H3808="Промышленный",LEFT(I3808,18)="Порошок стиральный",F3808="Продажа",B3808=DATE(2023,6,7)),E3808*J3808/1000,0)</f>
        <v/>
      </c>
    </row>
    <row r="3809">
      <c r="A3809" t="n">
        <v>3808</v>
      </c>
      <c r="B3809" s="1" t="n">
        <v>45091</v>
      </c>
      <c r="C3809" s="5" t="inlineStr">
        <is>
          <t>M11</t>
        </is>
      </c>
      <c r="D3809" s="5" t="n">
        <v>28</v>
      </c>
      <c r="E3809" s="5" t="n">
        <v>83</v>
      </c>
      <c r="F3809" t="inlineStr">
        <is>
          <t>Продажа</t>
        </is>
      </c>
      <c r="H3809">
        <f>VLOOKUP(C3809,Магазин!$A$2:$C$1000,2,0)</f>
        <v/>
      </c>
      <c r="I3809">
        <f>VLOOKUP(D3809,Товар!$A$2:$F$1000,3,0)</f>
        <v/>
      </c>
      <c r="J3809">
        <f>VLOOKUP(D3809,Товар!$A$2:$F$1000,5,0)</f>
        <v/>
      </c>
      <c r="K3809">
        <f>IF(AND(H3809="Промышленный",LEFT(I3809,18)="Порошок стиральный",F3809="Продажа",B3809=DATE(2023,6,7)),E3809*J3809/1000,0)</f>
        <v/>
      </c>
    </row>
    <row r="3810">
      <c r="A3810" t="n">
        <v>3809</v>
      </c>
      <c r="B3810" s="1" t="n">
        <v>45091</v>
      </c>
      <c r="C3810" s="5" t="inlineStr">
        <is>
          <t>M11</t>
        </is>
      </c>
      <c r="D3810" s="5" t="n">
        <v>29</v>
      </c>
      <c r="E3810" s="5" t="n">
        <v>81</v>
      </c>
      <c r="F3810" t="inlineStr">
        <is>
          <t>Продажа</t>
        </is>
      </c>
      <c r="H3810">
        <f>VLOOKUP(C3810,Магазин!$A$2:$C$1000,2,0)</f>
        <v/>
      </c>
      <c r="I3810">
        <f>VLOOKUP(D3810,Товар!$A$2:$F$1000,3,0)</f>
        <v/>
      </c>
      <c r="J3810">
        <f>VLOOKUP(D3810,Товар!$A$2:$F$1000,5,0)</f>
        <v/>
      </c>
      <c r="K3810">
        <f>IF(AND(H3810="Промышленный",LEFT(I3810,18)="Порошок стиральный",F3810="Продажа",B3810=DATE(2023,6,7)),E3810*J3810/1000,0)</f>
        <v/>
      </c>
    </row>
    <row r="3811">
      <c r="A3811" t="n">
        <v>3810</v>
      </c>
      <c r="B3811" s="1" t="n">
        <v>45091</v>
      </c>
      <c r="C3811" s="5" t="inlineStr">
        <is>
          <t>M11</t>
        </is>
      </c>
      <c r="D3811" s="5" t="n">
        <v>30</v>
      </c>
      <c r="E3811" s="5" t="n">
        <v>87</v>
      </c>
      <c r="F3811" t="inlineStr">
        <is>
          <t>Продажа</t>
        </is>
      </c>
      <c r="H3811">
        <f>VLOOKUP(C3811,Магазин!$A$2:$C$1000,2,0)</f>
        <v/>
      </c>
      <c r="I3811">
        <f>VLOOKUP(D3811,Товар!$A$2:$F$1000,3,0)</f>
        <v/>
      </c>
      <c r="J3811">
        <f>VLOOKUP(D3811,Товар!$A$2:$F$1000,5,0)</f>
        <v/>
      </c>
      <c r="K3811">
        <f>IF(AND(H3811="Промышленный",LEFT(I3811,18)="Порошок стиральный",F3811="Продажа",B3811=DATE(2023,6,7)),E3811*J3811/1000,0)</f>
        <v/>
      </c>
    </row>
    <row r="3812">
      <c r="A3812" t="n">
        <v>3811</v>
      </c>
      <c r="B3812" s="1" t="n">
        <v>45091</v>
      </c>
      <c r="C3812" s="5" t="inlineStr">
        <is>
          <t>M11</t>
        </is>
      </c>
      <c r="D3812" s="5" t="n">
        <v>31</v>
      </c>
      <c r="E3812" s="5" t="n">
        <v>73</v>
      </c>
      <c r="F3812" t="inlineStr">
        <is>
          <t>Продажа</t>
        </is>
      </c>
      <c r="H3812">
        <f>VLOOKUP(C3812,Магазин!$A$2:$C$1000,2,0)</f>
        <v/>
      </c>
      <c r="I3812">
        <f>VLOOKUP(D3812,Товар!$A$2:$F$1000,3,0)</f>
        <v/>
      </c>
      <c r="J3812">
        <f>VLOOKUP(D3812,Товар!$A$2:$F$1000,5,0)</f>
        <v/>
      </c>
      <c r="K3812">
        <f>IF(AND(H3812="Промышленный",LEFT(I3812,18)="Порошок стиральный",F3812="Продажа",B3812=DATE(2023,6,7)),E3812*J3812/1000,0)</f>
        <v/>
      </c>
    </row>
    <row r="3813">
      <c r="A3813" t="n">
        <v>3812</v>
      </c>
      <c r="B3813" s="1" t="n">
        <v>45091</v>
      </c>
      <c r="C3813" s="5" t="inlineStr">
        <is>
          <t>M11</t>
        </is>
      </c>
      <c r="D3813" s="5" t="n">
        <v>32</v>
      </c>
      <c r="E3813" s="5" t="n">
        <v>71</v>
      </c>
      <c r="F3813" t="inlineStr">
        <is>
          <t>Продажа</t>
        </is>
      </c>
      <c r="H3813">
        <f>VLOOKUP(C3813,Магазин!$A$2:$C$1000,2,0)</f>
        <v/>
      </c>
      <c r="I3813">
        <f>VLOOKUP(D3813,Товар!$A$2:$F$1000,3,0)</f>
        <v/>
      </c>
      <c r="J3813">
        <f>VLOOKUP(D3813,Товар!$A$2:$F$1000,5,0)</f>
        <v/>
      </c>
      <c r="K3813">
        <f>IF(AND(H3813="Промышленный",LEFT(I3813,18)="Порошок стиральный",F3813="Продажа",B3813=DATE(2023,6,7)),E3813*J3813/1000,0)</f>
        <v/>
      </c>
    </row>
    <row r="3814">
      <c r="A3814" t="n">
        <v>3813</v>
      </c>
      <c r="B3814" s="1" t="n">
        <v>45091</v>
      </c>
      <c r="C3814" s="5" t="inlineStr">
        <is>
          <t>M11</t>
        </is>
      </c>
      <c r="D3814" s="5" t="n">
        <v>33</v>
      </c>
      <c r="E3814" s="5" t="n">
        <v>85</v>
      </c>
      <c r="F3814" t="inlineStr">
        <is>
          <t>Продажа</t>
        </is>
      </c>
      <c r="H3814">
        <f>VLOOKUP(C3814,Магазин!$A$2:$C$1000,2,0)</f>
        <v/>
      </c>
      <c r="I3814">
        <f>VLOOKUP(D3814,Товар!$A$2:$F$1000,3,0)</f>
        <v/>
      </c>
      <c r="J3814">
        <f>VLOOKUP(D3814,Товар!$A$2:$F$1000,5,0)</f>
        <v/>
      </c>
      <c r="K3814">
        <f>IF(AND(H3814="Промышленный",LEFT(I3814,18)="Порошок стиральный",F3814="Продажа",B3814=DATE(2023,6,7)),E3814*J3814/1000,0)</f>
        <v/>
      </c>
    </row>
    <row r="3815">
      <c r="A3815" t="n">
        <v>3814</v>
      </c>
      <c r="B3815" s="1" t="n">
        <v>45091</v>
      </c>
      <c r="C3815" s="5" t="inlineStr">
        <is>
          <t>M11</t>
        </is>
      </c>
      <c r="D3815" s="5" t="n">
        <v>34</v>
      </c>
      <c r="E3815" s="5" t="n">
        <v>67</v>
      </c>
      <c r="F3815" t="inlineStr">
        <is>
          <t>Продажа</t>
        </is>
      </c>
      <c r="H3815">
        <f>VLOOKUP(C3815,Магазин!$A$2:$C$1000,2,0)</f>
        <v/>
      </c>
      <c r="I3815">
        <f>VLOOKUP(D3815,Товар!$A$2:$F$1000,3,0)</f>
        <v/>
      </c>
      <c r="J3815">
        <f>VLOOKUP(D3815,Товар!$A$2:$F$1000,5,0)</f>
        <v/>
      </c>
      <c r="K3815">
        <f>IF(AND(H3815="Промышленный",LEFT(I3815,18)="Порошок стиральный",F3815="Продажа",B3815=DATE(2023,6,7)),E3815*J3815/1000,0)</f>
        <v/>
      </c>
    </row>
    <row r="3816">
      <c r="A3816" t="n">
        <v>3815</v>
      </c>
      <c r="B3816" s="1" t="n">
        <v>45091</v>
      </c>
      <c r="C3816" s="5" t="inlineStr">
        <is>
          <t>M11</t>
        </is>
      </c>
      <c r="D3816" s="5" t="n">
        <v>35</v>
      </c>
      <c r="E3816" s="5" t="n">
        <v>85</v>
      </c>
      <c r="F3816" t="inlineStr">
        <is>
          <t>Продажа</t>
        </is>
      </c>
      <c r="H3816">
        <f>VLOOKUP(C3816,Магазин!$A$2:$C$1000,2,0)</f>
        <v/>
      </c>
      <c r="I3816">
        <f>VLOOKUP(D3816,Товар!$A$2:$F$1000,3,0)</f>
        <v/>
      </c>
      <c r="J3816">
        <f>VLOOKUP(D3816,Товар!$A$2:$F$1000,5,0)</f>
        <v/>
      </c>
      <c r="K3816">
        <f>IF(AND(H3816="Промышленный",LEFT(I3816,18)="Порошок стиральный",F3816="Продажа",B3816=DATE(2023,6,7)),E3816*J3816/1000,0)</f>
        <v/>
      </c>
    </row>
    <row r="3817">
      <c r="A3817" t="n">
        <v>3816</v>
      </c>
      <c r="B3817" s="1" t="n">
        <v>45091</v>
      </c>
      <c r="C3817" s="5" t="inlineStr">
        <is>
          <t>M11</t>
        </is>
      </c>
      <c r="D3817" s="5" t="n">
        <v>36</v>
      </c>
      <c r="E3817" s="5" t="n">
        <v>83</v>
      </c>
      <c r="F3817" t="inlineStr">
        <is>
          <t>Продажа</t>
        </is>
      </c>
      <c r="H3817">
        <f>VLOOKUP(C3817,Магазин!$A$2:$C$1000,2,0)</f>
        <v/>
      </c>
      <c r="I3817">
        <f>VLOOKUP(D3817,Товар!$A$2:$F$1000,3,0)</f>
        <v/>
      </c>
      <c r="J3817">
        <f>VLOOKUP(D3817,Товар!$A$2:$F$1000,5,0)</f>
        <v/>
      </c>
      <c r="K3817">
        <f>IF(AND(H3817="Промышленный",LEFT(I3817,18)="Порошок стиральный",F3817="Продажа",B3817=DATE(2023,6,7)),E3817*J3817/1000,0)</f>
        <v/>
      </c>
    </row>
    <row r="3818">
      <c r="A3818" t="n">
        <v>3817</v>
      </c>
      <c r="B3818" s="1" t="n">
        <v>45091</v>
      </c>
      <c r="C3818" s="5" t="inlineStr">
        <is>
          <t>M14</t>
        </is>
      </c>
      <c r="D3818" s="5" t="n">
        <v>1</v>
      </c>
      <c r="E3818" s="5" t="n">
        <v>89</v>
      </c>
      <c r="F3818" t="inlineStr">
        <is>
          <t>Продажа</t>
        </is>
      </c>
      <c r="H3818">
        <f>VLOOKUP(C3818,Магазин!$A$2:$C$1000,2,0)</f>
        <v/>
      </c>
      <c r="I3818">
        <f>VLOOKUP(D3818,Товар!$A$2:$F$1000,3,0)</f>
        <v/>
      </c>
      <c r="J3818">
        <f>VLOOKUP(D3818,Товар!$A$2:$F$1000,5,0)</f>
        <v/>
      </c>
      <c r="K3818">
        <f>IF(AND(H3818="Промышленный",LEFT(I3818,18)="Порошок стиральный",F3818="Продажа",B3818=DATE(2023,6,7)),E3818*J3818/1000,0)</f>
        <v/>
      </c>
    </row>
    <row r="3819">
      <c r="A3819" t="n">
        <v>3818</v>
      </c>
      <c r="B3819" s="1" t="n">
        <v>45091</v>
      </c>
      <c r="C3819" s="5" t="inlineStr">
        <is>
          <t>M14</t>
        </is>
      </c>
      <c r="D3819" s="5" t="n">
        <v>2</v>
      </c>
      <c r="E3819" s="5" t="n">
        <v>94</v>
      </c>
      <c r="F3819" t="inlineStr">
        <is>
          <t>Продажа</t>
        </is>
      </c>
      <c r="H3819">
        <f>VLOOKUP(C3819,Магазин!$A$2:$C$1000,2,0)</f>
        <v/>
      </c>
      <c r="I3819">
        <f>VLOOKUP(D3819,Товар!$A$2:$F$1000,3,0)</f>
        <v/>
      </c>
      <c r="J3819">
        <f>VLOOKUP(D3819,Товар!$A$2:$F$1000,5,0)</f>
        <v/>
      </c>
      <c r="K3819">
        <f>IF(AND(H3819="Промышленный",LEFT(I3819,18)="Порошок стиральный",F3819="Продажа",B3819=DATE(2023,6,7)),E3819*J3819/1000,0)</f>
        <v/>
      </c>
    </row>
    <row r="3820">
      <c r="A3820" t="n">
        <v>3819</v>
      </c>
      <c r="B3820" s="1" t="n">
        <v>45091</v>
      </c>
      <c r="C3820" s="5" t="inlineStr">
        <is>
          <t>M14</t>
        </is>
      </c>
      <c r="D3820" s="5" t="n">
        <v>3</v>
      </c>
      <c r="E3820" s="5" t="n">
        <v>95</v>
      </c>
      <c r="F3820" t="inlineStr">
        <is>
          <t>Продажа</t>
        </is>
      </c>
      <c r="H3820">
        <f>VLOOKUP(C3820,Магазин!$A$2:$C$1000,2,0)</f>
        <v/>
      </c>
      <c r="I3820">
        <f>VLOOKUP(D3820,Товар!$A$2:$F$1000,3,0)</f>
        <v/>
      </c>
      <c r="J3820">
        <f>VLOOKUP(D3820,Товар!$A$2:$F$1000,5,0)</f>
        <v/>
      </c>
      <c r="K3820">
        <f>IF(AND(H3820="Промышленный",LEFT(I3820,18)="Порошок стиральный",F3820="Продажа",B3820=DATE(2023,6,7)),E3820*J3820/1000,0)</f>
        <v/>
      </c>
    </row>
    <row r="3821">
      <c r="A3821" t="n">
        <v>3820</v>
      </c>
      <c r="B3821" s="1" t="n">
        <v>45091</v>
      </c>
      <c r="C3821" s="5" t="inlineStr">
        <is>
          <t>M14</t>
        </is>
      </c>
      <c r="D3821" s="5" t="n">
        <v>4</v>
      </c>
      <c r="E3821" s="5" t="n">
        <v>92</v>
      </c>
      <c r="F3821" t="inlineStr">
        <is>
          <t>Продажа</t>
        </is>
      </c>
      <c r="H3821">
        <f>VLOOKUP(C3821,Магазин!$A$2:$C$1000,2,0)</f>
        <v/>
      </c>
      <c r="I3821">
        <f>VLOOKUP(D3821,Товар!$A$2:$F$1000,3,0)</f>
        <v/>
      </c>
      <c r="J3821">
        <f>VLOOKUP(D3821,Товар!$A$2:$F$1000,5,0)</f>
        <v/>
      </c>
      <c r="K3821">
        <f>IF(AND(H3821="Промышленный",LEFT(I3821,18)="Порошок стиральный",F3821="Продажа",B3821=DATE(2023,6,7)),E3821*J3821/1000,0)</f>
        <v/>
      </c>
    </row>
    <row r="3822">
      <c r="A3822" t="n">
        <v>3821</v>
      </c>
      <c r="B3822" s="1" t="n">
        <v>45091</v>
      </c>
      <c r="C3822" s="5" t="inlineStr">
        <is>
          <t>M14</t>
        </is>
      </c>
      <c r="D3822" s="5" t="n">
        <v>5</v>
      </c>
      <c r="E3822" s="5" t="n">
        <v>42</v>
      </c>
      <c r="F3822" t="inlineStr">
        <is>
          <t>Продажа</t>
        </is>
      </c>
      <c r="H3822">
        <f>VLOOKUP(C3822,Магазин!$A$2:$C$1000,2,0)</f>
        <v/>
      </c>
      <c r="I3822">
        <f>VLOOKUP(D3822,Товар!$A$2:$F$1000,3,0)</f>
        <v/>
      </c>
      <c r="J3822">
        <f>VLOOKUP(D3822,Товар!$A$2:$F$1000,5,0)</f>
        <v/>
      </c>
      <c r="K3822">
        <f>IF(AND(H3822="Промышленный",LEFT(I3822,18)="Порошок стиральный",F3822="Продажа",B3822=DATE(2023,6,7)),E3822*J3822/1000,0)</f>
        <v/>
      </c>
    </row>
    <row r="3823">
      <c r="A3823" t="n">
        <v>3822</v>
      </c>
      <c r="B3823" s="1" t="n">
        <v>45091</v>
      </c>
      <c r="C3823" s="5" t="inlineStr">
        <is>
          <t>M14</t>
        </is>
      </c>
      <c r="D3823" s="5" t="n">
        <v>6</v>
      </c>
      <c r="E3823" s="5" t="n">
        <v>56</v>
      </c>
      <c r="F3823" t="inlineStr">
        <is>
          <t>Продажа</t>
        </is>
      </c>
      <c r="H3823">
        <f>VLOOKUP(C3823,Магазин!$A$2:$C$1000,2,0)</f>
        <v/>
      </c>
      <c r="I3823">
        <f>VLOOKUP(D3823,Товар!$A$2:$F$1000,3,0)</f>
        <v/>
      </c>
      <c r="J3823">
        <f>VLOOKUP(D3823,Товар!$A$2:$F$1000,5,0)</f>
        <v/>
      </c>
      <c r="K3823">
        <f>IF(AND(H3823="Промышленный",LEFT(I3823,18)="Порошок стиральный",F3823="Продажа",B3823=DATE(2023,6,7)),E3823*J3823/1000,0)</f>
        <v/>
      </c>
    </row>
    <row r="3824">
      <c r="A3824" t="n">
        <v>3823</v>
      </c>
      <c r="B3824" s="1" t="n">
        <v>45091</v>
      </c>
      <c r="C3824" s="5" t="inlineStr">
        <is>
          <t>M14</t>
        </is>
      </c>
      <c r="D3824" s="5" t="n">
        <v>7</v>
      </c>
      <c r="E3824" s="5" t="n">
        <v>75</v>
      </c>
      <c r="F3824" t="inlineStr">
        <is>
          <t>Продажа</t>
        </is>
      </c>
      <c r="H3824">
        <f>VLOOKUP(C3824,Магазин!$A$2:$C$1000,2,0)</f>
        <v/>
      </c>
      <c r="I3824">
        <f>VLOOKUP(D3824,Товар!$A$2:$F$1000,3,0)</f>
        <v/>
      </c>
      <c r="J3824">
        <f>VLOOKUP(D3824,Товар!$A$2:$F$1000,5,0)</f>
        <v/>
      </c>
      <c r="K3824">
        <f>IF(AND(H3824="Промышленный",LEFT(I3824,18)="Порошок стиральный",F3824="Продажа",B3824=DATE(2023,6,7)),E3824*J3824/1000,0)</f>
        <v/>
      </c>
    </row>
    <row r="3825">
      <c r="A3825" t="n">
        <v>3824</v>
      </c>
      <c r="B3825" s="1" t="n">
        <v>45091</v>
      </c>
      <c r="C3825" s="5" t="inlineStr">
        <is>
          <t>M14</t>
        </is>
      </c>
      <c r="D3825" s="5" t="n">
        <v>8</v>
      </c>
      <c r="E3825" s="5" t="n">
        <v>64</v>
      </c>
      <c r="F3825" t="inlineStr">
        <is>
          <t>Продажа</t>
        </is>
      </c>
      <c r="H3825">
        <f>VLOOKUP(C3825,Магазин!$A$2:$C$1000,2,0)</f>
        <v/>
      </c>
      <c r="I3825">
        <f>VLOOKUP(D3825,Товар!$A$2:$F$1000,3,0)</f>
        <v/>
      </c>
      <c r="J3825">
        <f>VLOOKUP(D3825,Товар!$A$2:$F$1000,5,0)</f>
        <v/>
      </c>
      <c r="K3825">
        <f>IF(AND(H3825="Промышленный",LEFT(I3825,18)="Порошок стиральный",F3825="Продажа",B3825=DATE(2023,6,7)),E3825*J3825/1000,0)</f>
        <v/>
      </c>
    </row>
    <row r="3826">
      <c r="A3826" t="n">
        <v>3825</v>
      </c>
      <c r="B3826" s="1" t="n">
        <v>45091</v>
      </c>
      <c r="C3826" s="5" t="inlineStr">
        <is>
          <t>M14</t>
        </is>
      </c>
      <c r="D3826" s="5" t="n">
        <v>9</v>
      </c>
      <c r="E3826" s="5" t="n">
        <v>36</v>
      </c>
      <c r="F3826" t="inlineStr">
        <is>
          <t>Продажа</t>
        </is>
      </c>
      <c r="H3826">
        <f>VLOOKUP(C3826,Магазин!$A$2:$C$1000,2,0)</f>
        <v/>
      </c>
      <c r="I3826">
        <f>VLOOKUP(D3826,Товар!$A$2:$F$1000,3,0)</f>
        <v/>
      </c>
      <c r="J3826">
        <f>VLOOKUP(D3826,Товар!$A$2:$F$1000,5,0)</f>
        <v/>
      </c>
      <c r="K3826">
        <f>IF(AND(H3826="Промышленный",LEFT(I3826,18)="Порошок стиральный",F3826="Продажа",B3826=DATE(2023,6,7)),E3826*J3826/1000,0)</f>
        <v/>
      </c>
    </row>
    <row r="3827">
      <c r="A3827" t="n">
        <v>3826</v>
      </c>
      <c r="B3827" s="1" t="n">
        <v>45091</v>
      </c>
      <c r="C3827" s="5" t="inlineStr">
        <is>
          <t>M14</t>
        </is>
      </c>
      <c r="D3827" s="5" t="n">
        <v>10</v>
      </c>
      <c r="E3827" s="5" t="n">
        <v>48</v>
      </c>
      <c r="F3827" t="inlineStr">
        <is>
          <t>Продажа</t>
        </is>
      </c>
      <c r="H3827">
        <f>VLOOKUP(C3827,Магазин!$A$2:$C$1000,2,0)</f>
        <v/>
      </c>
      <c r="I3827">
        <f>VLOOKUP(D3827,Товар!$A$2:$F$1000,3,0)</f>
        <v/>
      </c>
      <c r="J3827">
        <f>VLOOKUP(D3827,Товар!$A$2:$F$1000,5,0)</f>
        <v/>
      </c>
      <c r="K3827">
        <f>IF(AND(H3827="Промышленный",LEFT(I3827,18)="Порошок стиральный",F3827="Продажа",B3827=DATE(2023,6,7)),E3827*J3827/1000,0)</f>
        <v/>
      </c>
    </row>
    <row r="3828">
      <c r="A3828" t="n">
        <v>3827</v>
      </c>
      <c r="B3828" s="1" t="n">
        <v>45091</v>
      </c>
      <c r="C3828" s="5" t="inlineStr">
        <is>
          <t>M14</t>
        </is>
      </c>
      <c r="D3828" s="5" t="n">
        <v>11</v>
      </c>
      <c r="E3828" s="5" t="n">
        <v>29</v>
      </c>
      <c r="F3828" t="inlineStr">
        <is>
          <t>Продажа</t>
        </is>
      </c>
      <c r="H3828">
        <f>VLOOKUP(C3828,Магазин!$A$2:$C$1000,2,0)</f>
        <v/>
      </c>
      <c r="I3828">
        <f>VLOOKUP(D3828,Товар!$A$2:$F$1000,3,0)</f>
        <v/>
      </c>
      <c r="J3828">
        <f>VLOOKUP(D3828,Товар!$A$2:$F$1000,5,0)</f>
        <v/>
      </c>
      <c r="K3828">
        <f>IF(AND(H3828="Промышленный",LEFT(I3828,18)="Порошок стиральный",F3828="Продажа",B3828=DATE(2023,6,7)),E3828*J3828/1000,0)</f>
        <v/>
      </c>
    </row>
    <row r="3829">
      <c r="A3829" t="n">
        <v>3828</v>
      </c>
      <c r="B3829" s="1" t="n">
        <v>45091</v>
      </c>
      <c r="C3829" s="5" t="inlineStr">
        <is>
          <t>M14</t>
        </is>
      </c>
      <c r="D3829" s="5" t="n">
        <v>12</v>
      </c>
      <c r="E3829" s="5" t="n">
        <v>97</v>
      </c>
      <c r="F3829" t="inlineStr">
        <is>
          <t>Продажа</t>
        </is>
      </c>
      <c r="H3829">
        <f>VLOOKUP(C3829,Магазин!$A$2:$C$1000,2,0)</f>
        <v/>
      </c>
      <c r="I3829">
        <f>VLOOKUP(D3829,Товар!$A$2:$F$1000,3,0)</f>
        <v/>
      </c>
      <c r="J3829">
        <f>VLOOKUP(D3829,Товар!$A$2:$F$1000,5,0)</f>
        <v/>
      </c>
      <c r="K3829">
        <f>IF(AND(H3829="Промышленный",LEFT(I3829,18)="Порошок стиральный",F3829="Продажа",B3829=DATE(2023,6,7)),E3829*J3829/1000,0)</f>
        <v/>
      </c>
    </row>
    <row r="3830">
      <c r="A3830" t="n">
        <v>3829</v>
      </c>
      <c r="B3830" s="1" t="n">
        <v>45091</v>
      </c>
      <c r="C3830" s="5" t="inlineStr">
        <is>
          <t>M14</t>
        </is>
      </c>
      <c r="D3830" s="5" t="n">
        <v>13</v>
      </c>
      <c r="E3830" s="5" t="n">
        <v>24</v>
      </c>
      <c r="F3830" t="inlineStr">
        <is>
          <t>Продажа</t>
        </is>
      </c>
      <c r="H3830">
        <f>VLOOKUP(C3830,Магазин!$A$2:$C$1000,2,0)</f>
        <v/>
      </c>
      <c r="I3830">
        <f>VLOOKUP(D3830,Товар!$A$2:$F$1000,3,0)</f>
        <v/>
      </c>
      <c r="J3830">
        <f>VLOOKUP(D3830,Товар!$A$2:$F$1000,5,0)</f>
        <v/>
      </c>
      <c r="K3830">
        <f>IF(AND(H3830="Промышленный",LEFT(I3830,18)="Порошок стиральный",F3830="Продажа",B3830=DATE(2023,6,7)),E3830*J3830/1000,0)</f>
        <v/>
      </c>
    </row>
    <row r="3831">
      <c r="A3831" t="n">
        <v>3830</v>
      </c>
      <c r="B3831" s="1" t="n">
        <v>45091</v>
      </c>
      <c r="C3831" s="5" t="inlineStr">
        <is>
          <t>M14</t>
        </is>
      </c>
      <c r="D3831" s="5" t="n">
        <v>14</v>
      </c>
      <c r="E3831" s="5" t="n">
        <v>84</v>
      </c>
      <c r="F3831" t="inlineStr">
        <is>
          <t>Продажа</t>
        </is>
      </c>
      <c r="H3831">
        <f>VLOOKUP(C3831,Магазин!$A$2:$C$1000,2,0)</f>
        <v/>
      </c>
      <c r="I3831">
        <f>VLOOKUP(D3831,Товар!$A$2:$F$1000,3,0)</f>
        <v/>
      </c>
      <c r="J3831">
        <f>VLOOKUP(D3831,Товар!$A$2:$F$1000,5,0)</f>
        <v/>
      </c>
      <c r="K3831">
        <f>IF(AND(H3831="Промышленный",LEFT(I3831,18)="Порошок стиральный",F3831="Продажа",B3831=DATE(2023,6,7)),E3831*J3831/1000,0)</f>
        <v/>
      </c>
    </row>
    <row r="3832">
      <c r="A3832" t="n">
        <v>3831</v>
      </c>
      <c r="B3832" s="1" t="n">
        <v>45091</v>
      </c>
      <c r="C3832" s="5" t="inlineStr">
        <is>
          <t>M14</t>
        </is>
      </c>
      <c r="D3832" s="5" t="n">
        <v>15</v>
      </c>
      <c r="E3832" s="5" t="n">
        <v>84</v>
      </c>
      <c r="F3832" t="inlineStr">
        <is>
          <t>Продажа</t>
        </is>
      </c>
      <c r="H3832">
        <f>VLOOKUP(C3832,Магазин!$A$2:$C$1000,2,0)</f>
        <v/>
      </c>
      <c r="I3832">
        <f>VLOOKUP(D3832,Товар!$A$2:$F$1000,3,0)</f>
        <v/>
      </c>
      <c r="J3832">
        <f>VLOOKUP(D3832,Товар!$A$2:$F$1000,5,0)</f>
        <v/>
      </c>
      <c r="K3832">
        <f>IF(AND(H3832="Промышленный",LEFT(I3832,18)="Порошок стиральный",F3832="Продажа",B3832=DATE(2023,6,7)),E3832*J3832/1000,0)</f>
        <v/>
      </c>
    </row>
    <row r="3833">
      <c r="A3833" t="n">
        <v>3832</v>
      </c>
      <c r="B3833" s="1" t="n">
        <v>45091</v>
      </c>
      <c r="C3833" s="5" t="inlineStr">
        <is>
          <t>M14</t>
        </is>
      </c>
      <c r="D3833" s="5" t="n">
        <v>16</v>
      </c>
      <c r="E3833" s="5" t="n">
        <v>85</v>
      </c>
      <c r="F3833" t="inlineStr">
        <is>
          <t>Продажа</t>
        </is>
      </c>
      <c r="H3833">
        <f>VLOOKUP(C3833,Магазин!$A$2:$C$1000,2,0)</f>
        <v/>
      </c>
      <c r="I3833">
        <f>VLOOKUP(D3833,Товар!$A$2:$F$1000,3,0)</f>
        <v/>
      </c>
      <c r="J3833">
        <f>VLOOKUP(D3833,Товар!$A$2:$F$1000,5,0)</f>
        <v/>
      </c>
      <c r="K3833">
        <f>IF(AND(H3833="Промышленный",LEFT(I3833,18)="Порошок стиральный",F3833="Продажа",B3833=DATE(2023,6,7)),E3833*J3833/1000,0)</f>
        <v/>
      </c>
    </row>
    <row r="3834">
      <c r="A3834" t="n">
        <v>3833</v>
      </c>
      <c r="B3834" s="1" t="n">
        <v>45091</v>
      </c>
      <c r="C3834" s="5" t="inlineStr">
        <is>
          <t>M14</t>
        </is>
      </c>
      <c r="D3834" s="5" t="n">
        <v>17</v>
      </c>
      <c r="E3834" s="5" t="n">
        <v>47</v>
      </c>
      <c r="F3834" t="inlineStr">
        <is>
          <t>Продажа</t>
        </is>
      </c>
      <c r="H3834">
        <f>VLOOKUP(C3834,Магазин!$A$2:$C$1000,2,0)</f>
        <v/>
      </c>
      <c r="I3834">
        <f>VLOOKUP(D3834,Товар!$A$2:$F$1000,3,0)</f>
        <v/>
      </c>
      <c r="J3834">
        <f>VLOOKUP(D3834,Товар!$A$2:$F$1000,5,0)</f>
        <v/>
      </c>
      <c r="K3834">
        <f>IF(AND(H3834="Промышленный",LEFT(I3834,18)="Порошок стиральный",F3834="Продажа",B3834=DATE(2023,6,7)),E3834*J3834/1000,0)</f>
        <v/>
      </c>
    </row>
    <row r="3835">
      <c r="A3835" t="n">
        <v>3834</v>
      </c>
      <c r="B3835" s="1" t="n">
        <v>45091</v>
      </c>
      <c r="C3835" s="5" t="inlineStr">
        <is>
          <t>M14</t>
        </is>
      </c>
      <c r="D3835" s="5" t="n">
        <v>18</v>
      </c>
      <c r="E3835" s="5" t="n">
        <v>74</v>
      </c>
      <c r="F3835" t="inlineStr">
        <is>
          <t>Продажа</t>
        </is>
      </c>
      <c r="H3835">
        <f>VLOOKUP(C3835,Магазин!$A$2:$C$1000,2,0)</f>
        <v/>
      </c>
      <c r="I3835">
        <f>VLOOKUP(D3835,Товар!$A$2:$F$1000,3,0)</f>
        <v/>
      </c>
      <c r="J3835">
        <f>VLOOKUP(D3835,Товар!$A$2:$F$1000,5,0)</f>
        <v/>
      </c>
      <c r="K3835">
        <f>IF(AND(H3835="Промышленный",LEFT(I3835,18)="Порошок стиральный",F3835="Продажа",B3835=DATE(2023,6,7)),E3835*J3835/1000,0)</f>
        <v/>
      </c>
    </row>
    <row r="3836">
      <c r="A3836" t="n">
        <v>3835</v>
      </c>
      <c r="B3836" s="1" t="n">
        <v>45091</v>
      </c>
      <c r="C3836" s="5" t="inlineStr">
        <is>
          <t>M14</t>
        </is>
      </c>
      <c r="D3836" s="5" t="n">
        <v>19</v>
      </c>
      <c r="E3836" s="5" t="n">
        <v>86</v>
      </c>
      <c r="F3836" t="inlineStr">
        <is>
          <t>Продажа</t>
        </is>
      </c>
      <c r="H3836">
        <f>VLOOKUP(C3836,Магазин!$A$2:$C$1000,2,0)</f>
        <v/>
      </c>
      <c r="I3836">
        <f>VLOOKUP(D3836,Товар!$A$2:$F$1000,3,0)</f>
        <v/>
      </c>
      <c r="J3836">
        <f>VLOOKUP(D3836,Товар!$A$2:$F$1000,5,0)</f>
        <v/>
      </c>
      <c r="K3836">
        <f>IF(AND(H3836="Промышленный",LEFT(I3836,18)="Порошок стиральный",F3836="Продажа",B3836=DATE(2023,6,7)),E3836*J3836/1000,0)</f>
        <v/>
      </c>
    </row>
    <row r="3837">
      <c r="A3837" t="n">
        <v>3836</v>
      </c>
      <c r="B3837" s="1" t="n">
        <v>45091</v>
      </c>
      <c r="C3837" s="5" t="inlineStr">
        <is>
          <t>M14</t>
        </is>
      </c>
      <c r="D3837" s="5" t="n">
        <v>20</v>
      </c>
      <c r="E3837" s="5" t="n">
        <v>68</v>
      </c>
      <c r="F3837" t="inlineStr">
        <is>
          <t>Продажа</t>
        </is>
      </c>
      <c r="H3837">
        <f>VLOOKUP(C3837,Магазин!$A$2:$C$1000,2,0)</f>
        <v/>
      </c>
      <c r="I3837">
        <f>VLOOKUP(D3837,Товар!$A$2:$F$1000,3,0)</f>
        <v/>
      </c>
      <c r="J3837">
        <f>VLOOKUP(D3837,Товар!$A$2:$F$1000,5,0)</f>
        <v/>
      </c>
      <c r="K3837">
        <f>IF(AND(H3837="Промышленный",LEFT(I3837,18)="Порошок стиральный",F3837="Продажа",B3837=DATE(2023,6,7)),E3837*J3837/1000,0)</f>
        <v/>
      </c>
    </row>
    <row r="3838">
      <c r="A3838" t="n">
        <v>3837</v>
      </c>
      <c r="B3838" s="1" t="n">
        <v>45091</v>
      </c>
      <c r="C3838" s="5" t="inlineStr">
        <is>
          <t>M14</t>
        </is>
      </c>
      <c r="D3838" s="5" t="n">
        <v>21</v>
      </c>
      <c r="E3838" s="5" t="n">
        <v>43</v>
      </c>
      <c r="F3838" t="inlineStr">
        <is>
          <t>Продажа</t>
        </is>
      </c>
      <c r="H3838">
        <f>VLOOKUP(C3838,Магазин!$A$2:$C$1000,2,0)</f>
        <v/>
      </c>
      <c r="I3838">
        <f>VLOOKUP(D3838,Товар!$A$2:$F$1000,3,0)</f>
        <v/>
      </c>
      <c r="J3838">
        <f>VLOOKUP(D3838,Товар!$A$2:$F$1000,5,0)</f>
        <v/>
      </c>
      <c r="K3838">
        <f>IF(AND(H3838="Промышленный",LEFT(I3838,18)="Порошок стиральный",F3838="Продажа",B3838=DATE(2023,6,7)),E3838*J3838/1000,0)</f>
        <v/>
      </c>
    </row>
    <row r="3839">
      <c r="A3839" t="n">
        <v>3838</v>
      </c>
      <c r="B3839" s="1" t="n">
        <v>45091</v>
      </c>
      <c r="C3839" s="5" t="inlineStr">
        <is>
          <t>M14</t>
        </is>
      </c>
      <c r="D3839" s="5" t="n">
        <v>22</v>
      </c>
      <c r="E3839" s="5" t="n">
        <v>48</v>
      </c>
      <c r="F3839" t="inlineStr">
        <is>
          <t>Продажа</t>
        </is>
      </c>
      <c r="H3839">
        <f>VLOOKUP(C3839,Магазин!$A$2:$C$1000,2,0)</f>
        <v/>
      </c>
      <c r="I3839">
        <f>VLOOKUP(D3839,Товар!$A$2:$F$1000,3,0)</f>
        <v/>
      </c>
      <c r="J3839">
        <f>VLOOKUP(D3839,Товар!$A$2:$F$1000,5,0)</f>
        <v/>
      </c>
      <c r="K3839">
        <f>IF(AND(H3839="Промышленный",LEFT(I3839,18)="Порошок стиральный",F3839="Продажа",B3839=DATE(2023,6,7)),E3839*J3839/1000,0)</f>
        <v/>
      </c>
    </row>
    <row r="3840">
      <c r="A3840" t="n">
        <v>3839</v>
      </c>
      <c r="B3840" s="1" t="n">
        <v>45091</v>
      </c>
      <c r="C3840" s="5" t="inlineStr">
        <is>
          <t>M14</t>
        </is>
      </c>
      <c r="D3840" s="5" t="n">
        <v>23</v>
      </c>
      <c r="E3840" s="5" t="n">
        <v>73</v>
      </c>
      <c r="F3840" t="inlineStr">
        <is>
          <t>Продажа</t>
        </is>
      </c>
      <c r="H3840">
        <f>VLOOKUP(C3840,Магазин!$A$2:$C$1000,2,0)</f>
        <v/>
      </c>
      <c r="I3840">
        <f>VLOOKUP(D3840,Товар!$A$2:$F$1000,3,0)</f>
        <v/>
      </c>
      <c r="J3840">
        <f>VLOOKUP(D3840,Товар!$A$2:$F$1000,5,0)</f>
        <v/>
      </c>
      <c r="K3840">
        <f>IF(AND(H3840="Промышленный",LEFT(I3840,18)="Порошок стиральный",F3840="Продажа",B3840=DATE(2023,6,7)),E3840*J3840/1000,0)</f>
        <v/>
      </c>
    </row>
    <row r="3841">
      <c r="A3841" t="n">
        <v>3840</v>
      </c>
      <c r="B3841" s="1" t="n">
        <v>45091</v>
      </c>
      <c r="C3841" s="5" t="inlineStr">
        <is>
          <t>M14</t>
        </is>
      </c>
      <c r="D3841" s="5" t="n">
        <v>24</v>
      </c>
      <c r="E3841" s="5" t="n">
        <v>61</v>
      </c>
      <c r="F3841" t="inlineStr">
        <is>
          <t>Продажа</t>
        </is>
      </c>
      <c r="H3841">
        <f>VLOOKUP(C3841,Магазин!$A$2:$C$1000,2,0)</f>
        <v/>
      </c>
      <c r="I3841">
        <f>VLOOKUP(D3841,Товар!$A$2:$F$1000,3,0)</f>
        <v/>
      </c>
      <c r="J3841">
        <f>VLOOKUP(D3841,Товар!$A$2:$F$1000,5,0)</f>
        <v/>
      </c>
      <c r="K3841">
        <f>IF(AND(H3841="Промышленный",LEFT(I3841,18)="Порошок стиральный",F3841="Продажа",B3841=DATE(2023,6,7)),E3841*J3841/1000,0)</f>
        <v/>
      </c>
    </row>
    <row r="3842">
      <c r="A3842" t="n">
        <v>3841</v>
      </c>
      <c r="B3842" s="1" t="n">
        <v>45091</v>
      </c>
      <c r="C3842" s="5" t="inlineStr">
        <is>
          <t>M14</t>
        </is>
      </c>
      <c r="D3842" s="5" t="n">
        <v>25</v>
      </c>
      <c r="E3842" s="5" t="n">
        <v>63</v>
      </c>
      <c r="F3842" t="inlineStr">
        <is>
          <t>Продажа</t>
        </is>
      </c>
      <c r="H3842">
        <f>VLOOKUP(C3842,Магазин!$A$2:$C$1000,2,0)</f>
        <v/>
      </c>
      <c r="I3842">
        <f>VLOOKUP(D3842,Товар!$A$2:$F$1000,3,0)</f>
        <v/>
      </c>
      <c r="J3842">
        <f>VLOOKUP(D3842,Товар!$A$2:$F$1000,5,0)</f>
        <v/>
      </c>
      <c r="K3842">
        <f>IF(AND(H3842="Промышленный",LEFT(I3842,18)="Порошок стиральный",F3842="Продажа",B3842=DATE(2023,6,7)),E3842*J3842/1000,0)</f>
        <v/>
      </c>
    </row>
    <row r="3843">
      <c r="A3843" t="n">
        <v>3842</v>
      </c>
      <c r="B3843" s="1" t="n">
        <v>45091</v>
      </c>
      <c r="C3843" s="5" t="inlineStr">
        <is>
          <t>M14</t>
        </is>
      </c>
      <c r="D3843" s="5" t="n">
        <v>26</v>
      </c>
      <c r="E3843" s="5" t="n">
        <v>66</v>
      </c>
      <c r="F3843" t="inlineStr">
        <is>
          <t>Продажа</t>
        </is>
      </c>
      <c r="H3843">
        <f>VLOOKUP(C3843,Магазин!$A$2:$C$1000,2,0)</f>
        <v/>
      </c>
      <c r="I3843">
        <f>VLOOKUP(D3843,Товар!$A$2:$F$1000,3,0)</f>
        <v/>
      </c>
      <c r="J3843">
        <f>VLOOKUP(D3843,Товар!$A$2:$F$1000,5,0)</f>
        <v/>
      </c>
      <c r="K3843">
        <f>IF(AND(H3843="Промышленный",LEFT(I3843,18)="Порошок стиральный",F3843="Продажа",B3843=DATE(2023,6,7)),E3843*J3843/1000,0)</f>
        <v/>
      </c>
    </row>
    <row r="3844">
      <c r="A3844" t="n">
        <v>3843</v>
      </c>
      <c r="B3844" s="1" t="n">
        <v>45091</v>
      </c>
      <c r="C3844" s="5" t="inlineStr">
        <is>
          <t>M14</t>
        </is>
      </c>
      <c r="D3844" s="5" t="n">
        <v>27</v>
      </c>
      <c r="E3844" s="5" t="n">
        <v>74</v>
      </c>
      <c r="F3844" t="inlineStr">
        <is>
          <t>Продажа</t>
        </is>
      </c>
      <c r="H3844">
        <f>VLOOKUP(C3844,Магазин!$A$2:$C$1000,2,0)</f>
        <v/>
      </c>
      <c r="I3844">
        <f>VLOOKUP(D3844,Товар!$A$2:$F$1000,3,0)</f>
        <v/>
      </c>
      <c r="J3844">
        <f>VLOOKUP(D3844,Товар!$A$2:$F$1000,5,0)</f>
        <v/>
      </c>
      <c r="K3844">
        <f>IF(AND(H3844="Промышленный",LEFT(I3844,18)="Порошок стиральный",F3844="Продажа",B3844=DATE(2023,6,7)),E3844*J3844/1000,0)</f>
        <v/>
      </c>
    </row>
    <row r="3845">
      <c r="A3845" t="n">
        <v>3844</v>
      </c>
      <c r="B3845" s="1" t="n">
        <v>45091</v>
      </c>
      <c r="C3845" s="5" t="inlineStr">
        <is>
          <t>M14</t>
        </is>
      </c>
      <c r="D3845" s="5" t="n">
        <v>28</v>
      </c>
      <c r="E3845" s="5" t="n">
        <v>38</v>
      </c>
      <c r="F3845" t="inlineStr">
        <is>
          <t>Продажа</t>
        </is>
      </c>
      <c r="H3845">
        <f>VLOOKUP(C3845,Магазин!$A$2:$C$1000,2,0)</f>
        <v/>
      </c>
      <c r="I3845">
        <f>VLOOKUP(D3845,Товар!$A$2:$F$1000,3,0)</f>
        <v/>
      </c>
      <c r="J3845">
        <f>VLOOKUP(D3845,Товар!$A$2:$F$1000,5,0)</f>
        <v/>
      </c>
      <c r="K3845">
        <f>IF(AND(H3845="Промышленный",LEFT(I3845,18)="Порошок стиральный",F3845="Продажа",B3845=DATE(2023,6,7)),E3845*J3845/1000,0)</f>
        <v/>
      </c>
    </row>
    <row r="3846">
      <c r="A3846" t="n">
        <v>3845</v>
      </c>
      <c r="B3846" s="1" t="n">
        <v>45091</v>
      </c>
      <c r="C3846" s="5" t="inlineStr">
        <is>
          <t>M14</t>
        </is>
      </c>
      <c r="D3846" s="5" t="n">
        <v>29</v>
      </c>
      <c r="E3846" s="5" t="n">
        <v>42</v>
      </c>
      <c r="F3846" t="inlineStr">
        <is>
          <t>Продажа</t>
        </is>
      </c>
      <c r="H3846">
        <f>VLOOKUP(C3846,Магазин!$A$2:$C$1000,2,0)</f>
        <v/>
      </c>
      <c r="I3846">
        <f>VLOOKUP(D3846,Товар!$A$2:$F$1000,3,0)</f>
        <v/>
      </c>
      <c r="J3846">
        <f>VLOOKUP(D3846,Товар!$A$2:$F$1000,5,0)</f>
        <v/>
      </c>
      <c r="K3846">
        <f>IF(AND(H3846="Промышленный",LEFT(I3846,18)="Порошок стиральный",F3846="Продажа",B3846=DATE(2023,6,7)),E3846*J3846/1000,0)</f>
        <v/>
      </c>
    </row>
    <row r="3847">
      <c r="A3847" t="n">
        <v>3846</v>
      </c>
      <c r="B3847" s="1" t="n">
        <v>45091</v>
      </c>
      <c r="C3847" s="5" t="inlineStr">
        <is>
          <t>M14</t>
        </is>
      </c>
      <c r="D3847" s="5" t="n">
        <v>30</v>
      </c>
      <c r="E3847" s="5" t="n">
        <v>57</v>
      </c>
      <c r="F3847" t="inlineStr">
        <is>
          <t>Продажа</t>
        </is>
      </c>
      <c r="H3847">
        <f>VLOOKUP(C3847,Магазин!$A$2:$C$1000,2,0)</f>
        <v/>
      </c>
      <c r="I3847">
        <f>VLOOKUP(D3847,Товар!$A$2:$F$1000,3,0)</f>
        <v/>
      </c>
      <c r="J3847">
        <f>VLOOKUP(D3847,Товар!$A$2:$F$1000,5,0)</f>
        <v/>
      </c>
      <c r="K3847">
        <f>IF(AND(H3847="Промышленный",LEFT(I3847,18)="Порошок стиральный",F3847="Продажа",B3847=DATE(2023,6,7)),E3847*J3847/1000,0)</f>
        <v/>
      </c>
    </row>
    <row r="3848">
      <c r="A3848" t="n">
        <v>3847</v>
      </c>
      <c r="B3848" s="1" t="n">
        <v>45091</v>
      </c>
      <c r="C3848" s="5" t="inlineStr">
        <is>
          <t>M14</t>
        </is>
      </c>
      <c r="D3848" s="5" t="n">
        <v>31</v>
      </c>
      <c r="E3848" s="5" t="n">
        <v>59</v>
      </c>
      <c r="F3848" t="inlineStr">
        <is>
          <t>Продажа</t>
        </is>
      </c>
      <c r="H3848">
        <f>VLOOKUP(C3848,Магазин!$A$2:$C$1000,2,0)</f>
        <v/>
      </c>
      <c r="I3848">
        <f>VLOOKUP(D3848,Товар!$A$2:$F$1000,3,0)</f>
        <v/>
      </c>
      <c r="J3848">
        <f>VLOOKUP(D3848,Товар!$A$2:$F$1000,5,0)</f>
        <v/>
      </c>
      <c r="K3848">
        <f>IF(AND(H3848="Промышленный",LEFT(I3848,18)="Порошок стиральный",F3848="Продажа",B3848=DATE(2023,6,7)),E3848*J3848/1000,0)</f>
        <v/>
      </c>
    </row>
    <row r="3849">
      <c r="A3849" t="n">
        <v>3848</v>
      </c>
      <c r="B3849" s="1" t="n">
        <v>45091</v>
      </c>
      <c r="C3849" s="5" t="inlineStr">
        <is>
          <t>M14</t>
        </is>
      </c>
      <c r="D3849" s="5" t="n">
        <v>32</v>
      </c>
      <c r="E3849" s="5" t="n">
        <v>57</v>
      </c>
      <c r="F3849" t="inlineStr">
        <is>
          <t>Продажа</t>
        </is>
      </c>
      <c r="H3849">
        <f>VLOOKUP(C3849,Магазин!$A$2:$C$1000,2,0)</f>
        <v/>
      </c>
      <c r="I3849">
        <f>VLOOKUP(D3849,Товар!$A$2:$F$1000,3,0)</f>
        <v/>
      </c>
      <c r="J3849">
        <f>VLOOKUP(D3849,Товар!$A$2:$F$1000,5,0)</f>
        <v/>
      </c>
      <c r="K3849">
        <f>IF(AND(H3849="Промышленный",LEFT(I3849,18)="Порошок стиральный",F3849="Продажа",B3849=DATE(2023,6,7)),E3849*J3849/1000,0)</f>
        <v/>
      </c>
    </row>
    <row r="3850">
      <c r="A3850" t="n">
        <v>3849</v>
      </c>
      <c r="B3850" s="1" t="n">
        <v>45091</v>
      </c>
      <c r="C3850" s="5" t="inlineStr">
        <is>
          <t>M14</t>
        </is>
      </c>
      <c r="D3850" s="5" t="n">
        <v>33</v>
      </c>
      <c r="E3850" s="5" t="n">
        <v>47</v>
      </c>
      <c r="F3850" t="inlineStr">
        <is>
          <t>Продажа</t>
        </is>
      </c>
      <c r="H3850">
        <f>VLOOKUP(C3850,Магазин!$A$2:$C$1000,2,0)</f>
        <v/>
      </c>
      <c r="I3850">
        <f>VLOOKUP(D3850,Товар!$A$2:$F$1000,3,0)</f>
        <v/>
      </c>
      <c r="J3850">
        <f>VLOOKUP(D3850,Товар!$A$2:$F$1000,5,0)</f>
        <v/>
      </c>
      <c r="K3850">
        <f>IF(AND(H3850="Промышленный",LEFT(I3850,18)="Порошок стиральный",F3850="Продажа",B3850=DATE(2023,6,7)),E3850*J3850/1000,0)</f>
        <v/>
      </c>
    </row>
    <row r="3851">
      <c r="A3851" t="n">
        <v>3850</v>
      </c>
      <c r="B3851" s="1" t="n">
        <v>45091</v>
      </c>
      <c r="C3851" s="5" t="inlineStr">
        <is>
          <t>M14</t>
        </is>
      </c>
      <c r="D3851" s="5" t="n">
        <v>34</v>
      </c>
      <c r="E3851" s="5" t="n">
        <v>44</v>
      </c>
      <c r="F3851" t="inlineStr">
        <is>
          <t>Продажа</t>
        </is>
      </c>
      <c r="H3851">
        <f>VLOOKUP(C3851,Магазин!$A$2:$C$1000,2,0)</f>
        <v/>
      </c>
      <c r="I3851">
        <f>VLOOKUP(D3851,Товар!$A$2:$F$1000,3,0)</f>
        <v/>
      </c>
      <c r="J3851">
        <f>VLOOKUP(D3851,Товар!$A$2:$F$1000,5,0)</f>
        <v/>
      </c>
      <c r="K3851">
        <f>IF(AND(H3851="Промышленный",LEFT(I3851,18)="Порошок стиральный",F3851="Продажа",B3851=DATE(2023,6,7)),E3851*J3851/1000,0)</f>
        <v/>
      </c>
    </row>
    <row r="3852">
      <c r="A3852" t="n">
        <v>3851</v>
      </c>
      <c r="B3852" s="1" t="n">
        <v>45091</v>
      </c>
      <c r="C3852" s="5" t="inlineStr">
        <is>
          <t>M14</t>
        </is>
      </c>
      <c r="D3852" s="5" t="n">
        <v>35</v>
      </c>
      <c r="E3852" s="5" t="n">
        <v>55</v>
      </c>
      <c r="F3852" t="inlineStr">
        <is>
          <t>Продажа</t>
        </is>
      </c>
      <c r="H3852">
        <f>VLOOKUP(C3852,Магазин!$A$2:$C$1000,2,0)</f>
        <v/>
      </c>
      <c r="I3852">
        <f>VLOOKUP(D3852,Товар!$A$2:$F$1000,3,0)</f>
        <v/>
      </c>
      <c r="J3852">
        <f>VLOOKUP(D3852,Товар!$A$2:$F$1000,5,0)</f>
        <v/>
      </c>
      <c r="K3852">
        <f>IF(AND(H3852="Промышленный",LEFT(I3852,18)="Порошок стиральный",F3852="Продажа",B3852=DATE(2023,6,7)),E3852*J3852/1000,0)</f>
        <v/>
      </c>
    </row>
    <row r="3853">
      <c r="A3853" t="n">
        <v>3852</v>
      </c>
      <c r="B3853" s="1" t="n">
        <v>45091</v>
      </c>
      <c r="C3853" s="5" t="inlineStr">
        <is>
          <t>M14</t>
        </is>
      </c>
      <c r="D3853" s="5" t="n">
        <v>36</v>
      </c>
      <c r="E3853" s="5" t="n">
        <v>66</v>
      </c>
      <c r="F3853" t="inlineStr">
        <is>
          <t>Продажа</t>
        </is>
      </c>
      <c r="H3853">
        <f>VLOOKUP(C3853,Магазин!$A$2:$C$1000,2,0)</f>
        <v/>
      </c>
      <c r="I3853">
        <f>VLOOKUP(D3853,Товар!$A$2:$F$1000,3,0)</f>
        <v/>
      </c>
      <c r="J3853">
        <f>VLOOKUP(D3853,Товар!$A$2:$F$1000,5,0)</f>
        <v/>
      </c>
      <c r="K3853">
        <f>IF(AND(H3853="Промышленный",LEFT(I3853,18)="Порошок стиральный",F3853="Продажа",B3853=DATE(2023,6,7)),E3853*J3853/1000,0)</f>
        <v/>
      </c>
    </row>
    <row r="3854">
      <c r="A3854" t="n">
        <v>3853</v>
      </c>
      <c r="B3854" s="1" t="n">
        <v>45091</v>
      </c>
      <c r="C3854" s="5" t="inlineStr">
        <is>
          <t>M17</t>
        </is>
      </c>
      <c r="D3854" s="5" t="n">
        <v>1</v>
      </c>
      <c r="E3854" s="5" t="n">
        <v>39</v>
      </c>
      <c r="F3854" t="inlineStr">
        <is>
          <t>Продажа</t>
        </is>
      </c>
      <c r="H3854">
        <f>VLOOKUP(C3854,Магазин!$A$2:$C$1000,2,0)</f>
        <v/>
      </c>
      <c r="I3854">
        <f>VLOOKUP(D3854,Товар!$A$2:$F$1000,3,0)</f>
        <v/>
      </c>
      <c r="J3854">
        <f>VLOOKUP(D3854,Товар!$A$2:$F$1000,5,0)</f>
        <v/>
      </c>
      <c r="K3854">
        <f>IF(AND(H3854="Промышленный",LEFT(I3854,18)="Порошок стиральный",F3854="Продажа",B3854=DATE(2023,6,7)),E3854*J3854/1000,0)</f>
        <v/>
      </c>
    </row>
    <row r="3855">
      <c r="A3855" t="n">
        <v>3854</v>
      </c>
      <c r="B3855" s="1" t="n">
        <v>45091</v>
      </c>
      <c r="C3855" s="5" t="inlineStr">
        <is>
          <t>M17</t>
        </is>
      </c>
      <c r="D3855" s="5" t="n">
        <v>2</v>
      </c>
      <c r="E3855" s="5" t="n">
        <v>36</v>
      </c>
      <c r="F3855" t="inlineStr">
        <is>
          <t>Продажа</t>
        </is>
      </c>
      <c r="H3855">
        <f>VLOOKUP(C3855,Магазин!$A$2:$C$1000,2,0)</f>
        <v/>
      </c>
      <c r="I3855">
        <f>VLOOKUP(D3855,Товар!$A$2:$F$1000,3,0)</f>
        <v/>
      </c>
      <c r="J3855">
        <f>VLOOKUP(D3855,Товар!$A$2:$F$1000,5,0)</f>
        <v/>
      </c>
      <c r="K3855">
        <f>IF(AND(H3855="Промышленный",LEFT(I3855,18)="Порошок стиральный",F3855="Продажа",B3855=DATE(2023,6,7)),E3855*J3855/1000,0)</f>
        <v/>
      </c>
    </row>
    <row r="3856">
      <c r="A3856" t="n">
        <v>3855</v>
      </c>
      <c r="B3856" s="1" t="n">
        <v>45091</v>
      </c>
      <c r="C3856" s="5" t="inlineStr">
        <is>
          <t>M17</t>
        </is>
      </c>
      <c r="D3856" s="5" t="n">
        <v>3</v>
      </c>
      <c r="E3856" s="5" t="n">
        <v>42</v>
      </c>
      <c r="F3856" t="inlineStr">
        <is>
          <t>Продажа</t>
        </is>
      </c>
      <c r="H3856">
        <f>VLOOKUP(C3856,Магазин!$A$2:$C$1000,2,0)</f>
        <v/>
      </c>
      <c r="I3856">
        <f>VLOOKUP(D3856,Товар!$A$2:$F$1000,3,0)</f>
        <v/>
      </c>
      <c r="J3856">
        <f>VLOOKUP(D3856,Товар!$A$2:$F$1000,5,0)</f>
        <v/>
      </c>
      <c r="K3856">
        <f>IF(AND(H3856="Промышленный",LEFT(I3856,18)="Порошок стиральный",F3856="Продажа",B3856=DATE(2023,6,7)),E3856*J3856/1000,0)</f>
        <v/>
      </c>
    </row>
    <row r="3857">
      <c r="A3857" t="n">
        <v>3856</v>
      </c>
      <c r="B3857" s="1" t="n">
        <v>45091</v>
      </c>
      <c r="C3857" s="5" t="inlineStr">
        <is>
          <t>M17</t>
        </is>
      </c>
      <c r="D3857" s="5" t="n">
        <v>4</v>
      </c>
      <c r="E3857" s="5" t="n">
        <v>68</v>
      </c>
      <c r="F3857" t="inlineStr">
        <is>
          <t>Продажа</t>
        </is>
      </c>
      <c r="H3857">
        <f>VLOOKUP(C3857,Магазин!$A$2:$C$1000,2,0)</f>
        <v/>
      </c>
      <c r="I3857">
        <f>VLOOKUP(D3857,Товар!$A$2:$F$1000,3,0)</f>
        <v/>
      </c>
      <c r="J3857">
        <f>VLOOKUP(D3857,Товар!$A$2:$F$1000,5,0)</f>
        <v/>
      </c>
      <c r="K3857">
        <f>IF(AND(H3857="Промышленный",LEFT(I3857,18)="Порошок стиральный",F3857="Продажа",B3857=DATE(2023,6,7)),E3857*J3857/1000,0)</f>
        <v/>
      </c>
    </row>
    <row r="3858">
      <c r="A3858" t="n">
        <v>3857</v>
      </c>
      <c r="B3858" s="1" t="n">
        <v>45091</v>
      </c>
      <c r="C3858" s="5" t="inlineStr">
        <is>
          <t>M17</t>
        </is>
      </c>
      <c r="D3858" s="5" t="n">
        <v>5</v>
      </c>
      <c r="E3858" s="5" t="n">
        <v>83</v>
      </c>
      <c r="F3858" t="inlineStr">
        <is>
          <t>Продажа</t>
        </is>
      </c>
      <c r="H3858">
        <f>VLOOKUP(C3858,Магазин!$A$2:$C$1000,2,0)</f>
        <v/>
      </c>
      <c r="I3858">
        <f>VLOOKUP(D3858,Товар!$A$2:$F$1000,3,0)</f>
        <v/>
      </c>
      <c r="J3858">
        <f>VLOOKUP(D3858,Товар!$A$2:$F$1000,5,0)</f>
        <v/>
      </c>
      <c r="K3858">
        <f>IF(AND(H3858="Промышленный",LEFT(I3858,18)="Порошок стиральный",F3858="Продажа",B3858=DATE(2023,6,7)),E3858*J3858/1000,0)</f>
        <v/>
      </c>
    </row>
    <row r="3859">
      <c r="A3859" t="n">
        <v>3858</v>
      </c>
      <c r="B3859" s="1" t="n">
        <v>45091</v>
      </c>
      <c r="C3859" s="5" t="inlineStr">
        <is>
          <t>M17</t>
        </is>
      </c>
      <c r="D3859" s="5" t="n">
        <v>6</v>
      </c>
      <c r="E3859" s="5" t="n">
        <v>85</v>
      </c>
      <c r="F3859" t="inlineStr">
        <is>
          <t>Продажа</t>
        </is>
      </c>
      <c r="H3859">
        <f>VLOOKUP(C3859,Магазин!$A$2:$C$1000,2,0)</f>
        <v/>
      </c>
      <c r="I3859">
        <f>VLOOKUP(D3859,Товар!$A$2:$F$1000,3,0)</f>
        <v/>
      </c>
      <c r="J3859">
        <f>VLOOKUP(D3859,Товар!$A$2:$F$1000,5,0)</f>
        <v/>
      </c>
      <c r="K3859">
        <f>IF(AND(H3859="Промышленный",LEFT(I3859,18)="Порошок стиральный",F3859="Продажа",B3859=DATE(2023,6,7)),E3859*J3859/1000,0)</f>
        <v/>
      </c>
    </row>
    <row r="3860">
      <c r="A3860" t="n">
        <v>3859</v>
      </c>
      <c r="B3860" s="1" t="n">
        <v>45091</v>
      </c>
      <c r="C3860" s="5" t="inlineStr">
        <is>
          <t>M17</t>
        </is>
      </c>
      <c r="D3860" s="5" t="n">
        <v>7</v>
      </c>
      <c r="E3860" s="5" t="n">
        <v>87</v>
      </c>
      <c r="F3860" t="inlineStr">
        <is>
          <t>Продажа</t>
        </is>
      </c>
      <c r="H3860">
        <f>VLOOKUP(C3860,Магазин!$A$2:$C$1000,2,0)</f>
        <v/>
      </c>
      <c r="I3860">
        <f>VLOOKUP(D3860,Товар!$A$2:$F$1000,3,0)</f>
        <v/>
      </c>
      <c r="J3860">
        <f>VLOOKUP(D3860,Товар!$A$2:$F$1000,5,0)</f>
        <v/>
      </c>
      <c r="K3860">
        <f>IF(AND(H3860="Промышленный",LEFT(I3860,18)="Порошок стиральный",F3860="Продажа",B3860=DATE(2023,6,7)),E3860*J3860/1000,0)</f>
        <v/>
      </c>
    </row>
    <row r="3861">
      <c r="A3861" t="n">
        <v>3860</v>
      </c>
      <c r="B3861" s="1" t="n">
        <v>45091</v>
      </c>
      <c r="C3861" s="5" t="inlineStr">
        <is>
          <t>M17</t>
        </is>
      </c>
      <c r="D3861" s="5" t="n">
        <v>8</v>
      </c>
      <c r="E3861" s="5" t="n">
        <v>98</v>
      </c>
      <c r="F3861" t="inlineStr">
        <is>
          <t>Продажа</t>
        </is>
      </c>
      <c r="H3861">
        <f>VLOOKUP(C3861,Магазин!$A$2:$C$1000,2,0)</f>
        <v/>
      </c>
      <c r="I3861">
        <f>VLOOKUP(D3861,Товар!$A$2:$F$1000,3,0)</f>
        <v/>
      </c>
      <c r="J3861">
        <f>VLOOKUP(D3861,Товар!$A$2:$F$1000,5,0)</f>
        <v/>
      </c>
      <c r="K3861">
        <f>IF(AND(H3861="Промышленный",LEFT(I3861,18)="Порошок стиральный",F3861="Продажа",B3861=DATE(2023,6,7)),E3861*J3861/1000,0)</f>
        <v/>
      </c>
    </row>
    <row r="3862">
      <c r="A3862" t="n">
        <v>3861</v>
      </c>
      <c r="B3862" s="1" t="n">
        <v>45091</v>
      </c>
      <c r="C3862" s="5" t="inlineStr">
        <is>
          <t>M17</t>
        </is>
      </c>
      <c r="D3862" s="5" t="n">
        <v>9</v>
      </c>
      <c r="E3862" s="5" t="n">
        <v>95</v>
      </c>
      <c r="F3862" t="inlineStr">
        <is>
          <t>Продажа</t>
        </is>
      </c>
      <c r="H3862">
        <f>VLOOKUP(C3862,Магазин!$A$2:$C$1000,2,0)</f>
        <v/>
      </c>
      <c r="I3862">
        <f>VLOOKUP(D3862,Товар!$A$2:$F$1000,3,0)</f>
        <v/>
      </c>
      <c r="J3862">
        <f>VLOOKUP(D3862,Товар!$A$2:$F$1000,5,0)</f>
        <v/>
      </c>
      <c r="K3862">
        <f>IF(AND(H3862="Промышленный",LEFT(I3862,18)="Порошок стиральный",F3862="Продажа",B3862=DATE(2023,6,7)),E3862*J3862/1000,0)</f>
        <v/>
      </c>
    </row>
    <row r="3863">
      <c r="A3863" t="n">
        <v>3862</v>
      </c>
      <c r="B3863" s="1" t="n">
        <v>45091</v>
      </c>
      <c r="C3863" s="5" t="inlineStr">
        <is>
          <t>M17</t>
        </is>
      </c>
      <c r="D3863" s="5" t="n">
        <v>10</v>
      </c>
      <c r="E3863" s="5" t="n">
        <v>68</v>
      </c>
      <c r="F3863" t="inlineStr">
        <is>
          <t>Продажа</t>
        </is>
      </c>
      <c r="H3863">
        <f>VLOOKUP(C3863,Магазин!$A$2:$C$1000,2,0)</f>
        <v/>
      </c>
      <c r="I3863">
        <f>VLOOKUP(D3863,Товар!$A$2:$F$1000,3,0)</f>
        <v/>
      </c>
      <c r="J3863">
        <f>VLOOKUP(D3863,Товар!$A$2:$F$1000,5,0)</f>
        <v/>
      </c>
      <c r="K3863">
        <f>IF(AND(H3863="Промышленный",LEFT(I3863,18)="Порошок стиральный",F3863="Продажа",B3863=DATE(2023,6,7)),E3863*J3863/1000,0)</f>
        <v/>
      </c>
    </row>
    <row r="3864">
      <c r="A3864" t="n">
        <v>3863</v>
      </c>
      <c r="B3864" s="1" t="n">
        <v>45091</v>
      </c>
      <c r="C3864" s="5" t="inlineStr">
        <is>
          <t>M17</t>
        </is>
      </c>
      <c r="D3864" s="5" t="n">
        <v>11</v>
      </c>
      <c r="E3864" s="5" t="n">
        <v>79</v>
      </c>
      <c r="F3864" t="inlineStr">
        <is>
          <t>Продажа</t>
        </is>
      </c>
      <c r="H3864">
        <f>VLOOKUP(C3864,Магазин!$A$2:$C$1000,2,0)</f>
        <v/>
      </c>
      <c r="I3864">
        <f>VLOOKUP(D3864,Товар!$A$2:$F$1000,3,0)</f>
        <v/>
      </c>
      <c r="J3864">
        <f>VLOOKUP(D3864,Товар!$A$2:$F$1000,5,0)</f>
        <v/>
      </c>
      <c r="K3864">
        <f>IF(AND(H3864="Промышленный",LEFT(I3864,18)="Порошок стиральный",F3864="Продажа",B3864=DATE(2023,6,7)),E3864*J3864/1000,0)</f>
        <v/>
      </c>
    </row>
    <row r="3865">
      <c r="A3865" t="n">
        <v>3864</v>
      </c>
      <c r="B3865" s="1" t="n">
        <v>45091</v>
      </c>
      <c r="C3865" s="5" t="inlineStr">
        <is>
          <t>M17</t>
        </is>
      </c>
      <c r="D3865" s="5" t="n">
        <v>12</v>
      </c>
      <c r="E3865" s="5" t="n">
        <v>97</v>
      </c>
      <c r="F3865" t="inlineStr">
        <is>
          <t>Продажа</t>
        </is>
      </c>
      <c r="H3865">
        <f>VLOOKUP(C3865,Магазин!$A$2:$C$1000,2,0)</f>
        <v/>
      </c>
      <c r="I3865">
        <f>VLOOKUP(D3865,Товар!$A$2:$F$1000,3,0)</f>
        <v/>
      </c>
      <c r="J3865">
        <f>VLOOKUP(D3865,Товар!$A$2:$F$1000,5,0)</f>
        <v/>
      </c>
      <c r="K3865">
        <f>IF(AND(H3865="Промышленный",LEFT(I3865,18)="Порошок стиральный",F3865="Продажа",B3865=DATE(2023,6,7)),E3865*J3865/1000,0)</f>
        <v/>
      </c>
    </row>
    <row r="3866">
      <c r="A3866" t="n">
        <v>3865</v>
      </c>
      <c r="B3866" s="1" t="n">
        <v>45091</v>
      </c>
      <c r="C3866" s="5" t="inlineStr">
        <is>
          <t>M17</t>
        </is>
      </c>
      <c r="D3866" s="5" t="n">
        <v>13</v>
      </c>
      <c r="E3866" s="5" t="n">
        <v>95</v>
      </c>
      <c r="F3866" t="inlineStr">
        <is>
          <t>Продажа</t>
        </is>
      </c>
      <c r="H3866">
        <f>VLOOKUP(C3866,Магазин!$A$2:$C$1000,2,0)</f>
        <v/>
      </c>
      <c r="I3866">
        <f>VLOOKUP(D3866,Товар!$A$2:$F$1000,3,0)</f>
        <v/>
      </c>
      <c r="J3866">
        <f>VLOOKUP(D3866,Товар!$A$2:$F$1000,5,0)</f>
        <v/>
      </c>
      <c r="K3866">
        <f>IF(AND(H3866="Промышленный",LEFT(I3866,18)="Порошок стиральный",F3866="Продажа",B3866=DATE(2023,6,7)),E3866*J3866/1000,0)</f>
        <v/>
      </c>
    </row>
    <row r="3867">
      <c r="A3867" t="n">
        <v>3866</v>
      </c>
      <c r="B3867" s="1" t="n">
        <v>45091</v>
      </c>
      <c r="C3867" s="5" t="inlineStr">
        <is>
          <t>M17</t>
        </is>
      </c>
      <c r="D3867" s="5" t="n">
        <v>14</v>
      </c>
      <c r="E3867" s="5" t="n">
        <v>94</v>
      </c>
      <c r="F3867" t="inlineStr">
        <is>
          <t>Продажа</t>
        </is>
      </c>
      <c r="H3867">
        <f>VLOOKUP(C3867,Магазин!$A$2:$C$1000,2,0)</f>
        <v/>
      </c>
      <c r="I3867">
        <f>VLOOKUP(D3867,Товар!$A$2:$F$1000,3,0)</f>
        <v/>
      </c>
      <c r="J3867">
        <f>VLOOKUP(D3867,Товар!$A$2:$F$1000,5,0)</f>
        <v/>
      </c>
      <c r="K3867">
        <f>IF(AND(H3867="Промышленный",LEFT(I3867,18)="Порошок стиральный",F3867="Продажа",B3867=DATE(2023,6,7)),E3867*J3867/1000,0)</f>
        <v/>
      </c>
    </row>
    <row r="3868">
      <c r="A3868" t="n">
        <v>3867</v>
      </c>
      <c r="B3868" s="1" t="n">
        <v>45091</v>
      </c>
      <c r="C3868" s="5" t="inlineStr">
        <is>
          <t>M17</t>
        </is>
      </c>
      <c r="D3868" s="5" t="n">
        <v>15</v>
      </c>
      <c r="E3868" s="5" t="n">
        <v>86</v>
      </c>
      <c r="F3868" t="inlineStr">
        <is>
          <t>Продажа</t>
        </is>
      </c>
      <c r="H3868">
        <f>VLOOKUP(C3868,Магазин!$A$2:$C$1000,2,0)</f>
        <v/>
      </c>
      <c r="I3868">
        <f>VLOOKUP(D3868,Товар!$A$2:$F$1000,3,0)</f>
        <v/>
      </c>
      <c r="J3868">
        <f>VLOOKUP(D3868,Товар!$A$2:$F$1000,5,0)</f>
        <v/>
      </c>
      <c r="K3868">
        <f>IF(AND(H3868="Промышленный",LEFT(I3868,18)="Порошок стиральный",F3868="Продажа",B3868=DATE(2023,6,7)),E3868*J3868/1000,0)</f>
        <v/>
      </c>
    </row>
    <row r="3869">
      <c r="A3869" t="n">
        <v>3868</v>
      </c>
      <c r="B3869" s="1" t="n">
        <v>45091</v>
      </c>
      <c r="C3869" s="5" t="inlineStr">
        <is>
          <t>M17</t>
        </is>
      </c>
      <c r="D3869" s="5" t="n">
        <v>16</v>
      </c>
      <c r="E3869" s="5" t="n">
        <v>84</v>
      </c>
      <c r="F3869" t="inlineStr">
        <is>
          <t>Продажа</t>
        </is>
      </c>
      <c r="H3869">
        <f>VLOOKUP(C3869,Магазин!$A$2:$C$1000,2,0)</f>
        <v/>
      </c>
      <c r="I3869">
        <f>VLOOKUP(D3869,Товар!$A$2:$F$1000,3,0)</f>
        <v/>
      </c>
      <c r="J3869">
        <f>VLOOKUP(D3869,Товар!$A$2:$F$1000,5,0)</f>
        <v/>
      </c>
      <c r="K3869">
        <f>IF(AND(H3869="Промышленный",LEFT(I3869,18)="Порошок стиральный",F3869="Продажа",B3869=DATE(2023,6,7)),E3869*J3869/1000,0)</f>
        <v/>
      </c>
    </row>
    <row r="3870">
      <c r="A3870" t="n">
        <v>3869</v>
      </c>
      <c r="B3870" s="1" t="n">
        <v>45091</v>
      </c>
      <c r="C3870" s="5" t="inlineStr">
        <is>
          <t>M17</t>
        </is>
      </c>
      <c r="D3870" s="5" t="n">
        <v>17</v>
      </c>
      <c r="E3870" s="5" t="n">
        <v>81</v>
      </c>
      <c r="F3870" t="inlineStr">
        <is>
          <t>Продажа</t>
        </is>
      </c>
      <c r="H3870">
        <f>VLOOKUP(C3870,Магазин!$A$2:$C$1000,2,0)</f>
        <v/>
      </c>
      <c r="I3870">
        <f>VLOOKUP(D3870,Товар!$A$2:$F$1000,3,0)</f>
        <v/>
      </c>
      <c r="J3870">
        <f>VLOOKUP(D3870,Товар!$A$2:$F$1000,5,0)</f>
        <v/>
      </c>
      <c r="K3870">
        <f>IF(AND(H3870="Промышленный",LEFT(I3870,18)="Порошок стиральный",F3870="Продажа",B3870=DATE(2023,6,7)),E3870*J3870/1000,0)</f>
        <v/>
      </c>
    </row>
    <row r="3871">
      <c r="A3871" t="n">
        <v>3870</v>
      </c>
      <c r="B3871" s="1" t="n">
        <v>45091</v>
      </c>
      <c r="C3871" s="5" t="inlineStr">
        <is>
          <t>M17</t>
        </is>
      </c>
      <c r="D3871" s="5" t="n">
        <v>18</v>
      </c>
      <c r="E3871" s="5" t="n">
        <v>83</v>
      </c>
      <c r="F3871" t="inlineStr">
        <is>
          <t>Продажа</t>
        </is>
      </c>
      <c r="H3871">
        <f>VLOOKUP(C3871,Магазин!$A$2:$C$1000,2,0)</f>
        <v/>
      </c>
      <c r="I3871">
        <f>VLOOKUP(D3871,Товар!$A$2:$F$1000,3,0)</f>
        <v/>
      </c>
      <c r="J3871">
        <f>VLOOKUP(D3871,Товар!$A$2:$F$1000,5,0)</f>
        <v/>
      </c>
      <c r="K3871">
        <f>IF(AND(H3871="Промышленный",LEFT(I3871,18)="Порошок стиральный",F3871="Продажа",B3871=DATE(2023,6,7)),E3871*J3871/1000,0)</f>
        <v/>
      </c>
    </row>
    <row r="3872">
      <c r="A3872" t="n">
        <v>3871</v>
      </c>
      <c r="B3872" s="1" t="n">
        <v>45091</v>
      </c>
      <c r="C3872" s="5" t="inlineStr">
        <is>
          <t>M17</t>
        </is>
      </c>
      <c r="D3872" s="5" t="n">
        <v>19</v>
      </c>
      <c r="E3872" s="5" t="n">
        <v>82</v>
      </c>
      <c r="F3872" t="inlineStr">
        <is>
          <t>Продажа</t>
        </is>
      </c>
      <c r="H3872">
        <f>VLOOKUP(C3872,Магазин!$A$2:$C$1000,2,0)</f>
        <v/>
      </c>
      <c r="I3872">
        <f>VLOOKUP(D3872,Товар!$A$2:$F$1000,3,0)</f>
        <v/>
      </c>
      <c r="J3872">
        <f>VLOOKUP(D3872,Товар!$A$2:$F$1000,5,0)</f>
        <v/>
      </c>
      <c r="K3872">
        <f>IF(AND(H3872="Промышленный",LEFT(I3872,18)="Порошок стиральный",F3872="Продажа",B3872=DATE(2023,6,7)),E3872*J3872/1000,0)</f>
        <v/>
      </c>
    </row>
    <row r="3873">
      <c r="A3873" t="n">
        <v>3872</v>
      </c>
      <c r="B3873" s="1" t="n">
        <v>45091</v>
      </c>
      <c r="C3873" s="5" t="inlineStr">
        <is>
          <t>M17</t>
        </is>
      </c>
      <c r="D3873" s="5" t="n">
        <v>20</v>
      </c>
      <c r="E3873" s="5" t="n">
        <v>87</v>
      </c>
      <c r="F3873" t="inlineStr">
        <is>
          <t>Продажа</t>
        </is>
      </c>
      <c r="H3873">
        <f>VLOOKUP(C3873,Магазин!$A$2:$C$1000,2,0)</f>
        <v/>
      </c>
      <c r="I3873">
        <f>VLOOKUP(D3873,Товар!$A$2:$F$1000,3,0)</f>
        <v/>
      </c>
      <c r="J3873">
        <f>VLOOKUP(D3873,Товар!$A$2:$F$1000,5,0)</f>
        <v/>
      </c>
      <c r="K3873">
        <f>IF(AND(H3873="Промышленный",LEFT(I3873,18)="Порошок стиральный",F3873="Продажа",B3873=DATE(2023,6,7)),E3873*J3873/1000,0)</f>
        <v/>
      </c>
    </row>
    <row r="3874">
      <c r="A3874" t="n">
        <v>3873</v>
      </c>
      <c r="B3874" s="1" t="n">
        <v>45091</v>
      </c>
      <c r="C3874" s="5" t="inlineStr">
        <is>
          <t>M17</t>
        </is>
      </c>
      <c r="D3874" s="5" t="n">
        <v>21</v>
      </c>
      <c r="E3874" s="5" t="n">
        <v>94</v>
      </c>
      <c r="F3874" t="inlineStr">
        <is>
          <t>Продажа</t>
        </is>
      </c>
      <c r="H3874">
        <f>VLOOKUP(C3874,Магазин!$A$2:$C$1000,2,0)</f>
        <v/>
      </c>
      <c r="I3874">
        <f>VLOOKUP(D3874,Товар!$A$2:$F$1000,3,0)</f>
        <v/>
      </c>
      <c r="J3874">
        <f>VLOOKUP(D3874,Товар!$A$2:$F$1000,5,0)</f>
        <v/>
      </c>
      <c r="K3874">
        <f>IF(AND(H3874="Промышленный",LEFT(I3874,18)="Порошок стиральный",F3874="Продажа",B3874=DATE(2023,6,7)),E3874*J3874/1000,0)</f>
        <v/>
      </c>
    </row>
    <row r="3875">
      <c r="A3875" t="n">
        <v>3874</v>
      </c>
      <c r="B3875" s="1" t="n">
        <v>45091</v>
      </c>
      <c r="C3875" s="5" t="inlineStr">
        <is>
          <t>M17</t>
        </is>
      </c>
      <c r="D3875" s="5" t="n">
        <v>22</v>
      </c>
      <c r="E3875" s="5" t="n">
        <v>96</v>
      </c>
      <c r="F3875" t="inlineStr">
        <is>
          <t>Продажа</t>
        </is>
      </c>
      <c r="H3875">
        <f>VLOOKUP(C3875,Магазин!$A$2:$C$1000,2,0)</f>
        <v/>
      </c>
      <c r="I3875">
        <f>VLOOKUP(D3875,Товар!$A$2:$F$1000,3,0)</f>
        <v/>
      </c>
      <c r="J3875">
        <f>VLOOKUP(D3875,Товар!$A$2:$F$1000,5,0)</f>
        <v/>
      </c>
      <c r="K3875">
        <f>IF(AND(H3875="Промышленный",LEFT(I3875,18)="Порошок стиральный",F3875="Продажа",B3875=DATE(2023,6,7)),E3875*J3875/1000,0)</f>
        <v/>
      </c>
    </row>
    <row r="3876">
      <c r="A3876" t="n">
        <v>3875</v>
      </c>
      <c r="B3876" s="1" t="n">
        <v>45091</v>
      </c>
      <c r="C3876" s="5" t="inlineStr">
        <is>
          <t>M17</t>
        </is>
      </c>
      <c r="D3876" s="5" t="n">
        <v>23</v>
      </c>
      <c r="E3876" s="5" t="n">
        <v>93</v>
      </c>
      <c r="F3876" t="inlineStr">
        <is>
          <t>Продажа</t>
        </is>
      </c>
      <c r="H3876">
        <f>VLOOKUP(C3876,Магазин!$A$2:$C$1000,2,0)</f>
        <v/>
      </c>
      <c r="I3876">
        <f>VLOOKUP(D3876,Товар!$A$2:$F$1000,3,0)</f>
        <v/>
      </c>
      <c r="J3876">
        <f>VLOOKUP(D3876,Товар!$A$2:$F$1000,5,0)</f>
        <v/>
      </c>
      <c r="K3876">
        <f>IF(AND(H3876="Промышленный",LEFT(I3876,18)="Порошок стиральный",F3876="Продажа",B3876=DATE(2023,6,7)),E3876*J3876/1000,0)</f>
        <v/>
      </c>
    </row>
    <row r="3877">
      <c r="A3877" t="n">
        <v>3876</v>
      </c>
      <c r="B3877" s="1" t="n">
        <v>45091</v>
      </c>
      <c r="C3877" s="5" t="inlineStr">
        <is>
          <t>M17</t>
        </is>
      </c>
      <c r="D3877" s="5" t="n">
        <v>24</v>
      </c>
      <c r="E3877" s="5" t="n">
        <v>91</v>
      </c>
      <c r="F3877" t="inlineStr">
        <is>
          <t>Продажа</t>
        </is>
      </c>
      <c r="H3877">
        <f>VLOOKUP(C3877,Магазин!$A$2:$C$1000,2,0)</f>
        <v/>
      </c>
      <c r="I3877">
        <f>VLOOKUP(D3877,Товар!$A$2:$F$1000,3,0)</f>
        <v/>
      </c>
      <c r="J3877">
        <f>VLOOKUP(D3877,Товар!$A$2:$F$1000,5,0)</f>
        <v/>
      </c>
      <c r="K3877">
        <f>IF(AND(H3877="Промышленный",LEFT(I3877,18)="Порошок стиральный",F3877="Продажа",B3877=DATE(2023,6,7)),E3877*J3877/1000,0)</f>
        <v/>
      </c>
    </row>
    <row r="3878">
      <c r="A3878" t="n">
        <v>3877</v>
      </c>
      <c r="B3878" s="1" t="n">
        <v>45091</v>
      </c>
      <c r="C3878" s="5" t="inlineStr">
        <is>
          <t>M17</t>
        </is>
      </c>
      <c r="D3878" s="5" t="n">
        <v>25</v>
      </c>
      <c r="E3878" s="5" t="n">
        <v>73</v>
      </c>
      <c r="F3878" t="inlineStr">
        <is>
          <t>Продажа</t>
        </is>
      </c>
      <c r="H3878">
        <f>VLOOKUP(C3878,Магазин!$A$2:$C$1000,2,0)</f>
        <v/>
      </c>
      <c r="I3878">
        <f>VLOOKUP(D3878,Товар!$A$2:$F$1000,3,0)</f>
        <v/>
      </c>
      <c r="J3878">
        <f>VLOOKUP(D3878,Товар!$A$2:$F$1000,5,0)</f>
        <v/>
      </c>
      <c r="K3878">
        <f>IF(AND(H3878="Промышленный",LEFT(I3878,18)="Порошок стиральный",F3878="Продажа",B3878=DATE(2023,6,7)),E3878*J3878/1000,0)</f>
        <v/>
      </c>
    </row>
    <row r="3879">
      <c r="A3879" t="n">
        <v>3878</v>
      </c>
      <c r="B3879" s="1" t="n">
        <v>45091</v>
      </c>
      <c r="C3879" s="5" t="inlineStr">
        <is>
          <t>M17</t>
        </is>
      </c>
      <c r="D3879" s="5" t="n">
        <v>26</v>
      </c>
      <c r="E3879" s="5" t="n">
        <v>94</v>
      </c>
      <c r="F3879" t="inlineStr">
        <is>
          <t>Продажа</t>
        </is>
      </c>
      <c r="H3879">
        <f>VLOOKUP(C3879,Магазин!$A$2:$C$1000,2,0)</f>
        <v/>
      </c>
      <c r="I3879">
        <f>VLOOKUP(D3879,Товар!$A$2:$F$1000,3,0)</f>
        <v/>
      </c>
      <c r="J3879">
        <f>VLOOKUP(D3879,Товар!$A$2:$F$1000,5,0)</f>
        <v/>
      </c>
      <c r="K3879">
        <f>IF(AND(H3879="Промышленный",LEFT(I3879,18)="Порошок стиральный",F3879="Продажа",B3879=DATE(2023,6,7)),E3879*J3879/1000,0)</f>
        <v/>
      </c>
    </row>
    <row r="3880">
      <c r="A3880" t="n">
        <v>3879</v>
      </c>
      <c r="B3880" s="1" t="n">
        <v>45091</v>
      </c>
      <c r="C3880" s="5" t="inlineStr">
        <is>
          <t>M17</t>
        </is>
      </c>
      <c r="D3880" s="5" t="n">
        <v>27</v>
      </c>
      <c r="E3880" s="5" t="n">
        <v>96</v>
      </c>
      <c r="F3880" t="inlineStr">
        <is>
          <t>Продажа</t>
        </is>
      </c>
      <c r="H3880">
        <f>VLOOKUP(C3880,Магазин!$A$2:$C$1000,2,0)</f>
        <v/>
      </c>
      <c r="I3880">
        <f>VLOOKUP(D3880,Товар!$A$2:$F$1000,3,0)</f>
        <v/>
      </c>
      <c r="J3880">
        <f>VLOOKUP(D3880,Товар!$A$2:$F$1000,5,0)</f>
        <v/>
      </c>
      <c r="K3880">
        <f>IF(AND(H3880="Промышленный",LEFT(I3880,18)="Порошок стиральный",F3880="Продажа",B3880=DATE(2023,6,7)),E3880*J3880/1000,0)</f>
        <v/>
      </c>
    </row>
    <row r="3881">
      <c r="A3881" t="n">
        <v>3880</v>
      </c>
      <c r="B3881" s="1" t="n">
        <v>45091</v>
      </c>
      <c r="C3881" s="5" t="inlineStr">
        <is>
          <t>M17</t>
        </is>
      </c>
      <c r="D3881" s="5" t="n">
        <v>28</v>
      </c>
      <c r="E3881" s="5" t="n">
        <v>95</v>
      </c>
      <c r="F3881" t="inlineStr">
        <is>
          <t>Продажа</t>
        </is>
      </c>
      <c r="H3881">
        <f>VLOOKUP(C3881,Магазин!$A$2:$C$1000,2,0)</f>
        <v/>
      </c>
      <c r="I3881">
        <f>VLOOKUP(D3881,Товар!$A$2:$F$1000,3,0)</f>
        <v/>
      </c>
      <c r="J3881">
        <f>VLOOKUP(D3881,Товар!$A$2:$F$1000,5,0)</f>
        <v/>
      </c>
      <c r="K3881">
        <f>IF(AND(H3881="Промышленный",LEFT(I3881,18)="Порошок стиральный",F3881="Продажа",B3881=DATE(2023,6,7)),E3881*J3881/1000,0)</f>
        <v/>
      </c>
    </row>
    <row r="3882">
      <c r="A3882" t="n">
        <v>3881</v>
      </c>
      <c r="B3882" s="1" t="n">
        <v>45091</v>
      </c>
      <c r="C3882" s="5" t="inlineStr">
        <is>
          <t>M17</t>
        </is>
      </c>
      <c r="D3882" s="5" t="n">
        <v>29</v>
      </c>
      <c r="E3882" s="5" t="n">
        <v>97</v>
      </c>
      <c r="F3882" t="inlineStr">
        <is>
          <t>Продажа</t>
        </is>
      </c>
      <c r="H3882">
        <f>VLOOKUP(C3882,Магазин!$A$2:$C$1000,2,0)</f>
        <v/>
      </c>
      <c r="I3882">
        <f>VLOOKUP(D3882,Товар!$A$2:$F$1000,3,0)</f>
        <v/>
      </c>
      <c r="J3882">
        <f>VLOOKUP(D3882,Товар!$A$2:$F$1000,5,0)</f>
        <v/>
      </c>
      <c r="K3882">
        <f>IF(AND(H3882="Промышленный",LEFT(I3882,18)="Порошок стиральный",F3882="Продажа",B3882=DATE(2023,6,7)),E3882*J3882/1000,0)</f>
        <v/>
      </c>
    </row>
    <row r="3883">
      <c r="A3883" t="n">
        <v>3882</v>
      </c>
      <c r="B3883" s="1" t="n">
        <v>45091</v>
      </c>
      <c r="C3883" s="5" t="inlineStr">
        <is>
          <t>M17</t>
        </is>
      </c>
      <c r="D3883" s="5" t="n">
        <v>30</v>
      </c>
      <c r="E3883" s="5" t="n">
        <v>84</v>
      </c>
      <c r="F3883" t="inlineStr">
        <is>
          <t>Продажа</t>
        </is>
      </c>
      <c r="H3883">
        <f>VLOOKUP(C3883,Магазин!$A$2:$C$1000,2,0)</f>
        <v/>
      </c>
      <c r="I3883">
        <f>VLOOKUP(D3883,Товар!$A$2:$F$1000,3,0)</f>
        <v/>
      </c>
      <c r="J3883">
        <f>VLOOKUP(D3883,Товар!$A$2:$F$1000,5,0)</f>
        <v/>
      </c>
      <c r="K3883">
        <f>IF(AND(H3883="Промышленный",LEFT(I3883,18)="Порошок стиральный",F3883="Продажа",B3883=DATE(2023,6,7)),E3883*J3883/1000,0)</f>
        <v/>
      </c>
    </row>
    <row r="3884">
      <c r="A3884" t="n">
        <v>3883</v>
      </c>
      <c r="B3884" s="1" t="n">
        <v>45091</v>
      </c>
      <c r="C3884" s="5" t="inlineStr">
        <is>
          <t>M17</t>
        </is>
      </c>
      <c r="D3884" s="5" t="n">
        <v>31</v>
      </c>
      <c r="E3884" s="5" t="n">
        <v>83</v>
      </c>
      <c r="F3884" t="inlineStr">
        <is>
          <t>Продажа</t>
        </is>
      </c>
      <c r="H3884">
        <f>VLOOKUP(C3884,Магазин!$A$2:$C$1000,2,0)</f>
        <v/>
      </c>
      <c r="I3884">
        <f>VLOOKUP(D3884,Товар!$A$2:$F$1000,3,0)</f>
        <v/>
      </c>
      <c r="J3884">
        <f>VLOOKUP(D3884,Товар!$A$2:$F$1000,5,0)</f>
        <v/>
      </c>
      <c r="K3884">
        <f>IF(AND(H3884="Промышленный",LEFT(I3884,18)="Порошок стиральный",F3884="Продажа",B3884=DATE(2023,6,7)),E3884*J3884/1000,0)</f>
        <v/>
      </c>
    </row>
    <row r="3885">
      <c r="A3885" t="n">
        <v>3884</v>
      </c>
      <c r="B3885" s="1" t="n">
        <v>45091</v>
      </c>
      <c r="C3885" s="5" t="inlineStr">
        <is>
          <t>M17</t>
        </is>
      </c>
      <c r="D3885" s="5" t="n">
        <v>32</v>
      </c>
      <c r="E3885" s="5" t="n">
        <v>81</v>
      </c>
      <c r="F3885" t="inlineStr">
        <is>
          <t>Продажа</t>
        </is>
      </c>
      <c r="H3885">
        <f>VLOOKUP(C3885,Магазин!$A$2:$C$1000,2,0)</f>
        <v/>
      </c>
      <c r="I3885">
        <f>VLOOKUP(D3885,Товар!$A$2:$F$1000,3,0)</f>
        <v/>
      </c>
      <c r="J3885">
        <f>VLOOKUP(D3885,Товар!$A$2:$F$1000,5,0)</f>
        <v/>
      </c>
      <c r="K3885">
        <f>IF(AND(H3885="Промышленный",LEFT(I3885,18)="Порошок стиральный",F3885="Продажа",B3885=DATE(2023,6,7)),E3885*J3885/1000,0)</f>
        <v/>
      </c>
    </row>
    <row r="3886">
      <c r="A3886" t="n">
        <v>3885</v>
      </c>
      <c r="B3886" s="1" t="n">
        <v>45091</v>
      </c>
      <c r="C3886" s="5" t="inlineStr">
        <is>
          <t>M17</t>
        </is>
      </c>
      <c r="D3886" s="5" t="n">
        <v>33</v>
      </c>
      <c r="E3886" s="5" t="n">
        <v>87</v>
      </c>
      <c r="F3886" t="inlineStr">
        <is>
          <t>Продажа</t>
        </is>
      </c>
      <c r="H3886">
        <f>VLOOKUP(C3886,Магазин!$A$2:$C$1000,2,0)</f>
        <v/>
      </c>
      <c r="I3886">
        <f>VLOOKUP(D3886,Товар!$A$2:$F$1000,3,0)</f>
        <v/>
      </c>
      <c r="J3886">
        <f>VLOOKUP(D3886,Товар!$A$2:$F$1000,5,0)</f>
        <v/>
      </c>
      <c r="K3886">
        <f>IF(AND(H3886="Промышленный",LEFT(I3886,18)="Порошок стиральный",F3886="Продажа",B3886=DATE(2023,6,7)),E3886*J3886/1000,0)</f>
        <v/>
      </c>
    </row>
    <row r="3887">
      <c r="A3887" t="n">
        <v>3886</v>
      </c>
      <c r="B3887" s="1" t="n">
        <v>45091</v>
      </c>
      <c r="C3887" s="5" t="inlineStr">
        <is>
          <t>M17</t>
        </is>
      </c>
      <c r="D3887" s="5" t="n">
        <v>34</v>
      </c>
      <c r="E3887" s="5" t="n">
        <v>73</v>
      </c>
      <c r="F3887" t="inlineStr">
        <is>
          <t>Продажа</t>
        </is>
      </c>
      <c r="H3887">
        <f>VLOOKUP(C3887,Магазин!$A$2:$C$1000,2,0)</f>
        <v/>
      </c>
      <c r="I3887">
        <f>VLOOKUP(D3887,Товар!$A$2:$F$1000,3,0)</f>
        <v/>
      </c>
      <c r="J3887">
        <f>VLOOKUP(D3887,Товар!$A$2:$F$1000,5,0)</f>
        <v/>
      </c>
      <c r="K3887">
        <f>IF(AND(H3887="Промышленный",LEFT(I3887,18)="Порошок стиральный",F3887="Продажа",B3887=DATE(2023,6,7)),E3887*J3887/1000,0)</f>
        <v/>
      </c>
    </row>
    <row r="3888">
      <c r="A3888" t="n">
        <v>3887</v>
      </c>
      <c r="B3888" s="1" t="n">
        <v>45091</v>
      </c>
      <c r="C3888" s="5" t="inlineStr">
        <is>
          <t>M17</t>
        </is>
      </c>
      <c r="D3888" s="5" t="n">
        <v>35</v>
      </c>
      <c r="E3888" s="5" t="n">
        <v>71</v>
      </c>
      <c r="F3888" t="inlineStr">
        <is>
          <t>Продажа</t>
        </is>
      </c>
      <c r="H3888">
        <f>VLOOKUP(C3888,Магазин!$A$2:$C$1000,2,0)</f>
        <v/>
      </c>
      <c r="I3888">
        <f>VLOOKUP(D3888,Товар!$A$2:$F$1000,3,0)</f>
        <v/>
      </c>
      <c r="J3888">
        <f>VLOOKUP(D3888,Товар!$A$2:$F$1000,5,0)</f>
        <v/>
      </c>
      <c r="K3888">
        <f>IF(AND(H3888="Промышленный",LEFT(I3888,18)="Порошок стиральный",F3888="Продажа",B3888=DATE(2023,6,7)),E3888*J3888/1000,0)</f>
        <v/>
      </c>
    </row>
    <row r="3889">
      <c r="A3889" t="n">
        <v>3888</v>
      </c>
      <c r="B3889" s="1" t="n">
        <v>45091</v>
      </c>
      <c r="C3889" s="5" t="inlineStr">
        <is>
          <t>M17</t>
        </is>
      </c>
      <c r="D3889" s="5" t="n">
        <v>36</v>
      </c>
      <c r="E3889" s="5" t="n">
        <v>85</v>
      </c>
      <c r="F3889" t="inlineStr">
        <is>
          <t>Продажа</t>
        </is>
      </c>
      <c r="H3889">
        <f>VLOOKUP(C3889,Магазин!$A$2:$C$1000,2,0)</f>
        <v/>
      </c>
      <c r="I3889">
        <f>VLOOKUP(D3889,Товар!$A$2:$F$1000,3,0)</f>
        <v/>
      </c>
      <c r="J3889">
        <f>VLOOKUP(D3889,Товар!$A$2:$F$1000,5,0)</f>
        <v/>
      </c>
      <c r="K3889">
        <f>IF(AND(H3889="Промышленный",LEFT(I3889,18)="Порошок стиральный",F3889="Продажа",B3889=DATE(2023,6,7)),E3889*J3889/1000,0)</f>
        <v/>
      </c>
    </row>
    <row r="3890">
      <c r="A3890" t="n">
        <v>3889</v>
      </c>
      <c r="B3890" s="1" t="n">
        <v>45091</v>
      </c>
      <c r="C3890" s="5" t="inlineStr">
        <is>
          <t>M1</t>
        </is>
      </c>
      <c r="D3890" s="5" t="n">
        <v>37</v>
      </c>
      <c r="E3890" s="5" t="n">
        <v>367</v>
      </c>
      <c r="F3890" t="inlineStr">
        <is>
          <t>Продажа</t>
        </is>
      </c>
      <c r="H3890">
        <f>VLOOKUP(C3890,Магазин!$A$2:$C$1000,2,0)</f>
        <v/>
      </c>
      <c r="I3890">
        <f>VLOOKUP(D3890,Товар!$A$2:$F$1000,3,0)</f>
        <v/>
      </c>
      <c r="J3890">
        <f>VLOOKUP(D3890,Товар!$A$2:$F$1000,5,0)</f>
        <v/>
      </c>
      <c r="K3890">
        <f>IF(AND(H3890="Промышленный",LEFT(I3890,18)="Порошок стиральный",F3890="Продажа",B3890=DATE(2023,6,7)),E3890*J3890/1000,0)</f>
        <v/>
      </c>
    </row>
    <row r="3891">
      <c r="A3891" t="n">
        <v>3890</v>
      </c>
      <c r="B3891" s="1" t="n">
        <v>45091</v>
      </c>
      <c r="C3891" s="5" t="inlineStr">
        <is>
          <t>M1</t>
        </is>
      </c>
      <c r="D3891" s="5" t="n">
        <v>38</v>
      </c>
      <c r="E3891" s="5" t="n">
        <v>205</v>
      </c>
      <c r="F3891" t="inlineStr">
        <is>
          <t>Продажа</t>
        </is>
      </c>
      <c r="H3891">
        <f>VLOOKUP(C3891,Магазин!$A$2:$C$1000,2,0)</f>
        <v/>
      </c>
      <c r="I3891">
        <f>VLOOKUP(D3891,Товар!$A$2:$F$1000,3,0)</f>
        <v/>
      </c>
      <c r="J3891">
        <f>VLOOKUP(D3891,Товар!$A$2:$F$1000,5,0)</f>
        <v/>
      </c>
      <c r="K3891">
        <f>IF(AND(H3891="Промышленный",LEFT(I3891,18)="Порошок стиральный",F3891="Продажа",B3891=DATE(2023,6,7)),E3891*J3891/1000,0)</f>
        <v/>
      </c>
    </row>
    <row r="3892">
      <c r="A3892" t="n">
        <v>3891</v>
      </c>
      <c r="B3892" s="1" t="n">
        <v>45091</v>
      </c>
      <c r="C3892" s="5" t="inlineStr">
        <is>
          <t>M1</t>
        </is>
      </c>
      <c r="D3892" s="5" t="n">
        <v>39</v>
      </c>
      <c r="E3892" s="5" t="n">
        <v>357</v>
      </c>
      <c r="F3892" t="inlineStr">
        <is>
          <t>Продажа</t>
        </is>
      </c>
      <c r="H3892">
        <f>VLOOKUP(C3892,Магазин!$A$2:$C$1000,2,0)</f>
        <v/>
      </c>
      <c r="I3892">
        <f>VLOOKUP(D3892,Товар!$A$2:$F$1000,3,0)</f>
        <v/>
      </c>
      <c r="J3892">
        <f>VLOOKUP(D3892,Товар!$A$2:$F$1000,5,0)</f>
        <v/>
      </c>
      <c r="K3892">
        <f>IF(AND(H3892="Промышленный",LEFT(I3892,18)="Порошок стиральный",F3892="Продажа",B3892=DATE(2023,6,7)),E3892*J3892/1000,0)</f>
        <v/>
      </c>
    </row>
    <row r="3893">
      <c r="A3893" t="n">
        <v>3892</v>
      </c>
      <c r="B3893" s="1" t="n">
        <v>45091</v>
      </c>
      <c r="C3893" s="5" t="inlineStr">
        <is>
          <t>M1</t>
        </is>
      </c>
      <c r="D3893" s="5" t="n">
        <v>40</v>
      </c>
      <c r="E3893" s="5" t="n">
        <v>268</v>
      </c>
      <c r="F3893" t="inlineStr">
        <is>
          <t>Продажа</t>
        </is>
      </c>
      <c r="H3893">
        <f>VLOOKUP(C3893,Магазин!$A$2:$C$1000,2,0)</f>
        <v/>
      </c>
      <c r="I3893">
        <f>VLOOKUP(D3893,Товар!$A$2:$F$1000,3,0)</f>
        <v/>
      </c>
      <c r="J3893">
        <f>VLOOKUP(D3893,Товар!$A$2:$F$1000,5,0)</f>
        <v/>
      </c>
      <c r="K3893">
        <f>IF(AND(H3893="Промышленный",LEFT(I3893,18)="Порошок стиральный",F3893="Продажа",B3893=DATE(2023,6,7)),E3893*J3893/1000,0)</f>
        <v/>
      </c>
    </row>
    <row r="3894">
      <c r="A3894" t="n">
        <v>3893</v>
      </c>
      <c r="B3894" s="1" t="n">
        <v>45091</v>
      </c>
      <c r="C3894" s="5" t="inlineStr">
        <is>
          <t>M1</t>
        </is>
      </c>
      <c r="D3894" s="5" t="n">
        <v>41</v>
      </c>
      <c r="E3894" s="5" t="n">
        <v>279</v>
      </c>
      <c r="F3894" t="inlineStr">
        <is>
          <t>Продажа</t>
        </is>
      </c>
      <c r="H3894">
        <f>VLOOKUP(C3894,Магазин!$A$2:$C$1000,2,0)</f>
        <v/>
      </c>
      <c r="I3894">
        <f>VLOOKUP(D3894,Товар!$A$2:$F$1000,3,0)</f>
        <v/>
      </c>
      <c r="J3894">
        <f>VLOOKUP(D3894,Товар!$A$2:$F$1000,5,0)</f>
        <v/>
      </c>
      <c r="K3894">
        <f>IF(AND(H3894="Промышленный",LEFT(I3894,18)="Порошок стиральный",F3894="Продажа",B3894=DATE(2023,6,7)),E3894*J3894/1000,0)</f>
        <v/>
      </c>
    </row>
    <row r="3895">
      <c r="A3895" t="n">
        <v>3894</v>
      </c>
      <c r="B3895" s="1" t="n">
        <v>45091</v>
      </c>
      <c r="C3895" s="5" t="inlineStr">
        <is>
          <t>M1</t>
        </is>
      </c>
      <c r="D3895" s="5" t="n">
        <v>42</v>
      </c>
      <c r="E3895" s="5" t="n">
        <v>281</v>
      </c>
      <c r="F3895" t="inlineStr">
        <is>
          <t>Продажа</t>
        </is>
      </c>
      <c r="H3895">
        <f>VLOOKUP(C3895,Магазин!$A$2:$C$1000,2,0)</f>
        <v/>
      </c>
      <c r="I3895">
        <f>VLOOKUP(D3895,Товар!$A$2:$F$1000,3,0)</f>
        <v/>
      </c>
      <c r="J3895">
        <f>VLOOKUP(D3895,Товар!$A$2:$F$1000,5,0)</f>
        <v/>
      </c>
      <c r="K3895">
        <f>IF(AND(H3895="Промышленный",LEFT(I3895,18)="Порошок стиральный",F3895="Продажа",B3895=DATE(2023,6,7)),E3895*J3895/1000,0)</f>
        <v/>
      </c>
    </row>
    <row r="3896">
      <c r="A3896" t="n">
        <v>3895</v>
      </c>
      <c r="B3896" s="1" t="n">
        <v>45091</v>
      </c>
      <c r="C3896" s="5" t="inlineStr">
        <is>
          <t>M1</t>
        </is>
      </c>
      <c r="D3896" s="5" t="n">
        <v>43</v>
      </c>
      <c r="E3896" s="5" t="n">
        <v>292</v>
      </c>
      <c r="F3896" t="inlineStr">
        <is>
          <t>Продажа</t>
        </is>
      </c>
      <c r="H3896">
        <f>VLOOKUP(C3896,Магазин!$A$2:$C$1000,2,0)</f>
        <v/>
      </c>
      <c r="I3896">
        <f>VLOOKUP(D3896,Товар!$A$2:$F$1000,3,0)</f>
        <v/>
      </c>
      <c r="J3896">
        <f>VLOOKUP(D3896,Товар!$A$2:$F$1000,5,0)</f>
        <v/>
      </c>
      <c r="K3896">
        <f>IF(AND(H3896="Промышленный",LEFT(I3896,18)="Порошок стиральный",F3896="Продажа",B3896=DATE(2023,6,7)),E3896*J3896/1000,0)</f>
        <v/>
      </c>
    </row>
    <row r="3897">
      <c r="A3897" t="n">
        <v>3896</v>
      </c>
      <c r="B3897" s="1" t="n">
        <v>45091</v>
      </c>
      <c r="C3897" s="5" t="inlineStr">
        <is>
          <t>M1</t>
        </is>
      </c>
      <c r="D3897" s="5" t="n">
        <v>44</v>
      </c>
      <c r="E3897" s="5" t="n">
        <v>203</v>
      </c>
      <c r="F3897" t="inlineStr">
        <is>
          <t>Продажа</t>
        </is>
      </c>
      <c r="H3897">
        <f>VLOOKUP(C3897,Магазин!$A$2:$C$1000,2,0)</f>
        <v/>
      </c>
      <c r="I3897">
        <f>VLOOKUP(D3897,Товар!$A$2:$F$1000,3,0)</f>
        <v/>
      </c>
      <c r="J3897">
        <f>VLOOKUP(D3897,Товар!$A$2:$F$1000,5,0)</f>
        <v/>
      </c>
      <c r="K3897">
        <f>IF(AND(H3897="Промышленный",LEFT(I3897,18)="Порошок стиральный",F3897="Продажа",B3897=DATE(2023,6,7)),E3897*J3897/1000,0)</f>
        <v/>
      </c>
    </row>
    <row r="3898">
      <c r="A3898" t="n">
        <v>3897</v>
      </c>
      <c r="B3898" s="1" t="n">
        <v>45091</v>
      </c>
      <c r="C3898" s="5" t="inlineStr">
        <is>
          <t>M1</t>
        </is>
      </c>
      <c r="D3898" s="5" t="n">
        <v>45</v>
      </c>
      <c r="E3898" s="5" t="n">
        <v>214</v>
      </c>
      <c r="F3898" t="inlineStr">
        <is>
          <t>Продажа</t>
        </is>
      </c>
      <c r="H3898">
        <f>VLOOKUP(C3898,Магазин!$A$2:$C$1000,2,0)</f>
        <v/>
      </c>
      <c r="I3898">
        <f>VLOOKUP(D3898,Товар!$A$2:$F$1000,3,0)</f>
        <v/>
      </c>
      <c r="J3898">
        <f>VLOOKUP(D3898,Товар!$A$2:$F$1000,5,0)</f>
        <v/>
      </c>
      <c r="K3898">
        <f>IF(AND(H3898="Промышленный",LEFT(I3898,18)="Порошок стиральный",F3898="Продажа",B3898=DATE(2023,6,7)),E3898*J3898/1000,0)</f>
        <v/>
      </c>
    </row>
    <row r="3899">
      <c r="A3899" t="n">
        <v>3898</v>
      </c>
      <c r="B3899" s="1" t="n">
        <v>45091</v>
      </c>
      <c r="C3899" s="5" t="inlineStr">
        <is>
          <t>M1</t>
        </is>
      </c>
      <c r="D3899" s="5" t="n">
        <v>46</v>
      </c>
      <c r="E3899" s="5" t="n">
        <v>225</v>
      </c>
      <c r="F3899" t="inlineStr">
        <is>
          <t>Продажа</t>
        </is>
      </c>
      <c r="H3899">
        <f>VLOOKUP(C3899,Магазин!$A$2:$C$1000,2,0)</f>
        <v/>
      </c>
      <c r="I3899">
        <f>VLOOKUP(D3899,Товар!$A$2:$F$1000,3,0)</f>
        <v/>
      </c>
      <c r="J3899">
        <f>VLOOKUP(D3899,Товар!$A$2:$F$1000,5,0)</f>
        <v/>
      </c>
      <c r="K3899">
        <f>IF(AND(H3899="Промышленный",LEFT(I3899,18)="Порошок стиральный",F3899="Продажа",B3899=DATE(2023,6,7)),E3899*J3899/1000,0)</f>
        <v/>
      </c>
    </row>
    <row r="3900">
      <c r="A3900" t="n">
        <v>3899</v>
      </c>
      <c r="B3900" s="1" t="n">
        <v>45091</v>
      </c>
      <c r="C3900" s="5" t="inlineStr">
        <is>
          <t>M1</t>
        </is>
      </c>
      <c r="D3900" s="5" t="n">
        <v>47</v>
      </c>
      <c r="E3900" s="5" t="n">
        <v>236</v>
      </c>
      <c r="F3900" t="inlineStr">
        <is>
          <t>Продажа</t>
        </is>
      </c>
      <c r="H3900">
        <f>VLOOKUP(C3900,Магазин!$A$2:$C$1000,2,0)</f>
        <v/>
      </c>
      <c r="I3900">
        <f>VLOOKUP(D3900,Товар!$A$2:$F$1000,3,0)</f>
        <v/>
      </c>
      <c r="J3900">
        <f>VLOOKUP(D3900,Товар!$A$2:$F$1000,5,0)</f>
        <v/>
      </c>
      <c r="K3900">
        <f>IF(AND(H3900="Промышленный",LEFT(I3900,18)="Порошок стиральный",F3900="Продажа",B3900=DATE(2023,6,7)),E3900*J3900/1000,0)</f>
        <v/>
      </c>
    </row>
    <row r="3901">
      <c r="A3901" t="n">
        <v>3900</v>
      </c>
      <c r="B3901" s="1" t="n">
        <v>45091</v>
      </c>
      <c r="C3901" s="5" t="inlineStr">
        <is>
          <t>M1</t>
        </is>
      </c>
      <c r="D3901" s="5" t="n">
        <v>48</v>
      </c>
      <c r="E3901" s="5" t="n">
        <v>247</v>
      </c>
      <c r="F3901" t="inlineStr">
        <is>
          <t>Продажа</t>
        </is>
      </c>
      <c r="H3901">
        <f>VLOOKUP(C3901,Магазин!$A$2:$C$1000,2,0)</f>
        <v/>
      </c>
      <c r="I3901">
        <f>VLOOKUP(D3901,Товар!$A$2:$F$1000,3,0)</f>
        <v/>
      </c>
      <c r="J3901">
        <f>VLOOKUP(D3901,Товар!$A$2:$F$1000,5,0)</f>
        <v/>
      </c>
      <c r="K3901">
        <f>IF(AND(H3901="Промышленный",LEFT(I3901,18)="Порошок стиральный",F3901="Продажа",B3901=DATE(2023,6,7)),E3901*J3901/1000,0)</f>
        <v/>
      </c>
    </row>
    <row r="3902">
      <c r="A3902" t="n">
        <v>3901</v>
      </c>
      <c r="B3902" s="1" t="n">
        <v>45091</v>
      </c>
      <c r="C3902" s="5" t="inlineStr">
        <is>
          <t>M1</t>
        </is>
      </c>
      <c r="D3902" s="5" t="n">
        <v>49</v>
      </c>
      <c r="E3902" s="5" t="n">
        <v>258</v>
      </c>
      <c r="F3902" t="inlineStr">
        <is>
          <t>Продажа</t>
        </is>
      </c>
      <c r="H3902">
        <f>VLOOKUP(C3902,Магазин!$A$2:$C$1000,2,0)</f>
        <v/>
      </c>
      <c r="I3902">
        <f>VLOOKUP(D3902,Товар!$A$2:$F$1000,3,0)</f>
        <v/>
      </c>
      <c r="J3902">
        <f>VLOOKUP(D3902,Товар!$A$2:$F$1000,5,0)</f>
        <v/>
      </c>
      <c r="K3902">
        <f>IF(AND(H3902="Промышленный",LEFT(I3902,18)="Порошок стиральный",F3902="Продажа",B3902=DATE(2023,6,7)),E3902*J3902/1000,0)</f>
        <v/>
      </c>
    </row>
    <row r="3903">
      <c r="A3903" t="n">
        <v>3902</v>
      </c>
      <c r="B3903" s="1" t="n">
        <v>45091</v>
      </c>
      <c r="C3903" s="5" t="inlineStr">
        <is>
          <t>M1</t>
        </is>
      </c>
      <c r="D3903" s="5" t="n">
        <v>50</v>
      </c>
      <c r="E3903" s="5" t="n">
        <v>256</v>
      </c>
      <c r="F3903" t="inlineStr">
        <is>
          <t>Продажа</t>
        </is>
      </c>
      <c r="H3903">
        <f>VLOOKUP(C3903,Магазин!$A$2:$C$1000,2,0)</f>
        <v/>
      </c>
      <c r="I3903">
        <f>VLOOKUP(D3903,Товар!$A$2:$F$1000,3,0)</f>
        <v/>
      </c>
      <c r="J3903">
        <f>VLOOKUP(D3903,Товар!$A$2:$F$1000,5,0)</f>
        <v/>
      </c>
      <c r="K3903">
        <f>IF(AND(H3903="Промышленный",LEFT(I3903,18)="Порошок стиральный",F3903="Продажа",B3903=DATE(2023,6,7)),E3903*J3903/1000,0)</f>
        <v/>
      </c>
    </row>
    <row r="3904">
      <c r="A3904" t="n">
        <v>3903</v>
      </c>
      <c r="B3904" s="1" t="n">
        <v>45091</v>
      </c>
      <c r="C3904" s="5" t="inlineStr">
        <is>
          <t>M1</t>
        </is>
      </c>
      <c r="D3904" s="5" t="n">
        <v>51</v>
      </c>
      <c r="E3904" s="5" t="n">
        <v>269</v>
      </c>
      <c r="F3904" t="inlineStr">
        <is>
          <t>Продажа</t>
        </is>
      </c>
      <c r="H3904">
        <f>VLOOKUP(C3904,Магазин!$A$2:$C$1000,2,0)</f>
        <v/>
      </c>
      <c r="I3904">
        <f>VLOOKUP(D3904,Товар!$A$2:$F$1000,3,0)</f>
        <v/>
      </c>
      <c r="J3904">
        <f>VLOOKUP(D3904,Товар!$A$2:$F$1000,5,0)</f>
        <v/>
      </c>
      <c r="K3904">
        <f>IF(AND(H3904="Промышленный",LEFT(I3904,18)="Порошок стиральный",F3904="Продажа",B3904=DATE(2023,6,7)),E3904*J3904/1000,0)</f>
        <v/>
      </c>
    </row>
    <row r="3905">
      <c r="A3905" t="n">
        <v>3904</v>
      </c>
      <c r="B3905" s="1" t="n">
        <v>45091</v>
      </c>
      <c r="C3905" s="5" t="inlineStr">
        <is>
          <t>M1</t>
        </is>
      </c>
      <c r="D3905" s="5" t="n">
        <v>52</v>
      </c>
      <c r="E3905" s="5" t="n">
        <v>204</v>
      </c>
      <c r="F3905" t="inlineStr">
        <is>
          <t>Продажа</t>
        </is>
      </c>
      <c r="H3905">
        <f>VLOOKUP(C3905,Магазин!$A$2:$C$1000,2,0)</f>
        <v/>
      </c>
      <c r="I3905">
        <f>VLOOKUP(D3905,Товар!$A$2:$F$1000,3,0)</f>
        <v/>
      </c>
      <c r="J3905">
        <f>VLOOKUP(D3905,Товар!$A$2:$F$1000,5,0)</f>
        <v/>
      </c>
      <c r="K3905">
        <f>IF(AND(H3905="Промышленный",LEFT(I3905,18)="Порошок стиральный",F3905="Продажа",B3905=DATE(2023,6,7)),E3905*J3905/1000,0)</f>
        <v/>
      </c>
    </row>
    <row r="3906">
      <c r="A3906" t="n">
        <v>3905</v>
      </c>
      <c r="B3906" s="1" t="n">
        <v>45091</v>
      </c>
      <c r="C3906" s="5" t="inlineStr">
        <is>
          <t>M1</t>
        </is>
      </c>
      <c r="D3906" s="5" t="n">
        <v>53</v>
      </c>
      <c r="E3906" s="5" t="n">
        <v>206</v>
      </c>
      <c r="F3906" t="inlineStr">
        <is>
          <t>Продажа</t>
        </is>
      </c>
      <c r="H3906">
        <f>VLOOKUP(C3906,Магазин!$A$2:$C$1000,2,0)</f>
        <v/>
      </c>
      <c r="I3906">
        <f>VLOOKUP(D3906,Товар!$A$2:$F$1000,3,0)</f>
        <v/>
      </c>
      <c r="J3906">
        <f>VLOOKUP(D3906,Товар!$A$2:$F$1000,5,0)</f>
        <v/>
      </c>
      <c r="K3906">
        <f>IF(AND(H3906="Промышленный",LEFT(I3906,18)="Порошок стиральный",F3906="Продажа",B3906=DATE(2023,6,7)),E3906*J3906/1000,0)</f>
        <v/>
      </c>
    </row>
    <row r="3907">
      <c r="A3907" t="n">
        <v>3906</v>
      </c>
      <c r="B3907" s="1" t="n">
        <v>45091</v>
      </c>
      <c r="C3907" s="5" t="inlineStr">
        <is>
          <t>M1</t>
        </is>
      </c>
      <c r="D3907" s="5" t="n">
        <v>54</v>
      </c>
      <c r="E3907" s="5" t="n">
        <v>208</v>
      </c>
      <c r="F3907" t="inlineStr">
        <is>
          <t>Продажа</t>
        </is>
      </c>
      <c r="H3907">
        <f>VLOOKUP(C3907,Магазин!$A$2:$C$1000,2,0)</f>
        <v/>
      </c>
      <c r="I3907">
        <f>VLOOKUP(D3907,Товар!$A$2:$F$1000,3,0)</f>
        <v/>
      </c>
      <c r="J3907">
        <f>VLOOKUP(D3907,Товар!$A$2:$F$1000,5,0)</f>
        <v/>
      </c>
      <c r="K3907">
        <f>IF(AND(H3907="Промышленный",LEFT(I3907,18)="Порошок стиральный",F3907="Продажа",B3907=DATE(2023,6,7)),E3907*J3907/1000,0)</f>
        <v/>
      </c>
    </row>
    <row r="3908">
      <c r="A3908" t="n">
        <v>3907</v>
      </c>
      <c r="B3908" s="1" t="n">
        <v>45091</v>
      </c>
      <c r="C3908" s="5" t="inlineStr">
        <is>
          <t>M1</t>
        </is>
      </c>
      <c r="D3908" s="5" t="n">
        <v>55</v>
      </c>
      <c r="E3908" s="5" t="n">
        <v>209</v>
      </c>
      <c r="F3908" t="inlineStr">
        <is>
          <t>Продажа</t>
        </is>
      </c>
      <c r="H3908">
        <f>VLOOKUP(C3908,Магазин!$A$2:$C$1000,2,0)</f>
        <v/>
      </c>
      <c r="I3908">
        <f>VLOOKUP(D3908,Товар!$A$2:$F$1000,3,0)</f>
        <v/>
      </c>
      <c r="J3908">
        <f>VLOOKUP(D3908,Товар!$A$2:$F$1000,5,0)</f>
        <v/>
      </c>
      <c r="K3908">
        <f>IF(AND(H3908="Промышленный",LEFT(I3908,18)="Порошок стиральный",F3908="Продажа",B3908=DATE(2023,6,7)),E3908*J3908/1000,0)</f>
        <v/>
      </c>
    </row>
    <row r="3909">
      <c r="A3909" t="n">
        <v>3908</v>
      </c>
      <c r="B3909" s="1" t="n">
        <v>45091</v>
      </c>
      <c r="C3909" s="5" t="inlineStr">
        <is>
          <t>M1</t>
        </is>
      </c>
      <c r="D3909" s="5" t="n">
        <v>56</v>
      </c>
      <c r="E3909" s="5" t="n">
        <v>299</v>
      </c>
      <c r="F3909" t="inlineStr">
        <is>
          <t>Продажа</t>
        </is>
      </c>
      <c r="H3909">
        <f>VLOOKUP(C3909,Магазин!$A$2:$C$1000,2,0)</f>
        <v/>
      </c>
      <c r="I3909">
        <f>VLOOKUP(D3909,Товар!$A$2:$F$1000,3,0)</f>
        <v/>
      </c>
      <c r="J3909">
        <f>VLOOKUP(D3909,Товар!$A$2:$F$1000,5,0)</f>
        <v/>
      </c>
      <c r="K3909">
        <f>IF(AND(H3909="Промышленный",LEFT(I3909,18)="Порошок стиральный",F3909="Продажа",B3909=DATE(2023,6,7)),E3909*J3909/1000,0)</f>
        <v/>
      </c>
    </row>
    <row r="3910">
      <c r="A3910" t="n">
        <v>3909</v>
      </c>
      <c r="B3910" s="1" t="n">
        <v>45091</v>
      </c>
      <c r="C3910" s="5" t="inlineStr">
        <is>
          <t>M1</t>
        </is>
      </c>
      <c r="D3910" s="5" t="n">
        <v>57</v>
      </c>
      <c r="E3910" s="5" t="n">
        <v>275</v>
      </c>
      <c r="F3910" t="inlineStr">
        <is>
          <t>Продажа</t>
        </is>
      </c>
      <c r="H3910">
        <f>VLOOKUP(C3910,Магазин!$A$2:$C$1000,2,0)</f>
        <v/>
      </c>
      <c r="I3910">
        <f>VLOOKUP(D3910,Товар!$A$2:$F$1000,3,0)</f>
        <v/>
      </c>
      <c r="J3910">
        <f>VLOOKUP(D3910,Товар!$A$2:$F$1000,5,0)</f>
        <v/>
      </c>
      <c r="K3910">
        <f>IF(AND(H3910="Промышленный",LEFT(I3910,18)="Порошок стиральный",F3910="Продажа",B3910=DATE(2023,6,7)),E3910*J3910/1000,0)</f>
        <v/>
      </c>
    </row>
    <row r="3911">
      <c r="A3911" t="n">
        <v>3910</v>
      </c>
      <c r="B3911" s="1" t="n">
        <v>45091</v>
      </c>
      <c r="C3911" s="5" t="inlineStr">
        <is>
          <t>M1</t>
        </is>
      </c>
      <c r="D3911" s="5" t="n">
        <v>58</v>
      </c>
      <c r="E3911" s="5" t="n">
        <v>234</v>
      </c>
      <c r="F3911" t="inlineStr">
        <is>
          <t>Продажа</t>
        </is>
      </c>
      <c r="H3911">
        <f>VLOOKUP(C3911,Магазин!$A$2:$C$1000,2,0)</f>
        <v/>
      </c>
      <c r="I3911">
        <f>VLOOKUP(D3911,Товар!$A$2:$F$1000,3,0)</f>
        <v/>
      </c>
      <c r="J3911">
        <f>VLOOKUP(D3911,Товар!$A$2:$F$1000,5,0)</f>
        <v/>
      </c>
      <c r="K3911">
        <f>IF(AND(H3911="Промышленный",LEFT(I3911,18)="Порошок стиральный",F3911="Продажа",B3911=DATE(2023,6,7)),E3911*J3911/1000,0)</f>
        <v/>
      </c>
    </row>
    <row r="3912">
      <c r="A3912" t="n">
        <v>3911</v>
      </c>
      <c r="B3912" s="1" t="n">
        <v>45091</v>
      </c>
      <c r="C3912" s="5" t="inlineStr">
        <is>
          <t>M1</t>
        </is>
      </c>
      <c r="D3912" s="5" t="n">
        <v>59</v>
      </c>
      <c r="E3912" s="5" t="n">
        <v>228</v>
      </c>
      <c r="F3912" t="inlineStr">
        <is>
          <t>Продажа</t>
        </is>
      </c>
      <c r="H3912">
        <f>VLOOKUP(C3912,Магазин!$A$2:$C$1000,2,0)</f>
        <v/>
      </c>
      <c r="I3912">
        <f>VLOOKUP(D3912,Товар!$A$2:$F$1000,3,0)</f>
        <v/>
      </c>
      <c r="J3912">
        <f>VLOOKUP(D3912,Товар!$A$2:$F$1000,5,0)</f>
        <v/>
      </c>
      <c r="K3912">
        <f>IF(AND(H3912="Промышленный",LEFT(I3912,18)="Порошок стиральный",F3912="Продажа",B3912=DATE(2023,6,7)),E3912*J3912/1000,0)</f>
        <v/>
      </c>
    </row>
    <row r="3913">
      <c r="A3913" t="n">
        <v>3912</v>
      </c>
      <c r="B3913" s="1" t="n">
        <v>45091</v>
      </c>
      <c r="C3913" s="5" t="inlineStr">
        <is>
          <t>M1</t>
        </is>
      </c>
      <c r="D3913" s="5" t="n">
        <v>60</v>
      </c>
      <c r="E3913" s="5" t="n">
        <v>217</v>
      </c>
      <c r="F3913" t="inlineStr">
        <is>
          <t>Продажа</t>
        </is>
      </c>
      <c r="H3913">
        <f>VLOOKUP(C3913,Магазин!$A$2:$C$1000,2,0)</f>
        <v/>
      </c>
      <c r="I3913">
        <f>VLOOKUP(D3913,Товар!$A$2:$F$1000,3,0)</f>
        <v/>
      </c>
      <c r="J3913">
        <f>VLOOKUP(D3913,Товар!$A$2:$F$1000,5,0)</f>
        <v/>
      </c>
      <c r="K3913">
        <f>IF(AND(H3913="Промышленный",LEFT(I3913,18)="Порошок стиральный",F3913="Продажа",B3913=DATE(2023,6,7)),E3913*J3913/1000,0)</f>
        <v/>
      </c>
    </row>
    <row r="3914">
      <c r="A3914" t="n">
        <v>3913</v>
      </c>
      <c r="B3914" s="1" t="n">
        <v>45091</v>
      </c>
      <c r="C3914" s="5" t="inlineStr">
        <is>
          <t>M5</t>
        </is>
      </c>
      <c r="D3914" s="5" t="n">
        <v>37</v>
      </c>
      <c r="E3914" s="5" t="n">
        <v>258</v>
      </c>
      <c r="F3914" t="inlineStr">
        <is>
          <t>Продажа</t>
        </is>
      </c>
      <c r="H3914">
        <f>VLOOKUP(C3914,Магазин!$A$2:$C$1000,2,0)</f>
        <v/>
      </c>
      <c r="I3914">
        <f>VLOOKUP(D3914,Товар!$A$2:$F$1000,3,0)</f>
        <v/>
      </c>
      <c r="J3914">
        <f>VLOOKUP(D3914,Товар!$A$2:$F$1000,5,0)</f>
        <v/>
      </c>
      <c r="K3914">
        <f>IF(AND(H3914="Промышленный",LEFT(I3914,18)="Порошок стиральный",F3914="Продажа",B3914=DATE(2023,6,7)),E3914*J3914/1000,0)</f>
        <v/>
      </c>
    </row>
    <row r="3915">
      <c r="A3915" t="n">
        <v>3914</v>
      </c>
      <c r="B3915" s="1" t="n">
        <v>45091</v>
      </c>
      <c r="C3915" s="5" t="inlineStr">
        <is>
          <t>M5</t>
        </is>
      </c>
      <c r="D3915" s="5" t="n">
        <v>38</v>
      </c>
      <c r="E3915" s="5" t="n">
        <v>199</v>
      </c>
      <c r="F3915" t="inlineStr">
        <is>
          <t>Продажа</t>
        </is>
      </c>
      <c r="H3915">
        <f>VLOOKUP(C3915,Магазин!$A$2:$C$1000,2,0)</f>
        <v/>
      </c>
      <c r="I3915">
        <f>VLOOKUP(D3915,Товар!$A$2:$F$1000,3,0)</f>
        <v/>
      </c>
      <c r="J3915">
        <f>VLOOKUP(D3915,Товар!$A$2:$F$1000,5,0)</f>
        <v/>
      </c>
      <c r="K3915">
        <f>IF(AND(H3915="Промышленный",LEFT(I3915,18)="Порошок стиральный",F3915="Продажа",B3915=DATE(2023,6,7)),E3915*J3915/1000,0)</f>
        <v/>
      </c>
    </row>
    <row r="3916">
      <c r="A3916" t="n">
        <v>3915</v>
      </c>
      <c r="B3916" s="1" t="n">
        <v>45091</v>
      </c>
      <c r="C3916" s="5" t="inlineStr">
        <is>
          <t>M5</t>
        </is>
      </c>
      <c r="D3916" s="5" t="n">
        <v>39</v>
      </c>
      <c r="E3916" s="5" t="n">
        <v>248</v>
      </c>
      <c r="F3916" t="inlineStr">
        <is>
          <t>Продажа</t>
        </is>
      </c>
      <c r="H3916">
        <f>VLOOKUP(C3916,Магазин!$A$2:$C$1000,2,0)</f>
        <v/>
      </c>
      <c r="I3916">
        <f>VLOOKUP(D3916,Товар!$A$2:$F$1000,3,0)</f>
        <v/>
      </c>
      <c r="J3916">
        <f>VLOOKUP(D3916,Товар!$A$2:$F$1000,5,0)</f>
        <v/>
      </c>
      <c r="K3916">
        <f>IF(AND(H3916="Промышленный",LEFT(I3916,18)="Порошок стиральный",F3916="Продажа",B3916=DATE(2023,6,7)),E3916*J3916/1000,0)</f>
        <v/>
      </c>
    </row>
    <row r="3917">
      <c r="A3917" t="n">
        <v>3916</v>
      </c>
      <c r="B3917" s="1" t="n">
        <v>45091</v>
      </c>
      <c r="C3917" s="5" t="inlineStr">
        <is>
          <t>M5</t>
        </is>
      </c>
      <c r="D3917" s="5" t="n">
        <v>40</v>
      </c>
      <c r="E3917" s="5" t="n">
        <v>236</v>
      </c>
      <c r="F3917" t="inlineStr">
        <is>
          <t>Продажа</t>
        </is>
      </c>
      <c r="H3917">
        <f>VLOOKUP(C3917,Магазин!$A$2:$C$1000,2,0)</f>
        <v/>
      </c>
      <c r="I3917">
        <f>VLOOKUP(D3917,Товар!$A$2:$F$1000,3,0)</f>
        <v/>
      </c>
      <c r="J3917">
        <f>VLOOKUP(D3917,Товар!$A$2:$F$1000,5,0)</f>
        <v/>
      </c>
      <c r="K3917">
        <f>IF(AND(H3917="Промышленный",LEFT(I3917,18)="Порошок стиральный",F3917="Продажа",B3917=DATE(2023,6,7)),E3917*J3917/1000,0)</f>
        <v/>
      </c>
    </row>
    <row r="3918">
      <c r="A3918" t="n">
        <v>3917</v>
      </c>
      <c r="B3918" s="1" t="n">
        <v>45091</v>
      </c>
      <c r="C3918" s="5" t="inlineStr">
        <is>
          <t>M5</t>
        </is>
      </c>
      <c r="D3918" s="5" t="n">
        <v>41</v>
      </c>
      <c r="E3918" s="5" t="n">
        <v>287</v>
      </c>
      <c r="F3918" t="inlineStr">
        <is>
          <t>Продажа</t>
        </is>
      </c>
      <c r="H3918">
        <f>VLOOKUP(C3918,Магазин!$A$2:$C$1000,2,0)</f>
        <v/>
      </c>
      <c r="I3918">
        <f>VLOOKUP(D3918,Товар!$A$2:$F$1000,3,0)</f>
        <v/>
      </c>
      <c r="J3918">
        <f>VLOOKUP(D3918,Товар!$A$2:$F$1000,5,0)</f>
        <v/>
      </c>
      <c r="K3918">
        <f>IF(AND(H3918="Промышленный",LEFT(I3918,18)="Порошок стиральный",F3918="Продажа",B3918=DATE(2023,6,7)),E3918*J3918/1000,0)</f>
        <v/>
      </c>
    </row>
    <row r="3919">
      <c r="A3919" t="n">
        <v>3918</v>
      </c>
      <c r="B3919" s="1" t="n">
        <v>45091</v>
      </c>
      <c r="C3919" s="5" t="inlineStr">
        <is>
          <t>M5</t>
        </is>
      </c>
      <c r="D3919" s="5" t="n">
        <v>42</v>
      </c>
      <c r="E3919" s="5" t="n">
        <v>265</v>
      </c>
      <c r="F3919" t="inlineStr">
        <is>
          <t>Продажа</t>
        </is>
      </c>
      <c r="H3919">
        <f>VLOOKUP(C3919,Магазин!$A$2:$C$1000,2,0)</f>
        <v/>
      </c>
      <c r="I3919">
        <f>VLOOKUP(D3919,Товар!$A$2:$F$1000,3,0)</f>
        <v/>
      </c>
      <c r="J3919">
        <f>VLOOKUP(D3919,Товар!$A$2:$F$1000,5,0)</f>
        <v/>
      </c>
      <c r="K3919">
        <f>IF(AND(H3919="Промышленный",LEFT(I3919,18)="Порошок стиральный",F3919="Продажа",B3919=DATE(2023,6,7)),E3919*J3919/1000,0)</f>
        <v/>
      </c>
    </row>
    <row r="3920">
      <c r="A3920" t="n">
        <v>3919</v>
      </c>
      <c r="B3920" s="1" t="n">
        <v>45091</v>
      </c>
      <c r="C3920" s="5" t="inlineStr">
        <is>
          <t>M5</t>
        </is>
      </c>
      <c r="D3920" s="5" t="n">
        <v>43</v>
      </c>
      <c r="E3920" s="5" t="n">
        <v>234</v>
      </c>
      <c r="F3920" t="inlineStr">
        <is>
          <t>Продажа</t>
        </is>
      </c>
      <c r="H3920">
        <f>VLOOKUP(C3920,Магазин!$A$2:$C$1000,2,0)</f>
        <v/>
      </c>
      <c r="I3920">
        <f>VLOOKUP(D3920,Товар!$A$2:$F$1000,3,0)</f>
        <v/>
      </c>
      <c r="J3920">
        <f>VLOOKUP(D3920,Товар!$A$2:$F$1000,5,0)</f>
        <v/>
      </c>
      <c r="K3920">
        <f>IF(AND(H3920="Промышленный",LEFT(I3920,18)="Порошок стиральный",F3920="Продажа",B3920=DATE(2023,6,7)),E3920*J3920/1000,0)</f>
        <v/>
      </c>
    </row>
    <row r="3921">
      <c r="A3921" t="n">
        <v>3920</v>
      </c>
      <c r="B3921" s="1" t="n">
        <v>45091</v>
      </c>
      <c r="C3921" s="5" t="inlineStr">
        <is>
          <t>M5</t>
        </is>
      </c>
      <c r="D3921" s="5" t="n">
        <v>44</v>
      </c>
      <c r="E3921" s="5" t="n">
        <v>258</v>
      </c>
      <c r="F3921" t="inlineStr">
        <is>
          <t>Продажа</t>
        </is>
      </c>
      <c r="H3921">
        <f>VLOOKUP(C3921,Магазин!$A$2:$C$1000,2,0)</f>
        <v/>
      </c>
      <c r="I3921">
        <f>VLOOKUP(D3921,Товар!$A$2:$F$1000,3,0)</f>
        <v/>
      </c>
      <c r="J3921">
        <f>VLOOKUP(D3921,Товар!$A$2:$F$1000,5,0)</f>
        <v/>
      </c>
      <c r="K3921">
        <f>IF(AND(H3921="Промышленный",LEFT(I3921,18)="Порошок стиральный",F3921="Продажа",B3921=DATE(2023,6,7)),E3921*J3921/1000,0)</f>
        <v/>
      </c>
    </row>
    <row r="3922">
      <c r="A3922" t="n">
        <v>3921</v>
      </c>
      <c r="B3922" s="1" t="n">
        <v>45091</v>
      </c>
      <c r="C3922" s="5" t="inlineStr">
        <is>
          <t>M5</t>
        </is>
      </c>
      <c r="D3922" s="5" t="n">
        <v>45</v>
      </c>
      <c r="E3922" s="5" t="n">
        <v>264</v>
      </c>
      <c r="F3922" t="inlineStr">
        <is>
          <t>Продажа</t>
        </is>
      </c>
      <c r="H3922">
        <f>VLOOKUP(C3922,Магазин!$A$2:$C$1000,2,0)</f>
        <v/>
      </c>
      <c r="I3922">
        <f>VLOOKUP(D3922,Товар!$A$2:$F$1000,3,0)</f>
        <v/>
      </c>
      <c r="J3922">
        <f>VLOOKUP(D3922,Товар!$A$2:$F$1000,5,0)</f>
        <v/>
      </c>
      <c r="K3922">
        <f>IF(AND(H3922="Промышленный",LEFT(I3922,18)="Порошок стиральный",F3922="Продажа",B3922=DATE(2023,6,7)),E3922*J3922/1000,0)</f>
        <v/>
      </c>
    </row>
    <row r="3923">
      <c r="A3923" t="n">
        <v>3922</v>
      </c>
      <c r="B3923" s="1" t="n">
        <v>45091</v>
      </c>
      <c r="C3923" s="5" t="inlineStr">
        <is>
          <t>M5</t>
        </is>
      </c>
      <c r="D3923" s="5" t="n">
        <v>46</v>
      </c>
      <c r="E3923" s="5" t="n">
        <v>237</v>
      </c>
      <c r="F3923" t="inlineStr">
        <is>
          <t>Продажа</t>
        </is>
      </c>
      <c r="H3923">
        <f>VLOOKUP(C3923,Магазин!$A$2:$C$1000,2,0)</f>
        <v/>
      </c>
      <c r="I3923">
        <f>VLOOKUP(D3923,Товар!$A$2:$F$1000,3,0)</f>
        <v/>
      </c>
      <c r="J3923">
        <f>VLOOKUP(D3923,Товар!$A$2:$F$1000,5,0)</f>
        <v/>
      </c>
      <c r="K3923">
        <f>IF(AND(H3923="Промышленный",LEFT(I3923,18)="Порошок стиральный",F3923="Продажа",B3923=DATE(2023,6,7)),E3923*J3923/1000,0)</f>
        <v/>
      </c>
    </row>
    <row r="3924">
      <c r="A3924" t="n">
        <v>3923</v>
      </c>
      <c r="B3924" s="1" t="n">
        <v>45091</v>
      </c>
      <c r="C3924" s="5" t="inlineStr">
        <is>
          <t>M5</t>
        </is>
      </c>
      <c r="D3924" s="5" t="n">
        <v>47</v>
      </c>
      <c r="E3924" s="5" t="n">
        <v>218</v>
      </c>
      <c r="F3924" t="inlineStr">
        <is>
          <t>Продажа</t>
        </is>
      </c>
      <c r="H3924">
        <f>VLOOKUP(C3924,Магазин!$A$2:$C$1000,2,0)</f>
        <v/>
      </c>
      <c r="I3924">
        <f>VLOOKUP(D3924,Товар!$A$2:$F$1000,3,0)</f>
        <v/>
      </c>
      <c r="J3924">
        <f>VLOOKUP(D3924,Товар!$A$2:$F$1000,5,0)</f>
        <v/>
      </c>
      <c r="K3924">
        <f>IF(AND(H3924="Промышленный",LEFT(I3924,18)="Порошок стиральный",F3924="Продажа",B3924=DATE(2023,6,7)),E3924*J3924/1000,0)</f>
        <v/>
      </c>
    </row>
    <row r="3925">
      <c r="A3925" t="n">
        <v>3924</v>
      </c>
      <c r="B3925" s="1" t="n">
        <v>45091</v>
      </c>
      <c r="C3925" s="5" t="inlineStr">
        <is>
          <t>M5</t>
        </is>
      </c>
      <c r="D3925" s="5" t="n">
        <v>48</v>
      </c>
      <c r="E3925" s="5" t="n">
        <v>249</v>
      </c>
      <c r="F3925" t="inlineStr">
        <is>
          <t>Продажа</t>
        </is>
      </c>
      <c r="H3925">
        <f>VLOOKUP(C3925,Магазин!$A$2:$C$1000,2,0)</f>
        <v/>
      </c>
      <c r="I3925">
        <f>VLOOKUP(D3925,Товар!$A$2:$F$1000,3,0)</f>
        <v/>
      </c>
      <c r="J3925">
        <f>VLOOKUP(D3925,Товар!$A$2:$F$1000,5,0)</f>
        <v/>
      </c>
      <c r="K3925">
        <f>IF(AND(H3925="Промышленный",LEFT(I3925,18)="Порошок стиральный",F3925="Продажа",B3925=DATE(2023,6,7)),E3925*J3925/1000,0)</f>
        <v/>
      </c>
    </row>
    <row r="3926">
      <c r="A3926" t="n">
        <v>3925</v>
      </c>
      <c r="B3926" s="1" t="n">
        <v>45091</v>
      </c>
      <c r="C3926" s="5" t="inlineStr">
        <is>
          <t>M5</t>
        </is>
      </c>
      <c r="D3926" s="5" t="n">
        <v>49</v>
      </c>
      <c r="E3926" s="5" t="n">
        <v>273</v>
      </c>
      <c r="F3926" t="inlineStr">
        <is>
          <t>Продажа</t>
        </is>
      </c>
      <c r="H3926">
        <f>VLOOKUP(C3926,Магазин!$A$2:$C$1000,2,0)</f>
        <v/>
      </c>
      <c r="I3926">
        <f>VLOOKUP(D3926,Товар!$A$2:$F$1000,3,0)</f>
        <v/>
      </c>
      <c r="J3926">
        <f>VLOOKUP(D3926,Товар!$A$2:$F$1000,5,0)</f>
        <v/>
      </c>
      <c r="K3926">
        <f>IF(AND(H3926="Промышленный",LEFT(I3926,18)="Порошок стиральный",F3926="Продажа",B3926=DATE(2023,6,7)),E3926*J3926/1000,0)</f>
        <v/>
      </c>
    </row>
    <row r="3927">
      <c r="A3927" t="n">
        <v>3926</v>
      </c>
      <c r="B3927" s="1" t="n">
        <v>45091</v>
      </c>
      <c r="C3927" s="5" t="inlineStr">
        <is>
          <t>M5</t>
        </is>
      </c>
      <c r="D3927" s="5" t="n">
        <v>50</v>
      </c>
      <c r="E3927" s="5" t="n">
        <v>284</v>
      </c>
      <c r="F3927" t="inlineStr">
        <is>
          <t>Продажа</t>
        </is>
      </c>
      <c r="H3927">
        <f>VLOOKUP(C3927,Магазин!$A$2:$C$1000,2,0)</f>
        <v/>
      </c>
      <c r="I3927">
        <f>VLOOKUP(D3927,Товар!$A$2:$F$1000,3,0)</f>
        <v/>
      </c>
      <c r="J3927">
        <f>VLOOKUP(D3927,Товар!$A$2:$F$1000,5,0)</f>
        <v/>
      </c>
      <c r="K3927">
        <f>IF(AND(H3927="Промышленный",LEFT(I3927,18)="Порошок стиральный",F3927="Продажа",B3927=DATE(2023,6,7)),E3927*J3927/1000,0)</f>
        <v/>
      </c>
    </row>
    <row r="3928">
      <c r="A3928" t="n">
        <v>3927</v>
      </c>
      <c r="B3928" s="1" t="n">
        <v>45091</v>
      </c>
      <c r="C3928" s="5" t="inlineStr">
        <is>
          <t>M5</t>
        </is>
      </c>
      <c r="D3928" s="5" t="n">
        <v>51</v>
      </c>
      <c r="E3928" s="5" t="n">
        <v>253</v>
      </c>
      <c r="F3928" t="inlineStr">
        <is>
          <t>Продажа</t>
        </is>
      </c>
      <c r="H3928">
        <f>VLOOKUP(C3928,Магазин!$A$2:$C$1000,2,0)</f>
        <v/>
      </c>
      <c r="I3928">
        <f>VLOOKUP(D3928,Товар!$A$2:$F$1000,3,0)</f>
        <v/>
      </c>
      <c r="J3928">
        <f>VLOOKUP(D3928,Товар!$A$2:$F$1000,5,0)</f>
        <v/>
      </c>
      <c r="K3928">
        <f>IF(AND(H3928="Промышленный",LEFT(I3928,18)="Порошок стиральный",F3928="Продажа",B3928=DATE(2023,6,7)),E3928*J3928/1000,0)</f>
        <v/>
      </c>
    </row>
    <row r="3929">
      <c r="A3929" t="n">
        <v>3928</v>
      </c>
      <c r="B3929" s="1" t="n">
        <v>45091</v>
      </c>
      <c r="C3929" s="5" t="inlineStr">
        <is>
          <t>M5</t>
        </is>
      </c>
      <c r="D3929" s="5" t="n">
        <v>52</v>
      </c>
      <c r="E3929" s="5" t="n">
        <v>261</v>
      </c>
      <c r="F3929" t="inlineStr">
        <is>
          <t>Продажа</t>
        </is>
      </c>
      <c r="H3929">
        <f>VLOOKUP(C3929,Магазин!$A$2:$C$1000,2,0)</f>
        <v/>
      </c>
      <c r="I3929">
        <f>VLOOKUP(D3929,Товар!$A$2:$F$1000,3,0)</f>
        <v/>
      </c>
      <c r="J3929">
        <f>VLOOKUP(D3929,Товар!$A$2:$F$1000,5,0)</f>
        <v/>
      </c>
      <c r="K3929">
        <f>IF(AND(H3929="Промышленный",LEFT(I3929,18)="Порошок стиральный",F3929="Продажа",B3929=DATE(2023,6,7)),E3929*J3929/1000,0)</f>
        <v/>
      </c>
    </row>
    <row r="3930">
      <c r="A3930" t="n">
        <v>3929</v>
      </c>
      <c r="B3930" s="1" t="n">
        <v>45091</v>
      </c>
      <c r="C3930" s="5" t="inlineStr">
        <is>
          <t>M5</t>
        </is>
      </c>
      <c r="D3930" s="5" t="n">
        <v>53</v>
      </c>
      <c r="E3930" s="5" t="n">
        <v>276</v>
      </c>
      <c r="F3930" t="inlineStr">
        <is>
          <t>Продажа</t>
        </is>
      </c>
      <c r="H3930">
        <f>VLOOKUP(C3930,Магазин!$A$2:$C$1000,2,0)</f>
        <v/>
      </c>
      <c r="I3930">
        <f>VLOOKUP(D3930,Товар!$A$2:$F$1000,3,0)</f>
        <v/>
      </c>
      <c r="J3930">
        <f>VLOOKUP(D3930,Товар!$A$2:$F$1000,5,0)</f>
        <v/>
      </c>
      <c r="K3930">
        <f>IF(AND(H3930="Промышленный",LEFT(I3930,18)="Порошок стиральный",F3930="Продажа",B3930=DATE(2023,6,7)),E3930*J3930/1000,0)</f>
        <v/>
      </c>
    </row>
    <row r="3931">
      <c r="A3931" t="n">
        <v>3930</v>
      </c>
      <c r="B3931" s="1" t="n">
        <v>45091</v>
      </c>
      <c r="C3931" s="5" t="inlineStr">
        <is>
          <t>M5</t>
        </is>
      </c>
      <c r="D3931" s="5" t="n">
        <v>54</v>
      </c>
      <c r="E3931" s="5" t="n">
        <v>205</v>
      </c>
      <c r="F3931" t="inlineStr">
        <is>
          <t>Продажа</t>
        </is>
      </c>
      <c r="H3931">
        <f>VLOOKUP(C3931,Магазин!$A$2:$C$1000,2,0)</f>
        <v/>
      </c>
      <c r="I3931">
        <f>VLOOKUP(D3931,Товар!$A$2:$F$1000,3,0)</f>
        <v/>
      </c>
      <c r="J3931">
        <f>VLOOKUP(D3931,Товар!$A$2:$F$1000,5,0)</f>
        <v/>
      </c>
      <c r="K3931">
        <f>IF(AND(H3931="Промышленный",LEFT(I3931,18)="Порошок стиральный",F3931="Продажа",B3931=DATE(2023,6,7)),E3931*J3931/1000,0)</f>
        <v/>
      </c>
    </row>
    <row r="3932">
      <c r="A3932" t="n">
        <v>3931</v>
      </c>
      <c r="B3932" s="1" t="n">
        <v>45091</v>
      </c>
      <c r="C3932" s="5" t="inlineStr">
        <is>
          <t>M5</t>
        </is>
      </c>
      <c r="D3932" s="5" t="n">
        <v>55</v>
      </c>
      <c r="E3932" s="5" t="n">
        <v>357</v>
      </c>
      <c r="F3932" t="inlineStr">
        <is>
          <t>Продажа</t>
        </is>
      </c>
      <c r="H3932">
        <f>VLOOKUP(C3932,Магазин!$A$2:$C$1000,2,0)</f>
        <v/>
      </c>
      <c r="I3932">
        <f>VLOOKUP(D3932,Товар!$A$2:$F$1000,3,0)</f>
        <v/>
      </c>
      <c r="J3932">
        <f>VLOOKUP(D3932,Товар!$A$2:$F$1000,5,0)</f>
        <v/>
      </c>
      <c r="K3932">
        <f>IF(AND(H3932="Промышленный",LEFT(I3932,18)="Порошок стиральный",F3932="Продажа",B3932=DATE(2023,6,7)),E3932*J3932/1000,0)</f>
        <v/>
      </c>
    </row>
    <row r="3933">
      <c r="A3933" t="n">
        <v>3932</v>
      </c>
      <c r="B3933" s="1" t="n">
        <v>45091</v>
      </c>
      <c r="C3933" s="5" t="inlineStr">
        <is>
          <t>M5</t>
        </is>
      </c>
      <c r="D3933" s="5" t="n">
        <v>56</v>
      </c>
      <c r="E3933" s="5" t="n">
        <v>268</v>
      </c>
      <c r="F3933" t="inlineStr">
        <is>
          <t>Продажа</t>
        </is>
      </c>
      <c r="H3933">
        <f>VLOOKUP(C3933,Магазин!$A$2:$C$1000,2,0)</f>
        <v/>
      </c>
      <c r="I3933">
        <f>VLOOKUP(D3933,Товар!$A$2:$F$1000,3,0)</f>
        <v/>
      </c>
      <c r="J3933">
        <f>VLOOKUP(D3933,Товар!$A$2:$F$1000,5,0)</f>
        <v/>
      </c>
      <c r="K3933">
        <f>IF(AND(H3933="Промышленный",LEFT(I3933,18)="Порошок стиральный",F3933="Продажа",B3933=DATE(2023,6,7)),E3933*J3933/1000,0)</f>
        <v/>
      </c>
    </row>
    <row r="3934">
      <c r="A3934" t="n">
        <v>3933</v>
      </c>
      <c r="B3934" s="1" t="n">
        <v>45091</v>
      </c>
      <c r="C3934" s="5" t="inlineStr">
        <is>
          <t>M5</t>
        </is>
      </c>
      <c r="D3934" s="5" t="n">
        <v>57</v>
      </c>
      <c r="E3934" s="5" t="n">
        <v>279</v>
      </c>
      <c r="F3934" t="inlineStr">
        <is>
          <t>Продажа</t>
        </is>
      </c>
      <c r="H3934">
        <f>VLOOKUP(C3934,Магазин!$A$2:$C$1000,2,0)</f>
        <v/>
      </c>
      <c r="I3934">
        <f>VLOOKUP(D3934,Товар!$A$2:$F$1000,3,0)</f>
        <v/>
      </c>
      <c r="J3934">
        <f>VLOOKUP(D3934,Товар!$A$2:$F$1000,5,0)</f>
        <v/>
      </c>
      <c r="K3934">
        <f>IF(AND(H3934="Промышленный",LEFT(I3934,18)="Порошок стиральный",F3934="Продажа",B3934=DATE(2023,6,7)),E3934*J3934/1000,0)</f>
        <v/>
      </c>
    </row>
    <row r="3935">
      <c r="A3935" t="n">
        <v>3934</v>
      </c>
      <c r="B3935" s="1" t="n">
        <v>45091</v>
      </c>
      <c r="C3935" s="5" t="inlineStr">
        <is>
          <t>M5</t>
        </is>
      </c>
      <c r="D3935" s="5" t="n">
        <v>58</v>
      </c>
      <c r="E3935" s="5" t="n">
        <v>281</v>
      </c>
      <c r="F3935" t="inlineStr">
        <is>
          <t>Продажа</t>
        </is>
      </c>
      <c r="H3935">
        <f>VLOOKUP(C3935,Магазин!$A$2:$C$1000,2,0)</f>
        <v/>
      </c>
      <c r="I3935">
        <f>VLOOKUP(D3935,Товар!$A$2:$F$1000,3,0)</f>
        <v/>
      </c>
      <c r="J3935">
        <f>VLOOKUP(D3935,Товар!$A$2:$F$1000,5,0)</f>
        <v/>
      </c>
      <c r="K3935">
        <f>IF(AND(H3935="Промышленный",LEFT(I3935,18)="Порошок стиральный",F3935="Продажа",B3935=DATE(2023,6,7)),E3935*J3935/1000,0)</f>
        <v/>
      </c>
    </row>
    <row r="3936">
      <c r="A3936" t="n">
        <v>3935</v>
      </c>
      <c r="B3936" s="1" t="n">
        <v>45091</v>
      </c>
      <c r="C3936" s="5" t="inlineStr">
        <is>
          <t>M5</t>
        </is>
      </c>
      <c r="D3936" s="5" t="n">
        <v>59</v>
      </c>
      <c r="E3936" s="5" t="n">
        <v>292</v>
      </c>
      <c r="F3936" t="inlineStr">
        <is>
          <t>Продажа</t>
        </is>
      </c>
      <c r="H3936">
        <f>VLOOKUP(C3936,Магазин!$A$2:$C$1000,2,0)</f>
        <v/>
      </c>
      <c r="I3936">
        <f>VLOOKUP(D3936,Товар!$A$2:$F$1000,3,0)</f>
        <v/>
      </c>
      <c r="J3936">
        <f>VLOOKUP(D3936,Товар!$A$2:$F$1000,5,0)</f>
        <v/>
      </c>
      <c r="K3936">
        <f>IF(AND(H3936="Промышленный",LEFT(I3936,18)="Порошок стиральный",F3936="Продажа",B3936=DATE(2023,6,7)),E3936*J3936/1000,0)</f>
        <v/>
      </c>
    </row>
    <row r="3937">
      <c r="A3937" t="n">
        <v>3936</v>
      </c>
      <c r="B3937" s="1" t="n">
        <v>45091</v>
      </c>
      <c r="C3937" s="5" t="inlineStr">
        <is>
          <t>M5</t>
        </is>
      </c>
      <c r="D3937" s="5" t="n">
        <v>60</v>
      </c>
      <c r="E3937" s="5" t="n">
        <v>203</v>
      </c>
      <c r="F3937" t="inlineStr">
        <is>
          <t>Продажа</t>
        </is>
      </c>
      <c r="H3937">
        <f>VLOOKUP(C3937,Магазин!$A$2:$C$1000,2,0)</f>
        <v/>
      </c>
      <c r="I3937">
        <f>VLOOKUP(D3937,Товар!$A$2:$F$1000,3,0)</f>
        <v/>
      </c>
      <c r="J3937">
        <f>VLOOKUP(D3937,Товар!$A$2:$F$1000,5,0)</f>
        <v/>
      </c>
      <c r="K3937">
        <f>IF(AND(H3937="Промышленный",LEFT(I3937,18)="Порошок стиральный",F3937="Продажа",B3937=DATE(2023,6,7)),E3937*J3937/1000,0)</f>
        <v/>
      </c>
    </row>
    <row r="3938">
      <c r="A3938" t="n">
        <v>3937</v>
      </c>
      <c r="B3938" s="1" t="n">
        <v>45091</v>
      </c>
      <c r="C3938" s="5" t="inlineStr">
        <is>
          <t>M6</t>
        </is>
      </c>
      <c r="D3938" s="5" t="n">
        <v>37</v>
      </c>
      <c r="E3938" s="5" t="n">
        <v>214</v>
      </c>
      <c r="F3938" t="inlineStr">
        <is>
          <t>Продажа</t>
        </is>
      </c>
      <c r="H3938">
        <f>VLOOKUP(C3938,Магазин!$A$2:$C$1000,2,0)</f>
        <v/>
      </c>
      <c r="I3938">
        <f>VLOOKUP(D3938,Товар!$A$2:$F$1000,3,0)</f>
        <v/>
      </c>
      <c r="J3938">
        <f>VLOOKUP(D3938,Товар!$A$2:$F$1000,5,0)</f>
        <v/>
      </c>
      <c r="K3938">
        <f>IF(AND(H3938="Промышленный",LEFT(I3938,18)="Порошок стиральный",F3938="Продажа",B3938=DATE(2023,6,7)),E3938*J3938/1000,0)</f>
        <v/>
      </c>
    </row>
    <row r="3939">
      <c r="A3939" t="n">
        <v>3938</v>
      </c>
      <c r="B3939" s="1" t="n">
        <v>45091</v>
      </c>
      <c r="C3939" s="5" t="inlineStr">
        <is>
          <t>M6</t>
        </is>
      </c>
      <c r="D3939" s="5" t="n">
        <v>38</v>
      </c>
      <c r="E3939" s="5" t="n">
        <v>225</v>
      </c>
      <c r="F3939" t="inlineStr">
        <is>
          <t>Продажа</t>
        </is>
      </c>
      <c r="H3939">
        <f>VLOOKUP(C3939,Магазин!$A$2:$C$1000,2,0)</f>
        <v/>
      </c>
      <c r="I3939">
        <f>VLOOKUP(D3939,Товар!$A$2:$F$1000,3,0)</f>
        <v/>
      </c>
      <c r="J3939">
        <f>VLOOKUP(D3939,Товар!$A$2:$F$1000,5,0)</f>
        <v/>
      </c>
      <c r="K3939">
        <f>IF(AND(H3939="Промышленный",LEFT(I3939,18)="Порошок стиральный",F3939="Продажа",B3939=DATE(2023,6,7)),E3939*J3939/1000,0)</f>
        <v/>
      </c>
    </row>
    <row r="3940">
      <c r="A3940" t="n">
        <v>3939</v>
      </c>
      <c r="B3940" s="1" t="n">
        <v>45091</v>
      </c>
      <c r="C3940" s="5" t="inlineStr">
        <is>
          <t>M6</t>
        </is>
      </c>
      <c r="D3940" s="5" t="n">
        <v>39</v>
      </c>
      <c r="E3940" s="5" t="n">
        <v>236</v>
      </c>
      <c r="F3940" t="inlineStr">
        <is>
          <t>Продажа</t>
        </is>
      </c>
      <c r="H3940">
        <f>VLOOKUP(C3940,Магазин!$A$2:$C$1000,2,0)</f>
        <v/>
      </c>
      <c r="I3940">
        <f>VLOOKUP(D3940,Товар!$A$2:$F$1000,3,0)</f>
        <v/>
      </c>
      <c r="J3940">
        <f>VLOOKUP(D3940,Товар!$A$2:$F$1000,5,0)</f>
        <v/>
      </c>
      <c r="K3940">
        <f>IF(AND(H3940="Промышленный",LEFT(I3940,18)="Порошок стиральный",F3940="Продажа",B3940=DATE(2023,6,7)),E3940*J3940/1000,0)</f>
        <v/>
      </c>
    </row>
    <row r="3941">
      <c r="A3941" t="n">
        <v>3940</v>
      </c>
      <c r="B3941" s="1" t="n">
        <v>45091</v>
      </c>
      <c r="C3941" s="5" t="inlineStr">
        <is>
          <t>M6</t>
        </is>
      </c>
      <c r="D3941" s="5" t="n">
        <v>40</v>
      </c>
      <c r="E3941" s="5" t="n">
        <v>247</v>
      </c>
      <c r="F3941" t="inlineStr">
        <is>
          <t>Продажа</t>
        </is>
      </c>
      <c r="H3941">
        <f>VLOOKUP(C3941,Магазин!$A$2:$C$1000,2,0)</f>
        <v/>
      </c>
      <c r="I3941">
        <f>VLOOKUP(D3941,Товар!$A$2:$F$1000,3,0)</f>
        <v/>
      </c>
      <c r="J3941">
        <f>VLOOKUP(D3941,Товар!$A$2:$F$1000,5,0)</f>
        <v/>
      </c>
      <c r="K3941">
        <f>IF(AND(H3941="Промышленный",LEFT(I3941,18)="Порошок стиральный",F3941="Продажа",B3941=DATE(2023,6,7)),E3941*J3941/1000,0)</f>
        <v/>
      </c>
    </row>
    <row r="3942">
      <c r="A3942" t="n">
        <v>3941</v>
      </c>
      <c r="B3942" s="1" t="n">
        <v>45091</v>
      </c>
      <c r="C3942" s="5" t="inlineStr">
        <is>
          <t>M6</t>
        </is>
      </c>
      <c r="D3942" s="5" t="n">
        <v>41</v>
      </c>
      <c r="E3942" s="5" t="n">
        <v>258</v>
      </c>
      <c r="F3942" t="inlineStr">
        <is>
          <t>Продажа</t>
        </is>
      </c>
      <c r="H3942">
        <f>VLOOKUP(C3942,Магазин!$A$2:$C$1000,2,0)</f>
        <v/>
      </c>
      <c r="I3942">
        <f>VLOOKUP(D3942,Товар!$A$2:$F$1000,3,0)</f>
        <v/>
      </c>
      <c r="J3942">
        <f>VLOOKUP(D3942,Товар!$A$2:$F$1000,5,0)</f>
        <v/>
      </c>
      <c r="K3942">
        <f>IF(AND(H3942="Промышленный",LEFT(I3942,18)="Порошок стиральный",F3942="Продажа",B3942=DATE(2023,6,7)),E3942*J3942/1000,0)</f>
        <v/>
      </c>
    </row>
    <row r="3943">
      <c r="A3943" t="n">
        <v>3942</v>
      </c>
      <c r="B3943" s="1" t="n">
        <v>45091</v>
      </c>
      <c r="C3943" s="5" t="inlineStr">
        <is>
          <t>M6</t>
        </is>
      </c>
      <c r="D3943" s="5" t="n">
        <v>42</v>
      </c>
      <c r="E3943" s="5" t="n">
        <v>256</v>
      </c>
      <c r="F3943" t="inlineStr">
        <is>
          <t>Продажа</t>
        </is>
      </c>
      <c r="H3943">
        <f>VLOOKUP(C3943,Магазин!$A$2:$C$1000,2,0)</f>
        <v/>
      </c>
      <c r="I3943">
        <f>VLOOKUP(D3943,Товар!$A$2:$F$1000,3,0)</f>
        <v/>
      </c>
      <c r="J3943">
        <f>VLOOKUP(D3943,Товар!$A$2:$F$1000,5,0)</f>
        <v/>
      </c>
      <c r="K3943">
        <f>IF(AND(H3943="Промышленный",LEFT(I3943,18)="Порошок стиральный",F3943="Продажа",B3943=DATE(2023,6,7)),E3943*J3943/1000,0)</f>
        <v/>
      </c>
    </row>
    <row r="3944">
      <c r="A3944" t="n">
        <v>3943</v>
      </c>
      <c r="B3944" s="1" t="n">
        <v>45091</v>
      </c>
      <c r="C3944" s="5" t="inlineStr">
        <is>
          <t>M6</t>
        </is>
      </c>
      <c r="D3944" s="5" t="n">
        <v>43</v>
      </c>
      <c r="E3944" s="5" t="n">
        <v>269</v>
      </c>
      <c r="F3944" t="inlineStr">
        <is>
          <t>Продажа</t>
        </is>
      </c>
      <c r="H3944">
        <f>VLOOKUP(C3944,Магазин!$A$2:$C$1000,2,0)</f>
        <v/>
      </c>
      <c r="I3944">
        <f>VLOOKUP(D3944,Товар!$A$2:$F$1000,3,0)</f>
        <v/>
      </c>
      <c r="J3944">
        <f>VLOOKUP(D3944,Товар!$A$2:$F$1000,5,0)</f>
        <v/>
      </c>
      <c r="K3944">
        <f>IF(AND(H3944="Промышленный",LEFT(I3944,18)="Порошок стиральный",F3944="Продажа",B3944=DATE(2023,6,7)),E3944*J3944/1000,0)</f>
        <v/>
      </c>
    </row>
    <row r="3945">
      <c r="A3945" t="n">
        <v>3944</v>
      </c>
      <c r="B3945" s="1" t="n">
        <v>45091</v>
      </c>
      <c r="C3945" s="5" t="inlineStr">
        <is>
          <t>M6</t>
        </is>
      </c>
      <c r="D3945" s="5" t="n">
        <v>44</v>
      </c>
      <c r="E3945" s="5" t="n">
        <v>204</v>
      </c>
      <c r="F3945" t="inlineStr">
        <is>
          <t>Продажа</t>
        </is>
      </c>
      <c r="H3945">
        <f>VLOOKUP(C3945,Магазин!$A$2:$C$1000,2,0)</f>
        <v/>
      </c>
      <c r="I3945">
        <f>VLOOKUP(D3945,Товар!$A$2:$F$1000,3,0)</f>
        <v/>
      </c>
      <c r="J3945">
        <f>VLOOKUP(D3945,Товар!$A$2:$F$1000,5,0)</f>
        <v/>
      </c>
      <c r="K3945">
        <f>IF(AND(H3945="Промышленный",LEFT(I3945,18)="Порошок стиральный",F3945="Продажа",B3945=DATE(2023,6,7)),E3945*J3945/1000,0)</f>
        <v/>
      </c>
    </row>
    <row r="3946">
      <c r="A3946" t="n">
        <v>3945</v>
      </c>
      <c r="B3946" s="1" t="n">
        <v>45091</v>
      </c>
      <c r="C3946" s="5" t="inlineStr">
        <is>
          <t>M6</t>
        </is>
      </c>
      <c r="D3946" s="5" t="n">
        <v>45</v>
      </c>
      <c r="E3946" s="5" t="n">
        <v>206</v>
      </c>
      <c r="F3946" t="inlineStr">
        <is>
          <t>Продажа</t>
        </is>
      </c>
      <c r="H3946">
        <f>VLOOKUP(C3946,Магазин!$A$2:$C$1000,2,0)</f>
        <v/>
      </c>
      <c r="I3946">
        <f>VLOOKUP(D3946,Товар!$A$2:$F$1000,3,0)</f>
        <v/>
      </c>
      <c r="J3946">
        <f>VLOOKUP(D3946,Товар!$A$2:$F$1000,5,0)</f>
        <v/>
      </c>
      <c r="K3946">
        <f>IF(AND(H3946="Промышленный",LEFT(I3946,18)="Порошок стиральный",F3946="Продажа",B3946=DATE(2023,6,7)),E3946*J3946/1000,0)</f>
        <v/>
      </c>
    </row>
    <row r="3947">
      <c r="A3947" t="n">
        <v>3946</v>
      </c>
      <c r="B3947" s="1" t="n">
        <v>45091</v>
      </c>
      <c r="C3947" s="5" t="inlineStr">
        <is>
          <t>M6</t>
        </is>
      </c>
      <c r="D3947" s="5" t="n">
        <v>46</v>
      </c>
      <c r="E3947" s="5" t="n">
        <v>208</v>
      </c>
      <c r="F3947" t="inlineStr">
        <is>
          <t>Продажа</t>
        </is>
      </c>
      <c r="H3947">
        <f>VLOOKUP(C3947,Магазин!$A$2:$C$1000,2,0)</f>
        <v/>
      </c>
      <c r="I3947">
        <f>VLOOKUP(D3947,Товар!$A$2:$F$1000,3,0)</f>
        <v/>
      </c>
      <c r="J3947">
        <f>VLOOKUP(D3947,Товар!$A$2:$F$1000,5,0)</f>
        <v/>
      </c>
      <c r="K3947">
        <f>IF(AND(H3947="Промышленный",LEFT(I3947,18)="Порошок стиральный",F3947="Продажа",B3947=DATE(2023,6,7)),E3947*J3947/1000,0)</f>
        <v/>
      </c>
    </row>
    <row r="3948">
      <c r="A3948" t="n">
        <v>3947</v>
      </c>
      <c r="B3948" s="1" t="n">
        <v>45091</v>
      </c>
      <c r="C3948" s="5" t="inlineStr">
        <is>
          <t>M6</t>
        </is>
      </c>
      <c r="D3948" s="5" t="n">
        <v>47</v>
      </c>
      <c r="E3948" s="5" t="n">
        <v>209</v>
      </c>
      <c r="F3948" t="inlineStr">
        <is>
          <t>Продажа</t>
        </is>
      </c>
      <c r="H3948">
        <f>VLOOKUP(C3948,Магазин!$A$2:$C$1000,2,0)</f>
        <v/>
      </c>
      <c r="I3948">
        <f>VLOOKUP(D3948,Товар!$A$2:$F$1000,3,0)</f>
        <v/>
      </c>
      <c r="J3948">
        <f>VLOOKUP(D3948,Товар!$A$2:$F$1000,5,0)</f>
        <v/>
      </c>
      <c r="K3948">
        <f>IF(AND(H3948="Промышленный",LEFT(I3948,18)="Порошок стиральный",F3948="Продажа",B3948=DATE(2023,6,7)),E3948*J3948/1000,0)</f>
        <v/>
      </c>
    </row>
    <row r="3949">
      <c r="A3949" t="n">
        <v>3948</v>
      </c>
      <c r="B3949" s="1" t="n">
        <v>45091</v>
      </c>
      <c r="C3949" s="5" t="inlineStr">
        <is>
          <t>M6</t>
        </is>
      </c>
      <c r="D3949" s="5" t="n">
        <v>48</v>
      </c>
      <c r="E3949" s="5" t="n">
        <v>299</v>
      </c>
      <c r="F3949" t="inlineStr">
        <is>
          <t>Продажа</t>
        </is>
      </c>
      <c r="H3949">
        <f>VLOOKUP(C3949,Магазин!$A$2:$C$1000,2,0)</f>
        <v/>
      </c>
      <c r="I3949">
        <f>VLOOKUP(D3949,Товар!$A$2:$F$1000,3,0)</f>
        <v/>
      </c>
      <c r="J3949">
        <f>VLOOKUP(D3949,Товар!$A$2:$F$1000,5,0)</f>
        <v/>
      </c>
      <c r="K3949">
        <f>IF(AND(H3949="Промышленный",LEFT(I3949,18)="Порошок стиральный",F3949="Продажа",B3949=DATE(2023,6,7)),E3949*J3949/1000,0)</f>
        <v/>
      </c>
    </row>
    <row r="3950">
      <c r="A3950" t="n">
        <v>3949</v>
      </c>
      <c r="B3950" s="1" t="n">
        <v>45091</v>
      </c>
      <c r="C3950" s="5" t="inlineStr">
        <is>
          <t>M6</t>
        </is>
      </c>
      <c r="D3950" s="5" t="n">
        <v>49</v>
      </c>
      <c r="E3950" s="5" t="n">
        <v>275</v>
      </c>
      <c r="F3950" t="inlineStr">
        <is>
          <t>Продажа</t>
        </is>
      </c>
      <c r="H3950">
        <f>VLOOKUP(C3950,Магазин!$A$2:$C$1000,2,0)</f>
        <v/>
      </c>
      <c r="I3950">
        <f>VLOOKUP(D3950,Товар!$A$2:$F$1000,3,0)</f>
        <v/>
      </c>
      <c r="J3950">
        <f>VLOOKUP(D3950,Товар!$A$2:$F$1000,5,0)</f>
        <v/>
      </c>
      <c r="K3950">
        <f>IF(AND(H3950="Промышленный",LEFT(I3950,18)="Порошок стиральный",F3950="Продажа",B3950=DATE(2023,6,7)),E3950*J3950/1000,0)</f>
        <v/>
      </c>
    </row>
    <row r="3951">
      <c r="A3951" t="n">
        <v>3950</v>
      </c>
      <c r="B3951" s="1" t="n">
        <v>45091</v>
      </c>
      <c r="C3951" s="5" t="inlineStr">
        <is>
          <t>M6</t>
        </is>
      </c>
      <c r="D3951" s="5" t="n">
        <v>50</v>
      </c>
      <c r="E3951" s="5" t="n">
        <v>234</v>
      </c>
      <c r="F3951" t="inlineStr">
        <is>
          <t>Продажа</t>
        </is>
      </c>
      <c r="H3951">
        <f>VLOOKUP(C3951,Магазин!$A$2:$C$1000,2,0)</f>
        <v/>
      </c>
      <c r="I3951">
        <f>VLOOKUP(D3951,Товар!$A$2:$F$1000,3,0)</f>
        <v/>
      </c>
      <c r="J3951">
        <f>VLOOKUP(D3951,Товар!$A$2:$F$1000,5,0)</f>
        <v/>
      </c>
      <c r="K3951">
        <f>IF(AND(H3951="Промышленный",LEFT(I3951,18)="Порошок стиральный",F3951="Продажа",B3951=DATE(2023,6,7)),E3951*J3951/1000,0)</f>
        <v/>
      </c>
    </row>
    <row r="3952">
      <c r="A3952" t="n">
        <v>3951</v>
      </c>
      <c r="B3952" s="1" t="n">
        <v>45091</v>
      </c>
      <c r="C3952" s="5" t="inlineStr">
        <is>
          <t>M6</t>
        </is>
      </c>
      <c r="D3952" s="5" t="n">
        <v>51</v>
      </c>
      <c r="E3952" s="5" t="n">
        <v>228</v>
      </c>
      <c r="F3952" t="inlineStr">
        <is>
          <t>Продажа</t>
        </is>
      </c>
      <c r="H3952">
        <f>VLOOKUP(C3952,Магазин!$A$2:$C$1000,2,0)</f>
        <v/>
      </c>
      <c r="I3952">
        <f>VLOOKUP(D3952,Товар!$A$2:$F$1000,3,0)</f>
        <v/>
      </c>
      <c r="J3952">
        <f>VLOOKUP(D3952,Товар!$A$2:$F$1000,5,0)</f>
        <v/>
      </c>
      <c r="K3952">
        <f>IF(AND(H3952="Промышленный",LEFT(I3952,18)="Порошок стиральный",F3952="Продажа",B3952=DATE(2023,6,7)),E3952*J3952/1000,0)</f>
        <v/>
      </c>
    </row>
    <row r="3953">
      <c r="A3953" t="n">
        <v>3952</v>
      </c>
      <c r="B3953" s="1" t="n">
        <v>45091</v>
      </c>
      <c r="C3953" s="5" t="inlineStr">
        <is>
          <t>M6</t>
        </is>
      </c>
      <c r="D3953" s="5" t="n">
        <v>52</v>
      </c>
      <c r="E3953" s="5" t="n">
        <v>217</v>
      </c>
      <c r="F3953" t="inlineStr">
        <is>
          <t>Продажа</t>
        </is>
      </c>
      <c r="H3953">
        <f>VLOOKUP(C3953,Магазин!$A$2:$C$1000,2,0)</f>
        <v/>
      </c>
      <c r="I3953">
        <f>VLOOKUP(D3953,Товар!$A$2:$F$1000,3,0)</f>
        <v/>
      </c>
      <c r="J3953">
        <f>VLOOKUP(D3953,Товар!$A$2:$F$1000,5,0)</f>
        <v/>
      </c>
      <c r="K3953">
        <f>IF(AND(H3953="Промышленный",LEFT(I3953,18)="Порошок стиральный",F3953="Продажа",B3953=DATE(2023,6,7)),E3953*J3953/1000,0)</f>
        <v/>
      </c>
    </row>
    <row r="3954">
      <c r="A3954" t="n">
        <v>3953</v>
      </c>
      <c r="B3954" s="1" t="n">
        <v>45091</v>
      </c>
      <c r="C3954" s="5" t="inlineStr">
        <is>
          <t>M6</t>
        </is>
      </c>
      <c r="D3954" s="5" t="n">
        <v>53</v>
      </c>
      <c r="E3954" s="5" t="n">
        <v>258</v>
      </c>
      <c r="F3954" t="inlineStr">
        <is>
          <t>Продажа</t>
        </is>
      </c>
      <c r="H3954">
        <f>VLOOKUP(C3954,Магазин!$A$2:$C$1000,2,0)</f>
        <v/>
      </c>
      <c r="I3954">
        <f>VLOOKUP(D3954,Товар!$A$2:$F$1000,3,0)</f>
        <v/>
      </c>
      <c r="J3954">
        <f>VLOOKUP(D3954,Товар!$A$2:$F$1000,5,0)</f>
        <v/>
      </c>
      <c r="K3954">
        <f>IF(AND(H3954="Промышленный",LEFT(I3954,18)="Порошок стиральный",F3954="Продажа",B3954=DATE(2023,6,7)),E3954*J3954/1000,0)</f>
        <v/>
      </c>
    </row>
    <row r="3955">
      <c r="A3955" t="n">
        <v>3954</v>
      </c>
      <c r="B3955" s="1" t="n">
        <v>45091</v>
      </c>
      <c r="C3955" s="5" t="inlineStr">
        <is>
          <t>M6</t>
        </is>
      </c>
      <c r="D3955" s="5" t="n">
        <v>54</v>
      </c>
      <c r="E3955" s="5" t="n">
        <v>199</v>
      </c>
      <c r="F3955" t="inlineStr">
        <is>
          <t>Продажа</t>
        </is>
      </c>
      <c r="H3955">
        <f>VLOOKUP(C3955,Магазин!$A$2:$C$1000,2,0)</f>
        <v/>
      </c>
      <c r="I3955">
        <f>VLOOKUP(D3955,Товар!$A$2:$F$1000,3,0)</f>
        <v/>
      </c>
      <c r="J3955">
        <f>VLOOKUP(D3955,Товар!$A$2:$F$1000,5,0)</f>
        <v/>
      </c>
      <c r="K3955">
        <f>IF(AND(H3955="Промышленный",LEFT(I3955,18)="Порошок стиральный",F3955="Продажа",B3955=DATE(2023,6,7)),E3955*J3955/1000,0)</f>
        <v/>
      </c>
    </row>
    <row r="3956">
      <c r="A3956" t="n">
        <v>3955</v>
      </c>
      <c r="B3956" s="1" t="n">
        <v>45091</v>
      </c>
      <c r="C3956" s="5" t="inlineStr">
        <is>
          <t>M6</t>
        </is>
      </c>
      <c r="D3956" s="5" t="n">
        <v>55</v>
      </c>
      <c r="E3956" s="5" t="n">
        <v>248</v>
      </c>
      <c r="F3956" t="inlineStr">
        <is>
          <t>Продажа</t>
        </is>
      </c>
      <c r="H3956">
        <f>VLOOKUP(C3956,Магазин!$A$2:$C$1000,2,0)</f>
        <v/>
      </c>
      <c r="I3956">
        <f>VLOOKUP(D3956,Товар!$A$2:$F$1000,3,0)</f>
        <v/>
      </c>
      <c r="J3956">
        <f>VLOOKUP(D3956,Товар!$A$2:$F$1000,5,0)</f>
        <v/>
      </c>
      <c r="K3956">
        <f>IF(AND(H3956="Промышленный",LEFT(I3956,18)="Порошок стиральный",F3956="Продажа",B3956=DATE(2023,6,7)),E3956*J3956/1000,0)</f>
        <v/>
      </c>
    </row>
    <row r="3957">
      <c r="A3957" t="n">
        <v>3956</v>
      </c>
      <c r="B3957" s="1" t="n">
        <v>45091</v>
      </c>
      <c r="C3957" s="5" t="inlineStr">
        <is>
          <t>M6</t>
        </is>
      </c>
      <c r="D3957" s="5" t="n">
        <v>56</v>
      </c>
      <c r="E3957" s="5" t="n">
        <v>236</v>
      </c>
      <c r="F3957" t="inlineStr">
        <is>
          <t>Продажа</t>
        </is>
      </c>
      <c r="H3957">
        <f>VLOOKUP(C3957,Магазин!$A$2:$C$1000,2,0)</f>
        <v/>
      </c>
      <c r="I3957">
        <f>VLOOKUP(D3957,Товар!$A$2:$F$1000,3,0)</f>
        <v/>
      </c>
      <c r="J3957">
        <f>VLOOKUP(D3957,Товар!$A$2:$F$1000,5,0)</f>
        <v/>
      </c>
      <c r="K3957">
        <f>IF(AND(H3957="Промышленный",LEFT(I3957,18)="Порошок стиральный",F3957="Продажа",B3957=DATE(2023,6,7)),E3957*J3957/1000,0)</f>
        <v/>
      </c>
    </row>
    <row r="3958">
      <c r="A3958" t="n">
        <v>3957</v>
      </c>
      <c r="B3958" s="1" t="n">
        <v>45091</v>
      </c>
      <c r="C3958" s="5" t="inlineStr">
        <is>
          <t>M6</t>
        </is>
      </c>
      <c r="D3958" s="5" t="n">
        <v>57</v>
      </c>
      <c r="E3958" s="5" t="n">
        <v>287</v>
      </c>
      <c r="F3958" t="inlineStr">
        <is>
          <t>Продажа</t>
        </is>
      </c>
      <c r="H3958">
        <f>VLOOKUP(C3958,Магазин!$A$2:$C$1000,2,0)</f>
        <v/>
      </c>
      <c r="I3958">
        <f>VLOOKUP(D3958,Товар!$A$2:$F$1000,3,0)</f>
        <v/>
      </c>
      <c r="J3958">
        <f>VLOOKUP(D3958,Товар!$A$2:$F$1000,5,0)</f>
        <v/>
      </c>
      <c r="K3958">
        <f>IF(AND(H3958="Промышленный",LEFT(I3958,18)="Порошок стиральный",F3958="Продажа",B3958=DATE(2023,6,7)),E3958*J3958/1000,0)</f>
        <v/>
      </c>
    </row>
    <row r="3959">
      <c r="A3959" t="n">
        <v>3958</v>
      </c>
      <c r="B3959" s="1" t="n">
        <v>45091</v>
      </c>
      <c r="C3959" s="5" t="inlineStr">
        <is>
          <t>M6</t>
        </is>
      </c>
      <c r="D3959" s="5" t="n">
        <v>58</v>
      </c>
      <c r="E3959" s="5" t="n">
        <v>265</v>
      </c>
      <c r="F3959" t="inlineStr">
        <is>
          <t>Продажа</t>
        </is>
      </c>
      <c r="H3959">
        <f>VLOOKUP(C3959,Магазин!$A$2:$C$1000,2,0)</f>
        <v/>
      </c>
      <c r="I3959">
        <f>VLOOKUP(D3959,Товар!$A$2:$F$1000,3,0)</f>
        <v/>
      </c>
      <c r="J3959">
        <f>VLOOKUP(D3959,Товар!$A$2:$F$1000,5,0)</f>
        <v/>
      </c>
      <c r="K3959">
        <f>IF(AND(H3959="Промышленный",LEFT(I3959,18)="Порошок стиральный",F3959="Продажа",B3959=DATE(2023,6,7)),E3959*J3959/1000,0)</f>
        <v/>
      </c>
    </row>
    <row r="3960">
      <c r="A3960" t="n">
        <v>3959</v>
      </c>
      <c r="B3960" s="1" t="n">
        <v>45091</v>
      </c>
      <c r="C3960" s="5" t="inlineStr">
        <is>
          <t>M6</t>
        </is>
      </c>
      <c r="D3960" s="5" t="n">
        <v>59</v>
      </c>
      <c r="E3960" s="5" t="n">
        <v>234</v>
      </c>
      <c r="F3960" t="inlineStr">
        <is>
          <t>Продажа</t>
        </is>
      </c>
      <c r="H3960">
        <f>VLOOKUP(C3960,Магазин!$A$2:$C$1000,2,0)</f>
        <v/>
      </c>
      <c r="I3960">
        <f>VLOOKUP(D3960,Товар!$A$2:$F$1000,3,0)</f>
        <v/>
      </c>
      <c r="J3960">
        <f>VLOOKUP(D3960,Товар!$A$2:$F$1000,5,0)</f>
        <v/>
      </c>
      <c r="K3960">
        <f>IF(AND(H3960="Промышленный",LEFT(I3960,18)="Порошок стиральный",F3960="Продажа",B3960=DATE(2023,6,7)),E3960*J3960/1000,0)</f>
        <v/>
      </c>
    </row>
    <row r="3961">
      <c r="A3961" t="n">
        <v>3960</v>
      </c>
      <c r="B3961" s="1" t="n">
        <v>45091</v>
      </c>
      <c r="C3961" s="5" t="inlineStr">
        <is>
          <t>M6</t>
        </is>
      </c>
      <c r="D3961" s="5" t="n">
        <v>60</v>
      </c>
      <c r="E3961" s="5" t="n">
        <v>258</v>
      </c>
      <c r="F3961" t="inlineStr">
        <is>
          <t>Продажа</t>
        </is>
      </c>
      <c r="H3961">
        <f>VLOOKUP(C3961,Магазин!$A$2:$C$1000,2,0)</f>
        <v/>
      </c>
      <c r="I3961">
        <f>VLOOKUP(D3961,Товар!$A$2:$F$1000,3,0)</f>
        <v/>
      </c>
      <c r="J3961">
        <f>VLOOKUP(D3961,Товар!$A$2:$F$1000,5,0)</f>
        <v/>
      </c>
      <c r="K3961">
        <f>IF(AND(H3961="Промышленный",LEFT(I3961,18)="Порошок стиральный",F3961="Продажа",B3961=DATE(2023,6,7)),E3961*J3961/1000,0)</f>
        <v/>
      </c>
    </row>
    <row r="3962">
      <c r="A3962" t="n">
        <v>3961</v>
      </c>
      <c r="B3962" s="1" t="n">
        <v>45091</v>
      </c>
      <c r="C3962" s="5" t="inlineStr">
        <is>
          <t>M10</t>
        </is>
      </c>
      <c r="D3962" s="5" t="n">
        <v>37</v>
      </c>
      <c r="E3962" s="5" t="n">
        <v>264</v>
      </c>
      <c r="F3962" t="inlineStr">
        <is>
          <t>Продажа</t>
        </is>
      </c>
      <c r="H3962">
        <f>VLOOKUP(C3962,Магазин!$A$2:$C$1000,2,0)</f>
        <v/>
      </c>
      <c r="I3962">
        <f>VLOOKUP(D3962,Товар!$A$2:$F$1000,3,0)</f>
        <v/>
      </c>
      <c r="J3962">
        <f>VLOOKUP(D3962,Товар!$A$2:$F$1000,5,0)</f>
        <v/>
      </c>
      <c r="K3962">
        <f>IF(AND(H3962="Промышленный",LEFT(I3962,18)="Порошок стиральный",F3962="Продажа",B3962=DATE(2023,6,7)),E3962*J3962/1000,0)</f>
        <v/>
      </c>
    </row>
    <row r="3963">
      <c r="A3963" t="n">
        <v>3962</v>
      </c>
      <c r="B3963" s="1" t="n">
        <v>45091</v>
      </c>
      <c r="C3963" s="5" t="inlineStr">
        <is>
          <t>M10</t>
        </is>
      </c>
      <c r="D3963" s="5" t="n">
        <v>38</v>
      </c>
      <c r="E3963" s="5" t="n">
        <v>237</v>
      </c>
      <c r="F3963" t="inlineStr">
        <is>
          <t>Продажа</t>
        </is>
      </c>
      <c r="H3963">
        <f>VLOOKUP(C3963,Магазин!$A$2:$C$1000,2,0)</f>
        <v/>
      </c>
      <c r="I3963">
        <f>VLOOKUP(D3963,Товар!$A$2:$F$1000,3,0)</f>
        <v/>
      </c>
      <c r="J3963">
        <f>VLOOKUP(D3963,Товар!$A$2:$F$1000,5,0)</f>
        <v/>
      </c>
      <c r="K3963">
        <f>IF(AND(H3963="Промышленный",LEFT(I3963,18)="Порошок стиральный",F3963="Продажа",B3963=DATE(2023,6,7)),E3963*J3963/1000,0)</f>
        <v/>
      </c>
    </row>
    <row r="3964">
      <c r="A3964" t="n">
        <v>3963</v>
      </c>
      <c r="B3964" s="1" t="n">
        <v>45091</v>
      </c>
      <c r="C3964" s="5" t="inlineStr">
        <is>
          <t>M10</t>
        </is>
      </c>
      <c r="D3964" s="5" t="n">
        <v>39</v>
      </c>
      <c r="E3964" s="5" t="n">
        <v>218</v>
      </c>
      <c r="F3964" t="inlineStr">
        <is>
          <t>Продажа</t>
        </is>
      </c>
      <c r="H3964">
        <f>VLOOKUP(C3964,Магазин!$A$2:$C$1000,2,0)</f>
        <v/>
      </c>
      <c r="I3964">
        <f>VLOOKUP(D3964,Товар!$A$2:$F$1000,3,0)</f>
        <v/>
      </c>
      <c r="J3964">
        <f>VLOOKUP(D3964,Товар!$A$2:$F$1000,5,0)</f>
        <v/>
      </c>
      <c r="K3964">
        <f>IF(AND(H3964="Промышленный",LEFT(I3964,18)="Порошок стиральный",F3964="Продажа",B3964=DATE(2023,6,7)),E3964*J3964/1000,0)</f>
        <v/>
      </c>
    </row>
    <row r="3965">
      <c r="A3965" t="n">
        <v>3964</v>
      </c>
      <c r="B3965" s="1" t="n">
        <v>45091</v>
      </c>
      <c r="C3965" s="5" t="inlineStr">
        <is>
          <t>M10</t>
        </is>
      </c>
      <c r="D3965" s="5" t="n">
        <v>40</v>
      </c>
      <c r="E3965" s="5" t="n">
        <v>249</v>
      </c>
      <c r="F3965" t="inlineStr">
        <is>
          <t>Продажа</t>
        </is>
      </c>
      <c r="H3965">
        <f>VLOOKUP(C3965,Магазин!$A$2:$C$1000,2,0)</f>
        <v/>
      </c>
      <c r="I3965">
        <f>VLOOKUP(D3965,Товар!$A$2:$F$1000,3,0)</f>
        <v/>
      </c>
      <c r="J3965">
        <f>VLOOKUP(D3965,Товар!$A$2:$F$1000,5,0)</f>
        <v/>
      </c>
      <c r="K3965">
        <f>IF(AND(H3965="Промышленный",LEFT(I3965,18)="Порошок стиральный",F3965="Продажа",B3965=DATE(2023,6,7)),E3965*J3965/1000,0)</f>
        <v/>
      </c>
    </row>
    <row r="3966">
      <c r="A3966" t="n">
        <v>3965</v>
      </c>
      <c r="B3966" s="1" t="n">
        <v>45091</v>
      </c>
      <c r="C3966" s="5" t="inlineStr">
        <is>
          <t>M10</t>
        </is>
      </c>
      <c r="D3966" s="5" t="n">
        <v>41</v>
      </c>
      <c r="E3966" s="5" t="n">
        <v>273</v>
      </c>
      <c r="F3966" t="inlineStr">
        <is>
          <t>Продажа</t>
        </is>
      </c>
      <c r="H3966">
        <f>VLOOKUP(C3966,Магазин!$A$2:$C$1000,2,0)</f>
        <v/>
      </c>
      <c r="I3966">
        <f>VLOOKUP(D3966,Товар!$A$2:$F$1000,3,0)</f>
        <v/>
      </c>
      <c r="J3966">
        <f>VLOOKUP(D3966,Товар!$A$2:$F$1000,5,0)</f>
        <v/>
      </c>
      <c r="K3966">
        <f>IF(AND(H3966="Промышленный",LEFT(I3966,18)="Порошок стиральный",F3966="Продажа",B3966=DATE(2023,6,7)),E3966*J3966/1000,0)</f>
        <v/>
      </c>
    </row>
    <row r="3967">
      <c r="A3967" t="n">
        <v>3966</v>
      </c>
      <c r="B3967" s="1" t="n">
        <v>45091</v>
      </c>
      <c r="C3967" s="5" t="inlineStr">
        <is>
          <t>M10</t>
        </is>
      </c>
      <c r="D3967" s="5" t="n">
        <v>42</v>
      </c>
      <c r="E3967" s="5" t="n">
        <v>284</v>
      </c>
      <c r="F3967" t="inlineStr">
        <is>
          <t>Продажа</t>
        </is>
      </c>
      <c r="H3967">
        <f>VLOOKUP(C3967,Магазин!$A$2:$C$1000,2,0)</f>
        <v/>
      </c>
      <c r="I3967">
        <f>VLOOKUP(D3967,Товар!$A$2:$F$1000,3,0)</f>
        <v/>
      </c>
      <c r="J3967">
        <f>VLOOKUP(D3967,Товар!$A$2:$F$1000,5,0)</f>
        <v/>
      </c>
      <c r="K3967">
        <f>IF(AND(H3967="Промышленный",LEFT(I3967,18)="Порошок стиральный",F3967="Продажа",B3967=DATE(2023,6,7)),E3967*J3967/1000,0)</f>
        <v/>
      </c>
    </row>
    <row r="3968">
      <c r="A3968" t="n">
        <v>3967</v>
      </c>
      <c r="B3968" s="1" t="n">
        <v>45091</v>
      </c>
      <c r="C3968" s="5" t="inlineStr">
        <is>
          <t>M10</t>
        </is>
      </c>
      <c r="D3968" s="5" t="n">
        <v>43</v>
      </c>
      <c r="E3968" s="5" t="n">
        <v>253</v>
      </c>
      <c r="F3968" t="inlineStr">
        <is>
          <t>Продажа</t>
        </is>
      </c>
      <c r="H3968">
        <f>VLOOKUP(C3968,Магазин!$A$2:$C$1000,2,0)</f>
        <v/>
      </c>
      <c r="I3968">
        <f>VLOOKUP(D3968,Товар!$A$2:$F$1000,3,0)</f>
        <v/>
      </c>
      <c r="J3968">
        <f>VLOOKUP(D3968,Товар!$A$2:$F$1000,5,0)</f>
        <v/>
      </c>
      <c r="K3968">
        <f>IF(AND(H3968="Промышленный",LEFT(I3968,18)="Порошок стиральный",F3968="Продажа",B3968=DATE(2023,6,7)),E3968*J3968/1000,0)</f>
        <v/>
      </c>
    </row>
    <row r="3969">
      <c r="A3969" t="n">
        <v>3968</v>
      </c>
      <c r="B3969" s="1" t="n">
        <v>45091</v>
      </c>
      <c r="C3969" s="5" t="inlineStr">
        <is>
          <t>M10</t>
        </is>
      </c>
      <c r="D3969" s="5" t="n">
        <v>44</v>
      </c>
      <c r="E3969" s="5" t="n">
        <v>261</v>
      </c>
      <c r="F3969" t="inlineStr">
        <is>
          <t>Продажа</t>
        </is>
      </c>
      <c r="H3969">
        <f>VLOOKUP(C3969,Магазин!$A$2:$C$1000,2,0)</f>
        <v/>
      </c>
      <c r="I3969">
        <f>VLOOKUP(D3969,Товар!$A$2:$F$1000,3,0)</f>
        <v/>
      </c>
      <c r="J3969">
        <f>VLOOKUP(D3969,Товар!$A$2:$F$1000,5,0)</f>
        <v/>
      </c>
      <c r="K3969">
        <f>IF(AND(H3969="Промышленный",LEFT(I3969,18)="Порошок стиральный",F3969="Продажа",B3969=DATE(2023,6,7)),E3969*J3969/1000,0)</f>
        <v/>
      </c>
    </row>
    <row r="3970">
      <c r="A3970" t="n">
        <v>3969</v>
      </c>
      <c r="B3970" s="1" t="n">
        <v>45091</v>
      </c>
      <c r="C3970" s="5" t="inlineStr">
        <is>
          <t>M10</t>
        </is>
      </c>
      <c r="D3970" s="5" t="n">
        <v>45</v>
      </c>
      <c r="E3970" s="5" t="n">
        <v>276</v>
      </c>
      <c r="F3970" t="inlineStr">
        <is>
          <t>Продажа</t>
        </is>
      </c>
      <c r="H3970">
        <f>VLOOKUP(C3970,Магазин!$A$2:$C$1000,2,0)</f>
        <v/>
      </c>
      <c r="I3970">
        <f>VLOOKUP(D3970,Товар!$A$2:$F$1000,3,0)</f>
        <v/>
      </c>
      <c r="J3970">
        <f>VLOOKUP(D3970,Товар!$A$2:$F$1000,5,0)</f>
        <v/>
      </c>
      <c r="K3970">
        <f>IF(AND(H3970="Промышленный",LEFT(I3970,18)="Порошок стиральный",F3970="Продажа",B3970=DATE(2023,6,7)),E3970*J3970/1000,0)</f>
        <v/>
      </c>
    </row>
    <row r="3971">
      <c r="A3971" t="n">
        <v>3970</v>
      </c>
      <c r="B3971" s="1" t="n">
        <v>45091</v>
      </c>
      <c r="C3971" s="5" t="inlineStr">
        <is>
          <t>M10</t>
        </is>
      </c>
      <c r="D3971" s="5" t="n">
        <v>46</v>
      </c>
      <c r="E3971" s="5" t="n">
        <v>205</v>
      </c>
      <c r="F3971" t="inlineStr">
        <is>
          <t>Продажа</t>
        </is>
      </c>
      <c r="H3971">
        <f>VLOOKUP(C3971,Магазин!$A$2:$C$1000,2,0)</f>
        <v/>
      </c>
      <c r="I3971">
        <f>VLOOKUP(D3971,Товар!$A$2:$F$1000,3,0)</f>
        <v/>
      </c>
      <c r="J3971">
        <f>VLOOKUP(D3971,Товар!$A$2:$F$1000,5,0)</f>
        <v/>
      </c>
      <c r="K3971">
        <f>IF(AND(H3971="Промышленный",LEFT(I3971,18)="Порошок стиральный",F3971="Продажа",B3971=DATE(2023,6,7)),E3971*J3971/1000,0)</f>
        <v/>
      </c>
    </row>
    <row r="3972">
      <c r="A3972" t="n">
        <v>3971</v>
      </c>
      <c r="B3972" s="1" t="n">
        <v>45091</v>
      </c>
      <c r="C3972" s="5" t="inlineStr">
        <is>
          <t>M10</t>
        </is>
      </c>
      <c r="D3972" s="5" t="n">
        <v>47</v>
      </c>
      <c r="E3972" s="5" t="n">
        <v>357</v>
      </c>
      <c r="F3972" t="inlineStr">
        <is>
          <t>Продажа</t>
        </is>
      </c>
      <c r="H3972">
        <f>VLOOKUP(C3972,Магазин!$A$2:$C$1000,2,0)</f>
        <v/>
      </c>
      <c r="I3972">
        <f>VLOOKUP(D3972,Товар!$A$2:$F$1000,3,0)</f>
        <v/>
      </c>
      <c r="J3972">
        <f>VLOOKUP(D3972,Товар!$A$2:$F$1000,5,0)</f>
        <v/>
      </c>
      <c r="K3972">
        <f>IF(AND(H3972="Промышленный",LEFT(I3972,18)="Порошок стиральный",F3972="Продажа",B3972=DATE(2023,6,7)),E3972*J3972/1000,0)</f>
        <v/>
      </c>
    </row>
    <row r="3973">
      <c r="A3973" t="n">
        <v>3972</v>
      </c>
      <c r="B3973" s="1" t="n">
        <v>45091</v>
      </c>
      <c r="C3973" s="5" t="inlineStr">
        <is>
          <t>M10</t>
        </is>
      </c>
      <c r="D3973" s="5" t="n">
        <v>48</v>
      </c>
      <c r="E3973" s="5" t="n">
        <v>268</v>
      </c>
      <c r="F3973" t="inlineStr">
        <is>
          <t>Продажа</t>
        </is>
      </c>
      <c r="H3973">
        <f>VLOOKUP(C3973,Магазин!$A$2:$C$1000,2,0)</f>
        <v/>
      </c>
      <c r="I3973">
        <f>VLOOKUP(D3973,Товар!$A$2:$F$1000,3,0)</f>
        <v/>
      </c>
      <c r="J3973">
        <f>VLOOKUP(D3973,Товар!$A$2:$F$1000,5,0)</f>
        <v/>
      </c>
      <c r="K3973">
        <f>IF(AND(H3973="Промышленный",LEFT(I3973,18)="Порошок стиральный",F3973="Продажа",B3973=DATE(2023,6,7)),E3973*J3973/1000,0)</f>
        <v/>
      </c>
    </row>
    <row r="3974">
      <c r="A3974" t="n">
        <v>3973</v>
      </c>
      <c r="B3974" s="1" t="n">
        <v>45091</v>
      </c>
      <c r="C3974" s="5" t="inlineStr">
        <is>
          <t>M10</t>
        </is>
      </c>
      <c r="D3974" s="5" t="n">
        <v>49</v>
      </c>
      <c r="E3974" s="5" t="n">
        <v>279</v>
      </c>
      <c r="F3974" t="inlineStr">
        <is>
          <t>Продажа</t>
        </is>
      </c>
      <c r="H3974">
        <f>VLOOKUP(C3974,Магазин!$A$2:$C$1000,2,0)</f>
        <v/>
      </c>
      <c r="I3974">
        <f>VLOOKUP(D3974,Товар!$A$2:$F$1000,3,0)</f>
        <v/>
      </c>
      <c r="J3974">
        <f>VLOOKUP(D3974,Товар!$A$2:$F$1000,5,0)</f>
        <v/>
      </c>
      <c r="K3974">
        <f>IF(AND(H3974="Промышленный",LEFT(I3974,18)="Порошок стиральный",F3974="Продажа",B3974=DATE(2023,6,7)),E3974*J3974/1000,0)</f>
        <v/>
      </c>
    </row>
    <row r="3975">
      <c r="A3975" t="n">
        <v>3974</v>
      </c>
      <c r="B3975" s="1" t="n">
        <v>45091</v>
      </c>
      <c r="C3975" s="5" t="inlineStr">
        <is>
          <t>M10</t>
        </is>
      </c>
      <c r="D3975" s="5" t="n">
        <v>50</v>
      </c>
      <c r="E3975" s="5" t="n">
        <v>281</v>
      </c>
      <c r="F3975" t="inlineStr">
        <is>
          <t>Продажа</t>
        </is>
      </c>
      <c r="H3975">
        <f>VLOOKUP(C3975,Магазин!$A$2:$C$1000,2,0)</f>
        <v/>
      </c>
      <c r="I3975">
        <f>VLOOKUP(D3975,Товар!$A$2:$F$1000,3,0)</f>
        <v/>
      </c>
      <c r="J3975">
        <f>VLOOKUP(D3975,Товар!$A$2:$F$1000,5,0)</f>
        <v/>
      </c>
      <c r="K3975">
        <f>IF(AND(H3975="Промышленный",LEFT(I3975,18)="Порошок стиральный",F3975="Продажа",B3975=DATE(2023,6,7)),E3975*J3975/1000,0)</f>
        <v/>
      </c>
    </row>
    <row r="3976">
      <c r="A3976" t="n">
        <v>3975</v>
      </c>
      <c r="B3976" s="1" t="n">
        <v>45091</v>
      </c>
      <c r="C3976" s="5" t="inlineStr">
        <is>
          <t>M10</t>
        </is>
      </c>
      <c r="D3976" s="5" t="n">
        <v>51</v>
      </c>
      <c r="E3976" s="5" t="n">
        <v>292</v>
      </c>
      <c r="F3976" t="inlineStr">
        <is>
          <t>Продажа</t>
        </is>
      </c>
      <c r="H3976">
        <f>VLOOKUP(C3976,Магазин!$A$2:$C$1000,2,0)</f>
        <v/>
      </c>
      <c r="I3976">
        <f>VLOOKUP(D3976,Товар!$A$2:$F$1000,3,0)</f>
        <v/>
      </c>
      <c r="J3976">
        <f>VLOOKUP(D3976,Товар!$A$2:$F$1000,5,0)</f>
        <v/>
      </c>
      <c r="K3976">
        <f>IF(AND(H3976="Промышленный",LEFT(I3976,18)="Порошок стиральный",F3976="Продажа",B3976=DATE(2023,6,7)),E3976*J3976/1000,0)</f>
        <v/>
      </c>
    </row>
    <row r="3977">
      <c r="A3977" t="n">
        <v>3976</v>
      </c>
      <c r="B3977" s="1" t="n">
        <v>45091</v>
      </c>
      <c r="C3977" s="5" t="inlineStr">
        <is>
          <t>M10</t>
        </is>
      </c>
      <c r="D3977" s="5" t="n">
        <v>52</v>
      </c>
      <c r="E3977" s="5" t="n">
        <v>203</v>
      </c>
      <c r="F3977" t="inlineStr">
        <is>
          <t>Продажа</t>
        </is>
      </c>
      <c r="H3977">
        <f>VLOOKUP(C3977,Магазин!$A$2:$C$1000,2,0)</f>
        <v/>
      </c>
      <c r="I3977">
        <f>VLOOKUP(D3977,Товар!$A$2:$F$1000,3,0)</f>
        <v/>
      </c>
      <c r="J3977">
        <f>VLOOKUP(D3977,Товар!$A$2:$F$1000,5,0)</f>
        <v/>
      </c>
      <c r="K3977">
        <f>IF(AND(H3977="Промышленный",LEFT(I3977,18)="Порошок стиральный",F3977="Продажа",B3977=DATE(2023,6,7)),E3977*J3977/1000,0)</f>
        <v/>
      </c>
    </row>
    <row r="3978">
      <c r="A3978" t="n">
        <v>3977</v>
      </c>
      <c r="B3978" s="1" t="n">
        <v>45091</v>
      </c>
      <c r="C3978" s="5" t="inlineStr">
        <is>
          <t>M10</t>
        </is>
      </c>
      <c r="D3978" s="5" t="n">
        <v>53</v>
      </c>
      <c r="E3978" s="5" t="n">
        <v>214</v>
      </c>
      <c r="F3978" t="inlineStr">
        <is>
          <t>Продажа</t>
        </is>
      </c>
      <c r="H3978">
        <f>VLOOKUP(C3978,Магазин!$A$2:$C$1000,2,0)</f>
        <v/>
      </c>
      <c r="I3978">
        <f>VLOOKUP(D3978,Товар!$A$2:$F$1000,3,0)</f>
        <v/>
      </c>
      <c r="J3978">
        <f>VLOOKUP(D3978,Товар!$A$2:$F$1000,5,0)</f>
        <v/>
      </c>
      <c r="K3978">
        <f>IF(AND(H3978="Промышленный",LEFT(I3978,18)="Порошок стиральный",F3978="Продажа",B3978=DATE(2023,6,7)),E3978*J3978/1000,0)</f>
        <v/>
      </c>
    </row>
    <row r="3979">
      <c r="A3979" t="n">
        <v>3978</v>
      </c>
      <c r="B3979" s="1" t="n">
        <v>45091</v>
      </c>
      <c r="C3979" s="5" t="inlineStr">
        <is>
          <t>M10</t>
        </is>
      </c>
      <c r="D3979" s="5" t="n">
        <v>54</v>
      </c>
      <c r="E3979" s="5" t="n">
        <v>225</v>
      </c>
      <c r="F3979" t="inlineStr">
        <is>
          <t>Продажа</t>
        </is>
      </c>
      <c r="H3979">
        <f>VLOOKUP(C3979,Магазин!$A$2:$C$1000,2,0)</f>
        <v/>
      </c>
      <c r="I3979">
        <f>VLOOKUP(D3979,Товар!$A$2:$F$1000,3,0)</f>
        <v/>
      </c>
      <c r="J3979">
        <f>VLOOKUP(D3979,Товар!$A$2:$F$1000,5,0)</f>
        <v/>
      </c>
      <c r="K3979">
        <f>IF(AND(H3979="Промышленный",LEFT(I3979,18)="Порошок стиральный",F3979="Продажа",B3979=DATE(2023,6,7)),E3979*J3979/1000,0)</f>
        <v/>
      </c>
    </row>
    <row r="3980">
      <c r="A3980" t="n">
        <v>3979</v>
      </c>
      <c r="B3980" s="1" t="n">
        <v>45091</v>
      </c>
      <c r="C3980" s="5" t="inlineStr">
        <is>
          <t>M10</t>
        </is>
      </c>
      <c r="D3980" s="5" t="n">
        <v>55</v>
      </c>
      <c r="E3980" s="5" t="n">
        <v>236</v>
      </c>
      <c r="F3980" t="inlineStr">
        <is>
          <t>Продажа</t>
        </is>
      </c>
      <c r="H3980">
        <f>VLOOKUP(C3980,Магазин!$A$2:$C$1000,2,0)</f>
        <v/>
      </c>
      <c r="I3980">
        <f>VLOOKUP(D3980,Товар!$A$2:$F$1000,3,0)</f>
        <v/>
      </c>
      <c r="J3980">
        <f>VLOOKUP(D3980,Товар!$A$2:$F$1000,5,0)</f>
        <v/>
      </c>
      <c r="K3980">
        <f>IF(AND(H3980="Промышленный",LEFT(I3980,18)="Порошок стиральный",F3980="Продажа",B3980=DATE(2023,6,7)),E3980*J3980/1000,0)</f>
        <v/>
      </c>
    </row>
    <row r="3981">
      <c r="A3981" t="n">
        <v>3980</v>
      </c>
      <c r="B3981" s="1" t="n">
        <v>45091</v>
      </c>
      <c r="C3981" s="5" t="inlineStr">
        <is>
          <t>M10</t>
        </is>
      </c>
      <c r="D3981" s="5" t="n">
        <v>56</v>
      </c>
      <c r="E3981" s="5" t="n">
        <v>247</v>
      </c>
      <c r="F3981" t="inlineStr">
        <is>
          <t>Продажа</t>
        </is>
      </c>
      <c r="H3981">
        <f>VLOOKUP(C3981,Магазин!$A$2:$C$1000,2,0)</f>
        <v/>
      </c>
      <c r="I3981">
        <f>VLOOKUP(D3981,Товар!$A$2:$F$1000,3,0)</f>
        <v/>
      </c>
      <c r="J3981">
        <f>VLOOKUP(D3981,Товар!$A$2:$F$1000,5,0)</f>
        <v/>
      </c>
      <c r="K3981">
        <f>IF(AND(H3981="Промышленный",LEFT(I3981,18)="Порошок стиральный",F3981="Продажа",B3981=DATE(2023,6,7)),E3981*J3981/1000,0)</f>
        <v/>
      </c>
    </row>
    <row r="3982">
      <c r="A3982" t="n">
        <v>3981</v>
      </c>
      <c r="B3982" s="1" t="n">
        <v>45091</v>
      </c>
      <c r="C3982" s="5" t="inlineStr">
        <is>
          <t>M10</t>
        </is>
      </c>
      <c r="D3982" s="5" t="n">
        <v>57</v>
      </c>
      <c r="E3982" s="5" t="n">
        <v>258</v>
      </c>
      <c r="F3982" t="inlineStr">
        <is>
          <t>Продажа</t>
        </is>
      </c>
      <c r="H3982">
        <f>VLOOKUP(C3982,Магазин!$A$2:$C$1000,2,0)</f>
        <v/>
      </c>
      <c r="I3982">
        <f>VLOOKUP(D3982,Товар!$A$2:$F$1000,3,0)</f>
        <v/>
      </c>
      <c r="J3982">
        <f>VLOOKUP(D3982,Товар!$A$2:$F$1000,5,0)</f>
        <v/>
      </c>
      <c r="K3982">
        <f>IF(AND(H3982="Промышленный",LEFT(I3982,18)="Порошок стиральный",F3982="Продажа",B3982=DATE(2023,6,7)),E3982*J3982/1000,0)</f>
        <v/>
      </c>
    </row>
    <row r="3983">
      <c r="A3983" t="n">
        <v>3982</v>
      </c>
      <c r="B3983" s="1" t="n">
        <v>45091</v>
      </c>
      <c r="C3983" s="5" t="inlineStr">
        <is>
          <t>M10</t>
        </is>
      </c>
      <c r="D3983" s="5" t="n">
        <v>58</v>
      </c>
      <c r="E3983" s="5" t="n">
        <v>256</v>
      </c>
      <c r="F3983" t="inlineStr">
        <is>
          <t>Продажа</t>
        </is>
      </c>
      <c r="H3983">
        <f>VLOOKUP(C3983,Магазин!$A$2:$C$1000,2,0)</f>
        <v/>
      </c>
      <c r="I3983">
        <f>VLOOKUP(D3983,Товар!$A$2:$F$1000,3,0)</f>
        <v/>
      </c>
      <c r="J3983">
        <f>VLOOKUP(D3983,Товар!$A$2:$F$1000,5,0)</f>
        <v/>
      </c>
      <c r="K3983">
        <f>IF(AND(H3983="Промышленный",LEFT(I3983,18)="Порошок стиральный",F3983="Продажа",B3983=DATE(2023,6,7)),E3983*J3983/1000,0)</f>
        <v/>
      </c>
    </row>
    <row r="3984">
      <c r="A3984" t="n">
        <v>3983</v>
      </c>
      <c r="B3984" s="1" t="n">
        <v>45091</v>
      </c>
      <c r="C3984" s="5" t="inlineStr">
        <is>
          <t>M10</t>
        </is>
      </c>
      <c r="D3984" s="5" t="n">
        <v>59</v>
      </c>
      <c r="E3984" s="5" t="n">
        <v>269</v>
      </c>
      <c r="F3984" t="inlineStr">
        <is>
          <t>Продажа</t>
        </is>
      </c>
      <c r="H3984">
        <f>VLOOKUP(C3984,Магазин!$A$2:$C$1000,2,0)</f>
        <v/>
      </c>
      <c r="I3984">
        <f>VLOOKUP(D3984,Товар!$A$2:$F$1000,3,0)</f>
        <v/>
      </c>
      <c r="J3984">
        <f>VLOOKUP(D3984,Товар!$A$2:$F$1000,5,0)</f>
        <v/>
      </c>
      <c r="K3984">
        <f>IF(AND(H3984="Промышленный",LEFT(I3984,18)="Порошок стиральный",F3984="Продажа",B3984=DATE(2023,6,7)),E3984*J3984/1000,0)</f>
        <v/>
      </c>
    </row>
    <row r="3985">
      <c r="A3985" t="n">
        <v>3984</v>
      </c>
      <c r="B3985" s="1" t="n">
        <v>45091</v>
      </c>
      <c r="C3985" s="5" t="inlineStr">
        <is>
          <t>M10</t>
        </is>
      </c>
      <c r="D3985" s="5" t="n">
        <v>60</v>
      </c>
      <c r="E3985" s="5" t="n">
        <v>204</v>
      </c>
      <c r="F3985" t="inlineStr">
        <is>
          <t>Продажа</t>
        </is>
      </c>
      <c r="H3985">
        <f>VLOOKUP(C3985,Магазин!$A$2:$C$1000,2,0)</f>
        <v/>
      </c>
      <c r="I3985">
        <f>VLOOKUP(D3985,Товар!$A$2:$F$1000,3,0)</f>
        <v/>
      </c>
      <c r="J3985">
        <f>VLOOKUP(D3985,Товар!$A$2:$F$1000,5,0)</f>
        <v/>
      </c>
      <c r="K3985">
        <f>IF(AND(H3985="Промышленный",LEFT(I3985,18)="Порошок стиральный",F3985="Продажа",B3985=DATE(2023,6,7)),E3985*J3985/1000,0)</f>
        <v/>
      </c>
    </row>
    <row r="3986">
      <c r="A3986" t="n">
        <v>3985</v>
      </c>
      <c r="B3986" s="1" t="n">
        <v>45091</v>
      </c>
      <c r="C3986" s="5" t="inlineStr">
        <is>
          <t>M15</t>
        </is>
      </c>
      <c r="D3986" s="5" t="n">
        <v>37</v>
      </c>
      <c r="E3986" s="5" t="n">
        <v>206</v>
      </c>
      <c r="F3986" t="inlineStr">
        <is>
          <t>Продажа</t>
        </is>
      </c>
      <c r="H3986">
        <f>VLOOKUP(C3986,Магазин!$A$2:$C$1000,2,0)</f>
        <v/>
      </c>
      <c r="I3986">
        <f>VLOOKUP(D3986,Товар!$A$2:$F$1000,3,0)</f>
        <v/>
      </c>
      <c r="J3986">
        <f>VLOOKUP(D3986,Товар!$A$2:$F$1000,5,0)</f>
        <v/>
      </c>
      <c r="K3986">
        <f>IF(AND(H3986="Промышленный",LEFT(I3986,18)="Порошок стиральный",F3986="Продажа",B3986=DATE(2023,6,7)),E3986*J3986/1000,0)</f>
        <v/>
      </c>
    </row>
    <row r="3987">
      <c r="A3987" t="n">
        <v>3986</v>
      </c>
      <c r="B3987" s="1" t="n">
        <v>45091</v>
      </c>
      <c r="C3987" s="5" t="inlineStr">
        <is>
          <t>M15</t>
        </is>
      </c>
      <c r="D3987" s="5" t="n">
        <v>38</v>
      </c>
      <c r="E3987" s="5" t="n">
        <v>208</v>
      </c>
      <c r="F3987" t="inlineStr">
        <is>
          <t>Продажа</t>
        </is>
      </c>
      <c r="H3987">
        <f>VLOOKUP(C3987,Магазин!$A$2:$C$1000,2,0)</f>
        <v/>
      </c>
      <c r="I3987">
        <f>VLOOKUP(D3987,Товар!$A$2:$F$1000,3,0)</f>
        <v/>
      </c>
      <c r="J3987">
        <f>VLOOKUP(D3987,Товар!$A$2:$F$1000,5,0)</f>
        <v/>
      </c>
      <c r="K3987">
        <f>IF(AND(H3987="Промышленный",LEFT(I3987,18)="Порошок стиральный",F3987="Продажа",B3987=DATE(2023,6,7)),E3987*J3987/1000,0)</f>
        <v/>
      </c>
    </row>
    <row r="3988">
      <c r="A3988" t="n">
        <v>3987</v>
      </c>
      <c r="B3988" s="1" t="n">
        <v>45091</v>
      </c>
      <c r="C3988" s="5" t="inlineStr">
        <is>
          <t>M15</t>
        </is>
      </c>
      <c r="D3988" s="5" t="n">
        <v>39</v>
      </c>
      <c r="E3988" s="5" t="n">
        <v>209</v>
      </c>
      <c r="F3988" t="inlineStr">
        <is>
          <t>Продажа</t>
        </is>
      </c>
      <c r="H3988">
        <f>VLOOKUP(C3988,Магазин!$A$2:$C$1000,2,0)</f>
        <v/>
      </c>
      <c r="I3988">
        <f>VLOOKUP(D3988,Товар!$A$2:$F$1000,3,0)</f>
        <v/>
      </c>
      <c r="J3988">
        <f>VLOOKUP(D3988,Товар!$A$2:$F$1000,5,0)</f>
        <v/>
      </c>
      <c r="K3988">
        <f>IF(AND(H3988="Промышленный",LEFT(I3988,18)="Порошок стиральный",F3988="Продажа",B3988=DATE(2023,6,7)),E3988*J3988/1000,0)</f>
        <v/>
      </c>
    </row>
    <row r="3989">
      <c r="A3989" t="n">
        <v>3988</v>
      </c>
      <c r="B3989" s="1" t="n">
        <v>45091</v>
      </c>
      <c r="C3989" s="5" t="inlineStr">
        <is>
          <t>M15</t>
        </is>
      </c>
      <c r="D3989" s="5" t="n">
        <v>40</v>
      </c>
      <c r="E3989" s="5" t="n">
        <v>299</v>
      </c>
      <c r="F3989" t="inlineStr">
        <is>
          <t>Продажа</t>
        </is>
      </c>
      <c r="H3989">
        <f>VLOOKUP(C3989,Магазин!$A$2:$C$1000,2,0)</f>
        <v/>
      </c>
      <c r="I3989">
        <f>VLOOKUP(D3989,Товар!$A$2:$F$1000,3,0)</f>
        <v/>
      </c>
      <c r="J3989">
        <f>VLOOKUP(D3989,Товар!$A$2:$F$1000,5,0)</f>
        <v/>
      </c>
      <c r="K3989">
        <f>IF(AND(H3989="Промышленный",LEFT(I3989,18)="Порошок стиральный",F3989="Продажа",B3989=DATE(2023,6,7)),E3989*J3989/1000,0)</f>
        <v/>
      </c>
    </row>
    <row r="3990">
      <c r="A3990" t="n">
        <v>3989</v>
      </c>
      <c r="B3990" s="1" t="n">
        <v>45091</v>
      </c>
      <c r="C3990" s="5" t="inlineStr">
        <is>
          <t>M15</t>
        </is>
      </c>
      <c r="D3990" s="5" t="n">
        <v>41</v>
      </c>
      <c r="E3990" s="5" t="n">
        <v>275</v>
      </c>
      <c r="F3990" t="inlineStr">
        <is>
          <t>Продажа</t>
        </is>
      </c>
      <c r="H3990">
        <f>VLOOKUP(C3990,Магазин!$A$2:$C$1000,2,0)</f>
        <v/>
      </c>
      <c r="I3990">
        <f>VLOOKUP(D3990,Товар!$A$2:$F$1000,3,0)</f>
        <v/>
      </c>
      <c r="J3990">
        <f>VLOOKUP(D3990,Товар!$A$2:$F$1000,5,0)</f>
        <v/>
      </c>
      <c r="K3990">
        <f>IF(AND(H3990="Промышленный",LEFT(I3990,18)="Порошок стиральный",F3990="Продажа",B3990=DATE(2023,6,7)),E3990*J3990/1000,0)</f>
        <v/>
      </c>
    </row>
    <row r="3991">
      <c r="A3991" t="n">
        <v>3990</v>
      </c>
      <c r="B3991" s="1" t="n">
        <v>45091</v>
      </c>
      <c r="C3991" s="5" t="inlineStr">
        <is>
          <t>M15</t>
        </is>
      </c>
      <c r="D3991" s="5" t="n">
        <v>42</v>
      </c>
      <c r="E3991" s="5" t="n">
        <v>234</v>
      </c>
      <c r="F3991" t="inlineStr">
        <is>
          <t>Продажа</t>
        </is>
      </c>
      <c r="H3991">
        <f>VLOOKUP(C3991,Магазин!$A$2:$C$1000,2,0)</f>
        <v/>
      </c>
      <c r="I3991">
        <f>VLOOKUP(D3991,Товар!$A$2:$F$1000,3,0)</f>
        <v/>
      </c>
      <c r="J3991">
        <f>VLOOKUP(D3991,Товар!$A$2:$F$1000,5,0)</f>
        <v/>
      </c>
      <c r="K3991">
        <f>IF(AND(H3991="Промышленный",LEFT(I3991,18)="Порошок стиральный",F3991="Продажа",B3991=DATE(2023,6,7)),E3991*J3991/1000,0)</f>
        <v/>
      </c>
    </row>
    <row r="3992">
      <c r="A3992" t="n">
        <v>3991</v>
      </c>
      <c r="B3992" s="1" t="n">
        <v>45091</v>
      </c>
      <c r="C3992" s="5" t="inlineStr">
        <is>
          <t>M15</t>
        </is>
      </c>
      <c r="D3992" s="5" t="n">
        <v>43</v>
      </c>
      <c r="E3992" s="5" t="n">
        <v>228</v>
      </c>
      <c r="F3992" t="inlineStr">
        <is>
          <t>Продажа</t>
        </is>
      </c>
      <c r="H3992">
        <f>VLOOKUP(C3992,Магазин!$A$2:$C$1000,2,0)</f>
        <v/>
      </c>
      <c r="I3992">
        <f>VLOOKUP(D3992,Товар!$A$2:$F$1000,3,0)</f>
        <v/>
      </c>
      <c r="J3992">
        <f>VLOOKUP(D3992,Товар!$A$2:$F$1000,5,0)</f>
        <v/>
      </c>
      <c r="K3992">
        <f>IF(AND(H3992="Промышленный",LEFT(I3992,18)="Порошок стиральный",F3992="Продажа",B3992=DATE(2023,6,7)),E3992*J3992/1000,0)</f>
        <v/>
      </c>
    </row>
    <row r="3993">
      <c r="A3993" t="n">
        <v>3992</v>
      </c>
      <c r="B3993" s="1" t="n">
        <v>45091</v>
      </c>
      <c r="C3993" s="5" t="inlineStr">
        <is>
          <t>M15</t>
        </is>
      </c>
      <c r="D3993" s="5" t="n">
        <v>44</v>
      </c>
      <c r="E3993" s="5" t="n">
        <v>217</v>
      </c>
      <c r="F3993" t="inlineStr">
        <is>
          <t>Продажа</t>
        </is>
      </c>
      <c r="H3993">
        <f>VLOOKUP(C3993,Магазин!$A$2:$C$1000,2,0)</f>
        <v/>
      </c>
      <c r="I3993">
        <f>VLOOKUP(D3993,Товар!$A$2:$F$1000,3,0)</f>
        <v/>
      </c>
      <c r="J3993">
        <f>VLOOKUP(D3993,Товар!$A$2:$F$1000,5,0)</f>
        <v/>
      </c>
      <c r="K3993">
        <f>IF(AND(H3993="Промышленный",LEFT(I3993,18)="Порошок стиральный",F3993="Продажа",B3993=DATE(2023,6,7)),E3993*J3993/1000,0)</f>
        <v/>
      </c>
    </row>
    <row r="3994">
      <c r="A3994" t="n">
        <v>3993</v>
      </c>
      <c r="B3994" s="1" t="n">
        <v>45091</v>
      </c>
      <c r="C3994" s="5" t="inlineStr">
        <is>
          <t>M15</t>
        </is>
      </c>
      <c r="D3994" s="5" t="n">
        <v>45</v>
      </c>
      <c r="E3994" s="5" t="n">
        <v>258</v>
      </c>
      <c r="F3994" t="inlineStr">
        <is>
          <t>Продажа</t>
        </is>
      </c>
      <c r="H3994">
        <f>VLOOKUP(C3994,Магазин!$A$2:$C$1000,2,0)</f>
        <v/>
      </c>
      <c r="I3994">
        <f>VLOOKUP(D3994,Товар!$A$2:$F$1000,3,0)</f>
        <v/>
      </c>
      <c r="J3994">
        <f>VLOOKUP(D3994,Товар!$A$2:$F$1000,5,0)</f>
        <v/>
      </c>
      <c r="K3994">
        <f>IF(AND(H3994="Промышленный",LEFT(I3994,18)="Порошок стиральный",F3994="Продажа",B3994=DATE(2023,6,7)),E3994*J3994/1000,0)</f>
        <v/>
      </c>
    </row>
    <row r="3995">
      <c r="A3995" t="n">
        <v>3994</v>
      </c>
      <c r="B3995" s="1" t="n">
        <v>45091</v>
      </c>
      <c r="C3995" s="5" t="inlineStr">
        <is>
          <t>M15</t>
        </is>
      </c>
      <c r="D3995" s="5" t="n">
        <v>46</v>
      </c>
      <c r="E3995" s="5" t="n">
        <v>199</v>
      </c>
      <c r="F3995" t="inlineStr">
        <is>
          <t>Продажа</t>
        </is>
      </c>
      <c r="H3995">
        <f>VLOOKUP(C3995,Магазин!$A$2:$C$1000,2,0)</f>
        <v/>
      </c>
      <c r="I3995">
        <f>VLOOKUP(D3995,Товар!$A$2:$F$1000,3,0)</f>
        <v/>
      </c>
      <c r="J3995">
        <f>VLOOKUP(D3995,Товар!$A$2:$F$1000,5,0)</f>
        <v/>
      </c>
      <c r="K3995">
        <f>IF(AND(H3995="Промышленный",LEFT(I3995,18)="Порошок стиральный",F3995="Продажа",B3995=DATE(2023,6,7)),E3995*J3995/1000,0)</f>
        <v/>
      </c>
    </row>
    <row r="3996">
      <c r="A3996" t="n">
        <v>3995</v>
      </c>
      <c r="B3996" s="1" t="n">
        <v>45091</v>
      </c>
      <c r="C3996" s="5" t="inlineStr">
        <is>
          <t>M15</t>
        </is>
      </c>
      <c r="D3996" s="5" t="n">
        <v>47</v>
      </c>
      <c r="E3996" s="5" t="n">
        <v>248</v>
      </c>
      <c r="F3996" t="inlineStr">
        <is>
          <t>Продажа</t>
        </is>
      </c>
      <c r="H3996">
        <f>VLOOKUP(C3996,Магазин!$A$2:$C$1000,2,0)</f>
        <v/>
      </c>
      <c r="I3996">
        <f>VLOOKUP(D3996,Товар!$A$2:$F$1000,3,0)</f>
        <v/>
      </c>
      <c r="J3996">
        <f>VLOOKUP(D3996,Товар!$A$2:$F$1000,5,0)</f>
        <v/>
      </c>
      <c r="K3996">
        <f>IF(AND(H3996="Промышленный",LEFT(I3996,18)="Порошок стиральный",F3996="Продажа",B3996=DATE(2023,6,7)),E3996*J3996/1000,0)</f>
        <v/>
      </c>
    </row>
    <row r="3997">
      <c r="A3997" t="n">
        <v>3996</v>
      </c>
      <c r="B3997" s="1" t="n">
        <v>45091</v>
      </c>
      <c r="C3997" s="5" t="inlineStr">
        <is>
          <t>M15</t>
        </is>
      </c>
      <c r="D3997" s="5" t="n">
        <v>48</v>
      </c>
      <c r="E3997" s="5" t="n">
        <v>236</v>
      </c>
      <c r="F3997" t="inlineStr">
        <is>
          <t>Продажа</t>
        </is>
      </c>
      <c r="H3997">
        <f>VLOOKUP(C3997,Магазин!$A$2:$C$1000,2,0)</f>
        <v/>
      </c>
      <c r="I3997">
        <f>VLOOKUP(D3997,Товар!$A$2:$F$1000,3,0)</f>
        <v/>
      </c>
      <c r="J3997">
        <f>VLOOKUP(D3997,Товар!$A$2:$F$1000,5,0)</f>
        <v/>
      </c>
      <c r="K3997">
        <f>IF(AND(H3997="Промышленный",LEFT(I3997,18)="Порошок стиральный",F3997="Продажа",B3997=DATE(2023,6,7)),E3997*J3997/1000,0)</f>
        <v/>
      </c>
    </row>
    <row r="3998">
      <c r="A3998" t="n">
        <v>3997</v>
      </c>
      <c r="B3998" s="1" t="n">
        <v>45091</v>
      </c>
      <c r="C3998" s="5" t="inlineStr">
        <is>
          <t>M15</t>
        </is>
      </c>
      <c r="D3998" s="5" t="n">
        <v>49</v>
      </c>
      <c r="E3998" s="5" t="n">
        <v>287</v>
      </c>
      <c r="F3998" t="inlineStr">
        <is>
          <t>Продажа</t>
        </is>
      </c>
      <c r="H3998">
        <f>VLOOKUP(C3998,Магазин!$A$2:$C$1000,2,0)</f>
        <v/>
      </c>
      <c r="I3998">
        <f>VLOOKUP(D3998,Товар!$A$2:$F$1000,3,0)</f>
        <v/>
      </c>
      <c r="J3998">
        <f>VLOOKUP(D3998,Товар!$A$2:$F$1000,5,0)</f>
        <v/>
      </c>
      <c r="K3998">
        <f>IF(AND(H3998="Промышленный",LEFT(I3998,18)="Порошок стиральный",F3998="Продажа",B3998=DATE(2023,6,7)),E3998*J3998/1000,0)</f>
        <v/>
      </c>
    </row>
    <row r="3999">
      <c r="A3999" t="n">
        <v>3998</v>
      </c>
      <c r="B3999" s="1" t="n">
        <v>45091</v>
      </c>
      <c r="C3999" s="5" t="inlineStr">
        <is>
          <t>M15</t>
        </is>
      </c>
      <c r="D3999" s="5" t="n">
        <v>50</v>
      </c>
      <c r="E3999" s="5" t="n">
        <v>265</v>
      </c>
      <c r="F3999" t="inlineStr">
        <is>
          <t>Продажа</t>
        </is>
      </c>
      <c r="H3999">
        <f>VLOOKUP(C3999,Магазин!$A$2:$C$1000,2,0)</f>
        <v/>
      </c>
      <c r="I3999">
        <f>VLOOKUP(D3999,Товар!$A$2:$F$1000,3,0)</f>
        <v/>
      </c>
      <c r="J3999">
        <f>VLOOKUP(D3999,Товар!$A$2:$F$1000,5,0)</f>
        <v/>
      </c>
      <c r="K3999">
        <f>IF(AND(H3999="Промышленный",LEFT(I3999,18)="Порошок стиральный",F3999="Продажа",B3999=DATE(2023,6,7)),E3999*J3999/1000,0)</f>
        <v/>
      </c>
    </row>
    <row r="4000">
      <c r="A4000" t="n">
        <v>3999</v>
      </c>
      <c r="B4000" s="1" t="n">
        <v>45091</v>
      </c>
      <c r="C4000" s="5" t="inlineStr">
        <is>
          <t>M15</t>
        </is>
      </c>
      <c r="D4000" s="5" t="n">
        <v>51</v>
      </c>
      <c r="E4000" s="5" t="n">
        <v>234</v>
      </c>
      <c r="F4000" t="inlineStr">
        <is>
          <t>Продажа</t>
        </is>
      </c>
      <c r="H4000">
        <f>VLOOKUP(C4000,Магазин!$A$2:$C$1000,2,0)</f>
        <v/>
      </c>
      <c r="I4000">
        <f>VLOOKUP(D4000,Товар!$A$2:$F$1000,3,0)</f>
        <v/>
      </c>
      <c r="J4000">
        <f>VLOOKUP(D4000,Товар!$A$2:$F$1000,5,0)</f>
        <v/>
      </c>
      <c r="K4000">
        <f>IF(AND(H4000="Промышленный",LEFT(I4000,18)="Порошок стиральный",F4000="Продажа",B4000=DATE(2023,6,7)),E4000*J4000/1000,0)</f>
        <v/>
      </c>
    </row>
    <row r="4001">
      <c r="A4001" t="n">
        <v>4000</v>
      </c>
      <c r="B4001" s="1" t="n">
        <v>45091</v>
      </c>
      <c r="C4001" s="5" t="inlineStr">
        <is>
          <t>M15</t>
        </is>
      </c>
      <c r="D4001" s="5" t="n">
        <v>52</v>
      </c>
      <c r="E4001" s="5" t="n">
        <v>258</v>
      </c>
      <c r="F4001" t="inlineStr">
        <is>
          <t>Продажа</t>
        </is>
      </c>
      <c r="H4001">
        <f>VLOOKUP(C4001,Магазин!$A$2:$C$1000,2,0)</f>
        <v/>
      </c>
      <c r="I4001">
        <f>VLOOKUP(D4001,Товар!$A$2:$F$1000,3,0)</f>
        <v/>
      </c>
      <c r="J4001">
        <f>VLOOKUP(D4001,Товар!$A$2:$F$1000,5,0)</f>
        <v/>
      </c>
      <c r="K4001">
        <f>IF(AND(H4001="Промышленный",LEFT(I4001,18)="Порошок стиральный",F4001="Продажа",B4001=DATE(2023,6,7)),E4001*J4001/1000,0)</f>
        <v/>
      </c>
    </row>
    <row r="4002">
      <c r="A4002" t="n">
        <v>4001</v>
      </c>
      <c r="B4002" s="1" t="n">
        <v>45091</v>
      </c>
      <c r="C4002" s="5" t="inlineStr">
        <is>
          <t>M15</t>
        </is>
      </c>
      <c r="D4002" s="5" t="n">
        <v>53</v>
      </c>
      <c r="E4002" s="5" t="n">
        <v>264</v>
      </c>
      <c r="F4002" t="inlineStr">
        <is>
          <t>Продажа</t>
        </is>
      </c>
      <c r="H4002">
        <f>VLOOKUP(C4002,Магазин!$A$2:$C$1000,2,0)</f>
        <v/>
      </c>
      <c r="I4002">
        <f>VLOOKUP(D4002,Товар!$A$2:$F$1000,3,0)</f>
        <v/>
      </c>
      <c r="J4002">
        <f>VLOOKUP(D4002,Товар!$A$2:$F$1000,5,0)</f>
        <v/>
      </c>
      <c r="K4002">
        <f>IF(AND(H4002="Промышленный",LEFT(I4002,18)="Порошок стиральный",F4002="Продажа",B4002=DATE(2023,6,7)),E4002*J4002/1000,0)</f>
        <v/>
      </c>
    </row>
    <row r="4003">
      <c r="A4003" t="n">
        <v>4002</v>
      </c>
      <c r="B4003" s="1" t="n">
        <v>45091</v>
      </c>
      <c r="C4003" s="5" t="inlineStr">
        <is>
          <t>M15</t>
        </is>
      </c>
      <c r="D4003" s="5" t="n">
        <v>54</v>
      </c>
      <c r="E4003" s="5" t="n">
        <v>237</v>
      </c>
      <c r="F4003" t="inlineStr">
        <is>
          <t>Продажа</t>
        </is>
      </c>
      <c r="H4003">
        <f>VLOOKUP(C4003,Магазин!$A$2:$C$1000,2,0)</f>
        <v/>
      </c>
      <c r="I4003">
        <f>VLOOKUP(D4003,Товар!$A$2:$F$1000,3,0)</f>
        <v/>
      </c>
      <c r="J4003">
        <f>VLOOKUP(D4003,Товар!$A$2:$F$1000,5,0)</f>
        <v/>
      </c>
      <c r="K4003">
        <f>IF(AND(H4003="Промышленный",LEFT(I4003,18)="Порошок стиральный",F4003="Продажа",B4003=DATE(2023,6,7)),E4003*J4003/1000,0)</f>
        <v/>
      </c>
    </row>
    <row r="4004">
      <c r="A4004" t="n">
        <v>4003</v>
      </c>
      <c r="B4004" s="1" t="n">
        <v>45091</v>
      </c>
      <c r="C4004" s="5" t="inlineStr">
        <is>
          <t>M15</t>
        </is>
      </c>
      <c r="D4004" s="5" t="n">
        <v>55</v>
      </c>
      <c r="E4004" s="5" t="n">
        <v>218</v>
      </c>
      <c r="F4004" t="inlineStr">
        <is>
          <t>Продажа</t>
        </is>
      </c>
      <c r="H4004">
        <f>VLOOKUP(C4004,Магазин!$A$2:$C$1000,2,0)</f>
        <v/>
      </c>
      <c r="I4004">
        <f>VLOOKUP(D4004,Товар!$A$2:$F$1000,3,0)</f>
        <v/>
      </c>
      <c r="J4004">
        <f>VLOOKUP(D4004,Товар!$A$2:$F$1000,5,0)</f>
        <v/>
      </c>
      <c r="K4004">
        <f>IF(AND(H4004="Промышленный",LEFT(I4004,18)="Порошок стиральный",F4004="Продажа",B4004=DATE(2023,6,7)),E4004*J4004/1000,0)</f>
        <v/>
      </c>
    </row>
    <row r="4005">
      <c r="A4005" t="n">
        <v>4004</v>
      </c>
      <c r="B4005" s="1" t="n">
        <v>45091</v>
      </c>
      <c r="C4005" s="5" t="inlineStr">
        <is>
          <t>M15</t>
        </is>
      </c>
      <c r="D4005" s="5" t="n">
        <v>56</v>
      </c>
      <c r="E4005" s="5" t="n">
        <v>249</v>
      </c>
      <c r="F4005" t="inlineStr">
        <is>
          <t>Продажа</t>
        </is>
      </c>
      <c r="H4005">
        <f>VLOOKUP(C4005,Магазин!$A$2:$C$1000,2,0)</f>
        <v/>
      </c>
      <c r="I4005">
        <f>VLOOKUP(D4005,Товар!$A$2:$F$1000,3,0)</f>
        <v/>
      </c>
      <c r="J4005">
        <f>VLOOKUP(D4005,Товар!$A$2:$F$1000,5,0)</f>
        <v/>
      </c>
      <c r="K4005">
        <f>IF(AND(H4005="Промышленный",LEFT(I4005,18)="Порошок стиральный",F4005="Продажа",B4005=DATE(2023,6,7)),E4005*J4005/1000,0)</f>
        <v/>
      </c>
    </row>
    <row r="4006">
      <c r="A4006" t="n">
        <v>4005</v>
      </c>
      <c r="B4006" s="1" t="n">
        <v>45091</v>
      </c>
      <c r="C4006" s="5" t="inlineStr">
        <is>
          <t>M15</t>
        </is>
      </c>
      <c r="D4006" s="5" t="n">
        <v>57</v>
      </c>
      <c r="E4006" s="5" t="n">
        <v>273</v>
      </c>
      <c r="F4006" t="inlineStr">
        <is>
          <t>Продажа</t>
        </is>
      </c>
      <c r="H4006">
        <f>VLOOKUP(C4006,Магазин!$A$2:$C$1000,2,0)</f>
        <v/>
      </c>
      <c r="I4006">
        <f>VLOOKUP(D4006,Товар!$A$2:$F$1000,3,0)</f>
        <v/>
      </c>
      <c r="J4006">
        <f>VLOOKUP(D4006,Товар!$A$2:$F$1000,5,0)</f>
        <v/>
      </c>
      <c r="K4006">
        <f>IF(AND(H4006="Промышленный",LEFT(I4006,18)="Порошок стиральный",F4006="Продажа",B4006=DATE(2023,6,7)),E4006*J4006/1000,0)</f>
        <v/>
      </c>
    </row>
    <row r="4007">
      <c r="A4007" t="n">
        <v>4006</v>
      </c>
      <c r="B4007" s="1" t="n">
        <v>45091</v>
      </c>
      <c r="C4007" s="5" t="inlineStr">
        <is>
          <t>M15</t>
        </is>
      </c>
      <c r="D4007" s="5" t="n">
        <v>58</v>
      </c>
      <c r="E4007" s="5" t="n">
        <v>284</v>
      </c>
      <c r="F4007" t="inlineStr">
        <is>
          <t>Продажа</t>
        </is>
      </c>
      <c r="H4007">
        <f>VLOOKUP(C4007,Магазин!$A$2:$C$1000,2,0)</f>
        <v/>
      </c>
      <c r="I4007">
        <f>VLOOKUP(D4007,Товар!$A$2:$F$1000,3,0)</f>
        <v/>
      </c>
      <c r="J4007">
        <f>VLOOKUP(D4007,Товар!$A$2:$F$1000,5,0)</f>
        <v/>
      </c>
      <c r="K4007">
        <f>IF(AND(H4007="Промышленный",LEFT(I4007,18)="Порошок стиральный",F4007="Продажа",B4007=DATE(2023,6,7)),E4007*J4007/1000,0)</f>
        <v/>
      </c>
    </row>
    <row r="4008">
      <c r="A4008" t="n">
        <v>4007</v>
      </c>
      <c r="B4008" s="1" t="n">
        <v>45091</v>
      </c>
      <c r="C4008" s="5" t="inlineStr">
        <is>
          <t>M15</t>
        </is>
      </c>
      <c r="D4008" s="5" t="n">
        <v>59</v>
      </c>
      <c r="E4008" s="5" t="n">
        <v>253</v>
      </c>
      <c r="F4008" t="inlineStr">
        <is>
          <t>Продажа</t>
        </is>
      </c>
      <c r="H4008">
        <f>VLOOKUP(C4008,Магазин!$A$2:$C$1000,2,0)</f>
        <v/>
      </c>
      <c r="I4008">
        <f>VLOOKUP(D4008,Товар!$A$2:$F$1000,3,0)</f>
        <v/>
      </c>
      <c r="J4008">
        <f>VLOOKUP(D4008,Товар!$A$2:$F$1000,5,0)</f>
        <v/>
      </c>
      <c r="K4008">
        <f>IF(AND(H4008="Промышленный",LEFT(I4008,18)="Порошок стиральный",F4008="Продажа",B4008=DATE(2023,6,7)),E4008*J4008/1000,0)</f>
        <v/>
      </c>
    </row>
    <row r="4009">
      <c r="A4009" t="n">
        <v>4008</v>
      </c>
      <c r="B4009" s="1" t="n">
        <v>45091</v>
      </c>
      <c r="C4009" s="5" t="inlineStr">
        <is>
          <t>M15</t>
        </is>
      </c>
      <c r="D4009" s="5" t="n">
        <v>60</v>
      </c>
      <c r="E4009" s="5" t="n">
        <v>261</v>
      </c>
      <c r="F4009" t="inlineStr">
        <is>
          <t>Продажа</t>
        </is>
      </c>
      <c r="H4009">
        <f>VLOOKUP(C4009,Магазин!$A$2:$C$1000,2,0)</f>
        <v/>
      </c>
      <c r="I4009">
        <f>VLOOKUP(D4009,Товар!$A$2:$F$1000,3,0)</f>
        <v/>
      </c>
      <c r="J4009">
        <f>VLOOKUP(D4009,Товар!$A$2:$F$1000,5,0)</f>
        <v/>
      </c>
      <c r="K4009">
        <f>IF(AND(H4009="Промышленный",LEFT(I4009,18)="Порошок стиральный",F4009="Продажа",B4009=DATE(2023,6,7)),E4009*J4009/1000,0)</f>
        <v/>
      </c>
    </row>
    <row r="4010">
      <c r="A4010" t="n">
        <v>4009</v>
      </c>
      <c r="B4010" s="1" t="n">
        <v>45091</v>
      </c>
      <c r="C4010" s="5" t="inlineStr">
        <is>
          <t>M18</t>
        </is>
      </c>
      <c r="D4010" s="5" t="n">
        <v>37</v>
      </c>
      <c r="E4010" s="5" t="n">
        <v>276</v>
      </c>
      <c r="F4010" t="inlineStr">
        <is>
          <t>Продажа</t>
        </is>
      </c>
      <c r="H4010">
        <f>VLOOKUP(C4010,Магазин!$A$2:$C$1000,2,0)</f>
        <v/>
      </c>
      <c r="I4010">
        <f>VLOOKUP(D4010,Товар!$A$2:$F$1000,3,0)</f>
        <v/>
      </c>
      <c r="J4010">
        <f>VLOOKUP(D4010,Товар!$A$2:$F$1000,5,0)</f>
        <v/>
      </c>
      <c r="K4010">
        <f>IF(AND(H4010="Промышленный",LEFT(I4010,18)="Порошок стиральный",F4010="Продажа",B4010=DATE(2023,6,7)),E4010*J4010/1000,0)</f>
        <v/>
      </c>
    </row>
    <row r="4011">
      <c r="A4011" t="n">
        <v>4010</v>
      </c>
      <c r="B4011" s="1" t="n">
        <v>45091</v>
      </c>
      <c r="C4011" s="5" t="inlineStr">
        <is>
          <t>M18</t>
        </is>
      </c>
      <c r="D4011" s="5" t="n">
        <v>38</v>
      </c>
      <c r="E4011" s="5" t="n">
        <v>205</v>
      </c>
      <c r="F4011" t="inlineStr">
        <is>
          <t>Продажа</t>
        </is>
      </c>
      <c r="H4011">
        <f>VLOOKUP(C4011,Магазин!$A$2:$C$1000,2,0)</f>
        <v/>
      </c>
      <c r="I4011">
        <f>VLOOKUP(D4011,Товар!$A$2:$F$1000,3,0)</f>
        <v/>
      </c>
      <c r="J4011">
        <f>VLOOKUP(D4011,Товар!$A$2:$F$1000,5,0)</f>
        <v/>
      </c>
      <c r="K4011">
        <f>IF(AND(H4011="Промышленный",LEFT(I4011,18)="Порошок стиральный",F4011="Продажа",B4011=DATE(2023,6,7)),E4011*J4011/1000,0)</f>
        <v/>
      </c>
    </row>
    <row r="4012">
      <c r="A4012" t="n">
        <v>4011</v>
      </c>
      <c r="B4012" s="1" t="n">
        <v>45091</v>
      </c>
      <c r="C4012" s="5" t="inlineStr">
        <is>
          <t>M18</t>
        </is>
      </c>
      <c r="D4012" s="5" t="n">
        <v>39</v>
      </c>
      <c r="E4012" s="5" t="n">
        <v>254</v>
      </c>
      <c r="F4012" t="inlineStr">
        <is>
          <t>Продажа</t>
        </is>
      </c>
      <c r="H4012">
        <f>VLOOKUP(C4012,Магазин!$A$2:$C$1000,2,0)</f>
        <v/>
      </c>
      <c r="I4012">
        <f>VLOOKUP(D4012,Товар!$A$2:$F$1000,3,0)</f>
        <v/>
      </c>
      <c r="J4012">
        <f>VLOOKUP(D4012,Товар!$A$2:$F$1000,5,0)</f>
        <v/>
      </c>
      <c r="K4012">
        <f>IF(AND(H4012="Промышленный",LEFT(I4012,18)="Порошок стиральный",F4012="Продажа",B4012=DATE(2023,6,7)),E4012*J4012/1000,0)</f>
        <v/>
      </c>
    </row>
    <row r="4013">
      <c r="A4013" t="n">
        <v>4012</v>
      </c>
      <c r="B4013" s="1" t="n">
        <v>45091</v>
      </c>
      <c r="C4013" s="5" t="inlineStr">
        <is>
          <t>M18</t>
        </is>
      </c>
      <c r="D4013" s="5" t="n">
        <v>40</v>
      </c>
      <c r="E4013" s="5" t="n">
        <v>268</v>
      </c>
      <c r="F4013" t="inlineStr">
        <is>
          <t>Продажа</t>
        </is>
      </c>
      <c r="H4013">
        <f>VLOOKUP(C4013,Магазин!$A$2:$C$1000,2,0)</f>
        <v/>
      </c>
      <c r="I4013">
        <f>VLOOKUP(D4013,Товар!$A$2:$F$1000,3,0)</f>
        <v/>
      </c>
      <c r="J4013">
        <f>VLOOKUP(D4013,Товар!$A$2:$F$1000,5,0)</f>
        <v/>
      </c>
      <c r="K4013">
        <f>IF(AND(H4013="Промышленный",LEFT(I4013,18)="Порошок стиральный",F4013="Продажа",B4013=DATE(2023,6,7)),E4013*J4013/1000,0)</f>
        <v/>
      </c>
    </row>
    <row r="4014">
      <c r="A4014" t="n">
        <v>4013</v>
      </c>
      <c r="B4014" s="1" t="n">
        <v>45091</v>
      </c>
      <c r="C4014" s="5" t="inlineStr">
        <is>
          <t>M18</t>
        </is>
      </c>
      <c r="D4014" s="5" t="n">
        <v>41</v>
      </c>
      <c r="E4014" s="5" t="n">
        <v>279</v>
      </c>
      <c r="F4014" t="inlineStr">
        <is>
          <t>Продажа</t>
        </is>
      </c>
      <c r="H4014">
        <f>VLOOKUP(C4014,Магазин!$A$2:$C$1000,2,0)</f>
        <v/>
      </c>
      <c r="I4014">
        <f>VLOOKUP(D4014,Товар!$A$2:$F$1000,3,0)</f>
        <v/>
      </c>
      <c r="J4014">
        <f>VLOOKUP(D4014,Товар!$A$2:$F$1000,5,0)</f>
        <v/>
      </c>
      <c r="K4014">
        <f>IF(AND(H4014="Промышленный",LEFT(I4014,18)="Порошок стиральный",F4014="Продажа",B4014=DATE(2023,6,7)),E4014*J4014/1000,0)</f>
        <v/>
      </c>
    </row>
    <row r="4015">
      <c r="A4015" t="n">
        <v>4014</v>
      </c>
      <c r="B4015" s="1" t="n">
        <v>45091</v>
      </c>
      <c r="C4015" s="5" t="inlineStr">
        <is>
          <t>M18</t>
        </is>
      </c>
      <c r="D4015" s="5" t="n">
        <v>42</v>
      </c>
      <c r="E4015" s="5" t="n">
        <v>281</v>
      </c>
      <c r="F4015" t="inlineStr">
        <is>
          <t>Продажа</t>
        </is>
      </c>
      <c r="H4015">
        <f>VLOOKUP(C4015,Магазин!$A$2:$C$1000,2,0)</f>
        <v/>
      </c>
      <c r="I4015">
        <f>VLOOKUP(D4015,Товар!$A$2:$F$1000,3,0)</f>
        <v/>
      </c>
      <c r="J4015">
        <f>VLOOKUP(D4015,Товар!$A$2:$F$1000,5,0)</f>
        <v/>
      </c>
      <c r="K4015">
        <f>IF(AND(H4015="Промышленный",LEFT(I4015,18)="Порошок стиральный",F4015="Продажа",B4015=DATE(2023,6,7)),E4015*J4015/1000,0)</f>
        <v/>
      </c>
    </row>
    <row r="4016">
      <c r="A4016" t="n">
        <v>4015</v>
      </c>
      <c r="B4016" s="1" t="n">
        <v>45091</v>
      </c>
      <c r="C4016" s="5" t="inlineStr">
        <is>
          <t>M18</t>
        </is>
      </c>
      <c r="D4016" s="5" t="n">
        <v>43</v>
      </c>
      <c r="E4016" s="5" t="n">
        <v>292</v>
      </c>
      <c r="F4016" t="inlineStr">
        <is>
          <t>Продажа</t>
        </is>
      </c>
      <c r="H4016">
        <f>VLOOKUP(C4016,Магазин!$A$2:$C$1000,2,0)</f>
        <v/>
      </c>
      <c r="I4016">
        <f>VLOOKUP(D4016,Товар!$A$2:$F$1000,3,0)</f>
        <v/>
      </c>
      <c r="J4016">
        <f>VLOOKUP(D4016,Товар!$A$2:$F$1000,5,0)</f>
        <v/>
      </c>
      <c r="K4016">
        <f>IF(AND(H4016="Промышленный",LEFT(I4016,18)="Порошок стиральный",F4016="Продажа",B4016=DATE(2023,6,7)),E4016*J4016/1000,0)</f>
        <v/>
      </c>
    </row>
    <row r="4017">
      <c r="A4017" t="n">
        <v>4016</v>
      </c>
      <c r="B4017" s="1" t="n">
        <v>45091</v>
      </c>
      <c r="C4017" s="5" t="inlineStr">
        <is>
          <t>M18</t>
        </is>
      </c>
      <c r="D4017" s="5" t="n">
        <v>44</v>
      </c>
      <c r="E4017" s="5" t="n">
        <v>203</v>
      </c>
      <c r="F4017" t="inlineStr">
        <is>
          <t>Продажа</t>
        </is>
      </c>
      <c r="H4017">
        <f>VLOOKUP(C4017,Магазин!$A$2:$C$1000,2,0)</f>
        <v/>
      </c>
      <c r="I4017">
        <f>VLOOKUP(D4017,Товар!$A$2:$F$1000,3,0)</f>
        <v/>
      </c>
      <c r="J4017">
        <f>VLOOKUP(D4017,Товар!$A$2:$F$1000,5,0)</f>
        <v/>
      </c>
      <c r="K4017">
        <f>IF(AND(H4017="Промышленный",LEFT(I4017,18)="Порошок стиральный",F4017="Продажа",B4017=DATE(2023,6,7)),E4017*J4017/1000,0)</f>
        <v/>
      </c>
    </row>
    <row r="4018">
      <c r="A4018" t="n">
        <v>4017</v>
      </c>
      <c r="B4018" s="1" t="n">
        <v>45091</v>
      </c>
      <c r="C4018" s="5" t="inlineStr">
        <is>
          <t>M18</t>
        </is>
      </c>
      <c r="D4018" s="5" t="n">
        <v>45</v>
      </c>
      <c r="E4018" s="5" t="n">
        <v>214</v>
      </c>
      <c r="F4018" t="inlineStr">
        <is>
          <t>Продажа</t>
        </is>
      </c>
      <c r="H4018">
        <f>VLOOKUP(C4018,Магазин!$A$2:$C$1000,2,0)</f>
        <v/>
      </c>
      <c r="I4018">
        <f>VLOOKUP(D4018,Товар!$A$2:$F$1000,3,0)</f>
        <v/>
      </c>
      <c r="J4018">
        <f>VLOOKUP(D4018,Товар!$A$2:$F$1000,5,0)</f>
        <v/>
      </c>
      <c r="K4018">
        <f>IF(AND(H4018="Промышленный",LEFT(I4018,18)="Порошок стиральный",F4018="Продажа",B4018=DATE(2023,6,7)),E4018*J4018/1000,0)</f>
        <v/>
      </c>
    </row>
    <row r="4019">
      <c r="A4019" t="n">
        <v>4018</v>
      </c>
      <c r="B4019" s="1" t="n">
        <v>45091</v>
      </c>
      <c r="C4019" s="5" t="inlineStr">
        <is>
          <t>M18</t>
        </is>
      </c>
      <c r="D4019" s="5" t="n">
        <v>46</v>
      </c>
      <c r="E4019" s="5" t="n">
        <v>225</v>
      </c>
      <c r="F4019" t="inlineStr">
        <is>
          <t>Продажа</t>
        </is>
      </c>
      <c r="H4019">
        <f>VLOOKUP(C4019,Магазин!$A$2:$C$1000,2,0)</f>
        <v/>
      </c>
      <c r="I4019">
        <f>VLOOKUP(D4019,Товар!$A$2:$F$1000,3,0)</f>
        <v/>
      </c>
      <c r="J4019">
        <f>VLOOKUP(D4019,Товар!$A$2:$F$1000,5,0)</f>
        <v/>
      </c>
      <c r="K4019">
        <f>IF(AND(H4019="Промышленный",LEFT(I4019,18)="Порошок стиральный",F4019="Продажа",B4019=DATE(2023,6,7)),E4019*J4019/1000,0)</f>
        <v/>
      </c>
    </row>
    <row r="4020">
      <c r="A4020" t="n">
        <v>4019</v>
      </c>
      <c r="B4020" s="1" t="n">
        <v>45091</v>
      </c>
      <c r="C4020" s="5" t="inlineStr">
        <is>
          <t>M18</t>
        </is>
      </c>
      <c r="D4020" s="5" t="n">
        <v>47</v>
      </c>
      <c r="E4020" s="5" t="n">
        <v>236</v>
      </c>
      <c r="F4020" t="inlineStr">
        <is>
          <t>Продажа</t>
        </is>
      </c>
      <c r="H4020">
        <f>VLOOKUP(C4020,Магазин!$A$2:$C$1000,2,0)</f>
        <v/>
      </c>
      <c r="I4020">
        <f>VLOOKUP(D4020,Товар!$A$2:$F$1000,3,0)</f>
        <v/>
      </c>
      <c r="J4020">
        <f>VLOOKUP(D4020,Товар!$A$2:$F$1000,5,0)</f>
        <v/>
      </c>
      <c r="K4020">
        <f>IF(AND(H4020="Промышленный",LEFT(I4020,18)="Порошок стиральный",F4020="Продажа",B4020=DATE(2023,6,7)),E4020*J4020/1000,0)</f>
        <v/>
      </c>
    </row>
    <row r="4021">
      <c r="A4021" t="n">
        <v>4020</v>
      </c>
      <c r="B4021" s="1" t="n">
        <v>45091</v>
      </c>
      <c r="C4021" s="5" t="inlineStr">
        <is>
          <t>M18</t>
        </is>
      </c>
      <c r="D4021" s="5" t="n">
        <v>48</v>
      </c>
      <c r="E4021" s="5" t="n">
        <v>247</v>
      </c>
      <c r="F4021" t="inlineStr">
        <is>
          <t>Продажа</t>
        </is>
      </c>
      <c r="H4021">
        <f>VLOOKUP(C4021,Магазин!$A$2:$C$1000,2,0)</f>
        <v/>
      </c>
      <c r="I4021">
        <f>VLOOKUP(D4021,Товар!$A$2:$F$1000,3,0)</f>
        <v/>
      </c>
      <c r="J4021">
        <f>VLOOKUP(D4021,Товар!$A$2:$F$1000,5,0)</f>
        <v/>
      </c>
      <c r="K4021">
        <f>IF(AND(H4021="Промышленный",LEFT(I4021,18)="Порошок стиральный",F4021="Продажа",B4021=DATE(2023,6,7)),E4021*J4021/1000,0)</f>
        <v/>
      </c>
    </row>
    <row r="4022">
      <c r="A4022" t="n">
        <v>4021</v>
      </c>
      <c r="B4022" s="1" t="n">
        <v>45091</v>
      </c>
      <c r="C4022" s="5" t="inlineStr">
        <is>
          <t>M18</t>
        </is>
      </c>
      <c r="D4022" s="5" t="n">
        <v>49</v>
      </c>
      <c r="E4022" s="5" t="n">
        <v>258</v>
      </c>
      <c r="F4022" t="inlineStr">
        <is>
          <t>Продажа</t>
        </is>
      </c>
      <c r="H4022">
        <f>VLOOKUP(C4022,Магазин!$A$2:$C$1000,2,0)</f>
        <v/>
      </c>
      <c r="I4022">
        <f>VLOOKUP(D4022,Товар!$A$2:$F$1000,3,0)</f>
        <v/>
      </c>
      <c r="J4022">
        <f>VLOOKUP(D4022,Товар!$A$2:$F$1000,5,0)</f>
        <v/>
      </c>
      <c r="K4022">
        <f>IF(AND(H4022="Промышленный",LEFT(I4022,18)="Порошок стиральный",F4022="Продажа",B4022=DATE(2023,6,7)),E4022*J4022/1000,0)</f>
        <v/>
      </c>
    </row>
    <row r="4023">
      <c r="A4023" t="n">
        <v>4022</v>
      </c>
      <c r="B4023" s="1" t="n">
        <v>45091</v>
      </c>
      <c r="C4023" s="5" t="inlineStr">
        <is>
          <t>M18</t>
        </is>
      </c>
      <c r="D4023" s="5" t="n">
        <v>50</v>
      </c>
      <c r="E4023" s="5" t="n">
        <v>256</v>
      </c>
      <c r="F4023" t="inlineStr">
        <is>
          <t>Продажа</t>
        </is>
      </c>
      <c r="H4023">
        <f>VLOOKUP(C4023,Магазин!$A$2:$C$1000,2,0)</f>
        <v/>
      </c>
      <c r="I4023">
        <f>VLOOKUP(D4023,Товар!$A$2:$F$1000,3,0)</f>
        <v/>
      </c>
      <c r="J4023">
        <f>VLOOKUP(D4023,Товар!$A$2:$F$1000,5,0)</f>
        <v/>
      </c>
      <c r="K4023">
        <f>IF(AND(H4023="Промышленный",LEFT(I4023,18)="Порошок стиральный",F4023="Продажа",B4023=DATE(2023,6,7)),E4023*J4023/1000,0)</f>
        <v/>
      </c>
    </row>
    <row r="4024">
      <c r="A4024" t="n">
        <v>4023</v>
      </c>
      <c r="B4024" s="1" t="n">
        <v>45091</v>
      </c>
      <c r="C4024" s="5" t="inlineStr">
        <is>
          <t>M18</t>
        </is>
      </c>
      <c r="D4024" s="5" t="n">
        <v>51</v>
      </c>
      <c r="E4024" s="5" t="n">
        <v>269</v>
      </c>
      <c r="F4024" t="inlineStr">
        <is>
          <t>Продажа</t>
        </is>
      </c>
      <c r="H4024">
        <f>VLOOKUP(C4024,Магазин!$A$2:$C$1000,2,0)</f>
        <v/>
      </c>
      <c r="I4024">
        <f>VLOOKUP(D4024,Товар!$A$2:$F$1000,3,0)</f>
        <v/>
      </c>
      <c r="J4024">
        <f>VLOOKUP(D4024,Товар!$A$2:$F$1000,5,0)</f>
        <v/>
      </c>
      <c r="K4024">
        <f>IF(AND(H4024="Промышленный",LEFT(I4024,18)="Порошок стиральный",F4024="Продажа",B4024=DATE(2023,6,7)),E4024*J4024/1000,0)</f>
        <v/>
      </c>
    </row>
    <row r="4025">
      <c r="A4025" t="n">
        <v>4024</v>
      </c>
      <c r="B4025" s="1" t="n">
        <v>45091</v>
      </c>
      <c r="C4025" s="5" t="inlineStr">
        <is>
          <t>M18</t>
        </is>
      </c>
      <c r="D4025" s="5" t="n">
        <v>52</v>
      </c>
      <c r="E4025" s="5" t="n">
        <v>204</v>
      </c>
      <c r="F4025" t="inlineStr">
        <is>
          <t>Продажа</t>
        </is>
      </c>
      <c r="H4025">
        <f>VLOOKUP(C4025,Магазин!$A$2:$C$1000,2,0)</f>
        <v/>
      </c>
      <c r="I4025">
        <f>VLOOKUP(D4025,Товар!$A$2:$F$1000,3,0)</f>
        <v/>
      </c>
      <c r="J4025">
        <f>VLOOKUP(D4025,Товар!$A$2:$F$1000,5,0)</f>
        <v/>
      </c>
      <c r="K4025">
        <f>IF(AND(H4025="Промышленный",LEFT(I4025,18)="Порошок стиральный",F4025="Продажа",B4025=DATE(2023,6,7)),E4025*J4025/1000,0)</f>
        <v/>
      </c>
    </row>
    <row r="4026">
      <c r="A4026" t="n">
        <v>4025</v>
      </c>
      <c r="B4026" s="1" t="n">
        <v>45091</v>
      </c>
      <c r="C4026" s="5" t="inlineStr">
        <is>
          <t>M18</t>
        </is>
      </c>
      <c r="D4026" s="5" t="n">
        <v>53</v>
      </c>
      <c r="E4026" s="5" t="n">
        <v>206</v>
      </c>
      <c r="F4026" t="inlineStr">
        <is>
          <t>Продажа</t>
        </is>
      </c>
      <c r="H4026">
        <f>VLOOKUP(C4026,Магазин!$A$2:$C$1000,2,0)</f>
        <v/>
      </c>
      <c r="I4026">
        <f>VLOOKUP(D4026,Товар!$A$2:$F$1000,3,0)</f>
        <v/>
      </c>
      <c r="J4026">
        <f>VLOOKUP(D4026,Товар!$A$2:$F$1000,5,0)</f>
        <v/>
      </c>
      <c r="K4026">
        <f>IF(AND(H4026="Промышленный",LEFT(I4026,18)="Порошок стиральный",F4026="Продажа",B4026=DATE(2023,6,7)),E4026*J4026/1000,0)</f>
        <v/>
      </c>
    </row>
    <row r="4027">
      <c r="A4027" t="n">
        <v>4026</v>
      </c>
      <c r="B4027" s="1" t="n">
        <v>45091</v>
      </c>
      <c r="C4027" s="5" t="inlineStr">
        <is>
          <t>M18</t>
        </is>
      </c>
      <c r="D4027" s="5" t="n">
        <v>54</v>
      </c>
      <c r="E4027" s="5" t="n">
        <v>208</v>
      </c>
      <c r="F4027" t="inlineStr">
        <is>
          <t>Продажа</t>
        </is>
      </c>
      <c r="H4027">
        <f>VLOOKUP(C4027,Магазин!$A$2:$C$1000,2,0)</f>
        <v/>
      </c>
      <c r="I4027">
        <f>VLOOKUP(D4027,Товар!$A$2:$F$1000,3,0)</f>
        <v/>
      </c>
      <c r="J4027">
        <f>VLOOKUP(D4027,Товар!$A$2:$F$1000,5,0)</f>
        <v/>
      </c>
      <c r="K4027">
        <f>IF(AND(H4027="Промышленный",LEFT(I4027,18)="Порошок стиральный",F4027="Продажа",B4027=DATE(2023,6,7)),E4027*J4027/1000,0)</f>
        <v/>
      </c>
    </row>
    <row r="4028">
      <c r="A4028" t="n">
        <v>4027</v>
      </c>
      <c r="B4028" s="1" t="n">
        <v>45091</v>
      </c>
      <c r="C4028" s="5" t="inlineStr">
        <is>
          <t>M18</t>
        </is>
      </c>
      <c r="D4028" s="5" t="n">
        <v>55</v>
      </c>
      <c r="E4028" s="5" t="n">
        <v>209</v>
      </c>
      <c r="F4028" t="inlineStr">
        <is>
          <t>Продажа</t>
        </is>
      </c>
      <c r="H4028">
        <f>VLOOKUP(C4028,Магазин!$A$2:$C$1000,2,0)</f>
        <v/>
      </c>
      <c r="I4028">
        <f>VLOOKUP(D4028,Товар!$A$2:$F$1000,3,0)</f>
        <v/>
      </c>
      <c r="J4028">
        <f>VLOOKUP(D4028,Товар!$A$2:$F$1000,5,0)</f>
        <v/>
      </c>
      <c r="K4028">
        <f>IF(AND(H4028="Промышленный",LEFT(I4028,18)="Порошок стиральный",F4028="Продажа",B4028=DATE(2023,6,7)),E4028*J4028/1000,0)</f>
        <v/>
      </c>
    </row>
    <row r="4029">
      <c r="A4029" t="n">
        <v>4028</v>
      </c>
      <c r="B4029" s="1" t="n">
        <v>45091</v>
      </c>
      <c r="C4029" s="5" t="inlineStr">
        <is>
          <t>M18</t>
        </is>
      </c>
      <c r="D4029" s="5" t="n">
        <v>56</v>
      </c>
      <c r="E4029" s="5" t="n">
        <v>299</v>
      </c>
      <c r="F4029" t="inlineStr">
        <is>
          <t>Продажа</t>
        </is>
      </c>
      <c r="H4029">
        <f>VLOOKUP(C4029,Магазин!$A$2:$C$1000,2,0)</f>
        <v/>
      </c>
      <c r="I4029">
        <f>VLOOKUP(D4029,Товар!$A$2:$F$1000,3,0)</f>
        <v/>
      </c>
      <c r="J4029">
        <f>VLOOKUP(D4029,Товар!$A$2:$F$1000,5,0)</f>
        <v/>
      </c>
      <c r="K4029">
        <f>IF(AND(H4029="Промышленный",LEFT(I4029,18)="Порошок стиральный",F4029="Продажа",B4029=DATE(2023,6,7)),E4029*J4029/1000,0)</f>
        <v/>
      </c>
    </row>
    <row r="4030">
      <c r="A4030" t="n">
        <v>4029</v>
      </c>
      <c r="B4030" s="1" t="n">
        <v>45091</v>
      </c>
      <c r="C4030" s="5" t="inlineStr">
        <is>
          <t>M18</t>
        </is>
      </c>
      <c r="D4030" s="5" t="n">
        <v>57</v>
      </c>
      <c r="E4030" s="5" t="n">
        <v>275</v>
      </c>
      <c r="F4030" t="inlineStr">
        <is>
          <t>Продажа</t>
        </is>
      </c>
      <c r="H4030">
        <f>VLOOKUP(C4030,Магазин!$A$2:$C$1000,2,0)</f>
        <v/>
      </c>
      <c r="I4030">
        <f>VLOOKUP(D4030,Товар!$A$2:$F$1000,3,0)</f>
        <v/>
      </c>
      <c r="J4030">
        <f>VLOOKUP(D4030,Товар!$A$2:$F$1000,5,0)</f>
        <v/>
      </c>
      <c r="K4030">
        <f>IF(AND(H4030="Промышленный",LEFT(I4030,18)="Порошок стиральный",F4030="Продажа",B4030=DATE(2023,6,7)),E4030*J4030/1000,0)</f>
        <v/>
      </c>
    </row>
    <row r="4031">
      <c r="A4031" t="n">
        <v>4030</v>
      </c>
      <c r="B4031" s="1" t="n">
        <v>45091</v>
      </c>
      <c r="C4031" s="5" t="inlineStr">
        <is>
          <t>M18</t>
        </is>
      </c>
      <c r="D4031" s="5" t="n">
        <v>58</v>
      </c>
      <c r="E4031" s="5" t="n">
        <v>234</v>
      </c>
      <c r="F4031" t="inlineStr">
        <is>
          <t>Продажа</t>
        </is>
      </c>
      <c r="H4031">
        <f>VLOOKUP(C4031,Магазин!$A$2:$C$1000,2,0)</f>
        <v/>
      </c>
      <c r="I4031">
        <f>VLOOKUP(D4031,Товар!$A$2:$F$1000,3,0)</f>
        <v/>
      </c>
      <c r="J4031">
        <f>VLOOKUP(D4031,Товар!$A$2:$F$1000,5,0)</f>
        <v/>
      </c>
      <c r="K4031">
        <f>IF(AND(H4031="Промышленный",LEFT(I4031,18)="Порошок стиральный",F4031="Продажа",B4031=DATE(2023,6,7)),E4031*J4031/1000,0)</f>
        <v/>
      </c>
    </row>
    <row r="4032">
      <c r="A4032" t="n">
        <v>4031</v>
      </c>
      <c r="B4032" s="1" t="n">
        <v>45091</v>
      </c>
      <c r="C4032" s="5" t="inlineStr">
        <is>
          <t>M18</t>
        </is>
      </c>
      <c r="D4032" s="5" t="n">
        <v>59</v>
      </c>
      <c r="E4032" s="5" t="n">
        <v>228</v>
      </c>
      <c r="F4032" t="inlineStr">
        <is>
          <t>Продажа</t>
        </is>
      </c>
      <c r="H4032">
        <f>VLOOKUP(C4032,Магазин!$A$2:$C$1000,2,0)</f>
        <v/>
      </c>
      <c r="I4032">
        <f>VLOOKUP(D4032,Товар!$A$2:$F$1000,3,0)</f>
        <v/>
      </c>
      <c r="J4032">
        <f>VLOOKUP(D4032,Товар!$A$2:$F$1000,5,0)</f>
        <v/>
      </c>
      <c r="K4032">
        <f>IF(AND(H4032="Промышленный",LEFT(I4032,18)="Порошок стиральный",F4032="Продажа",B4032=DATE(2023,6,7)),E4032*J4032/1000,0)</f>
        <v/>
      </c>
    </row>
    <row r="4033">
      <c r="A4033" t="n">
        <v>4032</v>
      </c>
      <c r="B4033" s="1" t="n">
        <v>45091</v>
      </c>
      <c r="C4033" s="5" t="inlineStr">
        <is>
          <t>M18</t>
        </is>
      </c>
      <c r="D4033" s="5" t="n">
        <v>60</v>
      </c>
      <c r="E4033" s="5" t="n">
        <v>217</v>
      </c>
      <c r="F4033" t="inlineStr">
        <is>
          <t>Продажа</t>
        </is>
      </c>
      <c r="H4033">
        <f>VLOOKUP(C4033,Магазин!$A$2:$C$1000,2,0)</f>
        <v/>
      </c>
      <c r="I4033">
        <f>VLOOKUP(D4033,Товар!$A$2:$F$1000,3,0)</f>
        <v/>
      </c>
      <c r="J4033">
        <f>VLOOKUP(D4033,Товар!$A$2:$F$1000,5,0)</f>
        <v/>
      </c>
      <c r="K4033">
        <f>IF(AND(H4033="Промышленный",LEFT(I4033,18)="Порошок стиральный",F4033="Продажа",B4033=DATE(2023,6,7)),E4033*J4033/1000,0)</f>
        <v/>
      </c>
    </row>
    <row r="4034">
      <c r="A4034" t="n">
        <v>4033</v>
      </c>
      <c r="B4034" s="1" t="n">
        <v>45091</v>
      </c>
      <c r="C4034" s="5" t="inlineStr">
        <is>
          <t>M2</t>
        </is>
      </c>
      <c r="D4034" s="5" t="n">
        <v>37</v>
      </c>
      <c r="E4034" s="5" t="n">
        <v>258</v>
      </c>
      <c r="F4034" t="inlineStr">
        <is>
          <t>Продажа</t>
        </is>
      </c>
      <c r="H4034">
        <f>VLOOKUP(C4034,Магазин!$A$2:$C$1000,2,0)</f>
        <v/>
      </c>
      <c r="I4034">
        <f>VLOOKUP(D4034,Товар!$A$2:$F$1000,3,0)</f>
        <v/>
      </c>
      <c r="J4034">
        <f>VLOOKUP(D4034,Товар!$A$2:$F$1000,5,0)</f>
        <v/>
      </c>
      <c r="K4034">
        <f>IF(AND(H4034="Промышленный",LEFT(I4034,18)="Порошок стиральный",F4034="Продажа",B4034=DATE(2023,6,7)),E4034*J4034/1000,0)</f>
        <v/>
      </c>
    </row>
    <row r="4035">
      <c r="A4035" t="n">
        <v>4034</v>
      </c>
      <c r="B4035" s="1" t="n">
        <v>45091</v>
      </c>
      <c r="C4035" s="5" t="inlineStr">
        <is>
          <t>M2</t>
        </is>
      </c>
      <c r="D4035" s="5" t="n">
        <v>38</v>
      </c>
      <c r="E4035" s="5" t="n">
        <v>199</v>
      </c>
      <c r="F4035" t="inlineStr">
        <is>
          <t>Продажа</t>
        </is>
      </c>
      <c r="H4035">
        <f>VLOOKUP(C4035,Магазин!$A$2:$C$1000,2,0)</f>
        <v/>
      </c>
      <c r="I4035">
        <f>VLOOKUP(D4035,Товар!$A$2:$F$1000,3,0)</f>
        <v/>
      </c>
      <c r="J4035">
        <f>VLOOKUP(D4035,Товар!$A$2:$F$1000,5,0)</f>
        <v/>
      </c>
      <c r="K4035">
        <f>IF(AND(H4035="Промышленный",LEFT(I4035,18)="Порошок стиральный",F4035="Продажа",B4035=DATE(2023,6,7)),E4035*J4035/1000,0)</f>
        <v/>
      </c>
    </row>
    <row r="4036">
      <c r="A4036" t="n">
        <v>4035</v>
      </c>
      <c r="B4036" s="1" t="n">
        <v>45091</v>
      </c>
      <c r="C4036" s="5" t="inlineStr">
        <is>
          <t>M2</t>
        </is>
      </c>
      <c r="D4036" s="5" t="n">
        <v>39</v>
      </c>
      <c r="E4036" s="5" t="n">
        <v>248</v>
      </c>
      <c r="F4036" t="inlineStr">
        <is>
          <t>Продажа</t>
        </is>
      </c>
      <c r="H4036">
        <f>VLOOKUP(C4036,Магазин!$A$2:$C$1000,2,0)</f>
        <v/>
      </c>
      <c r="I4036">
        <f>VLOOKUP(D4036,Товар!$A$2:$F$1000,3,0)</f>
        <v/>
      </c>
      <c r="J4036">
        <f>VLOOKUP(D4036,Товар!$A$2:$F$1000,5,0)</f>
        <v/>
      </c>
      <c r="K4036">
        <f>IF(AND(H4036="Промышленный",LEFT(I4036,18)="Порошок стиральный",F4036="Продажа",B4036=DATE(2023,6,7)),E4036*J4036/1000,0)</f>
        <v/>
      </c>
    </row>
    <row r="4037">
      <c r="A4037" t="n">
        <v>4036</v>
      </c>
      <c r="B4037" s="1" t="n">
        <v>45091</v>
      </c>
      <c r="C4037" s="5" t="inlineStr">
        <is>
          <t>M2</t>
        </is>
      </c>
      <c r="D4037" s="5" t="n">
        <v>40</v>
      </c>
      <c r="E4037" s="5" t="n">
        <v>236</v>
      </c>
      <c r="F4037" t="inlineStr">
        <is>
          <t>Продажа</t>
        </is>
      </c>
      <c r="H4037">
        <f>VLOOKUP(C4037,Магазин!$A$2:$C$1000,2,0)</f>
        <v/>
      </c>
      <c r="I4037">
        <f>VLOOKUP(D4037,Товар!$A$2:$F$1000,3,0)</f>
        <v/>
      </c>
      <c r="J4037">
        <f>VLOOKUP(D4037,Товар!$A$2:$F$1000,5,0)</f>
        <v/>
      </c>
      <c r="K4037">
        <f>IF(AND(H4037="Промышленный",LEFT(I4037,18)="Порошок стиральный",F4037="Продажа",B4037=DATE(2023,6,7)),E4037*J4037/1000,0)</f>
        <v/>
      </c>
    </row>
    <row r="4038">
      <c r="A4038" t="n">
        <v>4037</v>
      </c>
      <c r="B4038" s="1" t="n">
        <v>45091</v>
      </c>
      <c r="C4038" s="5" t="inlineStr">
        <is>
          <t>M2</t>
        </is>
      </c>
      <c r="D4038" s="5" t="n">
        <v>41</v>
      </c>
      <c r="E4038" s="5" t="n">
        <v>287</v>
      </c>
      <c r="F4038" t="inlineStr">
        <is>
          <t>Продажа</t>
        </is>
      </c>
      <c r="H4038">
        <f>VLOOKUP(C4038,Магазин!$A$2:$C$1000,2,0)</f>
        <v/>
      </c>
      <c r="I4038">
        <f>VLOOKUP(D4038,Товар!$A$2:$F$1000,3,0)</f>
        <v/>
      </c>
      <c r="J4038">
        <f>VLOOKUP(D4038,Товар!$A$2:$F$1000,5,0)</f>
        <v/>
      </c>
      <c r="K4038">
        <f>IF(AND(H4038="Промышленный",LEFT(I4038,18)="Порошок стиральный",F4038="Продажа",B4038=DATE(2023,6,7)),E4038*J4038/1000,0)</f>
        <v/>
      </c>
    </row>
    <row r="4039">
      <c r="A4039" t="n">
        <v>4038</v>
      </c>
      <c r="B4039" s="1" t="n">
        <v>45091</v>
      </c>
      <c r="C4039" s="5" t="inlineStr">
        <is>
          <t>M2</t>
        </is>
      </c>
      <c r="D4039" s="5" t="n">
        <v>42</v>
      </c>
      <c r="E4039" s="5" t="n">
        <v>265</v>
      </c>
      <c r="F4039" t="inlineStr">
        <is>
          <t>Продажа</t>
        </is>
      </c>
      <c r="H4039">
        <f>VLOOKUP(C4039,Магазин!$A$2:$C$1000,2,0)</f>
        <v/>
      </c>
      <c r="I4039">
        <f>VLOOKUP(D4039,Товар!$A$2:$F$1000,3,0)</f>
        <v/>
      </c>
      <c r="J4039">
        <f>VLOOKUP(D4039,Товар!$A$2:$F$1000,5,0)</f>
        <v/>
      </c>
      <c r="K4039">
        <f>IF(AND(H4039="Промышленный",LEFT(I4039,18)="Порошок стиральный",F4039="Продажа",B4039=DATE(2023,6,7)),E4039*J4039/1000,0)</f>
        <v/>
      </c>
    </row>
    <row r="4040">
      <c r="A4040" t="n">
        <v>4039</v>
      </c>
      <c r="B4040" s="1" t="n">
        <v>45091</v>
      </c>
      <c r="C4040" s="5" t="inlineStr">
        <is>
          <t>M2</t>
        </is>
      </c>
      <c r="D4040" s="5" t="n">
        <v>43</v>
      </c>
      <c r="E4040" s="5" t="n">
        <v>234</v>
      </c>
      <c r="F4040" t="inlineStr">
        <is>
          <t>Продажа</t>
        </is>
      </c>
      <c r="H4040">
        <f>VLOOKUP(C4040,Магазин!$A$2:$C$1000,2,0)</f>
        <v/>
      </c>
      <c r="I4040">
        <f>VLOOKUP(D4040,Товар!$A$2:$F$1000,3,0)</f>
        <v/>
      </c>
      <c r="J4040">
        <f>VLOOKUP(D4040,Товар!$A$2:$F$1000,5,0)</f>
        <v/>
      </c>
      <c r="K4040">
        <f>IF(AND(H4040="Промышленный",LEFT(I4040,18)="Порошок стиральный",F4040="Продажа",B4040=DATE(2023,6,7)),E4040*J4040/1000,0)</f>
        <v/>
      </c>
    </row>
    <row r="4041">
      <c r="A4041" t="n">
        <v>4040</v>
      </c>
      <c r="B4041" s="1" t="n">
        <v>45091</v>
      </c>
      <c r="C4041" s="5" t="inlineStr">
        <is>
          <t>M2</t>
        </is>
      </c>
      <c r="D4041" s="5" t="n">
        <v>44</v>
      </c>
      <c r="E4041" s="5" t="n">
        <v>258</v>
      </c>
      <c r="F4041" t="inlineStr">
        <is>
          <t>Продажа</t>
        </is>
      </c>
      <c r="H4041">
        <f>VLOOKUP(C4041,Магазин!$A$2:$C$1000,2,0)</f>
        <v/>
      </c>
      <c r="I4041">
        <f>VLOOKUP(D4041,Товар!$A$2:$F$1000,3,0)</f>
        <v/>
      </c>
      <c r="J4041">
        <f>VLOOKUP(D4041,Товар!$A$2:$F$1000,5,0)</f>
        <v/>
      </c>
      <c r="K4041">
        <f>IF(AND(H4041="Промышленный",LEFT(I4041,18)="Порошок стиральный",F4041="Продажа",B4041=DATE(2023,6,7)),E4041*J4041/1000,0)</f>
        <v/>
      </c>
    </row>
    <row r="4042">
      <c r="A4042" t="n">
        <v>4041</v>
      </c>
      <c r="B4042" s="1" t="n">
        <v>45091</v>
      </c>
      <c r="C4042" s="5" t="inlineStr">
        <is>
          <t>M2</t>
        </is>
      </c>
      <c r="D4042" s="5" t="n">
        <v>45</v>
      </c>
      <c r="E4042" s="5" t="n">
        <v>264</v>
      </c>
      <c r="F4042" t="inlineStr">
        <is>
          <t>Продажа</t>
        </is>
      </c>
      <c r="H4042">
        <f>VLOOKUP(C4042,Магазин!$A$2:$C$1000,2,0)</f>
        <v/>
      </c>
      <c r="I4042">
        <f>VLOOKUP(D4042,Товар!$A$2:$F$1000,3,0)</f>
        <v/>
      </c>
      <c r="J4042">
        <f>VLOOKUP(D4042,Товар!$A$2:$F$1000,5,0)</f>
        <v/>
      </c>
      <c r="K4042">
        <f>IF(AND(H4042="Промышленный",LEFT(I4042,18)="Порошок стиральный",F4042="Продажа",B4042=DATE(2023,6,7)),E4042*J4042/1000,0)</f>
        <v/>
      </c>
    </row>
    <row r="4043">
      <c r="A4043" t="n">
        <v>4042</v>
      </c>
      <c r="B4043" s="1" t="n">
        <v>45091</v>
      </c>
      <c r="C4043" s="5" t="inlineStr">
        <is>
          <t>M2</t>
        </is>
      </c>
      <c r="D4043" s="5" t="n">
        <v>46</v>
      </c>
      <c r="E4043" s="5" t="n">
        <v>237</v>
      </c>
      <c r="F4043" t="inlineStr">
        <is>
          <t>Продажа</t>
        </is>
      </c>
      <c r="H4043">
        <f>VLOOKUP(C4043,Магазин!$A$2:$C$1000,2,0)</f>
        <v/>
      </c>
      <c r="I4043">
        <f>VLOOKUP(D4043,Товар!$A$2:$F$1000,3,0)</f>
        <v/>
      </c>
      <c r="J4043">
        <f>VLOOKUP(D4043,Товар!$A$2:$F$1000,5,0)</f>
        <v/>
      </c>
      <c r="K4043">
        <f>IF(AND(H4043="Промышленный",LEFT(I4043,18)="Порошок стиральный",F4043="Продажа",B4043=DATE(2023,6,7)),E4043*J4043/1000,0)</f>
        <v/>
      </c>
    </row>
    <row r="4044">
      <c r="A4044" t="n">
        <v>4043</v>
      </c>
      <c r="B4044" s="1" t="n">
        <v>45091</v>
      </c>
      <c r="C4044" s="5" t="inlineStr">
        <is>
          <t>M2</t>
        </is>
      </c>
      <c r="D4044" s="5" t="n">
        <v>47</v>
      </c>
      <c r="E4044" s="5" t="n">
        <v>218</v>
      </c>
      <c r="F4044" t="inlineStr">
        <is>
          <t>Продажа</t>
        </is>
      </c>
      <c r="H4044">
        <f>VLOOKUP(C4044,Магазин!$A$2:$C$1000,2,0)</f>
        <v/>
      </c>
      <c r="I4044">
        <f>VLOOKUP(D4044,Товар!$A$2:$F$1000,3,0)</f>
        <v/>
      </c>
      <c r="J4044">
        <f>VLOOKUP(D4044,Товар!$A$2:$F$1000,5,0)</f>
        <v/>
      </c>
      <c r="K4044">
        <f>IF(AND(H4044="Промышленный",LEFT(I4044,18)="Порошок стиральный",F4044="Продажа",B4044=DATE(2023,6,7)),E4044*J4044/1000,0)</f>
        <v/>
      </c>
    </row>
    <row r="4045">
      <c r="A4045" t="n">
        <v>4044</v>
      </c>
      <c r="B4045" s="1" t="n">
        <v>45091</v>
      </c>
      <c r="C4045" s="5" t="inlineStr">
        <is>
          <t>M2</t>
        </is>
      </c>
      <c r="D4045" s="5" t="n">
        <v>48</v>
      </c>
      <c r="E4045" s="5" t="n">
        <v>249</v>
      </c>
      <c r="F4045" t="inlineStr">
        <is>
          <t>Продажа</t>
        </is>
      </c>
      <c r="H4045">
        <f>VLOOKUP(C4045,Магазин!$A$2:$C$1000,2,0)</f>
        <v/>
      </c>
      <c r="I4045">
        <f>VLOOKUP(D4045,Товар!$A$2:$F$1000,3,0)</f>
        <v/>
      </c>
      <c r="J4045">
        <f>VLOOKUP(D4045,Товар!$A$2:$F$1000,5,0)</f>
        <v/>
      </c>
      <c r="K4045">
        <f>IF(AND(H4045="Промышленный",LEFT(I4045,18)="Порошок стиральный",F4045="Продажа",B4045=DATE(2023,6,7)),E4045*J4045/1000,0)</f>
        <v/>
      </c>
    </row>
    <row r="4046">
      <c r="A4046" t="n">
        <v>4045</v>
      </c>
      <c r="B4046" s="1" t="n">
        <v>45091</v>
      </c>
      <c r="C4046" s="5" t="inlineStr">
        <is>
          <t>M2</t>
        </is>
      </c>
      <c r="D4046" s="5" t="n">
        <v>49</v>
      </c>
      <c r="E4046" s="5" t="n">
        <v>273</v>
      </c>
      <c r="F4046" t="inlineStr">
        <is>
          <t>Продажа</t>
        </is>
      </c>
      <c r="H4046">
        <f>VLOOKUP(C4046,Магазин!$A$2:$C$1000,2,0)</f>
        <v/>
      </c>
      <c r="I4046">
        <f>VLOOKUP(D4046,Товар!$A$2:$F$1000,3,0)</f>
        <v/>
      </c>
      <c r="J4046">
        <f>VLOOKUP(D4046,Товар!$A$2:$F$1000,5,0)</f>
        <v/>
      </c>
      <c r="K4046">
        <f>IF(AND(H4046="Промышленный",LEFT(I4046,18)="Порошок стиральный",F4046="Продажа",B4046=DATE(2023,6,7)),E4046*J4046/1000,0)</f>
        <v/>
      </c>
    </row>
    <row r="4047">
      <c r="A4047" t="n">
        <v>4046</v>
      </c>
      <c r="B4047" s="1" t="n">
        <v>45091</v>
      </c>
      <c r="C4047" s="5" t="inlineStr">
        <is>
          <t>M2</t>
        </is>
      </c>
      <c r="D4047" s="5" t="n">
        <v>50</v>
      </c>
      <c r="E4047" s="5" t="n">
        <v>284</v>
      </c>
      <c r="F4047" t="inlineStr">
        <is>
          <t>Продажа</t>
        </is>
      </c>
      <c r="H4047">
        <f>VLOOKUP(C4047,Магазин!$A$2:$C$1000,2,0)</f>
        <v/>
      </c>
      <c r="I4047">
        <f>VLOOKUP(D4047,Товар!$A$2:$F$1000,3,0)</f>
        <v/>
      </c>
      <c r="J4047">
        <f>VLOOKUP(D4047,Товар!$A$2:$F$1000,5,0)</f>
        <v/>
      </c>
      <c r="K4047">
        <f>IF(AND(H4047="Промышленный",LEFT(I4047,18)="Порошок стиральный",F4047="Продажа",B4047=DATE(2023,6,7)),E4047*J4047/1000,0)</f>
        <v/>
      </c>
    </row>
    <row r="4048">
      <c r="A4048" t="n">
        <v>4047</v>
      </c>
      <c r="B4048" s="1" t="n">
        <v>45091</v>
      </c>
      <c r="C4048" s="5" t="inlineStr">
        <is>
          <t>M2</t>
        </is>
      </c>
      <c r="D4048" s="5" t="n">
        <v>51</v>
      </c>
      <c r="E4048" s="5" t="n">
        <v>253</v>
      </c>
      <c r="F4048" t="inlineStr">
        <is>
          <t>Продажа</t>
        </is>
      </c>
      <c r="H4048">
        <f>VLOOKUP(C4048,Магазин!$A$2:$C$1000,2,0)</f>
        <v/>
      </c>
      <c r="I4048">
        <f>VLOOKUP(D4048,Товар!$A$2:$F$1000,3,0)</f>
        <v/>
      </c>
      <c r="J4048">
        <f>VLOOKUP(D4048,Товар!$A$2:$F$1000,5,0)</f>
        <v/>
      </c>
      <c r="K4048">
        <f>IF(AND(H4048="Промышленный",LEFT(I4048,18)="Порошок стиральный",F4048="Продажа",B4048=DATE(2023,6,7)),E4048*J4048/1000,0)</f>
        <v/>
      </c>
    </row>
    <row r="4049">
      <c r="A4049" t="n">
        <v>4048</v>
      </c>
      <c r="B4049" s="1" t="n">
        <v>45091</v>
      </c>
      <c r="C4049" s="5" t="inlineStr">
        <is>
          <t>M2</t>
        </is>
      </c>
      <c r="D4049" s="5" t="n">
        <v>52</v>
      </c>
      <c r="E4049" s="5" t="n">
        <v>261</v>
      </c>
      <c r="F4049" t="inlineStr">
        <is>
          <t>Продажа</t>
        </is>
      </c>
      <c r="H4049">
        <f>VLOOKUP(C4049,Магазин!$A$2:$C$1000,2,0)</f>
        <v/>
      </c>
      <c r="I4049">
        <f>VLOOKUP(D4049,Товар!$A$2:$F$1000,3,0)</f>
        <v/>
      </c>
      <c r="J4049">
        <f>VLOOKUP(D4049,Товар!$A$2:$F$1000,5,0)</f>
        <v/>
      </c>
      <c r="K4049">
        <f>IF(AND(H4049="Промышленный",LEFT(I4049,18)="Порошок стиральный",F4049="Продажа",B4049=DATE(2023,6,7)),E4049*J4049/1000,0)</f>
        <v/>
      </c>
    </row>
    <row r="4050">
      <c r="A4050" t="n">
        <v>4049</v>
      </c>
      <c r="B4050" s="1" t="n">
        <v>45091</v>
      </c>
      <c r="C4050" s="5" t="inlineStr">
        <is>
          <t>M2</t>
        </is>
      </c>
      <c r="D4050" s="5" t="n">
        <v>53</v>
      </c>
      <c r="E4050" s="5" t="n">
        <v>276</v>
      </c>
      <c r="F4050" t="inlineStr">
        <is>
          <t>Продажа</t>
        </is>
      </c>
      <c r="H4050">
        <f>VLOOKUP(C4050,Магазин!$A$2:$C$1000,2,0)</f>
        <v/>
      </c>
      <c r="I4050">
        <f>VLOOKUP(D4050,Товар!$A$2:$F$1000,3,0)</f>
        <v/>
      </c>
      <c r="J4050">
        <f>VLOOKUP(D4050,Товар!$A$2:$F$1000,5,0)</f>
        <v/>
      </c>
      <c r="K4050">
        <f>IF(AND(H4050="Промышленный",LEFT(I4050,18)="Порошок стиральный",F4050="Продажа",B4050=DATE(2023,6,7)),E4050*J4050/1000,0)</f>
        <v/>
      </c>
    </row>
    <row r="4051">
      <c r="A4051" t="n">
        <v>4050</v>
      </c>
      <c r="B4051" s="1" t="n">
        <v>45091</v>
      </c>
      <c r="C4051" s="5" t="inlineStr">
        <is>
          <t>M2</t>
        </is>
      </c>
      <c r="D4051" s="5" t="n">
        <v>54</v>
      </c>
      <c r="E4051" s="5" t="n">
        <v>357</v>
      </c>
      <c r="F4051" t="inlineStr">
        <is>
          <t>Продажа</t>
        </is>
      </c>
      <c r="H4051">
        <f>VLOOKUP(C4051,Магазин!$A$2:$C$1000,2,0)</f>
        <v/>
      </c>
      <c r="I4051">
        <f>VLOOKUP(D4051,Товар!$A$2:$F$1000,3,0)</f>
        <v/>
      </c>
      <c r="J4051">
        <f>VLOOKUP(D4051,Товар!$A$2:$F$1000,5,0)</f>
        <v/>
      </c>
      <c r="K4051">
        <f>IF(AND(H4051="Промышленный",LEFT(I4051,18)="Порошок стиральный",F4051="Продажа",B4051=DATE(2023,6,7)),E4051*J4051/1000,0)</f>
        <v/>
      </c>
    </row>
    <row r="4052">
      <c r="A4052" t="n">
        <v>4051</v>
      </c>
      <c r="B4052" s="1" t="n">
        <v>45091</v>
      </c>
      <c r="C4052" s="5" t="inlineStr">
        <is>
          <t>M2</t>
        </is>
      </c>
      <c r="D4052" s="5" t="n">
        <v>55</v>
      </c>
      <c r="E4052" s="5" t="n">
        <v>355</v>
      </c>
      <c r="F4052" t="inlineStr">
        <is>
          <t>Продажа</t>
        </is>
      </c>
      <c r="H4052">
        <f>VLOOKUP(C4052,Магазин!$A$2:$C$1000,2,0)</f>
        <v/>
      </c>
      <c r="I4052">
        <f>VLOOKUP(D4052,Товар!$A$2:$F$1000,3,0)</f>
        <v/>
      </c>
      <c r="J4052">
        <f>VLOOKUP(D4052,Товар!$A$2:$F$1000,5,0)</f>
        <v/>
      </c>
      <c r="K4052">
        <f>IF(AND(H4052="Промышленный",LEFT(I4052,18)="Порошок стиральный",F4052="Продажа",B4052=DATE(2023,6,7)),E4052*J4052/1000,0)</f>
        <v/>
      </c>
    </row>
    <row r="4053">
      <c r="A4053" t="n">
        <v>4052</v>
      </c>
      <c r="B4053" s="1" t="n">
        <v>45091</v>
      </c>
      <c r="C4053" s="5" t="inlineStr">
        <is>
          <t>M2</t>
        </is>
      </c>
      <c r="D4053" s="5" t="n">
        <v>56</v>
      </c>
      <c r="E4053" s="5" t="n">
        <v>343</v>
      </c>
      <c r="F4053" t="inlineStr">
        <is>
          <t>Продажа</t>
        </is>
      </c>
      <c r="H4053">
        <f>VLOOKUP(C4053,Магазин!$A$2:$C$1000,2,0)</f>
        <v/>
      </c>
      <c r="I4053">
        <f>VLOOKUP(D4053,Товар!$A$2:$F$1000,3,0)</f>
        <v/>
      </c>
      <c r="J4053">
        <f>VLOOKUP(D4053,Товар!$A$2:$F$1000,5,0)</f>
        <v/>
      </c>
      <c r="K4053">
        <f>IF(AND(H4053="Промышленный",LEFT(I4053,18)="Порошок стиральный",F4053="Продажа",B4053=DATE(2023,6,7)),E4053*J4053/1000,0)</f>
        <v/>
      </c>
    </row>
    <row r="4054">
      <c r="A4054" t="n">
        <v>4053</v>
      </c>
      <c r="B4054" s="1" t="n">
        <v>45091</v>
      </c>
      <c r="C4054" s="5" t="inlineStr">
        <is>
          <t>M2</t>
        </is>
      </c>
      <c r="D4054" s="5" t="n">
        <v>57</v>
      </c>
      <c r="E4054" s="5" t="n">
        <v>322</v>
      </c>
      <c r="F4054" t="inlineStr">
        <is>
          <t>Продажа</t>
        </is>
      </c>
      <c r="H4054">
        <f>VLOOKUP(C4054,Магазин!$A$2:$C$1000,2,0)</f>
        <v/>
      </c>
      <c r="I4054">
        <f>VLOOKUP(D4054,Товар!$A$2:$F$1000,3,0)</f>
        <v/>
      </c>
      <c r="J4054">
        <f>VLOOKUP(D4054,Товар!$A$2:$F$1000,5,0)</f>
        <v/>
      </c>
      <c r="K4054">
        <f>IF(AND(H4054="Промышленный",LEFT(I4054,18)="Порошок стиральный",F4054="Продажа",B4054=DATE(2023,6,7)),E4054*J4054/1000,0)</f>
        <v/>
      </c>
    </row>
    <row r="4055">
      <c r="A4055" t="n">
        <v>4054</v>
      </c>
      <c r="B4055" s="1" t="n">
        <v>45091</v>
      </c>
      <c r="C4055" s="5" t="inlineStr">
        <is>
          <t>M2</t>
        </is>
      </c>
      <c r="D4055" s="5" t="n">
        <v>58</v>
      </c>
      <c r="E4055" s="5" t="n">
        <v>369</v>
      </c>
      <c r="F4055" t="inlineStr">
        <is>
          <t>Продажа</t>
        </is>
      </c>
      <c r="H4055">
        <f>VLOOKUP(C4055,Магазин!$A$2:$C$1000,2,0)</f>
        <v/>
      </c>
      <c r="I4055">
        <f>VLOOKUP(D4055,Товар!$A$2:$F$1000,3,0)</f>
        <v/>
      </c>
      <c r="J4055">
        <f>VLOOKUP(D4055,Товар!$A$2:$F$1000,5,0)</f>
        <v/>
      </c>
      <c r="K4055">
        <f>IF(AND(H4055="Промышленный",LEFT(I4055,18)="Порошок стиральный",F4055="Продажа",B4055=DATE(2023,6,7)),E4055*J4055/1000,0)</f>
        <v/>
      </c>
    </row>
    <row r="4056">
      <c r="A4056" t="n">
        <v>4055</v>
      </c>
      <c r="B4056" s="1" t="n">
        <v>45091</v>
      </c>
      <c r="C4056" s="5" t="inlineStr">
        <is>
          <t>M2</t>
        </is>
      </c>
      <c r="D4056" s="5" t="n">
        <v>59</v>
      </c>
      <c r="E4056" s="5" t="n">
        <v>399</v>
      </c>
      <c r="F4056" t="inlineStr">
        <is>
          <t>Продажа</t>
        </is>
      </c>
      <c r="H4056">
        <f>VLOOKUP(C4056,Магазин!$A$2:$C$1000,2,0)</f>
        <v/>
      </c>
      <c r="I4056">
        <f>VLOOKUP(D4056,Товар!$A$2:$F$1000,3,0)</f>
        <v/>
      </c>
      <c r="J4056">
        <f>VLOOKUP(D4056,Товар!$A$2:$F$1000,5,0)</f>
        <v/>
      </c>
      <c r="K4056">
        <f>IF(AND(H4056="Промышленный",LEFT(I4056,18)="Порошок стиральный",F4056="Продажа",B4056=DATE(2023,6,7)),E4056*J4056/1000,0)</f>
        <v/>
      </c>
    </row>
    <row r="4057">
      <c r="A4057" t="n">
        <v>4056</v>
      </c>
      <c r="B4057" s="1" t="n">
        <v>45091</v>
      </c>
      <c r="C4057" s="5" t="inlineStr">
        <is>
          <t>M2</t>
        </is>
      </c>
      <c r="D4057" s="5" t="n">
        <v>60</v>
      </c>
      <c r="E4057" s="5" t="n">
        <v>307</v>
      </c>
      <c r="F4057" t="inlineStr">
        <is>
          <t>Продажа</t>
        </is>
      </c>
      <c r="H4057">
        <f>VLOOKUP(C4057,Магазин!$A$2:$C$1000,2,0)</f>
        <v/>
      </c>
      <c r="I4057">
        <f>VLOOKUP(D4057,Товар!$A$2:$F$1000,3,0)</f>
        <v/>
      </c>
      <c r="J4057">
        <f>VLOOKUP(D4057,Товар!$A$2:$F$1000,5,0)</f>
        <v/>
      </c>
      <c r="K4057">
        <f>IF(AND(H4057="Промышленный",LEFT(I4057,18)="Порошок стиральный",F4057="Продажа",B4057=DATE(2023,6,7)),E4057*J4057/1000,0)</f>
        <v/>
      </c>
    </row>
    <row r="4058">
      <c r="A4058" t="n">
        <v>4057</v>
      </c>
      <c r="B4058" s="1" t="n">
        <v>45091</v>
      </c>
      <c r="C4058" s="5" t="inlineStr">
        <is>
          <t>M4</t>
        </is>
      </c>
      <c r="D4058" s="5" t="n">
        <v>37</v>
      </c>
      <c r="E4058" s="5" t="n">
        <v>302</v>
      </c>
      <c r="F4058" t="inlineStr">
        <is>
          <t>Продажа</t>
        </is>
      </c>
      <c r="H4058">
        <f>VLOOKUP(C4058,Магазин!$A$2:$C$1000,2,0)</f>
        <v/>
      </c>
      <c r="I4058">
        <f>VLOOKUP(D4058,Товар!$A$2:$F$1000,3,0)</f>
        <v/>
      </c>
      <c r="J4058">
        <f>VLOOKUP(D4058,Товар!$A$2:$F$1000,5,0)</f>
        <v/>
      </c>
      <c r="K4058">
        <f>IF(AND(H4058="Промышленный",LEFT(I4058,18)="Порошок стиральный",F4058="Продажа",B4058=DATE(2023,6,7)),E4058*J4058/1000,0)</f>
        <v/>
      </c>
    </row>
    <row r="4059">
      <c r="A4059" t="n">
        <v>4058</v>
      </c>
      <c r="B4059" s="1" t="n">
        <v>45091</v>
      </c>
      <c r="C4059" s="5" t="inlineStr">
        <is>
          <t>M4</t>
        </is>
      </c>
      <c r="D4059" s="5" t="n">
        <v>38</v>
      </c>
      <c r="E4059" s="5" t="n">
        <v>301</v>
      </c>
      <c r="F4059" t="inlineStr">
        <is>
          <t>Продажа</t>
        </is>
      </c>
      <c r="H4059">
        <f>VLOOKUP(C4059,Магазин!$A$2:$C$1000,2,0)</f>
        <v/>
      </c>
      <c r="I4059">
        <f>VLOOKUP(D4059,Товар!$A$2:$F$1000,3,0)</f>
        <v/>
      </c>
      <c r="J4059">
        <f>VLOOKUP(D4059,Товар!$A$2:$F$1000,5,0)</f>
        <v/>
      </c>
      <c r="K4059">
        <f>IF(AND(H4059="Промышленный",LEFT(I4059,18)="Порошок стиральный",F4059="Продажа",B4059=DATE(2023,6,7)),E4059*J4059/1000,0)</f>
        <v/>
      </c>
    </row>
    <row r="4060">
      <c r="A4060" t="n">
        <v>4059</v>
      </c>
      <c r="B4060" s="1" t="n">
        <v>45091</v>
      </c>
      <c r="C4060" s="5" t="inlineStr">
        <is>
          <t>M4</t>
        </is>
      </c>
      <c r="D4060" s="5" t="n">
        <v>39</v>
      </c>
      <c r="E4060" s="5" t="n">
        <v>357</v>
      </c>
      <c r="F4060" t="inlineStr">
        <is>
          <t>Продажа</t>
        </is>
      </c>
      <c r="H4060">
        <f>VLOOKUP(C4060,Магазин!$A$2:$C$1000,2,0)</f>
        <v/>
      </c>
      <c r="I4060">
        <f>VLOOKUP(D4060,Товар!$A$2:$F$1000,3,0)</f>
        <v/>
      </c>
      <c r="J4060">
        <f>VLOOKUP(D4060,Товар!$A$2:$F$1000,5,0)</f>
        <v/>
      </c>
      <c r="K4060">
        <f>IF(AND(H4060="Промышленный",LEFT(I4060,18)="Порошок стиральный",F4060="Продажа",B4060=DATE(2023,6,7)),E4060*J4060/1000,0)</f>
        <v/>
      </c>
    </row>
    <row r="4061">
      <c r="A4061" t="n">
        <v>4060</v>
      </c>
      <c r="B4061" s="1" t="n">
        <v>45091</v>
      </c>
      <c r="C4061" s="5" t="inlineStr">
        <is>
          <t>M4</t>
        </is>
      </c>
      <c r="D4061" s="5" t="n">
        <v>40</v>
      </c>
      <c r="E4061" s="5" t="n">
        <v>268</v>
      </c>
      <c r="F4061" t="inlineStr">
        <is>
          <t>Продажа</t>
        </is>
      </c>
      <c r="H4061">
        <f>VLOOKUP(C4061,Магазин!$A$2:$C$1000,2,0)</f>
        <v/>
      </c>
      <c r="I4061">
        <f>VLOOKUP(D4061,Товар!$A$2:$F$1000,3,0)</f>
        <v/>
      </c>
      <c r="J4061">
        <f>VLOOKUP(D4061,Товар!$A$2:$F$1000,5,0)</f>
        <v/>
      </c>
      <c r="K4061">
        <f>IF(AND(H4061="Промышленный",LEFT(I4061,18)="Порошок стиральный",F4061="Продажа",B4061=DATE(2023,6,7)),E4061*J4061/1000,0)</f>
        <v/>
      </c>
    </row>
    <row r="4062">
      <c r="A4062" t="n">
        <v>4061</v>
      </c>
      <c r="B4062" s="1" t="n">
        <v>45091</v>
      </c>
      <c r="C4062" s="5" t="inlineStr">
        <is>
          <t>M4</t>
        </is>
      </c>
      <c r="D4062" s="5" t="n">
        <v>41</v>
      </c>
      <c r="E4062" s="5" t="n">
        <v>279</v>
      </c>
      <c r="F4062" t="inlineStr">
        <is>
          <t>Продажа</t>
        </is>
      </c>
      <c r="H4062">
        <f>VLOOKUP(C4062,Магазин!$A$2:$C$1000,2,0)</f>
        <v/>
      </c>
      <c r="I4062">
        <f>VLOOKUP(D4062,Товар!$A$2:$F$1000,3,0)</f>
        <v/>
      </c>
      <c r="J4062">
        <f>VLOOKUP(D4062,Товар!$A$2:$F$1000,5,0)</f>
        <v/>
      </c>
      <c r="K4062">
        <f>IF(AND(H4062="Промышленный",LEFT(I4062,18)="Порошок стиральный",F4062="Продажа",B4062=DATE(2023,6,7)),E4062*J4062/1000,0)</f>
        <v/>
      </c>
    </row>
    <row r="4063">
      <c r="A4063" t="n">
        <v>4062</v>
      </c>
      <c r="B4063" s="1" t="n">
        <v>45091</v>
      </c>
      <c r="C4063" s="5" t="inlineStr">
        <is>
          <t>M4</t>
        </is>
      </c>
      <c r="D4063" s="5" t="n">
        <v>42</v>
      </c>
      <c r="E4063" s="5" t="n">
        <v>281</v>
      </c>
      <c r="F4063" t="inlineStr">
        <is>
          <t>Продажа</t>
        </is>
      </c>
      <c r="H4063">
        <f>VLOOKUP(C4063,Магазин!$A$2:$C$1000,2,0)</f>
        <v/>
      </c>
      <c r="I4063">
        <f>VLOOKUP(D4063,Товар!$A$2:$F$1000,3,0)</f>
        <v/>
      </c>
      <c r="J4063">
        <f>VLOOKUP(D4063,Товар!$A$2:$F$1000,5,0)</f>
        <v/>
      </c>
      <c r="K4063">
        <f>IF(AND(H4063="Промышленный",LEFT(I4063,18)="Порошок стиральный",F4063="Продажа",B4063=DATE(2023,6,7)),E4063*J4063/1000,0)</f>
        <v/>
      </c>
    </row>
    <row r="4064">
      <c r="A4064" t="n">
        <v>4063</v>
      </c>
      <c r="B4064" s="1" t="n">
        <v>45091</v>
      </c>
      <c r="C4064" s="5" t="inlineStr">
        <is>
          <t>M4</t>
        </is>
      </c>
      <c r="D4064" s="5" t="n">
        <v>43</v>
      </c>
      <c r="E4064" s="5" t="n">
        <v>292</v>
      </c>
      <c r="F4064" t="inlineStr">
        <is>
          <t>Продажа</t>
        </is>
      </c>
      <c r="H4064">
        <f>VLOOKUP(C4064,Магазин!$A$2:$C$1000,2,0)</f>
        <v/>
      </c>
      <c r="I4064">
        <f>VLOOKUP(D4064,Товар!$A$2:$F$1000,3,0)</f>
        <v/>
      </c>
      <c r="J4064">
        <f>VLOOKUP(D4064,Товар!$A$2:$F$1000,5,0)</f>
        <v/>
      </c>
      <c r="K4064">
        <f>IF(AND(H4064="Промышленный",LEFT(I4064,18)="Порошок стиральный",F4064="Продажа",B4064=DATE(2023,6,7)),E4064*J4064/1000,0)</f>
        <v/>
      </c>
    </row>
    <row r="4065">
      <c r="A4065" t="n">
        <v>4064</v>
      </c>
      <c r="B4065" s="1" t="n">
        <v>45091</v>
      </c>
      <c r="C4065" s="5" t="inlineStr">
        <is>
          <t>M4</t>
        </is>
      </c>
      <c r="D4065" s="5" t="n">
        <v>44</v>
      </c>
      <c r="E4065" s="5" t="n">
        <v>203</v>
      </c>
      <c r="F4065" t="inlineStr">
        <is>
          <t>Продажа</t>
        </is>
      </c>
      <c r="H4065">
        <f>VLOOKUP(C4065,Магазин!$A$2:$C$1000,2,0)</f>
        <v/>
      </c>
      <c r="I4065">
        <f>VLOOKUP(D4065,Товар!$A$2:$F$1000,3,0)</f>
        <v/>
      </c>
      <c r="J4065">
        <f>VLOOKUP(D4065,Товар!$A$2:$F$1000,5,0)</f>
        <v/>
      </c>
      <c r="K4065">
        <f>IF(AND(H4065="Промышленный",LEFT(I4065,18)="Порошок стиральный",F4065="Продажа",B4065=DATE(2023,6,7)),E4065*J4065/1000,0)</f>
        <v/>
      </c>
    </row>
    <row r="4066">
      <c r="A4066" t="n">
        <v>4065</v>
      </c>
      <c r="B4066" s="1" t="n">
        <v>45091</v>
      </c>
      <c r="C4066" s="5" t="inlineStr">
        <is>
          <t>M4</t>
        </is>
      </c>
      <c r="D4066" s="5" t="n">
        <v>45</v>
      </c>
      <c r="E4066" s="5" t="n">
        <v>214</v>
      </c>
      <c r="F4066" t="inlineStr">
        <is>
          <t>Продажа</t>
        </is>
      </c>
      <c r="H4066">
        <f>VLOOKUP(C4066,Магазин!$A$2:$C$1000,2,0)</f>
        <v/>
      </c>
      <c r="I4066">
        <f>VLOOKUP(D4066,Товар!$A$2:$F$1000,3,0)</f>
        <v/>
      </c>
      <c r="J4066">
        <f>VLOOKUP(D4066,Товар!$A$2:$F$1000,5,0)</f>
        <v/>
      </c>
      <c r="K4066">
        <f>IF(AND(H4066="Промышленный",LEFT(I4066,18)="Порошок стиральный",F4066="Продажа",B4066=DATE(2023,6,7)),E4066*J4066/1000,0)</f>
        <v/>
      </c>
    </row>
    <row r="4067">
      <c r="A4067" t="n">
        <v>4066</v>
      </c>
      <c r="B4067" s="1" t="n">
        <v>45091</v>
      </c>
      <c r="C4067" s="5" t="inlineStr">
        <is>
          <t>M4</t>
        </is>
      </c>
      <c r="D4067" s="5" t="n">
        <v>46</v>
      </c>
      <c r="E4067" s="5" t="n">
        <v>225</v>
      </c>
      <c r="F4067" t="inlineStr">
        <is>
          <t>Продажа</t>
        </is>
      </c>
      <c r="H4067">
        <f>VLOOKUP(C4067,Магазин!$A$2:$C$1000,2,0)</f>
        <v/>
      </c>
      <c r="I4067">
        <f>VLOOKUP(D4067,Товар!$A$2:$F$1000,3,0)</f>
        <v/>
      </c>
      <c r="J4067">
        <f>VLOOKUP(D4067,Товар!$A$2:$F$1000,5,0)</f>
        <v/>
      </c>
      <c r="K4067">
        <f>IF(AND(H4067="Промышленный",LEFT(I4067,18)="Порошок стиральный",F4067="Продажа",B4067=DATE(2023,6,7)),E4067*J4067/1000,0)</f>
        <v/>
      </c>
    </row>
    <row r="4068">
      <c r="A4068" t="n">
        <v>4067</v>
      </c>
      <c r="B4068" s="1" t="n">
        <v>45091</v>
      </c>
      <c r="C4068" s="5" t="inlineStr">
        <is>
          <t>M4</t>
        </is>
      </c>
      <c r="D4068" s="5" t="n">
        <v>47</v>
      </c>
      <c r="E4068" s="5" t="n">
        <v>357</v>
      </c>
      <c r="F4068" t="inlineStr">
        <is>
          <t>Продажа</t>
        </is>
      </c>
      <c r="H4068">
        <f>VLOOKUP(C4068,Магазин!$A$2:$C$1000,2,0)</f>
        <v/>
      </c>
      <c r="I4068">
        <f>VLOOKUP(D4068,Товар!$A$2:$F$1000,3,0)</f>
        <v/>
      </c>
      <c r="J4068">
        <f>VLOOKUP(D4068,Товар!$A$2:$F$1000,5,0)</f>
        <v/>
      </c>
      <c r="K4068">
        <f>IF(AND(H4068="Промышленный",LEFT(I4068,18)="Порошок стиральный",F4068="Продажа",B4068=DATE(2023,6,7)),E4068*J4068/1000,0)</f>
        <v/>
      </c>
    </row>
    <row r="4069">
      <c r="A4069" t="n">
        <v>4068</v>
      </c>
      <c r="B4069" s="1" t="n">
        <v>45091</v>
      </c>
      <c r="C4069" s="5" t="inlineStr">
        <is>
          <t>M4</t>
        </is>
      </c>
      <c r="D4069" s="5" t="n">
        <v>48</v>
      </c>
      <c r="E4069" s="5" t="n">
        <v>355</v>
      </c>
      <c r="F4069" t="inlineStr">
        <is>
          <t>Продажа</t>
        </is>
      </c>
      <c r="H4069">
        <f>VLOOKUP(C4069,Магазин!$A$2:$C$1000,2,0)</f>
        <v/>
      </c>
      <c r="I4069">
        <f>VLOOKUP(D4069,Товар!$A$2:$F$1000,3,0)</f>
        <v/>
      </c>
      <c r="J4069">
        <f>VLOOKUP(D4069,Товар!$A$2:$F$1000,5,0)</f>
        <v/>
      </c>
      <c r="K4069">
        <f>IF(AND(H4069="Промышленный",LEFT(I4069,18)="Порошок стиральный",F4069="Продажа",B4069=DATE(2023,6,7)),E4069*J4069/1000,0)</f>
        <v/>
      </c>
    </row>
    <row r="4070">
      <c r="A4070" t="n">
        <v>4069</v>
      </c>
      <c r="B4070" s="1" t="n">
        <v>45091</v>
      </c>
      <c r="C4070" s="5" t="inlineStr">
        <is>
          <t>M4</t>
        </is>
      </c>
      <c r="D4070" s="5" t="n">
        <v>49</v>
      </c>
      <c r="E4070" s="5" t="n">
        <v>343</v>
      </c>
      <c r="F4070" t="inlineStr">
        <is>
          <t>Продажа</t>
        </is>
      </c>
      <c r="H4070">
        <f>VLOOKUP(C4070,Магазин!$A$2:$C$1000,2,0)</f>
        <v/>
      </c>
      <c r="I4070">
        <f>VLOOKUP(D4070,Товар!$A$2:$F$1000,3,0)</f>
        <v/>
      </c>
      <c r="J4070">
        <f>VLOOKUP(D4070,Товар!$A$2:$F$1000,5,0)</f>
        <v/>
      </c>
      <c r="K4070">
        <f>IF(AND(H4070="Промышленный",LEFT(I4070,18)="Порошок стиральный",F4070="Продажа",B4070=DATE(2023,6,7)),E4070*J4070/1000,0)</f>
        <v/>
      </c>
    </row>
    <row r="4071">
      <c r="A4071" t="n">
        <v>4070</v>
      </c>
      <c r="B4071" s="1" t="n">
        <v>45091</v>
      </c>
      <c r="C4071" s="5" t="inlineStr">
        <is>
          <t>M4</t>
        </is>
      </c>
      <c r="D4071" s="5" t="n">
        <v>50</v>
      </c>
      <c r="E4071" s="5" t="n">
        <v>322</v>
      </c>
      <c r="F4071" t="inlineStr">
        <is>
          <t>Продажа</t>
        </is>
      </c>
      <c r="H4071">
        <f>VLOOKUP(C4071,Магазин!$A$2:$C$1000,2,0)</f>
        <v/>
      </c>
      <c r="I4071">
        <f>VLOOKUP(D4071,Товар!$A$2:$F$1000,3,0)</f>
        <v/>
      </c>
      <c r="J4071">
        <f>VLOOKUP(D4071,Товар!$A$2:$F$1000,5,0)</f>
        <v/>
      </c>
      <c r="K4071">
        <f>IF(AND(H4071="Промышленный",LEFT(I4071,18)="Порошок стиральный",F4071="Продажа",B4071=DATE(2023,6,7)),E4071*J4071/1000,0)</f>
        <v/>
      </c>
    </row>
    <row r="4072">
      <c r="A4072" t="n">
        <v>4071</v>
      </c>
      <c r="B4072" s="1" t="n">
        <v>45091</v>
      </c>
      <c r="C4072" s="5" t="inlineStr">
        <is>
          <t>M4</t>
        </is>
      </c>
      <c r="D4072" s="5" t="n">
        <v>51</v>
      </c>
      <c r="E4072" s="5" t="n">
        <v>369</v>
      </c>
      <c r="F4072" t="inlineStr">
        <is>
          <t>Продажа</t>
        </is>
      </c>
      <c r="H4072">
        <f>VLOOKUP(C4072,Магазин!$A$2:$C$1000,2,0)</f>
        <v/>
      </c>
      <c r="I4072">
        <f>VLOOKUP(D4072,Товар!$A$2:$F$1000,3,0)</f>
        <v/>
      </c>
      <c r="J4072">
        <f>VLOOKUP(D4072,Товар!$A$2:$F$1000,5,0)</f>
        <v/>
      </c>
      <c r="K4072">
        <f>IF(AND(H4072="Промышленный",LEFT(I4072,18)="Порошок стиральный",F4072="Продажа",B4072=DATE(2023,6,7)),E4072*J4072/1000,0)</f>
        <v/>
      </c>
    </row>
    <row r="4073">
      <c r="A4073" t="n">
        <v>4072</v>
      </c>
      <c r="B4073" s="1" t="n">
        <v>45091</v>
      </c>
      <c r="C4073" s="5" t="inlineStr">
        <is>
          <t>M4</t>
        </is>
      </c>
      <c r="D4073" s="5" t="n">
        <v>52</v>
      </c>
      <c r="E4073" s="5" t="n">
        <v>399</v>
      </c>
      <c r="F4073" t="inlineStr">
        <is>
          <t>Продажа</t>
        </is>
      </c>
      <c r="H4073">
        <f>VLOOKUP(C4073,Магазин!$A$2:$C$1000,2,0)</f>
        <v/>
      </c>
      <c r="I4073">
        <f>VLOOKUP(D4073,Товар!$A$2:$F$1000,3,0)</f>
        <v/>
      </c>
      <c r="J4073">
        <f>VLOOKUP(D4073,Товар!$A$2:$F$1000,5,0)</f>
        <v/>
      </c>
      <c r="K4073">
        <f>IF(AND(H4073="Промышленный",LEFT(I4073,18)="Порошок стиральный",F4073="Продажа",B4073=DATE(2023,6,7)),E4073*J4073/1000,0)</f>
        <v/>
      </c>
    </row>
    <row r="4074">
      <c r="A4074" t="n">
        <v>4073</v>
      </c>
      <c r="B4074" s="1" t="n">
        <v>45091</v>
      </c>
      <c r="C4074" s="5" t="inlineStr">
        <is>
          <t>M4</t>
        </is>
      </c>
      <c r="D4074" s="5" t="n">
        <v>53</v>
      </c>
      <c r="E4074" s="5" t="n">
        <v>307</v>
      </c>
      <c r="F4074" t="inlineStr">
        <is>
          <t>Продажа</t>
        </is>
      </c>
      <c r="H4074">
        <f>VLOOKUP(C4074,Магазин!$A$2:$C$1000,2,0)</f>
        <v/>
      </c>
      <c r="I4074">
        <f>VLOOKUP(D4074,Товар!$A$2:$F$1000,3,0)</f>
        <v/>
      </c>
      <c r="J4074">
        <f>VLOOKUP(D4074,Товар!$A$2:$F$1000,5,0)</f>
        <v/>
      </c>
      <c r="K4074">
        <f>IF(AND(H4074="Промышленный",LEFT(I4074,18)="Порошок стиральный",F4074="Продажа",B4074=DATE(2023,6,7)),E4074*J4074/1000,0)</f>
        <v/>
      </c>
    </row>
    <row r="4075">
      <c r="A4075" t="n">
        <v>4074</v>
      </c>
      <c r="B4075" s="1" t="n">
        <v>45091</v>
      </c>
      <c r="C4075" s="5" t="inlineStr">
        <is>
          <t>M4</t>
        </is>
      </c>
      <c r="D4075" s="5" t="n">
        <v>54</v>
      </c>
      <c r="E4075" s="5" t="n">
        <v>302</v>
      </c>
      <c r="F4075" t="inlineStr">
        <is>
          <t>Продажа</t>
        </is>
      </c>
      <c r="H4075">
        <f>VLOOKUP(C4075,Магазин!$A$2:$C$1000,2,0)</f>
        <v/>
      </c>
      <c r="I4075">
        <f>VLOOKUP(D4075,Товар!$A$2:$F$1000,3,0)</f>
        <v/>
      </c>
      <c r="J4075">
        <f>VLOOKUP(D4075,Товар!$A$2:$F$1000,5,0)</f>
        <v/>
      </c>
      <c r="K4075">
        <f>IF(AND(H4075="Промышленный",LEFT(I4075,18)="Порошок стиральный",F4075="Продажа",B4075=DATE(2023,6,7)),E4075*J4075/1000,0)</f>
        <v/>
      </c>
    </row>
    <row r="4076">
      <c r="A4076" t="n">
        <v>4075</v>
      </c>
      <c r="B4076" s="1" t="n">
        <v>45091</v>
      </c>
      <c r="C4076" s="5" t="inlineStr">
        <is>
          <t>M4</t>
        </is>
      </c>
      <c r="D4076" s="5" t="n">
        <v>55</v>
      </c>
      <c r="E4076" s="5" t="n">
        <v>301</v>
      </c>
      <c r="F4076" t="inlineStr">
        <is>
          <t>Продажа</t>
        </is>
      </c>
      <c r="H4076">
        <f>VLOOKUP(C4076,Магазин!$A$2:$C$1000,2,0)</f>
        <v/>
      </c>
      <c r="I4076">
        <f>VLOOKUP(D4076,Товар!$A$2:$F$1000,3,0)</f>
        <v/>
      </c>
      <c r="J4076">
        <f>VLOOKUP(D4076,Товар!$A$2:$F$1000,5,0)</f>
        <v/>
      </c>
      <c r="K4076">
        <f>IF(AND(H4076="Промышленный",LEFT(I4076,18)="Порошок стиральный",F4076="Продажа",B4076=DATE(2023,6,7)),E4076*J4076/1000,0)</f>
        <v/>
      </c>
    </row>
    <row r="4077">
      <c r="A4077" t="n">
        <v>4076</v>
      </c>
      <c r="B4077" s="1" t="n">
        <v>45091</v>
      </c>
      <c r="C4077" s="5" t="inlineStr">
        <is>
          <t>M4</t>
        </is>
      </c>
      <c r="D4077" s="5" t="n">
        <v>56</v>
      </c>
      <c r="E4077" s="5" t="n">
        <v>357</v>
      </c>
      <c r="F4077" t="inlineStr">
        <is>
          <t>Продажа</t>
        </is>
      </c>
      <c r="H4077">
        <f>VLOOKUP(C4077,Магазин!$A$2:$C$1000,2,0)</f>
        <v/>
      </c>
      <c r="I4077">
        <f>VLOOKUP(D4077,Товар!$A$2:$F$1000,3,0)</f>
        <v/>
      </c>
      <c r="J4077">
        <f>VLOOKUP(D4077,Товар!$A$2:$F$1000,5,0)</f>
        <v/>
      </c>
      <c r="K4077">
        <f>IF(AND(H4077="Промышленный",LEFT(I4077,18)="Порошок стиральный",F4077="Продажа",B4077=DATE(2023,6,7)),E4077*J4077/1000,0)</f>
        <v/>
      </c>
    </row>
    <row r="4078">
      <c r="A4078" t="n">
        <v>4077</v>
      </c>
      <c r="B4078" s="1" t="n">
        <v>45091</v>
      </c>
      <c r="C4078" s="5" t="inlineStr">
        <is>
          <t>M4</t>
        </is>
      </c>
      <c r="D4078" s="5" t="n">
        <v>57</v>
      </c>
      <c r="E4078" s="5" t="n">
        <v>268</v>
      </c>
      <c r="F4078" t="inlineStr">
        <is>
          <t>Продажа</t>
        </is>
      </c>
      <c r="H4078">
        <f>VLOOKUP(C4078,Магазин!$A$2:$C$1000,2,0)</f>
        <v/>
      </c>
      <c r="I4078">
        <f>VLOOKUP(D4078,Товар!$A$2:$F$1000,3,0)</f>
        <v/>
      </c>
      <c r="J4078">
        <f>VLOOKUP(D4078,Товар!$A$2:$F$1000,5,0)</f>
        <v/>
      </c>
      <c r="K4078">
        <f>IF(AND(H4078="Промышленный",LEFT(I4078,18)="Порошок стиральный",F4078="Продажа",B4078=DATE(2023,6,7)),E4078*J4078/1000,0)</f>
        <v/>
      </c>
    </row>
    <row r="4079">
      <c r="A4079" t="n">
        <v>4078</v>
      </c>
      <c r="B4079" s="1" t="n">
        <v>45091</v>
      </c>
      <c r="C4079" s="5" t="inlineStr">
        <is>
          <t>M4</t>
        </is>
      </c>
      <c r="D4079" s="5" t="n">
        <v>58</v>
      </c>
      <c r="E4079" s="5" t="n">
        <v>279</v>
      </c>
      <c r="F4079" t="inlineStr">
        <is>
          <t>Продажа</t>
        </is>
      </c>
      <c r="H4079">
        <f>VLOOKUP(C4079,Магазин!$A$2:$C$1000,2,0)</f>
        <v/>
      </c>
      <c r="I4079">
        <f>VLOOKUP(D4079,Товар!$A$2:$F$1000,3,0)</f>
        <v/>
      </c>
      <c r="J4079">
        <f>VLOOKUP(D4079,Товар!$A$2:$F$1000,5,0)</f>
        <v/>
      </c>
      <c r="K4079">
        <f>IF(AND(H4079="Промышленный",LEFT(I4079,18)="Порошок стиральный",F4079="Продажа",B4079=DATE(2023,6,7)),E4079*J4079/1000,0)</f>
        <v/>
      </c>
    </row>
    <row r="4080">
      <c r="A4080" t="n">
        <v>4079</v>
      </c>
      <c r="B4080" s="1" t="n">
        <v>45091</v>
      </c>
      <c r="C4080" s="5" t="inlineStr">
        <is>
          <t>M4</t>
        </is>
      </c>
      <c r="D4080" s="5" t="n">
        <v>59</v>
      </c>
      <c r="E4080" s="5" t="n">
        <v>281</v>
      </c>
      <c r="F4080" t="inlineStr">
        <is>
          <t>Продажа</t>
        </is>
      </c>
      <c r="H4080">
        <f>VLOOKUP(C4080,Магазин!$A$2:$C$1000,2,0)</f>
        <v/>
      </c>
      <c r="I4080">
        <f>VLOOKUP(D4080,Товар!$A$2:$F$1000,3,0)</f>
        <v/>
      </c>
      <c r="J4080">
        <f>VLOOKUP(D4080,Товар!$A$2:$F$1000,5,0)</f>
        <v/>
      </c>
      <c r="K4080">
        <f>IF(AND(H4080="Промышленный",LEFT(I4080,18)="Порошок стиральный",F4080="Продажа",B4080=DATE(2023,6,7)),E4080*J4080/1000,0)</f>
        <v/>
      </c>
    </row>
    <row r="4081">
      <c r="A4081" t="n">
        <v>4080</v>
      </c>
      <c r="B4081" s="1" t="n">
        <v>45091</v>
      </c>
      <c r="C4081" s="5" t="inlineStr">
        <is>
          <t>M4</t>
        </is>
      </c>
      <c r="D4081" s="5" t="n">
        <v>60</v>
      </c>
      <c r="E4081" s="5" t="n">
        <v>292</v>
      </c>
      <c r="F4081" t="inlineStr">
        <is>
          <t>Продажа</t>
        </is>
      </c>
      <c r="H4081">
        <f>VLOOKUP(C4081,Магазин!$A$2:$C$1000,2,0)</f>
        <v/>
      </c>
      <c r="I4081">
        <f>VLOOKUP(D4081,Товар!$A$2:$F$1000,3,0)</f>
        <v/>
      </c>
      <c r="J4081">
        <f>VLOOKUP(D4081,Товар!$A$2:$F$1000,5,0)</f>
        <v/>
      </c>
      <c r="K4081">
        <f>IF(AND(H4081="Промышленный",LEFT(I4081,18)="Порошок стиральный",F4081="Продажа",B4081=DATE(2023,6,7)),E4081*J4081/1000,0)</f>
        <v/>
      </c>
    </row>
    <row r="4082">
      <c r="A4082" t="n">
        <v>4081</v>
      </c>
      <c r="B4082" s="1" t="n">
        <v>45091</v>
      </c>
      <c r="C4082" s="5" t="inlineStr">
        <is>
          <t>M7</t>
        </is>
      </c>
      <c r="D4082" s="5" t="n">
        <v>37</v>
      </c>
      <c r="E4082" s="5" t="n">
        <v>203</v>
      </c>
      <c r="F4082" t="inlineStr">
        <is>
          <t>Продажа</t>
        </is>
      </c>
      <c r="H4082">
        <f>VLOOKUP(C4082,Магазин!$A$2:$C$1000,2,0)</f>
        <v/>
      </c>
      <c r="I4082">
        <f>VLOOKUP(D4082,Товар!$A$2:$F$1000,3,0)</f>
        <v/>
      </c>
      <c r="J4082">
        <f>VLOOKUP(D4082,Товар!$A$2:$F$1000,5,0)</f>
        <v/>
      </c>
      <c r="K4082">
        <f>IF(AND(H4082="Промышленный",LEFT(I4082,18)="Порошок стиральный",F4082="Продажа",B4082=DATE(2023,6,7)),E4082*J4082/1000,0)</f>
        <v/>
      </c>
    </row>
    <row r="4083">
      <c r="A4083" t="n">
        <v>4082</v>
      </c>
      <c r="B4083" s="1" t="n">
        <v>45091</v>
      </c>
      <c r="C4083" s="5" t="inlineStr">
        <is>
          <t>M7</t>
        </is>
      </c>
      <c r="D4083" s="5" t="n">
        <v>38</v>
      </c>
      <c r="E4083" s="5" t="n">
        <v>214</v>
      </c>
      <c r="F4083" t="inlineStr">
        <is>
          <t>Продажа</t>
        </is>
      </c>
      <c r="H4083">
        <f>VLOOKUP(C4083,Магазин!$A$2:$C$1000,2,0)</f>
        <v/>
      </c>
      <c r="I4083">
        <f>VLOOKUP(D4083,Товар!$A$2:$F$1000,3,0)</f>
        <v/>
      </c>
      <c r="J4083">
        <f>VLOOKUP(D4083,Товар!$A$2:$F$1000,5,0)</f>
        <v/>
      </c>
      <c r="K4083">
        <f>IF(AND(H4083="Промышленный",LEFT(I4083,18)="Порошок стиральный",F4083="Продажа",B4083=DATE(2023,6,7)),E4083*J4083/1000,0)</f>
        <v/>
      </c>
    </row>
    <row r="4084">
      <c r="A4084" t="n">
        <v>4083</v>
      </c>
      <c r="B4084" s="1" t="n">
        <v>45091</v>
      </c>
      <c r="C4084" s="5" t="inlineStr">
        <is>
          <t>M7</t>
        </is>
      </c>
      <c r="D4084" s="5" t="n">
        <v>39</v>
      </c>
      <c r="E4084" s="5" t="n">
        <v>225</v>
      </c>
      <c r="F4084" t="inlineStr">
        <is>
          <t>Продажа</t>
        </is>
      </c>
      <c r="H4084">
        <f>VLOOKUP(C4084,Магазин!$A$2:$C$1000,2,0)</f>
        <v/>
      </c>
      <c r="I4084">
        <f>VLOOKUP(D4084,Товар!$A$2:$F$1000,3,0)</f>
        <v/>
      </c>
      <c r="J4084">
        <f>VLOOKUP(D4084,Товар!$A$2:$F$1000,5,0)</f>
        <v/>
      </c>
      <c r="K4084">
        <f>IF(AND(H4084="Промышленный",LEFT(I4084,18)="Порошок стиральный",F4084="Продажа",B4084=DATE(2023,6,7)),E4084*J4084/1000,0)</f>
        <v/>
      </c>
    </row>
    <row r="4085">
      <c r="A4085" t="n">
        <v>4084</v>
      </c>
      <c r="B4085" s="1" t="n">
        <v>45091</v>
      </c>
      <c r="C4085" s="5" t="inlineStr">
        <is>
          <t>M7</t>
        </is>
      </c>
      <c r="D4085" s="5" t="n">
        <v>40</v>
      </c>
      <c r="E4085" s="5" t="n">
        <v>357</v>
      </c>
      <c r="F4085" t="inlineStr">
        <is>
          <t>Продажа</t>
        </is>
      </c>
      <c r="H4085">
        <f>VLOOKUP(C4085,Магазин!$A$2:$C$1000,2,0)</f>
        <v/>
      </c>
      <c r="I4085">
        <f>VLOOKUP(D4085,Товар!$A$2:$F$1000,3,0)</f>
        <v/>
      </c>
      <c r="J4085">
        <f>VLOOKUP(D4085,Товар!$A$2:$F$1000,5,0)</f>
        <v/>
      </c>
      <c r="K4085">
        <f>IF(AND(H4085="Промышленный",LEFT(I4085,18)="Порошок стиральный",F4085="Продажа",B4085=DATE(2023,6,7)),E4085*J4085/1000,0)</f>
        <v/>
      </c>
    </row>
    <row r="4086">
      <c r="A4086" t="n">
        <v>4085</v>
      </c>
      <c r="B4086" s="1" t="n">
        <v>45091</v>
      </c>
      <c r="C4086" s="5" t="inlineStr">
        <is>
          <t>M7</t>
        </is>
      </c>
      <c r="D4086" s="5" t="n">
        <v>41</v>
      </c>
      <c r="E4086" s="5" t="n">
        <v>355</v>
      </c>
      <c r="F4086" t="inlineStr">
        <is>
          <t>Продажа</t>
        </is>
      </c>
      <c r="H4086">
        <f>VLOOKUP(C4086,Магазин!$A$2:$C$1000,2,0)</f>
        <v/>
      </c>
      <c r="I4086">
        <f>VLOOKUP(D4086,Товар!$A$2:$F$1000,3,0)</f>
        <v/>
      </c>
      <c r="J4086">
        <f>VLOOKUP(D4086,Товар!$A$2:$F$1000,5,0)</f>
        <v/>
      </c>
      <c r="K4086">
        <f>IF(AND(H4086="Промышленный",LEFT(I4086,18)="Порошок стиральный",F4086="Продажа",B4086=DATE(2023,6,7)),E4086*J4086/1000,0)</f>
        <v/>
      </c>
    </row>
    <row r="4087">
      <c r="A4087" t="n">
        <v>4086</v>
      </c>
      <c r="B4087" s="1" t="n">
        <v>45091</v>
      </c>
      <c r="C4087" s="5" t="inlineStr">
        <is>
          <t>M7</t>
        </is>
      </c>
      <c r="D4087" s="5" t="n">
        <v>42</v>
      </c>
      <c r="E4087" s="5" t="n">
        <v>343</v>
      </c>
      <c r="F4087" t="inlineStr">
        <is>
          <t>Продажа</t>
        </is>
      </c>
      <c r="H4087">
        <f>VLOOKUP(C4087,Магазин!$A$2:$C$1000,2,0)</f>
        <v/>
      </c>
      <c r="I4087">
        <f>VLOOKUP(D4087,Товар!$A$2:$F$1000,3,0)</f>
        <v/>
      </c>
      <c r="J4087">
        <f>VLOOKUP(D4087,Товар!$A$2:$F$1000,5,0)</f>
        <v/>
      </c>
      <c r="K4087">
        <f>IF(AND(H4087="Промышленный",LEFT(I4087,18)="Порошок стиральный",F4087="Продажа",B4087=DATE(2023,6,7)),E4087*J4087/1000,0)</f>
        <v/>
      </c>
    </row>
    <row r="4088">
      <c r="A4088" t="n">
        <v>4087</v>
      </c>
      <c r="B4088" s="1" t="n">
        <v>45091</v>
      </c>
      <c r="C4088" s="5" t="inlineStr">
        <is>
          <t>M7</t>
        </is>
      </c>
      <c r="D4088" s="5" t="n">
        <v>43</v>
      </c>
      <c r="E4088" s="5" t="n">
        <v>322</v>
      </c>
      <c r="F4088" t="inlineStr">
        <is>
          <t>Продажа</t>
        </is>
      </c>
      <c r="H4088">
        <f>VLOOKUP(C4088,Магазин!$A$2:$C$1000,2,0)</f>
        <v/>
      </c>
      <c r="I4088">
        <f>VLOOKUP(D4088,Товар!$A$2:$F$1000,3,0)</f>
        <v/>
      </c>
      <c r="J4088">
        <f>VLOOKUP(D4088,Товар!$A$2:$F$1000,5,0)</f>
        <v/>
      </c>
      <c r="K4088">
        <f>IF(AND(H4088="Промышленный",LEFT(I4088,18)="Порошок стиральный",F4088="Продажа",B4088=DATE(2023,6,7)),E4088*J4088/1000,0)</f>
        <v/>
      </c>
    </row>
    <row r="4089">
      <c r="A4089" t="n">
        <v>4088</v>
      </c>
      <c r="B4089" s="1" t="n">
        <v>45091</v>
      </c>
      <c r="C4089" s="5" t="inlineStr">
        <is>
          <t>M7</t>
        </is>
      </c>
      <c r="D4089" s="5" t="n">
        <v>44</v>
      </c>
      <c r="E4089" s="5" t="n">
        <v>369</v>
      </c>
      <c r="F4089" t="inlineStr">
        <is>
          <t>Продажа</t>
        </is>
      </c>
      <c r="H4089">
        <f>VLOOKUP(C4089,Магазин!$A$2:$C$1000,2,0)</f>
        <v/>
      </c>
      <c r="I4089">
        <f>VLOOKUP(D4089,Товар!$A$2:$F$1000,3,0)</f>
        <v/>
      </c>
      <c r="J4089">
        <f>VLOOKUP(D4089,Товар!$A$2:$F$1000,5,0)</f>
        <v/>
      </c>
      <c r="K4089">
        <f>IF(AND(H4089="Промышленный",LEFT(I4089,18)="Порошок стиральный",F4089="Продажа",B4089=DATE(2023,6,7)),E4089*J4089/1000,0)</f>
        <v/>
      </c>
    </row>
    <row r="4090">
      <c r="A4090" t="n">
        <v>4089</v>
      </c>
      <c r="B4090" s="1" t="n">
        <v>45091</v>
      </c>
      <c r="C4090" s="5" t="inlineStr">
        <is>
          <t>M7</t>
        </is>
      </c>
      <c r="D4090" s="5" t="n">
        <v>45</v>
      </c>
      <c r="E4090" s="5" t="n">
        <v>399</v>
      </c>
      <c r="F4090" t="inlineStr">
        <is>
          <t>Продажа</t>
        </is>
      </c>
      <c r="H4090">
        <f>VLOOKUP(C4090,Магазин!$A$2:$C$1000,2,0)</f>
        <v/>
      </c>
      <c r="I4090">
        <f>VLOOKUP(D4090,Товар!$A$2:$F$1000,3,0)</f>
        <v/>
      </c>
      <c r="J4090">
        <f>VLOOKUP(D4090,Товар!$A$2:$F$1000,5,0)</f>
        <v/>
      </c>
      <c r="K4090">
        <f>IF(AND(H4090="Промышленный",LEFT(I4090,18)="Порошок стиральный",F4090="Продажа",B4090=DATE(2023,6,7)),E4090*J4090/1000,0)</f>
        <v/>
      </c>
    </row>
    <row r="4091">
      <c r="A4091" t="n">
        <v>4090</v>
      </c>
      <c r="B4091" s="1" t="n">
        <v>45091</v>
      </c>
      <c r="C4091" s="5" t="inlineStr">
        <is>
          <t>M7</t>
        </is>
      </c>
      <c r="D4091" s="5" t="n">
        <v>46</v>
      </c>
      <c r="E4091" s="5" t="n">
        <v>307</v>
      </c>
      <c r="F4091" t="inlineStr">
        <is>
          <t>Продажа</t>
        </is>
      </c>
      <c r="H4091">
        <f>VLOOKUP(C4091,Магазин!$A$2:$C$1000,2,0)</f>
        <v/>
      </c>
      <c r="I4091">
        <f>VLOOKUP(D4091,Товар!$A$2:$F$1000,3,0)</f>
        <v/>
      </c>
      <c r="J4091">
        <f>VLOOKUP(D4091,Товар!$A$2:$F$1000,5,0)</f>
        <v/>
      </c>
      <c r="K4091">
        <f>IF(AND(H4091="Промышленный",LEFT(I4091,18)="Порошок стиральный",F4091="Продажа",B4091=DATE(2023,6,7)),E4091*J4091/1000,0)</f>
        <v/>
      </c>
    </row>
    <row r="4092">
      <c r="A4092" t="n">
        <v>4091</v>
      </c>
      <c r="B4092" s="1" t="n">
        <v>45091</v>
      </c>
      <c r="C4092" s="5" t="inlineStr">
        <is>
          <t>M7</t>
        </is>
      </c>
      <c r="D4092" s="5" t="n">
        <v>47</v>
      </c>
      <c r="E4092" s="5" t="n">
        <v>302</v>
      </c>
      <c r="F4092" t="inlineStr">
        <is>
          <t>Продажа</t>
        </is>
      </c>
      <c r="H4092">
        <f>VLOOKUP(C4092,Магазин!$A$2:$C$1000,2,0)</f>
        <v/>
      </c>
      <c r="I4092">
        <f>VLOOKUP(D4092,Товар!$A$2:$F$1000,3,0)</f>
        <v/>
      </c>
      <c r="J4092">
        <f>VLOOKUP(D4092,Товар!$A$2:$F$1000,5,0)</f>
        <v/>
      </c>
      <c r="K4092">
        <f>IF(AND(H4092="Промышленный",LEFT(I4092,18)="Порошок стиральный",F4092="Продажа",B4092=DATE(2023,6,7)),E4092*J4092/1000,0)</f>
        <v/>
      </c>
    </row>
    <row r="4093">
      <c r="A4093" t="n">
        <v>4092</v>
      </c>
      <c r="B4093" s="1" t="n">
        <v>45091</v>
      </c>
      <c r="C4093" s="5" t="inlineStr">
        <is>
          <t>M7</t>
        </is>
      </c>
      <c r="D4093" s="5" t="n">
        <v>48</v>
      </c>
      <c r="E4093" s="5" t="n">
        <v>301</v>
      </c>
      <c r="F4093" t="inlineStr">
        <is>
          <t>Продажа</t>
        </is>
      </c>
      <c r="H4093">
        <f>VLOOKUP(C4093,Магазин!$A$2:$C$1000,2,0)</f>
        <v/>
      </c>
      <c r="I4093">
        <f>VLOOKUP(D4093,Товар!$A$2:$F$1000,3,0)</f>
        <v/>
      </c>
      <c r="J4093">
        <f>VLOOKUP(D4093,Товар!$A$2:$F$1000,5,0)</f>
        <v/>
      </c>
      <c r="K4093">
        <f>IF(AND(H4093="Промышленный",LEFT(I4093,18)="Порошок стиральный",F4093="Продажа",B4093=DATE(2023,6,7)),E4093*J4093/1000,0)</f>
        <v/>
      </c>
    </row>
    <row r="4094">
      <c r="A4094" t="n">
        <v>4093</v>
      </c>
      <c r="B4094" s="1" t="n">
        <v>45091</v>
      </c>
      <c r="C4094" s="5" t="inlineStr">
        <is>
          <t>M7</t>
        </is>
      </c>
      <c r="D4094" s="5" t="n">
        <v>49</v>
      </c>
      <c r="E4094" s="5" t="n">
        <v>357</v>
      </c>
      <c r="F4094" t="inlineStr">
        <is>
          <t>Продажа</t>
        </is>
      </c>
      <c r="H4094">
        <f>VLOOKUP(C4094,Магазин!$A$2:$C$1000,2,0)</f>
        <v/>
      </c>
      <c r="I4094">
        <f>VLOOKUP(D4094,Товар!$A$2:$F$1000,3,0)</f>
        <v/>
      </c>
      <c r="J4094">
        <f>VLOOKUP(D4094,Товар!$A$2:$F$1000,5,0)</f>
        <v/>
      </c>
      <c r="K4094">
        <f>IF(AND(H4094="Промышленный",LEFT(I4094,18)="Порошок стиральный",F4094="Продажа",B4094=DATE(2023,6,7)),E4094*J4094/1000,0)</f>
        <v/>
      </c>
    </row>
    <row r="4095">
      <c r="A4095" t="n">
        <v>4094</v>
      </c>
      <c r="B4095" s="1" t="n">
        <v>45091</v>
      </c>
      <c r="C4095" s="5" t="inlineStr">
        <is>
          <t>M7</t>
        </is>
      </c>
      <c r="D4095" s="5" t="n">
        <v>50</v>
      </c>
      <c r="E4095" s="5" t="n">
        <v>268</v>
      </c>
      <c r="F4095" t="inlineStr">
        <is>
          <t>Продажа</t>
        </is>
      </c>
      <c r="H4095">
        <f>VLOOKUP(C4095,Магазин!$A$2:$C$1000,2,0)</f>
        <v/>
      </c>
      <c r="I4095">
        <f>VLOOKUP(D4095,Товар!$A$2:$F$1000,3,0)</f>
        <v/>
      </c>
      <c r="J4095">
        <f>VLOOKUP(D4095,Товар!$A$2:$F$1000,5,0)</f>
        <v/>
      </c>
      <c r="K4095">
        <f>IF(AND(H4095="Промышленный",LEFT(I4095,18)="Порошок стиральный",F4095="Продажа",B4095=DATE(2023,6,7)),E4095*J4095/1000,0)</f>
        <v/>
      </c>
    </row>
    <row r="4096">
      <c r="A4096" t="n">
        <v>4095</v>
      </c>
      <c r="B4096" s="1" t="n">
        <v>45091</v>
      </c>
      <c r="C4096" s="5" t="inlineStr">
        <is>
          <t>M7</t>
        </is>
      </c>
      <c r="D4096" s="5" t="n">
        <v>51</v>
      </c>
      <c r="E4096" s="5" t="n">
        <v>279</v>
      </c>
      <c r="F4096" t="inlineStr">
        <is>
          <t>Продажа</t>
        </is>
      </c>
      <c r="H4096">
        <f>VLOOKUP(C4096,Магазин!$A$2:$C$1000,2,0)</f>
        <v/>
      </c>
      <c r="I4096">
        <f>VLOOKUP(D4096,Товар!$A$2:$F$1000,3,0)</f>
        <v/>
      </c>
      <c r="J4096">
        <f>VLOOKUP(D4096,Товар!$A$2:$F$1000,5,0)</f>
        <v/>
      </c>
      <c r="K4096">
        <f>IF(AND(H4096="Промышленный",LEFT(I4096,18)="Порошок стиральный",F4096="Продажа",B4096=DATE(2023,6,7)),E4096*J4096/1000,0)</f>
        <v/>
      </c>
    </row>
    <row r="4097">
      <c r="A4097" t="n">
        <v>4096</v>
      </c>
      <c r="B4097" s="1" t="n">
        <v>45091</v>
      </c>
      <c r="C4097" s="5" t="inlineStr">
        <is>
          <t>M7</t>
        </is>
      </c>
      <c r="D4097" s="5" t="n">
        <v>52</v>
      </c>
      <c r="E4097" s="5" t="n">
        <v>281</v>
      </c>
      <c r="F4097" t="inlineStr">
        <is>
          <t>Продажа</t>
        </is>
      </c>
      <c r="H4097">
        <f>VLOOKUP(C4097,Магазин!$A$2:$C$1000,2,0)</f>
        <v/>
      </c>
      <c r="I4097">
        <f>VLOOKUP(D4097,Товар!$A$2:$F$1000,3,0)</f>
        <v/>
      </c>
      <c r="J4097">
        <f>VLOOKUP(D4097,Товар!$A$2:$F$1000,5,0)</f>
        <v/>
      </c>
      <c r="K4097">
        <f>IF(AND(H4097="Промышленный",LEFT(I4097,18)="Порошок стиральный",F4097="Продажа",B4097=DATE(2023,6,7)),E4097*J4097/1000,0)</f>
        <v/>
      </c>
    </row>
    <row r="4098">
      <c r="A4098" t="n">
        <v>4097</v>
      </c>
      <c r="B4098" s="1" t="n">
        <v>45091</v>
      </c>
      <c r="C4098" s="5" t="inlineStr">
        <is>
          <t>M7</t>
        </is>
      </c>
      <c r="D4098" s="5" t="n">
        <v>53</v>
      </c>
      <c r="E4098" s="5" t="n">
        <v>292</v>
      </c>
      <c r="F4098" t="inlineStr">
        <is>
          <t>Продажа</t>
        </is>
      </c>
      <c r="H4098">
        <f>VLOOKUP(C4098,Магазин!$A$2:$C$1000,2,0)</f>
        <v/>
      </c>
      <c r="I4098">
        <f>VLOOKUP(D4098,Товар!$A$2:$F$1000,3,0)</f>
        <v/>
      </c>
      <c r="J4098">
        <f>VLOOKUP(D4098,Товар!$A$2:$F$1000,5,0)</f>
        <v/>
      </c>
      <c r="K4098">
        <f>IF(AND(H4098="Промышленный",LEFT(I4098,18)="Порошок стиральный",F4098="Продажа",B4098=DATE(2023,6,7)),E4098*J4098/1000,0)</f>
        <v/>
      </c>
    </row>
    <row r="4099">
      <c r="A4099" t="n">
        <v>4098</v>
      </c>
      <c r="B4099" s="1" t="n">
        <v>45091</v>
      </c>
      <c r="C4099" s="5" t="inlineStr">
        <is>
          <t>M7</t>
        </is>
      </c>
      <c r="D4099" s="5" t="n">
        <v>54</v>
      </c>
      <c r="E4099" s="5" t="n">
        <v>203</v>
      </c>
      <c r="F4099" t="inlineStr">
        <is>
          <t>Продажа</t>
        </is>
      </c>
      <c r="H4099">
        <f>VLOOKUP(C4099,Магазин!$A$2:$C$1000,2,0)</f>
        <v/>
      </c>
      <c r="I4099">
        <f>VLOOKUP(D4099,Товар!$A$2:$F$1000,3,0)</f>
        <v/>
      </c>
      <c r="J4099">
        <f>VLOOKUP(D4099,Товар!$A$2:$F$1000,5,0)</f>
        <v/>
      </c>
      <c r="K4099">
        <f>IF(AND(H4099="Промышленный",LEFT(I4099,18)="Порошок стиральный",F4099="Продажа",B4099=DATE(2023,6,7)),E4099*J4099/1000,0)</f>
        <v/>
      </c>
    </row>
    <row r="4100">
      <c r="A4100" t="n">
        <v>4099</v>
      </c>
      <c r="B4100" s="1" t="n">
        <v>45091</v>
      </c>
      <c r="C4100" s="5" t="inlineStr">
        <is>
          <t>M7</t>
        </is>
      </c>
      <c r="D4100" s="5" t="n">
        <v>55</v>
      </c>
      <c r="E4100" s="5" t="n">
        <v>214</v>
      </c>
      <c r="F4100" t="inlineStr">
        <is>
          <t>Продажа</t>
        </is>
      </c>
      <c r="H4100">
        <f>VLOOKUP(C4100,Магазин!$A$2:$C$1000,2,0)</f>
        <v/>
      </c>
      <c r="I4100">
        <f>VLOOKUP(D4100,Товар!$A$2:$F$1000,3,0)</f>
        <v/>
      </c>
      <c r="J4100">
        <f>VLOOKUP(D4100,Товар!$A$2:$F$1000,5,0)</f>
        <v/>
      </c>
      <c r="K4100">
        <f>IF(AND(H4100="Промышленный",LEFT(I4100,18)="Порошок стиральный",F4100="Продажа",B4100=DATE(2023,6,7)),E4100*J4100/1000,0)</f>
        <v/>
      </c>
    </row>
    <row r="4101">
      <c r="A4101" t="n">
        <v>4100</v>
      </c>
      <c r="B4101" s="1" t="n">
        <v>45091</v>
      </c>
      <c r="C4101" s="5" t="inlineStr">
        <is>
          <t>M7</t>
        </is>
      </c>
      <c r="D4101" s="5" t="n">
        <v>56</v>
      </c>
      <c r="E4101" s="5" t="n">
        <v>225</v>
      </c>
      <c r="F4101" t="inlineStr">
        <is>
          <t>Продажа</t>
        </is>
      </c>
      <c r="H4101">
        <f>VLOOKUP(C4101,Магазин!$A$2:$C$1000,2,0)</f>
        <v/>
      </c>
      <c r="I4101">
        <f>VLOOKUP(D4101,Товар!$A$2:$F$1000,3,0)</f>
        <v/>
      </c>
      <c r="J4101">
        <f>VLOOKUP(D4101,Товар!$A$2:$F$1000,5,0)</f>
        <v/>
      </c>
      <c r="K4101">
        <f>IF(AND(H4101="Промышленный",LEFT(I4101,18)="Порошок стиральный",F4101="Продажа",B4101=DATE(2023,6,7)),E4101*J4101/1000,0)</f>
        <v/>
      </c>
    </row>
    <row r="4102">
      <c r="A4102" t="n">
        <v>4101</v>
      </c>
      <c r="B4102" s="1" t="n">
        <v>45091</v>
      </c>
      <c r="C4102" s="5" t="inlineStr">
        <is>
          <t>M7</t>
        </is>
      </c>
      <c r="D4102" s="5" t="n">
        <v>57</v>
      </c>
      <c r="E4102" s="5" t="n">
        <v>357</v>
      </c>
      <c r="F4102" t="inlineStr">
        <is>
          <t>Продажа</t>
        </is>
      </c>
      <c r="H4102">
        <f>VLOOKUP(C4102,Магазин!$A$2:$C$1000,2,0)</f>
        <v/>
      </c>
      <c r="I4102">
        <f>VLOOKUP(D4102,Товар!$A$2:$F$1000,3,0)</f>
        <v/>
      </c>
      <c r="J4102">
        <f>VLOOKUP(D4102,Товар!$A$2:$F$1000,5,0)</f>
        <v/>
      </c>
      <c r="K4102">
        <f>IF(AND(H4102="Промышленный",LEFT(I4102,18)="Порошок стиральный",F4102="Продажа",B4102=DATE(2023,6,7)),E4102*J4102/1000,0)</f>
        <v/>
      </c>
    </row>
    <row r="4103">
      <c r="A4103" t="n">
        <v>4102</v>
      </c>
      <c r="B4103" s="1" t="n">
        <v>45091</v>
      </c>
      <c r="C4103" s="5" t="inlineStr">
        <is>
          <t>M7</t>
        </is>
      </c>
      <c r="D4103" s="5" t="n">
        <v>58</v>
      </c>
      <c r="E4103" s="5" t="n">
        <v>355</v>
      </c>
      <c r="F4103" t="inlineStr">
        <is>
          <t>Продажа</t>
        </is>
      </c>
      <c r="H4103">
        <f>VLOOKUP(C4103,Магазин!$A$2:$C$1000,2,0)</f>
        <v/>
      </c>
      <c r="I4103">
        <f>VLOOKUP(D4103,Товар!$A$2:$F$1000,3,0)</f>
        <v/>
      </c>
      <c r="J4103">
        <f>VLOOKUP(D4103,Товар!$A$2:$F$1000,5,0)</f>
        <v/>
      </c>
      <c r="K4103">
        <f>IF(AND(H4103="Промышленный",LEFT(I4103,18)="Порошок стиральный",F4103="Продажа",B4103=DATE(2023,6,7)),E4103*J4103/1000,0)</f>
        <v/>
      </c>
    </row>
    <row r="4104">
      <c r="A4104" t="n">
        <v>4103</v>
      </c>
      <c r="B4104" s="1" t="n">
        <v>45091</v>
      </c>
      <c r="C4104" s="5" t="inlineStr">
        <is>
          <t>M7</t>
        </is>
      </c>
      <c r="D4104" s="5" t="n">
        <v>59</v>
      </c>
      <c r="E4104" s="5" t="n">
        <v>343</v>
      </c>
      <c r="F4104" t="inlineStr">
        <is>
          <t>Продажа</t>
        </is>
      </c>
      <c r="H4104">
        <f>VLOOKUP(C4104,Магазин!$A$2:$C$1000,2,0)</f>
        <v/>
      </c>
      <c r="I4104">
        <f>VLOOKUP(D4104,Товар!$A$2:$F$1000,3,0)</f>
        <v/>
      </c>
      <c r="J4104">
        <f>VLOOKUP(D4104,Товар!$A$2:$F$1000,5,0)</f>
        <v/>
      </c>
      <c r="K4104">
        <f>IF(AND(H4104="Промышленный",LEFT(I4104,18)="Порошок стиральный",F4104="Продажа",B4104=DATE(2023,6,7)),E4104*J4104/1000,0)</f>
        <v/>
      </c>
    </row>
    <row r="4105">
      <c r="A4105" t="n">
        <v>4104</v>
      </c>
      <c r="B4105" s="1" t="n">
        <v>45091</v>
      </c>
      <c r="C4105" s="5" t="inlineStr">
        <is>
          <t>M7</t>
        </is>
      </c>
      <c r="D4105" s="5" t="n">
        <v>60</v>
      </c>
      <c r="E4105" s="5" t="n">
        <v>322</v>
      </c>
      <c r="F4105" t="inlineStr">
        <is>
          <t>Продажа</t>
        </is>
      </c>
      <c r="H4105">
        <f>VLOOKUP(C4105,Магазин!$A$2:$C$1000,2,0)</f>
        <v/>
      </c>
      <c r="I4105">
        <f>VLOOKUP(D4105,Товар!$A$2:$F$1000,3,0)</f>
        <v/>
      </c>
      <c r="J4105">
        <f>VLOOKUP(D4105,Товар!$A$2:$F$1000,5,0)</f>
        <v/>
      </c>
      <c r="K4105">
        <f>IF(AND(H4105="Промышленный",LEFT(I4105,18)="Порошок стиральный",F4105="Продажа",B4105=DATE(2023,6,7)),E4105*J4105/1000,0)</f>
        <v/>
      </c>
    </row>
    <row r="4106">
      <c r="A4106" t="n">
        <v>4105</v>
      </c>
      <c r="B4106" s="1" t="n">
        <v>45091</v>
      </c>
      <c r="C4106" s="5" t="inlineStr">
        <is>
          <t>M8</t>
        </is>
      </c>
      <c r="D4106" s="5" t="n">
        <v>37</v>
      </c>
      <c r="E4106" s="5" t="n">
        <v>369</v>
      </c>
      <c r="F4106" t="inlineStr">
        <is>
          <t>Продажа</t>
        </is>
      </c>
      <c r="H4106">
        <f>VLOOKUP(C4106,Магазин!$A$2:$C$1000,2,0)</f>
        <v/>
      </c>
      <c r="I4106">
        <f>VLOOKUP(D4106,Товар!$A$2:$F$1000,3,0)</f>
        <v/>
      </c>
      <c r="J4106">
        <f>VLOOKUP(D4106,Товар!$A$2:$F$1000,5,0)</f>
        <v/>
      </c>
      <c r="K4106">
        <f>IF(AND(H4106="Промышленный",LEFT(I4106,18)="Порошок стиральный",F4106="Продажа",B4106=DATE(2023,6,7)),E4106*J4106/1000,0)</f>
        <v/>
      </c>
    </row>
    <row r="4107">
      <c r="A4107" t="n">
        <v>4106</v>
      </c>
      <c r="B4107" s="1" t="n">
        <v>45091</v>
      </c>
      <c r="C4107" s="5" t="inlineStr">
        <is>
          <t>M8</t>
        </is>
      </c>
      <c r="D4107" s="5" t="n">
        <v>38</v>
      </c>
      <c r="E4107" s="5" t="n">
        <v>399</v>
      </c>
      <c r="F4107" t="inlineStr">
        <is>
          <t>Продажа</t>
        </is>
      </c>
      <c r="H4107">
        <f>VLOOKUP(C4107,Магазин!$A$2:$C$1000,2,0)</f>
        <v/>
      </c>
      <c r="I4107">
        <f>VLOOKUP(D4107,Товар!$A$2:$F$1000,3,0)</f>
        <v/>
      </c>
      <c r="J4107">
        <f>VLOOKUP(D4107,Товар!$A$2:$F$1000,5,0)</f>
        <v/>
      </c>
      <c r="K4107">
        <f>IF(AND(H4107="Промышленный",LEFT(I4107,18)="Порошок стиральный",F4107="Продажа",B4107=DATE(2023,6,7)),E4107*J4107/1000,0)</f>
        <v/>
      </c>
    </row>
    <row r="4108">
      <c r="A4108" t="n">
        <v>4107</v>
      </c>
      <c r="B4108" s="1" t="n">
        <v>45091</v>
      </c>
      <c r="C4108" s="5" t="inlineStr">
        <is>
          <t>M8</t>
        </is>
      </c>
      <c r="D4108" s="5" t="n">
        <v>39</v>
      </c>
      <c r="E4108" s="5" t="n">
        <v>307</v>
      </c>
      <c r="F4108" t="inlineStr">
        <is>
          <t>Продажа</t>
        </is>
      </c>
      <c r="H4108">
        <f>VLOOKUP(C4108,Магазин!$A$2:$C$1000,2,0)</f>
        <v/>
      </c>
      <c r="I4108">
        <f>VLOOKUP(D4108,Товар!$A$2:$F$1000,3,0)</f>
        <v/>
      </c>
      <c r="J4108">
        <f>VLOOKUP(D4108,Товар!$A$2:$F$1000,5,0)</f>
        <v/>
      </c>
      <c r="K4108">
        <f>IF(AND(H4108="Промышленный",LEFT(I4108,18)="Порошок стиральный",F4108="Продажа",B4108=DATE(2023,6,7)),E4108*J4108/1000,0)</f>
        <v/>
      </c>
    </row>
    <row r="4109">
      <c r="A4109" t="n">
        <v>4108</v>
      </c>
      <c r="B4109" s="1" t="n">
        <v>45091</v>
      </c>
      <c r="C4109" s="5" t="inlineStr">
        <is>
          <t>M8</t>
        </is>
      </c>
      <c r="D4109" s="5" t="n">
        <v>40</v>
      </c>
      <c r="E4109" s="5" t="n">
        <v>302</v>
      </c>
      <c r="F4109" t="inlineStr">
        <is>
          <t>Продажа</t>
        </is>
      </c>
      <c r="H4109">
        <f>VLOOKUP(C4109,Магазин!$A$2:$C$1000,2,0)</f>
        <v/>
      </c>
      <c r="I4109">
        <f>VLOOKUP(D4109,Товар!$A$2:$F$1000,3,0)</f>
        <v/>
      </c>
      <c r="J4109">
        <f>VLOOKUP(D4109,Товар!$A$2:$F$1000,5,0)</f>
        <v/>
      </c>
      <c r="K4109">
        <f>IF(AND(H4109="Промышленный",LEFT(I4109,18)="Порошок стиральный",F4109="Продажа",B4109=DATE(2023,6,7)),E4109*J4109/1000,0)</f>
        <v/>
      </c>
    </row>
    <row r="4110">
      <c r="A4110" t="n">
        <v>4109</v>
      </c>
      <c r="B4110" s="1" t="n">
        <v>45091</v>
      </c>
      <c r="C4110" s="5" t="inlineStr">
        <is>
          <t>M8</t>
        </is>
      </c>
      <c r="D4110" s="5" t="n">
        <v>41</v>
      </c>
      <c r="E4110" s="5" t="n">
        <v>301</v>
      </c>
      <c r="F4110" t="inlineStr">
        <is>
          <t>Продажа</t>
        </is>
      </c>
      <c r="H4110">
        <f>VLOOKUP(C4110,Магазин!$A$2:$C$1000,2,0)</f>
        <v/>
      </c>
      <c r="I4110">
        <f>VLOOKUP(D4110,Товар!$A$2:$F$1000,3,0)</f>
        <v/>
      </c>
      <c r="J4110">
        <f>VLOOKUP(D4110,Товар!$A$2:$F$1000,5,0)</f>
        <v/>
      </c>
      <c r="K4110">
        <f>IF(AND(H4110="Промышленный",LEFT(I4110,18)="Порошок стиральный",F4110="Продажа",B4110=DATE(2023,6,7)),E4110*J4110/1000,0)</f>
        <v/>
      </c>
    </row>
    <row r="4111">
      <c r="A4111" t="n">
        <v>4110</v>
      </c>
      <c r="B4111" s="1" t="n">
        <v>45091</v>
      </c>
      <c r="C4111" s="5" t="inlineStr">
        <is>
          <t>M8</t>
        </is>
      </c>
      <c r="D4111" s="5" t="n">
        <v>42</v>
      </c>
      <c r="E4111" s="5" t="n">
        <v>357</v>
      </c>
      <c r="F4111" t="inlineStr">
        <is>
          <t>Продажа</t>
        </is>
      </c>
      <c r="H4111">
        <f>VLOOKUP(C4111,Магазин!$A$2:$C$1000,2,0)</f>
        <v/>
      </c>
      <c r="I4111">
        <f>VLOOKUP(D4111,Товар!$A$2:$F$1000,3,0)</f>
        <v/>
      </c>
      <c r="J4111">
        <f>VLOOKUP(D4111,Товар!$A$2:$F$1000,5,0)</f>
        <v/>
      </c>
      <c r="K4111">
        <f>IF(AND(H4111="Промышленный",LEFT(I4111,18)="Порошок стиральный",F4111="Продажа",B4111=DATE(2023,6,7)),E4111*J4111/1000,0)</f>
        <v/>
      </c>
    </row>
    <row r="4112">
      <c r="A4112" t="n">
        <v>4111</v>
      </c>
      <c r="B4112" s="1" t="n">
        <v>45091</v>
      </c>
      <c r="C4112" s="5" t="inlineStr">
        <is>
          <t>M8</t>
        </is>
      </c>
      <c r="D4112" s="5" t="n">
        <v>43</v>
      </c>
      <c r="E4112" s="5" t="n">
        <v>268</v>
      </c>
      <c r="F4112" t="inlineStr">
        <is>
          <t>Продажа</t>
        </is>
      </c>
      <c r="H4112">
        <f>VLOOKUP(C4112,Магазин!$A$2:$C$1000,2,0)</f>
        <v/>
      </c>
      <c r="I4112">
        <f>VLOOKUP(D4112,Товар!$A$2:$F$1000,3,0)</f>
        <v/>
      </c>
      <c r="J4112">
        <f>VLOOKUP(D4112,Товар!$A$2:$F$1000,5,0)</f>
        <v/>
      </c>
      <c r="K4112">
        <f>IF(AND(H4112="Промышленный",LEFT(I4112,18)="Порошок стиральный",F4112="Продажа",B4112=DATE(2023,6,7)),E4112*J4112/1000,0)</f>
        <v/>
      </c>
    </row>
    <row r="4113">
      <c r="A4113" t="n">
        <v>4112</v>
      </c>
      <c r="B4113" s="1" t="n">
        <v>45091</v>
      </c>
      <c r="C4113" s="5" t="inlineStr">
        <is>
          <t>M8</t>
        </is>
      </c>
      <c r="D4113" s="5" t="n">
        <v>44</v>
      </c>
      <c r="E4113" s="5" t="n">
        <v>279</v>
      </c>
      <c r="F4113" t="inlineStr">
        <is>
          <t>Продажа</t>
        </is>
      </c>
      <c r="H4113">
        <f>VLOOKUP(C4113,Магазин!$A$2:$C$1000,2,0)</f>
        <v/>
      </c>
      <c r="I4113">
        <f>VLOOKUP(D4113,Товар!$A$2:$F$1000,3,0)</f>
        <v/>
      </c>
      <c r="J4113">
        <f>VLOOKUP(D4113,Товар!$A$2:$F$1000,5,0)</f>
        <v/>
      </c>
      <c r="K4113">
        <f>IF(AND(H4113="Промышленный",LEFT(I4113,18)="Порошок стиральный",F4113="Продажа",B4113=DATE(2023,6,7)),E4113*J4113/1000,0)</f>
        <v/>
      </c>
    </row>
    <row r="4114">
      <c r="A4114" t="n">
        <v>4113</v>
      </c>
      <c r="B4114" s="1" t="n">
        <v>45091</v>
      </c>
      <c r="C4114" s="5" t="inlineStr">
        <is>
          <t>M8</t>
        </is>
      </c>
      <c r="D4114" s="5" t="n">
        <v>45</v>
      </c>
      <c r="E4114" s="5" t="n">
        <v>281</v>
      </c>
      <c r="F4114" t="inlineStr">
        <is>
          <t>Продажа</t>
        </is>
      </c>
      <c r="H4114">
        <f>VLOOKUP(C4114,Магазин!$A$2:$C$1000,2,0)</f>
        <v/>
      </c>
      <c r="I4114">
        <f>VLOOKUP(D4114,Товар!$A$2:$F$1000,3,0)</f>
        <v/>
      </c>
      <c r="J4114">
        <f>VLOOKUP(D4114,Товар!$A$2:$F$1000,5,0)</f>
        <v/>
      </c>
      <c r="K4114">
        <f>IF(AND(H4114="Промышленный",LEFT(I4114,18)="Порошок стиральный",F4114="Продажа",B4114=DATE(2023,6,7)),E4114*J4114/1000,0)</f>
        <v/>
      </c>
    </row>
    <row r="4115">
      <c r="A4115" t="n">
        <v>4114</v>
      </c>
      <c r="B4115" s="1" t="n">
        <v>45091</v>
      </c>
      <c r="C4115" s="5" t="inlineStr">
        <is>
          <t>M8</t>
        </is>
      </c>
      <c r="D4115" s="5" t="n">
        <v>46</v>
      </c>
      <c r="E4115" s="5" t="n">
        <v>292</v>
      </c>
      <c r="F4115" t="inlineStr">
        <is>
          <t>Продажа</t>
        </is>
      </c>
      <c r="H4115">
        <f>VLOOKUP(C4115,Магазин!$A$2:$C$1000,2,0)</f>
        <v/>
      </c>
      <c r="I4115">
        <f>VLOOKUP(D4115,Товар!$A$2:$F$1000,3,0)</f>
        <v/>
      </c>
      <c r="J4115">
        <f>VLOOKUP(D4115,Товар!$A$2:$F$1000,5,0)</f>
        <v/>
      </c>
      <c r="K4115">
        <f>IF(AND(H4115="Промышленный",LEFT(I4115,18)="Порошок стиральный",F4115="Продажа",B4115=DATE(2023,6,7)),E4115*J4115/1000,0)</f>
        <v/>
      </c>
    </row>
    <row r="4116">
      <c r="A4116" t="n">
        <v>4115</v>
      </c>
      <c r="B4116" s="1" t="n">
        <v>45091</v>
      </c>
      <c r="C4116" s="5" t="inlineStr">
        <is>
          <t>M8</t>
        </is>
      </c>
      <c r="D4116" s="5" t="n">
        <v>47</v>
      </c>
      <c r="E4116" s="5" t="n">
        <v>203</v>
      </c>
      <c r="F4116" t="inlineStr">
        <is>
          <t>Продажа</t>
        </is>
      </c>
      <c r="H4116">
        <f>VLOOKUP(C4116,Магазин!$A$2:$C$1000,2,0)</f>
        <v/>
      </c>
      <c r="I4116">
        <f>VLOOKUP(D4116,Товар!$A$2:$F$1000,3,0)</f>
        <v/>
      </c>
      <c r="J4116">
        <f>VLOOKUP(D4116,Товар!$A$2:$F$1000,5,0)</f>
        <v/>
      </c>
      <c r="K4116">
        <f>IF(AND(H4116="Промышленный",LEFT(I4116,18)="Порошок стиральный",F4116="Продажа",B4116=DATE(2023,6,7)),E4116*J4116/1000,0)</f>
        <v/>
      </c>
    </row>
    <row r="4117">
      <c r="A4117" t="n">
        <v>4116</v>
      </c>
      <c r="B4117" s="1" t="n">
        <v>45091</v>
      </c>
      <c r="C4117" s="5" t="inlineStr">
        <is>
          <t>M8</t>
        </is>
      </c>
      <c r="D4117" s="5" t="n">
        <v>48</v>
      </c>
      <c r="E4117" s="5" t="n">
        <v>214</v>
      </c>
      <c r="F4117" t="inlineStr">
        <is>
          <t>Продажа</t>
        </is>
      </c>
      <c r="H4117">
        <f>VLOOKUP(C4117,Магазин!$A$2:$C$1000,2,0)</f>
        <v/>
      </c>
      <c r="I4117">
        <f>VLOOKUP(D4117,Товар!$A$2:$F$1000,3,0)</f>
        <v/>
      </c>
      <c r="J4117">
        <f>VLOOKUP(D4117,Товар!$A$2:$F$1000,5,0)</f>
        <v/>
      </c>
      <c r="K4117">
        <f>IF(AND(H4117="Промышленный",LEFT(I4117,18)="Порошок стиральный",F4117="Продажа",B4117=DATE(2023,6,7)),E4117*J4117/1000,0)</f>
        <v/>
      </c>
    </row>
    <row r="4118">
      <c r="A4118" t="n">
        <v>4117</v>
      </c>
      <c r="B4118" s="1" t="n">
        <v>45091</v>
      </c>
      <c r="C4118" s="5" t="inlineStr">
        <is>
          <t>M8</t>
        </is>
      </c>
      <c r="D4118" s="5" t="n">
        <v>49</v>
      </c>
      <c r="E4118" s="5" t="n">
        <v>225</v>
      </c>
      <c r="F4118" t="inlineStr">
        <is>
          <t>Продажа</t>
        </is>
      </c>
      <c r="H4118">
        <f>VLOOKUP(C4118,Магазин!$A$2:$C$1000,2,0)</f>
        <v/>
      </c>
      <c r="I4118">
        <f>VLOOKUP(D4118,Товар!$A$2:$F$1000,3,0)</f>
        <v/>
      </c>
      <c r="J4118">
        <f>VLOOKUP(D4118,Товар!$A$2:$F$1000,5,0)</f>
        <v/>
      </c>
      <c r="K4118">
        <f>IF(AND(H4118="Промышленный",LEFT(I4118,18)="Порошок стиральный",F4118="Продажа",B4118=DATE(2023,6,7)),E4118*J4118/1000,0)</f>
        <v/>
      </c>
    </row>
    <row r="4119">
      <c r="A4119" t="n">
        <v>4118</v>
      </c>
      <c r="B4119" s="1" t="n">
        <v>45091</v>
      </c>
      <c r="C4119" s="5" t="inlineStr">
        <is>
          <t>M8</t>
        </is>
      </c>
      <c r="D4119" s="5" t="n">
        <v>50</v>
      </c>
      <c r="E4119" s="5" t="n">
        <v>357</v>
      </c>
      <c r="F4119" t="inlineStr">
        <is>
          <t>Продажа</t>
        </is>
      </c>
      <c r="H4119">
        <f>VLOOKUP(C4119,Магазин!$A$2:$C$1000,2,0)</f>
        <v/>
      </c>
      <c r="I4119">
        <f>VLOOKUP(D4119,Товар!$A$2:$F$1000,3,0)</f>
        <v/>
      </c>
      <c r="J4119">
        <f>VLOOKUP(D4119,Товар!$A$2:$F$1000,5,0)</f>
        <v/>
      </c>
      <c r="K4119">
        <f>IF(AND(H4119="Промышленный",LEFT(I4119,18)="Порошок стиральный",F4119="Продажа",B4119=DATE(2023,6,7)),E4119*J4119/1000,0)</f>
        <v/>
      </c>
    </row>
    <row r="4120">
      <c r="A4120" t="n">
        <v>4119</v>
      </c>
      <c r="B4120" s="1" t="n">
        <v>45091</v>
      </c>
      <c r="C4120" s="5" t="inlineStr">
        <is>
          <t>M8</t>
        </is>
      </c>
      <c r="D4120" s="5" t="n">
        <v>51</v>
      </c>
      <c r="E4120" s="5" t="n">
        <v>355</v>
      </c>
      <c r="F4120" t="inlineStr">
        <is>
          <t>Продажа</t>
        </is>
      </c>
      <c r="H4120">
        <f>VLOOKUP(C4120,Магазин!$A$2:$C$1000,2,0)</f>
        <v/>
      </c>
      <c r="I4120">
        <f>VLOOKUP(D4120,Товар!$A$2:$F$1000,3,0)</f>
        <v/>
      </c>
      <c r="J4120">
        <f>VLOOKUP(D4120,Товар!$A$2:$F$1000,5,0)</f>
        <v/>
      </c>
      <c r="K4120">
        <f>IF(AND(H4120="Промышленный",LEFT(I4120,18)="Порошок стиральный",F4120="Продажа",B4120=DATE(2023,6,7)),E4120*J4120/1000,0)</f>
        <v/>
      </c>
    </row>
    <row r="4121">
      <c r="A4121" t="n">
        <v>4120</v>
      </c>
      <c r="B4121" s="1" t="n">
        <v>45091</v>
      </c>
      <c r="C4121" s="5" t="inlineStr">
        <is>
          <t>M8</t>
        </is>
      </c>
      <c r="D4121" s="5" t="n">
        <v>52</v>
      </c>
      <c r="E4121" s="5" t="n">
        <v>343</v>
      </c>
      <c r="F4121" t="inlineStr">
        <is>
          <t>Продажа</t>
        </is>
      </c>
      <c r="H4121">
        <f>VLOOKUP(C4121,Магазин!$A$2:$C$1000,2,0)</f>
        <v/>
      </c>
      <c r="I4121">
        <f>VLOOKUP(D4121,Товар!$A$2:$F$1000,3,0)</f>
        <v/>
      </c>
      <c r="J4121">
        <f>VLOOKUP(D4121,Товар!$A$2:$F$1000,5,0)</f>
        <v/>
      </c>
      <c r="K4121">
        <f>IF(AND(H4121="Промышленный",LEFT(I4121,18)="Порошок стиральный",F4121="Продажа",B4121=DATE(2023,6,7)),E4121*J4121/1000,0)</f>
        <v/>
      </c>
    </row>
    <row r="4122">
      <c r="A4122" t="n">
        <v>4121</v>
      </c>
      <c r="B4122" s="1" t="n">
        <v>45091</v>
      </c>
      <c r="C4122" s="5" t="inlineStr">
        <is>
          <t>M8</t>
        </is>
      </c>
      <c r="D4122" s="5" t="n">
        <v>53</v>
      </c>
      <c r="E4122" s="5" t="n">
        <v>322</v>
      </c>
      <c r="F4122" t="inlineStr">
        <is>
          <t>Продажа</t>
        </is>
      </c>
      <c r="H4122">
        <f>VLOOKUP(C4122,Магазин!$A$2:$C$1000,2,0)</f>
        <v/>
      </c>
      <c r="I4122">
        <f>VLOOKUP(D4122,Товар!$A$2:$F$1000,3,0)</f>
        <v/>
      </c>
      <c r="J4122">
        <f>VLOOKUP(D4122,Товар!$A$2:$F$1000,5,0)</f>
        <v/>
      </c>
      <c r="K4122">
        <f>IF(AND(H4122="Промышленный",LEFT(I4122,18)="Порошок стиральный",F4122="Продажа",B4122=DATE(2023,6,7)),E4122*J4122/1000,0)</f>
        <v/>
      </c>
    </row>
    <row r="4123">
      <c r="A4123" t="n">
        <v>4122</v>
      </c>
      <c r="B4123" s="1" t="n">
        <v>45091</v>
      </c>
      <c r="C4123" s="5" t="inlineStr">
        <is>
          <t>M8</t>
        </is>
      </c>
      <c r="D4123" s="5" t="n">
        <v>54</v>
      </c>
      <c r="E4123" s="5" t="n">
        <v>369</v>
      </c>
      <c r="F4123" t="inlineStr">
        <is>
          <t>Продажа</t>
        </is>
      </c>
      <c r="H4123">
        <f>VLOOKUP(C4123,Магазин!$A$2:$C$1000,2,0)</f>
        <v/>
      </c>
      <c r="I4123">
        <f>VLOOKUP(D4123,Товар!$A$2:$F$1000,3,0)</f>
        <v/>
      </c>
      <c r="J4123">
        <f>VLOOKUP(D4123,Товар!$A$2:$F$1000,5,0)</f>
        <v/>
      </c>
      <c r="K4123">
        <f>IF(AND(H4123="Промышленный",LEFT(I4123,18)="Порошок стиральный",F4123="Продажа",B4123=DATE(2023,6,7)),E4123*J4123/1000,0)</f>
        <v/>
      </c>
    </row>
    <row r="4124">
      <c r="A4124" t="n">
        <v>4123</v>
      </c>
      <c r="B4124" s="1" t="n">
        <v>45091</v>
      </c>
      <c r="C4124" s="5" t="inlineStr">
        <is>
          <t>M8</t>
        </is>
      </c>
      <c r="D4124" s="5" t="n">
        <v>55</v>
      </c>
      <c r="E4124" s="5" t="n">
        <v>399</v>
      </c>
      <c r="F4124" t="inlineStr">
        <is>
          <t>Продажа</t>
        </is>
      </c>
      <c r="H4124">
        <f>VLOOKUP(C4124,Магазин!$A$2:$C$1000,2,0)</f>
        <v/>
      </c>
      <c r="I4124">
        <f>VLOOKUP(D4124,Товар!$A$2:$F$1000,3,0)</f>
        <v/>
      </c>
      <c r="J4124">
        <f>VLOOKUP(D4124,Товар!$A$2:$F$1000,5,0)</f>
        <v/>
      </c>
      <c r="K4124">
        <f>IF(AND(H4124="Промышленный",LEFT(I4124,18)="Порошок стиральный",F4124="Продажа",B4124=DATE(2023,6,7)),E4124*J4124/1000,0)</f>
        <v/>
      </c>
    </row>
    <row r="4125">
      <c r="A4125" t="n">
        <v>4124</v>
      </c>
      <c r="B4125" s="1" t="n">
        <v>45091</v>
      </c>
      <c r="C4125" s="5" t="inlineStr">
        <is>
          <t>M8</t>
        </is>
      </c>
      <c r="D4125" s="5" t="n">
        <v>56</v>
      </c>
      <c r="E4125" s="5" t="n">
        <v>307</v>
      </c>
      <c r="F4125" t="inlineStr">
        <is>
          <t>Продажа</t>
        </is>
      </c>
      <c r="H4125">
        <f>VLOOKUP(C4125,Магазин!$A$2:$C$1000,2,0)</f>
        <v/>
      </c>
      <c r="I4125">
        <f>VLOOKUP(D4125,Товар!$A$2:$F$1000,3,0)</f>
        <v/>
      </c>
      <c r="J4125">
        <f>VLOOKUP(D4125,Товар!$A$2:$F$1000,5,0)</f>
        <v/>
      </c>
      <c r="K4125">
        <f>IF(AND(H4125="Промышленный",LEFT(I4125,18)="Порошок стиральный",F4125="Продажа",B4125=DATE(2023,6,7)),E4125*J4125/1000,0)</f>
        <v/>
      </c>
    </row>
    <row r="4126">
      <c r="A4126" t="n">
        <v>4125</v>
      </c>
      <c r="B4126" s="1" t="n">
        <v>45091</v>
      </c>
      <c r="C4126" s="5" t="inlineStr">
        <is>
          <t>M8</t>
        </is>
      </c>
      <c r="D4126" s="5" t="n">
        <v>57</v>
      </c>
      <c r="E4126" s="5" t="n">
        <v>302</v>
      </c>
      <c r="F4126" t="inlineStr">
        <is>
          <t>Продажа</t>
        </is>
      </c>
      <c r="H4126">
        <f>VLOOKUP(C4126,Магазин!$A$2:$C$1000,2,0)</f>
        <v/>
      </c>
      <c r="I4126">
        <f>VLOOKUP(D4126,Товар!$A$2:$F$1000,3,0)</f>
        <v/>
      </c>
      <c r="J4126">
        <f>VLOOKUP(D4126,Товар!$A$2:$F$1000,5,0)</f>
        <v/>
      </c>
      <c r="K4126">
        <f>IF(AND(H4126="Промышленный",LEFT(I4126,18)="Порошок стиральный",F4126="Продажа",B4126=DATE(2023,6,7)),E4126*J4126/1000,0)</f>
        <v/>
      </c>
    </row>
    <row r="4127">
      <c r="A4127" t="n">
        <v>4126</v>
      </c>
      <c r="B4127" s="1" t="n">
        <v>45091</v>
      </c>
      <c r="C4127" s="5" t="inlineStr">
        <is>
          <t>M8</t>
        </is>
      </c>
      <c r="D4127" s="5" t="n">
        <v>58</v>
      </c>
      <c r="E4127" s="5" t="n">
        <v>301</v>
      </c>
      <c r="F4127" t="inlineStr">
        <is>
          <t>Продажа</t>
        </is>
      </c>
      <c r="H4127">
        <f>VLOOKUP(C4127,Магазин!$A$2:$C$1000,2,0)</f>
        <v/>
      </c>
      <c r="I4127">
        <f>VLOOKUP(D4127,Товар!$A$2:$F$1000,3,0)</f>
        <v/>
      </c>
      <c r="J4127">
        <f>VLOOKUP(D4127,Товар!$A$2:$F$1000,5,0)</f>
        <v/>
      </c>
      <c r="K4127">
        <f>IF(AND(H4127="Промышленный",LEFT(I4127,18)="Порошок стиральный",F4127="Продажа",B4127=DATE(2023,6,7)),E4127*J4127/1000,0)</f>
        <v/>
      </c>
    </row>
    <row r="4128">
      <c r="A4128" t="n">
        <v>4127</v>
      </c>
      <c r="B4128" s="1" t="n">
        <v>45091</v>
      </c>
      <c r="C4128" s="5" t="inlineStr">
        <is>
          <t>M8</t>
        </is>
      </c>
      <c r="D4128" s="5" t="n">
        <v>59</v>
      </c>
      <c r="E4128" s="5" t="n">
        <v>357</v>
      </c>
      <c r="F4128" t="inlineStr">
        <is>
          <t>Продажа</t>
        </is>
      </c>
      <c r="H4128">
        <f>VLOOKUP(C4128,Магазин!$A$2:$C$1000,2,0)</f>
        <v/>
      </c>
      <c r="I4128">
        <f>VLOOKUP(D4128,Товар!$A$2:$F$1000,3,0)</f>
        <v/>
      </c>
      <c r="J4128">
        <f>VLOOKUP(D4128,Товар!$A$2:$F$1000,5,0)</f>
        <v/>
      </c>
      <c r="K4128">
        <f>IF(AND(H4128="Промышленный",LEFT(I4128,18)="Порошок стиральный",F4128="Продажа",B4128=DATE(2023,6,7)),E4128*J4128/1000,0)</f>
        <v/>
      </c>
    </row>
    <row r="4129">
      <c r="A4129" t="n">
        <v>4128</v>
      </c>
      <c r="B4129" s="1" t="n">
        <v>45091</v>
      </c>
      <c r="C4129" s="5" t="inlineStr">
        <is>
          <t>M8</t>
        </is>
      </c>
      <c r="D4129" s="5" t="n">
        <v>60</v>
      </c>
      <c r="E4129" s="5" t="n">
        <v>268</v>
      </c>
      <c r="F4129" t="inlineStr">
        <is>
          <t>Продажа</t>
        </is>
      </c>
      <c r="H4129">
        <f>VLOOKUP(C4129,Магазин!$A$2:$C$1000,2,0)</f>
        <v/>
      </c>
      <c r="I4129">
        <f>VLOOKUP(D4129,Товар!$A$2:$F$1000,3,0)</f>
        <v/>
      </c>
      <c r="J4129">
        <f>VLOOKUP(D4129,Товар!$A$2:$F$1000,5,0)</f>
        <v/>
      </c>
      <c r="K4129">
        <f>IF(AND(H4129="Промышленный",LEFT(I4129,18)="Порошок стиральный",F4129="Продажа",B4129=DATE(2023,6,7)),E4129*J4129/1000,0)</f>
        <v/>
      </c>
    </row>
    <row r="4130">
      <c r="A4130" t="n">
        <v>4129</v>
      </c>
      <c r="B4130" s="1" t="n">
        <v>45091</v>
      </c>
      <c r="C4130" s="5" t="inlineStr">
        <is>
          <t>M12</t>
        </is>
      </c>
      <c r="D4130" s="5" t="n">
        <v>37</v>
      </c>
      <c r="E4130" s="5" t="n">
        <v>279</v>
      </c>
      <c r="F4130" t="inlineStr">
        <is>
          <t>Продажа</t>
        </is>
      </c>
      <c r="H4130">
        <f>VLOOKUP(C4130,Магазин!$A$2:$C$1000,2,0)</f>
        <v/>
      </c>
      <c r="I4130">
        <f>VLOOKUP(D4130,Товар!$A$2:$F$1000,3,0)</f>
        <v/>
      </c>
      <c r="J4130">
        <f>VLOOKUP(D4130,Товар!$A$2:$F$1000,5,0)</f>
        <v/>
      </c>
      <c r="K4130">
        <f>IF(AND(H4130="Промышленный",LEFT(I4130,18)="Порошок стиральный",F4130="Продажа",B4130=DATE(2023,6,7)),E4130*J4130/1000,0)</f>
        <v/>
      </c>
    </row>
    <row r="4131">
      <c r="A4131" t="n">
        <v>4130</v>
      </c>
      <c r="B4131" s="1" t="n">
        <v>45091</v>
      </c>
      <c r="C4131" s="5" t="inlineStr">
        <is>
          <t>M12</t>
        </is>
      </c>
      <c r="D4131" s="5" t="n">
        <v>38</v>
      </c>
      <c r="E4131" s="5" t="n">
        <v>281</v>
      </c>
      <c r="F4131" t="inlineStr">
        <is>
          <t>Продажа</t>
        </is>
      </c>
      <c r="H4131">
        <f>VLOOKUP(C4131,Магазин!$A$2:$C$1000,2,0)</f>
        <v/>
      </c>
      <c r="I4131">
        <f>VLOOKUP(D4131,Товар!$A$2:$F$1000,3,0)</f>
        <v/>
      </c>
      <c r="J4131">
        <f>VLOOKUP(D4131,Товар!$A$2:$F$1000,5,0)</f>
        <v/>
      </c>
      <c r="K4131">
        <f>IF(AND(H4131="Промышленный",LEFT(I4131,18)="Порошок стиральный",F4131="Продажа",B4131=DATE(2023,6,7)),E4131*J4131/1000,0)</f>
        <v/>
      </c>
    </row>
    <row r="4132">
      <c r="A4132" t="n">
        <v>4131</v>
      </c>
      <c r="B4132" s="1" t="n">
        <v>45091</v>
      </c>
      <c r="C4132" s="5" t="inlineStr">
        <is>
          <t>M12</t>
        </is>
      </c>
      <c r="D4132" s="5" t="n">
        <v>39</v>
      </c>
      <c r="E4132" s="5" t="n">
        <v>292</v>
      </c>
      <c r="F4132" t="inlineStr">
        <is>
          <t>Продажа</t>
        </is>
      </c>
      <c r="H4132">
        <f>VLOOKUP(C4132,Магазин!$A$2:$C$1000,2,0)</f>
        <v/>
      </c>
      <c r="I4132">
        <f>VLOOKUP(D4132,Товар!$A$2:$F$1000,3,0)</f>
        <v/>
      </c>
      <c r="J4132">
        <f>VLOOKUP(D4132,Товар!$A$2:$F$1000,5,0)</f>
        <v/>
      </c>
      <c r="K4132">
        <f>IF(AND(H4132="Промышленный",LEFT(I4132,18)="Порошок стиральный",F4132="Продажа",B4132=DATE(2023,6,7)),E4132*J4132/1000,0)</f>
        <v/>
      </c>
    </row>
    <row r="4133">
      <c r="A4133" t="n">
        <v>4132</v>
      </c>
      <c r="B4133" s="1" t="n">
        <v>45091</v>
      </c>
      <c r="C4133" s="5" t="inlineStr">
        <is>
          <t>M12</t>
        </is>
      </c>
      <c r="D4133" s="5" t="n">
        <v>40</v>
      </c>
      <c r="E4133" s="5" t="n">
        <v>203</v>
      </c>
      <c r="F4133" t="inlineStr">
        <is>
          <t>Продажа</t>
        </is>
      </c>
      <c r="H4133">
        <f>VLOOKUP(C4133,Магазин!$A$2:$C$1000,2,0)</f>
        <v/>
      </c>
      <c r="I4133">
        <f>VLOOKUP(D4133,Товар!$A$2:$F$1000,3,0)</f>
        <v/>
      </c>
      <c r="J4133">
        <f>VLOOKUP(D4133,Товар!$A$2:$F$1000,5,0)</f>
        <v/>
      </c>
      <c r="K4133">
        <f>IF(AND(H4133="Промышленный",LEFT(I4133,18)="Порошок стиральный",F4133="Продажа",B4133=DATE(2023,6,7)),E4133*J4133/1000,0)</f>
        <v/>
      </c>
    </row>
    <row r="4134">
      <c r="A4134" t="n">
        <v>4133</v>
      </c>
      <c r="B4134" s="1" t="n">
        <v>45091</v>
      </c>
      <c r="C4134" s="5" t="inlineStr">
        <is>
          <t>M12</t>
        </is>
      </c>
      <c r="D4134" s="5" t="n">
        <v>41</v>
      </c>
      <c r="E4134" s="5" t="n">
        <v>214</v>
      </c>
      <c r="F4134" t="inlineStr">
        <is>
          <t>Продажа</t>
        </is>
      </c>
      <c r="H4134">
        <f>VLOOKUP(C4134,Магазин!$A$2:$C$1000,2,0)</f>
        <v/>
      </c>
      <c r="I4134">
        <f>VLOOKUP(D4134,Товар!$A$2:$F$1000,3,0)</f>
        <v/>
      </c>
      <c r="J4134">
        <f>VLOOKUP(D4134,Товар!$A$2:$F$1000,5,0)</f>
        <v/>
      </c>
      <c r="K4134">
        <f>IF(AND(H4134="Промышленный",LEFT(I4134,18)="Порошок стиральный",F4134="Продажа",B4134=DATE(2023,6,7)),E4134*J4134/1000,0)</f>
        <v/>
      </c>
    </row>
    <row r="4135">
      <c r="A4135" t="n">
        <v>4134</v>
      </c>
      <c r="B4135" s="1" t="n">
        <v>45091</v>
      </c>
      <c r="C4135" s="5" t="inlineStr">
        <is>
          <t>M12</t>
        </is>
      </c>
      <c r="D4135" s="5" t="n">
        <v>42</v>
      </c>
      <c r="E4135" s="5" t="n">
        <v>225</v>
      </c>
      <c r="F4135" t="inlineStr">
        <is>
          <t>Продажа</t>
        </is>
      </c>
      <c r="H4135">
        <f>VLOOKUP(C4135,Магазин!$A$2:$C$1000,2,0)</f>
        <v/>
      </c>
      <c r="I4135">
        <f>VLOOKUP(D4135,Товар!$A$2:$F$1000,3,0)</f>
        <v/>
      </c>
      <c r="J4135">
        <f>VLOOKUP(D4135,Товар!$A$2:$F$1000,5,0)</f>
        <v/>
      </c>
      <c r="K4135">
        <f>IF(AND(H4135="Промышленный",LEFT(I4135,18)="Порошок стиральный",F4135="Продажа",B4135=DATE(2023,6,7)),E4135*J4135/1000,0)</f>
        <v/>
      </c>
    </row>
    <row r="4136">
      <c r="A4136" t="n">
        <v>4135</v>
      </c>
      <c r="B4136" s="1" t="n">
        <v>45091</v>
      </c>
      <c r="C4136" s="5" t="inlineStr">
        <is>
          <t>M12</t>
        </is>
      </c>
      <c r="D4136" s="5" t="n">
        <v>43</v>
      </c>
      <c r="E4136" s="5" t="n">
        <v>357</v>
      </c>
      <c r="F4136" t="inlineStr">
        <is>
          <t>Продажа</t>
        </is>
      </c>
      <c r="H4136">
        <f>VLOOKUP(C4136,Магазин!$A$2:$C$1000,2,0)</f>
        <v/>
      </c>
      <c r="I4136">
        <f>VLOOKUP(D4136,Товар!$A$2:$F$1000,3,0)</f>
        <v/>
      </c>
      <c r="J4136">
        <f>VLOOKUP(D4136,Товар!$A$2:$F$1000,5,0)</f>
        <v/>
      </c>
      <c r="K4136">
        <f>IF(AND(H4136="Промышленный",LEFT(I4136,18)="Порошок стиральный",F4136="Продажа",B4136=DATE(2023,6,7)),E4136*J4136/1000,0)</f>
        <v/>
      </c>
    </row>
    <row r="4137">
      <c r="A4137" t="n">
        <v>4136</v>
      </c>
      <c r="B4137" s="1" t="n">
        <v>45091</v>
      </c>
      <c r="C4137" s="5" t="inlineStr">
        <is>
          <t>M12</t>
        </is>
      </c>
      <c r="D4137" s="5" t="n">
        <v>44</v>
      </c>
      <c r="E4137" s="5" t="n">
        <v>355</v>
      </c>
      <c r="F4137" t="inlineStr">
        <is>
          <t>Продажа</t>
        </is>
      </c>
      <c r="H4137">
        <f>VLOOKUP(C4137,Магазин!$A$2:$C$1000,2,0)</f>
        <v/>
      </c>
      <c r="I4137">
        <f>VLOOKUP(D4137,Товар!$A$2:$F$1000,3,0)</f>
        <v/>
      </c>
      <c r="J4137">
        <f>VLOOKUP(D4137,Товар!$A$2:$F$1000,5,0)</f>
        <v/>
      </c>
      <c r="K4137">
        <f>IF(AND(H4137="Промышленный",LEFT(I4137,18)="Порошок стиральный",F4137="Продажа",B4137=DATE(2023,6,7)),E4137*J4137/1000,0)</f>
        <v/>
      </c>
    </row>
    <row r="4138">
      <c r="A4138" t="n">
        <v>4137</v>
      </c>
      <c r="B4138" s="1" t="n">
        <v>45091</v>
      </c>
      <c r="C4138" s="5" t="inlineStr">
        <is>
          <t>M12</t>
        </is>
      </c>
      <c r="D4138" s="5" t="n">
        <v>45</v>
      </c>
      <c r="E4138" s="5" t="n">
        <v>343</v>
      </c>
      <c r="F4138" t="inlineStr">
        <is>
          <t>Продажа</t>
        </is>
      </c>
      <c r="H4138">
        <f>VLOOKUP(C4138,Магазин!$A$2:$C$1000,2,0)</f>
        <v/>
      </c>
      <c r="I4138">
        <f>VLOOKUP(D4138,Товар!$A$2:$F$1000,3,0)</f>
        <v/>
      </c>
      <c r="J4138">
        <f>VLOOKUP(D4138,Товар!$A$2:$F$1000,5,0)</f>
        <v/>
      </c>
      <c r="K4138">
        <f>IF(AND(H4138="Промышленный",LEFT(I4138,18)="Порошок стиральный",F4138="Продажа",B4138=DATE(2023,6,7)),E4138*J4138/1000,0)</f>
        <v/>
      </c>
    </row>
    <row r="4139">
      <c r="A4139" t="n">
        <v>4138</v>
      </c>
      <c r="B4139" s="1" t="n">
        <v>45091</v>
      </c>
      <c r="C4139" s="5" t="inlineStr">
        <is>
          <t>M12</t>
        </is>
      </c>
      <c r="D4139" s="5" t="n">
        <v>46</v>
      </c>
      <c r="E4139" s="5" t="n">
        <v>322</v>
      </c>
      <c r="F4139" t="inlineStr">
        <is>
          <t>Продажа</t>
        </is>
      </c>
      <c r="H4139">
        <f>VLOOKUP(C4139,Магазин!$A$2:$C$1000,2,0)</f>
        <v/>
      </c>
      <c r="I4139">
        <f>VLOOKUP(D4139,Товар!$A$2:$F$1000,3,0)</f>
        <v/>
      </c>
      <c r="J4139">
        <f>VLOOKUP(D4139,Товар!$A$2:$F$1000,5,0)</f>
        <v/>
      </c>
      <c r="K4139">
        <f>IF(AND(H4139="Промышленный",LEFT(I4139,18)="Порошок стиральный",F4139="Продажа",B4139=DATE(2023,6,7)),E4139*J4139/1000,0)</f>
        <v/>
      </c>
    </row>
    <row r="4140">
      <c r="A4140" t="n">
        <v>4139</v>
      </c>
      <c r="B4140" s="1" t="n">
        <v>45091</v>
      </c>
      <c r="C4140" s="5" t="inlineStr">
        <is>
          <t>M12</t>
        </is>
      </c>
      <c r="D4140" s="5" t="n">
        <v>47</v>
      </c>
      <c r="E4140" s="5" t="n">
        <v>369</v>
      </c>
      <c r="F4140" t="inlineStr">
        <is>
          <t>Продажа</t>
        </is>
      </c>
      <c r="H4140">
        <f>VLOOKUP(C4140,Магазин!$A$2:$C$1000,2,0)</f>
        <v/>
      </c>
      <c r="I4140">
        <f>VLOOKUP(D4140,Товар!$A$2:$F$1000,3,0)</f>
        <v/>
      </c>
      <c r="J4140">
        <f>VLOOKUP(D4140,Товар!$A$2:$F$1000,5,0)</f>
        <v/>
      </c>
      <c r="K4140">
        <f>IF(AND(H4140="Промышленный",LEFT(I4140,18)="Порошок стиральный",F4140="Продажа",B4140=DATE(2023,6,7)),E4140*J4140/1000,0)</f>
        <v/>
      </c>
    </row>
    <row r="4141">
      <c r="A4141" t="n">
        <v>4140</v>
      </c>
      <c r="B4141" s="1" t="n">
        <v>45091</v>
      </c>
      <c r="C4141" s="5" t="inlineStr">
        <is>
          <t>M12</t>
        </is>
      </c>
      <c r="D4141" s="5" t="n">
        <v>48</v>
      </c>
      <c r="E4141" s="5" t="n">
        <v>399</v>
      </c>
      <c r="F4141" t="inlineStr">
        <is>
          <t>Продажа</t>
        </is>
      </c>
      <c r="H4141">
        <f>VLOOKUP(C4141,Магазин!$A$2:$C$1000,2,0)</f>
        <v/>
      </c>
      <c r="I4141">
        <f>VLOOKUP(D4141,Товар!$A$2:$F$1000,3,0)</f>
        <v/>
      </c>
      <c r="J4141">
        <f>VLOOKUP(D4141,Товар!$A$2:$F$1000,5,0)</f>
        <v/>
      </c>
      <c r="K4141">
        <f>IF(AND(H4141="Промышленный",LEFT(I4141,18)="Порошок стиральный",F4141="Продажа",B4141=DATE(2023,6,7)),E4141*J4141/1000,0)</f>
        <v/>
      </c>
    </row>
    <row r="4142">
      <c r="A4142" t="n">
        <v>4141</v>
      </c>
      <c r="B4142" s="1" t="n">
        <v>45091</v>
      </c>
      <c r="C4142" s="5" t="inlineStr">
        <is>
          <t>M12</t>
        </is>
      </c>
      <c r="D4142" s="5" t="n">
        <v>49</v>
      </c>
      <c r="E4142" s="5" t="n">
        <v>307</v>
      </c>
      <c r="F4142" t="inlineStr">
        <is>
          <t>Продажа</t>
        </is>
      </c>
      <c r="H4142">
        <f>VLOOKUP(C4142,Магазин!$A$2:$C$1000,2,0)</f>
        <v/>
      </c>
      <c r="I4142">
        <f>VLOOKUP(D4142,Товар!$A$2:$F$1000,3,0)</f>
        <v/>
      </c>
      <c r="J4142">
        <f>VLOOKUP(D4142,Товар!$A$2:$F$1000,5,0)</f>
        <v/>
      </c>
      <c r="K4142">
        <f>IF(AND(H4142="Промышленный",LEFT(I4142,18)="Порошок стиральный",F4142="Продажа",B4142=DATE(2023,6,7)),E4142*J4142/1000,0)</f>
        <v/>
      </c>
    </row>
    <row r="4143">
      <c r="A4143" t="n">
        <v>4142</v>
      </c>
      <c r="B4143" s="1" t="n">
        <v>45091</v>
      </c>
      <c r="C4143" s="5" t="inlineStr">
        <is>
          <t>M12</t>
        </is>
      </c>
      <c r="D4143" s="5" t="n">
        <v>50</v>
      </c>
      <c r="E4143" s="5" t="n">
        <v>302</v>
      </c>
      <c r="F4143" t="inlineStr">
        <is>
          <t>Продажа</t>
        </is>
      </c>
      <c r="H4143">
        <f>VLOOKUP(C4143,Магазин!$A$2:$C$1000,2,0)</f>
        <v/>
      </c>
      <c r="I4143">
        <f>VLOOKUP(D4143,Товар!$A$2:$F$1000,3,0)</f>
        <v/>
      </c>
      <c r="J4143">
        <f>VLOOKUP(D4143,Товар!$A$2:$F$1000,5,0)</f>
        <v/>
      </c>
      <c r="K4143">
        <f>IF(AND(H4143="Промышленный",LEFT(I4143,18)="Порошок стиральный",F4143="Продажа",B4143=DATE(2023,6,7)),E4143*J4143/1000,0)</f>
        <v/>
      </c>
    </row>
    <row r="4144">
      <c r="A4144" t="n">
        <v>4143</v>
      </c>
      <c r="B4144" s="1" t="n">
        <v>45091</v>
      </c>
      <c r="C4144" s="5" t="inlineStr">
        <is>
          <t>M12</t>
        </is>
      </c>
      <c r="D4144" s="5" t="n">
        <v>51</v>
      </c>
      <c r="E4144" s="5" t="n">
        <v>301</v>
      </c>
      <c r="F4144" t="inlineStr">
        <is>
          <t>Продажа</t>
        </is>
      </c>
      <c r="H4144">
        <f>VLOOKUP(C4144,Магазин!$A$2:$C$1000,2,0)</f>
        <v/>
      </c>
      <c r="I4144">
        <f>VLOOKUP(D4144,Товар!$A$2:$F$1000,3,0)</f>
        <v/>
      </c>
      <c r="J4144">
        <f>VLOOKUP(D4144,Товар!$A$2:$F$1000,5,0)</f>
        <v/>
      </c>
      <c r="K4144">
        <f>IF(AND(H4144="Промышленный",LEFT(I4144,18)="Порошок стиральный",F4144="Продажа",B4144=DATE(2023,6,7)),E4144*J4144/1000,0)</f>
        <v/>
      </c>
    </row>
    <row r="4145">
      <c r="A4145" t="n">
        <v>4144</v>
      </c>
      <c r="B4145" s="1" t="n">
        <v>45091</v>
      </c>
      <c r="C4145" s="5" t="inlineStr">
        <is>
          <t>M12</t>
        </is>
      </c>
      <c r="D4145" s="5" t="n">
        <v>52</v>
      </c>
      <c r="E4145" s="5" t="n">
        <v>357</v>
      </c>
      <c r="F4145" t="inlineStr">
        <is>
          <t>Продажа</t>
        </is>
      </c>
      <c r="H4145">
        <f>VLOOKUP(C4145,Магазин!$A$2:$C$1000,2,0)</f>
        <v/>
      </c>
      <c r="I4145">
        <f>VLOOKUP(D4145,Товар!$A$2:$F$1000,3,0)</f>
        <v/>
      </c>
      <c r="J4145">
        <f>VLOOKUP(D4145,Товар!$A$2:$F$1000,5,0)</f>
        <v/>
      </c>
      <c r="K4145">
        <f>IF(AND(H4145="Промышленный",LEFT(I4145,18)="Порошок стиральный",F4145="Продажа",B4145=DATE(2023,6,7)),E4145*J4145/1000,0)</f>
        <v/>
      </c>
    </row>
    <row r="4146">
      <c r="A4146" t="n">
        <v>4145</v>
      </c>
      <c r="B4146" s="1" t="n">
        <v>45091</v>
      </c>
      <c r="C4146" s="5" t="inlineStr">
        <is>
          <t>M12</t>
        </is>
      </c>
      <c r="D4146" s="5" t="n">
        <v>53</v>
      </c>
      <c r="E4146" s="5" t="n">
        <v>268</v>
      </c>
      <c r="F4146" t="inlineStr">
        <is>
          <t>Продажа</t>
        </is>
      </c>
      <c r="H4146">
        <f>VLOOKUP(C4146,Магазин!$A$2:$C$1000,2,0)</f>
        <v/>
      </c>
      <c r="I4146">
        <f>VLOOKUP(D4146,Товар!$A$2:$F$1000,3,0)</f>
        <v/>
      </c>
      <c r="J4146">
        <f>VLOOKUP(D4146,Товар!$A$2:$F$1000,5,0)</f>
        <v/>
      </c>
      <c r="K4146">
        <f>IF(AND(H4146="Промышленный",LEFT(I4146,18)="Порошок стиральный",F4146="Продажа",B4146=DATE(2023,6,7)),E4146*J4146/1000,0)</f>
        <v/>
      </c>
    </row>
    <row r="4147">
      <c r="A4147" t="n">
        <v>4146</v>
      </c>
      <c r="B4147" s="1" t="n">
        <v>45091</v>
      </c>
      <c r="C4147" s="5" t="inlineStr">
        <is>
          <t>M12</t>
        </is>
      </c>
      <c r="D4147" s="5" t="n">
        <v>54</v>
      </c>
      <c r="E4147" s="5" t="n">
        <v>279</v>
      </c>
      <c r="F4147" t="inlineStr">
        <is>
          <t>Продажа</t>
        </is>
      </c>
      <c r="H4147">
        <f>VLOOKUP(C4147,Магазин!$A$2:$C$1000,2,0)</f>
        <v/>
      </c>
      <c r="I4147">
        <f>VLOOKUP(D4147,Товар!$A$2:$F$1000,3,0)</f>
        <v/>
      </c>
      <c r="J4147">
        <f>VLOOKUP(D4147,Товар!$A$2:$F$1000,5,0)</f>
        <v/>
      </c>
      <c r="K4147">
        <f>IF(AND(H4147="Промышленный",LEFT(I4147,18)="Порошок стиральный",F4147="Продажа",B4147=DATE(2023,6,7)),E4147*J4147/1000,0)</f>
        <v/>
      </c>
    </row>
    <row r="4148">
      <c r="A4148" t="n">
        <v>4147</v>
      </c>
      <c r="B4148" s="1" t="n">
        <v>45091</v>
      </c>
      <c r="C4148" s="5" t="inlineStr">
        <is>
          <t>M12</t>
        </is>
      </c>
      <c r="D4148" s="5" t="n">
        <v>55</v>
      </c>
      <c r="E4148" s="5" t="n">
        <v>357</v>
      </c>
      <c r="F4148" t="inlineStr">
        <is>
          <t>Продажа</t>
        </is>
      </c>
      <c r="H4148">
        <f>VLOOKUP(C4148,Магазин!$A$2:$C$1000,2,0)</f>
        <v/>
      </c>
      <c r="I4148">
        <f>VLOOKUP(D4148,Товар!$A$2:$F$1000,3,0)</f>
        <v/>
      </c>
      <c r="J4148">
        <f>VLOOKUP(D4148,Товар!$A$2:$F$1000,5,0)</f>
        <v/>
      </c>
      <c r="K4148">
        <f>IF(AND(H4148="Промышленный",LEFT(I4148,18)="Порошок стиральный",F4148="Продажа",B4148=DATE(2023,6,7)),E4148*J4148/1000,0)</f>
        <v/>
      </c>
    </row>
    <row r="4149">
      <c r="A4149" t="n">
        <v>4148</v>
      </c>
      <c r="B4149" s="1" t="n">
        <v>45091</v>
      </c>
      <c r="C4149" s="5" t="inlineStr">
        <is>
          <t>M12</t>
        </is>
      </c>
      <c r="D4149" s="5" t="n">
        <v>56</v>
      </c>
      <c r="E4149" s="5" t="n">
        <v>355</v>
      </c>
      <c r="F4149" t="inlineStr">
        <is>
          <t>Продажа</t>
        </is>
      </c>
      <c r="H4149">
        <f>VLOOKUP(C4149,Магазин!$A$2:$C$1000,2,0)</f>
        <v/>
      </c>
      <c r="I4149">
        <f>VLOOKUP(D4149,Товар!$A$2:$F$1000,3,0)</f>
        <v/>
      </c>
      <c r="J4149">
        <f>VLOOKUP(D4149,Товар!$A$2:$F$1000,5,0)</f>
        <v/>
      </c>
      <c r="K4149">
        <f>IF(AND(H4149="Промышленный",LEFT(I4149,18)="Порошок стиральный",F4149="Продажа",B4149=DATE(2023,6,7)),E4149*J4149/1000,0)</f>
        <v/>
      </c>
    </row>
    <row r="4150">
      <c r="A4150" t="n">
        <v>4149</v>
      </c>
      <c r="B4150" s="1" t="n">
        <v>45091</v>
      </c>
      <c r="C4150" s="5" t="inlineStr">
        <is>
          <t>M12</t>
        </is>
      </c>
      <c r="D4150" s="5" t="n">
        <v>57</v>
      </c>
      <c r="E4150" s="5" t="n">
        <v>343</v>
      </c>
      <c r="F4150" t="inlineStr">
        <is>
          <t>Продажа</t>
        </is>
      </c>
      <c r="H4150">
        <f>VLOOKUP(C4150,Магазин!$A$2:$C$1000,2,0)</f>
        <v/>
      </c>
      <c r="I4150">
        <f>VLOOKUP(D4150,Товар!$A$2:$F$1000,3,0)</f>
        <v/>
      </c>
      <c r="J4150">
        <f>VLOOKUP(D4150,Товар!$A$2:$F$1000,5,0)</f>
        <v/>
      </c>
      <c r="K4150">
        <f>IF(AND(H4150="Промышленный",LEFT(I4150,18)="Порошок стиральный",F4150="Продажа",B4150=DATE(2023,6,7)),E4150*J4150/1000,0)</f>
        <v/>
      </c>
    </row>
    <row r="4151">
      <c r="A4151" t="n">
        <v>4150</v>
      </c>
      <c r="B4151" s="1" t="n">
        <v>45091</v>
      </c>
      <c r="C4151" s="5" t="inlineStr">
        <is>
          <t>M12</t>
        </is>
      </c>
      <c r="D4151" s="5" t="n">
        <v>58</v>
      </c>
      <c r="E4151" s="5" t="n">
        <v>322</v>
      </c>
      <c r="F4151" t="inlineStr">
        <is>
          <t>Продажа</t>
        </is>
      </c>
      <c r="H4151">
        <f>VLOOKUP(C4151,Магазин!$A$2:$C$1000,2,0)</f>
        <v/>
      </c>
      <c r="I4151">
        <f>VLOOKUP(D4151,Товар!$A$2:$F$1000,3,0)</f>
        <v/>
      </c>
      <c r="J4151">
        <f>VLOOKUP(D4151,Товар!$A$2:$F$1000,5,0)</f>
        <v/>
      </c>
      <c r="K4151">
        <f>IF(AND(H4151="Промышленный",LEFT(I4151,18)="Порошок стиральный",F4151="Продажа",B4151=DATE(2023,6,7)),E4151*J4151/1000,0)</f>
        <v/>
      </c>
    </row>
    <row r="4152">
      <c r="A4152" t="n">
        <v>4151</v>
      </c>
      <c r="B4152" s="1" t="n">
        <v>45091</v>
      </c>
      <c r="C4152" s="5" t="inlineStr">
        <is>
          <t>M12</t>
        </is>
      </c>
      <c r="D4152" s="5" t="n">
        <v>59</v>
      </c>
      <c r="E4152" s="5" t="n">
        <v>369</v>
      </c>
      <c r="F4152" t="inlineStr">
        <is>
          <t>Продажа</t>
        </is>
      </c>
      <c r="H4152">
        <f>VLOOKUP(C4152,Магазин!$A$2:$C$1000,2,0)</f>
        <v/>
      </c>
      <c r="I4152">
        <f>VLOOKUP(D4152,Товар!$A$2:$F$1000,3,0)</f>
        <v/>
      </c>
      <c r="J4152">
        <f>VLOOKUP(D4152,Товар!$A$2:$F$1000,5,0)</f>
        <v/>
      </c>
      <c r="K4152">
        <f>IF(AND(H4152="Промышленный",LEFT(I4152,18)="Порошок стиральный",F4152="Продажа",B4152=DATE(2023,6,7)),E4152*J4152/1000,0)</f>
        <v/>
      </c>
    </row>
    <row r="4153">
      <c r="A4153" t="n">
        <v>4152</v>
      </c>
      <c r="B4153" s="1" t="n">
        <v>45091</v>
      </c>
      <c r="C4153" s="5" t="inlineStr">
        <is>
          <t>M12</t>
        </is>
      </c>
      <c r="D4153" s="5" t="n">
        <v>60</v>
      </c>
      <c r="E4153" s="5" t="n">
        <v>399</v>
      </c>
      <c r="F4153" t="inlineStr">
        <is>
          <t>Продажа</t>
        </is>
      </c>
      <c r="H4153">
        <f>VLOOKUP(C4153,Магазин!$A$2:$C$1000,2,0)</f>
        <v/>
      </c>
      <c r="I4153">
        <f>VLOOKUP(D4153,Товар!$A$2:$F$1000,3,0)</f>
        <v/>
      </c>
      <c r="J4153">
        <f>VLOOKUP(D4153,Товар!$A$2:$F$1000,5,0)</f>
        <v/>
      </c>
      <c r="K4153">
        <f>IF(AND(H4153="Промышленный",LEFT(I4153,18)="Порошок стиральный",F4153="Продажа",B4153=DATE(2023,6,7)),E4153*J4153/1000,0)</f>
        <v/>
      </c>
    </row>
    <row r="4154">
      <c r="A4154" t="n">
        <v>4153</v>
      </c>
      <c r="B4154" s="1" t="n">
        <v>45091</v>
      </c>
      <c r="C4154" s="5" t="inlineStr">
        <is>
          <t>M13</t>
        </is>
      </c>
      <c r="D4154" s="5" t="n">
        <v>37</v>
      </c>
      <c r="E4154" s="5" t="n">
        <v>307</v>
      </c>
      <c r="F4154" t="inlineStr">
        <is>
          <t>Продажа</t>
        </is>
      </c>
      <c r="H4154">
        <f>VLOOKUP(C4154,Магазин!$A$2:$C$1000,2,0)</f>
        <v/>
      </c>
      <c r="I4154">
        <f>VLOOKUP(D4154,Товар!$A$2:$F$1000,3,0)</f>
        <v/>
      </c>
      <c r="J4154">
        <f>VLOOKUP(D4154,Товар!$A$2:$F$1000,5,0)</f>
        <v/>
      </c>
      <c r="K4154">
        <f>IF(AND(H4154="Промышленный",LEFT(I4154,18)="Порошок стиральный",F4154="Продажа",B4154=DATE(2023,6,7)),E4154*J4154/1000,0)</f>
        <v/>
      </c>
    </row>
    <row r="4155">
      <c r="A4155" t="n">
        <v>4154</v>
      </c>
      <c r="B4155" s="1" t="n">
        <v>45091</v>
      </c>
      <c r="C4155" s="5" t="inlineStr">
        <is>
          <t>M13</t>
        </is>
      </c>
      <c r="D4155" s="5" t="n">
        <v>38</v>
      </c>
      <c r="E4155" s="5" t="n">
        <v>302</v>
      </c>
      <c r="F4155" t="inlineStr">
        <is>
          <t>Продажа</t>
        </is>
      </c>
      <c r="H4155">
        <f>VLOOKUP(C4155,Магазин!$A$2:$C$1000,2,0)</f>
        <v/>
      </c>
      <c r="I4155">
        <f>VLOOKUP(D4155,Товар!$A$2:$F$1000,3,0)</f>
        <v/>
      </c>
      <c r="J4155">
        <f>VLOOKUP(D4155,Товар!$A$2:$F$1000,5,0)</f>
        <v/>
      </c>
      <c r="K4155">
        <f>IF(AND(H4155="Промышленный",LEFT(I4155,18)="Порошок стиральный",F4155="Продажа",B4155=DATE(2023,6,7)),E4155*J4155/1000,0)</f>
        <v/>
      </c>
    </row>
    <row r="4156">
      <c r="A4156" t="n">
        <v>4155</v>
      </c>
      <c r="B4156" s="1" t="n">
        <v>45091</v>
      </c>
      <c r="C4156" s="5" t="inlineStr">
        <is>
          <t>M13</t>
        </is>
      </c>
      <c r="D4156" s="5" t="n">
        <v>39</v>
      </c>
      <c r="E4156" s="5" t="n">
        <v>301</v>
      </c>
      <c r="F4156" t="inlineStr">
        <is>
          <t>Продажа</t>
        </is>
      </c>
      <c r="H4156">
        <f>VLOOKUP(C4156,Магазин!$A$2:$C$1000,2,0)</f>
        <v/>
      </c>
      <c r="I4156">
        <f>VLOOKUP(D4156,Товар!$A$2:$F$1000,3,0)</f>
        <v/>
      </c>
      <c r="J4156">
        <f>VLOOKUP(D4156,Товар!$A$2:$F$1000,5,0)</f>
        <v/>
      </c>
      <c r="K4156">
        <f>IF(AND(H4156="Промышленный",LEFT(I4156,18)="Порошок стиральный",F4156="Продажа",B4156=DATE(2023,6,7)),E4156*J4156/1000,0)</f>
        <v/>
      </c>
    </row>
    <row r="4157">
      <c r="A4157" t="n">
        <v>4156</v>
      </c>
      <c r="B4157" s="1" t="n">
        <v>45091</v>
      </c>
      <c r="C4157" s="5" t="inlineStr">
        <is>
          <t>M13</t>
        </is>
      </c>
      <c r="D4157" s="5" t="n">
        <v>40</v>
      </c>
      <c r="E4157" s="5" t="n">
        <v>357</v>
      </c>
      <c r="F4157" t="inlineStr">
        <is>
          <t>Продажа</t>
        </is>
      </c>
      <c r="H4157">
        <f>VLOOKUP(C4157,Магазин!$A$2:$C$1000,2,0)</f>
        <v/>
      </c>
      <c r="I4157">
        <f>VLOOKUP(D4157,Товар!$A$2:$F$1000,3,0)</f>
        <v/>
      </c>
      <c r="J4157">
        <f>VLOOKUP(D4157,Товар!$A$2:$F$1000,5,0)</f>
        <v/>
      </c>
      <c r="K4157">
        <f>IF(AND(H4157="Промышленный",LEFT(I4157,18)="Порошок стиральный",F4157="Продажа",B4157=DATE(2023,6,7)),E4157*J4157/1000,0)</f>
        <v/>
      </c>
    </row>
    <row r="4158">
      <c r="A4158" t="n">
        <v>4157</v>
      </c>
      <c r="B4158" s="1" t="n">
        <v>45091</v>
      </c>
      <c r="C4158" s="5" t="inlineStr">
        <is>
          <t>M13</t>
        </is>
      </c>
      <c r="D4158" s="5" t="n">
        <v>41</v>
      </c>
      <c r="E4158" s="5" t="n">
        <v>268</v>
      </c>
      <c r="F4158" t="inlineStr">
        <is>
          <t>Продажа</t>
        </is>
      </c>
      <c r="H4158">
        <f>VLOOKUP(C4158,Магазин!$A$2:$C$1000,2,0)</f>
        <v/>
      </c>
      <c r="I4158">
        <f>VLOOKUP(D4158,Товар!$A$2:$F$1000,3,0)</f>
        <v/>
      </c>
      <c r="J4158">
        <f>VLOOKUP(D4158,Товар!$A$2:$F$1000,5,0)</f>
        <v/>
      </c>
      <c r="K4158">
        <f>IF(AND(H4158="Промышленный",LEFT(I4158,18)="Порошок стиральный",F4158="Продажа",B4158=DATE(2023,6,7)),E4158*J4158/1000,0)</f>
        <v/>
      </c>
    </row>
    <row r="4159">
      <c r="A4159" t="n">
        <v>4158</v>
      </c>
      <c r="B4159" s="1" t="n">
        <v>45091</v>
      </c>
      <c r="C4159" s="5" t="inlineStr">
        <is>
          <t>M13</t>
        </is>
      </c>
      <c r="D4159" s="5" t="n">
        <v>42</v>
      </c>
      <c r="E4159" s="5" t="n">
        <v>279</v>
      </c>
      <c r="F4159" t="inlineStr">
        <is>
          <t>Продажа</t>
        </is>
      </c>
      <c r="H4159">
        <f>VLOOKUP(C4159,Магазин!$A$2:$C$1000,2,0)</f>
        <v/>
      </c>
      <c r="I4159">
        <f>VLOOKUP(D4159,Товар!$A$2:$F$1000,3,0)</f>
        <v/>
      </c>
      <c r="J4159">
        <f>VLOOKUP(D4159,Товар!$A$2:$F$1000,5,0)</f>
        <v/>
      </c>
      <c r="K4159">
        <f>IF(AND(H4159="Промышленный",LEFT(I4159,18)="Порошок стиральный",F4159="Продажа",B4159=DATE(2023,6,7)),E4159*J4159/1000,0)</f>
        <v/>
      </c>
    </row>
    <row r="4160">
      <c r="A4160" t="n">
        <v>4159</v>
      </c>
      <c r="B4160" s="1" t="n">
        <v>45091</v>
      </c>
      <c r="C4160" s="5" t="inlineStr">
        <is>
          <t>M13</t>
        </is>
      </c>
      <c r="D4160" s="5" t="n">
        <v>43</v>
      </c>
      <c r="E4160" s="5" t="n">
        <v>281</v>
      </c>
      <c r="F4160" t="inlineStr">
        <is>
          <t>Продажа</t>
        </is>
      </c>
      <c r="H4160">
        <f>VLOOKUP(C4160,Магазин!$A$2:$C$1000,2,0)</f>
        <v/>
      </c>
      <c r="I4160">
        <f>VLOOKUP(D4160,Товар!$A$2:$F$1000,3,0)</f>
        <v/>
      </c>
      <c r="J4160">
        <f>VLOOKUP(D4160,Товар!$A$2:$F$1000,5,0)</f>
        <v/>
      </c>
      <c r="K4160">
        <f>IF(AND(H4160="Промышленный",LEFT(I4160,18)="Порошок стиральный",F4160="Продажа",B4160=DATE(2023,6,7)),E4160*J4160/1000,0)</f>
        <v/>
      </c>
    </row>
    <row r="4161">
      <c r="A4161" t="n">
        <v>4160</v>
      </c>
      <c r="B4161" s="1" t="n">
        <v>45091</v>
      </c>
      <c r="C4161" s="5" t="inlineStr">
        <is>
          <t>M13</t>
        </is>
      </c>
      <c r="D4161" s="5" t="n">
        <v>44</v>
      </c>
      <c r="E4161" s="5" t="n">
        <v>292</v>
      </c>
      <c r="F4161" t="inlineStr">
        <is>
          <t>Продажа</t>
        </is>
      </c>
      <c r="H4161">
        <f>VLOOKUP(C4161,Магазин!$A$2:$C$1000,2,0)</f>
        <v/>
      </c>
      <c r="I4161">
        <f>VLOOKUP(D4161,Товар!$A$2:$F$1000,3,0)</f>
        <v/>
      </c>
      <c r="J4161">
        <f>VLOOKUP(D4161,Товар!$A$2:$F$1000,5,0)</f>
        <v/>
      </c>
      <c r="K4161">
        <f>IF(AND(H4161="Промышленный",LEFT(I4161,18)="Порошок стиральный",F4161="Продажа",B4161=DATE(2023,6,7)),E4161*J4161/1000,0)</f>
        <v/>
      </c>
    </row>
    <row r="4162">
      <c r="A4162" t="n">
        <v>4161</v>
      </c>
      <c r="B4162" s="1" t="n">
        <v>45091</v>
      </c>
      <c r="C4162" s="5" t="inlineStr">
        <is>
          <t>M13</t>
        </is>
      </c>
      <c r="D4162" s="5" t="n">
        <v>45</v>
      </c>
      <c r="E4162" s="5" t="n">
        <v>203</v>
      </c>
      <c r="F4162" t="inlineStr">
        <is>
          <t>Продажа</t>
        </is>
      </c>
      <c r="H4162">
        <f>VLOOKUP(C4162,Магазин!$A$2:$C$1000,2,0)</f>
        <v/>
      </c>
      <c r="I4162">
        <f>VLOOKUP(D4162,Товар!$A$2:$F$1000,3,0)</f>
        <v/>
      </c>
      <c r="J4162">
        <f>VLOOKUP(D4162,Товар!$A$2:$F$1000,5,0)</f>
        <v/>
      </c>
      <c r="K4162">
        <f>IF(AND(H4162="Промышленный",LEFT(I4162,18)="Порошок стиральный",F4162="Продажа",B4162=DATE(2023,6,7)),E4162*J4162/1000,0)</f>
        <v/>
      </c>
    </row>
    <row r="4163">
      <c r="A4163" t="n">
        <v>4162</v>
      </c>
      <c r="B4163" s="1" t="n">
        <v>45091</v>
      </c>
      <c r="C4163" s="5" t="inlineStr">
        <is>
          <t>M13</t>
        </is>
      </c>
      <c r="D4163" s="5" t="n">
        <v>46</v>
      </c>
      <c r="E4163" s="5" t="n">
        <v>214</v>
      </c>
      <c r="F4163" t="inlineStr">
        <is>
          <t>Продажа</t>
        </is>
      </c>
      <c r="H4163">
        <f>VLOOKUP(C4163,Магазин!$A$2:$C$1000,2,0)</f>
        <v/>
      </c>
      <c r="I4163">
        <f>VLOOKUP(D4163,Товар!$A$2:$F$1000,3,0)</f>
        <v/>
      </c>
      <c r="J4163">
        <f>VLOOKUP(D4163,Товар!$A$2:$F$1000,5,0)</f>
        <v/>
      </c>
      <c r="K4163">
        <f>IF(AND(H4163="Промышленный",LEFT(I4163,18)="Порошок стиральный",F4163="Продажа",B4163=DATE(2023,6,7)),E4163*J4163/1000,0)</f>
        <v/>
      </c>
    </row>
    <row r="4164">
      <c r="A4164" t="n">
        <v>4163</v>
      </c>
      <c r="B4164" s="1" t="n">
        <v>45091</v>
      </c>
      <c r="C4164" s="5" t="inlineStr">
        <is>
          <t>M13</t>
        </is>
      </c>
      <c r="D4164" s="5" t="n">
        <v>47</v>
      </c>
      <c r="E4164" s="5" t="n">
        <v>225</v>
      </c>
      <c r="F4164" t="inlineStr">
        <is>
          <t>Продажа</t>
        </is>
      </c>
      <c r="H4164">
        <f>VLOOKUP(C4164,Магазин!$A$2:$C$1000,2,0)</f>
        <v/>
      </c>
      <c r="I4164">
        <f>VLOOKUP(D4164,Товар!$A$2:$F$1000,3,0)</f>
        <v/>
      </c>
      <c r="J4164">
        <f>VLOOKUP(D4164,Товар!$A$2:$F$1000,5,0)</f>
        <v/>
      </c>
      <c r="K4164">
        <f>IF(AND(H4164="Промышленный",LEFT(I4164,18)="Порошок стиральный",F4164="Продажа",B4164=DATE(2023,6,7)),E4164*J4164/1000,0)</f>
        <v/>
      </c>
    </row>
    <row r="4165">
      <c r="A4165" t="n">
        <v>4164</v>
      </c>
      <c r="B4165" s="1" t="n">
        <v>45091</v>
      </c>
      <c r="C4165" s="5" t="inlineStr">
        <is>
          <t>M13</t>
        </is>
      </c>
      <c r="D4165" s="5" t="n">
        <v>48</v>
      </c>
      <c r="E4165" s="5" t="n">
        <v>357</v>
      </c>
      <c r="F4165" t="inlineStr">
        <is>
          <t>Продажа</t>
        </is>
      </c>
      <c r="H4165">
        <f>VLOOKUP(C4165,Магазин!$A$2:$C$1000,2,0)</f>
        <v/>
      </c>
      <c r="I4165">
        <f>VLOOKUP(D4165,Товар!$A$2:$F$1000,3,0)</f>
        <v/>
      </c>
      <c r="J4165">
        <f>VLOOKUP(D4165,Товар!$A$2:$F$1000,5,0)</f>
        <v/>
      </c>
      <c r="K4165">
        <f>IF(AND(H4165="Промышленный",LEFT(I4165,18)="Порошок стиральный",F4165="Продажа",B4165=DATE(2023,6,7)),E4165*J4165/1000,0)</f>
        <v/>
      </c>
    </row>
    <row r="4166">
      <c r="A4166" t="n">
        <v>4165</v>
      </c>
      <c r="B4166" s="1" t="n">
        <v>45091</v>
      </c>
      <c r="C4166" s="5" t="inlineStr">
        <is>
          <t>M13</t>
        </is>
      </c>
      <c r="D4166" s="5" t="n">
        <v>49</v>
      </c>
      <c r="E4166" s="5" t="n">
        <v>355</v>
      </c>
      <c r="F4166" t="inlineStr">
        <is>
          <t>Продажа</t>
        </is>
      </c>
      <c r="H4166">
        <f>VLOOKUP(C4166,Магазин!$A$2:$C$1000,2,0)</f>
        <v/>
      </c>
      <c r="I4166">
        <f>VLOOKUP(D4166,Товар!$A$2:$F$1000,3,0)</f>
        <v/>
      </c>
      <c r="J4166">
        <f>VLOOKUP(D4166,Товар!$A$2:$F$1000,5,0)</f>
        <v/>
      </c>
      <c r="K4166">
        <f>IF(AND(H4166="Промышленный",LEFT(I4166,18)="Порошок стиральный",F4166="Продажа",B4166=DATE(2023,6,7)),E4166*J4166/1000,0)</f>
        <v/>
      </c>
    </row>
    <row r="4167">
      <c r="A4167" t="n">
        <v>4166</v>
      </c>
      <c r="B4167" s="1" t="n">
        <v>45091</v>
      </c>
      <c r="C4167" s="5" t="inlineStr">
        <is>
          <t>M13</t>
        </is>
      </c>
      <c r="D4167" s="5" t="n">
        <v>50</v>
      </c>
      <c r="E4167" s="5" t="n">
        <v>343</v>
      </c>
      <c r="F4167" t="inlineStr">
        <is>
          <t>Продажа</t>
        </is>
      </c>
      <c r="H4167">
        <f>VLOOKUP(C4167,Магазин!$A$2:$C$1000,2,0)</f>
        <v/>
      </c>
      <c r="I4167">
        <f>VLOOKUP(D4167,Товар!$A$2:$F$1000,3,0)</f>
        <v/>
      </c>
      <c r="J4167">
        <f>VLOOKUP(D4167,Товар!$A$2:$F$1000,5,0)</f>
        <v/>
      </c>
      <c r="K4167">
        <f>IF(AND(H4167="Промышленный",LEFT(I4167,18)="Порошок стиральный",F4167="Продажа",B4167=DATE(2023,6,7)),E4167*J4167/1000,0)</f>
        <v/>
      </c>
    </row>
    <row r="4168">
      <c r="A4168" t="n">
        <v>4167</v>
      </c>
      <c r="B4168" s="1" t="n">
        <v>45091</v>
      </c>
      <c r="C4168" s="5" t="inlineStr">
        <is>
          <t>M13</t>
        </is>
      </c>
      <c r="D4168" s="5" t="n">
        <v>51</v>
      </c>
      <c r="E4168" s="5" t="n">
        <v>322</v>
      </c>
      <c r="F4168" t="inlineStr">
        <is>
          <t>Продажа</t>
        </is>
      </c>
      <c r="H4168">
        <f>VLOOKUP(C4168,Магазин!$A$2:$C$1000,2,0)</f>
        <v/>
      </c>
      <c r="I4168">
        <f>VLOOKUP(D4168,Товар!$A$2:$F$1000,3,0)</f>
        <v/>
      </c>
      <c r="J4168">
        <f>VLOOKUP(D4168,Товар!$A$2:$F$1000,5,0)</f>
        <v/>
      </c>
      <c r="K4168">
        <f>IF(AND(H4168="Промышленный",LEFT(I4168,18)="Порошок стиральный",F4168="Продажа",B4168=DATE(2023,6,7)),E4168*J4168/1000,0)</f>
        <v/>
      </c>
    </row>
    <row r="4169">
      <c r="A4169" t="n">
        <v>4168</v>
      </c>
      <c r="B4169" s="1" t="n">
        <v>45091</v>
      </c>
      <c r="C4169" s="5" t="inlineStr">
        <is>
          <t>M13</t>
        </is>
      </c>
      <c r="D4169" s="5" t="n">
        <v>52</v>
      </c>
      <c r="E4169" s="5" t="n">
        <v>369</v>
      </c>
      <c r="F4169" t="inlineStr">
        <is>
          <t>Продажа</t>
        </is>
      </c>
      <c r="H4169">
        <f>VLOOKUP(C4169,Магазин!$A$2:$C$1000,2,0)</f>
        <v/>
      </c>
      <c r="I4169">
        <f>VLOOKUP(D4169,Товар!$A$2:$F$1000,3,0)</f>
        <v/>
      </c>
      <c r="J4169">
        <f>VLOOKUP(D4169,Товар!$A$2:$F$1000,5,0)</f>
        <v/>
      </c>
      <c r="K4169">
        <f>IF(AND(H4169="Промышленный",LEFT(I4169,18)="Порошок стиральный",F4169="Продажа",B4169=DATE(2023,6,7)),E4169*J4169/1000,0)</f>
        <v/>
      </c>
    </row>
    <row r="4170">
      <c r="A4170" t="n">
        <v>4169</v>
      </c>
      <c r="B4170" s="1" t="n">
        <v>45091</v>
      </c>
      <c r="C4170" s="5" t="inlineStr">
        <is>
          <t>M13</t>
        </is>
      </c>
      <c r="D4170" s="5" t="n">
        <v>53</v>
      </c>
      <c r="E4170" s="5" t="n">
        <v>399</v>
      </c>
      <c r="F4170" t="inlineStr">
        <is>
          <t>Продажа</t>
        </is>
      </c>
      <c r="H4170">
        <f>VLOOKUP(C4170,Магазин!$A$2:$C$1000,2,0)</f>
        <v/>
      </c>
      <c r="I4170">
        <f>VLOOKUP(D4170,Товар!$A$2:$F$1000,3,0)</f>
        <v/>
      </c>
      <c r="J4170">
        <f>VLOOKUP(D4170,Товар!$A$2:$F$1000,5,0)</f>
        <v/>
      </c>
      <c r="K4170">
        <f>IF(AND(H4170="Промышленный",LEFT(I4170,18)="Порошок стиральный",F4170="Продажа",B4170=DATE(2023,6,7)),E4170*J4170/1000,0)</f>
        <v/>
      </c>
    </row>
    <row r="4171">
      <c r="A4171" t="n">
        <v>4170</v>
      </c>
      <c r="B4171" s="1" t="n">
        <v>45091</v>
      </c>
      <c r="C4171" s="5" t="inlineStr">
        <is>
          <t>M13</t>
        </is>
      </c>
      <c r="D4171" s="5" t="n">
        <v>54</v>
      </c>
      <c r="E4171" s="5" t="n">
        <v>307</v>
      </c>
      <c r="F4171" t="inlineStr">
        <is>
          <t>Продажа</t>
        </is>
      </c>
      <c r="H4171">
        <f>VLOOKUP(C4171,Магазин!$A$2:$C$1000,2,0)</f>
        <v/>
      </c>
      <c r="I4171">
        <f>VLOOKUP(D4171,Товар!$A$2:$F$1000,3,0)</f>
        <v/>
      </c>
      <c r="J4171">
        <f>VLOOKUP(D4171,Товар!$A$2:$F$1000,5,0)</f>
        <v/>
      </c>
      <c r="K4171">
        <f>IF(AND(H4171="Промышленный",LEFT(I4171,18)="Порошок стиральный",F4171="Продажа",B4171=DATE(2023,6,7)),E4171*J4171/1000,0)</f>
        <v/>
      </c>
    </row>
    <row r="4172">
      <c r="A4172" t="n">
        <v>4171</v>
      </c>
      <c r="B4172" s="1" t="n">
        <v>45091</v>
      </c>
      <c r="C4172" s="5" t="inlineStr">
        <is>
          <t>M13</t>
        </is>
      </c>
      <c r="D4172" s="5" t="n">
        <v>55</v>
      </c>
      <c r="E4172" s="5" t="n">
        <v>302</v>
      </c>
      <c r="F4172" t="inlineStr">
        <is>
          <t>Продажа</t>
        </is>
      </c>
      <c r="H4172">
        <f>VLOOKUP(C4172,Магазин!$A$2:$C$1000,2,0)</f>
        <v/>
      </c>
      <c r="I4172">
        <f>VLOOKUP(D4172,Товар!$A$2:$F$1000,3,0)</f>
        <v/>
      </c>
      <c r="J4172">
        <f>VLOOKUP(D4172,Товар!$A$2:$F$1000,5,0)</f>
        <v/>
      </c>
      <c r="K4172">
        <f>IF(AND(H4172="Промышленный",LEFT(I4172,18)="Порошок стиральный",F4172="Продажа",B4172=DATE(2023,6,7)),E4172*J4172/1000,0)</f>
        <v/>
      </c>
    </row>
    <row r="4173">
      <c r="A4173" t="n">
        <v>4172</v>
      </c>
      <c r="B4173" s="1" t="n">
        <v>45091</v>
      </c>
      <c r="C4173" s="5" t="inlineStr">
        <is>
          <t>M13</t>
        </is>
      </c>
      <c r="D4173" s="5" t="n">
        <v>56</v>
      </c>
      <c r="E4173" s="5" t="n">
        <v>301</v>
      </c>
      <c r="F4173" t="inlineStr">
        <is>
          <t>Продажа</t>
        </is>
      </c>
      <c r="H4173">
        <f>VLOOKUP(C4173,Магазин!$A$2:$C$1000,2,0)</f>
        <v/>
      </c>
      <c r="I4173">
        <f>VLOOKUP(D4173,Товар!$A$2:$F$1000,3,0)</f>
        <v/>
      </c>
      <c r="J4173">
        <f>VLOOKUP(D4173,Товар!$A$2:$F$1000,5,0)</f>
        <v/>
      </c>
      <c r="K4173">
        <f>IF(AND(H4173="Промышленный",LEFT(I4173,18)="Порошок стиральный",F4173="Продажа",B4173=DATE(2023,6,7)),E4173*J4173/1000,0)</f>
        <v/>
      </c>
    </row>
    <row r="4174">
      <c r="A4174" t="n">
        <v>4173</v>
      </c>
      <c r="B4174" s="1" t="n">
        <v>45091</v>
      </c>
      <c r="C4174" s="5" t="inlineStr">
        <is>
          <t>M13</t>
        </is>
      </c>
      <c r="D4174" s="5" t="n">
        <v>57</v>
      </c>
      <c r="E4174" s="5" t="n">
        <v>357</v>
      </c>
      <c r="F4174" t="inlineStr">
        <is>
          <t>Продажа</t>
        </is>
      </c>
      <c r="H4174">
        <f>VLOOKUP(C4174,Магазин!$A$2:$C$1000,2,0)</f>
        <v/>
      </c>
      <c r="I4174">
        <f>VLOOKUP(D4174,Товар!$A$2:$F$1000,3,0)</f>
        <v/>
      </c>
      <c r="J4174">
        <f>VLOOKUP(D4174,Товар!$A$2:$F$1000,5,0)</f>
        <v/>
      </c>
      <c r="K4174">
        <f>IF(AND(H4174="Промышленный",LEFT(I4174,18)="Порошок стиральный",F4174="Продажа",B4174=DATE(2023,6,7)),E4174*J4174/1000,0)</f>
        <v/>
      </c>
    </row>
    <row r="4175">
      <c r="A4175" t="n">
        <v>4174</v>
      </c>
      <c r="B4175" s="1" t="n">
        <v>45091</v>
      </c>
      <c r="C4175" s="5" t="inlineStr">
        <is>
          <t>M13</t>
        </is>
      </c>
      <c r="D4175" s="5" t="n">
        <v>58</v>
      </c>
      <c r="E4175" s="5" t="n">
        <v>268</v>
      </c>
      <c r="F4175" t="inlineStr">
        <is>
          <t>Продажа</t>
        </is>
      </c>
      <c r="H4175">
        <f>VLOOKUP(C4175,Магазин!$A$2:$C$1000,2,0)</f>
        <v/>
      </c>
      <c r="I4175">
        <f>VLOOKUP(D4175,Товар!$A$2:$F$1000,3,0)</f>
        <v/>
      </c>
      <c r="J4175">
        <f>VLOOKUP(D4175,Товар!$A$2:$F$1000,5,0)</f>
        <v/>
      </c>
      <c r="K4175">
        <f>IF(AND(H4175="Промышленный",LEFT(I4175,18)="Порошок стиральный",F4175="Продажа",B4175=DATE(2023,6,7)),E4175*J4175/1000,0)</f>
        <v/>
      </c>
    </row>
    <row r="4176">
      <c r="A4176" t="n">
        <v>4175</v>
      </c>
      <c r="B4176" s="1" t="n">
        <v>45091</v>
      </c>
      <c r="C4176" s="5" t="inlineStr">
        <is>
          <t>M13</t>
        </is>
      </c>
      <c r="D4176" s="5" t="n">
        <v>59</v>
      </c>
      <c r="E4176" s="5" t="n">
        <v>279</v>
      </c>
      <c r="F4176" t="inlineStr">
        <is>
          <t>Продажа</t>
        </is>
      </c>
      <c r="H4176">
        <f>VLOOKUP(C4176,Магазин!$A$2:$C$1000,2,0)</f>
        <v/>
      </c>
      <c r="I4176">
        <f>VLOOKUP(D4176,Товар!$A$2:$F$1000,3,0)</f>
        <v/>
      </c>
      <c r="J4176">
        <f>VLOOKUP(D4176,Товар!$A$2:$F$1000,5,0)</f>
        <v/>
      </c>
      <c r="K4176">
        <f>IF(AND(H4176="Промышленный",LEFT(I4176,18)="Порошок стиральный",F4176="Продажа",B4176=DATE(2023,6,7)),E4176*J4176/1000,0)</f>
        <v/>
      </c>
    </row>
    <row r="4177">
      <c r="A4177" t="n">
        <v>4176</v>
      </c>
      <c r="B4177" s="1" t="n">
        <v>45091</v>
      </c>
      <c r="C4177" s="5" t="inlineStr">
        <is>
          <t>M13</t>
        </is>
      </c>
      <c r="D4177" s="5" t="n">
        <v>60</v>
      </c>
      <c r="E4177" s="5" t="n">
        <v>281</v>
      </c>
      <c r="F4177" t="inlineStr">
        <is>
          <t>Продажа</t>
        </is>
      </c>
      <c r="H4177">
        <f>VLOOKUP(C4177,Магазин!$A$2:$C$1000,2,0)</f>
        <v/>
      </c>
      <c r="I4177">
        <f>VLOOKUP(D4177,Товар!$A$2:$F$1000,3,0)</f>
        <v/>
      </c>
      <c r="J4177">
        <f>VLOOKUP(D4177,Товар!$A$2:$F$1000,5,0)</f>
        <v/>
      </c>
      <c r="K4177">
        <f>IF(AND(H4177="Промышленный",LEFT(I4177,18)="Порошок стиральный",F4177="Продажа",B4177=DATE(2023,6,7)),E4177*J4177/1000,0)</f>
        <v/>
      </c>
    </row>
    <row r="4178">
      <c r="A4178" t="n">
        <v>4177</v>
      </c>
      <c r="B4178" s="1" t="n">
        <v>45091</v>
      </c>
      <c r="C4178" s="5" t="inlineStr">
        <is>
          <t>M16</t>
        </is>
      </c>
      <c r="D4178" s="5" t="n">
        <v>37</v>
      </c>
      <c r="E4178" s="5" t="n">
        <v>292</v>
      </c>
      <c r="F4178" t="inlineStr">
        <is>
          <t>Продажа</t>
        </is>
      </c>
      <c r="H4178">
        <f>VLOOKUP(C4178,Магазин!$A$2:$C$1000,2,0)</f>
        <v/>
      </c>
      <c r="I4178">
        <f>VLOOKUP(D4178,Товар!$A$2:$F$1000,3,0)</f>
        <v/>
      </c>
      <c r="J4178">
        <f>VLOOKUP(D4178,Товар!$A$2:$F$1000,5,0)</f>
        <v/>
      </c>
      <c r="K4178">
        <f>IF(AND(H4178="Промышленный",LEFT(I4178,18)="Порошок стиральный",F4178="Продажа",B4178=DATE(2023,6,7)),E4178*J4178/1000,0)</f>
        <v/>
      </c>
    </row>
    <row r="4179">
      <c r="A4179" t="n">
        <v>4178</v>
      </c>
      <c r="B4179" s="1" t="n">
        <v>45091</v>
      </c>
      <c r="C4179" s="5" t="inlineStr">
        <is>
          <t>M16</t>
        </is>
      </c>
      <c r="D4179" s="5" t="n">
        <v>38</v>
      </c>
      <c r="E4179" s="5" t="n">
        <v>203</v>
      </c>
      <c r="F4179" t="inlineStr">
        <is>
          <t>Продажа</t>
        </is>
      </c>
      <c r="H4179">
        <f>VLOOKUP(C4179,Магазин!$A$2:$C$1000,2,0)</f>
        <v/>
      </c>
      <c r="I4179">
        <f>VLOOKUP(D4179,Товар!$A$2:$F$1000,3,0)</f>
        <v/>
      </c>
      <c r="J4179">
        <f>VLOOKUP(D4179,Товар!$A$2:$F$1000,5,0)</f>
        <v/>
      </c>
      <c r="K4179">
        <f>IF(AND(H4179="Промышленный",LEFT(I4179,18)="Порошок стиральный",F4179="Продажа",B4179=DATE(2023,6,7)),E4179*J4179/1000,0)</f>
        <v/>
      </c>
    </row>
    <row r="4180">
      <c r="A4180" t="n">
        <v>4179</v>
      </c>
      <c r="B4180" s="1" t="n">
        <v>45091</v>
      </c>
      <c r="C4180" s="5" t="inlineStr">
        <is>
          <t>M16</t>
        </is>
      </c>
      <c r="D4180" s="5" t="n">
        <v>39</v>
      </c>
      <c r="E4180" s="5" t="n">
        <v>214</v>
      </c>
      <c r="F4180" t="inlineStr">
        <is>
          <t>Продажа</t>
        </is>
      </c>
      <c r="H4180">
        <f>VLOOKUP(C4180,Магазин!$A$2:$C$1000,2,0)</f>
        <v/>
      </c>
      <c r="I4180">
        <f>VLOOKUP(D4180,Товар!$A$2:$F$1000,3,0)</f>
        <v/>
      </c>
      <c r="J4180">
        <f>VLOOKUP(D4180,Товар!$A$2:$F$1000,5,0)</f>
        <v/>
      </c>
      <c r="K4180">
        <f>IF(AND(H4180="Промышленный",LEFT(I4180,18)="Порошок стиральный",F4180="Продажа",B4180=DATE(2023,6,7)),E4180*J4180/1000,0)</f>
        <v/>
      </c>
    </row>
    <row r="4181">
      <c r="A4181" t="n">
        <v>4180</v>
      </c>
      <c r="B4181" s="1" t="n">
        <v>45091</v>
      </c>
      <c r="C4181" s="5" t="inlineStr">
        <is>
          <t>M16</t>
        </is>
      </c>
      <c r="D4181" s="5" t="n">
        <v>40</v>
      </c>
      <c r="E4181" s="5" t="n">
        <v>225</v>
      </c>
      <c r="F4181" t="inlineStr">
        <is>
          <t>Продажа</t>
        </is>
      </c>
      <c r="H4181">
        <f>VLOOKUP(C4181,Магазин!$A$2:$C$1000,2,0)</f>
        <v/>
      </c>
      <c r="I4181">
        <f>VLOOKUP(D4181,Товар!$A$2:$F$1000,3,0)</f>
        <v/>
      </c>
      <c r="J4181">
        <f>VLOOKUP(D4181,Товар!$A$2:$F$1000,5,0)</f>
        <v/>
      </c>
      <c r="K4181">
        <f>IF(AND(H4181="Промышленный",LEFT(I4181,18)="Порошок стиральный",F4181="Продажа",B4181=DATE(2023,6,7)),E4181*J4181/1000,0)</f>
        <v/>
      </c>
    </row>
    <row r="4182">
      <c r="A4182" t="n">
        <v>4181</v>
      </c>
      <c r="B4182" s="1" t="n">
        <v>45091</v>
      </c>
      <c r="C4182" s="5" t="inlineStr">
        <is>
          <t>M16</t>
        </is>
      </c>
      <c r="D4182" s="5" t="n">
        <v>41</v>
      </c>
      <c r="E4182" s="5" t="n">
        <v>357</v>
      </c>
      <c r="F4182" t="inlineStr">
        <is>
          <t>Продажа</t>
        </is>
      </c>
      <c r="H4182">
        <f>VLOOKUP(C4182,Магазин!$A$2:$C$1000,2,0)</f>
        <v/>
      </c>
      <c r="I4182">
        <f>VLOOKUP(D4182,Товар!$A$2:$F$1000,3,0)</f>
        <v/>
      </c>
      <c r="J4182">
        <f>VLOOKUP(D4182,Товар!$A$2:$F$1000,5,0)</f>
        <v/>
      </c>
      <c r="K4182">
        <f>IF(AND(H4182="Промышленный",LEFT(I4182,18)="Порошок стиральный",F4182="Продажа",B4182=DATE(2023,6,7)),E4182*J4182/1000,0)</f>
        <v/>
      </c>
    </row>
    <row r="4183">
      <c r="A4183" t="n">
        <v>4182</v>
      </c>
      <c r="B4183" s="1" t="n">
        <v>45091</v>
      </c>
      <c r="C4183" s="5" t="inlineStr">
        <is>
          <t>M16</t>
        </is>
      </c>
      <c r="D4183" s="5" t="n">
        <v>42</v>
      </c>
      <c r="E4183" s="5" t="n">
        <v>355</v>
      </c>
      <c r="F4183" t="inlineStr">
        <is>
          <t>Продажа</t>
        </is>
      </c>
      <c r="H4183">
        <f>VLOOKUP(C4183,Магазин!$A$2:$C$1000,2,0)</f>
        <v/>
      </c>
      <c r="I4183">
        <f>VLOOKUP(D4183,Товар!$A$2:$F$1000,3,0)</f>
        <v/>
      </c>
      <c r="J4183">
        <f>VLOOKUP(D4183,Товар!$A$2:$F$1000,5,0)</f>
        <v/>
      </c>
      <c r="K4183">
        <f>IF(AND(H4183="Промышленный",LEFT(I4183,18)="Порошок стиральный",F4183="Продажа",B4183=DATE(2023,6,7)),E4183*J4183/1000,0)</f>
        <v/>
      </c>
    </row>
    <row r="4184">
      <c r="A4184" t="n">
        <v>4183</v>
      </c>
      <c r="B4184" s="1" t="n">
        <v>45091</v>
      </c>
      <c r="C4184" s="5" t="inlineStr">
        <is>
          <t>M16</t>
        </is>
      </c>
      <c r="D4184" s="5" t="n">
        <v>43</v>
      </c>
      <c r="E4184" s="5" t="n">
        <v>343</v>
      </c>
      <c r="F4184" t="inlineStr">
        <is>
          <t>Продажа</t>
        </is>
      </c>
      <c r="H4184">
        <f>VLOOKUP(C4184,Магазин!$A$2:$C$1000,2,0)</f>
        <v/>
      </c>
      <c r="I4184">
        <f>VLOOKUP(D4184,Товар!$A$2:$F$1000,3,0)</f>
        <v/>
      </c>
      <c r="J4184">
        <f>VLOOKUP(D4184,Товар!$A$2:$F$1000,5,0)</f>
        <v/>
      </c>
      <c r="K4184">
        <f>IF(AND(H4184="Промышленный",LEFT(I4184,18)="Порошок стиральный",F4184="Продажа",B4184=DATE(2023,6,7)),E4184*J4184/1000,0)</f>
        <v/>
      </c>
    </row>
    <row r="4185">
      <c r="A4185" t="n">
        <v>4184</v>
      </c>
      <c r="B4185" s="1" t="n">
        <v>45091</v>
      </c>
      <c r="C4185" s="5" t="inlineStr">
        <is>
          <t>M16</t>
        </is>
      </c>
      <c r="D4185" s="5" t="n">
        <v>44</v>
      </c>
      <c r="E4185" s="5" t="n">
        <v>322</v>
      </c>
      <c r="F4185" t="inlineStr">
        <is>
          <t>Продажа</t>
        </is>
      </c>
      <c r="H4185">
        <f>VLOOKUP(C4185,Магазин!$A$2:$C$1000,2,0)</f>
        <v/>
      </c>
      <c r="I4185">
        <f>VLOOKUP(D4185,Товар!$A$2:$F$1000,3,0)</f>
        <v/>
      </c>
      <c r="J4185">
        <f>VLOOKUP(D4185,Товар!$A$2:$F$1000,5,0)</f>
        <v/>
      </c>
      <c r="K4185">
        <f>IF(AND(H4185="Промышленный",LEFT(I4185,18)="Порошок стиральный",F4185="Продажа",B4185=DATE(2023,6,7)),E4185*J4185/1000,0)</f>
        <v/>
      </c>
    </row>
    <row r="4186">
      <c r="A4186" t="n">
        <v>4185</v>
      </c>
      <c r="B4186" s="1" t="n">
        <v>45091</v>
      </c>
      <c r="C4186" s="5" t="inlineStr">
        <is>
          <t>M16</t>
        </is>
      </c>
      <c r="D4186" s="5" t="n">
        <v>45</v>
      </c>
      <c r="E4186" s="5" t="n">
        <v>369</v>
      </c>
      <c r="F4186" t="inlineStr">
        <is>
          <t>Продажа</t>
        </is>
      </c>
      <c r="H4186">
        <f>VLOOKUP(C4186,Магазин!$A$2:$C$1000,2,0)</f>
        <v/>
      </c>
      <c r="I4186">
        <f>VLOOKUP(D4186,Товар!$A$2:$F$1000,3,0)</f>
        <v/>
      </c>
      <c r="J4186">
        <f>VLOOKUP(D4186,Товар!$A$2:$F$1000,5,0)</f>
        <v/>
      </c>
      <c r="K4186">
        <f>IF(AND(H4186="Промышленный",LEFT(I4186,18)="Порошок стиральный",F4186="Продажа",B4186=DATE(2023,6,7)),E4186*J4186/1000,0)</f>
        <v/>
      </c>
    </row>
    <row r="4187">
      <c r="A4187" t="n">
        <v>4186</v>
      </c>
      <c r="B4187" s="1" t="n">
        <v>45091</v>
      </c>
      <c r="C4187" s="5" t="inlineStr">
        <is>
          <t>M16</t>
        </is>
      </c>
      <c r="D4187" s="5" t="n">
        <v>46</v>
      </c>
      <c r="E4187" s="5" t="n">
        <v>399</v>
      </c>
      <c r="F4187" t="inlineStr">
        <is>
          <t>Продажа</t>
        </is>
      </c>
      <c r="H4187">
        <f>VLOOKUP(C4187,Магазин!$A$2:$C$1000,2,0)</f>
        <v/>
      </c>
      <c r="I4187">
        <f>VLOOKUP(D4187,Товар!$A$2:$F$1000,3,0)</f>
        <v/>
      </c>
      <c r="J4187">
        <f>VLOOKUP(D4187,Товар!$A$2:$F$1000,5,0)</f>
        <v/>
      </c>
      <c r="K4187">
        <f>IF(AND(H4187="Промышленный",LEFT(I4187,18)="Порошок стиральный",F4187="Продажа",B4187=DATE(2023,6,7)),E4187*J4187/1000,0)</f>
        <v/>
      </c>
    </row>
    <row r="4188">
      <c r="A4188" t="n">
        <v>4187</v>
      </c>
      <c r="B4188" s="1" t="n">
        <v>45091</v>
      </c>
      <c r="C4188" s="5" t="inlineStr">
        <is>
          <t>M16</t>
        </is>
      </c>
      <c r="D4188" s="5" t="n">
        <v>47</v>
      </c>
      <c r="E4188" s="5" t="n">
        <v>307</v>
      </c>
      <c r="F4188" t="inlineStr">
        <is>
          <t>Продажа</t>
        </is>
      </c>
      <c r="H4188">
        <f>VLOOKUP(C4188,Магазин!$A$2:$C$1000,2,0)</f>
        <v/>
      </c>
      <c r="I4188">
        <f>VLOOKUP(D4188,Товар!$A$2:$F$1000,3,0)</f>
        <v/>
      </c>
      <c r="J4188">
        <f>VLOOKUP(D4188,Товар!$A$2:$F$1000,5,0)</f>
        <v/>
      </c>
      <c r="K4188">
        <f>IF(AND(H4188="Промышленный",LEFT(I4188,18)="Порошок стиральный",F4188="Продажа",B4188=DATE(2023,6,7)),E4188*J4188/1000,0)</f>
        <v/>
      </c>
    </row>
    <row r="4189">
      <c r="A4189" t="n">
        <v>4188</v>
      </c>
      <c r="B4189" s="1" t="n">
        <v>45091</v>
      </c>
      <c r="C4189" s="5" t="inlineStr">
        <is>
          <t>M16</t>
        </is>
      </c>
      <c r="D4189" s="5" t="n">
        <v>48</v>
      </c>
      <c r="E4189" s="5" t="n">
        <v>302</v>
      </c>
      <c r="F4189" t="inlineStr">
        <is>
          <t>Продажа</t>
        </is>
      </c>
      <c r="H4189">
        <f>VLOOKUP(C4189,Магазин!$A$2:$C$1000,2,0)</f>
        <v/>
      </c>
      <c r="I4189">
        <f>VLOOKUP(D4189,Товар!$A$2:$F$1000,3,0)</f>
        <v/>
      </c>
      <c r="J4189">
        <f>VLOOKUP(D4189,Товар!$A$2:$F$1000,5,0)</f>
        <v/>
      </c>
      <c r="K4189">
        <f>IF(AND(H4189="Промышленный",LEFT(I4189,18)="Порошок стиральный",F4189="Продажа",B4189=DATE(2023,6,7)),E4189*J4189/1000,0)</f>
        <v/>
      </c>
    </row>
    <row r="4190">
      <c r="A4190" t="n">
        <v>4189</v>
      </c>
      <c r="B4190" s="1" t="n">
        <v>45091</v>
      </c>
      <c r="C4190" s="5" t="inlineStr">
        <is>
          <t>M16</t>
        </is>
      </c>
      <c r="D4190" s="5" t="n">
        <v>49</v>
      </c>
      <c r="E4190" s="5" t="n">
        <v>301</v>
      </c>
      <c r="F4190" t="inlineStr">
        <is>
          <t>Продажа</t>
        </is>
      </c>
      <c r="H4190">
        <f>VLOOKUP(C4190,Магазин!$A$2:$C$1000,2,0)</f>
        <v/>
      </c>
      <c r="I4190">
        <f>VLOOKUP(D4190,Товар!$A$2:$F$1000,3,0)</f>
        <v/>
      </c>
      <c r="J4190">
        <f>VLOOKUP(D4190,Товар!$A$2:$F$1000,5,0)</f>
        <v/>
      </c>
      <c r="K4190">
        <f>IF(AND(H4190="Промышленный",LEFT(I4190,18)="Порошок стиральный",F4190="Продажа",B4190=DATE(2023,6,7)),E4190*J4190/1000,0)</f>
        <v/>
      </c>
    </row>
    <row r="4191">
      <c r="A4191" t="n">
        <v>4190</v>
      </c>
      <c r="B4191" s="1" t="n">
        <v>45091</v>
      </c>
      <c r="C4191" s="5" t="inlineStr">
        <is>
          <t>M16</t>
        </is>
      </c>
      <c r="D4191" s="5" t="n">
        <v>50</v>
      </c>
      <c r="E4191" s="5" t="n">
        <v>357</v>
      </c>
      <c r="F4191" t="inlineStr">
        <is>
          <t>Продажа</t>
        </is>
      </c>
      <c r="H4191">
        <f>VLOOKUP(C4191,Магазин!$A$2:$C$1000,2,0)</f>
        <v/>
      </c>
      <c r="I4191">
        <f>VLOOKUP(D4191,Товар!$A$2:$F$1000,3,0)</f>
        <v/>
      </c>
      <c r="J4191">
        <f>VLOOKUP(D4191,Товар!$A$2:$F$1000,5,0)</f>
        <v/>
      </c>
      <c r="K4191">
        <f>IF(AND(H4191="Промышленный",LEFT(I4191,18)="Порошок стиральный",F4191="Продажа",B4191=DATE(2023,6,7)),E4191*J4191/1000,0)</f>
        <v/>
      </c>
    </row>
    <row r="4192">
      <c r="A4192" t="n">
        <v>4191</v>
      </c>
      <c r="B4192" s="1" t="n">
        <v>45091</v>
      </c>
      <c r="C4192" s="5" t="inlineStr">
        <is>
          <t>M16</t>
        </is>
      </c>
      <c r="D4192" s="5" t="n">
        <v>51</v>
      </c>
      <c r="E4192" s="5" t="n">
        <v>268</v>
      </c>
      <c r="F4192" t="inlineStr">
        <is>
          <t>Продажа</t>
        </is>
      </c>
      <c r="H4192">
        <f>VLOOKUP(C4192,Магазин!$A$2:$C$1000,2,0)</f>
        <v/>
      </c>
      <c r="I4192">
        <f>VLOOKUP(D4192,Товар!$A$2:$F$1000,3,0)</f>
        <v/>
      </c>
      <c r="J4192">
        <f>VLOOKUP(D4192,Товар!$A$2:$F$1000,5,0)</f>
        <v/>
      </c>
      <c r="K4192">
        <f>IF(AND(H4192="Промышленный",LEFT(I4192,18)="Порошок стиральный",F4192="Продажа",B4192=DATE(2023,6,7)),E4192*J4192/1000,0)</f>
        <v/>
      </c>
    </row>
    <row r="4193">
      <c r="A4193" t="n">
        <v>4192</v>
      </c>
      <c r="B4193" s="1" t="n">
        <v>45091</v>
      </c>
      <c r="C4193" s="5" t="inlineStr">
        <is>
          <t>M16</t>
        </is>
      </c>
      <c r="D4193" s="5" t="n">
        <v>52</v>
      </c>
      <c r="E4193" s="5" t="n">
        <v>279</v>
      </c>
      <c r="F4193" t="inlineStr">
        <is>
          <t>Продажа</t>
        </is>
      </c>
      <c r="H4193">
        <f>VLOOKUP(C4193,Магазин!$A$2:$C$1000,2,0)</f>
        <v/>
      </c>
      <c r="I4193">
        <f>VLOOKUP(D4193,Товар!$A$2:$F$1000,3,0)</f>
        <v/>
      </c>
      <c r="J4193">
        <f>VLOOKUP(D4193,Товар!$A$2:$F$1000,5,0)</f>
        <v/>
      </c>
      <c r="K4193">
        <f>IF(AND(H4193="Промышленный",LEFT(I4193,18)="Порошок стиральный",F4193="Продажа",B4193=DATE(2023,6,7)),E4193*J4193/1000,0)</f>
        <v/>
      </c>
    </row>
    <row r="4194">
      <c r="A4194" t="n">
        <v>4193</v>
      </c>
      <c r="B4194" s="1" t="n">
        <v>45091</v>
      </c>
      <c r="C4194" s="5" t="inlineStr">
        <is>
          <t>M16</t>
        </is>
      </c>
      <c r="D4194" s="5" t="n">
        <v>53</v>
      </c>
      <c r="E4194" s="5" t="n">
        <v>357</v>
      </c>
      <c r="F4194" t="inlineStr">
        <is>
          <t>Продажа</t>
        </is>
      </c>
      <c r="H4194">
        <f>VLOOKUP(C4194,Магазин!$A$2:$C$1000,2,0)</f>
        <v/>
      </c>
      <c r="I4194">
        <f>VLOOKUP(D4194,Товар!$A$2:$F$1000,3,0)</f>
        <v/>
      </c>
      <c r="J4194">
        <f>VLOOKUP(D4194,Товар!$A$2:$F$1000,5,0)</f>
        <v/>
      </c>
      <c r="K4194">
        <f>IF(AND(H4194="Промышленный",LEFT(I4194,18)="Порошок стиральный",F4194="Продажа",B4194=DATE(2023,6,7)),E4194*J4194/1000,0)</f>
        <v/>
      </c>
    </row>
    <row r="4195">
      <c r="A4195" t="n">
        <v>4194</v>
      </c>
      <c r="B4195" s="1" t="n">
        <v>45091</v>
      </c>
      <c r="C4195" s="5" t="inlineStr">
        <is>
          <t>M16</t>
        </is>
      </c>
      <c r="D4195" s="5" t="n">
        <v>54</v>
      </c>
      <c r="E4195" s="5" t="n">
        <v>355</v>
      </c>
      <c r="F4195" t="inlineStr">
        <is>
          <t>Продажа</t>
        </is>
      </c>
      <c r="H4195">
        <f>VLOOKUP(C4195,Магазин!$A$2:$C$1000,2,0)</f>
        <v/>
      </c>
      <c r="I4195">
        <f>VLOOKUP(D4195,Товар!$A$2:$F$1000,3,0)</f>
        <v/>
      </c>
      <c r="J4195">
        <f>VLOOKUP(D4195,Товар!$A$2:$F$1000,5,0)</f>
        <v/>
      </c>
      <c r="K4195">
        <f>IF(AND(H4195="Промышленный",LEFT(I4195,18)="Порошок стиральный",F4195="Продажа",B4195=DATE(2023,6,7)),E4195*J4195/1000,0)</f>
        <v/>
      </c>
    </row>
    <row r="4196">
      <c r="A4196" t="n">
        <v>4195</v>
      </c>
      <c r="B4196" s="1" t="n">
        <v>45091</v>
      </c>
      <c r="C4196" s="5" t="inlineStr">
        <is>
          <t>M16</t>
        </is>
      </c>
      <c r="D4196" s="5" t="n">
        <v>55</v>
      </c>
      <c r="E4196" s="5" t="n">
        <v>343</v>
      </c>
      <c r="F4196" t="inlineStr">
        <is>
          <t>Продажа</t>
        </is>
      </c>
      <c r="H4196">
        <f>VLOOKUP(C4196,Магазин!$A$2:$C$1000,2,0)</f>
        <v/>
      </c>
      <c r="I4196">
        <f>VLOOKUP(D4196,Товар!$A$2:$F$1000,3,0)</f>
        <v/>
      </c>
      <c r="J4196">
        <f>VLOOKUP(D4196,Товар!$A$2:$F$1000,5,0)</f>
        <v/>
      </c>
      <c r="K4196">
        <f>IF(AND(H4196="Промышленный",LEFT(I4196,18)="Порошок стиральный",F4196="Продажа",B4196=DATE(2023,6,7)),E4196*J4196/1000,0)</f>
        <v/>
      </c>
    </row>
    <row r="4197">
      <c r="A4197" t="n">
        <v>4196</v>
      </c>
      <c r="B4197" s="1" t="n">
        <v>45091</v>
      </c>
      <c r="C4197" s="5" t="inlineStr">
        <is>
          <t>M16</t>
        </is>
      </c>
      <c r="D4197" s="5" t="n">
        <v>56</v>
      </c>
      <c r="E4197" s="5" t="n">
        <v>322</v>
      </c>
      <c r="F4197" t="inlineStr">
        <is>
          <t>Продажа</t>
        </is>
      </c>
      <c r="H4197">
        <f>VLOOKUP(C4197,Магазин!$A$2:$C$1000,2,0)</f>
        <v/>
      </c>
      <c r="I4197">
        <f>VLOOKUP(D4197,Товар!$A$2:$F$1000,3,0)</f>
        <v/>
      </c>
      <c r="J4197">
        <f>VLOOKUP(D4197,Товар!$A$2:$F$1000,5,0)</f>
        <v/>
      </c>
      <c r="K4197">
        <f>IF(AND(H4197="Промышленный",LEFT(I4197,18)="Порошок стиральный",F4197="Продажа",B4197=DATE(2023,6,7)),E4197*J4197/1000,0)</f>
        <v/>
      </c>
    </row>
    <row r="4198">
      <c r="A4198" t="n">
        <v>4197</v>
      </c>
      <c r="B4198" s="1" t="n">
        <v>45091</v>
      </c>
      <c r="C4198" s="5" t="inlineStr">
        <is>
          <t>M16</t>
        </is>
      </c>
      <c r="D4198" s="5" t="n">
        <v>57</v>
      </c>
      <c r="E4198" s="5" t="n">
        <v>369</v>
      </c>
      <c r="F4198" t="inlineStr">
        <is>
          <t>Продажа</t>
        </is>
      </c>
      <c r="H4198">
        <f>VLOOKUP(C4198,Магазин!$A$2:$C$1000,2,0)</f>
        <v/>
      </c>
      <c r="I4198">
        <f>VLOOKUP(D4198,Товар!$A$2:$F$1000,3,0)</f>
        <v/>
      </c>
      <c r="J4198">
        <f>VLOOKUP(D4198,Товар!$A$2:$F$1000,5,0)</f>
        <v/>
      </c>
      <c r="K4198">
        <f>IF(AND(H4198="Промышленный",LEFT(I4198,18)="Порошок стиральный",F4198="Продажа",B4198=DATE(2023,6,7)),E4198*J4198/1000,0)</f>
        <v/>
      </c>
    </row>
    <row r="4199">
      <c r="A4199" t="n">
        <v>4198</v>
      </c>
      <c r="B4199" s="1" t="n">
        <v>45091</v>
      </c>
      <c r="C4199" s="5" t="inlineStr">
        <is>
          <t>M16</t>
        </is>
      </c>
      <c r="D4199" s="5" t="n">
        <v>58</v>
      </c>
      <c r="E4199" s="5" t="n">
        <v>399</v>
      </c>
      <c r="F4199" t="inlineStr">
        <is>
          <t>Продажа</t>
        </is>
      </c>
      <c r="H4199">
        <f>VLOOKUP(C4199,Магазин!$A$2:$C$1000,2,0)</f>
        <v/>
      </c>
      <c r="I4199">
        <f>VLOOKUP(D4199,Товар!$A$2:$F$1000,3,0)</f>
        <v/>
      </c>
      <c r="J4199">
        <f>VLOOKUP(D4199,Товар!$A$2:$F$1000,5,0)</f>
        <v/>
      </c>
      <c r="K4199">
        <f>IF(AND(H4199="Промышленный",LEFT(I4199,18)="Порошок стиральный",F4199="Продажа",B4199=DATE(2023,6,7)),E4199*J4199/1000,0)</f>
        <v/>
      </c>
    </row>
    <row r="4200">
      <c r="A4200" t="n">
        <v>4199</v>
      </c>
      <c r="B4200" s="1" t="n">
        <v>45091</v>
      </c>
      <c r="C4200" s="5" t="inlineStr">
        <is>
          <t>M16</t>
        </is>
      </c>
      <c r="D4200" s="5" t="n">
        <v>59</v>
      </c>
      <c r="E4200" s="5" t="n">
        <v>307</v>
      </c>
      <c r="F4200" t="inlineStr">
        <is>
          <t>Продажа</t>
        </is>
      </c>
      <c r="H4200">
        <f>VLOOKUP(C4200,Магазин!$A$2:$C$1000,2,0)</f>
        <v/>
      </c>
      <c r="I4200">
        <f>VLOOKUP(D4200,Товар!$A$2:$F$1000,3,0)</f>
        <v/>
      </c>
      <c r="J4200">
        <f>VLOOKUP(D4200,Товар!$A$2:$F$1000,5,0)</f>
        <v/>
      </c>
      <c r="K4200">
        <f>IF(AND(H4200="Промышленный",LEFT(I4200,18)="Порошок стиральный",F4200="Продажа",B4200=DATE(2023,6,7)),E4200*J4200/1000,0)</f>
        <v/>
      </c>
    </row>
    <row r="4201">
      <c r="A4201" t="n">
        <v>4200</v>
      </c>
      <c r="B4201" s="1" t="n">
        <v>45091</v>
      </c>
      <c r="C4201" s="5" t="inlineStr">
        <is>
          <t>M16</t>
        </is>
      </c>
      <c r="D4201" s="5" t="n">
        <v>60</v>
      </c>
      <c r="E4201" s="5" t="n">
        <v>302</v>
      </c>
      <c r="F4201" t="inlineStr">
        <is>
          <t>Продажа</t>
        </is>
      </c>
      <c r="H4201">
        <f>VLOOKUP(C4201,Магазин!$A$2:$C$1000,2,0)</f>
        <v/>
      </c>
      <c r="I4201">
        <f>VLOOKUP(D4201,Товар!$A$2:$F$1000,3,0)</f>
        <v/>
      </c>
      <c r="J4201">
        <f>VLOOKUP(D4201,Товар!$A$2:$F$1000,5,0)</f>
        <v/>
      </c>
      <c r="K4201">
        <f>IF(AND(H4201="Промышленный",LEFT(I4201,18)="Порошок стиральный",F4201="Продажа",B4201=DATE(2023,6,7)),E4201*J4201/1000,0)</f>
        <v/>
      </c>
    </row>
    <row r="4202">
      <c r="A4202" t="n">
        <v>4201</v>
      </c>
      <c r="B4202" s="1" t="n">
        <v>45091</v>
      </c>
      <c r="C4202" s="5" t="inlineStr">
        <is>
          <t>M3</t>
        </is>
      </c>
      <c r="D4202" s="5" t="n">
        <v>37</v>
      </c>
      <c r="E4202" s="5" t="n">
        <v>201</v>
      </c>
      <c r="F4202" t="inlineStr">
        <is>
          <t>Продажа</t>
        </is>
      </c>
      <c r="H4202">
        <f>VLOOKUP(C4202,Магазин!$A$2:$C$1000,2,0)</f>
        <v/>
      </c>
      <c r="I4202">
        <f>VLOOKUP(D4202,Товар!$A$2:$F$1000,3,0)</f>
        <v/>
      </c>
      <c r="J4202">
        <f>VLOOKUP(D4202,Товар!$A$2:$F$1000,5,0)</f>
        <v/>
      </c>
      <c r="K4202">
        <f>IF(AND(H4202="Промышленный",LEFT(I4202,18)="Порошок стиральный",F4202="Продажа",B4202=DATE(2023,6,7)),E4202*J4202/1000,0)</f>
        <v/>
      </c>
    </row>
    <row r="4203">
      <c r="A4203" t="n">
        <v>4202</v>
      </c>
      <c r="B4203" s="1" t="n">
        <v>45091</v>
      </c>
      <c r="C4203" s="5" t="inlineStr">
        <is>
          <t>M3</t>
        </is>
      </c>
      <c r="D4203" s="5" t="n">
        <v>38</v>
      </c>
      <c r="E4203" s="5" t="n">
        <v>180</v>
      </c>
      <c r="F4203" t="inlineStr">
        <is>
          <t>Продажа</t>
        </is>
      </c>
      <c r="H4203">
        <f>VLOOKUP(C4203,Магазин!$A$2:$C$1000,2,0)</f>
        <v/>
      </c>
      <c r="I4203">
        <f>VLOOKUP(D4203,Товар!$A$2:$F$1000,3,0)</f>
        <v/>
      </c>
      <c r="J4203">
        <f>VLOOKUP(D4203,Товар!$A$2:$F$1000,5,0)</f>
        <v/>
      </c>
      <c r="K4203">
        <f>IF(AND(H4203="Промышленный",LEFT(I4203,18)="Порошок стиральный",F4203="Продажа",B4203=DATE(2023,6,7)),E4203*J4203/1000,0)</f>
        <v/>
      </c>
    </row>
    <row r="4204">
      <c r="A4204" t="n">
        <v>4203</v>
      </c>
      <c r="B4204" s="1" t="n">
        <v>45091</v>
      </c>
      <c r="C4204" s="5" t="inlineStr">
        <is>
          <t>M3</t>
        </is>
      </c>
      <c r="D4204" s="5" t="n">
        <v>39</v>
      </c>
      <c r="E4204" s="5" t="n">
        <v>142</v>
      </c>
      <c r="F4204" t="inlineStr">
        <is>
          <t>Продажа</t>
        </is>
      </c>
      <c r="H4204">
        <f>VLOOKUP(C4204,Магазин!$A$2:$C$1000,2,0)</f>
        <v/>
      </c>
      <c r="I4204">
        <f>VLOOKUP(D4204,Товар!$A$2:$F$1000,3,0)</f>
        <v/>
      </c>
      <c r="J4204">
        <f>VLOOKUP(D4204,Товар!$A$2:$F$1000,5,0)</f>
        <v/>
      </c>
      <c r="K4204">
        <f>IF(AND(H4204="Промышленный",LEFT(I4204,18)="Порошок стиральный",F4204="Продажа",B4204=DATE(2023,6,7)),E4204*J4204/1000,0)</f>
        <v/>
      </c>
    </row>
    <row r="4205">
      <c r="A4205" t="n">
        <v>4204</v>
      </c>
      <c r="B4205" s="1" t="n">
        <v>45091</v>
      </c>
      <c r="C4205" s="5" t="inlineStr">
        <is>
          <t>M3</t>
        </is>
      </c>
      <c r="D4205" s="5" t="n">
        <v>40</v>
      </c>
      <c r="E4205" s="5" t="n">
        <v>156</v>
      </c>
      <c r="F4205" t="inlineStr">
        <is>
          <t>Продажа</t>
        </is>
      </c>
      <c r="H4205">
        <f>VLOOKUP(C4205,Магазин!$A$2:$C$1000,2,0)</f>
        <v/>
      </c>
      <c r="I4205">
        <f>VLOOKUP(D4205,Товар!$A$2:$F$1000,3,0)</f>
        <v/>
      </c>
      <c r="J4205">
        <f>VLOOKUP(D4205,Товар!$A$2:$F$1000,5,0)</f>
        <v/>
      </c>
      <c r="K4205">
        <f>IF(AND(H4205="Промышленный",LEFT(I4205,18)="Порошок стиральный",F4205="Продажа",B4205=DATE(2023,6,7)),E4205*J4205/1000,0)</f>
        <v/>
      </c>
    </row>
    <row r="4206">
      <c r="A4206" t="n">
        <v>4205</v>
      </c>
      <c r="B4206" s="1" t="n">
        <v>45091</v>
      </c>
      <c r="C4206" s="5" t="inlineStr">
        <is>
          <t>M3</t>
        </is>
      </c>
      <c r="D4206" s="5" t="n">
        <v>41</v>
      </c>
      <c r="E4206" s="5" t="n">
        <v>144</v>
      </c>
      <c r="F4206" t="inlineStr">
        <is>
          <t>Продажа</t>
        </is>
      </c>
      <c r="H4206">
        <f>VLOOKUP(C4206,Магазин!$A$2:$C$1000,2,0)</f>
        <v/>
      </c>
      <c r="I4206">
        <f>VLOOKUP(D4206,Товар!$A$2:$F$1000,3,0)</f>
        <v/>
      </c>
      <c r="J4206">
        <f>VLOOKUP(D4206,Товар!$A$2:$F$1000,5,0)</f>
        <v/>
      </c>
      <c r="K4206">
        <f>IF(AND(H4206="Промышленный",LEFT(I4206,18)="Порошок стиральный",F4206="Продажа",B4206=DATE(2023,6,7)),E4206*J4206/1000,0)</f>
        <v/>
      </c>
    </row>
    <row r="4207">
      <c r="A4207" t="n">
        <v>4206</v>
      </c>
      <c r="B4207" s="1" t="n">
        <v>45091</v>
      </c>
      <c r="C4207" s="5" t="inlineStr">
        <is>
          <t>M3</t>
        </is>
      </c>
      <c r="D4207" s="5" t="n">
        <v>42</v>
      </c>
      <c r="E4207" s="5" t="n">
        <v>178</v>
      </c>
      <c r="F4207" t="inlineStr">
        <is>
          <t>Продажа</t>
        </is>
      </c>
      <c r="H4207">
        <f>VLOOKUP(C4207,Магазин!$A$2:$C$1000,2,0)</f>
        <v/>
      </c>
      <c r="I4207">
        <f>VLOOKUP(D4207,Товар!$A$2:$F$1000,3,0)</f>
        <v/>
      </c>
      <c r="J4207">
        <f>VLOOKUP(D4207,Товар!$A$2:$F$1000,5,0)</f>
        <v/>
      </c>
      <c r="K4207">
        <f>IF(AND(H4207="Промышленный",LEFT(I4207,18)="Порошок стиральный",F4207="Продажа",B4207=DATE(2023,6,7)),E4207*J4207/1000,0)</f>
        <v/>
      </c>
    </row>
    <row r="4208">
      <c r="A4208" t="n">
        <v>4207</v>
      </c>
      <c r="B4208" s="1" t="n">
        <v>45091</v>
      </c>
      <c r="C4208" s="5" t="inlineStr">
        <is>
          <t>M3</t>
        </is>
      </c>
      <c r="D4208" s="5" t="n">
        <v>43</v>
      </c>
      <c r="E4208" s="5" t="n">
        <v>169</v>
      </c>
      <c r="F4208" t="inlineStr">
        <is>
          <t>Продажа</t>
        </is>
      </c>
      <c r="H4208">
        <f>VLOOKUP(C4208,Магазин!$A$2:$C$1000,2,0)</f>
        <v/>
      </c>
      <c r="I4208">
        <f>VLOOKUP(D4208,Товар!$A$2:$F$1000,3,0)</f>
        <v/>
      </c>
      <c r="J4208">
        <f>VLOOKUP(D4208,Товар!$A$2:$F$1000,5,0)</f>
        <v/>
      </c>
      <c r="K4208">
        <f>IF(AND(H4208="Промышленный",LEFT(I4208,18)="Порошок стиральный",F4208="Продажа",B4208=DATE(2023,6,7)),E4208*J4208/1000,0)</f>
        <v/>
      </c>
    </row>
    <row r="4209">
      <c r="A4209" t="n">
        <v>4208</v>
      </c>
      <c r="B4209" s="1" t="n">
        <v>45091</v>
      </c>
      <c r="C4209" s="5" t="inlineStr">
        <is>
          <t>M3</t>
        </is>
      </c>
      <c r="D4209" s="5" t="n">
        <v>44</v>
      </c>
      <c r="E4209" s="5" t="n">
        <v>196</v>
      </c>
      <c r="F4209" t="inlineStr">
        <is>
          <t>Продажа</t>
        </is>
      </c>
      <c r="H4209">
        <f>VLOOKUP(C4209,Магазин!$A$2:$C$1000,2,0)</f>
        <v/>
      </c>
      <c r="I4209">
        <f>VLOOKUP(D4209,Товар!$A$2:$F$1000,3,0)</f>
        <v/>
      </c>
      <c r="J4209">
        <f>VLOOKUP(D4209,Товар!$A$2:$F$1000,5,0)</f>
        <v/>
      </c>
      <c r="K4209">
        <f>IF(AND(H4209="Промышленный",LEFT(I4209,18)="Порошок стиральный",F4209="Продажа",B4209=DATE(2023,6,7)),E4209*J4209/1000,0)</f>
        <v/>
      </c>
    </row>
    <row r="4210">
      <c r="A4210" t="n">
        <v>4209</v>
      </c>
      <c r="B4210" s="1" t="n">
        <v>45091</v>
      </c>
      <c r="C4210" s="5" t="inlineStr">
        <is>
          <t>M3</t>
        </is>
      </c>
      <c r="D4210" s="5" t="n">
        <v>45</v>
      </c>
      <c r="E4210" s="5" t="n">
        <v>123</v>
      </c>
      <c r="F4210" t="inlineStr">
        <is>
          <t>Продажа</t>
        </is>
      </c>
      <c r="H4210">
        <f>VLOOKUP(C4210,Магазин!$A$2:$C$1000,2,0)</f>
        <v/>
      </c>
      <c r="I4210">
        <f>VLOOKUP(D4210,Товар!$A$2:$F$1000,3,0)</f>
        <v/>
      </c>
      <c r="J4210">
        <f>VLOOKUP(D4210,Товар!$A$2:$F$1000,5,0)</f>
        <v/>
      </c>
      <c r="K4210">
        <f>IF(AND(H4210="Промышленный",LEFT(I4210,18)="Порошок стиральный",F4210="Продажа",B4210=DATE(2023,6,7)),E4210*J4210/1000,0)</f>
        <v/>
      </c>
    </row>
    <row r="4211">
      <c r="A4211" t="n">
        <v>4210</v>
      </c>
      <c r="B4211" s="1" t="n">
        <v>45091</v>
      </c>
      <c r="C4211" s="5" t="inlineStr">
        <is>
          <t>M3</t>
        </is>
      </c>
      <c r="D4211" s="5" t="n">
        <v>46</v>
      </c>
      <c r="E4211" s="5" t="n">
        <v>111</v>
      </c>
      <c r="F4211" t="inlineStr">
        <is>
          <t>Продажа</t>
        </is>
      </c>
      <c r="H4211">
        <f>VLOOKUP(C4211,Магазин!$A$2:$C$1000,2,0)</f>
        <v/>
      </c>
      <c r="I4211">
        <f>VLOOKUP(D4211,Товар!$A$2:$F$1000,3,0)</f>
        <v/>
      </c>
      <c r="J4211">
        <f>VLOOKUP(D4211,Товар!$A$2:$F$1000,5,0)</f>
        <v/>
      </c>
      <c r="K4211">
        <f>IF(AND(H4211="Промышленный",LEFT(I4211,18)="Порошок стиральный",F4211="Продажа",B4211=DATE(2023,6,7)),E4211*J4211/1000,0)</f>
        <v/>
      </c>
    </row>
    <row r="4212">
      <c r="A4212" t="n">
        <v>4211</v>
      </c>
      <c r="B4212" s="1" t="n">
        <v>45091</v>
      </c>
      <c r="C4212" s="5" t="inlineStr">
        <is>
          <t>M3</t>
        </is>
      </c>
      <c r="D4212" s="5" t="n">
        <v>47</v>
      </c>
      <c r="E4212" s="5" t="n">
        <v>158</v>
      </c>
      <c r="F4212" t="inlineStr">
        <is>
          <t>Продажа</t>
        </is>
      </c>
      <c r="H4212">
        <f>VLOOKUP(C4212,Магазин!$A$2:$C$1000,2,0)</f>
        <v/>
      </c>
      <c r="I4212">
        <f>VLOOKUP(D4212,Товар!$A$2:$F$1000,3,0)</f>
        <v/>
      </c>
      <c r="J4212">
        <f>VLOOKUP(D4212,Товар!$A$2:$F$1000,5,0)</f>
        <v/>
      </c>
      <c r="K4212">
        <f>IF(AND(H4212="Промышленный",LEFT(I4212,18)="Порошок стиральный",F4212="Продажа",B4212=DATE(2023,6,7)),E4212*J4212/1000,0)</f>
        <v/>
      </c>
    </row>
    <row r="4213">
      <c r="A4213" t="n">
        <v>4212</v>
      </c>
      <c r="B4213" s="1" t="n">
        <v>45091</v>
      </c>
      <c r="C4213" s="5" t="inlineStr">
        <is>
          <t>M3</t>
        </is>
      </c>
      <c r="D4213" s="5" t="n">
        <v>48</v>
      </c>
      <c r="E4213" s="5" t="n">
        <v>175</v>
      </c>
      <c r="F4213" t="inlineStr">
        <is>
          <t>Продажа</t>
        </is>
      </c>
      <c r="H4213">
        <f>VLOOKUP(C4213,Магазин!$A$2:$C$1000,2,0)</f>
        <v/>
      </c>
      <c r="I4213">
        <f>VLOOKUP(D4213,Товар!$A$2:$F$1000,3,0)</f>
        <v/>
      </c>
      <c r="J4213">
        <f>VLOOKUP(D4213,Товар!$A$2:$F$1000,5,0)</f>
        <v/>
      </c>
      <c r="K4213">
        <f>IF(AND(H4213="Промышленный",LEFT(I4213,18)="Порошок стиральный",F4213="Продажа",B4213=DATE(2023,6,7)),E4213*J4213/1000,0)</f>
        <v/>
      </c>
    </row>
    <row r="4214">
      <c r="A4214" t="n">
        <v>4213</v>
      </c>
      <c r="B4214" s="1" t="n">
        <v>45091</v>
      </c>
      <c r="C4214" s="5" t="inlineStr">
        <is>
          <t>M3</t>
        </is>
      </c>
      <c r="D4214" s="5" t="n">
        <v>49</v>
      </c>
      <c r="E4214" s="5" t="n">
        <v>114</v>
      </c>
      <c r="F4214" t="inlineStr">
        <is>
          <t>Продажа</t>
        </is>
      </c>
      <c r="H4214">
        <f>VLOOKUP(C4214,Магазин!$A$2:$C$1000,2,0)</f>
        <v/>
      </c>
      <c r="I4214">
        <f>VLOOKUP(D4214,Товар!$A$2:$F$1000,3,0)</f>
        <v/>
      </c>
      <c r="J4214">
        <f>VLOOKUP(D4214,Товар!$A$2:$F$1000,5,0)</f>
        <v/>
      </c>
      <c r="K4214">
        <f>IF(AND(H4214="Промышленный",LEFT(I4214,18)="Порошок стиральный",F4214="Продажа",B4214=DATE(2023,6,7)),E4214*J4214/1000,0)</f>
        <v/>
      </c>
    </row>
    <row r="4215">
      <c r="A4215" t="n">
        <v>4214</v>
      </c>
      <c r="B4215" s="1" t="n">
        <v>45091</v>
      </c>
      <c r="C4215" s="5" t="inlineStr">
        <is>
          <t>M3</t>
        </is>
      </c>
      <c r="D4215" s="5" t="n">
        <v>50</v>
      </c>
      <c r="E4215" s="5" t="n">
        <v>139</v>
      </c>
      <c r="F4215" t="inlineStr">
        <is>
          <t>Продажа</t>
        </is>
      </c>
      <c r="H4215">
        <f>VLOOKUP(C4215,Магазин!$A$2:$C$1000,2,0)</f>
        <v/>
      </c>
      <c r="I4215">
        <f>VLOOKUP(D4215,Товар!$A$2:$F$1000,3,0)</f>
        <v/>
      </c>
      <c r="J4215">
        <f>VLOOKUP(D4215,Товар!$A$2:$F$1000,5,0)</f>
        <v/>
      </c>
      <c r="K4215">
        <f>IF(AND(H4215="Промышленный",LEFT(I4215,18)="Порошок стиральный",F4215="Продажа",B4215=DATE(2023,6,7)),E4215*J4215/1000,0)</f>
        <v/>
      </c>
    </row>
    <row r="4216">
      <c r="A4216" t="n">
        <v>4215</v>
      </c>
      <c r="B4216" s="1" t="n">
        <v>45091</v>
      </c>
      <c r="C4216" s="5" t="inlineStr">
        <is>
          <t>M3</t>
        </is>
      </c>
      <c r="D4216" s="5" t="n">
        <v>51</v>
      </c>
      <c r="E4216" s="5" t="n">
        <v>141</v>
      </c>
      <c r="F4216" t="inlineStr">
        <is>
          <t>Продажа</t>
        </is>
      </c>
      <c r="H4216">
        <f>VLOOKUP(C4216,Магазин!$A$2:$C$1000,2,0)</f>
        <v/>
      </c>
      <c r="I4216">
        <f>VLOOKUP(D4216,Товар!$A$2:$F$1000,3,0)</f>
        <v/>
      </c>
      <c r="J4216">
        <f>VLOOKUP(D4216,Товар!$A$2:$F$1000,5,0)</f>
        <v/>
      </c>
      <c r="K4216">
        <f>IF(AND(H4216="Промышленный",LEFT(I4216,18)="Порошок стиральный",F4216="Продажа",B4216=DATE(2023,6,7)),E4216*J4216/1000,0)</f>
        <v/>
      </c>
    </row>
    <row r="4217">
      <c r="A4217" t="n">
        <v>4216</v>
      </c>
      <c r="B4217" s="1" t="n">
        <v>45091</v>
      </c>
      <c r="C4217" s="5" t="inlineStr">
        <is>
          <t>M3</t>
        </is>
      </c>
      <c r="D4217" s="5" t="n">
        <v>52</v>
      </c>
      <c r="E4217" s="5" t="n">
        <v>122</v>
      </c>
      <c r="F4217" t="inlineStr">
        <is>
          <t>Продажа</t>
        </is>
      </c>
      <c r="H4217">
        <f>VLOOKUP(C4217,Магазин!$A$2:$C$1000,2,0)</f>
        <v/>
      </c>
      <c r="I4217">
        <f>VLOOKUP(D4217,Товар!$A$2:$F$1000,3,0)</f>
        <v/>
      </c>
      <c r="J4217">
        <f>VLOOKUP(D4217,Товар!$A$2:$F$1000,5,0)</f>
        <v/>
      </c>
      <c r="K4217">
        <f>IF(AND(H4217="Промышленный",LEFT(I4217,18)="Порошок стиральный",F4217="Продажа",B4217=DATE(2023,6,7)),E4217*J4217/1000,0)</f>
        <v/>
      </c>
    </row>
    <row r="4218">
      <c r="A4218" t="n">
        <v>4217</v>
      </c>
      <c r="B4218" s="1" t="n">
        <v>45091</v>
      </c>
      <c r="C4218" s="5" t="inlineStr">
        <is>
          <t>M3</t>
        </is>
      </c>
      <c r="D4218" s="5" t="n">
        <v>53</v>
      </c>
      <c r="E4218" s="5" t="n">
        <v>123</v>
      </c>
      <c r="F4218" t="inlineStr">
        <is>
          <t>Продажа</t>
        </is>
      </c>
      <c r="H4218">
        <f>VLOOKUP(C4218,Магазин!$A$2:$C$1000,2,0)</f>
        <v/>
      </c>
      <c r="I4218">
        <f>VLOOKUP(D4218,Товар!$A$2:$F$1000,3,0)</f>
        <v/>
      </c>
      <c r="J4218">
        <f>VLOOKUP(D4218,Товар!$A$2:$F$1000,5,0)</f>
        <v/>
      </c>
      <c r="K4218">
        <f>IF(AND(H4218="Промышленный",LEFT(I4218,18)="Порошок стиральный",F4218="Продажа",B4218=DATE(2023,6,7)),E4218*J4218/1000,0)</f>
        <v/>
      </c>
    </row>
    <row r="4219">
      <c r="A4219" t="n">
        <v>4218</v>
      </c>
      <c r="B4219" s="1" t="n">
        <v>45091</v>
      </c>
      <c r="C4219" s="5" t="inlineStr">
        <is>
          <t>M3</t>
        </is>
      </c>
      <c r="D4219" s="5" t="n">
        <v>54</v>
      </c>
      <c r="E4219" s="5" t="n">
        <v>158</v>
      </c>
      <c r="F4219" t="inlineStr">
        <is>
          <t>Продажа</t>
        </is>
      </c>
      <c r="H4219">
        <f>VLOOKUP(C4219,Магазин!$A$2:$C$1000,2,0)</f>
        <v/>
      </c>
      <c r="I4219">
        <f>VLOOKUP(D4219,Товар!$A$2:$F$1000,3,0)</f>
        <v/>
      </c>
      <c r="J4219">
        <f>VLOOKUP(D4219,Товар!$A$2:$F$1000,5,0)</f>
        <v/>
      </c>
      <c r="K4219">
        <f>IF(AND(H4219="Промышленный",LEFT(I4219,18)="Порошок стиральный",F4219="Продажа",B4219=DATE(2023,6,7)),E4219*J4219/1000,0)</f>
        <v/>
      </c>
    </row>
    <row r="4220">
      <c r="A4220" t="n">
        <v>4219</v>
      </c>
      <c r="B4220" s="1" t="n">
        <v>45091</v>
      </c>
      <c r="C4220" s="5" t="inlineStr">
        <is>
          <t>M3</t>
        </is>
      </c>
      <c r="D4220" s="5" t="n">
        <v>55</v>
      </c>
      <c r="E4220" s="5" t="n">
        <v>146</v>
      </c>
      <c r="F4220" t="inlineStr">
        <is>
          <t>Продажа</t>
        </is>
      </c>
      <c r="H4220">
        <f>VLOOKUP(C4220,Магазин!$A$2:$C$1000,2,0)</f>
        <v/>
      </c>
      <c r="I4220">
        <f>VLOOKUP(D4220,Товар!$A$2:$F$1000,3,0)</f>
        <v/>
      </c>
      <c r="J4220">
        <f>VLOOKUP(D4220,Товар!$A$2:$F$1000,5,0)</f>
        <v/>
      </c>
      <c r="K4220">
        <f>IF(AND(H4220="Промышленный",LEFT(I4220,18)="Порошок стиральный",F4220="Продажа",B4220=DATE(2023,6,7)),E4220*J4220/1000,0)</f>
        <v/>
      </c>
    </row>
    <row r="4221">
      <c r="A4221" t="n">
        <v>4220</v>
      </c>
      <c r="B4221" s="1" t="n">
        <v>45091</v>
      </c>
      <c r="C4221" s="5" t="inlineStr">
        <is>
          <t>M3</t>
        </is>
      </c>
      <c r="D4221" s="5" t="n">
        <v>56</v>
      </c>
      <c r="E4221" s="5" t="n">
        <v>147</v>
      </c>
      <c r="F4221" t="inlineStr">
        <is>
          <t>Продажа</t>
        </is>
      </c>
      <c r="H4221">
        <f>VLOOKUP(C4221,Магазин!$A$2:$C$1000,2,0)</f>
        <v/>
      </c>
      <c r="I4221">
        <f>VLOOKUP(D4221,Товар!$A$2:$F$1000,3,0)</f>
        <v/>
      </c>
      <c r="J4221">
        <f>VLOOKUP(D4221,Товар!$A$2:$F$1000,5,0)</f>
        <v/>
      </c>
      <c r="K4221">
        <f>IF(AND(H4221="Промышленный",LEFT(I4221,18)="Порошок стиральный",F4221="Продажа",B4221=DATE(2023,6,7)),E4221*J4221/1000,0)</f>
        <v/>
      </c>
    </row>
    <row r="4222">
      <c r="A4222" t="n">
        <v>4221</v>
      </c>
      <c r="B4222" s="1" t="n">
        <v>45091</v>
      </c>
      <c r="C4222" s="5" t="inlineStr">
        <is>
          <t>M3</t>
        </is>
      </c>
      <c r="D4222" s="5" t="n">
        <v>57</v>
      </c>
      <c r="E4222" s="5" t="n">
        <v>169</v>
      </c>
      <c r="F4222" t="inlineStr">
        <is>
          <t>Продажа</t>
        </is>
      </c>
      <c r="H4222">
        <f>VLOOKUP(C4222,Магазин!$A$2:$C$1000,2,0)</f>
        <v/>
      </c>
      <c r="I4222">
        <f>VLOOKUP(D4222,Товар!$A$2:$F$1000,3,0)</f>
        <v/>
      </c>
      <c r="J4222">
        <f>VLOOKUP(D4222,Товар!$A$2:$F$1000,5,0)</f>
        <v/>
      </c>
      <c r="K4222">
        <f>IF(AND(H4222="Промышленный",LEFT(I4222,18)="Порошок стиральный",F4222="Продажа",B4222=DATE(2023,6,7)),E4222*J4222/1000,0)</f>
        <v/>
      </c>
    </row>
    <row r="4223">
      <c r="A4223" t="n">
        <v>4222</v>
      </c>
      <c r="B4223" s="1" t="n">
        <v>45091</v>
      </c>
      <c r="C4223" s="5" t="inlineStr">
        <is>
          <t>M3</t>
        </is>
      </c>
      <c r="D4223" s="5" t="n">
        <v>58</v>
      </c>
      <c r="E4223" s="5" t="n">
        <v>199</v>
      </c>
      <c r="F4223" t="inlineStr">
        <is>
          <t>Продажа</t>
        </is>
      </c>
      <c r="H4223">
        <f>VLOOKUP(C4223,Магазин!$A$2:$C$1000,2,0)</f>
        <v/>
      </c>
      <c r="I4223">
        <f>VLOOKUP(D4223,Товар!$A$2:$F$1000,3,0)</f>
        <v/>
      </c>
      <c r="J4223">
        <f>VLOOKUP(D4223,Товар!$A$2:$F$1000,5,0)</f>
        <v/>
      </c>
      <c r="K4223">
        <f>IF(AND(H4223="Промышленный",LEFT(I4223,18)="Порошок стиральный",F4223="Продажа",B4223=DATE(2023,6,7)),E4223*J4223/1000,0)</f>
        <v/>
      </c>
    </row>
    <row r="4224">
      <c r="A4224" t="n">
        <v>4223</v>
      </c>
      <c r="B4224" s="1" t="n">
        <v>45091</v>
      </c>
      <c r="C4224" s="5" t="inlineStr">
        <is>
          <t>M3</t>
        </is>
      </c>
      <c r="D4224" s="5" t="n">
        <v>59</v>
      </c>
      <c r="E4224" s="5" t="n">
        <v>147</v>
      </c>
      <c r="F4224" t="inlineStr">
        <is>
          <t>Продажа</t>
        </is>
      </c>
      <c r="H4224">
        <f>VLOOKUP(C4224,Магазин!$A$2:$C$1000,2,0)</f>
        <v/>
      </c>
      <c r="I4224">
        <f>VLOOKUP(D4224,Товар!$A$2:$F$1000,3,0)</f>
        <v/>
      </c>
      <c r="J4224">
        <f>VLOOKUP(D4224,Товар!$A$2:$F$1000,5,0)</f>
        <v/>
      </c>
      <c r="K4224">
        <f>IF(AND(H4224="Промышленный",LEFT(I4224,18)="Порошок стиральный",F4224="Продажа",B4224=DATE(2023,6,7)),E4224*J4224/1000,0)</f>
        <v/>
      </c>
    </row>
    <row r="4225">
      <c r="A4225" t="n">
        <v>4224</v>
      </c>
      <c r="B4225" s="1" t="n">
        <v>45091</v>
      </c>
      <c r="C4225" s="5" t="inlineStr">
        <is>
          <t>M3</t>
        </is>
      </c>
      <c r="D4225" s="5" t="n">
        <v>60</v>
      </c>
      <c r="E4225" s="5" t="n">
        <v>138</v>
      </c>
      <c r="F4225" t="inlineStr">
        <is>
          <t>Продажа</t>
        </is>
      </c>
      <c r="H4225">
        <f>VLOOKUP(C4225,Магазин!$A$2:$C$1000,2,0)</f>
        <v/>
      </c>
      <c r="I4225">
        <f>VLOOKUP(D4225,Товар!$A$2:$F$1000,3,0)</f>
        <v/>
      </c>
      <c r="J4225">
        <f>VLOOKUP(D4225,Товар!$A$2:$F$1000,5,0)</f>
        <v/>
      </c>
      <c r="K4225">
        <f>IF(AND(H4225="Промышленный",LEFT(I4225,18)="Порошок стиральный",F4225="Продажа",B4225=DATE(2023,6,7)),E4225*J4225/1000,0)</f>
        <v/>
      </c>
    </row>
    <row r="4226">
      <c r="A4226" t="n">
        <v>4225</v>
      </c>
      <c r="B4226" s="1" t="n">
        <v>45091</v>
      </c>
      <c r="C4226" s="5" t="inlineStr">
        <is>
          <t>M9</t>
        </is>
      </c>
      <c r="D4226" s="5" t="n">
        <v>37</v>
      </c>
      <c r="E4226" s="5" t="n">
        <v>129</v>
      </c>
      <c r="F4226" t="inlineStr">
        <is>
          <t>Продажа</t>
        </is>
      </c>
      <c r="H4226">
        <f>VLOOKUP(C4226,Магазин!$A$2:$C$1000,2,0)</f>
        <v/>
      </c>
      <c r="I4226">
        <f>VLOOKUP(D4226,Товар!$A$2:$F$1000,3,0)</f>
        <v/>
      </c>
      <c r="J4226">
        <f>VLOOKUP(D4226,Товар!$A$2:$F$1000,5,0)</f>
        <v/>
      </c>
      <c r="K4226">
        <f>IF(AND(H4226="Промышленный",LEFT(I4226,18)="Порошок стиральный",F4226="Продажа",B4226=DATE(2023,6,7)),E4226*J4226/1000,0)</f>
        <v/>
      </c>
    </row>
    <row r="4227">
      <c r="A4227" t="n">
        <v>4226</v>
      </c>
      <c r="B4227" s="1" t="n">
        <v>45091</v>
      </c>
      <c r="C4227" s="5" t="inlineStr">
        <is>
          <t>M9</t>
        </is>
      </c>
      <c r="D4227" s="5" t="n">
        <v>38</v>
      </c>
      <c r="E4227" s="5" t="n">
        <v>191</v>
      </c>
      <c r="F4227" t="inlineStr">
        <is>
          <t>Продажа</t>
        </is>
      </c>
      <c r="H4227">
        <f>VLOOKUP(C4227,Магазин!$A$2:$C$1000,2,0)</f>
        <v/>
      </c>
      <c r="I4227">
        <f>VLOOKUP(D4227,Товар!$A$2:$F$1000,3,0)</f>
        <v/>
      </c>
      <c r="J4227">
        <f>VLOOKUP(D4227,Товар!$A$2:$F$1000,5,0)</f>
        <v/>
      </c>
      <c r="K4227">
        <f>IF(AND(H4227="Промышленный",LEFT(I4227,18)="Порошок стиральный",F4227="Продажа",B4227=DATE(2023,6,7)),E4227*J4227/1000,0)</f>
        <v/>
      </c>
    </row>
    <row r="4228">
      <c r="A4228" t="n">
        <v>4227</v>
      </c>
      <c r="B4228" s="1" t="n">
        <v>45091</v>
      </c>
      <c r="C4228" s="5" t="inlineStr">
        <is>
          <t>M9</t>
        </is>
      </c>
      <c r="D4228" s="5" t="n">
        <v>39</v>
      </c>
      <c r="E4228" s="5" t="n">
        <v>155</v>
      </c>
      <c r="F4228" t="inlineStr">
        <is>
          <t>Продажа</t>
        </is>
      </c>
      <c r="H4228">
        <f>VLOOKUP(C4228,Магазин!$A$2:$C$1000,2,0)</f>
        <v/>
      </c>
      <c r="I4228">
        <f>VLOOKUP(D4228,Товар!$A$2:$F$1000,3,0)</f>
        <v/>
      </c>
      <c r="J4228">
        <f>VLOOKUP(D4228,Товар!$A$2:$F$1000,5,0)</f>
        <v/>
      </c>
      <c r="K4228">
        <f>IF(AND(H4228="Промышленный",LEFT(I4228,18)="Порошок стиральный",F4228="Продажа",B4228=DATE(2023,6,7)),E4228*J4228/1000,0)</f>
        <v/>
      </c>
    </row>
    <row r="4229">
      <c r="A4229" t="n">
        <v>4228</v>
      </c>
      <c r="B4229" s="1" t="n">
        <v>45091</v>
      </c>
      <c r="C4229" s="5" t="inlineStr">
        <is>
          <t>M9</t>
        </is>
      </c>
      <c r="D4229" s="5" t="n">
        <v>40</v>
      </c>
      <c r="E4229" s="5" t="n">
        <v>143</v>
      </c>
      <c r="F4229" t="inlineStr">
        <is>
          <t>Продажа</t>
        </is>
      </c>
      <c r="H4229">
        <f>VLOOKUP(C4229,Магазин!$A$2:$C$1000,2,0)</f>
        <v/>
      </c>
      <c r="I4229">
        <f>VLOOKUP(D4229,Товар!$A$2:$F$1000,3,0)</f>
        <v/>
      </c>
      <c r="J4229">
        <f>VLOOKUP(D4229,Товар!$A$2:$F$1000,5,0)</f>
        <v/>
      </c>
      <c r="K4229">
        <f>IF(AND(H4229="Промышленный",LEFT(I4229,18)="Порошок стиральный",F4229="Продажа",B4229=DATE(2023,6,7)),E4229*J4229/1000,0)</f>
        <v/>
      </c>
    </row>
    <row r="4230">
      <c r="A4230" t="n">
        <v>4229</v>
      </c>
      <c r="B4230" s="1" t="n">
        <v>45091</v>
      </c>
      <c r="C4230" s="5" t="inlineStr">
        <is>
          <t>M9</t>
        </is>
      </c>
      <c r="D4230" s="5" t="n">
        <v>41</v>
      </c>
      <c r="E4230" s="5" t="n">
        <v>178</v>
      </c>
      <c r="F4230" t="inlineStr">
        <is>
          <t>Продажа</t>
        </is>
      </c>
      <c r="H4230">
        <f>VLOOKUP(C4230,Магазин!$A$2:$C$1000,2,0)</f>
        <v/>
      </c>
      <c r="I4230">
        <f>VLOOKUP(D4230,Товар!$A$2:$F$1000,3,0)</f>
        <v/>
      </c>
      <c r="J4230">
        <f>VLOOKUP(D4230,Товар!$A$2:$F$1000,5,0)</f>
        <v/>
      </c>
      <c r="K4230">
        <f>IF(AND(H4230="Промышленный",LEFT(I4230,18)="Порошок стиральный",F4230="Продажа",B4230=DATE(2023,6,7)),E4230*J4230/1000,0)</f>
        <v/>
      </c>
    </row>
    <row r="4231">
      <c r="A4231" t="n">
        <v>4230</v>
      </c>
      <c r="B4231" s="1" t="n">
        <v>45091</v>
      </c>
      <c r="C4231" s="5" t="inlineStr">
        <is>
          <t>M9</t>
        </is>
      </c>
      <c r="D4231" s="5" t="n">
        <v>42</v>
      </c>
      <c r="E4231" s="5" t="n">
        <v>146</v>
      </c>
      <c r="F4231" t="inlineStr">
        <is>
          <t>Продажа</t>
        </is>
      </c>
      <c r="H4231">
        <f>VLOOKUP(C4231,Магазин!$A$2:$C$1000,2,0)</f>
        <v/>
      </c>
      <c r="I4231">
        <f>VLOOKUP(D4231,Товар!$A$2:$F$1000,3,0)</f>
        <v/>
      </c>
      <c r="J4231">
        <f>VLOOKUP(D4231,Товар!$A$2:$F$1000,5,0)</f>
        <v/>
      </c>
      <c r="K4231">
        <f>IF(AND(H4231="Промышленный",LEFT(I4231,18)="Порошок стиральный",F4231="Продажа",B4231=DATE(2023,6,7)),E4231*J4231/1000,0)</f>
        <v/>
      </c>
    </row>
    <row r="4232">
      <c r="A4232" t="n">
        <v>4231</v>
      </c>
      <c r="B4232" s="1" t="n">
        <v>45091</v>
      </c>
      <c r="C4232" s="5" t="inlineStr">
        <is>
          <t>M9</t>
        </is>
      </c>
      <c r="D4232" s="5" t="n">
        <v>43</v>
      </c>
      <c r="E4232" s="5" t="n">
        <v>128</v>
      </c>
      <c r="F4232" t="inlineStr">
        <is>
          <t>Продажа</t>
        </is>
      </c>
      <c r="H4232">
        <f>VLOOKUP(C4232,Магазин!$A$2:$C$1000,2,0)</f>
        <v/>
      </c>
      <c r="I4232">
        <f>VLOOKUP(D4232,Товар!$A$2:$F$1000,3,0)</f>
        <v/>
      </c>
      <c r="J4232">
        <f>VLOOKUP(D4232,Товар!$A$2:$F$1000,5,0)</f>
        <v/>
      </c>
      <c r="K4232">
        <f>IF(AND(H4232="Промышленный",LEFT(I4232,18)="Порошок стиральный",F4232="Продажа",B4232=DATE(2023,6,7)),E4232*J4232/1000,0)</f>
        <v/>
      </c>
    </row>
    <row r="4233">
      <c r="A4233" t="n">
        <v>4232</v>
      </c>
      <c r="B4233" s="1" t="n">
        <v>45091</v>
      </c>
      <c r="C4233" s="5" t="inlineStr">
        <is>
          <t>M9</t>
        </is>
      </c>
      <c r="D4233" s="5" t="n">
        <v>44</v>
      </c>
      <c r="E4233" s="5" t="n">
        <v>191</v>
      </c>
      <c r="F4233" t="inlineStr">
        <is>
          <t>Продажа</t>
        </is>
      </c>
      <c r="H4233">
        <f>VLOOKUP(C4233,Магазин!$A$2:$C$1000,2,0)</f>
        <v/>
      </c>
      <c r="I4233">
        <f>VLOOKUP(D4233,Товар!$A$2:$F$1000,3,0)</f>
        <v/>
      </c>
      <c r="J4233">
        <f>VLOOKUP(D4233,Товар!$A$2:$F$1000,5,0)</f>
        <v/>
      </c>
      <c r="K4233">
        <f>IF(AND(H4233="Промышленный",LEFT(I4233,18)="Порошок стиральный",F4233="Продажа",B4233=DATE(2023,6,7)),E4233*J4233/1000,0)</f>
        <v/>
      </c>
    </row>
    <row r="4234">
      <c r="A4234" t="n">
        <v>4233</v>
      </c>
      <c r="B4234" s="1" t="n">
        <v>45091</v>
      </c>
      <c r="C4234" s="5" t="inlineStr">
        <is>
          <t>M9</t>
        </is>
      </c>
      <c r="D4234" s="5" t="n">
        <v>45</v>
      </c>
      <c r="E4234" s="5" t="n">
        <v>165</v>
      </c>
      <c r="F4234" t="inlineStr">
        <is>
          <t>Продажа</t>
        </is>
      </c>
      <c r="H4234">
        <f>VLOOKUP(C4234,Магазин!$A$2:$C$1000,2,0)</f>
        <v/>
      </c>
      <c r="I4234">
        <f>VLOOKUP(D4234,Товар!$A$2:$F$1000,3,0)</f>
        <v/>
      </c>
      <c r="J4234">
        <f>VLOOKUP(D4234,Товар!$A$2:$F$1000,5,0)</f>
        <v/>
      </c>
      <c r="K4234">
        <f>IF(AND(H4234="Промышленный",LEFT(I4234,18)="Порошок стиральный",F4234="Продажа",B4234=DATE(2023,6,7)),E4234*J4234/1000,0)</f>
        <v/>
      </c>
    </row>
    <row r="4235">
      <c r="A4235" t="n">
        <v>4234</v>
      </c>
      <c r="B4235" s="1" t="n">
        <v>45091</v>
      </c>
      <c r="C4235" s="5" t="inlineStr">
        <is>
          <t>M9</t>
        </is>
      </c>
      <c r="D4235" s="5" t="n">
        <v>46</v>
      </c>
      <c r="E4235" s="5" t="n">
        <v>167</v>
      </c>
      <c r="F4235" t="inlineStr">
        <is>
          <t>Продажа</t>
        </is>
      </c>
      <c r="H4235">
        <f>VLOOKUP(C4235,Магазин!$A$2:$C$1000,2,0)</f>
        <v/>
      </c>
      <c r="I4235">
        <f>VLOOKUP(D4235,Товар!$A$2:$F$1000,3,0)</f>
        <v/>
      </c>
      <c r="J4235">
        <f>VLOOKUP(D4235,Товар!$A$2:$F$1000,5,0)</f>
        <v/>
      </c>
      <c r="K4235">
        <f>IF(AND(H4235="Промышленный",LEFT(I4235,18)="Порошок стиральный",F4235="Продажа",B4235=DATE(2023,6,7)),E4235*J4235/1000,0)</f>
        <v/>
      </c>
    </row>
    <row r="4236">
      <c r="A4236" t="n">
        <v>4235</v>
      </c>
      <c r="B4236" s="1" t="n">
        <v>45091</v>
      </c>
      <c r="C4236" s="5" t="inlineStr">
        <is>
          <t>M9</t>
        </is>
      </c>
      <c r="D4236" s="5" t="n">
        <v>47</v>
      </c>
      <c r="E4236" s="5" t="n">
        <v>132</v>
      </c>
      <c r="F4236" t="inlineStr">
        <is>
          <t>Продажа</t>
        </is>
      </c>
      <c r="H4236">
        <f>VLOOKUP(C4236,Магазин!$A$2:$C$1000,2,0)</f>
        <v/>
      </c>
      <c r="I4236">
        <f>VLOOKUP(D4236,Товар!$A$2:$F$1000,3,0)</f>
        <v/>
      </c>
      <c r="J4236">
        <f>VLOOKUP(D4236,Товар!$A$2:$F$1000,5,0)</f>
        <v/>
      </c>
      <c r="K4236">
        <f>IF(AND(H4236="Промышленный",LEFT(I4236,18)="Порошок стиральный",F4236="Продажа",B4236=DATE(2023,6,7)),E4236*J4236/1000,0)</f>
        <v/>
      </c>
    </row>
    <row r="4237">
      <c r="A4237" t="n">
        <v>4236</v>
      </c>
      <c r="B4237" s="1" t="n">
        <v>45091</v>
      </c>
      <c r="C4237" s="5" t="inlineStr">
        <is>
          <t>M9</t>
        </is>
      </c>
      <c r="D4237" s="5" t="n">
        <v>48</v>
      </c>
      <c r="E4237" s="5" t="n">
        <v>105</v>
      </c>
      <c r="F4237" t="inlineStr">
        <is>
          <t>Продажа</t>
        </is>
      </c>
      <c r="H4237">
        <f>VLOOKUP(C4237,Магазин!$A$2:$C$1000,2,0)</f>
        <v/>
      </c>
      <c r="I4237">
        <f>VLOOKUP(D4237,Товар!$A$2:$F$1000,3,0)</f>
        <v/>
      </c>
      <c r="J4237">
        <f>VLOOKUP(D4237,Товар!$A$2:$F$1000,5,0)</f>
        <v/>
      </c>
      <c r="K4237">
        <f>IF(AND(H4237="Промышленный",LEFT(I4237,18)="Порошок стиральный",F4237="Продажа",B4237=DATE(2023,6,7)),E4237*J4237/1000,0)</f>
        <v/>
      </c>
    </row>
    <row r="4238">
      <c r="A4238" t="n">
        <v>4237</v>
      </c>
      <c r="B4238" s="1" t="n">
        <v>45091</v>
      </c>
      <c r="C4238" s="5" t="inlineStr">
        <is>
          <t>M9</t>
        </is>
      </c>
      <c r="D4238" s="5" t="n">
        <v>49</v>
      </c>
      <c r="E4238" s="5" t="n">
        <v>114</v>
      </c>
      <c r="F4238" t="inlineStr">
        <is>
          <t>Продажа</t>
        </is>
      </c>
      <c r="H4238">
        <f>VLOOKUP(C4238,Магазин!$A$2:$C$1000,2,0)</f>
        <v/>
      </c>
      <c r="I4238">
        <f>VLOOKUP(D4238,Товар!$A$2:$F$1000,3,0)</f>
        <v/>
      </c>
      <c r="J4238">
        <f>VLOOKUP(D4238,Товар!$A$2:$F$1000,5,0)</f>
        <v/>
      </c>
      <c r="K4238">
        <f>IF(AND(H4238="Промышленный",LEFT(I4238,18)="Порошок стиральный",F4238="Продажа",B4238=DATE(2023,6,7)),E4238*J4238/1000,0)</f>
        <v/>
      </c>
    </row>
    <row r="4239">
      <c r="A4239" t="n">
        <v>4238</v>
      </c>
      <c r="B4239" s="1" t="n">
        <v>45091</v>
      </c>
      <c r="C4239" s="5" t="inlineStr">
        <is>
          <t>M9</t>
        </is>
      </c>
      <c r="D4239" s="5" t="n">
        <v>50</v>
      </c>
      <c r="E4239" s="5" t="n">
        <v>192</v>
      </c>
      <c r="F4239" t="inlineStr">
        <is>
          <t>Продажа</t>
        </is>
      </c>
      <c r="H4239">
        <f>VLOOKUP(C4239,Магазин!$A$2:$C$1000,2,0)</f>
        <v/>
      </c>
      <c r="I4239">
        <f>VLOOKUP(D4239,Товар!$A$2:$F$1000,3,0)</f>
        <v/>
      </c>
      <c r="J4239">
        <f>VLOOKUP(D4239,Товар!$A$2:$F$1000,5,0)</f>
        <v/>
      </c>
      <c r="K4239">
        <f>IF(AND(H4239="Промышленный",LEFT(I4239,18)="Порошок стиральный",F4239="Продажа",B4239=DATE(2023,6,7)),E4239*J4239/1000,0)</f>
        <v/>
      </c>
    </row>
    <row r="4240">
      <c r="A4240" t="n">
        <v>4239</v>
      </c>
      <c r="B4240" s="1" t="n">
        <v>45091</v>
      </c>
      <c r="C4240" s="5" t="inlineStr">
        <is>
          <t>M9</t>
        </is>
      </c>
      <c r="D4240" s="5" t="n">
        <v>51</v>
      </c>
      <c r="E4240" s="5" t="n">
        <v>145</v>
      </c>
      <c r="F4240" t="inlineStr">
        <is>
          <t>Продажа</t>
        </is>
      </c>
      <c r="H4240">
        <f>VLOOKUP(C4240,Магазин!$A$2:$C$1000,2,0)</f>
        <v/>
      </c>
      <c r="I4240">
        <f>VLOOKUP(D4240,Товар!$A$2:$F$1000,3,0)</f>
        <v/>
      </c>
      <c r="J4240">
        <f>VLOOKUP(D4240,Товар!$A$2:$F$1000,5,0)</f>
        <v/>
      </c>
      <c r="K4240">
        <f>IF(AND(H4240="Промышленный",LEFT(I4240,18)="Порошок стиральный",F4240="Продажа",B4240=DATE(2023,6,7)),E4240*J4240/1000,0)</f>
        <v/>
      </c>
    </row>
    <row r="4241">
      <c r="A4241" t="n">
        <v>4240</v>
      </c>
      <c r="B4241" s="1" t="n">
        <v>45091</v>
      </c>
      <c r="C4241" s="5" t="inlineStr">
        <is>
          <t>M9</t>
        </is>
      </c>
      <c r="D4241" s="5" t="n">
        <v>52</v>
      </c>
      <c r="E4241" s="5" t="n">
        <v>163</v>
      </c>
      <c r="F4241" t="inlineStr">
        <is>
          <t>Продажа</t>
        </is>
      </c>
      <c r="H4241">
        <f>VLOOKUP(C4241,Магазин!$A$2:$C$1000,2,0)</f>
        <v/>
      </c>
      <c r="I4241">
        <f>VLOOKUP(D4241,Товар!$A$2:$F$1000,3,0)</f>
        <v/>
      </c>
      <c r="J4241">
        <f>VLOOKUP(D4241,Товар!$A$2:$F$1000,5,0)</f>
        <v/>
      </c>
      <c r="K4241">
        <f>IF(AND(H4241="Промышленный",LEFT(I4241,18)="Порошок стиральный",F4241="Продажа",B4241=DATE(2023,6,7)),E4241*J4241/1000,0)</f>
        <v/>
      </c>
    </row>
    <row r="4242">
      <c r="A4242" t="n">
        <v>4241</v>
      </c>
      <c r="B4242" s="1" t="n">
        <v>45091</v>
      </c>
      <c r="C4242" s="5" t="inlineStr">
        <is>
          <t>M9</t>
        </is>
      </c>
      <c r="D4242" s="5" t="n">
        <v>53</v>
      </c>
      <c r="E4242" s="5" t="n">
        <v>128</v>
      </c>
      <c r="F4242" t="inlineStr">
        <is>
          <t>Продажа</t>
        </is>
      </c>
      <c r="H4242">
        <f>VLOOKUP(C4242,Магазин!$A$2:$C$1000,2,0)</f>
        <v/>
      </c>
      <c r="I4242">
        <f>VLOOKUP(D4242,Товар!$A$2:$F$1000,3,0)</f>
        <v/>
      </c>
      <c r="J4242">
        <f>VLOOKUP(D4242,Товар!$A$2:$F$1000,5,0)</f>
        <v/>
      </c>
      <c r="K4242">
        <f>IF(AND(H4242="Промышленный",LEFT(I4242,18)="Порошок стиральный",F4242="Продажа",B4242=DATE(2023,6,7)),E4242*J4242/1000,0)</f>
        <v/>
      </c>
    </row>
    <row r="4243">
      <c r="A4243" t="n">
        <v>4242</v>
      </c>
      <c r="B4243" s="1" t="n">
        <v>45091</v>
      </c>
      <c r="C4243" s="5" t="inlineStr">
        <is>
          <t>M9</t>
        </is>
      </c>
      <c r="D4243" s="5" t="n">
        <v>54</v>
      </c>
      <c r="E4243" s="5" t="n">
        <v>145</v>
      </c>
      <c r="F4243" t="inlineStr">
        <is>
          <t>Продажа</t>
        </is>
      </c>
      <c r="H4243">
        <f>VLOOKUP(C4243,Магазин!$A$2:$C$1000,2,0)</f>
        <v/>
      </c>
      <c r="I4243">
        <f>VLOOKUP(D4243,Товар!$A$2:$F$1000,3,0)</f>
        <v/>
      </c>
      <c r="J4243">
        <f>VLOOKUP(D4243,Товар!$A$2:$F$1000,5,0)</f>
        <v/>
      </c>
      <c r="K4243">
        <f>IF(AND(H4243="Промышленный",LEFT(I4243,18)="Порошок стиральный",F4243="Продажа",B4243=DATE(2023,6,7)),E4243*J4243/1000,0)</f>
        <v/>
      </c>
    </row>
    <row r="4244">
      <c r="A4244" t="n">
        <v>4243</v>
      </c>
      <c r="B4244" s="1" t="n">
        <v>45091</v>
      </c>
      <c r="C4244" s="5" t="inlineStr">
        <is>
          <t>M9</t>
        </is>
      </c>
      <c r="D4244" s="5" t="n">
        <v>55</v>
      </c>
      <c r="E4244" s="5" t="n">
        <v>138</v>
      </c>
      <c r="F4244" t="inlineStr">
        <is>
          <t>Продажа</t>
        </is>
      </c>
      <c r="H4244">
        <f>VLOOKUP(C4244,Магазин!$A$2:$C$1000,2,0)</f>
        <v/>
      </c>
      <c r="I4244">
        <f>VLOOKUP(D4244,Товар!$A$2:$F$1000,3,0)</f>
        <v/>
      </c>
      <c r="J4244">
        <f>VLOOKUP(D4244,Товар!$A$2:$F$1000,5,0)</f>
        <v/>
      </c>
      <c r="K4244">
        <f>IF(AND(H4244="Промышленный",LEFT(I4244,18)="Порошок стиральный",F4244="Продажа",B4244=DATE(2023,6,7)),E4244*J4244/1000,0)</f>
        <v/>
      </c>
    </row>
    <row r="4245">
      <c r="A4245" t="n">
        <v>4244</v>
      </c>
      <c r="B4245" s="1" t="n">
        <v>45091</v>
      </c>
      <c r="C4245" s="5" t="inlineStr">
        <is>
          <t>M9</t>
        </is>
      </c>
      <c r="D4245" s="5" t="n">
        <v>56</v>
      </c>
      <c r="E4245" s="5" t="n">
        <v>164</v>
      </c>
      <c r="F4245" t="inlineStr">
        <is>
          <t>Продажа</t>
        </is>
      </c>
      <c r="H4245">
        <f>VLOOKUP(C4245,Магазин!$A$2:$C$1000,2,0)</f>
        <v/>
      </c>
      <c r="I4245">
        <f>VLOOKUP(D4245,Товар!$A$2:$F$1000,3,0)</f>
        <v/>
      </c>
      <c r="J4245">
        <f>VLOOKUP(D4245,Товар!$A$2:$F$1000,5,0)</f>
        <v/>
      </c>
      <c r="K4245">
        <f>IF(AND(H4245="Промышленный",LEFT(I4245,18)="Порошок стиральный",F4245="Продажа",B4245=DATE(2023,6,7)),E4245*J4245/1000,0)</f>
        <v/>
      </c>
    </row>
    <row r="4246">
      <c r="A4246" t="n">
        <v>4245</v>
      </c>
      <c r="B4246" s="1" t="n">
        <v>45091</v>
      </c>
      <c r="C4246" s="5" t="inlineStr">
        <is>
          <t>M9</t>
        </is>
      </c>
      <c r="D4246" s="5" t="n">
        <v>57</v>
      </c>
      <c r="E4246" s="5" t="n">
        <v>176</v>
      </c>
      <c r="F4246" t="inlineStr">
        <is>
          <t>Продажа</t>
        </is>
      </c>
      <c r="H4246">
        <f>VLOOKUP(C4246,Магазин!$A$2:$C$1000,2,0)</f>
        <v/>
      </c>
      <c r="I4246">
        <f>VLOOKUP(D4246,Товар!$A$2:$F$1000,3,0)</f>
        <v/>
      </c>
      <c r="J4246">
        <f>VLOOKUP(D4246,Товар!$A$2:$F$1000,5,0)</f>
        <v/>
      </c>
      <c r="K4246">
        <f>IF(AND(H4246="Промышленный",LEFT(I4246,18)="Порошок стиральный",F4246="Продажа",B4246=DATE(2023,6,7)),E4246*J4246/1000,0)</f>
        <v/>
      </c>
    </row>
    <row r="4247">
      <c r="A4247" t="n">
        <v>4246</v>
      </c>
      <c r="B4247" s="1" t="n">
        <v>45091</v>
      </c>
      <c r="C4247" s="5" t="inlineStr">
        <is>
          <t>M9</t>
        </is>
      </c>
      <c r="D4247" s="5" t="n">
        <v>58</v>
      </c>
      <c r="E4247" s="5" t="n">
        <v>128</v>
      </c>
      <c r="F4247" t="inlineStr">
        <is>
          <t>Продажа</t>
        </is>
      </c>
      <c r="H4247">
        <f>VLOOKUP(C4247,Магазин!$A$2:$C$1000,2,0)</f>
        <v/>
      </c>
      <c r="I4247">
        <f>VLOOKUP(D4247,Товар!$A$2:$F$1000,3,0)</f>
        <v/>
      </c>
      <c r="J4247">
        <f>VLOOKUP(D4247,Товар!$A$2:$F$1000,5,0)</f>
        <v/>
      </c>
      <c r="K4247">
        <f>IF(AND(H4247="Промышленный",LEFT(I4247,18)="Порошок стиральный",F4247="Продажа",B4247=DATE(2023,6,7)),E4247*J4247/1000,0)</f>
        <v/>
      </c>
    </row>
    <row r="4248">
      <c r="A4248" t="n">
        <v>4247</v>
      </c>
      <c r="B4248" s="1" t="n">
        <v>45091</v>
      </c>
      <c r="C4248" s="5" t="inlineStr">
        <is>
          <t>M9</t>
        </is>
      </c>
      <c r="D4248" s="5" t="n">
        <v>59</v>
      </c>
      <c r="E4248" s="5" t="n">
        <v>146</v>
      </c>
      <c r="F4248" t="inlineStr">
        <is>
          <t>Продажа</t>
        </is>
      </c>
      <c r="H4248">
        <f>VLOOKUP(C4248,Магазин!$A$2:$C$1000,2,0)</f>
        <v/>
      </c>
      <c r="I4248">
        <f>VLOOKUP(D4248,Товар!$A$2:$F$1000,3,0)</f>
        <v/>
      </c>
      <c r="J4248">
        <f>VLOOKUP(D4248,Товар!$A$2:$F$1000,5,0)</f>
        <v/>
      </c>
      <c r="K4248">
        <f>IF(AND(H4248="Промышленный",LEFT(I4248,18)="Порошок стиральный",F4248="Продажа",B4248=DATE(2023,6,7)),E4248*J4248/1000,0)</f>
        <v/>
      </c>
    </row>
    <row r="4249">
      <c r="A4249" t="n">
        <v>4248</v>
      </c>
      <c r="B4249" s="1" t="n">
        <v>45091</v>
      </c>
      <c r="C4249" s="5" t="inlineStr">
        <is>
          <t>M9</t>
        </is>
      </c>
      <c r="D4249" s="5" t="n">
        <v>60</v>
      </c>
      <c r="E4249" s="5" t="n">
        <v>173</v>
      </c>
      <c r="F4249" t="inlineStr">
        <is>
          <t>Продажа</t>
        </is>
      </c>
      <c r="H4249">
        <f>VLOOKUP(C4249,Магазин!$A$2:$C$1000,2,0)</f>
        <v/>
      </c>
      <c r="I4249">
        <f>VLOOKUP(D4249,Товар!$A$2:$F$1000,3,0)</f>
        <v/>
      </c>
      <c r="J4249">
        <f>VLOOKUP(D4249,Товар!$A$2:$F$1000,5,0)</f>
        <v/>
      </c>
      <c r="K4249">
        <f>IF(AND(H4249="Промышленный",LEFT(I4249,18)="Порошок стиральный",F4249="Продажа",B4249=DATE(2023,6,7)),E4249*J4249/1000,0)</f>
        <v/>
      </c>
    </row>
    <row r="4250">
      <c r="A4250" t="n">
        <v>4249</v>
      </c>
      <c r="B4250" s="1" t="n">
        <v>45091</v>
      </c>
      <c r="C4250" s="5" t="inlineStr">
        <is>
          <t>M11</t>
        </is>
      </c>
      <c r="D4250" s="5" t="n">
        <v>37</v>
      </c>
      <c r="E4250" s="5" t="n">
        <v>180</v>
      </c>
      <c r="F4250" t="inlineStr">
        <is>
          <t>Продажа</t>
        </is>
      </c>
      <c r="H4250">
        <f>VLOOKUP(C4250,Магазин!$A$2:$C$1000,2,0)</f>
        <v/>
      </c>
      <c r="I4250">
        <f>VLOOKUP(D4250,Товар!$A$2:$F$1000,3,0)</f>
        <v/>
      </c>
      <c r="J4250">
        <f>VLOOKUP(D4250,Товар!$A$2:$F$1000,5,0)</f>
        <v/>
      </c>
      <c r="K4250">
        <f>IF(AND(H4250="Промышленный",LEFT(I4250,18)="Порошок стиральный",F4250="Продажа",B4250=DATE(2023,6,7)),E4250*J4250/1000,0)</f>
        <v/>
      </c>
    </row>
    <row r="4251">
      <c r="A4251" t="n">
        <v>4250</v>
      </c>
      <c r="B4251" s="1" t="n">
        <v>45091</v>
      </c>
      <c r="C4251" s="5" t="inlineStr">
        <is>
          <t>M11</t>
        </is>
      </c>
      <c r="D4251" s="5" t="n">
        <v>38</v>
      </c>
      <c r="E4251" s="5" t="n">
        <v>142</v>
      </c>
      <c r="F4251" t="inlineStr">
        <is>
          <t>Продажа</t>
        </is>
      </c>
      <c r="H4251">
        <f>VLOOKUP(C4251,Магазин!$A$2:$C$1000,2,0)</f>
        <v/>
      </c>
      <c r="I4251">
        <f>VLOOKUP(D4251,Товар!$A$2:$F$1000,3,0)</f>
        <v/>
      </c>
      <c r="J4251">
        <f>VLOOKUP(D4251,Товар!$A$2:$F$1000,5,0)</f>
        <v/>
      </c>
      <c r="K4251">
        <f>IF(AND(H4251="Промышленный",LEFT(I4251,18)="Порошок стиральный",F4251="Продажа",B4251=DATE(2023,6,7)),E4251*J4251/1000,0)</f>
        <v/>
      </c>
    </row>
    <row r="4252">
      <c r="A4252" t="n">
        <v>4251</v>
      </c>
      <c r="B4252" s="1" t="n">
        <v>45091</v>
      </c>
      <c r="C4252" s="5" t="inlineStr">
        <is>
          <t>M11</t>
        </is>
      </c>
      <c r="D4252" s="5" t="n">
        <v>39</v>
      </c>
      <c r="E4252" s="5" t="n">
        <v>156</v>
      </c>
      <c r="F4252" t="inlineStr">
        <is>
          <t>Продажа</t>
        </is>
      </c>
      <c r="H4252">
        <f>VLOOKUP(C4252,Магазин!$A$2:$C$1000,2,0)</f>
        <v/>
      </c>
      <c r="I4252">
        <f>VLOOKUP(D4252,Товар!$A$2:$F$1000,3,0)</f>
        <v/>
      </c>
      <c r="J4252">
        <f>VLOOKUP(D4252,Товар!$A$2:$F$1000,5,0)</f>
        <v/>
      </c>
      <c r="K4252">
        <f>IF(AND(H4252="Промышленный",LEFT(I4252,18)="Порошок стиральный",F4252="Продажа",B4252=DATE(2023,6,7)),E4252*J4252/1000,0)</f>
        <v/>
      </c>
    </row>
    <row r="4253">
      <c r="A4253" t="n">
        <v>4252</v>
      </c>
      <c r="B4253" s="1" t="n">
        <v>45091</v>
      </c>
      <c r="C4253" s="5" t="inlineStr">
        <is>
          <t>M11</t>
        </is>
      </c>
      <c r="D4253" s="5" t="n">
        <v>40</v>
      </c>
      <c r="E4253" s="5" t="n">
        <v>144</v>
      </c>
      <c r="F4253" t="inlineStr">
        <is>
          <t>Продажа</t>
        </is>
      </c>
      <c r="H4253">
        <f>VLOOKUP(C4253,Магазин!$A$2:$C$1000,2,0)</f>
        <v/>
      </c>
      <c r="I4253">
        <f>VLOOKUP(D4253,Товар!$A$2:$F$1000,3,0)</f>
        <v/>
      </c>
      <c r="J4253">
        <f>VLOOKUP(D4253,Товар!$A$2:$F$1000,5,0)</f>
        <v/>
      </c>
      <c r="K4253">
        <f>IF(AND(H4253="Промышленный",LEFT(I4253,18)="Порошок стиральный",F4253="Продажа",B4253=DATE(2023,6,7)),E4253*J4253/1000,0)</f>
        <v/>
      </c>
    </row>
    <row r="4254">
      <c r="A4254" t="n">
        <v>4253</v>
      </c>
      <c r="B4254" s="1" t="n">
        <v>45091</v>
      </c>
      <c r="C4254" s="5" t="inlineStr">
        <is>
          <t>M11</t>
        </is>
      </c>
      <c r="D4254" s="5" t="n">
        <v>41</v>
      </c>
      <c r="E4254" s="5" t="n">
        <v>178</v>
      </c>
      <c r="F4254" t="inlineStr">
        <is>
          <t>Продажа</t>
        </is>
      </c>
      <c r="H4254">
        <f>VLOOKUP(C4254,Магазин!$A$2:$C$1000,2,0)</f>
        <v/>
      </c>
      <c r="I4254">
        <f>VLOOKUP(D4254,Товар!$A$2:$F$1000,3,0)</f>
        <v/>
      </c>
      <c r="J4254">
        <f>VLOOKUP(D4254,Товар!$A$2:$F$1000,5,0)</f>
        <v/>
      </c>
      <c r="K4254">
        <f>IF(AND(H4254="Промышленный",LEFT(I4254,18)="Порошок стиральный",F4254="Продажа",B4254=DATE(2023,6,7)),E4254*J4254/1000,0)</f>
        <v/>
      </c>
    </row>
    <row r="4255">
      <c r="A4255" t="n">
        <v>4254</v>
      </c>
      <c r="B4255" s="1" t="n">
        <v>45091</v>
      </c>
      <c r="C4255" s="5" t="inlineStr">
        <is>
          <t>M11</t>
        </is>
      </c>
      <c r="D4255" s="5" t="n">
        <v>42</v>
      </c>
      <c r="E4255" s="5" t="n">
        <v>180</v>
      </c>
      <c r="F4255" t="inlineStr">
        <is>
          <t>Продажа</t>
        </is>
      </c>
      <c r="H4255">
        <f>VLOOKUP(C4255,Магазин!$A$2:$C$1000,2,0)</f>
        <v/>
      </c>
      <c r="I4255">
        <f>VLOOKUP(D4255,Товар!$A$2:$F$1000,3,0)</f>
        <v/>
      </c>
      <c r="J4255">
        <f>VLOOKUP(D4255,Товар!$A$2:$F$1000,5,0)</f>
        <v/>
      </c>
      <c r="K4255">
        <f>IF(AND(H4255="Промышленный",LEFT(I4255,18)="Порошок стиральный",F4255="Продажа",B4255=DATE(2023,6,7)),E4255*J4255/1000,0)</f>
        <v/>
      </c>
    </row>
    <row r="4256">
      <c r="A4256" t="n">
        <v>4255</v>
      </c>
      <c r="B4256" s="1" t="n">
        <v>45091</v>
      </c>
      <c r="C4256" s="5" t="inlineStr">
        <is>
          <t>M11</t>
        </is>
      </c>
      <c r="D4256" s="5" t="n">
        <v>43</v>
      </c>
      <c r="E4256" s="5" t="n">
        <v>142</v>
      </c>
      <c r="F4256" t="inlineStr">
        <is>
          <t>Продажа</t>
        </is>
      </c>
      <c r="H4256">
        <f>VLOOKUP(C4256,Магазин!$A$2:$C$1000,2,0)</f>
        <v/>
      </c>
      <c r="I4256">
        <f>VLOOKUP(D4256,Товар!$A$2:$F$1000,3,0)</f>
        <v/>
      </c>
      <c r="J4256">
        <f>VLOOKUP(D4256,Товар!$A$2:$F$1000,5,0)</f>
        <v/>
      </c>
      <c r="K4256">
        <f>IF(AND(H4256="Промышленный",LEFT(I4256,18)="Порошок стиральный",F4256="Продажа",B4256=DATE(2023,6,7)),E4256*J4256/1000,0)</f>
        <v/>
      </c>
    </row>
    <row r="4257">
      <c r="A4257" t="n">
        <v>4256</v>
      </c>
      <c r="B4257" s="1" t="n">
        <v>45091</v>
      </c>
      <c r="C4257" s="5" t="inlineStr">
        <is>
          <t>M11</t>
        </is>
      </c>
      <c r="D4257" s="5" t="n">
        <v>44</v>
      </c>
      <c r="E4257" s="5" t="n">
        <v>156</v>
      </c>
      <c r="F4257" t="inlineStr">
        <is>
          <t>Продажа</t>
        </is>
      </c>
      <c r="H4257">
        <f>VLOOKUP(C4257,Магазин!$A$2:$C$1000,2,0)</f>
        <v/>
      </c>
      <c r="I4257">
        <f>VLOOKUP(D4257,Товар!$A$2:$F$1000,3,0)</f>
        <v/>
      </c>
      <c r="J4257">
        <f>VLOOKUP(D4257,Товар!$A$2:$F$1000,5,0)</f>
        <v/>
      </c>
      <c r="K4257">
        <f>IF(AND(H4257="Промышленный",LEFT(I4257,18)="Порошок стиральный",F4257="Продажа",B4257=DATE(2023,6,7)),E4257*J4257/1000,0)</f>
        <v/>
      </c>
    </row>
    <row r="4258">
      <c r="A4258" t="n">
        <v>4257</v>
      </c>
      <c r="B4258" s="1" t="n">
        <v>45091</v>
      </c>
      <c r="C4258" s="5" t="inlineStr">
        <is>
          <t>M11</t>
        </is>
      </c>
      <c r="D4258" s="5" t="n">
        <v>45</v>
      </c>
      <c r="E4258" s="5" t="n">
        <v>144</v>
      </c>
      <c r="F4258" t="inlineStr">
        <is>
          <t>Продажа</t>
        </is>
      </c>
      <c r="H4258">
        <f>VLOOKUP(C4258,Магазин!$A$2:$C$1000,2,0)</f>
        <v/>
      </c>
      <c r="I4258">
        <f>VLOOKUP(D4258,Товар!$A$2:$F$1000,3,0)</f>
        <v/>
      </c>
      <c r="J4258">
        <f>VLOOKUP(D4258,Товар!$A$2:$F$1000,5,0)</f>
        <v/>
      </c>
      <c r="K4258">
        <f>IF(AND(H4258="Промышленный",LEFT(I4258,18)="Порошок стиральный",F4258="Продажа",B4258=DATE(2023,6,7)),E4258*J4258/1000,0)</f>
        <v/>
      </c>
    </row>
    <row r="4259">
      <c r="A4259" t="n">
        <v>4258</v>
      </c>
      <c r="B4259" s="1" t="n">
        <v>45091</v>
      </c>
      <c r="C4259" s="5" t="inlineStr">
        <is>
          <t>M11</t>
        </is>
      </c>
      <c r="D4259" s="5" t="n">
        <v>46</v>
      </c>
      <c r="E4259" s="5" t="n">
        <v>178</v>
      </c>
      <c r="F4259" t="inlineStr">
        <is>
          <t>Продажа</t>
        </is>
      </c>
      <c r="H4259">
        <f>VLOOKUP(C4259,Магазин!$A$2:$C$1000,2,0)</f>
        <v/>
      </c>
      <c r="I4259">
        <f>VLOOKUP(D4259,Товар!$A$2:$F$1000,3,0)</f>
        <v/>
      </c>
      <c r="J4259">
        <f>VLOOKUP(D4259,Товар!$A$2:$F$1000,5,0)</f>
        <v/>
      </c>
      <c r="K4259">
        <f>IF(AND(H4259="Промышленный",LEFT(I4259,18)="Порошок стиральный",F4259="Продажа",B4259=DATE(2023,6,7)),E4259*J4259/1000,0)</f>
        <v/>
      </c>
    </row>
    <row r="4260">
      <c r="A4260" t="n">
        <v>4259</v>
      </c>
      <c r="B4260" s="1" t="n">
        <v>45091</v>
      </c>
      <c r="C4260" s="5" t="inlineStr">
        <is>
          <t>M11</t>
        </is>
      </c>
      <c r="D4260" s="5" t="n">
        <v>47</v>
      </c>
      <c r="E4260" s="5" t="n">
        <v>169</v>
      </c>
      <c r="F4260" t="inlineStr">
        <is>
          <t>Продажа</t>
        </is>
      </c>
      <c r="H4260">
        <f>VLOOKUP(C4260,Магазин!$A$2:$C$1000,2,0)</f>
        <v/>
      </c>
      <c r="I4260">
        <f>VLOOKUP(D4260,Товар!$A$2:$F$1000,3,0)</f>
        <v/>
      </c>
      <c r="J4260">
        <f>VLOOKUP(D4260,Товар!$A$2:$F$1000,5,0)</f>
        <v/>
      </c>
      <c r="K4260">
        <f>IF(AND(H4260="Промышленный",LEFT(I4260,18)="Порошок стиральный",F4260="Продажа",B4260=DATE(2023,6,7)),E4260*J4260/1000,0)</f>
        <v/>
      </c>
    </row>
    <row r="4261">
      <c r="A4261" t="n">
        <v>4260</v>
      </c>
      <c r="B4261" s="1" t="n">
        <v>45091</v>
      </c>
      <c r="C4261" s="5" t="inlineStr">
        <is>
          <t>M11</t>
        </is>
      </c>
      <c r="D4261" s="5" t="n">
        <v>48</v>
      </c>
      <c r="E4261" s="5" t="n">
        <v>196</v>
      </c>
      <c r="F4261" t="inlineStr">
        <is>
          <t>Продажа</t>
        </is>
      </c>
      <c r="H4261">
        <f>VLOOKUP(C4261,Магазин!$A$2:$C$1000,2,0)</f>
        <v/>
      </c>
      <c r="I4261">
        <f>VLOOKUP(D4261,Товар!$A$2:$F$1000,3,0)</f>
        <v/>
      </c>
      <c r="J4261">
        <f>VLOOKUP(D4261,Товар!$A$2:$F$1000,5,0)</f>
        <v/>
      </c>
      <c r="K4261">
        <f>IF(AND(H4261="Промышленный",LEFT(I4261,18)="Порошок стиральный",F4261="Продажа",B4261=DATE(2023,6,7)),E4261*J4261/1000,0)</f>
        <v/>
      </c>
    </row>
    <row r="4262">
      <c r="A4262" t="n">
        <v>4261</v>
      </c>
      <c r="B4262" s="1" t="n">
        <v>45091</v>
      </c>
      <c r="C4262" s="5" t="inlineStr">
        <is>
          <t>M11</t>
        </is>
      </c>
      <c r="D4262" s="5" t="n">
        <v>49</v>
      </c>
      <c r="E4262" s="5" t="n">
        <v>123</v>
      </c>
      <c r="F4262" t="inlineStr">
        <is>
          <t>Продажа</t>
        </is>
      </c>
      <c r="H4262">
        <f>VLOOKUP(C4262,Магазин!$A$2:$C$1000,2,0)</f>
        <v/>
      </c>
      <c r="I4262">
        <f>VLOOKUP(D4262,Товар!$A$2:$F$1000,3,0)</f>
        <v/>
      </c>
      <c r="J4262">
        <f>VLOOKUP(D4262,Товар!$A$2:$F$1000,5,0)</f>
        <v/>
      </c>
      <c r="K4262">
        <f>IF(AND(H4262="Промышленный",LEFT(I4262,18)="Порошок стиральный",F4262="Продажа",B4262=DATE(2023,6,7)),E4262*J4262/1000,0)</f>
        <v/>
      </c>
    </row>
    <row r="4263">
      <c r="A4263" t="n">
        <v>4262</v>
      </c>
      <c r="B4263" s="1" t="n">
        <v>45091</v>
      </c>
      <c r="C4263" s="5" t="inlineStr">
        <is>
          <t>M11</t>
        </is>
      </c>
      <c r="D4263" s="5" t="n">
        <v>50</v>
      </c>
      <c r="E4263" s="5" t="n">
        <v>111</v>
      </c>
      <c r="F4263" t="inlineStr">
        <is>
          <t>Продажа</t>
        </is>
      </c>
      <c r="H4263">
        <f>VLOOKUP(C4263,Магазин!$A$2:$C$1000,2,0)</f>
        <v/>
      </c>
      <c r="I4263">
        <f>VLOOKUP(D4263,Товар!$A$2:$F$1000,3,0)</f>
        <v/>
      </c>
      <c r="J4263">
        <f>VLOOKUP(D4263,Товар!$A$2:$F$1000,5,0)</f>
        <v/>
      </c>
      <c r="K4263">
        <f>IF(AND(H4263="Промышленный",LEFT(I4263,18)="Порошок стиральный",F4263="Продажа",B4263=DATE(2023,6,7)),E4263*J4263/1000,0)</f>
        <v/>
      </c>
    </row>
    <row r="4264">
      <c r="A4264" t="n">
        <v>4263</v>
      </c>
      <c r="B4264" s="1" t="n">
        <v>45091</v>
      </c>
      <c r="C4264" s="5" t="inlineStr">
        <is>
          <t>M11</t>
        </is>
      </c>
      <c r="D4264" s="5" t="n">
        <v>51</v>
      </c>
      <c r="E4264" s="5" t="n">
        <v>158</v>
      </c>
      <c r="F4264" t="inlineStr">
        <is>
          <t>Продажа</t>
        </is>
      </c>
      <c r="H4264">
        <f>VLOOKUP(C4264,Магазин!$A$2:$C$1000,2,0)</f>
        <v/>
      </c>
      <c r="I4264">
        <f>VLOOKUP(D4264,Товар!$A$2:$F$1000,3,0)</f>
        <v/>
      </c>
      <c r="J4264">
        <f>VLOOKUP(D4264,Товар!$A$2:$F$1000,5,0)</f>
        <v/>
      </c>
      <c r="K4264">
        <f>IF(AND(H4264="Промышленный",LEFT(I4264,18)="Порошок стиральный",F4264="Продажа",B4264=DATE(2023,6,7)),E4264*J4264/1000,0)</f>
        <v/>
      </c>
    </row>
    <row r="4265">
      <c r="A4265" t="n">
        <v>4264</v>
      </c>
      <c r="B4265" s="1" t="n">
        <v>45091</v>
      </c>
      <c r="C4265" s="5" t="inlineStr">
        <is>
          <t>M11</t>
        </is>
      </c>
      <c r="D4265" s="5" t="n">
        <v>52</v>
      </c>
      <c r="E4265" s="5" t="n">
        <v>175</v>
      </c>
      <c r="F4265" t="inlineStr">
        <is>
          <t>Продажа</t>
        </is>
      </c>
      <c r="H4265">
        <f>VLOOKUP(C4265,Магазин!$A$2:$C$1000,2,0)</f>
        <v/>
      </c>
      <c r="I4265">
        <f>VLOOKUP(D4265,Товар!$A$2:$F$1000,3,0)</f>
        <v/>
      </c>
      <c r="J4265">
        <f>VLOOKUP(D4265,Товар!$A$2:$F$1000,5,0)</f>
        <v/>
      </c>
      <c r="K4265">
        <f>IF(AND(H4265="Промышленный",LEFT(I4265,18)="Порошок стиральный",F4265="Продажа",B4265=DATE(2023,6,7)),E4265*J4265/1000,0)</f>
        <v/>
      </c>
    </row>
    <row r="4266">
      <c r="A4266" t="n">
        <v>4265</v>
      </c>
      <c r="B4266" s="1" t="n">
        <v>45091</v>
      </c>
      <c r="C4266" s="5" t="inlineStr">
        <is>
          <t>M11</t>
        </is>
      </c>
      <c r="D4266" s="5" t="n">
        <v>53</v>
      </c>
      <c r="E4266" s="5" t="n">
        <v>114</v>
      </c>
      <c r="F4266" t="inlineStr">
        <is>
          <t>Продажа</t>
        </is>
      </c>
      <c r="H4266">
        <f>VLOOKUP(C4266,Магазин!$A$2:$C$1000,2,0)</f>
        <v/>
      </c>
      <c r="I4266">
        <f>VLOOKUP(D4266,Товар!$A$2:$F$1000,3,0)</f>
        <v/>
      </c>
      <c r="J4266">
        <f>VLOOKUP(D4266,Товар!$A$2:$F$1000,5,0)</f>
        <v/>
      </c>
      <c r="K4266">
        <f>IF(AND(H4266="Промышленный",LEFT(I4266,18)="Порошок стиральный",F4266="Продажа",B4266=DATE(2023,6,7)),E4266*J4266/1000,0)</f>
        <v/>
      </c>
    </row>
    <row r="4267">
      <c r="A4267" t="n">
        <v>4266</v>
      </c>
      <c r="B4267" s="1" t="n">
        <v>45091</v>
      </c>
      <c r="C4267" s="5" t="inlineStr">
        <is>
          <t>M11</t>
        </is>
      </c>
      <c r="D4267" s="5" t="n">
        <v>54</v>
      </c>
      <c r="E4267" s="5" t="n">
        <v>139</v>
      </c>
      <c r="F4267" t="inlineStr">
        <is>
          <t>Продажа</t>
        </is>
      </c>
      <c r="H4267">
        <f>VLOOKUP(C4267,Магазин!$A$2:$C$1000,2,0)</f>
        <v/>
      </c>
      <c r="I4267">
        <f>VLOOKUP(D4267,Товар!$A$2:$F$1000,3,0)</f>
        <v/>
      </c>
      <c r="J4267">
        <f>VLOOKUP(D4267,Товар!$A$2:$F$1000,5,0)</f>
        <v/>
      </c>
      <c r="K4267">
        <f>IF(AND(H4267="Промышленный",LEFT(I4267,18)="Порошок стиральный",F4267="Продажа",B4267=DATE(2023,6,7)),E4267*J4267/1000,0)</f>
        <v/>
      </c>
    </row>
    <row r="4268">
      <c r="A4268" t="n">
        <v>4267</v>
      </c>
      <c r="B4268" s="1" t="n">
        <v>45091</v>
      </c>
      <c r="C4268" s="5" t="inlineStr">
        <is>
          <t>M11</t>
        </is>
      </c>
      <c r="D4268" s="5" t="n">
        <v>55</v>
      </c>
      <c r="E4268" s="5" t="n">
        <v>141</v>
      </c>
      <c r="F4268" t="inlineStr">
        <is>
          <t>Продажа</t>
        </is>
      </c>
      <c r="H4268">
        <f>VLOOKUP(C4268,Магазин!$A$2:$C$1000,2,0)</f>
        <v/>
      </c>
      <c r="I4268">
        <f>VLOOKUP(D4268,Товар!$A$2:$F$1000,3,0)</f>
        <v/>
      </c>
      <c r="J4268">
        <f>VLOOKUP(D4268,Товар!$A$2:$F$1000,5,0)</f>
        <v/>
      </c>
      <c r="K4268">
        <f>IF(AND(H4268="Промышленный",LEFT(I4268,18)="Порошок стиральный",F4268="Продажа",B4268=DATE(2023,6,7)),E4268*J4268/1000,0)</f>
        <v/>
      </c>
    </row>
    <row r="4269">
      <c r="A4269" t="n">
        <v>4268</v>
      </c>
      <c r="B4269" s="1" t="n">
        <v>45091</v>
      </c>
      <c r="C4269" s="5" t="inlineStr">
        <is>
          <t>M11</t>
        </is>
      </c>
      <c r="D4269" s="5" t="n">
        <v>56</v>
      </c>
      <c r="E4269" s="5" t="n">
        <v>122</v>
      </c>
      <c r="F4269" t="inlineStr">
        <is>
          <t>Продажа</t>
        </is>
      </c>
      <c r="H4269">
        <f>VLOOKUP(C4269,Магазин!$A$2:$C$1000,2,0)</f>
        <v/>
      </c>
      <c r="I4269">
        <f>VLOOKUP(D4269,Товар!$A$2:$F$1000,3,0)</f>
        <v/>
      </c>
      <c r="J4269">
        <f>VLOOKUP(D4269,Товар!$A$2:$F$1000,5,0)</f>
        <v/>
      </c>
      <c r="K4269">
        <f>IF(AND(H4269="Промышленный",LEFT(I4269,18)="Порошок стиральный",F4269="Продажа",B4269=DATE(2023,6,7)),E4269*J4269/1000,0)</f>
        <v/>
      </c>
    </row>
    <row r="4270">
      <c r="A4270" t="n">
        <v>4269</v>
      </c>
      <c r="B4270" s="1" t="n">
        <v>45091</v>
      </c>
      <c r="C4270" s="5" t="inlineStr">
        <is>
          <t>M11</t>
        </is>
      </c>
      <c r="D4270" s="5" t="n">
        <v>57</v>
      </c>
      <c r="E4270" s="5" t="n">
        <v>123</v>
      </c>
      <c r="F4270" t="inlineStr">
        <is>
          <t>Продажа</t>
        </is>
      </c>
      <c r="H4270">
        <f>VLOOKUP(C4270,Магазин!$A$2:$C$1000,2,0)</f>
        <v/>
      </c>
      <c r="I4270">
        <f>VLOOKUP(D4270,Товар!$A$2:$F$1000,3,0)</f>
        <v/>
      </c>
      <c r="J4270">
        <f>VLOOKUP(D4270,Товар!$A$2:$F$1000,5,0)</f>
        <v/>
      </c>
      <c r="K4270">
        <f>IF(AND(H4270="Промышленный",LEFT(I4270,18)="Порошок стиральный",F4270="Продажа",B4270=DATE(2023,6,7)),E4270*J4270/1000,0)</f>
        <v/>
      </c>
    </row>
    <row r="4271">
      <c r="A4271" t="n">
        <v>4270</v>
      </c>
      <c r="B4271" s="1" t="n">
        <v>45091</v>
      </c>
      <c r="C4271" s="5" t="inlineStr">
        <is>
          <t>M11</t>
        </is>
      </c>
      <c r="D4271" s="5" t="n">
        <v>58</v>
      </c>
      <c r="E4271" s="5" t="n">
        <v>158</v>
      </c>
      <c r="F4271" t="inlineStr">
        <is>
          <t>Продажа</t>
        </is>
      </c>
      <c r="H4271">
        <f>VLOOKUP(C4271,Магазин!$A$2:$C$1000,2,0)</f>
        <v/>
      </c>
      <c r="I4271">
        <f>VLOOKUP(D4271,Товар!$A$2:$F$1000,3,0)</f>
        <v/>
      </c>
      <c r="J4271">
        <f>VLOOKUP(D4271,Товар!$A$2:$F$1000,5,0)</f>
        <v/>
      </c>
      <c r="K4271">
        <f>IF(AND(H4271="Промышленный",LEFT(I4271,18)="Порошок стиральный",F4271="Продажа",B4271=DATE(2023,6,7)),E4271*J4271/1000,0)</f>
        <v/>
      </c>
    </row>
    <row r="4272">
      <c r="A4272" t="n">
        <v>4271</v>
      </c>
      <c r="B4272" s="1" t="n">
        <v>45091</v>
      </c>
      <c r="C4272" s="5" t="inlineStr">
        <is>
          <t>M11</t>
        </is>
      </c>
      <c r="D4272" s="5" t="n">
        <v>59</v>
      </c>
      <c r="E4272" s="5" t="n">
        <v>146</v>
      </c>
      <c r="F4272" t="inlineStr">
        <is>
          <t>Продажа</t>
        </is>
      </c>
      <c r="H4272">
        <f>VLOOKUP(C4272,Магазин!$A$2:$C$1000,2,0)</f>
        <v/>
      </c>
      <c r="I4272">
        <f>VLOOKUP(D4272,Товар!$A$2:$F$1000,3,0)</f>
        <v/>
      </c>
      <c r="J4272">
        <f>VLOOKUP(D4272,Товар!$A$2:$F$1000,5,0)</f>
        <v/>
      </c>
      <c r="K4272">
        <f>IF(AND(H4272="Промышленный",LEFT(I4272,18)="Порошок стиральный",F4272="Продажа",B4272=DATE(2023,6,7)),E4272*J4272/1000,0)</f>
        <v/>
      </c>
    </row>
    <row r="4273">
      <c r="A4273" t="n">
        <v>4272</v>
      </c>
      <c r="B4273" s="1" t="n">
        <v>45091</v>
      </c>
      <c r="C4273" s="5" t="inlineStr">
        <is>
          <t>M11</t>
        </is>
      </c>
      <c r="D4273" s="5" t="n">
        <v>60</v>
      </c>
      <c r="E4273" s="5" t="n">
        <v>147</v>
      </c>
      <c r="F4273" t="inlineStr">
        <is>
          <t>Продажа</t>
        </is>
      </c>
      <c r="H4273">
        <f>VLOOKUP(C4273,Магазин!$A$2:$C$1000,2,0)</f>
        <v/>
      </c>
      <c r="I4273">
        <f>VLOOKUP(D4273,Товар!$A$2:$F$1000,3,0)</f>
        <v/>
      </c>
      <c r="J4273">
        <f>VLOOKUP(D4273,Товар!$A$2:$F$1000,5,0)</f>
        <v/>
      </c>
      <c r="K4273">
        <f>IF(AND(H4273="Промышленный",LEFT(I4273,18)="Порошок стиральный",F4273="Продажа",B4273=DATE(2023,6,7)),E4273*J4273/1000,0)</f>
        <v/>
      </c>
    </row>
    <row r="4274">
      <c r="A4274" t="n">
        <v>4273</v>
      </c>
      <c r="B4274" s="1" t="n">
        <v>45091</v>
      </c>
      <c r="C4274" s="5" t="inlineStr">
        <is>
          <t>M14</t>
        </is>
      </c>
      <c r="D4274" s="5" t="n">
        <v>37</v>
      </c>
      <c r="E4274" s="5" t="n">
        <v>169</v>
      </c>
      <c r="F4274" t="inlineStr">
        <is>
          <t>Продажа</t>
        </is>
      </c>
      <c r="H4274">
        <f>VLOOKUP(C4274,Магазин!$A$2:$C$1000,2,0)</f>
        <v/>
      </c>
      <c r="I4274">
        <f>VLOOKUP(D4274,Товар!$A$2:$F$1000,3,0)</f>
        <v/>
      </c>
      <c r="J4274">
        <f>VLOOKUP(D4274,Товар!$A$2:$F$1000,5,0)</f>
        <v/>
      </c>
      <c r="K4274">
        <f>IF(AND(H4274="Промышленный",LEFT(I4274,18)="Порошок стиральный",F4274="Продажа",B4274=DATE(2023,6,7)),E4274*J4274/1000,0)</f>
        <v/>
      </c>
    </row>
    <row r="4275">
      <c r="A4275" t="n">
        <v>4274</v>
      </c>
      <c r="B4275" s="1" t="n">
        <v>45091</v>
      </c>
      <c r="C4275" s="5" t="inlineStr">
        <is>
          <t>M14</t>
        </is>
      </c>
      <c r="D4275" s="5" t="n">
        <v>38</v>
      </c>
      <c r="E4275" s="5" t="n">
        <v>199</v>
      </c>
      <c r="F4275" t="inlineStr">
        <is>
          <t>Продажа</t>
        </is>
      </c>
      <c r="H4275">
        <f>VLOOKUP(C4275,Магазин!$A$2:$C$1000,2,0)</f>
        <v/>
      </c>
      <c r="I4275">
        <f>VLOOKUP(D4275,Товар!$A$2:$F$1000,3,0)</f>
        <v/>
      </c>
      <c r="J4275">
        <f>VLOOKUP(D4275,Товар!$A$2:$F$1000,5,0)</f>
        <v/>
      </c>
      <c r="K4275">
        <f>IF(AND(H4275="Промышленный",LEFT(I4275,18)="Порошок стиральный",F4275="Продажа",B4275=DATE(2023,6,7)),E4275*J4275/1000,0)</f>
        <v/>
      </c>
    </row>
    <row r="4276">
      <c r="A4276" t="n">
        <v>4275</v>
      </c>
      <c r="B4276" s="1" t="n">
        <v>45091</v>
      </c>
      <c r="C4276" s="5" t="inlineStr">
        <is>
          <t>M14</t>
        </is>
      </c>
      <c r="D4276" s="5" t="n">
        <v>39</v>
      </c>
      <c r="E4276" s="5" t="n">
        <v>147</v>
      </c>
      <c r="F4276" t="inlineStr">
        <is>
          <t>Продажа</t>
        </is>
      </c>
      <c r="H4276">
        <f>VLOOKUP(C4276,Магазин!$A$2:$C$1000,2,0)</f>
        <v/>
      </c>
      <c r="I4276">
        <f>VLOOKUP(D4276,Товар!$A$2:$F$1000,3,0)</f>
        <v/>
      </c>
      <c r="J4276">
        <f>VLOOKUP(D4276,Товар!$A$2:$F$1000,5,0)</f>
        <v/>
      </c>
      <c r="K4276">
        <f>IF(AND(H4276="Промышленный",LEFT(I4276,18)="Порошок стиральный",F4276="Продажа",B4276=DATE(2023,6,7)),E4276*J4276/1000,0)</f>
        <v/>
      </c>
    </row>
    <row r="4277">
      <c r="A4277" t="n">
        <v>4276</v>
      </c>
      <c r="B4277" s="1" t="n">
        <v>45091</v>
      </c>
      <c r="C4277" s="5" t="inlineStr">
        <is>
          <t>M14</t>
        </is>
      </c>
      <c r="D4277" s="5" t="n">
        <v>40</v>
      </c>
      <c r="E4277" s="5" t="n">
        <v>138</v>
      </c>
      <c r="F4277" t="inlineStr">
        <is>
          <t>Продажа</t>
        </is>
      </c>
      <c r="H4277">
        <f>VLOOKUP(C4277,Магазин!$A$2:$C$1000,2,0)</f>
        <v/>
      </c>
      <c r="I4277">
        <f>VLOOKUP(D4277,Товар!$A$2:$F$1000,3,0)</f>
        <v/>
      </c>
      <c r="J4277">
        <f>VLOOKUP(D4277,Товар!$A$2:$F$1000,5,0)</f>
        <v/>
      </c>
      <c r="K4277">
        <f>IF(AND(H4277="Промышленный",LEFT(I4277,18)="Порошок стиральный",F4277="Продажа",B4277=DATE(2023,6,7)),E4277*J4277/1000,0)</f>
        <v/>
      </c>
    </row>
    <row r="4278">
      <c r="A4278" t="n">
        <v>4277</v>
      </c>
      <c r="B4278" s="1" t="n">
        <v>45091</v>
      </c>
      <c r="C4278" s="5" t="inlineStr">
        <is>
          <t>M14</t>
        </is>
      </c>
      <c r="D4278" s="5" t="n">
        <v>41</v>
      </c>
      <c r="E4278" s="5" t="n">
        <v>129</v>
      </c>
      <c r="F4278" t="inlineStr">
        <is>
          <t>Продажа</t>
        </is>
      </c>
      <c r="H4278">
        <f>VLOOKUP(C4278,Магазин!$A$2:$C$1000,2,0)</f>
        <v/>
      </c>
      <c r="I4278">
        <f>VLOOKUP(D4278,Товар!$A$2:$F$1000,3,0)</f>
        <v/>
      </c>
      <c r="J4278">
        <f>VLOOKUP(D4278,Товар!$A$2:$F$1000,5,0)</f>
        <v/>
      </c>
      <c r="K4278">
        <f>IF(AND(H4278="Промышленный",LEFT(I4278,18)="Порошок стиральный",F4278="Продажа",B4278=DATE(2023,6,7)),E4278*J4278/1000,0)</f>
        <v/>
      </c>
    </row>
    <row r="4279">
      <c r="A4279" t="n">
        <v>4278</v>
      </c>
      <c r="B4279" s="1" t="n">
        <v>45091</v>
      </c>
      <c r="C4279" s="5" t="inlineStr">
        <is>
          <t>M14</t>
        </is>
      </c>
      <c r="D4279" s="5" t="n">
        <v>42</v>
      </c>
      <c r="E4279" s="5" t="n">
        <v>191</v>
      </c>
      <c r="F4279" t="inlineStr">
        <is>
          <t>Продажа</t>
        </is>
      </c>
      <c r="H4279">
        <f>VLOOKUP(C4279,Магазин!$A$2:$C$1000,2,0)</f>
        <v/>
      </c>
      <c r="I4279">
        <f>VLOOKUP(D4279,Товар!$A$2:$F$1000,3,0)</f>
        <v/>
      </c>
      <c r="J4279">
        <f>VLOOKUP(D4279,Товар!$A$2:$F$1000,5,0)</f>
        <v/>
      </c>
      <c r="K4279">
        <f>IF(AND(H4279="Промышленный",LEFT(I4279,18)="Порошок стиральный",F4279="Продажа",B4279=DATE(2023,6,7)),E4279*J4279/1000,0)</f>
        <v/>
      </c>
    </row>
    <row r="4280">
      <c r="A4280" t="n">
        <v>4279</v>
      </c>
      <c r="B4280" s="1" t="n">
        <v>45091</v>
      </c>
      <c r="C4280" s="5" t="inlineStr">
        <is>
          <t>M14</t>
        </is>
      </c>
      <c r="D4280" s="5" t="n">
        <v>43</v>
      </c>
      <c r="E4280" s="5" t="n">
        <v>155</v>
      </c>
      <c r="F4280" t="inlineStr">
        <is>
          <t>Продажа</t>
        </is>
      </c>
      <c r="H4280">
        <f>VLOOKUP(C4280,Магазин!$A$2:$C$1000,2,0)</f>
        <v/>
      </c>
      <c r="I4280">
        <f>VLOOKUP(D4280,Товар!$A$2:$F$1000,3,0)</f>
        <v/>
      </c>
      <c r="J4280">
        <f>VLOOKUP(D4280,Товар!$A$2:$F$1000,5,0)</f>
        <v/>
      </c>
      <c r="K4280">
        <f>IF(AND(H4280="Промышленный",LEFT(I4280,18)="Порошок стиральный",F4280="Продажа",B4280=DATE(2023,6,7)),E4280*J4280/1000,0)</f>
        <v/>
      </c>
    </row>
    <row r="4281">
      <c r="A4281" t="n">
        <v>4280</v>
      </c>
      <c r="B4281" s="1" t="n">
        <v>45091</v>
      </c>
      <c r="C4281" s="5" t="inlineStr">
        <is>
          <t>M14</t>
        </is>
      </c>
      <c r="D4281" s="5" t="n">
        <v>44</v>
      </c>
      <c r="E4281" s="5" t="n">
        <v>143</v>
      </c>
      <c r="F4281" t="inlineStr">
        <is>
          <t>Продажа</t>
        </is>
      </c>
      <c r="H4281">
        <f>VLOOKUP(C4281,Магазин!$A$2:$C$1000,2,0)</f>
        <v/>
      </c>
      <c r="I4281">
        <f>VLOOKUP(D4281,Товар!$A$2:$F$1000,3,0)</f>
        <v/>
      </c>
      <c r="J4281">
        <f>VLOOKUP(D4281,Товар!$A$2:$F$1000,5,0)</f>
        <v/>
      </c>
      <c r="K4281">
        <f>IF(AND(H4281="Промышленный",LEFT(I4281,18)="Порошок стиральный",F4281="Продажа",B4281=DATE(2023,6,7)),E4281*J4281/1000,0)</f>
        <v/>
      </c>
    </row>
    <row r="4282">
      <c r="A4282" t="n">
        <v>4281</v>
      </c>
      <c r="B4282" s="1" t="n">
        <v>45091</v>
      </c>
      <c r="C4282" s="5" t="inlineStr">
        <is>
          <t>M14</t>
        </is>
      </c>
      <c r="D4282" s="5" t="n">
        <v>45</v>
      </c>
      <c r="E4282" s="5" t="n">
        <v>178</v>
      </c>
      <c r="F4282" t="inlineStr">
        <is>
          <t>Продажа</t>
        </is>
      </c>
      <c r="H4282">
        <f>VLOOKUP(C4282,Магазин!$A$2:$C$1000,2,0)</f>
        <v/>
      </c>
      <c r="I4282">
        <f>VLOOKUP(D4282,Товар!$A$2:$F$1000,3,0)</f>
        <v/>
      </c>
      <c r="J4282">
        <f>VLOOKUP(D4282,Товар!$A$2:$F$1000,5,0)</f>
        <v/>
      </c>
      <c r="K4282">
        <f>IF(AND(H4282="Промышленный",LEFT(I4282,18)="Порошок стиральный",F4282="Продажа",B4282=DATE(2023,6,7)),E4282*J4282/1000,0)</f>
        <v/>
      </c>
    </row>
    <row r="4283">
      <c r="A4283" t="n">
        <v>4282</v>
      </c>
      <c r="B4283" s="1" t="n">
        <v>45091</v>
      </c>
      <c r="C4283" s="5" t="inlineStr">
        <is>
          <t>M14</t>
        </is>
      </c>
      <c r="D4283" s="5" t="n">
        <v>46</v>
      </c>
      <c r="E4283" s="5" t="n">
        <v>146</v>
      </c>
      <c r="F4283" t="inlineStr">
        <is>
          <t>Продажа</t>
        </is>
      </c>
      <c r="H4283">
        <f>VLOOKUP(C4283,Магазин!$A$2:$C$1000,2,0)</f>
        <v/>
      </c>
      <c r="I4283">
        <f>VLOOKUP(D4283,Товар!$A$2:$F$1000,3,0)</f>
        <v/>
      </c>
      <c r="J4283">
        <f>VLOOKUP(D4283,Товар!$A$2:$F$1000,5,0)</f>
        <v/>
      </c>
      <c r="K4283">
        <f>IF(AND(H4283="Промышленный",LEFT(I4283,18)="Порошок стиральный",F4283="Продажа",B4283=DATE(2023,6,7)),E4283*J4283/1000,0)</f>
        <v/>
      </c>
    </row>
    <row r="4284">
      <c r="A4284" t="n">
        <v>4283</v>
      </c>
      <c r="B4284" s="1" t="n">
        <v>45091</v>
      </c>
      <c r="C4284" s="5" t="inlineStr">
        <is>
          <t>M14</t>
        </is>
      </c>
      <c r="D4284" s="5" t="n">
        <v>47</v>
      </c>
      <c r="E4284" s="5" t="n">
        <v>128</v>
      </c>
      <c r="F4284" t="inlineStr">
        <is>
          <t>Продажа</t>
        </is>
      </c>
      <c r="H4284">
        <f>VLOOKUP(C4284,Магазин!$A$2:$C$1000,2,0)</f>
        <v/>
      </c>
      <c r="I4284">
        <f>VLOOKUP(D4284,Товар!$A$2:$F$1000,3,0)</f>
        <v/>
      </c>
      <c r="J4284">
        <f>VLOOKUP(D4284,Товар!$A$2:$F$1000,5,0)</f>
        <v/>
      </c>
      <c r="K4284">
        <f>IF(AND(H4284="Промышленный",LEFT(I4284,18)="Порошок стиральный",F4284="Продажа",B4284=DATE(2023,6,7)),E4284*J4284/1000,0)</f>
        <v/>
      </c>
    </row>
    <row r="4285">
      <c r="A4285" t="n">
        <v>4284</v>
      </c>
      <c r="B4285" s="1" t="n">
        <v>45091</v>
      </c>
      <c r="C4285" s="5" t="inlineStr">
        <is>
          <t>M14</t>
        </is>
      </c>
      <c r="D4285" s="5" t="n">
        <v>48</v>
      </c>
      <c r="E4285" s="5" t="n">
        <v>191</v>
      </c>
      <c r="F4285" t="inlineStr">
        <is>
          <t>Продажа</t>
        </is>
      </c>
      <c r="H4285">
        <f>VLOOKUP(C4285,Магазин!$A$2:$C$1000,2,0)</f>
        <v/>
      </c>
      <c r="I4285">
        <f>VLOOKUP(D4285,Товар!$A$2:$F$1000,3,0)</f>
        <v/>
      </c>
      <c r="J4285">
        <f>VLOOKUP(D4285,Товар!$A$2:$F$1000,5,0)</f>
        <v/>
      </c>
      <c r="K4285">
        <f>IF(AND(H4285="Промышленный",LEFT(I4285,18)="Порошок стиральный",F4285="Продажа",B4285=DATE(2023,6,7)),E4285*J4285/1000,0)</f>
        <v/>
      </c>
    </row>
    <row r="4286">
      <c r="A4286" t="n">
        <v>4285</v>
      </c>
      <c r="B4286" s="1" t="n">
        <v>45091</v>
      </c>
      <c r="C4286" s="5" t="inlineStr">
        <is>
          <t>M14</t>
        </is>
      </c>
      <c r="D4286" s="5" t="n">
        <v>49</v>
      </c>
      <c r="E4286" s="5" t="n">
        <v>165</v>
      </c>
      <c r="F4286" t="inlineStr">
        <is>
          <t>Продажа</t>
        </is>
      </c>
      <c r="H4286">
        <f>VLOOKUP(C4286,Магазин!$A$2:$C$1000,2,0)</f>
        <v/>
      </c>
      <c r="I4286">
        <f>VLOOKUP(D4286,Товар!$A$2:$F$1000,3,0)</f>
        <v/>
      </c>
      <c r="J4286">
        <f>VLOOKUP(D4286,Товар!$A$2:$F$1000,5,0)</f>
        <v/>
      </c>
      <c r="K4286">
        <f>IF(AND(H4286="Промышленный",LEFT(I4286,18)="Порошок стиральный",F4286="Продажа",B4286=DATE(2023,6,7)),E4286*J4286/1000,0)</f>
        <v/>
      </c>
    </row>
    <row r="4287">
      <c r="A4287" t="n">
        <v>4286</v>
      </c>
      <c r="B4287" s="1" t="n">
        <v>45091</v>
      </c>
      <c r="C4287" s="5" t="inlineStr">
        <is>
          <t>M14</t>
        </is>
      </c>
      <c r="D4287" s="5" t="n">
        <v>50</v>
      </c>
      <c r="E4287" s="5" t="n">
        <v>167</v>
      </c>
      <c r="F4287" t="inlineStr">
        <is>
          <t>Продажа</t>
        </is>
      </c>
      <c r="H4287">
        <f>VLOOKUP(C4287,Магазин!$A$2:$C$1000,2,0)</f>
        <v/>
      </c>
      <c r="I4287">
        <f>VLOOKUP(D4287,Товар!$A$2:$F$1000,3,0)</f>
        <v/>
      </c>
      <c r="J4287">
        <f>VLOOKUP(D4287,Товар!$A$2:$F$1000,5,0)</f>
        <v/>
      </c>
      <c r="K4287">
        <f>IF(AND(H4287="Промышленный",LEFT(I4287,18)="Порошок стиральный",F4287="Продажа",B4287=DATE(2023,6,7)),E4287*J4287/1000,0)</f>
        <v/>
      </c>
    </row>
    <row r="4288">
      <c r="A4288" t="n">
        <v>4287</v>
      </c>
      <c r="B4288" s="1" t="n">
        <v>45091</v>
      </c>
      <c r="C4288" s="5" t="inlineStr">
        <is>
          <t>M14</t>
        </is>
      </c>
      <c r="D4288" s="5" t="n">
        <v>51</v>
      </c>
      <c r="E4288" s="5" t="n">
        <v>132</v>
      </c>
      <c r="F4288" t="inlineStr">
        <is>
          <t>Продажа</t>
        </is>
      </c>
      <c r="H4288">
        <f>VLOOKUP(C4288,Магазин!$A$2:$C$1000,2,0)</f>
        <v/>
      </c>
      <c r="I4288">
        <f>VLOOKUP(D4288,Товар!$A$2:$F$1000,3,0)</f>
        <v/>
      </c>
      <c r="J4288">
        <f>VLOOKUP(D4288,Товар!$A$2:$F$1000,5,0)</f>
        <v/>
      </c>
      <c r="K4288">
        <f>IF(AND(H4288="Промышленный",LEFT(I4288,18)="Порошок стиральный",F4288="Продажа",B4288=DATE(2023,6,7)),E4288*J4288/1000,0)</f>
        <v/>
      </c>
    </row>
    <row r="4289">
      <c r="A4289" t="n">
        <v>4288</v>
      </c>
      <c r="B4289" s="1" t="n">
        <v>45091</v>
      </c>
      <c r="C4289" s="5" t="inlineStr">
        <is>
          <t>M14</t>
        </is>
      </c>
      <c r="D4289" s="5" t="n">
        <v>52</v>
      </c>
      <c r="E4289" s="5" t="n">
        <v>105</v>
      </c>
      <c r="F4289" t="inlineStr">
        <is>
          <t>Продажа</t>
        </is>
      </c>
      <c r="H4289">
        <f>VLOOKUP(C4289,Магазин!$A$2:$C$1000,2,0)</f>
        <v/>
      </c>
      <c r="I4289">
        <f>VLOOKUP(D4289,Товар!$A$2:$F$1000,3,0)</f>
        <v/>
      </c>
      <c r="J4289">
        <f>VLOOKUP(D4289,Товар!$A$2:$F$1000,5,0)</f>
        <v/>
      </c>
      <c r="K4289">
        <f>IF(AND(H4289="Промышленный",LEFT(I4289,18)="Порошок стиральный",F4289="Продажа",B4289=DATE(2023,6,7)),E4289*J4289/1000,0)</f>
        <v/>
      </c>
    </row>
    <row r="4290">
      <c r="A4290" t="n">
        <v>4289</v>
      </c>
      <c r="B4290" s="1" t="n">
        <v>45091</v>
      </c>
      <c r="C4290" s="5" t="inlineStr">
        <is>
          <t>M14</t>
        </is>
      </c>
      <c r="D4290" s="5" t="n">
        <v>53</v>
      </c>
      <c r="E4290" s="5" t="n">
        <v>114</v>
      </c>
      <c r="F4290" t="inlineStr">
        <is>
          <t>Продажа</t>
        </is>
      </c>
      <c r="H4290">
        <f>VLOOKUP(C4290,Магазин!$A$2:$C$1000,2,0)</f>
        <v/>
      </c>
      <c r="I4290">
        <f>VLOOKUP(D4290,Товар!$A$2:$F$1000,3,0)</f>
        <v/>
      </c>
      <c r="J4290">
        <f>VLOOKUP(D4290,Товар!$A$2:$F$1000,5,0)</f>
        <v/>
      </c>
      <c r="K4290">
        <f>IF(AND(H4290="Промышленный",LEFT(I4290,18)="Порошок стиральный",F4290="Продажа",B4290=DATE(2023,6,7)),E4290*J4290/1000,0)</f>
        <v/>
      </c>
    </row>
    <row r="4291">
      <c r="A4291" t="n">
        <v>4290</v>
      </c>
      <c r="B4291" s="1" t="n">
        <v>45091</v>
      </c>
      <c r="C4291" s="5" t="inlineStr">
        <is>
          <t>M14</t>
        </is>
      </c>
      <c r="D4291" s="5" t="n">
        <v>54</v>
      </c>
      <c r="E4291" s="5" t="n">
        <v>192</v>
      </c>
      <c r="F4291" t="inlineStr">
        <is>
          <t>Продажа</t>
        </is>
      </c>
      <c r="H4291">
        <f>VLOOKUP(C4291,Магазин!$A$2:$C$1000,2,0)</f>
        <v/>
      </c>
      <c r="I4291">
        <f>VLOOKUP(D4291,Товар!$A$2:$F$1000,3,0)</f>
        <v/>
      </c>
      <c r="J4291">
        <f>VLOOKUP(D4291,Товар!$A$2:$F$1000,5,0)</f>
        <v/>
      </c>
      <c r="K4291">
        <f>IF(AND(H4291="Промышленный",LEFT(I4291,18)="Порошок стиральный",F4291="Продажа",B4291=DATE(2023,6,7)),E4291*J4291/1000,0)</f>
        <v/>
      </c>
    </row>
    <row r="4292">
      <c r="A4292" t="n">
        <v>4291</v>
      </c>
      <c r="B4292" s="1" t="n">
        <v>45091</v>
      </c>
      <c r="C4292" s="5" t="inlineStr">
        <is>
          <t>M14</t>
        </is>
      </c>
      <c r="D4292" s="5" t="n">
        <v>55</v>
      </c>
      <c r="E4292" s="5" t="n">
        <v>145</v>
      </c>
      <c r="F4292" t="inlineStr">
        <is>
          <t>Продажа</t>
        </is>
      </c>
      <c r="H4292">
        <f>VLOOKUP(C4292,Магазин!$A$2:$C$1000,2,0)</f>
        <v/>
      </c>
      <c r="I4292">
        <f>VLOOKUP(D4292,Товар!$A$2:$F$1000,3,0)</f>
        <v/>
      </c>
      <c r="J4292">
        <f>VLOOKUP(D4292,Товар!$A$2:$F$1000,5,0)</f>
        <v/>
      </c>
      <c r="K4292">
        <f>IF(AND(H4292="Промышленный",LEFT(I4292,18)="Порошок стиральный",F4292="Продажа",B4292=DATE(2023,6,7)),E4292*J4292/1000,0)</f>
        <v/>
      </c>
    </row>
    <row r="4293">
      <c r="A4293" t="n">
        <v>4292</v>
      </c>
      <c r="B4293" s="1" t="n">
        <v>45091</v>
      </c>
      <c r="C4293" s="5" t="inlineStr">
        <is>
          <t>M14</t>
        </is>
      </c>
      <c r="D4293" s="5" t="n">
        <v>56</v>
      </c>
      <c r="E4293" s="5" t="n">
        <v>163</v>
      </c>
      <c r="F4293" t="inlineStr">
        <is>
          <t>Продажа</t>
        </is>
      </c>
      <c r="H4293">
        <f>VLOOKUP(C4293,Магазин!$A$2:$C$1000,2,0)</f>
        <v/>
      </c>
      <c r="I4293">
        <f>VLOOKUP(D4293,Товар!$A$2:$F$1000,3,0)</f>
        <v/>
      </c>
      <c r="J4293">
        <f>VLOOKUP(D4293,Товар!$A$2:$F$1000,5,0)</f>
        <v/>
      </c>
      <c r="K4293">
        <f>IF(AND(H4293="Промышленный",LEFT(I4293,18)="Порошок стиральный",F4293="Продажа",B4293=DATE(2023,6,7)),E4293*J4293/1000,0)</f>
        <v/>
      </c>
    </row>
    <row r="4294">
      <c r="A4294" t="n">
        <v>4293</v>
      </c>
      <c r="B4294" s="1" t="n">
        <v>45091</v>
      </c>
      <c r="C4294" s="5" t="inlineStr">
        <is>
          <t>M14</t>
        </is>
      </c>
      <c r="D4294" s="5" t="n">
        <v>57</v>
      </c>
      <c r="E4294" s="5" t="n">
        <v>128</v>
      </c>
      <c r="F4294" t="inlineStr">
        <is>
          <t>Продажа</t>
        </is>
      </c>
      <c r="H4294">
        <f>VLOOKUP(C4294,Магазин!$A$2:$C$1000,2,0)</f>
        <v/>
      </c>
      <c r="I4294">
        <f>VLOOKUP(D4294,Товар!$A$2:$F$1000,3,0)</f>
        <v/>
      </c>
      <c r="J4294">
        <f>VLOOKUP(D4294,Товар!$A$2:$F$1000,5,0)</f>
        <v/>
      </c>
      <c r="K4294">
        <f>IF(AND(H4294="Промышленный",LEFT(I4294,18)="Порошок стиральный",F4294="Продажа",B4294=DATE(2023,6,7)),E4294*J4294/1000,0)</f>
        <v/>
      </c>
    </row>
    <row r="4295">
      <c r="A4295" t="n">
        <v>4294</v>
      </c>
      <c r="B4295" s="1" t="n">
        <v>45091</v>
      </c>
      <c r="C4295" s="5" t="inlineStr">
        <is>
          <t>M14</t>
        </is>
      </c>
      <c r="D4295" s="5" t="n">
        <v>58</v>
      </c>
      <c r="E4295" s="5" t="n">
        <v>145</v>
      </c>
      <c r="F4295" t="inlineStr">
        <is>
          <t>Продажа</t>
        </is>
      </c>
      <c r="H4295">
        <f>VLOOKUP(C4295,Магазин!$A$2:$C$1000,2,0)</f>
        <v/>
      </c>
      <c r="I4295">
        <f>VLOOKUP(D4295,Товар!$A$2:$F$1000,3,0)</f>
        <v/>
      </c>
      <c r="J4295">
        <f>VLOOKUP(D4295,Товар!$A$2:$F$1000,5,0)</f>
        <v/>
      </c>
      <c r="K4295">
        <f>IF(AND(H4295="Промышленный",LEFT(I4295,18)="Порошок стиральный",F4295="Продажа",B4295=DATE(2023,6,7)),E4295*J4295/1000,0)</f>
        <v/>
      </c>
    </row>
    <row r="4296">
      <c r="A4296" t="n">
        <v>4295</v>
      </c>
      <c r="B4296" s="1" t="n">
        <v>45091</v>
      </c>
      <c r="C4296" s="5" t="inlineStr">
        <is>
          <t>M14</t>
        </is>
      </c>
      <c r="D4296" s="5" t="n">
        <v>59</v>
      </c>
      <c r="E4296" s="5" t="n">
        <v>138</v>
      </c>
      <c r="F4296" t="inlineStr">
        <is>
          <t>Продажа</t>
        </is>
      </c>
      <c r="H4296">
        <f>VLOOKUP(C4296,Магазин!$A$2:$C$1000,2,0)</f>
        <v/>
      </c>
      <c r="I4296">
        <f>VLOOKUP(D4296,Товар!$A$2:$F$1000,3,0)</f>
        <v/>
      </c>
      <c r="J4296">
        <f>VLOOKUP(D4296,Товар!$A$2:$F$1000,5,0)</f>
        <v/>
      </c>
      <c r="K4296">
        <f>IF(AND(H4296="Промышленный",LEFT(I4296,18)="Порошок стиральный",F4296="Продажа",B4296=DATE(2023,6,7)),E4296*J4296/1000,0)</f>
        <v/>
      </c>
    </row>
    <row r="4297">
      <c r="A4297" t="n">
        <v>4296</v>
      </c>
      <c r="B4297" s="1" t="n">
        <v>45091</v>
      </c>
      <c r="C4297" s="5" t="inlineStr">
        <is>
          <t>M14</t>
        </is>
      </c>
      <c r="D4297" s="5" t="n">
        <v>60</v>
      </c>
      <c r="E4297" s="5" t="n">
        <v>164</v>
      </c>
      <c r="F4297" t="inlineStr">
        <is>
          <t>Продажа</t>
        </is>
      </c>
      <c r="H4297">
        <f>VLOOKUP(C4297,Магазин!$A$2:$C$1000,2,0)</f>
        <v/>
      </c>
      <c r="I4297">
        <f>VLOOKUP(D4297,Товар!$A$2:$F$1000,3,0)</f>
        <v/>
      </c>
      <c r="J4297">
        <f>VLOOKUP(D4297,Товар!$A$2:$F$1000,5,0)</f>
        <v/>
      </c>
      <c r="K4297">
        <f>IF(AND(H4297="Промышленный",LEFT(I4297,18)="Порошок стиральный",F4297="Продажа",B4297=DATE(2023,6,7)),E4297*J4297/1000,0)</f>
        <v/>
      </c>
    </row>
    <row r="4298">
      <c r="A4298" t="n">
        <v>4297</v>
      </c>
      <c r="B4298" s="1" t="n">
        <v>45092</v>
      </c>
      <c r="C4298" s="5" t="inlineStr">
        <is>
          <t>M17</t>
        </is>
      </c>
      <c r="D4298" s="5" t="n">
        <v>37</v>
      </c>
      <c r="E4298" s="5" t="n">
        <v>176</v>
      </c>
      <c r="F4298" t="inlineStr">
        <is>
          <t>Продажа</t>
        </is>
      </c>
      <c r="H4298">
        <f>VLOOKUP(C4298,Магазин!$A$2:$C$1000,2,0)</f>
        <v/>
      </c>
      <c r="I4298">
        <f>VLOOKUP(D4298,Товар!$A$2:$F$1000,3,0)</f>
        <v/>
      </c>
      <c r="J4298">
        <f>VLOOKUP(D4298,Товар!$A$2:$F$1000,5,0)</f>
        <v/>
      </c>
      <c r="K4298">
        <f>IF(AND(H4298="Промышленный",LEFT(I4298,18)="Порошок стиральный",F4298="Продажа",B4298=DATE(2023,6,7)),E4298*J4298/1000,0)</f>
        <v/>
      </c>
    </row>
    <row r="4299">
      <c r="A4299" t="n">
        <v>4298</v>
      </c>
      <c r="B4299" s="1" t="n">
        <v>45092</v>
      </c>
      <c r="C4299" s="5" t="inlineStr">
        <is>
          <t>M17</t>
        </is>
      </c>
      <c r="D4299" s="5" t="n">
        <v>38</v>
      </c>
      <c r="E4299" s="5" t="n">
        <v>128</v>
      </c>
      <c r="F4299" t="inlineStr">
        <is>
          <t>Продажа</t>
        </is>
      </c>
      <c r="H4299">
        <f>VLOOKUP(C4299,Магазин!$A$2:$C$1000,2,0)</f>
        <v/>
      </c>
      <c r="I4299">
        <f>VLOOKUP(D4299,Товар!$A$2:$F$1000,3,0)</f>
        <v/>
      </c>
      <c r="J4299">
        <f>VLOOKUP(D4299,Товар!$A$2:$F$1000,5,0)</f>
        <v/>
      </c>
      <c r="K4299">
        <f>IF(AND(H4299="Промышленный",LEFT(I4299,18)="Порошок стиральный",F4299="Продажа",B4299=DATE(2023,6,7)),E4299*J4299/1000,0)</f>
        <v/>
      </c>
    </row>
    <row r="4300">
      <c r="A4300" t="n">
        <v>4299</v>
      </c>
      <c r="B4300" s="1" t="n">
        <v>45092</v>
      </c>
      <c r="C4300" s="5" t="inlineStr">
        <is>
          <t>M17</t>
        </is>
      </c>
      <c r="D4300" s="5" t="n">
        <v>39</v>
      </c>
      <c r="E4300" s="5" t="n">
        <v>146</v>
      </c>
      <c r="F4300" t="inlineStr">
        <is>
          <t>Продажа</t>
        </is>
      </c>
      <c r="H4300">
        <f>VLOOKUP(C4300,Магазин!$A$2:$C$1000,2,0)</f>
        <v/>
      </c>
      <c r="I4300">
        <f>VLOOKUP(D4300,Товар!$A$2:$F$1000,3,0)</f>
        <v/>
      </c>
      <c r="J4300">
        <f>VLOOKUP(D4300,Товар!$A$2:$F$1000,5,0)</f>
        <v/>
      </c>
      <c r="K4300">
        <f>IF(AND(H4300="Промышленный",LEFT(I4300,18)="Порошок стиральный",F4300="Продажа",B4300=DATE(2023,6,7)),E4300*J4300/1000,0)</f>
        <v/>
      </c>
    </row>
    <row r="4301">
      <c r="A4301" t="n">
        <v>4300</v>
      </c>
      <c r="B4301" s="1" t="n">
        <v>45092</v>
      </c>
      <c r="C4301" s="5" t="inlineStr">
        <is>
          <t>M17</t>
        </is>
      </c>
      <c r="D4301" s="5" t="n">
        <v>40</v>
      </c>
      <c r="E4301" s="5" t="n">
        <v>173</v>
      </c>
      <c r="F4301" t="inlineStr">
        <is>
          <t>Продажа</t>
        </is>
      </c>
      <c r="H4301">
        <f>VLOOKUP(C4301,Магазин!$A$2:$C$1000,2,0)</f>
        <v/>
      </c>
      <c r="I4301">
        <f>VLOOKUP(D4301,Товар!$A$2:$F$1000,3,0)</f>
        <v/>
      </c>
      <c r="J4301">
        <f>VLOOKUP(D4301,Товар!$A$2:$F$1000,5,0)</f>
        <v/>
      </c>
      <c r="K4301">
        <f>IF(AND(H4301="Промышленный",LEFT(I4301,18)="Порошок стиральный",F4301="Продажа",B4301=DATE(2023,6,7)),E4301*J4301/1000,0)</f>
        <v/>
      </c>
    </row>
    <row r="4302">
      <c r="A4302" t="n">
        <v>4301</v>
      </c>
      <c r="B4302" s="1" t="n">
        <v>45092</v>
      </c>
      <c r="C4302" s="5" t="inlineStr">
        <is>
          <t>M17</t>
        </is>
      </c>
      <c r="D4302" s="5" t="n">
        <v>41</v>
      </c>
      <c r="E4302" s="5" t="n">
        <v>180</v>
      </c>
      <c r="F4302" t="inlineStr">
        <is>
          <t>Продажа</t>
        </is>
      </c>
      <c r="H4302">
        <f>VLOOKUP(C4302,Магазин!$A$2:$C$1000,2,0)</f>
        <v/>
      </c>
      <c r="I4302">
        <f>VLOOKUP(D4302,Товар!$A$2:$F$1000,3,0)</f>
        <v/>
      </c>
      <c r="J4302">
        <f>VLOOKUP(D4302,Товар!$A$2:$F$1000,5,0)</f>
        <v/>
      </c>
      <c r="K4302">
        <f>IF(AND(H4302="Промышленный",LEFT(I4302,18)="Порошок стиральный",F4302="Продажа",B4302=DATE(2023,6,7)),E4302*J4302/1000,0)</f>
        <v/>
      </c>
    </row>
    <row r="4303">
      <c r="A4303" t="n">
        <v>4302</v>
      </c>
      <c r="B4303" s="1" t="n">
        <v>45092</v>
      </c>
      <c r="C4303" s="5" t="inlineStr">
        <is>
          <t>M17</t>
        </is>
      </c>
      <c r="D4303" s="5" t="n">
        <v>42</v>
      </c>
      <c r="E4303" s="5" t="n">
        <v>142</v>
      </c>
      <c r="F4303" t="inlineStr">
        <is>
          <t>Продажа</t>
        </is>
      </c>
      <c r="H4303">
        <f>VLOOKUP(C4303,Магазин!$A$2:$C$1000,2,0)</f>
        <v/>
      </c>
      <c r="I4303">
        <f>VLOOKUP(D4303,Товар!$A$2:$F$1000,3,0)</f>
        <v/>
      </c>
      <c r="J4303">
        <f>VLOOKUP(D4303,Товар!$A$2:$F$1000,5,0)</f>
        <v/>
      </c>
      <c r="K4303">
        <f>IF(AND(H4303="Промышленный",LEFT(I4303,18)="Порошок стиральный",F4303="Продажа",B4303=DATE(2023,6,7)),E4303*J4303/1000,0)</f>
        <v/>
      </c>
    </row>
    <row r="4304">
      <c r="A4304" t="n">
        <v>4303</v>
      </c>
      <c r="B4304" s="1" t="n">
        <v>45092</v>
      </c>
      <c r="C4304" s="5" t="inlineStr">
        <is>
          <t>M17</t>
        </is>
      </c>
      <c r="D4304" s="5" t="n">
        <v>43</v>
      </c>
      <c r="E4304" s="5" t="n">
        <v>156</v>
      </c>
      <c r="F4304" t="inlineStr">
        <is>
          <t>Продажа</t>
        </is>
      </c>
      <c r="H4304">
        <f>VLOOKUP(C4304,Магазин!$A$2:$C$1000,2,0)</f>
        <v/>
      </c>
      <c r="I4304">
        <f>VLOOKUP(D4304,Товар!$A$2:$F$1000,3,0)</f>
        <v/>
      </c>
      <c r="J4304">
        <f>VLOOKUP(D4304,Товар!$A$2:$F$1000,5,0)</f>
        <v/>
      </c>
      <c r="K4304">
        <f>IF(AND(H4304="Промышленный",LEFT(I4304,18)="Порошок стиральный",F4304="Продажа",B4304=DATE(2023,6,7)),E4304*J4304/1000,0)</f>
        <v/>
      </c>
    </row>
    <row r="4305">
      <c r="A4305" t="n">
        <v>4304</v>
      </c>
      <c r="B4305" s="1" t="n">
        <v>45092</v>
      </c>
      <c r="C4305" s="5" t="inlineStr">
        <is>
          <t>M17</t>
        </is>
      </c>
      <c r="D4305" s="5" t="n">
        <v>44</v>
      </c>
      <c r="E4305" s="5" t="n">
        <v>144</v>
      </c>
      <c r="F4305" t="inlineStr">
        <is>
          <t>Продажа</t>
        </is>
      </c>
      <c r="H4305">
        <f>VLOOKUP(C4305,Магазин!$A$2:$C$1000,2,0)</f>
        <v/>
      </c>
      <c r="I4305">
        <f>VLOOKUP(D4305,Товар!$A$2:$F$1000,3,0)</f>
        <v/>
      </c>
      <c r="J4305">
        <f>VLOOKUP(D4305,Товар!$A$2:$F$1000,5,0)</f>
        <v/>
      </c>
      <c r="K4305">
        <f>IF(AND(H4305="Промышленный",LEFT(I4305,18)="Порошок стиральный",F4305="Продажа",B4305=DATE(2023,6,7)),E4305*J4305/1000,0)</f>
        <v/>
      </c>
    </row>
    <row r="4306">
      <c r="A4306" t="n">
        <v>4305</v>
      </c>
      <c r="B4306" s="1" t="n">
        <v>45092</v>
      </c>
      <c r="C4306" s="5" t="inlineStr">
        <is>
          <t>M17</t>
        </is>
      </c>
      <c r="D4306" s="5" t="n">
        <v>45</v>
      </c>
      <c r="E4306" s="5" t="n">
        <v>178</v>
      </c>
      <c r="F4306" t="inlineStr">
        <is>
          <t>Продажа</t>
        </is>
      </c>
      <c r="H4306">
        <f>VLOOKUP(C4306,Магазин!$A$2:$C$1000,2,0)</f>
        <v/>
      </c>
      <c r="I4306">
        <f>VLOOKUP(D4306,Товар!$A$2:$F$1000,3,0)</f>
        <v/>
      </c>
      <c r="J4306">
        <f>VLOOKUP(D4306,Товар!$A$2:$F$1000,5,0)</f>
        <v/>
      </c>
      <c r="K4306">
        <f>IF(AND(H4306="Промышленный",LEFT(I4306,18)="Порошок стиральный",F4306="Продажа",B4306=DATE(2023,6,7)),E4306*J4306/1000,0)</f>
        <v/>
      </c>
    </row>
    <row r="4307">
      <c r="A4307" t="n">
        <v>4306</v>
      </c>
      <c r="B4307" s="1" t="n">
        <v>45092</v>
      </c>
      <c r="C4307" s="5" t="inlineStr">
        <is>
          <t>M17</t>
        </is>
      </c>
      <c r="D4307" s="5" t="n">
        <v>46</v>
      </c>
      <c r="E4307" s="5" t="n">
        <v>105</v>
      </c>
      <c r="F4307" t="inlineStr">
        <is>
          <t>Продажа</t>
        </is>
      </c>
      <c r="H4307">
        <f>VLOOKUP(C4307,Магазин!$A$2:$C$1000,2,0)</f>
        <v/>
      </c>
      <c r="I4307">
        <f>VLOOKUP(D4307,Товар!$A$2:$F$1000,3,0)</f>
        <v/>
      </c>
      <c r="J4307">
        <f>VLOOKUP(D4307,Товар!$A$2:$F$1000,5,0)</f>
        <v/>
      </c>
      <c r="K4307">
        <f>IF(AND(H4307="Промышленный",LEFT(I4307,18)="Порошок стиральный",F4307="Продажа",B4307=DATE(2023,6,7)),E4307*J4307/1000,0)</f>
        <v/>
      </c>
    </row>
    <row r="4308">
      <c r="A4308" t="n">
        <v>4307</v>
      </c>
      <c r="B4308" s="1" t="n">
        <v>45092</v>
      </c>
      <c r="C4308" s="5" t="inlineStr">
        <is>
          <t>M17</t>
        </is>
      </c>
      <c r="D4308" s="5" t="n">
        <v>47</v>
      </c>
      <c r="E4308" s="5" t="n">
        <v>114</v>
      </c>
      <c r="F4308" t="inlineStr">
        <is>
          <t>Продажа</t>
        </is>
      </c>
      <c r="H4308">
        <f>VLOOKUP(C4308,Магазин!$A$2:$C$1000,2,0)</f>
        <v/>
      </c>
      <c r="I4308">
        <f>VLOOKUP(D4308,Товар!$A$2:$F$1000,3,0)</f>
        <v/>
      </c>
      <c r="J4308">
        <f>VLOOKUP(D4308,Товар!$A$2:$F$1000,5,0)</f>
        <v/>
      </c>
      <c r="K4308">
        <f>IF(AND(H4308="Промышленный",LEFT(I4308,18)="Порошок стиральный",F4308="Продажа",B4308=DATE(2023,6,7)),E4308*J4308/1000,0)</f>
        <v/>
      </c>
    </row>
    <row r="4309">
      <c r="A4309" t="n">
        <v>4308</v>
      </c>
      <c r="B4309" s="1" t="n">
        <v>45092</v>
      </c>
      <c r="C4309" s="5" t="inlineStr">
        <is>
          <t>M17</t>
        </is>
      </c>
      <c r="D4309" s="5" t="n">
        <v>48</v>
      </c>
      <c r="E4309" s="5" t="n">
        <v>192</v>
      </c>
      <c r="F4309" t="inlineStr">
        <is>
          <t>Продажа</t>
        </is>
      </c>
      <c r="H4309">
        <f>VLOOKUP(C4309,Магазин!$A$2:$C$1000,2,0)</f>
        <v/>
      </c>
      <c r="I4309">
        <f>VLOOKUP(D4309,Товар!$A$2:$F$1000,3,0)</f>
        <v/>
      </c>
      <c r="J4309">
        <f>VLOOKUP(D4309,Товар!$A$2:$F$1000,5,0)</f>
        <v/>
      </c>
      <c r="K4309">
        <f>IF(AND(H4309="Промышленный",LEFT(I4309,18)="Порошок стиральный",F4309="Продажа",B4309=DATE(2023,6,7)),E4309*J4309/1000,0)</f>
        <v/>
      </c>
    </row>
    <row r="4310">
      <c r="A4310" t="n">
        <v>4309</v>
      </c>
      <c r="B4310" s="1" t="n">
        <v>45092</v>
      </c>
      <c r="C4310" s="5" t="inlineStr">
        <is>
          <t>M17</t>
        </is>
      </c>
      <c r="D4310" s="5" t="n">
        <v>49</v>
      </c>
      <c r="E4310" s="5" t="n">
        <v>145</v>
      </c>
      <c r="F4310" t="inlineStr">
        <is>
          <t>Продажа</t>
        </is>
      </c>
      <c r="H4310">
        <f>VLOOKUP(C4310,Магазин!$A$2:$C$1000,2,0)</f>
        <v/>
      </c>
      <c r="I4310">
        <f>VLOOKUP(D4310,Товар!$A$2:$F$1000,3,0)</f>
        <v/>
      </c>
      <c r="J4310">
        <f>VLOOKUP(D4310,Товар!$A$2:$F$1000,5,0)</f>
        <v/>
      </c>
      <c r="K4310">
        <f>IF(AND(H4310="Промышленный",LEFT(I4310,18)="Порошок стиральный",F4310="Продажа",B4310=DATE(2023,6,7)),E4310*J4310/1000,0)</f>
        <v/>
      </c>
    </row>
    <row r="4311">
      <c r="A4311" t="n">
        <v>4310</v>
      </c>
      <c r="B4311" s="1" t="n">
        <v>45092</v>
      </c>
      <c r="C4311" s="5" t="inlineStr">
        <is>
          <t>M17</t>
        </is>
      </c>
      <c r="D4311" s="5" t="n">
        <v>50</v>
      </c>
      <c r="E4311" s="5" t="n">
        <v>163</v>
      </c>
      <c r="F4311" t="inlineStr">
        <is>
          <t>Продажа</t>
        </is>
      </c>
      <c r="H4311">
        <f>VLOOKUP(C4311,Магазин!$A$2:$C$1000,2,0)</f>
        <v/>
      </c>
      <c r="I4311">
        <f>VLOOKUP(D4311,Товар!$A$2:$F$1000,3,0)</f>
        <v/>
      </c>
      <c r="J4311">
        <f>VLOOKUP(D4311,Товар!$A$2:$F$1000,5,0)</f>
        <v/>
      </c>
      <c r="K4311">
        <f>IF(AND(H4311="Промышленный",LEFT(I4311,18)="Порошок стиральный",F4311="Продажа",B4311=DATE(2023,6,7)),E4311*J4311/1000,0)</f>
        <v/>
      </c>
    </row>
    <row r="4312">
      <c r="A4312" t="n">
        <v>4311</v>
      </c>
      <c r="B4312" s="1" t="n">
        <v>45092</v>
      </c>
      <c r="C4312" s="5" t="inlineStr">
        <is>
          <t>M17</t>
        </is>
      </c>
      <c r="D4312" s="5" t="n">
        <v>51</v>
      </c>
      <c r="E4312" s="5" t="n">
        <v>128</v>
      </c>
      <c r="F4312" t="inlineStr">
        <is>
          <t>Продажа</t>
        </is>
      </c>
      <c r="H4312">
        <f>VLOOKUP(C4312,Магазин!$A$2:$C$1000,2,0)</f>
        <v/>
      </c>
      <c r="I4312">
        <f>VLOOKUP(D4312,Товар!$A$2:$F$1000,3,0)</f>
        <v/>
      </c>
      <c r="J4312">
        <f>VLOOKUP(D4312,Товар!$A$2:$F$1000,5,0)</f>
        <v/>
      </c>
      <c r="K4312">
        <f>IF(AND(H4312="Промышленный",LEFT(I4312,18)="Порошок стиральный",F4312="Продажа",B4312=DATE(2023,6,7)),E4312*J4312/1000,0)</f>
        <v/>
      </c>
    </row>
    <row r="4313">
      <c r="A4313" t="n">
        <v>4312</v>
      </c>
      <c r="B4313" s="1" t="n">
        <v>45092</v>
      </c>
      <c r="C4313" s="5" t="inlineStr">
        <is>
          <t>M17</t>
        </is>
      </c>
      <c r="D4313" s="5" t="n">
        <v>52</v>
      </c>
      <c r="E4313" s="5" t="n">
        <v>145</v>
      </c>
      <c r="F4313" t="inlineStr">
        <is>
          <t>Продажа</t>
        </is>
      </c>
      <c r="H4313">
        <f>VLOOKUP(C4313,Магазин!$A$2:$C$1000,2,0)</f>
        <v/>
      </c>
      <c r="I4313">
        <f>VLOOKUP(D4313,Товар!$A$2:$F$1000,3,0)</f>
        <v/>
      </c>
      <c r="J4313">
        <f>VLOOKUP(D4313,Товар!$A$2:$F$1000,5,0)</f>
        <v/>
      </c>
      <c r="K4313">
        <f>IF(AND(H4313="Промышленный",LEFT(I4313,18)="Порошок стиральный",F4313="Продажа",B4313=DATE(2023,6,7)),E4313*J4313/1000,0)</f>
        <v/>
      </c>
    </row>
    <row r="4314">
      <c r="A4314" t="n">
        <v>4313</v>
      </c>
      <c r="B4314" s="1" t="n">
        <v>45092</v>
      </c>
      <c r="C4314" s="5" t="inlineStr">
        <is>
          <t>M17</t>
        </is>
      </c>
      <c r="D4314" s="5" t="n">
        <v>53</v>
      </c>
      <c r="E4314" s="5" t="n">
        <v>138</v>
      </c>
      <c r="F4314" t="inlineStr">
        <is>
          <t>Продажа</t>
        </is>
      </c>
      <c r="H4314">
        <f>VLOOKUP(C4314,Магазин!$A$2:$C$1000,2,0)</f>
        <v/>
      </c>
      <c r="I4314">
        <f>VLOOKUP(D4314,Товар!$A$2:$F$1000,3,0)</f>
        <v/>
      </c>
      <c r="J4314">
        <f>VLOOKUP(D4314,Товар!$A$2:$F$1000,5,0)</f>
        <v/>
      </c>
      <c r="K4314">
        <f>IF(AND(H4314="Промышленный",LEFT(I4314,18)="Порошок стиральный",F4314="Продажа",B4314=DATE(2023,6,7)),E4314*J4314/1000,0)</f>
        <v/>
      </c>
    </row>
    <row r="4315">
      <c r="A4315" t="n">
        <v>4314</v>
      </c>
      <c r="B4315" s="1" t="n">
        <v>45092</v>
      </c>
      <c r="C4315" s="5" t="inlineStr">
        <is>
          <t>M17</t>
        </is>
      </c>
      <c r="D4315" s="5" t="n">
        <v>54</v>
      </c>
      <c r="E4315" s="5" t="n">
        <v>164</v>
      </c>
      <c r="F4315" t="inlineStr">
        <is>
          <t>Продажа</t>
        </is>
      </c>
      <c r="H4315">
        <f>VLOOKUP(C4315,Магазин!$A$2:$C$1000,2,0)</f>
        <v/>
      </c>
      <c r="I4315">
        <f>VLOOKUP(D4315,Товар!$A$2:$F$1000,3,0)</f>
        <v/>
      </c>
      <c r="J4315">
        <f>VLOOKUP(D4315,Товар!$A$2:$F$1000,5,0)</f>
        <v/>
      </c>
      <c r="K4315">
        <f>IF(AND(H4315="Промышленный",LEFT(I4315,18)="Порошок стиральный",F4315="Продажа",B4315=DATE(2023,6,7)),E4315*J4315/1000,0)</f>
        <v/>
      </c>
    </row>
    <row r="4316">
      <c r="A4316" t="n">
        <v>4315</v>
      </c>
      <c r="B4316" s="1" t="n">
        <v>45092</v>
      </c>
      <c r="C4316" s="5" t="inlineStr">
        <is>
          <t>M17</t>
        </is>
      </c>
      <c r="D4316" s="5" t="n">
        <v>55</v>
      </c>
      <c r="E4316" s="5" t="n">
        <v>176</v>
      </c>
      <c r="F4316" t="inlineStr">
        <is>
          <t>Продажа</t>
        </is>
      </c>
      <c r="H4316">
        <f>VLOOKUP(C4316,Магазин!$A$2:$C$1000,2,0)</f>
        <v/>
      </c>
      <c r="I4316">
        <f>VLOOKUP(D4316,Товар!$A$2:$F$1000,3,0)</f>
        <v/>
      </c>
      <c r="J4316">
        <f>VLOOKUP(D4316,Товар!$A$2:$F$1000,5,0)</f>
        <v/>
      </c>
      <c r="K4316">
        <f>IF(AND(H4316="Промышленный",LEFT(I4316,18)="Порошок стиральный",F4316="Продажа",B4316=DATE(2023,6,7)),E4316*J4316/1000,0)</f>
        <v/>
      </c>
    </row>
    <row r="4317">
      <c r="A4317" t="n">
        <v>4316</v>
      </c>
      <c r="B4317" s="1" t="n">
        <v>45092</v>
      </c>
      <c r="C4317" s="5" t="inlineStr">
        <is>
          <t>M17</t>
        </is>
      </c>
      <c r="D4317" s="5" t="n">
        <v>56</v>
      </c>
      <c r="E4317" s="5" t="n">
        <v>128</v>
      </c>
      <c r="F4317" t="inlineStr">
        <is>
          <t>Продажа</t>
        </is>
      </c>
      <c r="H4317">
        <f>VLOOKUP(C4317,Магазин!$A$2:$C$1000,2,0)</f>
        <v/>
      </c>
      <c r="I4317">
        <f>VLOOKUP(D4317,Товар!$A$2:$F$1000,3,0)</f>
        <v/>
      </c>
      <c r="J4317">
        <f>VLOOKUP(D4317,Товар!$A$2:$F$1000,5,0)</f>
        <v/>
      </c>
      <c r="K4317">
        <f>IF(AND(H4317="Промышленный",LEFT(I4317,18)="Порошок стиральный",F4317="Продажа",B4317=DATE(2023,6,7)),E4317*J4317/1000,0)</f>
        <v/>
      </c>
    </row>
    <row r="4318">
      <c r="A4318" t="n">
        <v>4317</v>
      </c>
      <c r="B4318" s="1" t="n">
        <v>45092</v>
      </c>
      <c r="C4318" s="5" t="inlineStr">
        <is>
          <t>M17</t>
        </is>
      </c>
      <c r="D4318" s="5" t="n">
        <v>57</v>
      </c>
      <c r="E4318" s="5" t="n">
        <v>146</v>
      </c>
      <c r="F4318" t="inlineStr">
        <is>
          <t>Продажа</t>
        </is>
      </c>
      <c r="H4318">
        <f>VLOOKUP(C4318,Магазин!$A$2:$C$1000,2,0)</f>
        <v/>
      </c>
      <c r="I4318">
        <f>VLOOKUP(D4318,Товар!$A$2:$F$1000,3,0)</f>
        <v/>
      </c>
      <c r="J4318">
        <f>VLOOKUP(D4318,Товар!$A$2:$F$1000,5,0)</f>
        <v/>
      </c>
      <c r="K4318">
        <f>IF(AND(H4318="Промышленный",LEFT(I4318,18)="Порошок стиральный",F4318="Продажа",B4318=DATE(2023,6,7)),E4318*J4318/1000,0)</f>
        <v/>
      </c>
    </row>
    <row r="4319">
      <c r="A4319" t="n">
        <v>4318</v>
      </c>
      <c r="B4319" s="1" t="n">
        <v>45092</v>
      </c>
      <c r="C4319" s="5" t="inlineStr">
        <is>
          <t>M17</t>
        </is>
      </c>
      <c r="D4319" s="5" t="n">
        <v>58</v>
      </c>
      <c r="E4319" s="5" t="n">
        <v>173</v>
      </c>
      <c r="F4319" t="inlineStr">
        <is>
          <t>Продажа</t>
        </is>
      </c>
      <c r="H4319">
        <f>VLOOKUP(C4319,Магазин!$A$2:$C$1000,2,0)</f>
        <v/>
      </c>
      <c r="I4319">
        <f>VLOOKUP(D4319,Товар!$A$2:$F$1000,3,0)</f>
        <v/>
      </c>
      <c r="J4319">
        <f>VLOOKUP(D4319,Товар!$A$2:$F$1000,5,0)</f>
        <v/>
      </c>
      <c r="K4319">
        <f>IF(AND(H4319="Промышленный",LEFT(I4319,18)="Порошок стиральный",F4319="Продажа",B4319=DATE(2023,6,7)),E4319*J4319/1000,0)</f>
        <v/>
      </c>
    </row>
    <row r="4320">
      <c r="A4320" t="n">
        <v>4319</v>
      </c>
      <c r="B4320" s="1" t="n">
        <v>45092</v>
      </c>
      <c r="C4320" s="5" t="inlineStr">
        <is>
          <t>M17</t>
        </is>
      </c>
      <c r="D4320" s="5" t="n">
        <v>59</v>
      </c>
      <c r="E4320" s="5" t="n">
        <v>180</v>
      </c>
      <c r="F4320" t="inlineStr">
        <is>
          <t>Продажа</t>
        </is>
      </c>
      <c r="H4320">
        <f>VLOOKUP(C4320,Магазин!$A$2:$C$1000,2,0)</f>
        <v/>
      </c>
      <c r="I4320">
        <f>VLOOKUP(D4320,Товар!$A$2:$F$1000,3,0)</f>
        <v/>
      </c>
      <c r="J4320">
        <f>VLOOKUP(D4320,Товар!$A$2:$F$1000,5,0)</f>
        <v/>
      </c>
      <c r="K4320">
        <f>IF(AND(H4320="Промышленный",LEFT(I4320,18)="Порошок стиральный",F4320="Продажа",B4320=DATE(2023,6,7)),E4320*J4320/1000,0)</f>
        <v/>
      </c>
    </row>
    <row r="4321">
      <c r="A4321" t="n">
        <v>4320</v>
      </c>
      <c r="B4321" s="1" t="n">
        <v>45092</v>
      </c>
      <c r="C4321" s="5" t="inlineStr">
        <is>
          <t>M17</t>
        </is>
      </c>
      <c r="D4321" s="5" t="n">
        <v>60</v>
      </c>
      <c r="E4321" s="5" t="n">
        <v>147</v>
      </c>
      <c r="F4321" t="inlineStr">
        <is>
          <t>Продажа</t>
        </is>
      </c>
      <c r="H4321">
        <f>VLOOKUP(C4321,Магазин!$A$2:$C$1000,2,0)</f>
        <v/>
      </c>
      <c r="I4321">
        <f>VLOOKUP(D4321,Товар!$A$2:$F$1000,3,0)</f>
        <v/>
      </c>
      <c r="J4321">
        <f>VLOOKUP(D4321,Товар!$A$2:$F$1000,5,0)</f>
        <v/>
      </c>
      <c r="K4321">
        <f>IF(AND(H4321="Промышленный",LEFT(I4321,18)="Порошок стиральный",F4321="Продажа",B4321=DATE(2023,6,7)),E4321*J4321/1000,0)</f>
        <v/>
      </c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tabSelected="1" workbookViewId="0">
      <selection activeCell="A1" sqref="A1"/>
    </sheetView>
  </sheetViews>
  <sheetFormatPr baseColWidth="8" defaultColWidth="8.85546875" defaultRowHeight="15"/>
  <cols>
    <col width="9.140625" customWidth="1" style="4" min="1" max="1"/>
    <col width="20.85546875" customWidth="1" style="4" min="2" max="2"/>
    <col width="38.28515625" customWidth="1" style="4" min="3" max="3"/>
    <col width="9.42578125" customWidth="1" style="4" min="4" max="4"/>
    <col width="12.85546875" customWidth="1" style="4" min="5" max="5"/>
    <col width="11" customWidth="1" style="4" min="6" max="6"/>
  </cols>
  <sheetData>
    <row r="1" ht="30" customHeight="1" s="4">
      <c r="A1" s="2" t="inlineStr">
        <is>
          <t>Артикул</t>
        </is>
      </c>
      <c r="B1" s="2" t="inlineStr">
        <is>
          <t>Отдел</t>
        </is>
      </c>
      <c r="C1" s="2" t="inlineStr">
        <is>
          <t>Наименование товара</t>
        </is>
      </c>
      <c r="D1" s="2" t="inlineStr">
        <is>
          <t>Ед_изм</t>
        </is>
      </c>
      <c r="E1" s="2" t="inlineStr">
        <is>
          <t>Количество в упаковке</t>
        </is>
      </c>
      <c r="F1" s="2" t="inlineStr">
        <is>
          <t>Цена за упаковку</t>
        </is>
      </c>
    </row>
    <row r="2">
      <c r="A2" t="n">
        <v>1</v>
      </c>
      <c r="B2" t="inlineStr">
        <is>
          <t>Бытовая химия</t>
        </is>
      </c>
      <c r="C2" t="inlineStr">
        <is>
          <t>Гель для деликатной стирки</t>
        </is>
      </c>
      <c r="D2" t="inlineStr">
        <is>
          <t xml:space="preserve">мл </t>
        </is>
      </c>
      <c r="E2" t="n">
        <v>1000</v>
      </c>
      <c r="F2" t="n">
        <v>190</v>
      </c>
    </row>
    <row r="3">
      <c r="A3" t="n">
        <v>2</v>
      </c>
      <c r="B3" t="inlineStr">
        <is>
          <t>Бытовая химия</t>
        </is>
      </c>
      <c r="C3" t="inlineStr">
        <is>
          <t>Гель для удаления засоров</t>
        </is>
      </c>
      <c r="D3" t="inlineStr">
        <is>
          <t xml:space="preserve">мл </t>
        </is>
      </c>
      <c r="E3" t="n">
        <v>500</v>
      </c>
      <c r="F3" t="n">
        <v>130</v>
      </c>
    </row>
    <row r="4">
      <c r="A4" t="n">
        <v>3</v>
      </c>
      <c r="B4" t="inlineStr">
        <is>
          <t>Бытовая химия</t>
        </is>
      </c>
      <c r="C4" t="inlineStr">
        <is>
          <t>Гель для чистки и дезинфекции</t>
        </is>
      </c>
      <c r="D4" t="inlineStr">
        <is>
          <t xml:space="preserve">мл </t>
        </is>
      </c>
      <c r="E4" t="n">
        <v>750</v>
      </c>
      <c r="F4" t="n">
        <v>70</v>
      </c>
    </row>
    <row r="5">
      <c r="A5" t="n">
        <v>4</v>
      </c>
      <c r="B5" t="inlineStr">
        <is>
          <t>Бытовая химия</t>
        </is>
      </c>
      <c r="C5" t="inlineStr">
        <is>
          <t>Ополаскиватель для белья лаванда</t>
        </is>
      </c>
      <c r="D5" t="inlineStr">
        <is>
          <t xml:space="preserve">мл </t>
        </is>
      </c>
      <c r="E5" t="n">
        <v>2000</v>
      </c>
      <c r="F5" t="n">
        <v>180</v>
      </c>
    </row>
    <row r="6">
      <c r="A6" t="n">
        <v>5</v>
      </c>
      <c r="B6" t="inlineStr">
        <is>
          <t>Бытовая химия</t>
        </is>
      </c>
      <c r="C6" t="inlineStr">
        <is>
          <t>Ополаскиватель для белья хвойный</t>
        </is>
      </c>
      <c r="D6" t="inlineStr">
        <is>
          <t xml:space="preserve">мл </t>
        </is>
      </c>
      <c r="E6" t="n">
        <v>1000</v>
      </c>
      <c r="F6" t="n">
        <v>95</v>
      </c>
    </row>
    <row r="7">
      <c r="A7" t="n">
        <v>6</v>
      </c>
      <c r="B7" t="inlineStr">
        <is>
          <t>Бытовая химия</t>
        </is>
      </c>
      <c r="C7" t="inlineStr">
        <is>
          <t xml:space="preserve">Освежитель воздуха </t>
        </is>
      </c>
      <c r="D7" t="inlineStr">
        <is>
          <t xml:space="preserve">мл </t>
        </is>
      </c>
      <c r="E7" t="n">
        <v>250</v>
      </c>
      <c r="F7" t="n">
        <v>220</v>
      </c>
    </row>
    <row r="8">
      <c r="A8" t="n">
        <v>7</v>
      </c>
      <c r="B8" t="inlineStr">
        <is>
          <t>Бытовая химия</t>
        </is>
      </c>
      <c r="C8" t="inlineStr">
        <is>
          <t>Отбеливатель</t>
        </is>
      </c>
      <c r="D8" t="inlineStr">
        <is>
          <t xml:space="preserve">мл </t>
        </is>
      </c>
      <c r="E8" t="n">
        <v>1000</v>
      </c>
      <c r="F8" t="n">
        <v>100</v>
      </c>
    </row>
    <row r="9">
      <c r="A9" t="n">
        <v>8</v>
      </c>
      <c r="B9" t="inlineStr">
        <is>
          <t>Бытовая химия</t>
        </is>
      </c>
      <c r="C9" t="inlineStr">
        <is>
          <t>Порошок стиральный детский</t>
        </is>
      </c>
      <c r="D9" t="inlineStr">
        <is>
          <t>грамм</t>
        </is>
      </c>
      <c r="E9" t="n">
        <v>900</v>
      </c>
      <c r="F9" t="n">
        <v>370</v>
      </c>
    </row>
    <row r="10">
      <c r="A10" t="n">
        <v>9</v>
      </c>
      <c r="B10" t="inlineStr">
        <is>
          <t>Бытовая химия</t>
        </is>
      </c>
      <c r="C10" t="inlineStr">
        <is>
          <t>Порошок стиральный для белого</t>
        </is>
      </c>
      <c r="D10" t="inlineStr">
        <is>
          <t>грамм</t>
        </is>
      </c>
      <c r="E10" t="n">
        <v>3000</v>
      </c>
      <c r="F10" t="n">
        <v>250</v>
      </c>
    </row>
    <row r="11">
      <c r="A11" t="n">
        <v>10</v>
      </c>
      <c r="B11" t="inlineStr">
        <is>
          <t>Бытовая химия</t>
        </is>
      </c>
      <c r="C11" t="inlineStr">
        <is>
          <t>Порошок стиральный для цветного</t>
        </is>
      </c>
      <c r="D11" t="inlineStr">
        <is>
          <t>грамм</t>
        </is>
      </c>
      <c r="E11" t="n">
        <v>3000</v>
      </c>
      <c r="F11" t="n">
        <v>270</v>
      </c>
    </row>
    <row r="12">
      <c r="A12" t="n">
        <v>11</v>
      </c>
      <c r="B12" t="inlineStr">
        <is>
          <t>Бытовая химия</t>
        </is>
      </c>
      <c r="C12" t="inlineStr">
        <is>
          <t>Пятновыводитель для ковров</t>
        </is>
      </c>
      <c r="D12" t="inlineStr">
        <is>
          <t xml:space="preserve">мл </t>
        </is>
      </c>
      <c r="E12" t="n">
        <v>1000</v>
      </c>
      <c r="F12" t="n">
        <v>280</v>
      </c>
    </row>
    <row r="13">
      <c r="A13" t="n">
        <v>12</v>
      </c>
      <c r="B13" t="inlineStr">
        <is>
          <t>Бытовая химия</t>
        </is>
      </c>
      <c r="C13" t="inlineStr">
        <is>
          <t>Пятновыводитель для мебели</t>
        </is>
      </c>
      <c r="D13" t="inlineStr">
        <is>
          <t xml:space="preserve">мл </t>
        </is>
      </c>
      <c r="E13" t="n">
        <v>750</v>
      </c>
      <c r="F13" t="n">
        <v>900</v>
      </c>
    </row>
    <row r="14">
      <c r="A14" t="n">
        <v>13</v>
      </c>
      <c r="B14" t="inlineStr">
        <is>
          <t>Бытовая химия</t>
        </is>
      </c>
      <c r="C14" t="inlineStr">
        <is>
          <t>Пятновыводитель для стирки</t>
        </is>
      </c>
      <c r="D14" t="inlineStr">
        <is>
          <t xml:space="preserve">мл </t>
        </is>
      </c>
      <c r="E14" t="n">
        <v>1000</v>
      </c>
      <c r="F14" t="n">
        <v>285</v>
      </c>
    </row>
    <row r="15">
      <c r="A15" t="n">
        <v>14</v>
      </c>
      <c r="B15" t="inlineStr">
        <is>
          <t>Бытовая химия</t>
        </is>
      </c>
      <c r="C15" t="inlineStr">
        <is>
          <t>Спрей для дезинфекции поверхностей</t>
        </is>
      </c>
      <c r="D15" t="inlineStr">
        <is>
          <t xml:space="preserve">мл </t>
        </is>
      </c>
      <c r="E15" t="n">
        <v>500</v>
      </c>
      <c r="F15" t="n">
        <v>450</v>
      </c>
    </row>
    <row r="16">
      <c r="A16" t="n">
        <v>15</v>
      </c>
      <c r="B16" t="inlineStr">
        <is>
          <t>Бытовая химия</t>
        </is>
      </c>
      <c r="C16" t="inlineStr">
        <is>
          <t>Спрей для мытья окон и зеркал</t>
        </is>
      </c>
      <c r="D16" t="inlineStr">
        <is>
          <t xml:space="preserve">мл </t>
        </is>
      </c>
      <c r="E16" t="n">
        <v>500</v>
      </c>
      <c r="F16" t="n">
        <v>140</v>
      </c>
    </row>
    <row r="17">
      <c r="A17" t="n">
        <v>16</v>
      </c>
      <c r="B17" t="inlineStr">
        <is>
          <t>Бытовая химия</t>
        </is>
      </c>
      <c r="C17" t="inlineStr">
        <is>
          <t>Средство для мытья посуды лимон</t>
        </is>
      </c>
      <c r="D17" t="inlineStr">
        <is>
          <t xml:space="preserve">мл </t>
        </is>
      </c>
      <c r="E17" t="n">
        <v>900</v>
      </c>
      <c r="F17" t="n">
        <v>105</v>
      </c>
    </row>
    <row r="18">
      <c r="A18" t="n">
        <v>17</v>
      </c>
      <c r="B18" t="inlineStr">
        <is>
          <t>Бытовая химия</t>
        </is>
      </c>
      <c r="C18" t="inlineStr">
        <is>
          <t>Средство для мытья полов</t>
        </is>
      </c>
      <c r="D18" t="inlineStr">
        <is>
          <t xml:space="preserve">мл </t>
        </is>
      </c>
      <c r="E18" t="n">
        <v>750</v>
      </c>
      <c r="F18" t="n">
        <v>110</v>
      </c>
    </row>
    <row r="19">
      <c r="A19" t="n">
        <v>18</v>
      </c>
      <c r="B19" t="inlineStr">
        <is>
          <t>Бытовая химия</t>
        </is>
      </c>
      <c r="C19" t="inlineStr">
        <is>
          <t>Средство для мытья сантехники</t>
        </is>
      </c>
      <c r="D19" t="inlineStr">
        <is>
          <t xml:space="preserve">мл </t>
        </is>
      </c>
      <c r="E19" t="n">
        <v>750</v>
      </c>
      <c r="F19" t="n">
        <v>120</v>
      </c>
    </row>
    <row r="20">
      <c r="A20" t="n">
        <v>19</v>
      </c>
      <c r="B20" t="inlineStr">
        <is>
          <t>Бытовая химия</t>
        </is>
      </c>
      <c r="C20" t="inlineStr">
        <is>
          <t>Средство для чистки металла</t>
        </is>
      </c>
      <c r="D20" t="inlineStr">
        <is>
          <t xml:space="preserve">мл </t>
        </is>
      </c>
      <c r="E20" t="n">
        <v>250</v>
      </c>
      <c r="F20" t="n">
        <v>80</v>
      </c>
    </row>
    <row r="21">
      <c r="A21" t="n">
        <v>20</v>
      </c>
      <c r="B21" t="inlineStr">
        <is>
          <t>Бытовая химия</t>
        </is>
      </c>
      <c r="C21" t="inlineStr">
        <is>
          <t xml:space="preserve">Таблетки для посудомоечных машин </t>
        </is>
      </c>
      <c r="D21" t="inlineStr">
        <is>
          <t>шт</t>
        </is>
      </c>
      <c r="E21" t="n">
        <v>1</v>
      </c>
      <c r="F21" t="n">
        <v>900</v>
      </c>
    </row>
    <row r="22">
      <c r="A22" t="n">
        <v>21</v>
      </c>
      <c r="B22" t="inlineStr">
        <is>
          <t>Красота и здоровье</t>
        </is>
      </c>
      <c r="C22" t="inlineStr">
        <is>
          <t>Антиперспирант шариковый</t>
        </is>
      </c>
      <c r="D22" t="inlineStr">
        <is>
          <t xml:space="preserve">мл </t>
        </is>
      </c>
      <c r="E22" t="n">
        <v>50</v>
      </c>
      <c r="F22" t="n">
        <v>150</v>
      </c>
    </row>
    <row r="23">
      <c r="A23" t="n">
        <v>22</v>
      </c>
      <c r="B23" t="inlineStr">
        <is>
          <t>Красота и здоровье</t>
        </is>
      </c>
      <c r="C23" t="inlineStr">
        <is>
          <t>Антисептик для рук гель</t>
        </is>
      </c>
      <c r="D23" t="inlineStr">
        <is>
          <t xml:space="preserve">мл </t>
        </is>
      </c>
      <c r="E23" t="n">
        <v>500</v>
      </c>
      <c r="F23" t="n">
        <v>210</v>
      </c>
    </row>
    <row r="24">
      <c r="A24" t="n">
        <v>23</v>
      </c>
      <c r="B24" t="inlineStr">
        <is>
          <t>Красота и здоровье</t>
        </is>
      </c>
      <c r="C24" t="inlineStr">
        <is>
          <t>Гель для бритья</t>
        </is>
      </c>
      <c r="D24" t="inlineStr">
        <is>
          <t xml:space="preserve">мл </t>
        </is>
      </c>
      <c r="E24" t="n">
        <v>200</v>
      </c>
      <c r="F24" t="n">
        <v>220</v>
      </c>
    </row>
    <row r="25">
      <c r="A25" t="n">
        <v>24</v>
      </c>
      <c r="B25" t="inlineStr">
        <is>
          <t>Красота и здоровье</t>
        </is>
      </c>
      <c r="C25" t="inlineStr">
        <is>
          <t>Гель для душа тонизирующий</t>
        </is>
      </c>
      <c r="D25" t="inlineStr">
        <is>
          <t xml:space="preserve">мл </t>
        </is>
      </c>
      <c r="E25" t="n">
        <v>350</v>
      </c>
      <c r="F25" t="n">
        <v>120</v>
      </c>
    </row>
    <row r="26">
      <c r="A26" t="n">
        <v>25</v>
      </c>
      <c r="B26" t="inlineStr">
        <is>
          <t>Красота и здоровье</t>
        </is>
      </c>
      <c r="C26" t="inlineStr">
        <is>
          <t>Гель для душа успокаивающий</t>
        </is>
      </c>
      <c r="D26" t="inlineStr">
        <is>
          <t xml:space="preserve">мл </t>
        </is>
      </c>
      <c r="E26" t="n">
        <v>350</v>
      </c>
      <c r="F26" t="n">
        <v>110</v>
      </c>
    </row>
    <row r="27">
      <c r="A27" t="n">
        <v>26</v>
      </c>
      <c r="B27" t="inlineStr">
        <is>
          <t>Красота и здоровье</t>
        </is>
      </c>
      <c r="C27" t="inlineStr">
        <is>
          <t>Дезодорант  спрей</t>
        </is>
      </c>
      <c r="D27" t="inlineStr">
        <is>
          <t xml:space="preserve">мл </t>
        </is>
      </c>
      <c r="E27" t="n">
        <v>150</v>
      </c>
      <c r="F27" t="n">
        <v>180</v>
      </c>
    </row>
    <row r="28">
      <c r="A28" t="n">
        <v>27</v>
      </c>
      <c r="B28" t="inlineStr">
        <is>
          <t>Красота и здоровье</t>
        </is>
      </c>
      <c r="C28" t="inlineStr">
        <is>
          <t>Жидкое антибактериальное мыло</t>
        </is>
      </c>
      <c r="D28" t="inlineStr">
        <is>
          <t xml:space="preserve">мл </t>
        </is>
      </c>
      <c r="E28" t="n">
        <v>250</v>
      </c>
      <c r="F28" t="n">
        <v>160</v>
      </c>
    </row>
    <row r="29">
      <c r="A29" t="n">
        <v>28</v>
      </c>
      <c r="B29" t="inlineStr">
        <is>
          <t>Красота и здоровье</t>
        </is>
      </c>
      <c r="C29" t="inlineStr">
        <is>
          <t xml:space="preserve">Кондиционер-ополаскиватель для волос </t>
        </is>
      </c>
      <c r="D29" t="inlineStr">
        <is>
          <t xml:space="preserve">мл </t>
        </is>
      </c>
      <c r="E29" t="n">
        <v>300</v>
      </c>
      <c r="F29" t="n">
        <v>250</v>
      </c>
    </row>
    <row r="30">
      <c r="A30" t="n">
        <v>29</v>
      </c>
      <c r="B30" t="inlineStr">
        <is>
          <t>Красота и здоровье</t>
        </is>
      </c>
      <c r="C30" t="inlineStr">
        <is>
          <t>Крем для лица увлажняющий</t>
        </is>
      </c>
      <c r="D30" t="inlineStr">
        <is>
          <t xml:space="preserve">мл </t>
        </is>
      </c>
      <c r="E30" t="n">
        <v>75</v>
      </c>
      <c r="F30" t="n">
        <v>80</v>
      </c>
    </row>
    <row r="31">
      <c r="A31" t="n">
        <v>30</v>
      </c>
      <c r="B31" t="inlineStr">
        <is>
          <t>Красота и здоровье</t>
        </is>
      </c>
      <c r="C31" t="inlineStr">
        <is>
          <t>Крем-масло для рук и тела</t>
        </is>
      </c>
      <c r="D31" t="inlineStr">
        <is>
          <t xml:space="preserve">мл </t>
        </is>
      </c>
      <c r="E31" t="n">
        <v>75</v>
      </c>
      <c r="F31" t="n">
        <v>50</v>
      </c>
    </row>
    <row r="32">
      <c r="A32" t="n">
        <v>31</v>
      </c>
      <c r="B32" t="inlineStr">
        <is>
          <t>Красота и здоровье</t>
        </is>
      </c>
      <c r="C32" t="inlineStr">
        <is>
          <t>Крем-мыло для лица и тела</t>
        </is>
      </c>
      <c r="D32" t="inlineStr">
        <is>
          <t>грамм</t>
        </is>
      </c>
      <c r="E32" t="n">
        <v>150</v>
      </c>
      <c r="F32" t="n">
        <v>50</v>
      </c>
    </row>
    <row r="33">
      <c r="A33" t="n">
        <v>32</v>
      </c>
      <c r="B33" t="inlineStr">
        <is>
          <t>Красота и здоровье</t>
        </is>
      </c>
      <c r="C33" t="inlineStr">
        <is>
          <t>Лосьон для лица после бритья</t>
        </is>
      </c>
      <c r="D33" t="inlineStr">
        <is>
          <t xml:space="preserve">мл </t>
        </is>
      </c>
      <c r="E33" t="n">
        <v>100</v>
      </c>
      <c r="F33" t="n">
        <v>100</v>
      </c>
    </row>
    <row r="34">
      <c r="A34" t="n">
        <v>33</v>
      </c>
      <c r="B34" t="inlineStr">
        <is>
          <t>Красота и здоровье</t>
        </is>
      </c>
      <c r="C34" t="inlineStr">
        <is>
          <t>Мусс для умывания</t>
        </is>
      </c>
      <c r="D34" t="inlineStr">
        <is>
          <t xml:space="preserve">мл </t>
        </is>
      </c>
      <c r="E34" t="n">
        <v>150</v>
      </c>
      <c r="F34" t="n">
        <v>215</v>
      </c>
    </row>
    <row r="35">
      <c r="A35" t="n">
        <v>34</v>
      </c>
      <c r="B35" t="inlineStr">
        <is>
          <t>Красота и здоровье</t>
        </is>
      </c>
      <c r="C35" t="inlineStr">
        <is>
          <t>Мыло детское</t>
        </is>
      </c>
      <c r="D35" t="inlineStr">
        <is>
          <t>грамм</t>
        </is>
      </c>
      <c r="E35" t="n">
        <v>100</v>
      </c>
      <c r="F35" t="n">
        <v>20</v>
      </c>
    </row>
    <row r="36">
      <c r="A36" t="n">
        <v>35</v>
      </c>
      <c r="B36" t="inlineStr">
        <is>
          <t>Красота и здоровье</t>
        </is>
      </c>
      <c r="C36" t="inlineStr">
        <is>
          <t>Мыло туалетное земляничное</t>
        </is>
      </c>
      <c r="D36" t="inlineStr">
        <is>
          <t>грамм</t>
        </is>
      </c>
      <c r="E36" t="n">
        <v>150</v>
      </c>
      <c r="F36" t="n">
        <v>30</v>
      </c>
    </row>
    <row r="37">
      <c r="A37" t="n">
        <v>36</v>
      </c>
      <c r="B37" t="inlineStr">
        <is>
          <t>Красота и здоровье</t>
        </is>
      </c>
      <c r="C37" t="inlineStr">
        <is>
          <t>Пена для бритья</t>
        </is>
      </c>
      <c r="D37" t="inlineStr">
        <is>
          <t xml:space="preserve">мл </t>
        </is>
      </c>
      <c r="E37" t="n">
        <v>200</v>
      </c>
      <c r="F37" t="n">
        <v>80</v>
      </c>
    </row>
    <row r="38">
      <c r="A38" t="n">
        <v>37</v>
      </c>
      <c r="B38" t="inlineStr">
        <is>
          <t>Красота и здоровье</t>
        </is>
      </c>
      <c r="C38" t="inlineStr">
        <is>
          <t xml:space="preserve">Пена для ванн </t>
        </is>
      </c>
      <c r="D38" t="inlineStr">
        <is>
          <t xml:space="preserve">мл </t>
        </is>
      </c>
      <c r="E38" t="n">
        <v>500</v>
      </c>
      <c r="F38" t="n">
        <v>200</v>
      </c>
    </row>
    <row r="39">
      <c r="A39" t="n">
        <v>38</v>
      </c>
      <c r="B39" t="inlineStr">
        <is>
          <t>Красота и здоровье</t>
        </is>
      </c>
      <c r="C39" t="inlineStr">
        <is>
          <t>Шампунь для жирных волос</t>
        </is>
      </c>
      <c r="D39" t="inlineStr">
        <is>
          <t xml:space="preserve">мл </t>
        </is>
      </c>
      <c r="E39" t="n">
        <v>300</v>
      </c>
      <c r="F39" t="n">
        <v>180</v>
      </c>
    </row>
    <row r="40">
      <c r="A40" t="n">
        <v>39</v>
      </c>
      <c r="B40" t="inlineStr">
        <is>
          <t>Красота и здоровье</t>
        </is>
      </c>
      <c r="C40" t="inlineStr">
        <is>
          <t>Шампунь для нормальных волос</t>
        </is>
      </c>
      <c r="D40" t="inlineStr">
        <is>
          <t xml:space="preserve">мл </t>
        </is>
      </c>
      <c r="E40" t="n">
        <v>300</v>
      </c>
      <c r="F40" t="n">
        <v>160</v>
      </c>
    </row>
    <row r="41">
      <c r="A41" t="n">
        <v>40</v>
      </c>
      <c r="B41" t="inlineStr">
        <is>
          <t>Красота и здоровье</t>
        </is>
      </c>
      <c r="C41" t="inlineStr">
        <is>
          <t>Шампунь для сухих волос</t>
        </is>
      </c>
      <c r="D41" t="inlineStr">
        <is>
          <t xml:space="preserve">мл </t>
        </is>
      </c>
      <c r="E41" t="n">
        <v>300</v>
      </c>
      <c r="F41" t="n">
        <v>200</v>
      </c>
    </row>
    <row r="42">
      <c r="A42" t="n">
        <v>41</v>
      </c>
      <c r="B42" t="inlineStr">
        <is>
          <t>Гигиена</t>
        </is>
      </c>
      <c r="C42" t="inlineStr">
        <is>
          <t>Бумага туалетная двухслойная</t>
        </is>
      </c>
      <c r="D42" t="inlineStr">
        <is>
          <t>шт</t>
        </is>
      </c>
      <c r="E42" t="n">
        <v>4</v>
      </c>
      <c r="F42" t="n">
        <v>90</v>
      </c>
    </row>
    <row r="43">
      <c r="A43" t="n">
        <v>42</v>
      </c>
      <c r="B43" t="inlineStr">
        <is>
          <t>Гигиена</t>
        </is>
      </c>
      <c r="C43" t="inlineStr">
        <is>
          <t>Бумага туалетная однослойная</t>
        </is>
      </c>
      <c r="D43" t="inlineStr">
        <is>
          <t>шт</t>
        </is>
      </c>
      <c r="E43" t="n">
        <v>1</v>
      </c>
      <c r="F43" t="n">
        <v>20</v>
      </c>
    </row>
    <row r="44">
      <c r="A44" t="n">
        <v>43</v>
      </c>
      <c r="B44" t="inlineStr">
        <is>
          <t>Гигиена</t>
        </is>
      </c>
      <c r="C44" t="inlineStr">
        <is>
          <t>Бумажные полотенца в рулоне</t>
        </is>
      </c>
      <c r="D44" t="inlineStr">
        <is>
          <t>шт</t>
        </is>
      </c>
      <c r="E44" t="n">
        <v>2</v>
      </c>
      <c r="F44" t="n">
        <v>80</v>
      </c>
    </row>
    <row r="45">
      <c r="A45" t="n">
        <v>44</v>
      </c>
      <c r="B45" t="inlineStr">
        <is>
          <t>Гигиена</t>
        </is>
      </c>
      <c r="C45" t="inlineStr">
        <is>
          <t>Ватные диски 120 шт в полиэтилене</t>
        </is>
      </c>
      <c r="D45" t="inlineStr">
        <is>
          <t>шт</t>
        </is>
      </c>
      <c r="E45" t="n">
        <v>1</v>
      </c>
      <c r="F45" t="n">
        <v>60</v>
      </c>
    </row>
    <row r="46">
      <c r="A46" t="n">
        <v>45</v>
      </c>
      <c r="B46" t="inlineStr">
        <is>
          <t>Гигиена</t>
        </is>
      </c>
      <c r="C46" t="inlineStr">
        <is>
          <t>Ватные палочки 100 шт банка</t>
        </is>
      </c>
      <c r="D46" t="inlineStr">
        <is>
          <t>шт</t>
        </is>
      </c>
      <c r="E46" t="n">
        <v>1</v>
      </c>
      <c r="F46" t="n">
        <v>90</v>
      </c>
    </row>
    <row r="47">
      <c r="A47" t="n">
        <v>46</v>
      </c>
      <c r="B47" t="inlineStr">
        <is>
          <t>Гигиена</t>
        </is>
      </c>
      <c r="C47" t="inlineStr">
        <is>
          <t>Губка банная для тела</t>
        </is>
      </c>
      <c r="D47" t="inlineStr">
        <is>
          <t>шт</t>
        </is>
      </c>
      <c r="E47" t="n">
        <v>1</v>
      </c>
      <c r="F47" t="n">
        <v>115</v>
      </c>
    </row>
    <row r="48">
      <c r="A48" t="n">
        <v>47</v>
      </c>
      <c r="B48" t="inlineStr">
        <is>
          <t>Гигиена</t>
        </is>
      </c>
      <c r="C48" t="inlineStr">
        <is>
          <t>Губки для мытья посуды 5 шт</t>
        </is>
      </c>
      <c r="D48" t="inlineStr">
        <is>
          <t>шт</t>
        </is>
      </c>
      <c r="E48" t="n">
        <v>1</v>
      </c>
      <c r="F48" t="n">
        <v>60</v>
      </c>
    </row>
    <row r="49">
      <c r="A49" t="n">
        <v>48</v>
      </c>
      <c r="B49" t="inlineStr">
        <is>
          <t>Гигиена</t>
        </is>
      </c>
      <c r="C49" t="inlineStr">
        <is>
          <t>Мочалка для тела массажная</t>
        </is>
      </c>
      <c r="D49" t="inlineStr">
        <is>
          <t>шт</t>
        </is>
      </c>
      <c r="E49" t="n">
        <v>1</v>
      </c>
      <c r="F49" t="n">
        <v>180</v>
      </c>
    </row>
    <row r="50">
      <c r="A50" t="n">
        <v>49</v>
      </c>
      <c r="B50" t="inlineStr">
        <is>
          <t>Гигиена</t>
        </is>
      </c>
      <c r="C50" t="inlineStr">
        <is>
          <t>Расческа</t>
        </is>
      </c>
      <c r="D50" t="inlineStr">
        <is>
          <t>шт</t>
        </is>
      </c>
      <c r="E50" t="n">
        <v>1</v>
      </c>
      <c r="F50" t="n">
        <v>40</v>
      </c>
    </row>
    <row r="51">
      <c r="A51" t="n">
        <v>50</v>
      </c>
      <c r="B51" t="inlineStr">
        <is>
          <t>Гигиена</t>
        </is>
      </c>
      <c r="C51" t="inlineStr">
        <is>
          <t>Салфетки бумажные сервировочные</t>
        </is>
      </c>
      <c r="D51" t="inlineStr">
        <is>
          <t>шт</t>
        </is>
      </c>
      <c r="E51" t="n">
        <v>1</v>
      </c>
      <c r="F51" t="n">
        <v>35</v>
      </c>
    </row>
    <row r="52">
      <c r="A52" t="n">
        <v>51</v>
      </c>
      <c r="B52" t="inlineStr">
        <is>
          <t>Гигиена</t>
        </is>
      </c>
      <c r="C52" t="inlineStr">
        <is>
          <t>Салфетки влажные антибактериальные</t>
        </is>
      </c>
      <c r="D52" t="inlineStr">
        <is>
          <t>шт</t>
        </is>
      </c>
      <c r="E52" t="n">
        <v>1</v>
      </c>
      <c r="F52" t="n">
        <v>110</v>
      </c>
    </row>
    <row r="53">
      <c r="A53" t="n">
        <v>52</v>
      </c>
      <c r="B53" t="inlineStr">
        <is>
          <t>Гигиена</t>
        </is>
      </c>
      <c r="C53" t="inlineStr">
        <is>
          <t>Салфетки косметические в коробке</t>
        </is>
      </c>
      <c r="D53" t="inlineStr">
        <is>
          <t>шт</t>
        </is>
      </c>
      <c r="E53" t="n">
        <v>1</v>
      </c>
      <c r="F53" t="n">
        <v>70</v>
      </c>
    </row>
    <row r="54">
      <c r="A54" t="n">
        <v>53</v>
      </c>
      <c r="B54" t="inlineStr">
        <is>
          <t>Гигиена</t>
        </is>
      </c>
      <c r="C54" t="inlineStr">
        <is>
          <t xml:space="preserve">Тряпка для пола </t>
        </is>
      </c>
      <c r="D54" t="inlineStr">
        <is>
          <t>шт</t>
        </is>
      </c>
      <c r="E54" t="n">
        <v>2</v>
      </c>
      <c r="F54" t="n">
        <v>250</v>
      </c>
    </row>
    <row r="55">
      <c r="A55" t="n">
        <v>54</v>
      </c>
      <c r="B55" t="inlineStr">
        <is>
          <t>Гигиена</t>
        </is>
      </c>
      <c r="C55" t="inlineStr">
        <is>
          <t>Тряпки для влажной уборки рулон</t>
        </is>
      </c>
      <c r="D55" t="inlineStr">
        <is>
          <t>шт</t>
        </is>
      </c>
      <c r="E55" t="n">
        <v>1</v>
      </c>
      <c r="F55" t="n">
        <v>300</v>
      </c>
    </row>
    <row r="56">
      <c r="A56" t="n">
        <v>55</v>
      </c>
      <c r="B56" t="inlineStr">
        <is>
          <t>Гигиена</t>
        </is>
      </c>
      <c r="C56" t="inlineStr">
        <is>
          <t>Тряпки из микрофибры</t>
        </is>
      </c>
      <c r="D56" t="inlineStr">
        <is>
          <t>шт</t>
        </is>
      </c>
      <c r="E56" t="n">
        <v>2</v>
      </c>
      <c r="F56" t="n">
        <v>120</v>
      </c>
    </row>
    <row r="57">
      <c r="A57" t="n">
        <v>56</v>
      </c>
      <c r="B57" t="inlineStr">
        <is>
          <t>Гигиена</t>
        </is>
      </c>
      <c r="C57" t="inlineStr">
        <is>
          <t>Швабра для мытья полов</t>
        </is>
      </c>
      <c r="D57" t="inlineStr">
        <is>
          <t>шт</t>
        </is>
      </c>
      <c r="E57" t="n">
        <v>1</v>
      </c>
      <c r="F57" t="n">
        <v>740</v>
      </c>
    </row>
    <row r="58">
      <c r="A58" t="n">
        <v>57</v>
      </c>
      <c r="B58" t="inlineStr">
        <is>
          <t>Гигиена</t>
        </is>
      </c>
      <c r="C58" t="inlineStr">
        <is>
          <t>Щетка - сметка с совочком</t>
        </is>
      </c>
      <c r="D58" t="inlineStr">
        <is>
          <t>шт</t>
        </is>
      </c>
      <c r="E58" t="n">
        <v>1</v>
      </c>
      <c r="F58" t="n">
        <v>195</v>
      </c>
    </row>
    <row r="59">
      <c r="A59" t="n">
        <v>58</v>
      </c>
      <c r="B59" t="inlineStr">
        <is>
          <t>Гигиена</t>
        </is>
      </c>
      <c r="C59" t="inlineStr">
        <is>
          <t>Щетка для волос массажная</t>
        </is>
      </c>
      <c r="D59" t="inlineStr">
        <is>
          <t>шт</t>
        </is>
      </c>
      <c r="E59" t="n">
        <v>1</v>
      </c>
      <c r="F59" t="n">
        <v>195</v>
      </c>
    </row>
    <row r="60">
      <c r="A60" t="n">
        <v>59</v>
      </c>
      <c r="B60" t="inlineStr">
        <is>
          <t>Гигиена</t>
        </is>
      </c>
      <c r="C60" t="inlineStr">
        <is>
          <t>Щетка для обуви</t>
        </is>
      </c>
      <c r="D60" t="inlineStr">
        <is>
          <t>шт</t>
        </is>
      </c>
      <c r="E60" t="n">
        <v>1</v>
      </c>
      <c r="F60" t="n">
        <v>120</v>
      </c>
    </row>
    <row r="61">
      <c r="A61" t="n">
        <v>60</v>
      </c>
      <c r="B61" t="inlineStr">
        <is>
          <t>Гигиена</t>
        </is>
      </c>
      <c r="C61" t="inlineStr">
        <is>
          <t>Щетка для одежды</t>
        </is>
      </c>
      <c r="D61" t="inlineStr">
        <is>
          <t>шт</t>
        </is>
      </c>
      <c r="E61" t="n">
        <v>1</v>
      </c>
      <c r="F61" t="n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:XFD1"/>
    </sheetView>
  </sheetViews>
  <sheetFormatPr baseColWidth="8" defaultColWidth="8.85546875" defaultRowHeight="15"/>
  <cols>
    <col width="11.85546875" customWidth="1" style="4" min="1" max="1"/>
    <col width="16.42578125" customWidth="1" style="4" min="2" max="2"/>
    <col width="26.7109375" customWidth="1" style="4" min="3" max="3"/>
  </cols>
  <sheetData>
    <row r="1">
      <c r="A1" s="5" t="inlineStr">
        <is>
          <t>ID магазина</t>
        </is>
      </c>
      <c r="B1" s="5" t="inlineStr">
        <is>
          <t>Район</t>
        </is>
      </c>
      <c r="C1" s="5" t="inlineStr">
        <is>
          <t>Адрес</t>
        </is>
      </c>
    </row>
    <row r="2">
      <c r="A2" s="5" t="inlineStr">
        <is>
          <t>M1</t>
        </is>
      </c>
      <c r="B2" t="inlineStr">
        <is>
          <t>Центральный</t>
        </is>
      </c>
      <c r="C2" t="inlineStr">
        <is>
          <t>просп. Мира, 45</t>
        </is>
      </c>
    </row>
    <row r="3">
      <c r="A3" s="5" t="inlineStr">
        <is>
          <t>M2</t>
        </is>
      </c>
      <c r="B3" t="inlineStr">
        <is>
          <t>Промышленный</t>
        </is>
      </c>
      <c r="C3" t="inlineStr">
        <is>
          <t>ул. Металлургов, 12</t>
        </is>
      </c>
    </row>
    <row r="4">
      <c r="A4" s="5" t="inlineStr">
        <is>
          <t>M3</t>
        </is>
      </c>
      <c r="B4" t="inlineStr">
        <is>
          <t>Заречный</t>
        </is>
      </c>
      <c r="C4" t="inlineStr">
        <is>
          <t>Колхозная, 11</t>
        </is>
      </c>
    </row>
    <row r="5">
      <c r="A5" s="5" t="inlineStr">
        <is>
          <t>M4</t>
        </is>
      </c>
      <c r="B5" t="inlineStr">
        <is>
          <t>Промышленный</t>
        </is>
      </c>
      <c r="C5" t="inlineStr">
        <is>
          <t>Заводская, 22</t>
        </is>
      </c>
    </row>
    <row r="6">
      <c r="A6" s="5" t="inlineStr">
        <is>
          <t>M5</t>
        </is>
      </c>
      <c r="B6" t="inlineStr">
        <is>
          <t>Центральный</t>
        </is>
      </c>
      <c r="C6" t="inlineStr">
        <is>
          <t>ул. Гагарина, 17</t>
        </is>
      </c>
    </row>
    <row r="7">
      <c r="A7" s="5" t="inlineStr">
        <is>
          <t>M6</t>
        </is>
      </c>
      <c r="B7" t="inlineStr">
        <is>
          <t>Центральный</t>
        </is>
      </c>
      <c r="C7" t="inlineStr">
        <is>
          <t>просп. Мира, 10</t>
        </is>
      </c>
    </row>
    <row r="8">
      <c r="A8" s="5" t="inlineStr">
        <is>
          <t>M7</t>
        </is>
      </c>
      <c r="B8" t="inlineStr">
        <is>
          <t>Промышленный</t>
        </is>
      </c>
      <c r="C8" t="inlineStr">
        <is>
          <t>Заводская, 3</t>
        </is>
      </c>
    </row>
    <row r="9">
      <c r="A9" s="5" t="inlineStr">
        <is>
          <t>M8</t>
        </is>
      </c>
      <c r="B9" t="inlineStr">
        <is>
          <t>Промышленный</t>
        </is>
      </c>
      <c r="C9" t="inlineStr">
        <is>
          <t>ул. Сталеваров, 14</t>
        </is>
      </c>
    </row>
    <row r="10">
      <c r="A10" s="5" t="inlineStr">
        <is>
          <t>M9</t>
        </is>
      </c>
      <c r="B10" t="inlineStr">
        <is>
          <t>Заречный</t>
        </is>
      </c>
      <c r="C10" t="inlineStr">
        <is>
          <t>Прибрежная, 7</t>
        </is>
      </c>
    </row>
    <row r="11">
      <c r="A11" s="5" t="inlineStr">
        <is>
          <t>M10</t>
        </is>
      </c>
      <c r="B11" t="inlineStr">
        <is>
          <t>Центральный</t>
        </is>
      </c>
      <c r="C11" t="inlineStr">
        <is>
          <t>пл. Революции, 1</t>
        </is>
      </c>
    </row>
    <row r="12">
      <c r="A12" s="5" t="inlineStr">
        <is>
          <t>M11</t>
        </is>
      </c>
      <c r="B12" t="inlineStr">
        <is>
          <t>Заречный</t>
        </is>
      </c>
      <c r="C12" t="inlineStr">
        <is>
          <t>Луговая, 21</t>
        </is>
      </c>
    </row>
    <row r="13">
      <c r="A13" s="5" t="inlineStr">
        <is>
          <t>M12</t>
        </is>
      </c>
      <c r="B13" t="inlineStr">
        <is>
          <t>Промышленный</t>
        </is>
      </c>
      <c r="C13" t="inlineStr">
        <is>
          <t>Мартеновская, 2</t>
        </is>
      </c>
    </row>
    <row r="14">
      <c r="A14" s="5" t="inlineStr">
        <is>
          <t>M13</t>
        </is>
      </c>
      <c r="B14" t="inlineStr">
        <is>
          <t>Промышленный</t>
        </is>
      </c>
      <c r="C14" t="inlineStr">
        <is>
          <t>Мартеновская, 36</t>
        </is>
      </c>
    </row>
    <row r="15">
      <c r="A15" s="5" t="inlineStr">
        <is>
          <t>M14</t>
        </is>
      </c>
      <c r="B15" t="inlineStr">
        <is>
          <t>Заречный</t>
        </is>
      </c>
      <c r="C15" t="inlineStr">
        <is>
          <t>Элеваторная, 15</t>
        </is>
      </c>
    </row>
    <row r="16">
      <c r="A16" s="5" t="inlineStr">
        <is>
          <t>M15</t>
        </is>
      </c>
      <c r="B16" t="inlineStr">
        <is>
          <t>Центральный</t>
        </is>
      </c>
      <c r="C16" t="inlineStr">
        <is>
          <t>Пушкинская, 8</t>
        </is>
      </c>
    </row>
    <row r="17">
      <c r="A17" s="5" t="inlineStr">
        <is>
          <t>M16</t>
        </is>
      </c>
      <c r="B17" t="inlineStr">
        <is>
          <t>Промышленный</t>
        </is>
      </c>
      <c r="C17" t="inlineStr">
        <is>
          <t>ул. Металлургов. 29</t>
        </is>
      </c>
    </row>
    <row r="18">
      <c r="A18" s="5" t="inlineStr">
        <is>
          <t>M17</t>
        </is>
      </c>
      <c r="B18" t="inlineStr">
        <is>
          <t>Заречный</t>
        </is>
      </c>
      <c r="C18" t="inlineStr">
        <is>
          <t>Лесная, 7</t>
        </is>
      </c>
    </row>
    <row r="19">
      <c r="A19" s="5" t="inlineStr">
        <is>
          <t>M18</t>
        </is>
      </c>
      <c r="B19" t="inlineStr">
        <is>
          <t>Центральный</t>
        </is>
      </c>
      <c r="C19" t="inlineStr">
        <is>
          <t>Лермонтова, 9</t>
        </is>
      </c>
    </row>
  </sheetData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Слава</dc:creator>
  <dcterms:created xmlns:dcterms="http://purl.org/dc/terms/" xmlns:xsi="http://www.w3.org/2001/XMLSchema-instance" xsi:type="dcterms:W3CDTF">2021-07-09T17:04:06Z</dcterms:created>
  <dcterms:modified xmlns:dcterms="http://purl.org/dc/terms/" xmlns:xsi="http://www.w3.org/2001/XMLSchema-instance" xsi:type="dcterms:W3CDTF">2026-10-19T10:19:12Z</dcterms:modified>
  <cp:lastModifiedBy>Мария</cp:lastModifiedBy>
</cp:coreProperties>
</file>